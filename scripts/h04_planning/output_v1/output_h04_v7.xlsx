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h04_planning\output_v1\"/>
    </mc:Choice>
  </mc:AlternateContent>
  <xr:revisionPtr revIDLastSave="0" documentId="13_ncr:1_{6A86A802-B8F2-499A-9767-010912A08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mizedNearestRoute_DualPoint" sheetId="1" r:id="rId1"/>
  </sheets>
  <definedNames>
    <definedName name="_xlnm._FilterDatabase" localSheetId="0" hidden="1">OptimizedNearestRoute_DualPoint!$A$1507:$AJ$1507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G3" i="1" l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179" i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301" i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480" i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1" i="1"/>
  <c r="AH1271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4" i="1"/>
  <c r="AH1344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501" i="1"/>
  <c r="AH1501" i="1"/>
  <c r="AG1502" i="1"/>
  <c r="AH1502" i="1"/>
  <c r="AG1503" i="1"/>
  <c r="AH1503" i="1"/>
  <c r="AG1504" i="1"/>
  <c r="AH1504" i="1"/>
  <c r="AG1505" i="1"/>
  <c r="AH1505" i="1"/>
  <c r="AG1506" i="1"/>
  <c r="AH1506" i="1"/>
  <c r="AG1507" i="1"/>
  <c r="AH1507" i="1"/>
  <c r="AG1508" i="1"/>
  <c r="AH1508" i="1"/>
  <c r="AG1509" i="1"/>
  <c r="AH1509" i="1"/>
  <c r="AG1510" i="1"/>
  <c r="AH1510" i="1"/>
  <c r="AG1511" i="1"/>
  <c r="AH1511" i="1"/>
  <c r="AG1512" i="1"/>
  <c r="AH1512" i="1"/>
  <c r="AG1513" i="1"/>
  <c r="AH1513" i="1"/>
  <c r="AG1514" i="1"/>
  <c r="AH1514" i="1"/>
  <c r="AG1515" i="1"/>
  <c r="AH1515" i="1"/>
  <c r="AG1516" i="1"/>
  <c r="AH1516" i="1"/>
  <c r="AG1517" i="1"/>
  <c r="AH1517" i="1"/>
  <c r="AG1518" i="1"/>
  <c r="AH1518" i="1"/>
  <c r="AG1519" i="1"/>
  <c r="AH1519" i="1"/>
  <c r="AG1520" i="1"/>
  <c r="AH1520" i="1"/>
  <c r="AG1521" i="1"/>
  <c r="AH1521" i="1"/>
  <c r="AG1522" i="1"/>
  <c r="AH1522" i="1"/>
  <c r="AG1523" i="1"/>
  <c r="AH1523" i="1"/>
  <c r="AG1524" i="1"/>
  <c r="AH1524" i="1"/>
  <c r="AG1525" i="1"/>
  <c r="AH1525" i="1"/>
  <c r="AG1526" i="1"/>
  <c r="AH1526" i="1"/>
  <c r="AG1527" i="1"/>
  <c r="AH1527" i="1"/>
  <c r="AG1528" i="1"/>
  <c r="AH1528" i="1"/>
  <c r="AG1529" i="1"/>
  <c r="AH1529" i="1"/>
  <c r="AG1530" i="1"/>
  <c r="AH1530" i="1"/>
  <c r="AG1531" i="1"/>
  <c r="AH1531" i="1"/>
  <c r="AG1532" i="1"/>
  <c r="AH1532" i="1"/>
  <c r="AG1533" i="1"/>
  <c r="AH1533" i="1"/>
  <c r="AG1534" i="1"/>
  <c r="AH1534" i="1"/>
  <c r="AG1535" i="1"/>
  <c r="AH1535" i="1"/>
  <c r="AG1536" i="1"/>
  <c r="AH1536" i="1"/>
  <c r="AG1537" i="1"/>
  <c r="AH1537" i="1"/>
  <c r="AG1538" i="1"/>
  <c r="AH1538" i="1"/>
  <c r="AG1539" i="1"/>
  <c r="AH1539" i="1"/>
  <c r="AG1540" i="1"/>
  <c r="AH1540" i="1"/>
  <c r="AG1541" i="1"/>
  <c r="AH1541" i="1"/>
  <c r="AG1542" i="1"/>
  <c r="AH1542" i="1"/>
  <c r="AG1543" i="1"/>
  <c r="AH1543" i="1"/>
  <c r="AG1544" i="1"/>
  <c r="AH1544" i="1"/>
  <c r="AG1545" i="1"/>
  <c r="AH1545" i="1"/>
  <c r="AG1546" i="1"/>
  <c r="AH1546" i="1"/>
  <c r="AG1547" i="1"/>
  <c r="AH1547" i="1"/>
  <c r="AG1548" i="1"/>
  <c r="AH1548" i="1"/>
  <c r="AG1549" i="1"/>
  <c r="AH1549" i="1"/>
  <c r="AG1550" i="1"/>
  <c r="AH1550" i="1"/>
  <c r="AG1551" i="1"/>
  <c r="AH1551" i="1"/>
  <c r="AG1552" i="1"/>
  <c r="AH1552" i="1"/>
  <c r="AG1553" i="1"/>
  <c r="AH1553" i="1"/>
  <c r="AG1554" i="1"/>
  <c r="AH1554" i="1"/>
  <c r="AG1555" i="1"/>
  <c r="AH1555" i="1"/>
  <c r="AG1556" i="1"/>
  <c r="AH1556" i="1"/>
  <c r="AG1557" i="1"/>
  <c r="AH1557" i="1"/>
  <c r="AG1558" i="1"/>
  <c r="AH1558" i="1"/>
  <c r="AG1559" i="1"/>
  <c r="AH1559" i="1"/>
  <c r="AG1560" i="1"/>
  <c r="AH1560" i="1"/>
  <c r="AG1561" i="1"/>
  <c r="AH1561" i="1"/>
  <c r="AG1562" i="1"/>
  <c r="AH1562" i="1"/>
  <c r="AG1563" i="1"/>
  <c r="AH1563" i="1"/>
  <c r="AG1564" i="1"/>
  <c r="AH1564" i="1"/>
  <c r="AG1565" i="1"/>
  <c r="AH1565" i="1"/>
  <c r="AG1566" i="1"/>
  <c r="AH1566" i="1"/>
  <c r="AG1567" i="1"/>
  <c r="AH1567" i="1"/>
  <c r="AG1568" i="1"/>
  <c r="AH1568" i="1"/>
  <c r="AG1569" i="1"/>
  <c r="AH1569" i="1"/>
  <c r="AG1570" i="1"/>
  <c r="AH1570" i="1"/>
  <c r="AG1571" i="1"/>
  <c r="AH1571" i="1"/>
  <c r="AG1572" i="1"/>
  <c r="AH1572" i="1"/>
  <c r="AG1573" i="1"/>
  <c r="AH1573" i="1"/>
  <c r="AG1574" i="1"/>
  <c r="AH1574" i="1"/>
  <c r="AG1575" i="1"/>
  <c r="AH1575" i="1"/>
  <c r="AG1576" i="1"/>
  <c r="AH1576" i="1"/>
  <c r="AG1577" i="1"/>
  <c r="AH1577" i="1"/>
  <c r="AG1578" i="1"/>
  <c r="AH1578" i="1"/>
  <c r="AG1579" i="1"/>
  <c r="AH1579" i="1"/>
  <c r="AG1580" i="1"/>
  <c r="AH1580" i="1"/>
  <c r="AG1581" i="1"/>
  <c r="AH1581" i="1"/>
  <c r="AG1582" i="1"/>
  <c r="AH1582" i="1"/>
  <c r="AG1583" i="1"/>
  <c r="AH1583" i="1"/>
  <c r="AG1584" i="1"/>
  <c r="AH1584" i="1"/>
  <c r="AG1585" i="1"/>
  <c r="AH1585" i="1"/>
  <c r="AG1586" i="1"/>
  <c r="AH1586" i="1"/>
  <c r="AG1587" i="1"/>
  <c r="AH1587" i="1"/>
  <c r="AG1588" i="1"/>
  <c r="AH1588" i="1"/>
  <c r="AG1589" i="1"/>
  <c r="AH1589" i="1"/>
  <c r="AG1590" i="1"/>
  <c r="AH1590" i="1"/>
  <c r="AG1591" i="1"/>
  <c r="AH1591" i="1"/>
  <c r="AG1592" i="1"/>
  <c r="AH1592" i="1"/>
  <c r="AG1593" i="1"/>
  <c r="AH1593" i="1"/>
  <c r="AG1594" i="1"/>
  <c r="AH1594" i="1"/>
  <c r="AG1595" i="1"/>
  <c r="AH1595" i="1"/>
  <c r="AG1596" i="1"/>
  <c r="AH1596" i="1"/>
  <c r="AG1597" i="1"/>
  <c r="AH1597" i="1"/>
  <c r="AG1598" i="1"/>
  <c r="AH1598" i="1"/>
  <c r="AG1599" i="1"/>
  <c r="AH1599" i="1"/>
  <c r="AG1600" i="1"/>
  <c r="AH1600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B3" i="1"/>
  <c r="AC3" i="1"/>
  <c r="AD3" i="1"/>
  <c r="AE3" i="1"/>
  <c r="AB4" i="1"/>
  <c r="AC4" i="1"/>
  <c r="AD4" i="1"/>
  <c r="AE4" i="1"/>
  <c r="AB5" i="1"/>
  <c r="AC5" i="1"/>
  <c r="AD5" i="1"/>
  <c r="AE5" i="1"/>
  <c r="AB6" i="1"/>
  <c r="AC6" i="1"/>
  <c r="AD6" i="1"/>
  <c r="AE6" i="1"/>
  <c r="AB7" i="1"/>
  <c r="AC7" i="1"/>
  <c r="AD7" i="1"/>
  <c r="AE7" i="1"/>
  <c r="AB8" i="1"/>
  <c r="AC8" i="1"/>
  <c r="AD8" i="1"/>
  <c r="AE8" i="1"/>
  <c r="AB9" i="1"/>
  <c r="AC9" i="1"/>
  <c r="AD9" i="1"/>
  <c r="AE9" i="1"/>
  <c r="AB10" i="1"/>
  <c r="AC10" i="1"/>
  <c r="AD10" i="1"/>
  <c r="AE10" i="1"/>
  <c r="AB11" i="1"/>
  <c r="AC11" i="1"/>
  <c r="AD11" i="1"/>
  <c r="AE11" i="1"/>
  <c r="AB12" i="1"/>
  <c r="AC12" i="1"/>
  <c r="AD12" i="1"/>
  <c r="AE12" i="1"/>
  <c r="AB13" i="1"/>
  <c r="AC13" i="1"/>
  <c r="AD13" i="1"/>
  <c r="AE13" i="1"/>
  <c r="AB14" i="1"/>
  <c r="AC14" i="1"/>
  <c r="AD14" i="1"/>
  <c r="AE14" i="1"/>
  <c r="AB15" i="1"/>
  <c r="AC15" i="1"/>
  <c r="AD15" i="1"/>
  <c r="AE15" i="1"/>
  <c r="AB16" i="1"/>
  <c r="AC16" i="1"/>
  <c r="AD16" i="1"/>
  <c r="AE16" i="1"/>
  <c r="AB17" i="1"/>
  <c r="AC17" i="1"/>
  <c r="AD17" i="1"/>
  <c r="AE17" i="1"/>
  <c r="AB18" i="1"/>
  <c r="AC18" i="1"/>
  <c r="AD18" i="1"/>
  <c r="AE18" i="1"/>
  <c r="AB19" i="1"/>
  <c r="AC19" i="1"/>
  <c r="AD19" i="1"/>
  <c r="AE19" i="1"/>
  <c r="AB20" i="1"/>
  <c r="AC20" i="1"/>
  <c r="AD20" i="1"/>
  <c r="AE20" i="1"/>
  <c r="AB21" i="1"/>
  <c r="AC21" i="1"/>
  <c r="AD21" i="1"/>
  <c r="AE21" i="1"/>
  <c r="AB22" i="1"/>
  <c r="AC22" i="1"/>
  <c r="AD22" i="1"/>
  <c r="AE22" i="1"/>
  <c r="AB23" i="1"/>
  <c r="AC23" i="1"/>
  <c r="AD23" i="1"/>
  <c r="AE23" i="1"/>
  <c r="AB24" i="1"/>
  <c r="AC24" i="1"/>
  <c r="AD24" i="1"/>
  <c r="AE24" i="1"/>
  <c r="AB25" i="1"/>
  <c r="AC25" i="1"/>
  <c r="AD25" i="1"/>
  <c r="AE25" i="1"/>
  <c r="AB26" i="1"/>
  <c r="AC26" i="1"/>
  <c r="AD26" i="1"/>
  <c r="AE26" i="1"/>
  <c r="AB27" i="1"/>
  <c r="AC27" i="1"/>
  <c r="AD27" i="1"/>
  <c r="AE27" i="1"/>
  <c r="AB28" i="1"/>
  <c r="AC28" i="1"/>
  <c r="AD28" i="1"/>
  <c r="AE28" i="1"/>
  <c r="AB29" i="1"/>
  <c r="AC29" i="1"/>
  <c r="AD29" i="1"/>
  <c r="AE29" i="1"/>
  <c r="AB30" i="1"/>
  <c r="AC30" i="1"/>
  <c r="AD30" i="1"/>
  <c r="AE30" i="1"/>
  <c r="AB31" i="1"/>
  <c r="AC31" i="1"/>
  <c r="AD31" i="1"/>
  <c r="AE31" i="1"/>
  <c r="AB32" i="1"/>
  <c r="AC32" i="1"/>
  <c r="AD32" i="1"/>
  <c r="AE32" i="1"/>
  <c r="AB33" i="1"/>
  <c r="AC33" i="1"/>
  <c r="AD33" i="1"/>
  <c r="AE33" i="1"/>
  <c r="AB34" i="1"/>
  <c r="AC34" i="1"/>
  <c r="AD34" i="1"/>
  <c r="AE34" i="1"/>
  <c r="AB35" i="1"/>
  <c r="AC35" i="1"/>
  <c r="AD35" i="1"/>
  <c r="AE35" i="1"/>
  <c r="AB36" i="1"/>
  <c r="AC36" i="1"/>
  <c r="AD36" i="1"/>
  <c r="AE36" i="1"/>
  <c r="AB37" i="1"/>
  <c r="AC37" i="1"/>
  <c r="AD37" i="1"/>
  <c r="AE37" i="1"/>
  <c r="AB38" i="1"/>
  <c r="AC38" i="1"/>
  <c r="AD38" i="1"/>
  <c r="AE38" i="1"/>
  <c r="AB39" i="1"/>
  <c r="AC39" i="1"/>
  <c r="AD39" i="1"/>
  <c r="AE39" i="1"/>
  <c r="AB40" i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B44" i="1"/>
  <c r="AC44" i="1"/>
  <c r="AD44" i="1"/>
  <c r="AE44" i="1"/>
  <c r="AB45" i="1"/>
  <c r="AC45" i="1"/>
  <c r="AD45" i="1"/>
  <c r="AE45" i="1"/>
  <c r="AB46" i="1"/>
  <c r="AC46" i="1"/>
  <c r="AD46" i="1"/>
  <c r="AE46" i="1"/>
  <c r="AB47" i="1"/>
  <c r="AC47" i="1"/>
  <c r="AD47" i="1"/>
  <c r="AE47" i="1"/>
  <c r="AB48" i="1"/>
  <c r="AC48" i="1"/>
  <c r="AD48" i="1"/>
  <c r="AE48" i="1"/>
  <c r="AB49" i="1"/>
  <c r="AC49" i="1"/>
  <c r="AD49" i="1"/>
  <c r="AE49" i="1"/>
  <c r="AB50" i="1"/>
  <c r="AC50" i="1"/>
  <c r="AD50" i="1"/>
  <c r="AE50" i="1"/>
  <c r="AB51" i="1"/>
  <c r="AC51" i="1"/>
  <c r="AD51" i="1"/>
  <c r="AE51" i="1"/>
  <c r="AB52" i="1"/>
  <c r="AC52" i="1"/>
  <c r="AD52" i="1"/>
  <c r="AE52" i="1"/>
  <c r="AB53" i="1"/>
  <c r="AC53" i="1"/>
  <c r="AD53" i="1"/>
  <c r="AE53" i="1"/>
  <c r="AB54" i="1"/>
  <c r="AC54" i="1"/>
  <c r="AD54" i="1"/>
  <c r="AE54" i="1"/>
  <c r="AB55" i="1"/>
  <c r="AC55" i="1"/>
  <c r="AD55" i="1"/>
  <c r="AE55" i="1"/>
  <c r="AB56" i="1"/>
  <c r="AC56" i="1"/>
  <c r="AD56" i="1"/>
  <c r="AE56" i="1"/>
  <c r="AB57" i="1"/>
  <c r="AC57" i="1"/>
  <c r="AD57" i="1"/>
  <c r="AE57" i="1"/>
  <c r="AB58" i="1"/>
  <c r="AC58" i="1"/>
  <c r="AD58" i="1"/>
  <c r="AE58" i="1"/>
  <c r="AB59" i="1"/>
  <c r="AC59" i="1"/>
  <c r="AD59" i="1"/>
  <c r="AE59" i="1"/>
  <c r="AB60" i="1"/>
  <c r="AC60" i="1"/>
  <c r="AD60" i="1"/>
  <c r="AE60" i="1"/>
  <c r="AB61" i="1"/>
  <c r="AC61" i="1"/>
  <c r="AD61" i="1"/>
  <c r="AE61" i="1"/>
  <c r="AB62" i="1"/>
  <c r="AC62" i="1"/>
  <c r="AD62" i="1"/>
  <c r="AE62" i="1"/>
  <c r="AB63" i="1"/>
  <c r="AC63" i="1"/>
  <c r="AD63" i="1"/>
  <c r="AE63" i="1"/>
  <c r="AB64" i="1"/>
  <c r="AC64" i="1"/>
  <c r="AD64" i="1"/>
  <c r="AE64" i="1"/>
  <c r="AB65" i="1"/>
  <c r="AC65" i="1"/>
  <c r="AD65" i="1"/>
  <c r="AE65" i="1"/>
  <c r="AB66" i="1"/>
  <c r="AC66" i="1"/>
  <c r="AD66" i="1"/>
  <c r="AE66" i="1"/>
  <c r="AB67" i="1"/>
  <c r="AC67" i="1"/>
  <c r="AD67" i="1"/>
  <c r="AE67" i="1"/>
  <c r="AB68" i="1"/>
  <c r="AC68" i="1"/>
  <c r="AD68" i="1"/>
  <c r="AE68" i="1"/>
  <c r="AB69" i="1"/>
  <c r="AC69" i="1"/>
  <c r="AD69" i="1"/>
  <c r="AE69" i="1"/>
  <c r="AB70" i="1"/>
  <c r="AC70" i="1"/>
  <c r="AD70" i="1"/>
  <c r="AE70" i="1"/>
  <c r="AB71" i="1"/>
  <c r="AC71" i="1"/>
  <c r="AD71" i="1"/>
  <c r="AE71" i="1"/>
  <c r="AB72" i="1"/>
  <c r="AC72" i="1"/>
  <c r="AD72" i="1"/>
  <c r="AE72" i="1"/>
  <c r="AB73" i="1"/>
  <c r="AC73" i="1"/>
  <c r="AD73" i="1"/>
  <c r="AE73" i="1"/>
  <c r="AB74" i="1"/>
  <c r="AC74" i="1"/>
  <c r="AD74" i="1"/>
  <c r="AE74" i="1"/>
  <c r="AB75" i="1"/>
  <c r="AC75" i="1"/>
  <c r="AD75" i="1"/>
  <c r="AE75" i="1"/>
  <c r="AB76" i="1"/>
  <c r="AC76" i="1"/>
  <c r="AD76" i="1"/>
  <c r="AE76" i="1"/>
  <c r="AB77" i="1"/>
  <c r="AC77" i="1"/>
  <c r="AD77" i="1"/>
  <c r="AE77" i="1"/>
  <c r="AB78" i="1"/>
  <c r="AC78" i="1"/>
  <c r="AD78" i="1"/>
  <c r="AE78" i="1"/>
  <c r="AB79" i="1"/>
  <c r="AC79" i="1"/>
  <c r="AD79" i="1"/>
  <c r="AE79" i="1"/>
  <c r="AB80" i="1"/>
  <c r="AC80" i="1"/>
  <c r="AD80" i="1"/>
  <c r="AE80" i="1"/>
  <c r="AB81" i="1"/>
  <c r="AC81" i="1"/>
  <c r="AD81" i="1"/>
  <c r="AE81" i="1"/>
  <c r="AB82" i="1"/>
  <c r="AC82" i="1"/>
  <c r="AD82" i="1"/>
  <c r="AE82" i="1"/>
  <c r="AB83" i="1"/>
  <c r="AC83" i="1"/>
  <c r="AD83" i="1"/>
  <c r="AE83" i="1"/>
  <c r="AB84" i="1"/>
  <c r="AC84" i="1"/>
  <c r="AD84" i="1"/>
  <c r="AE84" i="1"/>
  <c r="AB85" i="1"/>
  <c r="AC85" i="1"/>
  <c r="AD85" i="1"/>
  <c r="AE85" i="1"/>
  <c r="AB86" i="1"/>
  <c r="AC86" i="1"/>
  <c r="AD86" i="1"/>
  <c r="AE86" i="1"/>
  <c r="AB87" i="1"/>
  <c r="AC87" i="1"/>
  <c r="AD87" i="1"/>
  <c r="AE87" i="1"/>
  <c r="AB88" i="1"/>
  <c r="AC88" i="1"/>
  <c r="AD88" i="1"/>
  <c r="AE88" i="1"/>
  <c r="AB89" i="1"/>
  <c r="AC89" i="1"/>
  <c r="AD89" i="1"/>
  <c r="AE89" i="1"/>
  <c r="AB90" i="1"/>
  <c r="AC90" i="1"/>
  <c r="AD90" i="1"/>
  <c r="AE90" i="1"/>
  <c r="AB91" i="1"/>
  <c r="AC91" i="1"/>
  <c r="AD91" i="1"/>
  <c r="AE91" i="1"/>
  <c r="AB92" i="1"/>
  <c r="AC92" i="1"/>
  <c r="AD92" i="1"/>
  <c r="AE92" i="1"/>
  <c r="AB93" i="1"/>
  <c r="AC93" i="1"/>
  <c r="AD93" i="1"/>
  <c r="AE93" i="1"/>
  <c r="AB94" i="1"/>
  <c r="AC94" i="1"/>
  <c r="AD94" i="1"/>
  <c r="AE94" i="1"/>
  <c r="AB95" i="1"/>
  <c r="AC95" i="1"/>
  <c r="AD95" i="1"/>
  <c r="AE95" i="1"/>
  <c r="AB96" i="1"/>
  <c r="AC96" i="1"/>
  <c r="AD96" i="1"/>
  <c r="AE96" i="1"/>
  <c r="AB97" i="1"/>
  <c r="AC97" i="1"/>
  <c r="AD97" i="1"/>
  <c r="AE97" i="1"/>
  <c r="AB98" i="1"/>
  <c r="AC98" i="1"/>
  <c r="AD98" i="1"/>
  <c r="AE98" i="1"/>
  <c r="AB99" i="1"/>
  <c r="AC99" i="1"/>
  <c r="AD99" i="1"/>
  <c r="AE99" i="1"/>
  <c r="AB100" i="1"/>
  <c r="AC100" i="1"/>
  <c r="AD100" i="1"/>
  <c r="AE100" i="1"/>
  <c r="AB101" i="1"/>
  <c r="AC101" i="1"/>
  <c r="AD101" i="1"/>
  <c r="AE101" i="1"/>
  <c r="AB102" i="1"/>
  <c r="AC102" i="1"/>
  <c r="AD102" i="1"/>
  <c r="AE102" i="1"/>
  <c r="AB103" i="1"/>
  <c r="AC103" i="1"/>
  <c r="AD103" i="1"/>
  <c r="AE103" i="1"/>
  <c r="AB104" i="1"/>
  <c r="AC104" i="1"/>
  <c r="AD104" i="1"/>
  <c r="AE104" i="1"/>
  <c r="AB105" i="1"/>
  <c r="AC105" i="1"/>
  <c r="AD105" i="1"/>
  <c r="AE105" i="1"/>
  <c r="AB106" i="1"/>
  <c r="AC106" i="1"/>
  <c r="AD106" i="1"/>
  <c r="AE106" i="1"/>
  <c r="AB107" i="1"/>
  <c r="AC107" i="1"/>
  <c r="AD107" i="1"/>
  <c r="AE107" i="1"/>
  <c r="AB108" i="1"/>
  <c r="AC108" i="1"/>
  <c r="AD108" i="1"/>
  <c r="AE108" i="1"/>
  <c r="AB109" i="1"/>
  <c r="AC109" i="1"/>
  <c r="AD109" i="1"/>
  <c r="AE109" i="1"/>
  <c r="AB110" i="1"/>
  <c r="AC110" i="1"/>
  <c r="AD110" i="1"/>
  <c r="AE110" i="1"/>
  <c r="AB111" i="1"/>
  <c r="AC111" i="1"/>
  <c r="AD111" i="1"/>
  <c r="AE111" i="1"/>
  <c r="AB112" i="1"/>
  <c r="AC112" i="1"/>
  <c r="AD112" i="1"/>
  <c r="AE112" i="1"/>
  <c r="AB113" i="1"/>
  <c r="AC113" i="1"/>
  <c r="AD113" i="1"/>
  <c r="AE113" i="1"/>
  <c r="AB114" i="1"/>
  <c r="AC114" i="1"/>
  <c r="AD114" i="1"/>
  <c r="AE114" i="1"/>
  <c r="AB115" i="1"/>
  <c r="AC115" i="1"/>
  <c r="AD115" i="1"/>
  <c r="AE115" i="1"/>
  <c r="AB116" i="1"/>
  <c r="AC116" i="1"/>
  <c r="AD116" i="1"/>
  <c r="AE116" i="1"/>
  <c r="AB117" i="1"/>
  <c r="AC117" i="1"/>
  <c r="AD117" i="1"/>
  <c r="AE117" i="1"/>
  <c r="AB118" i="1"/>
  <c r="AC118" i="1"/>
  <c r="AD118" i="1"/>
  <c r="AE118" i="1"/>
  <c r="AB119" i="1"/>
  <c r="AC119" i="1"/>
  <c r="AD119" i="1"/>
  <c r="AE119" i="1"/>
  <c r="AB120" i="1"/>
  <c r="AC120" i="1"/>
  <c r="AD120" i="1"/>
  <c r="AE120" i="1"/>
  <c r="AB121" i="1"/>
  <c r="AC121" i="1"/>
  <c r="AD121" i="1"/>
  <c r="AE121" i="1"/>
  <c r="AB122" i="1"/>
  <c r="AC122" i="1"/>
  <c r="AD122" i="1"/>
  <c r="AE122" i="1"/>
  <c r="AB123" i="1"/>
  <c r="AC123" i="1"/>
  <c r="AD123" i="1"/>
  <c r="AE123" i="1"/>
  <c r="AB124" i="1"/>
  <c r="AC124" i="1"/>
  <c r="AD124" i="1"/>
  <c r="AE124" i="1"/>
  <c r="AB125" i="1"/>
  <c r="AC125" i="1"/>
  <c r="AD125" i="1"/>
  <c r="AE125" i="1"/>
  <c r="AB126" i="1"/>
  <c r="AC126" i="1"/>
  <c r="AD126" i="1"/>
  <c r="AE126" i="1"/>
  <c r="AB127" i="1"/>
  <c r="AC127" i="1"/>
  <c r="AD127" i="1"/>
  <c r="AE127" i="1"/>
  <c r="AB128" i="1"/>
  <c r="AC128" i="1"/>
  <c r="AD128" i="1"/>
  <c r="AE128" i="1"/>
  <c r="AB129" i="1"/>
  <c r="AC129" i="1"/>
  <c r="AD129" i="1"/>
  <c r="AE129" i="1"/>
  <c r="AB130" i="1"/>
  <c r="AC130" i="1"/>
  <c r="AD130" i="1"/>
  <c r="AE130" i="1"/>
  <c r="AB131" i="1"/>
  <c r="AC131" i="1"/>
  <c r="AD131" i="1"/>
  <c r="AE131" i="1"/>
  <c r="AB132" i="1"/>
  <c r="AC132" i="1"/>
  <c r="AD132" i="1"/>
  <c r="AE132" i="1"/>
  <c r="AB133" i="1"/>
  <c r="AC133" i="1"/>
  <c r="AD133" i="1"/>
  <c r="AE133" i="1"/>
  <c r="AB134" i="1"/>
  <c r="AC134" i="1"/>
  <c r="AD134" i="1"/>
  <c r="AE134" i="1"/>
  <c r="AB135" i="1"/>
  <c r="AC135" i="1"/>
  <c r="AD135" i="1"/>
  <c r="AE135" i="1"/>
  <c r="AB136" i="1"/>
  <c r="AC136" i="1"/>
  <c r="AD136" i="1"/>
  <c r="AE136" i="1"/>
  <c r="AB137" i="1"/>
  <c r="AC137" i="1"/>
  <c r="AD137" i="1"/>
  <c r="AE137" i="1"/>
  <c r="AB138" i="1"/>
  <c r="AC138" i="1"/>
  <c r="AD138" i="1"/>
  <c r="AE138" i="1"/>
  <c r="AB139" i="1"/>
  <c r="AC139" i="1"/>
  <c r="AD139" i="1"/>
  <c r="AE139" i="1"/>
  <c r="AB140" i="1"/>
  <c r="AC140" i="1"/>
  <c r="AD140" i="1"/>
  <c r="AE140" i="1"/>
  <c r="AB141" i="1"/>
  <c r="AC141" i="1"/>
  <c r="AD141" i="1"/>
  <c r="AE141" i="1"/>
  <c r="AB142" i="1"/>
  <c r="AC142" i="1"/>
  <c r="AD142" i="1"/>
  <c r="AE142" i="1"/>
  <c r="AB143" i="1"/>
  <c r="AC143" i="1"/>
  <c r="AD143" i="1"/>
  <c r="AE143" i="1"/>
  <c r="AB144" i="1"/>
  <c r="AC144" i="1"/>
  <c r="AD144" i="1"/>
  <c r="AE144" i="1"/>
  <c r="AB145" i="1"/>
  <c r="AC145" i="1"/>
  <c r="AD145" i="1"/>
  <c r="AE145" i="1"/>
  <c r="AB146" i="1"/>
  <c r="AC146" i="1"/>
  <c r="AD146" i="1"/>
  <c r="AE146" i="1"/>
  <c r="AB147" i="1"/>
  <c r="AC147" i="1"/>
  <c r="AD147" i="1"/>
  <c r="AE147" i="1"/>
  <c r="AB148" i="1"/>
  <c r="AC148" i="1"/>
  <c r="AD148" i="1"/>
  <c r="AE148" i="1"/>
  <c r="AB149" i="1"/>
  <c r="AC149" i="1"/>
  <c r="AD149" i="1"/>
  <c r="AE149" i="1"/>
  <c r="AB150" i="1"/>
  <c r="AC150" i="1"/>
  <c r="AD150" i="1"/>
  <c r="AE150" i="1"/>
  <c r="AB151" i="1"/>
  <c r="AC151" i="1"/>
  <c r="AD151" i="1"/>
  <c r="AE151" i="1"/>
  <c r="AB152" i="1"/>
  <c r="AC152" i="1"/>
  <c r="AD152" i="1"/>
  <c r="AE152" i="1"/>
  <c r="AB153" i="1"/>
  <c r="AC153" i="1"/>
  <c r="AD153" i="1"/>
  <c r="AE153" i="1"/>
  <c r="AB154" i="1"/>
  <c r="AC154" i="1"/>
  <c r="AD154" i="1"/>
  <c r="AE154" i="1"/>
  <c r="AB155" i="1"/>
  <c r="AC155" i="1"/>
  <c r="AD155" i="1"/>
  <c r="AE155" i="1"/>
  <c r="AB156" i="1"/>
  <c r="AC156" i="1"/>
  <c r="AD156" i="1"/>
  <c r="AE156" i="1"/>
  <c r="AB157" i="1"/>
  <c r="AC157" i="1"/>
  <c r="AD157" i="1"/>
  <c r="AE157" i="1"/>
  <c r="AB158" i="1"/>
  <c r="AC158" i="1"/>
  <c r="AD158" i="1"/>
  <c r="AE158" i="1"/>
  <c r="AB159" i="1"/>
  <c r="AC159" i="1"/>
  <c r="AD159" i="1"/>
  <c r="AE159" i="1"/>
  <c r="AB160" i="1"/>
  <c r="AC160" i="1"/>
  <c r="AD160" i="1"/>
  <c r="AE160" i="1"/>
  <c r="AB161" i="1"/>
  <c r="AC161" i="1"/>
  <c r="AD161" i="1"/>
  <c r="AE161" i="1"/>
  <c r="AB162" i="1"/>
  <c r="AC162" i="1"/>
  <c r="AD162" i="1"/>
  <c r="AE162" i="1"/>
  <c r="AB163" i="1"/>
  <c r="AC163" i="1"/>
  <c r="AD163" i="1"/>
  <c r="AE163" i="1"/>
  <c r="AB164" i="1"/>
  <c r="AC164" i="1"/>
  <c r="AD164" i="1"/>
  <c r="AE164" i="1"/>
  <c r="AB165" i="1"/>
  <c r="AC165" i="1"/>
  <c r="AD165" i="1"/>
  <c r="AE165" i="1"/>
  <c r="AB166" i="1"/>
  <c r="AC166" i="1"/>
  <c r="AD166" i="1"/>
  <c r="AE166" i="1"/>
  <c r="AB167" i="1"/>
  <c r="AC167" i="1"/>
  <c r="AD167" i="1"/>
  <c r="AE167" i="1"/>
  <c r="AB168" i="1"/>
  <c r="AC168" i="1"/>
  <c r="AD168" i="1"/>
  <c r="AE168" i="1"/>
  <c r="AB169" i="1"/>
  <c r="AC169" i="1"/>
  <c r="AD169" i="1"/>
  <c r="AE169" i="1"/>
  <c r="AB170" i="1"/>
  <c r="AC170" i="1"/>
  <c r="AD170" i="1"/>
  <c r="AE170" i="1"/>
  <c r="AB171" i="1"/>
  <c r="AC171" i="1"/>
  <c r="AD171" i="1"/>
  <c r="AE171" i="1"/>
  <c r="AB172" i="1"/>
  <c r="AC172" i="1"/>
  <c r="AD172" i="1"/>
  <c r="AE172" i="1"/>
  <c r="AB173" i="1"/>
  <c r="AC173" i="1"/>
  <c r="AD173" i="1"/>
  <c r="AE173" i="1"/>
  <c r="AB174" i="1"/>
  <c r="AC174" i="1"/>
  <c r="AD174" i="1"/>
  <c r="AE174" i="1"/>
  <c r="AB175" i="1"/>
  <c r="AC175" i="1"/>
  <c r="AD175" i="1"/>
  <c r="AE175" i="1"/>
  <c r="AB176" i="1"/>
  <c r="AC176" i="1"/>
  <c r="AD176" i="1"/>
  <c r="AE176" i="1"/>
  <c r="AB177" i="1"/>
  <c r="AC177" i="1"/>
  <c r="AD177" i="1"/>
  <c r="AE177" i="1"/>
  <c r="AB178" i="1"/>
  <c r="AC178" i="1"/>
  <c r="AD178" i="1"/>
  <c r="AE178" i="1"/>
  <c r="AB179" i="1"/>
  <c r="AC179" i="1"/>
  <c r="AD179" i="1"/>
  <c r="AE179" i="1"/>
  <c r="AB180" i="1"/>
  <c r="AC180" i="1"/>
  <c r="AD180" i="1"/>
  <c r="AE180" i="1"/>
  <c r="AB181" i="1"/>
  <c r="AC181" i="1"/>
  <c r="AD181" i="1"/>
  <c r="AE181" i="1"/>
  <c r="AB182" i="1"/>
  <c r="AC182" i="1"/>
  <c r="AD182" i="1"/>
  <c r="AE182" i="1"/>
  <c r="AB183" i="1"/>
  <c r="AC183" i="1"/>
  <c r="AD183" i="1"/>
  <c r="AE183" i="1"/>
  <c r="AB184" i="1"/>
  <c r="AC184" i="1"/>
  <c r="AD184" i="1"/>
  <c r="AE184" i="1"/>
  <c r="AB185" i="1"/>
  <c r="AC185" i="1"/>
  <c r="AD185" i="1"/>
  <c r="AE185" i="1"/>
  <c r="AB186" i="1"/>
  <c r="AC186" i="1"/>
  <c r="AD186" i="1"/>
  <c r="AE186" i="1"/>
  <c r="AB187" i="1"/>
  <c r="AC187" i="1"/>
  <c r="AD187" i="1"/>
  <c r="AE187" i="1"/>
  <c r="AB188" i="1"/>
  <c r="AC188" i="1"/>
  <c r="AD188" i="1"/>
  <c r="AE188" i="1"/>
  <c r="AB189" i="1"/>
  <c r="AC189" i="1"/>
  <c r="AD189" i="1"/>
  <c r="AE189" i="1"/>
  <c r="AB190" i="1"/>
  <c r="AC190" i="1"/>
  <c r="AD190" i="1"/>
  <c r="AE190" i="1"/>
  <c r="AB191" i="1"/>
  <c r="AC191" i="1"/>
  <c r="AD191" i="1"/>
  <c r="AE191" i="1"/>
  <c r="AB192" i="1"/>
  <c r="AC192" i="1"/>
  <c r="AD192" i="1"/>
  <c r="AE192" i="1"/>
  <c r="AB193" i="1"/>
  <c r="AC193" i="1"/>
  <c r="AD193" i="1"/>
  <c r="AE193" i="1"/>
  <c r="AB194" i="1"/>
  <c r="AC194" i="1"/>
  <c r="AD194" i="1"/>
  <c r="AE194" i="1"/>
  <c r="AB195" i="1"/>
  <c r="AC195" i="1"/>
  <c r="AD195" i="1"/>
  <c r="AE195" i="1"/>
  <c r="AB196" i="1"/>
  <c r="AC196" i="1"/>
  <c r="AD196" i="1"/>
  <c r="AE196" i="1"/>
  <c r="AB197" i="1"/>
  <c r="AC197" i="1"/>
  <c r="AD197" i="1"/>
  <c r="AE197" i="1"/>
  <c r="AB198" i="1"/>
  <c r="AC198" i="1"/>
  <c r="AD198" i="1"/>
  <c r="AE198" i="1"/>
  <c r="AB199" i="1"/>
  <c r="AC199" i="1"/>
  <c r="AD199" i="1"/>
  <c r="AE199" i="1"/>
  <c r="AB200" i="1"/>
  <c r="AC200" i="1"/>
  <c r="AD200" i="1"/>
  <c r="AE200" i="1"/>
  <c r="AB201" i="1"/>
  <c r="AC201" i="1"/>
  <c r="AD201" i="1"/>
  <c r="AE201" i="1"/>
  <c r="AB202" i="1"/>
  <c r="AC202" i="1"/>
  <c r="AD202" i="1"/>
  <c r="AE202" i="1"/>
  <c r="AB203" i="1"/>
  <c r="AC203" i="1"/>
  <c r="AD203" i="1"/>
  <c r="AE203" i="1"/>
  <c r="AB204" i="1"/>
  <c r="AC204" i="1"/>
  <c r="AD204" i="1"/>
  <c r="AE204" i="1"/>
  <c r="AB205" i="1"/>
  <c r="AC205" i="1"/>
  <c r="AD205" i="1"/>
  <c r="AE205" i="1"/>
  <c r="AB206" i="1"/>
  <c r="AC206" i="1"/>
  <c r="AD206" i="1"/>
  <c r="AE206" i="1"/>
  <c r="AB207" i="1"/>
  <c r="AC207" i="1"/>
  <c r="AD207" i="1"/>
  <c r="AE207" i="1"/>
  <c r="AB208" i="1"/>
  <c r="AC208" i="1"/>
  <c r="AD208" i="1"/>
  <c r="AE208" i="1"/>
  <c r="AB209" i="1"/>
  <c r="AC209" i="1"/>
  <c r="AD209" i="1"/>
  <c r="AE209" i="1"/>
  <c r="AB210" i="1"/>
  <c r="AC210" i="1"/>
  <c r="AD210" i="1"/>
  <c r="AE210" i="1"/>
  <c r="AB211" i="1"/>
  <c r="AC211" i="1"/>
  <c r="AD211" i="1"/>
  <c r="AE211" i="1"/>
  <c r="AB212" i="1"/>
  <c r="AC212" i="1"/>
  <c r="AD212" i="1"/>
  <c r="AE212" i="1"/>
  <c r="AB213" i="1"/>
  <c r="AC213" i="1"/>
  <c r="AD213" i="1"/>
  <c r="AE213" i="1"/>
  <c r="AB214" i="1"/>
  <c r="AC214" i="1"/>
  <c r="AD214" i="1"/>
  <c r="AE214" i="1"/>
  <c r="AB215" i="1"/>
  <c r="AC215" i="1"/>
  <c r="AD215" i="1"/>
  <c r="AE215" i="1"/>
  <c r="AB216" i="1"/>
  <c r="AC216" i="1"/>
  <c r="AD216" i="1"/>
  <c r="AE216" i="1"/>
  <c r="AB217" i="1"/>
  <c r="AC217" i="1"/>
  <c r="AD217" i="1"/>
  <c r="AE217" i="1"/>
  <c r="AB218" i="1"/>
  <c r="AC218" i="1"/>
  <c r="AD218" i="1"/>
  <c r="AE218" i="1"/>
  <c r="AB219" i="1"/>
  <c r="AC219" i="1"/>
  <c r="AD219" i="1"/>
  <c r="AE219" i="1"/>
  <c r="AB220" i="1"/>
  <c r="AC220" i="1"/>
  <c r="AD220" i="1"/>
  <c r="AE220" i="1"/>
  <c r="AB221" i="1"/>
  <c r="AC221" i="1"/>
  <c r="AD221" i="1"/>
  <c r="AE221" i="1"/>
  <c r="AB222" i="1"/>
  <c r="AC222" i="1"/>
  <c r="AD222" i="1"/>
  <c r="AE222" i="1"/>
  <c r="AB223" i="1"/>
  <c r="AC223" i="1"/>
  <c r="AD223" i="1"/>
  <c r="AE223" i="1"/>
  <c r="AB224" i="1"/>
  <c r="AC224" i="1"/>
  <c r="AD224" i="1"/>
  <c r="AE224" i="1"/>
  <c r="AB225" i="1"/>
  <c r="AC225" i="1"/>
  <c r="AD225" i="1"/>
  <c r="AE225" i="1"/>
  <c r="AB226" i="1"/>
  <c r="AC226" i="1"/>
  <c r="AD226" i="1"/>
  <c r="AE226" i="1"/>
  <c r="AB227" i="1"/>
  <c r="AC227" i="1"/>
  <c r="AD227" i="1"/>
  <c r="AE227" i="1"/>
  <c r="AB228" i="1"/>
  <c r="AC228" i="1"/>
  <c r="AD228" i="1"/>
  <c r="AE228" i="1"/>
  <c r="AB229" i="1"/>
  <c r="AC229" i="1"/>
  <c r="AD229" i="1"/>
  <c r="AE229" i="1"/>
  <c r="AB230" i="1"/>
  <c r="AC230" i="1"/>
  <c r="AD230" i="1"/>
  <c r="AE230" i="1"/>
  <c r="AB231" i="1"/>
  <c r="AC231" i="1"/>
  <c r="AD231" i="1"/>
  <c r="AE231" i="1"/>
  <c r="AB232" i="1"/>
  <c r="AC232" i="1"/>
  <c r="AD232" i="1"/>
  <c r="AE232" i="1"/>
  <c r="AB233" i="1"/>
  <c r="AC233" i="1"/>
  <c r="AD233" i="1"/>
  <c r="AE233" i="1"/>
  <c r="AB234" i="1"/>
  <c r="AC234" i="1"/>
  <c r="AD234" i="1"/>
  <c r="AE234" i="1"/>
  <c r="AB235" i="1"/>
  <c r="AC235" i="1"/>
  <c r="AD235" i="1"/>
  <c r="AE235" i="1"/>
  <c r="AB236" i="1"/>
  <c r="AC236" i="1"/>
  <c r="AD236" i="1"/>
  <c r="AE236" i="1"/>
  <c r="AB237" i="1"/>
  <c r="AC237" i="1"/>
  <c r="AD237" i="1"/>
  <c r="AE237" i="1"/>
  <c r="AB238" i="1"/>
  <c r="AC238" i="1"/>
  <c r="AD238" i="1"/>
  <c r="AE238" i="1"/>
  <c r="AB239" i="1"/>
  <c r="AC239" i="1"/>
  <c r="AD239" i="1"/>
  <c r="AE239" i="1"/>
  <c r="AB240" i="1"/>
  <c r="AC240" i="1"/>
  <c r="AD240" i="1"/>
  <c r="AE240" i="1"/>
  <c r="AB241" i="1"/>
  <c r="AC241" i="1"/>
  <c r="AD241" i="1"/>
  <c r="AE241" i="1"/>
  <c r="AB242" i="1"/>
  <c r="AC242" i="1"/>
  <c r="AD242" i="1"/>
  <c r="AE242" i="1"/>
  <c r="AB243" i="1"/>
  <c r="AC243" i="1"/>
  <c r="AD243" i="1"/>
  <c r="AE243" i="1"/>
  <c r="AB244" i="1"/>
  <c r="AC244" i="1"/>
  <c r="AD244" i="1"/>
  <c r="AE244" i="1"/>
  <c r="AB245" i="1"/>
  <c r="AC245" i="1"/>
  <c r="AD245" i="1"/>
  <c r="AE245" i="1"/>
  <c r="AB246" i="1"/>
  <c r="AC246" i="1"/>
  <c r="AD246" i="1"/>
  <c r="AE246" i="1"/>
  <c r="AB247" i="1"/>
  <c r="AC247" i="1"/>
  <c r="AD247" i="1"/>
  <c r="AE247" i="1"/>
  <c r="AB248" i="1"/>
  <c r="AC248" i="1"/>
  <c r="AD248" i="1"/>
  <c r="AE248" i="1"/>
  <c r="AB249" i="1"/>
  <c r="AC249" i="1"/>
  <c r="AD249" i="1"/>
  <c r="AE249" i="1"/>
  <c r="AB250" i="1"/>
  <c r="AC250" i="1"/>
  <c r="AD250" i="1"/>
  <c r="AE250" i="1"/>
  <c r="AB251" i="1"/>
  <c r="AC251" i="1"/>
  <c r="AD251" i="1"/>
  <c r="AE251" i="1"/>
  <c r="AB252" i="1"/>
  <c r="AC252" i="1"/>
  <c r="AD252" i="1"/>
  <c r="AE252" i="1"/>
  <c r="AB253" i="1"/>
  <c r="AC253" i="1"/>
  <c r="AD253" i="1"/>
  <c r="AE253" i="1"/>
  <c r="AB254" i="1"/>
  <c r="AC254" i="1"/>
  <c r="AD254" i="1"/>
  <c r="AE254" i="1"/>
  <c r="AB255" i="1"/>
  <c r="AC255" i="1"/>
  <c r="AD255" i="1"/>
  <c r="AE255" i="1"/>
  <c r="AB256" i="1"/>
  <c r="AC256" i="1"/>
  <c r="AD256" i="1"/>
  <c r="AE256" i="1"/>
  <c r="AB257" i="1"/>
  <c r="AC257" i="1"/>
  <c r="AD257" i="1"/>
  <c r="AE257" i="1"/>
  <c r="AB258" i="1"/>
  <c r="AC258" i="1"/>
  <c r="AD258" i="1"/>
  <c r="AE258" i="1"/>
  <c r="AB259" i="1"/>
  <c r="AC259" i="1"/>
  <c r="AD259" i="1"/>
  <c r="AE259" i="1"/>
  <c r="AB260" i="1"/>
  <c r="AC260" i="1"/>
  <c r="AD260" i="1"/>
  <c r="AE260" i="1"/>
  <c r="AB261" i="1"/>
  <c r="AC261" i="1"/>
  <c r="AD261" i="1"/>
  <c r="AE261" i="1"/>
  <c r="AB262" i="1"/>
  <c r="AC262" i="1"/>
  <c r="AD262" i="1"/>
  <c r="AE262" i="1"/>
  <c r="AB263" i="1"/>
  <c r="AC263" i="1"/>
  <c r="AD263" i="1"/>
  <c r="AE263" i="1"/>
  <c r="AB264" i="1"/>
  <c r="AC264" i="1"/>
  <c r="AD264" i="1"/>
  <c r="AE264" i="1"/>
  <c r="AB265" i="1"/>
  <c r="AC265" i="1"/>
  <c r="AD265" i="1"/>
  <c r="AE265" i="1"/>
  <c r="AB266" i="1"/>
  <c r="AC266" i="1"/>
  <c r="AD266" i="1"/>
  <c r="AE266" i="1"/>
  <c r="AB267" i="1"/>
  <c r="AC267" i="1"/>
  <c r="AD267" i="1"/>
  <c r="AE267" i="1"/>
  <c r="AB268" i="1"/>
  <c r="AC268" i="1"/>
  <c r="AD268" i="1"/>
  <c r="AE268" i="1"/>
  <c r="AB269" i="1"/>
  <c r="AC269" i="1"/>
  <c r="AD269" i="1"/>
  <c r="AE269" i="1"/>
  <c r="AB270" i="1"/>
  <c r="AC270" i="1"/>
  <c r="AD270" i="1"/>
  <c r="AE270" i="1"/>
  <c r="AB271" i="1"/>
  <c r="AC271" i="1"/>
  <c r="AD271" i="1"/>
  <c r="AE271" i="1"/>
  <c r="AB272" i="1"/>
  <c r="AC272" i="1"/>
  <c r="AD272" i="1"/>
  <c r="AE272" i="1"/>
  <c r="AB273" i="1"/>
  <c r="AC273" i="1"/>
  <c r="AD273" i="1"/>
  <c r="AE273" i="1"/>
  <c r="AB274" i="1"/>
  <c r="AC274" i="1"/>
  <c r="AD274" i="1"/>
  <c r="AE274" i="1"/>
  <c r="AB275" i="1"/>
  <c r="AC275" i="1"/>
  <c r="AD275" i="1"/>
  <c r="AE275" i="1"/>
  <c r="AB276" i="1"/>
  <c r="AC276" i="1"/>
  <c r="AD276" i="1"/>
  <c r="AE276" i="1"/>
  <c r="AB277" i="1"/>
  <c r="AC277" i="1"/>
  <c r="AD277" i="1"/>
  <c r="AE277" i="1"/>
  <c r="AB278" i="1"/>
  <c r="AC278" i="1"/>
  <c r="AD278" i="1"/>
  <c r="AE278" i="1"/>
  <c r="AB279" i="1"/>
  <c r="AC279" i="1"/>
  <c r="AD279" i="1"/>
  <c r="AE279" i="1"/>
  <c r="AB280" i="1"/>
  <c r="AC280" i="1"/>
  <c r="AD280" i="1"/>
  <c r="AE280" i="1"/>
  <c r="AB281" i="1"/>
  <c r="AC281" i="1"/>
  <c r="AD281" i="1"/>
  <c r="AE281" i="1"/>
  <c r="AB282" i="1"/>
  <c r="AC282" i="1"/>
  <c r="AD282" i="1"/>
  <c r="AE282" i="1"/>
  <c r="AB283" i="1"/>
  <c r="AC283" i="1"/>
  <c r="AD283" i="1"/>
  <c r="AE283" i="1"/>
  <c r="AB284" i="1"/>
  <c r="AC284" i="1"/>
  <c r="AD284" i="1"/>
  <c r="AE284" i="1"/>
  <c r="AB285" i="1"/>
  <c r="AC285" i="1"/>
  <c r="AD285" i="1"/>
  <c r="AE285" i="1"/>
  <c r="AB286" i="1"/>
  <c r="AC286" i="1"/>
  <c r="AD286" i="1"/>
  <c r="AE286" i="1"/>
  <c r="AB287" i="1"/>
  <c r="AC287" i="1"/>
  <c r="AD287" i="1"/>
  <c r="AE287" i="1"/>
  <c r="AB288" i="1"/>
  <c r="AC288" i="1"/>
  <c r="AD288" i="1"/>
  <c r="AE288" i="1"/>
  <c r="AB289" i="1"/>
  <c r="AC289" i="1"/>
  <c r="AD289" i="1"/>
  <c r="AE289" i="1"/>
  <c r="AB290" i="1"/>
  <c r="AC290" i="1"/>
  <c r="AD290" i="1"/>
  <c r="AE290" i="1"/>
  <c r="AB291" i="1"/>
  <c r="AC291" i="1"/>
  <c r="AD291" i="1"/>
  <c r="AE291" i="1"/>
  <c r="AB292" i="1"/>
  <c r="AC292" i="1"/>
  <c r="AD292" i="1"/>
  <c r="AE292" i="1"/>
  <c r="AB293" i="1"/>
  <c r="AC293" i="1"/>
  <c r="AD293" i="1"/>
  <c r="AE293" i="1"/>
  <c r="AB294" i="1"/>
  <c r="AC294" i="1"/>
  <c r="AD294" i="1"/>
  <c r="AE294" i="1"/>
  <c r="AB295" i="1"/>
  <c r="AC295" i="1"/>
  <c r="AD295" i="1"/>
  <c r="AE295" i="1"/>
  <c r="AB296" i="1"/>
  <c r="AC296" i="1"/>
  <c r="AD296" i="1"/>
  <c r="AE296" i="1"/>
  <c r="AB297" i="1"/>
  <c r="AC297" i="1"/>
  <c r="AD297" i="1"/>
  <c r="AE297" i="1"/>
  <c r="AB298" i="1"/>
  <c r="AC298" i="1"/>
  <c r="AD298" i="1"/>
  <c r="AE298" i="1"/>
  <c r="AB299" i="1"/>
  <c r="AC299" i="1"/>
  <c r="AD299" i="1"/>
  <c r="AE299" i="1"/>
  <c r="AB300" i="1"/>
  <c r="AC300" i="1"/>
  <c r="AD300" i="1"/>
  <c r="AE300" i="1"/>
  <c r="AB301" i="1"/>
  <c r="AC301" i="1"/>
  <c r="AD301" i="1"/>
  <c r="AE301" i="1"/>
  <c r="AB302" i="1"/>
  <c r="AC302" i="1"/>
  <c r="AD302" i="1"/>
  <c r="AE302" i="1"/>
  <c r="AB303" i="1"/>
  <c r="AC303" i="1"/>
  <c r="AD303" i="1"/>
  <c r="AE303" i="1"/>
  <c r="AB304" i="1"/>
  <c r="AC304" i="1"/>
  <c r="AD304" i="1"/>
  <c r="AE304" i="1"/>
  <c r="AB305" i="1"/>
  <c r="AC305" i="1"/>
  <c r="AD305" i="1"/>
  <c r="AE305" i="1"/>
  <c r="AB306" i="1"/>
  <c r="AC306" i="1"/>
  <c r="AD306" i="1"/>
  <c r="AE306" i="1"/>
  <c r="AB307" i="1"/>
  <c r="AC307" i="1"/>
  <c r="AD307" i="1"/>
  <c r="AE307" i="1"/>
  <c r="AB308" i="1"/>
  <c r="AC308" i="1"/>
  <c r="AD308" i="1"/>
  <c r="AE308" i="1"/>
  <c r="AB309" i="1"/>
  <c r="AC309" i="1"/>
  <c r="AD309" i="1"/>
  <c r="AE309" i="1"/>
  <c r="AB310" i="1"/>
  <c r="AC310" i="1"/>
  <c r="AD310" i="1"/>
  <c r="AE310" i="1"/>
  <c r="AB311" i="1"/>
  <c r="AC311" i="1"/>
  <c r="AD311" i="1"/>
  <c r="AE311" i="1"/>
  <c r="AB312" i="1"/>
  <c r="AC312" i="1"/>
  <c r="AD312" i="1"/>
  <c r="AE312" i="1"/>
  <c r="AB313" i="1"/>
  <c r="AC313" i="1"/>
  <c r="AD313" i="1"/>
  <c r="AE313" i="1"/>
  <c r="AB314" i="1"/>
  <c r="AC314" i="1"/>
  <c r="AD314" i="1"/>
  <c r="AE314" i="1"/>
  <c r="AB315" i="1"/>
  <c r="AC315" i="1"/>
  <c r="AD315" i="1"/>
  <c r="AE315" i="1"/>
  <c r="AB316" i="1"/>
  <c r="AC316" i="1"/>
  <c r="AD316" i="1"/>
  <c r="AE316" i="1"/>
  <c r="AB317" i="1"/>
  <c r="AC317" i="1"/>
  <c r="AD317" i="1"/>
  <c r="AE317" i="1"/>
  <c r="AB318" i="1"/>
  <c r="AC318" i="1"/>
  <c r="AD318" i="1"/>
  <c r="AE318" i="1"/>
  <c r="AB319" i="1"/>
  <c r="AC319" i="1"/>
  <c r="AD319" i="1"/>
  <c r="AE319" i="1"/>
  <c r="AB320" i="1"/>
  <c r="AC320" i="1"/>
  <c r="AD320" i="1"/>
  <c r="AE320" i="1"/>
  <c r="AB321" i="1"/>
  <c r="AC321" i="1"/>
  <c r="AD321" i="1"/>
  <c r="AE321" i="1"/>
  <c r="AB322" i="1"/>
  <c r="AC322" i="1"/>
  <c r="AD322" i="1"/>
  <c r="AE322" i="1"/>
  <c r="AB323" i="1"/>
  <c r="AC323" i="1"/>
  <c r="AD323" i="1"/>
  <c r="AE323" i="1"/>
  <c r="AB324" i="1"/>
  <c r="AC324" i="1"/>
  <c r="AD324" i="1"/>
  <c r="AE324" i="1"/>
  <c r="AB325" i="1"/>
  <c r="AC325" i="1"/>
  <c r="AD325" i="1"/>
  <c r="AE325" i="1"/>
  <c r="AB326" i="1"/>
  <c r="AC326" i="1"/>
  <c r="AD326" i="1"/>
  <c r="AE326" i="1"/>
  <c r="AB327" i="1"/>
  <c r="AC327" i="1"/>
  <c r="AD327" i="1"/>
  <c r="AE327" i="1"/>
  <c r="AB328" i="1"/>
  <c r="AC328" i="1"/>
  <c r="AD328" i="1"/>
  <c r="AE328" i="1"/>
  <c r="AB329" i="1"/>
  <c r="AC329" i="1"/>
  <c r="AD329" i="1"/>
  <c r="AE329" i="1"/>
  <c r="AB330" i="1"/>
  <c r="AC330" i="1"/>
  <c r="AD330" i="1"/>
  <c r="AE330" i="1"/>
  <c r="AB331" i="1"/>
  <c r="AC331" i="1"/>
  <c r="AD331" i="1"/>
  <c r="AE331" i="1"/>
  <c r="AB332" i="1"/>
  <c r="AC332" i="1"/>
  <c r="AD332" i="1"/>
  <c r="AE332" i="1"/>
  <c r="AB333" i="1"/>
  <c r="AC333" i="1"/>
  <c r="AD333" i="1"/>
  <c r="AE333" i="1"/>
  <c r="AB334" i="1"/>
  <c r="AC334" i="1"/>
  <c r="AD334" i="1"/>
  <c r="AE334" i="1"/>
  <c r="AB335" i="1"/>
  <c r="AC335" i="1"/>
  <c r="AD335" i="1"/>
  <c r="AE335" i="1"/>
  <c r="AB336" i="1"/>
  <c r="AC336" i="1"/>
  <c r="AD336" i="1"/>
  <c r="AE336" i="1"/>
  <c r="AB337" i="1"/>
  <c r="AC337" i="1"/>
  <c r="AD337" i="1"/>
  <c r="AE337" i="1"/>
  <c r="AB338" i="1"/>
  <c r="AC338" i="1"/>
  <c r="AD338" i="1"/>
  <c r="AE338" i="1"/>
  <c r="AB339" i="1"/>
  <c r="AC339" i="1"/>
  <c r="AD339" i="1"/>
  <c r="AE339" i="1"/>
  <c r="AB340" i="1"/>
  <c r="AC340" i="1"/>
  <c r="AD340" i="1"/>
  <c r="AE340" i="1"/>
  <c r="AB341" i="1"/>
  <c r="AC341" i="1"/>
  <c r="AD341" i="1"/>
  <c r="AE341" i="1"/>
  <c r="AB342" i="1"/>
  <c r="AC342" i="1"/>
  <c r="AD342" i="1"/>
  <c r="AE342" i="1"/>
  <c r="AB343" i="1"/>
  <c r="AC343" i="1"/>
  <c r="AD343" i="1"/>
  <c r="AE343" i="1"/>
  <c r="AB344" i="1"/>
  <c r="AC344" i="1"/>
  <c r="AD344" i="1"/>
  <c r="AE344" i="1"/>
  <c r="AB345" i="1"/>
  <c r="AC345" i="1"/>
  <c r="AD345" i="1"/>
  <c r="AE345" i="1"/>
  <c r="AB346" i="1"/>
  <c r="AC346" i="1"/>
  <c r="AD346" i="1"/>
  <c r="AE346" i="1"/>
  <c r="AB347" i="1"/>
  <c r="AC347" i="1"/>
  <c r="AD347" i="1"/>
  <c r="AE347" i="1"/>
  <c r="AB348" i="1"/>
  <c r="AC348" i="1"/>
  <c r="AD348" i="1"/>
  <c r="AE348" i="1"/>
  <c r="AB349" i="1"/>
  <c r="AC349" i="1"/>
  <c r="AD349" i="1"/>
  <c r="AE349" i="1"/>
  <c r="AB350" i="1"/>
  <c r="AC350" i="1"/>
  <c r="AD350" i="1"/>
  <c r="AE350" i="1"/>
  <c r="AB351" i="1"/>
  <c r="AC351" i="1"/>
  <c r="AD351" i="1"/>
  <c r="AE351" i="1"/>
  <c r="AB352" i="1"/>
  <c r="AC352" i="1"/>
  <c r="AD352" i="1"/>
  <c r="AE352" i="1"/>
  <c r="AB353" i="1"/>
  <c r="AC353" i="1"/>
  <c r="AD353" i="1"/>
  <c r="AE353" i="1"/>
  <c r="AB354" i="1"/>
  <c r="AC354" i="1"/>
  <c r="AD354" i="1"/>
  <c r="AE354" i="1"/>
  <c r="AB355" i="1"/>
  <c r="AC355" i="1"/>
  <c r="AD355" i="1"/>
  <c r="AE355" i="1"/>
  <c r="AB356" i="1"/>
  <c r="AC356" i="1"/>
  <c r="AD356" i="1"/>
  <c r="AE356" i="1"/>
  <c r="AB357" i="1"/>
  <c r="AC357" i="1"/>
  <c r="AD357" i="1"/>
  <c r="AE357" i="1"/>
  <c r="AB358" i="1"/>
  <c r="AC358" i="1"/>
  <c r="AD358" i="1"/>
  <c r="AE358" i="1"/>
  <c r="AB359" i="1"/>
  <c r="AC359" i="1"/>
  <c r="AD359" i="1"/>
  <c r="AE359" i="1"/>
  <c r="AB360" i="1"/>
  <c r="AC360" i="1"/>
  <c r="AD360" i="1"/>
  <c r="AE360" i="1"/>
  <c r="AB361" i="1"/>
  <c r="AC361" i="1"/>
  <c r="AD361" i="1"/>
  <c r="AE361" i="1"/>
  <c r="AB362" i="1"/>
  <c r="AC362" i="1"/>
  <c r="AD362" i="1"/>
  <c r="AE362" i="1"/>
  <c r="AB363" i="1"/>
  <c r="AC363" i="1"/>
  <c r="AD363" i="1"/>
  <c r="AE363" i="1"/>
  <c r="AB364" i="1"/>
  <c r="AC364" i="1"/>
  <c r="AD364" i="1"/>
  <c r="AE364" i="1"/>
  <c r="AB365" i="1"/>
  <c r="AC365" i="1"/>
  <c r="AD365" i="1"/>
  <c r="AE365" i="1"/>
  <c r="AB366" i="1"/>
  <c r="AC366" i="1"/>
  <c r="AD366" i="1"/>
  <c r="AE366" i="1"/>
  <c r="AB367" i="1"/>
  <c r="AC367" i="1"/>
  <c r="AD367" i="1"/>
  <c r="AE367" i="1"/>
  <c r="AB368" i="1"/>
  <c r="AC368" i="1"/>
  <c r="AD368" i="1"/>
  <c r="AE368" i="1"/>
  <c r="AB369" i="1"/>
  <c r="AC369" i="1"/>
  <c r="AD369" i="1"/>
  <c r="AE369" i="1"/>
  <c r="AB370" i="1"/>
  <c r="AC370" i="1"/>
  <c r="AD370" i="1"/>
  <c r="AE370" i="1"/>
  <c r="AB371" i="1"/>
  <c r="AC371" i="1"/>
  <c r="AD371" i="1"/>
  <c r="AE371" i="1"/>
  <c r="AB372" i="1"/>
  <c r="AC372" i="1"/>
  <c r="AD372" i="1"/>
  <c r="AE372" i="1"/>
  <c r="AB373" i="1"/>
  <c r="AC373" i="1"/>
  <c r="AD373" i="1"/>
  <c r="AE373" i="1"/>
  <c r="AB374" i="1"/>
  <c r="AC374" i="1"/>
  <c r="AD374" i="1"/>
  <c r="AE374" i="1"/>
  <c r="AB375" i="1"/>
  <c r="AC375" i="1"/>
  <c r="AD375" i="1"/>
  <c r="AE375" i="1"/>
  <c r="AB376" i="1"/>
  <c r="AC376" i="1"/>
  <c r="AD376" i="1"/>
  <c r="AE376" i="1"/>
  <c r="AB377" i="1"/>
  <c r="AC377" i="1"/>
  <c r="AD377" i="1"/>
  <c r="AE377" i="1"/>
  <c r="AB378" i="1"/>
  <c r="AC378" i="1"/>
  <c r="AD378" i="1"/>
  <c r="AE378" i="1"/>
  <c r="AB379" i="1"/>
  <c r="AC379" i="1"/>
  <c r="AD379" i="1"/>
  <c r="AE379" i="1"/>
  <c r="AB380" i="1"/>
  <c r="AC380" i="1"/>
  <c r="AD380" i="1"/>
  <c r="AE380" i="1"/>
  <c r="AB381" i="1"/>
  <c r="AC381" i="1"/>
  <c r="AD381" i="1"/>
  <c r="AE381" i="1"/>
  <c r="AB382" i="1"/>
  <c r="AC382" i="1"/>
  <c r="AD382" i="1"/>
  <c r="AE382" i="1"/>
  <c r="AB383" i="1"/>
  <c r="AC383" i="1"/>
  <c r="AD383" i="1"/>
  <c r="AE383" i="1"/>
  <c r="AB384" i="1"/>
  <c r="AC384" i="1"/>
  <c r="AD384" i="1"/>
  <c r="AE384" i="1"/>
  <c r="AB385" i="1"/>
  <c r="AC385" i="1"/>
  <c r="AD385" i="1"/>
  <c r="AE385" i="1"/>
  <c r="AB386" i="1"/>
  <c r="AC386" i="1"/>
  <c r="AD386" i="1"/>
  <c r="AE386" i="1"/>
  <c r="AB387" i="1"/>
  <c r="AC387" i="1"/>
  <c r="AD387" i="1"/>
  <c r="AE387" i="1"/>
  <c r="AB388" i="1"/>
  <c r="AC388" i="1"/>
  <c r="AD388" i="1"/>
  <c r="AE388" i="1"/>
  <c r="AB389" i="1"/>
  <c r="AC389" i="1"/>
  <c r="AD389" i="1"/>
  <c r="AE389" i="1"/>
  <c r="AB390" i="1"/>
  <c r="AC390" i="1"/>
  <c r="AD390" i="1"/>
  <c r="AE390" i="1"/>
  <c r="AB391" i="1"/>
  <c r="AC391" i="1"/>
  <c r="AD391" i="1"/>
  <c r="AE391" i="1"/>
  <c r="AB392" i="1"/>
  <c r="AC392" i="1"/>
  <c r="AD392" i="1"/>
  <c r="AE392" i="1"/>
  <c r="AB393" i="1"/>
  <c r="AC393" i="1"/>
  <c r="AD393" i="1"/>
  <c r="AE393" i="1"/>
  <c r="AB394" i="1"/>
  <c r="AC394" i="1"/>
  <c r="AD394" i="1"/>
  <c r="AE394" i="1"/>
  <c r="AB395" i="1"/>
  <c r="AC395" i="1"/>
  <c r="AD395" i="1"/>
  <c r="AE395" i="1"/>
  <c r="AB396" i="1"/>
  <c r="AC396" i="1"/>
  <c r="AD396" i="1"/>
  <c r="AE396" i="1"/>
  <c r="AB397" i="1"/>
  <c r="AC397" i="1"/>
  <c r="AD397" i="1"/>
  <c r="AE397" i="1"/>
  <c r="AB398" i="1"/>
  <c r="AC398" i="1"/>
  <c r="AD398" i="1"/>
  <c r="AE398" i="1"/>
  <c r="AB399" i="1"/>
  <c r="AC399" i="1"/>
  <c r="AD399" i="1"/>
  <c r="AE399" i="1"/>
  <c r="AB400" i="1"/>
  <c r="AC400" i="1"/>
  <c r="AD400" i="1"/>
  <c r="AE400" i="1"/>
  <c r="AB401" i="1"/>
  <c r="AC401" i="1"/>
  <c r="AD401" i="1"/>
  <c r="AE401" i="1"/>
  <c r="AB402" i="1"/>
  <c r="AC402" i="1"/>
  <c r="AD402" i="1"/>
  <c r="AE402" i="1"/>
  <c r="AB403" i="1"/>
  <c r="AC403" i="1"/>
  <c r="AD403" i="1"/>
  <c r="AE403" i="1"/>
  <c r="AB404" i="1"/>
  <c r="AC404" i="1"/>
  <c r="AD404" i="1"/>
  <c r="AE404" i="1"/>
  <c r="AB405" i="1"/>
  <c r="AC405" i="1"/>
  <c r="AD405" i="1"/>
  <c r="AE405" i="1"/>
  <c r="AB406" i="1"/>
  <c r="AC406" i="1"/>
  <c r="AD406" i="1"/>
  <c r="AE406" i="1"/>
  <c r="AB407" i="1"/>
  <c r="AC407" i="1"/>
  <c r="AD407" i="1"/>
  <c r="AE407" i="1"/>
  <c r="AB408" i="1"/>
  <c r="AC408" i="1"/>
  <c r="AD408" i="1"/>
  <c r="AE408" i="1"/>
  <c r="AB409" i="1"/>
  <c r="AC409" i="1"/>
  <c r="AD409" i="1"/>
  <c r="AE409" i="1"/>
  <c r="AB410" i="1"/>
  <c r="AC410" i="1"/>
  <c r="AD410" i="1"/>
  <c r="AE410" i="1"/>
  <c r="AB411" i="1"/>
  <c r="AC411" i="1"/>
  <c r="AD411" i="1"/>
  <c r="AE411" i="1"/>
  <c r="AB412" i="1"/>
  <c r="AC412" i="1"/>
  <c r="AD412" i="1"/>
  <c r="AE412" i="1"/>
  <c r="AB413" i="1"/>
  <c r="AC413" i="1"/>
  <c r="AD413" i="1"/>
  <c r="AE413" i="1"/>
  <c r="AB414" i="1"/>
  <c r="AC414" i="1"/>
  <c r="AD414" i="1"/>
  <c r="AE414" i="1"/>
  <c r="AB415" i="1"/>
  <c r="AC415" i="1"/>
  <c r="AD415" i="1"/>
  <c r="AE415" i="1"/>
  <c r="AB416" i="1"/>
  <c r="AC416" i="1"/>
  <c r="AD416" i="1"/>
  <c r="AE416" i="1"/>
  <c r="AB417" i="1"/>
  <c r="AC417" i="1"/>
  <c r="AD417" i="1"/>
  <c r="AE417" i="1"/>
  <c r="AB418" i="1"/>
  <c r="AC418" i="1"/>
  <c r="AD418" i="1"/>
  <c r="AE418" i="1"/>
  <c r="AB419" i="1"/>
  <c r="AC419" i="1"/>
  <c r="AD419" i="1"/>
  <c r="AE419" i="1"/>
  <c r="AB420" i="1"/>
  <c r="AC420" i="1"/>
  <c r="AD420" i="1"/>
  <c r="AE420" i="1"/>
  <c r="AB421" i="1"/>
  <c r="AC421" i="1"/>
  <c r="AD421" i="1"/>
  <c r="AE421" i="1"/>
  <c r="AB422" i="1"/>
  <c r="AC422" i="1"/>
  <c r="AD422" i="1"/>
  <c r="AE422" i="1"/>
  <c r="AB423" i="1"/>
  <c r="AC423" i="1"/>
  <c r="AD423" i="1"/>
  <c r="AE423" i="1"/>
  <c r="AB424" i="1"/>
  <c r="AC424" i="1"/>
  <c r="AD424" i="1"/>
  <c r="AE424" i="1"/>
  <c r="AB425" i="1"/>
  <c r="AC425" i="1"/>
  <c r="AD425" i="1"/>
  <c r="AE425" i="1"/>
  <c r="AB426" i="1"/>
  <c r="AC426" i="1"/>
  <c r="AD426" i="1"/>
  <c r="AE426" i="1"/>
  <c r="AB427" i="1"/>
  <c r="AC427" i="1"/>
  <c r="AD427" i="1"/>
  <c r="AE427" i="1"/>
  <c r="AB428" i="1"/>
  <c r="AC428" i="1"/>
  <c r="AD428" i="1"/>
  <c r="AE428" i="1"/>
  <c r="AB429" i="1"/>
  <c r="AC429" i="1"/>
  <c r="AD429" i="1"/>
  <c r="AE429" i="1"/>
  <c r="AB430" i="1"/>
  <c r="AC430" i="1"/>
  <c r="AD430" i="1"/>
  <c r="AE430" i="1"/>
  <c r="AB431" i="1"/>
  <c r="AC431" i="1"/>
  <c r="AD431" i="1"/>
  <c r="AE431" i="1"/>
  <c r="AB432" i="1"/>
  <c r="AC432" i="1"/>
  <c r="AD432" i="1"/>
  <c r="AE432" i="1"/>
  <c r="AB433" i="1"/>
  <c r="AC433" i="1"/>
  <c r="AD433" i="1"/>
  <c r="AE433" i="1"/>
  <c r="AB434" i="1"/>
  <c r="AC434" i="1"/>
  <c r="AD434" i="1"/>
  <c r="AE434" i="1"/>
  <c r="AB435" i="1"/>
  <c r="AC435" i="1"/>
  <c r="AD435" i="1"/>
  <c r="AE435" i="1"/>
  <c r="AB436" i="1"/>
  <c r="AC436" i="1"/>
  <c r="AD436" i="1"/>
  <c r="AE436" i="1"/>
  <c r="AB437" i="1"/>
  <c r="AC437" i="1"/>
  <c r="AD437" i="1"/>
  <c r="AE437" i="1"/>
  <c r="AB438" i="1"/>
  <c r="AC438" i="1"/>
  <c r="AD438" i="1"/>
  <c r="AE438" i="1"/>
  <c r="AB439" i="1"/>
  <c r="AC439" i="1"/>
  <c r="AD439" i="1"/>
  <c r="AE439" i="1"/>
  <c r="AB440" i="1"/>
  <c r="AC440" i="1"/>
  <c r="AD440" i="1"/>
  <c r="AE440" i="1"/>
  <c r="AB441" i="1"/>
  <c r="AC441" i="1"/>
  <c r="AD441" i="1"/>
  <c r="AE441" i="1"/>
  <c r="AB442" i="1"/>
  <c r="AC442" i="1"/>
  <c r="AD442" i="1"/>
  <c r="AE442" i="1"/>
  <c r="AB443" i="1"/>
  <c r="AC443" i="1"/>
  <c r="AD443" i="1"/>
  <c r="AE443" i="1"/>
  <c r="AB444" i="1"/>
  <c r="AC444" i="1"/>
  <c r="AD444" i="1"/>
  <c r="AE444" i="1"/>
  <c r="AB445" i="1"/>
  <c r="AC445" i="1"/>
  <c r="AD445" i="1"/>
  <c r="AE445" i="1"/>
  <c r="AB446" i="1"/>
  <c r="AC446" i="1"/>
  <c r="AD446" i="1"/>
  <c r="AE446" i="1"/>
  <c r="AB447" i="1"/>
  <c r="AC447" i="1"/>
  <c r="AD447" i="1"/>
  <c r="AE447" i="1"/>
  <c r="AB448" i="1"/>
  <c r="AC448" i="1"/>
  <c r="AD448" i="1"/>
  <c r="AE448" i="1"/>
  <c r="AB449" i="1"/>
  <c r="AC449" i="1"/>
  <c r="AD449" i="1"/>
  <c r="AE449" i="1"/>
  <c r="AB450" i="1"/>
  <c r="AC450" i="1"/>
  <c r="AD450" i="1"/>
  <c r="AE450" i="1"/>
  <c r="AB451" i="1"/>
  <c r="AC451" i="1"/>
  <c r="AD451" i="1"/>
  <c r="AE451" i="1"/>
  <c r="AB452" i="1"/>
  <c r="AC452" i="1"/>
  <c r="AD452" i="1"/>
  <c r="AE452" i="1"/>
  <c r="AB453" i="1"/>
  <c r="AC453" i="1"/>
  <c r="AD453" i="1"/>
  <c r="AE453" i="1"/>
  <c r="AB454" i="1"/>
  <c r="AC454" i="1"/>
  <c r="AD454" i="1"/>
  <c r="AE454" i="1"/>
  <c r="AB455" i="1"/>
  <c r="AC455" i="1"/>
  <c r="AD455" i="1"/>
  <c r="AE455" i="1"/>
  <c r="AB456" i="1"/>
  <c r="AC456" i="1"/>
  <c r="AD456" i="1"/>
  <c r="AE456" i="1"/>
  <c r="AB457" i="1"/>
  <c r="AC457" i="1"/>
  <c r="AD457" i="1"/>
  <c r="AE457" i="1"/>
  <c r="AB458" i="1"/>
  <c r="AC458" i="1"/>
  <c r="AD458" i="1"/>
  <c r="AE458" i="1"/>
  <c r="AB459" i="1"/>
  <c r="AC459" i="1"/>
  <c r="AD459" i="1"/>
  <c r="AE459" i="1"/>
  <c r="AB460" i="1"/>
  <c r="AC460" i="1"/>
  <c r="AD460" i="1"/>
  <c r="AE460" i="1"/>
  <c r="AB461" i="1"/>
  <c r="AC461" i="1"/>
  <c r="AD461" i="1"/>
  <c r="AE461" i="1"/>
  <c r="AB462" i="1"/>
  <c r="AC462" i="1"/>
  <c r="AD462" i="1"/>
  <c r="AE462" i="1"/>
  <c r="AB463" i="1"/>
  <c r="AC463" i="1"/>
  <c r="AD463" i="1"/>
  <c r="AE463" i="1"/>
  <c r="AB464" i="1"/>
  <c r="AC464" i="1"/>
  <c r="AD464" i="1"/>
  <c r="AE464" i="1"/>
  <c r="AB465" i="1"/>
  <c r="AC465" i="1"/>
  <c r="AD465" i="1"/>
  <c r="AE465" i="1"/>
  <c r="AB466" i="1"/>
  <c r="AC466" i="1"/>
  <c r="AD466" i="1"/>
  <c r="AE466" i="1"/>
  <c r="AB467" i="1"/>
  <c r="AC467" i="1"/>
  <c r="AD467" i="1"/>
  <c r="AE467" i="1"/>
  <c r="AB468" i="1"/>
  <c r="AC468" i="1"/>
  <c r="AD468" i="1"/>
  <c r="AE468" i="1"/>
  <c r="AB469" i="1"/>
  <c r="AC469" i="1"/>
  <c r="AD469" i="1"/>
  <c r="AE469" i="1"/>
  <c r="AB470" i="1"/>
  <c r="AC470" i="1"/>
  <c r="AD470" i="1"/>
  <c r="AE470" i="1"/>
  <c r="AB471" i="1"/>
  <c r="AC471" i="1"/>
  <c r="AD471" i="1"/>
  <c r="AE471" i="1"/>
  <c r="AB472" i="1"/>
  <c r="AC472" i="1"/>
  <c r="AD472" i="1"/>
  <c r="AE472" i="1"/>
  <c r="AB473" i="1"/>
  <c r="AC473" i="1"/>
  <c r="AD473" i="1"/>
  <c r="AE473" i="1"/>
  <c r="AB474" i="1"/>
  <c r="AC474" i="1"/>
  <c r="AD474" i="1"/>
  <c r="AE474" i="1"/>
  <c r="AB475" i="1"/>
  <c r="AC475" i="1"/>
  <c r="AD475" i="1"/>
  <c r="AE475" i="1"/>
  <c r="AB476" i="1"/>
  <c r="AC476" i="1"/>
  <c r="AD476" i="1"/>
  <c r="AE476" i="1"/>
  <c r="AB477" i="1"/>
  <c r="AC477" i="1"/>
  <c r="AD477" i="1"/>
  <c r="AE477" i="1"/>
  <c r="AB478" i="1"/>
  <c r="AC478" i="1"/>
  <c r="AD478" i="1"/>
  <c r="AE478" i="1"/>
  <c r="AB479" i="1"/>
  <c r="AC479" i="1"/>
  <c r="AD479" i="1"/>
  <c r="AE479" i="1"/>
  <c r="AB480" i="1"/>
  <c r="AC480" i="1"/>
  <c r="AD480" i="1"/>
  <c r="AE480" i="1"/>
  <c r="AB481" i="1"/>
  <c r="AC481" i="1"/>
  <c r="AD481" i="1"/>
  <c r="AE481" i="1"/>
  <c r="AB482" i="1"/>
  <c r="AC482" i="1"/>
  <c r="AD482" i="1"/>
  <c r="AE482" i="1"/>
  <c r="AB483" i="1"/>
  <c r="AC483" i="1"/>
  <c r="AD483" i="1"/>
  <c r="AE483" i="1"/>
  <c r="AB484" i="1"/>
  <c r="AC484" i="1"/>
  <c r="AD484" i="1"/>
  <c r="AE484" i="1"/>
  <c r="AB485" i="1"/>
  <c r="AC485" i="1"/>
  <c r="AD485" i="1"/>
  <c r="AE485" i="1"/>
  <c r="AB486" i="1"/>
  <c r="AC486" i="1"/>
  <c r="AD486" i="1"/>
  <c r="AE486" i="1"/>
  <c r="AB487" i="1"/>
  <c r="AC487" i="1"/>
  <c r="AD487" i="1"/>
  <c r="AE487" i="1"/>
  <c r="AB488" i="1"/>
  <c r="AC488" i="1"/>
  <c r="AD488" i="1"/>
  <c r="AE488" i="1"/>
  <c r="AB489" i="1"/>
  <c r="AC489" i="1"/>
  <c r="AD489" i="1"/>
  <c r="AE489" i="1"/>
  <c r="AB490" i="1"/>
  <c r="AC490" i="1"/>
  <c r="AD490" i="1"/>
  <c r="AE490" i="1"/>
  <c r="AB491" i="1"/>
  <c r="AC491" i="1"/>
  <c r="AD491" i="1"/>
  <c r="AE491" i="1"/>
  <c r="AB492" i="1"/>
  <c r="AC492" i="1"/>
  <c r="AD492" i="1"/>
  <c r="AE492" i="1"/>
  <c r="AB493" i="1"/>
  <c r="AC493" i="1"/>
  <c r="AD493" i="1"/>
  <c r="AE493" i="1"/>
  <c r="AB494" i="1"/>
  <c r="AC494" i="1"/>
  <c r="AD494" i="1"/>
  <c r="AE494" i="1"/>
  <c r="AB495" i="1"/>
  <c r="AC495" i="1"/>
  <c r="AD495" i="1"/>
  <c r="AE495" i="1"/>
  <c r="AB496" i="1"/>
  <c r="AC496" i="1"/>
  <c r="AD496" i="1"/>
  <c r="AE496" i="1"/>
  <c r="AB497" i="1"/>
  <c r="AC497" i="1"/>
  <c r="AD497" i="1"/>
  <c r="AE497" i="1"/>
  <c r="AB498" i="1"/>
  <c r="AC498" i="1"/>
  <c r="AD498" i="1"/>
  <c r="AE498" i="1"/>
  <c r="AB499" i="1"/>
  <c r="AC499" i="1"/>
  <c r="AD499" i="1"/>
  <c r="AE499" i="1"/>
  <c r="AB500" i="1"/>
  <c r="AC500" i="1"/>
  <c r="AD500" i="1"/>
  <c r="AE500" i="1"/>
  <c r="AB501" i="1"/>
  <c r="AC501" i="1"/>
  <c r="AD501" i="1"/>
  <c r="AE501" i="1"/>
  <c r="AB502" i="1"/>
  <c r="AC502" i="1"/>
  <c r="AD502" i="1"/>
  <c r="AE502" i="1"/>
  <c r="AB503" i="1"/>
  <c r="AC503" i="1"/>
  <c r="AD503" i="1"/>
  <c r="AE503" i="1"/>
  <c r="AB504" i="1"/>
  <c r="AC504" i="1"/>
  <c r="AD504" i="1"/>
  <c r="AE504" i="1"/>
  <c r="AB505" i="1"/>
  <c r="AC505" i="1"/>
  <c r="AD505" i="1"/>
  <c r="AE505" i="1"/>
  <c r="AB506" i="1"/>
  <c r="AC506" i="1"/>
  <c r="AD506" i="1"/>
  <c r="AE506" i="1"/>
  <c r="AB507" i="1"/>
  <c r="AC507" i="1"/>
  <c r="AD507" i="1"/>
  <c r="AE507" i="1"/>
  <c r="AB508" i="1"/>
  <c r="AC508" i="1"/>
  <c r="AD508" i="1"/>
  <c r="AE508" i="1"/>
  <c r="AB509" i="1"/>
  <c r="AC509" i="1"/>
  <c r="AD509" i="1"/>
  <c r="AE509" i="1"/>
  <c r="AB510" i="1"/>
  <c r="AC510" i="1"/>
  <c r="AD510" i="1"/>
  <c r="AE510" i="1"/>
  <c r="AB511" i="1"/>
  <c r="AC511" i="1"/>
  <c r="AD511" i="1"/>
  <c r="AE511" i="1"/>
  <c r="AB512" i="1"/>
  <c r="AC512" i="1"/>
  <c r="AD512" i="1"/>
  <c r="AE512" i="1"/>
  <c r="AB513" i="1"/>
  <c r="AC513" i="1"/>
  <c r="AD513" i="1"/>
  <c r="AE513" i="1"/>
  <c r="AB514" i="1"/>
  <c r="AC514" i="1"/>
  <c r="AD514" i="1"/>
  <c r="AE514" i="1"/>
  <c r="AB515" i="1"/>
  <c r="AC515" i="1"/>
  <c r="AD515" i="1"/>
  <c r="AE515" i="1"/>
  <c r="AB516" i="1"/>
  <c r="AC516" i="1"/>
  <c r="AD516" i="1"/>
  <c r="AE516" i="1"/>
  <c r="AB517" i="1"/>
  <c r="AC517" i="1"/>
  <c r="AD517" i="1"/>
  <c r="AE517" i="1"/>
  <c r="AB518" i="1"/>
  <c r="AC518" i="1"/>
  <c r="AD518" i="1"/>
  <c r="AE518" i="1"/>
  <c r="AB519" i="1"/>
  <c r="AC519" i="1"/>
  <c r="AD519" i="1"/>
  <c r="AE519" i="1"/>
  <c r="AB520" i="1"/>
  <c r="AC520" i="1"/>
  <c r="AD520" i="1"/>
  <c r="AE520" i="1"/>
  <c r="AB521" i="1"/>
  <c r="AC521" i="1"/>
  <c r="AD521" i="1"/>
  <c r="AE521" i="1"/>
  <c r="AB522" i="1"/>
  <c r="AC522" i="1"/>
  <c r="AD522" i="1"/>
  <c r="AE522" i="1"/>
  <c r="AB523" i="1"/>
  <c r="AC523" i="1"/>
  <c r="AD523" i="1"/>
  <c r="AE523" i="1"/>
  <c r="AB524" i="1"/>
  <c r="AC524" i="1"/>
  <c r="AD524" i="1"/>
  <c r="AE524" i="1"/>
  <c r="AB525" i="1"/>
  <c r="AC525" i="1"/>
  <c r="AD525" i="1"/>
  <c r="AE525" i="1"/>
  <c r="AB526" i="1"/>
  <c r="AC526" i="1"/>
  <c r="AD526" i="1"/>
  <c r="AE526" i="1"/>
  <c r="AB527" i="1"/>
  <c r="AC527" i="1"/>
  <c r="AD527" i="1"/>
  <c r="AE527" i="1"/>
  <c r="AB528" i="1"/>
  <c r="AC528" i="1"/>
  <c r="AD528" i="1"/>
  <c r="AE528" i="1"/>
  <c r="AB529" i="1"/>
  <c r="AC529" i="1"/>
  <c r="AD529" i="1"/>
  <c r="AE529" i="1"/>
  <c r="AB530" i="1"/>
  <c r="AC530" i="1"/>
  <c r="AD530" i="1"/>
  <c r="AE530" i="1"/>
  <c r="AB531" i="1"/>
  <c r="AC531" i="1"/>
  <c r="AD531" i="1"/>
  <c r="AE531" i="1"/>
  <c r="AB532" i="1"/>
  <c r="AC532" i="1"/>
  <c r="AD532" i="1"/>
  <c r="AE532" i="1"/>
  <c r="AB533" i="1"/>
  <c r="AC533" i="1"/>
  <c r="AD533" i="1"/>
  <c r="AE533" i="1"/>
  <c r="AB534" i="1"/>
  <c r="AC534" i="1"/>
  <c r="AD534" i="1"/>
  <c r="AE534" i="1"/>
  <c r="AB535" i="1"/>
  <c r="AC535" i="1"/>
  <c r="AD535" i="1"/>
  <c r="AE535" i="1"/>
  <c r="AB536" i="1"/>
  <c r="AC536" i="1"/>
  <c r="AD536" i="1"/>
  <c r="AE536" i="1"/>
  <c r="AB537" i="1"/>
  <c r="AC537" i="1"/>
  <c r="AD537" i="1"/>
  <c r="AE537" i="1"/>
  <c r="AB538" i="1"/>
  <c r="AC538" i="1"/>
  <c r="AD538" i="1"/>
  <c r="AE538" i="1"/>
  <c r="AB539" i="1"/>
  <c r="AC539" i="1"/>
  <c r="AD539" i="1"/>
  <c r="AE539" i="1"/>
  <c r="AB540" i="1"/>
  <c r="AC540" i="1"/>
  <c r="AD540" i="1"/>
  <c r="AE540" i="1"/>
  <c r="AB541" i="1"/>
  <c r="AC541" i="1"/>
  <c r="AD541" i="1"/>
  <c r="AE541" i="1"/>
  <c r="AB542" i="1"/>
  <c r="AC542" i="1"/>
  <c r="AD542" i="1"/>
  <c r="AE542" i="1"/>
  <c r="AB543" i="1"/>
  <c r="AC543" i="1"/>
  <c r="AD543" i="1"/>
  <c r="AE543" i="1"/>
  <c r="AB544" i="1"/>
  <c r="AC544" i="1"/>
  <c r="AD544" i="1"/>
  <c r="AE544" i="1"/>
  <c r="AB545" i="1"/>
  <c r="AC545" i="1"/>
  <c r="AD545" i="1"/>
  <c r="AE545" i="1"/>
  <c r="AB546" i="1"/>
  <c r="AC546" i="1"/>
  <c r="AD546" i="1"/>
  <c r="AE546" i="1"/>
  <c r="AB547" i="1"/>
  <c r="AC547" i="1"/>
  <c r="AD547" i="1"/>
  <c r="AE547" i="1"/>
  <c r="AB548" i="1"/>
  <c r="AC548" i="1"/>
  <c r="AD548" i="1"/>
  <c r="AE548" i="1"/>
  <c r="AB549" i="1"/>
  <c r="AC549" i="1"/>
  <c r="AD549" i="1"/>
  <c r="AE549" i="1"/>
  <c r="AB550" i="1"/>
  <c r="AC550" i="1"/>
  <c r="AD550" i="1"/>
  <c r="AE550" i="1"/>
  <c r="AB551" i="1"/>
  <c r="AC551" i="1"/>
  <c r="AD551" i="1"/>
  <c r="AE551" i="1"/>
  <c r="AB552" i="1"/>
  <c r="AC552" i="1"/>
  <c r="AD552" i="1"/>
  <c r="AE552" i="1"/>
  <c r="AB553" i="1"/>
  <c r="AC553" i="1"/>
  <c r="AD553" i="1"/>
  <c r="AE553" i="1"/>
  <c r="AB554" i="1"/>
  <c r="AC554" i="1"/>
  <c r="AD554" i="1"/>
  <c r="AE554" i="1"/>
  <c r="AB555" i="1"/>
  <c r="AC555" i="1"/>
  <c r="AD555" i="1"/>
  <c r="AE555" i="1"/>
  <c r="AB556" i="1"/>
  <c r="AC556" i="1"/>
  <c r="AD556" i="1"/>
  <c r="AE556" i="1"/>
  <c r="AB557" i="1"/>
  <c r="AC557" i="1"/>
  <c r="AD557" i="1"/>
  <c r="AE557" i="1"/>
  <c r="AB558" i="1"/>
  <c r="AC558" i="1"/>
  <c r="AD558" i="1"/>
  <c r="AE558" i="1"/>
  <c r="AB559" i="1"/>
  <c r="AC559" i="1"/>
  <c r="AD559" i="1"/>
  <c r="AE559" i="1"/>
  <c r="AB560" i="1"/>
  <c r="AC560" i="1"/>
  <c r="AD560" i="1"/>
  <c r="AE560" i="1"/>
  <c r="AB561" i="1"/>
  <c r="AC561" i="1"/>
  <c r="AD561" i="1"/>
  <c r="AE561" i="1"/>
  <c r="AB562" i="1"/>
  <c r="AC562" i="1"/>
  <c r="AD562" i="1"/>
  <c r="AE562" i="1"/>
  <c r="AB563" i="1"/>
  <c r="AC563" i="1"/>
  <c r="AD563" i="1"/>
  <c r="AE563" i="1"/>
  <c r="AB564" i="1"/>
  <c r="AC564" i="1"/>
  <c r="AD564" i="1"/>
  <c r="AE564" i="1"/>
  <c r="AB565" i="1"/>
  <c r="AC565" i="1"/>
  <c r="AD565" i="1"/>
  <c r="AE565" i="1"/>
  <c r="AB566" i="1"/>
  <c r="AC566" i="1"/>
  <c r="AD566" i="1"/>
  <c r="AE566" i="1"/>
  <c r="AB567" i="1"/>
  <c r="AC567" i="1"/>
  <c r="AD567" i="1"/>
  <c r="AE567" i="1"/>
  <c r="AB568" i="1"/>
  <c r="AC568" i="1"/>
  <c r="AD568" i="1"/>
  <c r="AE568" i="1"/>
  <c r="AB569" i="1"/>
  <c r="AC569" i="1"/>
  <c r="AD569" i="1"/>
  <c r="AE569" i="1"/>
  <c r="AB570" i="1"/>
  <c r="AC570" i="1"/>
  <c r="AD570" i="1"/>
  <c r="AE570" i="1"/>
  <c r="AB571" i="1"/>
  <c r="AC571" i="1"/>
  <c r="AD571" i="1"/>
  <c r="AE571" i="1"/>
  <c r="AB572" i="1"/>
  <c r="AC572" i="1"/>
  <c r="AD572" i="1"/>
  <c r="AE572" i="1"/>
  <c r="AB573" i="1"/>
  <c r="AC573" i="1"/>
  <c r="AD573" i="1"/>
  <c r="AE573" i="1"/>
  <c r="AB574" i="1"/>
  <c r="AC574" i="1"/>
  <c r="AD574" i="1"/>
  <c r="AE574" i="1"/>
  <c r="AB575" i="1"/>
  <c r="AC575" i="1"/>
  <c r="AD575" i="1"/>
  <c r="AE575" i="1"/>
  <c r="AB576" i="1"/>
  <c r="AC576" i="1"/>
  <c r="AD576" i="1"/>
  <c r="AE576" i="1"/>
  <c r="AB577" i="1"/>
  <c r="AC577" i="1"/>
  <c r="AD577" i="1"/>
  <c r="AE577" i="1"/>
  <c r="AB578" i="1"/>
  <c r="AC578" i="1"/>
  <c r="AD578" i="1"/>
  <c r="AE578" i="1"/>
  <c r="AB579" i="1"/>
  <c r="AC579" i="1"/>
  <c r="AD579" i="1"/>
  <c r="AE579" i="1"/>
  <c r="AB580" i="1"/>
  <c r="AC580" i="1"/>
  <c r="AD580" i="1"/>
  <c r="AE580" i="1"/>
  <c r="AB581" i="1"/>
  <c r="AC581" i="1"/>
  <c r="AD581" i="1"/>
  <c r="AE581" i="1"/>
  <c r="AB582" i="1"/>
  <c r="AC582" i="1"/>
  <c r="AD582" i="1"/>
  <c r="AE582" i="1"/>
  <c r="AB583" i="1"/>
  <c r="AC583" i="1"/>
  <c r="AD583" i="1"/>
  <c r="AE583" i="1"/>
  <c r="AB584" i="1"/>
  <c r="AC584" i="1"/>
  <c r="AD584" i="1"/>
  <c r="AE584" i="1"/>
  <c r="AB585" i="1"/>
  <c r="AC585" i="1"/>
  <c r="AD585" i="1"/>
  <c r="AE585" i="1"/>
  <c r="AB586" i="1"/>
  <c r="AC586" i="1"/>
  <c r="AD586" i="1"/>
  <c r="AE586" i="1"/>
  <c r="AB587" i="1"/>
  <c r="AC587" i="1"/>
  <c r="AD587" i="1"/>
  <c r="AE587" i="1"/>
  <c r="AB588" i="1"/>
  <c r="AC588" i="1"/>
  <c r="AD588" i="1"/>
  <c r="AE588" i="1"/>
  <c r="AB589" i="1"/>
  <c r="AC589" i="1"/>
  <c r="AD589" i="1"/>
  <c r="AE589" i="1"/>
  <c r="AB590" i="1"/>
  <c r="AC590" i="1"/>
  <c r="AD590" i="1"/>
  <c r="AE590" i="1"/>
  <c r="AB591" i="1"/>
  <c r="AC591" i="1"/>
  <c r="AD591" i="1"/>
  <c r="AE591" i="1"/>
  <c r="AB592" i="1"/>
  <c r="AC592" i="1"/>
  <c r="AD592" i="1"/>
  <c r="AE592" i="1"/>
  <c r="AB593" i="1"/>
  <c r="AC593" i="1"/>
  <c r="AD593" i="1"/>
  <c r="AE593" i="1"/>
  <c r="AB594" i="1"/>
  <c r="AC594" i="1"/>
  <c r="AD594" i="1"/>
  <c r="AE594" i="1"/>
  <c r="AB595" i="1"/>
  <c r="AC595" i="1"/>
  <c r="AD595" i="1"/>
  <c r="AE595" i="1"/>
  <c r="AB596" i="1"/>
  <c r="AC596" i="1"/>
  <c r="AD596" i="1"/>
  <c r="AE596" i="1"/>
  <c r="AB597" i="1"/>
  <c r="AC597" i="1"/>
  <c r="AD597" i="1"/>
  <c r="AE597" i="1"/>
  <c r="AB598" i="1"/>
  <c r="AC598" i="1"/>
  <c r="AD598" i="1"/>
  <c r="AE598" i="1"/>
  <c r="AB599" i="1"/>
  <c r="AC599" i="1"/>
  <c r="AD599" i="1"/>
  <c r="AE599" i="1"/>
  <c r="AB600" i="1"/>
  <c r="AC600" i="1"/>
  <c r="AD600" i="1"/>
  <c r="AE600" i="1"/>
  <c r="AB601" i="1"/>
  <c r="AC601" i="1"/>
  <c r="AD601" i="1"/>
  <c r="AE601" i="1"/>
  <c r="AB602" i="1"/>
  <c r="AC602" i="1"/>
  <c r="AD602" i="1"/>
  <c r="AE602" i="1"/>
  <c r="AB603" i="1"/>
  <c r="AC603" i="1"/>
  <c r="AD603" i="1"/>
  <c r="AE603" i="1"/>
  <c r="AB604" i="1"/>
  <c r="AC604" i="1"/>
  <c r="AD604" i="1"/>
  <c r="AE604" i="1"/>
  <c r="AB605" i="1"/>
  <c r="AC605" i="1"/>
  <c r="AD605" i="1"/>
  <c r="AE605" i="1"/>
  <c r="AB606" i="1"/>
  <c r="AC606" i="1"/>
  <c r="AD606" i="1"/>
  <c r="AE606" i="1"/>
  <c r="AB607" i="1"/>
  <c r="AC607" i="1"/>
  <c r="AD607" i="1"/>
  <c r="AE607" i="1"/>
  <c r="AB608" i="1"/>
  <c r="AC608" i="1"/>
  <c r="AD608" i="1"/>
  <c r="AE608" i="1"/>
  <c r="AB609" i="1"/>
  <c r="AC609" i="1"/>
  <c r="AD609" i="1"/>
  <c r="AE609" i="1"/>
  <c r="AB610" i="1"/>
  <c r="AC610" i="1"/>
  <c r="AD610" i="1"/>
  <c r="AE610" i="1"/>
  <c r="AB611" i="1"/>
  <c r="AC611" i="1"/>
  <c r="AD611" i="1"/>
  <c r="AE611" i="1"/>
  <c r="AB612" i="1"/>
  <c r="AC612" i="1"/>
  <c r="AD612" i="1"/>
  <c r="AE612" i="1"/>
  <c r="AB613" i="1"/>
  <c r="AC613" i="1"/>
  <c r="AD613" i="1"/>
  <c r="AE613" i="1"/>
  <c r="AB614" i="1"/>
  <c r="AC614" i="1"/>
  <c r="AD614" i="1"/>
  <c r="AE614" i="1"/>
  <c r="AB615" i="1"/>
  <c r="AC615" i="1"/>
  <c r="AD615" i="1"/>
  <c r="AE615" i="1"/>
  <c r="AB616" i="1"/>
  <c r="AC616" i="1"/>
  <c r="AD616" i="1"/>
  <c r="AE616" i="1"/>
  <c r="AB617" i="1"/>
  <c r="AC617" i="1"/>
  <c r="AD617" i="1"/>
  <c r="AE617" i="1"/>
  <c r="AB618" i="1"/>
  <c r="AC618" i="1"/>
  <c r="AD618" i="1"/>
  <c r="AE618" i="1"/>
  <c r="AB619" i="1"/>
  <c r="AC619" i="1"/>
  <c r="AD619" i="1"/>
  <c r="AE619" i="1"/>
  <c r="AB620" i="1"/>
  <c r="AC620" i="1"/>
  <c r="AD620" i="1"/>
  <c r="AE620" i="1"/>
  <c r="AB621" i="1"/>
  <c r="AC621" i="1"/>
  <c r="AD621" i="1"/>
  <c r="AE621" i="1"/>
  <c r="AB622" i="1"/>
  <c r="AC622" i="1"/>
  <c r="AD622" i="1"/>
  <c r="AE622" i="1"/>
  <c r="AB623" i="1"/>
  <c r="AC623" i="1"/>
  <c r="AD623" i="1"/>
  <c r="AE623" i="1"/>
  <c r="AB624" i="1"/>
  <c r="AC624" i="1"/>
  <c r="AD624" i="1"/>
  <c r="AE624" i="1"/>
  <c r="AB625" i="1"/>
  <c r="AC625" i="1"/>
  <c r="AD625" i="1"/>
  <c r="AE625" i="1"/>
  <c r="AB626" i="1"/>
  <c r="AC626" i="1"/>
  <c r="AD626" i="1"/>
  <c r="AE626" i="1"/>
  <c r="AB627" i="1"/>
  <c r="AC627" i="1"/>
  <c r="AD627" i="1"/>
  <c r="AE627" i="1"/>
  <c r="AB628" i="1"/>
  <c r="AC628" i="1"/>
  <c r="AD628" i="1"/>
  <c r="AE628" i="1"/>
  <c r="AB629" i="1"/>
  <c r="AC629" i="1"/>
  <c r="AD629" i="1"/>
  <c r="AE629" i="1"/>
  <c r="AB630" i="1"/>
  <c r="AC630" i="1"/>
  <c r="AD630" i="1"/>
  <c r="AE630" i="1"/>
  <c r="AB631" i="1"/>
  <c r="AC631" i="1"/>
  <c r="AD631" i="1"/>
  <c r="AE631" i="1"/>
  <c r="AB632" i="1"/>
  <c r="AC632" i="1"/>
  <c r="AD632" i="1"/>
  <c r="AE632" i="1"/>
  <c r="AB633" i="1"/>
  <c r="AC633" i="1"/>
  <c r="AD633" i="1"/>
  <c r="AE633" i="1"/>
  <c r="AB634" i="1"/>
  <c r="AC634" i="1"/>
  <c r="AD634" i="1"/>
  <c r="AE634" i="1"/>
  <c r="AB635" i="1"/>
  <c r="AC635" i="1"/>
  <c r="AD635" i="1"/>
  <c r="AE635" i="1"/>
  <c r="AB636" i="1"/>
  <c r="AC636" i="1"/>
  <c r="AD636" i="1"/>
  <c r="AE636" i="1"/>
  <c r="AB637" i="1"/>
  <c r="AC637" i="1"/>
  <c r="AD637" i="1"/>
  <c r="AE637" i="1"/>
  <c r="AB638" i="1"/>
  <c r="AC638" i="1"/>
  <c r="AD638" i="1"/>
  <c r="AE638" i="1"/>
  <c r="AB639" i="1"/>
  <c r="AC639" i="1"/>
  <c r="AD639" i="1"/>
  <c r="AE639" i="1"/>
  <c r="AB640" i="1"/>
  <c r="AC640" i="1"/>
  <c r="AD640" i="1"/>
  <c r="AE640" i="1"/>
  <c r="AB641" i="1"/>
  <c r="AC641" i="1"/>
  <c r="AD641" i="1"/>
  <c r="AE641" i="1"/>
  <c r="AB642" i="1"/>
  <c r="AC642" i="1"/>
  <c r="AD642" i="1"/>
  <c r="AE642" i="1"/>
  <c r="AB643" i="1"/>
  <c r="AC643" i="1"/>
  <c r="AD643" i="1"/>
  <c r="AE643" i="1"/>
  <c r="AB644" i="1"/>
  <c r="AC644" i="1"/>
  <c r="AD644" i="1"/>
  <c r="AE644" i="1"/>
  <c r="AB645" i="1"/>
  <c r="AC645" i="1"/>
  <c r="AD645" i="1"/>
  <c r="AE645" i="1"/>
  <c r="AB646" i="1"/>
  <c r="AC646" i="1"/>
  <c r="AD646" i="1"/>
  <c r="AE646" i="1"/>
  <c r="AB647" i="1"/>
  <c r="AC647" i="1"/>
  <c r="AD647" i="1"/>
  <c r="AE647" i="1"/>
  <c r="AB648" i="1"/>
  <c r="AC648" i="1"/>
  <c r="AD648" i="1"/>
  <c r="AE648" i="1"/>
  <c r="AB649" i="1"/>
  <c r="AC649" i="1"/>
  <c r="AD649" i="1"/>
  <c r="AE649" i="1"/>
  <c r="AB650" i="1"/>
  <c r="AC650" i="1"/>
  <c r="AD650" i="1"/>
  <c r="AE650" i="1"/>
  <c r="AB651" i="1"/>
  <c r="AC651" i="1"/>
  <c r="AD651" i="1"/>
  <c r="AE651" i="1"/>
  <c r="AB652" i="1"/>
  <c r="AC652" i="1"/>
  <c r="AD652" i="1"/>
  <c r="AE652" i="1"/>
  <c r="AB653" i="1"/>
  <c r="AC653" i="1"/>
  <c r="AD653" i="1"/>
  <c r="AE653" i="1"/>
  <c r="AB654" i="1"/>
  <c r="AC654" i="1"/>
  <c r="AD654" i="1"/>
  <c r="AE654" i="1"/>
  <c r="AB655" i="1"/>
  <c r="AC655" i="1"/>
  <c r="AD655" i="1"/>
  <c r="AE655" i="1"/>
  <c r="AB656" i="1"/>
  <c r="AC656" i="1"/>
  <c r="AD656" i="1"/>
  <c r="AE656" i="1"/>
  <c r="AB657" i="1"/>
  <c r="AC657" i="1"/>
  <c r="AD657" i="1"/>
  <c r="AE657" i="1"/>
  <c r="AB658" i="1"/>
  <c r="AC658" i="1"/>
  <c r="AD658" i="1"/>
  <c r="AE658" i="1"/>
  <c r="AB659" i="1"/>
  <c r="AC659" i="1"/>
  <c r="AD659" i="1"/>
  <c r="AE659" i="1"/>
  <c r="AB660" i="1"/>
  <c r="AC660" i="1"/>
  <c r="AD660" i="1"/>
  <c r="AE660" i="1"/>
  <c r="AB661" i="1"/>
  <c r="AC661" i="1"/>
  <c r="AD661" i="1"/>
  <c r="AE661" i="1"/>
  <c r="AB662" i="1"/>
  <c r="AC662" i="1"/>
  <c r="AD662" i="1"/>
  <c r="AE662" i="1"/>
  <c r="AB663" i="1"/>
  <c r="AC663" i="1"/>
  <c r="AD663" i="1"/>
  <c r="AE663" i="1"/>
  <c r="AB664" i="1"/>
  <c r="AC664" i="1"/>
  <c r="AD664" i="1"/>
  <c r="AE664" i="1"/>
  <c r="AB665" i="1"/>
  <c r="AC665" i="1"/>
  <c r="AD665" i="1"/>
  <c r="AE665" i="1"/>
  <c r="AB666" i="1"/>
  <c r="AC666" i="1"/>
  <c r="AD666" i="1"/>
  <c r="AE666" i="1"/>
  <c r="AB667" i="1"/>
  <c r="AC667" i="1"/>
  <c r="AD667" i="1"/>
  <c r="AE667" i="1"/>
  <c r="AB668" i="1"/>
  <c r="AC668" i="1"/>
  <c r="AD668" i="1"/>
  <c r="AE668" i="1"/>
  <c r="AB669" i="1"/>
  <c r="AC669" i="1"/>
  <c r="AD669" i="1"/>
  <c r="AE669" i="1"/>
  <c r="AB670" i="1"/>
  <c r="AC670" i="1"/>
  <c r="AD670" i="1"/>
  <c r="AE670" i="1"/>
  <c r="AB671" i="1"/>
  <c r="AC671" i="1"/>
  <c r="AD671" i="1"/>
  <c r="AE671" i="1"/>
  <c r="AB672" i="1"/>
  <c r="AC672" i="1"/>
  <c r="AD672" i="1"/>
  <c r="AE672" i="1"/>
  <c r="AB673" i="1"/>
  <c r="AC673" i="1"/>
  <c r="AD673" i="1"/>
  <c r="AE673" i="1"/>
  <c r="AB674" i="1"/>
  <c r="AC674" i="1"/>
  <c r="AD674" i="1"/>
  <c r="AE674" i="1"/>
  <c r="AB675" i="1"/>
  <c r="AC675" i="1"/>
  <c r="AD675" i="1"/>
  <c r="AE675" i="1"/>
  <c r="AB676" i="1"/>
  <c r="AC676" i="1"/>
  <c r="AD676" i="1"/>
  <c r="AE676" i="1"/>
  <c r="AB677" i="1"/>
  <c r="AC677" i="1"/>
  <c r="AD677" i="1"/>
  <c r="AE677" i="1"/>
  <c r="AB678" i="1"/>
  <c r="AC678" i="1"/>
  <c r="AD678" i="1"/>
  <c r="AE678" i="1"/>
  <c r="AB679" i="1"/>
  <c r="AC679" i="1"/>
  <c r="AD679" i="1"/>
  <c r="AE679" i="1"/>
  <c r="AB680" i="1"/>
  <c r="AC680" i="1"/>
  <c r="AD680" i="1"/>
  <c r="AE680" i="1"/>
  <c r="AB681" i="1"/>
  <c r="AC681" i="1"/>
  <c r="AD681" i="1"/>
  <c r="AE681" i="1"/>
  <c r="AB682" i="1"/>
  <c r="AC682" i="1"/>
  <c r="AD682" i="1"/>
  <c r="AE682" i="1"/>
  <c r="AB683" i="1"/>
  <c r="AC683" i="1"/>
  <c r="AD683" i="1"/>
  <c r="AE683" i="1"/>
  <c r="AB684" i="1"/>
  <c r="AC684" i="1"/>
  <c r="AD684" i="1"/>
  <c r="AE684" i="1"/>
  <c r="AB685" i="1"/>
  <c r="AC685" i="1"/>
  <c r="AD685" i="1"/>
  <c r="AE685" i="1"/>
  <c r="AB686" i="1"/>
  <c r="AC686" i="1"/>
  <c r="AD686" i="1"/>
  <c r="AE686" i="1"/>
  <c r="AB687" i="1"/>
  <c r="AC687" i="1"/>
  <c r="AD687" i="1"/>
  <c r="AE687" i="1"/>
  <c r="AB688" i="1"/>
  <c r="AC688" i="1"/>
  <c r="AD688" i="1"/>
  <c r="AE688" i="1"/>
  <c r="AB689" i="1"/>
  <c r="AC689" i="1"/>
  <c r="AD689" i="1"/>
  <c r="AE689" i="1"/>
  <c r="AB690" i="1"/>
  <c r="AC690" i="1"/>
  <c r="AD690" i="1"/>
  <c r="AE690" i="1"/>
  <c r="AB691" i="1"/>
  <c r="AC691" i="1"/>
  <c r="AD691" i="1"/>
  <c r="AE691" i="1"/>
  <c r="AB692" i="1"/>
  <c r="AC692" i="1"/>
  <c r="AD692" i="1"/>
  <c r="AE692" i="1"/>
  <c r="AB693" i="1"/>
  <c r="AC693" i="1"/>
  <c r="AD693" i="1"/>
  <c r="AE693" i="1"/>
  <c r="AB694" i="1"/>
  <c r="AC694" i="1"/>
  <c r="AD694" i="1"/>
  <c r="AE694" i="1"/>
  <c r="AB695" i="1"/>
  <c r="AC695" i="1"/>
  <c r="AD695" i="1"/>
  <c r="AE695" i="1"/>
  <c r="AB696" i="1"/>
  <c r="AC696" i="1"/>
  <c r="AD696" i="1"/>
  <c r="AE696" i="1"/>
  <c r="AB697" i="1"/>
  <c r="AC697" i="1"/>
  <c r="AD697" i="1"/>
  <c r="AE697" i="1"/>
  <c r="AB698" i="1"/>
  <c r="AC698" i="1"/>
  <c r="AD698" i="1"/>
  <c r="AE698" i="1"/>
  <c r="AB699" i="1"/>
  <c r="AC699" i="1"/>
  <c r="AD699" i="1"/>
  <c r="AE699" i="1"/>
  <c r="AB700" i="1"/>
  <c r="AC700" i="1"/>
  <c r="AD700" i="1"/>
  <c r="AE700" i="1"/>
  <c r="AB701" i="1"/>
  <c r="AC701" i="1"/>
  <c r="AD701" i="1"/>
  <c r="AE701" i="1"/>
  <c r="AB702" i="1"/>
  <c r="AC702" i="1"/>
  <c r="AD702" i="1"/>
  <c r="AE702" i="1"/>
  <c r="AB703" i="1"/>
  <c r="AC703" i="1"/>
  <c r="AD703" i="1"/>
  <c r="AE703" i="1"/>
  <c r="AB704" i="1"/>
  <c r="AC704" i="1"/>
  <c r="AD704" i="1"/>
  <c r="AE704" i="1"/>
  <c r="AB705" i="1"/>
  <c r="AC705" i="1"/>
  <c r="AD705" i="1"/>
  <c r="AE705" i="1"/>
  <c r="AB706" i="1"/>
  <c r="AC706" i="1"/>
  <c r="AD706" i="1"/>
  <c r="AE706" i="1"/>
  <c r="AB707" i="1"/>
  <c r="AC707" i="1"/>
  <c r="AD707" i="1"/>
  <c r="AE707" i="1"/>
  <c r="AB708" i="1"/>
  <c r="AC708" i="1"/>
  <c r="AD708" i="1"/>
  <c r="AE708" i="1"/>
  <c r="AB709" i="1"/>
  <c r="AC709" i="1"/>
  <c r="AD709" i="1"/>
  <c r="AE709" i="1"/>
  <c r="AB710" i="1"/>
  <c r="AC710" i="1"/>
  <c r="AD710" i="1"/>
  <c r="AE710" i="1"/>
  <c r="AB711" i="1"/>
  <c r="AC711" i="1"/>
  <c r="AD711" i="1"/>
  <c r="AE711" i="1"/>
  <c r="AB712" i="1"/>
  <c r="AC712" i="1"/>
  <c r="AD712" i="1"/>
  <c r="AE712" i="1"/>
  <c r="AB713" i="1"/>
  <c r="AC713" i="1"/>
  <c r="AD713" i="1"/>
  <c r="AE713" i="1"/>
  <c r="AB714" i="1"/>
  <c r="AC714" i="1"/>
  <c r="AD714" i="1"/>
  <c r="AE714" i="1"/>
  <c r="AB715" i="1"/>
  <c r="AC715" i="1"/>
  <c r="AD715" i="1"/>
  <c r="AE715" i="1"/>
  <c r="AB716" i="1"/>
  <c r="AC716" i="1"/>
  <c r="AD716" i="1"/>
  <c r="AE716" i="1"/>
  <c r="AB717" i="1"/>
  <c r="AC717" i="1"/>
  <c r="AD717" i="1"/>
  <c r="AE717" i="1"/>
  <c r="AB718" i="1"/>
  <c r="AC718" i="1"/>
  <c r="AD718" i="1"/>
  <c r="AE718" i="1"/>
  <c r="AB719" i="1"/>
  <c r="AC719" i="1"/>
  <c r="AD719" i="1"/>
  <c r="AE719" i="1"/>
  <c r="AB720" i="1"/>
  <c r="AC720" i="1"/>
  <c r="AD720" i="1"/>
  <c r="AE720" i="1"/>
  <c r="AB721" i="1"/>
  <c r="AC721" i="1"/>
  <c r="AD721" i="1"/>
  <c r="AE721" i="1"/>
  <c r="AB722" i="1"/>
  <c r="AC722" i="1"/>
  <c r="AD722" i="1"/>
  <c r="AE722" i="1"/>
  <c r="AB723" i="1"/>
  <c r="AC723" i="1"/>
  <c r="AD723" i="1"/>
  <c r="AE723" i="1"/>
  <c r="AB724" i="1"/>
  <c r="AC724" i="1"/>
  <c r="AD724" i="1"/>
  <c r="AE724" i="1"/>
  <c r="AB725" i="1"/>
  <c r="AC725" i="1"/>
  <c r="AD725" i="1"/>
  <c r="AE725" i="1"/>
  <c r="AB726" i="1"/>
  <c r="AC726" i="1"/>
  <c r="AD726" i="1"/>
  <c r="AE726" i="1"/>
  <c r="AB727" i="1"/>
  <c r="AC727" i="1"/>
  <c r="AD727" i="1"/>
  <c r="AE727" i="1"/>
  <c r="AB728" i="1"/>
  <c r="AC728" i="1"/>
  <c r="AD728" i="1"/>
  <c r="AE728" i="1"/>
  <c r="AB729" i="1"/>
  <c r="AC729" i="1"/>
  <c r="AD729" i="1"/>
  <c r="AE729" i="1"/>
  <c r="AB730" i="1"/>
  <c r="AC730" i="1"/>
  <c r="AD730" i="1"/>
  <c r="AE730" i="1"/>
  <c r="AB731" i="1"/>
  <c r="AC731" i="1"/>
  <c r="AD731" i="1"/>
  <c r="AE731" i="1"/>
  <c r="AB732" i="1"/>
  <c r="AC732" i="1"/>
  <c r="AD732" i="1"/>
  <c r="AE732" i="1"/>
  <c r="AB733" i="1"/>
  <c r="AC733" i="1"/>
  <c r="AD733" i="1"/>
  <c r="AE733" i="1"/>
  <c r="AB734" i="1"/>
  <c r="AC734" i="1"/>
  <c r="AD734" i="1"/>
  <c r="AE734" i="1"/>
  <c r="AB735" i="1"/>
  <c r="AC735" i="1"/>
  <c r="AD735" i="1"/>
  <c r="AE735" i="1"/>
  <c r="AB736" i="1"/>
  <c r="AC736" i="1"/>
  <c r="AD736" i="1"/>
  <c r="AE736" i="1"/>
  <c r="AB737" i="1"/>
  <c r="AC737" i="1"/>
  <c r="AD737" i="1"/>
  <c r="AE737" i="1"/>
  <c r="AB738" i="1"/>
  <c r="AC738" i="1"/>
  <c r="AD738" i="1"/>
  <c r="AE738" i="1"/>
  <c r="AB739" i="1"/>
  <c r="AC739" i="1"/>
  <c r="AD739" i="1"/>
  <c r="AE739" i="1"/>
  <c r="AB740" i="1"/>
  <c r="AC740" i="1"/>
  <c r="AD740" i="1"/>
  <c r="AE740" i="1"/>
  <c r="AB741" i="1"/>
  <c r="AC741" i="1"/>
  <c r="AD741" i="1"/>
  <c r="AE741" i="1"/>
  <c r="AB742" i="1"/>
  <c r="AC742" i="1"/>
  <c r="AD742" i="1"/>
  <c r="AE742" i="1"/>
  <c r="AB743" i="1"/>
  <c r="AC743" i="1"/>
  <c r="AD743" i="1"/>
  <c r="AE743" i="1"/>
  <c r="AB744" i="1"/>
  <c r="AC744" i="1"/>
  <c r="AD744" i="1"/>
  <c r="AE744" i="1"/>
  <c r="AB745" i="1"/>
  <c r="AC745" i="1"/>
  <c r="AD745" i="1"/>
  <c r="AE745" i="1"/>
  <c r="AB746" i="1"/>
  <c r="AC746" i="1"/>
  <c r="AD746" i="1"/>
  <c r="AE746" i="1"/>
  <c r="AB747" i="1"/>
  <c r="AC747" i="1"/>
  <c r="AD747" i="1"/>
  <c r="AE747" i="1"/>
  <c r="AB748" i="1"/>
  <c r="AC748" i="1"/>
  <c r="AD748" i="1"/>
  <c r="AE748" i="1"/>
  <c r="AB749" i="1"/>
  <c r="AC749" i="1"/>
  <c r="AD749" i="1"/>
  <c r="AE749" i="1"/>
  <c r="AB750" i="1"/>
  <c r="AC750" i="1"/>
  <c r="AD750" i="1"/>
  <c r="AE750" i="1"/>
  <c r="AB751" i="1"/>
  <c r="AC751" i="1"/>
  <c r="AD751" i="1"/>
  <c r="AE751" i="1"/>
  <c r="AB752" i="1"/>
  <c r="AC752" i="1"/>
  <c r="AD752" i="1"/>
  <c r="AE752" i="1"/>
  <c r="AB753" i="1"/>
  <c r="AC753" i="1"/>
  <c r="AD753" i="1"/>
  <c r="AE753" i="1"/>
  <c r="AB754" i="1"/>
  <c r="AC754" i="1"/>
  <c r="AD754" i="1"/>
  <c r="AE754" i="1"/>
  <c r="AB755" i="1"/>
  <c r="AC755" i="1"/>
  <c r="AD755" i="1"/>
  <c r="AE755" i="1"/>
  <c r="AB756" i="1"/>
  <c r="AC756" i="1"/>
  <c r="AD756" i="1"/>
  <c r="AE756" i="1"/>
  <c r="AB757" i="1"/>
  <c r="AC757" i="1"/>
  <c r="AD757" i="1"/>
  <c r="AE757" i="1"/>
  <c r="AB758" i="1"/>
  <c r="AC758" i="1"/>
  <c r="AD758" i="1"/>
  <c r="AE758" i="1"/>
  <c r="AB759" i="1"/>
  <c r="AC759" i="1"/>
  <c r="AD759" i="1"/>
  <c r="AE759" i="1"/>
  <c r="AB760" i="1"/>
  <c r="AC760" i="1"/>
  <c r="AD760" i="1"/>
  <c r="AE760" i="1"/>
  <c r="AB761" i="1"/>
  <c r="AC761" i="1"/>
  <c r="AD761" i="1"/>
  <c r="AE761" i="1"/>
  <c r="AB762" i="1"/>
  <c r="AC762" i="1"/>
  <c r="AD762" i="1"/>
  <c r="AE762" i="1"/>
  <c r="AB763" i="1"/>
  <c r="AC763" i="1"/>
  <c r="AD763" i="1"/>
  <c r="AE763" i="1"/>
  <c r="AB764" i="1"/>
  <c r="AC764" i="1"/>
  <c r="AD764" i="1"/>
  <c r="AE764" i="1"/>
  <c r="AB765" i="1"/>
  <c r="AC765" i="1"/>
  <c r="AD765" i="1"/>
  <c r="AE765" i="1"/>
  <c r="AB766" i="1"/>
  <c r="AC766" i="1"/>
  <c r="AD766" i="1"/>
  <c r="AE766" i="1"/>
  <c r="AB767" i="1"/>
  <c r="AC767" i="1"/>
  <c r="AD767" i="1"/>
  <c r="AE767" i="1"/>
  <c r="AB768" i="1"/>
  <c r="AC768" i="1"/>
  <c r="AD768" i="1"/>
  <c r="AE768" i="1"/>
  <c r="AB769" i="1"/>
  <c r="AC769" i="1"/>
  <c r="AD769" i="1"/>
  <c r="AE769" i="1"/>
  <c r="AB770" i="1"/>
  <c r="AC770" i="1"/>
  <c r="AD770" i="1"/>
  <c r="AE770" i="1"/>
  <c r="AB771" i="1"/>
  <c r="AC771" i="1"/>
  <c r="AD771" i="1"/>
  <c r="AE771" i="1"/>
  <c r="AB772" i="1"/>
  <c r="AC772" i="1"/>
  <c r="AD772" i="1"/>
  <c r="AE772" i="1"/>
  <c r="AB773" i="1"/>
  <c r="AC773" i="1"/>
  <c r="AD773" i="1"/>
  <c r="AE773" i="1"/>
  <c r="AB774" i="1"/>
  <c r="AC774" i="1"/>
  <c r="AD774" i="1"/>
  <c r="AE774" i="1"/>
  <c r="AB775" i="1"/>
  <c r="AC775" i="1"/>
  <c r="AD775" i="1"/>
  <c r="AE775" i="1"/>
  <c r="AB776" i="1"/>
  <c r="AC776" i="1"/>
  <c r="AD776" i="1"/>
  <c r="AE776" i="1"/>
  <c r="AB777" i="1"/>
  <c r="AC777" i="1"/>
  <c r="AD777" i="1"/>
  <c r="AE777" i="1"/>
  <c r="AB778" i="1"/>
  <c r="AC778" i="1"/>
  <c r="AD778" i="1"/>
  <c r="AE778" i="1"/>
  <c r="AB779" i="1"/>
  <c r="AC779" i="1"/>
  <c r="AD779" i="1"/>
  <c r="AE779" i="1"/>
  <c r="AB780" i="1"/>
  <c r="AC780" i="1"/>
  <c r="AD780" i="1"/>
  <c r="AE780" i="1"/>
  <c r="AB781" i="1"/>
  <c r="AC781" i="1"/>
  <c r="AD781" i="1"/>
  <c r="AE781" i="1"/>
  <c r="AB782" i="1"/>
  <c r="AC782" i="1"/>
  <c r="AD782" i="1"/>
  <c r="AE782" i="1"/>
  <c r="AB783" i="1"/>
  <c r="AC783" i="1"/>
  <c r="AD783" i="1"/>
  <c r="AE783" i="1"/>
  <c r="AB784" i="1"/>
  <c r="AC784" i="1"/>
  <c r="AD784" i="1"/>
  <c r="AE784" i="1"/>
  <c r="AB785" i="1"/>
  <c r="AC785" i="1"/>
  <c r="AD785" i="1"/>
  <c r="AE785" i="1"/>
  <c r="AB786" i="1"/>
  <c r="AC786" i="1"/>
  <c r="AD786" i="1"/>
  <c r="AE786" i="1"/>
  <c r="AB787" i="1"/>
  <c r="AC787" i="1"/>
  <c r="AD787" i="1"/>
  <c r="AE787" i="1"/>
  <c r="AB788" i="1"/>
  <c r="AC788" i="1"/>
  <c r="AD788" i="1"/>
  <c r="AE788" i="1"/>
  <c r="AB789" i="1"/>
  <c r="AC789" i="1"/>
  <c r="AD789" i="1"/>
  <c r="AE789" i="1"/>
  <c r="AB790" i="1"/>
  <c r="AC790" i="1"/>
  <c r="AD790" i="1"/>
  <c r="AE790" i="1"/>
  <c r="AB791" i="1"/>
  <c r="AC791" i="1"/>
  <c r="AD791" i="1"/>
  <c r="AE791" i="1"/>
  <c r="AB792" i="1"/>
  <c r="AC792" i="1"/>
  <c r="AD792" i="1"/>
  <c r="AE792" i="1"/>
  <c r="AB793" i="1"/>
  <c r="AC793" i="1"/>
  <c r="AD793" i="1"/>
  <c r="AE793" i="1"/>
  <c r="AB794" i="1"/>
  <c r="AC794" i="1"/>
  <c r="AD794" i="1"/>
  <c r="AE794" i="1"/>
  <c r="AB795" i="1"/>
  <c r="AC795" i="1"/>
  <c r="AD795" i="1"/>
  <c r="AE795" i="1"/>
  <c r="AB796" i="1"/>
  <c r="AC796" i="1"/>
  <c r="AD796" i="1"/>
  <c r="AE796" i="1"/>
  <c r="AB797" i="1"/>
  <c r="AC797" i="1"/>
  <c r="AD797" i="1"/>
  <c r="AE797" i="1"/>
  <c r="AB798" i="1"/>
  <c r="AC798" i="1"/>
  <c r="AD798" i="1"/>
  <c r="AE798" i="1"/>
  <c r="AB799" i="1"/>
  <c r="AC799" i="1"/>
  <c r="AD799" i="1"/>
  <c r="AE799" i="1"/>
  <c r="AB800" i="1"/>
  <c r="AC800" i="1"/>
  <c r="AD800" i="1"/>
  <c r="AE800" i="1"/>
  <c r="AB801" i="1"/>
  <c r="AC801" i="1"/>
  <c r="AD801" i="1"/>
  <c r="AE801" i="1"/>
  <c r="AB802" i="1"/>
  <c r="AC802" i="1"/>
  <c r="AD802" i="1"/>
  <c r="AE802" i="1"/>
  <c r="AB803" i="1"/>
  <c r="AC803" i="1"/>
  <c r="AD803" i="1"/>
  <c r="AE803" i="1"/>
  <c r="AB804" i="1"/>
  <c r="AC804" i="1"/>
  <c r="AD804" i="1"/>
  <c r="AE804" i="1"/>
  <c r="AB805" i="1"/>
  <c r="AC805" i="1"/>
  <c r="AD805" i="1"/>
  <c r="AE805" i="1"/>
  <c r="AB806" i="1"/>
  <c r="AC806" i="1"/>
  <c r="AD806" i="1"/>
  <c r="AE806" i="1"/>
  <c r="AB807" i="1"/>
  <c r="AC807" i="1"/>
  <c r="AD807" i="1"/>
  <c r="AE807" i="1"/>
  <c r="AB808" i="1"/>
  <c r="AC808" i="1"/>
  <c r="AD808" i="1"/>
  <c r="AE808" i="1"/>
  <c r="AB809" i="1"/>
  <c r="AC809" i="1"/>
  <c r="AD809" i="1"/>
  <c r="AE809" i="1"/>
  <c r="AB810" i="1"/>
  <c r="AC810" i="1"/>
  <c r="AD810" i="1"/>
  <c r="AE810" i="1"/>
  <c r="AB811" i="1"/>
  <c r="AC811" i="1"/>
  <c r="AD811" i="1"/>
  <c r="AE811" i="1"/>
  <c r="AB812" i="1"/>
  <c r="AC812" i="1"/>
  <c r="AD812" i="1"/>
  <c r="AE812" i="1"/>
  <c r="AB813" i="1"/>
  <c r="AC813" i="1"/>
  <c r="AD813" i="1"/>
  <c r="AE813" i="1"/>
  <c r="AB814" i="1"/>
  <c r="AC814" i="1"/>
  <c r="AD814" i="1"/>
  <c r="AE814" i="1"/>
  <c r="AB815" i="1"/>
  <c r="AC815" i="1"/>
  <c r="AD815" i="1"/>
  <c r="AE815" i="1"/>
  <c r="AB816" i="1"/>
  <c r="AC816" i="1"/>
  <c r="AD816" i="1"/>
  <c r="AE816" i="1"/>
  <c r="AB817" i="1"/>
  <c r="AC817" i="1"/>
  <c r="AD817" i="1"/>
  <c r="AE817" i="1"/>
  <c r="AB818" i="1"/>
  <c r="AC818" i="1"/>
  <c r="AD818" i="1"/>
  <c r="AE818" i="1"/>
  <c r="AB819" i="1"/>
  <c r="AC819" i="1"/>
  <c r="AD819" i="1"/>
  <c r="AE819" i="1"/>
  <c r="AB820" i="1"/>
  <c r="AC820" i="1"/>
  <c r="AD820" i="1"/>
  <c r="AE820" i="1"/>
  <c r="AB821" i="1"/>
  <c r="AC821" i="1"/>
  <c r="AD821" i="1"/>
  <c r="AE821" i="1"/>
  <c r="AB822" i="1"/>
  <c r="AC822" i="1"/>
  <c r="AD822" i="1"/>
  <c r="AE822" i="1"/>
  <c r="AB823" i="1"/>
  <c r="AC823" i="1"/>
  <c r="AD823" i="1"/>
  <c r="AE823" i="1"/>
  <c r="AB824" i="1"/>
  <c r="AC824" i="1"/>
  <c r="AD824" i="1"/>
  <c r="AE824" i="1"/>
  <c r="AB825" i="1"/>
  <c r="AC825" i="1"/>
  <c r="AD825" i="1"/>
  <c r="AE825" i="1"/>
  <c r="AB826" i="1"/>
  <c r="AC826" i="1"/>
  <c r="AD826" i="1"/>
  <c r="AE826" i="1"/>
  <c r="AB827" i="1"/>
  <c r="AC827" i="1"/>
  <c r="AD827" i="1"/>
  <c r="AE827" i="1"/>
  <c r="AB828" i="1"/>
  <c r="AC828" i="1"/>
  <c r="AD828" i="1"/>
  <c r="AE828" i="1"/>
  <c r="AB829" i="1"/>
  <c r="AC829" i="1"/>
  <c r="AD829" i="1"/>
  <c r="AE829" i="1"/>
  <c r="AB830" i="1"/>
  <c r="AC830" i="1"/>
  <c r="AD830" i="1"/>
  <c r="AE830" i="1"/>
  <c r="AB831" i="1"/>
  <c r="AC831" i="1"/>
  <c r="AD831" i="1"/>
  <c r="AE831" i="1"/>
  <c r="AB832" i="1"/>
  <c r="AC832" i="1"/>
  <c r="AD832" i="1"/>
  <c r="AE832" i="1"/>
  <c r="AB833" i="1"/>
  <c r="AC833" i="1"/>
  <c r="AD833" i="1"/>
  <c r="AE833" i="1"/>
  <c r="AB834" i="1"/>
  <c r="AC834" i="1"/>
  <c r="AD834" i="1"/>
  <c r="AE834" i="1"/>
  <c r="AB835" i="1"/>
  <c r="AC835" i="1"/>
  <c r="AD835" i="1"/>
  <c r="AE835" i="1"/>
  <c r="AB836" i="1"/>
  <c r="AC836" i="1"/>
  <c r="AD836" i="1"/>
  <c r="AE836" i="1"/>
  <c r="AB837" i="1"/>
  <c r="AC837" i="1"/>
  <c r="AD837" i="1"/>
  <c r="AE837" i="1"/>
  <c r="AB838" i="1"/>
  <c r="AC838" i="1"/>
  <c r="AD838" i="1"/>
  <c r="AE838" i="1"/>
  <c r="AB839" i="1"/>
  <c r="AC839" i="1"/>
  <c r="AD839" i="1"/>
  <c r="AE839" i="1"/>
  <c r="AB840" i="1"/>
  <c r="AC840" i="1"/>
  <c r="AD840" i="1"/>
  <c r="AE840" i="1"/>
  <c r="AB841" i="1"/>
  <c r="AC841" i="1"/>
  <c r="AD841" i="1"/>
  <c r="AE841" i="1"/>
  <c r="AB842" i="1"/>
  <c r="AC842" i="1"/>
  <c r="AD842" i="1"/>
  <c r="AE842" i="1"/>
  <c r="AB843" i="1"/>
  <c r="AC843" i="1"/>
  <c r="AD843" i="1"/>
  <c r="AE843" i="1"/>
  <c r="AB844" i="1"/>
  <c r="AC844" i="1"/>
  <c r="AD844" i="1"/>
  <c r="AE844" i="1"/>
  <c r="AB845" i="1"/>
  <c r="AC845" i="1"/>
  <c r="AD845" i="1"/>
  <c r="AE845" i="1"/>
  <c r="AB846" i="1"/>
  <c r="AC846" i="1"/>
  <c r="AD846" i="1"/>
  <c r="AE846" i="1"/>
  <c r="AB847" i="1"/>
  <c r="AC847" i="1"/>
  <c r="AD847" i="1"/>
  <c r="AE847" i="1"/>
  <c r="AB848" i="1"/>
  <c r="AC848" i="1"/>
  <c r="AD848" i="1"/>
  <c r="AE848" i="1"/>
  <c r="AB849" i="1"/>
  <c r="AC849" i="1"/>
  <c r="AD849" i="1"/>
  <c r="AE849" i="1"/>
  <c r="AB850" i="1"/>
  <c r="AC850" i="1"/>
  <c r="AD850" i="1"/>
  <c r="AE850" i="1"/>
  <c r="AB851" i="1"/>
  <c r="AC851" i="1"/>
  <c r="AD851" i="1"/>
  <c r="AE851" i="1"/>
  <c r="AB852" i="1"/>
  <c r="AC852" i="1"/>
  <c r="AD852" i="1"/>
  <c r="AE852" i="1"/>
  <c r="AB853" i="1"/>
  <c r="AC853" i="1"/>
  <c r="AD853" i="1"/>
  <c r="AE853" i="1"/>
  <c r="AB854" i="1"/>
  <c r="AC854" i="1"/>
  <c r="AD854" i="1"/>
  <c r="AE854" i="1"/>
  <c r="AB855" i="1"/>
  <c r="AC855" i="1"/>
  <c r="AD855" i="1"/>
  <c r="AE855" i="1"/>
  <c r="AB856" i="1"/>
  <c r="AC856" i="1"/>
  <c r="AD856" i="1"/>
  <c r="AE856" i="1"/>
  <c r="AB857" i="1"/>
  <c r="AC857" i="1"/>
  <c r="AD857" i="1"/>
  <c r="AE857" i="1"/>
  <c r="AB858" i="1"/>
  <c r="AC858" i="1"/>
  <c r="AD858" i="1"/>
  <c r="AE858" i="1"/>
  <c r="AB859" i="1"/>
  <c r="AC859" i="1"/>
  <c r="AD859" i="1"/>
  <c r="AE859" i="1"/>
  <c r="AB860" i="1"/>
  <c r="AC860" i="1"/>
  <c r="AD860" i="1"/>
  <c r="AE860" i="1"/>
  <c r="AB861" i="1"/>
  <c r="AC861" i="1"/>
  <c r="AD861" i="1"/>
  <c r="AE861" i="1"/>
  <c r="AB862" i="1"/>
  <c r="AC862" i="1"/>
  <c r="AD862" i="1"/>
  <c r="AE862" i="1"/>
  <c r="AB863" i="1"/>
  <c r="AC863" i="1"/>
  <c r="AD863" i="1"/>
  <c r="AE863" i="1"/>
  <c r="AB864" i="1"/>
  <c r="AC864" i="1"/>
  <c r="AD864" i="1"/>
  <c r="AE864" i="1"/>
  <c r="AB865" i="1"/>
  <c r="AC865" i="1"/>
  <c r="AD865" i="1"/>
  <c r="AE865" i="1"/>
  <c r="AB866" i="1"/>
  <c r="AC866" i="1"/>
  <c r="AD866" i="1"/>
  <c r="AE866" i="1"/>
  <c r="AB867" i="1"/>
  <c r="AC867" i="1"/>
  <c r="AD867" i="1"/>
  <c r="AE867" i="1"/>
  <c r="AB868" i="1"/>
  <c r="AC868" i="1"/>
  <c r="AD868" i="1"/>
  <c r="AE868" i="1"/>
  <c r="AB869" i="1"/>
  <c r="AC869" i="1"/>
  <c r="AD869" i="1"/>
  <c r="AE869" i="1"/>
  <c r="AB870" i="1"/>
  <c r="AC870" i="1"/>
  <c r="AD870" i="1"/>
  <c r="AE870" i="1"/>
  <c r="AB871" i="1"/>
  <c r="AC871" i="1"/>
  <c r="AD871" i="1"/>
  <c r="AE871" i="1"/>
  <c r="AB872" i="1"/>
  <c r="AC872" i="1"/>
  <c r="AD872" i="1"/>
  <c r="AE872" i="1"/>
  <c r="AB873" i="1"/>
  <c r="AC873" i="1"/>
  <c r="AD873" i="1"/>
  <c r="AE873" i="1"/>
  <c r="AB874" i="1"/>
  <c r="AC874" i="1"/>
  <c r="AD874" i="1"/>
  <c r="AE874" i="1"/>
  <c r="AB875" i="1"/>
  <c r="AC875" i="1"/>
  <c r="AD875" i="1"/>
  <c r="AE875" i="1"/>
  <c r="AB876" i="1"/>
  <c r="AC876" i="1"/>
  <c r="AD876" i="1"/>
  <c r="AE876" i="1"/>
  <c r="AB877" i="1"/>
  <c r="AC877" i="1"/>
  <c r="AD877" i="1"/>
  <c r="AE877" i="1"/>
  <c r="AB878" i="1"/>
  <c r="AC878" i="1"/>
  <c r="AD878" i="1"/>
  <c r="AE878" i="1"/>
  <c r="AB879" i="1"/>
  <c r="AC879" i="1"/>
  <c r="AD879" i="1"/>
  <c r="AE879" i="1"/>
  <c r="AB880" i="1"/>
  <c r="AC880" i="1"/>
  <c r="AD880" i="1"/>
  <c r="AE880" i="1"/>
  <c r="AB881" i="1"/>
  <c r="AC881" i="1"/>
  <c r="AD881" i="1"/>
  <c r="AE881" i="1"/>
  <c r="AB882" i="1"/>
  <c r="AC882" i="1"/>
  <c r="AD882" i="1"/>
  <c r="AE882" i="1"/>
  <c r="AB883" i="1"/>
  <c r="AC883" i="1"/>
  <c r="AD883" i="1"/>
  <c r="AE883" i="1"/>
  <c r="AB884" i="1"/>
  <c r="AC884" i="1"/>
  <c r="AD884" i="1"/>
  <c r="AE884" i="1"/>
  <c r="AB885" i="1"/>
  <c r="AC885" i="1"/>
  <c r="AD885" i="1"/>
  <c r="AE885" i="1"/>
  <c r="AB886" i="1"/>
  <c r="AC886" i="1"/>
  <c r="AD886" i="1"/>
  <c r="AE886" i="1"/>
  <c r="AB887" i="1"/>
  <c r="AC887" i="1"/>
  <c r="AD887" i="1"/>
  <c r="AE887" i="1"/>
  <c r="AB888" i="1"/>
  <c r="AC888" i="1"/>
  <c r="AD888" i="1"/>
  <c r="AE888" i="1"/>
  <c r="AB889" i="1"/>
  <c r="AC889" i="1"/>
  <c r="AD889" i="1"/>
  <c r="AE889" i="1"/>
  <c r="AB890" i="1"/>
  <c r="AC890" i="1"/>
  <c r="AD890" i="1"/>
  <c r="AE890" i="1"/>
  <c r="AB891" i="1"/>
  <c r="AC891" i="1"/>
  <c r="AD891" i="1"/>
  <c r="AE891" i="1"/>
  <c r="AB892" i="1"/>
  <c r="AC892" i="1"/>
  <c r="AD892" i="1"/>
  <c r="AE892" i="1"/>
  <c r="AB893" i="1"/>
  <c r="AC893" i="1"/>
  <c r="AD893" i="1"/>
  <c r="AE893" i="1"/>
  <c r="AB894" i="1"/>
  <c r="AC894" i="1"/>
  <c r="AD894" i="1"/>
  <c r="AE894" i="1"/>
  <c r="AB895" i="1"/>
  <c r="AC895" i="1"/>
  <c r="AD895" i="1"/>
  <c r="AE895" i="1"/>
  <c r="AB896" i="1"/>
  <c r="AC896" i="1"/>
  <c r="AD896" i="1"/>
  <c r="AE896" i="1"/>
  <c r="AB897" i="1"/>
  <c r="AC897" i="1"/>
  <c r="AD897" i="1"/>
  <c r="AE897" i="1"/>
  <c r="AB898" i="1"/>
  <c r="AC898" i="1"/>
  <c r="AD898" i="1"/>
  <c r="AE898" i="1"/>
  <c r="AB899" i="1"/>
  <c r="AC899" i="1"/>
  <c r="AD899" i="1"/>
  <c r="AE899" i="1"/>
  <c r="AB900" i="1"/>
  <c r="AC900" i="1"/>
  <c r="AD900" i="1"/>
  <c r="AE900" i="1"/>
  <c r="AB901" i="1"/>
  <c r="AC901" i="1"/>
  <c r="AD901" i="1"/>
  <c r="AE901" i="1"/>
  <c r="AB902" i="1"/>
  <c r="AC902" i="1"/>
  <c r="AD902" i="1"/>
  <c r="AE902" i="1"/>
  <c r="AB903" i="1"/>
  <c r="AC903" i="1"/>
  <c r="AD903" i="1"/>
  <c r="AE903" i="1"/>
  <c r="AB904" i="1"/>
  <c r="AC904" i="1"/>
  <c r="AD904" i="1"/>
  <c r="AE904" i="1"/>
  <c r="AB905" i="1"/>
  <c r="AC905" i="1"/>
  <c r="AD905" i="1"/>
  <c r="AE905" i="1"/>
  <c r="AB906" i="1"/>
  <c r="AC906" i="1"/>
  <c r="AD906" i="1"/>
  <c r="AE906" i="1"/>
  <c r="AB907" i="1"/>
  <c r="AC907" i="1"/>
  <c r="AD907" i="1"/>
  <c r="AE907" i="1"/>
  <c r="AB908" i="1"/>
  <c r="AC908" i="1"/>
  <c r="AD908" i="1"/>
  <c r="AE908" i="1"/>
  <c r="AB909" i="1"/>
  <c r="AC909" i="1"/>
  <c r="AD909" i="1"/>
  <c r="AE909" i="1"/>
  <c r="AB910" i="1"/>
  <c r="AC910" i="1"/>
  <c r="AD910" i="1"/>
  <c r="AE910" i="1"/>
  <c r="AB911" i="1"/>
  <c r="AC911" i="1"/>
  <c r="AD911" i="1"/>
  <c r="AE911" i="1"/>
  <c r="AB912" i="1"/>
  <c r="AC912" i="1"/>
  <c r="AD912" i="1"/>
  <c r="AE912" i="1"/>
  <c r="AB913" i="1"/>
  <c r="AC913" i="1"/>
  <c r="AD913" i="1"/>
  <c r="AE913" i="1"/>
  <c r="AB914" i="1"/>
  <c r="AC914" i="1"/>
  <c r="AD914" i="1"/>
  <c r="AE914" i="1"/>
  <c r="AB915" i="1"/>
  <c r="AC915" i="1"/>
  <c r="AD915" i="1"/>
  <c r="AE915" i="1"/>
  <c r="AB916" i="1"/>
  <c r="AC916" i="1"/>
  <c r="AD916" i="1"/>
  <c r="AE916" i="1"/>
  <c r="AB917" i="1"/>
  <c r="AC917" i="1"/>
  <c r="AD917" i="1"/>
  <c r="AE917" i="1"/>
  <c r="AB918" i="1"/>
  <c r="AC918" i="1"/>
  <c r="AD918" i="1"/>
  <c r="AE918" i="1"/>
  <c r="AB919" i="1"/>
  <c r="AC919" i="1"/>
  <c r="AD919" i="1"/>
  <c r="AE919" i="1"/>
  <c r="AB920" i="1"/>
  <c r="AC920" i="1"/>
  <c r="AD920" i="1"/>
  <c r="AE920" i="1"/>
  <c r="AB921" i="1"/>
  <c r="AC921" i="1"/>
  <c r="AD921" i="1"/>
  <c r="AE921" i="1"/>
  <c r="AB922" i="1"/>
  <c r="AC922" i="1"/>
  <c r="AD922" i="1"/>
  <c r="AE922" i="1"/>
  <c r="AB923" i="1"/>
  <c r="AC923" i="1"/>
  <c r="AD923" i="1"/>
  <c r="AE923" i="1"/>
  <c r="AB924" i="1"/>
  <c r="AC924" i="1"/>
  <c r="AD924" i="1"/>
  <c r="AE924" i="1"/>
  <c r="AB925" i="1"/>
  <c r="AC925" i="1"/>
  <c r="AD925" i="1"/>
  <c r="AE925" i="1"/>
  <c r="AB926" i="1"/>
  <c r="AC926" i="1"/>
  <c r="AD926" i="1"/>
  <c r="AE926" i="1"/>
  <c r="AB927" i="1"/>
  <c r="AC927" i="1"/>
  <c r="AD927" i="1"/>
  <c r="AE927" i="1"/>
  <c r="AB928" i="1"/>
  <c r="AC928" i="1"/>
  <c r="AD928" i="1"/>
  <c r="AE928" i="1"/>
  <c r="AB929" i="1"/>
  <c r="AC929" i="1"/>
  <c r="AD929" i="1"/>
  <c r="AE929" i="1"/>
  <c r="AB930" i="1"/>
  <c r="AC930" i="1"/>
  <c r="AD930" i="1"/>
  <c r="AE930" i="1"/>
  <c r="AB931" i="1"/>
  <c r="AC931" i="1"/>
  <c r="AD931" i="1"/>
  <c r="AE931" i="1"/>
  <c r="AB932" i="1"/>
  <c r="AC932" i="1"/>
  <c r="AD932" i="1"/>
  <c r="AE932" i="1"/>
  <c r="AB933" i="1"/>
  <c r="AC933" i="1"/>
  <c r="AD933" i="1"/>
  <c r="AE933" i="1"/>
  <c r="AB934" i="1"/>
  <c r="AC934" i="1"/>
  <c r="AD934" i="1"/>
  <c r="AE934" i="1"/>
  <c r="AB935" i="1"/>
  <c r="AC935" i="1"/>
  <c r="AD935" i="1"/>
  <c r="AE935" i="1"/>
  <c r="AB936" i="1"/>
  <c r="AC936" i="1"/>
  <c r="AD936" i="1"/>
  <c r="AE936" i="1"/>
  <c r="AB937" i="1"/>
  <c r="AC937" i="1"/>
  <c r="AD937" i="1"/>
  <c r="AE937" i="1"/>
  <c r="AB938" i="1"/>
  <c r="AC938" i="1"/>
  <c r="AD938" i="1"/>
  <c r="AE938" i="1"/>
  <c r="AB939" i="1"/>
  <c r="AC939" i="1"/>
  <c r="AD939" i="1"/>
  <c r="AE939" i="1"/>
  <c r="AB940" i="1"/>
  <c r="AC940" i="1"/>
  <c r="AD940" i="1"/>
  <c r="AE940" i="1"/>
  <c r="AB941" i="1"/>
  <c r="AC941" i="1"/>
  <c r="AD941" i="1"/>
  <c r="AE941" i="1"/>
  <c r="AB942" i="1"/>
  <c r="AC942" i="1"/>
  <c r="AD942" i="1"/>
  <c r="AE942" i="1"/>
  <c r="AB943" i="1"/>
  <c r="AC943" i="1"/>
  <c r="AD943" i="1"/>
  <c r="AE943" i="1"/>
  <c r="AB944" i="1"/>
  <c r="AC944" i="1"/>
  <c r="AD944" i="1"/>
  <c r="AE944" i="1"/>
  <c r="AB945" i="1"/>
  <c r="AC945" i="1"/>
  <c r="AD945" i="1"/>
  <c r="AE945" i="1"/>
  <c r="AB946" i="1"/>
  <c r="AC946" i="1"/>
  <c r="AD946" i="1"/>
  <c r="AE946" i="1"/>
  <c r="AB947" i="1"/>
  <c r="AC947" i="1"/>
  <c r="AD947" i="1"/>
  <c r="AE947" i="1"/>
  <c r="AB948" i="1"/>
  <c r="AC948" i="1"/>
  <c r="AD948" i="1"/>
  <c r="AE948" i="1"/>
  <c r="AB949" i="1"/>
  <c r="AC949" i="1"/>
  <c r="AD949" i="1"/>
  <c r="AE949" i="1"/>
  <c r="AB950" i="1"/>
  <c r="AC950" i="1"/>
  <c r="AD950" i="1"/>
  <c r="AE950" i="1"/>
  <c r="AB951" i="1"/>
  <c r="AC951" i="1"/>
  <c r="AD951" i="1"/>
  <c r="AE951" i="1"/>
  <c r="AB952" i="1"/>
  <c r="AC952" i="1"/>
  <c r="AD952" i="1"/>
  <c r="AE952" i="1"/>
  <c r="AB953" i="1"/>
  <c r="AC953" i="1"/>
  <c r="AD953" i="1"/>
  <c r="AE953" i="1"/>
  <c r="AB954" i="1"/>
  <c r="AC954" i="1"/>
  <c r="AD954" i="1"/>
  <c r="AE954" i="1"/>
  <c r="AB955" i="1"/>
  <c r="AC955" i="1"/>
  <c r="AD955" i="1"/>
  <c r="AE955" i="1"/>
  <c r="AB956" i="1"/>
  <c r="AC956" i="1"/>
  <c r="AD956" i="1"/>
  <c r="AE956" i="1"/>
  <c r="AB957" i="1"/>
  <c r="AC957" i="1"/>
  <c r="AD957" i="1"/>
  <c r="AE957" i="1"/>
  <c r="AB958" i="1"/>
  <c r="AC958" i="1"/>
  <c r="AD958" i="1"/>
  <c r="AE958" i="1"/>
  <c r="AB959" i="1"/>
  <c r="AC959" i="1"/>
  <c r="AD959" i="1"/>
  <c r="AE959" i="1"/>
  <c r="AB960" i="1"/>
  <c r="AC960" i="1"/>
  <c r="AD960" i="1"/>
  <c r="AE960" i="1"/>
  <c r="AB961" i="1"/>
  <c r="AC961" i="1"/>
  <c r="AD961" i="1"/>
  <c r="AE961" i="1"/>
  <c r="AB962" i="1"/>
  <c r="AC962" i="1"/>
  <c r="AD962" i="1"/>
  <c r="AE962" i="1"/>
  <c r="AB963" i="1"/>
  <c r="AC963" i="1"/>
  <c r="AD963" i="1"/>
  <c r="AE963" i="1"/>
  <c r="AB964" i="1"/>
  <c r="AC964" i="1"/>
  <c r="AD964" i="1"/>
  <c r="AE964" i="1"/>
  <c r="AB965" i="1"/>
  <c r="AC965" i="1"/>
  <c r="AD965" i="1"/>
  <c r="AE965" i="1"/>
  <c r="AB966" i="1"/>
  <c r="AC966" i="1"/>
  <c r="AD966" i="1"/>
  <c r="AE966" i="1"/>
  <c r="AB967" i="1"/>
  <c r="AC967" i="1"/>
  <c r="AD967" i="1"/>
  <c r="AE967" i="1"/>
  <c r="AB968" i="1"/>
  <c r="AC968" i="1"/>
  <c r="AD968" i="1"/>
  <c r="AE968" i="1"/>
  <c r="AB969" i="1"/>
  <c r="AC969" i="1"/>
  <c r="AD969" i="1"/>
  <c r="AE969" i="1"/>
  <c r="AB970" i="1"/>
  <c r="AC970" i="1"/>
  <c r="AD970" i="1"/>
  <c r="AE970" i="1"/>
  <c r="AB971" i="1"/>
  <c r="AC971" i="1"/>
  <c r="AD971" i="1"/>
  <c r="AE971" i="1"/>
  <c r="AB972" i="1"/>
  <c r="AC972" i="1"/>
  <c r="AD972" i="1"/>
  <c r="AE972" i="1"/>
  <c r="AB973" i="1"/>
  <c r="AC973" i="1"/>
  <c r="AD973" i="1"/>
  <c r="AE973" i="1"/>
  <c r="AB974" i="1"/>
  <c r="AC974" i="1"/>
  <c r="AD974" i="1"/>
  <c r="AE974" i="1"/>
  <c r="AB975" i="1"/>
  <c r="AC975" i="1"/>
  <c r="AD975" i="1"/>
  <c r="AE975" i="1"/>
  <c r="AB976" i="1"/>
  <c r="AC976" i="1"/>
  <c r="AD976" i="1"/>
  <c r="AE976" i="1"/>
  <c r="AB977" i="1"/>
  <c r="AC977" i="1"/>
  <c r="AD977" i="1"/>
  <c r="AE977" i="1"/>
  <c r="AB978" i="1"/>
  <c r="AC978" i="1"/>
  <c r="AD978" i="1"/>
  <c r="AE978" i="1"/>
  <c r="AB979" i="1"/>
  <c r="AC979" i="1"/>
  <c r="AD979" i="1"/>
  <c r="AE979" i="1"/>
  <c r="AB980" i="1"/>
  <c r="AC980" i="1"/>
  <c r="AD980" i="1"/>
  <c r="AE980" i="1"/>
  <c r="AB981" i="1"/>
  <c r="AC981" i="1"/>
  <c r="AD981" i="1"/>
  <c r="AE981" i="1"/>
  <c r="AB982" i="1"/>
  <c r="AC982" i="1"/>
  <c r="AD982" i="1"/>
  <c r="AE982" i="1"/>
  <c r="AB983" i="1"/>
  <c r="AC983" i="1"/>
  <c r="AD983" i="1"/>
  <c r="AE983" i="1"/>
  <c r="AB984" i="1"/>
  <c r="AC984" i="1"/>
  <c r="AD984" i="1"/>
  <c r="AE984" i="1"/>
  <c r="AB985" i="1"/>
  <c r="AC985" i="1"/>
  <c r="AD985" i="1"/>
  <c r="AE985" i="1"/>
  <c r="AB986" i="1"/>
  <c r="AC986" i="1"/>
  <c r="AD986" i="1"/>
  <c r="AE986" i="1"/>
  <c r="AB987" i="1"/>
  <c r="AC987" i="1"/>
  <c r="AD987" i="1"/>
  <c r="AE987" i="1"/>
  <c r="AB988" i="1"/>
  <c r="AC988" i="1"/>
  <c r="AD988" i="1"/>
  <c r="AE988" i="1"/>
  <c r="AB989" i="1"/>
  <c r="AC989" i="1"/>
  <c r="AD989" i="1"/>
  <c r="AE989" i="1"/>
  <c r="AB990" i="1"/>
  <c r="AC990" i="1"/>
  <c r="AD990" i="1"/>
  <c r="AE990" i="1"/>
  <c r="AB991" i="1"/>
  <c r="AC991" i="1"/>
  <c r="AD991" i="1"/>
  <c r="AE991" i="1"/>
  <c r="AB992" i="1"/>
  <c r="AC992" i="1"/>
  <c r="AD992" i="1"/>
  <c r="AE992" i="1"/>
  <c r="AB993" i="1"/>
  <c r="AC993" i="1"/>
  <c r="AD993" i="1"/>
  <c r="AE993" i="1"/>
  <c r="AB994" i="1"/>
  <c r="AC994" i="1"/>
  <c r="AD994" i="1"/>
  <c r="AE994" i="1"/>
  <c r="AB995" i="1"/>
  <c r="AC995" i="1"/>
  <c r="AD995" i="1"/>
  <c r="AE995" i="1"/>
  <c r="AB996" i="1"/>
  <c r="AC996" i="1"/>
  <c r="AD996" i="1"/>
  <c r="AE996" i="1"/>
  <c r="AB997" i="1"/>
  <c r="AC997" i="1"/>
  <c r="AD997" i="1"/>
  <c r="AE997" i="1"/>
  <c r="AB998" i="1"/>
  <c r="AC998" i="1"/>
  <c r="AD998" i="1"/>
  <c r="AE998" i="1"/>
  <c r="AB999" i="1"/>
  <c r="AC999" i="1"/>
  <c r="AD999" i="1"/>
  <c r="AE999" i="1"/>
  <c r="AB1000" i="1"/>
  <c r="AC1000" i="1"/>
  <c r="AD1000" i="1"/>
  <c r="AE1000" i="1"/>
  <c r="AB1001" i="1"/>
  <c r="AC1001" i="1"/>
  <c r="AD1001" i="1"/>
  <c r="AE1001" i="1"/>
  <c r="AB1002" i="1"/>
  <c r="AC1002" i="1"/>
  <c r="AD1002" i="1"/>
  <c r="AE1002" i="1"/>
  <c r="AB1003" i="1"/>
  <c r="AC1003" i="1"/>
  <c r="AD1003" i="1"/>
  <c r="AE1003" i="1"/>
  <c r="AB1004" i="1"/>
  <c r="AC1004" i="1"/>
  <c r="AD1004" i="1"/>
  <c r="AE1004" i="1"/>
  <c r="AB1005" i="1"/>
  <c r="AC1005" i="1"/>
  <c r="AD1005" i="1"/>
  <c r="AE1005" i="1"/>
  <c r="AB1006" i="1"/>
  <c r="AC1006" i="1"/>
  <c r="AD1006" i="1"/>
  <c r="AE1006" i="1"/>
  <c r="AB1007" i="1"/>
  <c r="AC1007" i="1"/>
  <c r="AD1007" i="1"/>
  <c r="AE1007" i="1"/>
  <c r="AB1008" i="1"/>
  <c r="AC1008" i="1"/>
  <c r="AD1008" i="1"/>
  <c r="AE1008" i="1"/>
  <c r="AB1009" i="1"/>
  <c r="AC1009" i="1"/>
  <c r="AD1009" i="1"/>
  <c r="AE1009" i="1"/>
  <c r="AB1010" i="1"/>
  <c r="AC1010" i="1"/>
  <c r="AD1010" i="1"/>
  <c r="AE1010" i="1"/>
  <c r="AB1011" i="1"/>
  <c r="AC1011" i="1"/>
  <c r="AD1011" i="1"/>
  <c r="AE1011" i="1"/>
  <c r="AB1012" i="1"/>
  <c r="AC1012" i="1"/>
  <c r="AD1012" i="1"/>
  <c r="AE1012" i="1"/>
  <c r="AB1013" i="1"/>
  <c r="AC1013" i="1"/>
  <c r="AD1013" i="1"/>
  <c r="AE1013" i="1"/>
  <c r="AB1014" i="1"/>
  <c r="AC1014" i="1"/>
  <c r="AD1014" i="1"/>
  <c r="AE1014" i="1"/>
  <c r="AB1015" i="1"/>
  <c r="AC1015" i="1"/>
  <c r="AD1015" i="1"/>
  <c r="AE1015" i="1"/>
  <c r="AB1016" i="1"/>
  <c r="AC1016" i="1"/>
  <c r="AD1016" i="1"/>
  <c r="AE1016" i="1"/>
  <c r="AB1017" i="1"/>
  <c r="AC1017" i="1"/>
  <c r="AD1017" i="1"/>
  <c r="AE1017" i="1"/>
  <c r="AB1018" i="1"/>
  <c r="AC1018" i="1"/>
  <c r="AD1018" i="1"/>
  <c r="AE1018" i="1"/>
  <c r="AB1019" i="1"/>
  <c r="AC1019" i="1"/>
  <c r="AD1019" i="1"/>
  <c r="AE1019" i="1"/>
  <c r="AB1020" i="1"/>
  <c r="AC1020" i="1"/>
  <c r="AD1020" i="1"/>
  <c r="AE1020" i="1"/>
  <c r="AB1021" i="1"/>
  <c r="AC1021" i="1"/>
  <c r="AD1021" i="1"/>
  <c r="AE1021" i="1"/>
  <c r="AB1022" i="1"/>
  <c r="AC1022" i="1"/>
  <c r="AD1022" i="1"/>
  <c r="AE1022" i="1"/>
  <c r="AB1023" i="1"/>
  <c r="AC1023" i="1"/>
  <c r="AD1023" i="1"/>
  <c r="AE1023" i="1"/>
  <c r="AB1024" i="1"/>
  <c r="AC1024" i="1"/>
  <c r="AD1024" i="1"/>
  <c r="AE1024" i="1"/>
  <c r="AB1025" i="1"/>
  <c r="AC1025" i="1"/>
  <c r="AD1025" i="1"/>
  <c r="AE1025" i="1"/>
  <c r="AB1026" i="1"/>
  <c r="AC1026" i="1"/>
  <c r="AD1026" i="1"/>
  <c r="AE1026" i="1"/>
  <c r="AB1027" i="1"/>
  <c r="AC1027" i="1"/>
  <c r="AD1027" i="1"/>
  <c r="AE1027" i="1"/>
  <c r="AB1028" i="1"/>
  <c r="AC1028" i="1"/>
  <c r="AD1028" i="1"/>
  <c r="AE1028" i="1"/>
  <c r="AB1029" i="1"/>
  <c r="AC1029" i="1"/>
  <c r="AD1029" i="1"/>
  <c r="AE1029" i="1"/>
  <c r="AB1030" i="1"/>
  <c r="AC1030" i="1"/>
  <c r="AD1030" i="1"/>
  <c r="AE1030" i="1"/>
  <c r="AB1031" i="1"/>
  <c r="AC1031" i="1"/>
  <c r="AD1031" i="1"/>
  <c r="AE1031" i="1"/>
  <c r="AB1032" i="1"/>
  <c r="AC1032" i="1"/>
  <c r="AD1032" i="1"/>
  <c r="AE1032" i="1"/>
  <c r="AB1033" i="1"/>
  <c r="AC1033" i="1"/>
  <c r="AD1033" i="1"/>
  <c r="AE1033" i="1"/>
  <c r="AB1034" i="1"/>
  <c r="AC1034" i="1"/>
  <c r="AD1034" i="1"/>
  <c r="AE1034" i="1"/>
  <c r="AB1035" i="1"/>
  <c r="AC1035" i="1"/>
  <c r="AD1035" i="1"/>
  <c r="AE1035" i="1"/>
  <c r="AB1036" i="1"/>
  <c r="AC1036" i="1"/>
  <c r="AD1036" i="1"/>
  <c r="AE1036" i="1"/>
  <c r="AB1037" i="1"/>
  <c r="AC1037" i="1"/>
  <c r="AD1037" i="1"/>
  <c r="AE1037" i="1"/>
  <c r="AB1038" i="1"/>
  <c r="AC1038" i="1"/>
  <c r="AD1038" i="1"/>
  <c r="AE1038" i="1"/>
  <c r="AB1039" i="1"/>
  <c r="AC1039" i="1"/>
  <c r="AD1039" i="1"/>
  <c r="AE1039" i="1"/>
  <c r="AB1040" i="1"/>
  <c r="AC1040" i="1"/>
  <c r="AD1040" i="1"/>
  <c r="AE1040" i="1"/>
  <c r="AB1041" i="1"/>
  <c r="AC1041" i="1"/>
  <c r="AD1041" i="1"/>
  <c r="AE1041" i="1"/>
  <c r="AB1042" i="1"/>
  <c r="AC1042" i="1"/>
  <c r="AD1042" i="1"/>
  <c r="AE1042" i="1"/>
  <c r="AB1043" i="1"/>
  <c r="AC1043" i="1"/>
  <c r="AD1043" i="1"/>
  <c r="AE1043" i="1"/>
  <c r="AB1044" i="1"/>
  <c r="AC1044" i="1"/>
  <c r="AD1044" i="1"/>
  <c r="AE1044" i="1"/>
  <c r="AB1045" i="1"/>
  <c r="AC1045" i="1"/>
  <c r="AD1045" i="1"/>
  <c r="AE1045" i="1"/>
  <c r="AB1046" i="1"/>
  <c r="AC1046" i="1"/>
  <c r="AD1046" i="1"/>
  <c r="AE1046" i="1"/>
  <c r="AB1047" i="1"/>
  <c r="AC1047" i="1"/>
  <c r="AD1047" i="1"/>
  <c r="AE1047" i="1"/>
  <c r="AB1048" i="1"/>
  <c r="AC1048" i="1"/>
  <c r="AD1048" i="1"/>
  <c r="AE1048" i="1"/>
  <c r="AB1049" i="1"/>
  <c r="AC1049" i="1"/>
  <c r="AD1049" i="1"/>
  <c r="AE1049" i="1"/>
  <c r="AB1050" i="1"/>
  <c r="AC1050" i="1"/>
  <c r="AD1050" i="1"/>
  <c r="AE1050" i="1"/>
  <c r="AB1051" i="1"/>
  <c r="AC1051" i="1"/>
  <c r="AD1051" i="1"/>
  <c r="AE1051" i="1"/>
  <c r="AB1052" i="1"/>
  <c r="AC1052" i="1"/>
  <c r="AD1052" i="1"/>
  <c r="AE1052" i="1"/>
  <c r="AB1053" i="1"/>
  <c r="AC1053" i="1"/>
  <c r="AD1053" i="1"/>
  <c r="AE1053" i="1"/>
  <c r="AB1054" i="1"/>
  <c r="AC1054" i="1"/>
  <c r="AD1054" i="1"/>
  <c r="AE1054" i="1"/>
  <c r="AB1055" i="1"/>
  <c r="AC1055" i="1"/>
  <c r="AD1055" i="1"/>
  <c r="AE1055" i="1"/>
  <c r="AB1056" i="1"/>
  <c r="AC1056" i="1"/>
  <c r="AD1056" i="1"/>
  <c r="AE1056" i="1"/>
  <c r="AB1057" i="1"/>
  <c r="AC1057" i="1"/>
  <c r="AD1057" i="1"/>
  <c r="AE1057" i="1"/>
  <c r="AB1058" i="1"/>
  <c r="AC1058" i="1"/>
  <c r="AD1058" i="1"/>
  <c r="AE1058" i="1"/>
  <c r="AB1059" i="1"/>
  <c r="AC1059" i="1"/>
  <c r="AD1059" i="1"/>
  <c r="AE1059" i="1"/>
  <c r="AB1060" i="1"/>
  <c r="AC1060" i="1"/>
  <c r="AD1060" i="1"/>
  <c r="AE1060" i="1"/>
  <c r="AB1061" i="1"/>
  <c r="AC1061" i="1"/>
  <c r="AD1061" i="1"/>
  <c r="AE1061" i="1"/>
  <c r="AB1062" i="1"/>
  <c r="AC1062" i="1"/>
  <c r="AD1062" i="1"/>
  <c r="AE1062" i="1"/>
  <c r="AB1063" i="1"/>
  <c r="AC1063" i="1"/>
  <c r="AD1063" i="1"/>
  <c r="AE1063" i="1"/>
  <c r="AB1064" i="1"/>
  <c r="AC1064" i="1"/>
  <c r="AD1064" i="1"/>
  <c r="AE1064" i="1"/>
  <c r="AB1065" i="1"/>
  <c r="AC1065" i="1"/>
  <c r="AD1065" i="1"/>
  <c r="AE1065" i="1"/>
  <c r="AB1066" i="1"/>
  <c r="AC1066" i="1"/>
  <c r="AD1066" i="1"/>
  <c r="AE1066" i="1"/>
  <c r="AB1067" i="1"/>
  <c r="AC1067" i="1"/>
  <c r="AD1067" i="1"/>
  <c r="AE1067" i="1"/>
  <c r="AB1068" i="1"/>
  <c r="AC1068" i="1"/>
  <c r="AD1068" i="1"/>
  <c r="AE1068" i="1"/>
  <c r="AB1069" i="1"/>
  <c r="AC1069" i="1"/>
  <c r="AD1069" i="1"/>
  <c r="AE1069" i="1"/>
  <c r="AB1070" i="1"/>
  <c r="AC1070" i="1"/>
  <c r="AD1070" i="1"/>
  <c r="AE1070" i="1"/>
  <c r="AB1071" i="1"/>
  <c r="AC1071" i="1"/>
  <c r="AD1071" i="1"/>
  <c r="AE1071" i="1"/>
  <c r="AB1072" i="1"/>
  <c r="AC1072" i="1"/>
  <c r="AD1072" i="1"/>
  <c r="AE1072" i="1"/>
  <c r="AB1073" i="1"/>
  <c r="AC1073" i="1"/>
  <c r="AD1073" i="1"/>
  <c r="AE1073" i="1"/>
  <c r="AB1074" i="1"/>
  <c r="AC1074" i="1"/>
  <c r="AD1074" i="1"/>
  <c r="AE1074" i="1"/>
  <c r="AB1075" i="1"/>
  <c r="AC1075" i="1"/>
  <c r="AD1075" i="1"/>
  <c r="AE1075" i="1"/>
  <c r="AB1076" i="1"/>
  <c r="AC1076" i="1"/>
  <c r="AD1076" i="1"/>
  <c r="AE1076" i="1"/>
  <c r="AB1077" i="1"/>
  <c r="AC1077" i="1"/>
  <c r="AD1077" i="1"/>
  <c r="AE1077" i="1"/>
  <c r="AB1078" i="1"/>
  <c r="AC1078" i="1"/>
  <c r="AD1078" i="1"/>
  <c r="AE1078" i="1"/>
  <c r="AB1079" i="1"/>
  <c r="AC1079" i="1"/>
  <c r="AD1079" i="1"/>
  <c r="AE1079" i="1"/>
  <c r="AB1080" i="1"/>
  <c r="AC1080" i="1"/>
  <c r="AD1080" i="1"/>
  <c r="AE1080" i="1"/>
  <c r="AB1081" i="1"/>
  <c r="AC1081" i="1"/>
  <c r="AD1081" i="1"/>
  <c r="AE1081" i="1"/>
  <c r="AB1082" i="1"/>
  <c r="AC1082" i="1"/>
  <c r="AD1082" i="1"/>
  <c r="AE1082" i="1"/>
  <c r="AB1083" i="1"/>
  <c r="AC1083" i="1"/>
  <c r="AD1083" i="1"/>
  <c r="AE1083" i="1"/>
  <c r="AB1084" i="1"/>
  <c r="AC1084" i="1"/>
  <c r="AD1084" i="1"/>
  <c r="AE1084" i="1"/>
  <c r="AB1085" i="1"/>
  <c r="AC1085" i="1"/>
  <c r="AD1085" i="1"/>
  <c r="AE1085" i="1"/>
  <c r="AB1086" i="1"/>
  <c r="AC1086" i="1"/>
  <c r="AD1086" i="1"/>
  <c r="AE1086" i="1"/>
  <c r="AB1087" i="1"/>
  <c r="AC1087" i="1"/>
  <c r="AD1087" i="1"/>
  <c r="AE1087" i="1"/>
  <c r="AB1088" i="1"/>
  <c r="AC1088" i="1"/>
  <c r="AD1088" i="1"/>
  <c r="AE1088" i="1"/>
  <c r="AB1089" i="1"/>
  <c r="AC1089" i="1"/>
  <c r="AD1089" i="1"/>
  <c r="AE1089" i="1"/>
  <c r="AB1090" i="1"/>
  <c r="AC1090" i="1"/>
  <c r="AD1090" i="1"/>
  <c r="AE1090" i="1"/>
  <c r="AB1091" i="1"/>
  <c r="AC1091" i="1"/>
  <c r="AD1091" i="1"/>
  <c r="AE1091" i="1"/>
  <c r="AB1092" i="1"/>
  <c r="AC1092" i="1"/>
  <c r="AD1092" i="1"/>
  <c r="AE1092" i="1"/>
  <c r="AB1093" i="1"/>
  <c r="AC1093" i="1"/>
  <c r="AD1093" i="1"/>
  <c r="AE1093" i="1"/>
  <c r="AB1094" i="1"/>
  <c r="AC1094" i="1"/>
  <c r="AD1094" i="1"/>
  <c r="AE1094" i="1"/>
  <c r="AB1095" i="1"/>
  <c r="AC1095" i="1"/>
  <c r="AD1095" i="1"/>
  <c r="AE1095" i="1"/>
  <c r="AB1096" i="1"/>
  <c r="AC1096" i="1"/>
  <c r="AD1096" i="1"/>
  <c r="AE1096" i="1"/>
  <c r="AB1097" i="1"/>
  <c r="AC1097" i="1"/>
  <c r="AD1097" i="1"/>
  <c r="AE1097" i="1"/>
  <c r="AB1098" i="1"/>
  <c r="AC1098" i="1"/>
  <c r="AD1098" i="1"/>
  <c r="AE1098" i="1"/>
  <c r="AB1099" i="1"/>
  <c r="AC1099" i="1"/>
  <c r="AD1099" i="1"/>
  <c r="AE1099" i="1"/>
  <c r="AB1100" i="1"/>
  <c r="AC1100" i="1"/>
  <c r="AD1100" i="1"/>
  <c r="AE1100" i="1"/>
  <c r="AB1101" i="1"/>
  <c r="AC1101" i="1"/>
  <c r="AD1101" i="1"/>
  <c r="AE1101" i="1"/>
  <c r="AB1102" i="1"/>
  <c r="AC1102" i="1"/>
  <c r="AD1102" i="1"/>
  <c r="AE1102" i="1"/>
  <c r="AB1103" i="1"/>
  <c r="AC1103" i="1"/>
  <c r="AD1103" i="1"/>
  <c r="AE1103" i="1"/>
  <c r="AB1104" i="1"/>
  <c r="AC1104" i="1"/>
  <c r="AD1104" i="1"/>
  <c r="AE1104" i="1"/>
  <c r="AB1105" i="1"/>
  <c r="AC1105" i="1"/>
  <c r="AD1105" i="1"/>
  <c r="AE1105" i="1"/>
  <c r="AB1106" i="1"/>
  <c r="AC1106" i="1"/>
  <c r="AD1106" i="1"/>
  <c r="AE1106" i="1"/>
  <c r="AB1107" i="1"/>
  <c r="AC1107" i="1"/>
  <c r="AD1107" i="1"/>
  <c r="AE1107" i="1"/>
  <c r="AB1108" i="1"/>
  <c r="AC1108" i="1"/>
  <c r="AD1108" i="1"/>
  <c r="AE1108" i="1"/>
  <c r="AB1109" i="1"/>
  <c r="AC1109" i="1"/>
  <c r="AD1109" i="1"/>
  <c r="AE1109" i="1"/>
  <c r="AB1110" i="1"/>
  <c r="AC1110" i="1"/>
  <c r="AD1110" i="1"/>
  <c r="AE1110" i="1"/>
  <c r="AB1111" i="1"/>
  <c r="AC1111" i="1"/>
  <c r="AD1111" i="1"/>
  <c r="AE1111" i="1"/>
  <c r="AB1112" i="1"/>
  <c r="AC1112" i="1"/>
  <c r="AD1112" i="1"/>
  <c r="AE1112" i="1"/>
  <c r="AB1113" i="1"/>
  <c r="AC1113" i="1"/>
  <c r="AD1113" i="1"/>
  <c r="AE1113" i="1"/>
  <c r="AB1114" i="1"/>
  <c r="AC1114" i="1"/>
  <c r="AD1114" i="1"/>
  <c r="AE1114" i="1"/>
  <c r="AB1115" i="1"/>
  <c r="AC1115" i="1"/>
  <c r="AD1115" i="1"/>
  <c r="AE1115" i="1"/>
  <c r="AB1116" i="1"/>
  <c r="AC1116" i="1"/>
  <c r="AD1116" i="1"/>
  <c r="AE1116" i="1"/>
  <c r="AB1117" i="1"/>
  <c r="AC1117" i="1"/>
  <c r="AD1117" i="1"/>
  <c r="AE1117" i="1"/>
  <c r="AB1118" i="1"/>
  <c r="AC1118" i="1"/>
  <c r="AD1118" i="1"/>
  <c r="AE1118" i="1"/>
  <c r="AB1119" i="1"/>
  <c r="AC1119" i="1"/>
  <c r="AD1119" i="1"/>
  <c r="AE1119" i="1"/>
  <c r="AB1120" i="1"/>
  <c r="AC1120" i="1"/>
  <c r="AD1120" i="1"/>
  <c r="AE1120" i="1"/>
  <c r="AB1121" i="1"/>
  <c r="AC1121" i="1"/>
  <c r="AD1121" i="1"/>
  <c r="AE1121" i="1"/>
  <c r="AB1122" i="1"/>
  <c r="AC1122" i="1"/>
  <c r="AD1122" i="1"/>
  <c r="AE1122" i="1"/>
  <c r="AB1123" i="1"/>
  <c r="AC1123" i="1"/>
  <c r="AD1123" i="1"/>
  <c r="AE1123" i="1"/>
  <c r="AB1124" i="1"/>
  <c r="AC1124" i="1"/>
  <c r="AD1124" i="1"/>
  <c r="AE1124" i="1"/>
  <c r="AB1125" i="1"/>
  <c r="AC1125" i="1"/>
  <c r="AD1125" i="1"/>
  <c r="AE1125" i="1"/>
  <c r="AB1126" i="1"/>
  <c r="AC1126" i="1"/>
  <c r="AD1126" i="1"/>
  <c r="AE1126" i="1"/>
  <c r="AB1127" i="1"/>
  <c r="AC1127" i="1"/>
  <c r="AD1127" i="1"/>
  <c r="AE1127" i="1"/>
  <c r="AB1128" i="1"/>
  <c r="AC1128" i="1"/>
  <c r="AD1128" i="1"/>
  <c r="AE1128" i="1"/>
  <c r="AB1129" i="1"/>
  <c r="AC1129" i="1"/>
  <c r="AD1129" i="1"/>
  <c r="AE1129" i="1"/>
  <c r="AB1130" i="1"/>
  <c r="AC1130" i="1"/>
  <c r="AD1130" i="1"/>
  <c r="AE1130" i="1"/>
  <c r="AB1131" i="1"/>
  <c r="AC1131" i="1"/>
  <c r="AD1131" i="1"/>
  <c r="AE1131" i="1"/>
  <c r="AB1132" i="1"/>
  <c r="AC1132" i="1"/>
  <c r="AD1132" i="1"/>
  <c r="AE1132" i="1"/>
  <c r="AB1133" i="1"/>
  <c r="AC1133" i="1"/>
  <c r="AD1133" i="1"/>
  <c r="AE1133" i="1"/>
  <c r="AB1134" i="1"/>
  <c r="AC1134" i="1"/>
  <c r="AD1134" i="1"/>
  <c r="AE1134" i="1"/>
  <c r="AB1135" i="1"/>
  <c r="AC1135" i="1"/>
  <c r="AD1135" i="1"/>
  <c r="AE1135" i="1"/>
  <c r="AB1136" i="1"/>
  <c r="AC1136" i="1"/>
  <c r="AD1136" i="1"/>
  <c r="AE1136" i="1"/>
  <c r="AB1137" i="1"/>
  <c r="AC1137" i="1"/>
  <c r="AD1137" i="1"/>
  <c r="AE1137" i="1"/>
  <c r="AB1138" i="1"/>
  <c r="AC1138" i="1"/>
  <c r="AD1138" i="1"/>
  <c r="AE1138" i="1"/>
  <c r="AB1139" i="1"/>
  <c r="AC1139" i="1"/>
  <c r="AD1139" i="1"/>
  <c r="AE1139" i="1"/>
  <c r="AB1140" i="1"/>
  <c r="AC1140" i="1"/>
  <c r="AD1140" i="1"/>
  <c r="AE1140" i="1"/>
  <c r="AB1141" i="1"/>
  <c r="AC1141" i="1"/>
  <c r="AD1141" i="1"/>
  <c r="AE1141" i="1"/>
  <c r="AB1142" i="1"/>
  <c r="AC1142" i="1"/>
  <c r="AD1142" i="1"/>
  <c r="AE1142" i="1"/>
  <c r="AB1143" i="1"/>
  <c r="AC1143" i="1"/>
  <c r="AD1143" i="1"/>
  <c r="AE1143" i="1"/>
  <c r="AB1144" i="1"/>
  <c r="AC1144" i="1"/>
  <c r="AD1144" i="1"/>
  <c r="AE1144" i="1"/>
  <c r="AB1145" i="1"/>
  <c r="AC1145" i="1"/>
  <c r="AD1145" i="1"/>
  <c r="AE1145" i="1"/>
  <c r="AB1146" i="1"/>
  <c r="AC1146" i="1"/>
  <c r="AD1146" i="1"/>
  <c r="AE1146" i="1"/>
  <c r="AB1147" i="1"/>
  <c r="AC1147" i="1"/>
  <c r="AD1147" i="1"/>
  <c r="AE1147" i="1"/>
  <c r="AB1148" i="1"/>
  <c r="AC1148" i="1"/>
  <c r="AD1148" i="1"/>
  <c r="AE1148" i="1"/>
  <c r="AB1149" i="1"/>
  <c r="AC1149" i="1"/>
  <c r="AD1149" i="1"/>
  <c r="AE1149" i="1"/>
  <c r="AB1150" i="1"/>
  <c r="AC1150" i="1"/>
  <c r="AD1150" i="1"/>
  <c r="AE1150" i="1"/>
  <c r="AB1151" i="1"/>
  <c r="AC1151" i="1"/>
  <c r="AD1151" i="1"/>
  <c r="AE1151" i="1"/>
  <c r="AB1152" i="1"/>
  <c r="AC1152" i="1"/>
  <c r="AD1152" i="1"/>
  <c r="AE1152" i="1"/>
  <c r="AB1153" i="1"/>
  <c r="AC1153" i="1"/>
  <c r="AD1153" i="1"/>
  <c r="AE1153" i="1"/>
  <c r="AB1154" i="1"/>
  <c r="AC1154" i="1"/>
  <c r="AD1154" i="1"/>
  <c r="AE1154" i="1"/>
  <c r="AB1155" i="1"/>
  <c r="AC1155" i="1"/>
  <c r="AD1155" i="1"/>
  <c r="AE1155" i="1"/>
  <c r="AB1156" i="1"/>
  <c r="AC1156" i="1"/>
  <c r="AD1156" i="1"/>
  <c r="AE1156" i="1"/>
  <c r="AB1157" i="1"/>
  <c r="AC1157" i="1"/>
  <c r="AD1157" i="1"/>
  <c r="AE1157" i="1"/>
  <c r="AB1158" i="1"/>
  <c r="AC1158" i="1"/>
  <c r="AD1158" i="1"/>
  <c r="AE1158" i="1"/>
  <c r="AB1159" i="1"/>
  <c r="AC1159" i="1"/>
  <c r="AD1159" i="1"/>
  <c r="AE1159" i="1"/>
  <c r="AB1160" i="1"/>
  <c r="AC1160" i="1"/>
  <c r="AD1160" i="1"/>
  <c r="AE1160" i="1"/>
  <c r="AB1161" i="1"/>
  <c r="AC1161" i="1"/>
  <c r="AD1161" i="1"/>
  <c r="AE1161" i="1"/>
  <c r="AB1162" i="1"/>
  <c r="AC1162" i="1"/>
  <c r="AD1162" i="1"/>
  <c r="AE1162" i="1"/>
  <c r="AB1163" i="1"/>
  <c r="AC1163" i="1"/>
  <c r="AD1163" i="1"/>
  <c r="AE1163" i="1"/>
  <c r="AB1164" i="1"/>
  <c r="AC1164" i="1"/>
  <c r="AD1164" i="1"/>
  <c r="AE1164" i="1"/>
  <c r="AB1165" i="1"/>
  <c r="AC1165" i="1"/>
  <c r="AD1165" i="1"/>
  <c r="AE1165" i="1"/>
  <c r="AB1166" i="1"/>
  <c r="AC1166" i="1"/>
  <c r="AD1166" i="1"/>
  <c r="AE1166" i="1"/>
  <c r="AB1167" i="1"/>
  <c r="AC1167" i="1"/>
  <c r="AD1167" i="1"/>
  <c r="AE1167" i="1"/>
  <c r="AB1168" i="1"/>
  <c r="AC1168" i="1"/>
  <c r="AD1168" i="1"/>
  <c r="AE1168" i="1"/>
  <c r="AB1169" i="1"/>
  <c r="AC1169" i="1"/>
  <c r="AD1169" i="1"/>
  <c r="AE1169" i="1"/>
  <c r="AB1170" i="1"/>
  <c r="AC1170" i="1"/>
  <c r="AD1170" i="1"/>
  <c r="AE1170" i="1"/>
  <c r="AB1171" i="1"/>
  <c r="AC1171" i="1"/>
  <c r="AD1171" i="1"/>
  <c r="AE1171" i="1"/>
  <c r="AB1172" i="1"/>
  <c r="AC1172" i="1"/>
  <c r="AD1172" i="1"/>
  <c r="AE1172" i="1"/>
  <c r="AB1173" i="1"/>
  <c r="AC1173" i="1"/>
  <c r="AD1173" i="1"/>
  <c r="AE1173" i="1"/>
  <c r="AB1174" i="1"/>
  <c r="AC1174" i="1"/>
  <c r="AD1174" i="1"/>
  <c r="AE1174" i="1"/>
  <c r="AB1175" i="1"/>
  <c r="AC1175" i="1"/>
  <c r="AD1175" i="1"/>
  <c r="AE1175" i="1"/>
  <c r="AB1176" i="1"/>
  <c r="AC1176" i="1"/>
  <c r="AD1176" i="1"/>
  <c r="AE1176" i="1"/>
  <c r="AB1177" i="1"/>
  <c r="AC1177" i="1"/>
  <c r="AD1177" i="1"/>
  <c r="AE1177" i="1"/>
  <c r="AB1178" i="1"/>
  <c r="AC1178" i="1"/>
  <c r="AD1178" i="1"/>
  <c r="AE1178" i="1"/>
  <c r="AB1179" i="1"/>
  <c r="AC1179" i="1"/>
  <c r="AD1179" i="1"/>
  <c r="AE1179" i="1"/>
  <c r="AB1180" i="1"/>
  <c r="AC1180" i="1"/>
  <c r="AD1180" i="1"/>
  <c r="AE1180" i="1"/>
  <c r="AB1181" i="1"/>
  <c r="AC1181" i="1"/>
  <c r="AD1181" i="1"/>
  <c r="AE1181" i="1"/>
  <c r="AB1182" i="1"/>
  <c r="AC1182" i="1"/>
  <c r="AD1182" i="1"/>
  <c r="AE1182" i="1"/>
  <c r="AB1183" i="1"/>
  <c r="AC1183" i="1"/>
  <c r="AD1183" i="1"/>
  <c r="AE1183" i="1"/>
  <c r="AB1184" i="1"/>
  <c r="AC1184" i="1"/>
  <c r="AD1184" i="1"/>
  <c r="AE1184" i="1"/>
  <c r="AB1185" i="1"/>
  <c r="AC1185" i="1"/>
  <c r="AD1185" i="1"/>
  <c r="AE1185" i="1"/>
  <c r="AB1186" i="1"/>
  <c r="AC1186" i="1"/>
  <c r="AD1186" i="1"/>
  <c r="AE1186" i="1"/>
  <c r="AB1187" i="1"/>
  <c r="AC1187" i="1"/>
  <c r="AD1187" i="1"/>
  <c r="AE1187" i="1"/>
  <c r="AB1188" i="1"/>
  <c r="AC1188" i="1"/>
  <c r="AD1188" i="1"/>
  <c r="AE1188" i="1"/>
  <c r="AB1189" i="1"/>
  <c r="AC1189" i="1"/>
  <c r="AD1189" i="1"/>
  <c r="AE1189" i="1"/>
  <c r="AB1190" i="1"/>
  <c r="AC1190" i="1"/>
  <c r="AD1190" i="1"/>
  <c r="AE1190" i="1"/>
  <c r="AB1191" i="1"/>
  <c r="AC1191" i="1"/>
  <c r="AD1191" i="1"/>
  <c r="AE1191" i="1"/>
  <c r="AB1192" i="1"/>
  <c r="AC1192" i="1"/>
  <c r="AD1192" i="1"/>
  <c r="AE1192" i="1"/>
  <c r="AB1193" i="1"/>
  <c r="AC1193" i="1"/>
  <c r="AD1193" i="1"/>
  <c r="AE1193" i="1"/>
  <c r="AB1194" i="1"/>
  <c r="AC1194" i="1"/>
  <c r="AD1194" i="1"/>
  <c r="AE1194" i="1"/>
  <c r="AB1195" i="1"/>
  <c r="AC1195" i="1"/>
  <c r="AD1195" i="1"/>
  <c r="AE1195" i="1"/>
  <c r="AB1196" i="1"/>
  <c r="AC1196" i="1"/>
  <c r="AD1196" i="1"/>
  <c r="AE1196" i="1"/>
  <c r="AB1197" i="1"/>
  <c r="AC1197" i="1"/>
  <c r="AD1197" i="1"/>
  <c r="AE1197" i="1"/>
  <c r="AB1198" i="1"/>
  <c r="AC1198" i="1"/>
  <c r="AD1198" i="1"/>
  <c r="AE1198" i="1"/>
  <c r="AB1199" i="1"/>
  <c r="AC1199" i="1"/>
  <c r="AD1199" i="1"/>
  <c r="AE1199" i="1"/>
  <c r="AB1200" i="1"/>
  <c r="AC1200" i="1"/>
  <c r="AD1200" i="1"/>
  <c r="AE1200" i="1"/>
  <c r="AB1201" i="1"/>
  <c r="AC1201" i="1"/>
  <c r="AD1201" i="1"/>
  <c r="AE1201" i="1"/>
  <c r="AB1202" i="1"/>
  <c r="AC1202" i="1"/>
  <c r="AD1202" i="1"/>
  <c r="AE1202" i="1"/>
  <c r="AB1203" i="1"/>
  <c r="AC1203" i="1"/>
  <c r="AD1203" i="1"/>
  <c r="AE1203" i="1"/>
  <c r="AB1204" i="1"/>
  <c r="AC1204" i="1"/>
  <c r="AD1204" i="1"/>
  <c r="AE1204" i="1"/>
  <c r="AB1205" i="1"/>
  <c r="AC1205" i="1"/>
  <c r="AD1205" i="1"/>
  <c r="AE1205" i="1"/>
  <c r="AB1206" i="1"/>
  <c r="AC1206" i="1"/>
  <c r="AD1206" i="1"/>
  <c r="AE1206" i="1"/>
  <c r="AB1207" i="1"/>
  <c r="AC1207" i="1"/>
  <c r="AD1207" i="1"/>
  <c r="AE1207" i="1"/>
  <c r="AB1208" i="1"/>
  <c r="AC1208" i="1"/>
  <c r="AD1208" i="1"/>
  <c r="AE1208" i="1"/>
  <c r="AB1209" i="1"/>
  <c r="AC1209" i="1"/>
  <c r="AD1209" i="1"/>
  <c r="AE1209" i="1"/>
  <c r="AB1210" i="1"/>
  <c r="AC1210" i="1"/>
  <c r="AD1210" i="1"/>
  <c r="AE1210" i="1"/>
  <c r="AB1211" i="1"/>
  <c r="AC1211" i="1"/>
  <c r="AD1211" i="1"/>
  <c r="AE1211" i="1"/>
  <c r="AB1212" i="1"/>
  <c r="AC1212" i="1"/>
  <c r="AD1212" i="1"/>
  <c r="AE1212" i="1"/>
  <c r="AB1213" i="1"/>
  <c r="AC1213" i="1"/>
  <c r="AD1213" i="1"/>
  <c r="AE1213" i="1"/>
  <c r="AB1214" i="1"/>
  <c r="AC1214" i="1"/>
  <c r="AD1214" i="1"/>
  <c r="AE1214" i="1"/>
  <c r="AB1215" i="1"/>
  <c r="AC1215" i="1"/>
  <c r="AD1215" i="1"/>
  <c r="AE1215" i="1"/>
  <c r="AB1216" i="1"/>
  <c r="AC1216" i="1"/>
  <c r="AD1216" i="1"/>
  <c r="AE1216" i="1"/>
  <c r="AB1217" i="1"/>
  <c r="AC1217" i="1"/>
  <c r="AD1217" i="1"/>
  <c r="AE1217" i="1"/>
  <c r="AB1218" i="1"/>
  <c r="AC1218" i="1"/>
  <c r="AD1218" i="1"/>
  <c r="AE1218" i="1"/>
  <c r="AB1219" i="1"/>
  <c r="AC1219" i="1"/>
  <c r="AD1219" i="1"/>
  <c r="AE1219" i="1"/>
  <c r="AB1220" i="1"/>
  <c r="AC1220" i="1"/>
  <c r="AD1220" i="1"/>
  <c r="AE1220" i="1"/>
  <c r="AB1221" i="1"/>
  <c r="AC1221" i="1"/>
  <c r="AD1221" i="1"/>
  <c r="AE1221" i="1"/>
  <c r="AB1222" i="1"/>
  <c r="AC1222" i="1"/>
  <c r="AD1222" i="1"/>
  <c r="AE1222" i="1"/>
  <c r="AB1223" i="1"/>
  <c r="AC1223" i="1"/>
  <c r="AD1223" i="1"/>
  <c r="AE1223" i="1"/>
  <c r="AB1224" i="1"/>
  <c r="AC1224" i="1"/>
  <c r="AD1224" i="1"/>
  <c r="AE1224" i="1"/>
  <c r="AB1225" i="1"/>
  <c r="AC1225" i="1"/>
  <c r="AD1225" i="1"/>
  <c r="AE1225" i="1"/>
  <c r="AB1226" i="1"/>
  <c r="AC1226" i="1"/>
  <c r="AD1226" i="1"/>
  <c r="AE1226" i="1"/>
  <c r="AB1227" i="1"/>
  <c r="AC1227" i="1"/>
  <c r="AD1227" i="1"/>
  <c r="AE1227" i="1"/>
  <c r="AB1228" i="1"/>
  <c r="AC1228" i="1"/>
  <c r="AD1228" i="1"/>
  <c r="AE1228" i="1"/>
  <c r="AB1229" i="1"/>
  <c r="AC1229" i="1"/>
  <c r="AD1229" i="1"/>
  <c r="AE1229" i="1"/>
  <c r="AB1230" i="1"/>
  <c r="AC1230" i="1"/>
  <c r="AD1230" i="1"/>
  <c r="AE1230" i="1"/>
  <c r="AB1231" i="1"/>
  <c r="AC1231" i="1"/>
  <c r="AD1231" i="1"/>
  <c r="AE1231" i="1"/>
  <c r="AB1232" i="1"/>
  <c r="AC1232" i="1"/>
  <c r="AD1232" i="1"/>
  <c r="AE1232" i="1"/>
  <c r="AB1233" i="1"/>
  <c r="AC1233" i="1"/>
  <c r="AD1233" i="1"/>
  <c r="AE1233" i="1"/>
  <c r="AB1234" i="1"/>
  <c r="AC1234" i="1"/>
  <c r="AD1234" i="1"/>
  <c r="AE1234" i="1"/>
  <c r="AB1235" i="1"/>
  <c r="AC1235" i="1"/>
  <c r="AD1235" i="1"/>
  <c r="AE1235" i="1"/>
  <c r="AB1236" i="1"/>
  <c r="AC1236" i="1"/>
  <c r="AD1236" i="1"/>
  <c r="AE1236" i="1"/>
  <c r="AB1237" i="1"/>
  <c r="AC1237" i="1"/>
  <c r="AD1237" i="1"/>
  <c r="AE1237" i="1"/>
  <c r="AB1238" i="1"/>
  <c r="AC1238" i="1"/>
  <c r="AD1238" i="1"/>
  <c r="AE1238" i="1"/>
  <c r="AB1239" i="1"/>
  <c r="AC1239" i="1"/>
  <c r="AD1239" i="1"/>
  <c r="AE1239" i="1"/>
  <c r="AB1240" i="1"/>
  <c r="AC1240" i="1"/>
  <c r="AD1240" i="1"/>
  <c r="AE1240" i="1"/>
  <c r="AB1241" i="1"/>
  <c r="AC1241" i="1"/>
  <c r="AD1241" i="1"/>
  <c r="AE1241" i="1"/>
  <c r="AB1242" i="1"/>
  <c r="AC1242" i="1"/>
  <c r="AD1242" i="1"/>
  <c r="AE1242" i="1"/>
  <c r="AB1243" i="1"/>
  <c r="AC1243" i="1"/>
  <c r="AD1243" i="1"/>
  <c r="AE1243" i="1"/>
  <c r="AB1244" i="1"/>
  <c r="AC1244" i="1"/>
  <c r="AD1244" i="1"/>
  <c r="AE1244" i="1"/>
  <c r="AB1245" i="1"/>
  <c r="AC1245" i="1"/>
  <c r="AD1245" i="1"/>
  <c r="AE1245" i="1"/>
  <c r="AB1246" i="1"/>
  <c r="AC1246" i="1"/>
  <c r="AD1246" i="1"/>
  <c r="AE1246" i="1"/>
  <c r="AB1247" i="1"/>
  <c r="AC1247" i="1"/>
  <c r="AD1247" i="1"/>
  <c r="AE1247" i="1"/>
  <c r="AB1248" i="1"/>
  <c r="AC1248" i="1"/>
  <c r="AD1248" i="1"/>
  <c r="AE1248" i="1"/>
  <c r="AB1249" i="1"/>
  <c r="AC1249" i="1"/>
  <c r="AD1249" i="1"/>
  <c r="AE1249" i="1"/>
  <c r="AB1250" i="1"/>
  <c r="AC1250" i="1"/>
  <c r="AD1250" i="1"/>
  <c r="AE1250" i="1"/>
  <c r="AB1251" i="1"/>
  <c r="AC1251" i="1"/>
  <c r="AD1251" i="1"/>
  <c r="AE1251" i="1"/>
  <c r="AB1252" i="1"/>
  <c r="AC1252" i="1"/>
  <c r="AD1252" i="1"/>
  <c r="AE1252" i="1"/>
  <c r="AB1253" i="1"/>
  <c r="AC1253" i="1"/>
  <c r="AD1253" i="1"/>
  <c r="AE1253" i="1"/>
  <c r="AB1254" i="1"/>
  <c r="AC1254" i="1"/>
  <c r="AD1254" i="1"/>
  <c r="AE1254" i="1"/>
  <c r="AB1255" i="1"/>
  <c r="AC1255" i="1"/>
  <c r="AD1255" i="1"/>
  <c r="AE1255" i="1"/>
  <c r="AB1256" i="1"/>
  <c r="AC1256" i="1"/>
  <c r="AD1256" i="1"/>
  <c r="AE1256" i="1"/>
  <c r="AB1257" i="1"/>
  <c r="AC1257" i="1"/>
  <c r="AD1257" i="1"/>
  <c r="AE1257" i="1"/>
  <c r="AB1258" i="1"/>
  <c r="AC1258" i="1"/>
  <c r="AD1258" i="1"/>
  <c r="AE1258" i="1"/>
  <c r="AB1259" i="1"/>
  <c r="AC1259" i="1"/>
  <c r="AD1259" i="1"/>
  <c r="AE1259" i="1"/>
  <c r="AB1260" i="1"/>
  <c r="AC1260" i="1"/>
  <c r="AD1260" i="1"/>
  <c r="AE1260" i="1"/>
  <c r="AB1261" i="1"/>
  <c r="AC1261" i="1"/>
  <c r="AD1261" i="1"/>
  <c r="AE1261" i="1"/>
  <c r="AB1262" i="1"/>
  <c r="AC1262" i="1"/>
  <c r="AD1262" i="1"/>
  <c r="AE1262" i="1"/>
  <c r="AB1263" i="1"/>
  <c r="AC1263" i="1"/>
  <c r="AD1263" i="1"/>
  <c r="AE1263" i="1"/>
  <c r="AB1264" i="1"/>
  <c r="AC1264" i="1"/>
  <c r="AD1264" i="1"/>
  <c r="AE1264" i="1"/>
  <c r="AB1265" i="1"/>
  <c r="AC1265" i="1"/>
  <c r="AD1265" i="1"/>
  <c r="AE1265" i="1"/>
  <c r="AB1266" i="1"/>
  <c r="AC1266" i="1"/>
  <c r="AD1266" i="1"/>
  <c r="AE1266" i="1"/>
  <c r="AB1267" i="1"/>
  <c r="AC1267" i="1"/>
  <c r="AD1267" i="1"/>
  <c r="AE1267" i="1"/>
  <c r="AB1268" i="1"/>
  <c r="AC1268" i="1"/>
  <c r="AD1268" i="1"/>
  <c r="AE1268" i="1"/>
  <c r="AB1269" i="1"/>
  <c r="AC1269" i="1"/>
  <c r="AD1269" i="1"/>
  <c r="AE1269" i="1"/>
  <c r="AB1270" i="1"/>
  <c r="AC1270" i="1"/>
  <c r="AD1270" i="1"/>
  <c r="AE1270" i="1"/>
  <c r="AB1271" i="1"/>
  <c r="AC1271" i="1"/>
  <c r="AD1271" i="1"/>
  <c r="AE1271" i="1"/>
  <c r="AB1272" i="1"/>
  <c r="AC1272" i="1"/>
  <c r="AD1272" i="1"/>
  <c r="AE1272" i="1"/>
  <c r="AB1273" i="1"/>
  <c r="AC1273" i="1"/>
  <c r="AD1273" i="1"/>
  <c r="AE1273" i="1"/>
  <c r="AB1274" i="1"/>
  <c r="AC1274" i="1"/>
  <c r="AD1274" i="1"/>
  <c r="AE1274" i="1"/>
  <c r="AB1275" i="1"/>
  <c r="AC1275" i="1"/>
  <c r="AD1275" i="1"/>
  <c r="AE1275" i="1"/>
  <c r="AB1276" i="1"/>
  <c r="AC1276" i="1"/>
  <c r="AD1276" i="1"/>
  <c r="AE1276" i="1"/>
  <c r="AB1277" i="1"/>
  <c r="AC1277" i="1"/>
  <c r="AD1277" i="1"/>
  <c r="AE1277" i="1"/>
  <c r="AB1278" i="1"/>
  <c r="AC1278" i="1"/>
  <c r="AD1278" i="1"/>
  <c r="AE1278" i="1"/>
  <c r="AB1279" i="1"/>
  <c r="AC1279" i="1"/>
  <c r="AD1279" i="1"/>
  <c r="AE1279" i="1"/>
  <c r="AB1280" i="1"/>
  <c r="AC1280" i="1"/>
  <c r="AD1280" i="1"/>
  <c r="AE1280" i="1"/>
  <c r="AB1281" i="1"/>
  <c r="AC1281" i="1"/>
  <c r="AD1281" i="1"/>
  <c r="AE1281" i="1"/>
  <c r="AB1282" i="1"/>
  <c r="AC1282" i="1"/>
  <c r="AD1282" i="1"/>
  <c r="AE1282" i="1"/>
  <c r="AB1283" i="1"/>
  <c r="AC1283" i="1"/>
  <c r="AD1283" i="1"/>
  <c r="AE1283" i="1"/>
  <c r="AB1284" i="1"/>
  <c r="AC1284" i="1"/>
  <c r="AD1284" i="1"/>
  <c r="AE1284" i="1"/>
  <c r="AB1285" i="1"/>
  <c r="AC1285" i="1"/>
  <c r="AD1285" i="1"/>
  <c r="AE1285" i="1"/>
  <c r="AB1286" i="1"/>
  <c r="AC1286" i="1"/>
  <c r="AD1286" i="1"/>
  <c r="AE1286" i="1"/>
  <c r="AB1287" i="1"/>
  <c r="AC1287" i="1"/>
  <c r="AD1287" i="1"/>
  <c r="AE1287" i="1"/>
  <c r="AB1288" i="1"/>
  <c r="AC1288" i="1"/>
  <c r="AD1288" i="1"/>
  <c r="AE1288" i="1"/>
  <c r="AB1289" i="1"/>
  <c r="AC1289" i="1"/>
  <c r="AD1289" i="1"/>
  <c r="AE1289" i="1"/>
  <c r="AB1290" i="1"/>
  <c r="AC1290" i="1"/>
  <c r="AD1290" i="1"/>
  <c r="AE1290" i="1"/>
  <c r="AB1291" i="1"/>
  <c r="AC1291" i="1"/>
  <c r="AD1291" i="1"/>
  <c r="AE1291" i="1"/>
  <c r="AB1292" i="1"/>
  <c r="AC1292" i="1"/>
  <c r="AD1292" i="1"/>
  <c r="AE1292" i="1"/>
  <c r="AB1293" i="1"/>
  <c r="AC1293" i="1"/>
  <c r="AD1293" i="1"/>
  <c r="AE1293" i="1"/>
  <c r="AB1294" i="1"/>
  <c r="AC1294" i="1"/>
  <c r="AD1294" i="1"/>
  <c r="AE1294" i="1"/>
  <c r="AB1295" i="1"/>
  <c r="AC1295" i="1"/>
  <c r="AD1295" i="1"/>
  <c r="AE1295" i="1"/>
  <c r="AB1296" i="1"/>
  <c r="AC1296" i="1"/>
  <c r="AD1296" i="1"/>
  <c r="AE1296" i="1"/>
  <c r="AB1297" i="1"/>
  <c r="AC1297" i="1"/>
  <c r="AD1297" i="1"/>
  <c r="AE1297" i="1"/>
  <c r="AB1298" i="1"/>
  <c r="AC1298" i="1"/>
  <c r="AD1298" i="1"/>
  <c r="AE1298" i="1"/>
  <c r="AB1299" i="1"/>
  <c r="AC1299" i="1"/>
  <c r="AD1299" i="1"/>
  <c r="AE1299" i="1"/>
  <c r="AB1300" i="1"/>
  <c r="AC1300" i="1"/>
  <c r="AD1300" i="1"/>
  <c r="AE1300" i="1"/>
  <c r="AB1301" i="1"/>
  <c r="AC1301" i="1"/>
  <c r="AD1301" i="1"/>
  <c r="AE1301" i="1"/>
  <c r="AB1302" i="1"/>
  <c r="AC1302" i="1"/>
  <c r="AD1302" i="1"/>
  <c r="AE1302" i="1"/>
  <c r="AB1303" i="1"/>
  <c r="AC1303" i="1"/>
  <c r="AD1303" i="1"/>
  <c r="AE1303" i="1"/>
  <c r="AB1304" i="1"/>
  <c r="AC1304" i="1"/>
  <c r="AD1304" i="1"/>
  <c r="AE1304" i="1"/>
  <c r="AB1305" i="1"/>
  <c r="AC1305" i="1"/>
  <c r="AD1305" i="1"/>
  <c r="AE1305" i="1"/>
  <c r="AB1306" i="1"/>
  <c r="AC1306" i="1"/>
  <c r="AD1306" i="1"/>
  <c r="AE1306" i="1"/>
  <c r="AB1307" i="1"/>
  <c r="AC1307" i="1"/>
  <c r="AD1307" i="1"/>
  <c r="AE1307" i="1"/>
  <c r="AB1308" i="1"/>
  <c r="AC1308" i="1"/>
  <c r="AD1308" i="1"/>
  <c r="AE1308" i="1"/>
  <c r="AB1309" i="1"/>
  <c r="AC1309" i="1"/>
  <c r="AD1309" i="1"/>
  <c r="AE1309" i="1"/>
  <c r="AB1310" i="1"/>
  <c r="AC1310" i="1"/>
  <c r="AD1310" i="1"/>
  <c r="AE1310" i="1"/>
  <c r="AB1311" i="1"/>
  <c r="AC1311" i="1"/>
  <c r="AD1311" i="1"/>
  <c r="AE1311" i="1"/>
  <c r="AB1312" i="1"/>
  <c r="AC1312" i="1"/>
  <c r="AD1312" i="1"/>
  <c r="AE1312" i="1"/>
  <c r="AB1313" i="1"/>
  <c r="AC1313" i="1"/>
  <c r="AD1313" i="1"/>
  <c r="AE1313" i="1"/>
  <c r="AB1314" i="1"/>
  <c r="AC1314" i="1"/>
  <c r="AD1314" i="1"/>
  <c r="AE1314" i="1"/>
  <c r="AB1315" i="1"/>
  <c r="AC1315" i="1"/>
  <c r="AD1315" i="1"/>
  <c r="AE1315" i="1"/>
  <c r="AB1316" i="1"/>
  <c r="AC1316" i="1"/>
  <c r="AD1316" i="1"/>
  <c r="AE1316" i="1"/>
  <c r="AB1317" i="1"/>
  <c r="AC1317" i="1"/>
  <c r="AD1317" i="1"/>
  <c r="AE1317" i="1"/>
  <c r="AB1318" i="1"/>
  <c r="AC1318" i="1"/>
  <c r="AD1318" i="1"/>
  <c r="AE1318" i="1"/>
  <c r="AB1319" i="1"/>
  <c r="AC1319" i="1"/>
  <c r="AD1319" i="1"/>
  <c r="AE1319" i="1"/>
  <c r="AB1320" i="1"/>
  <c r="AC1320" i="1"/>
  <c r="AD1320" i="1"/>
  <c r="AE1320" i="1"/>
  <c r="AB1321" i="1"/>
  <c r="AC1321" i="1"/>
  <c r="AD1321" i="1"/>
  <c r="AE1321" i="1"/>
  <c r="AB1322" i="1"/>
  <c r="AC1322" i="1"/>
  <c r="AD1322" i="1"/>
  <c r="AE1322" i="1"/>
  <c r="AB1323" i="1"/>
  <c r="AC1323" i="1"/>
  <c r="AD1323" i="1"/>
  <c r="AE1323" i="1"/>
  <c r="AB1324" i="1"/>
  <c r="AC1324" i="1"/>
  <c r="AD1324" i="1"/>
  <c r="AE1324" i="1"/>
  <c r="AB1325" i="1"/>
  <c r="AC1325" i="1"/>
  <c r="AD1325" i="1"/>
  <c r="AE1325" i="1"/>
  <c r="AB1326" i="1"/>
  <c r="AC1326" i="1"/>
  <c r="AD1326" i="1"/>
  <c r="AE1326" i="1"/>
  <c r="AB1327" i="1"/>
  <c r="AC1327" i="1"/>
  <c r="AD1327" i="1"/>
  <c r="AE1327" i="1"/>
  <c r="AB1328" i="1"/>
  <c r="AC1328" i="1"/>
  <c r="AD1328" i="1"/>
  <c r="AE1328" i="1"/>
  <c r="AB1329" i="1"/>
  <c r="AC1329" i="1"/>
  <c r="AD1329" i="1"/>
  <c r="AE1329" i="1"/>
  <c r="AB1330" i="1"/>
  <c r="AC1330" i="1"/>
  <c r="AD1330" i="1"/>
  <c r="AE1330" i="1"/>
  <c r="AB1331" i="1"/>
  <c r="AC1331" i="1"/>
  <c r="AD1331" i="1"/>
  <c r="AE1331" i="1"/>
  <c r="AB1332" i="1"/>
  <c r="AC1332" i="1"/>
  <c r="AD1332" i="1"/>
  <c r="AE1332" i="1"/>
  <c r="AB1333" i="1"/>
  <c r="AC1333" i="1"/>
  <c r="AD1333" i="1"/>
  <c r="AE1333" i="1"/>
  <c r="AB1334" i="1"/>
  <c r="AC1334" i="1"/>
  <c r="AD1334" i="1"/>
  <c r="AE1334" i="1"/>
  <c r="AB1335" i="1"/>
  <c r="AC1335" i="1"/>
  <c r="AD1335" i="1"/>
  <c r="AE1335" i="1"/>
  <c r="AB1336" i="1"/>
  <c r="AC1336" i="1"/>
  <c r="AD1336" i="1"/>
  <c r="AE1336" i="1"/>
  <c r="AB1337" i="1"/>
  <c r="AC1337" i="1"/>
  <c r="AD1337" i="1"/>
  <c r="AE1337" i="1"/>
  <c r="AB1338" i="1"/>
  <c r="AC1338" i="1"/>
  <c r="AD1338" i="1"/>
  <c r="AE1338" i="1"/>
  <c r="AB1339" i="1"/>
  <c r="AC1339" i="1"/>
  <c r="AD1339" i="1"/>
  <c r="AE1339" i="1"/>
  <c r="AB1340" i="1"/>
  <c r="AC1340" i="1"/>
  <c r="AD1340" i="1"/>
  <c r="AE1340" i="1"/>
  <c r="AB1341" i="1"/>
  <c r="AC1341" i="1"/>
  <c r="AD1341" i="1"/>
  <c r="AE1341" i="1"/>
  <c r="AB1342" i="1"/>
  <c r="AC1342" i="1"/>
  <c r="AD1342" i="1"/>
  <c r="AE1342" i="1"/>
  <c r="AB1343" i="1"/>
  <c r="AC1343" i="1"/>
  <c r="AD1343" i="1"/>
  <c r="AE1343" i="1"/>
  <c r="AB1344" i="1"/>
  <c r="AC1344" i="1"/>
  <c r="AD1344" i="1"/>
  <c r="AE1344" i="1"/>
  <c r="AB1345" i="1"/>
  <c r="AC1345" i="1"/>
  <c r="AD1345" i="1"/>
  <c r="AE1345" i="1"/>
  <c r="AB1346" i="1"/>
  <c r="AC1346" i="1"/>
  <c r="AD1346" i="1"/>
  <c r="AE1346" i="1"/>
  <c r="AB1347" i="1"/>
  <c r="AC1347" i="1"/>
  <c r="AD1347" i="1"/>
  <c r="AE1347" i="1"/>
  <c r="AB1348" i="1"/>
  <c r="AC1348" i="1"/>
  <c r="AD1348" i="1"/>
  <c r="AE1348" i="1"/>
  <c r="AB1349" i="1"/>
  <c r="AC1349" i="1"/>
  <c r="AD1349" i="1"/>
  <c r="AE1349" i="1"/>
  <c r="AB1350" i="1"/>
  <c r="AC1350" i="1"/>
  <c r="AD1350" i="1"/>
  <c r="AE1350" i="1"/>
  <c r="AB1351" i="1"/>
  <c r="AC1351" i="1"/>
  <c r="AD1351" i="1"/>
  <c r="AE1351" i="1"/>
  <c r="AB1352" i="1"/>
  <c r="AC1352" i="1"/>
  <c r="AD1352" i="1"/>
  <c r="AE1352" i="1"/>
  <c r="AB1353" i="1"/>
  <c r="AC1353" i="1"/>
  <c r="AD1353" i="1"/>
  <c r="AE1353" i="1"/>
  <c r="AB1354" i="1"/>
  <c r="AC1354" i="1"/>
  <c r="AD1354" i="1"/>
  <c r="AE1354" i="1"/>
  <c r="AB1355" i="1"/>
  <c r="AC1355" i="1"/>
  <c r="AD1355" i="1"/>
  <c r="AE1355" i="1"/>
  <c r="AB1356" i="1"/>
  <c r="AC1356" i="1"/>
  <c r="AD1356" i="1"/>
  <c r="AE1356" i="1"/>
  <c r="AB1357" i="1"/>
  <c r="AC1357" i="1"/>
  <c r="AD1357" i="1"/>
  <c r="AE1357" i="1"/>
  <c r="AB1358" i="1"/>
  <c r="AC1358" i="1"/>
  <c r="AD1358" i="1"/>
  <c r="AE1358" i="1"/>
  <c r="AB1359" i="1"/>
  <c r="AC1359" i="1"/>
  <c r="AD1359" i="1"/>
  <c r="AE1359" i="1"/>
  <c r="AB1360" i="1"/>
  <c r="AC1360" i="1"/>
  <c r="AD1360" i="1"/>
  <c r="AE1360" i="1"/>
  <c r="AB1361" i="1"/>
  <c r="AC1361" i="1"/>
  <c r="AD1361" i="1"/>
  <c r="AE1361" i="1"/>
  <c r="AB1362" i="1"/>
  <c r="AC1362" i="1"/>
  <c r="AD1362" i="1"/>
  <c r="AE1362" i="1"/>
  <c r="AB1363" i="1"/>
  <c r="AC1363" i="1"/>
  <c r="AD1363" i="1"/>
  <c r="AE1363" i="1"/>
  <c r="AB1364" i="1"/>
  <c r="AC1364" i="1"/>
  <c r="AD1364" i="1"/>
  <c r="AE1364" i="1"/>
  <c r="AB1365" i="1"/>
  <c r="AC1365" i="1"/>
  <c r="AD1365" i="1"/>
  <c r="AE1365" i="1"/>
  <c r="AB1366" i="1"/>
  <c r="AC1366" i="1"/>
  <c r="AD1366" i="1"/>
  <c r="AE1366" i="1"/>
  <c r="AB1367" i="1"/>
  <c r="AC1367" i="1"/>
  <c r="AD1367" i="1"/>
  <c r="AE1367" i="1"/>
  <c r="AB1368" i="1"/>
  <c r="AC1368" i="1"/>
  <c r="AD1368" i="1"/>
  <c r="AE1368" i="1"/>
  <c r="AB1369" i="1"/>
  <c r="AC1369" i="1"/>
  <c r="AD1369" i="1"/>
  <c r="AE1369" i="1"/>
  <c r="AB1370" i="1"/>
  <c r="AC1370" i="1"/>
  <c r="AD1370" i="1"/>
  <c r="AE1370" i="1"/>
  <c r="AB1371" i="1"/>
  <c r="AC1371" i="1"/>
  <c r="AD1371" i="1"/>
  <c r="AE1371" i="1"/>
  <c r="AB1372" i="1"/>
  <c r="AC1372" i="1"/>
  <c r="AD1372" i="1"/>
  <c r="AE1372" i="1"/>
  <c r="AB1373" i="1"/>
  <c r="AC1373" i="1"/>
  <c r="AD1373" i="1"/>
  <c r="AE1373" i="1"/>
  <c r="AB1374" i="1"/>
  <c r="AC1374" i="1"/>
  <c r="AD1374" i="1"/>
  <c r="AE1374" i="1"/>
  <c r="AB1375" i="1"/>
  <c r="AC1375" i="1"/>
  <c r="AD1375" i="1"/>
  <c r="AE1375" i="1"/>
  <c r="AB1376" i="1"/>
  <c r="AC1376" i="1"/>
  <c r="AD1376" i="1"/>
  <c r="AE1376" i="1"/>
  <c r="AB1377" i="1"/>
  <c r="AC1377" i="1"/>
  <c r="AD1377" i="1"/>
  <c r="AE1377" i="1"/>
  <c r="AB1378" i="1"/>
  <c r="AC1378" i="1"/>
  <c r="AD1378" i="1"/>
  <c r="AE1378" i="1"/>
  <c r="AB1379" i="1"/>
  <c r="AC1379" i="1"/>
  <c r="AD1379" i="1"/>
  <c r="AE1379" i="1"/>
  <c r="AB1380" i="1"/>
  <c r="AC1380" i="1"/>
  <c r="AD1380" i="1"/>
  <c r="AE1380" i="1"/>
  <c r="AB1381" i="1"/>
  <c r="AC1381" i="1"/>
  <c r="AD1381" i="1"/>
  <c r="AE1381" i="1"/>
  <c r="AB1382" i="1"/>
  <c r="AC1382" i="1"/>
  <c r="AD1382" i="1"/>
  <c r="AE1382" i="1"/>
  <c r="AB1383" i="1"/>
  <c r="AC1383" i="1"/>
  <c r="AD1383" i="1"/>
  <c r="AE1383" i="1"/>
  <c r="AB1384" i="1"/>
  <c r="AC1384" i="1"/>
  <c r="AD1384" i="1"/>
  <c r="AE1384" i="1"/>
  <c r="AB1385" i="1"/>
  <c r="AC1385" i="1"/>
  <c r="AD1385" i="1"/>
  <c r="AE1385" i="1"/>
  <c r="AB1386" i="1"/>
  <c r="AC1386" i="1"/>
  <c r="AD1386" i="1"/>
  <c r="AE1386" i="1"/>
  <c r="AB1387" i="1"/>
  <c r="AC1387" i="1"/>
  <c r="AD1387" i="1"/>
  <c r="AE1387" i="1"/>
  <c r="AB1388" i="1"/>
  <c r="AC1388" i="1"/>
  <c r="AD1388" i="1"/>
  <c r="AE1388" i="1"/>
  <c r="AB1389" i="1"/>
  <c r="AC1389" i="1"/>
  <c r="AD1389" i="1"/>
  <c r="AE1389" i="1"/>
  <c r="AB1390" i="1"/>
  <c r="AC1390" i="1"/>
  <c r="AD1390" i="1"/>
  <c r="AE1390" i="1"/>
  <c r="AB1391" i="1"/>
  <c r="AC1391" i="1"/>
  <c r="AD1391" i="1"/>
  <c r="AE1391" i="1"/>
  <c r="AB1392" i="1"/>
  <c r="AC1392" i="1"/>
  <c r="AD1392" i="1"/>
  <c r="AE1392" i="1"/>
  <c r="AB1393" i="1"/>
  <c r="AC1393" i="1"/>
  <c r="AD1393" i="1"/>
  <c r="AE1393" i="1"/>
  <c r="AB1394" i="1"/>
  <c r="AC1394" i="1"/>
  <c r="AD1394" i="1"/>
  <c r="AE1394" i="1"/>
  <c r="AB1395" i="1"/>
  <c r="AC1395" i="1"/>
  <c r="AD1395" i="1"/>
  <c r="AE1395" i="1"/>
  <c r="AB1396" i="1"/>
  <c r="AC1396" i="1"/>
  <c r="AD1396" i="1"/>
  <c r="AE1396" i="1"/>
  <c r="AB1397" i="1"/>
  <c r="AC1397" i="1"/>
  <c r="AD1397" i="1"/>
  <c r="AE1397" i="1"/>
  <c r="AB1398" i="1"/>
  <c r="AC1398" i="1"/>
  <c r="AD1398" i="1"/>
  <c r="AE1398" i="1"/>
  <c r="AB1399" i="1"/>
  <c r="AC1399" i="1"/>
  <c r="AD1399" i="1"/>
  <c r="AE1399" i="1"/>
  <c r="AB1400" i="1"/>
  <c r="AC1400" i="1"/>
  <c r="AD1400" i="1"/>
  <c r="AE1400" i="1"/>
  <c r="AB1401" i="1"/>
  <c r="AC1401" i="1"/>
  <c r="AD1401" i="1"/>
  <c r="AE1401" i="1"/>
  <c r="AB1402" i="1"/>
  <c r="AC1402" i="1"/>
  <c r="AD1402" i="1"/>
  <c r="AE1402" i="1"/>
  <c r="AB1403" i="1"/>
  <c r="AC1403" i="1"/>
  <c r="AD1403" i="1"/>
  <c r="AE1403" i="1"/>
  <c r="AB1404" i="1"/>
  <c r="AC1404" i="1"/>
  <c r="AD1404" i="1"/>
  <c r="AE1404" i="1"/>
  <c r="AB1405" i="1"/>
  <c r="AC1405" i="1"/>
  <c r="AD1405" i="1"/>
  <c r="AE1405" i="1"/>
  <c r="AB1406" i="1"/>
  <c r="AC1406" i="1"/>
  <c r="AD1406" i="1"/>
  <c r="AE1406" i="1"/>
  <c r="AB1407" i="1"/>
  <c r="AC1407" i="1"/>
  <c r="AD1407" i="1"/>
  <c r="AE1407" i="1"/>
  <c r="AB1408" i="1"/>
  <c r="AC1408" i="1"/>
  <c r="AD1408" i="1"/>
  <c r="AE1408" i="1"/>
  <c r="AB1409" i="1"/>
  <c r="AC1409" i="1"/>
  <c r="AD1409" i="1"/>
  <c r="AE1409" i="1"/>
  <c r="AB1410" i="1"/>
  <c r="AC1410" i="1"/>
  <c r="AD1410" i="1"/>
  <c r="AE1410" i="1"/>
  <c r="AB1411" i="1"/>
  <c r="AC1411" i="1"/>
  <c r="AD1411" i="1"/>
  <c r="AE1411" i="1"/>
  <c r="AB1412" i="1"/>
  <c r="AC1412" i="1"/>
  <c r="AD1412" i="1"/>
  <c r="AE1412" i="1"/>
  <c r="AB1413" i="1"/>
  <c r="AC1413" i="1"/>
  <c r="AD1413" i="1"/>
  <c r="AE1413" i="1"/>
  <c r="AB1414" i="1"/>
  <c r="AC1414" i="1"/>
  <c r="AD1414" i="1"/>
  <c r="AE1414" i="1"/>
  <c r="AB1415" i="1"/>
  <c r="AC1415" i="1"/>
  <c r="AD1415" i="1"/>
  <c r="AE1415" i="1"/>
  <c r="AB1416" i="1"/>
  <c r="AC1416" i="1"/>
  <c r="AD1416" i="1"/>
  <c r="AE1416" i="1"/>
  <c r="AB1417" i="1"/>
  <c r="AC1417" i="1"/>
  <c r="AD1417" i="1"/>
  <c r="AE1417" i="1"/>
  <c r="AB1418" i="1"/>
  <c r="AC1418" i="1"/>
  <c r="AD1418" i="1"/>
  <c r="AE1418" i="1"/>
  <c r="AB1419" i="1"/>
  <c r="AC1419" i="1"/>
  <c r="AD1419" i="1"/>
  <c r="AE1419" i="1"/>
  <c r="AB1420" i="1"/>
  <c r="AC1420" i="1"/>
  <c r="AD1420" i="1"/>
  <c r="AE1420" i="1"/>
  <c r="AB1421" i="1"/>
  <c r="AC1421" i="1"/>
  <c r="AD1421" i="1"/>
  <c r="AE1421" i="1"/>
  <c r="AB1422" i="1"/>
  <c r="AC1422" i="1"/>
  <c r="AD1422" i="1"/>
  <c r="AE1422" i="1"/>
  <c r="AB1423" i="1"/>
  <c r="AC1423" i="1"/>
  <c r="AD1423" i="1"/>
  <c r="AE1423" i="1"/>
  <c r="AB1424" i="1"/>
  <c r="AC1424" i="1"/>
  <c r="AD1424" i="1"/>
  <c r="AE1424" i="1"/>
  <c r="AB1425" i="1"/>
  <c r="AC1425" i="1"/>
  <c r="AD1425" i="1"/>
  <c r="AE1425" i="1"/>
  <c r="AB1426" i="1"/>
  <c r="AC1426" i="1"/>
  <c r="AD1426" i="1"/>
  <c r="AE1426" i="1"/>
  <c r="AB1427" i="1"/>
  <c r="AC1427" i="1"/>
  <c r="AD1427" i="1"/>
  <c r="AE1427" i="1"/>
  <c r="AB1428" i="1"/>
  <c r="AC1428" i="1"/>
  <c r="AD1428" i="1"/>
  <c r="AE1428" i="1"/>
  <c r="AB1429" i="1"/>
  <c r="AC1429" i="1"/>
  <c r="AD1429" i="1"/>
  <c r="AE1429" i="1"/>
  <c r="AB1430" i="1"/>
  <c r="AC1430" i="1"/>
  <c r="AD1430" i="1"/>
  <c r="AE1430" i="1"/>
  <c r="AB1431" i="1"/>
  <c r="AC1431" i="1"/>
  <c r="AD1431" i="1"/>
  <c r="AE1431" i="1"/>
  <c r="AB1432" i="1"/>
  <c r="AC1432" i="1"/>
  <c r="AD1432" i="1"/>
  <c r="AE1432" i="1"/>
  <c r="AB1433" i="1"/>
  <c r="AC1433" i="1"/>
  <c r="AD1433" i="1"/>
  <c r="AE1433" i="1"/>
  <c r="AB1434" i="1"/>
  <c r="AC1434" i="1"/>
  <c r="AD1434" i="1"/>
  <c r="AE1434" i="1"/>
  <c r="AB1435" i="1"/>
  <c r="AC1435" i="1"/>
  <c r="AD1435" i="1"/>
  <c r="AE1435" i="1"/>
  <c r="AB1436" i="1"/>
  <c r="AC1436" i="1"/>
  <c r="AD1436" i="1"/>
  <c r="AE1436" i="1"/>
  <c r="AB1437" i="1"/>
  <c r="AC1437" i="1"/>
  <c r="AD1437" i="1"/>
  <c r="AE1437" i="1"/>
  <c r="AB1438" i="1"/>
  <c r="AC1438" i="1"/>
  <c r="AD1438" i="1"/>
  <c r="AE1438" i="1"/>
  <c r="AB1439" i="1"/>
  <c r="AC1439" i="1"/>
  <c r="AD1439" i="1"/>
  <c r="AE1439" i="1"/>
  <c r="AB1440" i="1"/>
  <c r="AC1440" i="1"/>
  <c r="AD1440" i="1"/>
  <c r="AE1440" i="1"/>
  <c r="AB1441" i="1"/>
  <c r="AC1441" i="1"/>
  <c r="AD1441" i="1"/>
  <c r="AE1441" i="1"/>
  <c r="AB1442" i="1"/>
  <c r="AC1442" i="1"/>
  <c r="AD1442" i="1"/>
  <c r="AE1442" i="1"/>
  <c r="AB1443" i="1"/>
  <c r="AC1443" i="1"/>
  <c r="AD1443" i="1"/>
  <c r="AE1443" i="1"/>
  <c r="AB1444" i="1"/>
  <c r="AC1444" i="1"/>
  <c r="AD1444" i="1"/>
  <c r="AE1444" i="1"/>
  <c r="AB1445" i="1"/>
  <c r="AC1445" i="1"/>
  <c r="AD1445" i="1"/>
  <c r="AE1445" i="1"/>
  <c r="AB1446" i="1"/>
  <c r="AC1446" i="1"/>
  <c r="AD1446" i="1"/>
  <c r="AE1446" i="1"/>
  <c r="AB1447" i="1"/>
  <c r="AC1447" i="1"/>
  <c r="AD1447" i="1"/>
  <c r="AE1447" i="1"/>
  <c r="AB1448" i="1"/>
  <c r="AC1448" i="1"/>
  <c r="AD1448" i="1"/>
  <c r="AE1448" i="1"/>
  <c r="AB1449" i="1"/>
  <c r="AC1449" i="1"/>
  <c r="AD1449" i="1"/>
  <c r="AE1449" i="1"/>
  <c r="AB1450" i="1"/>
  <c r="AC1450" i="1"/>
  <c r="AD1450" i="1"/>
  <c r="AE1450" i="1"/>
  <c r="AB1451" i="1"/>
  <c r="AC1451" i="1"/>
  <c r="AD1451" i="1"/>
  <c r="AE1451" i="1"/>
  <c r="AB1452" i="1"/>
  <c r="AC1452" i="1"/>
  <c r="AD1452" i="1"/>
  <c r="AE1452" i="1"/>
  <c r="AB1453" i="1"/>
  <c r="AC1453" i="1"/>
  <c r="AD1453" i="1"/>
  <c r="AE1453" i="1"/>
  <c r="AB1454" i="1"/>
  <c r="AC1454" i="1"/>
  <c r="AD1454" i="1"/>
  <c r="AE1454" i="1"/>
  <c r="AB1455" i="1"/>
  <c r="AC1455" i="1"/>
  <c r="AD1455" i="1"/>
  <c r="AE1455" i="1"/>
  <c r="AB1456" i="1"/>
  <c r="AC1456" i="1"/>
  <c r="AD1456" i="1"/>
  <c r="AE1456" i="1"/>
  <c r="AB1457" i="1"/>
  <c r="AC1457" i="1"/>
  <c r="AD1457" i="1"/>
  <c r="AE1457" i="1"/>
  <c r="AB1458" i="1"/>
  <c r="AC1458" i="1"/>
  <c r="AD1458" i="1"/>
  <c r="AE1458" i="1"/>
  <c r="AB1459" i="1"/>
  <c r="AC1459" i="1"/>
  <c r="AD1459" i="1"/>
  <c r="AE1459" i="1"/>
  <c r="AB1460" i="1"/>
  <c r="AC1460" i="1"/>
  <c r="AD1460" i="1"/>
  <c r="AE1460" i="1"/>
  <c r="AB1461" i="1"/>
  <c r="AC1461" i="1"/>
  <c r="AD1461" i="1"/>
  <c r="AE1461" i="1"/>
  <c r="AB1462" i="1"/>
  <c r="AC1462" i="1"/>
  <c r="AD1462" i="1"/>
  <c r="AE1462" i="1"/>
  <c r="AB1463" i="1"/>
  <c r="AC1463" i="1"/>
  <c r="AD1463" i="1"/>
  <c r="AE1463" i="1"/>
  <c r="AB1464" i="1"/>
  <c r="AC1464" i="1"/>
  <c r="AD1464" i="1"/>
  <c r="AE1464" i="1"/>
  <c r="AB1465" i="1"/>
  <c r="AC1465" i="1"/>
  <c r="AD1465" i="1"/>
  <c r="AE1465" i="1"/>
  <c r="AB1466" i="1"/>
  <c r="AC1466" i="1"/>
  <c r="AD1466" i="1"/>
  <c r="AE1466" i="1"/>
  <c r="AB1467" i="1"/>
  <c r="AC1467" i="1"/>
  <c r="AD1467" i="1"/>
  <c r="AE1467" i="1"/>
  <c r="AB1468" i="1"/>
  <c r="AC1468" i="1"/>
  <c r="AD1468" i="1"/>
  <c r="AE1468" i="1"/>
  <c r="AB1469" i="1"/>
  <c r="AC1469" i="1"/>
  <c r="AD1469" i="1"/>
  <c r="AE1469" i="1"/>
  <c r="AB1470" i="1"/>
  <c r="AC1470" i="1"/>
  <c r="AD1470" i="1"/>
  <c r="AE1470" i="1"/>
  <c r="AB1471" i="1"/>
  <c r="AC1471" i="1"/>
  <c r="AD1471" i="1"/>
  <c r="AE1471" i="1"/>
  <c r="AB1472" i="1"/>
  <c r="AC1472" i="1"/>
  <c r="AD1472" i="1"/>
  <c r="AE1472" i="1"/>
  <c r="AB1473" i="1"/>
  <c r="AC1473" i="1"/>
  <c r="AD1473" i="1"/>
  <c r="AE1473" i="1"/>
  <c r="AB1474" i="1"/>
  <c r="AC1474" i="1"/>
  <c r="AD1474" i="1"/>
  <c r="AE1474" i="1"/>
  <c r="AB1475" i="1"/>
  <c r="AC1475" i="1"/>
  <c r="AD1475" i="1"/>
  <c r="AE1475" i="1"/>
  <c r="AB1476" i="1"/>
  <c r="AC1476" i="1"/>
  <c r="AD1476" i="1"/>
  <c r="AE1476" i="1"/>
  <c r="AB1477" i="1"/>
  <c r="AC1477" i="1"/>
  <c r="AD1477" i="1"/>
  <c r="AE1477" i="1"/>
  <c r="AB1478" i="1"/>
  <c r="AC1478" i="1"/>
  <c r="AD1478" i="1"/>
  <c r="AE1478" i="1"/>
  <c r="AB1479" i="1"/>
  <c r="AC1479" i="1"/>
  <c r="AD1479" i="1"/>
  <c r="AE1479" i="1"/>
  <c r="AB1480" i="1"/>
  <c r="AC1480" i="1"/>
  <c r="AD1480" i="1"/>
  <c r="AE1480" i="1"/>
  <c r="AB1481" i="1"/>
  <c r="AC1481" i="1"/>
  <c r="AD1481" i="1"/>
  <c r="AE1481" i="1"/>
  <c r="AB1482" i="1"/>
  <c r="AC1482" i="1"/>
  <c r="AD1482" i="1"/>
  <c r="AE1482" i="1"/>
  <c r="AB1483" i="1"/>
  <c r="AC1483" i="1"/>
  <c r="AD1483" i="1"/>
  <c r="AE1483" i="1"/>
  <c r="AB1484" i="1"/>
  <c r="AC1484" i="1"/>
  <c r="AD1484" i="1"/>
  <c r="AE1484" i="1"/>
  <c r="AB1485" i="1"/>
  <c r="AC1485" i="1"/>
  <c r="AD1485" i="1"/>
  <c r="AE1485" i="1"/>
  <c r="AB1486" i="1"/>
  <c r="AC1486" i="1"/>
  <c r="AD1486" i="1"/>
  <c r="AE1486" i="1"/>
  <c r="AB1487" i="1"/>
  <c r="AC1487" i="1"/>
  <c r="AD1487" i="1"/>
  <c r="AE1487" i="1"/>
  <c r="AB1488" i="1"/>
  <c r="AC1488" i="1"/>
  <c r="AD1488" i="1"/>
  <c r="AE1488" i="1"/>
  <c r="AB1489" i="1"/>
  <c r="AC1489" i="1"/>
  <c r="AD1489" i="1"/>
  <c r="AE1489" i="1"/>
  <c r="AB1490" i="1"/>
  <c r="AC1490" i="1"/>
  <c r="AD1490" i="1"/>
  <c r="AE1490" i="1"/>
  <c r="AB1491" i="1"/>
  <c r="AC1491" i="1"/>
  <c r="AD1491" i="1"/>
  <c r="AE1491" i="1"/>
  <c r="AB1492" i="1"/>
  <c r="AC1492" i="1"/>
  <c r="AD1492" i="1"/>
  <c r="AE1492" i="1"/>
  <c r="AB1493" i="1"/>
  <c r="AC1493" i="1"/>
  <c r="AD1493" i="1"/>
  <c r="AE1493" i="1"/>
  <c r="AB1494" i="1"/>
  <c r="AC1494" i="1"/>
  <c r="AD1494" i="1"/>
  <c r="AE1494" i="1"/>
  <c r="AB1495" i="1"/>
  <c r="AC1495" i="1"/>
  <c r="AD1495" i="1"/>
  <c r="AE1495" i="1"/>
  <c r="AB1496" i="1"/>
  <c r="AC1496" i="1"/>
  <c r="AD1496" i="1"/>
  <c r="AE1496" i="1"/>
  <c r="AB1497" i="1"/>
  <c r="AC1497" i="1"/>
  <c r="AD1497" i="1"/>
  <c r="AE1497" i="1"/>
  <c r="AB1498" i="1"/>
  <c r="AC1498" i="1"/>
  <c r="AD1498" i="1"/>
  <c r="AE1498" i="1"/>
  <c r="AB1499" i="1"/>
  <c r="AC1499" i="1"/>
  <c r="AD1499" i="1"/>
  <c r="AE1499" i="1"/>
  <c r="AB1500" i="1"/>
  <c r="AC1500" i="1"/>
  <c r="AD1500" i="1"/>
  <c r="AE1500" i="1"/>
  <c r="AB1501" i="1"/>
  <c r="AC1501" i="1"/>
  <c r="AD1501" i="1"/>
  <c r="AE1501" i="1"/>
  <c r="AB1502" i="1"/>
  <c r="AC1502" i="1"/>
  <c r="AD1502" i="1"/>
  <c r="AE1502" i="1"/>
  <c r="AB1503" i="1"/>
  <c r="AC1503" i="1"/>
  <c r="AD1503" i="1"/>
  <c r="AE1503" i="1"/>
  <c r="AB1504" i="1"/>
  <c r="AC1504" i="1"/>
  <c r="AD1504" i="1"/>
  <c r="AE1504" i="1"/>
  <c r="AB1505" i="1"/>
  <c r="AC1505" i="1"/>
  <c r="AD1505" i="1"/>
  <c r="AE1505" i="1"/>
  <c r="AB1506" i="1"/>
  <c r="AC1506" i="1"/>
  <c r="AD1506" i="1"/>
  <c r="AE1506" i="1"/>
  <c r="AB1507" i="1"/>
  <c r="AC1507" i="1"/>
  <c r="AD1507" i="1"/>
  <c r="AE1507" i="1"/>
  <c r="AB1508" i="1"/>
  <c r="AC1508" i="1"/>
  <c r="AD1508" i="1"/>
  <c r="AE1508" i="1"/>
  <c r="AB1509" i="1"/>
  <c r="AC1509" i="1"/>
  <c r="AD1509" i="1"/>
  <c r="AE1509" i="1"/>
  <c r="AB1510" i="1"/>
  <c r="AC1510" i="1"/>
  <c r="AD1510" i="1"/>
  <c r="AE1510" i="1"/>
  <c r="AB1511" i="1"/>
  <c r="AC1511" i="1"/>
  <c r="AD1511" i="1"/>
  <c r="AE1511" i="1"/>
  <c r="AB1512" i="1"/>
  <c r="AC1512" i="1"/>
  <c r="AD1512" i="1"/>
  <c r="AE1512" i="1"/>
  <c r="AB1513" i="1"/>
  <c r="AC1513" i="1"/>
  <c r="AD1513" i="1"/>
  <c r="AE1513" i="1"/>
  <c r="AB1514" i="1"/>
  <c r="AC1514" i="1"/>
  <c r="AD1514" i="1"/>
  <c r="AE1514" i="1"/>
  <c r="AB1515" i="1"/>
  <c r="AC1515" i="1"/>
  <c r="AD1515" i="1"/>
  <c r="AE1515" i="1"/>
  <c r="AB1516" i="1"/>
  <c r="AC1516" i="1"/>
  <c r="AD1516" i="1"/>
  <c r="AE1516" i="1"/>
  <c r="AB1517" i="1"/>
  <c r="AC1517" i="1"/>
  <c r="AD1517" i="1"/>
  <c r="AE1517" i="1"/>
  <c r="AB1518" i="1"/>
  <c r="AC1518" i="1"/>
  <c r="AD1518" i="1"/>
  <c r="AE1518" i="1"/>
  <c r="AB1519" i="1"/>
  <c r="AC1519" i="1"/>
  <c r="AD1519" i="1"/>
  <c r="AE1519" i="1"/>
  <c r="AB1520" i="1"/>
  <c r="AC1520" i="1"/>
  <c r="AD1520" i="1"/>
  <c r="AE1520" i="1"/>
  <c r="AB1521" i="1"/>
  <c r="AC1521" i="1"/>
  <c r="AD1521" i="1"/>
  <c r="AE1521" i="1"/>
  <c r="AB1522" i="1"/>
  <c r="AC1522" i="1"/>
  <c r="AD1522" i="1"/>
  <c r="AE1522" i="1"/>
  <c r="AB1523" i="1"/>
  <c r="AC1523" i="1"/>
  <c r="AD1523" i="1"/>
  <c r="AE1523" i="1"/>
  <c r="AB1524" i="1"/>
  <c r="AC1524" i="1"/>
  <c r="AD1524" i="1"/>
  <c r="AE1524" i="1"/>
  <c r="AB1525" i="1"/>
  <c r="AC1525" i="1"/>
  <c r="AD1525" i="1"/>
  <c r="AE1525" i="1"/>
  <c r="AB1526" i="1"/>
  <c r="AC1526" i="1"/>
  <c r="AD1526" i="1"/>
  <c r="AE1526" i="1"/>
  <c r="AB1527" i="1"/>
  <c r="AC1527" i="1"/>
  <c r="AD1527" i="1"/>
  <c r="AE1527" i="1"/>
  <c r="AB1528" i="1"/>
  <c r="AC1528" i="1"/>
  <c r="AD1528" i="1"/>
  <c r="AE1528" i="1"/>
  <c r="AB1529" i="1"/>
  <c r="AC1529" i="1"/>
  <c r="AD1529" i="1"/>
  <c r="AE1529" i="1"/>
  <c r="AB1530" i="1"/>
  <c r="AC1530" i="1"/>
  <c r="AD1530" i="1"/>
  <c r="AE1530" i="1"/>
  <c r="AB1531" i="1"/>
  <c r="AC1531" i="1"/>
  <c r="AD1531" i="1"/>
  <c r="AE1531" i="1"/>
  <c r="AB1532" i="1"/>
  <c r="AC1532" i="1"/>
  <c r="AD1532" i="1"/>
  <c r="AE1532" i="1"/>
  <c r="AB1533" i="1"/>
  <c r="AC1533" i="1"/>
  <c r="AD1533" i="1"/>
  <c r="AE1533" i="1"/>
  <c r="AB1534" i="1"/>
  <c r="AC1534" i="1"/>
  <c r="AD1534" i="1"/>
  <c r="AE1534" i="1"/>
  <c r="AB1535" i="1"/>
  <c r="AC1535" i="1"/>
  <c r="AD1535" i="1"/>
  <c r="AE1535" i="1"/>
  <c r="AB1536" i="1"/>
  <c r="AC1536" i="1"/>
  <c r="AD1536" i="1"/>
  <c r="AE1536" i="1"/>
  <c r="AB1537" i="1"/>
  <c r="AC1537" i="1"/>
  <c r="AD1537" i="1"/>
  <c r="AE1537" i="1"/>
  <c r="AB1538" i="1"/>
  <c r="AC1538" i="1"/>
  <c r="AD1538" i="1"/>
  <c r="AE1538" i="1"/>
  <c r="AB1539" i="1"/>
  <c r="AC1539" i="1"/>
  <c r="AD1539" i="1"/>
  <c r="AE1539" i="1"/>
  <c r="AB1540" i="1"/>
  <c r="AC1540" i="1"/>
  <c r="AD1540" i="1"/>
  <c r="AE1540" i="1"/>
  <c r="AB1541" i="1"/>
  <c r="AC1541" i="1"/>
  <c r="AD1541" i="1"/>
  <c r="AE1541" i="1"/>
  <c r="AB1542" i="1"/>
  <c r="AC1542" i="1"/>
  <c r="AD1542" i="1"/>
  <c r="AE1542" i="1"/>
  <c r="AB1543" i="1"/>
  <c r="AC1543" i="1"/>
  <c r="AD1543" i="1"/>
  <c r="AE1543" i="1"/>
  <c r="AB1544" i="1"/>
  <c r="AC1544" i="1"/>
  <c r="AD1544" i="1"/>
  <c r="AE1544" i="1"/>
  <c r="AB1545" i="1"/>
  <c r="AC1545" i="1"/>
  <c r="AD1545" i="1"/>
  <c r="AE1545" i="1"/>
  <c r="AB1546" i="1"/>
  <c r="AC1546" i="1"/>
  <c r="AD1546" i="1"/>
  <c r="AE1546" i="1"/>
  <c r="AB1547" i="1"/>
  <c r="AC1547" i="1"/>
  <c r="AD1547" i="1"/>
  <c r="AE1547" i="1"/>
  <c r="AB1548" i="1"/>
  <c r="AC1548" i="1"/>
  <c r="AD1548" i="1"/>
  <c r="AE1548" i="1"/>
  <c r="AB1549" i="1"/>
  <c r="AC1549" i="1"/>
  <c r="AD1549" i="1"/>
  <c r="AE1549" i="1"/>
  <c r="AB1550" i="1"/>
  <c r="AC1550" i="1"/>
  <c r="AD1550" i="1"/>
  <c r="AE1550" i="1"/>
  <c r="AB1551" i="1"/>
  <c r="AC1551" i="1"/>
  <c r="AD1551" i="1"/>
  <c r="AE1551" i="1"/>
  <c r="AB1552" i="1"/>
  <c r="AC1552" i="1"/>
  <c r="AD1552" i="1"/>
  <c r="AE1552" i="1"/>
  <c r="AB1553" i="1"/>
  <c r="AC1553" i="1"/>
  <c r="AD1553" i="1"/>
  <c r="AE1553" i="1"/>
  <c r="AB1554" i="1"/>
  <c r="AC1554" i="1"/>
  <c r="AD1554" i="1"/>
  <c r="AE1554" i="1"/>
  <c r="AB1555" i="1"/>
  <c r="AC1555" i="1"/>
  <c r="AD1555" i="1"/>
  <c r="AE1555" i="1"/>
  <c r="AB1556" i="1"/>
  <c r="AC1556" i="1"/>
  <c r="AD1556" i="1"/>
  <c r="AE1556" i="1"/>
  <c r="AB1557" i="1"/>
  <c r="AC1557" i="1"/>
  <c r="AD1557" i="1"/>
  <c r="AE1557" i="1"/>
  <c r="AB1558" i="1"/>
  <c r="AC1558" i="1"/>
  <c r="AD1558" i="1"/>
  <c r="AE1558" i="1"/>
  <c r="AB1559" i="1"/>
  <c r="AC1559" i="1"/>
  <c r="AD1559" i="1"/>
  <c r="AE1559" i="1"/>
  <c r="AB1560" i="1"/>
  <c r="AC1560" i="1"/>
  <c r="AD1560" i="1"/>
  <c r="AE1560" i="1"/>
  <c r="AB1561" i="1"/>
  <c r="AC1561" i="1"/>
  <c r="AD1561" i="1"/>
  <c r="AE1561" i="1"/>
  <c r="AB1562" i="1"/>
  <c r="AC1562" i="1"/>
  <c r="AD1562" i="1"/>
  <c r="AE1562" i="1"/>
  <c r="AB1563" i="1"/>
  <c r="AC1563" i="1"/>
  <c r="AD1563" i="1"/>
  <c r="AE1563" i="1"/>
  <c r="AB1564" i="1"/>
  <c r="AC1564" i="1"/>
  <c r="AD1564" i="1"/>
  <c r="AE1564" i="1"/>
  <c r="AB1565" i="1"/>
  <c r="AC1565" i="1"/>
  <c r="AD1565" i="1"/>
  <c r="AE1565" i="1"/>
  <c r="AB1566" i="1"/>
  <c r="AC1566" i="1"/>
  <c r="AD1566" i="1"/>
  <c r="AE1566" i="1"/>
  <c r="AB1567" i="1"/>
  <c r="AC1567" i="1"/>
  <c r="AD1567" i="1"/>
  <c r="AE1567" i="1"/>
  <c r="AB1568" i="1"/>
  <c r="AC1568" i="1"/>
  <c r="AD1568" i="1"/>
  <c r="AE1568" i="1"/>
  <c r="AB1569" i="1"/>
  <c r="AC1569" i="1"/>
  <c r="AD1569" i="1"/>
  <c r="AE1569" i="1"/>
  <c r="AB1570" i="1"/>
  <c r="AC1570" i="1"/>
  <c r="AD1570" i="1"/>
  <c r="AE1570" i="1"/>
  <c r="AB1571" i="1"/>
  <c r="AC1571" i="1"/>
  <c r="AD1571" i="1"/>
  <c r="AE1571" i="1"/>
  <c r="AB1572" i="1"/>
  <c r="AC1572" i="1"/>
  <c r="AD1572" i="1"/>
  <c r="AE1572" i="1"/>
  <c r="AB1573" i="1"/>
  <c r="AC1573" i="1"/>
  <c r="AD1573" i="1"/>
  <c r="AE1573" i="1"/>
  <c r="AB1574" i="1"/>
  <c r="AC1574" i="1"/>
  <c r="AD1574" i="1"/>
  <c r="AE1574" i="1"/>
  <c r="AB1575" i="1"/>
  <c r="AC1575" i="1"/>
  <c r="AD1575" i="1"/>
  <c r="AE1575" i="1"/>
  <c r="AB1576" i="1"/>
  <c r="AC1576" i="1"/>
  <c r="AD1576" i="1"/>
  <c r="AE1576" i="1"/>
  <c r="AB1577" i="1"/>
  <c r="AC1577" i="1"/>
  <c r="AD1577" i="1"/>
  <c r="AE1577" i="1"/>
  <c r="AB1578" i="1"/>
  <c r="AC1578" i="1"/>
  <c r="AD1578" i="1"/>
  <c r="AE1578" i="1"/>
  <c r="AB1579" i="1"/>
  <c r="AC1579" i="1"/>
  <c r="AD1579" i="1"/>
  <c r="AE1579" i="1"/>
  <c r="AB1580" i="1"/>
  <c r="AC1580" i="1"/>
  <c r="AD1580" i="1"/>
  <c r="AE1580" i="1"/>
  <c r="AB1581" i="1"/>
  <c r="AC1581" i="1"/>
  <c r="AD1581" i="1"/>
  <c r="AE1581" i="1"/>
  <c r="AB1582" i="1"/>
  <c r="AC1582" i="1"/>
  <c r="AD1582" i="1"/>
  <c r="AE1582" i="1"/>
  <c r="AB1583" i="1"/>
  <c r="AC1583" i="1"/>
  <c r="AD1583" i="1"/>
  <c r="AE1583" i="1"/>
  <c r="AB1584" i="1"/>
  <c r="AC1584" i="1"/>
  <c r="AD1584" i="1"/>
  <c r="AE1584" i="1"/>
  <c r="AB1585" i="1"/>
  <c r="AC1585" i="1"/>
  <c r="AD1585" i="1"/>
  <c r="AE1585" i="1"/>
  <c r="AB1586" i="1"/>
  <c r="AC1586" i="1"/>
  <c r="AD1586" i="1"/>
  <c r="AE1586" i="1"/>
  <c r="AB1587" i="1"/>
  <c r="AC1587" i="1"/>
  <c r="AD1587" i="1"/>
  <c r="AE1587" i="1"/>
  <c r="AB1588" i="1"/>
  <c r="AC1588" i="1"/>
  <c r="AD1588" i="1"/>
  <c r="AE1588" i="1"/>
  <c r="AB1589" i="1"/>
  <c r="AC1589" i="1"/>
  <c r="AD1589" i="1"/>
  <c r="AE1589" i="1"/>
  <c r="AB1590" i="1"/>
  <c r="AC1590" i="1"/>
  <c r="AD1590" i="1"/>
  <c r="AE1590" i="1"/>
  <c r="AB1591" i="1"/>
  <c r="AC1591" i="1"/>
  <c r="AD1591" i="1"/>
  <c r="AE1591" i="1"/>
  <c r="AB1592" i="1"/>
  <c r="AC1592" i="1"/>
  <c r="AD1592" i="1"/>
  <c r="AE1592" i="1"/>
  <c r="AB1593" i="1"/>
  <c r="AC1593" i="1"/>
  <c r="AD1593" i="1"/>
  <c r="AE1593" i="1"/>
  <c r="AB1594" i="1"/>
  <c r="AC1594" i="1"/>
  <c r="AD1594" i="1"/>
  <c r="AE1594" i="1"/>
  <c r="AB1595" i="1"/>
  <c r="AC1595" i="1"/>
  <c r="AD1595" i="1"/>
  <c r="AE1595" i="1"/>
  <c r="AB1596" i="1"/>
  <c r="AC1596" i="1"/>
  <c r="AD1596" i="1"/>
  <c r="AE1596" i="1"/>
  <c r="AB1597" i="1"/>
  <c r="AC1597" i="1"/>
  <c r="AD1597" i="1"/>
  <c r="AE1597" i="1"/>
  <c r="AB1598" i="1"/>
  <c r="AC1598" i="1"/>
  <c r="AD1598" i="1"/>
  <c r="AE1598" i="1"/>
  <c r="AB1599" i="1"/>
  <c r="AC1599" i="1"/>
  <c r="AD1599" i="1"/>
  <c r="AE1599" i="1"/>
  <c r="AB1600" i="1"/>
  <c r="AC1600" i="1"/>
  <c r="AD1600" i="1"/>
  <c r="AE1600" i="1"/>
  <c r="AB1601" i="1"/>
  <c r="AC1601" i="1"/>
  <c r="AD1601" i="1"/>
  <c r="AE1601" i="1"/>
  <c r="AB1602" i="1"/>
  <c r="AC1602" i="1"/>
  <c r="AD1602" i="1"/>
  <c r="AE1602" i="1"/>
  <c r="AB1603" i="1"/>
  <c r="AC1603" i="1"/>
  <c r="AD1603" i="1"/>
  <c r="AE1603" i="1"/>
  <c r="AB1604" i="1"/>
  <c r="AC1604" i="1"/>
  <c r="AD1604" i="1"/>
  <c r="AE1604" i="1"/>
  <c r="AB1605" i="1"/>
  <c r="AC1605" i="1"/>
  <c r="AD1605" i="1"/>
  <c r="AE1605" i="1"/>
  <c r="AB1606" i="1"/>
  <c r="AC1606" i="1"/>
  <c r="AD1606" i="1"/>
  <c r="AE1606" i="1"/>
  <c r="AB1607" i="1"/>
  <c r="AC1607" i="1"/>
  <c r="AD1607" i="1"/>
  <c r="AE1607" i="1"/>
  <c r="AB1608" i="1"/>
  <c r="AC1608" i="1"/>
  <c r="AD1608" i="1"/>
  <c r="AE1608" i="1"/>
  <c r="AB1609" i="1"/>
  <c r="AC1609" i="1"/>
  <c r="AD1609" i="1"/>
  <c r="AE1609" i="1"/>
  <c r="AB1610" i="1"/>
  <c r="AC1610" i="1"/>
  <c r="AD1610" i="1"/>
  <c r="AE1610" i="1"/>
  <c r="AB1611" i="1"/>
  <c r="AC1611" i="1"/>
  <c r="AD1611" i="1"/>
  <c r="AE1611" i="1"/>
  <c r="AB1612" i="1"/>
  <c r="AC1612" i="1"/>
  <c r="AD1612" i="1"/>
  <c r="AE1612" i="1"/>
  <c r="AB1613" i="1"/>
  <c r="AC1613" i="1"/>
  <c r="AD1613" i="1"/>
  <c r="AE1613" i="1"/>
  <c r="AB1614" i="1"/>
  <c r="AC1614" i="1"/>
  <c r="AD1614" i="1"/>
  <c r="AE1614" i="1"/>
  <c r="AB1615" i="1"/>
  <c r="AC1615" i="1"/>
  <c r="AD1615" i="1"/>
  <c r="AE1615" i="1"/>
  <c r="AB1616" i="1"/>
  <c r="AC1616" i="1"/>
  <c r="AD1616" i="1"/>
  <c r="AE1616" i="1"/>
  <c r="AB1617" i="1"/>
  <c r="AC1617" i="1"/>
  <c r="AD1617" i="1"/>
  <c r="AE1617" i="1"/>
  <c r="AB1618" i="1"/>
  <c r="AC1618" i="1"/>
  <c r="AD1618" i="1"/>
  <c r="AE1618" i="1"/>
  <c r="AB1619" i="1"/>
  <c r="AC1619" i="1"/>
  <c r="AD1619" i="1"/>
  <c r="AE1619" i="1"/>
  <c r="AB1620" i="1"/>
  <c r="AC1620" i="1"/>
  <c r="AD1620" i="1"/>
  <c r="AE1620" i="1"/>
  <c r="AB1621" i="1"/>
  <c r="AC1621" i="1"/>
  <c r="AD1621" i="1"/>
  <c r="AE1621" i="1"/>
  <c r="AB1622" i="1"/>
  <c r="AC1622" i="1"/>
  <c r="AD1622" i="1"/>
  <c r="AE1622" i="1"/>
  <c r="AB1623" i="1"/>
  <c r="AC1623" i="1"/>
  <c r="AD1623" i="1"/>
  <c r="AE1623" i="1"/>
  <c r="AB1624" i="1"/>
  <c r="AC1624" i="1"/>
  <c r="AD1624" i="1"/>
  <c r="AE1624" i="1"/>
  <c r="AB1625" i="1"/>
  <c r="AC1625" i="1"/>
  <c r="AD1625" i="1"/>
  <c r="AE1625" i="1"/>
  <c r="AB1626" i="1"/>
  <c r="AC1626" i="1"/>
  <c r="AD1626" i="1"/>
  <c r="AE1626" i="1"/>
  <c r="AB1627" i="1"/>
  <c r="AC1627" i="1"/>
  <c r="AD1627" i="1"/>
  <c r="AE1627" i="1"/>
  <c r="AB1628" i="1"/>
  <c r="AC1628" i="1"/>
  <c r="AD1628" i="1"/>
  <c r="AE1628" i="1"/>
  <c r="AB1629" i="1"/>
  <c r="AC1629" i="1"/>
  <c r="AD1629" i="1"/>
  <c r="AE1629" i="1"/>
  <c r="AB1630" i="1"/>
  <c r="AC1630" i="1"/>
  <c r="AD1630" i="1"/>
  <c r="AE1630" i="1"/>
  <c r="AB1631" i="1"/>
  <c r="AC1631" i="1"/>
  <c r="AD1631" i="1"/>
  <c r="AE1631" i="1"/>
  <c r="AB1632" i="1"/>
  <c r="AC1632" i="1"/>
  <c r="AD1632" i="1"/>
  <c r="AE1632" i="1"/>
  <c r="AB1633" i="1"/>
  <c r="AC1633" i="1"/>
  <c r="AD1633" i="1"/>
  <c r="AE1633" i="1"/>
  <c r="AB1634" i="1"/>
  <c r="AC1634" i="1"/>
  <c r="AD1634" i="1"/>
  <c r="AE1634" i="1"/>
  <c r="AB1635" i="1"/>
  <c r="AC1635" i="1"/>
  <c r="AD1635" i="1"/>
  <c r="AE1635" i="1"/>
  <c r="AB1636" i="1"/>
  <c r="AC1636" i="1"/>
  <c r="AD1636" i="1"/>
  <c r="AE1636" i="1"/>
  <c r="AB1637" i="1"/>
  <c r="AC1637" i="1"/>
  <c r="AD1637" i="1"/>
  <c r="AE1637" i="1"/>
  <c r="AB1638" i="1"/>
  <c r="AC1638" i="1"/>
  <c r="AD1638" i="1"/>
  <c r="AE1638" i="1"/>
  <c r="AB1639" i="1"/>
  <c r="AC1639" i="1"/>
  <c r="AD1639" i="1"/>
  <c r="AE1639" i="1"/>
  <c r="AB1640" i="1"/>
  <c r="AC1640" i="1"/>
  <c r="AD1640" i="1"/>
  <c r="AE1640" i="1"/>
  <c r="AB1641" i="1"/>
  <c r="AC1641" i="1"/>
  <c r="AD1641" i="1"/>
  <c r="AE1641" i="1"/>
  <c r="AB1642" i="1"/>
  <c r="AC1642" i="1"/>
  <c r="AD1642" i="1"/>
  <c r="AE1642" i="1"/>
  <c r="AB1643" i="1"/>
  <c r="AC1643" i="1"/>
  <c r="AD1643" i="1"/>
  <c r="AE1643" i="1"/>
  <c r="AB1644" i="1"/>
  <c r="AC1644" i="1"/>
  <c r="AD1644" i="1"/>
  <c r="AE1644" i="1"/>
  <c r="AB1645" i="1"/>
  <c r="AC1645" i="1"/>
  <c r="AD1645" i="1"/>
  <c r="AE1645" i="1"/>
  <c r="AB1646" i="1"/>
  <c r="AC1646" i="1"/>
  <c r="AD1646" i="1"/>
  <c r="AE1646" i="1"/>
  <c r="AB1647" i="1"/>
  <c r="AC1647" i="1"/>
  <c r="AD1647" i="1"/>
  <c r="AE1647" i="1"/>
  <c r="AB1648" i="1"/>
  <c r="AC1648" i="1"/>
  <c r="AD1648" i="1"/>
  <c r="AE1648" i="1"/>
  <c r="AB1649" i="1"/>
  <c r="AC1649" i="1"/>
  <c r="AD1649" i="1"/>
  <c r="AE1649" i="1"/>
  <c r="AB1650" i="1"/>
  <c r="AC1650" i="1"/>
  <c r="AD1650" i="1"/>
  <c r="AE1650" i="1"/>
  <c r="AB1651" i="1"/>
  <c r="AC1651" i="1"/>
  <c r="AD1651" i="1"/>
  <c r="AE1651" i="1"/>
  <c r="AB1652" i="1"/>
  <c r="AC1652" i="1"/>
  <c r="AD1652" i="1"/>
  <c r="AE1652" i="1"/>
  <c r="AB1653" i="1"/>
  <c r="AC1653" i="1"/>
  <c r="AD1653" i="1"/>
  <c r="AE1653" i="1"/>
  <c r="AB1654" i="1"/>
  <c r="AC1654" i="1"/>
  <c r="AD1654" i="1"/>
  <c r="AE1654" i="1"/>
  <c r="AB1655" i="1"/>
  <c r="AC1655" i="1"/>
  <c r="AD1655" i="1"/>
  <c r="AE1655" i="1"/>
  <c r="AB1656" i="1"/>
  <c r="AC1656" i="1"/>
  <c r="AD1656" i="1"/>
  <c r="AE1656" i="1"/>
  <c r="AB1657" i="1"/>
  <c r="AC1657" i="1"/>
  <c r="AD1657" i="1"/>
  <c r="AE1657" i="1"/>
  <c r="AB1658" i="1"/>
  <c r="AC1658" i="1"/>
  <c r="AD1658" i="1"/>
  <c r="AE1658" i="1"/>
  <c r="AB1659" i="1"/>
  <c r="AC1659" i="1"/>
  <c r="AD1659" i="1"/>
  <c r="AE1659" i="1"/>
  <c r="AG2" i="1"/>
  <c r="AE2" i="1"/>
  <c r="AD2" i="1"/>
  <c r="AC2" i="1"/>
  <c r="AB2" i="1"/>
</calcChain>
</file>

<file path=xl/sharedStrings.xml><?xml version="1.0" encoding="utf-8"?>
<sst xmlns="http://schemas.openxmlformats.org/spreadsheetml/2006/main" count="30850" uniqueCount="17412">
  <si>
    <t>Name</t>
  </si>
  <si>
    <t>lat1</t>
  </si>
  <si>
    <t>lon1</t>
  </si>
  <si>
    <t>lat2</t>
  </si>
  <si>
    <t>lon2</t>
  </si>
  <si>
    <t>Desc</t>
  </si>
  <si>
    <t>Trạng thái xử lý</t>
  </si>
  <si>
    <t>Chi tiết lỗi (nếu có)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</si>
  <si>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</si>
  <si>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</si>
  <si>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</si>
  <si>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</si>
  <si>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</si>
  <si>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</si>
  <si>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</si>
  <si>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</si>
  <si>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</si>
  <si>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</si>
  <si>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12.24807</t>
  </si>
  <si>
    <t>109.1858</t>
  </si>
  <si>
    <t>12.24813001</t>
  </si>
  <si>
    <t>109.18921</t>
  </si>
  <si>
    <t>FO thuê#VNPT#KHNT60-KHNT3A</t>
  </si>
  <si>
    <t>OK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</si>
  <si>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</si>
  <si>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</si>
  <si>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</si>
  <si>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</si>
  <si>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</si>
  <si>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</si>
  <si>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</si>
  <si>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</si>
  <si>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</si>
  <si>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</si>
  <si>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12.27693</t>
  </si>
  <si>
    <t>109.1884</t>
  </si>
  <si>
    <t>12.27620001</t>
  </si>
  <si>
    <t>109.2018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</si>
  <si>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</si>
  <si>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</si>
  <si>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</si>
  <si>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</si>
  <si>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</si>
  <si>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</si>
  <si>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</si>
  <si>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</si>
  <si>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</si>
  <si>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</si>
  <si>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</si>
  <si>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12.24635</t>
  </si>
  <si>
    <t>109.0729</t>
  </si>
  <si>
    <t>12.22102</t>
  </si>
  <si>
    <t>109.0838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</si>
  <si>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</si>
  <si>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</si>
  <si>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</si>
  <si>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</si>
  <si>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</si>
  <si>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</si>
  <si>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</si>
  <si>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</si>
  <si>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</si>
  <si>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</si>
  <si>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</si>
  <si>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12.1537068</t>
  </si>
  <si>
    <t>109.0672539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</si>
  <si>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</si>
  <si>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</si>
  <si>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</si>
  <si>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</si>
  <si>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</si>
  <si>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</si>
  <si>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</si>
  <si>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</si>
  <si>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</si>
  <si>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</si>
  <si>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</si>
  <si>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12.1757</t>
  </si>
  <si>
    <t>109.1737</t>
  </si>
  <si>
    <t>12.2108712</t>
  </si>
  <si>
    <t>109.1887008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</si>
  <si>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</si>
  <si>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</si>
  <si>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</si>
  <si>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</si>
  <si>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</si>
  <si>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</si>
  <si>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</si>
  <si>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</si>
  <si>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</si>
  <si>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</si>
  <si>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</si>
  <si>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12.24647</t>
  </si>
  <si>
    <t>109.1894</t>
  </si>
  <si>
    <t>12.2522001</t>
  </si>
  <si>
    <t>109.1937001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</si>
  <si>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</si>
  <si>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</si>
  <si>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</si>
  <si>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</si>
  <si>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</si>
  <si>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</si>
  <si>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</si>
  <si>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</si>
  <si>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</si>
  <si>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</si>
  <si>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</si>
  <si>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12.1996477</t>
  </si>
  <si>
    <t>109.1942289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</si>
  <si>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</si>
  <si>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</si>
  <si>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</si>
  <si>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</si>
  <si>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</si>
  <si>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</si>
  <si>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</si>
  <si>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</si>
  <si>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</si>
  <si>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</si>
  <si>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</si>
  <si>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12.22520174</t>
  </si>
  <si>
    <t>109.1833831</t>
  </si>
  <si>
    <t>FO thuê#CMC#KHNTMA01-KHNT26</t>
  </si>
  <si>
    <t>60.34</t>
  </si>
  <si>
    <t>51.16</t>
  </si>
  <si>
    <t>12.225636</t>
  </si>
  <si>
    <t>109.183539</t>
  </si>
  <si>
    <t>PA08-PC06</t>
  </si>
  <si>
    <t>12.24755</t>
  </si>
  <si>
    <t>109.19</t>
  </si>
  <si>
    <t>12.24753</t>
  </si>
  <si>
    <t>109.1896</t>
  </si>
  <si>
    <t>FO thuê#CMC#KHNT25-KHNT84</t>
  </si>
  <si>
    <t>3.PC06 - PA08_Cột trung thế</t>
  </si>
  <si>
    <t>7.93</t>
  </si>
  <si>
    <t>1.27</t>
  </si>
  <si>
    <t>12.247543</t>
  </si>
  <si>
    <t>109.189991</t>
  </si>
  <si>
    <t>6.67</t>
  </si>
  <si>
    <t>12.247517</t>
  </si>
  <si>
    <t>109.189540</t>
  </si>
  <si>
    <t>full_h04/Khánh Hòa/Thu thập EVN_Khánh Hòa/Route_Cấp 3/KH_RING 3/3.PC06 - PA08_Cột trung thế/3.PC06 - PA08_Cột trung thế</t>
  </si>
  <si>
    <t>PC06-PC08 (xử lý vi phạm)</t>
  </si>
  <si>
    <t>FO thuê#CMC#KHNT84-KHNT60</t>
  </si>
  <si>
    <t>3. Trại giam A2 - CATP Nha trang cũ</t>
  </si>
  <si>
    <t>370.36</t>
  </si>
  <si>
    <t>179.62</t>
  </si>
  <si>
    <t>12.247631</t>
  </si>
  <si>
    <t>109.191250</t>
  </si>
  <si>
    <t>190.74</t>
  </si>
  <si>
    <t>12.249428</t>
  </si>
  <si>
    <t>109.184727</t>
  </si>
  <si>
    <t>full_h04/Khánh Hòa/Thu thập EVN_Khánh Hòa/Route_Cấp 3/KH_RING 4/3. Trại giam A2 - CATP Nha trang cũ/Trại giam A2 - CATP Nha trang cũ_Đoạn cột trung thế_8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</si>
  <si>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</si>
  <si>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</si>
  <si>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</si>
  <si>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</si>
  <si>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</si>
  <si>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</si>
  <si>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</si>
  <si>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12.27875</t>
  </si>
  <si>
    <t>109.1889</t>
  </si>
  <si>
    <t>FO thuê#CMC#KHNT94-KHNT79</t>
  </si>
  <si>
    <t>Tuyến nhánh PK02 cs1 - NTG Nha Trang cũ_Cột hạ thế</t>
  </si>
  <si>
    <t>3.53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</si>
  <si>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</si>
  <si>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</si>
  <si>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</si>
  <si>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</si>
  <si>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</si>
  <si>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</si>
  <si>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</si>
  <si>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12.26617101</t>
  </si>
  <si>
    <t>109.19621</t>
  </si>
  <si>
    <t>FO thuê#CMC#KHNT79-KHNT28</t>
  </si>
  <si>
    <t>292.88</t>
  </si>
  <si>
    <t>86.40</t>
  </si>
  <si>
    <t>12.265396</t>
  </si>
  <si>
    <t>109.196152</t>
  </si>
  <si>
    <t>Diên Điền-KHNT07</t>
  </si>
  <si>
    <t>12.27603</t>
  </si>
  <si>
    <t>109.1203</t>
  </si>
  <si>
    <t>12.30220011</t>
  </si>
  <si>
    <t>109.1703001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</si>
  <si>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</si>
  <si>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</si>
  <si>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</si>
  <si>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</si>
  <si>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</si>
  <si>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</si>
  <si>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</si>
  <si>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</si>
  <si>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</si>
  <si>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</si>
  <si>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</si>
  <si>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12.28234</t>
  </si>
  <si>
    <t>109.1981</t>
  </si>
  <si>
    <t>12.25676</t>
  </si>
  <si>
    <t>109.1976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</si>
  <si>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</si>
  <si>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</si>
  <si>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</si>
  <si>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</si>
  <si>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</si>
  <si>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</si>
  <si>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</si>
  <si>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</si>
  <si>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</si>
  <si>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</si>
  <si>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</si>
  <si>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12.25114</t>
  </si>
  <si>
    <t>109.1864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</si>
  <si>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</si>
  <si>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</si>
  <si>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</si>
  <si>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</si>
  <si>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</si>
  <si>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</si>
  <si>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</si>
  <si>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</si>
  <si>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</si>
  <si>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</si>
  <si>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</si>
  <si>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</si>
  <si>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</si>
  <si>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</si>
  <si>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</si>
  <si>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12.29023801</t>
  </si>
  <si>
    <t>109.205394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</si>
  <si>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</si>
  <si>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</si>
  <si>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</si>
  <si>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</si>
  <si>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</si>
  <si>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</si>
  <si>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</si>
  <si>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</si>
  <si>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</si>
  <si>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</si>
  <si>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12.23647</t>
  </si>
  <si>
    <t>109.1846</t>
  </si>
  <si>
    <t>12.23434901</t>
  </si>
  <si>
    <t>109.172642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</si>
  <si>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</si>
  <si>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</si>
  <si>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</si>
  <si>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</si>
  <si>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</si>
  <si>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</si>
  <si>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</si>
  <si>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</si>
  <si>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</si>
  <si>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</si>
  <si>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</si>
  <si>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12.27834601</t>
  </si>
  <si>
    <t>109.199733</t>
  </si>
  <si>
    <t>FO thuê#CMC#KHNT79-KHNT3G</t>
  </si>
  <si>
    <t>538.42</t>
  </si>
  <si>
    <t>331.94</t>
  </si>
  <si>
    <t>12.276457</t>
  </si>
  <si>
    <t>109.197368</t>
  </si>
  <si>
    <t>PC08 csc-KHNT3C</t>
  </si>
  <si>
    <t>12.24904</t>
  </si>
  <si>
    <t>109.1841</t>
  </si>
  <si>
    <t>12.2570531</t>
  </si>
  <si>
    <t>109.1822747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</si>
  <si>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</si>
  <si>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</si>
  <si>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</si>
  <si>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</si>
  <si>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</si>
  <si>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</si>
  <si>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</si>
  <si>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</si>
  <si>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</si>
  <si>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</si>
  <si>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</si>
  <si>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12.2391</t>
  </si>
  <si>
    <t>109.1866</t>
  </si>
  <si>
    <t>12.24928</t>
  </si>
  <si>
    <t>109.1925</t>
  </si>
  <si>
    <t>FO thuê#CMC#KHNT90-KHNT4Z</t>
  </si>
  <si>
    <t>1.CATP Nha trang cũ - PC07</t>
  </si>
  <si>
    <t>680.82</t>
  </si>
  <si>
    <t>4.91</t>
  </si>
  <si>
    <t>12.239117</t>
  </si>
  <si>
    <t>109.186642</t>
  </si>
  <si>
    <t>675.91</t>
  </si>
  <si>
    <t>12.243925</t>
  </si>
  <si>
    <t>109.189556</t>
  </si>
  <si>
    <t>full_h04/Khánh Hòa/Thu thập EVN_Khánh Hòa/Route_Cấp 3/KH_RING 5/1.CATP Nha trang cũ - PC07/CATP Nha trang cũ - PC07_Đoạn cột trung thế</t>
  </si>
  <si>
    <t>Nhà tạm giam Diên Khánh-KHDK38</t>
  </si>
  <si>
    <t>12.245628</t>
  </si>
  <si>
    <t>109.097118</t>
  </si>
  <si>
    <t>FO thuê#CMC#KHDK13-KHDK38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</si>
  <si>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</si>
  <si>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</si>
  <si>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</si>
  <si>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</si>
  <si>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</si>
  <si>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</si>
  <si>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</si>
  <si>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</si>
  <si>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</si>
  <si>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12.27802</t>
  </si>
  <si>
    <t>109.12975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</si>
  <si>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</si>
  <si>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</si>
  <si>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</si>
  <si>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</si>
  <si>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</si>
  <si>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</si>
  <si>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12.25983</t>
  </si>
  <si>
    <t>109.07202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</si>
  <si>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</si>
  <si>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</si>
  <si>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</si>
  <si>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</si>
  <si>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</si>
  <si>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</si>
  <si>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</si>
  <si>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</si>
  <si>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</si>
  <si>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</si>
  <si>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</si>
  <si>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12.20345001</t>
  </si>
  <si>
    <t>109.16021</t>
  </si>
  <si>
    <t>FO thuê#CMC#KHNTMA01-KHNT74</t>
  </si>
  <si>
    <t>1703.55</t>
  </si>
  <si>
    <t>1700.20</t>
  </si>
  <si>
    <t>12.196674</t>
  </si>
  <si>
    <t>109.174234</t>
  </si>
  <si>
    <t>Bắc Nha Trang-KHNT77</t>
  </si>
  <si>
    <t>12.29400101</t>
  </si>
  <si>
    <t>109.188739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</si>
  <si>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</si>
  <si>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</si>
  <si>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</si>
  <si>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</si>
  <si>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</si>
  <si>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</si>
  <si>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</si>
  <si>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</si>
  <si>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</si>
  <si>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</si>
  <si>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11.94161</t>
  </si>
  <si>
    <t>109.1131</t>
  </si>
  <si>
    <t>11.94650301</t>
  </si>
  <si>
    <t>109.092594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</si>
  <si>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</si>
  <si>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</si>
  <si>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</si>
  <si>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</si>
  <si>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</si>
  <si>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</si>
  <si>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</si>
  <si>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</si>
  <si>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</si>
  <si>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</si>
  <si>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</si>
  <si>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11.9756</t>
  </si>
  <si>
    <t>109.1961</t>
  </si>
  <si>
    <t>11.97462501</t>
  </si>
  <si>
    <t>109.1886701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</si>
  <si>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</si>
  <si>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</si>
  <si>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</si>
  <si>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</si>
  <si>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</si>
  <si>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</si>
  <si>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</si>
  <si>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</si>
  <si>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</si>
  <si>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</si>
  <si>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</si>
  <si>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12.23483</t>
  </si>
  <si>
    <t>109.08898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</si>
  <si>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</si>
  <si>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</si>
  <si>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</si>
  <si>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</si>
  <si>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</si>
  <si>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</si>
  <si>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12.2524949</t>
  </si>
  <si>
    <t>109.0954765</t>
  </si>
  <si>
    <t>FO thuê#CMC#KHDK13-KHDK23</t>
  </si>
  <si>
    <t>1249.28</t>
  </si>
  <si>
    <t>190.90</t>
  </si>
  <si>
    <t>12.251051</t>
  </si>
  <si>
    <t>109.096426</t>
  </si>
  <si>
    <t>Diên Lâm-KHDK17</t>
  </si>
  <si>
    <t>12.26904</t>
  </si>
  <si>
    <t>109.0334</t>
  </si>
  <si>
    <t>12.27189</t>
  </si>
  <si>
    <t>109.04746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</si>
  <si>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</si>
  <si>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</si>
  <si>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</si>
  <si>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</si>
  <si>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</si>
  <si>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</si>
  <si>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</si>
  <si>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</si>
  <si>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</si>
  <si>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</si>
  <si>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</si>
  <si>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12.22351</t>
  </si>
  <si>
    <t>109.085728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</si>
  <si>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</si>
  <si>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</si>
  <si>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</si>
  <si>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</si>
  <si>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</si>
  <si>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</si>
  <si>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</si>
  <si>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</si>
  <si>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</si>
  <si>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</si>
  <si>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12.2569</t>
  </si>
  <si>
    <t>109.0574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</si>
  <si>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</si>
  <si>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</si>
  <si>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</si>
  <si>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</si>
  <si>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</si>
  <si>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</si>
  <si>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</si>
  <si>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</si>
  <si>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</si>
  <si>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12.26987</t>
  </si>
  <si>
    <t>109.01763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</si>
  <si>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</si>
  <si>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</si>
  <si>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</si>
  <si>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</si>
  <si>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</si>
  <si>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</si>
  <si>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</si>
  <si>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</si>
  <si>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</si>
  <si>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</si>
  <si>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</si>
  <si>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12.28390901</t>
  </si>
  <si>
    <t>109.108828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</si>
  <si>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</si>
  <si>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</si>
  <si>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</si>
  <si>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</si>
  <si>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</si>
  <si>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</si>
  <si>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</si>
  <si>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</si>
  <si>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</si>
  <si>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</si>
  <si>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</si>
  <si>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12.28893201</t>
  </si>
  <si>
    <t>109.200351</t>
  </si>
  <si>
    <t>FO thuê#CMC#KHNT88-KHNT4A</t>
  </si>
  <si>
    <t>764.16</t>
  </si>
  <si>
    <t>763.31</t>
  </si>
  <si>
    <t>12.282397</t>
  </si>
  <si>
    <t>109.198201</t>
  </si>
  <si>
    <t>PC11a-KHNT3L</t>
  </si>
  <si>
    <t>12.18649</t>
  </si>
  <si>
    <t>109.158723</t>
  </si>
  <si>
    <t>FO thuê#CMC#KHNTMA01-KHNT3L</t>
  </si>
  <si>
    <t>1246.56</t>
  </si>
  <si>
    <t>1243.22</t>
  </si>
  <si>
    <t>12.189206</t>
  </si>
  <si>
    <t>109.169819</t>
  </si>
  <si>
    <t>PK02 cs1-KHNT95</t>
  </si>
  <si>
    <t>12.26984401</t>
  </si>
  <si>
    <t>109.18243</t>
  </si>
  <si>
    <t>FO thuê#CMC#KHNT94-KHNT95</t>
  </si>
  <si>
    <t>1024.07</t>
  </si>
  <si>
    <t>1022.79</t>
  </si>
  <si>
    <t>Bắc Nha Trang-KHNT1S</t>
  </si>
  <si>
    <t>12.28442601</t>
  </si>
  <si>
    <t>109.195839</t>
  </si>
  <si>
    <t>FO thuê#CMC#KHNT88-KHNT1S</t>
  </si>
  <si>
    <t>234.94</t>
  </si>
  <si>
    <t>234.06</t>
  </si>
  <si>
    <t>12.282329</t>
  </si>
  <si>
    <t>109.195653</t>
  </si>
  <si>
    <t>PC11a-KHNT4K</t>
  </si>
  <si>
    <t>12.17269401</t>
  </si>
  <si>
    <t>109.184329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</si>
  <si>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</si>
  <si>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</si>
  <si>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</si>
  <si>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</si>
  <si>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</si>
  <si>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</si>
  <si>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</si>
  <si>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</si>
  <si>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</si>
  <si>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</si>
  <si>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</si>
  <si>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12.25827501</t>
  </si>
  <si>
    <t>109.190817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</si>
  <si>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</si>
  <si>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</si>
  <si>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</si>
  <si>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</si>
  <si>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</si>
  <si>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</si>
  <si>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</si>
  <si>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</si>
  <si>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</si>
  <si>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</si>
  <si>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12.28057201</t>
  </si>
  <si>
    <t>109.194297</t>
  </si>
  <si>
    <t>FO thuê#CMC#KHNT79-KHNT21</t>
  </si>
  <si>
    <t>331.83</t>
  </si>
  <si>
    <t>125.35</t>
  </si>
  <si>
    <t>12.279657</t>
  </si>
  <si>
    <t>109.194971</t>
  </si>
  <si>
    <t>PC07-KHNT4B</t>
  </si>
  <si>
    <t>12.2380165</t>
  </si>
  <si>
    <t>109.1872048</t>
  </si>
  <si>
    <t>FO thuê#CMC#KHNT90-KHNT4B</t>
  </si>
  <si>
    <t>2.PC07 - PA06 cs2_Cột hạ thế</t>
  </si>
  <si>
    <t>37.74</t>
  </si>
  <si>
    <t>5.73</t>
  </si>
  <si>
    <t>12.239090</t>
  </si>
  <si>
    <t>109.186652</t>
  </si>
  <si>
    <t>32.01</t>
  </si>
  <si>
    <t>12.238280</t>
  </si>
  <si>
    <t>109.187086</t>
  </si>
  <si>
    <t>full_h04/Khánh Hòa/Thu thập EVN_Khánh Hòa/Route_Cấp 3/KH_RING 5/2.PC07 - PA06 cs2_Cột hạ thế/2.PC07 - PA06 cs2_Cột hạ thế</t>
  </si>
  <si>
    <t>PC11a-KHNT4Q</t>
  </si>
  <si>
    <t>12.19975101</t>
  </si>
  <si>
    <t>109.177632</t>
  </si>
  <si>
    <t>FO thuê#CMC#KHNTMA01-KHNT4Q</t>
  </si>
  <si>
    <t>147.68</t>
  </si>
  <si>
    <t>144.34</t>
  </si>
  <si>
    <t>12.198800</t>
  </si>
  <si>
    <t>109.176728</t>
  </si>
  <si>
    <t>Tây Nha Trang-KHNT4M</t>
  </si>
  <si>
    <t>12.26323701</t>
  </si>
  <si>
    <t>109.183618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</si>
  <si>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</si>
  <si>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</si>
  <si>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</si>
  <si>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</si>
  <si>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</si>
  <si>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</si>
  <si>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</si>
  <si>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</si>
  <si>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</si>
  <si>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</si>
  <si>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</si>
  <si>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</si>
  <si>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</si>
  <si>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</si>
  <si>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</si>
  <si>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</si>
  <si>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</si>
  <si>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</si>
  <si>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</si>
  <si>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</si>
  <si>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</si>
  <si>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12.54083</t>
  </si>
  <si>
    <t>109.0075</t>
  </si>
  <si>
    <t>12.55036</t>
  </si>
  <si>
    <t>109.02233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</si>
  <si>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</si>
  <si>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</si>
  <si>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</si>
  <si>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</si>
  <si>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</si>
  <si>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</si>
  <si>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</si>
  <si>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</si>
  <si>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</si>
  <si>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</si>
  <si>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</si>
  <si>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12.50973</t>
  </si>
  <si>
    <t>109.1375</t>
  </si>
  <si>
    <t>12.49985601</t>
  </si>
  <si>
    <t>109.1339041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</si>
  <si>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</si>
  <si>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</si>
  <si>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</si>
  <si>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</si>
  <si>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</si>
  <si>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</si>
  <si>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</si>
  <si>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</si>
  <si>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</si>
  <si>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</si>
  <si>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</si>
  <si>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12.48898</t>
  </si>
  <si>
    <t>109.119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</si>
  <si>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</si>
  <si>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</si>
  <si>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</si>
  <si>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</si>
  <si>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</si>
  <si>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</si>
  <si>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</si>
  <si>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</si>
  <si>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</si>
  <si>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</si>
  <si>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</si>
  <si>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11.96294</t>
  </si>
  <si>
    <t>109.095</t>
  </si>
  <si>
    <t>11.965597</t>
  </si>
  <si>
    <t>109.093781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</si>
  <si>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</si>
  <si>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</si>
  <si>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</si>
  <si>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</si>
  <si>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</si>
  <si>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</si>
  <si>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</si>
  <si>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</si>
  <si>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11.92552</t>
  </si>
  <si>
    <t>109.1637</t>
  </si>
  <si>
    <t>11.91436</t>
  </si>
  <si>
    <t>109.14944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</si>
  <si>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</si>
  <si>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</si>
  <si>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</si>
  <si>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</si>
  <si>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</si>
  <si>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</si>
  <si>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</si>
  <si>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</si>
  <si>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</si>
  <si>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</si>
  <si>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</si>
  <si>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12.48759</t>
  </si>
  <si>
    <t>109.13198</t>
  </si>
  <si>
    <t>FO thuê#CMC#KHNH54-KHNH1E</t>
  </si>
  <si>
    <t>273.39</t>
  </si>
  <si>
    <t>270.63</t>
  </si>
  <si>
    <t>12.486466</t>
  </si>
  <si>
    <t>109.134191</t>
  </si>
  <si>
    <t>PC07-KHNT6D</t>
  </si>
  <si>
    <t>12.23900441</t>
  </si>
  <si>
    <t>109.1861532</t>
  </si>
  <si>
    <t>FO thuê#CMC#KHNT90-KHNT6D</t>
  </si>
  <si>
    <t>37.77</t>
  </si>
  <si>
    <t>32.86</t>
  </si>
  <si>
    <t>12.238851</t>
  </si>
  <si>
    <t>109.186412</t>
  </si>
  <si>
    <t>PC07-KHNT2B</t>
  </si>
  <si>
    <t>12.2443602</t>
  </si>
  <si>
    <t>109.1957346</t>
  </si>
  <si>
    <t>FO thuê#CMC#KHNT90-KHNT2B</t>
  </si>
  <si>
    <t>654.25</t>
  </si>
  <si>
    <t>649.35</t>
  </si>
  <si>
    <t>12.243726</t>
  </si>
  <si>
    <t>109.189794</t>
  </si>
  <si>
    <t>PC07-KHNT1H</t>
  </si>
  <si>
    <t>12.2392592</t>
  </si>
  <si>
    <t>109.191774</t>
  </si>
  <si>
    <t>FO thuê#CMC#KHNT90-KHNT1H</t>
  </si>
  <si>
    <t>6.PC08 csc - CAT Khánh Hòa_Cột trung thế</t>
  </si>
  <si>
    <t>317.79</t>
  </si>
  <si>
    <t>209.50</t>
  </si>
  <si>
    <t>12.240531</t>
  </si>
  <si>
    <t>109.187854</t>
  </si>
  <si>
    <t>108.28</t>
  </si>
  <si>
    <t>12.238301</t>
  </si>
  <si>
    <t>109.191949</t>
  </si>
  <si>
    <t>full_h04/Khánh Hòa/Thu thập EVN_Khánh Hòa/Route_Cấp 3/KH_RING 3/6.PC08 csc - CAT Khánh Hòa_Cột trung thế/6.PC08 csc - CAT Khánh Hòa_Cột trung thế</t>
  </si>
  <si>
    <t>PA08-KHNT1I</t>
  </si>
  <si>
    <t>12.2390501</t>
  </si>
  <si>
    <t>109.181202</t>
  </si>
  <si>
    <t>FO thuê#CMC#KHNT25-KHNT1I</t>
  </si>
  <si>
    <t>887.13</t>
  </si>
  <si>
    <t>405.93</t>
  </si>
  <si>
    <t>481.20</t>
  </si>
  <si>
    <t>12.239652</t>
  </si>
  <si>
    <t>109.185587</t>
  </si>
  <si>
    <t>PA08-KHNT1J</t>
  </si>
  <si>
    <t>12.24395251</t>
  </si>
  <si>
    <t>109.1803282</t>
  </si>
  <si>
    <t>FO thuê#CMC#KHNT25-KHNT1J</t>
  </si>
  <si>
    <t>2.CA Nam Nha Trang - CA Nha Trang</t>
  </si>
  <si>
    <t>681.98</t>
  </si>
  <si>
    <t>324.19</t>
  </si>
  <si>
    <t>12.249235</t>
  </si>
  <si>
    <t>109.192435</t>
  </si>
  <si>
    <t>357.79</t>
  </si>
  <si>
    <t>12.246922</t>
  </si>
  <si>
    <t>109.181597</t>
  </si>
  <si>
    <t>full_h04/Khánh Hòa/Thu thập EVN_Khánh Hòa/Route_Cấp 4/KH_RING 1/2.CA Nam Nha Trang - CA Nha Trang/CA Nam Nha Trang - CA Nha Trang_Đoạn cột trung thế_2</t>
  </si>
  <si>
    <t>PC08 csc-KHNT1K</t>
  </si>
  <si>
    <t>12.25090401</t>
  </si>
  <si>
    <t>109.177954</t>
  </si>
  <si>
    <t>FO thuê#CMC#KHNT05-KHNT1K</t>
  </si>
  <si>
    <t>94.89</t>
  </si>
  <si>
    <t>80.62</t>
  </si>
  <si>
    <t>14.27</t>
  </si>
  <si>
    <t>12.250778</t>
  </si>
  <si>
    <t>109.177980</t>
  </si>
  <si>
    <t>PA06 cs2-KHNT1U</t>
  </si>
  <si>
    <t>12.2360069</t>
  </si>
  <si>
    <t>109.1867344</t>
  </si>
  <si>
    <t>FO thuê#CMC#KHNT55-KHNT1U</t>
  </si>
  <si>
    <t>138.44</t>
  </si>
  <si>
    <t>4.67</t>
  </si>
  <si>
    <t>12.236451</t>
  </si>
  <si>
    <t>109.184562</t>
  </si>
  <si>
    <t>133.77</t>
  </si>
  <si>
    <t>12.236749</t>
  </si>
  <si>
    <t>109.185765</t>
  </si>
  <si>
    <t>PA08-KHNT1V</t>
  </si>
  <si>
    <t>12.24066</t>
  </si>
  <si>
    <t>109.18532</t>
  </si>
  <si>
    <t>FO thuê#CMC#KHNT25-KHNT1V</t>
  </si>
  <si>
    <t>521.71</t>
  </si>
  <si>
    <t>115.78</t>
  </si>
  <si>
    <t>PA08-KHNT47</t>
  </si>
  <si>
    <t>12.24512014</t>
  </si>
  <si>
    <t>109.1836333</t>
  </si>
  <si>
    <t>FO thuê#CMC#KHNT25-KHNT47</t>
  </si>
  <si>
    <t>622.63</t>
  </si>
  <si>
    <t>298.44</t>
  </si>
  <si>
    <t>PA06 cs2-KHNT89</t>
  </si>
  <si>
    <t>12.22998172</t>
  </si>
  <si>
    <t>109.1822861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</si>
  <si>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</si>
  <si>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</si>
  <si>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</si>
  <si>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</si>
  <si>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</si>
  <si>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</si>
  <si>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</si>
  <si>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</si>
  <si>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</si>
  <si>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</si>
  <si>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12.27974401</t>
  </si>
  <si>
    <t>109.197704</t>
  </si>
  <si>
    <t>FO thuê#CMC#KHNT79-KHNT4P</t>
  </si>
  <si>
    <t>478.09</t>
  </si>
  <si>
    <t>271.61</t>
  </si>
  <si>
    <t>12.279789</t>
  </si>
  <si>
    <t>109.195205</t>
  </si>
  <si>
    <t>Cam Hiệp-KHCL40</t>
  </si>
  <si>
    <t>12.03192</t>
  </si>
  <si>
    <t>109.1282</t>
  </si>
  <si>
    <t>12.0483501</t>
  </si>
  <si>
    <t>109.12726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</si>
  <si>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</si>
  <si>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</si>
  <si>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</si>
  <si>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</si>
  <si>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</si>
  <si>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</si>
  <si>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</si>
  <si>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</si>
  <si>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</si>
  <si>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</si>
  <si>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</si>
  <si>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12.48151</t>
  </si>
  <si>
    <t>109.12602</t>
  </si>
  <si>
    <t>FO thuê#CMC#KHNH54-KHNH84</t>
  </si>
  <si>
    <t>571.13</t>
  </si>
  <si>
    <t>568.36</t>
  </si>
  <si>
    <t>Ninh Hòa-KHNH85</t>
  </si>
  <si>
    <t>12.49907</t>
  </si>
  <si>
    <t>109.15372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</si>
  <si>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</si>
  <si>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</si>
  <si>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</si>
  <si>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</si>
  <si>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</si>
  <si>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</si>
  <si>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</si>
  <si>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</si>
  <si>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</si>
  <si>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</si>
  <si>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12.69077</t>
  </si>
  <si>
    <t>109.2209</t>
  </si>
  <si>
    <t>12.68866</t>
  </si>
  <si>
    <t>109.22417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</si>
  <si>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</si>
  <si>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</si>
  <si>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</si>
  <si>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</si>
  <si>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</si>
  <si>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</si>
  <si>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</si>
  <si>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</si>
  <si>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</si>
  <si>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11.99699</t>
  </si>
  <si>
    <t>109.12421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</si>
  <si>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</si>
  <si>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</si>
  <si>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</si>
  <si>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</si>
  <si>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</si>
  <si>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</si>
  <si>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</si>
  <si>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</si>
  <si>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</si>
  <si>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12.07444</t>
  </si>
  <si>
    <t>109.1681</t>
  </si>
  <si>
    <t>FO thuê#CMC#KHNTMA01-KHCLMA01</t>
  </si>
  <si>
    <t>138.12</t>
  </si>
  <si>
    <t>2.03</t>
  </si>
  <si>
    <t>12.074439</t>
  </si>
  <si>
    <t>109.168081</t>
  </si>
  <si>
    <t>Cam Phước Đông-KHCR19</t>
  </si>
  <si>
    <t>11.99443734</t>
  </si>
  <si>
    <t>109.1526529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</si>
  <si>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</si>
  <si>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</si>
  <si>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</si>
  <si>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</si>
  <si>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</si>
  <si>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</si>
  <si>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</si>
  <si>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</si>
  <si>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</si>
  <si>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11.91870901</t>
  </si>
  <si>
    <t>109.145014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</si>
  <si>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</si>
  <si>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</si>
  <si>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</si>
  <si>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</si>
  <si>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</si>
  <si>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</si>
  <si>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</si>
  <si>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</si>
  <si>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</si>
  <si>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</si>
  <si>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</si>
  <si>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12.06328</t>
  </si>
  <si>
    <t>109.1601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</si>
  <si>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</si>
  <si>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</si>
  <si>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</si>
  <si>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</si>
  <si>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</si>
  <si>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</si>
  <si>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</si>
  <si>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</si>
  <si>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</si>
  <si>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</si>
  <si>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</si>
  <si>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</si>
  <si>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</si>
  <si>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</si>
  <si>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</si>
  <si>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</si>
  <si>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</si>
  <si>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11.90960356</t>
  </si>
  <si>
    <t>109.1272345</t>
  </si>
  <si>
    <t>FO thuê#CMC#KHCR52-KHCR14</t>
  </si>
  <si>
    <t>370.23</t>
  </si>
  <si>
    <t>98.47</t>
  </si>
  <si>
    <t>11.908733</t>
  </si>
  <si>
    <t>109.127402</t>
  </si>
  <si>
    <t>Cam Linh-KHCR04</t>
  </si>
  <si>
    <t>11.90677</t>
  </si>
  <si>
    <t>109.1464</t>
  </si>
  <si>
    <t>11.83796801</t>
  </si>
  <si>
    <t>109.111695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</si>
  <si>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</si>
  <si>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</si>
  <si>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</si>
  <si>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</si>
  <si>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</si>
  <si>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</si>
  <si>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</si>
  <si>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</si>
  <si>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</si>
  <si>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</si>
  <si>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</si>
  <si>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</si>
  <si>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</si>
  <si>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</si>
  <si>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</si>
  <si>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12.0299</t>
  </si>
  <si>
    <t>109.1773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</si>
  <si>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</si>
  <si>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</si>
  <si>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</si>
  <si>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</si>
  <si>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</si>
  <si>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</si>
  <si>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</si>
  <si>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</si>
  <si>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</si>
  <si>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</si>
  <si>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</si>
  <si>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12.11886</t>
  </si>
  <si>
    <t>109.1134173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</si>
  <si>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</si>
  <si>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</si>
  <si>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</si>
  <si>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</si>
  <si>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</si>
  <si>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</si>
  <si>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</si>
  <si>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</si>
  <si>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</si>
  <si>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</si>
  <si>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11.94227001</t>
  </si>
  <si>
    <t>109.17915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</si>
  <si>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</si>
  <si>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</si>
  <si>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</si>
  <si>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</si>
  <si>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</si>
  <si>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</si>
  <si>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</si>
  <si>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</si>
  <si>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</si>
  <si>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</si>
  <si>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</si>
  <si>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11.99821</t>
  </si>
  <si>
    <t>109.2188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</si>
  <si>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</si>
  <si>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</si>
  <si>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</si>
  <si>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</si>
  <si>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</si>
  <si>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</si>
  <si>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</si>
  <si>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</si>
  <si>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</si>
  <si>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</si>
  <si>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</si>
  <si>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</si>
  <si>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</si>
  <si>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</si>
  <si>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</si>
  <si>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</si>
  <si>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</si>
  <si>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</si>
  <si>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</si>
  <si>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</si>
  <si>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12.0551579</t>
  </si>
  <si>
    <t>109.1992261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</si>
  <si>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</si>
  <si>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</si>
  <si>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</si>
  <si>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</si>
  <si>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</si>
  <si>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</si>
  <si>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</si>
  <si>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</si>
  <si>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</si>
  <si>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</si>
  <si>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12.0107571</t>
  </si>
  <si>
    <t>109.0860198</t>
  </si>
  <si>
    <t>FO thuê#CMC#KHCL02-KHCL09</t>
  </si>
  <si>
    <t>4303.41</t>
  </si>
  <si>
    <t>4299.01</t>
  </si>
  <si>
    <t>12.006541</t>
  </si>
  <si>
    <t>109.125311</t>
  </si>
  <si>
    <t>Cam Hiệp-KHCL13</t>
  </si>
  <si>
    <t>12.0156218</t>
  </si>
  <si>
    <t>109.113312</t>
  </si>
  <si>
    <t>FO thuê#CMC#KHCL02-KHCL13</t>
  </si>
  <si>
    <t>1580.41</t>
  </si>
  <si>
    <t>1576.01</t>
  </si>
  <si>
    <t>12.008963</t>
  </si>
  <si>
    <t>109.126104</t>
  </si>
  <si>
    <t>Cam Ranh-KHCR17</t>
  </si>
  <si>
    <t>11.91789</t>
  </si>
  <si>
    <t>109.15163</t>
  </si>
  <si>
    <t>FO thuê#CMC#KHCR52-KHCR17</t>
  </si>
  <si>
    <t>557.99</t>
  </si>
  <si>
    <t>286.23</t>
  </si>
  <si>
    <t>11.920144</t>
  </si>
  <si>
    <t>109.150360</t>
  </si>
  <si>
    <t>Cam Linh-KHCR34</t>
  </si>
  <si>
    <t>11.9030769</t>
  </si>
  <si>
    <t>109.1457086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</si>
  <si>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</si>
  <si>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</si>
  <si>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</si>
  <si>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</si>
  <si>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</si>
  <si>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</si>
  <si>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</si>
  <si>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</si>
  <si>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</si>
  <si>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</si>
  <si>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11.91452</t>
  </si>
  <si>
    <t>109.15903</t>
  </si>
  <si>
    <t>FO thuê#CMC#KHCR52-KHCR33</t>
  </si>
  <si>
    <t>1033.25</t>
  </si>
  <si>
    <t>719.36</t>
  </si>
  <si>
    <t>11.920300</t>
  </si>
  <si>
    <t>109.162000</t>
  </si>
  <si>
    <t>Bắc Cam Ranh-KHCR25</t>
  </si>
  <si>
    <t>11.98831</t>
  </si>
  <si>
    <t>109.1746</t>
  </si>
  <si>
    <t>FO thuê#CMC#KHCR02-KHCR25</t>
  </si>
  <si>
    <t>260.36</t>
  </si>
  <si>
    <t>135.35</t>
  </si>
  <si>
    <t>11.987181</t>
  </si>
  <si>
    <t>109.174135</t>
  </si>
  <si>
    <t>Cam Linh-KHCR36</t>
  </si>
  <si>
    <t>11.90945</t>
  </si>
  <si>
    <t>109.14203</t>
  </si>
  <si>
    <t>FO thuê#CMC#KHCR18-KHCR36</t>
  </si>
  <si>
    <t>19.85</t>
  </si>
  <si>
    <t>15.86</t>
  </si>
  <si>
    <t>11.909582</t>
  </si>
  <si>
    <t>109.141975</t>
  </si>
  <si>
    <t>Cam Ranh-KHCR37</t>
  </si>
  <si>
    <t>11.90782</t>
  </si>
  <si>
    <t>109.15242</t>
  </si>
  <si>
    <t>FO thuê#CMC#KHCR52-KHCR37</t>
  </si>
  <si>
    <t>636.01</t>
  </si>
  <si>
    <t>322.13</t>
  </si>
  <si>
    <t>11.909857</t>
  </si>
  <si>
    <t>109.150314</t>
  </si>
  <si>
    <t>Cam An-KHCR70</t>
  </si>
  <si>
    <t>11.95555662</t>
  </si>
  <si>
    <t>109.1041677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</si>
  <si>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</si>
  <si>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</si>
  <si>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</si>
  <si>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</si>
  <si>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</si>
  <si>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</si>
  <si>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</si>
  <si>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</si>
  <si>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</si>
  <si>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12.7108</t>
  </si>
  <si>
    <t>109.23668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</si>
  <si>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</si>
  <si>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</si>
  <si>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</si>
  <si>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</si>
  <si>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</si>
  <si>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</si>
  <si>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</si>
  <si>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</si>
  <si>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</si>
  <si>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</si>
  <si>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</si>
  <si>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12.72197</t>
  </si>
  <si>
    <t>109.23442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</si>
  <si>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</si>
  <si>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</si>
  <si>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</si>
  <si>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</si>
  <si>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</si>
  <si>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</si>
  <si>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</si>
  <si>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</si>
  <si>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</si>
  <si>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</si>
  <si>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</si>
  <si>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12.71453</t>
  </si>
  <si>
    <t>109.2534</t>
  </si>
  <si>
    <t>FO thuê#VNPT#KHVN50-KHVN04</t>
  </si>
  <si>
    <t>1805.95</t>
  </si>
  <si>
    <t>1318.92</t>
  </si>
  <si>
    <t>12.726119</t>
  </si>
  <si>
    <t>109.255991</t>
  </si>
  <si>
    <t>KHVN22-Vạn Ninh</t>
  </si>
  <si>
    <t>12.70296</t>
  </si>
  <si>
    <t>109.22034</t>
  </si>
  <si>
    <t>FO thuê#VNPT#KHVN22-KHVN04</t>
  </si>
  <si>
    <t>640.53</t>
  </si>
  <si>
    <t>636.96</t>
  </si>
  <si>
    <t>12.699181</t>
  </si>
  <si>
    <t>109.224753</t>
  </si>
  <si>
    <t>KHVN47-Vạn Ninh</t>
  </si>
  <si>
    <t>12.70494</t>
  </si>
  <si>
    <t>109.24838</t>
  </si>
  <si>
    <t>FO thuê#VNPT#KHVN47-KHVN04</t>
  </si>
  <si>
    <t>1216.41</t>
  </si>
  <si>
    <t>1212.84</t>
  </si>
  <si>
    <t>12.704770</t>
  </si>
  <si>
    <t>109.237200</t>
  </si>
  <si>
    <t>KHDK44-Diên Lâm</t>
  </si>
  <si>
    <t>12.2704521</t>
  </si>
  <si>
    <t>109.0337186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</si>
  <si>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</si>
  <si>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</si>
  <si>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</si>
  <si>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</si>
  <si>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</si>
  <si>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</si>
  <si>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12.2585011</t>
  </si>
  <si>
    <t>109.0813154</t>
  </si>
  <si>
    <t>FO thuê#VNPT#KHDK41-KHDK13</t>
  </si>
  <si>
    <t>732.69</t>
  </si>
  <si>
    <t>725.47</t>
  </si>
  <si>
    <t>12.253289</t>
  </si>
  <si>
    <t>109.077300</t>
  </si>
  <si>
    <t>KHDK47-Suối Hiệp</t>
  </si>
  <si>
    <t>12.20177801</t>
  </si>
  <si>
    <t>109.063683</t>
  </si>
  <si>
    <t>FO thuê#VNPT#KHDK47-KHDK06</t>
  </si>
  <si>
    <t>845.12</t>
  </si>
  <si>
    <t>691.22</t>
  </si>
  <si>
    <t>12.197663</t>
  </si>
  <si>
    <t>109.068449</t>
  </si>
  <si>
    <t>KHCL36-Cam Hiệp</t>
  </si>
  <si>
    <t>12.01606101</t>
  </si>
  <si>
    <t>109.128601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</si>
  <si>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</si>
  <si>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</si>
  <si>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</si>
  <si>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</si>
  <si>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</si>
  <si>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</si>
  <si>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</si>
  <si>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</si>
  <si>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</si>
  <si>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12.09608612</t>
  </si>
  <si>
    <t>109.1916937</t>
  </si>
  <si>
    <t>FO thuê#VNPT#KHCL65-KHCLMA01</t>
  </si>
  <si>
    <t>351.58</t>
  </si>
  <si>
    <t>349.55</t>
  </si>
  <si>
    <t>12.096610</t>
  </si>
  <si>
    <t>109.188524</t>
  </si>
  <si>
    <t>KHCL66-Cam Lâm</t>
  </si>
  <si>
    <t>12.07798701</t>
  </si>
  <si>
    <t>109.196856</t>
  </si>
  <si>
    <t>FO thuê#VNPT#KHCL66-KHCLMA01</t>
  </si>
  <si>
    <t>1166.83</t>
  </si>
  <si>
    <t>1164.80</t>
  </si>
  <si>
    <t>12.085071</t>
  </si>
  <si>
    <t>109.188964</t>
  </si>
  <si>
    <t>KHCR64-Cam Linh</t>
  </si>
  <si>
    <t>11.9069515</t>
  </si>
  <si>
    <t>109.1477022</t>
  </si>
  <si>
    <t>FO thuê#VNPT#KHCR64-KHCR18</t>
  </si>
  <si>
    <t>132.86</t>
  </si>
  <si>
    <t>128.73</t>
  </si>
  <si>
    <t>11.906952</t>
  </si>
  <si>
    <t>109.146519</t>
  </si>
  <si>
    <t>KHCR71-Cam Phước Đông</t>
  </si>
  <si>
    <t>11.92726001</t>
  </si>
  <si>
    <t>109.1087601</t>
  </si>
  <si>
    <t>FO thuê#VNPT#KHCR71-KHCR47</t>
  </si>
  <si>
    <t>1467.81</t>
  </si>
  <si>
    <t>1367.81</t>
  </si>
  <si>
    <t>11.932957</t>
  </si>
  <si>
    <t>109.119903</t>
  </si>
  <si>
    <t>KHNT20-PC06</t>
  </si>
  <si>
    <t>12.2443233</t>
  </si>
  <si>
    <t>109.1882667</t>
  </si>
  <si>
    <t>FO thuê#VNPT#KHNT20-KHNT84</t>
  </si>
  <si>
    <t>2.CATP Nha trang cũ - PC06_Ngầm mới</t>
  </si>
  <si>
    <t>277.62</t>
  </si>
  <si>
    <t>271.99</t>
  </si>
  <si>
    <t>12.246491</t>
  </si>
  <si>
    <t>109.189426</t>
  </si>
  <si>
    <t>5.63</t>
  </si>
  <si>
    <t>12.247512</t>
  </si>
  <si>
    <t>109.189551</t>
  </si>
  <si>
    <t>full_h04/Khánh Hòa/Thu thập EVN_Khánh Hòa/Route_Cấp 3/KH_RING 3/2.CATP Nha trang cũ - PC06_Ngầm mới/2.CATP Nha trang cũ - PC06_Ngầm mới</t>
  </si>
  <si>
    <t>KHNT5S-PA06 cs2</t>
  </si>
  <si>
    <t>12.233701</t>
  </si>
  <si>
    <t>109.185861</t>
  </si>
  <si>
    <t>FO thuê#VNPT#KHNT5S-KHNT55</t>
  </si>
  <si>
    <t>284.78</t>
  </si>
  <si>
    <t>268.97</t>
  </si>
  <si>
    <t>KHNT6V-PA08</t>
  </si>
  <si>
    <t>12.23616701</t>
  </si>
  <si>
    <t>109.178073</t>
  </si>
  <si>
    <t>FO thuê#VNPT#KHNT6V-KHNT25</t>
  </si>
  <si>
    <t>1129.07</t>
  </si>
  <si>
    <t>81.96</t>
  </si>
  <si>
    <t>12.236038</t>
  </si>
  <si>
    <t>109.178816</t>
  </si>
  <si>
    <t>1047.11</t>
  </si>
  <si>
    <t>12.238373</t>
  </si>
  <si>
    <t>109.192163</t>
  </si>
  <si>
    <t>KHNH18-Ninh Hòa</t>
  </si>
  <si>
    <t>12.49078</t>
  </si>
  <si>
    <t>109.12521</t>
  </si>
  <si>
    <t>FO thuê#VNPT#KHNH18-KHNH54</t>
  </si>
  <si>
    <t>1089.40</t>
  </si>
  <si>
    <t>1086.63</t>
  </si>
  <si>
    <t>KHNH1I-Hòa Thắng</t>
  </si>
  <si>
    <t>12.46218</t>
  </si>
  <si>
    <t>109.12141</t>
  </si>
  <si>
    <t>12.48016</t>
  </si>
  <si>
    <t>109.1325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</si>
  <si>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</si>
  <si>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</si>
  <si>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</si>
  <si>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</si>
  <si>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</si>
  <si>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</si>
  <si>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</si>
  <si>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</si>
  <si>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</si>
  <si>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</si>
  <si>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</si>
  <si>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12.53785</t>
  </si>
  <si>
    <t>109.01861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</si>
  <si>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</si>
  <si>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</si>
  <si>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</si>
  <si>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</si>
  <si>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</si>
  <si>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</si>
  <si>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</si>
  <si>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</si>
  <si>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</si>
  <si>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</si>
  <si>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</si>
  <si>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12.527823</t>
  </si>
  <si>
    <t>109.037572</t>
  </si>
  <si>
    <t>FO thuê#VNPT#KHNH1S-KHNH06</t>
  </si>
  <si>
    <t>548.34</t>
  </si>
  <si>
    <t>12.526709</t>
  </si>
  <si>
    <t>109.032694</t>
  </si>
  <si>
    <t>KHNH89-Tân Định</t>
  </si>
  <si>
    <t>12.51451</t>
  </si>
  <si>
    <t>109.12176</t>
  </si>
  <si>
    <t>12.48945</t>
  </si>
  <si>
    <t>109.1137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</si>
  <si>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</si>
  <si>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</si>
  <si>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</si>
  <si>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</si>
  <si>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</si>
  <si>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</si>
  <si>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</si>
  <si>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</si>
  <si>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</si>
  <si>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</si>
  <si>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12.23781501</t>
  </si>
  <si>
    <t>109.196403</t>
  </si>
  <si>
    <t>FO thuê#VNPT#KHNT85-KHNT84</t>
  </si>
  <si>
    <t>700.73</t>
  </si>
  <si>
    <t>250.17</t>
  </si>
  <si>
    <t>12.235698</t>
  </si>
  <si>
    <t>109.195623</t>
  </si>
  <si>
    <t>450.56</t>
  </si>
  <si>
    <t>12.251506</t>
  </si>
  <si>
    <t>109.190398</t>
  </si>
  <si>
    <t>KHNT86-PC08 (xử lý vi phạm)</t>
  </si>
  <si>
    <t>12.24619123</t>
  </si>
  <si>
    <t>109.1957109</t>
  </si>
  <si>
    <t>FO thuê#VNPT#KHNT86-KHNT60</t>
  </si>
  <si>
    <t>639.19</t>
  </si>
  <si>
    <t>448.45</t>
  </si>
  <si>
    <t>12.245355</t>
  </si>
  <si>
    <t>109.191674</t>
  </si>
  <si>
    <t>KHNT49-Nhà nghỉ dưỡng 378 BCA</t>
  </si>
  <si>
    <t>12.29445132</t>
  </si>
  <si>
    <t>109.2126144</t>
  </si>
  <si>
    <t>FO thuê#VNPT#KHNT49-KHNT1N</t>
  </si>
  <si>
    <t>3457.82</t>
  </si>
  <si>
    <t>2482.94</t>
  </si>
  <si>
    <t>KHNT2K-CATP Nha trang cũ</t>
  </si>
  <si>
    <t>12.23675</t>
  </si>
  <si>
    <t>109.19695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</si>
  <si>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</si>
  <si>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</si>
  <si>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</si>
  <si>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</si>
  <si>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</si>
  <si>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</si>
  <si>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</si>
  <si>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</si>
  <si>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</si>
  <si>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</si>
  <si>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</si>
  <si>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12.24037001</t>
  </si>
  <si>
    <t>109.192334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</si>
  <si>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</si>
  <si>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</si>
  <si>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</si>
  <si>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</si>
  <si>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</si>
  <si>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</si>
  <si>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</si>
  <si>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</si>
  <si>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</si>
  <si>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</si>
  <si>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12.23888929</t>
  </si>
  <si>
    <t>109.1955664</t>
  </si>
  <si>
    <t>FO thuê#VNPT#KHNT6Q-KHNT4Z</t>
  </si>
  <si>
    <t>512.30</t>
  </si>
  <si>
    <t>354.87</t>
  </si>
  <si>
    <t>157.43</t>
  </si>
  <si>
    <t>12.249330</t>
  </si>
  <si>
    <t>109.193948</t>
  </si>
  <si>
    <t>KHNT4T-CATP Nha trang cũ</t>
  </si>
  <si>
    <t>12.23620801</t>
  </si>
  <si>
    <t>109.196419</t>
  </si>
  <si>
    <t>FO thuê#VNPT#KHNT4T-KHNT83</t>
  </si>
  <si>
    <t>586.73</t>
  </si>
  <si>
    <t>114.44</t>
  </si>
  <si>
    <t>KHCL22-Suối Hiệp</t>
  </si>
  <si>
    <t>12.1910055</t>
  </si>
  <si>
    <t>109.0657518</t>
  </si>
  <si>
    <t>FO thuê#VNPT#KHCL22-KHDK06</t>
  </si>
  <si>
    <t>228.27</t>
  </si>
  <si>
    <t>74.37</t>
  </si>
  <si>
    <t>KHCL10-Cảng HKQT Cam Ranh</t>
  </si>
  <si>
    <t>12.04389</t>
  </si>
  <si>
    <t>109.19883</t>
  </si>
  <si>
    <t>FO thuê#VNPT#KHCL10-KHCR10</t>
  </si>
  <si>
    <t>4897.24</t>
  </si>
  <si>
    <t>4892.06</t>
  </si>
  <si>
    <t>KHCR76-Cam Phước Đông</t>
  </si>
  <si>
    <t>11.93832746</t>
  </si>
  <si>
    <t>109.0835991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</si>
  <si>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</si>
  <si>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</si>
  <si>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</si>
  <si>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</si>
  <si>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</si>
  <si>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</si>
  <si>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</si>
  <si>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</si>
  <si>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</si>
  <si>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</si>
  <si>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11.95549001</t>
  </si>
  <si>
    <t>109.07917</t>
  </si>
  <si>
    <t>FO thuê#VNPT#KHCL54-KHCR47</t>
  </si>
  <si>
    <t>1051.47</t>
  </si>
  <si>
    <t>951.47</t>
  </si>
  <si>
    <t>11.963487</t>
  </si>
  <si>
    <t>109.082281</t>
  </si>
  <si>
    <t>KHCR01-Cam Linh</t>
  </si>
  <si>
    <t>11.91363801</t>
  </si>
  <si>
    <t>109.137019</t>
  </si>
  <si>
    <t>FO thuê#VNPT#KHCR01-KHCR18</t>
  </si>
  <si>
    <t>40.30</t>
  </si>
  <si>
    <t>36.31</t>
  </si>
  <si>
    <t>11.913854</t>
  </si>
  <si>
    <t>109.137269</t>
  </si>
  <si>
    <t>KHNT7N-NTG Nha Trang cũ</t>
  </si>
  <si>
    <t>12.27667</t>
  </si>
  <si>
    <t>109.192912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</si>
  <si>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</si>
  <si>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</si>
  <si>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</si>
  <si>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</si>
  <si>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</si>
  <si>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</si>
  <si>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12.210391</t>
  </si>
  <si>
    <t>109.213307</t>
  </si>
  <si>
    <t>12.1976</t>
  </si>
  <si>
    <t>109.2157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</si>
  <si>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</si>
  <si>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</si>
  <si>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</si>
  <si>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</si>
  <si>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</si>
  <si>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</si>
  <si>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</si>
  <si>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</si>
  <si>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</si>
  <si>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</si>
  <si>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</si>
  <si>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12.250794</t>
  </si>
  <si>
    <t>109.184882</t>
  </si>
  <si>
    <t>FO thuê#CMC#KHNT7P-KHNT05</t>
  </si>
  <si>
    <t>131.73</t>
  </si>
  <si>
    <t>49.56</t>
  </si>
  <si>
    <t>12.250440</t>
  </si>
  <si>
    <t>109.184605</t>
  </si>
  <si>
    <t>82.17</t>
  </si>
  <si>
    <t>12.249479</t>
  </si>
  <si>
    <t>109.184708</t>
  </si>
  <si>
    <t>KHCR56-Cảng HKQT Cam Ranh</t>
  </si>
  <si>
    <t>12.00719331</t>
  </si>
  <si>
    <t>109.2158522</t>
  </si>
  <si>
    <t>FO thuê#CMC#KHCR56-KHCR10</t>
  </si>
  <si>
    <t>986.52</t>
  </si>
  <si>
    <t>981.34</t>
  </si>
  <si>
    <t>KHDK37-Diên Lâm</t>
  </si>
  <si>
    <t>12.30831901</t>
  </si>
  <si>
    <t>108.997223</t>
  </si>
  <si>
    <t>FO thuê#CMC#KHDK37-KHDK25</t>
  </si>
  <si>
    <t>150.39</t>
  </si>
  <si>
    <t>147.19</t>
  </si>
  <si>
    <t>12.308507</t>
  </si>
  <si>
    <t>108.998564</t>
  </si>
  <si>
    <t>KHNT1E-PC08 csc</t>
  </si>
  <si>
    <t>12.25410001</t>
  </si>
  <si>
    <t>109.1721001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</si>
  <si>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</si>
  <si>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</si>
  <si>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</si>
  <si>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</si>
  <si>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</si>
  <si>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</si>
  <si>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12.2563</t>
  </si>
  <si>
    <t>109.0941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</si>
  <si>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</si>
  <si>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</si>
  <si>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</si>
  <si>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</si>
  <si>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</si>
  <si>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</si>
  <si>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</si>
  <si>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</si>
  <si>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</si>
  <si>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</si>
  <si>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</si>
  <si>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12.209992</t>
  </si>
  <si>
    <t>109.042219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</si>
  <si>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</si>
  <si>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</si>
  <si>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</si>
  <si>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</si>
  <si>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</si>
  <si>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</si>
  <si>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</si>
  <si>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</si>
  <si>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</si>
  <si>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</si>
  <si>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</si>
  <si>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12.23172001</t>
  </si>
  <si>
    <t>109.1959501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</si>
  <si>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</si>
  <si>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</si>
  <si>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</si>
  <si>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</si>
  <si>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</si>
  <si>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</si>
  <si>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</si>
  <si>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</si>
  <si>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</si>
  <si>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</si>
  <si>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</si>
  <si>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12.2193301</t>
  </si>
  <si>
    <t>109.1953001</t>
  </si>
  <si>
    <t>FO thuê#CMC#KHNT56-KHNT90</t>
  </si>
  <si>
    <t>1212.85</t>
  </si>
  <si>
    <t>677.79</t>
  </si>
  <si>
    <t>12.214083</t>
  </si>
  <si>
    <t>109.192126</t>
  </si>
  <si>
    <t>535.06</t>
  </si>
  <si>
    <t>12.235105</t>
  </si>
  <si>
    <t>109.183856</t>
  </si>
  <si>
    <t>KHNT26-PA06 cs2</t>
  </si>
  <si>
    <t>FO thuê#CMC#KHNT26-KHNT55</t>
  </si>
  <si>
    <t>223.17</t>
  </si>
  <si>
    <t>172.01</t>
  </si>
  <si>
    <t>KHNT62-PK02 cs1</t>
  </si>
  <si>
    <t>12.26788503</t>
  </si>
  <si>
    <t>109.1721217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</si>
  <si>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</si>
  <si>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</si>
  <si>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</si>
  <si>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</si>
  <si>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</si>
  <si>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</si>
  <si>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</si>
  <si>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</si>
  <si>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</si>
  <si>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</si>
  <si>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</si>
  <si>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</si>
  <si>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</si>
  <si>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</si>
  <si>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</si>
  <si>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</si>
  <si>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</si>
  <si>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</si>
  <si>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</si>
  <si>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</si>
  <si>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</si>
  <si>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</si>
  <si>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12.07766301</t>
  </si>
  <si>
    <t>109.192146</t>
  </si>
  <si>
    <t>FO thuê#CMC#KHCL35-KHCLMA01</t>
  </si>
  <si>
    <t>888.04</t>
  </si>
  <si>
    <t>886.00</t>
  </si>
  <si>
    <t>12.083787</t>
  </si>
  <si>
    <t>109.186933</t>
  </si>
  <si>
    <t>KHNH52-Đông Ninh Hòa</t>
  </si>
  <si>
    <t>12.57941</t>
  </si>
  <si>
    <t>109.22298</t>
  </si>
  <si>
    <t>12.55549</t>
  </si>
  <si>
    <t>109.2176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</si>
  <si>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</si>
  <si>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</si>
  <si>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</si>
  <si>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</si>
  <si>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</si>
  <si>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</si>
  <si>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</si>
  <si>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</si>
  <si>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</si>
  <si>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</si>
  <si>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</si>
  <si>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12.2116</t>
  </si>
  <si>
    <t>109.1942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</si>
  <si>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</si>
  <si>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</si>
  <si>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</si>
  <si>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</si>
  <si>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</si>
  <si>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</si>
  <si>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</si>
  <si>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</si>
  <si>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</si>
  <si>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12.21899</t>
  </si>
  <si>
    <t>109.2043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</si>
  <si>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</si>
  <si>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</si>
  <si>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</si>
  <si>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</si>
  <si>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</si>
  <si>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</si>
  <si>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</si>
  <si>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</si>
  <si>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12.28833</t>
  </si>
  <si>
    <t>109.1638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</si>
  <si>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</si>
  <si>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</si>
  <si>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</si>
  <si>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</si>
  <si>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</si>
  <si>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</si>
  <si>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</si>
  <si>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</si>
  <si>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</si>
  <si>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</si>
  <si>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</si>
  <si>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12.20906401</t>
  </si>
  <si>
    <t>109.201835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</si>
  <si>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</si>
  <si>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</si>
  <si>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</si>
  <si>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</si>
  <si>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</si>
  <si>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</si>
  <si>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</si>
  <si>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</si>
  <si>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</si>
  <si>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</si>
  <si>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</si>
  <si>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</si>
  <si>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</si>
  <si>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</si>
  <si>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</si>
  <si>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</si>
  <si>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</si>
  <si>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</si>
  <si>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11.9188041</t>
  </si>
  <si>
    <t>109.1602275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</si>
  <si>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</si>
  <si>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</si>
  <si>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</si>
  <si>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</si>
  <si>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</si>
  <si>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</si>
  <si>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</si>
  <si>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</si>
  <si>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</si>
  <si>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</si>
  <si>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</si>
  <si>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</si>
  <si>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</si>
  <si>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</si>
  <si>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</si>
  <si>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</si>
  <si>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</si>
  <si>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</si>
  <si>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</si>
  <si>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</si>
  <si>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</si>
  <si>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</si>
  <si>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</si>
  <si>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</si>
  <si>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</si>
  <si>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12.64482</t>
  </si>
  <si>
    <t>109.19394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</si>
  <si>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</si>
  <si>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</si>
  <si>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</si>
  <si>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</si>
  <si>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</si>
  <si>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</si>
  <si>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</si>
  <si>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</si>
  <si>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</si>
  <si>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</si>
  <si>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</si>
  <si>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</si>
  <si>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</si>
  <si>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</si>
  <si>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</si>
  <si>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</si>
  <si>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</si>
  <si>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</si>
  <si>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</si>
  <si>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</si>
  <si>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</si>
  <si>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</si>
  <si>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</si>
  <si>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</si>
  <si>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</si>
  <si>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</si>
  <si>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</si>
  <si>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</si>
  <si>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</si>
  <si>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</si>
  <si>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</si>
  <si>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</si>
  <si>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</si>
  <si>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</si>
  <si>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</si>
  <si>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</si>
  <si>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</si>
  <si>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</si>
  <si>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</si>
  <si>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</si>
  <si>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</si>
  <si>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</si>
  <si>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</si>
  <si>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</si>
  <si>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</si>
  <si>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</si>
  <si>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</si>
  <si>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12.45989</t>
  </si>
  <si>
    <t>109.08108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</si>
  <si>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</si>
  <si>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</si>
  <si>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</si>
  <si>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</si>
  <si>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</si>
  <si>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</si>
  <si>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</si>
  <si>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</si>
  <si>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</si>
  <si>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</si>
  <si>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12.50179</t>
  </si>
  <si>
    <t>109.07819</t>
  </si>
  <si>
    <t>FO DT#MBF#KHNH06-KHNH09</t>
  </si>
  <si>
    <t>842.66</t>
  </si>
  <si>
    <t>838.08</t>
  </si>
  <si>
    <t>Ninh Hòa-KHNH04</t>
  </si>
  <si>
    <t>12.42114</t>
  </si>
  <si>
    <t>109.14842</t>
  </si>
  <si>
    <t>FO DT#MBF#KHNH54-KHNH04</t>
  </si>
  <si>
    <t>1136.94</t>
  </si>
  <si>
    <t>443.53</t>
  </si>
  <si>
    <t>12.420916</t>
  </si>
  <si>
    <t>109.144342</t>
  </si>
  <si>
    <t>PK02 cs2-KHNT24</t>
  </si>
  <si>
    <t>12.33893</t>
  </si>
  <si>
    <t>109.1952</t>
  </si>
  <si>
    <t>FO DT#MBF#KHNT13-KHNT24</t>
  </si>
  <si>
    <t>1629.35</t>
  </si>
  <si>
    <t>117.23</t>
  </si>
  <si>
    <t>12.338985</t>
  </si>
  <si>
    <t>109.194122</t>
  </si>
  <si>
    <t>Tây Ninh Hòa-KHNH44</t>
  </si>
  <si>
    <t>12.52466</t>
  </si>
  <si>
    <t>109.10231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</si>
  <si>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</si>
  <si>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</si>
  <si>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</si>
  <si>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</si>
  <si>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</si>
  <si>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</si>
  <si>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</si>
  <si>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</si>
  <si>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</si>
  <si>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</si>
  <si>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12.73268</t>
  </si>
  <si>
    <t>109.27022</t>
  </si>
  <si>
    <t>FO DT#MBF#KHVN04-KHVN41</t>
  </si>
  <si>
    <t>1164.23</t>
  </si>
  <si>
    <t>677.21</t>
  </si>
  <si>
    <t>12.731598</t>
  </si>
  <si>
    <t>109.264076</t>
  </si>
  <si>
    <t>Tu Bông-Đại Lãnh</t>
  </si>
  <si>
    <t>12.77881</t>
  </si>
  <si>
    <t>109.3127</t>
  </si>
  <si>
    <t>12.80321</t>
  </si>
  <si>
    <t>109.3338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</si>
  <si>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</si>
  <si>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</si>
  <si>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</si>
  <si>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</si>
  <si>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</si>
  <si>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</si>
  <si>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</si>
  <si>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</si>
  <si>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</si>
  <si>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</si>
  <si>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</si>
  <si>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</si>
  <si>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</si>
  <si>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</si>
  <si>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</si>
  <si>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</si>
  <si>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</si>
  <si>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</si>
  <si>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12.69361</t>
  </si>
  <si>
    <t>109.22722</t>
  </si>
  <si>
    <t>FO DT#MBF#KHVN04-KHVN29</t>
  </si>
  <si>
    <t>499.96</t>
  </si>
  <si>
    <t>496.38</t>
  </si>
  <si>
    <t>12.697971</t>
  </si>
  <si>
    <t>109.226242</t>
  </si>
  <si>
    <t>Đông Ninh Hòa-KHNH02</t>
  </si>
  <si>
    <t>12.54233</t>
  </si>
  <si>
    <t>109.22581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</si>
  <si>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</si>
  <si>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</si>
  <si>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</si>
  <si>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</si>
  <si>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</si>
  <si>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</si>
  <si>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</si>
  <si>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</si>
  <si>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</si>
  <si>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</si>
  <si>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</si>
  <si>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12.53169</t>
  </si>
  <si>
    <t>109.1604</t>
  </si>
  <si>
    <t>12.5036001</t>
  </si>
  <si>
    <t>109.1399001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</si>
  <si>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</si>
  <si>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</si>
  <si>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</si>
  <si>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</si>
  <si>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</si>
  <si>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</si>
  <si>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</si>
  <si>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</si>
  <si>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</si>
  <si>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</si>
  <si>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</si>
  <si>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</si>
  <si>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</si>
  <si>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</si>
  <si>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</si>
  <si>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</si>
  <si>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</si>
  <si>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</si>
  <si>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</si>
  <si>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</si>
  <si>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</si>
  <si>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</si>
  <si>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</si>
  <si>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</si>
  <si>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12.63042</t>
  </si>
  <si>
    <t>109.18631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</si>
  <si>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</si>
  <si>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</si>
  <si>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</si>
  <si>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</si>
  <si>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</si>
  <si>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</si>
  <si>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</si>
  <si>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</si>
  <si>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</si>
  <si>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</si>
  <si>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</si>
  <si>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</si>
  <si>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</si>
  <si>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</si>
  <si>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</si>
  <si>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</si>
  <si>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</si>
  <si>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</si>
  <si>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</si>
  <si>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</si>
  <si>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</si>
  <si>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</si>
  <si>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</si>
  <si>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</si>
  <si>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</si>
  <si>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</si>
  <si>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</si>
  <si>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</si>
  <si>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</si>
  <si>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</si>
  <si>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</si>
  <si>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</si>
  <si>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</si>
  <si>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</si>
  <si>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</si>
  <si>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</si>
  <si>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</si>
  <si>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</si>
  <si>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</si>
  <si>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</si>
  <si>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</si>
  <si>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</si>
  <si>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</si>
  <si>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</si>
  <si>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</si>
  <si>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</si>
  <si>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</si>
  <si>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</si>
  <si>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</si>
  <si>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</si>
  <si>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</si>
  <si>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</si>
  <si>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</si>
  <si>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</si>
  <si>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</si>
  <si>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</si>
  <si>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</si>
  <si>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</si>
  <si>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</si>
  <si>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</si>
  <si>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</si>
  <si>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</si>
  <si>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</si>
  <si>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</si>
  <si>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</si>
  <si>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</si>
  <si>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</si>
  <si>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</si>
  <si>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12.48969</t>
  </si>
  <si>
    <t>109.15228</t>
  </si>
  <si>
    <t>FO DT#MBF#KHNH55-KHNH54</t>
  </si>
  <si>
    <t>1353.25</t>
  </si>
  <si>
    <t>1350.48</t>
  </si>
  <si>
    <t>12.492353</t>
  </si>
  <si>
    <t>109.140143</t>
  </si>
  <si>
    <t>KHNH76-Trạm CSGT Ninh An cũ</t>
  </si>
  <si>
    <t>12.56596</t>
  </si>
  <si>
    <t>109.17084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</si>
  <si>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</si>
  <si>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</si>
  <si>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</si>
  <si>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</si>
  <si>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</si>
  <si>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</si>
  <si>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</si>
  <si>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</si>
  <si>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</si>
  <si>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</si>
  <si>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</si>
  <si>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</si>
  <si>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</si>
  <si>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</si>
  <si>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</si>
  <si>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</si>
  <si>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</si>
  <si>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</si>
  <si>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</si>
  <si>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</si>
  <si>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12.27</t>
  </si>
  <si>
    <t>109.0894</t>
  </si>
  <si>
    <t>FO thuê#CMC#KHDKMA01-KHDK15</t>
  </si>
  <si>
    <t>1314.82</t>
  </si>
  <si>
    <t>1301.73</t>
  </si>
  <si>
    <t>12.259256</t>
  </si>
  <si>
    <t>109.084643</t>
  </si>
  <si>
    <t>Diên Khánh-KHNT1M</t>
  </si>
  <si>
    <t>12.25462701</t>
  </si>
  <si>
    <t>109.137053</t>
  </si>
  <si>
    <t>FO thuê#CMC#KHDKMA01-KHNT1M</t>
  </si>
  <si>
    <t>1953.83</t>
  </si>
  <si>
    <t>1446.96</t>
  </si>
  <si>
    <t>12.257196</t>
  </si>
  <si>
    <t>109.107385</t>
  </si>
  <si>
    <t>506.87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</si>
  <si>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</si>
  <si>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</si>
  <si>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</si>
  <si>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</si>
  <si>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FO thuê#CMC#KHDKMA01-KHNT62</t>
  </si>
  <si>
    <t>2948.50</t>
  </si>
  <si>
    <t>1446.62</t>
  </si>
  <si>
    <t>12.257207</t>
  </si>
  <si>
    <t>109.107381</t>
  </si>
  <si>
    <t>1501.88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</si>
  <si>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</si>
  <si>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</si>
  <si>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</si>
  <si>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</si>
  <si>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12.2673256</t>
  </si>
  <si>
    <t>109.1072276</t>
  </si>
  <si>
    <t>FO thuê#CMC#KHDKMA01-KHDK26</t>
  </si>
  <si>
    <t>152.74</t>
  </si>
  <si>
    <t>149.07</t>
  </si>
  <si>
    <t>12.267650</t>
  </si>
  <si>
    <t>109.108559</t>
  </si>
  <si>
    <t>Diên Khánh-KHDK20</t>
  </si>
  <si>
    <t>12.25731</t>
  </si>
  <si>
    <t>109.10836</t>
  </si>
  <si>
    <t>FO thuê#CMC#KHDKMA01-KHDK20</t>
  </si>
  <si>
    <t>181.44</t>
  </si>
  <si>
    <t>177.77</t>
  </si>
  <si>
    <t>12.257208</t>
  </si>
  <si>
    <t>109.106727</t>
  </si>
  <si>
    <t>Diên Khánh-KHDK27</t>
  </si>
  <si>
    <t>12.26241</t>
  </si>
  <si>
    <t>109.12155</t>
  </si>
  <si>
    <t>FO thuê#CMC#KHDKMA01-KHDK27</t>
  </si>
  <si>
    <t>1447.06</t>
  </si>
  <si>
    <t>1443.39</t>
  </si>
  <si>
    <t>12.274564</t>
  </si>
  <si>
    <t>109.116886</t>
  </si>
  <si>
    <t>Diên Khánh-KHDK36</t>
  </si>
  <si>
    <t>12.24168101</t>
  </si>
  <si>
    <t>109.110024</t>
  </si>
  <si>
    <t>FO thuê#CMC#KHDKMA01-KHDK36</t>
  </si>
  <si>
    <t>1738.43</t>
  </si>
  <si>
    <t>12.256322</t>
  </si>
  <si>
    <t>109.094061</t>
  </si>
  <si>
    <t>1733.55</t>
  </si>
  <si>
    <t>12.240461</t>
  </si>
  <si>
    <t>109.094120</t>
  </si>
  <si>
    <t>KHDK34-Diên Khánh</t>
  </si>
  <si>
    <t>12.25603601</t>
  </si>
  <si>
    <t>109.115589</t>
  </si>
  <si>
    <t>FO thuê#VNPT#KHDK34-KHDKMA01</t>
  </si>
  <si>
    <t>969.58</t>
  </si>
  <si>
    <t>965.91</t>
  </si>
  <si>
    <t>12.258484</t>
  </si>
  <si>
    <t>109.107060</t>
  </si>
  <si>
    <t>KHDK40-Diên Khánh</t>
  </si>
  <si>
    <t>12.2536372</t>
  </si>
  <si>
    <t>109.1036233</t>
  </si>
  <si>
    <t>FO thuê#VNPT#KHDK40-KHDKMA01</t>
  </si>
  <si>
    <t>411.92</t>
  </si>
  <si>
    <t>408.25</t>
  </si>
  <si>
    <t>109.104496</t>
  </si>
  <si>
    <t>KHDK01-Diên Khánh</t>
  </si>
  <si>
    <t>12.25623</t>
  </si>
  <si>
    <t>109.09795</t>
  </si>
  <si>
    <t>FO thuê#VNPT#KHDK01-KHDKMA01</t>
  </si>
  <si>
    <t>63.19</t>
  </si>
  <si>
    <t>58.31</t>
  </si>
  <si>
    <t>12.256041</t>
  </si>
  <si>
    <t>109.097449</t>
  </si>
  <si>
    <t>KHCL23-Diên Khánh</t>
  </si>
  <si>
    <t>FO thuê#CMC#KHCL23-KHDKMA01</t>
  </si>
  <si>
    <t>7884.25</t>
  </si>
  <si>
    <t>7879.37</t>
  </si>
  <si>
    <t>Diên Khánh-KHNT24</t>
  </si>
  <si>
    <t>FO DT#MBF#KHDKMA01-KHNT24</t>
  </si>
  <si>
    <t>4298.23</t>
  </si>
  <si>
    <t>2851.62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</si>
  <si>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</si>
  <si>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</si>
  <si>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</si>
  <si>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</si>
  <si>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</si>
  <si>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</si>
  <si>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</si>
  <si>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</si>
  <si>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</si>
  <si>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</si>
  <si>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12.2489</t>
  </si>
  <si>
    <t>109.1027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</si>
  <si>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</si>
  <si>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</si>
  <si>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</si>
  <si>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</si>
  <si>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</si>
  <si>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</si>
  <si>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</si>
  <si>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</si>
  <si>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</si>
  <si>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216.72</t>
  </si>
  <si>
    <t>136.10</t>
  </si>
  <si>
    <t>PA08-PA06 cs2</t>
  </si>
  <si>
    <t>FO DT#MBF#KHNT25-KHNT55</t>
  </si>
  <si>
    <t>735.51</t>
  </si>
  <si>
    <t>329.57</t>
  </si>
  <si>
    <t>12.238565</t>
  </si>
  <si>
    <t>109.186745</t>
  </si>
  <si>
    <t>PA06 cs2-PC07</t>
  </si>
  <si>
    <t>FO DT#MBF#KHNT55-KHNT90</t>
  </si>
  <si>
    <t>10.39</t>
  </si>
  <si>
    <t>PC07-CATP Nha trang cũ</t>
  </si>
  <si>
    <t>FO DT#MBF#KHNT90-KHNT83</t>
  </si>
  <si>
    <t>288.38</t>
  </si>
  <si>
    <t>283.48</t>
  </si>
  <si>
    <t>CATP Nha trang cũ-KHNT1R</t>
  </si>
  <si>
    <t>FO DT#MBF#KHNT83-KHNT1R</t>
  </si>
  <si>
    <t>NTG Nha Trang cũ-KHNT53</t>
  </si>
  <si>
    <t>12.27243001</t>
  </si>
  <si>
    <t>109.1982901</t>
  </si>
  <si>
    <t>FO DT#MBF#KHNT79-KHNT53</t>
  </si>
  <si>
    <t>354.21</t>
  </si>
  <si>
    <t>147.72</t>
  </si>
  <si>
    <t>12.271109</t>
  </si>
  <si>
    <t>109.198149</t>
  </si>
  <si>
    <t>NTG Nha Trang cũ-KHNT99</t>
  </si>
  <si>
    <t>12.28407201</t>
  </si>
  <si>
    <t>109.202405</t>
  </si>
  <si>
    <t>FO DT#MBF#KHNT79-KHNT99</t>
  </si>
  <si>
    <t>1122.37</t>
  </si>
  <si>
    <t>915.89</t>
  </si>
  <si>
    <t>Hòa Thắng-KHNH80</t>
  </si>
  <si>
    <t>12.47144</t>
  </si>
  <si>
    <t>109.10375</t>
  </si>
  <si>
    <t>FO DT#MBF#KHNH10-KHNH80</t>
  </si>
  <si>
    <t>2356.93</t>
  </si>
  <si>
    <t>2170.99</t>
  </si>
  <si>
    <t>12.464891</t>
  </si>
  <si>
    <t>109.122587</t>
  </si>
  <si>
    <t>Đông Ninh Hòa-KHNH78</t>
  </si>
  <si>
    <t>12.549866</t>
  </si>
  <si>
    <t>109.215416</t>
  </si>
  <si>
    <t>FO DT#MBF#KHNH32-KHNH78</t>
  </si>
  <si>
    <t>86.06</t>
  </si>
  <si>
    <t>80.83</t>
  </si>
  <si>
    <t>12.549190</t>
  </si>
  <si>
    <t>109.215142</t>
  </si>
  <si>
    <t>Tân Định-KHNH01</t>
  </si>
  <si>
    <t>12.49437</t>
  </si>
  <si>
    <t>109.13245</t>
  </si>
  <si>
    <t>FO DT#MBF#KHNH12-KHNH01</t>
  </si>
  <si>
    <t>435.85</t>
  </si>
  <si>
    <t>53.87</t>
  </si>
  <si>
    <t>12.494854</t>
  </si>
  <si>
    <t>109.132463</t>
  </si>
  <si>
    <t>Trạm CSGT Ninh An cũ-KHNH39</t>
  </si>
  <si>
    <t>12.53557</t>
  </si>
  <si>
    <t>109.186567</t>
  </si>
  <si>
    <t>FO DT#MBF#KHNH20-KHNH39</t>
  </si>
  <si>
    <t>1062.26</t>
  </si>
  <si>
    <t>94.31</t>
  </si>
  <si>
    <t>Tân Định-KHNH82</t>
  </si>
  <si>
    <t>12.50405</t>
  </si>
  <si>
    <t>109.10782</t>
  </si>
  <si>
    <t>FO DT#MBF#KHNH12-KHNH82</t>
  </si>
  <si>
    <t>1319.89</t>
  </si>
  <si>
    <t>937.90</t>
  </si>
  <si>
    <t>12.497920</t>
  </si>
  <si>
    <t>109.113754</t>
  </si>
  <si>
    <t>Trạm CSGT Ninh An cũ-KHNH33</t>
  </si>
  <si>
    <t>12.55275</t>
  </si>
  <si>
    <t>109.15134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</si>
  <si>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</si>
  <si>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</si>
  <si>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</si>
  <si>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</si>
  <si>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</si>
  <si>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</si>
  <si>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</si>
  <si>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</si>
  <si>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</si>
  <si>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</si>
  <si>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12.51415</t>
  </si>
  <si>
    <t>109.15184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</si>
  <si>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</si>
  <si>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</si>
  <si>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</si>
  <si>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</si>
  <si>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</si>
  <si>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</si>
  <si>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</si>
  <si>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</si>
  <si>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</si>
  <si>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</si>
  <si>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12.81172</t>
  </si>
  <si>
    <t>109.35932</t>
  </si>
  <si>
    <t>FO DT#MBF#KHVN55-KHVN02</t>
  </si>
  <si>
    <t>2886.35</t>
  </si>
  <si>
    <t>2879.80</t>
  </si>
  <si>
    <t>12.804639</t>
  </si>
  <si>
    <t>109.333773</t>
  </si>
  <si>
    <t>CATP Nha trang cũ-KHNT1W</t>
  </si>
  <si>
    <t>12.242612</t>
  </si>
  <si>
    <t>109.192609</t>
  </si>
  <si>
    <t>FO DT#MBF#KHNT83-KHNT1W</t>
  </si>
  <si>
    <t>210.65</t>
  </si>
  <si>
    <t>79.84</t>
  </si>
  <si>
    <t>Trung tâm Cai nghiện Khánh Bình-KHKV25</t>
  </si>
  <si>
    <t>12.40598</t>
  </si>
  <si>
    <t>108.9571</t>
  </si>
  <si>
    <t>12.38485</t>
  </si>
  <si>
    <t>108.95519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</si>
  <si>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</si>
  <si>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</si>
  <si>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</si>
  <si>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</si>
  <si>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</si>
  <si>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</si>
  <si>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</si>
  <si>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</si>
  <si>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</si>
  <si>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</si>
  <si>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</si>
  <si>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12.02698101</t>
  </si>
  <si>
    <t>109.217122</t>
  </si>
  <si>
    <t>FO DT#MBF#KHCR10-KHCR88</t>
  </si>
  <si>
    <t>3004.79</t>
  </si>
  <si>
    <t>2999.62</t>
  </si>
  <si>
    <t>PC08 csc-KHNT7M</t>
  </si>
  <si>
    <t>12.25024347</t>
  </si>
  <si>
    <t>109.1729669</t>
  </si>
  <si>
    <t>FO DT#MBF#KHNT05-KHNT7M</t>
  </si>
  <si>
    <t>432.85</t>
  </si>
  <si>
    <t>352.23</t>
  </si>
  <si>
    <t>PC08 csc-KHNT24</t>
  </si>
  <si>
    <t>FO DT#MBF#KHNT05-KHNT24</t>
  </si>
  <si>
    <t>119.37</t>
  </si>
  <si>
    <t>12.249037</t>
  </si>
  <si>
    <t>109.184079</t>
  </si>
  <si>
    <t>Đại Lãnh-KHVN59</t>
  </si>
  <si>
    <t>12.82478</t>
  </si>
  <si>
    <t>109.35603</t>
  </si>
  <si>
    <t>FO DT#MBF#KHVN55-KHVN59</t>
  </si>
  <si>
    <t>3298.92</t>
  </si>
  <si>
    <t>3292.36</t>
  </si>
  <si>
    <t>PC08 (CSGT đường thủy)-Trạm điện 220 KVA_VINPEARL_ĐẤT LIỀN</t>
  </si>
  <si>
    <t>12.202787</t>
  </si>
  <si>
    <t>109.214866</t>
  </si>
  <si>
    <t>FO DT#MBF#KHNT42-Trạm điện 220 KVA_VINPEARL_ĐẤT LIỀN</t>
  </si>
  <si>
    <t>29.22</t>
  </si>
  <si>
    <t>3.80</t>
  </si>
  <si>
    <t>12.197634</t>
  </si>
  <si>
    <t>109.215698</t>
  </si>
  <si>
    <t>25.42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</si>
  <si>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</si>
  <si>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</si>
  <si>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</si>
  <si>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</si>
  <si>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12.2537</t>
  </si>
  <si>
    <t>109.1954</t>
  </si>
  <si>
    <t>FO DT#MBF#KHNT01-KHNT05</t>
  </si>
  <si>
    <t>131.11</t>
  </si>
  <si>
    <t>128.78</t>
  </si>
  <si>
    <t>12.253722</t>
  </si>
  <si>
    <t>109.194215</t>
  </si>
  <si>
    <t>KHCR62-Bắc Cam Ranh</t>
  </si>
  <si>
    <t>11.9939</t>
  </si>
  <si>
    <t>109.168</t>
  </si>
  <si>
    <t>FO DT#MBF#KHCR62-KHCR02</t>
  </si>
  <si>
    <t>801.16</t>
  </si>
  <si>
    <t>676.15</t>
  </si>
  <si>
    <t>11.987859</t>
  </si>
  <si>
    <t>109.168706</t>
  </si>
  <si>
    <t>KHNT3F-PC07</t>
  </si>
  <si>
    <t>12.22086801</t>
  </si>
  <si>
    <t>109.200234</t>
  </si>
  <si>
    <t>FO DT#MBF#KHNT3F-KHNT90</t>
  </si>
  <si>
    <t>1512.99</t>
  </si>
  <si>
    <t>1303.49</t>
  </si>
  <si>
    <t>12.231809</t>
  </si>
  <si>
    <t>109.195928</t>
  </si>
  <si>
    <t>KHNT65-PC11a</t>
  </si>
  <si>
    <t>12.18150001</t>
  </si>
  <si>
    <t>109.174</t>
  </si>
  <si>
    <t>FO DT#MBF#KHNT65-KHNTMA01</t>
  </si>
  <si>
    <t>119.50</t>
  </si>
  <si>
    <t>116.16</t>
  </si>
  <si>
    <t>12.181132</t>
  </si>
  <si>
    <t>109.173000</t>
  </si>
  <si>
    <t>KHNT34-PC11a</t>
  </si>
  <si>
    <t>12.1786283</t>
  </si>
  <si>
    <t>109.1838517</t>
  </si>
  <si>
    <t>FO DT#MBF#KHNT34-KHNTMA01</t>
  </si>
  <si>
    <t>1039.97</t>
  </si>
  <si>
    <t>903.88</t>
  </si>
  <si>
    <t>12.173728</t>
  </si>
  <si>
    <t>109.177217</t>
  </si>
  <si>
    <t>KHNT11-PC11a</t>
  </si>
  <si>
    <t>12.19156601</t>
  </si>
  <si>
    <t>109.168123</t>
  </si>
  <si>
    <t>FO DT#MBF#KHNT11-KHNTMA01</t>
  </si>
  <si>
    <t>314.67</t>
  </si>
  <si>
    <t>12.190373</t>
  </si>
  <si>
    <t>109.170748</t>
  </si>
  <si>
    <t>KHNT93-PC08 csc</t>
  </si>
  <si>
    <t>12.252422</t>
  </si>
  <si>
    <t>109.182848</t>
  </si>
  <si>
    <t>FO DT#MBF#KHNT93-KHNT05</t>
  </si>
  <si>
    <t>198.30</t>
  </si>
  <si>
    <t>7.28</t>
  </si>
  <si>
    <t>12.252446</t>
  </si>
  <si>
    <t>109.182911</t>
  </si>
  <si>
    <t>KHNT67-Nhà nghỉ dưỡng 378 BCA</t>
  </si>
  <si>
    <t>12.2646877</t>
  </si>
  <si>
    <t>109.199419</t>
  </si>
  <si>
    <t>FO DT#MBF#KHNT67-KHNT1N</t>
  </si>
  <si>
    <t>Tuyến nhánh PA06 cs1 - Nhà nghỉ dưỡng 378 BCA_Cột trung thế</t>
  </si>
  <si>
    <t>907.31</t>
  </si>
  <si>
    <t>902.12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</si>
  <si>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</si>
  <si>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</si>
  <si>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</si>
  <si>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</si>
  <si>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12.2870174</t>
  </si>
  <si>
    <t>109.1876142</t>
  </si>
  <si>
    <t>FO DT#MBF#KHNT41-KHNT94</t>
  </si>
  <si>
    <t>789.42</t>
  </si>
  <si>
    <t>784.67</t>
  </si>
  <si>
    <t>12.280041</t>
  </si>
  <si>
    <t>109.188703</t>
  </si>
  <si>
    <t>KHNT15-Nhà nghỉ dưỡng 378 BCA</t>
  </si>
  <si>
    <t>12.28866901</t>
  </si>
  <si>
    <t>109.202595</t>
  </si>
  <si>
    <t>FO DT#MBF#KHNT15-KHNT1N</t>
  </si>
  <si>
    <t>2220.40</t>
  </si>
  <si>
    <t>1245.53</t>
  </si>
  <si>
    <t>KHNT4I-PK02 cs1</t>
  </si>
  <si>
    <t>12.2737701</t>
  </si>
  <si>
    <t>109.17512</t>
  </si>
  <si>
    <t>FO DT#MBF#KHNT4I-KHNT94</t>
  </si>
  <si>
    <t>727.91</t>
  </si>
  <si>
    <t>723.16</t>
  </si>
  <si>
    <t>KHNT2D-Bắc Nha Trang</t>
  </si>
  <si>
    <t>12.2847349</t>
  </si>
  <si>
    <t>109.1917036</t>
  </si>
  <si>
    <t>FO DT#MBF#KHNT2D-KHNT88</t>
  </si>
  <si>
    <t>53.12</t>
  </si>
  <si>
    <t>52.23</t>
  </si>
  <si>
    <t>12.285191</t>
  </si>
  <si>
    <t>109.191820</t>
  </si>
  <si>
    <t>KHNT45-PC11a</t>
  </si>
  <si>
    <t>12.16875001</t>
  </si>
  <si>
    <t>109.19051</t>
  </si>
  <si>
    <t>FO DT#MBF#KHNT45-KHNTMA01</t>
  </si>
  <si>
    <t>222.30</t>
  </si>
  <si>
    <t>86.21</t>
  </si>
  <si>
    <t>12.169498</t>
  </si>
  <si>
    <t>109.190720</t>
  </si>
  <si>
    <t>KHNT3M-PC08 csc</t>
  </si>
  <si>
    <t>12.24668245</t>
  </si>
  <si>
    <t>109.1813815</t>
  </si>
  <si>
    <t>FO DT#MBF#KHNT3M-KHNT05</t>
  </si>
  <si>
    <t>32.26</t>
  </si>
  <si>
    <t>30.01</t>
  </si>
  <si>
    <t>12.246561</t>
  </si>
  <si>
    <t>109.181628</t>
  </si>
  <si>
    <t>2.25</t>
  </si>
  <si>
    <t>12.249053</t>
  </si>
  <si>
    <t>109.184084</t>
  </si>
  <si>
    <t>KHNT6M-Bắc Nha Trang</t>
  </si>
  <si>
    <t>12.3021418</t>
  </si>
  <si>
    <t>109.1865379</t>
  </si>
  <si>
    <t>FO DT#MBF#KHNT6M-KHNT88</t>
  </si>
  <si>
    <t>627.17</t>
  </si>
  <si>
    <t>201.05</t>
  </si>
  <si>
    <t>12.300356</t>
  </si>
  <si>
    <t>109.186825</t>
  </si>
  <si>
    <t>426.12</t>
  </si>
  <si>
    <t>12.279659</t>
  </si>
  <si>
    <t>109.195298</t>
  </si>
  <si>
    <t>KHNT6C-CATP Nha trang cũ</t>
  </si>
  <si>
    <t>12.240993</t>
  </si>
  <si>
    <t>109.195851</t>
  </si>
  <si>
    <t>FO DT#MBF#KHNT6C-KHNT83</t>
  </si>
  <si>
    <t>598.77</t>
  </si>
  <si>
    <t>467.96</t>
  </si>
  <si>
    <t>KHCL20-Cam An</t>
  </si>
  <si>
    <t>11.97157901</t>
  </si>
  <si>
    <t>109.0663101</t>
  </si>
  <si>
    <t>FO DT#MBF#KHCL20-KHCR27</t>
  </si>
  <si>
    <t>521.54</t>
  </si>
  <si>
    <t>387.03</t>
  </si>
  <si>
    <t>11.974343</t>
  </si>
  <si>
    <t>109.068472</t>
  </si>
  <si>
    <t>KHCL61-Bắc Cam Ranh</t>
  </si>
  <si>
    <t>12.02729</t>
  </si>
  <si>
    <t>109.19345</t>
  </si>
  <si>
    <t>FO DT#MBF#KHCL61-KHCR02</t>
  </si>
  <si>
    <t>1651.48</t>
  </si>
  <si>
    <t>976.58</t>
  </si>
  <si>
    <t>12.018553</t>
  </si>
  <si>
    <t>109.192533</t>
  </si>
  <si>
    <t>KHCL19-Cam Lâm</t>
  </si>
  <si>
    <t>12.0805</t>
  </si>
  <si>
    <t>109.1801</t>
  </si>
  <si>
    <t>FO DT#MBF#KHCL19-KHCLMA01</t>
  </si>
  <si>
    <t>87.53</t>
  </si>
  <si>
    <t>85.50</t>
  </si>
  <si>
    <t>12.080638</t>
  </si>
  <si>
    <t>109.180874</t>
  </si>
  <si>
    <t>KHCL62-Cam Lâm</t>
  </si>
  <si>
    <t>12.0652</t>
  </si>
  <si>
    <t>109.18471</t>
  </si>
  <si>
    <t>FO DT#MBF#KHCL62-KHCLMA01</t>
  </si>
  <si>
    <t>1691.44</t>
  </si>
  <si>
    <t>1689.41</t>
  </si>
  <si>
    <t>12.079612</t>
  </si>
  <si>
    <t>109.179793</t>
  </si>
  <si>
    <t>KHCL31-Cam Lâm</t>
  </si>
  <si>
    <t>12.09833</t>
  </si>
  <si>
    <t>109.18722</t>
  </si>
  <si>
    <t>FO DT#MBF#KHCL31-KHCLMA01</t>
  </si>
  <si>
    <t>240.10</t>
  </si>
  <si>
    <t>238.07</t>
  </si>
  <si>
    <t>KHDK49-Diên Điền</t>
  </si>
  <si>
    <t>12.27073001</t>
  </si>
  <si>
    <t>109.133294</t>
  </si>
  <si>
    <t>FO DT#MBF#KHDK49-KHDK08</t>
  </si>
  <si>
    <t>1091.75</t>
  </si>
  <si>
    <t>1085.68</t>
  </si>
  <si>
    <t>KHDK46-Suối Hiệp</t>
  </si>
  <si>
    <t>12.2203638</t>
  </si>
  <si>
    <t>109.0553323</t>
  </si>
  <si>
    <t>FO DT#MBF#KHDK46-KHDK06</t>
  </si>
  <si>
    <t>2282.22</t>
  </si>
  <si>
    <t>2128.32</t>
  </si>
  <si>
    <t>12.215051</t>
  </si>
  <si>
    <t>109.074147</t>
  </si>
  <si>
    <t>KHDK14-Diên Khánh</t>
  </si>
  <si>
    <t>FO DT#MBF#KHDK14-KHDKMA01</t>
  </si>
  <si>
    <t>KHNH59-Tân Định</t>
  </si>
  <si>
    <t>12.50549</t>
  </si>
  <si>
    <t>109.12846</t>
  </si>
  <si>
    <t>FO DT#MBF#KHNH59-KHNH12</t>
  </si>
  <si>
    <t>1168.36</t>
  </si>
  <si>
    <t>786.37</t>
  </si>
  <si>
    <t>KHNH23-Hòa Thắng</t>
  </si>
  <si>
    <t>12.45234</t>
  </si>
  <si>
    <t>109.11297</t>
  </si>
  <si>
    <t>FO DT#MBF#KHNH23-KHNH10</t>
  </si>
  <si>
    <t>1216.54</t>
  </si>
  <si>
    <t>1030.59</t>
  </si>
  <si>
    <t>12.455375</t>
  </si>
  <si>
    <t>109.121938</t>
  </si>
  <si>
    <t>KHNH24-Tân Định</t>
  </si>
  <si>
    <t>12.48512</t>
  </si>
  <si>
    <t>109.13401</t>
  </si>
  <si>
    <t>FO DT#MBF#KHNH24-KHNH12</t>
  </si>
  <si>
    <t>1477.34</t>
  </si>
  <si>
    <t>1095.35</t>
  </si>
  <si>
    <t>KHNH15-Đông Ninh Hòa</t>
  </si>
  <si>
    <t>12.56971</t>
  </si>
  <si>
    <t>109.23236</t>
  </si>
  <si>
    <t>FO DT#MBF#KHNH15-KHNH32</t>
  </si>
  <si>
    <t>2074.18</t>
  </si>
  <si>
    <t>2069.92</t>
  </si>
  <si>
    <t>12.559902</t>
  </si>
  <si>
    <t>109.216150</t>
  </si>
  <si>
    <t>KHNH64-Tân Định</t>
  </si>
  <si>
    <t>12.49165</t>
  </si>
  <si>
    <t>109.12901</t>
  </si>
  <si>
    <t>FO DT#MBF#KHNH64-KHNH12</t>
  </si>
  <si>
    <t>681.08</t>
  </si>
  <si>
    <t>299.09</t>
  </si>
  <si>
    <t>12.494325</t>
  </si>
  <si>
    <t>109.128719</t>
  </si>
  <si>
    <t>KHNH31-Hòa Thắng</t>
  </si>
  <si>
    <t>12.46365</t>
  </si>
  <si>
    <t>109.14001</t>
  </si>
  <si>
    <t>FO DT#MBF#KHNH31-KHNH10</t>
  </si>
  <si>
    <t>1889.42</t>
  </si>
  <si>
    <t>1703.47</t>
  </si>
  <si>
    <t>12.471017</t>
  </si>
  <si>
    <t>109.126253</t>
  </si>
  <si>
    <t>KHNT44-PK02 cs2</t>
  </si>
  <si>
    <t>12.3646482</t>
  </si>
  <si>
    <t>109.1943059</t>
  </si>
  <si>
    <t>FO DT#MBF#KHNT44-KHNT13</t>
  </si>
  <si>
    <t>138.58</t>
  </si>
  <si>
    <t>21.35</t>
  </si>
  <si>
    <t>12.364605</t>
  </si>
  <si>
    <t>109.194498</t>
  </si>
  <si>
    <t>KHNH13-PK02 cs2</t>
  </si>
  <si>
    <t>12.38523</t>
  </si>
  <si>
    <t>109.19578</t>
  </si>
  <si>
    <t>FO DT#MBF#KHNH13-KHNT13</t>
  </si>
  <si>
    <t>251.61</t>
  </si>
  <si>
    <t>134.38</t>
  </si>
  <si>
    <t>12.384585</t>
  </si>
  <si>
    <t>109.194734</t>
  </si>
  <si>
    <t>KHNH62-Tây Ninh Hòa</t>
  </si>
  <si>
    <t>12.54099</t>
  </si>
  <si>
    <t>109.01055</t>
  </si>
  <si>
    <t>FO DT#MBF#KHNH62-KHNH06</t>
  </si>
  <si>
    <t>93.36</t>
  </si>
  <si>
    <t>88.78</t>
  </si>
  <si>
    <t>12.540544</t>
  </si>
  <si>
    <t>109.009872</t>
  </si>
  <si>
    <t>KHNH43-Tây Ninh Hòa</t>
  </si>
  <si>
    <t>12.54399</t>
  </si>
  <si>
    <t>109.05504</t>
  </si>
  <si>
    <t>FO DT#MBF#KHNH43-KHNH06</t>
  </si>
  <si>
    <t>3042.21</t>
  </si>
  <si>
    <t>3037.62</t>
  </si>
  <si>
    <t>12.519499</t>
  </si>
  <si>
    <t>109.042643</t>
  </si>
  <si>
    <t>KHVN51-Vạn Ninh</t>
  </si>
  <si>
    <t>12.71461</t>
  </si>
  <si>
    <t>109.24381</t>
  </si>
  <si>
    <t>FO DT#MBF#KHVN51-KHVN04</t>
  </si>
  <si>
    <t>1311.74</t>
  </si>
  <si>
    <t>1308.17</t>
  </si>
  <si>
    <t>KHVN20-Tu Bông</t>
  </si>
  <si>
    <t>109.31663</t>
  </si>
  <si>
    <t>FO DT#MBF#KHVN20-KHVN03</t>
  </si>
  <si>
    <t>365.75</t>
  </si>
  <si>
    <t>365.40</t>
  </si>
  <si>
    <t>12.778753</t>
  </si>
  <si>
    <t>109.313261</t>
  </si>
  <si>
    <t>KHVN43-Tu Bông</t>
  </si>
  <si>
    <t>12.78391</t>
  </si>
  <si>
    <t>109.30672</t>
  </si>
  <si>
    <t>FO DT#MBF#KHVN43-KHVN03</t>
  </si>
  <si>
    <t>177.99</t>
  </si>
  <si>
    <t>175.91</t>
  </si>
  <si>
    <t>12.784682</t>
  </si>
  <si>
    <t>109.305304</t>
  </si>
  <si>
    <t>KHNT6I-PC07</t>
  </si>
  <si>
    <t>12.2375943</t>
  </si>
  <si>
    <t>109.1908277</t>
  </si>
  <si>
    <t>FO DT#MBF#KHNT6I-KHNT90</t>
  </si>
  <si>
    <t>245.89</t>
  </si>
  <si>
    <t>36.39</t>
  </si>
  <si>
    <t>12.237922</t>
  </si>
  <si>
    <t>109.190824</t>
  </si>
  <si>
    <t>KHNT3P-PA08</t>
  </si>
  <si>
    <t>12.23581801</t>
  </si>
  <si>
    <t>109.180924</t>
  </si>
  <si>
    <t>FO DT#MBF#KHNT3P-KHNT25</t>
  </si>
  <si>
    <t>929.40</t>
  </si>
  <si>
    <t>12.43</t>
  </si>
  <si>
    <t>12.235884</t>
  </si>
  <si>
    <t>109.181016</t>
  </si>
  <si>
    <t>916.97</t>
  </si>
  <si>
    <t>12.246574</t>
  </si>
  <si>
    <t>109.181621</t>
  </si>
  <si>
    <t>full_h04/Khánh Hòa/Thu thập EVN_Khánh Hòa/Route_Cấp 4/KH_RING 1/2.CA Nam Nha Trang - CA Nha Trang/CA Nam Nha Trang - CA Nha Trang_Đoạn cột trung thế_1</t>
  </si>
  <si>
    <t>KHNT5U-PC08 (xử lý vi phạm)</t>
  </si>
  <si>
    <t>12.25155679</t>
  </si>
  <si>
    <t>109.1888294</t>
  </si>
  <si>
    <t>FO DT#MBF#KHNT5U-KHNT60</t>
  </si>
  <si>
    <t>254.69</t>
  </si>
  <si>
    <t>94.02</t>
  </si>
  <si>
    <t>12.251268</t>
  </si>
  <si>
    <t>109.189643</t>
  </si>
  <si>
    <t>KHDK22-Diên Lâm</t>
  </si>
  <si>
    <t>12.23889</t>
  </si>
  <si>
    <t>109.0079</t>
  </si>
  <si>
    <t>FO DT#MBF#KHDK22-KHDK25</t>
  </si>
  <si>
    <t>814.18</t>
  </si>
  <si>
    <t>65.98</t>
  </si>
  <si>
    <t>12.238942</t>
  </si>
  <si>
    <t>109.008505</t>
  </si>
  <si>
    <t>KHNH65-Ninh Hòa</t>
  </si>
  <si>
    <t>12.48371</t>
  </si>
  <si>
    <t>109.11364</t>
  </si>
  <si>
    <t>FO DT#MBF#KHNH65-KHNH54</t>
  </si>
  <si>
    <t>1820.48</t>
  </si>
  <si>
    <t>1815.59</t>
  </si>
  <si>
    <t>12.476967</t>
  </si>
  <si>
    <t>109.128870</t>
  </si>
  <si>
    <t>KHNT2W-PK02 cs1</t>
  </si>
  <si>
    <t>12.2799491</t>
  </si>
  <si>
    <t>109.1901313</t>
  </si>
  <si>
    <t>FO DT#MBF#KHNT2W-KHNT94</t>
  </si>
  <si>
    <t>93.70</t>
  </si>
  <si>
    <t>88.75</t>
  </si>
  <si>
    <t>12.279602</t>
  </si>
  <si>
    <t>109.190867</t>
  </si>
  <si>
    <t>4.96</t>
  </si>
  <si>
    <t>KHNT69-PA06 cs2</t>
  </si>
  <si>
    <t>12.2411401</t>
  </si>
  <si>
    <t>109.1602201</t>
  </si>
  <si>
    <t>FO DT#MBF#KHNT69-KHNT55</t>
  </si>
  <si>
    <t>2030.06</t>
  </si>
  <si>
    <t>1856.86</t>
  </si>
  <si>
    <t>KHNT1T-PC08 (xử lý vi phạm)</t>
  </si>
  <si>
    <t>12.250493</t>
  </si>
  <si>
    <t>109.186816</t>
  </si>
  <si>
    <t>FO DT#MBF#KHNT1T-KHNT60</t>
  </si>
  <si>
    <t>Tuyến nhánh PC08 csc - PC08 (xử lý vi phạm)</t>
  </si>
  <si>
    <t>277.93</t>
  </si>
  <si>
    <t>276.27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</si>
  <si>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</si>
  <si>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</si>
  <si>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</si>
  <si>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</si>
  <si>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</si>
  <si>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</si>
  <si>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</si>
  <si>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12.240014</t>
  </si>
  <si>
    <t>109.18822</t>
  </si>
  <si>
    <t>FO DT#MBF#KHNT12-KHNT83</t>
  </si>
  <si>
    <t>481.89</t>
  </si>
  <si>
    <t>198.41</t>
  </si>
  <si>
    <t>KHNT2V-Tây Nha Trang</t>
  </si>
  <si>
    <t>12.25527898</t>
  </si>
  <si>
    <t>109.1898043</t>
  </si>
  <si>
    <t>FO DT#MBF#KHNT2V-KHNT17</t>
  </si>
  <si>
    <t>415.26</t>
  </si>
  <si>
    <t>411.26</t>
  </si>
  <si>
    <t>12.252363</t>
  </si>
  <si>
    <t>109.192133</t>
  </si>
  <si>
    <t>KHNT5R-Tây Nha Trang</t>
  </si>
  <si>
    <t>12.2540433</t>
  </si>
  <si>
    <t>109.187305</t>
  </si>
  <si>
    <t>FO DT#MBF#KHNT5R-KHNT17</t>
  </si>
  <si>
    <t>291.73</t>
  </si>
  <si>
    <t>289.36</t>
  </si>
  <si>
    <t>12.251707</t>
  </si>
  <si>
    <t>109.186132</t>
  </si>
  <si>
    <t>KHNT58-Tây Nha Trang</t>
  </si>
  <si>
    <t>12.26105301</t>
  </si>
  <si>
    <t>109.1916</t>
  </si>
  <si>
    <t>FO DT#MBF#KHNT58-KHNT17</t>
  </si>
  <si>
    <t>492.68</t>
  </si>
  <si>
    <t>63.57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</si>
  <si>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</si>
  <si>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</si>
  <si>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</si>
  <si>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</si>
  <si>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</si>
  <si>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</si>
  <si>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</si>
  <si>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12.24204011</t>
  </si>
  <si>
    <t>109.1890011</t>
  </si>
  <si>
    <t>FO DT#MBF#KHNT2Z-KHNT84</t>
  </si>
  <si>
    <t>404.12</t>
  </si>
  <si>
    <t>208.23</t>
  </si>
  <si>
    <t>12.243746</t>
  </si>
  <si>
    <t>109.189792</t>
  </si>
  <si>
    <t>195.89</t>
  </si>
  <si>
    <t>12.245896</t>
  </si>
  <si>
    <t>109.190274</t>
  </si>
  <si>
    <t>full_h04/Khánh Hòa/Thu thập EVN_Khánh Hòa/Route_Cấp 3/KH_RING 5/1.CATP Nha trang cũ - PC07/CATP Nha trang cũ - PC07_Đoạn cột hạ thế</t>
  </si>
  <si>
    <t>17KH025-Nhà nghỉ dưỡng 378 BCA</t>
  </si>
  <si>
    <t>12.267365</t>
  </si>
  <si>
    <t>109.2033013</t>
  </si>
  <si>
    <t>FO DT#MBF#17KH025-KHNT1N</t>
  </si>
  <si>
    <t>1334.67</t>
  </si>
  <si>
    <t>1329.49</t>
  </si>
  <si>
    <t>KHKV10-Bắc Khánh Vĩnh</t>
  </si>
  <si>
    <t>12.34991</t>
  </si>
  <si>
    <t>108.97801</t>
  </si>
  <si>
    <t>12.35885</t>
  </si>
  <si>
    <t>108.9607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</si>
  <si>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</si>
  <si>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</si>
  <si>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</si>
  <si>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</si>
  <si>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</si>
  <si>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</si>
  <si>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</si>
  <si>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</si>
  <si>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</si>
  <si>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</si>
  <si>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</si>
  <si>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</si>
  <si>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</si>
  <si>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</si>
  <si>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</si>
  <si>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12.37577</t>
  </si>
  <si>
    <t>108.93669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</si>
  <si>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</si>
  <si>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</si>
  <si>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</si>
  <si>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</si>
  <si>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</si>
  <si>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</si>
  <si>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</si>
  <si>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</si>
  <si>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</si>
  <si>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</si>
  <si>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</si>
  <si>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12.2453</t>
  </si>
  <si>
    <t>109.0412</t>
  </si>
  <si>
    <t>FO DT#MBF#KHDK03-KHDK25</t>
  </si>
  <si>
    <t>1974.80</t>
  </si>
  <si>
    <t>1971.41</t>
  </si>
  <si>
    <t>12.262613</t>
  </si>
  <si>
    <t>109.037289</t>
  </si>
  <si>
    <t>KHNT3O-Bắc Nha Trang</t>
  </si>
  <si>
    <t>12.298586</t>
  </si>
  <si>
    <t>109.2104356</t>
  </si>
  <si>
    <t>FO DT#MBF#KHNT3O-KHNT88</t>
  </si>
  <si>
    <t>2238.29</t>
  </si>
  <si>
    <t>2237.43</t>
  </si>
  <si>
    <t>KHDK30-Diên Điền</t>
  </si>
  <si>
    <t>FO DT#MBF#KHDK30-KHDK08</t>
  </si>
  <si>
    <t>KHVN44-Đại Lãnh</t>
  </si>
  <si>
    <t>12.80120101</t>
  </si>
  <si>
    <t>109.352844</t>
  </si>
  <si>
    <t>FO DT#MBF#KHVN44-KHVN55</t>
  </si>
  <si>
    <t>2046.07</t>
  </si>
  <si>
    <t>2039.35</t>
  </si>
  <si>
    <t>12.803173</t>
  </si>
  <si>
    <t>109.334145</t>
  </si>
  <si>
    <t>KHVN18-Đại Lãnh</t>
  </si>
  <si>
    <t>12.77596</t>
  </si>
  <si>
    <t>109.35836</t>
  </si>
  <si>
    <t>FO DT#MBF#KHVN18-KHVN55</t>
  </si>
  <si>
    <t>4013.08</t>
  </si>
  <si>
    <t>4006.35</t>
  </si>
  <si>
    <t>KHVN28-Đại Lãnh</t>
  </si>
  <si>
    <t>12.83621</t>
  </si>
  <si>
    <t>109.36243</t>
  </si>
  <si>
    <t>FO DT#MBF#KHVN28-KHVN55</t>
  </si>
  <si>
    <t>4694.65</t>
  </si>
  <si>
    <t>4688.09</t>
  </si>
  <si>
    <t>KHCR26-Cam Phước Đông</t>
  </si>
  <si>
    <t>11.92448001</t>
  </si>
  <si>
    <t>109.127283</t>
  </si>
  <si>
    <t>FO DT#MBF#KHCR26-KHCR47</t>
  </si>
  <si>
    <t>252.31</t>
  </si>
  <si>
    <t>152.31</t>
  </si>
  <si>
    <t>11.923322</t>
  </si>
  <si>
    <t>109.126536</t>
  </si>
  <si>
    <t>KHCR70-Cam Phước Đông</t>
  </si>
  <si>
    <t>FO DT#MBF#KHCR70-KHCR47</t>
  </si>
  <si>
    <t>95.74</t>
  </si>
  <si>
    <t>89.11</t>
  </si>
  <si>
    <t>11.956004</t>
  </si>
  <si>
    <t>109.103488</t>
  </si>
  <si>
    <t>KHNH95-Trạm CSGT Ninh An cũ</t>
  </si>
  <si>
    <t>12.54265</t>
  </si>
  <si>
    <t>109.16408</t>
  </si>
  <si>
    <t>FO DT#MBF#KHNH95-KHNH20</t>
  </si>
  <si>
    <t>191.34</t>
  </si>
  <si>
    <t>163.41</t>
  </si>
  <si>
    <t>KHNT8P-CATP Nha trang cũ</t>
  </si>
  <si>
    <t>12.239122</t>
  </si>
  <si>
    <t>109.189766</t>
  </si>
  <si>
    <t>FO DT#MBF#KHNT8P-KHNT83</t>
  </si>
  <si>
    <t>614.77</t>
  </si>
  <si>
    <t>331.29</t>
  </si>
  <si>
    <t>12.238712</t>
  </si>
  <si>
    <t>109.186746</t>
  </si>
  <si>
    <t>KHNT8V-PC11a</t>
  </si>
  <si>
    <t>12.197886</t>
  </si>
  <si>
    <t>109.166918</t>
  </si>
  <si>
    <t>FO DT#MBF#KHNT8V-KHNTMA01</t>
  </si>
  <si>
    <t>809.79</t>
  </si>
  <si>
    <t>806.45</t>
  </si>
  <si>
    <t>KHNT8D-PC02</t>
  </si>
  <si>
    <t>12.21947601</t>
  </si>
  <si>
    <t>109.204197</t>
  </si>
  <si>
    <t>FO DT#MBF#KHNT8D-KHNT4D</t>
  </si>
  <si>
    <t>55.20</t>
  </si>
  <si>
    <t>53.16</t>
  </si>
  <si>
    <t>12.219007</t>
  </si>
  <si>
    <t>109.204294</t>
  </si>
  <si>
    <t>2.04</t>
  </si>
  <si>
    <t>KHNT8B-Nhà nghỉ dưỡng 378 BCA</t>
  </si>
  <si>
    <t>12.26741</t>
  </si>
  <si>
    <t>109.20332</t>
  </si>
  <si>
    <t>FO DT#MBF#KHNT8B-KHNT1N</t>
  </si>
  <si>
    <t>1340.05</t>
  </si>
  <si>
    <t>1334.87</t>
  </si>
  <si>
    <t>KHNT57-PC02</t>
  </si>
  <si>
    <t>12.2145994</t>
  </si>
  <si>
    <t>109.2017903</t>
  </si>
  <si>
    <t>FO DT#MBF#KHNT57-KHNT4D</t>
  </si>
  <si>
    <t>342.24</t>
  </si>
  <si>
    <t>338.62</t>
  </si>
  <si>
    <t>12.217110</t>
  </si>
  <si>
    <t>109.200027</t>
  </si>
  <si>
    <t>KHNT8F-PA08</t>
  </si>
  <si>
    <t>12.241556</t>
  </si>
  <si>
    <t>109.177042</t>
  </si>
  <si>
    <t>FO DT#MBF#KHNT8F-KHNT25</t>
  </si>
  <si>
    <t>1099.43</t>
  </si>
  <si>
    <t>775.24</t>
  </si>
  <si>
    <t>QTTP35-TT2 Quảng Trị</t>
  </si>
  <si>
    <t>16.810113</t>
  </si>
  <si>
    <t>107.146725</t>
  </si>
  <si>
    <t>16.79036</t>
  </si>
  <si>
    <t>107.1043</t>
  </si>
  <si>
    <t>FO thuê#VNPT#QTTP35-QTDH14</t>
  </si>
  <si>
    <t>CA Công an Quảng Trị-Triệu Phong</t>
  </si>
  <si>
    <t>2815.96</t>
  </si>
  <si>
    <t>2735.47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</si>
  <si>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</si>
  <si>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</si>
  <si>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</si>
  <si>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</si>
  <si>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</si>
  <si>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</si>
  <si>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</si>
  <si>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16.74525</t>
  </si>
  <si>
    <t>106.9641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</si>
  <si>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</si>
  <si>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</si>
  <si>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</si>
  <si>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</si>
  <si>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</si>
  <si>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</si>
  <si>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</si>
  <si>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</si>
  <si>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</si>
  <si>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</si>
  <si>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</si>
  <si>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16.79029</t>
  </si>
  <si>
    <t>107.091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</si>
  <si>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</si>
  <si>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</si>
  <si>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</si>
  <si>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</si>
  <si>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</si>
  <si>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</si>
  <si>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</si>
  <si>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</si>
  <si>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</si>
  <si>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</si>
  <si>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</si>
  <si>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16.73942</t>
  </si>
  <si>
    <t>107.1883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</si>
  <si>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</si>
  <si>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</si>
  <si>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</si>
  <si>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</si>
  <si>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</si>
  <si>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</si>
  <si>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</si>
  <si>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</si>
  <si>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</si>
  <si>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</si>
  <si>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</si>
  <si>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16.79871</t>
  </si>
  <si>
    <t>107.1613</t>
  </si>
  <si>
    <t>FO thuê#CMC#QTTP23-QTDH14</t>
  </si>
  <si>
    <t>4033.40</t>
  </si>
  <si>
    <t>3952.91</t>
  </si>
  <si>
    <t>QTCL20-Hiếu Giang</t>
  </si>
  <si>
    <t>16.811</t>
  </si>
  <si>
    <t>107.05531</t>
  </si>
  <si>
    <t>16.80435</t>
  </si>
  <si>
    <t>107.0406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</si>
  <si>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</si>
  <si>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</si>
  <si>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</si>
  <si>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</si>
  <si>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</si>
  <si>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</si>
  <si>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</si>
  <si>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</si>
  <si>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</si>
  <si>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</si>
  <si>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</si>
  <si>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16.81839</t>
  </si>
  <si>
    <t>107.03923</t>
  </si>
  <si>
    <t>FO thuê#VNPT#QTCL17-QTCL13</t>
  </si>
  <si>
    <t>1511.86</t>
  </si>
  <si>
    <t>1475.22</t>
  </si>
  <si>
    <t>16.806810</t>
  </si>
  <si>
    <t>107.045994</t>
  </si>
  <si>
    <t>QTGL42-Cửa Việt</t>
  </si>
  <si>
    <t>16.901341</t>
  </si>
  <si>
    <t>107.172741</t>
  </si>
  <si>
    <t>16.90575</t>
  </si>
  <si>
    <t>107.1769</t>
  </si>
  <si>
    <t>FO thuê#VNPT#QTGL42-QTGL03</t>
  </si>
  <si>
    <t>56.68</t>
  </si>
  <si>
    <t>44.44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</si>
  <si>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</si>
  <si>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</si>
  <si>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</si>
  <si>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</si>
  <si>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</si>
  <si>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</si>
  <si>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</si>
  <si>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16.81659</t>
  </si>
  <si>
    <t>107.07734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</si>
  <si>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</si>
  <si>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</si>
  <si>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</si>
  <si>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</si>
  <si>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</si>
  <si>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</si>
  <si>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</si>
  <si>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</si>
  <si>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</si>
  <si>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</si>
  <si>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</si>
  <si>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16.80733</t>
  </si>
  <si>
    <t>106.9927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</si>
  <si>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</si>
  <si>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</si>
  <si>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</si>
  <si>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</si>
  <si>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</si>
  <si>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</si>
  <si>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</si>
  <si>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</si>
  <si>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</si>
  <si>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</si>
  <si>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</si>
  <si>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16.81594</t>
  </si>
  <si>
    <t>107.1106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</si>
  <si>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</si>
  <si>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</si>
  <si>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</si>
  <si>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</si>
  <si>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</si>
  <si>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</si>
  <si>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</si>
  <si>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</si>
  <si>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</si>
  <si>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</si>
  <si>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16.96674</t>
  </si>
  <si>
    <t>107.13804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</si>
  <si>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</si>
  <si>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</si>
  <si>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</si>
  <si>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</si>
  <si>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</si>
  <si>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</si>
  <si>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</si>
  <si>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</si>
  <si>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</si>
  <si>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</si>
  <si>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</si>
  <si>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16.98909</t>
  </si>
  <si>
    <t>107.1067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</si>
  <si>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</si>
  <si>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</si>
  <si>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</si>
  <si>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</si>
  <si>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</si>
  <si>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</si>
  <si>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</si>
  <si>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</si>
  <si>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</si>
  <si>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</si>
  <si>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16.9664</t>
  </si>
  <si>
    <t>107.06918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</si>
  <si>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</si>
  <si>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</si>
  <si>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</si>
  <si>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</si>
  <si>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</si>
  <si>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</si>
  <si>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</si>
  <si>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</si>
  <si>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</si>
  <si>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</si>
  <si>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</si>
  <si>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16.82654</t>
  </si>
  <si>
    <t>107.00301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</si>
  <si>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</si>
  <si>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</si>
  <si>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</si>
  <si>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</si>
  <si>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</si>
  <si>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</si>
  <si>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</si>
  <si>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</si>
  <si>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</si>
  <si>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</si>
  <si>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</si>
  <si>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16.79332</t>
  </si>
  <si>
    <t>106.96828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</si>
  <si>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</si>
  <si>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</si>
  <si>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</si>
  <si>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</si>
  <si>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</si>
  <si>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</si>
  <si>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</si>
  <si>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</si>
  <si>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</si>
  <si>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16.81566</t>
  </si>
  <si>
    <t>107.1054</t>
  </si>
  <si>
    <t>16.80622</t>
  </si>
  <si>
    <t>107.10414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</si>
  <si>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</si>
  <si>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</si>
  <si>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</si>
  <si>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</si>
  <si>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</si>
  <si>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</si>
  <si>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</si>
  <si>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</si>
  <si>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</si>
  <si>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</si>
  <si>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</si>
  <si>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16.88189</t>
  </si>
  <si>
    <t>107.2065</t>
  </si>
  <si>
    <t>16.69184</t>
  </si>
  <si>
    <t>107.2455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</si>
  <si>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</si>
  <si>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</si>
  <si>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</si>
  <si>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</si>
  <si>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</si>
  <si>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</si>
  <si>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</si>
  <si>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</si>
  <si>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</si>
  <si>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</si>
  <si>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</si>
  <si>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</si>
  <si>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</si>
  <si>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</si>
  <si>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</si>
  <si>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</si>
  <si>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16.77698</t>
  </si>
  <si>
    <t>107.32986</t>
  </si>
  <si>
    <t>16.72653</t>
  </si>
  <si>
    <t>107.335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</si>
  <si>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</si>
  <si>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</si>
  <si>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</si>
  <si>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</si>
  <si>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</si>
  <si>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</si>
  <si>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</si>
  <si>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</si>
  <si>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</si>
  <si>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</si>
  <si>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</si>
  <si>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</si>
  <si>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</si>
  <si>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</si>
  <si>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</si>
  <si>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</si>
  <si>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</si>
  <si>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</si>
  <si>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</si>
  <si>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</si>
  <si>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</si>
  <si>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</si>
  <si>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16.71074</t>
  </si>
  <si>
    <t>107.2445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</si>
  <si>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</si>
  <si>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</si>
  <si>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</si>
  <si>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</si>
  <si>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</si>
  <si>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</si>
  <si>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16.7426</t>
  </si>
  <si>
    <t>107.2784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</si>
  <si>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</si>
  <si>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</si>
  <si>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</si>
  <si>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</si>
  <si>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</si>
  <si>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</si>
  <si>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</si>
  <si>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</si>
  <si>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</si>
  <si>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</si>
  <si>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</si>
  <si>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16.76343</t>
  </si>
  <si>
    <t>107.2432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</si>
  <si>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</si>
  <si>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</si>
  <si>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</si>
  <si>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</si>
  <si>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</si>
  <si>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</si>
  <si>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</si>
  <si>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</si>
  <si>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</si>
  <si>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</si>
  <si>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16.7645</t>
  </si>
  <si>
    <t>107.224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</si>
  <si>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</si>
  <si>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</si>
  <si>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</si>
  <si>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</si>
  <si>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</si>
  <si>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</si>
  <si>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</si>
  <si>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</si>
  <si>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</si>
  <si>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</si>
  <si>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</si>
  <si>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</si>
  <si>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</si>
  <si>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</si>
  <si>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</si>
  <si>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</si>
  <si>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</si>
  <si>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</si>
  <si>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</si>
  <si>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</si>
  <si>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</si>
  <si>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</si>
  <si>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16.66435</t>
  </si>
  <si>
    <t>107.27957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</si>
  <si>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</si>
  <si>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</si>
  <si>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</si>
  <si>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</si>
  <si>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</si>
  <si>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</si>
  <si>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</si>
  <si>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</si>
  <si>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</si>
  <si>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</si>
  <si>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</si>
  <si>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16.7409</t>
  </si>
  <si>
    <t>107.19352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</si>
  <si>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</si>
  <si>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</si>
  <si>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</si>
  <si>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</si>
  <si>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</si>
  <si>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</si>
  <si>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</si>
  <si>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</si>
  <si>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</si>
  <si>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</si>
  <si>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</si>
  <si>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16.69882</t>
  </si>
  <si>
    <t>107.26566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</si>
  <si>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</si>
  <si>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</si>
  <si>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</si>
  <si>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</si>
  <si>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</si>
  <si>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</si>
  <si>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</si>
  <si>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</si>
  <si>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</si>
  <si>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</si>
  <si>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</si>
  <si>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</si>
  <si>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</si>
  <si>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16.772</t>
  </si>
  <si>
    <t>107.18918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</si>
  <si>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</si>
  <si>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</si>
  <si>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</si>
  <si>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</si>
  <si>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</si>
  <si>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</si>
  <si>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</si>
  <si>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</si>
  <si>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</si>
  <si>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</si>
  <si>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</si>
  <si>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16.81954</t>
  </si>
  <si>
    <t>107.17156</t>
  </si>
  <si>
    <t>16.791</t>
  </si>
  <si>
    <t>107.1727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</si>
  <si>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</si>
  <si>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</si>
  <si>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</si>
  <si>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</si>
  <si>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</si>
  <si>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</si>
  <si>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</si>
  <si>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</si>
  <si>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</si>
  <si>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</si>
  <si>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16.74284</t>
  </si>
  <si>
    <t>107.1853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</si>
  <si>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</si>
  <si>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</si>
  <si>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</si>
  <si>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</si>
  <si>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</si>
  <si>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</si>
  <si>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</si>
  <si>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</si>
  <si>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</si>
  <si>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</si>
  <si>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</si>
  <si>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</si>
  <si>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</si>
  <si>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</si>
  <si>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</si>
  <si>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</si>
  <si>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</si>
  <si>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16.79406</t>
  </si>
  <si>
    <t>107.2448</t>
  </si>
  <si>
    <t>16.75634</t>
  </si>
  <si>
    <t>107.1986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</si>
  <si>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</si>
  <si>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</si>
  <si>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</si>
  <si>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</si>
  <si>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</si>
  <si>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</si>
  <si>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</si>
  <si>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</si>
  <si>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</si>
  <si>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</si>
  <si>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</si>
  <si>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</si>
  <si>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16.74744</t>
  </si>
  <si>
    <t>107.17837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</si>
  <si>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</si>
  <si>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</si>
  <si>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</si>
  <si>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</si>
  <si>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</si>
  <si>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</si>
  <si>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</si>
  <si>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</si>
  <si>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</si>
  <si>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</si>
  <si>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</si>
  <si>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</si>
  <si>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</si>
  <si>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16.72548</t>
  </si>
  <si>
    <t>107.22768</t>
  </si>
  <si>
    <t>FO thuê#CMC#QTHL50-QTHL05</t>
  </si>
  <si>
    <t>975.49</t>
  </si>
  <si>
    <t>945.15</t>
  </si>
  <si>
    <t>16.718718</t>
  </si>
  <si>
    <t>107.222302</t>
  </si>
  <si>
    <t>QTDH56-Đông Hà</t>
  </si>
  <si>
    <t>16.81538</t>
  </si>
  <si>
    <t>107.09006</t>
  </si>
  <si>
    <t>16.81241</t>
  </si>
  <si>
    <t>107.0893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</si>
  <si>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</si>
  <si>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</si>
  <si>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</si>
  <si>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</si>
  <si>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</si>
  <si>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</si>
  <si>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</si>
  <si>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</si>
  <si>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</si>
  <si>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</si>
  <si>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</si>
  <si>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16.93446</t>
  </si>
  <si>
    <t>107.16216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</si>
  <si>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</si>
  <si>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</si>
  <si>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</si>
  <si>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</si>
  <si>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</si>
  <si>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</si>
  <si>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16.77582</t>
  </si>
  <si>
    <t>107.11228</t>
  </si>
  <si>
    <t>16.7889</t>
  </si>
  <si>
    <t>107.1041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</si>
  <si>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</si>
  <si>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</si>
  <si>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</si>
  <si>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</si>
  <si>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</si>
  <si>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</si>
  <si>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</si>
  <si>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</si>
  <si>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</si>
  <si>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</si>
  <si>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</si>
  <si>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16.78979</t>
  </si>
  <si>
    <t>107.0994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</si>
  <si>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</si>
  <si>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</si>
  <si>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</si>
  <si>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</si>
  <si>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</si>
  <si>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</si>
  <si>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16.78768</t>
  </si>
  <si>
    <t>107.06597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</si>
  <si>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</si>
  <si>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</si>
  <si>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</si>
  <si>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</si>
  <si>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</si>
  <si>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</si>
  <si>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</si>
  <si>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</si>
  <si>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</si>
  <si>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</si>
  <si>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</si>
  <si>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16.81529</t>
  </si>
  <si>
    <t>107.10029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</si>
  <si>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</si>
  <si>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</si>
  <si>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</si>
  <si>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</si>
  <si>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</si>
  <si>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</si>
  <si>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</si>
  <si>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</si>
  <si>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</si>
  <si>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</si>
  <si>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16.791175</t>
  </si>
  <si>
    <t>107.11464</t>
  </si>
  <si>
    <t>FO thuê#CMC#QTDH60-QTDH34</t>
  </si>
  <si>
    <t>574.45</t>
  </si>
  <si>
    <t>408.39</t>
  </si>
  <si>
    <t>16.794229</t>
  </si>
  <si>
    <t>107.112510</t>
  </si>
  <si>
    <t>166.06</t>
  </si>
  <si>
    <t>16.790262</t>
  </si>
  <si>
    <t>107.103460</t>
  </si>
  <si>
    <t>QTDH61-PC11 (Trại tạm giam)</t>
  </si>
  <si>
    <t>16.802069</t>
  </si>
  <si>
    <t>107.0926</t>
  </si>
  <si>
    <t>16.80126</t>
  </si>
  <si>
    <t>107.0875</t>
  </si>
  <si>
    <t>FO thuê#CMC#QTDH61-QTDH04</t>
  </si>
  <si>
    <t>Đông Hà-CA Công an Quảng Trị</t>
  </si>
  <si>
    <t>396.96</t>
  </si>
  <si>
    <t>197.76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</si>
  <si>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</si>
  <si>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</si>
  <si>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</si>
  <si>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</si>
  <si>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</si>
  <si>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</si>
  <si>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</si>
  <si>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16.99723</t>
  </si>
  <si>
    <t>107.1097</t>
  </si>
  <si>
    <t>FO thuê#CMC#QTGL20-QTGL12</t>
  </si>
  <si>
    <t>81.65</t>
  </si>
  <si>
    <t>58.75</t>
  </si>
  <si>
    <t>16.997064</t>
  </si>
  <si>
    <t>107.109176</t>
  </si>
  <si>
    <t>QTTP45-Ái Tử</t>
  </si>
  <si>
    <t>16.78299</t>
  </si>
  <si>
    <t>107.16666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</si>
  <si>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</si>
  <si>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</si>
  <si>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</si>
  <si>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</si>
  <si>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</si>
  <si>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</si>
  <si>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</si>
  <si>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</si>
  <si>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</si>
  <si>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</si>
  <si>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</si>
  <si>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16.76573</t>
  </si>
  <si>
    <t>107.20434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</si>
  <si>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</si>
  <si>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</si>
  <si>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</si>
  <si>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</si>
  <si>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</si>
  <si>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</si>
  <si>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</si>
  <si>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</si>
  <si>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</si>
  <si>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</si>
  <si>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</si>
  <si>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16.76467</t>
  </si>
  <si>
    <t>107.22041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</si>
  <si>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</si>
  <si>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</si>
  <si>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</si>
  <si>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</si>
  <si>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</si>
  <si>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</si>
  <si>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</si>
  <si>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</si>
  <si>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</si>
  <si>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</si>
  <si>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16.77247</t>
  </si>
  <si>
    <t>107.2321</t>
  </si>
  <si>
    <t>FO thuê#CMC#QTTP20-QTTP05</t>
  </si>
  <si>
    <t>583.29</t>
  </si>
  <si>
    <t>537.22</t>
  </si>
  <si>
    <t>16.768227</t>
  </si>
  <si>
    <t>107.229687</t>
  </si>
  <si>
    <t>Triệu Cơ-QTHL43</t>
  </si>
  <si>
    <t>16.77302</t>
  </si>
  <si>
    <t>107.2656</t>
  </si>
  <si>
    <t>FO thuê#CMC#QTTP05-QTHL43</t>
  </si>
  <si>
    <t>848.47</t>
  </si>
  <si>
    <t>506.83</t>
  </si>
  <si>
    <t>QTHL34-Mỹ Thủy</t>
  </si>
  <si>
    <t>16.73679</t>
  </si>
  <si>
    <t>107.32397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</si>
  <si>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</si>
  <si>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</si>
  <si>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</si>
  <si>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</si>
  <si>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</si>
  <si>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</si>
  <si>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16.74887</t>
  </si>
  <si>
    <t>107.19196</t>
  </si>
  <si>
    <t>FO thuê#CMC#QTQT10-QTQT06</t>
  </si>
  <si>
    <t>312.67</t>
  </si>
  <si>
    <t>228.86</t>
  </si>
  <si>
    <t>16.749626</t>
  </si>
  <si>
    <t>107.193959</t>
  </si>
  <si>
    <t>QTHL04-Mỹ Thủy</t>
  </si>
  <si>
    <t>16.75406</t>
  </si>
  <si>
    <t>107.36818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</si>
  <si>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</si>
  <si>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</si>
  <si>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</si>
  <si>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</si>
  <si>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</si>
  <si>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</si>
  <si>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</si>
  <si>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</si>
  <si>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</si>
  <si>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</si>
  <si>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16.67688</t>
  </si>
  <si>
    <t>107.30419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</si>
  <si>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</si>
  <si>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</si>
  <si>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</si>
  <si>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</si>
  <si>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</si>
  <si>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</si>
  <si>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</si>
  <si>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</si>
  <si>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</si>
  <si>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</si>
  <si>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</si>
  <si>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</si>
  <si>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</si>
  <si>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</si>
  <si>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</si>
  <si>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16.8097</t>
  </si>
  <si>
    <t>107.00179</t>
  </si>
  <si>
    <t>FO DT#MBF#QTCL_newsite1-QTDH14</t>
  </si>
  <si>
    <t>2305.08</t>
  </si>
  <si>
    <t>2240.84</t>
  </si>
  <si>
    <t>QTDH35-TT2 Quảng Trị</t>
  </si>
  <si>
    <t>16.80033</t>
  </si>
  <si>
    <t>107.10853</t>
  </si>
  <si>
    <t>FO DT#MBF#QTDH35-QTDH14</t>
  </si>
  <si>
    <t>731.79</t>
  </si>
  <si>
    <t>641.99</t>
  </si>
  <si>
    <t>16.801244</t>
  </si>
  <si>
    <t>107.114485</t>
  </si>
  <si>
    <t>QTDH32-TT2 Quảng Trị</t>
  </si>
  <si>
    <t>16.80418</t>
  </si>
  <si>
    <t>107.11417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</si>
  <si>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</si>
  <si>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</si>
  <si>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</si>
  <si>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</si>
  <si>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</si>
  <si>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</si>
  <si>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</si>
  <si>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</si>
  <si>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</si>
  <si>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</si>
  <si>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</si>
  <si>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</si>
  <si>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</si>
  <si>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</si>
  <si>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</si>
  <si>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</si>
  <si>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</si>
  <si>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</si>
  <si>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</si>
  <si>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</si>
  <si>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</si>
  <si>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</si>
  <si>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</si>
  <si>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</si>
  <si>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</si>
  <si>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</si>
  <si>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</si>
  <si>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</si>
  <si>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</si>
  <si>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</si>
  <si>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</si>
  <si>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</si>
  <si>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16.8189</t>
  </si>
  <si>
    <t>107.09815</t>
  </si>
  <si>
    <t>16.80926</t>
  </si>
  <si>
    <t>107.0959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</si>
  <si>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</si>
  <si>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</si>
  <si>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</si>
  <si>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</si>
  <si>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</si>
  <si>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</si>
  <si>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</si>
  <si>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</si>
  <si>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</si>
  <si>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</si>
  <si>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</si>
  <si>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</si>
  <si>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</si>
  <si>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</si>
  <si>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</si>
  <si>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16.80727</t>
  </si>
  <si>
    <t>107.09889</t>
  </si>
  <si>
    <t>FO DT#MBF#QTDH27-QTDH14</t>
  </si>
  <si>
    <t>1086.74</t>
  </si>
  <si>
    <t>996.93</t>
  </si>
  <si>
    <t>16.813187</t>
  </si>
  <si>
    <t>107.105927</t>
  </si>
  <si>
    <t>QTDH09-Đông Hà</t>
  </si>
  <si>
    <t>16.81988</t>
  </si>
  <si>
    <t>107.090958</t>
  </si>
  <si>
    <t>FO DT#MBF#QTDH09-QTDH07</t>
  </si>
  <si>
    <t>40.90</t>
  </si>
  <si>
    <t>11.73</t>
  </si>
  <si>
    <t>16.819821</t>
  </si>
  <si>
    <t>107.090867</t>
  </si>
  <si>
    <t>Đông Hà-PC07</t>
  </si>
  <si>
    <t>16.81325</t>
  </si>
  <si>
    <t>107.0887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</si>
  <si>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</si>
  <si>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</si>
  <si>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</si>
  <si>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</si>
  <si>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</si>
  <si>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</si>
  <si>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</si>
  <si>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</si>
  <si>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</si>
  <si>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</si>
  <si>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</si>
  <si>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</si>
  <si>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</si>
  <si>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</si>
  <si>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</si>
  <si>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</si>
  <si>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</si>
  <si>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</si>
  <si>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</si>
  <si>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</si>
  <si>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</si>
  <si>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</si>
  <si>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16.80691</t>
  </si>
  <si>
    <t>106.99367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</si>
  <si>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</si>
  <si>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</si>
  <si>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</si>
  <si>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</si>
  <si>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</si>
  <si>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</si>
  <si>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</si>
  <si>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</si>
  <si>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</si>
  <si>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</si>
  <si>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</si>
  <si>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16.80247</t>
  </si>
  <si>
    <t>107.02414</t>
  </si>
  <si>
    <t>FO DT#MBF#QTCL04-QTCL34</t>
  </si>
  <si>
    <t>261.15</t>
  </si>
  <si>
    <t>235.91</t>
  </si>
  <si>
    <t>16.800385</t>
  </si>
  <si>
    <t>107.023729</t>
  </si>
  <si>
    <t>QTTP37-TT2 Quảng Trị</t>
  </si>
  <si>
    <t>16.781311</t>
  </si>
  <si>
    <t>107.131571</t>
  </si>
  <si>
    <t>FO DT#MBF#QTTP37-QTDH14</t>
  </si>
  <si>
    <t>TT2 Quảng Trị - TX Quảng Trị</t>
  </si>
  <si>
    <t>2008.65</t>
  </si>
  <si>
    <t>935.24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</si>
  <si>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</si>
  <si>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</si>
  <si>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</si>
  <si>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</si>
  <si>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</si>
  <si>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</si>
  <si>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</si>
  <si>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16.9518</t>
  </si>
  <si>
    <t>107.11288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</si>
  <si>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</si>
  <si>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</si>
  <si>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</si>
  <si>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</si>
  <si>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</si>
  <si>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</si>
  <si>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17.06836</t>
  </si>
  <si>
    <t>107.00447</t>
  </si>
  <si>
    <t>17.07781</t>
  </si>
  <si>
    <t>106.9983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</si>
  <si>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</si>
  <si>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</si>
  <si>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</si>
  <si>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</si>
  <si>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</si>
  <si>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</si>
  <si>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</si>
  <si>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</si>
  <si>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</si>
  <si>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</si>
  <si>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</si>
  <si>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17.09841</t>
  </si>
  <si>
    <t>106.98224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</si>
  <si>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</si>
  <si>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</si>
  <si>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</si>
  <si>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</si>
  <si>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</si>
  <si>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</si>
  <si>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</si>
  <si>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</si>
  <si>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</si>
  <si>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</si>
  <si>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</si>
  <si>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16.70533</t>
  </si>
  <si>
    <t>107.16344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</si>
  <si>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</si>
  <si>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</si>
  <si>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</si>
  <si>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</si>
  <si>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</si>
  <si>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</si>
  <si>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</si>
  <si>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</si>
  <si>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</si>
  <si>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</si>
  <si>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12.102472</t>
  </si>
  <si>
    <t>107.654444</t>
  </si>
  <si>
    <t>12.08581163</t>
  </si>
  <si>
    <t>107.655618</t>
  </si>
  <si>
    <t>FO thuê#VNPT#DGDS21-DGDS46</t>
  </si>
  <si>
    <t>Công an tỉnh Lâm Đồng - TT2 - Công an xã Đức An (Trụ sở CAH Đắk Song cũ)</t>
  </si>
  <si>
    <t>589.26</t>
  </si>
  <si>
    <t>364.81</t>
  </si>
  <si>
    <t>12.099976</t>
  </si>
  <si>
    <t>107.656622</t>
  </si>
  <si>
    <t>224.45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</si>
  <si>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</si>
  <si>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</si>
  <si>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</si>
  <si>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</si>
  <si>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12.447389</t>
  </si>
  <si>
    <t>107.621694</t>
  </si>
  <si>
    <t>12.449053</t>
  </si>
  <si>
    <t>107.621491</t>
  </si>
  <si>
    <t>FO thuê#VNPT#DGDM29-DGDM01</t>
  </si>
  <si>
    <t>Công an xã Đức Lập (Trụ sở 2 CAH Đắk Mil cũ)
 -  Công an xã Cư Jút (Trụ sở CAH Cư Jút cũ)</t>
  </si>
  <si>
    <t>67.62</t>
  </si>
  <si>
    <t>2.06</t>
  </si>
  <si>
    <t>12.447380</t>
  </si>
  <si>
    <t>107.621711</t>
  </si>
  <si>
    <t>65.56</t>
  </si>
  <si>
    <t>12.448696</t>
  </si>
  <si>
    <t>107.621010</t>
  </si>
  <si>
    <t>full_h04/Đắk Nông/Đắk Nông - Ring 1.kmz/Đắk Nông - Ring 1/Công an xã Đức Lập (Trụ sở 2 CAH Đắk Mil cũ)
 -  Công an xã Cư Jút (Trụ sở CAH Cư Jút cũ)/Ngầm xây dựng mới</t>
  </si>
  <si>
    <t>Công an xã Nam Dong-DGCJ11</t>
  </si>
  <si>
    <t>12.650222</t>
  </si>
  <si>
    <t>107.873528</t>
  </si>
  <si>
    <t>12.626133</t>
  </si>
  <si>
    <t>107.872822</t>
  </si>
  <si>
    <t>FO thuê#VNPT#DGCJ01-DGCJ11</t>
  </si>
  <si>
    <t>Công an xã Nam Dong - Công an xã Đắk Mil</t>
  </si>
  <si>
    <t>2681.12</t>
  </si>
  <si>
    <t>0.75</t>
  </si>
  <si>
    <t>12.650228</t>
  </si>
  <si>
    <t>107.873526</t>
  </si>
  <si>
    <t>2680.37</t>
  </si>
  <si>
    <t>full_h04/Đắk Nông/DakNong_Cap IV_Ring 1.kmz/DakNong_Cap IV_Ring 1/Công an xã Nam Dong - Công an xã Đắk Mil/cáp treo</t>
  </si>
  <si>
    <t>Cơ sở cai nghiện Ma Túy số 4 tỉnh Lâm Đồng-DGTD23</t>
  </si>
  <si>
    <t>12.095351</t>
  </si>
  <si>
    <t>107.481352</t>
  </si>
  <si>
    <t>12.09035</t>
  </si>
  <si>
    <t>107.50275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</si>
  <si>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</si>
  <si>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</si>
  <si>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</si>
  <si>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</si>
  <si>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</si>
  <si>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</si>
  <si>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</si>
  <si>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</si>
  <si>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</si>
  <si>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</si>
  <si>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</si>
  <si>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12.509472</t>
  </si>
  <si>
    <t>107.749028</t>
  </si>
  <si>
    <t>12.539398</t>
  </si>
  <si>
    <t>107.787451</t>
  </si>
  <si>
    <t>FO thuê#VNPT#DGDM07-DGDM13</t>
  </si>
  <si>
    <t>723.22</t>
  </si>
  <si>
    <t>260.50</t>
  </si>
  <si>
    <t>12.511249</t>
  </si>
  <si>
    <t>107.747464</t>
  </si>
  <si>
    <t>462.72</t>
  </si>
  <si>
    <t>12.543331</t>
  </si>
  <si>
    <t>107.786057</t>
  </si>
  <si>
    <t>full_h04/Đắk Nông/Đắk Nông - Ring 1.kmz/Đắk Nông - Ring 1/Công an xã Đức Lập (Trụ sở 2 CAH Đắk Mil cũ)
 -  Công an xã Cư Jút (Trụ sở CAH Cư Jút cũ)/Trung thế</t>
  </si>
  <si>
    <t>Công an xã Quảng Khê-DGDG09</t>
  </si>
  <si>
    <t>11.911861</t>
  </si>
  <si>
    <t>107.791278</t>
  </si>
  <si>
    <t>11.9186299</t>
  </si>
  <si>
    <t>107.787172</t>
  </si>
  <si>
    <t>FO thuê#VNPT#DGDG04-DGDG09</t>
  </si>
  <si>
    <t>Công an tỉnh Lâm Đồng - TT2 - Công an xã Quảng Khê</t>
  </si>
  <si>
    <t>577.42</t>
  </si>
  <si>
    <t>226.46</t>
  </si>
  <si>
    <t>11.913882</t>
  </si>
  <si>
    <t>107.791538</t>
  </si>
  <si>
    <t>350.97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</si>
  <si>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</si>
  <si>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</si>
  <si>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</si>
  <si>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</si>
  <si>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12.219056</t>
  </si>
  <si>
    <t>107.477611</t>
  </si>
  <si>
    <t>FO thuê#VNPT#DGTD24-DGDM29</t>
  </si>
  <si>
    <t>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</si>
  <si>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</si>
  <si>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</si>
  <si>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</si>
  <si>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</si>
  <si>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</si>
  <si>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</si>
  <si>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</si>
  <si>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1/Công an tỉnh Lâm Đồng - TT2
- Công an xã Đức Lập (Trụ sở 2 CAH Đắk Mil cũ)/Trung thế</t>
  </si>
  <si>
    <t>Công an xã Đức Lập (Trụ sở 2 CAH Đắk Mil cũ)-DGDS05</t>
  </si>
  <si>
    <t>12.20324</t>
  </si>
  <si>
    <t>107.63731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</si>
  <si>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</si>
  <si>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</si>
  <si>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</si>
  <si>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</si>
  <si>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</si>
  <si>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</si>
  <si>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</si>
  <si>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</si>
  <si>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</si>
  <si>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12.007167</t>
  </si>
  <si>
    <t>107.512917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</si>
  <si>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</si>
  <si>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</si>
  <si>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</si>
  <si>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</si>
  <si>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</si>
  <si>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</si>
  <si>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</si>
  <si>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</si>
  <si>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</si>
  <si>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</si>
  <si>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</si>
  <si>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</si>
  <si>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</si>
  <si>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</si>
  <si>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</si>
  <si>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</si>
  <si>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</si>
  <si>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</si>
  <si>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</si>
  <si>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</si>
  <si>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</si>
  <si>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</si>
  <si>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12.290252</t>
  </si>
  <si>
    <t>107.547573</t>
  </si>
  <si>
    <t>FO thuê#VNPT#DGTD24-DGDS11</t>
  </si>
  <si>
    <t>Thuận Hạnh - Quảng Trực</t>
  </si>
  <si>
    <t>9976.71</t>
  </si>
  <si>
    <t>3942.84</t>
  </si>
  <si>
    <t>12.250896</t>
  </si>
  <si>
    <t>107.493579</t>
  </si>
  <si>
    <t>6033.86</t>
  </si>
  <si>
    <t>12.243800</t>
  </si>
  <si>
    <t>107.518868</t>
  </si>
  <si>
    <t>full_h04/Đắk Nông/Ring 6 - Final.kmz/Ring 6/Thuận Hạnh - Quảng Trực/Trồng trụ mới</t>
  </si>
  <si>
    <t>Trụ sở Công an xã Tuy Đức là trụ sở CAH Tuy Đức (cũ) - TTCMKV Tuy Đức-Phòng PC02 - Tổ địa bàn số 2</t>
  </si>
  <si>
    <t>12.41197</t>
  </si>
  <si>
    <t>107.580073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</si>
  <si>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</si>
  <si>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</si>
  <si>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</si>
  <si>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</si>
  <si>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</si>
  <si>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</si>
  <si>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</si>
  <si>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12.44853</t>
  </si>
  <si>
    <t>107.6097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</si>
  <si>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</si>
  <si>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</si>
  <si>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</si>
  <si>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</si>
  <si>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</si>
  <si>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</si>
  <si>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</si>
  <si>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12.459472</t>
  </si>
  <si>
    <t>107.613278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</si>
  <si>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</si>
  <si>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</si>
  <si>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</si>
  <si>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</si>
  <si>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</si>
  <si>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</si>
  <si>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</si>
  <si>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</si>
  <si>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</si>
  <si>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</si>
  <si>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</si>
  <si>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12.454767</t>
  </si>
  <si>
    <t>107.636802</t>
  </si>
  <si>
    <t>FO thuê#VNPT#DGDM29-DGDM24</t>
  </si>
  <si>
    <t>291.32</t>
  </si>
  <si>
    <t>174.60</t>
  </si>
  <si>
    <t>12.448781</t>
  </si>
  <si>
    <t>107.620950</t>
  </si>
  <si>
    <t>116.72</t>
  </si>
  <si>
    <t>12.455816</t>
  </si>
  <si>
    <t>107.636764</t>
  </si>
  <si>
    <t>Công an xã Đắk Mil-DGKN37</t>
  </si>
  <si>
    <t>12.46132</t>
  </si>
  <si>
    <t>107.74579</t>
  </si>
  <si>
    <t>FO thuê#VNPT#DGDM07-DGKN37</t>
  </si>
  <si>
    <t>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</si>
  <si>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</si>
  <si>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</si>
  <si>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</si>
  <si>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</si>
  <si>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</si>
  <si>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</si>
  <si>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</si>
  <si>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4/TTCMKV Krông Nô - Đắk Sắk/Trung thế</t>
  </si>
  <si>
    <t>Công an xã Đức Lập (Trụ sở 2 CAH Đắk Mil cũ)-DGDM10</t>
  </si>
  <si>
    <t>12.4540355</t>
  </si>
  <si>
    <t>107.6563139</t>
  </si>
  <si>
    <t>FO thuê#VNPT#DGDM29-DGDM10</t>
  </si>
  <si>
    <t>409.40</t>
  </si>
  <si>
    <t>234.80</t>
  </si>
  <si>
    <t>12.456039</t>
  </si>
  <si>
    <t>107.655632</t>
  </si>
  <si>
    <t>Trụ sở Công an xã Tuy Đức là trụ sở CAH Tuy Đức (cũ) - TTCMKV Tuy Đức-DGDM15</t>
  </si>
  <si>
    <t>12.356058</t>
  </si>
  <si>
    <t>107.569135</t>
  </si>
  <si>
    <t>FO thuê#VNPT#DGTD24-DGDM15</t>
  </si>
  <si>
    <t>14830.98</t>
  </si>
  <si>
    <t>70.75</t>
  </si>
  <si>
    <t>Công an xã Đức Lập (Trụ sở 2 CAH Đắk Mil cũ)-Công an xã Đắk Sắk</t>
  </si>
  <si>
    <t>12.428417</t>
  </si>
  <si>
    <t>107.668556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</si>
  <si>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</si>
  <si>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</si>
  <si>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</si>
  <si>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</si>
  <si>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</si>
  <si>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</si>
  <si>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12.401083</t>
  </si>
  <si>
    <t>107.6455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</si>
  <si>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</si>
  <si>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</si>
  <si>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</si>
  <si>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</si>
  <si>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</si>
  <si>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</si>
  <si>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</si>
  <si>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</si>
  <si>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</si>
  <si>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</si>
  <si>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</si>
  <si>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12.358941</t>
  </si>
  <si>
    <t>107.634483</t>
  </si>
  <si>
    <t>FO thuê#VNPT#DGDS30-DGDS07</t>
  </si>
  <si>
    <t>Công an xã Đắk Song - Công an xã Thuận An</t>
  </si>
  <si>
    <t>4850.85</t>
  </si>
  <si>
    <t>7.94</t>
  </si>
  <si>
    <t>12.401150</t>
  </si>
  <si>
    <t>107.645475</t>
  </si>
  <si>
    <t>4842.90</t>
  </si>
  <si>
    <t>full_h04/Đắk Nông/Ring 4 Final.kmz/Ring 4/Công an xã Đắk Song - Công an xã Thuận An/Trồng trụ mới</t>
  </si>
  <si>
    <t>Trụ sở Công an xã Tuy Đức là trụ sở CAH Tuy Đức (cũ) - TTCMKV Tuy Đức-Công an xã Quảng Trực</t>
  </si>
  <si>
    <t>12.263944</t>
  </si>
  <si>
    <t>107.378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</si>
  <si>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</si>
  <si>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</si>
  <si>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</si>
  <si>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</si>
  <si>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</si>
  <si>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</si>
  <si>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12.247554</t>
  </si>
  <si>
    <t>107.437643</t>
  </si>
  <si>
    <t>FO thuê#VNPT#DGTD04-DGTD03</t>
  </si>
  <si>
    <t>1311.01</t>
  </si>
  <si>
    <t>120.23</t>
  </si>
  <si>
    <t>12.246599</t>
  </si>
  <si>
    <t>107.437123</t>
  </si>
  <si>
    <t>Đội CSGT Đường bộ số 4 - II (trụ sở công an thị trấn đức an)-DGDS05</t>
  </si>
  <si>
    <t>12.254917</t>
  </si>
  <si>
    <t>107.608667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</si>
  <si>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</si>
  <si>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</si>
  <si>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</si>
  <si>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</si>
  <si>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</si>
  <si>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</si>
  <si>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</si>
  <si>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</si>
  <si>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</si>
  <si>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12.013514</t>
  </si>
  <si>
    <t>107.490105</t>
  </si>
  <si>
    <t>FO thuê#VNPT#DGDL37-DGDL29</t>
  </si>
  <si>
    <t>Đường Quảng Tân - TTCMKV Đắk R'Lấp</t>
  </si>
  <si>
    <t>519.03</t>
  </si>
  <si>
    <t>232.64</t>
  </si>
  <si>
    <t>12.006525</t>
  </si>
  <si>
    <t>107.510881</t>
  </si>
  <si>
    <t>286.39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</si>
  <si>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</si>
  <si>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</si>
  <si>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</si>
  <si>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</si>
  <si>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12.044639</t>
  </si>
  <si>
    <t>107.490278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</si>
  <si>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</si>
  <si>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</si>
  <si>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</si>
  <si>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</si>
  <si>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</si>
  <si>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</si>
  <si>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</si>
  <si>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</si>
  <si>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</si>
  <si>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12.18423</t>
  </si>
  <si>
    <t>107.45027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</si>
  <si>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</si>
  <si>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</si>
  <si>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</si>
  <si>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</si>
  <si>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</si>
  <si>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</si>
  <si>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12.203897</t>
  </si>
  <si>
    <t>107.48915</t>
  </si>
  <si>
    <t>FO thuê#VNPT#DGTD24-DGTD02</t>
  </si>
  <si>
    <t>803.75</t>
  </si>
  <si>
    <t>4.46</t>
  </si>
  <si>
    <t>12.219081</t>
  </si>
  <si>
    <t>107.477643</t>
  </si>
  <si>
    <t>799.29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</si>
  <si>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</si>
  <si>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</si>
  <si>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</si>
  <si>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</si>
  <si>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12.054203</t>
  </si>
  <si>
    <t>107.680233</t>
  </si>
  <si>
    <t>FO thuê#VNPT#DGDS21-DGGN05</t>
  </si>
  <si>
    <t>Trường Xuân - TT2 LÂM ĐỒNG (GIA NGHĨA)</t>
  </si>
  <si>
    <t>433.20</t>
  </si>
  <si>
    <t>373.54</t>
  </si>
  <si>
    <t>12.099860</t>
  </si>
  <si>
    <t>107.656604</t>
  </si>
  <si>
    <t>59.66</t>
  </si>
  <si>
    <t>12.054191</t>
  </si>
  <si>
    <t>107.680781</t>
  </si>
  <si>
    <t>full_h04/Đắk Nông/Ring 5 - Final.kmz/Ring 5/Trường Xuân - TT2 LÂM ĐỒNG (GIA NGHĨA)/Trung thế</t>
  </si>
  <si>
    <t>Công an phường Bắc Gia Nghĩa-DGGN24</t>
  </si>
  <si>
    <t>12.009</t>
  </si>
  <si>
    <t>107.694556</t>
  </si>
  <si>
    <t>12.017856</t>
  </si>
  <si>
    <t>107.701146</t>
  </si>
  <si>
    <t>FO thuê#PITC#DGGN15-DGGN24</t>
  </si>
  <si>
    <t>Công an phường Bắc Gia Nghĩa - Công an phường Đông Gia Nghĩa</t>
  </si>
  <si>
    <t>1189.38</t>
  </si>
  <si>
    <t>4.06</t>
  </si>
  <si>
    <t>12.008977</t>
  </si>
  <si>
    <t>107.694585</t>
  </si>
  <si>
    <t>1185.31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</si>
  <si>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</si>
  <si>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</si>
  <si>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</si>
  <si>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</si>
  <si>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12.02358</t>
  </si>
  <si>
    <t>107.686</t>
  </si>
  <si>
    <t>12.00736</t>
  </si>
  <si>
    <t>107.68546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</si>
  <si>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</si>
  <si>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</si>
  <si>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</si>
  <si>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</si>
  <si>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</si>
  <si>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</si>
  <si>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</si>
  <si>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</si>
  <si>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</si>
  <si>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11.981056</t>
  </si>
  <si>
    <t>107.588278</t>
  </si>
  <si>
    <t>11.984295</t>
  </si>
  <si>
    <t>107.57251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</si>
  <si>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</si>
  <si>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</si>
  <si>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</si>
  <si>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</si>
  <si>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</si>
  <si>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</si>
  <si>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</si>
  <si>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</si>
  <si>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</si>
  <si>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</si>
  <si>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</si>
  <si>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11.982665</t>
  </si>
  <si>
    <t>107.655628</t>
  </si>
  <si>
    <t>11.975583</t>
  </si>
  <si>
    <t>107.58175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</si>
  <si>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</si>
  <si>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</si>
  <si>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</si>
  <si>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</si>
  <si>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</si>
  <si>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</si>
  <si>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</si>
  <si>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</si>
  <si>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</si>
  <si>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12.00816</t>
  </si>
  <si>
    <t>107.56442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</si>
  <si>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</si>
  <si>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</si>
  <si>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</si>
  <si>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</si>
  <si>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</si>
  <si>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</si>
  <si>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11.912556</t>
  </si>
  <si>
    <t>107.398806</t>
  </si>
  <si>
    <t>11.921551</t>
  </si>
  <si>
    <t>107.416865</t>
  </si>
  <si>
    <t>FO thuê#PITC#DGDL07-DGDL43</t>
  </si>
  <si>
    <t>Đội CC&amp;CNCH khu vực 13 - Công an xã Quảng Tín</t>
  </si>
  <si>
    <t>321.42</t>
  </si>
  <si>
    <t>35.54</t>
  </si>
  <si>
    <t>11.912875</t>
  </si>
  <si>
    <t>107.398793</t>
  </si>
  <si>
    <t>285.88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</si>
  <si>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</si>
  <si>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</si>
  <si>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</si>
  <si>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</si>
  <si>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12.501645</t>
  </si>
  <si>
    <t>107.742265</t>
  </si>
  <si>
    <t>FO thuê#VNPT#DGDM20-DGDM07</t>
  </si>
  <si>
    <t>Công an xã Đắk Mil - Phòng PC08 - Đội CSGT số 4</t>
  </si>
  <si>
    <t>114.97</t>
  </si>
  <si>
    <t>112.39</t>
  </si>
  <si>
    <t>12.501187</t>
  </si>
  <si>
    <t>107.743188</t>
  </si>
  <si>
    <t>2.58</t>
  </si>
  <si>
    <t>12.509452</t>
  </si>
  <si>
    <t>107.749016</t>
  </si>
  <si>
    <t>full_h04/Đắk Nông/DakNong_Cap IV_Ring 1.kmz/DakNong_Cap IV_Ring 1/Công an xã Đắk Mil - Phòng PC08 - Đội CSGT số 4/hạ thế</t>
  </si>
  <si>
    <t>DGDM30-Công an xã Đắk Mil</t>
  </si>
  <si>
    <t>12.520225</t>
  </si>
  <si>
    <t>107.784118</t>
  </si>
  <si>
    <t>FO thuê#VNPT#DGDM30-DGDM07</t>
  </si>
  <si>
    <t>1830.31</t>
  </si>
  <si>
    <t>1569.82</t>
  </si>
  <si>
    <t>12.532603</t>
  </si>
  <si>
    <t>107.777164</t>
  </si>
  <si>
    <t>DGDM06-Phòng PC02 - Tổ địa bàn số 2</t>
  </si>
  <si>
    <t>12.408278</t>
  </si>
  <si>
    <t>107.586475</t>
  </si>
  <si>
    <t>FO thuê#VNPT#DGDM06-DGDM34</t>
  </si>
  <si>
    <t>Công an xã Thuận An - Phòng PC02 - Tổ địa bàn số 2</t>
  </si>
  <si>
    <t>622.14</t>
  </si>
  <si>
    <t>619.66</t>
  </si>
  <si>
    <t>12.410084</t>
  </si>
  <si>
    <t>107.581077</t>
  </si>
  <si>
    <t>2.48</t>
  </si>
  <si>
    <t>12.411950</t>
  </si>
  <si>
    <t>107.580064</t>
  </si>
  <si>
    <t>full_h04/Đắk Nông/Ring 4 Final.kmz/Ring 4/Công an xã Thuận An - Phòng PC02 - Tổ địa bàn số 2/Hạ thế</t>
  </si>
  <si>
    <t>DGDM09-Phòng PC02 - Tổ địa bàn số 2</t>
  </si>
  <si>
    <t>12.435479</t>
  </si>
  <si>
    <t>107.593103</t>
  </si>
  <si>
    <t>FO thuê#VNPT#DGDM09-DGDM34</t>
  </si>
  <si>
    <t>654.75</t>
  </si>
  <si>
    <t>122.37</t>
  </si>
  <si>
    <t>12.436080</t>
  </si>
  <si>
    <t>107.592159</t>
  </si>
  <si>
    <t>DGDS03-Đội CSGT Đường bộ số 4 - II (trụ sở công an thị trấn đức an)</t>
  </si>
  <si>
    <t>12.26043</t>
  </si>
  <si>
    <t>107.61169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</si>
  <si>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</si>
  <si>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</si>
  <si>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</si>
  <si>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</si>
  <si>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</si>
  <si>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</si>
  <si>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</si>
  <si>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</si>
  <si>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</si>
  <si>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12.638553</t>
  </si>
  <si>
    <t>107.852121</t>
  </si>
  <si>
    <t>FO thuê#VNPT#DGCJ19-DGCJ01</t>
  </si>
  <si>
    <t>1025.74</t>
  </si>
  <si>
    <t>93.74</t>
  </si>
  <si>
    <t>12.639130</t>
  </si>
  <si>
    <t>107.851491</t>
  </si>
  <si>
    <t>932.00</t>
  </si>
  <si>
    <t>12.649492</t>
  </si>
  <si>
    <t>107.864970</t>
  </si>
  <si>
    <t>full_h04/Đắk Nông/DakNong_Cap IV_Ring 1.kmz/DakNong_Cap IV_Ring 1/Công an xã Nam Dong - Công an xã Đắk Mil/trung thế</t>
  </si>
  <si>
    <t>DGTD21-Công an xã Quảng Trực</t>
  </si>
  <si>
    <t>12.265241</t>
  </si>
  <si>
    <t>107.36315</t>
  </si>
  <si>
    <t>FO thuê#VNPT#DGTD21-DGTD04</t>
  </si>
  <si>
    <t>1620.04</t>
  </si>
  <si>
    <t>1617.33</t>
  </si>
  <si>
    <t>12.263942</t>
  </si>
  <si>
    <t>107.377975</t>
  </si>
  <si>
    <t>2.71</t>
  </si>
  <si>
    <t>full_h04/Đắk Nông/Ring 6 - Final.kmz/Ring 6/Thuận Hạnh - Quảng Trực/Hạ thế</t>
  </si>
  <si>
    <t>DGDS20-Công an xã Trường Xuân</t>
  </si>
  <si>
    <t>12.13064</t>
  </si>
  <si>
    <t>107.64932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</si>
  <si>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</si>
  <si>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</si>
  <si>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</si>
  <si>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</si>
  <si>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</si>
  <si>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</si>
  <si>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12.10023</t>
  </si>
  <si>
    <t>107.66409</t>
  </si>
  <si>
    <t>FO thuê#VNPT#DGDS18-DGDS21</t>
  </si>
  <si>
    <t>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</si>
  <si>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</si>
  <si>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</si>
  <si>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</si>
  <si>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</si>
  <si>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</si>
  <si>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</si>
  <si>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</si>
  <si>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5/Đội CSGT Đường bộ số 4 - II  - Trường Xuân/Trồng trụ mới</t>
  </si>
  <si>
    <t>DGCJ25-Công an xã Nam Dong</t>
  </si>
  <si>
    <t>12.67186</t>
  </si>
  <si>
    <t>107.87318</t>
  </si>
  <si>
    <t>FO thuê#VNPT#DGCJ25-DGCJ01</t>
  </si>
  <si>
    <t>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</si>
  <si>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</si>
  <si>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</si>
  <si>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</si>
  <si>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</si>
  <si>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</si>
  <si>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</si>
  <si>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</si>
  <si>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1/Công an xã Đắk Wil - Công an xã Nam Dong/trung thế</t>
  </si>
  <si>
    <t>DGDM41-Công an xã Đắk Sắk</t>
  </si>
  <si>
    <t>12.43345</t>
  </si>
  <si>
    <t>107.650002</t>
  </si>
  <si>
    <t>FO thuê#VNPT#DGDM41-DGDM22</t>
  </si>
  <si>
    <t>1137.42</t>
  </si>
  <si>
    <t>743.83</t>
  </si>
  <si>
    <t>12.430532</t>
  </si>
  <si>
    <t>107.656166</t>
  </si>
  <si>
    <t>DGDM19-Phòng PC02 - Tổ địa bàn số 2</t>
  </si>
  <si>
    <t>12.392772</t>
  </si>
  <si>
    <t>107.568466</t>
  </si>
  <si>
    <t>FO thuê#VNPT#DGDM19-DGDM34</t>
  </si>
  <si>
    <t>520.86</t>
  </si>
  <si>
    <t>470.79</t>
  </si>
  <si>
    <t>12.395092</t>
  </si>
  <si>
    <t>107.572092</t>
  </si>
  <si>
    <t>50.07</t>
  </si>
  <si>
    <t>12.411679</t>
  </si>
  <si>
    <t>107.580425</t>
  </si>
  <si>
    <t>full_h04/Đắk Nông/Đắk Nông - Ring 1.kmz/Đắk Nông - Ring 1/Công an tỉnh Lâm Đồng - TT2
- Công an xã Đức Lập (Trụ sở 2 CAH Đắk Mil cũ)/Hạ thế</t>
  </si>
  <si>
    <t>DGGN16-Phòng PK02 - Tổ địa bàn số 2</t>
  </si>
  <si>
    <t>11.99441</t>
  </si>
  <si>
    <t>107.66364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</si>
  <si>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</si>
  <si>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</si>
  <si>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</si>
  <si>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</si>
  <si>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</si>
  <si>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</si>
  <si>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</si>
  <si>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</si>
  <si>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</si>
  <si>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</si>
  <si>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12.00522</t>
  </si>
  <si>
    <t>107.67665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</si>
  <si>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</si>
  <si>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</si>
  <si>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</si>
  <si>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</si>
  <si>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</si>
  <si>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</si>
  <si>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</si>
  <si>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</si>
  <si>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</si>
  <si>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</si>
  <si>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</si>
  <si>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12.00955</t>
  </si>
  <si>
    <t>107.60201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</si>
  <si>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</si>
  <si>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</si>
  <si>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</si>
  <si>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</si>
  <si>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</si>
  <si>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</si>
  <si>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11.974562</t>
  </si>
  <si>
    <t>107.492285</t>
  </si>
  <si>
    <t>FO thuê#VNPT#DGDL10-DGDL37</t>
  </si>
  <si>
    <t>1706.70</t>
  </si>
  <si>
    <t>94.46</t>
  </si>
  <si>
    <t>11.973898</t>
  </si>
  <si>
    <t>107.492827</t>
  </si>
  <si>
    <t>1612.24</t>
  </si>
  <si>
    <t>11.992825</t>
  </si>
  <si>
    <t>107.510738</t>
  </si>
  <si>
    <t>DGDL20-Công an Xã Nhân Cơ</t>
  </si>
  <si>
    <t>11.976322</t>
  </si>
  <si>
    <t>107.626216</t>
  </si>
  <si>
    <t>FO thuê#VNPT#DGDL20-DGDL19</t>
  </si>
  <si>
    <t>203.67</t>
  </si>
  <si>
    <t>73.48</t>
  </si>
  <si>
    <t>11.976922</t>
  </si>
  <si>
    <t>107.625933</t>
  </si>
  <si>
    <t>DGDL58-Phòng PK02 - Tổ địa bàn số 2</t>
  </si>
  <si>
    <t>11.963813</t>
  </si>
  <si>
    <t>107.636604</t>
  </si>
  <si>
    <t>FO thuê#VNPT#DGDL58-DGGN07</t>
  </si>
  <si>
    <t>Công an xã Kiến Đức (Trụ sở CAH Đắk R'Lấp cũ) - Công an tỉnh Lâm Đồng - TT2</t>
  </si>
  <si>
    <t>1804.57</t>
  </si>
  <si>
    <t>1506.09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</si>
  <si>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</si>
  <si>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</si>
  <si>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</si>
  <si>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</si>
  <si>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</si>
  <si>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</si>
  <si>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</si>
  <si>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11.9827263</t>
  </si>
  <si>
    <t>107.7386505</t>
  </si>
  <si>
    <t>11.959972</t>
  </si>
  <si>
    <t>107.728583</t>
  </si>
  <si>
    <t>FO thuê#VNPT#DGGN14-DGGN06</t>
  </si>
  <si>
    <t>2068.14</t>
  </si>
  <si>
    <t>2062.00</t>
  </si>
  <si>
    <t>11.964795</t>
  </si>
  <si>
    <t>107.733818</t>
  </si>
  <si>
    <t>6.14</t>
  </si>
  <si>
    <t>11.959954</t>
  </si>
  <si>
    <t>107.728636</t>
  </si>
  <si>
    <t>DGGN29-Công an phường Đông Gia Nghĩa</t>
  </si>
  <si>
    <t>11.9920485</t>
  </si>
  <si>
    <t>107.7628866</t>
  </si>
  <si>
    <t>FO thuê#VNPT#DGGN29-DGGN06</t>
  </si>
  <si>
    <t>4385.78</t>
  </si>
  <si>
    <t>4379.64</t>
  </si>
  <si>
    <t>DGDL45-Đồn CA KCN Nhân Cơ</t>
  </si>
  <si>
    <t>11.9645</t>
  </si>
  <si>
    <t>107.5874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</si>
  <si>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</si>
  <si>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</si>
  <si>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</si>
  <si>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</si>
  <si>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</si>
  <si>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</si>
  <si>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</si>
  <si>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</si>
  <si>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</si>
  <si>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11.9864873</t>
  </si>
  <si>
    <t>107.6094646</t>
  </si>
  <si>
    <t>FO thuê#VNPT#DGDL06-DGDL19</t>
  </si>
  <si>
    <t>849.96</t>
  </si>
  <si>
    <t>719.77</t>
  </si>
  <si>
    <t>11.980341</t>
  </si>
  <si>
    <t>107.607388</t>
  </si>
  <si>
    <t>DG_DWDM_DKGGNA-Trụ sở Công an xã Tuy Đức là trụ sở CAH Tuy Đức (cũ) - TTCMKV Tuy Đức</t>
  </si>
  <si>
    <t>12.002537</t>
  </si>
  <si>
    <t>107.692318</t>
  </si>
  <si>
    <t>FO thuê#VNPT#DG_DWDM_DKGGNA-DGTD24</t>
  </si>
  <si>
    <t>18692.10</t>
  </si>
  <si>
    <t>2438.15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</si>
  <si>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</si>
  <si>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</si>
  <si>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</si>
  <si>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</si>
  <si>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</si>
  <si>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</si>
  <si>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</si>
  <si>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</si>
  <si>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</si>
  <si>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</si>
  <si>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</si>
  <si>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</si>
  <si>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</si>
  <si>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</si>
  <si>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</si>
  <si>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</si>
  <si>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</si>
  <si>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12.477886</t>
  </si>
  <si>
    <t>107.699519</t>
  </si>
  <si>
    <t>FO thuê#VNPT#DGDM31-DGDM07</t>
  </si>
  <si>
    <t>2939.55</t>
  </si>
  <si>
    <t>2936.97</t>
  </si>
  <si>
    <t>12.489154</t>
  </si>
  <si>
    <t>107.723986</t>
  </si>
  <si>
    <t>DGDM35-Công an xã Đức Lập (Trụ sở 2 CAH Đắk Mil cũ)</t>
  </si>
  <si>
    <t>12.44234</t>
  </si>
  <si>
    <t>107.63013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</si>
  <si>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</si>
  <si>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</si>
  <si>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</si>
  <si>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</si>
  <si>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</si>
  <si>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</si>
  <si>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</si>
  <si>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</si>
  <si>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4/Công an xã Đắk Song - Công an xã Thuận An/Trung thế</t>
  </si>
  <si>
    <t>DGDS08-Đội CSGT Đường bộ số 4 - II (trụ sở công an thị trấn đức an)</t>
  </si>
  <si>
    <t>12.3047125</t>
  </si>
  <si>
    <t>107.5935425</t>
  </si>
  <si>
    <t>FO thuê#VNPT#DGDS08-DGDS02</t>
  </si>
  <si>
    <t>273.01</t>
  </si>
  <si>
    <t>128.65</t>
  </si>
  <si>
    <t>12.303564</t>
  </si>
  <si>
    <t>107.593400</t>
  </si>
  <si>
    <t>DGDL29-Công an xã Quảng Tân</t>
  </si>
  <si>
    <t>FO thuê#VNPT#DGDL29-DGTD11</t>
  </si>
  <si>
    <t>796.43</t>
  </si>
  <si>
    <t>647.62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</si>
  <si>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</si>
  <si>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</si>
  <si>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</si>
  <si>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</si>
  <si>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12.1482428</t>
  </si>
  <si>
    <t>107.6394941</t>
  </si>
  <si>
    <t>FO thuê#VNPT#DGDS17-DGDS21</t>
  </si>
  <si>
    <t>825.64</t>
  </si>
  <si>
    <t>452.26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</si>
  <si>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</si>
  <si>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</si>
  <si>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</si>
  <si>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</si>
  <si>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</si>
  <si>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</si>
  <si>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12.033772</t>
  </si>
  <si>
    <t>107.686682</t>
  </si>
  <si>
    <t>FO thuê#VNPT#DGGN13-DGGN03</t>
  </si>
  <si>
    <t>63.53</t>
  </si>
  <si>
    <t>62.77</t>
  </si>
  <si>
    <t>12.033684</t>
  </si>
  <si>
    <t>107.687252</t>
  </si>
  <si>
    <t>DGGN11-Công an tỉnh Lâm Đồng - Trụ sở 2</t>
  </si>
  <si>
    <t>12.02508</t>
  </si>
  <si>
    <t>107.740281</t>
  </si>
  <si>
    <t>FO thuê#VNPT#DGGN11-DGGN03</t>
  </si>
  <si>
    <t>Công an xã Quảng Sơn - Trại tạm giam cơ sở 2</t>
  </si>
  <si>
    <t>4548.89</t>
  </si>
  <si>
    <t>466.07</t>
  </si>
  <si>
    <t>12.021367</t>
  </si>
  <si>
    <t>107.738292</t>
  </si>
  <si>
    <t>4082.82</t>
  </si>
  <si>
    <t>12.006174</t>
  </si>
  <si>
    <t>107.719054</t>
  </si>
  <si>
    <t>full_h04/Đắk Nông/Đắk Nông - Ring 1.kmz/Đắk Nông - Ring 1/Công an xã Quảng Sơn - Trại tạm giam cơ sở 2/trung thế</t>
  </si>
  <si>
    <t>DGDL44-Đồn CA KCN Nhân Cơ</t>
  </si>
  <si>
    <t>11.97153</t>
  </si>
  <si>
    <t>107.576873</t>
  </si>
  <si>
    <t>FO thuê#PITC#DGDL44-DGDL05</t>
  </si>
  <si>
    <t>205.07</t>
  </si>
  <si>
    <t>108.24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</si>
  <si>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</si>
  <si>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</si>
  <si>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</si>
  <si>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</si>
  <si>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</si>
  <si>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</si>
  <si>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</si>
  <si>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11.96196</t>
  </si>
  <si>
    <t>107.51798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</si>
  <si>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</si>
  <si>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</si>
  <si>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</si>
  <si>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</si>
  <si>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</si>
  <si>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</si>
  <si>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</si>
  <si>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</si>
  <si>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</si>
  <si>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</si>
  <si>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11.95198</t>
  </si>
  <si>
    <t>107.47943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</si>
  <si>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</si>
  <si>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</si>
  <si>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</si>
  <si>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</si>
  <si>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</si>
  <si>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</si>
  <si>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</si>
  <si>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1891.38</t>
  </si>
  <si>
    <t>1761.19</t>
  </si>
  <si>
    <t>12.001449</t>
  </si>
  <si>
    <t>107.676164</t>
  </si>
  <si>
    <t>DGDL09-Trụ sở Công an xã Kiến Đức là trụ sở CAH Đắk R'Lấp (cũ) - TTCMKV Đắk R'Lấp</t>
  </si>
  <si>
    <t>11.9923505</t>
  </si>
  <si>
    <t>107.5449604</t>
  </si>
  <si>
    <t>FO thuê#PITC#DGDL09-DGDL37</t>
  </si>
  <si>
    <t>878.39</t>
  </si>
  <si>
    <t>222.21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</si>
  <si>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</si>
  <si>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</si>
  <si>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</si>
  <si>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</si>
  <si>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</si>
  <si>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</si>
  <si>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</si>
  <si>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</si>
  <si>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1887.12</t>
  </si>
  <si>
    <t>1596.44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</si>
  <si>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</si>
  <si>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</si>
  <si>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</si>
  <si>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</si>
  <si>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</si>
  <si>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</si>
  <si>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</si>
  <si>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12.011</t>
  </si>
  <si>
    <t>107.526913</t>
  </si>
  <si>
    <t>FO thuê#PITC#DGDL16-DGDL37</t>
  </si>
  <si>
    <t>1580.83</t>
  </si>
  <si>
    <t>1573.82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</si>
  <si>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</si>
  <si>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</si>
  <si>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</si>
  <si>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</si>
  <si>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</si>
  <si>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11.876657</t>
  </si>
  <si>
    <t>107.41516</t>
  </si>
  <si>
    <t>FO thuê#PITC#DGDL32-DGDL07</t>
  </si>
  <si>
    <t>1133.54</t>
  </si>
  <si>
    <t>163.77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</si>
  <si>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</si>
  <si>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</si>
  <si>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</si>
  <si>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</si>
  <si>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</si>
  <si>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</si>
  <si>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11.933483</t>
  </si>
  <si>
    <t>107.433466</t>
  </si>
  <si>
    <t>FO thuê#PITC#DGDL22-DGDL37</t>
  </si>
  <si>
    <t>1707.25</t>
  </si>
  <si>
    <t>95.01</t>
  </si>
  <si>
    <t>11.932662</t>
  </si>
  <si>
    <t>107.433708</t>
  </si>
  <si>
    <t>22DG033-Công an phường Đông Gia Nghĩa</t>
  </si>
  <si>
    <t>11.957161</t>
  </si>
  <si>
    <t>107.728086</t>
  </si>
  <si>
    <t>FO thuê#PITC#22DG033-DGGN06</t>
  </si>
  <si>
    <t>Công an phường Đông Gia Nghĩa - Công an phường Nam Gia Nghĩa</t>
  </si>
  <si>
    <t>161.95</t>
  </si>
  <si>
    <t>157.74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</si>
  <si>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</si>
  <si>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</si>
  <si>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</si>
  <si>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</si>
  <si>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</si>
  <si>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</si>
  <si>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</si>
  <si>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11.99045</t>
  </si>
  <si>
    <t>107.67281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</si>
  <si>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</si>
  <si>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</si>
  <si>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</si>
  <si>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</si>
  <si>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</si>
  <si>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</si>
  <si>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</si>
  <si>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</si>
  <si>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</si>
  <si>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91.33</t>
  </si>
  <si>
    <t>89.98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</si>
  <si>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</si>
  <si>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</si>
  <si>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</si>
  <si>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</si>
  <si>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</si>
  <si>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</si>
  <si>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</si>
  <si>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</si>
  <si>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</si>
  <si>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</si>
  <si>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</si>
  <si>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</si>
  <si>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</si>
  <si>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</si>
  <si>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</si>
  <si>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11.936601</t>
  </si>
  <si>
    <t>107.748135</t>
  </si>
  <si>
    <t>FO DT#MBF#DGGN06-DGGN17</t>
  </si>
  <si>
    <t>1177.36</t>
  </si>
  <si>
    <t>588.55</t>
  </si>
  <si>
    <t>11.965243</t>
  </si>
  <si>
    <t>107.729074</t>
  </si>
  <si>
    <t>588.81</t>
  </si>
  <si>
    <t>11.940144</t>
  </si>
  <si>
    <t>107.752158</t>
  </si>
  <si>
    <t>DGGN01-Công an phường Nam Gia Nghĩa</t>
  </si>
  <si>
    <t>12.000556</t>
  </si>
  <si>
    <t>107.676333</t>
  </si>
  <si>
    <t>FO DT#MBF#DGGN01-DGGN08</t>
  </si>
  <si>
    <t>448.57</t>
  </si>
  <si>
    <t>100.98</t>
  </si>
  <si>
    <t>Công an phường Nam Gia Nghĩa-DGGN04</t>
  </si>
  <si>
    <t>12.015477</t>
  </si>
  <si>
    <t>107.685062</t>
  </si>
  <si>
    <t>FO DT#MBF#DGGN08-DGGN04</t>
  </si>
  <si>
    <t>470.24</t>
  </si>
  <si>
    <t>361.91</t>
  </si>
  <si>
    <t>12.001927</t>
  </si>
  <si>
    <t>107.673315</t>
  </si>
  <si>
    <t>108.33</t>
  </si>
  <si>
    <t>12.016175</t>
  </si>
  <si>
    <t>107.684367</t>
  </si>
  <si>
    <t>Công an phường Bắc Gia Nghĩa-DGGN02</t>
  </si>
  <si>
    <t>11.998121</t>
  </si>
  <si>
    <t>107.703326</t>
  </si>
  <si>
    <t>FO DT#MBF#DGGN15-DGGN02</t>
  </si>
  <si>
    <t>720.53</t>
  </si>
  <si>
    <t>647.55</t>
  </si>
  <si>
    <t>12.003776</t>
  </si>
  <si>
    <t>107.691926</t>
  </si>
  <si>
    <t>72.98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</si>
  <si>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</si>
  <si>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</si>
  <si>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</si>
  <si>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</si>
  <si>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</si>
  <si>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11.951412</t>
  </si>
  <si>
    <t>107.702772</t>
  </si>
  <si>
    <t>FO DT#MBF#DGGN22-DGGN06</t>
  </si>
  <si>
    <t>1679.83</t>
  </si>
  <si>
    <t>1675.62</t>
  </si>
  <si>
    <t>11.965643</t>
  </si>
  <si>
    <t>107.707839</t>
  </si>
  <si>
    <t>DGGN20-Công an tỉnh Lâm Đồng - Trụ sở 2</t>
  </si>
  <si>
    <t>11.983769</t>
  </si>
  <si>
    <t>107.698118</t>
  </si>
  <si>
    <t>FO DT#MBF#DGGN20-DGGN03</t>
  </si>
  <si>
    <t>393.01</t>
  </si>
  <si>
    <t>391.65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</si>
  <si>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</si>
  <si>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</si>
  <si>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</si>
  <si>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</si>
  <si>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</si>
  <si>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301.08</t>
  </si>
  <si>
    <t>244.25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</si>
  <si>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</si>
  <si>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</si>
  <si>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</si>
  <si>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</si>
  <si>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</si>
  <si>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</si>
  <si>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</si>
  <si>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11.99761</t>
  </si>
  <si>
    <t>107.69206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</si>
  <si>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</si>
  <si>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</si>
  <si>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</si>
  <si>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</si>
  <si>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</si>
  <si>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</si>
  <si>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</si>
  <si>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</si>
  <si>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12.070514</t>
  </si>
  <si>
    <t>107.475581</t>
  </si>
  <si>
    <t>FO DT#MBF#DGTD05-DGTD18</t>
  </si>
  <si>
    <t>Đường Cơ sở cai nghiện số 4 - Quảng Tân</t>
  </si>
  <si>
    <t>219.93</t>
  </si>
  <si>
    <t>53.32</t>
  </si>
  <si>
    <t>12.095286</t>
  </si>
  <si>
    <t>107.480866</t>
  </si>
  <si>
    <t>166.61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</si>
  <si>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</si>
  <si>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</si>
  <si>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</si>
  <si>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</si>
  <si>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12.25274</t>
  </si>
  <si>
    <t>107.61461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</si>
  <si>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</si>
  <si>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</si>
  <si>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</si>
  <si>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</si>
  <si>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</si>
  <si>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</si>
  <si>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11.996668</t>
  </si>
  <si>
    <t>107.511879</t>
  </si>
  <si>
    <t>FO DT#MBF#DGDL01-DGDL37</t>
  </si>
  <si>
    <t>77.24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</si>
  <si>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</si>
  <si>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</si>
  <si>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</si>
  <si>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</si>
  <si>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</si>
  <si>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</si>
  <si>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</si>
  <si>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11.99786</t>
  </si>
  <si>
    <t>107.64402</t>
  </si>
  <si>
    <t>FO DT#MBF#DGGN27-DGGN07</t>
  </si>
  <si>
    <t>2109.31</t>
  </si>
  <si>
    <t>2104.63</t>
  </si>
  <si>
    <t>21DG017-Công an phường Đông Gia Nghĩa</t>
  </si>
  <si>
    <t>11.977921</t>
  </si>
  <si>
    <t>107.756718</t>
  </si>
  <si>
    <t>FO DT#MBF#21DG017-DGGN06</t>
  </si>
  <si>
    <t>2885.65</t>
  </si>
  <si>
    <t>2879.51</t>
  </si>
  <si>
    <t>11.964401</t>
  </si>
  <si>
    <t>107.734140</t>
  </si>
  <si>
    <t>21DG019-Đội CSGT Đường bộ số 4 - II (trụ sở công an thị trấn đức an)</t>
  </si>
  <si>
    <t>12.237114</t>
  </si>
  <si>
    <t>107.627</t>
  </si>
  <si>
    <t>FO DT#MBF#21DG019-DGDS02</t>
  </si>
  <si>
    <t>353.80</t>
  </si>
  <si>
    <t>252.17</t>
  </si>
  <si>
    <t>12.234887</t>
  </si>
  <si>
    <t>107.627437</t>
  </si>
  <si>
    <t>22DG011-Công an xã Đắk Sắk</t>
  </si>
  <si>
    <t>12.431011</t>
  </si>
  <si>
    <t>107.659395</t>
  </si>
  <si>
    <t>FO DT#MBF#22DG011-DGDM22</t>
  </si>
  <si>
    <t>534.81</t>
  </si>
  <si>
    <t>141.22</t>
  </si>
  <si>
    <t>12.432173</t>
  </si>
  <si>
    <t>107.659920</t>
  </si>
  <si>
    <t>DGTD01-Cơ sở cai nghiện Ma Túy số 4 tỉnh Lâm Đồng</t>
  </si>
  <si>
    <t>12.131795</t>
  </si>
  <si>
    <t>107.470936</t>
  </si>
  <si>
    <t>FO DT#MBF#DGTD01-DGTD05</t>
  </si>
  <si>
    <t>101.61</t>
  </si>
  <si>
    <t>54.55</t>
  </si>
  <si>
    <t>12.131737</t>
  </si>
  <si>
    <t>107.471434</t>
  </si>
  <si>
    <t>DGTD18-Công an xã Quảng Tân</t>
  </si>
  <si>
    <t>FO DT#MBF#DGTD18-DGTD11</t>
  </si>
  <si>
    <t>312.09</t>
  </si>
  <si>
    <t>163.28</t>
  </si>
  <si>
    <t>12.069726</t>
  </si>
  <si>
    <t>107.474314</t>
  </si>
  <si>
    <t>DGTD12-Công an xã Quảng Tân</t>
  </si>
  <si>
    <t>12.02781</t>
  </si>
  <si>
    <t>107.4767657</t>
  </si>
  <si>
    <t>FO DT#MBF#DGTD12-DGTD11</t>
  </si>
  <si>
    <t>1796.88</t>
  </si>
  <si>
    <t>1778.18</t>
  </si>
  <si>
    <t>12.024914</t>
  </si>
  <si>
    <t>107.492846</t>
  </si>
  <si>
    <t>18.70</t>
  </si>
  <si>
    <t>12.044472</t>
  </si>
  <si>
    <t>107.490295</t>
  </si>
  <si>
    <t>DGDG12-Công an xã Quảng Khê</t>
  </si>
  <si>
    <t>11.896695</t>
  </si>
  <si>
    <t>107.794858</t>
  </si>
  <si>
    <t>FO DT#MBF#DGDG12-DGDG04</t>
  </si>
  <si>
    <t>Công an xã Quảng Khê - Công an xã Tà Đùng</t>
  </si>
  <si>
    <t>1397.67</t>
  </si>
  <si>
    <t>1305.43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</si>
  <si>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</si>
  <si>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</si>
  <si>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</si>
  <si>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</si>
  <si>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</si>
  <si>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</si>
  <si>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</si>
  <si>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11.907082</t>
  </si>
  <si>
    <t>107.81754</t>
  </si>
  <si>
    <t>FO DT#MBF#DGDG11-DGDG04</t>
  </si>
  <si>
    <t>1152.06</t>
  </si>
  <si>
    <t>1059.83</t>
  </si>
  <si>
    <t>11.900826</t>
  </si>
  <si>
    <t>107.824889</t>
  </si>
  <si>
    <t>Ngọc Hồi-Sa Thầy</t>
  </si>
  <si>
    <t>14.72453</t>
  </si>
  <si>
    <t>107.6878</t>
  </si>
  <si>
    <t>14.39803</t>
  </si>
  <si>
    <t>107.7961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</si>
  <si>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</si>
  <si>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</si>
  <si>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</si>
  <si>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</si>
  <si>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</si>
  <si>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</si>
  <si>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</si>
  <si>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</si>
  <si>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</si>
  <si>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</si>
  <si>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14.69842</t>
  </si>
  <si>
    <t>107.8363</t>
  </si>
  <si>
    <t>14.7280737</t>
  </si>
  <si>
    <t>107.7528482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</si>
  <si>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</si>
  <si>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</si>
  <si>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</si>
  <si>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</si>
  <si>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</si>
  <si>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</si>
  <si>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</si>
  <si>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</si>
  <si>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</si>
  <si>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</si>
  <si>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</si>
  <si>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14.69709</t>
  </si>
  <si>
    <t>107.66606</t>
  </si>
  <si>
    <t>FO thuê#VNPT#KTNH01-KTNH12</t>
  </si>
  <si>
    <t>TTCMKV Ngọc Hồi - Sa Loong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</si>
  <si>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</si>
  <si>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</si>
  <si>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</si>
  <si>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</si>
  <si>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</si>
  <si>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</si>
  <si>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Loong/Trụ trung thế EVN</t>
  </si>
  <si>
    <t>Sa Thầy-KTST14</t>
  </si>
  <si>
    <t>14.40478</t>
  </si>
  <si>
    <t>107.81391</t>
  </si>
  <si>
    <t>FO thuê#VNPT#KTST_newsite1-KTST14</t>
  </si>
  <si>
    <t>TTCMKV Sa Thầy - Sa Bình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</si>
  <si>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</si>
  <si>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</si>
  <si>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</si>
  <si>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</si>
  <si>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</si>
  <si>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</si>
  <si>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</si>
  <si>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Bình/Trung thê EVN</t>
  </si>
  <si>
    <t>TT2 Kon Tum-KTDH09</t>
  </si>
  <si>
    <t>14.353</t>
  </si>
  <si>
    <t>108.0079</t>
  </si>
  <si>
    <t>14.518508</t>
  </si>
  <si>
    <t>107.946291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</si>
  <si>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</si>
  <si>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</si>
  <si>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</si>
  <si>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</si>
  <si>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</si>
  <si>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</si>
  <si>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</si>
  <si>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</si>
  <si>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</si>
  <si>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</si>
  <si>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</si>
  <si>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14.53098</t>
  </si>
  <si>
    <t>107.9402</t>
  </si>
  <si>
    <t>14.54562</t>
  </si>
  <si>
    <t>107.92</t>
  </si>
  <si>
    <t>FO thuê#VNPT#KTDH15-KTDH06</t>
  </si>
  <si>
    <t>Đăk Ui - Đăk Mar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</si>
  <si>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</si>
  <si>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</si>
  <si>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</si>
  <si>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</si>
  <si>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</si>
  <si>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</si>
  <si>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</si>
  <si>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</si>
  <si>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14.5199</t>
  </si>
  <si>
    <t>107.91507</t>
  </si>
  <si>
    <t>FO thuê#VNPT#KTDH06-KTDH22</t>
  </si>
  <si>
    <t>Đăk Tô - TT2 Kon Tum</t>
  </si>
  <si>
    <t>499.47</t>
  </si>
  <si>
    <t>79.93</t>
  </si>
  <si>
    <t>14.545744</t>
  </si>
  <si>
    <t>107.920731</t>
  </si>
  <si>
    <t>419.54</t>
  </si>
  <si>
    <t>14.521151</t>
  </si>
  <si>
    <t>107.918747</t>
  </si>
  <si>
    <t>full_h04/KonTum/Mạng cấp III Kon Tum/Ring 4/Đăk Tô - TT2 Kon Tum.kmz/Đăk Tô - TT2 Kon Tum/Đăk Tô - TT2 Kon Tum_Trung thế</t>
  </si>
  <si>
    <t>Đăk Hà-KTDH04</t>
  </si>
  <si>
    <t>14.49126</t>
  </si>
  <si>
    <t>107.9251</t>
  </si>
  <si>
    <t>14.46181</t>
  </si>
  <si>
    <t>107.91134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</si>
  <si>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</si>
  <si>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</si>
  <si>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</si>
  <si>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</si>
  <si>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</si>
  <si>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</si>
  <si>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</si>
  <si>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</si>
  <si>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</si>
  <si>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</si>
  <si>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</si>
  <si>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14.48789</t>
  </si>
  <si>
    <t>107.9599</t>
  </si>
  <si>
    <t>FO thuê#VNPT#KTDH01-KTDH18</t>
  </si>
  <si>
    <t>82.42</t>
  </si>
  <si>
    <t>14.491698</t>
  </si>
  <si>
    <t>107.925718</t>
  </si>
  <si>
    <t>8.85</t>
  </si>
  <si>
    <t>14.487886</t>
  </si>
  <si>
    <t>107.959982</t>
  </si>
  <si>
    <t>PC11-KTDH08</t>
  </si>
  <si>
    <t>14.50654</t>
  </si>
  <si>
    <t>108.00968</t>
  </si>
  <si>
    <t>FO thuê#VNPT#KTDH18-KTDH08</t>
  </si>
  <si>
    <t>Ngọk Réo - TTCMKV Đăk Hà</t>
  </si>
  <si>
    <t>776.52</t>
  </si>
  <si>
    <t>709.89</t>
  </si>
  <si>
    <t>14.494264</t>
  </si>
  <si>
    <t>107.959536</t>
  </si>
  <si>
    <t>66.62</t>
  </si>
  <si>
    <t>14.506976</t>
  </si>
  <si>
    <t>108.010105</t>
  </si>
  <si>
    <t>full_h04/KonTum/Mạng Cấp IV Kon Tum/Kon Tum - Cấp 4 - Ring 4.kmz/Ngọk Réo - TTCMKV Đăk Hà/Trung thế | EVN</t>
  </si>
  <si>
    <t>Kon Đào-KTDT19</t>
  </si>
  <si>
    <t>14.69485</t>
  </si>
  <si>
    <t>107.83867</t>
  </si>
  <si>
    <t>FO thuê#VNPT#KTDT04-KTDT19</t>
  </si>
  <si>
    <t>TTCMKV Đăk Tô - Kon Đào</t>
  </si>
  <si>
    <t>93.89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</si>
  <si>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</si>
  <si>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</si>
  <si>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</si>
  <si>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</si>
  <si>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</si>
  <si>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</si>
  <si>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Đào/Trung thế 1</t>
  </si>
  <si>
    <t>Ngọc Hồi-KTNH10</t>
  </si>
  <si>
    <t>14.6869118</t>
  </si>
  <si>
    <t>107.6878178</t>
  </si>
  <si>
    <t>FO thuê#VNPT#KTNH01-KTNH10</t>
  </si>
  <si>
    <t>55.91</t>
  </si>
  <si>
    <t>40.10</t>
  </si>
  <si>
    <t>14.687182</t>
  </si>
  <si>
    <t>107.687571</t>
  </si>
  <si>
    <t>KTDH _newsite1-Ngọc Hồi</t>
  </si>
  <si>
    <t>14.49433</t>
  </si>
  <si>
    <t>107.92508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</si>
  <si>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</si>
  <si>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</si>
  <si>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</si>
  <si>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</si>
  <si>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</si>
  <si>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</si>
  <si>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</si>
  <si>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</si>
  <si>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</si>
  <si>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</si>
  <si>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</si>
  <si>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14.7059</t>
  </si>
  <si>
    <t>107.69823</t>
  </si>
  <si>
    <t>FO thuê#VNPT#KTNH13-KTNH01</t>
  </si>
  <si>
    <t>Pô Kô - TTCMKV Ngọc Hồi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</si>
  <si>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</si>
  <si>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</si>
  <si>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</si>
  <si>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</si>
  <si>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</si>
  <si>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</si>
  <si>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</si>
  <si>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</si>
  <si>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</si>
  <si>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</si>
  <si>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</si>
  <si>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</si>
  <si>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</si>
  <si>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</si>
  <si>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</si>
  <si>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</si>
  <si>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</si>
  <si>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</si>
  <si>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14.7320628</t>
  </si>
  <si>
    <t>107.6928822</t>
  </si>
  <si>
    <t>FO thuê#VNPT#KTNH17-KTNH01</t>
  </si>
  <si>
    <t>Bờ Y - Đăk Môn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</si>
  <si>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</si>
  <si>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</si>
  <si>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</si>
  <si>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</si>
  <si>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</si>
  <si>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</si>
  <si>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</si>
  <si>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Môn/EVN 1 trung thế</t>
  </si>
  <si>
    <t>KTNH08-Ngọc Hồi</t>
  </si>
  <si>
    <t>14.6871</t>
  </si>
  <si>
    <t>107.7168</t>
  </si>
  <si>
    <t>FO thuê#VNPT#KTNH08-KTNH01</t>
  </si>
  <si>
    <t>135.58</t>
  </si>
  <si>
    <t>120.08</t>
  </si>
  <si>
    <t>14.688022</t>
  </si>
  <si>
    <t>107.717382</t>
  </si>
  <si>
    <t>KTKT75-Đăk BLa</t>
  </si>
  <si>
    <t>14.30219</t>
  </si>
  <si>
    <t>107.99275</t>
  </si>
  <si>
    <t>14.30277</t>
  </si>
  <si>
    <t>107.9937</t>
  </si>
  <si>
    <t>FO thuê#VNPT#KTKT75-KTKT05</t>
  </si>
  <si>
    <t>CAT Kon TUm - Đăk Bla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</si>
  <si>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</si>
  <si>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</si>
  <si>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</si>
  <si>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</si>
  <si>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</si>
  <si>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</si>
  <si>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</si>
  <si>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 CAT Kon Tum - Đăk Bla | EVN</t>
  </si>
  <si>
    <t>KTKT81-Đăk BLa</t>
  </si>
  <si>
    <t>14.3195</t>
  </si>
  <si>
    <t>107.98656</t>
  </si>
  <si>
    <t>FO thuê#VNPT#KTKT81-KTKT05</t>
  </si>
  <si>
    <t>178.46</t>
  </si>
  <si>
    <t>145.92</t>
  </si>
  <si>
    <t>14.319242</t>
  </si>
  <si>
    <t>107.987888</t>
  </si>
  <si>
    <t>KTKT90-PC07</t>
  </si>
  <si>
    <t>14.36893</t>
  </si>
  <si>
    <t>107.99563</t>
  </si>
  <si>
    <t>14.36348</t>
  </si>
  <si>
    <t>107.9988</t>
  </si>
  <si>
    <t>FO thuê#VNPT#KTKT90-KTKT10</t>
  </si>
  <si>
    <t>PC07 - Khối CS (PC01, PC02, PC03, PC04)</t>
  </si>
  <si>
    <t>170.46</t>
  </si>
  <si>
    <t>167.18</t>
  </si>
  <si>
    <t>14.367975</t>
  </si>
  <si>
    <t>107.994431</t>
  </si>
  <si>
    <t>3.28</t>
  </si>
  <si>
    <t>14.363504</t>
  </si>
  <si>
    <t>107.998783</t>
  </si>
  <si>
    <t>full_h04/KonTum/Mạng cấp III Kon Tum/Ring 5/PC07 - Khối CS (PC01, PC02, PC03, PC04).kmz/PC07 - Khối CS (PC01, PC02, PC03, PC04)/PC07 - Khối CS (PC01, PC02, PC03, PC04)_Trung thế</t>
  </si>
  <si>
    <t>KTKT91-PC08</t>
  </si>
  <si>
    <t>14.36803</t>
  </si>
  <si>
    <t>108.00502</t>
  </si>
  <si>
    <t>14.36945</t>
  </si>
  <si>
    <t>108.0085</t>
  </si>
  <si>
    <t>FO thuê#VNPT#KTKT91-KTKT30</t>
  </si>
  <si>
    <t>PC08 - TT2 Kon Tum</t>
  </si>
  <si>
    <t>401.75</t>
  </si>
  <si>
    <t>399.08</t>
  </si>
  <si>
    <t>14.367728</t>
  </si>
  <si>
    <t>108.008712</t>
  </si>
  <si>
    <t>2.67</t>
  </si>
  <si>
    <t>14.369461</t>
  </si>
  <si>
    <t>108.008522</t>
  </si>
  <si>
    <t>full_h04/KonTum/Mạng cấp III Kon Tum/Ring 5/PC08 - TT2 Kon Tum.kmz/PC08 - TT2 Kon Tum/PC08 - TT2 Kon Tum_Trung thế</t>
  </si>
  <si>
    <t>KTKT56-PK02/PX03</t>
  </si>
  <si>
    <t>14.38025</t>
  </si>
  <si>
    <t>108.0317</t>
  </si>
  <si>
    <t>14.37695</t>
  </si>
  <si>
    <t>108.0199</t>
  </si>
  <si>
    <t>FO thuê#VNPT#KTKT56-KTKT50</t>
  </si>
  <si>
    <t>Ia chim - Đăk Rơ Wa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</si>
  <si>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</si>
  <si>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</si>
  <si>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</si>
  <si>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</si>
  <si>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</si>
  <si>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</si>
  <si>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</si>
  <si>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</si>
  <si>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</si>
  <si>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</si>
  <si>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</si>
  <si>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</si>
  <si>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</si>
  <si>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</si>
  <si>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</si>
  <si>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</si>
  <si>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</si>
  <si>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</si>
  <si>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</si>
  <si>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</si>
  <si>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</si>
  <si>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</si>
  <si>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</si>
  <si>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</si>
  <si>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</si>
  <si>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</si>
  <si>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</si>
  <si>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</si>
  <si>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</si>
  <si>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</si>
  <si>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</si>
  <si>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</si>
  <si>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14.36003</t>
  </si>
  <si>
    <t>108.00946</t>
  </si>
  <si>
    <t>16.00757</t>
  </si>
  <si>
    <t>108.2176</t>
  </si>
  <si>
    <t>FO thuê#VNPT#KTKT18-KTKT30</t>
  </si>
  <si>
    <t>156124.86</t>
  </si>
  <si>
    <t>875.38</t>
  </si>
  <si>
    <t>14.352317</t>
  </si>
  <si>
    <t>108.007831</t>
  </si>
  <si>
    <t>155249.48</t>
  </si>
  <si>
    <t>KTKT02-PC07</t>
  </si>
  <si>
    <t>14.37239</t>
  </si>
  <si>
    <t>108.00749</t>
  </si>
  <si>
    <t>FO thuê#VNPT#KTKT02-KTKT10</t>
  </si>
  <si>
    <t>253903.22</t>
  </si>
  <si>
    <t>1319.03</t>
  </si>
  <si>
    <t>14.363782</t>
  </si>
  <si>
    <t>107.999065</t>
  </si>
  <si>
    <t>252584.19</t>
  </si>
  <si>
    <t>14.659686</t>
  </si>
  <si>
    <t>107.839439</t>
  </si>
  <si>
    <t>KTKT49-PC07</t>
  </si>
  <si>
    <t>14.36116</t>
  </si>
  <si>
    <t>107.9987485</t>
  </si>
  <si>
    <t>FO thuê#VNPT#KTKT49-KTKT10</t>
  </si>
  <si>
    <t>252723.12</t>
  </si>
  <si>
    <t>138.93</t>
  </si>
  <si>
    <t>14.360534</t>
  </si>
  <si>
    <t>107.999864</t>
  </si>
  <si>
    <t>KTKT09-Ngọk Bay</t>
  </si>
  <si>
    <t>14.35694</t>
  </si>
  <si>
    <t>107.99499</t>
  </si>
  <si>
    <t>14.35821</t>
  </si>
  <si>
    <t>107.9793</t>
  </si>
  <si>
    <t>FO thuê#VNPT#KTKT09-KTKT39</t>
  </si>
  <si>
    <t>CAT Kon Tum - Ngọk Bay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</si>
  <si>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</si>
  <si>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</si>
  <si>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</si>
  <si>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</si>
  <si>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</si>
  <si>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</si>
  <si>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</si>
  <si>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Bay/Trung thế EVN</t>
  </si>
  <si>
    <t>KTKT14-Ngọk Bay</t>
  </si>
  <si>
    <t>14.35791</t>
  </si>
  <si>
    <t>107.97344</t>
  </si>
  <si>
    <t>FO thuê#VNPT#KTKT14-KTKT39</t>
  </si>
  <si>
    <t>Ngọk Bay - Ya Ly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</si>
  <si>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</si>
  <si>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</si>
  <si>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</si>
  <si>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</si>
  <si>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</si>
  <si>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</si>
  <si>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</si>
  <si>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Ly/Trung the EVN</t>
  </si>
  <si>
    <t>KTKT31-Khối CS (PC01, PC02, PC03, PC04)</t>
  </si>
  <si>
    <t>14.36494</t>
  </si>
  <si>
    <t>107.99072</t>
  </si>
  <si>
    <t>14.38014</t>
  </si>
  <si>
    <t>107.9868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</si>
  <si>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</si>
  <si>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</si>
  <si>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</si>
  <si>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</si>
  <si>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</si>
  <si>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</si>
  <si>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</si>
  <si>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</si>
  <si>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</si>
  <si>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</si>
  <si>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</si>
  <si>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14.34501</t>
  </si>
  <si>
    <t>108.01521</t>
  </si>
  <si>
    <t>14.35304</t>
  </si>
  <si>
    <t>108.0101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</si>
  <si>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</si>
  <si>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</si>
  <si>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</si>
  <si>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</si>
  <si>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</si>
  <si>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</si>
  <si>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</si>
  <si>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</si>
  <si>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 CAT Kon Tum - Đăk Bla | EVN 2</t>
  </si>
  <si>
    <t>KTKT72-PK02/PX03</t>
  </si>
  <si>
    <t>14.3777013</t>
  </si>
  <si>
    <t>108.0211741</t>
  </si>
  <si>
    <t>FO thuê#VNPT#KTKT72-KTKT50</t>
  </si>
  <si>
    <t>64.91</t>
  </si>
  <si>
    <t>24.22</t>
  </si>
  <si>
    <t>14.377484</t>
  </si>
  <si>
    <t>108.021191</t>
  </si>
  <si>
    <t>KTKT27-Ia Chim</t>
  </si>
  <si>
    <t>14.27736</t>
  </si>
  <si>
    <t>107.92882</t>
  </si>
  <si>
    <t>14.314</t>
  </si>
  <si>
    <t>107.925</t>
  </si>
  <si>
    <t>FO thuê#VNPT#KTKT27-KTKT11</t>
  </si>
  <si>
    <t>Đăk Bla - Ia Chim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</si>
  <si>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</si>
  <si>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</si>
  <si>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</si>
  <si>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</si>
  <si>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</si>
  <si>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</si>
  <si>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</si>
  <si>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Chim/Trung thế 4 | EVN</t>
  </si>
  <si>
    <t>KTDT10-Kon Đào</t>
  </si>
  <si>
    <t>14.71612</t>
  </si>
  <si>
    <t>107.79311</t>
  </si>
  <si>
    <t>FO thuê#VNPT#KTDT10-KTDT04</t>
  </si>
  <si>
    <t>326.56</t>
  </si>
  <si>
    <t>273.80</t>
  </si>
  <si>
    <t>KTST20-Sa Thầy</t>
  </si>
  <si>
    <t>14.39325</t>
  </si>
  <si>
    <t>107.8091</t>
  </si>
  <si>
    <t>FO thuê#VNPT#KTST20-KTST_newsite1</t>
  </si>
  <si>
    <t>127.71</t>
  </si>
  <si>
    <t>125.43</t>
  </si>
  <si>
    <t>14.394170</t>
  </si>
  <si>
    <t>107.809774</t>
  </si>
  <si>
    <t>KTST05-Sa Thầy</t>
  </si>
  <si>
    <t>14.38093</t>
  </si>
  <si>
    <t>107.80149</t>
  </si>
  <si>
    <t>FO thuê#VNPT#KTST05-KTST_newsite1</t>
  </si>
  <si>
    <t>Ya Ly - Sa Thầy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</si>
  <si>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</si>
  <si>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</si>
  <si>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</si>
  <si>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</si>
  <si>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</si>
  <si>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</si>
  <si>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</si>
  <si>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Thầy/Trung thế EVN</t>
  </si>
  <si>
    <t>KTST04-Sa Thầy</t>
  </si>
  <si>
    <t>14.40839</t>
  </si>
  <si>
    <t>107.76738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</si>
  <si>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</si>
  <si>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</si>
  <si>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</si>
  <si>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</si>
  <si>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</si>
  <si>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</si>
  <si>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14.35357</t>
  </si>
  <si>
    <t>108.00216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</si>
  <si>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</si>
  <si>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</si>
  <si>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</si>
  <si>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</si>
  <si>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</si>
  <si>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</si>
  <si>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</si>
  <si>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</si>
  <si>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</si>
  <si>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</si>
  <si>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</si>
  <si>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</si>
  <si>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</si>
  <si>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</si>
  <si>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</si>
  <si>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</si>
  <si>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</si>
  <si>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</si>
  <si>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14.380341</t>
  </si>
  <si>
    <t>107.97553</t>
  </si>
  <si>
    <t>FO DT#MBF#KTKT51-KTKT33</t>
  </si>
  <si>
    <t>519.50</t>
  </si>
  <si>
    <t>94.05</t>
  </si>
  <si>
    <t>14.381167</t>
  </si>
  <si>
    <t>107.975342</t>
  </si>
  <si>
    <t>VNPOST Kon Tum-PA06</t>
  </si>
  <si>
    <t>14.35611</t>
  </si>
  <si>
    <t>108.003</t>
  </si>
  <si>
    <t>FO DT#MBF#VNPOST Kon Tum-KTKT44</t>
  </si>
  <si>
    <t>135.08</t>
  </si>
  <si>
    <t>103.97</t>
  </si>
  <si>
    <t>14.354256</t>
  </si>
  <si>
    <t>108.002816</t>
  </si>
  <si>
    <t>14.356371</t>
  </si>
  <si>
    <t>108.002896</t>
  </si>
  <si>
    <t>PA06-PC07</t>
  </si>
  <si>
    <t>FO DT#MBF#KTKT44-KTKT10</t>
  </si>
  <si>
    <t>PA06 - PC07</t>
  </si>
  <si>
    <t>23.81</t>
  </si>
  <si>
    <t>19.25</t>
  </si>
  <si>
    <t>14.356164</t>
  </si>
  <si>
    <t>4.56</t>
  </si>
  <si>
    <t>14.363441</t>
  </si>
  <si>
    <t>107.998813</t>
  </si>
  <si>
    <t>full_h04/KonTum/Mạng cấp III Kon Tum/Ring 5/PA06 - PC07.kmz/PA06 - PC07/PA06 - PC07_Trung thế</t>
  </si>
  <si>
    <t>PC07-PC08</t>
  </si>
  <si>
    <t>FO DT#MBF#KTKT10-KTKT30</t>
  </si>
  <si>
    <t>639.37</t>
  </si>
  <si>
    <t>293.06</t>
  </si>
  <si>
    <t>14.365588</t>
  </si>
  <si>
    <t>107.997167</t>
  </si>
  <si>
    <t>346.31</t>
  </si>
  <si>
    <t>14.371943</t>
  </si>
  <si>
    <t>108.006573</t>
  </si>
  <si>
    <t>PC08-TT2 Kon Tum</t>
  </si>
  <si>
    <t>FO DT#MBF#KTKT30-KTKT19</t>
  </si>
  <si>
    <t>CAT Kon Tum - Đăk Cấm</t>
  </si>
  <si>
    <t>98.96</t>
  </si>
  <si>
    <t>22.89</t>
  </si>
  <si>
    <t>14.369568</t>
  </si>
  <si>
    <t>108.008674</t>
  </si>
  <si>
    <t>76.08</t>
  </si>
  <si>
    <t>14.352316</t>
  </si>
  <si>
    <t>108.007886</t>
  </si>
  <si>
    <t>full_h04/KonTum/Mạng Cấp IV Kon Tum/Kon Tum - Cấp 4 - Ring 4.kmz/CAT Kon Tum - Đăk Cấm/Trung thế | evn</t>
  </si>
  <si>
    <t>KTKT29-Ngọk Bay</t>
  </si>
  <si>
    <t>14.37494</t>
  </si>
  <si>
    <t>107.9586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</si>
  <si>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</si>
  <si>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</si>
  <si>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</si>
  <si>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</si>
  <si>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</si>
  <si>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</si>
  <si>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</si>
  <si>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</si>
  <si>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</si>
  <si>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14.34967</t>
  </si>
  <si>
    <t>108.0075</t>
  </si>
  <si>
    <t>FO DT#MBF#VNPOST Kon Tum-KTKT48</t>
  </si>
  <si>
    <t>111.73</t>
  </si>
  <si>
    <t>7.76</t>
  </si>
  <si>
    <t>14.349694</t>
  </si>
  <si>
    <t>108.007432</t>
  </si>
  <si>
    <t>KTKT60-TT2 Kon Tum</t>
  </si>
  <si>
    <t>14.35019</t>
  </si>
  <si>
    <t>108.02217</t>
  </si>
  <si>
    <t>FO DT#MBF#KTKT60-KTKT19</t>
  </si>
  <si>
    <t>Đăk Rơ Wa - Kon Tum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</si>
  <si>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</si>
  <si>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</si>
  <si>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</si>
  <si>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</si>
  <si>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</si>
  <si>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</si>
  <si>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</si>
  <si>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Tum/Trung thế EVN 3</t>
  </si>
  <si>
    <t>KTKT66-PH10</t>
  </si>
  <si>
    <t>14.33481</t>
  </si>
  <si>
    <t>107.9959</t>
  </si>
  <si>
    <t>FO DT#MBF#KTKT66-KTKT57</t>
  </si>
  <si>
    <t>1588.27</t>
  </si>
  <si>
    <t>65.27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</si>
  <si>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</si>
  <si>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</si>
  <si>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</si>
  <si>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</si>
  <si>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</si>
  <si>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</si>
  <si>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</si>
  <si>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</si>
  <si>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</si>
  <si>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</si>
  <si>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</si>
  <si>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</si>
  <si>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14.33936</t>
  </si>
  <si>
    <t>107.98691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</si>
  <si>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</si>
  <si>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</si>
  <si>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</si>
  <si>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</si>
  <si>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</si>
  <si>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</si>
  <si>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</si>
  <si>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</si>
  <si>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</si>
  <si>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</si>
  <si>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</si>
  <si>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</si>
  <si>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</si>
  <si>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</si>
  <si>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</si>
  <si>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14.34399</t>
  </si>
  <si>
    <t>108.03759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</si>
  <si>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</si>
  <si>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</si>
  <si>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</si>
  <si>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</si>
  <si>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</si>
  <si>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</si>
  <si>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</si>
  <si>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</si>
  <si>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</si>
  <si>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</si>
  <si>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</si>
  <si>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14.32868</t>
  </si>
  <si>
    <t>107.99419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</si>
  <si>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</si>
  <si>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</si>
  <si>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</si>
  <si>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</si>
  <si>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</si>
  <si>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</si>
  <si>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</si>
  <si>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14.5609769</t>
  </si>
  <si>
    <t>107.9221856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</si>
  <si>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</si>
  <si>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</si>
  <si>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</si>
  <si>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</si>
  <si>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</si>
  <si>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</si>
  <si>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</si>
  <si>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</si>
  <si>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</si>
  <si>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</si>
  <si>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14.5383</t>
  </si>
  <si>
    <t>107.89056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</si>
  <si>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</si>
  <si>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</si>
  <si>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</si>
  <si>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</si>
  <si>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</si>
  <si>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</si>
  <si>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</si>
  <si>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</si>
  <si>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</si>
  <si>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</si>
  <si>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14.54931</t>
  </si>
  <si>
    <t>107.97935</t>
  </si>
  <si>
    <t>FO DT#MBF#KTDH41-KTDH15</t>
  </si>
  <si>
    <t>4607.21</t>
  </si>
  <si>
    <t>4557.05</t>
  </si>
  <si>
    <t>14.533442</t>
  </si>
  <si>
    <t>107.940314</t>
  </si>
  <si>
    <t>KTKT62-Ia Chim</t>
  </si>
  <si>
    <t>14.30913</t>
  </si>
  <si>
    <t>107.90777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</si>
  <si>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</si>
  <si>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</si>
  <si>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</si>
  <si>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</si>
  <si>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</si>
  <si>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</si>
  <si>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</si>
  <si>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</si>
  <si>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Chim/Trung thế 5 | EVN</t>
  </si>
  <si>
    <t>KTKT86-TT2 Kon Tum</t>
  </si>
  <si>
    <t>14.36532</t>
  </si>
  <si>
    <t>108.0237</t>
  </si>
  <si>
    <t>FO DT#MBF#KTKT86-KTKT19</t>
  </si>
  <si>
    <t>392.20</t>
  </si>
  <si>
    <t>317.04</t>
  </si>
  <si>
    <t>14.364977</t>
  </si>
  <si>
    <t>108.026622</t>
  </si>
  <si>
    <t>KTKT06-PA05/PC10/PX05/PX06</t>
  </si>
  <si>
    <t>14.346196</t>
  </si>
  <si>
    <t>108.002538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</si>
  <si>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</si>
  <si>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</si>
  <si>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</si>
  <si>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</si>
  <si>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</si>
  <si>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</si>
  <si>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</si>
  <si>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</si>
  <si>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</si>
  <si>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14.34228</t>
  </si>
  <si>
    <t>108.01003</t>
  </si>
  <si>
    <t>FO DT#MBF#KTKT46-KTKT57</t>
  </si>
  <si>
    <t>596.60</t>
  </si>
  <si>
    <t>342.20</t>
  </si>
  <si>
    <t>14.345356</t>
  </si>
  <si>
    <t>108.009923</t>
  </si>
  <si>
    <t>KTKT98-TT2 Kon Tum</t>
  </si>
  <si>
    <t>14.35688</t>
  </si>
  <si>
    <t>108.01431</t>
  </si>
  <si>
    <t>FO DT#MBF#KTKT98-KTKT19</t>
  </si>
  <si>
    <t>228.58</t>
  </si>
  <si>
    <t>152.50</t>
  </si>
  <si>
    <t>14.356747</t>
  </si>
  <si>
    <t>108.012901</t>
  </si>
  <si>
    <t>KTNH14-Ngọc Hồi</t>
  </si>
  <si>
    <t>14.7142937</t>
  </si>
  <si>
    <t>107.690928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</si>
  <si>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</si>
  <si>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</si>
  <si>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</si>
  <si>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</si>
  <si>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</si>
  <si>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</si>
  <si>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14.377198</t>
  </si>
  <si>
    <t>107.989602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</si>
  <si>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</si>
  <si>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</si>
  <si>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</si>
  <si>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</si>
  <si>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</si>
  <si>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</si>
  <si>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</si>
  <si>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</si>
  <si>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21KT024-PH10</t>
  </si>
  <si>
    <t>FO DT#MBF#21KT024-KTKT57</t>
  </si>
  <si>
    <t>ERROR</t>
  </si>
  <si>
    <t>Lỗi Tọa độ: Cột 'lat1' ('#N/A') không phải là số hợp lệ. | Cột 'lon1' ('#N/A') không phải là số hợp lệ.</t>
  </si>
  <si>
    <t>22KT002-PC11</t>
  </si>
  <si>
    <t>14.51086</t>
  </si>
  <si>
    <t>107.98543</t>
  </si>
  <si>
    <t>15.55858</t>
  </si>
  <si>
    <t>108.45</t>
  </si>
  <si>
    <t>FO DT#MBF#22KT002-KTDH18</t>
  </si>
  <si>
    <t>Bắc Trà My - Phú Ninh</t>
  </si>
  <si>
    <t>99407.86</t>
  </si>
  <si>
    <t>95430.33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</si>
  <si>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</si>
  <si>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</si>
  <si>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</si>
  <si>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</si>
  <si>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</si>
  <si>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</si>
  <si>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22KT023-Kon Đào</t>
  </si>
  <si>
    <t>14.72112</t>
  </si>
  <si>
    <t>107.80965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</si>
  <si>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</si>
  <si>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</si>
  <si>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</si>
  <si>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</si>
  <si>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</si>
  <si>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</si>
  <si>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</si>
  <si>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</si>
  <si>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</si>
  <si>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</si>
  <si>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</si>
  <si>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</si>
  <si>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</si>
  <si>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</si>
  <si>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</si>
  <si>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15.121</t>
  </si>
  <si>
    <t>108.79205</t>
  </si>
  <si>
    <t>15.04397</t>
  </si>
  <si>
    <t>108.77664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</si>
  <si>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</si>
  <si>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</si>
  <si>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</si>
  <si>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</si>
  <si>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</si>
  <si>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</si>
  <si>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</si>
  <si>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</si>
  <si>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</si>
  <si>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</si>
  <si>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</si>
  <si>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15.15466</t>
  </si>
  <si>
    <t>108.7366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</si>
  <si>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</si>
  <si>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</si>
  <si>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</si>
  <si>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</si>
  <si>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</si>
  <si>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</si>
  <si>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</si>
  <si>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</si>
  <si>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</si>
  <si>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</si>
  <si>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</si>
  <si>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15.1323</t>
  </si>
  <si>
    <t>108.71287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</si>
  <si>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</si>
  <si>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</si>
  <si>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</si>
  <si>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</si>
  <si>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</si>
  <si>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</si>
  <si>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</si>
  <si>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</si>
  <si>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</si>
  <si>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</si>
  <si>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</si>
  <si>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15.20067</t>
  </si>
  <si>
    <t>108.79055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</si>
  <si>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</si>
  <si>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</si>
  <si>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</si>
  <si>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</si>
  <si>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</si>
  <si>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</si>
  <si>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</si>
  <si>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</si>
  <si>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</si>
  <si>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</si>
  <si>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</si>
  <si>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15.1437</t>
  </si>
  <si>
    <t>108.7682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</si>
  <si>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</si>
  <si>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</si>
  <si>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</si>
  <si>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</si>
  <si>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</si>
  <si>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</si>
  <si>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</si>
  <si>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</si>
  <si>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</si>
  <si>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</si>
  <si>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</si>
  <si>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15.13794</t>
  </si>
  <si>
    <t>108.7793</t>
  </si>
  <si>
    <t>FO thuê#CMC#QNQN02-QNST36</t>
  </si>
  <si>
    <t>1301.12</t>
  </si>
  <si>
    <t>1244.81</t>
  </si>
  <si>
    <t>15.127291</t>
  </si>
  <si>
    <t>108.782879</t>
  </si>
  <si>
    <t>TT1 Quảng Ngãi-QNST18</t>
  </si>
  <si>
    <t>15.15531</t>
  </si>
  <si>
    <t>108.70619</t>
  </si>
  <si>
    <t>FO thuê#CMC#QNQN02-QNST18</t>
  </si>
  <si>
    <t>3827.45</t>
  </si>
  <si>
    <t>3788.49</t>
  </si>
  <si>
    <t>15.132574</t>
  </si>
  <si>
    <t>108.732478</t>
  </si>
  <si>
    <t>TT1 Quảng Ngãi-QNQN15</t>
  </si>
  <si>
    <t>15.12444</t>
  </si>
  <si>
    <t>108.77788</t>
  </si>
  <si>
    <t>FO thuê#CMC#QNQN02-QNQN15</t>
  </si>
  <si>
    <t>324.62</t>
  </si>
  <si>
    <t>268.31</t>
  </si>
  <si>
    <t>15.126121</t>
  </si>
  <si>
    <t>108.779673</t>
  </si>
  <si>
    <t>TT1 Quảng Ngãi-QNQN17</t>
  </si>
  <si>
    <t>15.11357</t>
  </si>
  <si>
    <t>108.77094</t>
  </si>
  <si>
    <t>FO thuê#CMC#QNQN02-QNQN17</t>
  </si>
  <si>
    <t>154.49</t>
  </si>
  <si>
    <t>115.53</t>
  </si>
  <si>
    <t>15.114606</t>
  </si>
  <si>
    <t>108.771015</t>
  </si>
  <si>
    <t>TT1 Quảng Ngãi-QNQN61</t>
  </si>
  <si>
    <t>15.12551</t>
  </si>
  <si>
    <t>108.7708</t>
  </si>
  <si>
    <t>FO thuê#CMC#QNQN02-QNQN61</t>
  </si>
  <si>
    <t>1001.53</t>
  </si>
  <si>
    <t>945.21</t>
  </si>
  <si>
    <t>TT1 Quảng Ngãi-QNQN44</t>
  </si>
  <si>
    <t>15.10594</t>
  </si>
  <si>
    <t>108.76747</t>
  </si>
  <si>
    <t>FO thuê#FFC#QNQN02-QNQN44</t>
  </si>
  <si>
    <t>994.30</t>
  </si>
  <si>
    <t>134.20</t>
  </si>
  <si>
    <t>15.104920</t>
  </si>
  <si>
    <t>108.766801</t>
  </si>
  <si>
    <t>TT1 Quảng Ngãi-QNTN26</t>
  </si>
  <si>
    <t>15.11727</t>
  </si>
  <si>
    <t>108.75462</t>
  </si>
  <si>
    <t>FO thuê#FFC#QNQN02-QNTN26</t>
  </si>
  <si>
    <t>171.71</t>
  </si>
  <si>
    <t>132.75</t>
  </si>
  <si>
    <t>15.118464</t>
  </si>
  <si>
    <t>108.754596</t>
  </si>
  <si>
    <t>QNQN30-TT1 Quảng Ngãi</t>
  </si>
  <si>
    <t>15.11891</t>
  </si>
  <si>
    <t>108.77932</t>
  </si>
  <si>
    <t>FO thuê#FFC#QNQN30-QNQN02</t>
  </si>
  <si>
    <t>628.67</t>
  </si>
  <si>
    <t>589.72</t>
  </si>
  <si>
    <t>15.113611</t>
  </si>
  <si>
    <t>108.779097</t>
  </si>
  <si>
    <t>QNQN2J-TT1 Quảng Ngãi</t>
  </si>
  <si>
    <t>15.132932</t>
  </si>
  <si>
    <t>108.795251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</si>
  <si>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</si>
  <si>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</si>
  <si>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</si>
  <si>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</si>
  <si>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</si>
  <si>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</si>
  <si>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</si>
  <si>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</si>
  <si>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</si>
  <si>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</si>
  <si>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</si>
  <si>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</si>
  <si>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</si>
  <si>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</si>
  <si>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15.11382</t>
  </si>
  <si>
    <t>108.7964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</si>
  <si>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</si>
  <si>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</si>
  <si>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</si>
  <si>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</si>
  <si>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</si>
  <si>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</si>
  <si>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</si>
  <si>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</si>
  <si>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</si>
  <si>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</si>
  <si>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</si>
  <si>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14.94789</t>
  </si>
  <si>
    <t>108.88789</t>
  </si>
  <si>
    <t>15.05898</t>
  </si>
  <si>
    <t>108.84332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</si>
  <si>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</si>
  <si>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</si>
  <si>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</si>
  <si>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</si>
  <si>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</si>
  <si>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</si>
  <si>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</si>
  <si>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</si>
  <si>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</si>
  <si>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</si>
  <si>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</si>
  <si>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14.92405</t>
  </si>
  <si>
    <t>108.89965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</si>
  <si>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</si>
  <si>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</si>
  <si>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</si>
  <si>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</si>
  <si>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</si>
  <si>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</si>
  <si>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</si>
  <si>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</si>
  <si>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</si>
  <si>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</si>
  <si>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</si>
  <si>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14.98693</t>
  </si>
  <si>
    <t>108.83602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</si>
  <si>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</si>
  <si>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</si>
  <si>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</si>
  <si>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</si>
  <si>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</si>
  <si>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</si>
  <si>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</si>
  <si>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</si>
  <si>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</si>
  <si>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</si>
  <si>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</si>
  <si>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15.01246</t>
  </si>
  <si>
    <t>108.87124</t>
  </si>
  <si>
    <t>FO thuê#CMC#QNMD25-QNMD10</t>
  </si>
  <si>
    <t>951.83</t>
  </si>
  <si>
    <t>194.57</t>
  </si>
  <si>
    <t>15.011333</t>
  </si>
  <si>
    <t>108.869854</t>
  </si>
  <si>
    <t>Mộ Đức-Lân Phong</t>
  </si>
  <si>
    <t>14.92761</t>
  </si>
  <si>
    <t>108.91794</t>
  </si>
  <si>
    <t>FO thuê#CMC#QNMD25-QNMD24</t>
  </si>
  <si>
    <t>1972.89</t>
  </si>
  <si>
    <t>1651.20</t>
  </si>
  <si>
    <t>14.920210</t>
  </si>
  <si>
    <t>108.904616</t>
  </si>
  <si>
    <t>Mộ Đức-QNMD01</t>
  </si>
  <si>
    <t>14.95727</t>
  </si>
  <si>
    <t>108.8876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</si>
  <si>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</si>
  <si>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</si>
  <si>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</si>
  <si>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</si>
  <si>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</si>
  <si>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</si>
  <si>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</si>
  <si>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</si>
  <si>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</si>
  <si>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</si>
  <si>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</si>
  <si>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</si>
  <si>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</si>
  <si>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</si>
  <si>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</si>
  <si>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</si>
  <si>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</si>
  <si>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14.94605</t>
  </si>
  <si>
    <t>108.86027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</si>
  <si>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</si>
  <si>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</si>
  <si>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</si>
  <si>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</si>
  <si>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</si>
  <si>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</si>
  <si>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</si>
  <si>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</si>
  <si>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</si>
  <si>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</si>
  <si>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14.90552</t>
  </si>
  <si>
    <t>108.91163</t>
  </si>
  <si>
    <t>FO thuê#CMC#QNMD19-QNMD25</t>
  </si>
  <si>
    <t>498.47</t>
  </si>
  <si>
    <t>176.78</t>
  </si>
  <si>
    <t>14.904020</t>
  </si>
  <si>
    <t>108.911083</t>
  </si>
  <si>
    <t>QNMD36-Mộ Đức</t>
  </si>
  <si>
    <t>14.94028</t>
  </si>
  <si>
    <t>108.89194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</si>
  <si>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</si>
  <si>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</si>
  <si>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</si>
  <si>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</si>
  <si>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</si>
  <si>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</si>
  <si>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</si>
  <si>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</si>
  <si>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</si>
  <si>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</si>
  <si>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14.92471</t>
  </si>
  <si>
    <t>108.87507</t>
  </si>
  <si>
    <t>FO thuê#CMC#QNMD34-QNMD25</t>
  </si>
  <si>
    <t>2292.33</t>
  </si>
  <si>
    <t>1970.64</t>
  </si>
  <si>
    <t>14.934362</t>
  </si>
  <si>
    <t>108.890453</t>
  </si>
  <si>
    <t>Nghĩa hành-Phước Giang</t>
  </si>
  <si>
    <t>15.04567</t>
  </si>
  <si>
    <t>108.74218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</si>
  <si>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</si>
  <si>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</si>
  <si>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</si>
  <si>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</si>
  <si>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</si>
  <si>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</si>
  <si>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</si>
  <si>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</si>
  <si>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</si>
  <si>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</si>
  <si>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</si>
  <si>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14.885983</t>
  </si>
  <si>
    <t>108.918403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</si>
  <si>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</si>
  <si>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</si>
  <si>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</si>
  <si>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</si>
  <si>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</si>
  <si>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</si>
  <si>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</si>
  <si>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15.04128</t>
  </si>
  <si>
    <t>108.79722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</si>
  <si>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</si>
  <si>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</si>
  <si>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</si>
  <si>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</si>
  <si>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</si>
  <si>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</si>
  <si>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</si>
  <si>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</si>
  <si>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</si>
  <si>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</si>
  <si>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</si>
  <si>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15.07944</t>
  </si>
  <si>
    <t>108.77991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</si>
  <si>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</si>
  <si>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</si>
  <si>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</si>
  <si>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</si>
  <si>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</si>
  <si>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</si>
  <si>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</si>
  <si>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</si>
  <si>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</si>
  <si>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</si>
  <si>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</si>
  <si>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15.094146</t>
  </si>
  <si>
    <t>108.75043</t>
  </si>
  <si>
    <t>FO thuê#FFC#QNTN10-QNNH21</t>
  </si>
  <si>
    <t>1836.28</t>
  </si>
  <si>
    <t>1814.82</t>
  </si>
  <si>
    <t>15.105012</t>
  </si>
  <si>
    <t>108.763044</t>
  </si>
  <si>
    <t>QNTN43-Nghĩa hành</t>
  </si>
  <si>
    <t>15.110232</t>
  </si>
  <si>
    <t>108.719926</t>
  </si>
  <si>
    <t>FO thuê#FFC#QNTN43-QNNH21</t>
  </si>
  <si>
    <t>4686.51</t>
  </si>
  <si>
    <t>4665.05</t>
  </si>
  <si>
    <t>QNNH25-Nghĩa hành</t>
  </si>
  <si>
    <t>15.057965</t>
  </si>
  <si>
    <t>108.76246</t>
  </si>
  <si>
    <t>FO thuê#FFC#QNNH25-QNNH21</t>
  </si>
  <si>
    <t>1608.16</t>
  </si>
  <si>
    <t>1586.70</t>
  </si>
  <si>
    <t>15.056607</t>
  </si>
  <si>
    <t>108.777170</t>
  </si>
  <si>
    <t>QNNH09-Nghĩa hành</t>
  </si>
  <si>
    <t>15.024073</t>
  </si>
  <si>
    <t>108.746454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</si>
  <si>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</si>
  <si>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</si>
  <si>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</si>
  <si>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</si>
  <si>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</si>
  <si>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</si>
  <si>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</si>
  <si>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</si>
  <si>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</si>
  <si>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</si>
  <si>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</si>
  <si>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</si>
  <si>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15.043935</t>
  </si>
  <si>
    <t>108.776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</si>
  <si>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</si>
  <si>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</si>
  <si>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</si>
  <si>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</si>
  <si>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</si>
  <si>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</si>
  <si>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</si>
  <si>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</si>
  <si>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</si>
  <si>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15.02602</t>
  </si>
  <si>
    <t>108.78711</t>
  </si>
  <si>
    <t>FO DT#MBF#QNNH21-QNNH24</t>
  </si>
  <si>
    <t>1302.25</t>
  </si>
  <si>
    <t>1101.99</t>
  </si>
  <si>
    <t>15.023507</t>
  </si>
  <si>
    <t>108.777184</t>
  </si>
  <si>
    <t>Nghĩa hành-QNNH14</t>
  </si>
  <si>
    <t>15.056707</t>
  </si>
  <si>
    <t>108.779292</t>
  </si>
  <si>
    <t>FO DT#MBF#QNNH21-QNNH14</t>
  </si>
  <si>
    <t>239.17</t>
  </si>
  <si>
    <t>217.71</t>
  </si>
  <si>
    <t>15.057552</t>
  </si>
  <si>
    <t>108.777463</t>
  </si>
  <si>
    <t>Nghĩa hành-QNNH36</t>
  </si>
  <si>
    <t>15.04484</t>
  </si>
  <si>
    <t>108.76303</t>
  </si>
  <si>
    <t>FO DT#MBF#QNNH21-QNNH36</t>
  </si>
  <si>
    <t>1301.59</t>
  </si>
  <si>
    <t>1280.13</t>
  </si>
  <si>
    <t>15.044572</t>
  </si>
  <si>
    <t>108.774948</t>
  </si>
  <si>
    <t>TTCMKV Bình Sơn-QNBS26</t>
  </si>
  <si>
    <t>15.29712</t>
  </si>
  <si>
    <t>108.7621</t>
  </si>
  <si>
    <t>15.30152</t>
  </si>
  <si>
    <t>108.82293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</si>
  <si>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</si>
  <si>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</si>
  <si>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</si>
  <si>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</si>
  <si>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</si>
  <si>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</si>
  <si>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</si>
  <si>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</si>
  <si>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</si>
  <si>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</si>
  <si>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</si>
  <si>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15.32259</t>
  </si>
  <si>
    <t>108.76814</t>
  </si>
  <si>
    <t>FO thuê#CMC#QNBS23-QNBS07</t>
  </si>
  <si>
    <t>2217.81</t>
  </si>
  <si>
    <t>2170.55</t>
  </si>
  <si>
    <t>15.306986</t>
  </si>
  <si>
    <t>108.780300</t>
  </si>
  <si>
    <t>TTCMKV Bình Sơn-QNBS16</t>
  </si>
  <si>
    <t>15.29159</t>
  </si>
  <si>
    <t>108.79627</t>
  </si>
  <si>
    <t>FO thuê#CMC#QNBS23-QNBS16</t>
  </si>
  <si>
    <t>2344.83</t>
  </si>
  <si>
    <t>2297.57</t>
  </si>
  <si>
    <t>15.309248</t>
  </si>
  <si>
    <t>108.785146</t>
  </si>
  <si>
    <t>TTCMKV Bình Sơn-QNBS54</t>
  </si>
  <si>
    <t>15.31067</t>
  </si>
  <si>
    <t>108.75268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</si>
  <si>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</si>
  <si>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</si>
  <si>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</si>
  <si>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</si>
  <si>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</si>
  <si>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</si>
  <si>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</si>
  <si>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</si>
  <si>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</si>
  <si>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</si>
  <si>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</si>
  <si>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15.299702</t>
  </si>
  <si>
    <t>108.752375</t>
  </si>
  <si>
    <t>FO thuê#CMC#QNBS23-QNBS52</t>
  </si>
  <si>
    <t>657.54</t>
  </si>
  <si>
    <t>596.16</t>
  </si>
  <si>
    <t>TTCMKV Bình Sơn-Vạn Tường</t>
  </si>
  <si>
    <t>15.33626</t>
  </si>
  <si>
    <t>108.84145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</si>
  <si>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</si>
  <si>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</si>
  <si>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</si>
  <si>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</si>
  <si>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</si>
  <si>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</si>
  <si>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</si>
  <si>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</si>
  <si>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</si>
  <si>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</si>
  <si>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</si>
  <si>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</si>
  <si>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</si>
  <si>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</si>
  <si>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</si>
  <si>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</si>
  <si>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</si>
  <si>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15.272988</t>
  </si>
  <si>
    <t>108.721409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</si>
  <si>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</si>
  <si>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</si>
  <si>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</si>
  <si>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</si>
  <si>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</si>
  <si>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</si>
  <si>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</si>
  <si>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</si>
  <si>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</si>
  <si>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</si>
  <si>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</si>
  <si>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15.28448</t>
  </si>
  <si>
    <t>108.74049</t>
  </si>
  <si>
    <t>FO thuê#CMC#QNBS15-QNBS23</t>
  </si>
  <si>
    <t>419.88</t>
  </si>
  <si>
    <t>376.34</t>
  </si>
  <si>
    <t>15.281186</t>
  </si>
  <si>
    <t>108.739684</t>
  </si>
  <si>
    <t>QNBS25-TTCMKV Bình Sơn</t>
  </si>
  <si>
    <t>15.274461</t>
  </si>
  <si>
    <t>108.770897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</si>
  <si>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</si>
  <si>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</si>
  <si>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</si>
  <si>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</si>
  <si>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</si>
  <si>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</si>
  <si>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</si>
  <si>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</si>
  <si>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</si>
  <si>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</si>
  <si>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</si>
  <si>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15.303476</t>
  </si>
  <si>
    <t>108.762572</t>
  </si>
  <si>
    <t>FO thuê#CMC#QNBS58-QNBS23</t>
  </si>
  <si>
    <t>565.66</t>
  </si>
  <si>
    <t>522.11</t>
  </si>
  <si>
    <t>15.298811</t>
  </si>
  <si>
    <t>108.763128</t>
  </si>
  <si>
    <t>QNBS1D-TTCMKV Bình Sơn</t>
  </si>
  <si>
    <t>15.290408</t>
  </si>
  <si>
    <t>108.75877</t>
  </si>
  <si>
    <t>FO DT#MBF#QNBS1D-QNBS23</t>
  </si>
  <si>
    <t>214.98</t>
  </si>
  <si>
    <t>171.44</t>
  </si>
  <si>
    <t>15.291643</t>
  </si>
  <si>
    <t>108.757813</t>
  </si>
  <si>
    <t>QNQN26-TTCMKV Tư Nghĩa</t>
  </si>
  <si>
    <t>15.11033</t>
  </si>
  <si>
    <t>108.84444</t>
  </si>
  <si>
    <t>15.08352</t>
  </si>
  <si>
    <t>108.8265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</si>
  <si>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</si>
  <si>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</si>
  <si>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</si>
  <si>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</si>
  <si>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</si>
  <si>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</si>
  <si>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</si>
  <si>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</si>
  <si>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</si>
  <si>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</si>
  <si>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15.07724</t>
  </si>
  <si>
    <t>108.83239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</si>
  <si>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</si>
  <si>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</si>
  <si>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</si>
  <si>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</si>
  <si>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</si>
  <si>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</si>
  <si>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</si>
  <si>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</si>
  <si>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</si>
  <si>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</si>
  <si>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</si>
  <si>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15.09092</t>
  </si>
  <si>
    <t>108.82178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</si>
  <si>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</si>
  <si>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</si>
  <si>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</si>
  <si>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</si>
  <si>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</si>
  <si>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</si>
  <si>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</si>
  <si>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</si>
  <si>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</si>
  <si>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</si>
  <si>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</si>
  <si>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</si>
  <si>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</si>
  <si>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</si>
  <si>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</si>
  <si>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</si>
  <si>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</si>
  <si>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</si>
  <si>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</si>
  <si>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</si>
  <si>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</si>
  <si>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</si>
  <si>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</si>
  <si>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</si>
  <si>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</si>
  <si>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</si>
  <si>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</si>
  <si>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</si>
  <si>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15.32723</t>
  </si>
  <si>
    <t>108.85823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</si>
  <si>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</si>
  <si>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</si>
  <si>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</si>
  <si>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</si>
  <si>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</si>
  <si>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</si>
  <si>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</si>
  <si>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</si>
  <si>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</si>
  <si>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</si>
  <si>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</si>
  <si>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15.33596</t>
  </si>
  <si>
    <t>108.84093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</si>
  <si>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</si>
  <si>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</si>
  <si>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</si>
  <si>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</si>
  <si>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</si>
  <si>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</si>
  <si>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</si>
  <si>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</si>
  <si>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</si>
  <si>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15.34418</t>
  </si>
  <si>
    <t>108.84667</t>
  </si>
  <si>
    <t>FO thuê#CMC#QNBS59-QNBS03</t>
  </si>
  <si>
    <t>950.54</t>
  </si>
  <si>
    <t>925.38</t>
  </si>
  <si>
    <t>15.336482</t>
  </si>
  <si>
    <t>108.843392</t>
  </si>
  <si>
    <t>QNBS36-Vạn Tường</t>
  </si>
  <si>
    <t>15.34005</t>
  </si>
  <si>
    <t>108.86195</t>
  </si>
  <si>
    <t>FO thuê#CMC#QNBS36-QNBS03</t>
  </si>
  <si>
    <t>747.00</t>
  </si>
  <si>
    <t>668.52</t>
  </si>
  <si>
    <t>15.334077</t>
  </si>
  <si>
    <t>108.862662</t>
  </si>
  <si>
    <t>Đông Sơn-QNQN85</t>
  </si>
  <si>
    <t>15.22855</t>
  </si>
  <si>
    <t>108.84648</t>
  </si>
  <si>
    <t>15.214391</t>
  </si>
  <si>
    <t>108.884787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</si>
  <si>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</si>
  <si>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</si>
  <si>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</si>
  <si>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</si>
  <si>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</si>
  <si>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</si>
  <si>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</si>
  <si>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</si>
  <si>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</si>
  <si>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</si>
  <si>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</si>
  <si>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</si>
  <si>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</si>
  <si>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</si>
  <si>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</si>
  <si>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</si>
  <si>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</si>
  <si>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</si>
  <si>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</si>
  <si>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</si>
  <si>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15.24803</t>
  </si>
  <si>
    <t>108.85221</t>
  </si>
  <si>
    <t>FO thuê#CMC#QNBS79-QNBS21</t>
  </si>
  <si>
    <t>1218.79</t>
  </si>
  <si>
    <t>1090.95</t>
  </si>
  <si>
    <t>15.239502</t>
  </si>
  <si>
    <t>108.857239</t>
  </si>
  <si>
    <t>QNQN1A-Đông Sơn</t>
  </si>
  <si>
    <t>15.22556</t>
  </si>
  <si>
    <t>108.8676267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</si>
  <si>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</si>
  <si>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</si>
  <si>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</si>
  <si>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</si>
  <si>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</si>
  <si>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</si>
  <si>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15.258455</t>
  </si>
  <si>
    <t>108.874644</t>
  </si>
  <si>
    <t>15.22061</t>
  </si>
  <si>
    <t>108.9128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</si>
  <si>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</si>
  <si>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</si>
  <si>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</si>
  <si>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</si>
  <si>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</si>
  <si>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</si>
  <si>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</si>
  <si>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</si>
  <si>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</si>
  <si>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15.187291</t>
  </si>
  <si>
    <t>108.885475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</si>
  <si>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</si>
  <si>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</si>
  <si>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</si>
  <si>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</si>
  <si>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</si>
  <si>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</si>
  <si>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</si>
  <si>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</si>
  <si>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</si>
  <si>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</si>
  <si>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</si>
  <si>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15.23925</t>
  </si>
  <si>
    <t>108.898275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</si>
  <si>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</si>
  <si>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</si>
  <si>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</si>
  <si>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</si>
  <si>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</si>
  <si>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</si>
  <si>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15.21923</t>
  </si>
  <si>
    <t>108.8989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</si>
  <si>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</si>
  <si>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</si>
  <si>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</si>
  <si>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</si>
  <si>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</si>
  <si>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</si>
  <si>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15.24197</t>
  </si>
  <si>
    <t>108.92384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</si>
  <si>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</si>
  <si>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</si>
  <si>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</si>
  <si>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</si>
  <si>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</si>
  <si>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</si>
  <si>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15.230562</t>
  </si>
  <si>
    <t>108.93366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</si>
  <si>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</si>
  <si>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</si>
  <si>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</si>
  <si>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</si>
  <si>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</si>
  <si>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</si>
  <si>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15.21754</t>
  </si>
  <si>
    <t>108.9158</t>
  </si>
  <si>
    <t>FO DT#MBF#QNBS05-QNBS1M</t>
  </si>
  <si>
    <t>235.23</t>
  </si>
  <si>
    <t>222.20</t>
  </si>
  <si>
    <t>15.219538</t>
  </si>
  <si>
    <t>108.915858</t>
  </si>
  <si>
    <t>QNBS09-Bình Chương</t>
  </si>
  <si>
    <t>15.262502</t>
  </si>
  <si>
    <t>108.676315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</si>
  <si>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</si>
  <si>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</si>
  <si>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</si>
  <si>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</si>
  <si>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</si>
  <si>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</si>
  <si>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</si>
  <si>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</si>
  <si>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</si>
  <si>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</si>
  <si>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</si>
  <si>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15.27585</t>
  </si>
  <si>
    <t>108.7234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</si>
  <si>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</si>
  <si>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</si>
  <si>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</si>
  <si>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</si>
  <si>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</si>
  <si>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</si>
  <si>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</si>
  <si>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</si>
  <si>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</si>
  <si>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</si>
  <si>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</si>
  <si>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15.25154</t>
  </si>
  <si>
    <t>108.70158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</si>
  <si>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</si>
  <si>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</si>
  <si>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</si>
  <si>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</si>
  <si>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</si>
  <si>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</si>
  <si>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</si>
  <si>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</si>
  <si>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</si>
  <si>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</si>
  <si>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</si>
  <si>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14.818233</t>
  </si>
  <si>
    <t>108.957663</t>
  </si>
  <si>
    <t>14.80887</t>
  </si>
  <si>
    <t>108.95685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</si>
  <si>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</si>
  <si>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</si>
  <si>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</si>
  <si>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</si>
  <si>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</si>
  <si>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</si>
  <si>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</si>
  <si>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</si>
  <si>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</si>
  <si>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</si>
  <si>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</si>
  <si>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14.789145</t>
  </si>
  <si>
    <t>108.966788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</si>
  <si>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</si>
  <si>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</si>
  <si>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</si>
  <si>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</si>
  <si>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</si>
  <si>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</si>
  <si>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</si>
  <si>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</si>
  <si>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</si>
  <si>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</si>
  <si>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14.82395</t>
  </si>
  <si>
    <t>108.94853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</si>
  <si>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</si>
  <si>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</si>
  <si>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</si>
  <si>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</si>
  <si>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</si>
  <si>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</si>
  <si>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</si>
  <si>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</si>
  <si>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14.808235</t>
  </si>
  <si>
    <t>108.962656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</si>
  <si>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</si>
  <si>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</si>
  <si>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</si>
  <si>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</si>
  <si>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</si>
  <si>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</si>
  <si>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</si>
  <si>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</si>
  <si>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</si>
  <si>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</si>
  <si>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</si>
  <si>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14.82219</t>
  </si>
  <si>
    <t>108.96378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</si>
  <si>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</si>
  <si>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</si>
  <si>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</si>
  <si>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</si>
  <si>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</si>
  <si>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</si>
  <si>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</si>
  <si>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</si>
  <si>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</si>
  <si>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</si>
  <si>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</si>
  <si>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14.8145</t>
  </si>
  <si>
    <t>108.9451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</si>
  <si>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</si>
  <si>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</si>
  <si>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</si>
  <si>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</si>
  <si>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</si>
  <si>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</si>
  <si>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</si>
  <si>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</si>
  <si>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</si>
  <si>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</si>
  <si>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</si>
  <si>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14.98548</t>
  </si>
  <si>
    <t>108.91271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</si>
  <si>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</si>
  <si>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</si>
  <si>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</si>
  <si>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</si>
  <si>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</si>
  <si>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</si>
  <si>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</si>
  <si>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</si>
  <si>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</si>
  <si>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</si>
  <si>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15.02182</t>
  </si>
  <si>
    <t>108.90242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</si>
  <si>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</si>
  <si>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</si>
  <si>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</si>
  <si>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</si>
  <si>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</si>
  <si>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</si>
  <si>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</si>
  <si>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</si>
  <si>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</si>
  <si>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</si>
  <si>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14.98421</t>
  </si>
  <si>
    <t>108.89432</t>
  </si>
  <si>
    <t>FO thuê#CMC#QNMD45-QNMD11</t>
  </si>
  <si>
    <t>1920.32</t>
  </si>
  <si>
    <t>1915.46</t>
  </si>
  <si>
    <t>14.989230</t>
  </si>
  <si>
    <t>108.911379</t>
  </si>
  <si>
    <t>QNMD31-Mỏ Cày</t>
  </si>
  <si>
    <t>14.96919</t>
  </si>
  <si>
    <t>108.90408</t>
  </si>
  <si>
    <t>FO thuê#CMC#QNMD31-QNMD11</t>
  </si>
  <si>
    <t>1540.45</t>
  </si>
  <si>
    <t>1535.58</t>
  </si>
  <si>
    <t>14.973222</t>
  </si>
  <si>
    <t>108.917752</t>
  </si>
  <si>
    <t>QNMD06-Long Phụng</t>
  </si>
  <si>
    <t>15.04167</t>
  </si>
  <si>
    <t>108.8642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</si>
  <si>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</si>
  <si>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</si>
  <si>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</si>
  <si>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</si>
  <si>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</si>
  <si>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</si>
  <si>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</si>
  <si>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</si>
  <si>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</si>
  <si>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</si>
  <si>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</si>
  <si>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</si>
  <si>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</si>
  <si>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</si>
  <si>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</si>
  <si>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</si>
  <si>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15.03913</t>
  </si>
  <si>
    <t>108.87859</t>
  </si>
  <si>
    <t>FO thuê#FFC#QNMD16-QNMD27</t>
  </si>
  <si>
    <t>649.64</t>
  </si>
  <si>
    <t>373.66</t>
  </si>
  <si>
    <t>15.035770</t>
  </si>
  <si>
    <t>108.878610</t>
  </si>
  <si>
    <t>Long Phụng-QNMD20</t>
  </si>
  <si>
    <t>15.02875</t>
  </si>
  <si>
    <t>108.858955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</si>
  <si>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</si>
  <si>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</si>
  <si>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</si>
  <si>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</si>
  <si>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</si>
  <si>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</si>
  <si>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</si>
  <si>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</si>
  <si>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</si>
  <si>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</si>
  <si>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15.00387</t>
  </si>
  <si>
    <t>108.71807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</si>
  <si>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</si>
  <si>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</si>
  <si>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</si>
  <si>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</si>
  <si>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</si>
  <si>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</si>
  <si>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</si>
  <si>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</si>
  <si>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</si>
  <si>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</si>
  <si>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</si>
  <si>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15.03821</t>
  </si>
  <si>
    <t>108.73287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</si>
  <si>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</si>
  <si>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</si>
  <si>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</si>
  <si>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</si>
  <si>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</si>
  <si>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</si>
  <si>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</si>
  <si>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</si>
  <si>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</si>
  <si>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</si>
  <si>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</si>
  <si>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</si>
  <si>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15.066842</t>
  </si>
  <si>
    <t>108.75176</t>
  </si>
  <si>
    <t>FO DT#MBF#QNNH05-QNNH10</t>
  </si>
  <si>
    <t>480.75</t>
  </si>
  <si>
    <t>144.16</t>
  </si>
  <si>
    <t>15.066254</t>
  </si>
  <si>
    <t>108.750563</t>
  </si>
  <si>
    <t>QNNH07-Thiện Tín</t>
  </si>
  <si>
    <t>15.00982</t>
  </si>
  <si>
    <t>108.78337</t>
  </si>
  <si>
    <t>14.95658</t>
  </si>
  <si>
    <t>108.775098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</si>
  <si>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</si>
  <si>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</si>
  <si>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</si>
  <si>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</si>
  <si>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</si>
  <si>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</si>
  <si>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</si>
  <si>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</si>
  <si>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</si>
  <si>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</si>
  <si>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14.956813</t>
  </si>
  <si>
    <t>108.847593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</si>
  <si>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</si>
  <si>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</si>
  <si>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</si>
  <si>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</si>
  <si>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</si>
  <si>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</si>
  <si>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</si>
  <si>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</si>
  <si>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</si>
  <si>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</si>
  <si>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</si>
  <si>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14.92046</t>
  </si>
  <si>
    <t>108.77181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</si>
  <si>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</si>
  <si>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</si>
  <si>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</si>
  <si>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</si>
  <si>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</si>
  <si>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</si>
  <si>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</si>
  <si>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</si>
  <si>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</si>
  <si>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</si>
  <si>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</si>
  <si>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14.96255</t>
  </si>
  <si>
    <t>108.7386202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</si>
  <si>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</si>
  <si>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</si>
  <si>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</si>
  <si>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</si>
  <si>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</si>
  <si>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</si>
  <si>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</si>
  <si>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</si>
  <si>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</si>
  <si>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</si>
  <si>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</si>
  <si>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15.01525</t>
  </si>
  <si>
    <t>108.82158</t>
  </si>
  <si>
    <t>FO thuê#CMC#QNNH16-QNNH17</t>
  </si>
  <si>
    <t>1809.87</t>
  </si>
  <si>
    <t>1588.40</t>
  </si>
  <si>
    <t>108.809188</t>
  </si>
  <si>
    <t>Đình Cương-QNNH08</t>
  </si>
  <si>
    <t>15.03804</t>
  </si>
  <si>
    <t>108.82046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</si>
  <si>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</si>
  <si>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</si>
  <si>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</si>
  <si>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</si>
  <si>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</si>
  <si>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</si>
  <si>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</si>
  <si>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</si>
  <si>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</si>
  <si>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</si>
  <si>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15.011313</t>
  </si>
  <si>
    <t>108.818012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</si>
  <si>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</si>
  <si>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</si>
  <si>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</si>
  <si>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</si>
  <si>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</si>
  <si>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</si>
  <si>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</si>
  <si>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</si>
  <si>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</si>
  <si>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15.0179</t>
  </si>
  <si>
    <t>108.7974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</si>
  <si>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</si>
  <si>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</si>
  <si>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</si>
  <si>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</si>
  <si>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</si>
  <si>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</si>
  <si>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</si>
  <si>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</si>
  <si>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</si>
  <si>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</si>
  <si>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15.01828</t>
  </si>
  <si>
    <t>108.83235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</si>
  <si>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</si>
  <si>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</si>
  <si>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</si>
  <si>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</si>
  <si>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</si>
  <si>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</si>
  <si>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</si>
  <si>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</si>
  <si>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</si>
  <si>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</si>
  <si>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</si>
  <si>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</si>
  <si>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</si>
  <si>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</si>
  <si>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</si>
  <si>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</si>
  <si>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15.00338</t>
  </si>
  <si>
    <t>108.72064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</si>
  <si>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</si>
  <si>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</si>
  <si>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</si>
  <si>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</si>
  <si>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</si>
  <si>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</si>
  <si>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</si>
  <si>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</si>
  <si>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</si>
  <si>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</si>
  <si>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</si>
  <si>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15.03353</t>
  </si>
  <si>
    <t>108.74694</t>
  </si>
  <si>
    <t>FO DT#MBF#QNNH19-QNNH15</t>
  </si>
  <si>
    <t>929.87</t>
  </si>
  <si>
    <t>646.87</t>
  </si>
  <si>
    <t>15.038031</t>
  </si>
  <si>
    <t>108.743124</t>
  </si>
  <si>
    <t>CS113-QNQN47</t>
  </si>
  <si>
    <t>15.1186</t>
  </si>
  <si>
    <t>108.8064</t>
  </si>
  <si>
    <t>15.124493</t>
  </si>
  <si>
    <t>108.80507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</si>
  <si>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</si>
  <si>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</si>
  <si>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</si>
  <si>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</si>
  <si>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</si>
  <si>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</si>
  <si>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</si>
  <si>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</si>
  <si>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</si>
  <si>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</si>
  <si>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</si>
  <si>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15.11186</t>
  </si>
  <si>
    <t>108.80451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</si>
  <si>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</si>
  <si>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</si>
  <si>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</si>
  <si>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</si>
  <si>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</si>
  <si>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</si>
  <si>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</si>
  <si>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</si>
  <si>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</si>
  <si>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</si>
  <si>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</si>
  <si>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15.11729</t>
  </si>
  <si>
    <t>108.80927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</si>
  <si>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</si>
  <si>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</si>
  <si>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</si>
  <si>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</si>
  <si>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</si>
  <si>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</si>
  <si>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</si>
  <si>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</si>
  <si>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</si>
  <si>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</si>
  <si>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</si>
  <si>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15.11312</t>
  </si>
  <si>
    <t>108.8081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</si>
  <si>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</si>
  <si>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</si>
  <si>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</si>
  <si>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</si>
  <si>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</si>
  <si>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</si>
  <si>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</si>
  <si>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</si>
  <si>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</si>
  <si>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</si>
  <si>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</si>
  <si>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</si>
  <si>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</si>
  <si>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</si>
  <si>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</si>
  <si>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</si>
  <si>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</si>
  <si>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15.10897</t>
  </si>
  <si>
    <t>108.82925</t>
  </si>
  <si>
    <t>15.12274</t>
  </si>
  <si>
    <t>108.8181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</si>
  <si>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</si>
  <si>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</si>
  <si>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</si>
  <si>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</si>
  <si>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</si>
  <si>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</si>
  <si>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</si>
  <si>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</si>
  <si>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</si>
  <si>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</si>
  <si>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15.12304</t>
  </si>
  <si>
    <t>108.82559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</si>
  <si>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</si>
  <si>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</si>
  <si>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</si>
  <si>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</si>
  <si>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</si>
  <si>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</si>
  <si>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</si>
  <si>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</si>
  <si>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</si>
  <si>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</si>
  <si>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</si>
  <si>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</si>
  <si>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</si>
  <si>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</si>
  <si>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</si>
  <si>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</si>
  <si>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</si>
  <si>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</si>
  <si>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</si>
  <si>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</si>
  <si>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</si>
  <si>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</si>
  <si>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15.12072</t>
  </si>
  <si>
    <t>108.78696</t>
  </si>
  <si>
    <t>15.12796</t>
  </si>
  <si>
    <t>108.7873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</si>
  <si>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</si>
  <si>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</si>
  <si>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</si>
  <si>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</si>
  <si>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</si>
  <si>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</si>
  <si>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</si>
  <si>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</si>
  <si>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</si>
  <si>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</si>
  <si>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</si>
  <si>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15.12811</t>
  </si>
  <si>
    <t>108.79552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</si>
  <si>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</si>
  <si>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</si>
  <si>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</si>
  <si>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</si>
  <si>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</si>
  <si>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</si>
  <si>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</si>
  <si>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</si>
  <si>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</si>
  <si>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</si>
  <si>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15.14384</t>
  </si>
  <si>
    <t>108.78564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</si>
  <si>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</si>
  <si>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</si>
  <si>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</si>
  <si>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</si>
  <si>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</si>
  <si>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</si>
  <si>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</si>
  <si>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</si>
  <si>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</si>
  <si>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</si>
  <si>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</si>
  <si>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15.12125</t>
  </si>
  <si>
    <t>108.78855</t>
  </si>
  <si>
    <t>15.09571</t>
  </si>
  <si>
    <t>108.78259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</si>
  <si>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</si>
  <si>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</si>
  <si>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</si>
  <si>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</si>
  <si>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</si>
  <si>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</si>
  <si>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</si>
  <si>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15.09048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</si>
  <si>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</si>
  <si>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</si>
  <si>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</si>
  <si>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</si>
  <si>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</si>
  <si>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</si>
  <si>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</si>
  <si>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</si>
  <si>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</si>
  <si>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</si>
  <si>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</si>
  <si>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</si>
  <si>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</si>
  <si>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</si>
  <si>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</si>
  <si>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</si>
  <si>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</si>
  <si>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</si>
  <si>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</si>
  <si>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</si>
  <si>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</si>
  <si>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</si>
  <si>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</si>
  <si>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</si>
  <si>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</si>
  <si>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</si>
  <si>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15.12592</t>
  </si>
  <si>
    <t>108.78827</t>
  </si>
  <si>
    <t>FO thuê#CMC#QNQN12-QNQN50</t>
  </si>
  <si>
    <t>212.76</t>
  </si>
  <si>
    <t>195.87</t>
  </si>
  <si>
    <t>15.125795</t>
  </si>
  <si>
    <t>108.786450</t>
  </si>
  <si>
    <t>Khối Phòng PA08,PA05-QNQN45</t>
  </si>
  <si>
    <t>15.11456</t>
  </si>
  <si>
    <t>108.7962</t>
  </si>
  <si>
    <t>FO thuê#CMC#QNQN09-QNQN45</t>
  </si>
  <si>
    <t>16.58</t>
  </si>
  <si>
    <t>4.90</t>
  </si>
  <si>
    <t>15.114583</t>
  </si>
  <si>
    <t>108.796239</t>
  </si>
  <si>
    <t>Khối Phòng PA08,PA05-QNQN46</t>
  </si>
  <si>
    <t>15.12132</t>
  </si>
  <si>
    <t>108.79524</t>
  </si>
  <si>
    <t>FO thuê#CMC#QNQN09-QNQN46</t>
  </si>
  <si>
    <t>311.37</t>
  </si>
  <si>
    <t>299.69</t>
  </si>
  <si>
    <t>15.118803</t>
  </si>
  <si>
    <t>Khối Phòng PA08,PA05-QNQN55</t>
  </si>
  <si>
    <t>15.10853</t>
  </si>
  <si>
    <t>108.79265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</si>
  <si>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</si>
  <si>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</si>
  <si>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</si>
  <si>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</si>
  <si>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</si>
  <si>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</si>
  <si>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</si>
  <si>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</si>
  <si>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</si>
  <si>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</si>
  <si>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</si>
  <si>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15.11905</t>
  </si>
  <si>
    <t>108.79941</t>
  </si>
  <si>
    <t>FO thuê#FFC#QNQN18-QNQN09</t>
  </si>
  <si>
    <t>121.29</t>
  </si>
  <si>
    <t>109.61</t>
  </si>
  <si>
    <t>15.118825</t>
  </si>
  <si>
    <t>108.798416</t>
  </si>
  <si>
    <t>Khối Phòng PA08,PA05-PA03</t>
  </si>
  <si>
    <t>15.12074</t>
  </si>
  <si>
    <t>108.7989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</si>
  <si>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</si>
  <si>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</si>
  <si>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</si>
  <si>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</si>
  <si>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</si>
  <si>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</si>
  <si>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15.12194</t>
  </si>
  <si>
    <t>108.817</t>
  </si>
  <si>
    <t>15.11488</t>
  </si>
  <si>
    <t>108.81338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</si>
  <si>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</si>
  <si>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</si>
  <si>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</si>
  <si>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</si>
  <si>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</si>
  <si>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</si>
  <si>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</si>
  <si>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15.13094</t>
  </si>
  <si>
    <t>108.80621</t>
  </si>
  <si>
    <t>FO DT#MBF#QNQN19-QNQN35</t>
  </si>
  <si>
    <t>351.74</t>
  </si>
  <si>
    <t>17.29</t>
  </si>
  <si>
    <t>15.131022</t>
  </si>
  <si>
    <t>108.806347</t>
  </si>
  <si>
    <t>QNTN04-An Phú</t>
  </si>
  <si>
    <t>15.09575</t>
  </si>
  <si>
    <t>108.87724</t>
  </si>
  <si>
    <t>15.12683</t>
  </si>
  <si>
    <t>108.88441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</si>
  <si>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</si>
  <si>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</si>
  <si>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</si>
  <si>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</si>
  <si>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</si>
  <si>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</si>
  <si>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</si>
  <si>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</si>
  <si>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</si>
  <si>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</si>
  <si>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</si>
  <si>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</si>
  <si>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</si>
  <si>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</si>
  <si>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</si>
  <si>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</si>
  <si>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</si>
  <si>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15.134818</t>
  </si>
  <si>
    <t>108.880393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</si>
  <si>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</si>
  <si>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</si>
  <si>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</si>
  <si>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</si>
  <si>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</si>
  <si>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</si>
  <si>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</si>
  <si>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</si>
  <si>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</si>
  <si>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</si>
  <si>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</si>
  <si>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15.12609</t>
  </si>
  <si>
    <t>108.87932</t>
  </si>
  <si>
    <t>FO thuê#FFC#QNQN2G-QNQN2D</t>
  </si>
  <si>
    <t>293.08</t>
  </si>
  <si>
    <t>281.50</t>
  </si>
  <si>
    <t>15.128410</t>
  </si>
  <si>
    <t>108.880370</t>
  </si>
  <si>
    <t>QNQN2H-An Phú</t>
  </si>
  <si>
    <t>15.12614</t>
  </si>
  <si>
    <t>108.85972</t>
  </si>
  <si>
    <t>FO thuê#FFC#QNQN2H-QNQN2D</t>
  </si>
  <si>
    <t>197.17</t>
  </si>
  <si>
    <t>185.59</t>
  </si>
  <si>
    <t>15.124615</t>
  </si>
  <si>
    <t>108.860423</t>
  </si>
  <si>
    <t>QNQN67-An Phú</t>
  </si>
  <si>
    <t>15.12467</t>
  </si>
  <si>
    <t>108.86877</t>
  </si>
  <si>
    <t>FO thuê#FFC#QNQN67-QNQN2D</t>
  </si>
  <si>
    <t>338.94</t>
  </si>
  <si>
    <t>327.36</t>
  </si>
  <si>
    <t>15.127604</t>
  </si>
  <si>
    <t>108.869018</t>
  </si>
  <si>
    <t>QNQN38-PC08</t>
  </si>
  <si>
    <t>15.1052</t>
  </si>
  <si>
    <t>108.8112</t>
  </si>
  <si>
    <t>15.10006</t>
  </si>
  <si>
    <t>108.8068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</si>
  <si>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</si>
  <si>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</si>
  <si>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</si>
  <si>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</si>
  <si>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</si>
  <si>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</si>
  <si>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</si>
  <si>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</si>
  <si>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</si>
  <si>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</si>
  <si>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</si>
  <si>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</si>
  <si>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</si>
  <si>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</si>
  <si>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</si>
  <si>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</si>
  <si>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</si>
  <si>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</si>
  <si>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</si>
  <si>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</si>
  <si>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</si>
  <si>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</si>
  <si>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</si>
  <si>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</si>
  <si>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</si>
  <si>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</si>
  <si>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15.107173</t>
  </si>
  <si>
    <t>108.802827</t>
  </si>
  <si>
    <t>FO DT#MBF#QNQN25-QNQN2L</t>
  </si>
  <si>
    <t>90.92</t>
  </si>
  <si>
    <t>41.79</t>
  </si>
  <si>
    <t>15.107366</t>
  </si>
  <si>
    <t>108.803161</t>
  </si>
  <si>
    <t>TT Quảng Ngãi (mới)-QNQN59</t>
  </si>
  <si>
    <t>15.11917</t>
  </si>
  <si>
    <t>108.8368</t>
  </si>
  <si>
    <t>FO thuê#CMC#QNQN41-QNQN59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</si>
  <si>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</si>
  <si>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</si>
  <si>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</si>
  <si>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</si>
  <si>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</si>
  <si>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</si>
  <si>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</si>
  <si>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</si>
  <si>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15.13104</t>
  </si>
  <si>
    <t>108.84247</t>
  </si>
  <si>
    <t>FO DT#MBF#QNQN07-QNQN41</t>
  </si>
  <si>
    <t>589.25</t>
  </si>
  <si>
    <t>145.37</t>
  </si>
  <si>
    <t>15.132324</t>
  </si>
  <si>
    <t>108.842215</t>
  </si>
  <si>
    <t>QNQN05-PA03</t>
  </si>
  <si>
    <t>15.12261</t>
  </si>
  <si>
    <t>108.80157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</si>
  <si>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</si>
  <si>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</si>
  <si>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</si>
  <si>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</si>
  <si>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</si>
  <si>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</si>
  <si>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</si>
  <si>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</si>
  <si>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</si>
  <si>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</si>
  <si>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</si>
  <si>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</si>
  <si>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</si>
  <si>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</si>
  <si>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</si>
  <si>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</si>
  <si>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</si>
  <si>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</si>
  <si>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</si>
  <si>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</si>
  <si>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</si>
  <si>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108.82013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</si>
  <si>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</si>
  <si>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</si>
  <si>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</si>
  <si>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</si>
  <si>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</si>
  <si>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</si>
  <si>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</si>
  <si>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</si>
  <si>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</si>
  <si>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</si>
  <si>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</si>
  <si>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</si>
  <si>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</si>
  <si>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</si>
  <si>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</si>
  <si>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</si>
  <si>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15.20055</t>
  </si>
  <si>
    <t>108.83577</t>
  </si>
  <si>
    <t>15.18297</t>
  </si>
  <si>
    <t>108.85261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</si>
  <si>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</si>
  <si>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</si>
  <si>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</si>
  <si>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</si>
  <si>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</si>
  <si>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</si>
  <si>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</si>
  <si>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</si>
  <si>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</si>
  <si>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</si>
  <si>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</si>
  <si>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</si>
  <si>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</si>
  <si>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</si>
  <si>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</si>
  <si>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15.1844</t>
  </si>
  <si>
    <t>108.8397</t>
  </si>
  <si>
    <t>FO DT#MBF#QNQN2N-QNQN81</t>
  </si>
  <si>
    <t>918.81</t>
  </si>
  <si>
    <t>844.29</t>
  </si>
  <si>
    <t>15.191810</t>
  </si>
  <si>
    <t>108.841418</t>
  </si>
  <si>
    <t>QNQN80-Trương Quang Trọng</t>
  </si>
  <si>
    <t>15.15256</t>
  </si>
  <si>
    <t>108.78601</t>
  </si>
  <si>
    <t>15.15547</t>
  </si>
  <si>
    <t>108.79689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</si>
  <si>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</si>
  <si>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</si>
  <si>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</si>
  <si>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</si>
  <si>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</si>
  <si>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</si>
  <si>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</si>
  <si>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</si>
  <si>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</si>
  <si>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</si>
  <si>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</si>
  <si>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</si>
  <si>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</si>
  <si>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</si>
  <si>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</si>
  <si>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</si>
  <si>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</si>
  <si>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</si>
  <si>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15.14859</t>
  </si>
  <si>
    <t>108.7971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</si>
  <si>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</si>
  <si>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</si>
  <si>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</si>
  <si>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</si>
  <si>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</si>
  <si>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</si>
  <si>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</si>
  <si>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</si>
  <si>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</si>
  <si>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15.1764373</t>
  </si>
  <si>
    <t>108.7914256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</si>
  <si>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</si>
  <si>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</si>
  <si>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</si>
  <si>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</si>
  <si>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</si>
  <si>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</si>
  <si>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</si>
  <si>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</si>
  <si>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</si>
  <si>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15.2163</t>
  </si>
  <si>
    <t>108.76149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</si>
  <si>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</si>
  <si>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</si>
  <si>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</si>
  <si>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</si>
  <si>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</si>
  <si>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</si>
  <si>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</si>
  <si>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</si>
  <si>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</si>
  <si>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</si>
  <si>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</si>
  <si>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15.24031</t>
  </si>
  <si>
    <t>108.74738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</si>
  <si>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</si>
  <si>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</si>
  <si>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</si>
  <si>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</si>
  <si>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</si>
  <si>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</si>
  <si>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</si>
  <si>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</si>
  <si>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</si>
  <si>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</si>
  <si>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15.24004</t>
  </si>
  <si>
    <t>108.76299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</si>
  <si>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</si>
  <si>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</si>
  <si>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</si>
  <si>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</si>
  <si>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</si>
  <si>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</si>
  <si>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</si>
  <si>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</si>
  <si>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15.19974</t>
  </si>
  <si>
    <t>108.76285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</si>
  <si>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</si>
  <si>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</si>
  <si>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</si>
  <si>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</si>
  <si>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</si>
  <si>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</si>
  <si>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</si>
  <si>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</si>
  <si>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</si>
  <si>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</si>
  <si>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15.15761</t>
  </si>
  <si>
    <t>108.76909</t>
  </si>
  <si>
    <t>FO thuê#CMC#QNST47-QNST07</t>
  </si>
  <si>
    <t>907.42</t>
  </si>
  <si>
    <t>790.80</t>
  </si>
  <si>
    <t>15.151778</t>
  </si>
  <si>
    <t>108.773307</t>
  </si>
  <si>
    <t>Trà Giang-QNTN09</t>
  </si>
  <si>
    <t>15.137501</t>
  </si>
  <si>
    <t>108.691212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</si>
  <si>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</si>
  <si>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</si>
  <si>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</si>
  <si>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</si>
  <si>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</si>
  <si>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</si>
  <si>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</si>
  <si>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</si>
  <si>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</si>
  <si>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</si>
  <si>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</si>
  <si>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15.12321</t>
  </si>
  <si>
    <t>108.70959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</si>
  <si>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</si>
  <si>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</si>
  <si>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</si>
  <si>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</si>
  <si>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</si>
  <si>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</si>
  <si>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</si>
  <si>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</si>
  <si>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</si>
  <si>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</si>
  <si>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15.144255</t>
  </si>
  <si>
    <t>108.728825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</si>
  <si>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</si>
  <si>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</si>
  <si>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</si>
  <si>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</si>
  <si>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</si>
  <si>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</si>
  <si>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</si>
  <si>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</si>
  <si>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</si>
  <si>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</si>
  <si>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15.11711</t>
  </si>
  <si>
    <t>108.7462</t>
  </si>
  <si>
    <t>FO DT#MBF#QNTN66-QNTN06</t>
  </si>
  <si>
    <t>376.76</t>
  </si>
  <si>
    <t>291.51</t>
  </si>
  <si>
    <t>15.119568</t>
  </si>
  <si>
    <t>108.747144</t>
  </si>
  <si>
    <t>QNTN38-Vệ Giang</t>
  </si>
  <si>
    <t>15.030881</t>
  </si>
  <si>
    <t>108.839769</t>
  </si>
  <si>
    <t>15.04918</t>
  </si>
  <si>
    <t>108.8491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</si>
  <si>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</si>
  <si>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</si>
  <si>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</si>
  <si>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</si>
  <si>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</si>
  <si>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</si>
  <si>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</si>
  <si>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</si>
  <si>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</si>
  <si>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</si>
  <si>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</si>
  <si>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</si>
  <si>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</si>
  <si>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</si>
  <si>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</si>
  <si>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</si>
  <si>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</si>
  <si>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</si>
  <si>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</si>
  <si>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</si>
  <si>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</si>
  <si>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</si>
  <si>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15.11258</t>
  </si>
  <si>
    <t>108.73561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</si>
  <si>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</si>
  <si>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</si>
  <si>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</si>
  <si>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</si>
  <si>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</si>
  <si>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</si>
  <si>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</si>
  <si>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</si>
  <si>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</si>
  <si>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</si>
  <si>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</si>
  <si>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</si>
  <si>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</si>
  <si>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</si>
  <si>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</si>
  <si>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</si>
  <si>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</si>
  <si>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</si>
  <si>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</si>
  <si>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</si>
  <si>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</si>
  <si>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</si>
  <si>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</si>
  <si>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</si>
  <si>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</si>
  <si>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</si>
  <si>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15.11337</t>
  </si>
  <si>
    <t>108.8636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</si>
  <si>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</si>
  <si>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</si>
  <si>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</si>
  <si>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</si>
  <si>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</si>
  <si>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</si>
  <si>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</si>
  <si>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15.093257</t>
  </si>
  <si>
    <t>108.849189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</si>
  <si>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</si>
  <si>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</si>
  <si>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</si>
  <si>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</si>
  <si>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</si>
  <si>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</si>
  <si>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</si>
  <si>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</si>
  <si>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</si>
  <si>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16.47699</t>
  </si>
  <si>
    <t>107.6256</t>
  </si>
  <si>
    <t>16.54695</t>
  </si>
  <si>
    <t>107.63797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</si>
  <si>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</si>
  <si>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</si>
  <si>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</si>
  <si>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</si>
  <si>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</si>
  <si>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</si>
  <si>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</si>
  <si>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</si>
  <si>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</si>
  <si>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</si>
  <si>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Phú Vang-HUPLMA02</t>
  </si>
  <si>
    <t>16.44</t>
  </si>
  <si>
    <t>107.7165</t>
  </si>
  <si>
    <t>16.269802</t>
  </si>
  <si>
    <t>107.8984</t>
  </si>
  <si>
    <t>FO DT#MBF#HUPV48-HUPLMA02</t>
  </si>
  <si>
    <t>TTCMKV_Ring 1_Phú Vang-Phú Lộc</t>
  </si>
  <si>
    <t>14876.49</t>
  </si>
  <si>
    <t>6451.64</t>
  </si>
  <si>
    <t>16.432221</t>
  </si>
  <si>
    <t>107.776447</t>
  </si>
  <si>
    <t>8424.86</t>
  </si>
  <si>
    <t>16.345566</t>
  </si>
  <si>
    <t>107.899031</t>
  </si>
  <si>
    <t>full_h04/Huế/Mạng cấp 3/Ring 1 TTCMKV/TTCMKV_Ring 1_Phú Vang-Phú Lộc/Trung thế</t>
  </si>
  <si>
    <t>TTCMKV Phú Lộc-HUPLMA01</t>
  </si>
  <si>
    <t>16.277</t>
  </si>
  <si>
    <t>107.8626</t>
  </si>
  <si>
    <t>16.339514</t>
  </si>
  <si>
    <t>107.743756</t>
  </si>
  <si>
    <t>FO DT#MBF#HUPLMA02-HUHTMA01</t>
  </si>
  <si>
    <t>Ring 13_Hương Phú-TTCMKV Phú Lộc</t>
  </si>
  <si>
    <t>4467.69</t>
  </si>
  <si>
    <t>710.67</t>
  </si>
  <si>
    <t>16.282230</t>
  </si>
  <si>
    <t>107.858773</t>
  </si>
  <si>
    <t>3757.02</t>
  </si>
  <si>
    <t>16.321273</t>
  </si>
  <si>
    <t>107.773392</t>
  </si>
  <si>
    <t>full_h04/Huế/Mang cap 4/Ring 13/Ring 13_Hương Phú-TTCMKV Phú Lộc/Trung thế</t>
  </si>
  <si>
    <t>TTCMKV Hương Thủy-HUPV08</t>
  </si>
  <si>
    <t>16.4092</t>
  </si>
  <si>
    <t>107.6814</t>
  </si>
  <si>
    <t>16.49516</t>
  </si>
  <si>
    <t>107.62916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</si>
  <si>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</si>
  <si>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</si>
  <si>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</si>
  <si>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</si>
  <si>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</si>
  <si>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</si>
  <si>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</si>
  <si>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</si>
  <si>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</si>
  <si>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</si>
  <si>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</si>
  <si>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16.48623</t>
  </si>
  <si>
    <t>107.49847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</si>
  <si>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</si>
  <si>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</si>
  <si>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</si>
  <si>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</si>
  <si>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</si>
  <si>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</si>
  <si>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</si>
  <si>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</si>
  <si>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16.5703</t>
  </si>
  <si>
    <t>107.3823</t>
  </si>
  <si>
    <t>16.56874</t>
  </si>
  <si>
    <t>107.5136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</si>
  <si>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</si>
  <si>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</si>
  <si>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</si>
  <si>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</si>
  <si>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</si>
  <si>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</si>
  <si>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</si>
  <si>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</si>
  <si>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</si>
  <si>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</si>
  <si>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</si>
  <si>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16.46507</t>
  </si>
  <si>
    <t>107.5959</t>
  </si>
  <si>
    <t>16.462433</t>
  </si>
  <si>
    <t>107.59441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</si>
  <si>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</si>
  <si>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</si>
  <si>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</si>
  <si>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</si>
  <si>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</si>
  <si>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</si>
  <si>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</si>
  <si>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</si>
  <si>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</si>
  <si>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</si>
  <si>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</si>
  <si>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16.4873</t>
  </si>
  <si>
    <t>107.5877</t>
  </si>
  <si>
    <t>16.48302</t>
  </si>
  <si>
    <t>107.5866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</si>
  <si>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</si>
  <si>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</si>
  <si>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</si>
  <si>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</si>
  <si>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</si>
  <si>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</si>
  <si>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</si>
  <si>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</si>
  <si>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</si>
  <si>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</si>
  <si>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</si>
  <si>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16.49574</t>
  </si>
  <si>
    <t>107.5986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</si>
  <si>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</si>
  <si>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</si>
  <si>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</si>
  <si>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</si>
  <si>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</si>
  <si>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</si>
  <si>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</si>
  <si>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</si>
  <si>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</si>
  <si>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</si>
  <si>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</si>
  <si>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16.47548</t>
  </si>
  <si>
    <t>107.6031</t>
  </si>
  <si>
    <t>16.476389</t>
  </si>
  <si>
    <t>107.60625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</si>
  <si>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</si>
  <si>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</si>
  <si>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</si>
  <si>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</si>
  <si>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</si>
  <si>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</si>
  <si>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</si>
  <si>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</si>
  <si>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</si>
  <si>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</si>
  <si>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</si>
  <si>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16.45136</t>
  </si>
  <si>
    <t>107.6125</t>
  </si>
  <si>
    <t>16.45792</t>
  </si>
  <si>
    <t>107.59661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</si>
  <si>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</si>
  <si>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</si>
  <si>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</si>
  <si>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</si>
  <si>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</si>
  <si>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</si>
  <si>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</si>
  <si>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</si>
  <si>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</si>
  <si>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</si>
  <si>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</si>
  <si>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16.46196</t>
  </si>
  <si>
    <t>107.5961</t>
  </si>
  <si>
    <t>16.464639</t>
  </si>
  <si>
    <t>107.589694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</si>
  <si>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</si>
  <si>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</si>
  <si>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</si>
  <si>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</si>
  <si>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</si>
  <si>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</si>
  <si>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</si>
  <si>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</si>
  <si>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</si>
  <si>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16.40444</t>
  </si>
  <si>
    <t>107.6318</t>
  </si>
  <si>
    <t>16.37601</t>
  </si>
  <si>
    <t>107.56237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</si>
  <si>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</si>
  <si>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</si>
  <si>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</si>
  <si>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</si>
  <si>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</si>
  <si>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</si>
  <si>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</si>
  <si>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</si>
  <si>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</si>
  <si>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</si>
  <si>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</si>
  <si>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16.42841</t>
  </si>
  <si>
    <t>107.5107</t>
  </si>
  <si>
    <t>16.5252</t>
  </si>
  <si>
    <t>107.47588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</si>
  <si>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</si>
  <si>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</si>
  <si>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</si>
  <si>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</si>
  <si>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</si>
  <si>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</si>
  <si>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</si>
  <si>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</si>
  <si>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</si>
  <si>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16.4625</t>
  </si>
  <si>
    <t>107.5951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</si>
  <si>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</si>
  <si>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</si>
  <si>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</si>
  <si>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</si>
  <si>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</si>
  <si>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</si>
  <si>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</si>
  <si>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16.39632</t>
  </si>
  <si>
    <t>107.7031</t>
  </si>
  <si>
    <t>16.39312</t>
  </si>
  <si>
    <t>107.60934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</si>
  <si>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</si>
  <si>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</si>
  <si>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</si>
  <si>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</si>
  <si>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</si>
  <si>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</si>
  <si>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</si>
  <si>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</si>
  <si>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</si>
  <si>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16.46768</t>
  </si>
  <si>
    <t>107.595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</si>
  <si>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</si>
  <si>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</si>
  <si>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</si>
  <si>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</si>
  <si>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</si>
  <si>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</si>
  <si>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</si>
  <si>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</si>
  <si>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</si>
  <si>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</si>
  <si>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</si>
  <si>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16.66898</t>
  </si>
  <si>
    <t>107.4792</t>
  </si>
  <si>
    <t>16.59592</t>
  </si>
  <si>
    <t>107.57578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</si>
  <si>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</si>
  <si>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</si>
  <si>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</si>
  <si>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</si>
  <si>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</si>
  <si>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</si>
  <si>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</si>
  <si>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</si>
  <si>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</si>
  <si>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</si>
  <si>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</si>
  <si>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16.5235</t>
  </si>
  <si>
    <t>107.4753</t>
  </si>
  <si>
    <t>16.49953</t>
  </si>
  <si>
    <t>107.44453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</si>
  <si>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</si>
  <si>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</si>
  <si>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</si>
  <si>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</si>
  <si>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</si>
  <si>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</si>
  <si>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</si>
  <si>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</si>
  <si>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</si>
  <si>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</si>
  <si>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</si>
  <si>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16.53095</t>
  </si>
  <si>
    <t>107.4919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</si>
  <si>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</si>
  <si>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</si>
  <si>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</si>
  <si>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</si>
  <si>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</si>
  <si>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</si>
  <si>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</si>
  <si>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</si>
  <si>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</si>
  <si>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</si>
  <si>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</si>
  <si>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16.4913</t>
  </si>
  <si>
    <t>107.5208</t>
  </si>
  <si>
    <t>16.50409</t>
  </si>
  <si>
    <t>107.51433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</si>
  <si>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</si>
  <si>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</si>
  <si>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</si>
  <si>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</si>
  <si>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</si>
  <si>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</si>
  <si>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</si>
  <si>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</si>
  <si>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</si>
  <si>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16.4687</t>
  </si>
  <si>
    <t>107.5243</t>
  </si>
  <si>
    <t>16.48894</t>
  </si>
  <si>
    <t>107.52013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</si>
  <si>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</si>
  <si>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</si>
  <si>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</si>
  <si>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</si>
  <si>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</si>
  <si>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</si>
  <si>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</si>
  <si>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</si>
  <si>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</si>
  <si>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</si>
  <si>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</si>
  <si>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16.4395</t>
  </si>
  <si>
    <t>107.5244</t>
  </si>
  <si>
    <t>16.45876</t>
  </si>
  <si>
    <t>107.52106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</si>
  <si>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</si>
  <si>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</si>
  <si>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</si>
  <si>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</si>
  <si>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</si>
  <si>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</si>
  <si>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</si>
  <si>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</si>
  <si>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</si>
  <si>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</si>
  <si>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</si>
  <si>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16.5544</t>
  </si>
  <si>
    <t>107.5804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</si>
  <si>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</si>
  <si>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</si>
  <si>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</si>
  <si>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</si>
  <si>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</si>
  <si>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</si>
  <si>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</si>
  <si>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</si>
  <si>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</si>
  <si>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</si>
  <si>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16.5046</t>
  </si>
  <si>
    <t>107.6264</t>
  </si>
  <si>
    <t>16.48118</t>
  </si>
  <si>
    <t>107.68446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</si>
  <si>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</si>
  <si>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</si>
  <si>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</si>
  <si>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</si>
  <si>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</si>
  <si>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</si>
  <si>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</si>
  <si>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</si>
  <si>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</si>
  <si>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</si>
  <si>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</si>
  <si>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16.5127</t>
  </si>
  <si>
    <t>107.5997</t>
  </si>
  <si>
    <t>16.5376</t>
  </si>
  <si>
    <t>107.59998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</si>
  <si>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</si>
  <si>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</si>
  <si>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</si>
  <si>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</si>
  <si>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</si>
  <si>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</si>
  <si>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</si>
  <si>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</si>
  <si>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</si>
  <si>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</si>
  <si>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</si>
  <si>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16.54379</t>
  </si>
  <si>
    <t>107.6362</t>
  </si>
  <si>
    <t>16.53545</t>
  </si>
  <si>
    <t>107.6181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</si>
  <si>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</si>
  <si>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</si>
  <si>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</si>
  <si>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</si>
  <si>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</si>
  <si>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</si>
  <si>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</si>
  <si>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</si>
  <si>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16.4588</t>
  </si>
  <si>
    <t>107.6088</t>
  </si>
  <si>
    <t>16.46218</t>
  </si>
  <si>
    <t>107.60086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</si>
  <si>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</si>
  <si>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</si>
  <si>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</si>
  <si>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</si>
  <si>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</si>
  <si>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</si>
  <si>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</si>
  <si>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</si>
  <si>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</si>
  <si>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</si>
  <si>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16.45432</t>
  </si>
  <si>
    <t>107.6804</t>
  </si>
  <si>
    <t>16.44568</t>
  </si>
  <si>
    <t>107.64968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</si>
  <si>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</si>
  <si>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</si>
  <si>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</si>
  <si>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</si>
  <si>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</si>
  <si>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</si>
  <si>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</si>
  <si>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</si>
  <si>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</si>
  <si>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</si>
  <si>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</si>
  <si>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16.4783</t>
  </si>
  <si>
    <t>107.5993</t>
  </si>
  <si>
    <t>16.47032</t>
  </si>
  <si>
    <t>107.59989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</si>
  <si>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</si>
  <si>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</si>
  <si>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</si>
  <si>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</si>
  <si>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</si>
  <si>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</si>
  <si>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</si>
  <si>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</si>
  <si>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</si>
  <si>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</si>
  <si>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16.4431</t>
  </si>
  <si>
    <t>107.6164</t>
  </si>
  <si>
    <t>16.46042</t>
  </si>
  <si>
    <t>107.61993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</si>
  <si>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</si>
  <si>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</si>
  <si>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</si>
  <si>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</si>
  <si>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</si>
  <si>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</si>
  <si>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</si>
  <si>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</si>
  <si>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</si>
  <si>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16.43964</t>
  </si>
  <si>
    <t>107.614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</si>
  <si>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</si>
  <si>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</si>
  <si>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</si>
  <si>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</si>
  <si>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</si>
  <si>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</si>
  <si>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</si>
  <si>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</si>
  <si>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</si>
  <si>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</si>
  <si>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</si>
  <si>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16.4447</t>
  </si>
  <si>
    <t>107.5441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</si>
  <si>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</si>
  <si>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</si>
  <si>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</si>
  <si>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</si>
  <si>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</si>
  <si>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</si>
  <si>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</si>
  <si>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</si>
  <si>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</si>
  <si>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</si>
  <si>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</si>
  <si>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16.34926</t>
  </si>
  <si>
    <t>107.5051</t>
  </si>
  <si>
    <t>16.43848</t>
  </si>
  <si>
    <t>107.59922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</si>
  <si>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</si>
  <si>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</si>
  <si>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</si>
  <si>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</si>
  <si>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</si>
  <si>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</si>
  <si>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</si>
  <si>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</si>
  <si>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</si>
  <si>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</si>
  <si>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</si>
  <si>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16.4432</t>
  </si>
  <si>
    <t>107.6205</t>
  </si>
  <si>
    <t>16.44969</t>
  </si>
  <si>
    <t>107.60714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</si>
  <si>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</si>
  <si>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</si>
  <si>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</si>
  <si>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</si>
  <si>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</si>
  <si>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</si>
  <si>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</si>
  <si>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</si>
  <si>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</si>
  <si>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</si>
  <si>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</si>
  <si>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16.48497</t>
  </si>
  <si>
    <t>107.56901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</si>
  <si>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</si>
  <si>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</si>
  <si>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</si>
  <si>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</si>
  <si>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</si>
  <si>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</si>
  <si>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</si>
  <si>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</si>
  <si>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</si>
  <si>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</si>
  <si>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</si>
  <si>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16.47512</t>
  </si>
  <si>
    <t>107.56109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</si>
  <si>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</si>
  <si>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</si>
  <si>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</si>
  <si>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</si>
  <si>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</si>
  <si>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</si>
  <si>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</si>
  <si>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</si>
  <si>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</si>
  <si>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</si>
  <si>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</si>
  <si>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</si>
  <si>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</si>
  <si>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</si>
  <si>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</si>
  <si>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</si>
  <si>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</si>
  <si>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</si>
  <si>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</si>
  <si>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</si>
  <si>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16.45983</t>
  </si>
  <si>
    <t>107.60544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</si>
  <si>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</si>
  <si>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</si>
  <si>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</si>
  <si>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</si>
  <si>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</si>
  <si>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</si>
  <si>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</si>
  <si>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</si>
  <si>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</si>
  <si>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16.42334</t>
  </si>
  <si>
    <t>107.5887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</si>
  <si>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</si>
  <si>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</si>
  <si>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</si>
  <si>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</si>
  <si>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</si>
  <si>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</si>
  <si>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</si>
  <si>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</si>
  <si>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</si>
  <si>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</si>
  <si>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</si>
  <si>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</si>
  <si>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</si>
  <si>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</si>
  <si>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</si>
  <si>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</si>
  <si>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16.435611</t>
  </si>
  <si>
    <t>107.565278</t>
  </si>
  <si>
    <t>FO thuê#PITC#HUHT32-HUHU49</t>
  </si>
  <si>
    <t>560.18</t>
  </si>
  <si>
    <t>100.62</t>
  </si>
  <si>
    <t>16.434708</t>
  </si>
  <si>
    <t>107.565218</t>
  </si>
  <si>
    <t>CAT Huế mới-HUHU03</t>
  </si>
  <si>
    <t>16.46536</t>
  </si>
  <si>
    <t>107.56277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</si>
  <si>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</si>
  <si>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</si>
  <si>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</si>
  <si>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</si>
  <si>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</si>
  <si>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</si>
  <si>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</si>
  <si>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</si>
  <si>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</si>
  <si>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</si>
  <si>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</si>
  <si>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16.47696</t>
  </si>
  <si>
    <t>107.56467</t>
  </si>
  <si>
    <t>FO thuê#PITC#HUHU60-HUHU1D</t>
  </si>
  <si>
    <t>3845.70</t>
  </si>
  <si>
    <t>3643.07</t>
  </si>
  <si>
    <t>Phú Xuân-HUHU1N</t>
  </si>
  <si>
    <t>16.475679</t>
  </si>
  <si>
    <t>107.579793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</si>
  <si>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</si>
  <si>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</si>
  <si>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</si>
  <si>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</si>
  <si>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</si>
  <si>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</si>
  <si>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</si>
  <si>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</si>
  <si>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</si>
  <si>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</si>
  <si>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16.61121</t>
  </si>
  <si>
    <t>107.54668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</si>
  <si>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</si>
  <si>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</si>
  <si>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</si>
  <si>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</si>
  <si>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</si>
  <si>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</si>
  <si>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</si>
  <si>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</si>
  <si>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</si>
  <si>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</si>
  <si>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</si>
  <si>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16.45435</t>
  </si>
  <si>
    <t>107.59201</t>
  </si>
  <si>
    <t>16.4514</t>
  </si>
  <si>
    <t>107.5892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</si>
  <si>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</si>
  <si>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</si>
  <si>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</si>
  <si>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</si>
  <si>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</si>
  <si>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</si>
  <si>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</si>
  <si>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</si>
  <si>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</si>
  <si>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</si>
  <si>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</si>
  <si>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</si>
  <si>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16.460556</t>
  </si>
  <si>
    <t>107.588222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</si>
  <si>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</si>
  <si>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</si>
  <si>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</si>
  <si>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</si>
  <si>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</si>
  <si>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</si>
  <si>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</si>
  <si>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</si>
  <si>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</si>
  <si>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</si>
  <si>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</si>
  <si>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</si>
  <si>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</si>
  <si>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</si>
  <si>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</si>
  <si>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16.45382</t>
  </si>
  <si>
    <t>107.57707</t>
  </si>
  <si>
    <t>FO thuê#PITC#HUHU89-HUHU63</t>
  </si>
  <si>
    <t>1195.21</t>
  </si>
  <si>
    <t>386.89</t>
  </si>
  <si>
    <t>HUHU88-CAT Huế mới</t>
  </si>
  <si>
    <t>16.46525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</si>
  <si>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</si>
  <si>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</si>
  <si>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</si>
  <si>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</si>
  <si>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</si>
  <si>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</si>
  <si>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</si>
  <si>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</si>
  <si>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</si>
  <si>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</si>
  <si>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</si>
  <si>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</si>
  <si>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16.4975</t>
  </si>
  <si>
    <t>107.563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</si>
  <si>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</si>
  <si>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</si>
  <si>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</si>
  <si>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</si>
  <si>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</si>
  <si>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</si>
  <si>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</si>
  <si>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16.68336</t>
  </si>
  <si>
    <t>107.41351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</si>
  <si>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</si>
  <si>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</si>
  <si>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</si>
  <si>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</si>
  <si>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</si>
  <si>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</si>
  <si>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</si>
  <si>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</si>
  <si>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</si>
  <si>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</si>
  <si>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</si>
  <si>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16.5486</t>
  </si>
  <si>
    <t>107.50362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</si>
  <si>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</si>
  <si>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</si>
  <si>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</si>
  <si>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</si>
  <si>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</si>
  <si>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</si>
  <si>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</si>
  <si>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</si>
  <si>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</si>
  <si>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</si>
  <si>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</si>
  <si>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16.53978</t>
  </si>
  <si>
    <t>107.49397</t>
  </si>
  <si>
    <t>FO thuê#PITC#HUQD08-HUQD11</t>
  </si>
  <si>
    <t>566.15</t>
  </si>
  <si>
    <t>472.82</t>
  </si>
  <si>
    <t>16.542022</t>
  </si>
  <si>
    <t>107.497739</t>
  </si>
  <si>
    <t>Hương Thủy-HUHT48</t>
  </si>
  <si>
    <t>16.39594</t>
  </si>
  <si>
    <t>107.62514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</si>
  <si>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</si>
  <si>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</si>
  <si>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</si>
  <si>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</si>
  <si>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</si>
  <si>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</si>
  <si>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</si>
  <si>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16.46085</t>
  </si>
  <si>
    <t>107.55659</t>
  </si>
  <si>
    <t>FO thuê#PITC#HUHU70-HUHU2X</t>
  </si>
  <si>
    <t>2290.84</t>
  </si>
  <si>
    <t>1335.43</t>
  </si>
  <si>
    <t>955.41</t>
  </si>
  <si>
    <t>CAT Huế mới-HUHU41</t>
  </si>
  <si>
    <t>16.469694</t>
  </si>
  <si>
    <t>107.569556</t>
  </si>
  <si>
    <t>FO thuê#PITC#HUHU88-HUHU41</t>
  </si>
  <si>
    <t>3916.26</t>
  </si>
  <si>
    <t>3713.62</t>
  </si>
  <si>
    <t>CAT Huế mới-HUHU3T</t>
  </si>
  <si>
    <t>16.4713509</t>
  </si>
  <si>
    <t>107.57297</t>
  </si>
  <si>
    <t>FO thuê#PITC#HUHU41-HUHU3T</t>
  </si>
  <si>
    <t>3529.71</t>
  </si>
  <si>
    <t>3327.08</t>
  </si>
  <si>
    <t>CAT Huế mới-HUHU09</t>
  </si>
  <si>
    <t>16.47542</t>
  </si>
  <si>
    <t>107.56889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</si>
  <si>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</si>
  <si>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</si>
  <si>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</si>
  <si>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</si>
  <si>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</si>
  <si>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</si>
  <si>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16.473798</t>
  </si>
  <si>
    <t>107.56476</t>
  </si>
  <si>
    <t>FO thuê#PITC#HUHU1V-HUHU60</t>
  </si>
  <si>
    <t>4023.15</t>
  </si>
  <si>
    <t>3820.51</t>
  </si>
  <si>
    <t>HUQD30-Phú Xuân</t>
  </si>
  <si>
    <t>16.5567</t>
  </si>
  <si>
    <t>107.539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</si>
  <si>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</si>
  <si>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</si>
  <si>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</si>
  <si>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</si>
  <si>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</si>
  <si>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</si>
  <si>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</si>
  <si>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</si>
  <si>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</si>
  <si>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</si>
  <si>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</si>
  <si>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16.37535</t>
  </si>
  <si>
    <t>107.86373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</si>
  <si>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</si>
  <si>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</si>
  <si>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</si>
  <si>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</si>
  <si>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</si>
  <si>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</si>
  <si>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</si>
  <si>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</si>
  <si>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</si>
  <si>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</si>
  <si>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</si>
  <si>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16.35537</t>
  </si>
  <si>
    <t>107.89708</t>
  </si>
  <si>
    <t>FO thuê#PITC#HUPL76-HUPL23</t>
  </si>
  <si>
    <t>5426.63</t>
  </si>
  <si>
    <t>2372.01</t>
  </si>
  <si>
    <t>16.349120</t>
  </si>
  <si>
    <t>107.918336</t>
  </si>
  <si>
    <t>3054.62</t>
  </si>
  <si>
    <t>16.264000</t>
  </si>
  <si>
    <t>107.887810</t>
  </si>
  <si>
    <t>HUHA03-Phú Lộc</t>
  </si>
  <si>
    <t>16.505</t>
  </si>
  <si>
    <t>107.574222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</si>
  <si>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</si>
  <si>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</si>
  <si>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</si>
  <si>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</si>
  <si>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</si>
  <si>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</si>
  <si>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</si>
  <si>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</si>
  <si>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</si>
  <si>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</si>
  <si>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</si>
  <si>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</si>
  <si>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</si>
  <si>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</si>
  <si>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</si>
  <si>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</si>
  <si>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</si>
  <si>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</si>
  <si>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</si>
  <si>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</si>
  <si>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</si>
  <si>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16.44311</t>
  </si>
  <si>
    <t>107.58189</t>
  </si>
  <si>
    <t>FO thuê#PITC#HUHU20-HUHU35</t>
  </si>
  <si>
    <t>439.21</t>
  </si>
  <si>
    <t>219.61</t>
  </si>
  <si>
    <t>16.443131</t>
  </si>
  <si>
    <t>107.579831</t>
  </si>
  <si>
    <t>PC01-HUHU58</t>
  </si>
  <si>
    <t>16.476861</t>
  </si>
  <si>
    <t>107.597694</t>
  </si>
  <si>
    <t>FO thuê#PITC#HUHU2Y-HUHU58</t>
  </si>
  <si>
    <t>412.51</t>
  </si>
  <si>
    <t>206.26</t>
  </si>
  <si>
    <t>16.478684</t>
  </si>
  <si>
    <t>107.598051</t>
  </si>
  <si>
    <t>CAT Huế mới-HUHUMA01</t>
  </si>
  <si>
    <t>16.481683</t>
  </si>
  <si>
    <t>107.555913</t>
  </si>
  <si>
    <t>FO thuê#PITC#HUHU3G-HUHUMA01</t>
  </si>
  <si>
    <t>22.42</t>
  </si>
  <si>
    <t>11.21</t>
  </si>
  <si>
    <t>16.481582</t>
  </si>
  <si>
    <t>107.555908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</si>
  <si>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</si>
  <si>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</si>
  <si>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</si>
  <si>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</si>
  <si>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</si>
  <si>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</si>
  <si>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</si>
  <si>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</si>
  <si>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</si>
  <si>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</si>
  <si>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</si>
  <si>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</si>
  <si>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</si>
  <si>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</si>
  <si>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</si>
  <si>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</si>
  <si>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16.47144</t>
  </si>
  <si>
    <t>107.587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</si>
  <si>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</si>
  <si>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</si>
  <si>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</si>
  <si>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</si>
  <si>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</si>
  <si>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</si>
  <si>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</si>
  <si>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</si>
  <si>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</si>
  <si>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</si>
  <si>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16.28224</t>
  </si>
  <si>
    <t>107.97319</t>
  </si>
  <si>
    <t>16.2408</t>
  </si>
  <si>
    <t>108.0784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</si>
  <si>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</si>
  <si>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</si>
  <si>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</si>
  <si>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</si>
  <si>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</si>
  <si>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</si>
  <si>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</si>
  <si>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16.242724</t>
  </si>
  <si>
    <t>108.077697</t>
  </si>
  <si>
    <t>full_h04/Huế/Mang cap 4/Ring 1/Ring 1 Vinh Lộc-Chân Mây_Lăng Cô/Tuyến trung thế 2</t>
  </si>
  <si>
    <t>HUPV49-Thuận An</t>
  </si>
  <si>
    <t>16.51874</t>
  </si>
  <si>
    <t>107.59314</t>
  </si>
  <si>
    <t>FO thuê#PITC#HUPV49-HUPV04</t>
  </si>
  <si>
    <t>975.75</t>
  </si>
  <si>
    <t>963.19</t>
  </si>
  <si>
    <t>HUPV55-Phú Vang</t>
  </si>
  <si>
    <t>16.48612</t>
  </si>
  <si>
    <t>107.63836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</si>
  <si>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</si>
  <si>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</si>
  <si>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</si>
  <si>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</si>
  <si>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</si>
  <si>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</si>
  <si>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</si>
  <si>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16.56605</t>
  </si>
  <si>
    <t>107.50242</t>
  </si>
  <si>
    <t>FO thuê#PITC#HUQD18-HUQD08</t>
  </si>
  <si>
    <t>478.44</t>
  </si>
  <si>
    <t>385.11</t>
  </si>
  <si>
    <t>16.566453</t>
  </si>
  <si>
    <t>107.498831</t>
  </si>
  <si>
    <t>HUQD21-Quảng Điền</t>
  </si>
  <si>
    <t>16.63416</t>
  </si>
  <si>
    <t>107.5269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</si>
  <si>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</si>
  <si>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</si>
  <si>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</si>
  <si>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</si>
  <si>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</si>
  <si>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</si>
  <si>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</si>
  <si>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</si>
  <si>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</si>
  <si>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16.45988</t>
  </si>
  <si>
    <t>107.56071</t>
  </si>
  <si>
    <t>FO thuê#PITC#HUHU3L-HUHU70</t>
  </si>
  <si>
    <t>1854.24</t>
  </si>
  <si>
    <t>898.82</t>
  </si>
  <si>
    <t>HUHU98-PC11</t>
  </si>
  <si>
    <t>16.462061</t>
  </si>
  <si>
    <t>107.586992</t>
  </si>
  <si>
    <t>FO thuê#PITC#HUHU98-HUHU17</t>
  </si>
  <si>
    <t>2594.86</t>
  </si>
  <si>
    <t>1786.54</t>
  </si>
  <si>
    <t>FO thuê#PITC#HUQD15-HUHA27</t>
  </si>
  <si>
    <t>HUHT42-Hương Thủy</t>
  </si>
  <si>
    <t>16.378465</t>
  </si>
  <si>
    <t>107.590175</t>
  </si>
  <si>
    <t>FO thuê#PITC#HUHT42-HUHT28</t>
  </si>
  <si>
    <t>3946.60</t>
  </si>
  <si>
    <t>3665.05</t>
  </si>
  <si>
    <t>HUHU32-Phú Xuân</t>
  </si>
  <si>
    <t>16.47476</t>
  </si>
  <si>
    <t>107.57679</t>
  </si>
  <si>
    <t>FO thuê#PITC#HUHU32-HUHU74</t>
  </si>
  <si>
    <t>1134.90</t>
  </si>
  <si>
    <t>1113.51</t>
  </si>
  <si>
    <t>HUQD19-Quảng Điền</t>
  </si>
  <si>
    <t>16.61322</t>
  </si>
  <si>
    <t>107.46735</t>
  </si>
  <si>
    <t>FO thuê#PITC#HUQD19-HUQD25</t>
  </si>
  <si>
    <t>1446.38</t>
  </si>
  <si>
    <t>185.98</t>
  </si>
  <si>
    <t>16.612981</t>
  </si>
  <si>
    <t>107.465622</t>
  </si>
  <si>
    <t>HUHA50-Hương Trà</t>
  </si>
  <si>
    <t>16.51332</t>
  </si>
  <si>
    <t>107.45016</t>
  </si>
  <si>
    <t>FO thuê#PITC#HUHA50-HUHA21</t>
  </si>
  <si>
    <t>2398.43</t>
  </si>
  <si>
    <t>2322.56</t>
  </si>
  <si>
    <t>16.527670</t>
  </si>
  <si>
    <t>107.465991</t>
  </si>
  <si>
    <t>HUHT36-Thủy Xuân</t>
  </si>
  <si>
    <t>16.42364</t>
  </si>
  <si>
    <t>107.56673</t>
  </si>
  <si>
    <t>FO thuê#PITC#HUHT36-HUHU49</t>
  </si>
  <si>
    <t>1649.43</t>
  </si>
  <si>
    <t>1189.87</t>
  </si>
  <si>
    <t>16.433597</t>
  </si>
  <si>
    <t>107.570817</t>
  </si>
  <si>
    <t>HUHU23-Quảng Điền</t>
  </si>
  <si>
    <t>16.48042</t>
  </si>
  <si>
    <t>107.57292</t>
  </si>
  <si>
    <t>FO thuê#PITC#HUHU23-HUHU56</t>
  </si>
  <si>
    <t>5727.86</t>
  </si>
  <si>
    <t>5658.25</t>
  </si>
  <si>
    <t>HUHU2B-Hương Thủy</t>
  </si>
  <si>
    <t>16.451587</t>
  </si>
  <si>
    <t>107.603839</t>
  </si>
  <si>
    <t>FO thuê#PITC#HUHU2B-HUHU08</t>
  </si>
  <si>
    <t>1843.49</t>
  </si>
  <si>
    <t>1774.82</t>
  </si>
  <si>
    <t>16.436325</t>
  </si>
  <si>
    <t>107.608712</t>
  </si>
  <si>
    <t>HUHU2D-Quảng Điền</t>
  </si>
  <si>
    <t>16.48087</t>
  </si>
  <si>
    <t>107.56986</t>
  </si>
  <si>
    <t>FO thuê#PITC#HUHU2D-HUHU12</t>
  </si>
  <si>
    <t>5398.50</t>
  </si>
  <si>
    <t>5328.89</t>
  </si>
  <si>
    <t>HUHU31-PC01</t>
  </si>
  <si>
    <t>16.48113</t>
  </si>
  <si>
    <t>107.597</t>
  </si>
  <si>
    <t>FO thuê#PITC#HUHU31-HUPV34</t>
  </si>
  <si>
    <t>146.82</t>
  </si>
  <si>
    <t>132.85</t>
  </si>
  <si>
    <t>16.481053</t>
  </si>
  <si>
    <t>107.598243</t>
  </si>
  <si>
    <t>HUHU54-CAT Huế mới</t>
  </si>
  <si>
    <t>16.460306</t>
  </si>
  <si>
    <t>107.593472</t>
  </si>
  <si>
    <t>FO thuê#PITC#HUHU54-HUHU1K</t>
  </si>
  <si>
    <t>2614.82</t>
  </si>
  <si>
    <t>790.60</t>
  </si>
  <si>
    <t>HUHU84-PC01</t>
  </si>
  <si>
    <t>16.47566</t>
  </si>
  <si>
    <t>107.59565</t>
  </si>
  <si>
    <t>FO thuê#PITC#HUHU84-HUPV34</t>
  </si>
  <si>
    <t>436.60</t>
  </si>
  <si>
    <t>422.63</t>
  </si>
  <si>
    <t>HUPL69-Hương Thủy</t>
  </si>
  <si>
    <t>16.32873</t>
  </si>
  <si>
    <t>107.78561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</si>
  <si>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</si>
  <si>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</si>
  <si>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</si>
  <si>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</si>
  <si>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</si>
  <si>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</si>
  <si>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</si>
  <si>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</si>
  <si>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</si>
  <si>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</si>
  <si>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</si>
  <si>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16.39692</t>
  </si>
  <si>
    <t>107.84841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</si>
  <si>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</si>
  <si>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</si>
  <si>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</si>
  <si>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</si>
  <si>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</si>
  <si>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</si>
  <si>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</si>
  <si>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</si>
  <si>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</si>
  <si>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16.48409</t>
  </si>
  <si>
    <t>107.66801</t>
  </si>
  <si>
    <t>FO thuê#PITC#HUPV40-HUPV09</t>
  </si>
  <si>
    <t>80.32</t>
  </si>
  <si>
    <t>22.61</t>
  </si>
  <si>
    <t>16.484102</t>
  </si>
  <si>
    <t>107.668222</t>
  </si>
  <si>
    <t>HUQD22-Quảng Điền</t>
  </si>
  <si>
    <t>16.61971</t>
  </si>
  <si>
    <t>107.53406</t>
  </si>
  <si>
    <t>FO thuê#PITC#HUQD22-HUQD06</t>
  </si>
  <si>
    <t>5041.82</t>
  </si>
  <si>
    <t>4988.09</t>
  </si>
  <si>
    <t>HUQD23-Quảng Điền</t>
  </si>
  <si>
    <t>16.63571</t>
  </si>
  <si>
    <t>107.50407</t>
  </si>
  <si>
    <t>FO thuê#PITC#HUQD23-HUQD06</t>
  </si>
  <si>
    <t>5586.14</t>
  </si>
  <si>
    <t>4325.74</t>
  </si>
  <si>
    <t>HUPD69-Phong Dinh</t>
  </si>
  <si>
    <t>16.57362</t>
  </si>
  <si>
    <t>107.35367</t>
  </si>
  <si>
    <t>16.66089</t>
  </si>
  <si>
    <t>107.3833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</si>
  <si>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</si>
  <si>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</si>
  <si>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</si>
  <si>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</si>
  <si>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</si>
  <si>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</si>
  <si>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</si>
  <si>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</si>
  <si>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</si>
  <si>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</si>
  <si>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</si>
  <si>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16.49626</t>
  </si>
  <si>
    <t>107.5751</t>
  </si>
  <si>
    <t>FO thuê#PITC#HUPX83-HUPX24</t>
  </si>
  <si>
    <t>4815.21</t>
  </si>
  <si>
    <t>4749.32</t>
  </si>
  <si>
    <t>16.537596</t>
  </si>
  <si>
    <t>107.563883</t>
  </si>
  <si>
    <t>HUPL92-Phú Lộc</t>
  </si>
  <si>
    <t>16.3816</t>
  </si>
  <si>
    <t>107.8501</t>
  </si>
  <si>
    <t>FO thuê#PITC#HUPL92-HUPL23</t>
  </si>
  <si>
    <t>8845.82</t>
  </si>
  <si>
    <t>344.04</t>
  </si>
  <si>
    <t>16.378901</t>
  </si>
  <si>
    <t>107.851676</t>
  </si>
  <si>
    <t>HUPD70-Phong Dinh</t>
  </si>
  <si>
    <t>16.57375</t>
  </si>
  <si>
    <t>107.38503</t>
  </si>
  <si>
    <t>FO thuê#PITC#22HU002-HUPD19</t>
  </si>
  <si>
    <t>3937.89</t>
  </si>
  <si>
    <t>3738.03</t>
  </si>
  <si>
    <t>16.597567</t>
  </si>
  <si>
    <t>107.360275</t>
  </si>
  <si>
    <t>HUPX43-CAT Huế mới</t>
  </si>
  <si>
    <t>16.47857</t>
  </si>
  <si>
    <t>107.56806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</si>
  <si>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</si>
  <si>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</si>
  <si>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</si>
  <si>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</si>
  <si>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</si>
  <si>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</si>
  <si>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</si>
  <si>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</si>
  <si>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</si>
  <si>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</si>
  <si>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16.45156</t>
  </si>
  <si>
    <t>107.5304</t>
  </si>
  <si>
    <t>FO thuê#PITC#HUHA34-HUHA05</t>
  </si>
  <si>
    <t>248.10</t>
  </si>
  <si>
    <t>181.92</t>
  </si>
  <si>
    <t>107.529519</t>
  </si>
  <si>
    <t>HUHT15-CAT Huế mới</t>
  </si>
  <si>
    <t>16.42381</t>
  </si>
  <si>
    <t>107.6514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</si>
  <si>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</si>
  <si>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</si>
  <si>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</si>
  <si>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</si>
  <si>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</si>
  <si>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</si>
  <si>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</si>
  <si>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16.4112</t>
  </si>
  <si>
    <t>107.674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</si>
  <si>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</si>
  <si>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</si>
  <si>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</si>
  <si>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</si>
  <si>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</si>
  <si>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</si>
  <si>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</si>
  <si>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</si>
  <si>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</si>
  <si>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</si>
  <si>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16.52614</t>
  </si>
  <si>
    <t>107.70167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</si>
  <si>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</si>
  <si>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</si>
  <si>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</si>
  <si>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</si>
  <si>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</si>
  <si>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</si>
  <si>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</si>
  <si>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</si>
  <si>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</si>
  <si>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16.49246</t>
  </si>
  <si>
    <t>107.60472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</si>
  <si>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</si>
  <si>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</si>
  <si>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</si>
  <si>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</si>
  <si>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</si>
  <si>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</si>
  <si>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</si>
  <si>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</si>
  <si>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</si>
  <si>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</si>
  <si>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</si>
  <si>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16.55901</t>
  </si>
  <si>
    <t>107.52924</t>
  </si>
  <si>
    <t>FO thuê#PITC#HUQD10-HUQD17</t>
  </si>
  <si>
    <t>97.13</t>
  </si>
  <si>
    <t>78.92</t>
  </si>
  <si>
    <t>16.558936</t>
  </si>
  <si>
    <t>107.529976</t>
  </si>
  <si>
    <t>PYDH09-Sơn Thành</t>
  </si>
  <si>
    <t>13.034347</t>
  </si>
  <si>
    <t>109.297636</t>
  </si>
  <si>
    <t>12.984385</t>
  </si>
  <si>
    <t>109.095316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</si>
  <si>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</si>
  <si>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</si>
  <si>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</si>
  <si>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</si>
  <si>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</si>
  <si>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</si>
  <si>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</si>
  <si>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</si>
  <si>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</si>
  <si>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</si>
  <si>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</si>
  <si>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13.09474</t>
  </si>
  <si>
    <t>109.293</t>
  </si>
  <si>
    <t>FO thuê#VNPT#PYTH01-PYPY01</t>
  </si>
  <si>
    <t>8389.08</t>
  </si>
  <si>
    <t>8237.87</t>
  </si>
  <si>
    <t>PYSA10-Phú Hòa</t>
  </si>
  <si>
    <t>13.06365</t>
  </si>
  <si>
    <t>109.02528</t>
  </si>
  <si>
    <t>13.0231</t>
  </si>
  <si>
    <t>109.207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</si>
  <si>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</si>
  <si>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</si>
  <si>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</si>
  <si>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</si>
  <si>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</si>
  <si>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</si>
  <si>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</si>
  <si>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</si>
  <si>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</si>
  <si>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</si>
  <si>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</si>
  <si>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</si>
  <si>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</si>
  <si>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</si>
  <si>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</si>
  <si>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</si>
  <si>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</si>
  <si>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</si>
  <si>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</si>
  <si>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</si>
  <si>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</si>
  <si>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</si>
  <si>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13.20203</t>
  </si>
  <si>
    <t>109.27016</t>
  </si>
  <si>
    <t>13.308276</t>
  </si>
  <si>
    <t>109.215649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</si>
  <si>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</si>
  <si>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</si>
  <si>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</si>
  <si>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</si>
  <si>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</si>
  <si>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</si>
  <si>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</si>
  <si>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</si>
  <si>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</si>
  <si>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</si>
  <si>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</si>
  <si>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13.3773</t>
  </si>
  <si>
    <t>109.1081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</si>
  <si>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</si>
  <si>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</si>
  <si>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</si>
  <si>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</si>
  <si>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</si>
  <si>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</si>
  <si>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</si>
  <si>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</si>
  <si>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</si>
  <si>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</si>
  <si>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</si>
  <si>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13.2048</t>
  </si>
  <si>
    <t>109.0634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</si>
  <si>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</si>
  <si>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</si>
  <si>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</si>
  <si>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</si>
  <si>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</si>
  <si>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</si>
  <si>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</si>
  <si>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</si>
  <si>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</si>
  <si>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</si>
  <si>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</si>
  <si>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</si>
  <si>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</si>
  <si>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</si>
  <si>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</si>
  <si>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</si>
  <si>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</si>
  <si>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</si>
  <si>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</si>
  <si>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</si>
  <si>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</si>
  <si>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</si>
  <si>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12.975388</t>
  </si>
  <si>
    <t>108.239222</t>
  </si>
  <si>
    <t>12.97057</t>
  </si>
  <si>
    <t>108.2454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</si>
  <si>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</si>
  <si>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</si>
  <si>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</si>
  <si>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</si>
  <si>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</si>
  <si>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</si>
  <si>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</si>
  <si>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</si>
  <si>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</si>
  <si>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</si>
  <si>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</si>
  <si>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12.64495</t>
  </si>
  <si>
    <t>108.079933</t>
  </si>
  <si>
    <t>12.65451</t>
  </si>
  <si>
    <t>108.1073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</si>
  <si>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</si>
  <si>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</si>
  <si>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</si>
  <si>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</si>
  <si>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</si>
  <si>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</si>
  <si>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</si>
  <si>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</si>
  <si>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</si>
  <si>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</si>
  <si>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</si>
  <si>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12.697356</t>
  </si>
  <si>
    <t>108.072389</t>
  </si>
  <si>
    <t>12.69684</t>
  </si>
  <si>
    <t>108.0724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</si>
  <si>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</si>
  <si>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</si>
  <si>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</si>
  <si>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</si>
  <si>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</si>
  <si>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</si>
  <si>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</si>
  <si>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</si>
  <si>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</si>
  <si>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</si>
  <si>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</si>
  <si>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12.67132</t>
  </si>
  <si>
    <t>108.09959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</si>
  <si>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</si>
  <si>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</si>
  <si>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</si>
  <si>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</si>
  <si>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</si>
  <si>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</si>
  <si>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</si>
  <si>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</si>
  <si>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</si>
  <si>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</si>
  <si>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</si>
  <si>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13.13788</t>
  </si>
  <si>
    <t>108.30443</t>
  </si>
  <si>
    <t>13.11643</t>
  </si>
  <si>
    <t>108.3293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</si>
  <si>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</si>
  <si>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</si>
  <si>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</si>
  <si>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</si>
  <si>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</si>
  <si>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</si>
  <si>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</si>
  <si>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</si>
  <si>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</si>
  <si>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</si>
  <si>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</si>
  <si>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13.04281</t>
  </si>
  <si>
    <t>108.19348</t>
  </si>
  <si>
    <t>13.03864</t>
  </si>
  <si>
    <t>108.2186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</si>
  <si>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</si>
  <si>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</si>
  <si>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</si>
  <si>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</si>
  <si>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</si>
  <si>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</si>
  <si>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</si>
  <si>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</si>
  <si>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</si>
  <si>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</si>
  <si>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</si>
  <si>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12.656512</t>
  </si>
  <si>
    <t>108.122707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</si>
  <si>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</si>
  <si>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</si>
  <si>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</si>
  <si>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</si>
  <si>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</si>
  <si>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</si>
  <si>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</si>
  <si>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</si>
  <si>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</si>
  <si>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</si>
  <si>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12.95247</t>
  </si>
  <si>
    <t>108.34291</t>
  </si>
  <si>
    <t>12.951746</t>
  </si>
  <si>
    <t>108.34468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</si>
  <si>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</si>
  <si>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</si>
  <si>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</si>
  <si>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</si>
  <si>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</si>
  <si>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</si>
  <si>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</si>
  <si>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</si>
  <si>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</si>
  <si>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</si>
  <si>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</si>
  <si>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12.83875</t>
  </si>
  <si>
    <t>107.94651</t>
  </si>
  <si>
    <t>12.86058</t>
  </si>
  <si>
    <t>107.9652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</si>
  <si>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</si>
  <si>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</si>
  <si>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</si>
  <si>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</si>
  <si>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</si>
  <si>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</si>
  <si>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</si>
  <si>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</si>
  <si>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</si>
  <si>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</si>
  <si>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</si>
  <si>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12.8589</t>
  </si>
  <si>
    <t>108.12099</t>
  </si>
  <si>
    <t>12.85251</t>
  </si>
  <si>
    <t>108.1049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</si>
  <si>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</si>
  <si>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</si>
  <si>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</si>
  <si>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</si>
  <si>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</si>
  <si>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</si>
  <si>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</si>
  <si>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</si>
  <si>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</si>
  <si>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</si>
  <si>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</si>
  <si>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13.237291</t>
  </si>
  <si>
    <t>108.296399</t>
  </si>
  <si>
    <t>13.26653</t>
  </si>
  <si>
    <t>108.2872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</si>
  <si>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</si>
  <si>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</si>
  <si>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</si>
  <si>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</si>
  <si>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</si>
  <si>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</si>
  <si>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</si>
  <si>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</si>
  <si>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</si>
  <si>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</si>
  <si>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</si>
  <si>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12.896765</t>
  </si>
  <si>
    <t>107.94482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</si>
  <si>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</si>
  <si>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</si>
  <si>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</si>
  <si>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</si>
  <si>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</si>
  <si>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</si>
  <si>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</si>
  <si>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</si>
  <si>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</si>
  <si>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</si>
  <si>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12.9099</t>
  </si>
  <si>
    <t>108.26515</t>
  </si>
  <si>
    <t>12.916187</t>
  </si>
  <si>
    <t>108.26651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</si>
  <si>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</si>
  <si>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</si>
  <si>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</si>
  <si>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</si>
  <si>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</si>
  <si>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</si>
  <si>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</si>
  <si>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</si>
  <si>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</si>
  <si>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</si>
  <si>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</si>
  <si>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12.693274</t>
  </si>
  <si>
    <t>108.055156</t>
  </si>
  <si>
    <t>13.071469</t>
  </si>
  <si>
    <t>109.275869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</si>
  <si>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</si>
  <si>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</si>
  <si>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</si>
  <si>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</si>
  <si>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</si>
  <si>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</si>
  <si>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</si>
  <si>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</si>
  <si>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</si>
  <si>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</si>
  <si>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</si>
  <si>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12.68948</t>
  </si>
  <si>
    <t>108.01239</t>
  </si>
  <si>
    <t>12.68287</t>
  </si>
  <si>
    <t>108.0158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</si>
  <si>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</si>
  <si>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</si>
  <si>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</si>
  <si>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</si>
  <si>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</si>
  <si>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</si>
  <si>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</si>
  <si>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</si>
  <si>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</si>
  <si>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</si>
  <si>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</si>
  <si>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12.70708</t>
  </si>
  <si>
    <t>108.04527</t>
  </si>
  <si>
    <t>13.14724</t>
  </si>
  <si>
    <t>109.2846</t>
  </si>
  <si>
    <t>FO thuê#VNPT#DLBT2F-DLBT53</t>
  </si>
  <si>
    <t>97510.54</t>
  </si>
  <si>
    <t>3004.72</t>
  </si>
  <si>
    <t>94505.82</t>
  </si>
  <si>
    <t>DLBT2J-Tân An</t>
  </si>
  <si>
    <t>12.70474</t>
  </si>
  <si>
    <t>108.08224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</si>
  <si>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</si>
  <si>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</si>
  <si>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</si>
  <si>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</si>
  <si>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</si>
  <si>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</si>
  <si>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</si>
  <si>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</si>
  <si>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</si>
  <si>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12.83685</t>
  </si>
  <si>
    <t>108.08927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</si>
  <si>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</si>
  <si>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</si>
  <si>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</si>
  <si>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</si>
  <si>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</si>
  <si>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</si>
  <si>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</si>
  <si>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</si>
  <si>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</si>
  <si>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</si>
  <si>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13.26235</t>
  </si>
  <si>
    <t>108.27593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</si>
  <si>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</si>
  <si>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</si>
  <si>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</si>
  <si>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</si>
  <si>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</si>
  <si>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</si>
  <si>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</si>
  <si>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</si>
  <si>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</si>
  <si>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</si>
  <si>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</si>
  <si>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12.874635</t>
  </si>
  <si>
    <t>107.987798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</si>
  <si>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</si>
  <si>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</si>
  <si>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</si>
  <si>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</si>
  <si>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</si>
  <si>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</si>
  <si>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</si>
  <si>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</si>
  <si>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</si>
  <si>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</si>
  <si>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</si>
  <si>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12.8385734</t>
  </si>
  <si>
    <t>107.9832697</t>
  </si>
  <si>
    <t>FO thuê#VNPT#DLCG27-DLCG33</t>
  </si>
  <si>
    <t>343.09</t>
  </si>
  <si>
    <t>265.54</t>
  </si>
  <si>
    <t>12.840204</t>
  </si>
  <si>
    <t>107.985059</t>
  </si>
  <si>
    <t>DLCK02-Cư Kuin</t>
  </si>
  <si>
    <t>108.175533</t>
  </si>
  <si>
    <t>12.55998</t>
  </si>
  <si>
    <t>108.1639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</si>
  <si>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</si>
  <si>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</si>
  <si>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</si>
  <si>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</si>
  <si>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</si>
  <si>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</si>
  <si>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</si>
  <si>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</si>
  <si>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</si>
  <si>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</si>
  <si>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</si>
  <si>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12.57712</t>
  </si>
  <si>
    <t>108.16603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</si>
  <si>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</si>
  <si>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</si>
  <si>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</si>
  <si>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</si>
  <si>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</si>
  <si>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</si>
  <si>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</si>
  <si>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</si>
  <si>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</si>
  <si>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</si>
  <si>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</si>
  <si>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12.80792</t>
  </si>
  <si>
    <t>108.43335</t>
  </si>
  <si>
    <t>12.81206</t>
  </si>
  <si>
    <t>108.4837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</si>
  <si>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</si>
  <si>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</si>
  <si>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</si>
  <si>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</si>
  <si>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</si>
  <si>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</si>
  <si>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</si>
  <si>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12.9566265</t>
  </si>
  <si>
    <t>108.3327644</t>
  </si>
  <si>
    <t>FO thuê#VNPT#DLKN18-DLKN27</t>
  </si>
  <si>
    <t>315.25</t>
  </si>
  <si>
    <t>279.26</t>
  </si>
  <si>
    <t>12.954125</t>
  </si>
  <si>
    <t>108.332991</t>
  </si>
  <si>
    <t>DLKN42-Dliê Ya</t>
  </si>
  <si>
    <t>13.13766</t>
  </si>
  <si>
    <t>108.3298</t>
  </si>
  <si>
    <t>FO thuê#VNPT#DLKN42-DLKN15</t>
  </si>
  <si>
    <t>565.14</t>
  </si>
  <si>
    <t>292.32</t>
  </si>
  <si>
    <t>13.136281</t>
  </si>
  <si>
    <t>108.327502</t>
  </si>
  <si>
    <t>DLKN47-Dliê Ya</t>
  </si>
  <si>
    <t>13.09118</t>
  </si>
  <si>
    <t>108.34029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</si>
  <si>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</si>
  <si>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</si>
  <si>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</si>
  <si>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</si>
  <si>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</si>
  <si>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</si>
  <si>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</si>
  <si>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</si>
  <si>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</si>
  <si>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</si>
  <si>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</si>
  <si>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12.6752961</t>
  </si>
  <si>
    <t>108.3412936</t>
  </si>
  <si>
    <t>12.65602</t>
  </si>
  <si>
    <t>108.3431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</si>
  <si>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</si>
  <si>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</si>
  <si>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</si>
  <si>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</si>
  <si>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</si>
  <si>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</si>
  <si>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</si>
  <si>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</si>
  <si>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</si>
  <si>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</si>
  <si>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</si>
  <si>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12.886938</t>
  </si>
  <si>
    <t>108.108867</t>
  </si>
  <si>
    <t>FO thuê#VNPT#DLCG26-DLCG06</t>
  </si>
  <si>
    <t>324.75</t>
  </si>
  <si>
    <t>207.75</t>
  </si>
  <si>
    <t>12.887229</t>
  </si>
  <si>
    <t>108.110760</t>
  </si>
  <si>
    <t>DLKB38-Krông Búk</t>
  </si>
  <si>
    <t>13.06275</t>
  </si>
  <si>
    <t>108.22011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</si>
  <si>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</si>
  <si>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</si>
  <si>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</si>
  <si>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</si>
  <si>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</si>
  <si>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</si>
  <si>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</si>
  <si>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</si>
  <si>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</si>
  <si>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</si>
  <si>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</si>
  <si>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12.903898</t>
  </si>
  <si>
    <t>108.262718</t>
  </si>
  <si>
    <t>FO thuê#VNPT#DLBH11-DLBH15</t>
  </si>
  <si>
    <t>381.06</t>
  </si>
  <si>
    <t>323.11</t>
  </si>
  <si>
    <t>12.904659</t>
  </si>
  <si>
    <t>108.265595</t>
  </si>
  <si>
    <t>DLBT82-TT1 Đăk Lăk</t>
  </si>
  <si>
    <t>12.67953</t>
  </si>
  <si>
    <t>108.04331</t>
  </si>
  <si>
    <t>12.6843</t>
  </si>
  <si>
    <t>108.0528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</si>
  <si>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</si>
  <si>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</si>
  <si>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</si>
  <si>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</si>
  <si>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</si>
  <si>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</si>
  <si>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</si>
  <si>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</si>
  <si>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</si>
  <si>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</si>
  <si>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</si>
  <si>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12.6884</t>
  </si>
  <si>
    <t>108.035</t>
  </si>
  <si>
    <t>12.71203</t>
  </si>
  <si>
    <t>108.0661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</si>
  <si>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</si>
  <si>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</si>
  <si>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</si>
  <si>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</si>
  <si>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</si>
  <si>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</si>
  <si>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</si>
  <si>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</si>
  <si>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</si>
  <si>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</si>
  <si>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</si>
  <si>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</si>
  <si>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</si>
  <si>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</si>
  <si>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</si>
  <si>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</si>
  <si>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</si>
  <si>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</si>
  <si>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</si>
  <si>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</si>
  <si>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</si>
  <si>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12.65778</t>
  </si>
  <si>
    <t>108.04707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</si>
  <si>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</si>
  <si>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</si>
  <si>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</si>
  <si>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</si>
  <si>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</si>
  <si>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</si>
  <si>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</si>
  <si>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</si>
  <si>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</si>
  <si>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</si>
  <si>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12.6321944</t>
  </si>
  <si>
    <t>108.0273379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</si>
  <si>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</si>
  <si>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</si>
  <si>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</si>
  <si>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</si>
  <si>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</si>
  <si>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</si>
  <si>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</si>
  <si>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</si>
  <si>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</si>
  <si>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</si>
  <si>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</si>
  <si>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12.690778</t>
  </si>
  <si>
    <t>108.06661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</si>
  <si>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</si>
  <si>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</si>
  <si>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</si>
  <si>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</si>
  <si>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</si>
  <si>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</si>
  <si>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</si>
  <si>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</si>
  <si>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</si>
  <si>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</si>
  <si>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</si>
  <si>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12.984655</t>
  </si>
  <si>
    <t>108.434933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</si>
  <si>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</si>
  <si>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</si>
  <si>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</si>
  <si>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</si>
  <si>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</si>
  <si>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</si>
  <si>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</si>
  <si>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</si>
  <si>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</si>
  <si>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</si>
  <si>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</si>
  <si>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12.9107</t>
  </si>
  <si>
    <t>108.1902</t>
  </si>
  <si>
    <t>13.147942</t>
  </si>
  <si>
    <t>108.128962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</si>
  <si>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</si>
  <si>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</si>
  <si>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</si>
  <si>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</si>
  <si>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</si>
  <si>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</si>
  <si>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</si>
  <si>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</si>
  <si>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</si>
  <si>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12.9208963</t>
  </si>
  <si>
    <t>108.2648507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</si>
  <si>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</si>
  <si>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</si>
  <si>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</si>
  <si>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</si>
  <si>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</si>
  <si>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</si>
  <si>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</si>
  <si>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</si>
  <si>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</si>
  <si>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</si>
  <si>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</si>
  <si>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12.6993</t>
  </si>
  <si>
    <t>108.0517</t>
  </si>
  <si>
    <t>FO thuê#CMC#DLBT80-DLBT2K</t>
  </si>
  <si>
    <t>92569.00</t>
  </si>
  <si>
    <t>1947.51</t>
  </si>
  <si>
    <t>Buôn Ma Thuột-DLBT96</t>
  </si>
  <si>
    <t>12.712313</t>
  </si>
  <si>
    <t>108.06892</t>
  </si>
  <si>
    <t>12.73505</t>
  </si>
  <si>
    <t>108.078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</si>
  <si>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</si>
  <si>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</si>
  <si>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</si>
  <si>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</si>
  <si>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</si>
  <si>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</si>
  <si>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</si>
  <si>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</si>
  <si>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</si>
  <si>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</si>
  <si>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</si>
  <si>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13.05126</t>
  </si>
  <si>
    <t>108.2152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</si>
  <si>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</si>
  <si>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</si>
  <si>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</si>
  <si>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</si>
  <si>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</si>
  <si>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</si>
  <si>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</si>
  <si>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</si>
  <si>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</si>
  <si>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</si>
  <si>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</si>
  <si>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12.9482705</t>
  </si>
  <si>
    <t>108.2535349</t>
  </si>
  <si>
    <t>FO thuê#CMC#DLKB36-DLKB19</t>
  </si>
  <si>
    <t>288.27</t>
  </si>
  <si>
    <t>186.28</t>
  </si>
  <si>
    <t>12.947990</t>
  </si>
  <si>
    <t>108.251840</t>
  </si>
  <si>
    <t>Krông Búk-Cư Pơng</t>
  </si>
  <si>
    <t>13.00979</t>
  </si>
  <si>
    <t>108.1509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</si>
  <si>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</si>
  <si>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</si>
  <si>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</si>
  <si>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</si>
  <si>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</si>
  <si>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</si>
  <si>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</si>
  <si>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</si>
  <si>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</si>
  <si>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</si>
  <si>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</si>
  <si>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</si>
  <si>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12.940084</t>
  </si>
  <si>
    <t>108.23028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</si>
  <si>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</si>
  <si>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</si>
  <si>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</si>
  <si>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</si>
  <si>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</si>
  <si>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</si>
  <si>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</si>
  <si>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</si>
  <si>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</si>
  <si>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</si>
  <si>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</si>
  <si>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13.04259</t>
  </si>
  <si>
    <t>108.3324</t>
  </si>
  <si>
    <t>FO thuê#CMC#DLKN03-DLKN27</t>
  </si>
  <si>
    <t>121.03</t>
  </si>
  <si>
    <t>85.03</t>
  </si>
  <si>
    <t>13.041829</t>
  </si>
  <si>
    <t>108.332318</t>
  </si>
  <si>
    <t>Buôn Hồ-DLEH08</t>
  </si>
  <si>
    <t>13.174432</t>
  </si>
  <si>
    <t>108.218662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</si>
  <si>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</si>
  <si>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</si>
  <si>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</si>
  <si>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</si>
  <si>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</si>
  <si>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</si>
  <si>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</si>
  <si>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</si>
  <si>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</si>
  <si>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12.950532</t>
  </si>
  <si>
    <t>108.306427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</si>
  <si>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</si>
  <si>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</si>
  <si>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</si>
  <si>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</si>
  <si>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</si>
  <si>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</si>
  <si>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</si>
  <si>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</si>
  <si>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</si>
  <si>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</si>
  <si>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</si>
  <si>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</si>
  <si>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</si>
  <si>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</si>
  <si>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</si>
  <si>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</si>
  <si>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</si>
  <si>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</si>
  <si>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</si>
  <si>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</si>
  <si>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</si>
  <si>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</si>
  <si>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</si>
  <si>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</si>
  <si>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</si>
  <si>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</si>
  <si>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</si>
  <si>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</si>
  <si>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</si>
  <si>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</si>
  <si>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</si>
  <si>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</si>
  <si>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</si>
  <si>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</si>
  <si>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</si>
  <si>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</si>
  <si>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</si>
  <si>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13.20129</t>
  </si>
  <si>
    <t>108.21557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</si>
  <si>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</si>
  <si>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</si>
  <si>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</si>
  <si>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</si>
  <si>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</si>
  <si>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</si>
  <si>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</si>
  <si>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</si>
  <si>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</si>
  <si>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</si>
  <si>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</si>
  <si>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</si>
  <si>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12.8819829</t>
  </si>
  <si>
    <t>108.3861617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</si>
  <si>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</si>
  <si>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</si>
  <si>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</si>
  <si>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</si>
  <si>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</si>
  <si>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</si>
  <si>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</si>
  <si>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</si>
  <si>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</si>
  <si>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</si>
  <si>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</si>
  <si>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12.6978</t>
  </si>
  <si>
    <t>108.02938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</si>
  <si>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</si>
  <si>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</si>
  <si>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</si>
  <si>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</si>
  <si>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</si>
  <si>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</si>
  <si>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</si>
  <si>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</si>
  <si>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</si>
  <si>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12.68915</t>
  </si>
  <si>
    <t>108.04834</t>
  </si>
  <si>
    <t>FO thuê#CMC#DLBT52-DLBT11</t>
  </si>
  <si>
    <t>137.86</t>
  </si>
  <si>
    <t>61.48</t>
  </si>
  <si>
    <t>12.688961</t>
  </si>
  <si>
    <t>108.047808</t>
  </si>
  <si>
    <t>TT1 Đăk Lăk-DLBT45</t>
  </si>
  <si>
    <t>12.722173</t>
  </si>
  <si>
    <t>108.091853</t>
  </si>
  <si>
    <t>FO thuê#CMC#DLBT09-DLBT45</t>
  </si>
  <si>
    <t>1899.34</t>
  </si>
  <si>
    <t>149.24</t>
  </si>
  <si>
    <t>12.721553</t>
  </si>
  <si>
    <t>108.093073</t>
  </si>
  <si>
    <t>DLCG32-Ea Tul</t>
  </si>
  <si>
    <t>12.9595</t>
  </si>
  <si>
    <t>108.08953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</si>
  <si>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</si>
  <si>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</si>
  <si>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</si>
  <si>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</si>
  <si>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</si>
  <si>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</si>
  <si>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</si>
  <si>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</si>
  <si>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</si>
  <si>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</si>
  <si>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</si>
  <si>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</si>
  <si>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</si>
  <si>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</si>
  <si>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</si>
  <si>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12.931363</t>
  </si>
  <si>
    <t>108.264228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</si>
  <si>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</si>
  <si>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</si>
  <si>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</si>
  <si>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</si>
  <si>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</si>
  <si>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</si>
  <si>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</si>
  <si>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</si>
  <si>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</si>
  <si>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12.8166</t>
  </si>
  <si>
    <t>108.071</t>
  </si>
  <si>
    <t>FO thuê#CMC#DLCG06-DLCG30</t>
  </si>
  <si>
    <t>1172.31</t>
  </si>
  <si>
    <t>1054.75</t>
  </si>
  <si>
    <t>12.823486</t>
  </si>
  <si>
    <t>108.077691</t>
  </si>
  <si>
    <t>DLCG41-Cư M’gar</t>
  </si>
  <si>
    <t>12.89177</t>
  </si>
  <si>
    <t>108.17996</t>
  </si>
  <si>
    <t>FO thuê#CMC#DLCG41-DLCG06</t>
  </si>
  <si>
    <t>235.06</t>
  </si>
  <si>
    <t>118.05</t>
  </si>
  <si>
    <t>12.892032</t>
  </si>
  <si>
    <t>108.181015</t>
  </si>
  <si>
    <t>Ea M’Droh-DLCG14</t>
  </si>
  <si>
    <t>12.830697</t>
  </si>
  <si>
    <t>108.033728</t>
  </si>
  <si>
    <t>FO thuê#CMC#DLCG33-DLCG14</t>
  </si>
  <si>
    <t>141.74</t>
  </si>
  <si>
    <t>64.19</t>
  </si>
  <si>
    <t>12.831251</t>
  </si>
  <si>
    <t>108.033561</t>
  </si>
  <si>
    <t>DLCG08-Ea M’Droh</t>
  </si>
  <si>
    <t>12.89577</t>
  </si>
  <si>
    <t>108.06609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</si>
  <si>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</si>
  <si>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</si>
  <si>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</si>
  <si>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</si>
  <si>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</si>
  <si>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</si>
  <si>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</si>
  <si>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</si>
  <si>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</si>
  <si>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</si>
  <si>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12.86139</t>
  </si>
  <si>
    <t>108.25827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</si>
  <si>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</si>
  <si>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</si>
  <si>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</si>
  <si>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</si>
  <si>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</si>
  <si>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</si>
  <si>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</si>
  <si>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13.09204</t>
  </si>
  <si>
    <t>109.29591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</si>
  <si>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</si>
  <si>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</si>
  <si>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</si>
  <si>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</si>
  <si>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</si>
  <si>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</si>
  <si>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</si>
  <si>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</si>
  <si>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</si>
  <si>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</si>
  <si>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</si>
  <si>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13.0529675</t>
  </si>
  <si>
    <t>109.3105219</t>
  </si>
  <si>
    <t>13.0316</t>
  </si>
  <si>
    <t>109.2852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</si>
  <si>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</si>
  <si>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</si>
  <si>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</si>
  <si>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</si>
  <si>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</si>
  <si>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</si>
  <si>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</si>
  <si>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</si>
  <si>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</si>
  <si>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</si>
  <si>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12.788935</t>
  </si>
  <si>
    <t>108.217171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</si>
  <si>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</si>
  <si>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</si>
  <si>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</si>
  <si>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</si>
  <si>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</si>
  <si>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</si>
  <si>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</si>
  <si>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</si>
  <si>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</si>
  <si>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</si>
  <si>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</si>
  <si>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</si>
  <si>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</si>
  <si>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</si>
  <si>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</si>
  <si>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</si>
  <si>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</si>
  <si>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</si>
  <si>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</si>
  <si>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</si>
  <si>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</si>
  <si>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</si>
  <si>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</si>
  <si>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</si>
  <si>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</si>
  <si>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</si>
  <si>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12.614217</t>
  </si>
  <si>
    <t>107.946967</t>
  </si>
  <si>
    <t>12.61763</t>
  </si>
  <si>
    <t>107.9401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</si>
  <si>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</si>
  <si>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</si>
  <si>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</si>
  <si>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</si>
  <si>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</si>
  <si>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</si>
  <si>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</si>
  <si>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</si>
  <si>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</si>
  <si>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</si>
  <si>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</si>
  <si>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12.68783</t>
  </si>
  <si>
    <t>108.06131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</si>
  <si>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</si>
  <si>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</si>
  <si>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</si>
  <si>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</si>
  <si>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</si>
  <si>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</si>
  <si>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</si>
  <si>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</si>
  <si>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</si>
  <si>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</si>
  <si>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</si>
  <si>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</si>
  <si>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</si>
  <si>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</si>
  <si>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</si>
  <si>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</si>
  <si>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</si>
  <si>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</si>
  <si>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</si>
  <si>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</si>
  <si>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</si>
  <si>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</si>
  <si>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</si>
  <si>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</si>
  <si>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13.09377</t>
  </si>
  <si>
    <t>109.2912</t>
  </si>
  <si>
    <t>FO thuê#CMC#DLBT26-DLBT60</t>
  </si>
  <si>
    <t>100845.75</t>
  </si>
  <si>
    <t>7844.66</t>
  </si>
  <si>
    <t>93001.10</t>
  </si>
  <si>
    <t>DLBT10-Trung tâm huấn luyện PX01</t>
  </si>
  <si>
    <t>12.66579</t>
  </si>
  <si>
    <t>108.03123</t>
  </si>
  <si>
    <t>12.67325</t>
  </si>
  <si>
    <t>108.0336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</si>
  <si>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</si>
  <si>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</si>
  <si>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</si>
  <si>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</si>
  <si>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</si>
  <si>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</si>
  <si>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</si>
  <si>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</si>
  <si>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</si>
  <si>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</si>
  <si>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</si>
  <si>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12.68365</t>
  </si>
  <si>
    <t>108.0597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</si>
  <si>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</si>
  <si>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</si>
  <si>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</si>
  <si>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</si>
  <si>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</si>
  <si>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</si>
  <si>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</si>
  <si>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</si>
  <si>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</si>
  <si>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</si>
  <si>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</si>
  <si>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12.66006</t>
  </si>
  <si>
    <t>108.0303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</si>
  <si>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</si>
  <si>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</si>
  <si>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</si>
  <si>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</si>
  <si>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</si>
  <si>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</si>
  <si>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</si>
  <si>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</si>
  <si>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</si>
  <si>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</si>
  <si>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</si>
  <si>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12.68652</t>
  </si>
  <si>
    <t>108.09521</t>
  </si>
  <si>
    <t>FO thuê#CMC#DLBT29-DLBT05</t>
  </si>
  <si>
    <t>1300.24</t>
  </si>
  <si>
    <t>1181.25</t>
  </si>
  <si>
    <t>12.679326</t>
  </si>
  <si>
    <t>108.087198</t>
  </si>
  <si>
    <t>DLBT20-Thành Nhất</t>
  </si>
  <si>
    <t>12.67664</t>
  </si>
  <si>
    <t>107.99387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</si>
  <si>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</si>
  <si>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</si>
  <si>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</si>
  <si>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</si>
  <si>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</si>
  <si>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</si>
  <si>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</si>
  <si>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</si>
  <si>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</si>
  <si>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</si>
  <si>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12.7249</t>
  </si>
  <si>
    <t>108.0505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</si>
  <si>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</si>
  <si>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</si>
  <si>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</si>
  <si>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</si>
  <si>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</si>
  <si>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</si>
  <si>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</si>
  <si>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</si>
  <si>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</si>
  <si>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</si>
  <si>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</si>
  <si>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12.73621</t>
  </si>
  <si>
    <t>108.14301</t>
  </si>
  <si>
    <t>12.75332</t>
  </si>
  <si>
    <t>108.1683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</si>
  <si>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</si>
  <si>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</si>
  <si>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</si>
  <si>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</si>
  <si>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</si>
  <si>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</si>
  <si>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</si>
  <si>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</si>
  <si>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</si>
  <si>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12.909897</t>
  </si>
  <si>
    <t>108.270875</t>
  </si>
  <si>
    <t>FO thuê#CMC#DLBH15-DLBH07</t>
  </si>
  <si>
    <t>547.86</t>
  </si>
  <si>
    <t>489.91</t>
  </si>
  <si>
    <t>12.911094</t>
  </si>
  <si>
    <t>108.266525</t>
  </si>
  <si>
    <t>PYDH36-Phú Yên</t>
  </si>
  <si>
    <t>13.0395</t>
  </si>
  <si>
    <t>109.3046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</si>
  <si>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</si>
  <si>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</si>
  <si>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</si>
  <si>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</si>
  <si>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</si>
  <si>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</si>
  <si>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</si>
  <si>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</si>
  <si>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</si>
  <si>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</si>
  <si>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13.01722</t>
  </si>
  <si>
    <t>109.33051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</si>
  <si>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</si>
  <si>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</si>
  <si>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</si>
  <si>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</si>
  <si>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</si>
  <si>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</si>
  <si>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</si>
  <si>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</si>
  <si>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</si>
  <si>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</si>
  <si>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</si>
  <si>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12.97522</t>
  </si>
  <si>
    <t>109.32653</t>
  </si>
  <si>
    <t>12.908726</t>
  </si>
  <si>
    <t>109.36974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</si>
  <si>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</si>
  <si>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</si>
  <si>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</si>
  <si>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</si>
  <si>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</si>
  <si>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</si>
  <si>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</si>
  <si>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</si>
  <si>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</si>
  <si>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</si>
  <si>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</si>
  <si>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12.95934</t>
  </si>
  <si>
    <t>109.40238</t>
  </si>
  <si>
    <t>FO thuê#VNPT#PYDH11-PYDH17</t>
  </si>
  <si>
    <t>4854.89</t>
  </si>
  <si>
    <t>4850.12</t>
  </si>
  <si>
    <t>12.948195</t>
  </si>
  <si>
    <t>109.359108</t>
  </si>
  <si>
    <t>PYDH09-TTCMKV Đông Hòa</t>
  </si>
  <si>
    <t>12.990696</t>
  </si>
  <si>
    <t>109.33169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</si>
  <si>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</si>
  <si>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</si>
  <si>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</si>
  <si>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</si>
  <si>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</si>
  <si>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</si>
  <si>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</si>
  <si>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</si>
  <si>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</si>
  <si>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</si>
  <si>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12.94611</t>
  </si>
  <si>
    <t>109.33923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</si>
  <si>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</si>
  <si>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</si>
  <si>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</si>
  <si>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</si>
  <si>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</si>
  <si>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</si>
  <si>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</si>
  <si>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</si>
  <si>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</si>
  <si>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12.99888</t>
  </si>
  <si>
    <t>109.36395</t>
  </si>
  <si>
    <t>12.99784</t>
  </si>
  <si>
    <t>109.3701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</si>
  <si>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</si>
  <si>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</si>
  <si>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</si>
  <si>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</si>
  <si>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</si>
  <si>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</si>
  <si>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</si>
  <si>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</si>
  <si>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</si>
  <si>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</si>
  <si>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13.06397</t>
  </si>
  <si>
    <t>109.32752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</si>
  <si>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</si>
  <si>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</si>
  <si>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</si>
  <si>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</si>
  <si>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</si>
  <si>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</si>
  <si>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</si>
  <si>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</si>
  <si>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</si>
  <si>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</si>
  <si>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</si>
  <si>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13.066879</t>
  </si>
  <si>
    <t>109.335538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</si>
  <si>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</si>
  <si>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</si>
  <si>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</si>
  <si>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</si>
  <si>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</si>
  <si>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</si>
  <si>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</si>
  <si>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</si>
  <si>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</si>
  <si>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</si>
  <si>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12.99271</t>
  </si>
  <si>
    <t>109.13042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</si>
  <si>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</si>
  <si>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</si>
  <si>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</si>
  <si>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</si>
  <si>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</si>
  <si>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</si>
  <si>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</si>
  <si>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</si>
  <si>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</si>
  <si>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</si>
  <si>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</si>
  <si>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12.98791</t>
  </si>
  <si>
    <t>109.27635</t>
  </si>
  <si>
    <t>12.932763</t>
  </si>
  <si>
    <t>109.239138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</si>
  <si>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</si>
  <si>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</si>
  <si>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</si>
  <si>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</si>
  <si>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</si>
  <si>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</si>
  <si>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</si>
  <si>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</si>
  <si>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</si>
  <si>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</si>
  <si>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</si>
  <si>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12.96442</t>
  </si>
  <si>
    <t>109.18387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</si>
  <si>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</si>
  <si>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</si>
  <si>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</si>
  <si>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</si>
  <si>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</si>
  <si>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</si>
  <si>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</si>
  <si>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</si>
  <si>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</si>
  <si>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</si>
  <si>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</si>
  <si>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</si>
  <si>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</si>
  <si>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</si>
  <si>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</si>
  <si>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</si>
  <si>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</si>
  <si>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12.93258</t>
  </si>
  <si>
    <t>109.15484</t>
  </si>
  <si>
    <t>FO thuê#VNPT#PYTH12-PYTH01</t>
  </si>
  <si>
    <t>4957.51</t>
  </si>
  <si>
    <t>4806.30</t>
  </si>
  <si>
    <t>12.975726</t>
  </si>
  <si>
    <t>109.157507</t>
  </si>
  <si>
    <t>Sơn Thành-PYTH10</t>
  </si>
  <si>
    <t>12.9638</t>
  </si>
  <si>
    <t>109.0539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</si>
  <si>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</si>
  <si>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</si>
  <si>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</si>
  <si>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</si>
  <si>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</si>
  <si>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</si>
  <si>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</si>
  <si>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</si>
  <si>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</si>
  <si>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</si>
  <si>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</si>
  <si>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</si>
  <si>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</si>
  <si>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13.085069</t>
  </si>
  <si>
    <t>108.954368</t>
  </si>
  <si>
    <t>13.0497487</t>
  </si>
  <si>
    <t>108.9789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</si>
  <si>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</si>
  <si>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</si>
  <si>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</si>
  <si>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</si>
  <si>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</si>
  <si>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</si>
  <si>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</si>
  <si>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</si>
  <si>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</si>
  <si>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</si>
  <si>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</si>
  <si>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</si>
  <si>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</si>
  <si>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</si>
  <si>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</si>
  <si>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</si>
  <si>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</si>
  <si>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</si>
  <si>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</si>
  <si>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</si>
  <si>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</si>
  <si>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</si>
  <si>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13.010007</t>
  </si>
  <si>
    <t>109.161929</t>
  </si>
  <si>
    <t>FO thuê#VNPT#PYPH26-PYPH04</t>
  </si>
  <si>
    <t>677.65</t>
  </si>
  <si>
    <t>144.37</t>
  </si>
  <si>
    <t>13.011045</t>
  </si>
  <si>
    <t>109.162729</t>
  </si>
  <si>
    <t>Phú Hòa-PYPH09</t>
  </si>
  <si>
    <t>13.05668</t>
  </si>
  <si>
    <t>109.19698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</si>
  <si>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</si>
  <si>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</si>
  <si>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</si>
  <si>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</si>
  <si>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</si>
  <si>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</si>
  <si>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</si>
  <si>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</si>
  <si>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</si>
  <si>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</si>
  <si>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</si>
  <si>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13.08552</t>
  </si>
  <si>
    <t>109.27605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</si>
  <si>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</si>
  <si>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</si>
  <si>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</si>
  <si>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</si>
  <si>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</si>
  <si>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</si>
  <si>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</si>
  <si>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</si>
  <si>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13.0148</t>
  </si>
  <si>
    <t>FO thuê#VNPT#PYPH06-PYPH04</t>
  </si>
  <si>
    <t>584.06</t>
  </si>
  <si>
    <t>50.78</t>
  </si>
  <si>
    <t>13.014644</t>
  </si>
  <si>
    <t>109.194960</t>
  </si>
  <si>
    <t>Phú Hòa 2-PYPH18</t>
  </si>
  <si>
    <t>13.082015</t>
  </si>
  <si>
    <t>109.216297</t>
  </si>
  <si>
    <t>13.079425</t>
  </si>
  <si>
    <t>109.259634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</si>
  <si>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</si>
  <si>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</si>
  <si>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</si>
  <si>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</si>
  <si>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</si>
  <si>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</si>
  <si>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</si>
  <si>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</si>
  <si>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</si>
  <si>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</si>
  <si>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13.07887</t>
  </si>
  <si>
    <t>109.29451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</si>
  <si>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</si>
  <si>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</si>
  <si>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</si>
  <si>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</si>
  <si>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</si>
  <si>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</si>
  <si>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</si>
  <si>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</si>
  <si>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</si>
  <si>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</si>
  <si>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</si>
  <si>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</si>
  <si>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</si>
  <si>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</si>
  <si>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</si>
  <si>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</si>
  <si>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</si>
  <si>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</si>
  <si>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</si>
  <si>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</si>
  <si>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</si>
  <si>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</si>
  <si>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13.056406</t>
  </si>
  <si>
    <t>109.245334</t>
  </si>
  <si>
    <t>FO thuê#VNPT#PYPH04-PYPH02</t>
  </si>
  <si>
    <t>1203.59</t>
  </si>
  <si>
    <t>1192.33</t>
  </si>
  <si>
    <t>13.046706</t>
  </si>
  <si>
    <t>109.250027</t>
  </si>
  <si>
    <t>PYPH19-TT2 Tuy Hòa</t>
  </si>
  <si>
    <t>13.05061</t>
  </si>
  <si>
    <t>109.27054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</si>
  <si>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</si>
  <si>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</si>
  <si>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</si>
  <si>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</si>
  <si>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</si>
  <si>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</si>
  <si>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</si>
  <si>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</si>
  <si>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13.024902</t>
  </si>
  <si>
    <t>109.219833</t>
  </si>
  <si>
    <t>FO thuê#VNPT#PYPH04-PYPH08</t>
  </si>
  <si>
    <t>98.77</t>
  </si>
  <si>
    <t>87.51</t>
  </si>
  <si>
    <t>13.024115</t>
  </si>
  <si>
    <t>109.219852</t>
  </si>
  <si>
    <t>PYPH07-PC08</t>
  </si>
  <si>
    <t>13.03807</t>
  </si>
  <si>
    <t>109.257045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</si>
  <si>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</si>
  <si>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</si>
  <si>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</si>
  <si>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</si>
  <si>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</si>
  <si>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</si>
  <si>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</si>
  <si>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</si>
  <si>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</si>
  <si>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</si>
  <si>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</si>
  <si>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</si>
  <si>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</si>
  <si>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</si>
  <si>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</si>
  <si>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</si>
  <si>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</si>
  <si>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</si>
  <si>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</si>
  <si>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</si>
  <si>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</si>
  <si>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13.163281</t>
  </si>
  <si>
    <t>109.29197</t>
  </si>
  <si>
    <t>13.181704</t>
  </si>
  <si>
    <t>109.28728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</si>
  <si>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</si>
  <si>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</si>
  <si>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</si>
  <si>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</si>
  <si>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</si>
  <si>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</si>
  <si>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</si>
  <si>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109.287283</t>
  </si>
  <si>
    <t>full_h04/Đắk Lắk/Mạng cấp IV Đắk Lắk.kmz/Mạng cấp IV Phú Yên/Phú Yên_Ring 4/CAT Phú Yên - Tuy An Nam/Trung thế</t>
  </si>
  <si>
    <t>Tuy An Nam-PYTA19</t>
  </si>
  <si>
    <t>13.202164</t>
  </si>
  <si>
    <t>109.275974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</si>
  <si>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</si>
  <si>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</si>
  <si>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</si>
  <si>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</si>
  <si>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</si>
  <si>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</si>
  <si>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</si>
  <si>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</si>
  <si>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</si>
  <si>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</si>
  <si>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</si>
  <si>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13.35202</t>
  </si>
  <si>
    <t>109.24627</t>
  </si>
  <si>
    <t>13.340476</t>
  </si>
  <si>
    <t>109.254179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</si>
  <si>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</si>
  <si>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</si>
  <si>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</si>
  <si>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</si>
  <si>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</si>
  <si>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</si>
  <si>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</si>
  <si>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</si>
  <si>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</si>
  <si>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</si>
  <si>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</si>
  <si>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</si>
  <si>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</si>
  <si>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</si>
  <si>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</si>
  <si>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</si>
  <si>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</si>
  <si>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13.240071</t>
  </si>
  <si>
    <t>109.257643</t>
  </si>
  <si>
    <t>FO thuê#VNPT#VNPOST Hòa Đa-PYTA32</t>
  </si>
  <si>
    <t>491.83</t>
  </si>
  <si>
    <t>257.48</t>
  </si>
  <si>
    <t>13.240807</t>
  </si>
  <si>
    <t>109.255388</t>
  </si>
  <si>
    <t>Ô Loan-PYTA07</t>
  </si>
  <si>
    <t>13.262696</t>
  </si>
  <si>
    <t>109.252363</t>
  </si>
  <si>
    <t>FO thuê#VNPT#PYTA32-PYTA07</t>
  </si>
  <si>
    <t>472.31</t>
  </si>
  <si>
    <t>214.83</t>
  </si>
  <si>
    <t>13.262246</t>
  </si>
  <si>
    <t>109.250433</t>
  </si>
  <si>
    <t>PYTA01-Tuy An Bắc</t>
  </si>
  <si>
    <t>13.295067</t>
  </si>
  <si>
    <t>109.233463</t>
  </si>
  <si>
    <t>FO thuê#VNPT#PYTA01-PYTA14</t>
  </si>
  <si>
    <t>248.97</t>
  </si>
  <si>
    <t>13.295128</t>
  </si>
  <si>
    <t>109.234527</t>
  </si>
  <si>
    <t>PYTA06-Tuy An Bắc</t>
  </si>
  <si>
    <t>13.31995</t>
  </si>
  <si>
    <t>109.21291</t>
  </si>
  <si>
    <t>FO thuê#VNPT#PYTA06-PYTA14</t>
  </si>
  <si>
    <t>376.04</t>
  </si>
  <si>
    <t>242.45</t>
  </si>
  <si>
    <t>13.322130</t>
  </si>
  <si>
    <t>109.212871</t>
  </si>
  <si>
    <t>Tuy An Bắc-PYDX08</t>
  </si>
  <si>
    <t>13.33919171</t>
  </si>
  <si>
    <t>109.1711022</t>
  </si>
  <si>
    <t>FO thuê#VNPT#PYTA14-PYDX08</t>
  </si>
  <si>
    <t>776.74</t>
  </si>
  <si>
    <t>715.43</t>
  </si>
  <si>
    <t>13.335480</t>
  </si>
  <si>
    <t>109.165701</t>
  </si>
  <si>
    <t>PYDX04-Đồng Xuân</t>
  </si>
  <si>
    <t>13.39901</t>
  </si>
  <si>
    <t>109.1053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</si>
  <si>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</si>
  <si>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</si>
  <si>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</si>
  <si>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</si>
  <si>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</si>
  <si>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</si>
  <si>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</si>
  <si>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</si>
  <si>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</si>
  <si>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</si>
  <si>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</si>
  <si>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13.31682</t>
  </si>
  <si>
    <t>109.18458</t>
  </si>
  <si>
    <t>FO thuê#VNPT#PYTA14-PYTA09</t>
  </si>
  <si>
    <t>227.93</t>
  </si>
  <si>
    <t>166.62</t>
  </si>
  <si>
    <t>13.318313</t>
  </si>
  <si>
    <t>109.184711</t>
  </si>
  <si>
    <t>PYDX25-Đồng Xuân</t>
  </si>
  <si>
    <t>13.364473</t>
  </si>
  <si>
    <t>109.125588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</si>
  <si>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</si>
  <si>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</si>
  <si>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</si>
  <si>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</si>
  <si>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</si>
  <si>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</si>
  <si>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</si>
  <si>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</si>
  <si>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</si>
  <si>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</si>
  <si>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</si>
  <si>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13.294215</t>
  </si>
  <si>
    <t>109.14735</t>
  </si>
  <si>
    <t>FO thuê#VNPT#PYTA14-PYTA16</t>
  </si>
  <si>
    <t>4426.98</t>
  </si>
  <si>
    <t>4365.67</t>
  </si>
  <si>
    <t>13.322787</t>
  </si>
  <si>
    <t>109.175021</t>
  </si>
  <si>
    <t>PYTA11-Đồng Xuân</t>
  </si>
  <si>
    <t>13.250362</t>
  </si>
  <si>
    <t>109.118627</t>
  </si>
  <si>
    <t>FO thuê#VNPT#PYTA11-PYDX01</t>
  </si>
  <si>
    <t>6852.70</t>
  </si>
  <si>
    <t>5762.19</t>
  </si>
  <si>
    <t>13.256083</t>
  </si>
  <si>
    <t>109.171540</t>
  </si>
  <si>
    <t>Đồng Xuân-PYDX20</t>
  </si>
  <si>
    <t>13.3725216</t>
  </si>
  <si>
    <t>109.0860598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</si>
  <si>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</si>
  <si>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</si>
  <si>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</si>
  <si>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</si>
  <si>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</si>
  <si>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</si>
  <si>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</si>
  <si>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</si>
  <si>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</si>
  <si>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</si>
  <si>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</si>
  <si>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13.32346431</t>
  </si>
  <si>
    <t>109.0784358</t>
  </si>
  <si>
    <t>13.298438</t>
  </si>
  <si>
    <t>109.066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</si>
  <si>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</si>
  <si>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</si>
  <si>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</si>
  <si>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</si>
  <si>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</si>
  <si>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</si>
  <si>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</si>
  <si>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</si>
  <si>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</si>
  <si>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</si>
  <si>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</si>
  <si>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</si>
  <si>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</si>
  <si>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</si>
  <si>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</si>
  <si>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</si>
  <si>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</si>
  <si>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</si>
  <si>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12.88348</t>
  </si>
  <si>
    <t>109.37289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</si>
  <si>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</si>
  <si>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</si>
  <si>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</si>
  <si>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</si>
  <si>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</si>
  <si>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</si>
  <si>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</si>
  <si>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</si>
  <si>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</si>
  <si>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12.942915</t>
  </si>
  <si>
    <t>109.357607</t>
  </si>
  <si>
    <t>FO thuê#VNPT#PYDH40-PYDH11</t>
  </si>
  <si>
    <t>469.73</t>
  </si>
  <si>
    <t>464.96</t>
  </si>
  <si>
    <t>12.946677</t>
  </si>
  <si>
    <t>109.359479</t>
  </si>
  <si>
    <t>PYDH26-Hòa Hiệp (CS2)</t>
  </si>
  <si>
    <t>12.990427</t>
  </si>
  <si>
    <t>109.384613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</si>
  <si>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</si>
  <si>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</si>
  <si>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</si>
  <si>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</si>
  <si>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</si>
  <si>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</si>
  <si>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</si>
  <si>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</si>
  <si>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</si>
  <si>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</si>
  <si>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</si>
  <si>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13.09966</t>
  </si>
  <si>
    <t>109.2876</t>
  </si>
  <si>
    <t>13.09501</t>
  </si>
  <si>
    <t>109.2916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</si>
  <si>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</si>
  <si>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</si>
  <si>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</si>
  <si>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</si>
  <si>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</si>
  <si>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</si>
  <si>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</si>
  <si>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</si>
  <si>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</si>
  <si>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</si>
  <si>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</si>
  <si>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13.342178</t>
  </si>
  <si>
    <t>109.255988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</si>
  <si>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</si>
  <si>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</si>
  <si>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</si>
  <si>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</si>
  <si>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</si>
  <si>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</si>
  <si>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</si>
  <si>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</si>
  <si>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</si>
  <si>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</si>
  <si>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</si>
  <si>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13.256024</t>
  </si>
  <si>
    <t>109.262114</t>
  </si>
  <si>
    <t>FO thuê#VNPT#PYTA50-PYTA32</t>
  </si>
  <si>
    <t>1451.42</t>
  </si>
  <si>
    <t>1193.94</t>
  </si>
  <si>
    <t>13.251925</t>
  </si>
  <si>
    <t>109.251918</t>
  </si>
  <si>
    <t>PYTA41-Ô Loan</t>
  </si>
  <si>
    <t>13.239361</t>
  </si>
  <si>
    <t>109.233434</t>
  </si>
  <si>
    <t>FO thuê#VNPT#PYTA41-PYTA32</t>
  </si>
  <si>
    <t>2584.96</t>
  </si>
  <si>
    <t>2327.48</t>
  </si>
  <si>
    <t>13.246875</t>
  </si>
  <si>
    <t>109.253504</t>
  </si>
  <si>
    <t>PYDX30-Đồng Xuân</t>
  </si>
  <si>
    <t>13.36221165</t>
  </si>
  <si>
    <t>109.1015693</t>
  </si>
  <si>
    <t>FO thuê#VNPT#PYDX30-PYDX01</t>
  </si>
  <si>
    <t>692.49</t>
  </si>
  <si>
    <t>415.89</t>
  </si>
  <si>
    <t>13.364878</t>
  </si>
  <si>
    <t>109.098874</t>
  </si>
  <si>
    <t>PYTH23-Hòa Mỹ</t>
  </si>
  <si>
    <t>12.96368</t>
  </si>
  <si>
    <t>109.18201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</si>
  <si>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</si>
  <si>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</si>
  <si>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</si>
  <si>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</si>
  <si>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</si>
  <si>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</si>
  <si>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</si>
  <si>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</si>
  <si>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</si>
  <si>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12.94095</t>
  </si>
  <si>
    <t>109.21328</t>
  </si>
  <si>
    <t>FO thuê#VNPT#PYTH26-PYTH06</t>
  </si>
  <si>
    <t>677.37</t>
  </si>
  <si>
    <t>665.51</t>
  </si>
  <si>
    <t>12.943085</t>
  </si>
  <si>
    <t>109.207543</t>
  </si>
  <si>
    <t>Đức Bình-PYTH08</t>
  </si>
  <si>
    <t>12.94556</t>
  </si>
  <si>
    <t>109.26331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</si>
  <si>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</si>
  <si>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</si>
  <si>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</si>
  <si>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</si>
  <si>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</si>
  <si>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</si>
  <si>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</si>
  <si>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</si>
  <si>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</si>
  <si>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13.05001</t>
  </si>
  <si>
    <t>108.97463</t>
  </si>
  <si>
    <t>FO thuê#VNPT#PYSA01-PYSA16</t>
  </si>
  <si>
    <t>54.42</t>
  </si>
  <si>
    <t>27.87</t>
  </si>
  <si>
    <t>13.049759</t>
  </si>
  <si>
    <t>108.974624</t>
  </si>
  <si>
    <t>PYPH30-Phú Hòa 2</t>
  </si>
  <si>
    <t>13.07447</t>
  </si>
  <si>
    <t>109.22572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</si>
  <si>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</si>
  <si>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</si>
  <si>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</si>
  <si>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</si>
  <si>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</si>
  <si>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</si>
  <si>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</si>
  <si>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</si>
  <si>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</si>
  <si>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13.334197</t>
  </si>
  <si>
    <t>109.227122</t>
  </si>
  <si>
    <t>FO thuê#VNPT#PYTA20-PYTA05</t>
  </si>
  <si>
    <t>80.45</t>
  </si>
  <si>
    <t>47.99</t>
  </si>
  <si>
    <t>13.333803</t>
  </si>
  <si>
    <t>109.227303</t>
  </si>
  <si>
    <t>PYTA03-Ô Loan</t>
  </si>
  <si>
    <t>13.22776</t>
  </si>
  <si>
    <t>109.26069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</si>
  <si>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</si>
  <si>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</si>
  <si>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</si>
  <si>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</si>
  <si>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</si>
  <si>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</si>
  <si>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</si>
  <si>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</si>
  <si>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</si>
  <si>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</si>
  <si>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13.175283</t>
  </si>
  <si>
    <t>109.2919</t>
  </si>
  <si>
    <t>FO thuê#VNPT#PYPY15-PYTA12</t>
  </si>
  <si>
    <t>78.67</t>
  </si>
  <si>
    <t>78.33</t>
  </si>
  <si>
    <t>13.174819</t>
  </si>
  <si>
    <t>109.291356</t>
  </si>
  <si>
    <t>PYDX26-Xuân Phước</t>
  </si>
  <si>
    <t>13.31223331</t>
  </si>
  <si>
    <t>109.0475878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</si>
  <si>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</si>
  <si>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</si>
  <si>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</si>
  <si>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</si>
  <si>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</si>
  <si>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</si>
  <si>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</si>
  <si>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</si>
  <si>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</si>
  <si>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</si>
  <si>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</si>
  <si>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13.27302</t>
  </si>
  <si>
    <t>109.06723</t>
  </si>
  <si>
    <t>FO thuê#VNPT#PYDX24-PYDX03</t>
  </si>
  <si>
    <t>727.92</t>
  </si>
  <si>
    <t>602.78</t>
  </si>
  <si>
    <t>13.275760</t>
  </si>
  <si>
    <t>109.062424</t>
  </si>
  <si>
    <t>DLKN53-Dliê Ya</t>
  </si>
  <si>
    <t>13.12196</t>
  </si>
  <si>
    <t>108.30064</t>
  </si>
  <si>
    <t>FO thuê#VNPT#DLKN53-DLKN15</t>
  </si>
  <si>
    <t>2927.54</t>
  </si>
  <si>
    <t>2654.73</t>
  </si>
  <si>
    <t>13.128857</t>
  </si>
  <si>
    <t>108.324110</t>
  </si>
  <si>
    <t>DLCG60-Cuôr Đăng</t>
  </si>
  <si>
    <t>12.75128</t>
  </si>
  <si>
    <t>108.16562</t>
  </si>
  <si>
    <t>FO thuê#VNPT#DLCG60-DLBT25</t>
  </si>
  <si>
    <t>193.16</t>
  </si>
  <si>
    <t>91.78</t>
  </si>
  <si>
    <t>12.750474</t>
  </si>
  <si>
    <t>108.165804</t>
  </si>
  <si>
    <t>DLBH36-Buôn Hồ</t>
  </si>
  <si>
    <t>12.91687</t>
  </si>
  <si>
    <t>108.26619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</si>
  <si>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</si>
  <si>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</si>
  <si>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</si>
  <si>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</si>
  <si>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</si>
  <si>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</si>
  <si>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</si>
  <si>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</si>
  <si>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</si>
  <si>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</si>
  <si>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</si>
  <si>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12.706347</t>
  </si>
  <si>
    <t>108.074345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</si>
  <si>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</si>
  <si>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</si>
  <si>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</si>
  <si>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</si>
  <si>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</si>
  <si>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</si>
  <si>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</si>
  <si>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</si>
  <si>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</si>
  <si>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</si>
  <si>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13.131223</t>
  </si>
  <si>
    <t>109.276418</t>
  </si>
  <si>
    <t>13.1123</t>
  </si>
  <si>
    <t>109.2845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</si>
  <si>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</si>
  <si>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</si>
  <si>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</si>
  <si>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</si>
  <si>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</si>
  <si>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</si>
  <si>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</si>
  <si>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</si>
  <si>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</si>
  <si>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</si>
  <si>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</si>
  <si>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</si>
  <si>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</si>
  <si>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</si>
  <si>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</si>
  <si>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</si>
  <si>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</si>
  <si>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</si>
  <si>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</si>
  <si>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</si>
  <si>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</si>
  <si>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</si>
  <si>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</si>
  <si>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</si>
  <si>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</si>
  <si>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</si>
  <si>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13.0888</t>
  </si>
  <si>
    <t>109.2993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</si>
  <si>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</si>
  <si>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</si>
  <si>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</si>
  <si>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</si>
  <si>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</si>
  <si>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</si>
  <si>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</si>
  <si>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</si>
  <si>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</si>
  <si>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</si>
  <si>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13.0867</t>
  </si>
  <si>
    <t>109.3027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</si>
  <si>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</si>
  <si>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</si>
  <si>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</si>
  <si>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</si>
  <si>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</si>
  <si>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</si>
  <si>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</si>
  <si>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</si>
  <si>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</si>
  <si>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13.09323</t>
  </si>
  <si>
    <t>109.31645</t>
  </si>
  <si>
    <t>13.08964</t>
  </si>
  <si>
    <t>109.3095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</si>
  <si>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</si>
  <si>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</si>
  <si>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</si>
  <si>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</si>
  <si>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</si>
  <si>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</si>
  <si>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</si>
  <si>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</si>
  <si>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</si>
  <si>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</si>
  <si>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</si>
  <si>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13.08701</t>
  </si>
  <si>
    <t>109.30702</t>
  </si>
  <si>
    <t>FO DT#MBF#PYPY47-VNPOST Tuy Hòa</t>
  </si>
  <si>
    <t>225.82</t>
  </si>
  <si>
    <t>208.90</t>
  </si>
  <si>
    <t>13.088728</t>
  </si>
  <si>
    <t>109.306239</t>
  </si>
  <si>
    <t>PYPY16-PA06</t>
  </si>
  <si>
    <t>13.1428</t>
  </si>
  <si>
    <t>109.28118</t>
  </si>
  <si>
    <t>13.1166</t>
  </si>
  <si>
    <t>109.310536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</si>
  <si>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</si>
  <si>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</si>
  <si>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</si>
  <si>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</si>
  <si>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</si>
  <si>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</si>
  <si>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</si>
  <si>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</si>
  <si>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</si>
  <si>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</si>
  <si>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13.10766</t>
  </si>
  <si>
    <t>109.30158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</si>
  <si>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</si>
  <si>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</si>
  <si>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</si>
  <si>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</si>
  <si>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</si>
  <si>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</si>
  <si>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</si>
  <si>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</si>
  <si>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</si>
  <si>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13.0951</t>
  </si>
  <si>
    <t>109.3202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</si>
  <si>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</si>
  <si>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</si>
  <si>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</si>
  <si>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</si>
  <si>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</si>
  <si>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</si>
  <si>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</si>
  <si>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</si>
  <si>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</si>
  <si>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13.08809</t>
  </si>
  <si>
    <t>109.3123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</si>
  <si>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</si>
  <si>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</si>
  <si>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</si>
  <si>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</si>
  <si>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</si>
  <si>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</si>
  <si>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</si>
  <si>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</si>
  <si>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</si>
  <si>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</si>
  <si>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</si>
  <si>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</si>
  <si>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</si>
  <si>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</si>
  <si>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</si>
  <si>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</si>
  <si>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</si>
  <si>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</si>
  <si>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</si>
  <si>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</si>
  <si>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</si>
  <si>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</si>
  <si>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</si>
  <si>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</si>
  <si>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</si>
  <si>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13.0752</t>
  </si>
  <si>
    <t>109.2865</t>
  </si>
  <si>
    <t>FO DT#MBF#PYPH14-PYPH17</t>
  </si>
  <si>
    <t>738.12</t>
  </si>
  <si>
    <t>722.25</t>
  </si>
  <si>
    <t>13.074518</t>
  </si>
  <si>
    <t>109.279869</t>
  </si>
  <si>
    <t>PYPY02-Phú Yên</t>
  </si>
  <si>
    <t>13.048528</t>
  </si>
  <si>
    <t>109.311034</t>
  </si>
  <si>
    <t>FO DT#MBF#PYPY02-PYPY33</t>
  </si>
  <si>
    <t>83.30</t>
  </si>
  <si>
    <t>81.63</t>
  </si>
  <si>
    <t>13.049013</t>
  </si>
  <si>
    <t>109.310469</t>
  </si>
  <si>
    <t>PYPY79-TT2 Tuy Hòa</t>
  </si>
  <si>
    <t>13.08933</t>
  </si>
  <si>
    <t>109.30385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</si>
  <si>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</si>
  <si>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</si>
  <si>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</si>
  <si>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</si>
  <si>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</si>
  <si>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</si>
  <si>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</si>
  <si>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</si>
  <si>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</si>
  <si>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13.109544</t>
  </si>
  <si>
    <t>109.285226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</si>
  <si>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</si>
  <si>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</si>
  <si>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</si>
  <si>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</si>
  <si>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</si>
  <si>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</si>
  <si>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</si>
  <si>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</si>
  <si>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</si>
  <si>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</si>
  <si>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</si>
  <si>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12.922141</t>
  </si>
  <si>
    <t>109.240506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</si>
  <si>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</si>
  <si>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</si>
  <si>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</si>
  <si>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</si>
  <si>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</si>
  <si>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</si>
  <si>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</si>
  <si>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</si>
  <si>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</si>
  <si>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13.093438</t>
  </si>
  <si>
    <t>109.292208</t>
  </si>
  <si>
    <t>FO DT#MBF#PYPY67-PYPY72</t>
  </si>
  <si>
    <t>84.83</t>
  </si>
  <si>
    <t>78.81</t>
  </si>
  <si>
    <t>13.093843</t>
  </si>
  <si>
    <t>109.291611</t>
  </si>
  <si>
    <t>PA06-PYPY61</t>
  </si>
  <si>
    <t>13.117866</t>
  </si>
  <si>
    <t>109.294728</t>
  </si>
  <si>
    <t>FO DT#MBF#PYPY40-PYPY61</t>
  </si>
  <si>
    <t>1319.10</t>
  </si>
  <si>
    <t>573.82</t>
  </si>
  <si>
    <t>13.115219</t>
  </si>
  <si>
    <t>109.299276</t>
  </si>
  <si>
    <t>PA06-PYPY08</t>
  </si>
  <si>
    <t>13.1169</t>
  </si>
  <si>
    <t>109.298</t>
  </si>
  <si>
    <t>FO DT#MBF#PYPY40-PYPY08</t>
  </si>
  <si>
    <t>977.79</t>
  </si>
  <si>
    <t>232.51</t>
  </si>
  <si>
    <t>PC07-PYPY11</t>
  </si>
  <si>
    <t>13.10562</t>
  </si>
  <si>
    <t>109.28768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</si>
  <si>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</si>
  <si>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</si>
  <si>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</si>
  <si>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</si>
  <si>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</si>
  <si>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</si>
  <si>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</si>
  <si>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</si>
  <si>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</si>
  <si>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</si>
  <si>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</si>
  <si>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13.262749</t>
  </si>
  <si>
    <t>109.203296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</si>
  <si>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</si>
  <si>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</si>
  <si>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</si>
  <si>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</si>
  <si>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</si>
  <si>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</si>
  <si>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</si>
  <si>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</si>
  <si>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</si>
  <si>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</si>
  <si>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</si>
  <si>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13.090889</t>
  </si>
  <si>
    <t>109.31281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</si>
  <si>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</si>
  <si>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</si>
  <si>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</si>
  <si>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</si>
  <si>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</si>
  <si>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</si>
  <si>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</si>
  <si>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</si>
  <si>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</si>
  <si>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</si>
  <si>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</si>
  <si>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</si>
  <si>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108.0352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</si>
  <si>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</si>
  <si>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</si>
  <si>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</si>
  <si>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</si>
  <si>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</si>
  <si>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</si>
  <si>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</si>
  <si>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</si>
  <si>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</si>
  <si>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</si>
  <si>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</si>
  <si>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</si>
  <si>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</si>
  <si>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12.781192</t>
  </si>
  <si>
    <t>108.069675</t>
  </si>
  <si>
    <t>FO DT#MBF#DLCG07-DLCG03</t>
  </si>
  <si>
    <t>8912.47</t>
  </si>
  <si>
    <t>8868.01</t>
  </si>
  <si>
    <t>DLBHMA012-Ea Tul</t>
  </si>
  <si>
    <t>12.788846</t>
  </si>
  <si>
    <t>108.21658</t>
  </si>
  <si>
    <t>FO DT#MBF#DLBHMA012-DLCG03</t>
  </si>
  <si>
    <t>Cuôr Đăng - Cư Bao</t>
  </si>
  <si>
    <t>10015.73</t>
  </si>
  <si>
    <t>73.57</t>
  </si>
  <si>
    <t>12.788780</t>
  </si>
  <si>
    <t>108.217255</t>
  </si>
  <si>
    <t>9942.16</t>
  </si>
  <si>
    <t>12.840891</t>
  </si>
  <si>
    <t>108.247509</t>
  </si>
  <si>
    <t>full_h04/Đắk Lắk/Mạng cấp IV Đắk Lắk.kmz/Mạng cấp IV Đắk Lắk/Đắk Lắk Ring 13.kmz/ring 13/Cuôr Đăng - Cư Bao/Trung Thế Cư Mgar - Buôn Hồ</t>
  </si>
  <si>
    <t>TT1 Đăk Lăk-DLBHMA012</t>
  </si>
  <si>
    <t>FO DT#MBF#DLBT09-DLBHMA012</t>
  </si>
  <si>
    <t>1861.86</t>
  </si>
  <si>
    <t>111.75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</si>
  <si>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</si>
  <si>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</si>
  <si>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</si>
  <si>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</si>
  <si>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</si>
  <si>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</si>
  <si>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</si>
  <si>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</si>
  <si>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</si>
  <si>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</si>
  <si>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</si>
  <si>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</si>
  <si>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</si>
  <si>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</si>
  <si>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</si>
  <si>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</si>
  <si>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</si>
  <si>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</si>
  <si>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</si>
  <si>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</si>
  <si>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</si>
  <si>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</si>
  <si>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</si>
  <si>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</si>
  <si>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</si>
  <si>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</si>
  <si>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</si>
  <si>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</si>
  <si>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</si>
  <si>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</si>
  <si>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</si>
  <si>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</si>
  <si>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</si>
  <si>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</si>
  <si>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</si>
  <si>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12.715607</t>
  </si>
  <si>
    <t>108.241525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</si>
  <si>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</si>
  <si>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</si>
  <si>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</si>
  <si>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</si>
  <si>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</si>
  <si>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</si>
  <si>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</si>
  <si>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</si>
  <si>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</si>
  <si>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</si>
  <si>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</si>
  <si>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</si>
  <si>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</si>
  <si>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</si>
  <si>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</si>
  <si>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12.6381269</t>
  </si>
  <si>
    <t>108.1201019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</si>
  <si>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</si>
  <si>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</si>
  <si>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</si>
  <si>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</si>
  <si>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</si>
  <si>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</si>
  <si>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</si>
  <si>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</si>
  <si>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</si>
  <si>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</si>
  <si>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</si>
  <si>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</si>
  <si>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</si>
  <si>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</si>
  <si>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</si>
  <si>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</si>
  <si>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</si>
  <si>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</si>
  <si>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</si>
  <si>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</si>
  <si>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</si>
  <si>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</si>
  <si>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</si>
  <si>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12.814122</t>
  </si>
  <si>
    <t>108.518682</t>
  </si>
  <si>
    <t>12.80333</t>
  </si>
  <si>
    <t>108.5412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</si>
  <si>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</si>
  <si>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</si>
  <si>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</si>
  <si>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</si>
  <si>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</si>
  <si>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</si>
  <si>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</si>
  <si>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</si>
  <si>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</si>
  <si>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</si>
  <si>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</si>
  <si>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12.8125985</t>
  </si>
  <si>
    <t>108.4600826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</si>
  <si>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</si>
  <si>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</si>
  <si>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</si>
  <si>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</si>
  <si>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</si>
  <si>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</si>
  <si>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</si>
  <si>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</si>
  <si>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</si>
  <si>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</si>
  <si>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</si>
  <si>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</si>
  <si>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</si>
  <si>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</si>
  <si>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</si>
  <si>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</si>
  <si>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</si>
  <si>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12.84153</t>
  </si>
  <si>
    <t>108.43094</t>
  </si>
  <si>
    <t>FO DT#MBF#DLEK01-DLEK10</t>
  </si>
  <si>
    <t>175.65</t>
  </si>
  <si>
    <t>104.85</t>
  </si>
  <si>
    <t>12.841301</t>
  </si>
  <si>
    <t>108.430002</t>
  </si>
  <si>
    <t>Ea Kly-Ea Kar</t>
  </si>
  <si>
    <t>12.76228</t>
  </si>
  <si>
    <t>108.4145</t>
  </si>
  <si>
    <t>FO DT#MBF#DLKP05-DLEK01</t>
  </si>
  <si>
    <t>1380.85</t>
  </si>
  <si>
    <t>1311.61</t>
  </si>
  <si>
    <t>12.770509</t>
  </si>
  <si>
    <t>108.405835</t>
  </si>
  <si>
    <t>Ea Phê-Ea Kly</t>
  </si>
  <si>
    <t>12.72793</t>
  </si>
  <si>
    <t>108.3632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</si>
  <si>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</si>
  <si>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</si>
  <si>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</si>
  <si>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</si>
  <si>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</si>
  <si>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</si>
  <si>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</si>
  <si>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</si>
  <si>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</si>
  <si>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</si>
  <si>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</si>
  <si>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</si>
  <si>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</si>
  <si>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</si>
  <si>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</si>
  <si>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</si>
  <si>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</si>
  <si>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12.71014</t>
  </si>
  <si>
    <t>108.43604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</si>
  <si>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</si>
  <si>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</si>
  <si>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</si>
  <si>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</si>
  <si>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</si>
  <si>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</si>
  <si>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</si>
  <si>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</si>
  <si>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</si>
  <si>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</si>
  <si>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</si>
  <si>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12.6589</t>
  </si>
  <si>
    <t>108.4328</t>
  </si>
  <si>
    <t>12.5817425</t>
  </si>
  <si>
    <t>108.4300584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</si>
  <si>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</si>
  <si>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</si>
  <si>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</si>
  <si>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</si>
  <si>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</si>
  <si>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</si>
  <si>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</si>
  <si>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</si>
  <si>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</si>
  <si>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</si>
  <si>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</si>
  <si>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12.69252</t>
  </si>
  <si>
    <t>108.38369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</si>
  <si>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</si>
  <si>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</si>
  <si>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</si>
  <si>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</si>
  <si>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</si>
  <si>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</si>
  <si>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</si>
  <si>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</si>
  <si>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</si>
  <si>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12.75627</t>
  </si>
  <si>
    <t>108.51017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</si>
  <si>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</si>
  <si>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</si>
  <si>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</si>
  <si>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</si>
  <si>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</si>
  <si>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</si>
  <si>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</si>
  <si>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</si>
  <si>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</si>
  <si>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</si>
  <si>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</si>
  <si>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12.7257</t>
  </si>
  <si>
    <t>108.5551</t>
  </si>
  <si>
    <t>FO DT#MBF#DLEK34-DLEK04</t>
  </si>
  <si>
    <t>3788.40</t>
  </si>
  <si>
    <t>168.48</t>
  </si>
  <si>
    <t>12.726937</t>
  </si>
  <si>
    <t>108.554203</t>
  </si>
  <si>
    <t>DLEK30-Ea Păl</t>
  </si>
  <si>
    <t>12.6403801</t>
  </si>
  <si>
    <t>108.5144039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</si>
  <si>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</si>
  <si>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</si>
  <si>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</si>
  <si>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</si>
  <si>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</si>
  <si>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</si>
  <si>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</si>
  <si>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</si>
  <si>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</si>
  <si>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12.70389</t>
  </si>
  <si>
    <t>108.1564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</si>
  <si>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</si>
  <si>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</si>
  <si>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</si>
  <si>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</si>
  <si>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</si>
  <si>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</si>
  <si>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</si>
  <si>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</si>
  <si>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</si>
  <si>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</si>
  <si>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12.702408</t>
  </si>
  <si>
    <t>108.197138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</si>
  <si>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</si>
  <si>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</si>
  <si>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</si>
  <si>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</si>
  <si>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</si>
  <si>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</si>
  <si>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</si>
  <si>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</si>
  <si>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</si>
  <si>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</si>
  <si>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</si>
  <si>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12.59915</t>
  </si>
  <si>
    <t>108.160133</t>
  </si>
  <si>
    <t>FO DT#MBF#DLCK03-DLCK11</t>
  </si>
  <si>
    <t>3493.74</t>
  </si>
  <si>
    <t>2935.12</t>
  </si>
  <si>
    <t>Cơ sở cai nghiện (X. Tân Tiến, H. Kron Pắc)-DLKP32</t>
  </si>
  <si>
    <t>12.70365</t>
  </si>
  <si>
    <t>108.32346</t>
  </si>
  <si>
    <t>FO DT#MBF#DLKP17-DLKP32</t>
  </si>
  <si>
    <t>273.46</t>
  </si>
  <si>
    <t>204.32</t>
  </si>
  <si>
    <t>12.703611</t>
  </si>
  <si>
    <t>108.321577</t>
  </si>
  <si>
    <t>DLBT51-PC08</t>
  </si>
  <si>
    <t>12.69374</t>
  </si>
  <si>
    <t>108.05976</t>
  </si>
  <si>
    <t>FO DT#MBF#DLBT51-DLBT80</t>
  </si>
  <si>
    <t>91513.71</t>
  </si>
  <si>
    <t>892.22</t>
  </si>
  <si>
    <t>DLBH17-Buôn Hồ</t>
  </si>
  <si>
    <t>12.91985</t>
  </si>
  <si>
    <t>108.2575</t>
  </si>
  <si>
    <t>FO DT#MBF#DLBH17-DLBH15</t>
  </si>
  <si>
    <t>830.55</t>
  </si>
  <si>
    <t>772.28</t>
  </si>
  <si>
    <t>12.920682</t>
  </si>
  <si>
    <t>108.264574</t>
  </si>
  <si>
    <t>DLKN49-Dliê Ya</t>
  </si>
  <si>
    <t>13.12455</t>
  </si>
  <si>
    <t>108.35996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</si>
  <si>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</si>
  <si>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</si>
  <si>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</si>
  <si>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</si>
  <si>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</si>
  <si>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</si>
  <si>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</si>
  <si>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</si>
  <si>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</si>
  <si>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</si>
  <si>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</si>
  <si>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12.98617</t>
  </si>
  <si>
    <t>108.3397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</si>
  <si>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</si>
  <si>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</si>
  <si>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</si>
  <si>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</si>
  <si>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</si>
  <si>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</si>
  <si>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</si>
  <si>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</si>
  <si>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</si>
  <si>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12.92228</t>
  </si>
  <si>
    <t>108.15975</t>
  </si>
  <si>
    <t>FO DT#MBF#DLCG29-DLCG03</t>
  </si>
  <si>
    <t>1958.36</t>
  </si>
  <si>
    <t>1913.91</t>
  </si>
  <si>
    <t>12.906500</t>
  </si>
  <si>
    <t>108.152697</t>
  </si>
  <si>
    <t>DLKA03-Hòa Phú</t>
  </si>
  <si>
    <t>12.582007</t>
  </si>
  <si>
    <t>107.934377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</si>
  <si>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</si>
  <si>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</si>
  <si>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</si>
  <si>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</si>
  <si>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</si>
  <si>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</si>
  <si>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</si>
  <si>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</si>
  <si>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</si>
  <si>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</si>
  <si>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12.95423</t>
  </si>
  <si>
    <t>108.22635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</si>
  <si>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</si>
  <si>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</si>
  <si>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</si>
  <si>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</si>
  <si>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</si>
  <si>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</si>
  <si>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</si>
  <si>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</si>
  <si>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</si>
  <si>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</si>
  <si>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</si>
  <si>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12.973813</t>
  </si>
  <si>
    <t>108.16369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</si>
  <si>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</si>
  <si>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</si>
  <si>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</si>
  <si>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</si>
  <si>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</si>
  <si>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</si>
  <si>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</si>
  <si>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</si>
  <si>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</si>
  <si>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</si>
  <si>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</si>
  <si>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12.80491</t>
  </si>
  <si>
    <t>108.45256</t>
  </si>
  <si>
    <t>FO DT#MBF#DLEK01-DLEK31</t>
  </si>
  <si>
    <t>764.99</t>
  </si>
  <si>
    <t>695.74</t>
  </si>
  <si>
    <t>12.809038</t>
  </si>
  <si>
    <t>108.447738</t>
  </si>
  <si>
    <t>DLEK53-Ea Knốp</t>
  </si>
  <si>
    <t>12.80813</t>
  </si>
  <si>
    <t>108.56272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</si>
  <si>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</si>
  <si>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</si>
  <si>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</si>
  <si>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</si>
  <si>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</si>
  <si>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</si>
  <si>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</si>
  <si>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</si>
  <si>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</si>
  <si>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</si>
  <si>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</si>
  <si>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12.78457</t>
  </si>
  <si>
    <t>108.54173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</si>
  <si>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</si>
  <si>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</si>
  <si>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</si>
  <si>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</si>
  <si>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</si>
  <si>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</si>
  <si>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</si>
  <si>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</si>
  <si>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</si>
  <si>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12.747125</t>
  </si>
  <si>
    <t>108.580095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</si>
  <si>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</si>
  <si>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</si>
  <si>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</si>
  <si>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</si>
  <si>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</si>
  <si>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</si>
  <si>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</si>
  <si>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</si>
  <si>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</si>
  <si>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</si>
  <si>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</si>
  <si>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12.70653</t>
  </si>
  <si>
    <t>108.58205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</si>
  <si>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</si>
  <si>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</si>
  <si>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</si>
  <si>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</si>
  <si>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</si>
  <si>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</si>
  <si>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</si>
  <si>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</si>
  <si>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</si>
  <si>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</si>
  <si>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12.784863</t>
  </si>
  <si>
    <t>108.412868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</si>
  <si>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</si>
  <si>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</si>
  <si>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</si>
  <si>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</si>
  <si>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</si>
  <si>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</si>
  <si>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</si>
  <si>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</si>
  <si>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</si>
  <si>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</si>
  <si>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</si>
  <si>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12.7712431</t>
  </si>
  <si>
    <t>108.3912947</t>
  </si>
  <si>
    <t>FO DT#MBF#DLKP35-DLKP05</t>
  </si>
  <si>
    <t>1432.09</t>
  </si>
  <si>
    <t>120.49</t>
  </si>
  <si>
    <t>12.770160</t>
  </si>
  <si>
    <t>108.391271</t>
  </si>
  <si>
    <t>DLKP40-Ea Kly</t>
  </si>
  <si>
    <t>12.75757</t>
  </si>
  <si>
    <t>108.43493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</si>
  <si>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</si>
  <si>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</si>
  <si>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</si>
  <si>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</si>
  <si>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</si>
  <si>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</si>
  <si>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</si>
  <si>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</si>
  <si>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</si>
  <si>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</si>
  <si>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</si>
  <si>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12.74335</t>
  </si>
  <si>
    <t>108.4257</t>
  </si>
  <si>
    <t>FO DT#MBF#DLKP20-DLKP05</t>
  </si>
  <si>
    <t>818.05</t>
  </si>
  <si>
    <t>754.63</t>
  </si>
  <si>
    <t>12.748787</t>
  </si>
  <si>
    <t>108.421536</t>
  </si>
  <si>
    <t>DLKP10-Ea Phê</t>
  </si>
  <si>
    <t>12.76683</t>
  </si>
  <si>
    <t>108.36705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</si>
  <si>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</si>
  <si>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</si>
  <si>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</si>
  <si>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</si>
  <si>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</si>
  <si>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</si>
  <si>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</si>
  <si>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</si>
  <si>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</si>
  <si>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</si>
  <si>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12.752233</t>
  </si>
  <si>
    <t>108.34403</t>
  </si>
  <si>
    <t>FO DT#MBF#DLKP61-DLKP37</t>
  </si>
  <si>
    <t>2940.95</t>
  </si>
  <si>
    <t>2855.55</t>
  </si>
  <si>
    <t>12.760440</t>
  </si>
  <si>
    <t>108.368980</t>
  </si>
  <si>
    <t>DLKP49-Vụ Bổn</t>
  </si>
  <si>
    <t>12.64308</t>
  </si>
  <si>
    <t>108.43206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</si>
  <si>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</si>
  <si>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</si>
  <si>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</si>
  <si>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</si>
  <si>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</si>
  <si>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</si>
  <si>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12.65106615</t>
  </si>
  <si>
    <t>108.3756681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</si>
  <si>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</si>
  <si>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</si>
  <si>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</si>
  <si>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</si>
  <si>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</si>
  <si>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</si>
  <si>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12.63735</t>
  </si>
  <si>
    <t>108.33829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</si>
  <si>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</si>
  <si>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</si>
  <si>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</si>
  <si>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</si>
  <si>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</si>
  <si>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</si>
  <si>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</si>
  <si>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</si>
  <si>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</si>
  <si>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</si>
  <si>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12.68463</t>
  </si>
  <si>
    <t>108.14154</t>
  </si>
  <si>
    <t>FO DT#MBF#DLKP15-DLKP03</t>
  </si>
  <si>
    <t>1709.26</t>
  </si>
  <si>
    <t>1612.81</t>
  </si>
  <si>
    <t>12.698812</t>
  </si>
  <si>
    <t>108.138423</t>
  </si>
  <si>
    <t>DLKP31-Ea Knuếc</t>
  </si>
  <si>
    <t>12.695225</t>
  </si>
  <si>
    <t>108.16629</t>
  </si>
  <si>
    <t>FO DT#MBF#DLKP31-DLKP03</t>
  </si>
  <si>
    <t>580.85</t>
  </si>
  <si>
    <t>485.10</t>
  </si>
  <si>
    <t>12.699388</t>
  </si>
  <si>
    <t>108.167626</t>
  </si>
  <si>
    <t>DLKP63-Ea Knuếc</t>
  </si>
  <si>
    <t>12.6996</t>
  </si>
  <si>
    <t>108.1818</t>
  </si>
  <si>
    <t>FO DT#MBF#DLKP63-DLKP03</t>
  </si>
  <si>
    <t>264.11</t>
  </si>
  <si>
    <t>167.66</t>
  </si>
  <si>
    <t>12.701106</t>
  </si>
  <si>
    <t>108.181884</t>
  </si>
  <si>
    <t>DLCK06-Cư Kuin</t>
  </si>
  <si>
    <t>12.553652</t>
  </si>
  <si>
    <t>108.201457</t>
  </si>
  <si>
    <t>FO DT#MBF#DLCK06-DLCK11</t>
  </si>
  <si>
    <t>733.33</t>
  </si>
  <si>
    <t>176.01</t>
  </si>
  <si>
    <t>12.553972</t>
  </si>
  <si>
    <t>108.203045</t>
  </si>
  <si>
    <t>Dang Kang-DLKG26</t>
  </si>
  <si>
    <t>12.57304</t>
  </si>
  <si>
    <t>108.3352</t>
  </si>
  <si>
    <t>12.59148</t>
  </si>
  <si>
    <t>108.32722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</si>
  <si>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</si>
  <si>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</si>
  <si>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</si>
  <si>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</si>
  <si>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</si>
  <si>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</si>
  <si>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</si>
  <si>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</si>
  <si>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</si>
  <si>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</si>
  <si>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12.552535</t>
  </si>
  <si>
    <t>108.335333</t>
  </si>
  <si>
    <t>FO DT#MBF#DLKG15-DLKG16</t>
  </si>
  <si>
    <t>1111.03</t>
  </si>
  <si>
    <t>1033.09</t>
  </si>
  <si>
    <t>12.554666</t>
  </si>
  <si>
    <t>108.326068</t>
  </si>
  <si>
    <t>DLBT16-PK02</t>
  </si>
  <si>
    <t>12.703804</t>
  </si>
  <si>
    <t>108.062996</t>
  </si>
  <si>
    <t>FO DT#MBF#DLBT16-DLBT53</t>
  </si>
  <si>
    <t>95655.21</t>
  </si>
  <si>
    <t>1149.39</t>
  </si>
  <si>
    <t>12.697469</t>
  </si>
  <si>
    <t>108.071369</t>
  </si>
  <si>
    <t>DLBT1X-Thành Nhất</t>
  </si>
  <si>
    <t>12.689068</t>
  </si>
  <si>
    <t>107.997459</t>
  </si>
  <si>
    <t>FO DT#MBF#DLBT1X-DLBT89</t>
  </si>
  <si>
    <t>1637.45</t>
  </si>
  <si>
    <t>1225.47</t>
  </si>
  <si>
    <t>12.682732</t>
  </si>
  <si>
    <t>108.006702</t>
  </si>
  <si>
    <t>DLEH23-Ea Hiao</t>
  </si>
  <si>
    <t>13.28094</t>
  </si>
  <si>
    <t>108.29054</t>
  </si>
  <si>
    <t>FO DT#MBF#DLEH23-DLEH07</t>
  </si>
  <si>
    <t>1584.32</t>
  </si>
  <si>
    <t>1533.33</t>
  </si>
  <si>
    <t>13.267206</t>
  </si>
  <si>
    <t>108.291806</t>
  </si>
  <si>
    <t>DLEH41-Ea Hiao</t>
  </si>
  <si>
    <t>13.2623351</t>
  </si>
  <si>
    <t>108.3022922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</si>
  <si>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</si>
  <si>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</si>
  <si>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</si>
  <si>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</si>
  <si>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</si>
  <si>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</si>
  <si>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12.67339</t>
  </si>
  <si>
    <t>108.031887</t>
  </si>
  <si>
    <t>FO DT#MBF#DLBT19-DLBT72</t>
  </si>
  <si>
    <t>192.74</t>
  </si>
  <si>
    <t>189.33</t>
  </si>
  <si>
    <t>DLBT2P-Ea Kao</t>
  </si>
  <si>
    <t>12.66226</t>
  </si>
  <si>
    <t>108.03421</t>
  </si>
  <si>
    <t>FO DT#MBF#DLBT2P-DLBT88</t>
  </si>
  <si>
    <t>162.20</t>
  </si>
  <si>
    <t>72.25</t>
  </si>
  <si>
    <t>DLBT46-TT1 Đăk Lăk</t>
  </si>
  <si>
    <t>12.688336</t>
  </si>
  <si>
    <t>108.052178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</si>
  <si>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</si>
  <si>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</si>
  <si>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</si>
  <si>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</si>
  <si>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</si>
  <si>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</si>
  <si>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</si>
  <si>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</si>
  <si>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</si>
  <si>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</si>
  <si>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</si>
  <si>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12.7359313</t>
  </si>
  <si>
    <t>108.5365641</t>
  </si>
  <si>
    <t>FO DT#MBF#DLEK11-DLEK04</t>
  </si>
  <si>
    <t>302.65</t>
  </si>
  <si>
    <t>130.63</t>
  </si>
  <si>
    <t>12.735425</t>
  </si>
  <si>
    <t>108.537651</t>
  </si>
  <si>
    <t>DLEK42-Ea Păl</t>
  </si>
  <si>
    <t>12.70297</t>
  </si>
  <si>
    <t>108.5402</t>
  </si>
  <si>
    <t>FO DT#MBF#DLEK42-DLEK04</t>
  </si>
  <si>
    <t>1558.06</t>
  </si>
  <si>
    <t>1386.04</t>
  </si>
  <si>
    <t>12.709548</t>
  </si>
  <si>
    <t>108.529346</t>
  </si>
  <si>
    <t>Hòa Sơn-DLKG33</t>
  </si>
  <si>
    <t>12.50337</t>
  </si>
  <si>
    <t>108.2297</t>
  </si>
  <si>
    <t>12.50759</t>
  </si>
  <si>
    <t>108.21877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</si>
  <si>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</si>
  <si>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</si>
  <si>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</si>
  <si>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</si>
  <si>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</si>
  <si>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</si>
  <si>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</si>
  <si>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</si>
  <si>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</si>
  <si>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</si>
  <si>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</si>
  <si>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12.490573</t>
  </si>
  <si>
    <t>108.2625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</si>
  <si>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</si>
  <si>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</si>
  <si>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</si>
  <si>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</si>
  <si>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</si>
  <si>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</si>
  <si>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</si>
  <si>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</si>
  <si>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</si>
  <si>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</si>
  <si>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</si>
  <si>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12.48956</t>
  </si>
  <si>
    <t>108.23199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</si>
  <si>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</si>
  <si>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</si>
  <si>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</si>
  <si>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</si>
  <si>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</si>
  <si>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</si>
  <si>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</si>
  <si>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</si>
  <si>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</si>
  <si>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</si>
  <si>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</si>
  <si>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12.54975</t>
  </si>
  <si>
    <t>108.30959</t>
  </si>
  <si>
    <t>FO DT#MBF#DLKG29-DLKG16</t>
  </si>
  <si>
    <t>1680.26</t>
  </si>
  <si>
    <t>1602.32</t>
  </si>
  <si>
    <t>12.547163</t>
  </si>
  <si>
    <t>108.324113</t>
  </si>
  <si>
    <t>DLBT3U-Tân Lập</t>
  </si>
  <si>
    <t>12.66316</t>
  </si>
  <si>
    <t>108.10313</t>
  </si>
  <si>
    <t>FO DT#MBF#DLBT3U-DLBT05</t>
  </si>
  <si>
    <t>149.16</t>
  </si>
  <si>
    <t>30.17</t>
  </si>
  <si>
    <t>12.662906</t>
  </si>
  <si>
    <t>108.103032</t>
  </si>
  <si>
    <t>DLKN58-KRông Năng</t>
  </si>
  <si>
    <t>12.9761</t>
  </si>
  <si>
    <t>108.3447</t>
  </si>
  <si>
    <t>FO DT#MBF#DLKN58-DLKN27</t>
  </si>
  <si>
    <t>2466.69</t>
  </si>
  <si>
    <t>2435.82</t>
  </si>
  <si>
    <t>12.954212</t>
  </si>
  <si>
    <t>108.343787</t>
  </si>
  <si>
    <t>DLKN54-KRông Năng</t>
  </si>
  <si>
    <t>12.94232</t>
  </si>
  <si>
    <t>108.34872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</si>
  <si>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</si>
  <si>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</si>
  <si>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</si>
  <si>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</si>
  <si>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</si>
  <si>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</si>
  <si>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</si>
  <si>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</si>
  <si>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</si>
  <si>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</si>
  <si>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12.95499</t>
  </si>
  <si>
    <t>108.24368</t>
  </si>
  <si>
    <t>FO DT#MBF#DLKB43-DLKB36</t>
  </si>
  <si>
    <t>430.75</t>
  </si>
  <si>
    <t>328.76</t>
  </si>
  <si>
    <t>12.955263</t>
  </si>
  <si>
    <t>108.246701</t>
  </si>
  <si>
    <t>DLEK72-Ea Kar</t>
  </si>
  <si>
    <t>12.7907</t>
  </si>
  <si>
    <t>108.4663</t>
  </si>
  <si>
    <t>FO DT#MBF#DLEK72-DLEK01</t>
  </si>
  <si>
    <t>469.53</t>
  </si>
  <si>
    <t>399.03</t>
  </si>
  <si>
    <t>12.790459</t>
  </si>
  <si>
    <t>108.462628</t>
  </si>
  <si>
    <t>22DL039-Vụ Bổn</t>
  </si>
  <si>
    <t>12.65192</t>
  </si>
  <si>
    <t>108.41569</t>
  </si>
  <si>
    <t>FO DT#MBF#22DL039-DLKP06</t>
  </si>
  <si>
    <t>572.53</t>
  </si>
  <si>
    <t>445.11</t>
  </si>
  <si>
    <t>12.648235</t>
  </si>
  <si>
    <t>108.417293</t>
  </si>
  <si>
    <t>DLCK22-Cư Kuin</t>
  </si>
  <si>
    <t>12.5778</t>
  </si>
  <si>
    <t>108.148617</t>
  </si>
  <si>
    <t>FO DT#MBF#DLCK22-DLCK11</t>
  </si>
  <si>
    <t>1685.75</t>
  </si>
  <si>
    <t>1569.00</t>
  </si>
  <si>
    <t>12.563748</t>
  </si>
  <si>
    <t>108.149928</t>
  </si>
  <si>
    <t>DLCK25-Cư Kuin</t>
  </si>
  <si>
    <t>12.54218</t>
  </si>
  <si>
    <t>108.1715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</si>
  <si>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</si>
  <si>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</si>
  <si>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</si>
  <si>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</si>
  <si>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</si>
  <si>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</si>
  <si>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</si>
  <si>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</si>
  <si>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</si>
  <si>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</si>
  <si>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</si>
  <si>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</si>
  <si>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</si>
  <si>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12.801062</t>
  </si>
  <si>
    <t>108.427822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</si>
  <si>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</si>
  <si>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</si>
  <si>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</si>
  <si>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</si>
  <si>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</si>
  <si>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</si>
  <si>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12.918133</t>
  </si>
  <si>
    <t>108.267549</t>
  </si>
  <si>
    <t>FO DT#MBF#Cửa hàng MobiFone huyện Buôn Hồ-DLBH15</t>
  </si>
  <si>
    <t>100.61</t>
  </si>
  <si>
    <t>12.917756</t>
  </si>
  <si>
    <t>108.267475</t>
  </si>
  <si>
    <t>DLKG36-Hòa Sơn</t>
  </si>
  <si>
    <t>12.50487</t>
  </si>
  <si>
    <t>108.25758</t>
  </si>
  <si>
    <t>FO DT#MBF#DLKG36-DLKG05</t>
  </si>
  <si>
    <t>106.77</t>
  </si>
  <si>
    <t>3.93</t>
  </si>
  <si>
    <t>12.504905</t>
  </si>
  <si>
    <t>108.257575</t>
  </si>
  <si>
    <t>DLKP76-Ea Phê</t>
  </si>
  <si>
    <t>12.74027</t>
  </si>
  <si>
    <t>108.35783</t>
  </si>
  <si>
    <t>FO DT#MBF#DLKP76-DLKP37</t>
  </si>
  <si>
    <t>1443.71</t>
  </si>
  <si>
    <t>1358.31</t>
  </si>
  <si>
    <t>12.738009</t>
  </si>
  <si>
    <t>108.370137</t>
  </si>
  <si>
    <t>DLBT3N-Tân Lập</t>
  </si>
  <si>
    <t>12.665113</t>
  </si>
  <si>
    <t>108.116556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</si>
  <si>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</si>
  <si>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</si>
  <si>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</si>
  <si>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</si>
  <si>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</si>
  <si>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</si>
  <si>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</si>
  <si>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</si>
  <si>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</si>
  <si>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</si>
  <si>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</si>
  <si>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12.65746</t>
  </si>
  <si>
    <t>108.0363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</si>
  <si>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</si>
  <si>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</si>
  <si>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</si>
  <si>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</si>
  <si>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</si>
  <si>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</si>
  <si>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</si>
  <si>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</si>
  <si>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</si>
  <si>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</si>
  <si>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12.710684</t>
  </si>
  <si>
    <t>108.052174</t>
  </si>
  <si>
    <t>FO DT#MBF#DLBT53-DLBT3Y</t>
  </si>
  <si>
    <t>97054.24</t>
  </si>
  <si>
    <t>2548.42</t>
  </si>
  <si>
    <t>DLBT4B-TT1 Đăk Lăk</t>
  </si>
  <si>
    <t>12.68581</t>
  </si>
  <si>
    <t>108.052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</si>
  <si>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</si>
  <si>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</si>
  <si>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</si>
  <si>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</si>
  <si>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</si>
  <si>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</si>
  <si>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</si>
  <si>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</si>
  <si>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</si>
  <si>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</si>
  <si>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12.68038</t>
  </si>
  <si>
    <t>108.05556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</si>
  <si>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</si>
  <si>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</si>
  <si>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</si>
  <si>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</si>
  <si>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</si>
  <si>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</si>
  <si>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12.67646</t>
  </si>
  <si>
    <t>108.02686</t>
  </si>
  <si>
    <t>FO DT#MBF#DLBT72-DLBT86</t>
  </si>
  <si>
    <t>819.03</t>
  </si>
  <si>
    <t>815.63</t>
  </si>
  <si>
    <t>DLBT34-Ea Kao</t>
  </si>
  <si>
    <t>12.653292</t>
  </si>
  <si>
    <t>108.029603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</si>
  <si>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</si>
  <si>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</si>
  <si>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</si>
  <si>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</si>
  <si>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</si>
  <si>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</si>
  <si>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</si>
  <si>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</si>
  <si>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</si>
  <si>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</si>
  <si>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</si>
  <si>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</si>
  <si>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</si>
  <si>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</si>
  <si>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12.68355</t>
  </si>
  <si>
    <t>108.0445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</si>
  <si>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</si>
  <si>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</si>
  <si>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</si>
  <si>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</si>
  <si>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</si>
  <si>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</si>
  <si>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</si>
  <si>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</si>
  <si>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</si>
  <si>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</si>
  <si>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</si>
  <si>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</si>
  <si>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</si>
  <si>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</si>
  <si>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16.01692</t>
  </si>
  <si>
    <t>108.2035</t>
  </si>
  <si>
    <t>16.02172</t>
  </si>
  <si>
    <t>108.19318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</si>
  <si>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</si>
  <si>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</si>
  <si>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</si>
  <si>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</si>
  <si>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</si>
  <si>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</si>
  <si>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</si>
  <si>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</si>
  <si>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</si>
  <si>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</si>
  <si>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</si>
  <si>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16.03661</t>
  </si>
  <si>
    <t>108.20921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</si>
  <si>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</si>
  <si>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</si>
  <si>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</si>
  <si>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</si>
  <si>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</si>
  <si>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</si>
  <si>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</si>
  <si>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</si>
  <si>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</si>
  <si>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</si>
  <si>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</si>
  <si>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16.012964</t>
  </si>
  <si>
    <t>108.19103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</si>
  <si>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</si>
  <si>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</si>
  <si>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</si>
  <si>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</si>
  <si>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</si>
  <si>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</si>
  <si>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</si>
  <si>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</si>
  <si>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</si>
  <si>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</si>
  <si>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</si>
  <si>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16.01738</t>
  </si>
  <si>
    <t>108.19576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</si>
  <si>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</si>
  <si>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</si>
  <si>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</si>
  <si>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</si>
  <si>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</si>
  <si>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</si>
  <si>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16.07756</t>
  </si>
  <si>
    <t>108.2192</t>
  </si>
  <si>
    <t>16.067517</t>
  </si>
  <si>
    <t>108.215971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</si>
  <si>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</si>
  <si>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</si>
  <si>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</si>
  <si>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</si>
  <si>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</si>
  <si>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</si>
  <si>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</si>
  <si>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</si>
  <si>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</si>
  <si>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</si>
  <si>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</si>
  <si>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16.082465</t>
  </si>
  <si>
    <t>108.21869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</si>
  <si>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</si>
  <si>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</si>
  <si>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</si>
  <si>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</si>
  <si>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</si>
  <si>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</si>
  <si>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</si>
  <si>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</si>
  <si>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</si>
  <si>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</si>
  <si>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</si>
  <si>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16.07745</t>
  </si>
  <si>
    <t>108.22386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</si>
  <si>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</si>
  <si>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</si>
  <si>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</si>
  <si>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</si>
  <si>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</si>
  <si>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</si>
  <si>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</si>
  <si>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</si>
  <si>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</si>
  <si>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</si>
  <si>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</si>
  <si>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15.9881</t>
  </si>
  <si>
    <t>108.1402</t>
  </si>
  <si>
    <t>15.99802</t>
  </si>
  <si>
    <t>108.13792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</si>
  <si>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</si>
  <si>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</si>
  <si>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</si>
  <si>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</si>
  <si>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</si>
  <si>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</si>
  <si>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11.90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</si>
  <si>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</si>
  <si>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</si>
  <si>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</si>
  <si>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</si>
  <si>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16.00809</t>
  </si>
  <si>
    <t>108.15424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</si>
  <si>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</si>
  <si>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</si>
  <si>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</si>
  <si>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</si>
  <si>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</si>
  <si>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</si>
  <si>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</si>
  <si>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</si>
  <si>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</si>
  <si>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</si>
  <si>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</si>
  <si>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15.983611</t>
  </si>
  <si>
    <t>108.126417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</si>
  <si>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</si>
  <si>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</si>
  <si>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</si>
  <si>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</si>
  <si>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</si>
  <si>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</si>
  <si>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</si>
  <si>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</si>
  <si>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</si>
  <si>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</si>
  <si>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</si>
  <si>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15.98991</t>
  </si>
  <si>
    <t>108.14337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</si>
  <si>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</si>
  <si>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</si>
  <si>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</si>
  <si>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</si>
  <si>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</si>
  <si>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</si>
  <si>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</si>
  <si>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</si>
  <si>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</si>
  <si>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</si>
  <si>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15.99286</t>
  </si>
  <si>
    <t>108.14823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</si>
  <si>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</si>
  <si>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</si>
  <si>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</si>
  <si>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</si>
  <si>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</si>
  <si>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</si>
  <si>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16.07427</t>
  </si>
  <si>
    <t>108.1583</t>
  </si>
  <si>
    <t>16.08057</t>
  </si>
  <si>
    <t>108.16043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</si>
  <si>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</si>
  <si>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</si>
  <si>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</si>
  <si>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</si>
  <si>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</si>
  <si>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</si>
  <si>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</si>
  <si>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</si>
  <si>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</si>
  <si>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</si>
  <si>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16.08078</t>
  </si>
  <si>
    <t>108.16388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</si>
  <si>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</si>
  <si>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</si>
  <si>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</si>
  <si>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</si>
  <si>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</si>
  <si>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</si>
  <si>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16.07298</t>
  </si>
  <si>
    <t>108.17773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</si>
  <si>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</si>
  <si>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</si>
  <si>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</si>
  <si>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</si>
  <si>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</si>
  <si>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</si>
  <si>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</si>
  <si>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</si>
  <si>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</si>
  <si>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</si>
  <si>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</si>
  <si>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16.07665</t>
  </si>
  <si>
    <t>108.1457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</si>
  <si>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</si>
  <si>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</si>
  <si>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</si>
  <si>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</si>
  <si>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</si>
  <si>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</si>
  <si>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</si>
  <si>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</si>
  <si>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</si>
  <si>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</si>
  <si>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</si>
  <si>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16.09007</t>
  </si>
  <si>
    <t>108.14254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</si>
  <si>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</si>
  <si>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</si>
  <si>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</si>
  <si>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</si>
  <si>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</si>
  <si>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</si>
  <si>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16.01516</t>
  </si>
  <si>
    <t>108.2544</t>
  </si>
  <si>
    <t>16.00213</t>
  </si>
  <si>
    <t>108.26813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</si>
  <si>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</si>
  <si>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</si>
  <si>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</si>
  <si>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</si>
  <si>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</si>
  <si>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</si>
  <si>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</si>
  <si>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</si>
  <si>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</si>
  <si>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</si>
  <si>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</si>
  <si>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16.014111</t>
  </si>
  <si>
    <t>108.26259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</si>
  <si>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</si>
  <si>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</si>
  <si>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</si>
  <si>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</si>
  <si>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</si>
  <si>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</si>
  <si>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16.0701</t>
  </si>
  <si>
    <t>108.2336</t>
  </si>
  <si>
    <t>16.067989</t>
  </si>
  <si>
    <t>108.244997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</si>
  <si>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</si>
  <si>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</si>
  <si>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</si>
  <si>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</si>
  <si>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</si>
  <si>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</si>
  <si>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</si>
  <si>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</si>
  <si>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</si>
  <si>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</si>
  <si>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</si>
  <si>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16.068671</t>
  </si>
  <si>
    <t>108.244933</t>
  </si>
  <si>
    <t>FO thuê#CMC#DNST87-DNST53</t>
  </si>
  <si>
    <t>638.32</t>
  </si>
  <si>
    <t>430.07</t>
  </si>
  <si>
    <t>Đà Nẵng#TTCMKV#Sơn Trà-DNST94</t>
  </si>
  <si>
    <t>16.059008</t>
  </si>
  <si>
    <t>108.233981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</si>
  <si>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</si>
  <si>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</si>
  <si>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</si>
  <si>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</si>
  <si>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</si>
  <si>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</si>
  <si>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</si>
  <si>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</si>
  <si>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</si>
  <si>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</si>
  <si>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</si>
  <si>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16.06805</t>
  </si>
  <si>
    <t>108.244</t>
  </si>
  <si>
    <t>FO thuê#CMC#DNST87-DNST68</t>
  </si>
  <si>
    <t>580.01</t>
  </si>
  <si>
    <t>371.75</t>
  </si>
  <si>
    <t>Đà Nẵng#TTCMKV#Sơn Trà-DNST65</t>
  </si>
  <si>
    <t>16.06062</t>
  </si>
  <si>
    <t>108.23319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</si>
  <si>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</si>
  <si>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</si>
  <si>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</si>
  <si>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</si>
  <si>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</si>
  <si>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</si>
  <si>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16.0657</t>
  </si>
  <si>
    <t>108.24492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</si>
  <si>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</si>
  <si>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</si>
  <si>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</si>
  <si>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</si>
  <si>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</si>
  <si>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</si>
  <si>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</si>
  <si>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</si>
  <si>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</si>
  <si>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</si>
  <si>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</si>
  <si>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16.05768</t>
  </si>
  <si>
    <t>108.24085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</si>
  <si>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</si>
  <si>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</si>
  <si>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</si>
  <si>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</si>
  <si>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</si>
  <si>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</si>
  <si>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15.88074</t>
  </si>
  <si>
    <t>108.3319</t>
  </si>
  <si>
    <t>15.87225</t>
  </si>
  <si>
    <t>108.33853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</si>
  <si>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</si>
  <si>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</si>
  <si>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</si>
  <si>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</si>
  <si>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</si>
  <si>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</si>
  <si>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</si>
  <si>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</si>
  <si>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</si>
  <si>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</si>
  <si>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15.90198</t>
  </si>
  <si>
    <t>108.31081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</si>
  <si>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</si>
  <si>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</si>
  <si>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</si>
  <si>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</si>
  <si>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</si>
  <si>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</si>
  <si>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</si>
  <si>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</si>
  <si>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</si>
  <si>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</si>
  <si>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</si>
  <si>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15.881811</t>
  </si>
  <si>
    <t>108.327432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</si>
  <si>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</si>
  <si>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</si>
  <si>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</si>
  <si>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</si>
  <si>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</si>
  <si>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</si>
  <si>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15.89294</t>
  </si>
  <si>
    <t>108.3288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</si>
  <si>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</si>
  <si>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</si>
  <si>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</si>
  <si>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</si>
  <si>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</si>
  <si>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</si>
  <si>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15.88142</t>
  </si>
  <si>
    <t>108.32143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</si>
  <si>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</si>
  <si>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</si>
  <si>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</si>
  <si>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</si>
  <si>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</si>
  <si>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</si>
  <si>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15.43312</t>
  </si>
  <si>
    <t>108.6605</t>
  </si>
  <si>
    <t>15.42247</t>
  </si>
  <si>
    <t>108.66733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</si>
  <si>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</si>
  <si>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</si>
  <si>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</si>
  <si>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</si>
  <si>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</si>
  <si>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</si>
  <si>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</si>
  <si>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</si>
  <si>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</si>
  <si>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</si>
  <si>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</si>
  <si>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15.73582</t>
  </si>
  <si>
    <t>108.3517</t>
  </si>
  <si>
    <t>15.73394</t>
  </si>
  <si>
    <t>108.34846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</si>
  <si>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</si>
  <si>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</si>
  <si>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</si>
  <si>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</si>
  <si>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</si>
  <si>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</si>
  <si>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</si>
  <si>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</si>
  <si>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</si>
  <si>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</si>
  <si>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</si>
  <si>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15.7571</t>
  </si>
  <si>
    <t>108.35266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</si>
  <si>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</si>
  <si>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</si>
  <si>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</si>
  <si>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</si>
  <si>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</si>
  <si>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</si>
  <si>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</si>
  <si>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</si>
  <si>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</si>
  <si>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</si>
  <si>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</si>
  <si>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15.73733894</t>
  </si>
  <si>
    <t>108.3844111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</si>
  <si>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</si>
  <si>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</si>
  <si>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</si>
  <si>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</si>
  <si>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</si>
  <si>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</si>
  <si>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</si>
  <si>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</si>
  <si>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</si>
  <si>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</si>
  <si>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</si>
  <si>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15.73686</t>
  </si>
  <si>
    <t>108.2884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</si>
  <si>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</si>
  <si>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</si>
  <si>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</si>
  <si>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</si>
  <si>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</si>
  <si>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</si>
  <si>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15.71113</t>
  </si>
  <si>
    <t>108.26722</t>
  </si>
  <si>
    <t>FO thuê#CMC#QAQS03-QATB_newsite 2</t>
  </si>
  <si>
    <t>2243.00</t>
  </si>
  <si>
    <t>2172.31</t>
  </si>
  <si>
    <t>Quảng Nam#TTCMKV#Thăng Bình-QAQS19</t>
  </si>
  <si>
    <t>15.76923</t>
  </si>
  <si>
    <t>108.32967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</si>
  <si>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</si>
  <si>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</si>
  <si>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</si>
  <si>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</si>
  <si>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</si>
  <si>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</si>
  <si>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15.74258</t>
  </si>
  <si>
    <t>108.35948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</si>
  <si>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</si>
  <si>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</si>
  <si>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</si>
  <si>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</si>
  <si>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</si>
  <si>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</si>
  <si>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15.74886</t>
  </si>
  <si>
    <t>108.37764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</si>
  <si>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</si>
  <si>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</si>
  <si>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</si>
  <si>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</si>
  <si>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</si>
  <si>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</si>
  <si>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</si>
  <si>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</si>
  <si>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</si>
  <si>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</si>
  <si>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</si>
  <si>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15.65096</t>
  </si>
  <si>
    <t>108.4856</t>
  </si>
  <si>
    <t>15.58422</t>
  </si>
  <si>
    <t>108.55311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</si>
  <si>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</si>
  <si>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</si>
  <si>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</si>
  <si>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</si>
  <si>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</si>
  <si>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</si>
  <si>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</si>
  <si>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</si>
  <si>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</si>
  <si>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</si>
  <si>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</si>
  <si>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15.718</t>
  </si>
  <si>
    <t>108.46406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</si>
  <si>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</si>
  <si>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</si>
  <si>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</si>
  <si>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</si>
  <si>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</si>
  <si>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</si>
  <si>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</si>
  <si>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</si>
  <si>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</si>
  <si>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</si>
  <si>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</si>
  <si>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15.57447</t>
  </si>
  <si>
    <t>108.4746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</si>
  <si>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</si>
  <si>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</si>
  <si>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</si>
  <si>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</si>
  <si>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</si>
  <si>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</si>
  <si>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</si>
  <si>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</si>
  <si>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</si>
  <si>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</si>
  <si>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</si>
  <si>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15.83046</t>
  </si>
  <si>
    <t>108.37688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</si>
  <si>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</si>
  <si>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</si>
  <si>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</si>
  <si>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</si>
  <si>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</si>
  <si>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</si>
  <si>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</si>
  <si>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</si>
  <si>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</si>
  <si>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</si>
  <si>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15.77736</t>
  </si>
  <si>
    <t>108.42229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</si>
  <si>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</si>
  <si>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</si>
  <si>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</si>
  <si>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</si>
  <si>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</si>
  <si>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</si>
  <si>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15.64444</t>
  </si>
  <si>
    <t>108.4255</t>
  </si>
  <si>
    <t>15.67128</t>
  </si>
  <si>
    <t>108.42281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</si>
  <si>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</si>
  <si>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</si>
  <si>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</si>
  <si>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</si>
  <si>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</si>
  <si>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</si>
  <si>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</si>
  <si>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</si>
  <si>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</si>
  <si>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15.6532</t>
  </si>
  <si>
    <t>108.43851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</si>
  <si>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</si>
  <si>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</si>
  <si>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</si>
  <si>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</si>
  <si>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</si>
  <si>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</si>
  <si>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</si>
  <si>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</si>
  <si>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</si>
  <si>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15.72009</t>
  </si>
  <si>
    <t>108.3759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</si>
  <si>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</si>
  <si>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</si>
  <si>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</si>
  <si>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</si>
  <si>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</si>
  <si>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</si>
  <si>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</si>
  <si>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</si>
  <si>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</si>
  <si>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</si>
  <si>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15.58715</t>
  </si>
  <si>
    <t>108.47165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</si>
  <si>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</si>
  <si>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</si>
  <si>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</si>
  <si>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</si>
  <si>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</si>
  <si>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</si>
  <si>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15.66191</t>
  </si>
  <si>
    <t>108.41513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</si>
  <si>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</si>
  <si>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</si>
  <si>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</si>
  <si>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</si>
  <si>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</si>
  <si>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</si>
  <si>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15.78838</t>
  </si>
  <si>
    <t>108.32133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</si>
  <si>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</si>
  <si>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</si>
  <si>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</si>
  <si>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</si>
  <si>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</si>
  <si>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</si>
  <si>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15.579387</t>
  </si>
  <si>
    <t>108.473777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</si>
  <si>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</si>
  <si>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</si>
  <si>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</si>
  <si>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</si>
  <si>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</si>
  <si>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</si>
  <si>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15.55261</t>
  </si>
  <si>
    <t>108.50901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</si>
  <si>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</si>
  <si>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</si>
  <si>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</si>
  <si>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</si>
  <si>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</si>
  <si>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</si>
  <si>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</si>
  <si>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</si>
  <si>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</si>
  <si>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</si>
  <si>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</si>
  <si>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15.56801</t>
  </si>
  <si>
    <t>108.49109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</si>
  <si>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</si>
  <si>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</si>
  <si>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</si>
  <si>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</si>
  <si>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</si>
  <si>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</si>
  <si>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</si>
  <si>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</si>
  <si>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</si>
  <si>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15.55785</t>
  </si>
  <si>
    <t>108.49531</t>
  </si>
  <si>
    <t>FO thuê#PITC#QATK39-QATK32</t>
  </si>
  <si>
    <t>1761.77</t>
  </si>
  <si>
    <t>1693.95</t>
  </si>
  <si>
    <t>Quảng Nam#TTCMKV#TT2 Tam Kỳ-QAPN06</t>
  </si>
  <si>
    <t>15.56467</t>
  </si>
  <si>
    <t>108.37149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</si>
  <si>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</si>
  <si>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</si>
  <si>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</si>
  <si>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</si>
  <si>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</si>
  <si>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</si>
  <si>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</si>
  <si>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</si>
  <si>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</si>
  <si>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</si>
  <si>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</si>
  <si>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15.56199</t>
  </si>
  <si>
    <t>108.49074</t>
  </si>
  <si>
    <t>FO thuê#PITC#QATK23-QATK39</t>
  </si>
  <si>
    <t>1121.08</t>
  </si>
  <si>
    <t>1053.25</t>
  </si>
  <si>
    <t>Quảng Nam#TTCMKV#TT2 Tam Kỳ-QATK34</t>
  </si>
  <si>
    <t>15.556093</t>
  </si>
  <si>
    <t>108.478029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</si>
  <si>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</si>
  <si>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</si>
  <si>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</si>
  <si>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</si>
  <si>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</si>
  <si>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</si>
  <si>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</si>
  <si>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</si>
  <si>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</si>
  <si>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</si>
  <si>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</si>
  <si>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15.54792</t>
  </si>
  <si>
    <t>108.4943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</si>
  <si>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</si>
  <si>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</si>
  <si>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</si>
  <si>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</si>
  <si>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</si>
  <si>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</si>
  <si>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</si>
  <si>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</si>
  <si>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</si>
  <si>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</si>
  <si>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</si>
  <si>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15.54533</t>
  </si>
  <si>
    <t>108.4841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</si>
  <si>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</si>
  <si>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</si>
  <si>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</si>
  <si>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</si>
  <si>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</si>
  <si>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</si>
  <si>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</si>
  <si>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16.03569</t>
  </si>
  <si>
    <t>108.213</t>
  </si>
  <si>
    <t>16.03388</t>
  </si>
  <si>
    <t>108.21247</t>
  </si>
  <si>
    <t>FO thuê#CMC#DNCL08-DNCL33</t>
  </si>
  <si>
    <t>PC08-PC07</t>
  </si>
  <si>
    <t>251.51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</si>
  <si>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</si>
  <si>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</si>
  <si>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</si>
  <si>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</si>
  <si>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</si>
  <si>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16.01187</t>
  </si>
  <si>
    <t>108.1974</t>
  </si>
  <si>
    <t>16.00729</t>
  </si>
  <si>
    <t>108.19923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</si>
  <si>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</si>
  <si>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</si>
  <si>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</si>
  <si>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</si>
  <si>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</si>
  <si>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</si>
  <si>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</si>
  <si>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</si>
  <si>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</si>
  <si>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</si>
  <si>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</si>
  <si>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16.009639</t>
  </si>
  <si>
    <t>108.196167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</si>
  <si>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</si>
  <si>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</si>
  <si>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</si>
  <si>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</si>
  <si>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</si>
  <si>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</si>
  <si>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</si>
  <si>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</si>
  <si>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</si>
  <si>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16.00975</t>
  </si>
  <si>
    <t>108.20303</t>
  </si>
  <si>
    <t>FO thuê#CMC#DNCL30-DNCL70</t>
  </si>
  <si>
    <t>570.08</t>
  </si>
  <si>
    <t>536.13</t>
  </si>
  <si>
    <t>16.012028</t>
  </si>
  <si>
    <t>108.198609</t>
  </si>
  <si>
    <t>Đà Nẵng#Phòng#PC08-DNCL93</t>
  </si>
  <si>
    <t>16.020977</t>
  </si>
  <si>
    <t>108.232066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</si>
  <si>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</si>
  <si>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</si>
  <si>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</si>
  <si>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</si>
  <si>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</si>
  <si>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</si>
  <si>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</si>
  <si>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</si>
  <si>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</si>
  <si>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</si>
  <si>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16.014493</t>
  </si>
  <si>
    <t>108.222335</t>
  </si>
  <si>
    <t>FO thuê#CMC#DNCL78-DNCL56</t>
  </si>
  <si>
    <t>710.52</t>
  </si>
  <si>
    <t>692.39</t>
  </si>
  <si>
    <t>Đà Nẵng#Phòng#PC08-DNCL83</t>
  </si>
  <si>
    <t>16.00935</t>
  </si>
  <si>
    <t>108.22971</t>
  </si>
  <si>
    <t>FO thuê#CMC#DNCL83-DNCL56</t>
  </si>
  <si>
    <t>1232.94</t>
  </si>
  <si>
    <t>1214.82</t>
  </si>
  <si>
    <t>16.008358</t>
  </si>
  <si>
    <t>108.218391</t>
  </si>
  <si>
    <t>Đà Nẵng#Phòng#PC08-DNCL96</t>
  </si>
  <si>
    <t>16.01568</t>
  </si>
  <si>
    <t>108.22912</t>
  </si>
  <si>
    <t>FO thuê#VNPT#DNCL96-DNCL56</t>
  </si>
  <si>
    <t>1411.01</t>
  </si>
  <si>
    <t>1392.89</t>
  </si>
  <si>
    <t>Đà Nẵng#Phòng#PA06-DNHC86</t>
  </si>
  <si>
    <t>16.0661</t>
  </si>
  <si>
    <t>108.2218</t>
  </si>
  <si>
    <t>16.06659</t>
  </si>
  <si>
    <t>108.222239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</si>
  <si>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</si>
  <si>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</si>
  <si>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</si>
  <si>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</si>
  <si>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</si>
  <si>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</si>
  <si>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</si>
  <si>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</si>
  <si>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</si>
  <si>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</si>
  <si>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16.064716</t>
  </si>
  <si>
    <t>108.223753</t>
  </si>
  <si>
    <t>FO thuê#CMC#DNHC87-DNHC02</t>
  </si>
  <si>
    <t>174.97</t>
  </si>
  <si>
    <t>158.27</t>
  </si>
  <si>
    <t>16.066134</t>
  </si>
  <si>
    <t>108.223629</t>
  </si>
  <si>
    <t>Đà Nẵng#Phòng#PA06-DNHC85</t>
  </si>
  <si>
    <t>16.066686</t>
  </si>
  <si>
    <t>108.224526</t>
  </si>
  <si>
    <t>FO thuê#CMC#DNHC85-DNHC02</t>
  </si>
  <si>
    <t>130.54</t>
  </si>
  <si>
    <t>113.84</t>
  </si>
  <si>
    <t>Đà Nẵng#Phòng#PA06-DNHC23</t>
  </si>
  <si>
    <t>16.06194</t>
  </si>
  <si>
    <t>108.22153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</si>
  <si>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</si>
  <si>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</si>
  <si>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</si>
  <si>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</si>
  <si>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</si>
  <si>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</si>
  <si>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</si>
  <si>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</si>
  <si>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</si>
  <si>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</si>
  <si>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</si>
  <si>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16.07118</t>
  </si>
  <si>
    <t>108.22124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</si>
  <si>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</si>
  <si>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</si>
  <si>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</si>
  <si>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</si>
  <si>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</si>
  <si>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</si>
  <si>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16.07896</t>
  </si>
  <si>
    <t>108.2222</t>
  </si>
  <si>
    <t>16.07437</t>
  </si>
  <si>
    <t>108.2226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</si>
  <si>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</si>
  <si>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</si>
  <si>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</si>
  <si>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</si>
  <si>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</si>
  <si>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</si>
  <si>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</si>
  <si>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</si>
  <si>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</si>
  <si>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16.0378</t>
  </si>
  <si>
    <t>108.2154</t>
  </si>
  <si>
    <t>16.03632</t>
  </si>
  <si>
    <t>108.21815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</si>
  <si>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</si>
  <si>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</si>
  <si>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</si>
  <si>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</si>
  <si>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</si>
  <si>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</si>
  <si>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</si>
  <si>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</si>
  <si>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</si>
  <si>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</si>
  <si>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</si>
  <si>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16.0389</t>
  </si>
  <si>
    <t>108.21496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</si>
  <si>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</si>
  <si>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</si>
  <si>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</si>
  <si>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</si>
  <si>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</si>
  <si>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</si>
  <si>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</si>
  <si>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</si>
  <si>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</si>
  <si>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</si>
  <si>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16.05277</t>
  </si>
  <si>
    <t>108.2032</t>
  </si>
  <si>
    <t>16.05145</t>
  </si>
  <si>
    <t>108.21021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</si>
  <si>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</si>
  <si>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</si>
  <si>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</si>
  <si>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</si>
  <si>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</si>
  <si>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</si>
  <si>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</si>
  <si>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</si>
  <si>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</si>
  <si>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16.04698</t>
  </si>
  <si>
    <t>108.207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</si>
  <si>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</si>
  <si>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</si>
  <si>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</si>
  <si>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</si>
  <si>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</si>
  <si>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</si>
  <si>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15.98567</t>
  </si>
  <si>
    <t>108.2016</t>
  </si>
  <si>
    <t>15.97891</t>
  </si>
  <si>
    <t>108.21407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</si>
  <si>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</si>
  <si>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</si>
  <si>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</si>
  <si>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</si>
  <si>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</si>
  <si>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</si>
  <si>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</si>
  <si>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</si>
  <si>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</si>
  <si>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</si>
  <si>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</si>
  <si>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15.97526</t>
  </si>
  <si>
    <t>108.21393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</si>
  <si>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</si>
  <si>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</si>
  <si>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</si>
  <si>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</si>
  <si>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</si>
  <si>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</si>
  <si>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</si>
  <si>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</si>
  <si>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</si>
  <si>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</si>
  <si>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</si>
  <si>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15.98306</t>
  </si>
  <si>
    <t>108.2112</t>
  </si>
  <si>
    <t>FO thuê#CMC#DNHV12-DNCL71</t>
  </si>
  <si>
    <t>970.19</t>
  </si>
  <si>
    <t>91.37</t>
  </si>
  <si>
    <t>15.982246</t>
  </si>
  <si>
    <t>108.211079</t>
  </si>
  <si>
    <t>Đà Nẵng#CAX#Hòa Xuân-DNHV64</t>
  </si>
  <si>
    <t>15.98528</t>
  </si>
  <si>
    <t>108.20109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</si>
  <si>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</si>
  <si>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</si>
  <si>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</si>
  <si>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</si>
  <si>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</si>
  <si>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</si>
  <si>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</si>
  <si>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</si>
  <si>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</si>
  <si>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15.98092</t>
  </si>
  <si>
    <t>108.21241</t>
  </si>
  <si>
    <t>FO thuê#CMC#DNHV12-DNCL67</t>
  </si>
  <si>
    <t>1039.66</t>
  </si>
  <si>
    <t>160.84</t>
  </si>
  <si>
    <t>Đà Nẵng#CAX#Hòa Xuân-22DN015</t>
  </si>
  <si>
    <t>FO thuê#PITC#22DN015-DNHV12</t>
  </si>
  <si>
    <t>Lỗi Tọa độ: Cột 'lat2' ('#N/A') không phải là số hợp lệ. | Cột 'lon2' ('#N/A') không phải là số hợp lệ.</t>
  </si>
  <si>
    <t>Đà Nẵng#CAX#Hòa Xuân-22DN067</t>
  </si>
  <si>
    <t>FO thuê#PITC#22DN067-DNHV12</t>
  </si>
  <si>
    <t>Đà Nẵng#Phòng#Trại giam CATP-DNHW10</t>
  </si>
  <si>
    <t>16.07797</t>
  </si>
  <si>
    <t>108.1151</t>
  </si>
  <si>
    <t>16.07799</t>
  </si>
  <si>
    <t>108.11456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</si>
  <si>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</si>
  <si>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</si>
  <si>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</si>
  <si>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</si>
  <si>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</si>
  <si>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</si>
  <si>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</si>
  <si>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</si>
  <si>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</si>
  <si>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</si>
  <si>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</si>
  <si>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16.04673</t>
  </si>
  <si>
    <t>108.1571</t>
  </si>
  <si>
    <t>16.04747</t>
  </si>
  <si>
    <t>108.17698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</si>
  <si>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</si>
  <si>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</si>
  <si>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</si>
  <si>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</si>
  <si>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</si>
  <si>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</si>
  <si>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</si>
  <si>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</si>
  <si>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</si>
  <si>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</si>
  <si>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</si>
  <si>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16.05435</t>
  </si>
  <si>
    <t>108.15813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</si>
  <si>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</si>
  <si>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</si>
  <si>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</si>
  <si>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</si>
  <si>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</si>
  <si>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</si>
  <si>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</si>
  <si>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</si>
  <si>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</si>
  <si>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</si>
  <si>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</si>
  <si>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16.14062</t>
  </si>
  <si>
    <t>108.1196</t>
  </si>
  <si>
    <t>16.11658</t>
  </si>
  <si>
    <t>108.10466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</si>
  <si>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</si>
  <si>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</si>
  <si>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</si>
  <si>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</si>
  <si>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</si>
  <si>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</si>
  <si>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</si>
  <si>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</si>
  <si>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</si>
  <si>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</si>
  <si>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16.12582</t>
  </si>
  <si>
    <t>108.12071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</si>
  <si>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</si>
  <si>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</si>
  <si>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</si>
  <si>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</si>
  <si>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</si>
  <si>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</si>
  <si>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16.124568</t>
  </si>
  <si>
    <t>108.113549</t>
  </si>
  <si>
    <t>FO thuê#CMC#DNLC11-DNLC1E</t>
  </si>
  <si>
    <t>448.73</t>
  </si>
  <si>
    <t>428.35</t>
  </si>
  <si>
    <t>Đà Nẵng#Phòng#Trạm CSGT Hòa Hiệp-DNLC64</t>
  </si>
  <si>
    <t>16.12799</t>
  </si>
  <si>
    <t>108.12224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</si>
  <si>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</si>
  <si>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</si>
  <si>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</si>
  <si>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</si>
  <si>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</si>
  <si>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</si>
  <si>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</si>
  <si>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</si>
  <si>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16.11111</t>
  </si>
  <si>
    <t>108.08781</t>
  </si>
  <si>
    <t>FO thuê#PITC#DNHW23-DNLC11</t>
  </si>
  <si>
    <t>3483.25</t>
  </si>
  <si>
    <t>3462.87</t>
  </si>
  <si>
    <t>Đà Nẵng#Phòng#Trạm CSGT Hòa Hiệp-Đà Nẵng#CAX#Hải Vân</t>
  </si>
  <si>
    <t>16.10747</t>
  </si>
  <si>
    <t>108.1261</t>
  </si>
  <si>
    <t>#PITC#DNLC11-DNLC22</t>
  </si>
  <si>
    <t>270.03</t>
  </si>
  <si>
    <t>249.65</t>
  </si>
  <si>
    <t>16.107706</t>
  </si>
  <si>
    <t>108.128424</t>
  </si>
  <si>
    <t>Đà Nẵng#CAX#Liên Chiểu-DNLC36</t>
  </si>
  <si>
    <t>16.07482</t>
  </si>
  <si>
    <t>108.13389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</si>
  <si>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</si>
  <si>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</si>
  <si>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</si>
  <si>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</si>
  <si>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</si>
  <si>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</si>
  <si>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</si>
  <si>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</si>
  <si>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</si>
  <si>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</si>
  <si>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</si>
  <si>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16.11484</t>
  </si>
  <si>
    <t>108.12662</t>
  </si>
  <si>
    <t>FO thuê#CMC#DNLC10-DNLC22</t>
  </si>
  <si>
    <t>365.21</t>
  </si>
  <si>
    <t>115.56</t>
  </si>
  <si>
    <t>16.114078</t>
  </si>
  <si>
    <t>108.127355</t>
  </si>
  <si>
    <t>Đà Nẵng#CAX#Hải Vân-DNLC33</t>
  </si>
  <si>
    <t>16.1127078</t>
  </si>
  <si>
    <t>108.1286299</t>
  </si>
  <si>
    <t>FO thuê#CMC#DNLC33-DNLC22</t>
  </si>
  <si>
    <t>263.79</t>
  </si>
  <si>
    <t>14.14</t>
  </si>
  <si>
    <t>16.112758</t>
  </si>
  <si>
    <t>108.128508</t>
  </si>
  <si>
    <t>Đà Nẵng#CAX#Hải Vân-DNLC1C</t>
  </si>
  <si>
    <t>16.12752</t>
  </si>
  <si>
    <t>108.11735</t>
  </si>
  <si>
    <t>FO thuê#CMC#DNLC1C-DNLC22</t>
  </si>
  <si>
    <t>323.51</t>
  </si>
  <si>
    <t>73.85</t>
  </si>
  <si>
    <t>16.128005</t>
  </si>
  <si>
    <t>108.116878</t>
  </si>
  <si>
    <t>Đà Nẵng#CAX#Hải Vân-DNLC68</t>
  </si>
  <si>
    <t>16.10466</t>
  </si>
  <si>
    <t>108.12659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</si>
  <si>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</si>
  <si>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</si>
  <si>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</si>
  <si>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</si>
  <si>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</si>
  <si>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</si>
  <si>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</si>
  <si>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</si>
  <si>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</si>
  <si>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</si>
  <si>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</si>
  <si>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</si>
  <si>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16.10014</t>
  </si>
  <si>
    <t>108.13362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</si>
  <si>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</si>
  <si>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</si>
  <si>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</si>
  <si>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</si>
  <si>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</si>
  <si>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</si>
  <si>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</si>
  <si>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</si>
  <si>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</si>
  <si>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</si>
  <si>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16.03888</t>
  </si>
  <si>
    <t>108.2423</t>
  </si>
  <si>
    <t>16.03887</t>
  </si>
  <si>
    <t>108.24853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</si>
  <si>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</si>
  <si>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</si>
  <si>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</si>
  <si>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</si>
  <si>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</si>
  <si>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</si>
  <si>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</si>
  <si>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</si>
  <si>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</si>
  <si>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</si>
  <si>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16.0397921</t>
  </si>
  <si>
    <t>108.2456869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</si>
  <si>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</si>
  <si>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</si>
  <si>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</si>
  <si>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</si>
  <si>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</si>
  <si>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</si>
  <si>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</si>
  <si>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</si>
  <si>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</si>
  <si>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</si>
  <si>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</si>
  <si>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16.049395</t>
  </si>
  <si>
    <t>108.248625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</si>
  <si>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</si>
  <si>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</si>
  <si>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</si>
  <si>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</si>
  <si>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</si>
  <si>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</si>
  <si>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</si>
  <si>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</si>
  <si>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</si>
  <si>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</si>
  <si>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Sơn-DNNH64</t>
  </si>
  <si>
    <t>FO thuê#PITC#DNNH59-DNNH64</t>
  </si>
  <si>
    <t>Đà Nẵng#CAX#Ngũ Hành Sơn-DNNH65</t>
  </si>
  <si>
    <t>16.04351</t>
  </si>
  <si>
    <t>108.2424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</si>
  <si>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</si>
  <si>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</si>
  <si>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</si>
  <si>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</si>
  <si>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</si>
  <si>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</si>
  <si>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16.04887</t>
  </si>
  <si>
    <t>108.24847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</si>
  <si>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</si>
  <si>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</si>
  <si>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</si>
  <si>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</si>
  <si>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</si>
  <si>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</si>
  <si>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16.041505</t>
  </si>
  <si>
    <t>108.248295</t>
  </si>
  <si>
    <t>FO thuê#CMC#DNNH59-DNNH80</t>
  </si>
  <si>
    <t>367.76</t>
  </si>
  <si>
    <t>225.31</t>
  </si>
  <si>
    <t>Đà Nẵng#CAX#An Khê-DNCL74</t>
  </si>
  <si>
    <t>16.05719</t>
  </si>
  <si>
    <t>108.1815</t>
  </si>
  <si>
    <t>16.05673</t>
  </si>
  <si>
    <t>108.18025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</si>
  <si>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</si>
  <si>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</si>
  <si>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</si>
  <si>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</si>
  <si>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</si>
  <si>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</si>
  <si>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</si>
  <si>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</si>
  <si>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</si>
  <si>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</si>
  <si>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</si>
  <si>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16.07077</t>
  </si>
  <si>
    <t>108.1924</t>
  </si>
  <si>
    <t>16.06952</t>
  </si>
  <si>
    <t>108.18445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</si>
  <si>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</si>
  <si>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</si>
  <si>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</si>
  <si>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</si>
  <si>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</si>
  <si>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</si>
  <si>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</si>
  <si>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</si>
  <si>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108.19159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</si>
  <si>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</si>
  <si>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</si>
  <si>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</si>
  <si>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</si>
  <si>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</si>
  <si>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</si>
  <si>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</si>
  <si>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</si>
  <si>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</si>
  <si>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</si>
  <si>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</si>
  <si>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16.07399</t>
  </si>
  <si>
    <t>108.18022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</si>
  <si>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</si>
  <si>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</si>
  <si>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</si>
  <si>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</si>
  <si>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</si>
  <si>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</si>
  <si>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</si>
  <si>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</si>
  <si>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</si>
  <si>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</si>
  <si>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16.071265</t>
  </si>
  <si>
    <t>108.200369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</si>
  <si>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</si>
  <si>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</si>
  <si>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</si>
  <si>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</si>
  <si>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</si>
  <si>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</si>
  <si>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</si>
  <si>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</si>
  <si>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</si>
  <si>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</si>
  <si>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</si>
  <si>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16.06531</t>
  </si>
  <si>
    <t>108.20105</t>
  </si>
  <si>
    <t>FO thuê#PITC#DNTK10-DNTK14</t>
  </si>
  <si>
    <t>644.80</t>
  </si>
  <si>
    <t>633.54</t>
  </si>
  <si>
    <t>Quảng Nam#CAX#Điện Bàn Đông-QADB34</t>
  </si>
  <si>
    <t>15.949</t>
  </si>
  <si>
    <t>108.2549</t>
  </si>
  <si>
    <t>15.93552</t>
  </si>
  <si>
    <t>108.25534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</si>
  <si>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</si>
  <si>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</si>
  <si>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</si>
  <si>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</si>
  <si>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</si>
  <si>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</si>
  <si>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</si>
  <si>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</si>
  <si>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</si>
  <si>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</si>
  <si>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15.92581</t>
  </si>
  <si>
    <t>108.28296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</si>
  <si>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</si>
  <si>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</si>
  <si>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</si>
  <si>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</si>
  <si>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</si>
  <si>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</si>
  <si>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</si>
  <si>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</si>
  <si>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</si>
  <si>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</si>
  <si>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15.94121</t>
  </si>
  <si>
    <t>108.26717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</si>
  <si>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</si>
  <si>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</si>
  <si>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</si>
  <si>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</si>
  <si>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</si>
  <si>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</si>
  <si>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15.94834</t>
  </si>
  <si>
    <t>108.26868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</si>
  <si>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</si>
  <si>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</si>
  <si>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</si>
  <si>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</si>
  <si>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</si>
  <si>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</si>
  <si>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</si>
  <si>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</si>
  <si>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15.92736</t>
  </si>
  <si>
    <t>108.26009</t>
  </si>
  <si>
    <t>FO thuê#CMC#QADB11-QADB02</t>
  </si>
  <si>
    <t>524.31</t>
  </si>
  <si>
    <t>505.47</t>
  </si>
  <si>
    <t>Quảng Nam#CAX#Điện Bàn Đông-QADB16</t>
  </si>
  <si>
    <t>15.93443</t>
  </si>
  <si>
    <t>108.23181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</si>
  <si>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</si>
  <si>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</si>
  <si>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</si>
  <si>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</si>
  <si>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</si>
  <si>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</si>
  <si>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15.96575</t>
  </si>
  <si>
    <t>108.25373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</si>
  <si>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</si>
  <si>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</si>
  <si>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</si>
  <si>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</si>
  <si>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</si>
  <si>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</si>
  <si>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</si>
  <si>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</si>
  <si>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</si>
  <si>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</si>
  <si>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</si>
  <si>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15.95881344</t>
  </si>
  <si>
    <t>108.2381446</t>
  </si>
  <si>
    <t>FO thuê#CMC#QADB36-QADB02</t>
  </si>
  <si>
    <t>1258.81</t>
  </si>
  <si>
    <t>551.75</t>
  </si>
  <si>
    <t>15.954058</t>
  </si>
  <si>
    <t>108.239617</t>
  </si>
  <si>
    <t>Quảng Nam#CAX#Điện Bàn Đông-20QA168</t>
  </si>
  <si>
    <t>FO thuê#PITC#20QA168-QADB02</t>
  </si>
  <si>
    <t>Quảng Nam#CAX#Thu Bồn-QADX70</t>
  </si>
  <si>
    <t>15.82998</t>
  </si>
  <si>
    <t>108.1244</t>
  </si>
  <si>
    <t>15.82794</t>
  </si>
  <si>
    <t>108.10744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</si>
  <si>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</si>
  <si>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</si>
  <si>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</si>
  <si>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</si>
  <si>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</si>
  <si>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</si>
  <si>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</si>
  <si>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</si>
  <si>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</si>
  <si>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</si>
  <si>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</si>
  <si>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15.88636</t>
  </si>
  <si>
    <t>108.3625</t>
  </si>
  <si>
    <t>15.90245084</t>
  </si>
  <si>
    <t>108.3546292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</si>
  <si>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</si>
  <si>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</si>
  <si>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</si>
  <si>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</si>
  <si>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</si>
  <si>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</si>
  <si>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</si>
  <si>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</si>
  <si>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</si>
  <si>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15.8812723</t>
  </si>
  <si>
    <t>108.3430994</t>
  </si>
  <si>
    <t>FO thuê#CMC#QAHA18-QAHA04</t>
  </si>
  <si>
    <t>40.75</t>
  </si>
  <si>
    <t>38.27</t>
  </si>
  <si>
    <t>15.881281</t>
  </si>
  <si>
    <t>108.343457</t>
  </si>
  <si>
    <t>Quảng Nam#CAX#Phú Ninh-QAPN05</t>
  </si>
  <si>
    <t>15.52352</t>
  </si>
  <si>
    <t>108.4193</t>
  </si>
  <si>
    <t>15.5174</t>
  </si>
  <si>
    <t>108.402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</si>
  <si>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</si>
  <si>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</si>
  <si>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</si>
  <si>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</si>
  <si>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</si>
  <si>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</si>
  <si>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</si>
  <si>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</si>
  <si>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</si>
  <si>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15.5409</t>
  </si>
  <si>
    <t>108.4251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</si>
  <si>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</si>
  <si>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</si>
  <si>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</si>
  <si>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</si>
  <si>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</si>
  <si>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</si>
  <si>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</si>
  <si>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</si>
  <si>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</si>
  <si>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</si>
  <si>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</si>
  <si>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15.5285</t>
  </si>
  <si>
    <t>108.4678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</si>
  <si>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</si>
  <si>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</si>
  <si>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</si>
  <si>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</si>
  <si>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</si>
  <si>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</si>
  <si>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</si>
  <si>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</si>
  <si>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</si>
  <si>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</si>
  <si>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</si>
  <si>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15.5139</t>
  </si>
  <si>
    <t>108.4235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</si>
  <si>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</si>
  <si>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</si>
  <si>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</si>
  <si>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</si>
  <si>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</si>
  <si>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</si>
  <si>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</si>
  <si>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</si>
  <si>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</si>
  <si>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</si>
  <si>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</si>
  <si>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</si>
  <si>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</si>
  <si>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</si>
  <si>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</si>
  <si>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</si>
  <si>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</si>
  <si>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15.56253</t>
  </si>
  <si>
    <t>108.42493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</si>
  <si>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</si>
  <si>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</si>
  <si>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</si>
  <si>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</si>
  <si>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</si>
  <si>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</si>
  <si>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15.7261</t>
  </si>
  <si>
    <t>108.27801</t>
  </si>
  <si>
    <t>FO thuê#VNPT#QAQS36-QAQS10</t>
  </si>
  <si>
    <t>Quế Sơn - Quế Sơn Trung</t>
  </si>
  <si>
    <t>460.28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</si>
  <si>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</si>
  <si>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</si>
  <si>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</si>
  <si>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</si>
  <si>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</si>
  <si>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</si>
  <si>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</si>
  <si>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15.62891</t>
  </si>
  <si>
    <t>108.22826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</si>
  <si>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</si>
  <si>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</si>
  <si>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</si>
  <si>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</si>
  <si>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</si>
  <si>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</si>
  <si>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15.73266</t>
  </si>
  <si>
    <t>108.3063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</si>
  <si>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</si>
  <si>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</si>
  <si>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</si>
  <si>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</si>
  <si>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</si>
  <si>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</si>
  <si>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</si>
  <si>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</si>
  <si>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</si>
  <si>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</si>
  <si>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</si>
  <si>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</si>
  <si>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15.748974</t>
  </si>
  <si>
    <t>108.303345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</si>
  <si>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</si>
  <si>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</si>
  <si>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</si>
  <si>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</si>
  <si>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</si>
  <si>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</si>
  <si>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</si>
  <si>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</si>
  <si>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</si>
  <si>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</si>
  <si>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15.71764</t>
  </si>
  <si>
    <t>108.30676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</si>
  <si>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</si>
  <si>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</si>
  <si>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</si>
  <si>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</si>
  <si>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</si>
  <si>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</si>
  <si>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15.77703</t>
  </si>
  <si>
    <t>108.3351</t>
  </si>
  <si>
    <t>FO thuê#PITC#QAQS19-QATB11</t>
  </si>
  <si>
    <t>Nam Phước - Xuân Phú</t>
  </si>
  <si>
    <t>827.40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</si>
  <si>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</si>
  <si>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</si>
  <si>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</si>
  <si>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</si>
  <si>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</si>
  <si>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</si>
  <si>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</si>
  <si>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15.72259</t>
  </si>
  <si>
    <t>108.36884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</si>
  <si>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</si>
  <si>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</si>
  <si>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</si>
  <si>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</si>
  <si>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</si>
  <si>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</si>
  <si>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</si>
  <si>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</si>
  <si>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15.745207</t>
  </si>
  <si>
    <t>108.359478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</si>
  <si>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</si>
  <si>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</si>
  <si>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</si>
  <si>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</si>
  <si>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</si>
  <si>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15.70423</t>
  </si>
  <si>
    <t>108.38293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</si>
  <si>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</si>
  <si>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</si>
  <si>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</si>
  <si>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</si>
  <si>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</si>
  <si>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</si>
  <si>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15.69828</t>
  </si>
  <si>
    <t>108.39686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</si>
  <si>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</si>
  <si>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</si>
  <si>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</si>
  <si>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</si>
  <si>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</si>
  <si>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</si>
  <si>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</si>
  <si>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</si>
  <si>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</si>
  <si>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15.6326</t>
  </si>
  <si>
    <t>108.3741</t>
  </si>
  <si>
    <t>15.62735</t>
  </si>
  <si>
    <t>108.388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</si>
  <si>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</si>
  <si>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</si>
  <si>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</si>
  <si>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</si>
  <si>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</si>
  <si>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</si>
  <si>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</si>
  <si>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</si>
  <si>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</si>
  <si>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</si>
  <si>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</si>
  <si>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15.636993</t>
  </si>
  <si>
    <t>108.378782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</si>
  <si>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</si>
  <si>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</si>
  <si>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</si>
  <si>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</si>
  <si>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</si>
  <si>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</si>
  <si>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15.66507</t>
  </si>
  <si>
    <t>108.35354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</si>
  <si>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</si>
  <si>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</si>
  <si>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</si>
  <si>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</si>
  <si>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</si>
  <si>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</si>
  <si>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</si>
  <si>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</si>
  <si>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</si>
  <si>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</si>
  <si>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</si>
  <si>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</si>
  <si>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</si>
  <si>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</si>
  <si>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</si>
  <si>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</si>
  <si>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</si>
  <si>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15.65022</t>
  </si>
  <si>
    <t>108.39257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</si>
  <si>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</si>
  <si>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</si>
  <si>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</si>
  <si>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</si>
  <si>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</si>
  <si>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15.57504</t>
  </si>
  <si>
    <t>108.4772</t>
  </si>
  <si>
    <t>#PITC#QATK18-QATK03</t>
  </si>
  <si>
    <t>1788.57</t>
  </si>
  <si>
    <t>1359.02</t>
  </si>
  <si>
    <t>Quảng Nam#CAX#Hương Trà-QATK70</t>
  </si>
  <si>
    <t>15.5518</t>
  </si>
  <si>
    <t>108.4921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</si>
  <si>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</si>
  <si>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</si>
  <si>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</si>
  <si>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</si>
  <si>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</si>
  <si>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</si>
  <si>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</si>
  <si>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</si>
  <si>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</si>
  <si>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15.56375</t>
  </si>
  <si>
    <t>108.4814</t>
  </si>
  <si>
    <t>15.56684</t>
  </si>
  <si>
    <t>108.47923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</si>
  <si>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</si>
  <si>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</si>
  <si>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</si>
  <si>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</si>
  <si>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</si>
  <si>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</si>
  <si>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</si>
  <si>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</si>
  <si>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</si>
  <si>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</si>
  <si>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</si>
  <si>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15.58243</t>
  </si>
  <si>
    <t>108.4643</t>
  </si>
  <si>
    <t>15.5733</t>
  </si>
  <si>
    <t>108.45273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</si>
  <si>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</si>
  <si>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</si>
  <si>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</si>
  <si>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</si>
  <si>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</si>
  <si>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</si>
  <si>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</si>
  <si>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</si>
  <si>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</si>
  <si>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</si>
  <si>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</si>
  <si>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</si>
  <si>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</si>
  <si>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</si>
  <si>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</si>
  <si>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</si>
  <si>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</si>
  <si>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</si>
  <si>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</si>
  <si>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</si>
  <si>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</si>
  <si>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</si>
  <si>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</si>
  <si>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</si>
  <si>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</si>
  <si>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</si>
  <si>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</si>
  <si>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</si>
  <si>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</si>
  <si>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</si>
  <si>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</si>
  <si>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</si>
  <si>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</si>
  <si>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</si>
  <si>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</si>
  <si>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</si>
  <si>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</si>
  <si>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15.56439</t>
  </si>
  <si>
    <t>108.46027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</si>
  <si>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</si>
  <si>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</si>
  <si>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</si>
  <si>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</si>
  <si>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</si>
  <si>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</si>
  <si>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</si>
  <si>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</si>
  <si>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</si>
  <si>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</si>
  <si>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15.55249</t>
  </si>
  <si>
    <t>108.43562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</si>
  <si>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</si>
  <si>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</si>
  <si>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</si>
  <si>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</si>
  <si>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</si>
  <si>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</si>
  <si>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</si>
  <si>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</si>
  <si>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</si>
  <si>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</si>
  <si>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</si>
  <si>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15.55891</t>
  </si>
  <si>
    <t>108.4681</t>
  </si>
  <si>
    <t>FO thuê#PITC#QATK22-QATK49</t>
  </si>
  <si>
    <t>1061.48</t>
  </si>
  <si>
    <t>1041.62</t>
  </si>
  <si>
    <t>15.565383</t>
  </si>
  <si>
    <t>108.461071</t>
  </si>
  <si>
    <t>Quảng Nam#Phòng#PC11-QAPN41</t>
  </si>
  <si>
    <t>15.5499</t>
  </si>
  <si>
    <t>108.4525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</si>
  <si>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</si>
  <si>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</si>
  <si>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</si>
  <si>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</si>
  <si>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</si>
  <si>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</si>
  <si>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</si>
  <si>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</si>
  <si>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</si>
  <si>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</si>
  <si>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</si>
  <si>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15.546</t>
  </si>
  <si>
    <t>108.4109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</si>
  <si>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</si>
  <si>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</si>
  <si>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</si>
  <si>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</si>
  <si>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</si>
  <si>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</si>
  <si>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</si>
  <si>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</si>
  <si>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</si>
  <si>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</si>
  <si>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</si>
  <si>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</si>
  <si>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</si>
  <si>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</si>
  <si>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</si>
  <si>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</si>
  <si>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15.58103</t>
  </si>
  <si>
    <t>108.4692</t>
  </si>
  <si>
    <t>15.58944</t>
  </si>
  <si>
    <t>108.44667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</si>
  <si>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</si>
  <si>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</si>
  <si>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</si>
  <si>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</si>
  <si>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</si>
  <si>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</si>
  <si>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</si>
  <si>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</si>
  <si>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</si>
  <si>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</si>
  <si>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</si>
  <si>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</si>
  <si>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15.57577</t>
  </si>
  <si>
    <t>108.4771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</si>
  <si>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</si>
  <si>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</si>
  <si>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</si>
  <si>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</si>
  <si>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</si>
  <si>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</si>
  <si>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16.03716</t>
  </si>
  <si>
    <t>108.22093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</si>
  <si>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</si>
  <si>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</si>
  <si>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</si>
  <si>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</si>
  <si>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</si>
  <si>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</si>
  <si>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</si>
  <si>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</si>
  <si>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</si>
  <si>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</si>
  <si>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16.04685</t>
  </si>
  <si>
    <t>108.18472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</si>
  <si>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</si>
  <si>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</si>
  <si>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</si>
  <si>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</si>
  <si>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</si>
  <si>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</si>
  <si>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</si>
  <si>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</si>
  <si>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</si>
  <si>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</si>
  <si>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</si>
  <si>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16.0188</t>
  </si>
  <si>
    <t>108.20392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</si>
  <si>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</si>
  <si>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</si>
  <si>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</si>
  <si>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</si>
  <si>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</si>
  <si>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</si>
  <si>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</si>
  <si>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</si>
  <si>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</si>
  <si>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16.01664</t>
  </si>
  <si>
    <t>108.20834</t>
  </si>
  <si>
    <t>FO DT#MBF#DNCL26-DNCL28</t>
  </si>
  <si>
    <t>238.81</t>
  </si>
  <si>
    <t>229.77</t>
  </si>
  <si>
    <t>16.018496</t>
  </si>
  <si>
    <t>108.207394</t>
  </si>
  <si>
    <t>Đà Nẵng#TTCMKV#Cẩm Lệ-DNCL12</t>
  </si>
  <si>
    <t>16.006349</t>
  </si>
  <si>
    <t>108.1905407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</si>
  <si>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</si>
  <si>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</si>
  <si>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</si>
  <si>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</si>
  <si>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</si>
  <si>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</si>
  <si>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</si>
  <si>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</si>
  <si>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</si>
  <si>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16.05868</t>
  </si>
  <si>
    <t>108.2069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</si>
  <si>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</si>
  <si>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</si>
  <si>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</si>
  <si>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</si>
  <si>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</si>
  <si>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</si>
  <si>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16.05762</t>
  </si>
  <si>
    <t>108.2205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</si>
  <si>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</si>
  <si>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</si>
  <si>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</si>
  <si>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</si>
  <si>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</si>
  <si>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</si>
  <si>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</si>
  <si>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</si>
  <si>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</si>
  <si>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</si>
  <si>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16.0746</t>
  </si>
  <si>
    <t>108.20979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</si>
  <si>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</si>
  <si>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</si>
  <si>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</si>
  <si>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</si>
  <si>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</si>
  <si>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</si>
  <si>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</si>
  <si>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</si>
  <si>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</si>
  <si>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16.07002</t>
  </si>
  <si>
    <t>108.21181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</si>
  <si>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</si>
  <si>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</si>
  <si>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</si>
  <si>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</si>
  <si>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</si>
  <si>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</si>
  <si>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</si>
  <si>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</si>
  <si>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</si>
  <si>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</si>
  <si>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</si>
  <si>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16.07057</t>
  </si>
  <si>
    <t>108.20532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</si>
  <si>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</si>
  <si>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</si>
  <si>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</si>
  <si>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</si>
  <si>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</si>
  <si>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</si>
  <si>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</si>
  <si>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</si>
  <si>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16.076546</t>
  </si>
  <si>
    <t>108.2199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</si>
  <si>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</si>
  <si>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</si>
  <si>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</si>
  <si>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</si>
  <si>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</si>
  <si>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</si>
  <si>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16.08204</t>
  </si>
  <si>
    <t>108.21335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</si>
  <si>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</si>
  <si>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</si>
  <si>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</si>
  <si>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</si>
  <si>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</si>
  <si>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</si>
  <si>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</si>
  <si>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</si>
  <si>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</si>
  <si>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16.009583</t>
  </si>
  <si>
    <t>108.174444</t>
  </si>
  <si>
    <t>FO DT#MBF#DNCL03-DNHV01</t>
  </si>
  <si>
    <t>1486.53</t>
  </si>
  <si>
    <t>245.92</t>
  </si>
  <si>
    <t>16.011703</t>
  </si>
  <si>
    <t>108.173788</t>
  </si>
  <si>
    <t>Đà Nẵng#TTCMKV#Hòa Vang-DNHW02</t>
  </si>
  <si>
    <t>16.10168</t>
  </si>
  <si>
    <t>108.09895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</si>
  <si>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</si>
  <si>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</si>
  <si>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</si>
  <si>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</si>
  <si>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</si>
  <si>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</si>
  <si>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</si>
  <si>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</si>
  <si>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</si>
  <si>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</si>
  <si>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</si>
  <si>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16.01416</t>
  </si>
  <si>
    <t>108.1425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</si>
  <si>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</si>
  <si>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</si>
  <si>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</si>
  <si>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</si>
  <si>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</si>
  <si>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</si>
  <si>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15.96325</t>
  </si>
  <si>
    <t>108.12164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</si>
  <si>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</si>
  <si>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</si>
  <si>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</si>
  <si>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</si>
  <si>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</si>
  <si>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</si>
  <si>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15.99919</t>
  </si>
  <si>
    <t>108.12607</t>
  </si>
  <si>
    <t>FO DT#MBF#DNHV01-DNHV34</t>
  </si>
  <si>
    <t>945.44</t>
  </si>
  <si>
    <t>932.20</t>
  </si>
  <si>
    <t>16.007447</t>
  </si>
  <si>
    <t>108.127578</t>
  </si>
  <si>
    <t>Đà Nẵng#TTCMKV#Hòa Vang-DNHV13</t>
  </si>
  <si>
    <t>15.96875</t>
  </si>
  <si>
    <t>108.13869</t>
  </si>
  <si>
    <t>FO DT#MBF#DNHV13-DNHV01</t>
  </si>
  <si>
    <t>676.79</t>
  </si>
  <si>
    <t>88.53</t>
  </si>
  <si>
    <t>15.968469</t>
  </si>
  <si>
    <t>108.139465</t>
  </si>
  <si>
    <t>Đà Nẵng#TTCMKV#Hòa Vang-DNHV9A</t>
  </si>
  <si>
    <t>15.988117</t>
  </si>
  <si>
    <t>108.138945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</si>
  <si>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</si>
  <si>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</si>
  <si>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</si>
  <si>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</si>
  <si>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</si>
  <si>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</si>
  <si>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</si>
  <si>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</si>
  <si>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15.97039</t>
  </si>
  <si>
    <t>108.1807</t>
  </si>
  <si>
    <t>15.985639</t>
  </si>
  <si>
    <t>108.239806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</si>
  <si>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</si>
  <si>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</si>
  <si>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</si>
  <si>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</si>
  <si>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</si>
  <si>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</si>
  <si>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</si>
  <si>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</si>
  <si>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</si>
  <si>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</si>
  <si>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</si>
  <si>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16.023908</t>
  </si>
  <si>
    <t>108.208655</t>
  </si>
  <si>
    <t>FO DT#MBF#DNHV04-DNCL92</t>
  </si>
  <si>
    <t>3469.92</t>
  </si>
  <si>
    <t>3441.89</t>
  </si>
  <si>
    <t>15.997654</t>
  </si>
  <si>
    <t>108.191596</t>
  </si>
  <si>
    <t>Đà Nẵng#CAX#Hòa Tiến-DNHV22</t>
  </si>
  <si>
    <t>15.98523</t>
  </si>
  <si>
    <t>108.18906</t>
  </si>
  <si>
    <t>FO DT#MBF#DNHV22-DNHV04</t>
  </si>
  <si>
    <t>114.03</t>
  </si>
  <si>
    <t>85.99</t>
  </si>
  <si>
    <t>15.985526</t>
  </si>
  <si>
    <t>108.188317</t>
  </si>
  <si>
    <t>Đà Nẵng#CAX#Hòa Tiến-DNHV29</t>
  </si>
  <si>
    <t>15.946556</t>
  </si>
  <si>
    <t>108.179833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</si>
  <si>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</si>
  <si>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</si>
  <si>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</si>
  <si>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</si>
  <si>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</si>
  <si>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</si>
  <si>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</si>
  <si>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</si>
  <si>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</si>
  <si>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</si>
  <si>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15.97569</t>
  </si>
  <si>
    <t>108.1996</t>
  </si>
  <si>
    <t>FO DT#MBF#DNHV52-DNHV04</t>
  </si>
  <si>
    <t>1540.94</t>
  </si>
  <si>
    <t>1512.91</t>
  </si>
  <si>
    <t>15.979906</t>
  </si>
  <si>
    <t>108.186144</t>
  </si>
  <si>
    <t>Đà Nẵng#CAX#Hòa Tiến-DT-DN06</t>
  </si>
  <si>
    <t>FO DT#MBF#DT-DN06-DNHV04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</si>
  <si>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</si>
  <si>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</si>
  <si>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</si>
  <si>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</si>
  <si>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</si>
  <si>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</si>
  <si>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</si>
  <si>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</si>
  <si>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</si>
  <si>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</si>
  <si>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</si>
  <si>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16.07936</t>
  </si>
  <si>
    <t>108.15781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</si>
  <si>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</si>
  <si>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</si>
  <si>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</si>
  <si>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</si>
  <si>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</si>
  <si>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</si>
  <si>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</si>
  <si>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</si>
  <si>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</si>
  <si>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16.07304</t>
  </si>
  <si>
    <t>108.15131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</si>
  <si>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</si>
  <si>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</si>
  <si>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</si>
  <si>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</si>
  <si>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</si>
  <si>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</si>
  <si>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16.04248</t>
  </si>
  <si>
    <t>108.24477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</si>
  <si>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</si>
  <si>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</si>
  <si>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</si>
  <si>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</si>
  <si>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</si>
  <si>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</si>
  <si>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</si>
  <si>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</si>
  <si>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</si>
  <si>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</si>
  <si>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</si>
  <si>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</si>
  <si>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</si>
  <si>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</si>
  <si>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</si>
  <si>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</si>
  <si>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15.9967</t>
  </si>
  <si>
    <t>108.26281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</si>
  <si>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</si>
  <si>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</si>
  <si>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</si>
  <si>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</si>
  <si>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</si>
  <si>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</si>
  <si>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16.01551</t>
  </si>
  <si>
    <t>108.25593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</si>
  <si>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</si>
  <si>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</si>
  <si>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</si>
  <si>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</si>
  <si>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</si>
  <si>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</si>
  <si>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16.0075</t>
  </si>
  <si>
    <t>108.25652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</si>
  <si>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</si>
  <si>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</si>
  <si>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</si>
  <si>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</si>
  <si>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</si>
  <si>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</si>
  <si>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16.01245</t>
  </si>
  <si>
    <t>108.2547</t>
  </si>
  <si>
    <t>FO DT#MBF#DNNH38-DNNH02</t>
  </si>
  <si>
    <t>188.33</t>
  </si>
  <si>
    <t>16.012621</t>
  </si>
  <si>
    <t>108.255769</t>
  </si>
  <si>
    <t>Đà Nẵng#TTCMKV#Ngũ Hành Sơn-DNNH1X</t>
  </si>
  <si>
    <t>15.998705</t>
  </si>
  <si>
    <t>108.255302</t>
  </si>
  <si>
    <t>FO DT#MBF#DNNH02-DNNH1X</t>
  </si>
  <si>
    <t>538.37</t>
  </si>
  <si>
    <t>524.03</t>
  </si>
  <si>
    <t>16.000471</t>
  </si>
  <si>
    <t>108.259847</t>
  </si>
  <si>
    <t>Đà Nẵng#TTCMKV#Sơn Trà-DNST18</t>
  </si>
  <si>
    <t>16.094028</t>
  </si>
  <si>
    <t>108.251083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</si>
  <si>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</si>
  <si>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</si>
  <si>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</si>
  <si>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</si>
  <si>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</si>
  <si>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</si>
  <si>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</si>
  <si>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</si>
  <si>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</si>
  <si>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</si>
  <si>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</si>
  <si>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</si>
  <si>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</si>
  <si>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</si>
  <si>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</si>
  <si>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</si>
  <si>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</si>
  <si>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16.07939</t>
  </si>
  <si>
    <t>108.24348</t>
  </si>
  <si>
    <t>FO DT#MBF#DNST15-DNST87</t>
  </si>
  <si>
    <t>1073.37</t>
  </si>
  <si>
    <t>824.57</t>
  </si>
  <si>
    <t>16.082334</t>
  </si>
  <si>
    <t>108.236397</t>
  </si>
  <si>
    <t>Đà Nẵng#TTCMKV#Sơn Trà-DNST47</t>
  </si>
  <si>
    <t>16.06756</t>
  </si>
  <si>
    <t>108.24014</t>
  </si>
  <si>
    <t>FO DT#MBF#DNST47-DNST87</t>
  </si>
  <si>
    <t>493.53</t>
  </si>
  <si>
    <t>285.27</t>
  </si>
  <si>
    <t>Đà Nẵng#TTCMKV#Sơn Trà-DNST25</t>
  </si>
  <si>
    <t>16.06104</t>
  </si>
  <si>
    <t>108.24428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</si>
  <si>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</si>
  <si>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</si>
  <si>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</si>
  <si>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</si>
  <si>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</si>
  <si>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</si>
  <si>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</si>
  <si>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</si>
  <si>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</si>
  <si>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</si>
  <si>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16.06717</t>
  </si>
  <si>
    <t>108.24618</t>
  </si>
  <si>
    <t>FO DT#MBF#DNST2H-DNST87</t>
  </si>
  <si>
    <t>829.54</t>
  </si>
  <si>
    <t>621.28</t>
  </si>
  <si>
    <t>Quảng Nam#TTCMKV#Điện Bàn-QAQS05</t>
  </si>
  <si>
    <t>15.88756</t>
  </si>
  <si>
    <t>108.254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</si>
  <si>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</si>
  <si>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</si>
  <si>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</si>
  <si>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</si>
  <si>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</si>
  <si>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</si>
  <si>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</si>
  <si>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</si>
  <si>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</si>
  <si>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15.88972</t>
  </si>
  <si>
    <t>108.18124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</si>
  <si>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</si>
  <si>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</si>
  <si>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</si>
  <si>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</si>
  <si>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</si>
  <si>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</si>
  <si>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</si>
  <si>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</si>
  <si>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</si>
  <si>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</si>
  <si>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</si>
  <si>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15.92015</t>
  </si>
  <si>
    <t>108.2215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</si>
  <si>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</si>
  <si>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</si>
  <si>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</si>
  <si>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</si>
  <si>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</si>
  <si>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</si>
  <si>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</si>
  <si>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</si>
  <si>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</si>
  <si>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</si>
  <si>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</si>
  <si>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15.88473</t>
  </si>
  <si>
    <t>108.22689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</si>
  <si>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</si>
  <si>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</si>
  <si>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</si>
  <si>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</si>
  <si>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</si>
  <si>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</si>
  <si>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15.85308</t>
  </si>
  <si>
    <t>108.27552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</si>
  <si>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</si>
  <si>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</si>
  <si>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</si>
  <si>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</si>
  <si>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</si>
  <si>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</si>
  <si>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</si>
  <si>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</si>
  <si>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</si>
  <si>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</si>
  <si>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15.86851</t>
  </si>
  <si>
    <t>108.26307</t>
  </si>
  <si>
    <t>FO DT#MBF#QADB15-QADB13</t>
  </si>
  <si>
    <t>39.02</t>
  </si>
  <si>
    <t>25.45</t>
  </si>
  <si>
    <t>15.868352</t>
  </si>
  <si>
    <t>108.263243</t>
  </si>
  <si>
    <t>Quảng Nam#TTCMKV#Điện Bàn-QADB85</t>
  </si>
  <si>
    <t>15.878183</t>
  </si>
  <si>
    <t>108.264772</t>
  </si>
  <si>
    <t>FO DT#MBF#QADB85-QADB15</t>
  </si>
  <si>
    <t>1118.85</t>
  </si>
  <si>
    <t>1105.28</t>
  </si>
  <si>
    <t>Quảng Nam#TTCMKV#Điện Bàn-QADB01</t>
  </si>
  <si>
    <t>15.88926</t>
  </si>
  <si>
    <t>108.2494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</si>
  <si>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</si>
  <si>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</si>
  <si>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</si>
  <si>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</si>
  <si>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</si>
  <si>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</si>
  <si>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</si>
  <si>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</si>
  <si>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15.8773</t>
  </si>
  <si>
    <t>108.23961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</si>
  <si>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</si>
  <si>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</si>
  <si>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</si>
  <si>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</si>
  <si>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</si>
  <si>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</si>
  <si>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</si>
  <si>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</si>
  <si>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</si>
  <si>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</si>
  <si>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15.88297</t>
  </si>
  <si>
    <t>108.1158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</si>
  <si>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</si>
  <si>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</si>
  <si>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</si>
  <si>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</si>
  <si>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</si>
  <si>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</si>
  <si>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</si>
  <si>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</si>
  <si>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</si>
  <si>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15.82266</t>
  </si>
  <si>
    <t>108.2464</t>
  </si>
  <si>
    <t>#MBF#QADLMA01-QADX04</t>
  </si>
  <si>
    <t>Trại giam An Điềm (C10) - Duy Xuyên</t>
  </si>
  <si>
    <t>3133.76</t>
  </si>
  <si>
    <t>3081.84</t>
  </si>
  <si>
    <t>15.855328</t>
  </si>
  <si>
    <t>108.113702</t>
  </si>
  <si>
    <t>51.92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</si>
  <si>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</si>
  <si>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</si>
  <si>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</si>
  <si>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Quảng Nam#TTCMKV#Đại Lộc-QADL19</t>
  </si>
  <si>
    <t>15.90587</t>
  </si>
  <si>
    <t>108.12176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</si>
  <si>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</si>
  <si>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</si>
  <si>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</si>
  <si>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</si>
  <si>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</si>
  <si>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</si>
  <si>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</si>
  <si>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</si>
  <si>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</si>
  <si>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15.87941</t>
  </si>
  <si>
    <t>108.07823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</si>
  <si>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</si>
  <si>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</si>
  <si>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</si>
  <si>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</si>
  <si>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</si>
  <si>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</si>
  <si>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</si>
  <si>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</si>
  <si>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</si>
  <si>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</si>
  <si>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15.8789</t>
  </si>
  <si>
    <t>108.1048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</si>
  <si>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</si>
  <si>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</si>
  <si>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</si>
  <si>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</si>
  <si>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</si>
  <si>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</si>
  <si>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15.87734</t>
  </si>
  <si>
    <t>108.0925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</si>
  <si>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</si>
  <si>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</si>
  <si>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</si>
  <si>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</si>
  <si>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</si>
  <si>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</si>
  <si>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</si>
  <si>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</si>
  <si>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</si>
  <si>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</si>
  <si>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</si>
  <si>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15.8754236</t>
  </si>
  <si>
    <t>108.126505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</si>
  <si>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</si>
  <si>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</si>
  <si>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</si>
  <si>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</si>
  <si>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</si>
  <si>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</si>
  <si>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</si>
  <si>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</si>
  <si>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</si>
  <si>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</si>
  <si>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</si>
  <si>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15.86699</t>
  </si>
  <si>
    <t>108.1138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</si>
  <si>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</si>
  <si>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</si>
  <si>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</si>
  <si>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</si>
  <si>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</si>
  <si>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</si>
  <si>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15.884982</t>
  </si>
  <si>
    <t>108.116816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</si>
  <si>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</si>
  <si>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</si>
  <si>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</si>
  <si>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</si>
  <si>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</si>
  <si>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</si>
  <si>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</si>
  <si>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</si>
  <si>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15.88424</t>
  </si>
  <si>
    <t>108.1116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</si>
  <si>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</si>
  <si>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</si>
  <si>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</si>
  <si>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</si>
  <si>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</si>
  <si>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</si>
  <si>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</si>
  <si>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</si>
  <si>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</si>
  <si>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</si>
  <si>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</si>
  <si>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15.82296</t>
  </si>
  <si>
    <t>108.29238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</si>
  <si>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</si>
  <si>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</si>
  <si>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</si>
  <si>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</si>
  <si>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</si>
  <si>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</si>
  <si>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</si>
  <si>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</si>
  <si>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</si>
  <si>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</si>
  <si>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</si>
  <si>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15.83824</t>
  </si>
  <si>
    <t>108.14389</t>
  </si>
  <si>
    <t>FO DT#MBF#QADX03-QADX04</t>
  </si>
  <si>
    <t>200.43</t>
  </si>
  <si>
    <t>15.836906</t>
  </si>
  <si>
    <t>108.143949</t>
  </si>
  <si>
    <t>Quảng Nam#TTCMKV#Duy Xuyên-QADX34</t>
  </si>
  <si>
    <t>15.82321</t>
  </si>
  <si>
    <t>108.2002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</si>
  <si>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</si>
  <si>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</si>
  <si>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</si>
  <si>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</si>
  <si>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</si>
  <si>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</si>
  <si>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</si>
  <si>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</si>
  <si>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</si>
  <si>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</si>
  <si>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</si>
  <si>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</si>
  <si>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</si>
  <si>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</si>
  <si>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</si>
  <si>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</si>
  <si>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15.85333</t>
  </si>
  <si>
    <t>108.19631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</si>
  <si>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</si>
  <si>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</si>
  <si>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</si>
  <si>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</si>
  <si>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</si>
  <si>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</si>
  <si>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15.82483</t>
  </si>
  <si>
    <t>108.23177</t>
  </si>
  <si>
    <t>FO DT#MBF#QADX04-QADX24</t>
  </si>
  <si>
    <t>238.93</t>
  </si>
  <si>
    <t>185.23</t>
  </si>
  <si>
    <t>15.826288</t>
  </si>
  <si>
    <t>108.232608</t>
  </si>
  <si>
    <t>Quảng Nam#TTCMKV#Duy Xuyên-QADX50</t>
  </si>
  <si>
    <t>15.80961</t>
  </si>
  <si>
    <t>108.21095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</si>
  <si>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</si>
  <si>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</si>
  <si>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</si>
  <si>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</si>
  <si>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</si>
  <si>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</si>
  <si>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15.83456</t>
  </si>
  <si>
    <t>108.23333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</si>
  <si>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</si>
  <si>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</si>
  <si>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</si>
  <si>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</si>
  <si>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</si>
  <si>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</si>
  <si>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15.83011</t>
  </si>
  <si>
    <t>108.18051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</si>
  <si>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</si>
  <si>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</si>
  <si>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</si>
  <si>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</si>
  <si>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</si>
  <si>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</si>
  <si>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</si>
  <si>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</si>
  <si>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</si>
  <si>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</si>
  <si>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</si>
  <si>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</si>
  <si>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15.89361</t>
  </si>
  <si>
    <t>108.24381</t>
  </si>
  <si>
    <t>FO DT#MBF#QAHA06-QADB46</t>
  </si>
  <si>
    <t>1430.12</t>
  </si>
  <si>
    <t>1399.76</t>
  </si>
  <si>
    <t>15.889308</t>
  </si>
  <si>
    <t>108.256110</t>
  </si>
  <si>
    <t>Quảng Nam#TTCMKV#Hội An-QAHA41</t>
  </si>
  <si>
    <t>FO DT#MBF#QAHA06-QAHA41</t>
  </si>
  <si>
    <t>Quảng Nam#CAX#Núi Thành-QANT03</t>
  </si>
  <si>
    <t>15.46107301</t>
  </si>
  <si>
    <t>108.603811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</si>
  <si>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</si>
  <si>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</si>
  <si>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</si>
  <si>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</si>
  <si>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</si>
  <si>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</si>
  <si>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</si>
  <si>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</si>
  <si>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</si>
  <si>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</si>
  <si>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</si>
  <si>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</si>
  <si>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</si>
  <si>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</si>
  <si>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</si>
  <si>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</si>
  <si>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</si>
  <si>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</si>
  <si>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</si>
  <si>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15.43534</t>
  </si>
  <si>
    <t>108.65253</t>
  </si>
  <si>
    <t>FO DT#MBF#QANT38-QANT01</t>
  </si>
  <si>
    <t>326.87</t>
  </si>
  <si>
    <t>291.66</t>
  </si>
  <si>
    <t>15.432786</t>
  </si>
  <si>
    <t>108.651911</t>
  </si>
  <si>
    <t>Quảng Nam#CAX#Núi Thành-QANT14</t>
  </si>
  <si>
    <t>15.4479</t>
  </si>
  <si>
    <t>108.683</t>
  </si>
  <si>
    <t>FO DT#MBF#QANT14-QANT01</t>
  </si>
  <si>
    <t>2923.33</t>
  </si>
  <si>
    <t>2919.42</t>
  </si>
  <si>
    <t>Quảng Nam#CAX#Núi Thành-QANT31</t>
  </si>
  <si>
    <t>15.4334047</t>
  </si>
  <si>
    <t>108.68669</t>
  </si>
  <si>
    <t>FO DT#MBF#QANT01-QANT31</t>
  </si>
  <si>
    <t>2814.25</t>
  </si>
  <si>
    <t>2810.34</t>
  </si>
  <si>
    <t>Quảng Nam#CAX#Núi Thành-QANT53</t>
  </si>
  <si>
    <t>15.40065</t>
  </si>
  <si>
    <t>108.68678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</si>
  <si>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</si>
  <si>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</si>
  <si>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</si>
  <si>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</si>
  <si>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</si>
  <si>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</si>
  <si>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</si>
  <si>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</si>
  <si>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</si>
  <si>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</si>
  <si>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</si>
  <si>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</si>
  <si>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</si>
  <si>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</si>
  <si>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</si>
  <si>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Bình-CHGD huyện Thăng Bình</t>
  </si>
  <si>
    <t>FO DT#MBF#CHGD huyện Thăng Bình-QATB_newsite 2</t>
  </si>
  <si>
    <t>Quảng Nam#TTCMKV#Thăng Bình-QATB43</t>
  </si>
  <si>
    <t>15.74392</t>
  </si>
  <si>
    <t>108.3542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</si>
  <si>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</si>
  <si>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</si>
  <si>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</si>
  <si>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</si>
  <si>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</si>
  <si>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</si>
  <si>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</si>
  <si>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</si>
  <si>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</si>
  <si>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</si>
  <si>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Trường-QATKMA01</t>
  </si>
  <si>
    <t>FO DT#MBF#QATB35-QATKMA01</t>
  </si>
  <si>
    <t>Quảng Nam#CAX#Thăng Trường-QATB12</t>
  </si>
  <si>
    <t>15.68838</t>
  </si>
  <si>
    <t>108.48233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</si>
  <si>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</si>
  <si>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</si>
  <si>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</si>
  <si>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</si>
  <si>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</si>
  <si>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</si>
  <si>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</si>
  <si>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</si>
  <si>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</si>
  <si>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</si>
  <si>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15.6370667</t>
  </si>
  <si>
    <t>108.5156807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</si>
  <si>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</si>
  <si>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</si>
  <si>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</si>
  <si>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</si>
  <si>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</si>
  <si>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</si>
  <si>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</si>
  <si>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</si>
  <si>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</si>
  <si>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Trường-MX QATKMA01-QADX35 hướng cầu Bình Nam</t>
  </si>
  <si>
    <t>FO DT#MBF#MX QATKMA01-QADX35 hướng cầu Bình Nam-QATB35</t>
  </si>
  <si>
    <t>Quảng Nam#CAX#Thăng Trường-QADX35 hướng cầu Tỉnh Thủy</t>
  </si>
  <si>
    <t>FO DT#MBF#QATB35-MX QATKMA01-QADX35 hướng cầu Tỉnh Thủy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</si>
  <si>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</si>
  <si>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</si>
  <si>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</si>
  <si>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</si>
  <si>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</si>
  <si>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</si>
  <si>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</si>
  <si>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16.036997</t>
  </si>
  <si>
    <t>108.215225</t>
  </si>
  <si>
    <t>FO DT#MBF#DNHC92-DNCL08</t>
  </si>
  <si>
    <t>201.40</t>
  </si>
  <si>
    <t>163.66</t>
  </si>
  <si>
    <t>16.035915</t>
  </si>
  <si>
    <t>108.214187</t>
  </si>
  <si>
    <t>Đà Nẵng#Phòng#PC07-DNHC49</t>
  </si>
  <si>
    <t>16.03479</t>
  </si>
  <si>
    <t>108.21748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</si>
  <si>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</si>
  <si>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</si>
  <si>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</si>
  <si>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</si>
  <si>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</si>
  <si>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</si>
  <si>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</si>
  <si>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</si>
  <si>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</si>
  <si>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</si>
  <si>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</si>
  <si>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</si>
  <si>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</si>
  <si>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</si>
  <si>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</si>
  <si>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</si>
  <si>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</si>
  <si>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16.00525</t>
  </si>
  <si>
    <t>108.1979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</si>
  <si>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</si>
  <si>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</si>
  <si>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</si>
  <si>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</si>
  <si>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</si>
  <si>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</si>
  <si>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</si>
  <si>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16.02548</t>
  </si>
  <si>
    <t>108.20952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</si>
  <si>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</si>
  <si>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</si>
  <si>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</si>
  <si>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</si>
  <si>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</si>
  <si>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</si>
  <si>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</si>
  <si>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</si>
  <si>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</si>
  <si>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</si>
  <si>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16.01059</t>
  </si>
  <si>
    <t>108.22422</t>
  </si>
  <si>
    <t>FO DT#MBF#DNCL58-DNCL56</t>
  </si>
  <si>
    <t>688.74</t>
  </si>
  <si>
    <t>670.62</t>
  </si>
  <si>
    <t>Đà Nẵng#Phòng#PC08-DNCL47</t>
  </si>
  <si>
    <t>16.0032</t>
  </si>
  <si>
    <t>108.22732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</si>
  <si>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</si>
  <si>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</si>
  <si>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</si>
  <si>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</si>
  <si>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</si>
  <si>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</si>
  <si>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</si>
  <si>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</si>
  <si>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</si>
  <si>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15.99568</t>
  </si>
  <si>
    <t>108.23896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</si>
  <si>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</si>
  <si>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</si>
  <si>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</si>
  <si>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</si>
  <si>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</si>
  <si>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</si>
  <si>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</si>
  <si>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</si>
  <si>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</si>
  <si>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</si>
  <si>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16.00206</t>
  </si>
  <si>
    <t>108.21279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</si>
  <si>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</si>
  <si>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</si>
  <si>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</si>
  <si>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</si>
  <si>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</si>
  <si>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</si>
  <si>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</si>
  <si>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</si>
  <si>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</si>
  <si>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</si>
  <si>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Đà Nẵng#Phòng#PA06-Phan Chu Trinh</t>
  </si>
  <si>
    <t>FO DT#MBF#DNHC02-MX Lê Hồng Phong-Phan Chu Trinh</t>
  </si>
  <si>
    <t>Đà Nẵng#Phòng#PA06-MX Yên Bái – Nguyễn Thái Học</t>
  </si>
  <si>
    <t>FO DT#MBF#MX Yên Bái – Nguyễn Thái Học-DNHC02</t>
  </si>
  <si>
    <t>FO DT#MBF#DNHC23-DNHC02</t>
  </si>
  <si>
    <t>FO DT#MBF#DNHC16-DNHC02</t>
  </si>
  <si>
    <t>Đà Nẵng#Phòng#PA06-DNHC2S</t>
  </si>
  <si>
    <t>16.0654959</t>
  </si>
  <si>
    <t>108.2234554</t>
  </si>
  <si>
    <t>FO DT#MBF#DNHC02-DNHC2S</t>
  </si>
  <si>
    <t>90.06</t>
  </si>
  <si>
    <t>73.36</t>
  </si>
  <si>
    <t>Đà Nẵng#CAX#Hải Châu-DNHC79</t>
  </si>
  <si>
    <t>16.08083</t>
  </si>
  <si>
    <t>108.22337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</si>
  <si>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</si>
  <si>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</si>
  <si>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</si>
  <si>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</si>
  <si>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</si>
  <si>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</si>
  <si>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</si>
  <si>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</si>
  <si>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</si>
  <si>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</si>
  <si>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</si>
  <si>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</si>
  <si>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</si>
  <si>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</si>
  <si>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</si>
  <si>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</si>
  <si>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</si>
  <si>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</si>
  <si>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16.08183</t>
  </si>
  <si>
    <t>108.22022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</si>
  <si>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</si>
  <si>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</si>
  <si>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</si>
  <si>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</si>
  <si>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</si>
  <si>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</si>
  <si>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</si>
  <si>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</si>
  <si>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</si>
  <si>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</si>
  <si>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</si>
  <si>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16.04153</t>
  </si>
  <si>
    <t>108.21908</t>
  </si>
  <si>
    <t>FO DT#MBF#DNHC46-DNHC61</t>
  </si>
  <si>
    <t>494.42</t>
  </si>
  <si>
    <t>487.29</t>
  </si>
  <si>
    <t>16.039113</t>
  </si>
  <si>
    <t>108.215276</t>
  </si>
  <si>
    <t>Đà Nẵng#CAX#Hòa Cường-DNHC30</t>
  </si>
  <si>
    <t>16.0415</t>
  </si>
  <si>
    <t>108.21228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</si>
  <si>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</si>
  <si>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</si>
  <si>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</si>
  <si>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</si>
  <si>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</si>
  <si>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</si>
  <si>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16.04609</t>
  </si>
  <si>
    <t>108.21013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</si>
  <si>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</si>
  <si>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</si>
  <si>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</si>
  <si>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</si>
  <si>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</si>
  <si>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</si>
  <si>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16.05341</t>
  </si>
  <si>
    <t>108.206081</t>
  </si>
  <si>
    <t>FO DT#MBF#DNHC54-DNHC34</t>
  </si>
  <si>
    <t>309.84</t>
  </si>
  <si>
    <t>302.62</t>
  </si>
  <si>
    <t>Đà Nẵng#Phòng#PX04-DNTK17</t>
  </si>
  <si>
    <t>16.06706</t>
  </si>
  <si>
    <t>108.2201</t>
  </si>
  <si>
    <t>16.06821</t>
  </si>
  <si>
    <t>108.21302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</si>
  <si>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</si>
  <si>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</si>
  <si>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</si>
  <si>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</si>
  <si>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</si>
  <si>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</si>
  <si>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</si>
  <si>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16.06398</t>
  </si>
  <si>
    <t>108.2142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</si>
  <si>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</si>
  <si>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</si>
  <si>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</si>
  <si>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</si>
  <si>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</si>
  <si>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</si>
  <si>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</si>
  <si>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</si>
  <si>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</si>
  <si>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</si>
  <si>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</si>
  <si>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</si>
  <si>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</si>
  <si>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</si>
  <si>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</si>
  <si>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</si>
  <si>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16.06129</t>
  </si>
  <si>
    <t>108.10001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</si>
  <si>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</si>
  <si>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</si>
  <si>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</si>
  <si>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</si>
  <si>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</si>
  <si>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</si>
  <si>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</si>
  <si>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</si>
  <si>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</si>
  <si>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</si>
  <si>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</si>
  <si>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16.08476</t>
  </si>
  <si>
    <t>108.09725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</si>
  <si>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</si>
  <si>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</si>
  <si>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</si>
  <si>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</si>
  <si>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</si>
  <si>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</si>
  <si>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</si>
  <si>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</si>
  <si>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</si>
  <si>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</si>
  <si>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16.06367</t>
  </si>
  <si>
    <t>108.1573</t>
  </si>
  <si>
    <t>FO DT#MBF#DNLC02-DNTK31</t>
  </si>
  <si>
    <t>1776.98</t>
  </si>
  <si>
    <t>1745.72</t>
  </si>
  <si>
    <t>16.076751</t>
  </si>
  <si>
    <t>108.166334</t>
  </si>
  <si>
    <t>Đà Nẵng#CAX#Hòa Khánh-DNLC18</t>
  </si>
  <si>
    <t>16.06392</t>
  </si>
  <si>
    <t>108.15302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</si>
  <si>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</si>
  <si>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</si>
  <si>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</si>
  <si>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</si>
  <si>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</si>
  <si>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</si>
  <si>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</si>
  <si>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</si>
  <si>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</si>
  <si>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</si>
  <si>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Nẵng#CAX#Hòa Khánh-21DN013</t>
  </si>
  <si>
    <t>FO DT#MBF#21DN013-DNLC02</t>
  </si>
  <si>
    <t>Đà Nẵng#Phòng#PK02-DNLC55</t>
  </si>
  <si>
    <t>16.04903</t>
  </si>
  <si>
    <t>108.14654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</si>
  <si>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</si>
  <si>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</si>
  <si>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</si>
  <si>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</si>
  <si>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</si>
  <si>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</si>
  <si>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</si>
  <si>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</si>
  <si>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</si>
  <si>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</si>
  <si>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16.04909</t>
  </si>
  <si>
    <t>108.15778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</si>
  <si>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</si>
  <si>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</si>
  <si>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</si>
  <si>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</si>
  <si>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</si>
  <si>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</si>
  <si>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</si>
  <si>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</si>
  <si>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16.041847</t>
  </si>
  <si>
    <t>108.148335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</si>
  <si>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</si>
  <si>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</si>
  <si>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</si>
  <si>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</si>
  <si>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</si>
  <si>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</si>
  <si>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</si>
  <si>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</si>
  <si>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</si>
  <si>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</si>
  <si>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16.084881</t>
  </si>
  <si>
    <t>108.149884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</si>
  <si>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</si>
  <si>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</si>
  <si>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</si>
  <si>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</si>
  <si>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</si>
  <si>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</si>
  <si>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</si>
  <si>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</si>
  <si>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</si>
  <si>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16.10666</t>
  </si>
  <si>
    <t>108.13393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</si>
  <si>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</si>
  <si>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</si>
  <si>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</si>
  <si>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</si>
  <si>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</si>
  <si>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</si>
  <si>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</si>
  <si>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16.04533</t>
  </si>
  <si>
    <t>108.24728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</si>
  <si>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</si>
  <si>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</si>
  <si>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</si>
  <si>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</si>
  <si>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</si>
  <si>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</si>
  <si>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</si>
  <si>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</si>
  <si>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</si>
  <si>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16.027659</t>
  </si>
  <si>
    <t>108.254858</t>
  </si>
  <si>
    <t>FO DT#MBF#DNNH59-DNNH09</t>
  </si>
  <si>
    <t>711.92</t>
  </si>
  <si>
    <t>660.94</t>
  </si>
  <si>
    <t>16.026435</t>
  </si>
  <si>
    <t>108.248806</t>
  </si>
  <si>
    <t>Đà Nẵng#CAX#Ngũ Hành Sơn-22DN042</t>
  </si>
  <si>
    <t>FO DT#MBF#22DN042-DNNH59</t>
  </si>
  <si>
    <t>Đà Nẵng#CAX#Sơn Trà-DNST1W</t>
  </si>
  <si>
    <t>16.08304</t>
  </si>
  <si>
    <t>108.2291</t>
  </si>
  <si>
    <t>16.08027</t>
  </si>
  <si>
    <t>108.23138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</si>
  <si>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</si>
  <si>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</si>
  <si>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</si>
  <si>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</si>
  <si>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</si>
  <si>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</si>
  <si>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</si>
  <si>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</si>
  <si>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</si>
  <si>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</si>
  <si>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16.07834</t>
  </si>
  <si>
    <t>108.22934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</si>
  <si>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</si>
  <si>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</si>
  <si>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</si>
  <si>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</si>
  <si>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</si>
  <si>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</si>
  <si>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</si>
  <si>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</si>
  <si>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</si>
  <si>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</si>
  <si>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</si>
  <si>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16.0804063</t>
  </si>
  <si>
    <t>108.2359264</t>
  </si>
  <si>
    <t>FO DT#MBF#DNST01-DNST12</t>
  </si>
  <si>
    <t>398.28</t>
  </si>
  <si>
    <t>375.36</t>
  </si>
  <si>
    <t>16.078872</t>
  </si>
  <si>
    <t>108.232797</t>
  </si>
  <si>
    <t>Đà Nẵng#CAX#Sơn Trà-DNST42</t>
  </si>
  <si>
    <t>16.08566</t>
  </si>
  <si>
    <t>108.23013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</si>
  <si>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</si>
  <si>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</si>
  <si>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</si>
  <si>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</si>
  <si>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</si>
  <si>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</si>
  <si>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</si>
  <si>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</si>
  <si>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</si>
  <si>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</si>
  <si>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16.05333</t>
  </si>
  <si>
    <t>108.17861</t>
  </si>
  <si>
    <t>FO DT#MBF#DNCL20-DNTK08</t>
  </si>
  <si>
    <t>449.92</t>
  </si>
  <si>
    <t>443.51</t>
  </si>
  <si>
    <t>16.056746</t>
  </si>
  <si>
    <t>108.180753</t>
  </si>
  <si>
    <t>Đà Nẵng#CAX#An Khê-DNCL04</t>
  </si>
  <si>
    <t>16.05701</t>
  </si>
  <si>
    <t>108.17522</t>
  </si>
  <si>
    <t>FO DT#MBF#DNCL04-DNTK08</t>
  </si>
  <si>
    <t>558.79</t>
  </si>
  <si>
    <t>552.39</t>
  </si>
  <si>
    <t>16.058513</t>
  </si>
  <si>
    <t>108.180147</t>
  </si>
  <si>
    <t>Đà Nẵng#CAX#An Khê-DNTK26</t>
  </si>
  <si>
    <t>16.05043</t>
  </si>
  <si>
    <t>108.18414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</si>
  <si>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</si>
  <si>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</si>
  <si>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</si>
  <si>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</si>
  <si>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</si>
  <si>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</si>
  <si>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</si>
  <si>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</si>
  <si>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</si>
  <si>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16.07248</t>
  </si>
  <si>
    <t>108.19066</t>
  </si>
  <si>
    <t>FO DT#MBF#DNTK10-DNTK62</t>
  </si>
  <si>
    <t>191.85</t>
  </si>
  <si>
    <t>180.97</t>
  </si>
  <si>
    <t>16.071201</t>
  </si>
  <si>
    <t>108.191708</t>
  </si>
  <si>
    <t>Đà Nẵng#CAX#Thanh Khê-DNTK58</t>
  </si>
  <si>
    <t>16.07334</t>
  </si>
  <si>
    <t>108.1857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</si>
  <si>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</si>
  <si>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</si>
  <si>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</si>
  <si>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</si>
  <si>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</si>
  <si>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</si>
  <si>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</si>
  <si>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</si>
  <si>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15.946625</t>
  </si>
  <si>
    <t>108.255544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</si>
  <si>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</si>
  <si>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</si>
  <si>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</si>
  <si>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</si>
  <si>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</si>
  <si>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15.93896</t>
  </si>
  <si>
    <t>108.20789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</si>
  <si>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</si>
  <si>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</si>
  <si>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</si>
  <si>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</si>
  <si>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</si>
  <si>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</si>
  <si>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</si>
  <si>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</si>
  <si>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</si>
  <si>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</si>
  <si>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15.92376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</si>
  <si>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</si>
  <si>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</si>
  <si>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</si>
  <si>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</si>
  <si>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</si>
  <si>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</si>
  <si>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</si>
  <si>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</si>
  <si>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</si>
  <si>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</si>
  <si>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</si>
  <si>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15.92042</t>
  </si>
  <si>
    <t>108.1326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</si>
  <si>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</si>
  <si>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</si>
  <si>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</si>
  <si>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</si>
  <si>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</si>
  <si>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</si>
  <si>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15.92097</t>
  </si>
  <si>
    <t>108.15602</t>
  </si>
  <si>
    <t>FO DT#MBF#QADB17-QADB52</t>
  </si>
  <si>
    <t>87.58</t>
  </si>
  <si>
    <t>47.20</t>
  </si>
  <si>
    <t>Quảng Nam#CAX#Vu Gia-QADL34</t>
  </si>
  <si>
    <t>15.84647</t>
  </si>
  <si>
    <t>108.0867</t>
  </si>
  <si>
    <t>15.8488</t>
  </si>
  <si>
    <t>107.94628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</si>
  <si>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</si>
  <si>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</si>
  <si>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</si>
  <si>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</si>
  <si>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</si>
  <si>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</si>
  <si>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</si>
  <si>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</si>
  <si>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</si>
  <si>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</si>
  <si>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</si>
  <si>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</si>
  <si>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15.83759</t>
  </si>
  <si>
    <t>108.10099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</si>
  <si>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</si>
  <si>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</si>
  <si>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</si>
  <si>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</si>
  <si>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</si>
  <si>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</si>
  <si>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</si>
  <si>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</si>
  <si>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</si>
  <si>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</si>
  <si>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</si>
  <si>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15.83245</t>
  </si>
  <si>
    <t>108.08489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</si>
  <si>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</si>
  <si>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</si>
  <si>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</si>
  <si>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</si>
  <si>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</si>
  <si>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</si>
  <si>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</si>
  <si>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</si>
  <si>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</si>
  <si>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</si>
  <si>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15.85889</t>
  </si>
  <si>
    <t>108.08336</t>
  </si>
  <si>
    <t>FO DT#MBF#QADL33-QADL15</t>
  </si>
  <si>
    <t>751.85</t>
  </si>
  <si>
    <t>194.91</t>
  </si>
  <si>
    <t>15.857137</t>
  </si>
  <si>
    <t>108.083394</t>
  </si>
  <si>
    <t>Quảng Nam#CAX#Thu Bồn-QADL05</t>
  </si>
  <si>
    <t>15.85561</t>
  </si>
  <si>
    <t>107.9979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</si>
  <si>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</si>
  <si>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</si>
  <si>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</si>
  <si>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</si>
  <si>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</si>
  <si>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</si>
  <si>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</si>
  <si>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</si>
  <si>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</si>
  <si>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</si>
  <si>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15.83042</t>
  </si>
  <si>
    <t>108.2721</t>
  </si>
  <si>
    <t>15.81984</t>
  </si>
  <si>
    <t>108.24974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</si>
  <si>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</si>
  <si>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</si>
  <si>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</si>
  <si>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</si>
  <si>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</si>
  <si>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</si>
  <si>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</si>
  <si>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</si>
  <si>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</si>
  <si>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</si>
  <si>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15.836748</t>
  </si>
  <si>
    <t>108.256463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</si>
  <si>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</si>
  <si>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</si>
  <si>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</si>
  <si>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</si>
  <si>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</si>
  <si>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</si>
  <si>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15.8198</t>
  </si>
  <si>
    <t>108.2588</t>
  </si>
  <si>
    <t>FO DT#MBF#QADX08-QADX20</t>
  </si>
  <si>
    <t>802.75</t>
  </si>
  <si>
    <t>595.17</t>
  </si>
  <si>
    <t>15.823723</t>
  </si>
  <si>
    <t>108.255015</t>
  </si>
  <si>
    <t>Quảng Nam#CAX#Hội An Đông-18QA083</t>
  </si>
  <si>
    <t>FO DT#MBF#18QA083-QAHA18</t>
  </si>
  <si>
    <t>Quảng Nam#CAX#Tam Xuân-QATK07</t>
  </si>
  <si>
    <t>15.54565</t>
  </si>
  <si>
    <t>108.5216</t>
  </si>
  <si>
    <t>15.56074</t>
  </si>
  <si>
    <t>108.50045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</si>
  <si>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</si>
  <si>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</si>
  <si>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</si>
  <si>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</si>
  <si>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</si>
  <si>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</si>
  <si>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</si>
  <si>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</si>
  <si>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</si>
  <si>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</si>
  <si>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15.51584</t>
  </si>
  <si>
    <t>108.55952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</si>
  <si>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</si>
  <si>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</si>
  <si>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</si>
  <si>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</si>
  <si>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</si>
  <si>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</si>
  <si>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</si>
  <si>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</si>
  <si>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</si>
  <si>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</si>
  <si>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</si>
  <si>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15.54721</t>
  </si>
  <si>
    <t>108.53362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</si>
  <si>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</si>
  <si>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</si>
  <si>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</si>
  <si>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</si>
  <si>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</si>
  <si>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</si>
  <si>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</si>
  <si>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</si>
  <si>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</si>
  <si>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</si>
  <si>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15.52385</t>
  </si>
  <si>
    <t>108.42056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</si>
  <si>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</si>
  <si>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</si>
  <si>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</si>
  <si>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</si>
  <si>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</si>
  <si>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</si>
  <si>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</si>
  <si>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</si>
  <si>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</si>
  <si>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Nam#CAX#Phú Ninh-21QA013</t>
  </si>
  <si>
    <t>FO DT#MBF#21QA013-QAPN04</t>
  </si>
  <si>
    <t>Quảng Nam#CAX#Quế Sơn Trung-QAQS38</t>
  </si>
  <si>
    <t>15.72096</t>
  </si>
  <si>
    <t>108.29183</t>
  </si>
  <si>
    <t>FO DT#MBF#QAQS38-QAQS10</t>
  </si>
  <si>
    <t>1524.16</t>
  </si>
  <si>
    <t>1373.84</t>
  </si>
  <si>
    <t>15.722346</t>
  </si>
  <si>
    <t>108.279076</t>
  </si>
  <si>
    <t>Quảng Nam#CAX#Xuân Phú-QATB52</t>
  </si>
  <si>
    <t>15.7487</t>
  </si>
  <si>
    <t>108.33968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</si>
  <si>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</si>
  <si>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</si>
  <si>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</si>
  <si>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</si>
  <si>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</si>
  <si>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</si>
  <si>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</si>
  <si>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</si>
  <si>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Quảng Nam#Phòng#Trạm CSGT Thăng Bình (X. Bình Phục, Thăng Bình)-21QA048</t>
  </si>
  <si>
    <t>FO DT#MBF#21QA048-QATB14</t>
  </si>
  <si>
    <t>FO DT#MBF#QATB59-QATB34</t>
  </si>
  <si>
    <t>Quảng Nam#CAX#Thăng Phú-QAPN43</t>
  </si>
  <si>
    <t>15.61997</t>
  </si>
  <si>
    <t>108.39905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</si>
  <si>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</si>
  <si>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</si>
  <si>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</si>
  <si>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</si>
  <si>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</si>
  <si>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</si>
  <si>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</si>
  <si>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</si>
  <si>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</si>
  <si>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</si>
  <si>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15.55759</t>
  </si>
  <si>
    <t>108.49099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</si>
  <si>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</si>
  <si>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</si>
  <si>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</si>
  <si>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</si>
  <si>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</si>
  <si>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</si>
  <si>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</si>
  <si>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</si>
  <si>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</si>
  <si>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</si>
  <si>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</si>
  <si>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</si>
  <si>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</si>
  <si>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</si>
  <si>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Nam#Phòng#PC07-NH Nam Á Bank</t>
  </si>
  <si>
    <t>FO DT#MBF#NH Nam Á Bank-QATK18</t>
  </si>
  <si>
    <t>Quảng Nam#Phòng#PC11-QAPN20</t>
  </si>
  <si>
    <t>15.5647</t>
  </si>
  <si>
    <t>108.4398</t>
  </si>
  <si>
    <t>FO DT#MBF#QAPN20-QATK22</t>
  </si>
  <si>
    <t>941.53</t>
  </si>
  <si>
    <t>579.27</t>
  </si>
  <si>
    <t>15.559533</t>
  </si>
  <si>
    <t>108.440489</t>
  </si>
  <si>
    <t>Gia Lai#TTCMKV#TT2 Gia Lai-Gia Lai#TTCMKV#IA Grai</t>
  </si>
  <si>
    <t>13.97628591</t>
  </si>
  <si>
    <t>107.9923964</t>
  </si>
  <si>
    <t>13.9612553</t>
  </si>
  <si>
    <t>107.8538977</t>
  </si>
  <si>
    <t>TT2-Gia Lai-Ia Grai</t>
  </si>
  <si>
    <t>58.08</t>
  </si>
  <si>
    <t>5.40</t>
  </si>
  <si>
    <t>13.976327</t>
  </si>
  <si>
    <t>107.992369</t>
  </si>
  <si>
    <t>52.68</t>
  </si>
  <si>
    <t>13.961506</t>
  </si>
  <si>
    <t>107.853484</t>
  </si>
  <si>
    <t>full_h04/Gia Lai/GE Mạng cấp III-IV Gia Lai Full v6.kmz/GE Mạng cấp III-IV Gia Lai Full/Mạng cấp III Gia Lai Full/Ring 3/TT2-Gia Lai-Ia Grai/Trung Thế</t>
  </si>
  <si>
    <t>Gia Lai#TTCMKV#IA Grai-Gia Lai#TTCMKV#Đức Cơ</t>
  </si>
  <si>
    <t>13.7939236</t>
  </si>
  <si>
    <t>107.672132</t>
  </si>
  <si>
    <t>Ia Grai- Đức Cơ</t>
  </si>
  <si>
    <t>12591.82</t>
  </si>
  <si>
    <t>12574.81</t>
  </si>
  <si>
    <t>13.878564</t>
  </si>
  <si>
    <t>107.774421</t>
  </si>
  <si>
    <t>17.01</t>
  </si>
  <si>
    <t>13.793872</t>
  </si>
  <si>
    <t>107.671984</t>
  </si>
  <si>
    <t>full_h04/Gia Lai/GE Mạng cấp III-IV Gia Lai Full v6.kmz/GE Mạng cấp III-IV Gia Lai Full/Mạng cấp III Gia Lai Full/Ring 3/Ia Grai- Đức Cơ/Trung Thế</t>
  </si>
  <si>
    <t>Gia Lai#TTCMKV#Đức Cơ-Gia Lai#TTCMKV#Chư Prông</t>
  </si>
  <si>
    <t>13.7626345</t>
  </si>
  <si>
    <t>107.899749</t>
  </si>
  <si>
    <t>Đức Cơ- Chư Prông</t>
  </si>
  <si>
    <t>1468.90</t>
  </si>
  <si>
    <t>26.32</t>
  </si>
  <si>
    <t>13.794121</t>
  </si>
  <si>
    <t>107.671998</t>
  </si>
  <si>
    <t>1442.59</t>
  </si>
  <si>
    <t>13.753993</t>
  </si>
  <si>
    <t>107.889787</t>
  </si>
  <si>
    <t>full_h04/Gia Lai/GE Mạng cấp III-IV Gia Lai Full v6.kmz/GE Mạng cấp III-IV Gia Lai Full/Mạng cấp III Gia Lai Full/Ring 3/Đức Cơ- Chư Prông/Trung Thế</t>
  </si>
  <si>
    <t>Gia Lai#TTCMKV#Chư Sê-GLPK65</t>
  </si>
  <si>
    <t>13.6921072</t>
  </si>
  <si>
    <t>108.0803548</t>
  </si>
  <si>
    <t>13.97583</t>
  </si>
  <si>
    <t>108.00695</t>
  </si>
  <si>
    <t>PC11A-Chư Sê</t>
  </si>
  <si>
    <t>20446.56</t>
  </si>
  <si>
    <t>10368.00</t>
  </si>
  <si>
    <t>13.784673</t>
  </si>
  <si>
    <t>108.068817</t>
  </si>
  <si>
    <t>10078.55</t>
  </si>
  <si>
    <t>13.887287</t>
  </si>
  <si>
    <t>108.026915</t>
  </si>
  <si>
    <t>full_h04/Gia Lai/GE Mạng cấp III-IV Gia Lai Full v6.kmz/GE Mạng cấp III-IV Gia Lai Full/Mạng cấp III Gia Lai Full/Cấp Phòng-Ban/PC11A-Chư Sê/Trung Thế</t>
  </si>
  <si>
    <t>GLCP04-Gia Lai#TTCMKV#Mang Yang</t>
  </si>
  <si>
    <t>14.19663</t>
  </si>
  <si>
    <t>107.96053</t>
  </si>
  <si>
    <t>14.0435123</t>
  </si>
  <si>
    <t>108.2541378</t>
  </si>
  <si>
    <t>Kon Gang - TTCMKV Mang Yang</t>
  </si>
  <si>
    <t>26005.05</t>
  </si>
  <si>
    <t>21076.90</t>
  </si>
  <si>
    <t>14.059809</t>
  </si>
  <si>
    <t>108.095805</t>
  </si>
  <si>
    <t>4928.14</t>
  </si>
  <si>
    <t>14.013227</t>
  </si>
  <si>
    <t>108.220785</t>
  </si>
  <si>
    <t>full_h04/Gia Lai/GE Mạng cấp III-IV Gia Lai Full v6.kmz/GE Mạng cấp III-IV Gia Lai Full/Mạng cấp IV  Gia Lai Full/Mạng 4 GLI-Ring 3/Ring 3/Kon Gang - TTCMKV Mang Yang/Kon Gang - TTCMKV Mang Yang - Trung Thế (1)</t>
  </si>
  <si>
    <t>Gia Lai#TTCMKV#Mang Yang-Gia Lai#TTCMKV#Đắk Pơ</t>
  </si>
  <si>
    <t>13.96791805</t>
  </si>
  <si>
    <t>108.5461278</t>
  </si>
  <si>
    <t>Đak Pơ- Mang Yang</t>
  </si>
  <si>
    <t>133.97</t>
  </si>
  <si>
    <t>115.06</t>
  </si>
  <si>
    <t>14.044458</t>
  </si>
  <si>
    <t>108.254570</t>
  </si>
  <si>
    <t>18.92</t>
  </si>
  <si>
    <t>13.967781</t>
  </si>
  <si>
    <t>108.546024</t>
  </si>
  <si>
    <t>full_h04/Gia Lai/GE Mạng cấp III-IV Gia Lai Full v6.kmz/GE Mạng cấp III-IV Gia Lai Full/Mạng cấp III Gia Lai Full/Ring 4/Đak Pơ- Mang Yang/Trung Thế</t>
  </si>
  <si>
    <t>GLPK65-GLPK20</t>
  </si>
  <si>
    <t>13.98685</t>
  </si>
  <si>
    <t>107.99047</t>
  </si>
  <si>
    <t>Mang Yang-TT2 Gia Lai</t>
  </si>
  <si>
    <t>1138.39</t>
  </si>
  <si>
    <t>24.56</t>
  </si>
  <si>
    <t>13.975977</t>
  </si>
  <si>
    <t>108.007120</t>
  </si>
  <si>
    <t>1113.83</t>
  </si>
  <si>
    <t>13.977303</t>
  </si>
  <si>
    <t>107.993594</t>
  </si>
  <si>
    <t>full_h04/Gia Lai/GE Mạng cấp III-IV Gia Lai Full v6.kmz/GE Mạng cấp III-IV Gia Lai Full/Mạng cấp III Gia Lai Full/Ring 4/Mang Yang-TT2 Gia Lai/Trung Thế</t>
  </si>
  <si>
    <t>GLPK20-GLPK68</t>
  </si>
  <si>
    <t>14.00268</t>
  </si>
  <si>
    <t>107.98805</t>
  </si>
  <si>
    <t>TT1 Gia Lai - TT2 Gia Lai (ring 1)</t>
  </si>
  <si>
    <t>264.29</t>
  </si>
  <si>
    <t>78.36</t>
  </si>
  <si>
    <t>13.986433</t>
  </si>
  <si>
    <t>107.991055</t>
  </si>
  <si>
    <t>185.93</t>
  </si>
  <si>
    <t>14.001015</t>
  </si>
  <si>
    <t>107.988205</t>
  </si>
  <si>
    <t>full_h04/Gia Lai/Mạng cấp 2 Gia Lai.kmz/Mạng cấp 2 Gia Lai/TT1 Gia Lai - TT2 Gia Lai (ring 1)/Trung thế 7</t>
  </si>
  <si>
    <t>GLPK68-Gia Lai#CAX#Thống Nhất</t>
  </si>
  <si>
    <t>14.018173</t>
  </si>
  <si>
    <t>107.9891159</t>
  </si>
  <si>
    <t>462.20</t>
  </si>
  <si>
    <t>14.019205</t>
  </si>
  <si>
    <t>107.991445</t>
  </si>
  <si>
    <t>Gia Lai#CAX#Thống Nhất-GLPK05</t>
  </si>
  <si>
    <t>14.02933</t>
  </si>
  <si>
    <t>107.98911</t>
  </si>
  <si>
    <t>418.31</t>
  </si>
  <si>
    <t>142.04</t>
  </si>
  <si>
    <t>14.030605</t>
  </si>
  <si>
    <t>107.989194</t>
  </si>
  <si>
    <t>GLPK65-GLPK51</t>
  </si>
  <si>
    <t>14.0286</t>
  </si>
  <si>
    <t>107.96494</t>
  </si>
  <si>
    <t>Pleiku - Biển Hồ</t>
  </si>
  <si>
    <t>4068.01</t>
  </si>
  <si>
    <t>1309.42</t>
  </si>
  <si>
    <t>13.987567</t>
  </si>
  <si>
    <t>108.005966</t>
  </si>
  <si>
    <t>2758.59</t>
  </si>
  <si>
    <t>14.025198</t>
  </si>
  <si>
    <t>107.990269</t>
  </si>
  <si>
    <t>full_h04/Gia Lai/GE Mạng cấp III-IV Gia Lai Full v6.kmz/GE Mạng cấp III-IV Gia Lai Full/Mạng cấp IV  Gia Lai Full/Mạng 4 GLI-Ring 3/Ring 3/Pleiku - Biển Hồ/Pleiku - Biển Hồ - Trung Thế (2)</t>
  </si>
  <si>
    <t>GLPK51-GLIG07</t>
  </si>
  <si>
    <t>14.04879</t>
  </si>
  <si>
    <t>107.9422</t>
  </si>
  <si>
    <t>Thống Nhất - Ia Hrung</t>
  </si>
  <si>
    <t>1706.42</t>
  </si>
  <si>
    <t>1432.45</t>
  </si>
  <si>
    <t>14.035219</t>
  </si>
  <si>
    <t>107.976332</t>
  </si>
  <si>
    <t>273.97</t>
  </si>
  <si>
    <t>14.050341</t>
  </si>
  <si>
    <t>107.944174</t>
  </si>
  <si>
    <t>full_h04/Gia Lai/GE Mạng cấp III-IV Gia Lai Full v6.kmz/GE Mạng cấp III-IV Gia Lai Full/Mạng cấp IV  Gia Lai Full/Mạng 4 GLI-Ring 2/Thống Nhất - Ia Hrung/Thống Nhất - Ia Hrung - Trung thế</t>
  </si>
  <si>
    <t>GLIG07-GLPK39</t>
  </si>
  <si>
    <t>14.04136</t>
  </si>
  <si>
    <t>107.97731</t>
  </si>
  <si>
    <t>518.11</t>
  </si>
  <si>
    <t>244.14</t>
  </si>
  <si>
    <t>14.041586</t>
  </si>
  <si>
    <t>107.975059</t>
  </si>
  <si>
    <t>GLPK39-GLPK05</t>
  </si>
  <si>
    <t>382.61</t>
  </si>
  <si>
    <t>138.47</t>
  </si>
  <si>
    <t>14.030574</t>
  </si>
  <si>
    <t>107.989164</t>
  </si>
  <si>
    <t>GLPK65-GLPK19</t>
  </si>
  <si>
    <t>13.99285</t>
  </si>
  <si>
    <t>108.03925</t>
  </si>
  <si>
    <t>2343.12</t>
  </si>
  <si>
    <t>2318.56</t>
  </si>
  <si>
    <t>13.979895</t>
  </si>
  <si>
    <t>108.056088</t>
  </si>
  <si>
    <t>GLPK19-GLPK73</t>
  </si>
  <si>
    <t>14.00258</t>
  </si>
  <si>
    <t>108.05047</t>
  </si>
  <si>
    <t>4795.52</t>
  </si>
  <si>
    <t>2476.96</t>
  </si>
  <si>
    <t>13.981914</t>
  </si>
  <si>
    <t>108.059037</t>
  </si>
  <si>
    <t>GLPK73-GLPK23</t>
  </si>
  <si>
    <t>14.03785</t>
  </si>
  <si>
    <t>108.01285</t>
  </si>
  <si>
    <t>5546.80</t>
  </si>
  <si>
    <t>5387.27</t>
  </si>
  <si>
    <t>14.038877</t>
  </si>
  <si>
    <t>108.017393</t>
  </si>
  <si>
    <t>159.53</t>
  </si>
  <si>
    <t>14.036513</t>
  </si>
  <si>
    <t>108.013386</t>
  </si>
  <si>
    <t>GLPK23-GLPK05</t>
  </si>
  <si>
    <t>301.57</t>
  </si>
  <si>
    <t>Gia Lai#TTCMKV#Đắk Pơ-Gia Lai#Phòng#Trại Giam Gia Trung</t>
  </si>
  <si>
    <t>14.06473</t>
  </si>
  <si>
    <t>108.33433</t>
  </si>
  <si>
    <t>Trại Giam Gia Trung-Đak Pơ</t>
  </si>
  <si>
    <t>6.28</t>
  </si>
  <si>
    <t>13.967899</t>
  </si>
  <si>
    <t>108.546073</t>
  </si>
  <si>
    <t>72.53</t>
  </si>
  <si>
    <t>14.064273</t>
  </si>
  <si>
    <t>108.334809</t>
  </si>
  <si>
    <t>full_h04/Gia Lai/GE Mạng cấp III-IV Gia Lai Full v6.kmz/GE Mạng cấp III-IV Gia Lai Full/Mạng cấp III Gia Lai Full/Cấp Phòng-Ban/Trại Giam Gia Trung-Đak Pơ/Trung Thế</t>
  </si>
  <si>
    <t>Gia Lai#Phòng#Trại Giam Gia Trung-Gia Lai#TTCMKV#Mang Yang</t>
  </si>
  <si>
    <t>Mang Yang- Trại Giam Gia Trung</t>
  </si>
  <si>
    <t>175.09</t>
  </si>
  <si>
    <t>20.66</t>
  </si>
  <si>
    <t>14.064811</t>
  </si>
  <si>
    <t>108.334502</t>
  </si>
  <si>
    <t>154.43</t>
  </si>
  <si>
    <t>14.042767</t>
  </si>
  <si>
    <t>108.255346</t>
  </si>
  <si>
    <t>full_h04/Gia Lai/GE Mạng cấp III-IV Gia Lai Full v6.kmz/GE Mạng cấp III-IV Gia Lai Full/Mạng cấp III Gia Lai Full/Cấp Phòng-Ban/Mang Yang- Trại Giam Gia Trung/Trung Thế</t>
  </si>
  <si>
    <t>Gia Lai#TTCMKV#Đắk Pơ-GLDP11</t>
  </si>
  <si>
    <t>13.93478</t>
  </si>
  <si>
    <t>108.60108</t>
  </si>
  <si>
    <t>An Khê-Đak Pơ</t>
  </si>
  <si>
    <t>2951.95</t>
  </si>
  <si>
    <t>23.10</t>
  </si>
  <si>
    <t>13.968123</t>
  </si>
  <si>
    <t>108.546165</t>
  </si>
  <si>
    <t>2928.85</t>
  </si>
  <si>
    <t>13.960168</t>
  </si>
  <si>
    <t>108.608309</t>
  </si>
  <si>
    <t>full_h04/Gia Lai/GE Mạng cấp III-IV Gia Lai Full v6.kmz/GE Mạng cấp III-IV Gia Lai Full/Mạng cấp III Gia Lai Full/Ring 4/An Khê-Đak Pơ/Trung Thế</t>
  </si>
  <si>
    <t>GLDP11-Gia Lai#CAX#An Bình</t>
  </si>
  <si>
    <t>13.959593</t>
  </si>
  <si>
    <t>108.614628</t>
  </si>
  <si>
    <t>2979.70</t>
  </si>
  <si>
    <t>2928.95</t>
  </si>
  <si>
    <t>13.960357</t>
  </si>
  <si>
    <t>108.607570</t>
  </si>
  <si>
    <t>50.74</t>
  </si>
  <si>
    <t>13.960000</t>
  </si>
  <si>
    <t>108.614415</t>
  </si>
  <si>
    <t>full_h04/Gia Lai/Mạng cấp 2 Gia Lai.kmz/Mạng cấp 2 Gia Lai/TT1 Gia Lai - TT2 Gia Lai (ring 1)/Trung thế 4</t>
  </si>
  <si>
    <t>Gia Lai#CAX#An Bình-GLAK03</t>
  </si>
  <si>
    <t>13.99493</t>
  </si>
  <si>
    <t>108.65478</t>
  </si>
  <si>
    <t>3332.81</t>
  </si>
  <si>
    <t>3282.06</t>
  </si>
  <si>
    <t>13.972889</t>
  </si>
  <si>
    <t>108.675011</t>
  </si>
  <si>
    <t>GLAK03-GLAK04</t>
  </si>
  <si>
    <t>14.09185</t>
  </si>
  <si>
    <t>108.66287</t>
  </si>
  <si>
    <t>Kông Bơ La - An Khê</t>
  </si>
  <si>
    <t>6482.91</t>
  </si>
  <si>
    <t>368.26</t>
  </si>
  <si>
    <t>13.998237</t>
  </si>
  <si>
    <t>108.654970</t>
  </si>
  <si>
    <t>6114.65</t>
  </si>
  <si>
    <t>14.038970</t>
  </si>
  <si>
    <t>108.647316</t>
  </si>
  <si>
    <t>full_h04/Gia Lai/GE Mạng cấp III-IV Gia Lai Full v6.kmz/GE Mạng cấp III-IV Gia Lai Full/Mạng cấp IV  Gia Lai Full/Mạng 4 GLI-Ring 15/Gia Lai Ring 15/Kông Bơ La - An Khê/Kông Bơ La - An Khê - trung thế</t>
  </si>
  <si>
    <t>GLAK04-Gia Lai#TTCMKV#Mang Yang</t>
  </si>
  <si>
    <t>13242.18</t>
  </si>
  <si>
    <t>13096.00</t>
  </si>
  <si>
    <t>13.976487</t>
  </si>
  <si>
    <t>108.687316</t>
  </si>
  <si>
    <t>146.18</t>
  </si>
  <si>
    <t>14.042709</t>
  </si>
  <si>
    <t>108.255210</t>
  </si>
  <si>
    <t>Gia Lai#TTCMKV#Đắk Pơ-Gia Lai#TTCMKV#An Khê</t>
  </si>
  <si>
    <t>13.95355968</t>
  </si>
  <si>
    <t>108.6551369</t>
  </si>
  <si>
    <t>42.13</t>
  </si>
  <si>
    <t>19.02</t>
  </si>
  <si>
    <t>13.953626</t>
  </si>
  <si>
    <t>108.654975</t>
  </si>
  <si>
    <t>Gia Lai#TTCMKV#An Khê-GLAK17</t>
  </si>
  <si>
    <t>13.97183</t>
  </si>
  <si>
    <t>108.67151</t>
  </si>
  <si>
    <t>Cửu An - TTCMKV An Khê</t>
  </si>
  <si>
    <t>218.60</t>
  </si>
  <si>
    <t>58.97</t>
  </si>
  <si>
    <t>13.953217</t>
  </si>
  <si>
    <t>108.655554</t>
  </si>
  <si>
    <t>159.63</t>
  </si>
  <si>
    <t>13.971009</t>
  </si>
  <si>
    <t>108.672723</t>
  </si>
  <si>
    <t>full_h04/Gia Lai/GE Mạng cấp III-IV Gia Lai Full v6.kmz/GE Mạng cấp III-IV Gia Lai Full/Mạng cấp IV  Gia Lai Full/Mạng 4 GLI-Ring 16/Gia Lai Ring 16/Cửu An - TTCMKV An Khê/Cửu An - TTCMKV An Khê - trung thế</t>
  </si>
  <si>
    <t>GLAK17-GLAK02</t>
  </si>
  <si>
    <t>13.97381</t>
  </si>
  <si>
    <t>108.67932</t>
  </si>
  <si>
    <t>269.01</t>
  </si>
  <si>
    <t>109.38</t>
  </si>
  <si>
    <t>13.974591</t>
  </si>
  <si>
    <t>108.678703</t>
  </si>
  <si>
    <t>GLAK02-Gia Lai#CAX#Cửu An</t>
  </si>
  <si>
    <t>13.97773</t>
  </si>
  <si>
    <t>108.71429</t>
  </si>
  <si>
    <t>380.28</t>
  </si>
  <si>
    <t>189.46</t>
  </si>
  <si>
    <t>13.974348</t>
  </si>
  <si>
    <t>108.677654</t>
  </si>
  <si>
    <t>190.81</t>
  </si>
  <si>
    <t>13.979367</t>
  </si>
  <si>
    <t>108.713758</t>
  </si>
  <si>
    <t>Gia Lai#CAX#Cửu An-GLAK10</t>
  </si>
  <si>
    <t>14.00313</t>
  </si>
  <si>
    <t>108.68961</t>
  </si>
  <si>
    <t>Kbang - Cửu An</t>
  </si>
  <si>
    <t>1085.99</t>
  </si>
  <si>
    <t>594.55</t>
  </si>
  <si>
    <t>13.980578</t>
  </si>
  <si>
    <t>108.709626</t>
  </si>
  <si>
    <t>491.44</t>
  </si>
  <si>
    <t>14.003221</t>
  </si>
  <si>
    <t>108.694164</t>
  </si>
  <si>
    <t>full_h04/Gia Lai/GE Mạng cấp III-IV Gia Lai Full v6.kmz/GE Mạng cấp III-IV Gia Lai Full/Mạng cấp IV  Gia Lai Full/Mạng 4 GLI-Ring 16/Gia Lai Ring 16/Kbang - Cửu An/Kbang - Cửu An - trung thế</t>
  </si>
  <si>
    <t>GLAK10-GLDP02</t>
  </si>
  <si>
    <t>13.97861</t>
  </si>
  <si>
    <t>108.52669</t>
  </si>
  <si>
    <t>3222.98</t>
  </si>
  <si>
    <t>2913.87</t>
  </si>
  <si>
    <t>13.977430</t>
  </si>
  <si>
    <t>108.694885</t>
  </si>
  <si>
    <t>309.11</t>
  </si>
  <si>
    <t>13.975898</t>
  </si>
  <si>
    <t>108.527321</t>
  </si>
  <si>
    <t>GLDP02-TTCMKV Mang Yang</t>
  </si>
  <si>
    <t>432.25</t>
  </si>
  <si>
    <t>317.19</t>
  </si>
  <si>
    <t>13.975923</t>
  </si>
  <si>
    <t>108.527676</t>
  </si>
  <si>
    <t>GLPK65-GLPK13</t>
  </si>
  <si>
    <t>13.97138</t>
  </si>
  <si>
    <t>108.03329</t>
  </si>
  <si>
    <t>63.01</t>
  </si>
  <si>
    <t>38.45</t>
  </si>
  <si>
    <t>13.971126</t>
  </si>
  <si>
    <t>108.033049</t>
  </si>
  <si>
    <t>GLPK13-GLPK09</t>
  </si>
  <si>
    <t>13.97904</t>
  </si>
  <si>
    <t>108.05569</t>
  </si>
  <si>
    <t>82.10</t>
  </si>
  <si>
    <t>43.65</t>
  </si>
  <si>
    <t>13.978845</t>
  </si>
  <si>
    <t>108.055339</t>
  </si>
  <si>
    <t>GLPK09-GLPK41</t>
  </si>
  <si>
    <t>13.9588</t>
  </si>
  <si>
    <t>108.07334</t>
  </si>
  <si>
    <t>2364.96</t>
  </si>
  <si>
    <t>2321.31</t>
  </si>
  <si>
    <t>13.979399</t>
  </si>
  <si>
    <t>108.069846</t>
  </si>
  <si>
    <t>GLPK41-GLPK64</t>
  </si>
  <si>
    <t>13.98039</t>
  </si>
  <si>
    <t>108.07653</t>
  </si>
  <si>
    <t>Ia băng - Đăk Đoa</t>
  </si>
  <si>
    <t>170.90</t>
  </si>
  <si>
    <t>41.41</t>
  </si>
  <si>
    <t>13.959146</t>
  </si>
  <si>
    <t>108.073198</t>
  </si>
  <si>
    <t>129.48</t>
  </si>
  <si>
    <t>13.981231</t>
  </si>
  <si>
    <t>108.077360</t>
  </si>
  <si>
    <t>full_h04/Gia Lai/GE Mạng cấp III-IV Gia Lai Full v6.kmz/GE Mạng cấp III-IV Gia Lai Full/Mạng cấp IV  Gia Lai Full/Mạng 4 GLI-Ring 4/Ring 4/Ia băng - Đăk Đoa/Ia băng - Đăk Đoa - Trung thế (2)</t>
  </si>
  <si>
    <t>GLPK64-GLPK07</t>
  </si>
  <si>
    <t>13.98773</t>
  </si>
  <si>
    <t>108.08733</t>
  </si>
  <si>
    <t>230.25</t>
  </si>
  <si>
    <t>100.76</t>
  </si>
  <si>
    <t>13.986910</t>
  </si>
  <si>
    <t>108.087727</t>
  </si>
  <si>
    <t>GLPK07-Đắk Đoa</t>
  </si>
  <si>
    <t>13.99314</t>
  </si>
  <si>
    <t>108.11892</t>
  </si>
  <si>
    <t>305.72</t>
  </si>
  <si>
    <t>97.47</t>
  </si>
  <si>
    <t>13.987262</t>
  </si>
  <si>
    <t>108.088094</t>
  </si>
  <si>
    <t>13.993990</t>
  </si>
  <si>
    <t>108.120640</t>
  </si>
  <si>
    <t>GLPK65-Gia Lai#Phòng#K02 (D1/E20)</t>
  </si>
  <si>
    <t>13.93667</t>
  </si>
  <si>
    <t>108.00833</t>
  </si>
  <si>
    <t>TT2 Gia Lai- Chư Sê</t>
  </si>
  <si>
    <t>1581.40</t>
  </si>
  <si>
    <t>1489.29</t>
  </si>
  <si>
    <t>13.973366</t>
  </si>
  <si>
    <t>107.993383</t>
  </si>
  <si>
    <t>92.11</t>
  </si>
  <si>
    <t>13.936449</t>
  </si>
  <si>
    <t>108.009153</t>
  </si>
  <si>
    <t>full_h04/Gia Lai/GE Mạng cấp III-IV Gia Lai Full v6.kmz/GE Mạng cấp III-IV Gia Lai Full/Mạng cấp III Gia Lai Full/Ring 4/TT2 Gia Lai- Chư Sê/Trung Thế</t>
  </si>
  <si>
    <t>Gia Lai#Phòng#K02 (D1/E20)-TTCMKV Hàm Rồng</t>
  </si>
  <si>
    <t>13.88617</t>
  </si>
  <si>
    <t>108.01423</t>
  </si>
  <si>
    <t>Gia Lai#TTCMKV#Hàm Rồng-Gia Lai#CAX#Ia Băng</t>
  </si>
  <si>
    <t>13.8934722</t>
  </si>
  <si>
    <t>108.0485</t>
  </si>
  <si>
    <t>Hội Phú - Ia Băng</t>
  </si>
  <si>
    <t>1202.42</t>
  </si>
  <si>
    <t>1147.16</t>
  </si>
  <si>
    <t>13.894146</t>
  </si>
  <si>
    <t>108.020970</t>
  </si>
  <si>
    <t>55.26</t>
  </si>
  <si>
    <t>13.893011</t>
  </si>
  <si>
    <t>108.048691</t>
  </si>
  <si>
    <t>full_h04/Gia Lai/GE Mạng cấp III-IV Gia Lai Full v6.kmz/GE Mạng cấp III-IV Gia Lai Full/Mạng cấp IV  Gia Lai Full/Mạng 4 GLI-Ring 4/Ring 4/Hội Phú - Ia Băng/Hội phú - Ia băng - trung thế (4)</t>
  </si>
  <si>
    <t>Gia Lai#CAX#Ia Băng-GLDD21</t>
  </si>
  <si>
    <t>13.87852</t>
  </si>
  <si>
    <t>108.1274</t>
  </si>
  <si>
    <t>8465.38</t>
  </si>
  <si>
    <t>91.29</t>
  </si>
  <si>
    <t>13.893615</t>
  </si>
  <si>
    <t>108.049333</t>
  </si>
  <si>
    <t>8374.08</t>
  </si>
  <si>
    <t>13.898093</t>
  </si>
  <si>
    <t>108.052488</t>
  </si>
  <si>
    <t>GLDD21-GLDD08</t>
  </si>
  <si>
    <t>13.95218</t>
  </si>
  <si>
    <t>108.13621</t>
  </si>
  <si>
    <t>Kdang - Bờ Ngoong</t>
  </si>
  <si>
    <t>7545.01</t>
  </si>
  <si>
    <t>2967.63</t>
  </si>
  <si>
    <t>13.871776</t>
  </si>
  <si>
    <t>108.153998</t>
  </si>
  <si>
    <t>4577.39</t>
  </si>
  <si>
    <t>13.951296</t>
  </si>
  <si>
    <t>108.178617</t>
  </si>
  <si>
    <t>full_h04/Gia Lai/GE Mạng cấp III-IV Gia Lai Full v6.kmz/GE Mạng cấp III-IV Gia Lai Full/Mạng cấp IV  Gia Lai Full/Mạng 4 GLI-Ring 11/Ring 11/Kdang - Bờ Ngoong/Kdang - Bờ Ngoong - trung thế</t>
  </si>
  <si>
    <t>GLDD08-Gia Lai#CAX#Đăk Đoa</t>
  </si>
  <si>
    <t>13.9952541</t>
  </si>
  <si>
    <t>108.1132199</t>
  </si>
  <si>
    <t>TT2 Gia Lai - TT1 Gia Lai (ring 2)</t>
  </si>
  <si>
    <t>4020.75</t>
  </si>
  <si>
    <t>3980.29</t>
  </si>
  <si>
    <t>13.985671</t>
  </si>
  <si>
    <t>108.149232</t>
  </si>
  <si>
    <t>40.46</t>
  </si>
  <si>
    <t>13.994993</t>
  </si>
  <si>
    <t>108.113481</t>
  </si>
  <si>
    <t>full_h04/Gia Lai/Mạng cấp 2 Gia Lai.kmz/Mạng cấp 2 Gia Lai/TT2 Gia Lai - TT1 Gia Lai (ring 2)/Trung thế 1</t>
  </si>
  <si>
    <t>Gia Lai#CAX#Đăk Đoa-Gia Lai#CAX#KDang</t>
  </si>
  <si>
    <t>13.999352</t>
  </si>
  <si>
    <t>108.174187</t>
  </si>
  <si>
    <t>110.63</t>
  </si>
  <si>
    <t>70.17</t>
  </si>
  <si>
    <t>13.998816</t>
  </si>
  <si>
    <t>108.173844</t>
  </si>
  <si>
    <t>Gia Lai#CAX#KDang-GLDD02</t>
  </si>
  <si>
    <t>14.00637</t>
  </si>
  <si>
    <t>108.20633</t>
  </si>
  <si>
    <t>218.32</t>
  </si>
  <si>
    <t>148.14</t>
  </si>
  <si>
    <t>14.006960</t>
  </si>
  <si>
    <t>108.207561</t>
  </si>
  <si>
    <t>GLDD02-GLMY12</t>
  </si>
  <si>
    <t>13.98383</t>
  </si>
  <si>
    <t>108.23298</t>
  </si>
  <si>
    <t>TTCMKV Mang Yang - Lơ Pang</t>
  </si>
  <si>
    <t>2501.33</t>
  </si>
  <si>
    <t>2197.52</t>
  </si>
  <si>
    <t>14.006282</t>
  </si>
  <si>
    <t>108.226698</t>
  </si>
  <si>
    <t>303.82</t>
  </si>
  <si>
    <t>13.985979</t>
  </si>
  <si>
    <t>108.231241</t>
  </si>
  <si>
    <t>full_h04/Gia Lai/GE Mạng cấp III-IV Gia Lai Full v6.kmz/GE Mạng cấp III-IV Gia Lai Full/Mạng cấp IV  Gia Lai Full/Mạng 4 GLI-Ring 12/Gia Lai Ring 12/TTCMKV Mang Yang - Lơ Pang/TTCMKV Mang Yang - Lơ Pang - trung thế</t>
  </si>
  <si>
    <t>GLMY12-Gia Lai#TTCMKV#Mang Yang</t>
  </si>
  <si>
    <t>14.0416</t>
  </si>
  <si>
    <t>108.25279</t>
  </si>
  <si>
    <t>371.77</t>
  </si>
  <si>
    <t>67.95</t>
  </si>
  <si>
    <t>14.041244</t>
  </si>
  <si>
    <t>108.253302</t>
  </si>
  <si>
    <t>GLCP04-GLCP05</t>
  </si>
  <si>
    <t>14.14036</t>
  </si>
  <si>
    <t>107.95247</t>
  </si>
  <si>
    <t>Ia Ly - Ia Khươi</t>
  </si>
  <si>
    <t>8729.14</t>
  </si>
  <si>
    <t>1270.10</t>
  </si>
  <si>
    <t>14.207778</t>
  </si>
  <si>
    <t>107.957964</t>
  </si>
  <si>
    <t>7459.04</t>
  </si>
  <si>
    <t>14.207379</t>
  </si>
  <si>
    <t>107.955442</t>
  </si>
  <si>
    <t>full_h04/Gia Lai/GE Mạng cấp III-IV Gia Lai Full v6.kmz/GE Mạng cấp III-IV Gia Lai Full/Mạng cấp IV  Gia Lai Full/Mạng 4 GLI-Ring 5/Ring 5/Ia Ly - Ia Khươi/Ia Ly- Ia Khươi - trung thế (5)</t>
  </si>
  <si>
    <t>GLCP05-GLCP10</t>
  </si>
  <si>
    <t>14.067</t>
  </si>
  <si>
    <t>107.98912</t>
  </si>
  <si>
    <t>TT2 Gia Lai - Chư Pah</t>
  </si>
  <si>
    <t>4707.56</t>
  </si>
  <si>
    <t>4632.51</t>
  </si>
  <si>
    <t>14.101617</t>
  </si>
  <si>
    <t>107.968264</t>
  </si>
  <si>
    <t>75.05</t>
  </si>
  <si>
    <t>14.066876</t>
  </si>
  <si>
    <t>107.988436</t>
  </si>
  <si>
    <t>full_h04/Gia Lai/GE Mạng cấp III-IV Gia Lai Full v6.kmz/GE Mạng cấp III-IV Gia Lai Full/Mạng cấp IV  Gia Lai Full/Mạng 4 GLI-Ring 5/Ring 5/TT2 Gia Lai - Chư Pah/TT2 Pleiku - Chư Pah - Trung thế</t>
  </si>
  <si>
    <t>GLCP10-GLPK65</t>
  </si>
  <si>
    <t>5274.73</t>
  </si>
  <si>
    <t>3745.36</t>
  </si>
  <si>
    <t>14.034194</t>
  </si>
  <si>
    <t>107.996991</t>
  </si>
  <si>
    <t>1529.36</t>
  </si>
  <si>
    <t>13.976551</t>
  </si>
  <si>
    <t>107.992796</t>
  </si>
  <si>
    <t>GLCP04-Gia Lai#CAX#Ia Ly</t>
  </si>
  <si>
    <t>14.17063</t>
  </si>
  <si>
    <t>107.86704</t>
  </si>
  <si>
    <t>4785.63</t>
  </si>
  <si>
    <t>3515.53</t>
  </si>
  <si>
    <t>14.191354</t>
  </si>
  <si>
    <t>107.891666</t>
  </si>
  <si>
    <t>Gia Lai#CAX#Ia Ly-Gia Lai#CAX#Ia Phí</t>
  </si>
  <si>
    <t>14.208291</t>
  </si>
  <si>
    <t>107.8373984</t>
  </si>
  <si>
    <t>14.13502</t>
  </si>
  <si>
    <t>107.89</t>
  </si>
  <si>
    <t>Ia Phí - Ia Ly</t>
  </si>
  <si>
    <t>52.14</t>
  </si>
  <si>
    <t>14.208135</t>
  </si>
  <si>
    <t>107.837262</t>
  </si>
  <si>
    <t>29.41</t>
  </si>
  <si>
    <t>14.135236</t>
  </si>
  <si>
    <t>107.889842</t>
  </si>
  <si>
    <t>full_h04/Gia Lai/GE Mạng cấp III-IV Gia Lai Full v6.kmz/GE Mạng cấp III-IV Gia Lai Full/Mạng cấp IV  Gia Lai Full/Mạng 4 GLI-Ring 5/Ring 5/Ia Phí - Ia Ly/Ia Phí - Ia Ly- Trung thế</t>
  </si>
  <si>
    <t>Gia Lai#CAX#Ia Phí-GLPK05</t>
  </si>
  <si>
    <t>5408.00</t>
  </si>
  <si>
    <t>5269.53</t>
  </si>
  <si>
    <t>14.088619</t>
  </si>
  <si>
    <t>107.899932</t>
  </si>
  <si>
    <t>GLCP04-Gia Lai#CAX#Ia Khươl</t>
  </si>
  <si>
    <t>14.216556</t>
  </si>
  <si>
    <t>108.046714</t>
  </si>
  <si>
    <t>1331.42</t>
  </si>
  <si>
    <t>14.216975</t>
  </si>
  <si>
    <t>108.047084</t>
  </si>
  <si>
    <t>Gia Lai#CAX#Ia Khươl-Gia Lai#CAX#Đăk Sơ Mei</t>
  </si>
  <si>
    <t>14.1682339</t>
  </si>
  <si>
    <t>108.140328</t>
  </si>
  <si>
    <t>Ia Khơi - Đăk Sơ Mei</t>
  </si>
  <si>
    <t>166.22</t>
  </si>
  <si>
    <t>118.24</t>
  </si>
  <si>
    <t>14.216224</t>
  </si>
  <si>
    <t>108.047756</t>
  </si>
  <si>
    <t>47.97</t>
  </si>
  <si>
    <t>14.167803</t>
  </si>
  <si>
    <t>108.140305</t>
  </si>
  <si>
    <t>full_h04/Gia Lai/GE Mạng cấp III-IV Gia Lai Full v6.kmz/GE Mạng cấp III-IV Gia Lai Full/Mạng cấp IV  Gia Lai Full/Mạng 4 GLI-Ring 5/Ring 5/Ia Khơi - Đăk Sơ Mei/Ia Khơi - Đăk Sơ Mei - trung thế (1)</t>
  </si>
  <si>
    <t>Gia Lai#CAX#Đăk Sơ Mei-GLDD06</t>
  </si>
  <si>
    <t>108.1403277</t>
  </si>
  <si>
    <t>14.10531</t>
  </si>
  <si>
    <t>108.11626</t>
  </si>
  <si>
    <t>7302.62</t>
  </si>
  <si>
    <t>7254.65</t>
  </si>
  <si>
    <t>14.167959</t>
  </si>
  <si>
    <t>108.135043</t>
  </si>
  <si>
    <t>GLDD06-Gia Lai#CAX#Kon Gang</t>
  </si>
  <si>
    <t>14.05867</t>
  </si>
  <si>
    <t>108.08603</t>
  </si>
  <si>
    <t>5644.61</t>
  </si>
  <si>
    <t>5367.47</t>
  </si>
  <si>
    <t>14.057991</t>
  </si>
  <si>
    <t>108.106424</t>
  </si>
  <si>
    <t>277.14</t>
  </si>
  <si>
    <t>14.061106</t>
  </si>
  <si>
    <t>108.086575</t>
  </si>
  <si>
    <t>full_h04/Gia Lai/Mạng cấp 2 Gia Lai.kmz/Mạng cấp 2 Gia Lai/TT1 Gia Lai - TT2 Gia Lai (ring 1)/Trung thế 6</t>
  </si>
  <si>
    <t>Gia Lai#CAX#Kon Gang-GLPK05</t>
  </si>
  <si>
    <t>14.0596025</t>
  </si>
  <si>
    <t>108.0953193</t>
  </si>
  <si>
    <t>5606.16</t>
  </si>
  <si>
    <t>5464.12</t>
  </si>
  <si>
    <t>14.060465</t>
  </si>
  <si>
    <t>108.044669</t>
  </si>
  <si>
    <t>GLPK65-GLPK18</t>
  </si>
  <si>
    <t>13.96026</t>
  </si>
  <si>
    <t>108.00501</t>
  </si>
  <si>
    <t>TT2 Gia Lai - Hội Phú</t>
  </si>
  <si>
    <t>191.73</t>
  </si>
  <si>
    <t>23.05</t>
  </si>
  <si>
    <t>13.976027</t>
  </si>
  <si>
    <t>108.007015</t>
  </si>
  <si>
    <t>168.68</t>
  </si>
  <si>
    <t>13.961100</t>
  </si>
  <si>
    <t>108.006312</t>
  </si>
  <si>
    <t>full_h04/Gia Lai/GE Mạng cấp III-IV Gia Lai Full v6.kmz/GE Mạng cấp III-IV Gia Lai Full/Mạng cấp IV  Gia Lai Full/Mạng 4 GLI-Ring 4/Ring 4/TT2 Gia Lai - Hội Phú/TT Gia Lai - Hội Phú - Trung thế</t>
  </si>
  <si>
    <t>Gia Lai#CAX#Ia Dom-Gia Lai#CAX#Ia O</t>
  </si>
  <si>
    <t>13.7748964</t>
  </si>
  <si>
    <t>107.6078117</t>
  </si>
  <si>
    <t>13.9606325</t>
  </si>
  <si>
    <t>107.531486</t>
  </si>
  <si>
    <t>IaO - Ia CHia</t>
  </si>
  <si>
    <t>18527.27</t>
  </si>
  <si>
    <t>12654.67</t>
  </si>
  <si>
    <t>13.885251</t>
  </si>
  <si>
    <t>107.636459</t>
  </si>
  <si>
    <t>5872.60</t>
  </si>
  <si>
    <t>13.929046</t>
  </si>
  <si>
    <t>107.575099</t>
  </si>
  <si>
    <t>full_h04/Gia Lai/GE Mạng cấp III-IV Gia Lai Full v6.kmz/GE Mạng cấp III-IV Gia Lai Full/Mạng cấp IV  Gia Lai Full/Mạng 4 GLI-Ring 6/Ring 6/IaO - Ia CHia/Ia O - Ia Chía - trung thế (4)</t>
  </si>
  <si>
    <t>Gia Lai#CAX#Ia O-GLIG17</t>
  </si>
  <si>
    <t>107.5314856</t>
  </si>
  <si>
    <t>13.9657</t>
  </si>
  <si>
    <t>107.59383</t>
  </si>
  <si>
    <t>Ia Krai - Ia O</t>
  </si>
  <si>
    <t>147.36</t>
  </si>
  <si>
    <t>40.08</t>
  </si>
  <si>
    <t>13.960522</t>
  </si>
  <si>
    <t>107.531839</t>
  </si>
  <si>
    <t>107.27</t>
  </si>
  <si>
    <t>13.966328</t>
  </si>
  <si>
    <t>107.593076</t>
  </si>
  <si>
    <t>full_h04/Gia Lai/GE Mạng cấp III-IV Gia Lai Full v6.kmz/GE Mạng cấp III-IV Gia Lai Full/Mạng cấp IV  Gia Lai Full/Mạng 4 GLI-Ring 6/Ring 6/Ia Krai - Ia O/IaKrai - Ia O - trung thế (1)</t>
  </si>
  <si>
    <t>GLIG17-Gia Lai#CAX#Ia Krái</t>
  </si>
  <si>
    <t>13.9387732</t>
  </si>
  <si>
    <t>107.750114</t>
  </si>
  <si>
    <t>153.76</t>
  </si>
  <si>
    <t>46.48</t>
  </si>
  <si>
    <t>13.939035</t>
  </si>
  <si>
    <t>107.749778</t>
  </si>
  <si>
    <t>Gia Lai#CAX#Ia Krái-Gia Lai#TTCMKV#IA Grai</t>
  </si>
  <si>
    <t>107.7501136</t>
  </si>
  <si>
    <t>107.853898</t>
  </si>
  <si>
    <t>TTCMKV IaGrai - Ia Krai</t>
  </si>
  <si>
    <t>110.68</t>
  </si>
  <si>
    <t>44.04</t>
  </si>
  <si>
    <t>13.939026</t>
  </si>
  <si>
    <t>107.749799</t>
  </si>
  <si>
    <t>13.960853</t>
  </si>
  <si>
    <t>107.853440</t>
  </si>
  <si>
    <t>full_h04/Gia Lai/GE Mạng cấp III-IV Gia Lai Full v6.kmz/GE Mạng cấp III-IV Gia Lai Full/Mạng cấp IV  Gia Lai Full/Mạng 4 GLI-Ring 6/Ring 6/TTCMKV IaGrai - Ia Krai/TTCMKV IaGrai - Ia Krai - trung thế (1)</t>
  </si>
  <si>
    <t>Gia Lai#CAX#Ia Dom-Gia Lai#TTCMKV#Đức Cơ</t>
  </si>
  <si>
    <t>TTCMKV Đức Cơ - Ia Dom</t>
  </si>
  <si>
    <t>119.52</t>
  </si>
  <si>
    <t>37.67</t>
  </si>
  <si>
    <t>13.775201</t>
  </si>
  <si>
    <t>107.607965</t>
  </si>
  <si>
    <t>13.794485</t>
  </si>
  <si>
    <t>107.671642</t>
  </si>
  <si>
    <t>full_h04/Gia Lai/GE Mạng cấp III-IV Gia Lai Full v6.kmz/GE Mạng cấp III-IV Gia Lai Full/Mạng cấp IV  Gia Lai Full/Mạng 4 GLI-Ring 7/Ring 7/TTCMKV Đức Cơ - Ia Dom/RRCMKV Đức Cơ - Ia Đom - Trung thế (1)</t>
  </si>
  <si>
    <t>Gia Lai#TTCMKV#Đức Cơ-Gia Lai#CAX#Ia Chía</t>
  </si>
  <si>
    <t>13.88775</t>
  </si>
  <si>
    <t>107.64673</t>
  </si>
  <si>
    <t>Ia Chía - Ia Đơk</t>
  </si>
  <si>
    <t>3571.66</t>
  </si>
  <si>
    <t>3541.62</t>
  </si>
  <si>
    <t>13.825709</t>
  </si>
  <si>
    <t>107.674227</t>
  </si>
  <si>
    <t>30.05</t>
  </si>
  <si>
    <t>13.887543</t>
  </si>
  <si>
    <t>107.646909</t>
  </si>
  <si>
    <t>full_h04/Gia Lai/GE Mạng cấp III-IV Gia Lai Full v6.kmz/GE Mạng cấp III-IV Gia Lai Full/Mạng cấp IV  Gia Lai Full/Mạng 4 GLI-Ring 6/Ring 6/Ia Chía - Ia Đơk/Ia Chía - Ia Đơk - trung thế (1)</t>
  </si>
  <si>
    <t>Gia Lai#CAX#Ia Chía-Gia Lai#CAX#Ia Krái</t>
  </si>
  <si>
    <t>6623.12</t>
  </si>
  <si>
    <t>6593.07</t>
  </si>
  <si>
    <t>13.909033</t>
  </si>
  <si>
    <t>107.697266</t>
  </si>
  <si>
    <t>GLPK65-Gia Lai#CAX#Diên Hồng</t>
  </si>
  <si>
    <t>13.9671232</t>
  </si>
  <si>
    <t>107.991858</t>
  </si>
  <si>
    <t>826.93</t>
  </si>
  <si>
    <t>803.88</t>
  </si>
  <si>
    <t>13.974234</t>
  </si>
  <si>
    <t>107.993201</t>
  </si>
  <si>
    <t>Gia Lai#CAX#Diên Hồng-GLIG06</t>
  </si>
  <si>
    <t>107.9918578</t>
  </si>
  <si>
    <t>13.97257</t>
  </si>
  <si>
    <t>107.95655</t>
  </si>
  <si>
    <t>767.47</t>
  </si>
  <si>
    <t>466.06</t>
  </si>
  <si>
    <t>13.967959</t>
  </si>
  <si>
    <t>107.987626</t>
  </si>
  <si>
    <t>301.41</t>
  </si>
  <si>
    <t>13.974388</t>
  </si>
  <si>
    <t>107.958622</t>
  </si>
  <si>
    <t>GLIG06-GLIG20</t>
  </si>
  <si>
    <t>13.99223</t>
  </si>
  <si>
    <t>107.84574</t>
  </si>
  <si>
    <t>3818.44</t>
  </si>
  <si>
    <t>3517.02</t>
  </si>
  <si>
    <t>GLIG20-Gia Lai#TTCMKV#IA Grai</t>
  </si>
  <si>
    <t>Ia Hrung - IaGrai</t>
  </si>
  <si>
    <t>244.99</t>
  </si>
  <si>
    <t>140.53</t>
  </si>
  <si>
    <t>13.991307</t>
  </si>
  <si>
    <t>107.844850</t>
  </si>
  <si>
    <t>104.46</t>
  </si>
  <si>
    <t>13.960895</t>
  </si>
  <si>
    <t>107.853004</t>
  </si>
  <si>
    <t>full_h04/Gia Lai/GE Mạng cấp III-IV Gia Lai Full v6.kmz/GE Mạng cấp III-IV Gia Lai Full/Mạng cấp IV  Gia Lai Full/Mạng 4 GLI-Ring 2/Ia Hrung - IaGrai/Ia Hrung - Ia Grai - Trung thế</t>
  </si>
  <si>
    <t>GLPK18-Gia Lai#TTCMKV#Hàm Rồng</t>
  </si>
  <si>
    <t>Hàm Rồng-Gia Lai</t>
  </si>
  <si>
    <t>1548.69</t>
  </si>
  <si>
    <t>1336.62</t>
  </si>
  <si>
    <t>13.951223</t>
  </si>
  <si>
    <t>108.013178</t>
  </si>
  <si>
    <t>212.07</t>
  </si>
  <si>
    <t>13.887101</t>
  </si>
  <si>
    <t>108.012516</t>
  </si>
  <si>
    <t>full_h04/Gia Lai/GE Mạng cấp III-IV Gia Lai Full v6.kmz/GE Mạng cấp III-IV Gia Lai Full/Mạng cấp III Gia Lai Full/Ring 3/Hàm Rồng-Gia Lai/Trung Thế</t>
  </si>
  <si>
    <t>Gia Lai#TTCMKV#Hàm Rồng-GLPK71</t>
  </si>
  <si>
    <t>13.87287</t>
  </si>
  <si>
    <t>107.97798</t>
  </si>
  <si>
    <t>Chư Pưh- Hàm Rồng</t>
  </si>
  <si>
    <t>2641.26</t>
  </si>
  <si>
    <t>252.47</t>
  </si>
  <si>
    <t>13.886499</t>
  </si>
  <si>
    <t>108.011916</t>
  </si>
  <si>
    <t>2388.78</t>
  </si>
  <si>
    <t>13.865929</t>
  </si>
  <si>
    <t>107.998921</t>
  </si>
  <si>
    <t>full_h04/Gia Lai/GE Mạng cấp III-IV Gia Lai Full v6.kmz/GE Mạng cấp III-IV Gia Lai Full/Mạng cấp III Gia Lai Full/Ring 3/Chư Pưh- Hàm Rồng/Trung Thế</t>
  </si>
  <si>
    <t>GLPK71-Gia Lai#CAX#Gào</t>
  </si>
  <si>
    <t>13.8853211</t>
  </si>
  <si>
    <t>107.909577</t>
  </si>
  <si>
    <t>TT2 - Gào</t>
  </si>
  <si>
    <t>5355.94</t>
  </si>
  <si>
    <t>5168.46</t>
  </si>
  <si>
    <t>13.904756</t>
  </si>
  <si>
    <t>107.943142</t>
  </si>
  <si>
    <t>187.48</t>
  </si>
  <si>
    <t>13.885977</t>
  </si>
  <si>
    <t>107.911177</t>
  </si>
  <si>
    <t>full_h04/Gia Lai/GE Mạng cấp III-IV Gia Lai Full v6.kmz/GE Mạng cấp III-IV Gia Lai Full/Mạng cấp IV  Gia Lai Full/Mạng 4 GLI-Ring 1/TT2 - Gào/TT2-Gào - Trụ VNPT</t>
  </si>
  <si>
    <t>Gia Lai#CAX#Gào-Gia Lai#TTCMKV#TT2 Gia Lai</t>
  </si>
  <si>
    <t>107.9095765</t>
  </si>
  <si>
    <t>107.992396</t>
  </si>
  <si>
    <t>7246.97</t>
  </si>
  <si>
    <t>7183.85</t>
  </si>
  <si>
    <t>13.936211</t>
  </si>
  <si>
    <t>107.950580</t>
  </si>
  <si>
    <t>63.11</t>
  </si>
  <si>
    <t>13.976847</t>
  </si>
  <si>
    <t>107.992482</t>
  </si>
  <si>
    <t>full_h04/Gia Lai/GE Mạng cấp III-IV Gia Lai Full v6.kmz/GE Mạng cấp III-IV Gia Lai Full/Mạng cấp IV  Gia Lai Full/Mạng 4 GLI-Ring 1/TT2 - Gào/TT2 - Gào - Trung thế (1)</t>
  </si>
  <si>
    <t>GLPK65-GLPK11</t>
  </si>
  <si>
    <t>13.97127</t>
  </si>
  <si>
    <t>108.00814</t>
  </si>
  <si>
    <t>54.70</t>
  </si>
  <si>
    <t>31.64</t>
  </si>
  <si>
    <t>13.971400</t>
  </si>
  <si>
    <t>108.007879</t>
  </si>
  <si>
    <t>GLPK11-Gia Lai#CAX#Bàu Cạn</t>
  </si>
  <si>
    <t>13.820454</t>
  </si>
  <si>
    <t>107.871178</t>
  </si>
  <si>
    <t>Gào - Bàu Cạn</t>
  </si>
  <si>
    <t>14384.79</t>
  </si>
  <si>
    <t>14273.21</t>
  </si>
  <si>
    <t>13.884423</t>
  </si>
  <si>
    <t>107.910754</t>
  </si>
  <si>
    <t>111.58</t>
  </si>
  <si>
    <t>13.819451</t>
  </si>
  <si>
    <t>107.871175</t>
  </si>
  <si>
    <t>full_h04/Gia Lai/GE Mạng cấp III-IV Gia Lai Full v6.kmz/GE Mạng cấp III-IV Gia Lai Full/Mạng cấp IV  Gia Lai Full/Mạng 4 GLI-Ring 1/Gào - Bàu Cạn/Gào - Bàu Cạn - Trung Thế</t>
  </si>
  <si>
    <t>Gia Lai#CAX#Bàu Cạn-Gia Lai#CAX#Ia Krêl</t>
  </si>
  <si>
    <t>13.8357305</t>
  </si>
  <si>
    <t>107.791749</t>
  </si>
  <si>
    <t>Bàu Cạn-Ia Krel</t>
  </si>
  <si>
    <t>143.20</t>
  </si>
  <si>
    <t>86.81</t>
  </si>
  <si>
    <t>13.821220</t>
  </si>
  <si>
    <t>107.871024</t>
  </si>
  <si>
    <t>56.39</t>
  </si>
  <si>
    <t>13.836179</t>
  </si>
  <si>
    <t>107.791993</t>
  </si>
  <si>
    <t>full_h04/Gia Lai/GE Mạng cấp III-IV Gia Lai Full v6.kmz/GE Mạng cấp III-IV Gia Lai Full/Mạng cấp IV  Gia Lai Full/Mạng 4 GLI-Ring 1/Bàu Cạn-Ia Krel/Bàu Cạn - Ia Krel - Trung Thế</t>
  </si>
  <si>
    <t>Gia Lai#CAX#Ia Krêl-Gia Lai#TTCMKV#Đức Cơ</t>
  </si>
  <si>
    <t>107.7917492</t>
  </si>
  <si>
    <t>62.21</t>
  </si>
  <si>
    <t>45.19</t>
  </si>
  <si>
    <t>13.836130</t>
  </si>
  <si>
    <t>107.791674</t>
  </si>
  <si>
    <t>Gia Lai#TTCMKV#Đức Cơ-Gia Lai#CAX#Ia Dom</t>
  </si>
  <si>
    <t>107.607812</t>
  </si>
  <si>
    <t>37.66</t>
  </si>
  <si>
    <t>GLPK65-GLCR35</t>
  </si>
  <si>
    <t>13.82101</t>
  </si>
  <si>
    <t>107.94535</t>
  </si>
  <si>
    <t>13011.60</t>
  </si>
  <si>
    <t>11522.31</t>
  </si>
  <si>
    <t>13.898295</t>
  </si>
  <si>
    <t>108.016447</t>
  </si>
  <si>
    <t>GLCR35-GLCR08</t>
  </si>
  <si>
    <t>13.74548</t>
  </si>
  <si>
    <t>107.85749</t>
  </si>
  <si>
    <t>7012.61</t>
  </si>
  <si>
    <t>6905.54</t>
  </si>
  <si>
    <t>13.816597</t>
  </si>
  <si>
    <t>107.881558</t>
  </si>
  <si>
    <t>107.07</t>
  </si>
  <si>
    <t>13.744860</t>
  </si>
  <si>
    <t>107.858248</t>
  </si>
  <si>
    <t>GLCR08-Gia Lai#TTCMKV#Chư Prông</t>
  </si>
  <si>
    <t>13.7539414</t>
  </si>
  <si>
    <t>107.88993</t>
  </si>
  <si>
    <t>123.58</t>
  </si>
  <si>
    <t>16.51</t>
  </si>
  <si>
    <t>Gia Lai#TTCMKV#Chư Prông-Gia Lai#TTCMKV#Chư Prông</t>
  </si>
  <si>
    <t>107.8899295</t>
  </si>
  <si>
    <t>TTCMKV Chư Prông - Chư Prông</t>
  </si>
  <si>
    <t>107.93</t>
  </si>
  <si>
    <t>41.87</t>
  </si>
  <si>
    <t>13.753618</t>
  </si>
  <si>
    <t>107.889730</t>
  </si>
  <si>
    <t>66.06</t>
  </si>
  <si>
    <t>13.762046</t>
  </si>
  <si>
    <t>107.899835</t>
  </si>
  <si>
    <t>full_h04/Gia Lai/GE Mạng cấp III-IV Gia Lai Full v6.kmz/GE Mạng cấp III-IV Gia Lai Full/Mạng cấp IV  Gia Lai Full/Mạng 4 GLI-Ring 9/Ring 9/TTCMKV Chư Prông - Chư Prông/TTCMKV Chư Prông - Chư Prông - trung thế</t>
  </si>
  <si>
    <t>Gia Lai#TTCMKV#Chư Sê-GLCS25</t>
  </si>
  <si>
    <t>13.70529</t>
  </si>
  <si>
    <t>108.09058</t>
  </si>
  <si>
    <t>85.79</t>
  </si>
  <si>
    <t>1.02</t>
  </si>
  <si>
    <t>13.692099</t>
  </si>
  <si>
    <t>108.080351</t>
  </si>
  <si>
    <t>84.76</t>
  </si>
  <si>
    <t>13.705873</t>
  </si>
  <si>
    <t>108.091086</t>
  </si>
  <si>
    <t>GLCS25-GLCS03</t>
  </si>
  <si>
    <t>13.7604</t>
  </si>
  <si>
    <t>108.02576</t>
  </si>
  <si>
    <t>2092.34</t>
  </si>
  <si>
    <t>1823.86</t>
  </si>
  <si>
    <t>13.698165</t>
  </si>
  <si>
    <t>108.075373</t>
  </si>
  <si>
    <t>268.48</t>
  </si>
  <si>
    <t>13.762463</t>
  </si>
  <si>
    <t>108.027052</t>
  </si>
  <si>
    <t>GLCS03-GLCR23</t>
  </si>
  <si>
    <t>13.79168</t>
  </si>
  <si>
    <t>108.00144</t>
  </si>
  <si>
    <t>Chư Prông-Chư Pưh</t>
  </si>
  <si>
    <t>1205.16</t>
  </si>
  <si>
    <t>1179.93</t>
  </si>
  <si>
    <t>13.768655</t>
  </si>
  <si>
    <t>108.018895</t>
  </si>
  <si>
    <t>13.791882</t>
  </si>
  <si>
    <t>108.001333</t>
  </si>
  <si>
    <t>full_h04/Gia Lai/GE Mạng cấp III-IV Gia Lai Full v6.kmz/GE Mạng cấp III-IV Gia Lai Full/Mạng cấp III Gia Lai Full/Ring 3/Chư Prông-Chư Pưh/Trung Thế</t>
  </si>
  <si>
    <t>GLCR23-Gia Lai#TTCMKV#Chư Prông</t>
  </si>
  <si>
    <t>1240.25</t>
  </si>
  <si>
    <t>1215.01</t>
  </si>
  <si>
    <t>13.751874</t>
  </si>
  <si>
    <t>107.897792</t>
  </si>
  <si>
    <t>Gia Lai#TTCMKV#Chư Sê-Gia Lai#CAX#Ia Hrú</t>
  </si>
  <si>
    <t>13.617902</t>
  </si>
  <si>
    <t>108.114372</t>
  </si>
  <si>
    <t>628.36</t>
  </si>
  <si>
    <t>232.19</t>
  </si>
  <si>
    <t>13.691159</t>
  </si>
  <si>
    <t>108.078440</t>
  </si>
  <si>
    <t>396.17</t>
  </si>
  <si>
    <t>13.618996</t>
  </si>
  <si>
    <t>108.110883</t>
  </si>
  <si>
    <t>Gia Lai#CAX#Ia Hrú-Gia Lai#CAX#Ia Lâu</t>
  </si>
  <si>
    <t>13.4835272</t>
  </si>
  <si>
    <t>107.872873</t>
  </si>
  <si>
    <t>Ia Ko - Ia Hrú</t>
  </si>
  <si>
    <t>18414.50</t>
  </si>
  <si>
    <t>120.53</t>
  </si>
  <si>
    <t>13.618595</t>
  </si>
  <si>
    <t>108.113514</t>
  </si>
  <si>
    <t>18293.96</t>
  </si>
  <si>
    <t>13.584393</t>
  </si>
  <si>
    <t>108.006560</t>
  </si>
  <si>
    <t>full_h04/Gia Lai/GE Mạng cấp III-IV Gia Lai Full v6.kmz/GE Mạng cấp III-IV Gia Lai Full/Mạng cấp IV  Gia Lai Full/Mạng 4 GLI-Ring 9/Ring 9/Ia Ko - Ia Hrú/Ia Ko - Ia Hrú - trung thế</t>
  </si>
  <si>
    <t>Gia Lai#CAX#Ia Lâu-Gia Lai#CAX#Ia Pia</t>
  </si>
  <si>
    <t>107.8728733</t>
  </si>
  <si>
    <t>13.595279</t>
  </si>
  <si>
    <t>107.88952</t>
  </si>
  <si>
    <t>Ia Mơ - Ia Lâu</t>
  </si>
  <si>
    <t>2268.50</t>
  </si>
  <si>
    <t>79.53</t>
  </si>
  <si>
    <t>13.484057</t>
  </si>
  <si>
    <t>107.872379</t>
  </si>
  <si>
    <t>2188.96</t>
  </si>
  <si>
    <t>13.581787</t>
  </si>
  <si>
    <t>107.874772</t>
  </si>
  <si>
    <t>full_h04/Gia Lai/GE Mạng cấp III-IV Gia Lai Full v6.kmz/GE Mạng cấp III-IV Gia Lai Full/Mạng cấp IV  Gia Lai Full/Mạng 4 GLI-Ring 8/Ring 8/Ia Mơ - Ia Lâu/Ia Mơ - Ia Lâu - Trung thế (1)</t>
  </si>
  <si>
    <t>Gia Lai#CAX#Ia Pia-GLCR10</t>
  </si>
  <si>
    <t>13.63252</t>
  </si>
  <si>
    <t>107.92644</t>
  </si>
  <si>
    <t>TTCMKV Chư Prong - IaPia</t>
  </si>
  <si>
    <t>3301.58</t>
  </si>
  <si>
    <t>29.09</t>
  </si>
  <si>
    <t>13.595531</t>
  </si>
  <si>
    <t>107.889447</t>
  </si>
  <si>
    <t>3272.50</t>
  </si>
  <si>
    <t>13.617354</t>
  </si>
  <si>
    <t>107.900488</t>
  </si>
  <si>
    <t>full_h04/Gia Lai/GE Mạng cấp III-IV Gia Lai Full v6.kmz/GE Mạng cấp III-IV Gia Lai Full/Mạng cấp IV  Gia Lai Full/Mạng 4 GLI-Ring 8/Ring 8/TTCMKV Chư Prong - IaPia/TTCMKV CHư Prong - Ia Pia - Trung thế (3)</t>
  </si>
  <si>
    <t>GLCR10-Gia Lai#TTCMKV#Chư Prông</t>
  </si>
  <si>
    <t>Ia Tôr - Ia Ko</t>
  </si>
  <si>
    <t>6517.31</t>
  </si>
  <si>
    <t>237.67</t>
  </si>
  <si>
    <t>13.633530</t>
  </si>
  <si>
    <t>107.924501</t>
  </si>
  <si>
    <t>6279.65</t>
  </si>
  <si>
    <t>13.724773</t>
  </si>
  <si>
    <t>107.942887</t>
  </si>
  <si>
    <t>full_h04/Gia Lai/GE Mạng cấp III-IV Gia Lai Full v6.kmz/GE Mạng cấp III-IV Gia Lai Full/Mạng cấp IV  Gia Lai Full/Mạng 4 GLI-Ring 9/Ring 9/Ia Tôr - Ia Ko/Ia Tôr - Ia Ko - trung thế</t>
  </si>
  <si>
    <t>Gia Lai#TTCMKV#Chư Sê-GLCS04</t>
  </si>
  <si>
    <t>13.69198</t>
  </si>
  <si>
    <t>108.02816</t>
  </si>
  <si>
    <t>456.16</t>
  </si>
  <si>
    <t>223.98</t>
  </si>
  <si>
    <t>13.693994</t>
  </si>
  <si>
    <t>108.028186</t>
  </si>
  <si>
    <t>GLCS04-Gia Lai#CAX#Ia Ko</t>
  </si>
  <si>
    <t>13.5848889</t>
  </si>
  <si>
    <t>108.007278</t>
  </si>
  <si>
    <t>9567.81</t>
  </si>
  <si>
    <t>9473.77</t>
  </si>
  <si>
    <t>13.736822</t>
  </si>
  <si>
    <t>107.953590</t>
  </si>
  <si>
    <t>94.04</t>
  </si>
  <si>
    <t>13.585607</t>
  </si>
  <si>
    <t>108.006819</t>
  </si>
  <si>
    <t>Gia Lai#CAX#Ia Ko-Gia Lai#TTCMKV#Chư Prông</t>
  </si>
  <si>
    <t>108.0072778</t>
  </si>
  <si>
    <t>6373.67</t>
  </si>
  <si>
    <t>94.03</t>
  </si>
  <si>
    <t>GLPK65-GLCS15</t>
  </si>
  <si>
    <t>13.84691</t>
  </si>
  <si>
    <t>108.05511</t>
  </si>
  <si>
    <t>8565.05</t>
  </si>
  <si>
    <t>7075.76</t>
  </si>
  <si>
    <t>GLCS15-Gia Lai#CAX#Bờ Ngoong</t>
  </si>
  <si>
    <t>13.831107</t>
  </si>
  <si>
    <t>108.12114</t>
  </si>
  <si>
    <t>6999.57</t>
  </si>
  <si>
    <t>116.25</t>
  </si>
  <si>
    <t>13.846434</t>
  </si>
  <si>
    <t>108.054151</t>
  </si>
  <si>
    <t>6883.32</t>
  </si>
  <si>
    <t>13.833928</t>
  </si>
  <si>
    <t>108.057454</t>
  </si>
  <si>
    <t>Gia Lai#CAX#Bờ Ngoong-Gia Lai#CAX#AlBá</t>
  </si>
  <si>
    <t>13.737267</t>
  </si>
  <si>
    <t>108.118538</t>
  </si>
  <si>
    <t>Bờ Ngoong - AlBá</t>
  </si>
  <si>
    <t>117.19</t>
  </si>
  <si>
    <t>68.22</t>
  </si>
  <si>
    <t>13.830571</t>
  </si>
  <si>
    <t>108.121448</t>
  </si>
  <si>
    <t>48.97</t>
  </si>
  <si>
    <t>13.737549</t>
  </si>
  <si>
    <t>108.118886</t>
  </si>
  <si>
    <t>full_h04/Gia Lai/GE Mạng cấp III-IV Gia Lai Full v6.kmz/GE Mạng cấp III-IV Gia Lai Full/Mạng cấp IV  Gia Lai Full/Mạng 4 GLI-Ring 11/Ring 11/Bờ Ngoong - AlBá/Bờ Ngoong - AlBá - trung thế</t>
  </si>
  <si>
    <t>Gia Lai#CAX#AlBá-GLCS17</t>
  </si>
  <si>
    <t>13.57916</t>
  </si>
  <si>
    <t>108.22801</t>
  </si>
  <si>
    <t>TTCMKV Chư Sê - Chư A Thai</t>
  </si>
  <si>
    <t>6605.23</t>
  </si>
  <si>
    <t>6358.92</t>
  </si>
  <si>
    <t>13.682983</t>
  </si>
  <si>
    <t>108.100022</t>
  </si>
  <si>
    <t>246.31</t>
  </si>
  <si>
    <t>13.580524</t>
  </si>
  <si>
    <t>108.229806</t>
  </si>
  <si>
    <t>full_h04/Gia Lai/GE Mạng cấp III-IV Gia Lai Full v6.kmz/GE Mạng cấp III-IV Gia Lai Full/Mạng cấp IV  Gia Lai Full/Mạng 4 GLI-Ring 10/Ring 10/TTCMKV Chư Sê - Chư A Thai/TTCMKV Chư Sê - Chư A Thai - trung thế</t>
  </si>
  <si>
    <t>GLCS17-Gia Lai#TTCMKV#Chư Sê</t>
  </si>
  <si>
    <t>108.080355</t>
  </si>
  <si>
    <t>Chư Sê- Phú Thiện</t>
  </si>
  <si>
    <t>260.69</t>
  </si>
  <si>
    <t>260.23</t>
  </si>
  <si>
    <t>13.580659</t>
  </si>
  <si>
    <t>108.229859</t>
  </si>
  <si>
    <t>0.46</t>
  </si>
  <si>
    <t>13.692111</t>
  </si>
  <si>
    <t>full_h04/Gia Lai/GE Mạng cấp III-IV Gia Lai Full v6.kmz/GE Mạng cấp III-IV Gia Lai Full/Mạng cấp III Gia Lai Full/Ring 4/Chư Sê- Phú Thiện/Trung Thế</t>
  </si>
  <si>
    <t>Bình Định#TTCMKV#TT1 Gia Lai-BDQN31</t>
  </si>
  <si>
    <t>13.76939</t>
  </si>
  <si>
    <t>109.2254849</t>
  </si>
  <si>
    <t>13.7519</t>
  </si>
  <si>
    <t>109.2103</t>
  </si>
  <si>
    <t>CA Công an tỉnh - Quy Nhơn Nam</t>
  </si>
  <si>
    <t>617.98</t>
  </si>
  <si>
    <t>112.08</t>
  </si>
  <si>
    <t>13.770323</t>
  </si>
  <si>
    <t>109.225879</t>
  </si>
  <si>
    <t>505.91</t>
  </si>
  <si>
    <t>13.755694</t>
  </si>
  <si>
    <t>109.207715</t>
  </si>
  <si>
    <t>full_h04/Gia Lai/GE Mạng cấp III-IV Gia Lai Full v6.kmz/GE Mạng cấp III-IV Gia Lai Full/Mạng cấp IV  Gia Lai Full/Mạng 4 BD - Ring 1/CA Công an tỉnh - Quy Nhơn Nam/cot trung the</t>
  </si>
  <si>
    <t>Bình Định#TTCMKV#Phù Mỹ-BDHN33</t>
  </si>
  <si>
    <t>14.16886</t>
  </si>
  <si>
    <t>109.0487385</t>
  </si>
  <si>
    <t>14.42824</t>
  </si>
  <si>
    <t>109.0102</t>
  </si>
  <si>
    <t>Phù Mỹ-  Hoài Ân</t>
  </si>
  <si>
    <t>9379.42</t>
  </si>
  <si>
    <t>18.49</t>
  </si>
  <si>
    <t>14.168985</t>
  </si>
  <si>
    <t>109.048852</t>
  </si>
  <si>
    <t>9360.93</t>
  </si>
  <si>
    <t>14.358561</t>
  </si>
  <si>
    <t>108.961426</t>
  </si>
  <si>
    <t>full_h04/Gia Lai/GE Mạng cấp III-IV Gia Lai Full v6.kmz/GE Mạng cấp III-IV Gia Lai Full/Mạng cấp III Gia Lai Full/Ring 1/Phù Mỹ-  Hoài Ân/Trung Thế</t>
  </si>
  <si>
    <t>Bình Định#TTCMKV#Hoài Ân-BDHN15</t>
  </si>
  <si>
    <t>14.36452</t>
  </si>
  <si>
    <t>108.968381</t>
  </si>
  <si>
    <t>14.5565</t>
  </si>
  <si>
    <t>109.0452</t>
  </si>
  <si>
    <t>Hoài Nhơn Đông - TTCMKV Hoài Ân</t>
  </si>
  <si>
    <t>9256.55</t>
  </si>
  <si>
    <t>76.98</t>
  </si>
  <si>
    <t>14.364764</t>
  </si>
  <si>
    <t>108.967712</t>
  </si>
  <si>
    <t>9179.58</t>
  </si>
  <si>
    <t>14.481485</t>
  </si>
  <si>
    <t>109.080802</t>
  </si>
  <si>
    <t>full_h04/Gia Lai/GE Mạng cấp III-IV Gia Lai Full v6.kmz/GE Mạng cấp III-IV Gia Lai Full/Mạng cấp IV  Gia Lai Full/Mạng 4 BD - Ring 12/Hoài Nhơn Đông - TTCMKV Hoài Ân/Hoài Nhơn Đông - TTCMKV Hoài Ân_Trung thế</t>
  </si>
  <si>
    <t>Bình Định#Phòng#PX05-BDQN90</t>
  </si>
  <si>
    <t>13.77005</t>
  </si>
  <si>
    <t>109.2322336</t>
  </si>
  <si>
    <t>13.76778</t>
  </si>
  <si>
    <t>109.223</t>
  </si>
  <si>
    <t>PX05 - Khối CQ CSĐT</t>
  </si>
  <si>
    <t>346.01</t>
  </si>
  <si>
    <t>24.06</t>
  </si>
  <si>
    <t>13.769836</t>
  </si>
  <si>
    <t>109.232201</t>
  </si>
  <si>
    <t>321.95</t>
  </si>
  <si>
    <t>13.765346</t>
  </si>
  <si>
    <t>109.224615</t>
  </si>
  <si>
    <t>full_h04/Gia Lai/GE Mạng cấp III-IV Gia Lai Full v6.kmz/GE Mạng cấp III-IV Gia Lai Full/Mạng cấp III Gia Lai Full/Cấp Phòng-Ban/PX05 - Khối CQ CSĐT/Trung thế</t>
  </si>
  <si>
    <t>Bình Định#Phòng#Khối CQ CSĐT-BDQN90</t>
  </si>
  <si>
    <t>13.75707</t>
  </si>
  <si>
    <t>109.2123978</t>
  </si>
  <si>
    <t>Khối CQ CSĐT - PA07 cũ</t>
  </si>
  <si>
    <t>617.19</t>
  </si>
  <si>
    <t>25.32</t>
  </si>
  <si>
    <t>13.756923</t>
  </si>
  <si>
    <t>109.212577</t>
  </si>
  <si>
    <t>591.87</t>
  </si>
  <si>
    <t>13.769770</t>
  </si>
  <si>
    <t>109.217917</t>
  </si>
  <si>
    <t>full_h04/Gia Lai/GE Mạng cấp III-IV Gia Lai Full v6.kmz/GE Mạng cấp III-IV Gia Lai Full/Mạng cấp III Gia Lai Full/Cấp Phòng-Ban/Khối CQ CSĐT - PA07 cũ/Trung thế</t>
  </si>
  <si>
    <t>Bình Định#Phòng#PA07 cũ-BDQN91</t>
  </si>
  <si>
    <t>13.77738</t>
  </si>
  <si>
    <t>109.2299261</t>
  </si>
  <si>
    <t>13.77927</t>
  </si>
  <si>
    <t>109.2358</t>
  </si>
  <si>
    <t>631.03</t>
  </si>
  <si>
    <t>22.69</t>
  </si>
  <si>
    <t>13.777423</t>
  </si>
  <si>
    <t>109.230131</t>
  </si>
  <si>
    <t>608.34</t>
  </si>
  <si>
    <t>13.777979</t>
  </si>
  <si>
    <t>109.230326</t>
  </si>
  <si>
    <t>Bình Định#Phòng#PC06-BDQN74</t>
  </si>
  <si>
    <t>13.772</t>
  </si>
  <si>
    <t>109.2269848</t>
  </si>
  <si>
    <t>13.77784</t>
  </si>
  <si>
    <t>109.2224</t>
  </si>
  <si>
    <t>76.78</t>
  </si>
  <si>
    <t>37.59</t>
  </si>
  <si>
    <t>13.771952</t>
  </si>
  <si>
    <t>109.226640</t>
  </si>
  <si>
    <t>39.19</t>
  </si>
  <si>
    <t>13.777645</t>
  </si>
  <si>
    <t>109.222702</t>
  </si>
  <si>
    <t>full_h04/Gia Lai/Mạng cấp 2 Gia Lai.kmz/Mạng cấp 2 Gia Lai/TT1 Gia Lai - TT2 Gia Lai (ring 1)/Trung thế</t>
  </si>
  <si>
    <t>Bình Định#Phòng#PC07-BDQN24</t>
  </si>
  <si>
    <t>13.76858</t>
  </si>
  <si>
    <t>109.2239418</t>
  </si>
  <si>
    <t>13.76533</t>
  </si>
  <si>
    <t>109.2248</t>
  </si>
  <si>
    <t>249.66</t>
  </si>
  <si>
    <t>237.98</t>
  </si>
  <si>
    <t>13.769006</t>
  </si>
  <si>
    <t>109.226101</t>
  </si>
  <si>
    <t>13.765398</t>
  </si>
  <si>
    <t>109.224717</t>
  </si>
  <si>
    <t>full_h04/Gia Lai/Mạng cấp 2 Gia Lai.kmz/Mạng cấp 2 Gia Lai/TT2 Gia Lai - TT1 Gia Lai (ring 2)/Trung thế 8</t>
  </si>
  <si>
    <t>Bình Định#Phòng#PK02-BDQN62</t>
  </si>
  <si>
    <t>13.77064</t>
  </si>
  <si>
    <t>109.2255873</t>
  </si>
  <si>
    <t>13.7771</t>
  </si>
  <si>
    <t>109.2254</t>
  </si>
  <si>
    <t>CA Tỉnh - Tuy Phước</t>
  </si>
  <si>
    <t>152.21</t>
  </si>
  <si>
    <t>44.90</t>
  </si>
  <si>
    <t>13.770341</t>
  </si>
  <si>
    <t>109.225867</t>
  </si>
  <si>
    <t>107.31</t>
  </si>
  <si>
    <t>13.777872</t>
  </si>
  <si>
    <t>109.225996</t>
  </si>
  <si>
    <t>full_h04/Gia Lai/GE Mạng cấp III-IV Gia Lai Full v6.kmz/GE Mạng cấp III-IV Gia Lai Full/Mạng cấp IV  Gia Lai Full/Mạng 4 BD - Ring 6/CA Tỉnh - Tuy Phước/trung thế</t>
  </si>
  <si>
    <t>Bình Định#Phòng#PC08-BDQN63</t>
  </si>
  <si>
    <t>13.7951</t>
  </si>
  <si>
    <t>109.1577011</t>
  </si>
  <si>
    <t>13.74809</t>
  </si>
  <si>
    <t>109.1526</t>
  </si>
  <si>
    <t>Quy Nhơn Tây - CA Công an tỉnh</t>
  </si>
  <si>
    <t>207.63</t>
  </si>
  <si>
    <t>111.78</t>
  </si>
  <si>
    <t>13.794098</t>
  </si>
  <si>
    <t>109.157620</t>
  </si>
  <si>
    <t>95.85</t>
  </si>
  <si>
    <t>13.748125</t>
  </si>
  <si>
    <t>109.151713</t>
  </si>
  <si>
    <t>full_h04/Gia Lai/GE Mạng cấp III-IV Gia Lai Full v6.kmz/GE Mạng cấp III-IV Gia Lai Full/Mạng cấp IV  Gia Lai Full/Mạng 4 BD - Ring 2/Quy Nhơn Tây - CA Công an tỉnh/trung thế</t>
  </si>
  <si>
    <t>Bình Định#Phòng#PC11B-BDQN58</t>
  </si>
  <si>
    <t>13.74903</t>
  </si>
  <si>
    <t>109.162724</t>
  </si>
  <si>
    <t>13.79408</t>
  </si>
  <si>
    <t>109.1541</t>
  </si>
  <si>
    <t>PC08 - PC11B</t>
  </si>
  <si>
    <t>451.96</t>
  </si>
  <si>
    <t>310.54</t>
  </si>
  <si>
    <t>13.748995</t>
  </si>
  <si>
    <t>109.159849</t>
  </si>
  <si>
    <t>141.42</t>
  </si>
  <si>
    <t>13.793902</t>
  </si>
  <si>
    <t>109.152803</t>
  </si>
  <si>
    <t>full_h04/Gia Lai/GE Mạng cấp III-IV Gia Lai Full v6.kmz/GE Mạng cấp III-IV Gia Lai Full/Mạng cấp III Gia Lai Full/Cấp Phòng-Ban/PC08 - PC11B/Trung thế</t>
  </si>
  <si>
    <t>Bình Định#Phòng#K02 (E23)-BDQN65</t>
  </si>
  <si>
    <t>13.74405</t>
  </si>
  <si>
    <t>109.163519</t>
  </si>
  <si>
    <t>13.78744</t>
  </si>
  <si>
    <t>109.1403</t>
  </si>
  <si>
    <t>1481.16</t>
  </si>
  <si>
    <t>677.58</t>
  </si>
  <si>
    <t>13.748989</t>
  </si>
  <si>
    <t>109.159845</t>
  </si>
  <si>
    <t>803.57</t>
  </si>
  <si>
    <t>13.788163</t>
  </si>
  <si>
    <t>109.147704</t>
  </si>
  <si>
    <t>Bình Định#Phòng#Cảng hàng không Phù Cát-BDAN06</t>
  </si>
  <si>
    <t>13.95354</t>
  </si>
  <si>
    <t>109.0481003</t>
  </si>
  <si>
    <t>13.93485</t>
  </si>
  <si>
    <t>109.1442</t>
  </si>
  <si>
    <t>An Nhơn Bắc - TTCMKV An Nhơn</t>
  </si>
  <si>
    <t>6987.97</t>
  </si>
  <si>
    <t>2127.31</t>
  </si>
  <si>
    <t>13.947566</t>
  </si>
  <si>
    <t>109.066828</t>
  </si>
  <si>
    <t>4860.65</t>
  </si>
  <si>
    <t>13.902282</t>
  </si>
  <si>
    <t>109.114161</t>
  </si>
  <si>
    <t>full_h04/Gia Lai/GE Mạng cấp III-IV Gia Lai Full v6.kmz/GE Mạng cấp III-IV Gia Lai Full/Mạng cấp IV  Gia Lai Full/Mạng 4 BD - Ring 5/An Nhơn Bắc - TTCMKV An Nhơn/trung thế</t>
  </si>
  <si>
    <t>Bình Định#Phòng#Cơ sở cai nghiện ma tuý (PC04)-BDQN63</t>
  </si>
  <si>
    <t>13.74934</t>
  </si>
  <si>
    <t>109.147798</t>
  </si>
  <si>
    <t>Cơ sở cai nghiện ma tuý (PC04) - TT1 Gia Lai (Quy nhơn)_v1</t>
  </si>
  <si>
    <t>323.24</t>
  </si>
  <si>
    <t>11.23</t>
  </si>
  <si>
    <t>13.749268</t>
  </si>
  <si>
    <t>109.147871</t>
  </si>
  <si>
    <t>312.01</t>
  </si>
  <si>
    <t>13.745321</t>
  </si>
  <si>
    <t>109.152135</t>
  </si>
  <si>
    <t>full_h04/Gia Lai/GE Mạng cấp III-IV Gia Lai Full v6.kmz/GE Mạng cấp III-IV Gia Lai Full/Mạng cấp III Gia Lai Full/Cấp Phòng-Ban/Cơ sở cai nghiện ma tuý (PC04) - TT1 Gia Lai (Quy nhơn)_v1/Trung thế</t>
  </si>
  <si>
    <t>Bình Định#CAX#Quy Nhơn-BDQN23</t>
  </si>
  <si>
    <t>13.76577</t>
  </si>
  <si>
    <t>109.224477</t>
  </si>
  <si>
    <t>13.76071</t>
  </si>
  <si>
    <t>109.2154</t>
  </si>
  <si>
    <t>608.79</t>
  </si>
  <si>
    <t>543.43</t>
  </si>
  <si>
    <t>13.762913</t>
  </si>
  <si>
    <t>109.220394</t>
  </si>
  <si>
    <t>65.36</t>
  </si>
  <si>
    <t>13.760818</t>
  </si>
  <si>
    <t>109.215995</t>
  </si>
  <si>
    <t>Bình Định#CAX#Quy Nhơn Nam-BDQN_newsite1</t>
  </si>
  <si>
    <t>13.75546</t>
  </si>
  <si>
    <t>109.207434</t>
  </si>
  <si>
    <t>13.7443</t>
  </si>
  <si>
    <t>109.21</t>
  </si>
  <si>
    <t>Quy Nhơn Nam - Quy Nhơn</t>
  </si>
  <si>
    <t>1255.91</t>
  </si>
  <si>
    <t>3.07</t>
  </si>
  <si>
    <t>13.755448</t>
  </si>
  <si>
    <t>109.207408</t>
  </si>
  <si>
    <t>1252.83</t>
  </si>
  <si>
    <t>13.755341</t>
  </si>
  <si>
    <t>109.207690</t>
  </si>
  <si>
    <t>full_h04/Gia Lai/GE Mạng cấp III-IV Gia Lai Full v6.kmz/GE Mạng cấp III-IV Gia Lai Full/Mạng cấp IV  Gia Lai Full/Mạng 4 BD - Ring 1/Quy Nhơn Nam - Quy Nhơn/tự trồng</t>
  </si>
  <si>
    <t>Bình Định#CAX#Quy Nhơn Bắc-BDQN58</t>
  </si>
  <si>
    <t>13.78606</t>
  </si>
  <si>
    <t>109.1486</t>
  </si>
  <si>
    <t>146.41</t>
  </si>
  <si>
    <t>138.49</t>
  </si>
  <si>
    <t>13.784830</t>
  </si>
  <si>
    <t>109.148399</t>
  </si>
  <si>
    <t>7.91</t>
  </si>
  <si>
    <t>13.794009</t>
  </si>
  <si>
    <t>109.154094</t>
  </si>
  <si>
    <t>Bình Định#CAX#Quy Nhơn Tây-BDQN56</t>
  </si>
  <si>
    <t>13.74673</t>
  </si>
  <si>
    <t>109.152121</t>
  </si>
  <si>
    <t>13.77969</t>
  </si>
  <si>
    <t>109.1494</t>
  </si>
  <si>
    <t>Vân Canh-TT1 Gia Lai</t>
  </si>
  <si>
    <t>119.00</t>
  </si>
  <si>
    <t>22.62</t>
  </si>
  <si>
    <t>13.746686</t>
  </si>
  <si>
    <t>109.151917</t>
  </si>
  <si>
    <t>96.37</t>
  </si>
  <si>
    <t>13.780240</t>
  </si>
  <si>
    <t>109.148710</t>
  </si>
  <si>
    <t>full_h04/Gia Lai/GE Mạng cấp III-IV Gia Lai Full v6.kmz/GE Mạng cấp III-IV Gia Lai Full/Mạng cấp III Gia Lai Full/Ring 2/Vân Canh-TT1 Gia Lai/Trung Thế</t>
  </si>
  <si>
    <t>Bình Định#CAX#Quy Nhơn Đông-BDQN21</t>
  </si>
  <si>
    <t>13.8231</t>
  </si>
  <si>
    <t>109.26033</t>
  </si>
  <si>
    <t>13.79013</t>
  </si>
  <si>
    <t>109.218</t>
  </si>
  <si>
    <t>CA Tỉnh - Quy Nhơn Đông</t>
  </si>
  <si>
    <t>306.56</t>
  </si>
  <si>
    <t>83.37</t>
  </si>
  <si>
    <t>13.823164</t>
  </si>
  <si>
    <t>109.259561</t>
  </si>
  <si>
    <t>223.20</t>
  </si>
  <si>
    <t>13.789206</t>
  </si>
  <si>
    <t>109.219835</t>
  </si>
  <si>
    <t>full_h04/Gia Lai/GE Mạng cấp III-IV Gia Lai Full v6.kmz/GE Mạng cấp III-IV Gia Lai Full/Mạng cấp IV  Gia Lai Full/Mạng 4 BD - Ring 4/CA Tỉnh - Quy Nhơn Đông/trung thế</t>
  </si>
  <si>
    <t>Bình Định#CAX#An Nhơn-BDAN_newsite6</t>
  </si>
  <si>
    <t>13.91385</t>
  </si>
  <si>
    <t>109.0666416</t>
  </si>
  <si>
    <t>13.913</t>
  </si>
  <si>
    <t>109.097</t>
  </si>
  <si>
    <t>An Nhơn Đông - An Nhơn</t>
  </si>
  <si>
    <t>29.70</t>
  </si>
  <si>
    <t>13.914106</t>
  </si>
  <si>
    <t>109.066563</t>
  </si>
  <si>
    <t>226.98</t>
  </si>
  <si>
    <t>13.911273</t>
  </si>
  <si>
    <t>109.098121</t>
  </si>
  <si>
    <t>full_h04/Gia Lai/GE Mạng cấp III-IV Gia Lai Full v6.kmz/GE Mạng cấp III-IV Gia Lai Full/Mạng cấp IV  Gia Lai Full/Mạng 4 BD - Ring 5/An Nhơn Đông - An Nhơn/trung thế</t>
  </si>
  <si>
    <t>Bình Định#CAX#An Nhơn Bắc-BDPC21</t>
  </si>
  <si>
    <t>13.9479</t>
  </si>
  <si>
    <t>109.0654367</t>
  </si>
  <si>
    <t>14.0209</t>
  </si>
  <si>
    <t>108.9881</t>
  </si>
  <si>
    <t>Bình Hiệp - Hội Sơn</t>
  </si>
  <si>
    <t>8774.63</t>
  </si>
  <si>
    <t>8403.49</t>
  </si>
  <si>
    <t>13.981185</t>
  </si>
  <si>
    <t>108.995521</t>
  </si>
  <si>
    <t>371.14</t>
  </si>
  <si>
    <t>14.017836</t>
  </si>
  <si>
    <t>108.986736</t>
  </si>
  <si>
    <t>full_h04/Gia Lai/GE Mạng cấp III-IV Gia Lai Full v6.kmz/GE Mạng cấp III-IV Gia Lai Full/Mạng cấp IV  Gia Lai Full/Mạng 4 BD - Ring 9/Bình Hiệp - Hội Sơn/Trung thế</t>
  </si>
  <si>
    <t>Bình Định#CAX#An Nhơn Nam-BDAN28</t>
  </si>
  <si>
    <t>13.8638</t>
  </si>
  <si>
    <t>109.097569</t>
  </si>
  <si>
    <t>13.88265</t>
  </si>
  <si>
    <t>109.1095</t>
  </si>
  <si>
    <t>Tây Sơn- An Nhơn</t>
  </si>
  <si>
    <t>621.34</t>
  </si>
  <si>
    <t>93.54</t>
  </si>
  <si>
    <t>13.863291</t>
  </si>
  <si>
    <t>109.098259</t>
  </si>
  <si>
    <t>527.79</t>
  </si>
  <si>
    <t>13.878803</t>
  </si>
  <si>
    <t>109.106636</t>
  </si>
  <si>
    <t>full_h04/Gia Lai/GE Mạng cấp III-IV Gia Lai Full v6.kmz/GE Mạng cấp III-IV Gia Lai Full/Mạng cấp III Gia Lai Full/Ring 1/Tây Sơn- An Nhơn/Hạ Thế</t>
  </si>
  <si>
    <t>Bình Định#CAX#An Nhơn Tây-BDAN07</t>
  </si>
  <si>
    <t>13.8689</t>
  </si>
  <si>
    <t>109.043344</t>
  </si>
  <si>
    <t>13.90971</t>
  </si>
  <si>
    <t>109.0184</t>
  </si>
  <si>
    <t>An Nhơn Tây - An Nhơn Đông</t>
  </si>
  <si>
    <t>4864.49</t>
  </si>
  <si>
    <t>99.98</t>
  </si>
  <si>
    <t>13.868950</t>
  </si>
  <si>
    <t>109.042419</t>
  </si>
  <si>
    <t>4764.51</t>
  </si>
  <si>
    <t>13.874242</t>
  </si>
  <si>
    <t>109.043166</t>
  </si>
  <si>
    <t>full_h04/Gia Lai/GE Mạng cấp III-IV Gia Lai Full v6.kmz/GE Mạng cấp III-IV Gia Lai Full/Mạng cấp IV  Gia Lai Full/Mạng 4 BD - Ring 5/An Nhơn Tây - An Nhơn Đông/trung thế</t>
  </si>
  <si>
    <t>Bình Định#CAX#Bồng Sơn-BDHN54</t>
  </si>
  <si>
    <t>14.43175</t>
  </si>
  <si>
    <t>109.0146977</t>
  </si>
  <si>
    <t>14.43409</t>
  </si>
  <si>
    <t>109.0199</t>
  </si>
  <si>
    <t>TTCMKV Hoài Ân - Hoài Nhơn Nam</t>
  </si>
  <si>
    <t>313.87</t>
  </si>
  <si>
    <t>277.56</t>
  </si>
  <si>
    <t>14.431192</t>
  </si>
  <si>
    <t>109.017210</t>
  </si>
  <si>
    <t>36.32</t>
  </si>
  <si>
    <t>14.433858</t>
  </si>
  <si>
    <t>109.020138</t>
  </si>
  <si>
    <t>full_h04/Gia Lai/GE Mạng cấp III-IV Gia Lai Full v6.kmz/GE Mạng cấp III-IV Gia Lai Full/Mạng cấp IV  Gia Lai Full/Mạng 4 BD - Ring 12/TTCMKV Hoài Ân - Hoài Nhơn Nam/TTCMKV Hoài Ân - Hoài Nhơn Nam_Trung thếTrung thế</t>
  </si>
  <si>
    <t>Bình Định#CAX#Hoài Nhơn Nam-BDHN08</t>
  </si>
  <si>
    <t>14.4515</t>
  </si>
  <si>
    <t>109.042593</t>
  </si>
  <si>
    <t>14.49578</t>
  </si>
  <si>
    <t>109.0339</t>
  </si>
  <si>
    <t>Hoài Nhơn Nam - Hoài Nhơn</t>
  </si>
  <si>
    <t>239.29</t>
  </si>
  <si>
    <t>4.66</t>
  </si>
  <si>
    <t>14.451541</t>
  </si>
  <si>
    <t>109.042601</t>
  </si>
  <si>
    <t>234.63</t>
  </si>
  <si>
    <t>14.493835</t>
  </si>
  <si>
    <t>109.034745</t>
  </si>
  <si>
    <t>full_h04/Gia Lai/GE Mạng cấp III-IV Gia Lai Full v6.kmz/GE Mạng cấp III-IV Gia Lai Full/Mạng cấp IV  Gia Lai Full/Mạng 4 BD - Ring 12/Hoài Nhơn Nam - Hoài Nhơn/Hoài Nhơn Nam - Hoài Nhơn_Trung thế</t>
  </si>
  <si>
    <t>Bình Định#CAX#Hoài Nhơn Đông-BDPM34</t>
  </si>
  <si>
    <t>14.48699</t>
  </si>
  <si>
    <t>109.086669</t>
  </si>
  <si>
    <t>14.32376</t>
  </si>
  <si>
    <t>109.147</t>
  </si>
  <si>
    <t>16926.65</t>
  </si>
  <si>
    <t>631.32</t>
  </si>
  <si>
    <t>14.481538</t>
  </si>
  <si>
    <t>109.085034</t>
  </si>
  <si>
    <t>16295.33</t>
  </si>
  <si>
    <t>14.428409</t>
  </si>
  <si>
    <t>109.041093</t>
  </si>
  <si>
    <t>Bình Định#CAX#Hoài Nhơn-BDHN05</t>
  </si>
  <si>
    <t>14.53167</t>
  </si>
  <si>
    <t>109.056</t>
  </si>
  <si>
    <t>14.46763</t>
  </si>
  <si>
    <t>109.0977</t>
  </si>
  <si>
    <t>Hoài Nhơn Bắc - Hoài Nhơn Đông</t>
  </si>
  <si>
    <t>4444.46</t>
  </si>
  <si>
    <t>1985.02</t>
  </si>
  <si>
    <t>14.537016</t>
  </si>
  <si>
    <t>109.073596</t>
  </si>
  <si>
    <t>2459.43</t>
  </si>
  <si>
    <t>14.486994</t>
  </si>
  <si>
    <t>109.086661</t>
  </si>
  <si>
    <t>full_h04/Gia Lai/GE Mạng cấp III-IV Gia Lai Full v6.kmz/GE Mạng cấp III-IV Gia Lai Full/Mạng cấp IV  Gia Lai Full/Mạng 4 BD - Ring 12/Hoài Nhơn Bắc - Hoài Nhơn Đông/Hoài Nhơn Bắc - Hoài Nhơn Đông_Trung thế</t>
  </si>
  <si>
    <t>Bình Định#CAX#Hoài Nhơn Tây-BDHN07</t>
  </si>
  <si>
    <t>14.54479</t>
  </si>
  <si>
    <t>109.004699</t>
  </si>
  <si>
    <t>14.59101</t>
  </si>
  <si>
    <t>109.0355</t>
  </si>
  <si>
    <t>Hoài Nhơn Tây - Tam Quan</t>
  </si>
  <si>
    <t>4449.31</t>
  </si>
  <si>
    <t>4.62</t>
  </si>
  <si>
    <t>14.544753</t>
  </si>
  <si>
    <t>109.004719</t>
  </si>
  <si>
    <t>4444.69</t>
  </si>
  <si>
    <t>14.552025</t>
  </si>
  <si>
    <t>109.026380</t>
  </si>
  <si>
    <t>full_h04/Gia Lai/GE Mạng cấp III-IV Gia Lai Full v6.kmz/GE Mạng cấp III-IV Gia Lai Full/Mạng cấp IV  Gia Lai Full/Mạng 4 BD - Ring 12/Hoài Nhơn Tây - Tam Quan/Hoài Nhơn Tây - Tam Quan_Trung thế</t>
  </si>
  <si>
    <t>Bình Định#CAX#Tam Quan-BDHN15</t>
  </si>
  <si>
    <t>14.54617</t>
  </si>
  <si>
    <t>109.0428663</t>
  </si>
  <si>
    <t>Tam Quan-Hoài Nhơn Bắc_Trung thế.kmz</t>
  </si>
  <si>
    <t>261.30</t>
  </si>
  <si>
    <t>1.32</t>
  </si>
  <si>
    <t>14.546173</t>
  </si>
  <si>
    <t>109.042854</t>
  </si>
  <si>
    <t>259.98</t>
  </si>
  <si>
    <t>14.554744</t>
  </si>
  <si>
    <t>109.046795</t>
  </si>
  <si>
    <t>full_h04/Gia Lai/GE Mạng cấp III-IV Gia Lai Full v6.kmz/GE Mạng cấp III-IV Gia Lai Full/Mạng cấp IV  Gia Lai Full/Mạng 4 BD - Ring 12/Tam Quan-Hoài Nhơn Bắc_Trung thế.kmz/Tam Quan-Hoài Nhơn Bắc_Trung thế</t>
  </si>
  <si>
    <t>Bình Định#CAX#Hoài Nhơn Bắc-BDHN12</t>
  </si>
  <si>
    <t>14.55848</t>
  </si>
  <si>
    <t>109.0539431</t>
  </si>
  <si>
    <t>14.52105</t>
  </si>
  <si>
    <t>109.0758</t>
  </si>
  <si>
    <t>74.66</t>
  </si>
  <si>
    <t>1.44</t>
  </si>
  <si>
    <t>14.558479</t>
  </si>
  <si>
    <t>109.053930</t>
  </si>
  <si>
    <t>73.23</t>
  </si>
  <si>
    <t>14.521064</t>
  </si>
  <si>
    <t>109.076480</t>
  </si>
  <si>
    <t>Bình Định#CAX#Phù Cát-BDPC08</t>
  </si>
  <si>
    <t>13.9825</t>
  </si>
  <si>
    <t>109.061687</t>
  </si>
  <si>
    <t>13.9814</t>
  </si>
  <si>
    <t>109.0939</t>
  </si>
  <si>
    <t>Phù Cát - Xuân An</t>
  </si>
  <si>
    <t>345.13</t>
  </si>
  <si>
    <t>36.36</t>
  </si>
  <si>
    <t>13.982818</t>
  </si>
  <si>
    <t>109.061607</t>
  </si>
  <si>
    <t>308.77</t>
  </si>
  <si>
    <t>13.978631</t>
  </si>
  <si>
    <t>109.093690</t>
  </si>
  <si>
    <t>full_h04/Gia Lai/GE Mạng cấp III-IV Gia Lai Full v6.kmz/GE Mạng cấp III-IV Gia Lai Full/Mạng cấp IV  Gia Lai Full/Mạng 4 BD - Ring 9/Phù Cát - Xuân An/Trung thế</t>
  </si>
  <si>
    <t>Bình Định#CAX#Xuân An-BDPC14</t>
  </si>
  <si>
    <t>13.97289</t>
  </si>
  <si>
    <t>109.105202</t>
  </si>
  <si>
    <t>13.96317</t>
  </si>
  <si>
    <t>109.1823</t>
  </si>
  <si>
    <t>Xuân An - Ngô Mây</t>
  </si>
  <si>
    <t>681.94</t>
  </si>
  <si>
    <t>144.44</t>
  </si>
  <si>
    <t>13.972188</t>
  </si>
  <si>
    <t>109.106329</t>
  </si>
  <si>
    <t>537.50</t>
  </si>
  <si>
    <t>13.961294</t>
  </si>
  <si>
    <t>109.177709</t>
  </si>
  <si>
    <t>full_h04/Gia Lai/GE Mạng cấp III-IV Gia Lai Full v6.kmz/GE Mạng cấp III-IV Gia Lai Full/Mạng cấp IV  Gia Lai Full/Mạng 4 BD - Ring 9/Xuân An - Ngô Mây/Trung thế</t>
  </si>
  <si>
    <t>Bình Định#CAX#Ngô Mây-BDPC06</t>
  </si>
  <si>
    <t>13.9505</t>
  </si>
  <si>
    <t>109.180038</t>
  </si>
  <si>
    <t>14.0124</t>
  </si>
  <si>
    <t>109.241</t>
  </si>
  <si>
    <t>Cát Tiến - Đề Gi</t>
  </si>
  <si>
    <t>6553.40</t>
  </si>
  <si>
    <t>6064.69</t>
  </si>
  <si>
    <t>13.949178</t>
  </si>
  <si>
    <t>109.236220</t>
  </si>
  <si>
    <t>488.70</t>
  </si>
  <si>
    <t>14.008333</t>
  </si>
  <si>
    <t>109.242718</t>
  </si>
  <si>
    <t>full_h04/Gia Lai/GE Mạng cấp III-IV Gia Lai Full v6.kmz/GE Mạng cấp III-IV Gia Lai Full/Mạng cấp IV  Gia Lai Full/Mạng 4 BD - Ring 4/Cát Tiến - Đề Gi/trung thế 1</t>
  </si>
  <si>
    <t>Bình Định#CAX#Cát Tiến-BDTP04</t>
  </si>
  <si>
    <t>13.94914</t>
  </si>
  <si>
    <t>109.236194</t>
  </si>
  <si>
    <t>13.86549</t>
  </si>
  <si>
    <t>109.1876</t>
  </si>
  <si>
    <t>TT1 Gia Lai- Cát Tiến</t>
  </si>
  <si>
    <t>8136.36</t>
  </si>
  <si>
    <t>101.51</t>
  </si>
  <si>
    <t>13.949802</t>
  </si>
  <si>
    <t>109.236842</t>
  </si>
  <si>
    <t>8034.86</t>
  </si>
  <si>
    <t>13.878728</t>
  </si>
  <si>
    <t>109.260770</t>
  </si>
  <si>
    <t>full_h04/Gia Lai/GE Mạng cấp III-IV Gia Lai Full v6.kmz/GE Mạng cấp III-IV Gia Lai Full/Mạng cấp III Gia Lai Full/Ring 1/TT1 Gia Lai- Cát Tiến/Trung Thế</t>
  </si>
  <si>
    <t>Bình Định#CAX#Hòa Hội-BDPC03</t>
  </si>
  <si>
    <t>14.06914</t>
  </si>
  <si>
    <t>109.045012</t>
  </si>
  <si>
    <t>13.98828</t>
  </si>
  <si>
    <t>109.059</t>
  </si>
  <si>
    <t>Hoài Ân- Vĩnh Kim</t>
  </si>
  <si>
    <t>307.48</t>
  </si>
  <si>
    <t>36.79</t>
  </si>
  <si>
    <t>14.068851</t>
  </si>
  <si>
    <t>109.045178</t>
  </si>
  <si>
    <t>270.69</t>
  </si>
  <si>
    <t>13.987775</t>
  </si>
  <si>
    <t>109.056546</t>
  </si>
  <si>
    <t>full_h04/Gia Lai/GE Mạng cấp III-IV Gia Lai Full v6.kmz/GE Mạng cấp III-IV Gia Lai Full/Mạng cấp III Gia Lai Full/Ring 1/Hoài Ân- Vĩnh Kim/Trung Thế</t>
  </si>
  <si>
    <t>Bình Định#CAX#Hội Sơn-BDPC01</t>
  </si>
  <si>
    <t>14.07484</t>
  </si>
  <si>
    <t>108.9865642</t>
  </si>
  <si>
    <t>14.04745</t>
  </si>
  <si>
    <t>109.0487</t>
  </si>
  <si>
    <t>Hội Sơn - Hòa Hội</t>
  </si>
  <si>
    <t>423.70</t>
  </si>
  <si>
    <t>150.73</t>
  </si>
  <si>
    <t>14.075605</t>
  </si>
  <si>
    <t>108.987718</t>
  </si>
  <si>
    <t>272.97</t>
  </si>
  <si>
    <t>14.048271</t>
  </si>
  <si>
    <t>109.051085</t>
  </si>
  <si>
    <t>full_h04/Gia Lai/GE Mạng cấp III-IV Gia Lai Full v6.kmz/GE Mạng cấp III-IV Gia Lai Full/Mạng cấp IV  Gia Lai Full/Mạng 4 BD - Ring 9/Hội Sơn - Hòa Hội/Trung thế</t>
  </si>
  <si>
    <t>Bình Định#CAX#Phù Mỹ-BDHN33</t>
  </si>
  <si>
    <t>14.16876</t>
  </si>
  <si>
    <t>109.048875</t>
  </si>
  <si>
    <t>9386.01</t>
  </si>
  <si>
    <t>25.09</t>
  </si>
  <si>
    <t>Bình Định#CAX#Phù Mỹ Tây-BDPM17</t>
  </si>
  <si>
    <t>14.21586</t>
  </si>
  <si>
    <t>109.042</t>
  </si>
  <si>
    <t>14.24115</t>
  </si>
  <si>
    <t>109.0737</t>
  </si>
  <si>
    <t>Phù Mỹ Tây - Phù Mỹ Đông</t>
  </si>
  <si>
    <t>355.50</t>
  </si>
  <si>
    <t>224.18</t>
  </si>
  <si>
    <t>14.216287</t>
  </si>
  <si>
    <t>109.044033</t>
  </si>
  <si>
    <t>131.32</t>
  </si>
  <si>
    <t>14.242266</t>
  </si>
  <si>
    <t>109.073301</t>
  </si>
  <si>
    <t>full_h04/Gia Lai/GE Mạng cấp III-IV Gia Lai Full v6.kmz/GE Mạng cấp III-IV Gia Lai Full/Mạng cấp IV  Gia Lai Full/Mạng 4 BD - Ring 10/Phù Mỹ Tây - Phù Mỹ Đông/Trung thế</t>
  </si>
  <si>
    <t>Bình Định#CAX#Phù Mỹ Nam-BDPM44</t>
  </si>
  <si>
    <t>14.12068</t>
  </si>
  <si>
    <t>109.044147</t>
  </si>
  <si>
    <t>14.13583</t>
  </si>
  <si>
    <t>109.0419</t>
  </si>
  <si>
    <t>Phù Mỹ Nam - TTCMKV Phù Mỹ</t>
  </si>
  <si>
    <t>500.90</t>
  </si>
  <si>
    <t>65.54</t>
  </si>
  <si>
    <t>14.120287</t>
  </si>
  <si>
    <t>109.044600</t>
  </si>
  <si>
    <t>435.36</t>
  </si>
  <si>
    <t>14.137073</t>
  </si>
  <si>
    <t>109.045729</t>
  </si>
  <si>
    <t>full_h04/Gia Lai/GE Mạng cấp III-IV Gia Lai Full v6.kmz/GE Mạng cấp III-IV Gia Lai Full/Mạng cấp IV  Gia Lai Full/Mạng 4 BD - Ring 4/Phù Mỹ Nam - TTCMKV Phù Mỹ/trung thế</t>
  </si>
  <si>
    <t>Bình Định#CAX#An Lương-BDPC_newsite4</t>
  </si>
  <si>
    <t>14.15848</t>
  </si>
  <si>
    <t>109.11829</t>
  </si>
  <si>
    <t>14.1304</t>
  </si>
  <si>
    <t>109.165</t>
  </si>
  <si>
    <t>Đề Gi - An Lương</t>
  </si>
  <si>
    <t>358.79</t>
  </si>
  <si>
    <t>40.74</t>
  </si>
  <si>
    <t>14.158225</t>
  </si>
  <si>
    <t>109.118562</t>
  </si>
  <si>
    <t>318.04</t>
  </si>
  <si>
    <t>14.132201</t>
  </si>
  <si>
    <t>109.167291</t>
  </si>
  <si>
    <t>full_h04/Gia Lai/GE Mạng cấp III-IV Gia Lai Full v6.kmz/GE Mạng cấp III-IV Gia Lai Full/Mạng cấp IV  Gia Lai Full/Mạng 4 BD - Ring 4/Đề Gi - An Lương/trung thế</t>
  </si>
  <si>
    <t>Bình Định#CAX#Phù Mỹ Đông-BDPM06</t>
  </si>
  <si>
    <t>14.27547</t>
  </si>
  <si>
    <t>109.175116</t>
  </si>
  <si>
    <t>14.21661</t>
  </si>
  <si>
    <t>5882.33</t>
  </si>
  <si>
    <t>64.14</t>
  </si>
  <si>
    <t>14.275063</t>
  </si>
  <si>
    <t>109.175537</t>
  </si>
  <si>
    <t>5818.19</t>
  </si>
  <si>
    <t>14.268643</t>
  </si>
  <si>
    <t>109.159313</t>
  </si>
  <si>
    <t>full_h04/Gia Lai/GE Mạng cấp III-IV Gia Lai Full v6.kmz/GE Mạng cấp III-IV Gia Lai Full/Mạng cấp IV  Gia Lai Full/Mạng 4 BD - Ring 10/Phù Mỹ Tây - Phù Mỹ Đông/Trung thê</t>
  </si>
  <si>
    <t>Bình Định#CAX#Bình Dương-BDPM43</t>
  </si>
  <si>
    <t>14.29463</t>
  </si>
  <si>
    <t>109.078681</t>
  </si>
  <si>
    <t>14.28904</t>
  </si>
  <si>
    <t>109.0733</t>
  </si>
  <si>
    <t>Phù Mỹ Đông - Bình Dương</t>
  </si>
  <si>
    <t>804.51</t>
  </si>
  <si>
    <t>5.92</t>
  </si>
  <si>
    <t>14.294584</t>
  </si>
  <si>
    <t>109.078653</t>
  </si>
  <si>
    <t>798.60</t>
  </si>
  <si>
    <t>14.294165</t>
  </si>
  <si>
    <t>109.078492</t>
  </si>
  <si>
    <t>full_h04/Gia Lai/GE Mạng cấp III-IV Gia Lai Full v6.kmz/GE Mạng cấp III-IV Gia Lai Full/Mạng cấp IV  Gia Lai Full/Mạng 4 BD - Ring 10/Phù Mỹ Đông - Bình Dương/Trồng mới</t>
  </si>
  <si>
    <t>Bình Định#CAX#Phù Mỹ Bắc-BDHN33</t>
  </si>
  <si>
    <t>14.3067</t>
  </si>
  <si>
    <t>109.072553</t>
  </si>
  <si>
    <t>Phù Mỹ Bắc - TTCMKV Hoài Ân</t>
  </si>
  <si>
    <t>2200.53</t>
  </si>
  <si>
    <t>20.12</t>
  </si>
  <si>
    <t>14.306751</t>
  </si>
  <si>
    <t>109.072732</t>
  </si>
  <si>
    <t>2180.41</t>
  </si>
  <si>
    <t>14.408849</t>
  </si>
  <si>
    <t>109.007193</t>
  </si>
  <si>
    <t>full_h04/Gia Lai/GE Mạng cấp III-IV Gia Lai Full v6.kmz/GE Mạng cấp III-IV Gia Lai Full/Mạng cấp IV  Gia Lai Full/Mạng 4 BD - Ring 10/Phù Mỹ Bắc - TTCMKV Hoài Ân/Trung thế</t>
  </si>
  <si>
    <t>Bình Định#CAX#Tuy Phước Tây-BDTP_newsite3</t>
  </si>
  <si>
    <t>13.77407</t>
  </si>
  <si>
    <t>109.112283</t>
  </si>
  <si>
    <t>13.8066</t>
  </si>
  <si>
    <t>CA Tỉnh - Tuy Phước Tây</t>
  </si>
  <si>
    <t>526.49</t>
  </si>
  <si>
    <t>35.77</t>
  </si>
  <si>
    <t>13.774164</t>
  </si>
  <si>
    <t>109.112600</t>
  </si>
  <si>
    <t>490.71</t>
  </si>
  <si>
    <t>13.802215</t>
  </si>
  <si>
    <t>109.147507</t>
  </si>
  <si>
    <t>full_h04/Gia Lai/GE Mạng cấp III-IV Gia Lai Full v6.kmz/GE Mạng cấp III-IV Gia Lai Full/Mạng cấp IV  Gia Lai Full/Mạng 4 BD - Ring 5/CA Tỉnh - Tuy Phước Tây/trung thế</t>
  </si>
  <si>
    <t>Bình Định#CAX#Tuy Phước-BDTP20</t>
  </si>
  <si>
    <t>13.82688</t>
  </si>
  <si>
    <t>109.166877</t>
  </si>
  <si>
    <t>13.83163</t>
  </si>
  <si>
    <t>109.1579</t>
  </si>
  <si>
    <t>An Nhơn-TT1 Gia Lai</t>
  </si>
  <si>
    <t>66.37</t>
  </si>
  <si>
    <t>29.69</t>
  </si>
  <si>
    <t>13.826838</t>
  </si>
  <si>
    <t>109.166605</t>
  </si>
  <si>
    <t>36.68</t>
  </si>
  <si>
    <t>13.831367</t>
  </si>
  <si>
    <t>109.157695</t>
  </si>
  <si>
    <t>full_h04/Gia Lai/GE Mạng cấp III-IV Gia Lai Full v6.kmz/GE Mạng cấp III-IV Gia Lai Full/Mạng cấp III Gia Lai Full/Ring 1/An Nhơn-TT1 Gia Lai/Trung Thế</t>
  </si>
  <si>
    <t>Bình Định#CAX#Tuy Phước Bắc-BDAN28</t>
  </si>
  <si>
    <t>13.88919</t>
  </si>
  <si>
    <t>109.145929</t>
  </si>
  <si>
    <t>Tuy Phước Bắc - Bình Định</t>
  </si>
  <si>
    <t>516.43</t>
  </si>
  <si>
    <t>80.21</t>
  </si>
  <si>
    <t>13.889744</t>
  </si>
  <si>
    <t>109.146405</t>
  </si>
  <si>
    <t>436.21</t>
  </si>
  <si>
    <t>13.886571</t>
  </si>
  <si>
    <t>109.109367</t>
  </si>
  <si>
    <t>full_h04/Gia Lai/GE Mạng cấp III-IV Gia Lai Full v6.kmz/GE Mạng cấp III-IV Gia Lai Full/Mạng cấp IV  Gia Lai Full/Mạng 4 BD - Ring 6/Tuy Phước Bắc - Bình Định/trung thế</t>
  </si>
  <si>
    <t>Bình Định#CAX#Tuy Phước Đông-BDQNMA01</t>
  </si>
  <si>
    <t>13.86659</t>
  </si>
  <si>
    <t>109.188108</t>
  </si>
  <si>
    <t>13.7844</t>
  </si>
  <si>
    <t>109.215</t>
  </si>
  <si>
    <t>104.22</t>
  </si>
  <si>
    <t>64.17</t>
  </si>
  <si>
    <t>13.866576</t>
  </si>
  <si>
    <t>109.187514</t>
  </si>
  <si>
    <t>40.06</t>
  </si>
  <si>
    <t>13.784080</t>
  </si>
  <si>
    <t>109.215170</t>
  </si>
  <si>
    <t>Bình Định#CAX#Bình Hiệp-BDAN25</t>
  </si>
  <si>
    <t>13.95306</t>
  </si>
  <si>
    <t>109.003474</t>
  </si>
  <si>
    <t>13.89415</t>
  </si>
  <si>
    <t>109.0885</t>
  </si>
  <si>
    <t>5044.80</t>
  </si>
  <si>
    <t>2528.87</t>
  </si>
  <si>
    <t>13.930639</t>
  </si>
  <si>
    <t>108.999550</t>
  </si>
  <si>
    <t>2515.93</t>
  </si>
  <si>
    <t>13.914198</t>
  </si>
  <si>
    <t>109.077694</t>
  </si>
  <si>
    <t>full_h04/Gia Lai/Mạng cấp 2 Gia Lai.kmz/Mạng cấp 2 Gia Lai/TT1 Gia Lai - TT2 Gia Lai (ring 1)/Trung thế 2</t>
  </si>
  <si>
    <t>Bình Định#CAX#Ân Hảo-BDHA15</t>
  </si>
  <si>
    <t>14.42945</t>
  </si>
  <si>
    <t>108.962723</t>
  </si>
  <si>
    <t>14.37886</t>
  </si>
  <si>
    <t>108.9682</t>
  </si>
  <si>
    <t>TTCMKV Hoài Ân - An Vinh</t>
  </si>
  <si>
    <t>1400.68</t>
  </si>
  <si>
    <t>156.43</t>
  </si>
  <si>
    <t>14.430155</t>
  </si>
  <si>
    <t>108.963980</t>
  </si>
  <si>
    <t>1244.25</t>
  </si>
  <si>
    <t>14.376309</t>
  </si>
  <si>
    <t>108.979447</t>
  </si>
  <si>
    <t>full_h04/Gia Lai/GE Mạng cấp III-IV Gia Lai Full v6.kmz/GE Mạng cấp III-IV Gia Lai Full/Mạng cấp IV  Gia Lai Full/Mạng 4 BD - Ring 13/TTCMKV Hoài Ân - An Vinh/TTCMKV Hoài Ân - An Vinh_Trung thế</t>
  </si>
  <si>
    <t>Bình Định#CAX#Canh Vinh-BDQN63</t>
  </si>
  <si>
    <t>13.7334</t>
  </si>
  <si>
    <t>109.082708</t>
  </si>
  <si>
    <t>Canh Vinh - Quy Nhơn Tây</t>
  </si>
  <si>
    <t>466.11</t>
  </si>
  <si>
    <t>288.72</t>
  </si>
  <si>
    <t>13.735918</t>
  </si>
  <si>
    <t>109.083359</t>
  </si>
  <si>
    <t>177.40</t>
  </si>
  <si>
    <t>13.746636</t>
  </si>
  <si>
    <t>109.151925</t>
  </si>
  <si>
    <t>full_h04/Gia Lai/GE Mạng cấp III-IV Gia Lai Full v6.kmz/GE Mạng cấp III-IV Gia Lai Full/Mạng cấp IV  Gia Lai Full/Mạng 4 BD - Ring 2/Canh Vinh - Quy Nhơn Tây/trung thế</t>
  </si>
  <si>
    <t>FO thuê</t>
  </si>
  <si>
    <t>VNPT</t>
  </si>
  <si>
    <t>KHNT60-KHNT3A</t>
  </si>
  <si>
    <t>KHNT79-KHNT03</t>
  </si>
  <si>
    <t>CMC</t>
  </si>
  <si>
    <t>KHDK13-KHDK06</t>
  </si>
  <si>
    <t>KHDK06-KHCL23</t>
  </si>
  <si>
    <t>KHNTMA01-KHNT59</t>
  </si>
  <si>
    <t>KHNT83-KHNT24</t>
  </si>
  <si>
    <t>KHNTMA01-KHNT1F</t>
  </si>
  <si>
    <t>KHNTMA01-KHNT26</t>
  </si>
  <si>
    <t>KHNT25-KHNT84</t>
  </si>
  <si>
    <t>KHNT84-KHNT60</t>
  </si>
  <si>
    <t>KHNT60-KHNT24</t>
  </si>
  <si>
    <t>KHNT94-KHNT79</t>
  </si>
  <si>
    <t>KHNT79-KHNT28</t>
  </si>
  <si>
    <t>KHDK08-KHNT07</t>
  </si>
  <si>
    <t>KHNT88-KHNT1N</t>
  </si>
  <si>
    <t>KHNT1N-KHNT17</t>
  </si>
  <si>
    <t>KHNT17-KHNT24</t>
  </si>
  <si>
    <t>KHNT88-KHNT3Q</t>
  </si>
  <si>
    <t>KHNT55-KHNT68</t>
  </si>
  <si>
    <t>KHNT79-KHNT3G</t>
  </si>
  <si>
    <t>KHNT05-KHNT3C</t>
  </si>
  <si>
    <t>KHNT90-KHNT4Z</t>
  </si>
  <si>
    <t>KHDK13-KHDK38</t>
  </si>
  <si>
    <t>KHDK08-KHDK30</t>
  </si>
  <si>
    <t>KHDK13-KHDK05</t>
  </si>
  <si>
    <t>KHNTMA01-KHNT74</t>
  </si>
  <si>
    <t>KHNT88-KHNT77</t>
  </si>
  <si>
    <t>KHCR47-KHCR05</t>
  </si>
  <si>
    <t>KHCR02-KHCR16</t>
  </si>
  <si>
    <t>KHDK13-KHDK10</t>
  </si>
  <si>
    <t>KHDK13-KHDK23</t>
  </si>
  <si>
    <t>KHDK25-KHDK17</t>
  </si>
  <si>
    <t>KHDK06-KHDK28</t>
  </si>
  <si>
    <t>KHDK25-KHDK24</t>
  </si>
  <si>
    <t>KHDK25-KHDK09</t>
  </si>
  <si>
    <t>KHDK08-KHDK33</t>
  </si>
  <si>
    <t>KHNT88-KHNT4A</t>
  </si>
  <si>
    <t>KHNTMA01-KHNT3L</t>
  </si>
  <si>
    <t>KHNT94-KHNT95</t>
  </si>
  <si>
    <t>KHNT88-KHNT1S</t>
  </si>
  <si>
    <t>KHNTMA01-KHNT4K</t>
  </si>
  <si>
    <t>KHNT17-KHNT3D</t>
  </si>
  <si>
    <t>KHNT79-KHNT21</t>
  </si>
  <si>
    <t>KHNT90-KHNT4B</t>
  </si>
  <si>
    <t>KHNTMA01-KHNT4Q</t>
  </si>
  <si>
    <t>KHNT17-KHNT4M</t>
  </si>
  <si>
    <t>KHDK06-KHDK25</t>
  </si>
  <si>
    <t>KHNTMA01-KHDK06</t>
  </si>
  <si>
    <t>KHNH06-KHNH93</t>
  </si>
  <si>
    <t>KHNH54-KHNH1C</t>
  </si>
  <si>
    <t>KHNH54-KHNH96</t>
  </si>
  <si>
    <t>KHCR27-KHCL55</t>
  </si>
  <si>
    <t>KHCR52-KHCR77</t>
  </si>
  <si>
    <t>KHNH54-KHNH1E</t>
  </si>
  <si>
    <t>KHNT90-KHNT6D</t>
  </si>
  <si>
    <t>KHNT90-KHNT2B</t>
  </si>
  <si>
    <t>KHNT90-KHNT1H</t>
  </si>
  <si>
    <t>KHNT25-KHNT1I</t>
  </si>
  <si>
    <t>KHNT25-KHNT1J</t>
  </si>
  <si>
    <t>KHNT05-KHNT1K</t>
  </si>
  <si>
    <t>KHNT55-KHNT1U</t>
  </si>
  <si>
    <t>KHNT25-KHNT1V</t>
  </si>
  <si>
    <t>KHNT25-KHNT47</t>
  </si>
  <si>
    <t>KHNT55-KHNT89</t>
  </si>
  <si>
    <t>KHNT79-KHNT4P</t>
  </si>
  <si>
    <t>KHCL02-KHCL40</t>
  </si>
  <si>
    <t>KHNH54-KHNH84</t>
  </si>
  <si>
    <t>KHNH54-KHNH85</t>
  </si>
  <si>
    <t>KHVN04-KHVN39</t>
  </si>
  <si>
    <t>KHCR52-KHCL03</t>
  </si>
  <si>
    <t>KHNTMA01-KHCLMA01</t>
  </si>
  <si>
    <t>KHCR47-KHCR19</t>
  </si>
  <si>
    <t>KHCR52-KHCR49</t>
  </si>
  <si>
    <t>KHCL02-KHCL47</t>
  </si>
  <si>
    <t>KHCR27-KHCL02</t>
  </si>
  <si>
    <t>KHCR52-KHCR14</t>
  </si>
  <si>
    <t>KHCR18-KHCR04</t>
  </si>
  <si>
    <t>KHCR52-KHCR18</t>
  </si>
  <si>
    <t>KHCR02-KHCL18</t>
  </si>
  <si>
    <t>KHCLMA01-KHCL17</t>
  </si>
  <si>
    <t>KHCR02-KHCR53</t>
  </si>
  <si>
    <t>KHCR10-KHCR02</t>
  </si>
  <si>
    <t>KHCLMA01-KHCR10</t>
  </si>
  <si>
    <t>KHCR10-KHCL33</t>
  </si>
  <si>
    <t>KHCL02-KHCL09</t>
  </si>
  <si>
    <t>KHCL02-KHCL13</t>
  </si>
  <si>
    <t>KHCR52-KHCR17</t>
  </si>
  <si>
    <t>KHCR18-KHCR34</t>
  </si>
  <si>
    <t>KHCR52-KHCR33</t>
  </si>
  <si>
    <t>KHCR02-KHCR25</t>
  </si>
  <si>
    <t>KHCR18-KHCR36</t>
  </si>
  <si>
    <t>KHCR52-KHCR37</t>
  </si>
  <si>
    <t>KHCR27-KHCR70</t>
  </si>
  <si>
    <t>KHVN53-KHVN04</t>
  </si>
  <si>
    <t>KHVN38-KHVN04</t>
  </si>
  <si>
    <t>KHVN50-KHVN04</t>
  </si>
  <si>
    <t>KHVN22-KHVN04</t>
  </si>
  <si>
    <t>KHVN47-KHVN04</t>
  </si>
  <si>
    <t>KHDK44-KHDK25</t>
  </si>
  <si>
    <t>KHDK41-KHDK13</t>
  </si>
  <si>
    <t>KHDK47-KHDK06</t>
  </si>
  <si>
    <t>KHCL36-KHCL02</t>
  </si>
  <si>
    <t>KHCL65-KHCLMA01</t>
  </si>
  <si>
    <t>KHCL66-KHCLMA01</t>
  </si>
  <si>
    <t>KHCR64-KHCR18</t>
  </si>
  <si>
    <t>KHCR71-KHCR47</t>
  </si>
  <si>
    <t>KHNT20-KHNT84</t>
  </si>
  <si>
    <t>KHNT5S-KHNT55</t>
  </si>
  <si>
    <t>KHNT6V-KHNT25</t>
  </si>
  <si>
    <t>KHNH18-KHNH54</t>
  </si>
  <si>
    <t>KHNH1I-KHNH10</t>
  </si>
  <si>
    <t>KHNH1O-KHNH06</t>
  </si>
  <si>
    <t>KHNH1S-KHNH06</t>
  </si>
  <si>
    <t>KHNH89-KHNH12</t>
  </si>
  <si>
    <t>KHNT85-KHNT84</t>
  </si>
  <si>
    <t>KHNT86-KHNT60</t>
  </si>
  <si>
    <t>KHNT49-KHNT1N</t>
  </si>
  <si>
    <t>KHNT2K-KHNT83</t>
  </si>
  <si>
    <t>KHNT6N-KHNT83</t>
  </si>
  <si>
    <t>KHNT6Q-KHNT4Z</t>
  </si>
  <si>
    <t>KHNT4T-KHNT83</t>
  </si>
  <si>
    <t>KHCL22-KHDK06</t>
  </si>
  <si>
    <t>KHCL10-KHCR10</t>
  </si>
  <si>
    <t>KHCR76-KHCR47</t>
  </si>
  <si>
    <t>KHCL54-KHCR47</t>
  </si>
  <si>
    <t>KHCR01-KHCR18</t>
  </si>
  <si>
    <t>KHNT7N-KHNT79</t>
  </si>
  <si>
    <t>KHNT7Q-KHNT42</t>
  </si>
  <si>
    <t>KHNT7P-KHNT05</t>
  </si>
  <si>
    <t>KHCR56-KHCR10</t>
  </si>
  <si>
    <t>KHDK37-KHDK25</t>
  </si>
  <si>
    <t>KHNT1E-KHNT05</t>
  </si>
  <si>
    <t>KHDKMA01-KHDK13</t>
  </si>
  <si>
    <t>KHDK12-KHDK25</t>
  </si>
  <si>
    <t>KHNT1R-KHNT83</t>
  </si>
  <si>
    <t>KHNT56-KHNT90</t>
  </si>
  <si>
    <t>KHNT26-KHNT55</t>
  </si>
  <si>
    <t>KHNT62-KHNT94</t>
  </si>
  <si>
    <t>KHDKMA01-KHDK08</t>
  </si>
  <si>
    <t>KHNT07-KHNT88</t>
  </si>
  <si>
    <t>KHCL35-KHCLMA01</t>
  </si>
  <si>
    <t>KHNH52-KHNH32</t>
  </si>
  <si>
    <t>KHNT59-KHNT72</t>
  </si>
  <si>
    <t>KHNT56-KHNT4D</t>
  </si>
  <si>
    <t>KHNT07-KHNT78</t>
  </si>
  <si>
    <t>KHNT32-KHNT42</t>
  </si>
  <si>
    <t>KHCR49-KHCR47</t>
  </si>
  <si>
    <t>KHCR14-KHCR27</t>
  </si>
  <si>
    <t>KHCR50-KHCR52</t>
  </si>
  <si>
    <t>FO DT</t>
  </si>
  <si>
    <t>MBF</t>
  </si>
  <si>
    <t>KHNTMA01-KHNT24</t>
  </si>
  <si>
    <t>KHCLMA01-KHNT24</t>
  </si>
  <si>
    <t>KHNH06-KHVN04</t>
  </si>
  <si>
    <t>KHVN04-KHVN23</t>
  </si>
  <si>
    <t>KHNH54-KHNT24</t>
  </si>
  <si>
    <t>KHNH06-KHNH54</t>
  </si>
  <si>
    <t>KHDK25-KHNTMA01</t>
  </si>
  <si>
    <t>KHCR52-KHCR02</t>
  </si>
  <si>
    <t>KHCR02-KHCLMA01</t>
  </si>
  <si>
    <t>KHNH06-KHNH14</t>
  </si>
  <si>
    <t>KHNH10-KHNH54</t>
  </si>
  <si>
    <t>KHNH06-KHNH09</t>
  </si>
  <si>
    <t>KHNH54-KHNH04</t>
  </si>
  <si>
    <t>KHNT13-KHNT24</t>
  </si>
  <si>
    <t>KHNH06-KHNH44</t>
  </si>
  <si>
    <t>KHNH12-KHNH54</t>
  </si>
  <si>
    <t>KHVN04-KHVN41</t>
  </si>
  <si>
    <t>KHVN03-KHVN55</t>
  </si>
  <si>
    <t>KHVN55-KHVN23</t>
  </si>
  <si>
    <t>KHVN04-KHVN29</t>
  </si>
  <si>
    <t>KHNH32-KHNH02</t>
  </si>
  <si>
    <t>KHNH20-KHNH19</t>
  </si>
  <si>
    <t>KHDKMA01-KHDK25</t>
  </si>
  <si>
    <t>KHDKMA01-KHNH06</t>
  </si>
  <si>
    <t>KHVN13-KHNH54</t>
  </si>
  <si>
    <t>KHCL47-KHCR52</t>
  </si>
  <si>
    <t>KHNH14-KHNH10</t>
  </si>
  <si>
    <t>KHNH09-KHNH54</t>
  </si>
  <si>
    <t>KHNH04-KHNT13</t>
  </si>
  <si>
    <t>KHNH44-KHNH12</t>
  </si>
  <si>
    <t>KHVN41-KHVN03</t>
  </si>
  <si>
    <t>KHVN13-KHNH32</t>
  </si>
  <si>
    <t>KHNH55-KHNH54</t>
  </si>
  <si>
    <t>KHNH76-KHNH20</t>
  </si>
  <si>
    <t>KHNH19-KHNH54</t>
  </si>
  <si>
    <t>KHDKMA01-KHDK15</t>
  </si>
  <si>
    <t>KHDKMA01-KHNT1M</t>
  </si>
  <si>
    <t>KHDKMA01-KHNT62</t>
  </si>
  <si>
    <t>KHDKMA01-KHDK26</t>
  </si>
  <si>
    <t>KHDKMA01-KHDK20</t>
  </si>
  <si>
    <t>KHDKMA01-KHDK27</t>
  </si>
  <si>
    <t>KHDKMA01-KHDK36</t>
  </si>
  <si>
    <t>KHDK34-KHDKMA01</t>
  </si>
  <si>
    <t>KHDK40-KHDKMA01</t>
  </si>
  <si>
    <t>KHDK01-KHDKMA01</t>
  </si>
  <si>
    <t>KHCL23-KHDKMA01</t>
  </si>
  <si>
    <t>KHDKMA01-KHNT24</t>
  </si>
  <si>
    <t>KHDKMA01-KHCL47</t>
  </si>
  <si>
    <t>KHDKMA01-KHDK14</t>
  </si>
  <si>
    <t>KHNT24-KHDKMA01</t>
  </si>
  <si>
    <t>KHNT05-KHNT25</t>
  </si>
  <si>
    <t>KHNT25-KHNT55</t>
  </si>
  <si>
    <t>KHNT55-KHNT90</t>
  </si>
  <si>
    <t>KHNT90-KHNT83</t>
  </si>
  <si>
    <t>KHNT83-KHNT1R</t>
  </si>
  <si>
    <t>KHNT79-KHNT53</t>
  </si>
  <si>
    <t>KHNT79-KHNT99</t>
  </si>
  <si>
    <t>KHNH10-KHNH80</t>
  </si>
  <si>
    <t>KHNH32-KHNH78</t>
  </si>
  <si>
    <t>KHNH12-KHNH01</t>
  </si>
  <si>
    <t>KHNH20-KHNH39</t>
  </si>
  <si>
    <t>KHNH12-KHNH82</t>
  </si>
  <si>
    <t>KHNH20-KHNH33</t>
  </si>
  <si>
    <t>KHNH20-KHNH72</t>
  </si>
  <si>
    <t>KHVN55-KHVN02</t>
  </si>
  <si>
    <t>KHNT83-KHNT1W</t>
  </si>
  <si>
    <t>KHKV08-KHKV25</t>
  </si>
  <si>
    <t>KHCR10-KHCR88</t>
  </si>
  <si>
    <t>KHNT05-KHNT7M</t>
  </si>
  <si>
    <t>KHNT05-KHNT24</t>
  </si>
  <si>
    <t>KHVN55-KHVN59</t>
  </si>
  <si>
    <t>KHNT42-Trạm điện 220 KVA_VINPEARL_ĐẤT LIỀN</t>
  </si>
  <si>
    <t>KHNT01-KHNT05</t>
  </si>
  <si>
    <t>KHCR62-KHCR02</t>
  </si>
  <si>
    <t>KHNT3F-KHNT90</t>
  </si>
  <si>
    <t>KHNT65-KHNTMA01</t>
  </si>
  <si>
    <t>KHNT34-KHNTMA01</t>
  </si>
  <si>
    <t>KHNT11-KHNTMA01</t>
  </si>
  <si>
    <t>KHNT93-KHNT05</t>
  </si>
  <si>
    <t>KHNT67-KHNT1N</t>
  </si>
  <si>
    <t>KHNT41-KHNT94</t>
  </si>
  <si>
    <t>KHNT15-KHNT1N</t>
  </si>
  <si>
    <t>KHNT4I-KHNT94</t>
  </si>
  <si>
    <t>KHNT2D-KHNT88</t>
  </si>
  <si>
    <t>KHNT45-KHNTMA01</t>
  </si>
  <si>
    <t>KHNT3M-KHNT05</t>
  </si>
  <si>
    <t>KHNT6M-KHNT88</t>
  </si>
  <si>
    <t>KHNT6C-KHNT83</t>
  </si>
  <si>
    <t>KHCL20-KHCR27</t>
  </si>
  <si>
    <t>KHCL61-KHCR02</t>
  </si>
  <si>
    <t>KHCL19-KHCLMA01</t>
  </si>
  <si>
    <t>KHCL62-KHCLMA01</t>
  </si>
  <si>
    <t>KHCL31-KHCLMA01</t>
  </si>
  <si>
    <t>KHDK49-KHDK08</t>
  </si>
  <si>
    <t>KHDK46-KHDK06</t>
  </si>
  <si>
    <t>KHDK14-KHDKMA01</t>
  </si>
  <si>
    <t>KHNH59-KHNH12</t>
  </si>
  <si>
    <t>KHNH23-KHNH10</t>
  </si>
  <si>
    <t>KHNH24-KHNH12</t>
  </si>
  <si>
    <t>KHNH15-KHNH32</t>
  </si>
  <si>
    <t>KHNH64-KHNH12</t>
  </si>
  <si>
    <t>KHNH31-KHNH10</t>
  </si>
  <si>
    <t>KHNT44-KHNT13</t>
  </si>
  <si>
    <t>KHNH13-KHNT13</t>
  </si>
  <si>
    <t>KHNH62-KHNH06</t>
  </si>
  <si>
    <t>KHNH43-KHNH06</t>
  </si>
  <si>
    <t>KHVN51-KHVN04</t>
  </si>
  <si>
    <t>KHVN20-KHVN03</t>
  </si>
  <si>
    <t>KHVN43-KHVN03</t>
  </si>
  <si>
    <t>KHNT6I-KHNT90</t>
  </si>
  <si>
    <t>KHNT3P-KHNT25</t>
  </si>
  <si>
    <t>KHNT5U-KHNT60</t>
  </si>
  <si>
    <t>KHDK22-KHDK25</t>
  </si>
  <si>
    <t>KHNH65-KHNH54</t>
  </si>
  <si>
    <t>KHNT2W-KHNT94</t>
  </si>
  <si>
    <t>KHNT69-KHNT55</t>
  </si>
  <si>
    <t>KHNT1T-KHNT60</t>
  </si>
  <si>
    <t>KHNT12-KHNT83</t>
  </si>
  <si>
    <t>KHNT2V-KHNT17</t>
  </si>
  <si>
    <t>KHNT5R-KHNT17</t>
  </si>
  <si>
    <t>KHNT58-KHNT17</t>
  </si>
  <si>
    <t>KHNT2Z-KHNT84</t>
  </si>
  <si>
    <t>17KH025-KHNT1N</t>
  </si>
  <si>
    <t>KHKV10-KHKV05</t>
  </si>
  <si>
    <t>KHKV25-KHKV05</t>
  </si>
  <si>
    <t>KHKV23-KHKV05</t>
  </si>
  <si>
    <t>KHDK03-KHDK25</t>
  </si>
  <si>
    <t>KHNT3O-KHNT88</t>
  </si>
  <si>
    <t>KHDK30-KHDK08</t>
  </si>
  <si>
    <t>KHVN44-KHVN55</t>
  </si>
  <si>
    <t>KHVN18-KHVN55</t>
  </si>
  <si>
    <t>KHVN28-KHVN55</t>
  </si>
  <si>
    <t>KHCR26-KHCR47</t>
  </si>
  <si>
    <t>KHCR70-KHCR47</t>
  </si>
  <si>
    <t>KHNH95-KHNH20</t>
  </si>
  <si>
    <t>KHNT8P-KHNT83</t>
  </si>
  <si>
    <t>KHNT8V-KHNTMA01</t>
  </si>
  <si>
    <t>KHNT8D-KHNT4D</t>
  </si>
  <si>
    <t>KHNT8B-KHNT1N</t>
  </si>
  <si>
    <t>KHNT57-KHNT4D</t>
  </si>
  <si>
    <t>KHNT8F-KHNT25</t>
  </si>
  <si>
    <t>QTTP35-QTDH14</t>
  </si>
  <si>
    <t>QTCL02-QTDH14</t>
  </si>
  <si>
    <t>QTDH50-QTDH14</t>
  </si>
  <si>
    <t>QTQT09-QTDH14</t>
  </si>
  <si>
    <t>QTTP23-QTDH14</t>
  </si>
  <si>
    <t>QTCL20-QTCL13</t>
  </si>
  <si>
    <t>QTCL17-QTCL13</t>
  </si>
  <si>
    <t>QTGL42-QTGL03</t>
  </si>
  <si>
    <t>QTDH10-QTCL13</t>
  </si>
  <si>
    <t>QTCL13-QTCL34</t>
  </si>
  <si>
    <t>VNPOST Lương An-QTGL03</t>
  </si>
  <si>
    <t>QTGL03-QTGL15</t>
  </si>
  <si>
    <t>QTGL15-QTGL12</t>
  </si>
  <si>
    <t>QTGL12-QTGL44</t>
  </si>
  <si>
    <t>QTCL08-QTCL34</t>
  </si>
  <si>
    <t>QTCL34-QTCL09</t>
  </si>
  <si>
    <t>QTDH17-QTDH08</t>
  </si>
  <si>
    <t>QTTP08-QTHL25</t>
  </si>
  <si>
    <t>QTHL25-QTQT09</t>
  </si>
  <si>
    <t>QTHL22-QTHL10</t>
  </si>
  <si>
    <t>QTHL10-QTHL25</t>
  </si>
  <si>
    <t>QTHL25-QTHL03</t>
  </si>
  <si>
    <t>QTHL03-QTHL17</t>
  </si>
  <si>
    <t>QTHL17-QTTP05</t>
  </si>
  <si>
    <t>QTTP05-QTHL19</t>
  </si>
  <si>
    <t>QTHL19-QTQT09</t>
  </si>
  <si>
    <t>QTHL25-QTHL06</t>
  </si>
  <si>
    <t>QTHL12-QTQT09</t>
  </si>
  <si>
    <t>QTHL25-QTHL28</t>
  </si>
  <si>
    <t>QTHL28-QTHL05</t>
  </si>
  <si>
    <t>QTHL05-QTQT09</t>
  </si>
  <si>
    <t>QTTP21-QTQT09</t>
  </si>
  <si>
    <t>QTTP47-QTTP10</t>
  </si>
  <si>
    <t>QTTP10-QTQT05</t>
  </si>
  <si>
    <t>QTQT05-QTQT09</t>
  </si>
  <si>
    <t>QTTP48-QTQT06</t>
  </si>
  <si>
    <t>QTQT06-QTQT09</t>
  </si>
  <si>
    <t>QTQT09-QTQT03</t>
  </si>
  <si>
    <t>QTQT03-QTQT09</t>
  </si>
  <si>
    <t>QTHL50-QTHL05</t>
  </si>
  <si>
    <t>QTDH56-QTDH07</t>
  </si>
  <si>
    <t>QTGL19-QTGL03</t>
  </si>
  <si>
    <t>QTDH33-QTDH34</t>
  </si>
  <si>
    <t>QTDH24-QTDH50</t>
  </si>
  <si>
    <t>QTDH52-QTDH50</t>
  </si>
  <si>
    <t>QTDH38-QTDH17</t>
  </si>
  <si>
    <t>QTDH60-QTDH34</t>
  </si>
  <si>
    <t>QTDH61-QTDH04</t>
  </si>
  <si>
    <t>QTGL20-QTGL12</t>
  </si>
  <si>
    <t>QTTP45-QTTP10</t>
  </si>
  <si>
    <t>QTQT06-QTQT02</t>
  </si>
  <si>
    <t>QTHL19-QTHL42</t>
  </si>
  <si>
    <t>QTTP20-QTTP05</t>
  </si>
  <si>
    <t>QTTP05-QTHL43</t>
  </si>
  <si>
    <t>QTHL34-QTHL10</t>
  </si>
  <si>
    <t>QTQT10-QTQT06</t>
  </si>
  <si>
    <t>QTHL04-QTHL10</t>
  </si>
  <si>
    <t>QTHL39-QTHL25</t>
  </si>
  <si>
    <t>VNPOST Lương An-QTDH14</t>
  </si>
  <si>
    <t>QTCL_newsite1-QTDH14</t>
  </si>
  <si>
    <t>QTDH35-QTDH14</t>
  </si>
  <si>
    <t>QTDH32-QTDH14</t>
  </si>
  <si>
    <t>VNPOST Lương An-QTDH17</t>
  </si>
  <si>
    <t>QTDH08-QTDH34</t>
  </si>
  <si>
    <t>QTDH34-QTDH14</t>
  </si>
  <si>
    <t>QTDH36-QTDH05</t>
  </si>
  <si>
    <t>QTDH05-QTDH14</t>
  </si>
  <si>
    <t>QTDH27-QTDH14</t>
  </si>
  <si>
    <t>QTDH09-QTDH07</t>
  </si>
  <si>
    <t>QTDH07-QTDH19</t>
  </si>
  <si>
    <t>QTDH19-QTDH04</t>
  </si>
  <si>
    <t>QTDH04-QTDH50</t>
  </si>
  <si>
    <t>QTCL01-QTCL34</t>
  </si>
  <si>
    <t>QTCL04-QTCL34</t>
  </si>
  <si>
    <t>QTTP37-QTDH14</t>
  </si>
  <si>
    <t>QTGL49-QTGL12</t>
  </si>
  <si>
    <t>QTVL06-QTVL01</t>
  </si>
  <si>
    <t>QTVL22-QTVL01</t>
  </si>
  <si>
    <t>QTQT04-QTQT09</t>
  </si>
  <si>
    <t>DGDS21-DGDS46</t>
  </si>
  <si>
    <t>DGDM29-DGDM01</t>
  </si>
  <si>
    <t>DGCJ01-DGCJ11</t>
  </si>
  <si>
    <t>DGTD05-DGTD23</t>
  </si>
  <si>
    <t>DGDM07-DGDM13</t>
  </si>
  <si>
    <t>DGDG04-DGDG09</t>
  </si>
  <si>
    <t>DGTD24-DGDM29</t>
  </si>
  <si>
    <t>DGDM29-DGDS05</t>
  </si>
  <si>
    <t>DGDL37-DGTD24</t>
  </si>
  <si>
    <t>DGTD24-DGDS05</t>
  </si>
  <si>
    <t>DGTD24-DGDS11</t>
  </si>
  <si>
    <t>DGTD24-DGDM34</t>
  </si>
  <si>
    <t>DGDM34-DGDM17</t>
  </si>
  <si>
    <t>DGDM23-DGDM29</t>
  </si>
  <si>
    <t>DGDM29-DGDM24</t>
  </si>
  <si>
    <t>DGDM07-DGKN37</t>
  </si>
  <si>
    <t>DGDM29-DGDM10</t>
  </si>
  <si>
    <t>DGTD24-DGDM15</t>
  </si>
  <si>
    <t>DGDM29-DGDM22</t>
  </si>
  <si>
    <t>DGDM22-DGDS30</t>
  </si>
  <si>
    <t>DGDS30-DGDS07</t>
  </si>
  <si>
    <t>DGTD24-DGTD04</t>
  </si>
  <si>
    <t>DGTD04-DGTD03</t>
  </si>
  <si>
    <t>DGDS02-DGDS05</t>
  </si>
  <si>
    <t>DGDL37-DGDL29</t>
  </si>
  <si>
    <t>DGTD11-DGTD05</t>
  </si>
  <si>
    <t>DGTD05-DGTD09</t>
  </si>
  <si>
    <t>DGTD24-DGTD02</t>
  </si>
  <si>
    <t>DGDS21-DGGN05</t>
  </si>
  <si>
    <t>PITC</t>
  </si>
  <si>
    <t>DGGN15-DGGN24</t>
  </si>
  <si>
    <t>DGGN03-DGGN31</t>
  </si>
  <si>
    <t>DGDL19-DGDL03</t>
  </si>
  <si>
    <t>DGGN07-DGDL05</t>
  </si>
  <si>
    <t>DGDL05-DGDL30</t>
  </si>
  <si>
    <t>DGDL07-DGDL43</t>
  </si>
  <si>
    <t>DGDM20-DGDM07</t>
  </si>
  <si>
    <t>DGDM30-DGDM07</t>
  </si>
  <si>
    <t>DGDM06-DGDM34</t>
  </si>
  <si>
    <t>DGDM09-DGDM34</t>
  </si>
  <si>
    <t>DGDS03-DGDS02</t>
  </si>
  <si>
    <t>DGCJ19-DGCJ01</t>
  </si>
  <si>
    <t>DGTD21-DGTD04</t>
  </si>
  <si>
    <t>DGDS20-DGDS21</t>
  </si>
  <si>
    <t>DGDS18-DGDS21</t>
  </si>
  <si>
    <t>DGCJ25-DGCJ01</t>
  </si>
  <si>
    <t>DGDM41-DGDM22</t>
  </si>
  <si>
    <t>DGDM19-DGDM34</t>
  </si>
  <si>
    <t>DGGN16-DGGN07</t>
  </si>
  <si>
    <t>DGGN32-DGGN03</t>
  </si>
  <si>
    <t>DGGN33-DGDL19</t>
  </si>
  <si>
    <t>DGDL10-DGDL37</t>
  </si>
  <si>
    <t>DGDL20-DGDL19</t>
  </si>
  <si>
    <t>DGDL58-DGGN07</t>
  </si>
  <si>
    <t>DGGN14-DGGN06</t>
  </si>
  <si>
    <t>DGGN29-DGGN06</t>
  </si>
  <si>
    <t>DGDL45-DGDL05</t>
  </si>
  <si>
    <t>DGDL06-DGDL19</t>
  </si>
  <si>
    <t>DG_DWDM_DKGGNA-DGTD24</t>
  </si>
  <si>
    <t>DGDS05-DGGN03</t>
  </si>
  <si>
    <t>DGDM17-DGDM23</t>
  </si>
  <si>
    <t>DGDM31-DGDM07</t>
  </si>
  <si>
    <t>DGDM35-DGDM29</t>
  </si>
  <si>
    <t>DGDS08-DGDS02</t>
  </si>
  <si>
    <t>DGDL29-DGTD11</t>
  </si>
  <si>
    <t>DGTD09-DGTD24</t>
  </si>
  <si>
    <t>DGDS17-DGDS21</t>
  </si>
  <si>
    <t>DGGN13-DGGN03</t>
  </si>
  <si>
    <t>DGGN11-DGGN03</t>
  </si>
  <si>
    <t>DGDL44-DGDL05</t>
  </si>
  <si>
    <t>DGDL15-DGDL37</t>
  </si>
  <si>
    <t>DGDL18-DGDL37</t>
  </si>
  <si>
    <t>DG_DWDM_DKGGNA-DGDL19</t>
  </si>
  <si>
    <t>DGDL09-DGDL37</t>
  </si>
  <si>
    <t>DG_DWDM_DKGGNA-DGGN07</t>
  </si>
  <si>
    <t>DGDL16-DGDL37</t>
  </si>
  <si>
    <t>DGDL32-DGDL07</t>
  </si>
  <si>
    <t>DGDL22-DGDL37</t>
  </si>
  <si>
    <t>22DG033-DGGN06</t>
  </si>
  <si>
    <t>DGGN01-DGGN03</t>
  </si>
  <si>
    <t>DGGN03-DGGN01</t>
  </si>
  <si>
    <t>DGGN03-DG_DWDM_DKGGNA</t>
  </si>
  <si>
    <t>DGGN01-DGDL37</t>
  </si>
  <si>
    <t>DGDL37-DGGN03</t>
  </si>
  <si>
    <t>DGGN06-DGGN17</t>
  </si>
  <si>
    <t>DGGN01-DGGN08</t>
  </si>
  <si>
    <t>DGGN08-DGGN04</t>
  </si>
  <si>
    <t>DGGN15-DGGN02</t>
  </si>
  <si>
    <t>DG_DWDM_DKGGNA-DGGN03</t>
  </si>
  <si>
    <t>DGGN22-DGGN06</t>
  </si>
  <si>
    <t>DGGN20-DGGN03</t>
  </si>
  <si>
    <t>DGGN04-DGGN15</t>
  </si>
  <si>
    <t>DGGN25-DGGN03</t>
  </si>
  <si>
    <t>DGDM24-DGDM29</t>
  </si>
  <si>
    <t>DGTD05-DGTD18</t>
  </si>
  <si>
    <t>DGDS02-DGDS49</t>
  </si>
  <si>
    <t>DGDL01-DGDL37</t>
  </si>
  <si>
    <t>DGGN27-DGGN07</t>
  </si>
  <si>
    <t>21DG017-DGGN06</t>
  </si>
  <si>
    <t>21DG019-DGDS02</t>
  </si>
  <si>
    <t>22DG011-DGDM22</t>
  </si>
  <si>
    <t>DGTD01-DGTD05</t>
  </si>
  <si>
    <t>DGTD18-DGTD11</t>
  </si>
  <si>
    <t>DGTD12-DGTD11</t>
  </si>
  <si>
    <t>DGDG12-DGDG04</t>
  </si>
  <si>
    <t>DGDG11-DGDG04</t>
  </si>
  <si>
    <t>KTNH01-KTST_newsite1</t>
  </si>
  <si>
    <t>KTDT04-KTDT17</t>
  </si>
  <si>
    <t>KTNH01-KTNH12</t>
  </si>
  <si>
    <t>KTST_newsite1-KTST14</t>
  </si>
  <si>
    <t>KTKT19-KTDH09</t>
  </si>
  <si>
    <t>KTDH15-KTDH06</t>
  </si>
  <si>
    <t>KTDH06-KTDH22</t>
  </si>
  <si>
    <t>KTDH01-KTDH04</t>
  </si>
  <si>
    <t>KTDH01-KTDH18</t>
  </si>
  <si>
    <t>KTDH18-KTDH08</t>
  </si>
  <si>
    <t>KTDT04-KTDT19</t>
  </si>
  <si>
    <t>KTNH01-KTNH10</t>
  </si>
  <si>
    <t>KTDH _newsite1-KTNH01</t>
  </si>
  <si>
    <t>KTNH13-KTNH01</t>
  </si>
  <si>
    <t>KTDH01 (KTDH_newsite1)-KTDT04</t>
  </si>
  <si>
    <t>KTNH17-KTNH01</t>
  </si>
  <si>
    <t>KTNH08-KTNH01</t>
  </si>
  <si>
    <t>KTKT75-KTKT05</t>
  </si>
  <si>
    <t>KTKT81-KTKT05</t>
  </si>
  <si>
    <t>KTKT90-KTKT10</t>
  </si>
  <si>
    <t>KTKT91-KTKT30</t>
  </si>
  <si>
    <t>KTKT56-KTKT50</t>
  </si>
  <si>
    <t>KTDH09-KTDH15</t>
  </si>
  <si>
    <t>KTDH22-KTDH01</t>
  </si>
  <si>
    <t>KTDH08-KTKT19</t>
  </si>
  <si>
    <t>KTKT18-KTKT30</t>
  </si>
  <si>
    <t>KTKT02-KTKT10</t>
  </si>
  <si>
    <t>KTKT49-KTKT10</t>
  </si>
  <si>
    <t>KTKT09-KTKT39</t>
  </si>
  <si>
    <t>KTKT14-KTKT39</t>
  </si>
  <si>
    <t>KTKT31-KTKT33</t>
  </si>
  <si>
    <t>KTKT26-KTKT57</t>
  </si>
  <si>
    <t>KTKT72-KTKT50</t>
  </si>
  <si>
    <t>KTKT27-KTKT11</t>
  </si>
  <si>
    <t>KTDT10-KTDT04</t>
  </si>
  <si>
    <t>KTST20-KTST_newsite1</t>
  </si>
  <si>
    <t>KTST05-KTST_newsite1</t>
  </si>
  <si>
    <t>KTST04-KTST_newsite1</t>
  </si>
  <si>
    <t>VNPOST Kon Tum-KTKT19</t>
  </si>
  <si>
    <t>KTKT19-KTKT50</t>
  </si>
  <si>
    <t>KTKT51-KTKT33</t>
  </si>
  <si>
    <t>VNPOST Kon Tum-KTKT44</t>
  </si>
  <si>
    <t>KTKT44-KTKT10</t>
  </si>
  <si>
    <t>KTKT10-KTKT30</t>
  </si>
  <si>
    <t>KTKT30-KTKT19</t>
  </si>
  <si>
    <t>KTKT29-KTKT39</t>
  </si>
  <si>
    <t>VNPOST Kon Tum-KTKT48</t>
  </si>
  <si>
    <t>KTKT60-KTKT19</t>
  </si>
  <si>
    <t>KTKT66-KTKT57</t>
  </si>
  <si>
    <t>KTKT57-KTKT19</t>
  </si>
  <si>
    <t>KTKT35-KTKT11</t>
  </si>
  <si>
    <t>KTKT11-KTKT05</t>
  </si>
  <si>
    <t>KTKT37-KTKT19</t>
  </si>
  <si>
    <t>KTKT45-KTKT19</t>
  </si>
  <si>
    <t>KTDH25-KTDH06</t>
  </si>
  <si>
    <t>KTDH23-KTDH06</t>
  </si>
  <si>
    <t>KTDH41-KTDH15</t>
  </si>
  <si>
    <t>KTKT62-KTKT11</t>
  </si>
  <si>
    <t>KTKT86-KTKT19</t>
  </si>
  <si>
    <t>KTKT06-KTKT48</t>
  </si>
  <si>
    <t>KTKT46-KTKT57</t>
  </si>
  <si>
    <t>KTKT98-KTKT19</t>
  </si>
  <si>
    <t>KTNH14-KTNH01</t>
  </si>
  <si>
    <t>22KT020-KTKT33</t>
  </si>
  <si>
    <t>21KT024-KTKT57</t>
  </si>
  <si>
    <t>22KT002-KTDH18</t>
  </si>
  <si>
    <t>22KT023-KTDT04</t>
  </si>
  <si>
    <t>CAT-KTKT48</t>
  </si>
  <si>
    <t>QNQN02-QNNH21</t>
  </si>
  <si>
    <t>QNQN02-QNST07</t>
  </si>
  <si>
    <t>FFC</t>
  </si>
  <si>
    <t>QNQN02-QNTN06</t>
  </si>
  <si>
    <t>QNQN02-QNST02</t>
  </si>
  <si>
    <t>QNQN02-QNST19</t>
  </si>
  <si>
    <t>QNQN02-QNST36</t>
  </si>
  <si>
    <t>QNQN02-QNST18</t>
  </si>
  <si>
    <t>QNQN02-QNQN15</t>
  </si>
  <si>
    <t>QNQN02-QNQN17</t>
  </si>
  <si>
    <t>QNQN02-QNQN61</t>
  </si>
  <si>
    <t>QNQN02-QNQN44</t>
  </si>
  <si>
    <t>QNQN02-QNTN26</t>
  </si>
  <si>
    <t>QNQN30-QNQN02</t>
  </si>
  <si>
    <t>QNQN2J-QNQN02</t>
  </si>
  <si>
    <t>QNQN02-QNQN2J</t>
  </si>
  <si>
    <t>QNQN02-QNQN09</t>
  </si>
  <si>
    <t>QNMD25-QNTN05</t>
  </si>
  <si>
    <t>QNMD25-QNMD05</t>
  </si>
  <si>
    <t>QNMD25-QNNH03</t>
  </si>
  <si>
    <t>QNMD25-QNMD10</t>
  </si>
  <si>
    <t>QNMD25-QNMD24</t>
  </si>
  <si>
    <t>QNMD25-QNMD01</t>
  </si>
  <si>
    <t>TPComs</t>
  </si>
  <si>
    <t>QNNH21-QNMD25</t>
  </si>
  <si>
    <t>QNMD12-QNMD25</t>
  </si>
  <si>
    <t>QNMD19-QNMD25</t>
  </si>
  <si>
    <t>QNMD36-QNMD25</t>
  </si>
  <si>
    <t>QNMD34-QNMD25</t>
  </si>
  <si>
    <t>QNNH21-QNNH05</t>
  </si>
  <si>
    <t>QNNH21-QNMD02</t>
  </si>
  <si>
    <t>QNNH21-QNNH16</t>
  </si>
  <si>
    <t>QNNH04-QNNH21</t>
  </si>
  <si>
    <t>QNTN10-QNNH21</t>
  </si>
  <si>
    <t>QNTN43-QNNH21</t>
  </si>
  <si>
    <t>QNNH25-QNNH21</t>
  </si>
  <si>
    <t>QNNH09-QNNH21</t>
  </si>
  <si>
    <t>QNNH21-QNTN05</t>
  </si>
  <si>
    <t>QNNH21-QNNH01</t>
  </si>
  <si>
    <t>QNNH21-QNNH24</t>
  </si>
  <si>
    <t>QNNH21-QNNH14</t>
  </si>
  <si>
    <t>QNNH21-QNNH36</t>
  </si>
  <si>
    <t>QNBS23-QNBS26</t>
  </si>
  <si>
    <t>QNBS23-QNBS07</t>
  </si>
  <si>
    <t>QNBS23-QNBS16</t>
  </si>
  <si>
    <t>QNBS23-QNBS54</t>
  </si>
  <si>
    <t>QNBS23-QNBS52</t>
  </si>
  <si>
    <t>QNBS23-QNBS03</t>
  </si>
  <si>
    <t>QNST02-QNBS23</t>
  </si>
  <si>
    <t>QNBS28-QNBS23</t>
  </si>
  <si>
    <t>QNBS15-QNBS23</t>
  </si>
  <si>
    <t>QNBS25-QNBS23</t>
  </si>
  <si>
    <t>QNBS58-QNBS23</t>
  </si>
  <si>
    <t>QNBS1D-QNBS23</t>
  </si>
  <si>
    <t>QNQN26-QNTN_newsite1</t>
  </si>
  <si>
    <t>QNTN13-QNTN_newsite1</t>
  </si>
  <si>
    <t>QNTN39-QNTN_newsite1</t>
  </si>
  <si>
    <t>QNTN05-QNTN_newsite1</t>
  </si>
  <si>
    <t>QNTN_newsite1-QNQN2J</t>
  </si>
  <si>
    <t>QNBS03-QNBS50</t>
  </si>
  <si>
    <t>QNBS45-QNBS03</t>
  </si>
  <si>
    <t>QNBS59-QNBS03</t>
  </si>
  <si>
    <t>QNBS36-QNBS03</t>
  </si>
  <si>
    <t>QNBS21-QNQN85</t>
  </si>
  <si>
    <t>QNST02-QNBS21</t>
  </si>
  <si>
    <t>QNBS79-QNBS21</t>
  </si>
  <si>
    <t>QNQN1A-QNBS21</t>
  </si>
  <si>
    <t>QNBS10-QNBS05</t>
  </si>
  <si>
    <t>QNBS05-QNQN78</t>
  </si>
  <si>
    <t>QNBS41-QNBS05</t>
  </si>
  <si>
    <t>QNQN72-QNBS05</t>
  </si>
  <si>
    <t>QNBS24-QNBS05</t>
  </si>
  <si>
    <t>QNBS57-QNBS05</t>
  </si>
  <si>
    <t>QNBS05-QNBS1M</t>
  </si>
  <si>
    <t>QNBS09-QNBS28</t>
  </si>
  <si>
    <t>QNBS66-QNBS28</t>
  </si>
  <si>
    <t>QNST70-QNBS28</t>
  </si>
  <si>
    <t>QNDP39-QNDP04</t>
  </si>
  <si>
    <t>QNDP03-QNDP04</t>
  </si>
  <si>
    <t>QNDP04-QNDP33</t>
  </si>
  <si>
    <t>QNDP32-QNDP04</t>
  </si>
  <si>
    <t>QNDP04-QNDP24</t>
  </si>
  <si>
    <t>QNDP60-QNDP04</t>
  </si>
  <si>
    <t>QNMD24-QNMD11</t>
  </si>
  <si>
    <t>QNMD11-QNMD06</t>
  </si>
  <si>
    <t>QNMD45-QNMD11</t>
  </si>
  <si>
    <t>QNMD31-QNMD11</t>
  </si>
  <si>
    <t>QNMD06-QNMD27</t>
  </si>
  <si>
    <t>QNMD27-QNTN05</t>
  </si>
  <si>
    <t>QNMD16-QNMD27</t>
  </si>
  <si>
    <t>QNMD27-QNMD20</t>
  </si>
  <si>
    <t>QNNH05-QNNH15</t>
  </si>
  <si>
    <t>QNNH26-QNNH05</t>
  </si>
  <si>
    <t>QNNH36-QNNH05</t>
  </si>
  <si>
    <t>QNNH05-QNNH10</t>
  </si>
  <si>
    <t>QNNH07-QNNH06</t>
  </si>
  <si>
    <t>QNNH06-QNMD28</t>
  </si>
  <si>
    <t>QNNH02-QNNH06</t>
  </si>
  <si>
    <t>QNML02-QNNH06</t>
  </si>
  <si>
    <t>QNNH16-QNNH17</t>
  </si>
  <si>
    <t>QNNH17-QNNH08</t>
  </si>
  <si>
    <t>QNNH11-QNNH17</t>
  </si>
  <si>
    <t>QNNH38-QNNH17</t>
  </si>
  <si>
    <t>QNNH24-QNNH17</t>
  </si>
  <si>
    <t>QNNH17-QNNH27</t>
  </si>
  <si>
    <t>QNNH15-QNNH07</t>
  </si>
  <si>
    <t>QNML03-QNNH15</t>
  </si>
  <si>
    <t>QNNH19-QNNH15</t>
  </si>
  <si>
    <t>QNQN16-QNQN47</t>
  </si>
  <si>
    <t>QNQN27-QNQN16</t>
  </si>
  <si>
    <t>QNQN33-QNQN16</t>
  </si>
  <si>
    <t>QNQN03-QNQN16</t>
  </si>
  <si>
    <t>QNQN16-QNQN2J</t>
  </si>
  <si>
    <t>QNQN58-QNQN22</t>
  </si>
  <si>
    <t>QNQN41-QNQN22</t>
  </si>
  <si>
    <t>QNQN22-QNQN2J</t>
  </si>
  <si>
    <t>QNQN12-QNQN08</t>
  </si>
  <si>
    <t>QNQN08-QNQN31</t>
  </si>
  <si>
    <t>QNQN08-QNQN63</t>
  </si>
  <si>
    <t>QNQN51-QNQN10</t>
  </si>
  <si>
    <t>QNTN23-QNQN10</t>
  </si>
  <si>
    <t>QNQN10-QNQN2J</t>
  </si>
  <si>
    <t>QNQN15-QNQN12</t>
  </si>
  <si>
    <t>QNQN12-QNQN50</t>
  </si>
  <si>
    <t>QNQN09-QNQN45</t>
  </si>
  <si>
    <t>QNQN09-QNQN46</t>
  </si>
  <si>
    <t>QNQN09-QNQN55</t>
  </si>
  <si>
    <t>QNQN18-QNQN09</t>
  </si>
  <si>
    <t>QNQN09-QNQN37</t>
  </si>
  <si>
    <t>QNQN43-QNQN19</t>
  </si>
  <si>
    <t>QNQN19-QNQN35</t>
  </si>
  <si>
    <t>QNTN04-QNQN2D</t>
  </si>
  <si>
    <t>QNQN2D-QNQN26</t>
  </si>
  <si>
    <t>QNQN66-QNQN2D</t>
  </si>
  <si>
    <t>QNQN2G-QNQN2D</t>
  </si>
  <si>
    <t>QNQN2H-QNQN2D</t>
  </si>
  <si>
    <t>QNQN67-QNQN2D</t>
  </si>
  <si>
    <t>QNQN38-QNQN25</t>
  </si>
  <si>
    <t>QNTN_Newsite1-QNQN25</t>
  </si>
  <si>
    <t>QNQN25-QNQN03</t>
  </si>
  <si>
    <t>QNQN25-QNQN2L</t>
  </si>
  <si>
    <t>QNQN41-QNQN59</t>
  </si>
  <si>
    <t>QNQN07-QNQN41</t>
  </si>
  <si>
    <t>QNQN05-QNQN37</t>
  </si>
  <si>
    <t>QNQN37-QNQN2J</t>
  </si>
  <si>
    <t>QNQN53-QNQN43</t>
  </si>
  <si>
    <t>QNTN_Newsite1-QNQN43</t>
  </si>
  <si>
    <t>QNQN31-QNQN2J</t>
  </si>
  <si>
    <t>QNQN90-QNQN81</t>
  </si>
  <si>
    <t>QNQN81-QNQN78</t>
  </si>
  <si>
    <t>QNQN2N-QNQN81</t>
  </si>
  <si>
    <t>QNQN80-QNQN94</t>
  </si>
  <si>
    <t>QNQN94-QNST02</t>
  </si>
  <si>
    <t>QNST36-QNQN82</t>
  </si>
  <si>
    <t>QNQN82-QNST10</t>
  </si>
  <si>
    <t>QNST02-QNST08</t>
  </si>
  <si>
    <t>QNST08-QNST46</t>
  </si>
  <si>
    <t>QNST64-QNST08</t>
  </si>
  <si>
    <t>QNST46-QNST08</t>
  </si>
  <si>
    <t>QNST07-QNST25</t>
  </si>
  <si>
    <t>QNST47-QNST07</t>
  </si>
  <si>
    <t>QNTN06-QNTN09</t>
  </si>
  <si>
    <t>QNTN36-QNTN06</t>
  </si>
  <si>
    <t>QNTN20-QNTN06</t>
  </si>
  <si>
    <t>QNTN66-QNTN06</t>
  </si>
  <si>
    <t>QNTN38-QNTN12</t>
  </si>
  <si>
    <t>QNTN12-QNTN_NEWSITE2</t>
  </si>
  <si>
    <t>QNMD20-QNTN12</t>
  </si>
  <si>
    <t>QNTN40-QNTN66</t>
  </si>
  <si>
    <t>QNTN26-QNTN66</t>
  </si>
  <si>
    <t>QNTN66-QNTN10</t>
  </si>
  <si>
    <t>QNQN2B-QNTN39</t>
  </si>
  <si>
    <t>QNTN08-QNTN39</t>
  </si>
  <si>
    <t>HUPV08-HUPV09</t>
  </si>
  <si>
    <t>HUPV48-HUPLMA02</t>
  </si>
  <si>
    <t>HUPLMA02-HUHTMA01</t>
  </si>
  <si>
    <t>HUHT01-HUTH2N</t>
  </si>
  <si>
    <t>HUHA01-HUHA08</t>
  </si>
  <si>
    <t>HUTH89-HUHU1K</t>
  </si>
  <si>
    <t>HUPX23-HUHU21</t>
  </si>
  <si>
    <t>HUTH2N-HUPV08</t>
  </si>
  <si>
    <t>HUTH1M-HUHT25</t>
  </si>
  <si>
    <t>HUTH05-HUHU92</t>
  </si>
  <si>
    <t>HUTH01-HUHU02</t>
  </si>
  <si>
    <t>HUHT27-HUHA33</t>
  </si>
  <si>
    <t>HUHA09-HUHA01</t>
  </si>
  <si>
    <t>HUTH48-HUHU1K</t>
  </si>
  <si>
    <t>HUHT24-HUHT28</t>
  </si>
  <si>
    <t>HUTH49-HUHU1K</t>
  </si>
  <si>
    <t>HUQD06-HUHA27</t>
  </si>
  <si>
    <t>HUHA01-HUHA21</t>
  </si>
  <si>
    <t>HUQD08-HUHA01</t>
  </si>
  <si>
    <t>HUHA35-HUHA08</t>
  </si>
  <si>
    <t>HUPX18-HUHA35</t>
  </si>
  <si>
    <t>HUPX73-HUHA05</t>
  </si>
  <si>
    <t>HUTH98-HUPV01</t>
  </si>
  <si>
    <t>HUTH1F-HUPV19</t>
  </si>
  <si>
    <t>HUTH1E-HUPV16</t>
  </si>
  <si>
    <t>HUTH53-HUHU79</t>
  </si>
  <si>
    <t>HUPV27-HUHT19</t>
  </si>
  <si>
    <t>HUTH30-HUHU94</t>
  </si>
  <si>
    <t>HUHT32-HUHT18</t>
  </si>
  <si>
    <t>HUHT15-HUHT32</t>
  </si>
  <si>
    <t>HUTH35-HUHU1K</t>
  </si>
  <si>
    <t>HUPX72-HUHU86</t>
  </si>
  <si>
    <t>HUHT12-HUHU08</t>
  </si>
  <si>
    <t>HUHU60-HUHU88</t>
  </si>
  <si>
    <t>HUHA06-HUQD10</t>
  </si>
  <si>
    <t>HUPV34-HUHT25</t>
  </si>
  <si>
    <t>HUHT25-HUHU58</t>
  </si>
  <si>
    <t>HUHU86-HUHT32</t>
  </si>
  <si>
    <t>HUHU99-HUHU79</t>
  </si>
  <si>
    <t>HUHU27-HUHU35</t>
  </si>
  <si>
    <t>HUHT32-HUHU49</t>
  </si>
  <si>
    <t>HUHU88-HUHU03</t>
  </si>
  <si>
    <t>HUHU60-HUHU1D</t>
  </si>
  <si>
    <t>HUHU74-HUHU1N</t>
  </si>
  <si>
    <t>HUQD15-HUQD02</t>
  </si>
  <si>
    <t>HUHU82-HUHU38</t>
  </si>
  <si>
    <t>HUHU86-HUHU47</t>
  </si>
  <si>
    <t>HUHU17-HUHU51</t>
  </si>
  <si>
    <t>HUHU49-HUHU57</t>
  </si>
  <si>
    <t>HUHU60-HUHU59</t>
  </si>
  <si>
    <t>HUHU89-HUHU63</t>
  </si>
  <si>
    <t>HUHU88-HUHU3U</t>
  </si>
  <si>
    <t>HUHU12-HUHU2D</t>
  </si>
  <si>
    <t>HUHU60-HUHU93</t>
  </si>
  <si>
    <t>HUHU67-HUHU33</t>
  </si>
  <si>
    <t>HUPD05-HUPD59</t>
  </si>
  <si>
    <t>HUQD08-HUQD26</t>
  </si>
  <si>
    <t>HUQD08-HUQD11</t>
  </si>
  <si>
    <t>HUHT27-HUHT48</t>
  </si>
  <si>
    <t>HUHU70-HUHU2X</t>
  </si>
  <si>
    <t>HUHU88-HUHU41</t>
  </si>
  <si>
    <t>HUHU41-HUHU3T</t>
  </si>
  <si>
    <t>HUHU3T-HUHU09</t>
  </si>
  <si>
    <t>HUHU09-HUHU1V</t>
  </si>
  <si>
    <t>HUHU1V-HUHU60</t>
  </si>
  <si>
    <t>HUHU2R-HUHU70</t>
  </si>
  <si>
    <t>HUQD30-HUQD10</t>
  </si>
  <si>
    <t>HUPL76-HUPL23</t>
  </si>
  <si>
    <t>HUPL85-HUPL06</t>
  </si>
  <si>
    <t>HUHA03-HUHU67</t>
  </si>
  <si>
    <t>HUHA55-HUHA09</t>
  </si>
  <si>
    <t>HUHA56-HUHU12</t>
  </si>
  <si>
    <t>HUHU20-HUHU35</t>
  </si>
  <si>
    <t>HUHU2Y-HUHU58</t>
  </si>
  <si>
    <t>HUHU3G-HUHUMA01</t>
  </si>
  <si>
    <t>HUHU3J-HUHU17</t>
  </si>
  <si>
    <t>HUHU3M-HUHU99</t>
  </si>
  <si>
    <t>HUHU42-HUHU64</t>
  </si>
  <si>
    <t>HUPL75-HUPL03</t>
  </si>
  <si>
    <t>HUPV49-HUPV04</t>
  </si>
  <si>
    <t>HUPV55-HUPV08</t>
  </si>
  <si>
    <t>HUQD18-HUQD08</t>
  </si>
  <si>
    <t>HUQD21-HUQD06</t>
  </si>
  <si>
    <t>HUHU3L-HUHU70</t>
  </si>
  <si>
    <t>HUHU98-HUHU17</t>
  </si>
  <si>
    <t>HUQD15-HUHA27</t>
  </si>
  <si>
    <t>HUHT42-HUHT28</t>
  </si>
  <si>
    <t>HUHU32-HUHU74</t>
  </si>
  <si>
    <t>HUQD19-HUQD25</t>
  </si>
  <si>
    <t>HUHA50-HUHA21</t>
  </si>
  <si>
    <t>HUHT36-HUHU49</t>
  </si>
  <si>
    <t>HUHU23-HUHU56</t>
  </si>
  <si>
    <t>HUHU2B-HUHU08</t>
  </si>
  <si>
    <t>HUHU2D-HUHU12</t>
  </si>
  <si>
    <t>HUHU31-HUPV34</t>
  </si>
  <si>
    <t>HUHU54-HUHU1K</t>
  </si>
  <si>
    <t>HUHU84-HUPV34</t>
  </si>
  <si>
    <t>HUPL69-HUPL10</t>
  </si>
  <si>
    <t>HUPL71-HUPL23</t>
  </si>
  <si>
    <t>HUPV40-HUPV09</t>
  </si>
  <si>
    <t>HUQD22-HUQD06</t>
  </si>
  <si>
    <t>HUQD23-HUQD06</t>
  </si>
  <si>
    <t>HUPD69-HUPD02</t>
  </si>
  <si>
    <t>HUPX83-HUPX24</t>
  </si>
  <si>
    <t>HUPL92-HUPL23</t>
  </si>
  <si>
    <t>22HU002-HUPD19</t>
  </si>
  <si>
    <t>HUHU2K-HUHU1D</t>
  </si>
  <si>
    <t>HUHA01-HUHA20</t>
  </si>
  <si>
    <t>HUHA34-HUHA05</t>
  </si>
  <si>
    <t>HUHT15-HUHT05</t>
  </si>
  <si>
    <t>HUHTMA01-HUHT16</t>
  </si>
  <si>
    <t>HUPV20-HUPV05</t>
  </si>
  <si>
    <t>HUPV18-HUPV30</t>
  </si>
  <si>
    <t>HUQD10-HUQD17</t>
  </si>
  <si>
    <t>PYDH09-PYTH01</t>
  </si>
  <si>
    <t>PYTH01-PYPY01</t>
  </si>
  <si>
    <t>PYSA10-PYPH04</t>
  </si>
  <si>
    <t>PYPH04-PYPY01</t>
  </si>
  <si>
    <t>VNPOST Hòa Đa-PYTA14</t>
  </si>
  <si>
    <t>PYTA14-PYDX01</t>
  </si>
  <si>
    <t>PYDX01-PYSA09</t>
  </si>
  <si>
    <t>PYSA09-PYPY01</t>
  </si>
  <si>
    <t>DLKB04-DLKB36</t>
  </si>
  <si>
    <t>DLBT13-DLBT05</t>
  </si>
  <si>
    <t>DLBT2V-DLBT24</t>
  </si>
  <si>
    <t>DLBT97-DLBT05</t>
  </si>
  <si>
    <t>DLEH35-DLKN15</t>
  </si>
  <si>
    <t>DLKB21-DLKB31</t>
  </si>
  <si>
    <t>DLBT2X-DLBT05</t>
  </si>
  <si>
    <t>DLKN01-DLKN27</t>
  </si>
  <si>
    <t>DLCG28-DLCG33</t>
  </si>
  <si>
    <t>DLCG45-DLCG06</t>
  </si>
  <si>
    <t>DLEH55-DLEH07</t>
  </si>
  <si>
    <t>DLCG16-DLCG33</t>
  </si>
  <si>
    <t>DLBH27-DLBH15</t>
  </si>
  <si>
    <t>DLBT1F-DLBT80</t>
  </si>
  <si>
    <t>DLBT43-DLBT89</t>
  </si>
  <si>
    <t>DLBT2F-DLBT53</t>
  </si>
  <si>
    <t>DLBT2J-DLBT24</t>
  </si>
  <si>
    <t>DLCG49-DLCG06</t>
  </si>
  <si>
    <t>DLEH22-DLEH07</t>
  </si>
  <si>
    <t>DLCG04-DLCG33</t>
  </si>
  <si>
    <t>DLCG27-DLCG33</t>
  </si>
  <si>
    <t>DLCK02-DLCK11</t>
  </si>
  <si>
    <t>DLCK30-DLCK11</t>
  </si>
  <si>
    <t>DLEK50-DLEK01</t>
  </si>
  <si>
    <t>DLKN18-DLKN27</t>
  </si>
  <si>
    <t>DLKN42-DLKN15</t>
  </si>
  <si>
    <t>DLKN47-DLKN15</t>
  </si>
  <si>
    <t>DLKP64-DLKP17</t>
  </si>
  <si>
    <t>DLCG26-DLCG06</t>
  </si>
  <si>
    <t>DLKB38-DLKB31</t>
  </si>
  <si>
    <t>DLBH11-DLBH15</t>
  </si>
  <si>
    <t>DLBT82-DLBT09</t>
  </si>
  <si>
    <t>DLBT54-DLBT84</t>
  </si>
  <si>
    <t>DLBT84-DLBT80</t>
  </si>
  <si>
    <t>DLBT80-DLBT09</t>
  </si>
  <si>
    <t>DLBT09-DLBT30</t>
  </si>
  <si>
    <t>DLBT09-DLBT26</t>
  </si>
  <si>
    <t>DLBT07-DLBT09</t>
  </si>
  <si>
    <t>DLKN08-DLKN27</t>
  </si>
  <si>
    <t>DLCG03-DLEH27</t>
  </si>
  <si>
    <t>DLBH15-DLBH10</t>
  </si>
  <si>
    <t>DLBT80-DLBT2K</t>
  </si>
  <si>
    <t>DLBT11-DLBT96</t>
  </si>
  <si>
    <t>DLKB31-DLKB30</t>
  </si>
  <si>
    <t>DLKB36-DLKB19</t>
  </si>
  <si>
    <t>DLKB31-DLKB22</t>
  </si>
  <si>
    <t>DLKB36-DLKB31</t>
  </si>
  <si>
    <t>DLKB14-DLKB36</t>
  </si>
  <si>
    <t>DLKN03-DLKN27</t>
  </si>
  <si>
    <t>DLBH15-DLEH08</t>
  </si>
  <si>
    <t>DLKN14-DLKN27</t>
  </si>
  <si>
    <t>DLBH15-DLKN14</t>
  </si>
  <si>
    <t>DLKN15-DLKN27</t>
  </si>
  <si>
    <t>DLEH07-DLKN15</t>
  </si>
  <si>
    <t>DLEH18-DLEH07</t>
  </si>
  <si>
    <t>DLBH15-DLEH18</t>
  </si>
  <si>
    <t>DLBH15-DLKN02</t>
  </si>
  <si>
    <t>DLBT11-DLBT22</t>
  </si>
  <si>
    <t>DLBT52-DLBT11</t>
  </si>
  <si>
    <t>DLBT09-DLBT45</t>
  </si>
  <si>
    <t>DLCG32-DLCG03</t>
  </si>
  <si>
    <t>DLKB22-DLCG32</t>
  </si>
  <si>
    <t>DLBH15-DLBH02</t>
  </si>
  <si>
    <t>DLCG06-DLCG30</t>
  </si>
  <si>
    <t>DLCG41-DLCG06</t>
  </si>
  <si>
    <t>DLCG33-DLCG14</t>
  </si>
  <si>
    <t>DLCG08-DLCG33</t>
  </si>
  <si>
    <t>DLCG03-DLCG08</t>
  </si>
  <si>
    <t>DLBH31-DLCG03</t>
  </si>
  <si>
    <t>PYPY07-PYPY01</t>
  </si>
  <si>
    <t>PYPY33-PYTH21</t>
  </si>
  <si>
    <t>DLBHMA01-DLBH15</t>
  </si>
  <si>
    <t>DLBT09-DLBHMA01</t>
  </si>
  <si>
    <t>DLBH15-DLCG03</t>
  </si>
  <si>
    <t>DLKN27-DLBH15</t>
  </si>
  <si>
    <t>DLBT39-DLBT1T</t>
  </si>
  <si>
    <t>DLBT09-DLBT1E</t>
  </si>
  <si>
    <t>DLBT07-DLBT24</t>
  </si>
  <si>
    <t>DLBT80-DLBT53</t>
  </si>
  <si>
    <t>DLBT26-DLBT60</t>
  </si>
  <si>
    <t>DLBT10-DLBT72</t>
  </si>
  <si>
    <t>DLBT09-DLBT75</t>
  </si>
  <si>
    <t>DLBT10-DLBT88</t>
  </si>
  <si>
    <t>DLBT29-DLBT05</t>
  </si>
  <si>
    <t>DLBT20-DLBT89</t>
  </si>
  <si>
    <t>DLBT84-DLBT44</t>
  </si>
  <si>
    <t>DLBT36-DLBT25</t>
  </si>
  <si>
    <t>DLBH15-DLBH07</t>
  </si>
  <si>
    <t>PYDH36-PYPY33</t>
  </si>
  <si>
    <t>PYDH09-PYPY33</t>
  </si>
  <si>
    <t>PYPY33-PYDH05</t>
  </si>
  <si>
    <t>PYDH19-PYDH11</t>
  </si>
  <si>
    <t>PYDH11-PYDH17</t>
  </si>
  <si>
    <t>PYDH09-PYDH20</t>
  </si>
  <si>
    <t>PYDH20-PYDH12</t>
  </si>
  <si>
    <t>PYDH30-PYDH24</t>
  </si>
  <si>
    <t>PYDH24-PYPY09</t>
  </si>
  <si>
    <t>PYPY35-PYPY01</t>
  </si>
  <si>
    <t>PYTH17-PYTH01</t>
  </si>
  <si>
    <t>PYDH10-PYTH03</t>
  </si>
  <si>
    <t>PYTH03-PYTH06</t>
  </si>
  <si>
    <t>PYTH06-PYTH01</t>
  </si>
  <si>
    <t>PYTH12-PYTH01</t>
  </si>
  <si>
    <t>PYTH01-PYTH10</t>
  </si>
  <si>
    <t>PYTH10-PYTH01</t>
  </si>
  <si>
    <t>PYSA14-PYSA16</t>
  </si>
  <si>
    <t>PYSA16-PYSA10</t>
  </si>
  <si>
    <t>PYPH26-PYPH04</t>
  </si>
  <si>
    <t>PYPH04-PYPH09</t>
  </si>
  <si>
    <t>PYPH13-PYPY01</t>
  </si>
  <si>
    <t>PYPH06-PYPH04</t>
  </si>
  <si>
    <t>PYPH03-PYPH18</t>
  </si>
  <si>
    <t>PYPY05-PYPY01</t>
  </si>
  <si>
    <t>PYPH04-PYPH03</t>
  </si>
  <si>
    <t>PYPH04-PYPH02</t>
  </si>
  <si>
    <t>PYPH19-PYPY01</t>
  </si>
  <si>
    <t>PYPH04-PYPH08</t>
  </si>
  <si>
    <t>PYPH07-PYPH17</t>
  </si>
  <si>
    <t>PYPH17-PYPY01</t>
  </si>
  <si>
    <t>PYPY38-PYTA12</t>
  </si>
  <si>
    <t>PYTA12-PYTA19</t>
  </si>
  <si>
    <t>PYTA33-PYTA05</t>
  </si>
  <si>
    <t>PYTA05-PYTA14</t>
  </si>
  <si>
    <t>VNPOST Hòa Đa-PYTA32</t>
  </si>
  <si>
    <t>PYTA32-PYTA07</t>
  </si>
  <si>
    <t>PYTA01-PYTA14</t>
  </si>
  <si>
    <t>PYTA06-PYTA14</t>
  </si>
  <si>
    <t>PYTA14-PYDX08</t>
  </si>
  <si>
    <t>PYDX04-PYDX01</t>
  </si>
  <si>
    <t>PYTA14-PYTA09</t>
  </si>
  <si>
    <t>PYDX25-PYDX01</t>
  </si>
  <si>
    <t>PYTA14-PYTA16</t>
  </si>
  <si>
    <t>PYTA11-PYDX01</t>
  </si>
  <si>
    <t>PYDX01-PYDX20</t>
  </si>
  <si>
    <t>PYDX23-PYDX03</t>
  </si>
  <si>
    <t>PYDX03-PYSA09</t>
  </si>
  <si>
    <t>PYDH27-PYDH11</t>
  </si>
  <si>
    <t>PYDH40-PYDH11</t>
  </si>
  <si>
    <t>PYDH26-PYDH24</t>
  </si>
  <si>
    <t>PYPY50-PYPY67</t>
  </si>
  <si>
    <t>PYTA26-PYTA05</t>
  </si>
  <si>
    <t>PYTA50-PYTA32</t>
  </si>
  <si>
    <t>PYTA41-PYTA32</t>
  </si>
  <si>
    <t>PYDX30-PYDX01</t>
  </si>
  <si>
    <t>PYTH23-PYTH06</t>
  </si>
  <si>
    <t>PYTH26-PYTH06</t>
  </si>
  <si>
    <t>PYTH03-PYTH08</t>
  </si>
  <si>
    <t>PYSA01-PYSA16</t>
  </si>
  <si>
    <t>PYPH30-PYPH03</t>
  </si>
  <si>
    <t>PYTA20-PYTA05</t>
  </si>
  <si>
    <t>PYTA03-PYTA32</t>
  </si>
  <si>
    <t>PYPY15-PYTA12</t>
  </si>
  <si>
    <t>PYDX26-PYDX03</t>
  </si>
  <si>
    <t>PYDX24-PYDX03</t>
  </si>
  <si>
    <t>DLKN53-DLKN15</t>
  </si>
  <si>
    <t>DLCG60-DLBT25</t>
  </si>
  <si>
    <t>DLBH36-DLBH15</t>
  </si>
  <si>
    <t>DLBT3F-DLBT84</t>
  </si>
  <si>
    <t>PYPY60-PYPY66</t>
  </si>
  <si>
    <t>PYPY66-PYPY67</t>
  </si>
  <si>
    <t>PYPY67-PYPY58</t>
  </si>
  <si>
    <t>PYPY58-PYPY10</t>
  </si>
  <si>
    <t>PYPY10-PYPY49</t>
  </si>
  <si>
    <t>PYPY46-PYPY47</t>
  </si>
  <si>
    <t>PYPY47-VNPOST Tuy Hòa</t>
  </si>
  <si>
    <t>PYPY16-PYPY40</t>
  </si>
  <si>
    <t>PYPY40-PYPY68</t>
  </si>
  <si>
    <t>PYPY16-PYPY20</t>
  </si>
  <si>
    <t>PYPY20-PYPY06</t>
  </si>
  <si>
    <t>PYPY06-PYPY32</t>
  </si>
  <si>
    <t>PYPY32-VNPOST Tuy Hòa</t>
  </si>
  <si>
    <t>PYPH14-PYPH17</t>
  </si>
  <si>
    <t>PYPY02-PYPY33</t>
  </si>
  <si>
    <t>PYPY79-PYPY01</t>
  </si>
  <si>
    <t>21PY006-PYPY66</t>
  </si>
  <si>
    <t>PYTH33-PYTH03</t>
  </si>
  <si>
    <t>PYPY67-PYPY72</t>
  </si>
  <si>
    <t>PYPY40-PYPY61</t>
  </si>
  <si>
    <t>PYPY40-PYPY08</t>
  </si>
  <si>
    <t>PYPY67-PYPY11</t>
  </si>
  <si>
    <t>PYTA48-PYTA14</t>
  </si>
  <si>
    <t>PYPY76-PYPY47</t>
  </si>
  <si>
    <t>PYTH01-PYDH09</t>
  </si>
  <si>
    <t>DLBTMA01-DLBT09</t>
  </si>
  <si>
    <t>DLBT09-DLBTMA01</t>
  </si>
  <si>
    <t>DLCG07-DLCG03</t>
  </si>
  <si>
    <t>DLBHMA012-DLCG03</t>
  </si>
  <si>
    <t>DLBT09-DLBHMA012</t>
  </si>
  <si>
    <t>DLBTMA01-DLCG03</t>
  </si>
  <si>
    <t>DLCG03-DLKN27</t>
  </si>
  <si>
    <t>DLKN27-DLKN02</t>
  </si>
  <si>
    <t>DLKN02-DLBH15</t>
  </si>
  <si>
    <t>DLBH15-DLBT09</t>
  </si>
  <si>
    <t>DLEK01-DLKN02</t>
  </si>
  <si>
    <t>DLKP01-DLEK01</t>
  </si>
  <si>
    <t>DLBT09-DLKP01</t>
  </si>
  <si>
    <t>DLCK17-DLCK11</t>
  </si>
  <si>
    <t>DLCK11-DLKP17</t>
  </si>
  <si>
    <t>DLKP17-DLKP01</t>
  </si>
  <si>
    <t>DLEK27-DLEK03</t>
  </si>
  <si>
    <t>DLEK03-DLEK29</t>
  </si>
  <si>
    <t>DLEK01-DLEK29</t>
  </si>
  <si>
    <t>DLEK01-DLEK10</t>
  </si>
  <si>
    <t>DLKP05-DLEK01</t>
  </si>
  <si>
    <t>DLKP37-DLKP05</t>
  </si>
  <si>
    <t>DLKP01-DLKP37</t>
  </si>
  <si>
    <t>DLEK01-DLKP07</t>
  </si>
  <si>
    <t>DLKP06-DLKP38</t>
  </si>
  <si>
    <t>DLKP11-DLKP06</t>
  </si>
  <si>
    <t>DLEK01-DLEK34</t>
  </si>
  <si>
    <t>DLEK34-DLEK04</t>
  </si>
  <si>
    <t>DLEK30-DLEK04</t>
  </si>
  <si>
    <t>DLBT09-DLKP03</t>
  </si>
  <si>
    <t>DLKP03-DLKP14</t>
  </si>
  <si>
    <t>DLCK03-DLCK11</t>
  </si>
  <si>
    <t>DLKP17-DLKP32</t>
  </si>
  <si>
    <t>DLBT51-DLBT80</t>
  </si>
  <si>
    <t>DLBH17-DLBH15</t>
  </si>
  <si>
    <t>DLKN49-DLKN15</t>
  </si>
  <si>
    <t>DLKN05-DLKN27</t>
  </si>
  <si>
    <t>DLCG03-DLCG41</t>
  </si>
  <si>
    <t>DLCG29-DLCG03</t>
  </si>
  <si>
    <t>DLKA03-DLBT1T</t>
  </si>
  <si>
    <t>DLKB35-DLKB36</t>
  </si>
  <si>
    <t>DLKB22-DLKB13</t>
  </si>
  <si>
    <t>DLEK01-DLEK31</t>
  </si>
  <si>
    <t>DLEK53-DLEK03</t>
  </si>
  <si>
    <t>DLEK35-DLEK03</t>
  </si>
  <si>
    <t>DLEK41-DLEK04</t>
  </si>
  <si>
    <t>DLEK36-DLEK04</t>
  </si>
  <si>
    <t>DLKP43-DLKP05</t>
  </si>
  <si>
    <t>DLKP35-DLKP05</t>
  </si>
  <si>
    <t>DLKP40-DLKP05</t>
  </si>
  <si>
    <t>DLKP20-DLKP05</t>
  </si>
  <si>
    <t>DLKP10-DLKP37</t>
  </si>
  <si>
    <t>DLKP61-DLKP37</t>
  </si>
  <si>
    <t>DLKP49-DLKP06</t>
  </si>
  <si>
    <t>DLKP54-DLKP17</t>
  </si>
  <si>
    <t>DLKP50-DLKP17</t>
  </si>
  <si>
    <t>DLKP15-DLKP03</t>
  </si>
  <si>
    <t>DLKP31-DLKP03</t>
  </si>
  <si>
    <t>DLKP63-DLKP03</t>
  </si>
  <si>
    <t>DLCK06-DLCK11</t>
  </si>
  <si>
    <t>DLKG16-DLKG26</t>
  </si>
  <si>
    <t>DLKG15-DLKG16</t>
  </si>
  <si>
    <t>DLBT16-DLBT53</t>
  </si>
  <si>
    <t>DLBT1X-DLBT89</t>
  </si>
  <si>
    <t>DLEH23-DLEH07</t>
  </si>
  <si>
    <t>DLEH41-DLEH07</t>
  </si>
  <si>
    <t>DLBT19-DLBT72</t>
  </si>
  <si>
    <t>DLBT2P-DLBT88</t>
  </si>
  <si>
    <t>DLBT46-DLBT09</t>
  </si>
  <si>
    <t>DLEK11-DLEK04</t>
  </si>
  <si>
    <t>DLEK42-DLEK04</t>
  </si>
  <si>
    <t>DLKG05-DLKG33</t>
  </si>
  <si>
    <t>DLKG13-DLKG05</t>
  </si>
  <si>
    <t>DLKG27-DLKG05</t>
  </si>
  <si>
    <t>DLKG29-DLKG16</t>
  </si>
  <si>
    <t>DLBT3U-DLBT05</t>
  </si>
  <si>
    <t>DLKN58-DLKN27</t>
  </si>
  <si>
    <t>DLKN54-DLKN27</t>
  </si>
  <si>
    <t>DLKB43-DLKB36</t>
  </si>
  <si>
    <t>DLEK72-DLEK01</t>
  </si>
  <si>
    <t>22DL039-DLKP06</t>
  </si>
  <si>
    <t>DLCK22-DLCK11</t>
  </si>
  <si>
    <t>DLCK25-DLCK11</t>
  </si>
  <si>
    <t>DLEK31-DLEK01</t>
  </si>
  <si>
    <t>DLEK16-DLEK01</t>
  </si>
  <si>
    <t>Cửa hàng MobiFone huyện Buôn Hồ-DLBH15</t>
  </si>
  <si>
    <t>DLKG36-DLKG05</t>
  </si>
  <si>
    <t>DLKP76-DLKP37</t>
  </si>
  <si>
    <t>DLBT3N-DLBT05</t>
  </si>
  <si>
    <t>DLBT3T-DLBT88</t>
  </si>
  <si>
    <t>DLBT53-DLBT3Y</t>
  </si>
  <si>
    <t>DLBT4B-DLBT09</t>
  </si>
  <si>
    <t>DLBT5B-DLBT09</t>
  </si>
  <si>
    <t>DLBT72-DLBT86</t>
  </si>
  <si>
    <t>DLBT34-DLBT88</t>
  </si>
  <si>
    <t>DLBT52-DLBT09</t>
  </si>
  <si>
    <t>DLBT17-DLBT52</t>
  </si>
  <si>
    <t>DLBTMA01-DLBT17</t>
  </si>
  <si>
    <t>DNCL85-DNCL28</t>
  </si>
  <si>
    <t>DNCL28-DNCL09</t>
  </si>
  <si>
    <t>DNCL28-DNCL01</t>
  </si>
  <si>
    <t>DNCL28-DNCL16</t>
  </si>
  <si>
    <t>DNHC17-DNHC27</t>
  </si>
  <si>
    <t>DNHC17-DNHC62</t>
  </si>
  <si>
    <t>DNHC17-DNHC73</t>
  </si>
  <si>
    <t>DNHV60-DNHV01</t>
  </si>
  <si>
    <t>DNHV78-DNHV01</t>
  </si>
  <si>
    <t>DNHV01-DNHV11</t>
  </si>
  <si>
    <t>DNHV01-DNHV18</t>
  </si>
  <si>
    <t>DNHV87-DNHV01</t>
  </si>
  <si>
    <t>DNLC91-DNLC15</t>
  </si>
  <si>
    <t>DNLC15-DNLC26</t>
  </si>
  <si>
    <t>DNLC15-DNTK31</t>
  </si>
  <si>
    <t>DNLC1P-DNLC15</t>
  </si>
  <si>
    <t>DNLC07-DNLC15</t>
  </si>
  <si>
    <t>DNNH02-DNNH35</t>
  </si>
  <si>
    <t>DNNH02-DNNH44</t>
  </si>
  <si>
    <t>DNST87-DNST2G</t>
  </si>
  <si>
    <t>DNST87-DNST53</t>
  </si>
  <si>
    <t>DNST87-DNST94</t>
  </si>
  <si>
    <t>DNST87-DNST68</t>
  </si>
  <si>
    <t>DNST87-DNST65</t>
  </si>
  <si>
    <t>DNST87-DNST1D</t>
  </si>
  <si>
    <t>DNST87-DNST28</t>
  </si>
  <si>
    <t>QAHA03-QAHA06</t>
  </si>
  <si>
    <t>QAHA32-QAHA06</t>
  </si>
  <si>
    <t>QAHA06-QAHA27</t>
  </si>
  <si>
    <t>QAHA25-QAHA06</t>
  </si>
  <si>
    <t>QAHA05-QAHA06</t>
  </si>
  <si>
    <t>QANT37-QANT01</t>
  </si>
  <si>
    <t>QATB_newsite 2-QATB10</t>
  </si>
  <si>
    <t>QATB_newsite 2-QATB18</t>
  </si>
  <si>
    <t>QATB_newsite 2-QATB25</t>
  </si>
  <si>
    <t>QAQS10-QATB_newsite 2</t>
  </si>
  <si>
    <t>QAQS03-QATB_newsite 2</t>
  </si>
  <si>
    <t>QAQS19-QATB_newsite 2</t>
  </si>
  <si>
    <t>QATB01-QATB_newsite 2</t>
  </si>
  <si>
    <t>QATB1D-QATB_newsite 2</t>
  </si>
  <si>
    <t>QANT04-QATB35</t>
  </si>
  <si>
    <t>QATB35-QATB32</t>
  </si>
  <si>
    <t>QATB35-QATK39</t>
  </si>
  <si>
    <t>QADX35-QATB35</t>
  </si>
  <si>
    <t>QATB03-QATB35</t>
  </si>
  <si>
    <t>QATB94-QATB31</t>
  </si>
  <si>
    <t>QATB1B-QATB31</t>
  </si>
  <si>
    <t>QATB14-QATB31</t>
  </si>
  <si>
    <t>QATB31-QATK43</t>
  </si>
  <si>
    <t>QATB31-QATB73</t>
  </si>
  <si>
    <t>QATB31-QAQS05</t>
  </si>
  <si>
    <t>QATK71-QATB31</t>
  </si>
  <si>
    <t>QATK39-QATK02</t>
  </si>
  <si>
    <t>QATK39-QATK04</t>
  </si>
  <si>
    <t>QATK39-QATK32</t>
  </si>
  <si>
    <t>QAPN06-QATK39</t>
  </si>
  <si>
    <t>QATK23-QATK39</t>
  </si>
  <si>
    <t>QATK34-QATK39</t>
  </si>
  <si>
    <t>QATK41-QATK39</t>
  </si>
  <si>
    <t>QATK03-QATK39</t>
  </si>
  <si>
    <t>DNCL08-DNCL33</t>
  </si>
  <si>
    <t>DNCL53-DNCL30</t>
  </si>
  <si>
    <t>DNCL14-DNCL30</t>
  </si>
  <si>
    <t>DNCL30-DNCL70</t>
  </si>
  <si>
    <t>DNCL93-DNCL56</t>
  </si>
  <si>
    <t>DNCL78-DNCL56</t>
  </si>
  <si>
    <t>DNCL83-DNCL56</t>
  </si>
  <si>
    <t>DNCL96-DNCL56</t>
  </si>
  <si>
    <t>DNHC86-DNHC02</t>
  </si>
  <si>
    <t>DNHC87-DNHC02</t>
  </si>
  <si>
    <t>DNHC85-DNHC02</t>
  </si>
  <si>
    <t>DNHC23-DNHC02</t>
  </si>
  <si>
    <t>DNHC02-DNHC16</t>
  </si>
  <si>
    <t>DNHC50-DNHC24</t>
  </si>
  <si>
    <t>DNHC97-DNHC46</t>
  </si>
  <si>
    <t>DNHC46-DNHC43</t>
  </si>
  <si>
    <t>DNHC76-DNHC54</t>
  </si>
  <si>
    <t>DNHC2O-DNHC54</t>
  </si>
  <si>
    <t>DNCL41-DNHV12</t>
  </si>
  <si>
    <t>DNHV12-DNCL69</t>
  </si>
  <si>
    <t>DNHV12-DNCL71</t>
  </si>
  <si>
    <t>DNHV12-DNHV64</t>
  </si>
  <si>
    <t>DNHV12-DNCL67</t>
  </si>
  <si>
    <t>22DN015-DNHV12</t>
  </si>
  <si>
    <t>22DN067-DNHV12</t>
  </si>
  <si>
    <t>DNHW22-DNHW10</t>
  </si>
  <si>
    <t>DNCL31-DNLC06</t>
  </si>
  <si>
    <t>DNLC06-DNLC21</t>
  </si>
  <si>
    <t>DNLC31-DNLC11</t>
  </si>
  <si>
    <t>DNLC28-DNLC11</t>
  </si>
  <si>
    <t>DNLC11-DNLC1E</t>
  </si>
  <si>
    <t>DNLC11-DNLC64</t>
  </si>
  <si>
    <t>DNHW23-DNLC11</t>
  </si>
  <si>
    <t>DNLC11-DNLC22</t>
  </si>
  <si>
    <t>DNLC36-DNLC1P</t>
  </si>
  <si>
    <t>DNLC10-DNLC22</t>
  </si>
  <si>
    <t>DNLC33-DNLC22</t>
  </si>
  <si>
    <t>DNLC1C-DNLC22</t>
  </si>
  <si>
    <t>DNLC22-DNLC68</t>
  </si>
  <si>
    <t>DNLC22-DNLC13</t>
  </si>
  <si>
    <t>DNNH08-DNNH59</t>
  </si>
  <si>
    <t>DNNH1T-DNNH59</t>
  </si>
  <si>
    <t>DNNH63-DNNH59</t>
  </si>
  <si>
    <t>DNNH59-DNNH64</t>
  </si>
  <si>
    <t>DNNH59-DNNH65</t>
  </si>
  <si>
    <t>DNNH59-DNNH74</t>
  </si>
  <si>
    <t>DNNH59-DNNH80</t>
  </si>
  <si>
    <t>DNCL74-DNTK08</t>
  </si>
  <si>
    <t>DNTK32-DNTK10</t>
  </si>
  <si>
    <t>DNTK10-DNTK75</t>
  </si>
  <si>
    <t>DNTK10-DNTK76</t>
  </si>
  <si>
    <t>DNTK13-DNTK10</t>
  </si>
  <si>
    <t>DNTK10-DNTK14</t>
  </si>
  <si>
    <t>QADB02-QADB34</t>
  </si>
  <si>
    <t>QADB02-QADB35</t>
  </si>
  <si>
    <t>QADB02-QADB59</t>
  </si>
  <si>
    <t>QADB02-QADB64</t>
  </si>
  <si>
    <t>QADB11-QADB02</t>
  </si>
  <si>
    <t>QADB02-QADB16</t>
  </si>
  <si>
    <t>QADB53-QADB02</t>
  </si>
  <si>
    <t>QADB36-QADB02</t>
  </si>
  <si>
    <t>20QA168-QADB02</t>
  </si>
  <si>
    <t>QADX70-QADX19</t>
  </si>
  <si>
    <t>QAHA02-QAHA18</t>
  </si>
  <si>
    <t>QAHA18-QAHA04</t>
  </si>
  <si>
    <t>QAPN05-QAPN04</t>
  </si>
  <si>
    <t>QAPN42-QAPN04</t>
  </si>
  <si>
    <t>QAPN32-QAPN04</t>
  </si>
  <si>
    <t>QAPN39-QAPN04</t>
  </si>
  <si>
    <t>QAPN04-QATK41</t>
  </si>
  <si>
    <t>QAPN22-QAPN04</t>
  </si>
  <si>
    <t>QAQS36-QAQS10</t>
  </si>
  <si>
    <t>QATB42-QAQS10</t>
  </si>
  <si>
    <t>QAQS10-QAQS49</t>
  </si>
  <si>
    <t>QAQS33-QAQS10</t>
  </si>
  <si>
    <t>QAQS16-QAQS10</t>
  </si>
  <si>
    <t>QAQS19-QATB11</t>
  </si>
  <si>
    <t>QATB74-QATB14</t>
  </si>
  <si>
    <t>QATB_ newsite 2-QATB14</t>
  </si>
  <si>
    <t>QATB14-QATB49</t>
  </si>
  <si>
    <t>QATB14-QATB26</t>
  </si>
  <si>
    <t>QATB25-QATB14</t>
  </si>
  <si>
    <t>QATB1A-QATB34</t>
  </si>
  <si>
    <t>QATB59-QATB34</t>
  </si>
  <si>
    <t>QATB06-QATB34</t>
  </si>
  <si>
    <t>QATB34-QATK71</t>
  </si>
  <si>
    <t>QATB34-QATB47</t>
  </si>
  <si>
    <t>QATK18-QATK03</t>
  </si>
  <si>
    <t>QATK70-QATK03</t>
  </si>
  <si>
    <t>QATK24-QATK05</t>
  </si>
  <si>
    <t>QATK15-QATK57</t>
  </si>
  <si>
    <t>QATK15-QAPN22</t>
  </si>
  <si>
    <t>QATK71-QATK15</t>
  </si>
  <si>
    <t>QATK71-QATK18</t>
  </si>
  <si>
    <t>QATK36-QATK22</t>
  </si>
  <si>
    <t>QATK22-QAPN17</t>
  </si>
  <si>
    <t>QATK22-QATK49</t>
  </si>
  <si>
    <t>QATK22-QAPN41</t>
  </si>
  <si>
    <t>QATK22-QAPN21</t>
  </si>
  <si>
    <t>QATK71-QATK22</t>
  </si>
  <si>
    <t>QATK37-QAPN09</t>
  </si>
  <si>
    <t>QATK71-QATK37</t>
  </si>
  <si>
    <t>QATK71-QATK47</t>
  </si>
  <si>
    <t>DNHC07-DNCL28</t>
  </si>
  <si>
    <t>DNCL28-DNTK16</t>
  </si>
  <si>
    <t>DNCL28-DNCL48</t>
  </si>
  <si>
    <t>DNCL26-DNCL28</t>
  </si>
  <si>
    <t>DNCL28-DNCL12</t>
  </si>
  <si>
    <t>DNCL28-DNCL30</t>
  </si>
  <si>
    <t>DNHC17-DNTK01</t>
  </si>
  <si>
    <t>DNHC13-DNHC17</t>
  </si>
  <si>
    <t>DNHC17-DNHC20</t>
  </si>
  <si>
    <t>DNTK12-DNHC17</t>
  </si>
  <si>
    <t>DNHC17-DNTK05</t>
  </si>
  <si>
    <t>DNHC17-DNHC28</t>
  </si>
  <si>
    <t>DNHC75-DNHC17</t>
  </si>
  <si>
    <t>DNCL03-DNHV01</t>
  </si>
  <si>
    <t>DNHV01-DNHW02</t>
  </si>
  <si>
    <t>DNHV73-DNHV01</t>
  </si>
  <si>
    <t>DNHV01-DNHV44</t>
  </si>
  <si>
    <t>DNHV01-DNHV34</t>
  </si>
  <si>
    <t>DNHV13-DNHV01</t>
  </si>
  <si>
    <t>DNHV9A-DNHV01</t>
  </si>
  <si>
    <t>DNNH12-DNHV04</t>
  </si>
  <si>
    <t>DNHV04-DNCL92</t>
  </si>
  <si>
    <t>DNHV22-DNHV04</t>
  </si>
  <si>
    <t>DNHV29-DNHV04</t>
  </si>
  <si>
    <t>DNHV52-DNHV04</t>
  </si>
  <si>
    <t>DT-DN06-DNHV04</t>
  </si>
  <si>
    <t>DNCL92-DNHV04</t>
  </si>
  <si>
    <t>DNHW02-DNLC15</t>
  </si>
  <si>
    <t>DNLC15-DNLC25</t>
  </si>
  <si>
    <t>DNLC15-DNLC16</t>
  </si>
  <si>
    <t>DNNH11-DNNH02</t>
  </si>
  <si>
    <t>DNNH02-DNNH12</t>
  </si>
  <si>
    <t>DNNH02-DNNH30</t>
  </si>
  <si>
    <t>DNNH26-DNNH02</t>
  </si>
  <si>
    <t>DNNH31-DNNH02</t>
  </si>
  <si>
    <t>DNNH38-DNNH02</t>
  </si>
  <si>
    <t>DNNH02-DNNH1X</t>
  </si>
  <si>
    <t>DNST18-DNST87</t>
  </si>
  <si>
    <t>DNST87-DNTK01</t>
  </si>
  <si>
    <t>DNST15-DNST87</t>
  </si>
  <si>
    <t>DNST47-DNST87</t>
  </si>
  <si>
    <t>DNST87-DNST25</t>
  </si>
  <si>
    <t>DNST2H-DNST87</t>
  </si>
  <si>
    <t>QADB15-QAQS05</t>
  </si>
  <si>
    <t>QADB15-QADB04</t>
  </si>
  <si>
    <t>QADB15-QADB08</t>
  </si>
  <si>
    <t>QADB15-QADB07</t>
  </si>
  <si>
    <t>QADB15-QADX12</t>
  </si>
  <si>
    <t>QADB15-QADB13</t>
  </si>
  <si>
    <t>QADB85-QADB15</t>
  </si>
  <si>
    <t>QADB01-QADB15</t>
  </si>
  <si>
    <t>QADB39-QADB15</t>
  </si>
  <si>
    <t>QADB04-QADLMA01</t>
  </si>
  <si>
    <t>QADLMA01-QADX04</t>
  </si>
  <si>
    <t>QADL19-QADLMA01</t>
  </si>
  <si>
    <t>QADLMA01-QADL11</t>
  </si>
  <si>
    <t>QADLMA01-QADL14</t>
  </si>
  <si>
    <t>QADLMA01-QADL31</t>
  </si>
  <si>
    <t>QADL22-QADLMA01</t>
  </si>
  <si>
    <t>QADLMA01-QADL37</t>
  </si>
  <si>
    <t>QADL67-QADLMA01</t>
  </si>
  <si>
    <t>QADL01-QADLMA01</t>
  </si>
  <si>
    <t>QADX04-QAQS06</t>
  </si>
  <si>
    <t>QADX03-QADX04</t>
  </si>
  <si>
    <t>QADX34-QADX04</t>
  </si>
  <si>
    <t>QADX19-QADX04</t>
  </si>
  <si>
    <t>QADX04-QADB54</t>
  </si>
  <si>
    <t>QADX04-QADX24</t>
  </si>
  <si>
    <t>QADX04-QADX50</t>
  </si>
  <si>
    <t>QADX63-QADX04</t>
  </si>
  <si>
    <t>QADX61-QADX04</t>
  </si>
  <si>
    <t>QAHA02-QAHA06</t>
  </si>
  <si>
    <t>QAHA06-QADB46</t>
  </si>
  <si>
    <t>QAHA06-QAHA41</t>
  </si>
  <si>
    <t>QANT03-QANT01</t>
  </si>
  <si>
    <t>QANT01-QATK71</t>
  </si>
  <si>
    <t>QANT38-QANT01</t>
  </si>
  <si>
    <t>QANT14-QANT01</t>
  </si>
  <si>
    <t>QANT01-QANT31</t>
  </si>
  <si>
    <t>QANT01-QANT53</t>
  </si>
  <si>
    <t>QAQS05-QATB_newsite 2</t>
  </si>
  <si>
    <t>QATB_newsite 2-QATB03</t>
  </si>
  <si>
    <t>CHGD huyện Thăng Bình-QATB_newsite 2</t>
  </si>
  <si>
    <t>QATB43-QATB_newsite 2</t>
  </si>
  <si>
    <t>QATB35-QATKMA01</t>
  </si>
  <si>
    <t>QATB12-QATB35</t>
  </si>
  <si>
    <t>QATB35-QATK62</t>
  </si>
  <si>
    <t>MX QATKMA01-QADX35 hướng cầu Bình Nam-QATB35</t>
  </si>
  <si>
    <t>QATB35-MX QATKMA01-QADX35 hướng cầu Tỉnh Thủy</t>
  </si>
  <si>
    <t>QAQS06-QATB31</t>
  </si>
  <si>
    <t>QATB31-QATK71</t>
  </si>
  <si>
    <t>DNHC92-DNCL08</t>
  </si>
  <si>
    <t>DNHC49-DNCL08</t>
  </si>
  <si>
    <t>DNCL08-DNCL09</t>
  </si>
  <si>
    <t>DNCL80-DNCL30</t>
  </si>
  <si>
    <t>DNCL18-DNCL30</t>
  </si>
  <si>
    <t>DNCL58-DNCL56</t>
  </si>
  <si>
    <t>DNCL56-DNCL47</t>
  </si>
  <si>
    <t>DNNH18-DNCL56</t>
  </si>
  <si>
    <t>DNCL56-DNCL24</t>
  </si>
  <si>
    <t>DNHC02-MX Lê Hồng Phong-Phan Chu Trinh</t>
  </si>
  <si>
    <t>MX Yên Bái – Nguyễn Thái Học-DNHC02</t>
  </si>
  <si>
    <t>DNHC16-DNHC02</t>
  </si>
  <si>
    <t>DNHC02-DNHC2S</t>
  </si>
  <si>
    <t>DNHC79-DNHC24</t>
  </si>
  <si>
    <t>DNHC24-DNHC75</t>
  </si>
  <si>
    <t>DNHC13-DNHC24</t>
  </si>
  <si>
    <t>DNHC60-DNHC24</t>
  </si>
  <si>
    <t>DNHC46-DNHC61</t>
  </si>
  <si>
    <t>DNHC30-DNHC46</t>
  </si>
  <si>
    <t>DNHC54-DNHC05</t>
  </si>
  <si>
    <t>DNHC54-DNHC34</t>
  </si>
  <si>
    <t>DNTK17-DNHC77</t>
  </si>
  <si>
    <t>DNHC01-DNHC77</t>
  </si>
  <si>
    <t>DNHV12-DNHV52</t>
  </si>
  <si>
    <t>DNNH12-DNHV12</t>
  </si>
  <si>
    <t>DNHW03-DNHW22</t>
  </si>
  <si>
    <t>DNHW22-DNHW06</t>
  </si>
  <si>
    <t>DNLC02-DNTK31</t>
  </si>
  <si>
    <t>DNLC18-DNLC02</t>
  </si>
  <si>
    <t>21DN013-DNLC02</t>
  </si>
  <si>
    <t>DNLC06-DNLC55</t>
  </si>
  <si>
    <t>DNLC82-DNLC06</t>
  </si>
  <si>
    <t>DNLC1Y-DNLC06</t>
  </si>
  <si>
    <t>DNLC1W-DNLC1P</t>
  </si>
  <si>
    <t>DNLC22-DNLC50</t>
  </si>
  <si>
    <t>DNNH39-DNNH59</t>
  </si>
  <si>
    <t>DNNH11-DNNH59</t>
  </si>
  <si>
    <t>DNNH59-DNNH09</t>
  </si>
  <si>
    <t>22DN042-DNNH59</t>
  </si>
  <si>
    <t>DNST1W-DNST12</t>
  </si>
  <si>
    <t>DNST27-DNST12</t>
  </si>
  <si>
    <t>DNST01-DNST12</t>
  </si>
  <si>
    <t>DNST12-DNST42</t>
  </si>
  <si>
    <t>DNCL20-DNTK08</t>
  </si>
  <si>
    <t>DNCL04-DNTK08</t>
  </si>
  <si>
    <t>DNTK08-DNTK26</t>
  </si>
  <si>
    <t>DNTK10-DNTK62</t>
  </si>
  <si>
    <t>DNTK58-DNTK10</t>
  </si>
  <si>
    <t>DNTK14-DNTK10</t>
  </si>
  <si>
    <t>QADB57-QADB02</t>
  </si>
  <si>
    <t>QADB08-QADB73</t>
  </si>
  <si>
    <t>QADB04-QADB52</t>
  </si>
  <si>
    <t>QADB52-QADL09</t>
  </si>
  <si>
    <t>QADB17-QADB52</t>
  </si>
  <si>
    <t>QADL34-QADL15</t>
  </si>
  <si>
    <t>QADL15-QADX34</t>
  </si>
  <si>
    <t>QADL32-QADL15</t>
  </si>
  <si>
    <t>QADL62-QADL15</t>
  </si>
  <si>
    <t>QADL33-QADL15</t>
  </si>
  <si>
    <t>QADL05-QADX19</t>
  </si>
  <si>
    <t>QADX39-QADX20</t>
  </si>
  <si>
    <t>QADX20-QAQS06</t>
  </si>
  <si>
    <t>QADX30-QADX20</t>
  </si>
  <si>
    <t>QADX08-QADX20</t>
  </si>
  <si>
    <t>18QA083-QAHA18</t>
  </si>
  <si>
    <t>QATK07-QANT49</t>
  </si>
  <si>
    <t>QANT49-QANT06</t>
  </si>
  <si>
    <t>QANT29-QANT49</t>
  </si>
  <si>
    <t>QAPN04-QAPN14</t>
  </si>
  <si>
    <t>21QA013-QAPN04</t>
  </si>
  <si>
    <t>QAQS38-QAQS10</t>
  </si>
  <si>
    <t>QATB52-QATB11</t>
  </si>
  <si>
    <t>21QA048-QATB14</t>
  </si>
  <si>
    <t>QAPN43-QATB34</t>
  </si>
  <si>
    <t>QATK03-QATK46</t>
  </si>
  <si>
    <t>QATK18-QATK24</t>
  </si>
  <si>
    <t>NH Nam Á Bank-QATK18</t>
  </si>
  <si>
    <t>QAPN20-QATK22</t>
  </si>
  <si>
    <t>Tuyến cáp thuê gốc</t>
  </si>
  <si>
    <t>Loại cáp</t>
  </si>
  <si>
    <t>Đơn vị sở hữu</t>
  </si>
  <si>
    <t>Dist (m) P1-&gt;R + DP</t>
  </si>
  <si>
    <t>Dist (m) P2-&gt;R + DP</t>
  </si>
  <si>
    <t>A</t>
  </si>
  <si>
    <t>B</t>
  </si>
  <si>
    <t>Chọn Tổng kéo &lt;3km</t>
  </si>
  <si>
    <t>km cáp H04 ( vlookup)</t>
  </si>
  <si>
    <t>Cấp 3/ 4</t>
  </si>
  <si>
    <t>GLPK05-GLIG09</t>
  </si>
  <si>
    <t>GLIG09-GLDC07</t>
  </si>
  <si>
    <t>GLDC07-GLCR11</t>
  </si>
  <si>
    <t>GLCS33-GLPK65</t>
  </si>
  <si>
    <t>GLCP04-GLMY01</t>
  </si>
  <si>
    <t>GLMY01-GLDP07</t>
  </si>
  <si>
    <t>GLPK68-GLPK54</t>
  </si>
  <si>
    <t>GLPK54-GLPK05</t>
  </si>
  <si>
    <t>GLPD07-GLMY05</t>
  </si>
  <si>
    <t>GLMY05-GLMY01</t>
  </si>
  <si>
    <t>GLDP07-GLDP11</t>
  </si>
  <si>
    <t>GLDP11-GLDP09</t>
  </si>
  <si>
    <t>GLDP09-GLAK03</t>
  </si>
  <si>
    <t>GLAK04-GLMY01</t>
  </si>
  <si>
    <t>GLPD07-GLAK01</t>
  </si>
  <si>
    <t>GLAK01-GLAK17</t>
  </si>
  <si>
    <t>GLAK02-GLAK09</t>
  </si>
  <si>
    <t>GLAK09-GLAK10</t>
  </si>
  <si>
    <t>GLDP02-GLMY01</t>
  </si>
  <si>
    <t>GLPK07-GLDD01</t>
  </si>
  <si>
    <t>GLPK65-GLPK72</t>
  </si>
  <si>
    <t>GLPK72-GLPK79</t>
  </si>
  <si>
    <t>GLPK79-GLDD14</t>
  </si>
  <si>
    <t>GLDD14-GLDD21</t>
  </si>
  <si>
    <t>GLDD08-GLDD01</t>
  </si>
  <si>
    <t>GLDD01-GLDD03</t>
  </si>
  <si>
    <t>GLDD03-GLDD02</t>
  </si>
  <si>
    <t>GLMY12-GLMY01</t>
  </si>
  <si>
    <t>GLCP04-GLCP06</t>
  </si>
  <si>
    <t>GLCP06-GLCP08</t>
  </si>
  <si>
    <t>GLCP08-GLPK05</t>
  </si>
  <si>
    <t>GLCP04-GLCP04</t>
  </si>
  <si>
    <t>GLCP04-GLDD07</t>
  </si>
  <si>
    <t>GLDD07-GLDD06</t>
  </si>
  <si>
    <t>GLDD06-GLDD05</t>
  </si>
  <si>
    <t>GLDD05-GLPK05</t>
  </si>
  <si>
    <t>GLDC07-GLIG24</t>
  </si>
  <si>
    <t>GLIG24-GLIG17</t>
  </si>
  <si>
    <t>GLIG17-GLIG02</t>
  </si>
  <si>
    <t>GLIG02-GLIG09</t>
  </si>
  <si>
    <t>GLDC07-GLDC03</t>
  </si>
  <si>
    <t>GLDC03-GLDC06</t>
  </si>
  <si>
    <t>GLDC06-GLIG02</t>
  </si>
  <si>
    <t>GLPK65-GLPK27</t>
  </si>
  <si>
    <t>GLPK27-GLIG06</t>
  </si>
  <si>
    <t>GLIG20-GLIG09</t>
  </si>
  <si>
    <t>GLPK18-GLPK79_2</t>
  </si>
  <si>
    <t>GLPK79_2-GLPK71</t>
  </si>
  <si>
    <t>GLPK71-GLIG14</t>
  </si>
  <si>
    <t>GLIG14-GLPK05</t>
  </si>
  <si>
    <t>GLPK11-GLCR02</t>
  </si>
  <si>
    <t>GLCR02-GLDC02</t>
  </si>
  <si>
    <t>GLDC02-GLDC03</t>
  </si>
  <si>
    <t>GLDC03-GLDC07</t>
  </si>
  <si>
    <t>GLCR08-GLCR34</t>
  </si>
  <si>
    <t>GLCR34-GLCR11</t>
  </si>
  <si>
    <t>GLCS33-GLCS25</t>
  </si>
  <si>
    <t>GLCR23-GLCR11</t>
  </si>
  <si>
    <t>GLCS33-GLCS28</t>
  </si>
  <si>
    <t>GLCS28-GLCR19</t>
  </si>
  <si>
    <t>GLCR19-GLCR28</t>
  </si>
  <si>
    <t>GLCR28-GLCR10</t>
  </si>
  <si>
    <t>GLCR10-GLCR11</t>
  </si>
  <si>
    <t>GLCS33-GLCS04</t>
  </si>
  <si>
    <t>GLCS04-GLCU12</t>
  </si>
  <si>
    <t>GLCU12-GLCR11</t>
  </si>
  <si>
    <t>GLCS15-GLCS06</t>
  </si>
  <si>
    <t>GLCS06-GLCS05</t>
  </si>
  <si>
    <t>GLCS05-GLCS17</t>
  </si>
  <si>
    <t>GLCS17-GLCS33</t>
  </si>
  <si>
    <t>BDQNMA01-BDQN31</t>
  </si>
  <si>
    <t>BDPM27-BDHN33</t>
  </si>
  <si>
    <t>BDHN33-BDHN15</t>
  </si>
  <si>
    <t>BDQN98-BDQN90</t>
  </si>
  <si>
    <t>BDQN23-BDQN90</t>
  </si>
  <si>
    <t>BDQN51-BDQN91</t>
  </si>
  <si>
    <t>BDQN62-BDQN74</t>
  </si>
  <si>
    <t>BDQN90-BDQN24</t>
  </si>
  <si>
    <t>BDQN35-BDQN62</t>
  </si>
  <si>
    <t>BDQN58-BDQN63</t>
  </si>
  <si>
    <t>BDQN54-BDQN58</t>
  </si>
  <si>
    <t>BDQN56-BDQN65</t>
  </si>
  <si>
    <t>BDAN02-BDAN06</t>
  </si>
  <si>
    <t>BDQN03-BDQN63</t>
  </si>
  <si>
    <t>BDQN1U-BDQN23</t>
  </si>
  <si>
    <t>BDQN31-BDQN_newsite1</t>
  </si>
  <si>
    <t>BDQN65-BDQN58</t>
  </si>
  <si>
    <t>BDQN63-BDQN56</t>
  </si>
  <si>
    <t>BDQN73-BDQN21</t>
  </si>
  <si>
    <t>BDAN16-BDAN_newsite6</t>
  </si>
  <si>
    <t>BDAN26-BDPC21</t>
  </si>
  <si>
    <t>BDAN25-BDAN28</t>
  </si>
  <si>
    <t>BDAN11-BDAN07</t>
  </si>
  <si>
    <t>BDHN33-BDHN54</t>
  </si>
  <si>
    <t>BDHN06-BDHN08</t>
  </si>
  <si>
    <t>BDHN05-BDPM34</t>
  </si>
  <si>
    <t>BDHN36-BDHN05</t>
  </si>
  <si>
    <t>BDHN13-BDHN07</t>
  </si>
  <si>
    <t>BDHN48-BDHN15</t>
  </si>
  <si>
    <t>BDHN42-BDHN12</t>
  </si>
  <si>
    <t>BDPC03-BDPC08</t>
  </si>
  <si>
    <t>BDPC33-BDPC14</t>
  </si>
  <si>
    <t>BDPC14-BDPC06</t>
  </si>
  <si>
    <t>BDPC23-BDTP04</t>
  </si>
  <si>
    <t>BDPC01-BDPC03</t>
  </si>
  <si>
    <t>BDPC13-BDPC01</t>
  </si>
  <si>
    <t>BDPM01-BDPM17</t>
  </si>
  <si>
    <t>BDPM04-BDPM44</t>
  </si>
  <si>
    <t>BDPM03-BDPC_newsite4</t>
  </si>
  <si>
    <t>BDPM25-BDPM06</t>
  </si>
  <si>
    <t>BDPM24-BDPM43</t>
  </si>
  <si>
    <t>BDPM10-BDHN33</t>
  </si>
  <si>
    <t>BDTP09-BDTP_newsite3</t>
  </si>
  <si>
    <t>BDTP17-BDTP20</t>
  </si>
  <si>
    <t>BDTP39-BDAN28</t>
  </si>
  <si>
    <t>BDTP04-BDQNMA01</t>
  </si>
  <si>
    <t>BDAN07-BDAN25</t>
  </si>
  <si>
    <t>BDHA02-BDHA15</t>
  </si>
  <si>
    <t>BDQN45-BDQN63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</si>
</sst>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1" xfId="0" applyBorder="1"/>
    <xf numFmtId="2" fontId="0" fillId="0" borderId="0" xfId="0" applyNumberFormat="1"/>
    <xf numFmtId="0" fontId="0" fillId="3" borderId="0" xfId="0" applyFill="1"/>
    <xf numFmtId="0" fontId="0" fillId="3" borderId="0" xfId="0" applyNumberFormat="1" applyFill="1"/>
    <xf numFmtId="2" fontId="0" fillId="3" borderId="0" xfId="0" applyNumberFormat="1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59"/>
  <sheetViews>
    <sheetView tabSelected="1" zoomScale="85" zoomScaleNormal="85" workbookViewId="0">
      <pane ySplit="1" topLeftCell="A110" activePane="bottomLeft" state="frozen"/>
      <selection activeCell="M1" sqref="M1"/>
      <selection pane="bottomLeft" activeCell="F166" sqref="F166"/>
    </sheetView>
  </sheetViews>
  <sheetFormatPr defaultRowHeight="15" x14ac:dyDescent="0.25"/>
  <cols>
    <col min="1" max="1" width="72.85546875" customWidth="1"/>
    <col min="6" max="6" width="60.85546875" bestFit="1" customWidth="1"/>
    <col min="7" max="7" width="8" bestFit="1" customWidth="1"/>
    <col min="8" max="8" width="14" bestFit="1" customWidth="1"/>
    <col min="9" max="9" width="49.42578125" bestFit="1" customWidth="1"/>
    <col min="12" max="12" width="49.85546875" customWidth="1"/>
    <col min="13" max="13" width="21.28515625" hidden="1" customWidth="1"/>
    <col min="14" max="18" width="0" hidden="1" customWidth="1"/>
    <col min="19" max="19" width="112.85546875" hidden="1" customWidth="1"/>
    <col min="20" max="20" width="174.5703125" hidden="1" customWidth="1"/>
    <col min="21" max="21" width="27.140625" customWidth="1"/>
    <col min="25" max="25" width="9.140625" customWidth="1"/>
    <col min="28" max="28" width="11.7109375" customWidth="1"/>
    <col min="29" max="29" width="14.140625" customWidth="1"/>
    <col min="30" max="30" width="19.5703125" customWidth="1"/>
    <col min="31" max="31" width="31.28515625" customWidth="1"/>
    <col min="35" max="35" width="15.28515625" customWidth="1"/>
  </cols>
  <sheetData>
    <row r="1" spans="1:36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17284</v>
      </c>
      <c r="H1" s="2" t="s">
        <v>17285</v>
      </c>
      <c r="I1" s="2" t="s">
        <v>17283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17286</v>
      </c>
      <c r="AC1" s="2" t="s">
        <v>17287</v>
      </c>
      <c r="AD1" s="3" t="s">
        <v>17288</v>
      </c>
      <c r="AE1" s="3" t="s">
        <v>17289</v>
      </c>
      <c r="AF1" s="3" t="s">
        <v>17290</v>
      </c>
      <c r="AG1" s="4"/>
      <c r="AH1" s="4"/>
      <c r="AI1" s="4" t="s">
        <v>17291</v>
      </c>
      <c r="AJ1" s="4" t="s">
        <v>17292</v>
      </c>
    </row>
    <row r="2" spans="1:3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15827</v>
      </c>
      <c r="H2" t="s">
        <v>15828</v>
      </c>
      <c r="I2" t="s">
        <v>15829</v>
      </c>
      <c r="J2" t="s">
        <v>23</v>
      </c>
      <c r="L2" s="8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s="5">
        <v>344.49</v>
      </c>
      <c r="V2" s="5">
        <v>160.66999999999999</v>
      </c>
      <c r="W2" s="5">
        <v>12.249511999999999</v>
      </c>
      <c r="X2" s="5">
        <v>109.185703</v>
      </c>
      <c r="Y2" s="5">
        <v>183.82</v>
      </c>
      <c r="Z2" s="5">
        <v>12.249510000000001</v>
      </c>
      <c r="AA2" s="5">
        <v>109.18827899999999</v>
      </c>
      <c r="AB2" s="7">
        <f>V2*1.5/1000</f>
        <v>0.241005</v>
      </c>
      <c r="AC2" s="7">
        <f>Y2*1.5/1000</f>
        <v>0.27573000000000003</v>
      </c>
      <c r="AD2" s="6" t="str">
        <f>TRIM(LEFT(L2,FIND("-",L2)-1))</f>
        <v>5.PA06 cs1</v>
      </c>
      <c r="AE2" s="6" t="str">
        <f t="shared" ref="AE2" si="0">TRIM(RIGHT(L2, LEN(L2) - FIND("-", L2)))</f>
        <v>PC08 csc_Cột trung thế</v>
      </c>
      <c r="AG2">
        <f>V2/1000</f>
        <v>0.16066999999999998</v>
      </c>
      <c r="AH2">
        <f>Y2/1000</f>
        <v>0.18381999999999998</v>
      </c>
    </row>
    <row r="3" spans="1:3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15827</v>
      </c>
      <c r="H3" t="s">
        <v>15828</v>
      </c>
      <c r="I3" t="s">
        <v>15830</v>
      </c>
      <c r="J3" t="s">
        <v>23</v>
      </c>
      <c r="L3" s="8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s="5">
        <v>633.88</v>
      </c>
      <c r="V3" s="5">
        <v>206.48</v>
      </c>
      <c r="W3" s="5">
        <v>12.278732</v>
      </c>
      <c r="X3" s="5">
        <v>109.188858</v>
      </c>
      <c r="Y3" s="5">
        <v>427.4</v>
      </c>
      <c r="Z3" s="5">
        <v>12.27483</v>
      </c>
      <c r="AA3" s="5">
        <v>109.198125</v>
      </c>
      <c r="AB3" s="7">
        <f t="shared" ref="AB3:AB66" si="1">V3*1.5/1000</f>
        <v>0.30972</v>
      </c>
      <c r="AC3" s="7">
        <f t="shared" ref="AC3:AC66" si="2">Y3*1.5/1000</f>
        <v>0.64109999999999989</v>
      </c>
      <c r="AD3" s="6" t="str">
        <f t="shared" ref="AD3:AD66" si="3">TRIM(LEFT(L3,FIND("-",L3)-1))</f>
        <v>1.CAT Khánh Hòa</v>
      </c>
      <c r="AE3" s="6" t="str">
        <f t="shared" ref="AE3:AE66" si="4">TRIM(RIGHT(L3, LEN(L3) - FIND("-", L3)))</f>
        <v>PK02 cs1</v>
      </c>
      <c r="AG3">
        <f t="shared" ref="AG3:AG66" si="5">V3/1000</f>
        <v>0.20648</v>
      </c>
      <c r="AH3">
        <f t="shared" ref="AH3:AH66" si="6">Y3/1000</f>
        <v>0.4274</v>
      </c>
    </row>
    <row r="4" spans="1:36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15827</v>
      </c>
      <c r="H4" t="s">
        <v>15831</v>
      </c>
      <c r="I4" t="s">
        <v>15832</v>
      </c>
      <c r="J4" t="s">
        <v>23</v>
      </c>
      <c r="L4" s="8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s="5">
        <v>2420.9299999999998</v>
      </c>
      <c r="V4" s="5">
        <v>2236.48</v>
      </c>
      <c r="W4" s="5">
        <v>12.243274</v>
      </c>
      <c r="X4" s="5">
        <v>109.093239</v>
      </c>
      <c r="Y4" s="5">
        <v>184.45</v>
      </c>
      <c r="Z4" s="5">
        <v>12.222536</v>
      </c>
      <c r="AA4" s="5">
        <v>109.084489</v>
      </c>
      <c r="AB4" s="7">
        <f t="shared" si="1"/>
        <v>3.3547200000000004</v>
      </c>
      <c r="AC4" s="7">
        <f t="shared" si="2"/>
        <v>0.27667499999999995</v>
      </c>
      <c r="AD4" s="6" t="str">
        <f t="shared" si="3"/>
        <v>1.CA Diên Khánh</v>
      </c>
      <c r="AE4" s="6" t="str">
        <f t="shared" si="4"/>
        <v>CA Suối Hiệp</v>
      </c>
      <c r="AG4">
        <f t="shared" si="5"/>
        <v>2.2364799999999998</v>
      </c>
      <c r="AH4">
        <f t="shared" si="6"/>
        <v>0.18444999999999998</v>
      </c>
    </row>
    <row r="5" spans="1:36" x14ac:dyDescent="0.25">
      <c r="A5" t="s">
        <v>63</v>
      </c>
      <c r="B5" t="s">
        <v>51</v>
      </c>
      <c r="C5" t="s">
        <v>52</v>
      </c>
      <c r="D5" t="s">
        <v>64</v>
      </c>
      <c r="E5" t="s">
        <v>65</v>
      </c>
      <c r="F5" t="s">
        <v>66</v>
      </c>
      <c r="G5" t="s">
        <v>15827</v>
      </c>
      <c r="H5" t="s">
        <v>15831</v>
      </c>
      <c r="I5" t="s">
        <v>15833</v>
      </c>
      <c r="J5" t="s">
        <v>23</v>
      </c>
      <c r="L5" s="8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s="5">
        <v>4356.92</v>
      </c>
      <c r="V5" s="5">
        <v>153.9</v>
      </c>
      <c r="W5" s="5">
        <v>12.220518999999999</v>
      </c>
      <c r="X5" s="5">
        <v>109.08248</v>
      </c>
      <c r="Y5" s="5">
        <v>4203.0200000000004</v>
      </c>
      <c r="Z5" s="5">
        <v>12.191492</v>
      </c>
      <c r="AA5" s="5">
        <v>109.066221</v>
      </c>
      <c r="AB5" s="7">
        <f t="shared" si="1"/>
        <v>0.23085000000000003</v>
      </c>
      <c r="AC5" s="7">
        <f t="shared" si="2"/>
        <v>6.3045300000000006</v>
      </c>
      <c r="AD5" s="6" t="str">
        <f t="shared" si="3"/>
        <v>2.CA Suối Hiệp</v>
      </c>
      <c r="AE5" s="6" t="str">
        <f t="shared" si="4"/>
        <v>CA Suối Dầu</v>
      </c>
      <c r="AG5">
        <f t="shared" si="5"/>
        <v>0.15390000000000001</v>
      </c>
      <c r="AH5">
        <f t="shared" si="6"/>
        <v>4.2030200000000004</v>
      </c>
    </row>
    <row r="6" spans="1:36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15827</v>
      </c>
      <c r="H6" t="s">
        <v>15831</v>
      </c>
      <c r="I6" t="s">
        <v>15834</v>
      </c>
      <c r="J6" t="s">
        <v>23</v>
      </c>
      <c r="L6" s="8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s="5">
        <v>51.3</v>
      </c>
      <c r="V6" s="5">
        <v>9.18</v>
      </c>
      <c r="W6" s="5">
        <v>12.175753</v>
      </c>
      <c r="X6" s="5">
        <v>109.173635</v>
      </c>
      <c r="Y6" s="5">
        <v>42.11</v>
      </c>
      <c r="Z6" s="5">
        <v>12.210642999999999</v>
      </c>
      <c r="AA6" s="5">
        <v>109.188391</v>
      </c>
      <c r="AB6" s="7">
        <f t="shared" si="1"/>
        <v>1.3769999999999999E-2</v>
      </c>
      <c r="AC6" s="7">
        <f t="shared" si="2"/>
        <v>6.3164999999999999E-2</v>
      </c>
      <c r="AD6" s="6" t="str">
        <f t="shared" si="3"/>
        <v>3.PA06 cs2</v>
      </c>
      <c r="AE6" s="6" t="str">
        <f t="shared" si="4"/>
        <v>PC11a</v>
      </c>
      <c r="AG6">
        <f t="shared" si="5"/>
        <v>9.1799999999999989E-3</v>
      </c>
      <c r="AH6">
        <f t="shared" si="6"/>
        <v>4.2110000000000002E-2</v>
      </c>
    </row>
    <row r="7" spans="1:36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15827</v>
      </c>
      <c r="H7" t="s">
        <v>15831</v>
      </c>
      <c r="I7" t="s">
        <v>15835</v>
      </c>
      <c r="J7" t="s">
        <v>23</v>
      </c>
      <c r="L7" s="8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s="5">
        <v>297.18</v>
      </c>
      <c r="V7" s="5">
        <v>227.08</v>
      </c>
      <c r="W7" s="5">
        <v>12.247764</v>
      </c>
      <c r="X7" s="5">
        <v>109.191017</v>
      </c>
      <c r="Y7" s="5">
        <v>70.099999999999994</v>
      </c>
      <c r="Z7" s="5">
        <v>12.252644</v>
      </c>
      <c r="AA7" s="5">
        <v>109.193242</v>
      </c>
      <c r="AB7" s="7">
        <f t="shared" si="1"/>
        <v>0.34061999999999998</v>
      </c>
      <c r="AC7" s="7">
        <f t="shared" si="2"/>
        <v>0.10514999999999999</v>
      </c>
      <c r="AD7" s="6" t="str">
        <f t="shared" si="3"/>
        <v>4.PA08</v>
      </c>
      <c r="AE7" s="6" t="str">
        <f t="shared" si="4"/>
        <v>PA06 cs1</v>
      </c>
      <c r="AG7">
        <f t="shared" si="5"/>
        <v>0.22708</v>
      </c>
      <c r="AH7">
        <f t="shared" si="6"/>
        <v>7.0099999999999996E-2</v>
      </c>
    </row>
    <row r="8" spans="1:36" x14ac:dyDescent="0.25">
      <c r="A8" t="s">
        <v>106</v>
      </c>
      <c r="B8" t="s">
        <v>77</v>
      </c>
      <c r="C8" t="s">
        <v>78</v>
      </c>
      <c r="D8" t="s">
        <v>107</v>
      </c>
      <c r="E8" t="s">
        <v>108</v>
      </c>
      <c r="F8" t="s">
        <v>109</v>
      </c>
      <c r="G8" t="s">
        <v>15827</v>
      </c>
      <c r="H8" t="s">
        <v>15831</v>
      </c>
      <c r="I8" t="s">
        <v>15836</v>
      </c>
      <c r="J8" t="s">
        <v>23</v>
      </c>
      <c r="L8" s="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 s="5">
        <v>792.9</v>
      </c>
      <c r="V8" s="5">
        <v>3.34</v>
      </c>
      <c r="W8" s="5">
        <v>12.175723</v>
      </c>
      <c r="X8" s="5">
        <v>109.17368</v>
      </c>
      <c r="Y8" s="5">
        <v>789.55</v>
      </c>
      <c r="Z8" s="5">
        <v>12.204105</v>
      </c>
      <c r="AA8" s="5">
        <v>109.188574</v>
      </c>
      <c r="AB8" s="7">
        <f t="shared" si="1"/>
        <v>5.0099999999999997E-3</v>
      </c>
      <c r="AC8" s="7">
        <f t="shared" si="2"/>
        <v>1.1843249999999999</v>
      </c>
      <c r="AD8" s="6" t="str">
        <f t="shared" si="3"/>
        <v>4.PC11a</v>
      </c>
      <c r="AE8" s="6" t="str">
        <f t="shared" si="4"/>
        <v>PC02_Đoạn cột trung thế</v>
      </c>
      <c r="AG8">
        <f t="shared" si="5"/>
        <v>3.3399999999999997E-3</v>
      </c>
      <c r="AH8">
        <f t="shared" si="6"/>
        <v>0.78954999999999997</v>
      </c>
    </row>
    <row r="9" spans="1:36" x14ac:dyDescent="0.25">
      <c r="A9" t="s">
        <v>119</v>
      </c>
      <c r="B9" t="s">
        <v>77</v>
      </c>
      <c r="C9" t="s">
        <v>78</v>
      </c>
      <c r="D9" t="s">
        <v>120</v>
      </c>
      <c r="E9" t="s">
        <v>121</v>
      </c>
      <c r="F9" t="s">
        <v>122</v>
      </c>
      <c r="G9" t="s">
        <v>15827</v>
      </c>
      <c r="H9" t="s">
        <v>15831</v>
      </c>
      <c r="I9" t="s">
        <v>15837</v>
      </c>
      <c r="J9" t="s">
        <v>23</v>
      </c>
      <c r="L9" s="8" t="s">
        <v>82</v>
      </c>
      <c r="M9" t="s">
        <v>123</v>
      </c>
      <c r="N9" t="s">
        <v>84</v>
      </c>
      <c r="O9" t="s">
        <v>85</v>
      </c>
      <c r="P9" t="s">
        <v>86</v>
      </c>
      <c r="Q9" t="s">
        <v>124</v>
      </c>
      <c r="R9" t="s">
        <v>125</v>
      </c>
      <c r="S9" t="s">
        <v>126</v>
      </c>
      <c r="T9" t="s">
        <v>90</v>
      </c>
      <c r="U9" s="5">
        <v>60.34</v>
      </c>
      <c r="V9" s="5">
        <v>9.18</v>
      </c>
      <c r="W9" s="5">
        <v>12.175753</v>
      </c>
      <c r="X9" s="5">
        <v>109.173635</v>
      </c>
      <c r="Y9" s="5">
        <v>51.16</v>
      </c>
      <c r="Z9" s="5">
        <v>12.225636</v>
      </c>
      <c r="AA9" s="5">
        <v>109.183539</v>
      </c>
      <c r="AB9" s="7">
        <f t="shared" si="1"/>
        <v>1.3769999999999999E-2</v>
      </c>
      <c r="AC9" s="7">
        <f t="shared" si="2"/>
        <v>7.6739999999999989E-2</v>
      </c>
      <c r="AD9" s="6" t="str">
        <f t="shared" si="3"/>
        <v>3.PA06 cs2</v>
      </c>
      <c r="AE9" s="6" t="str">
        <f t="shared" si="4"/>
        <v>PC11a</v>
      </c>
      <c r="AG9">
        <f t="shared" si="5"/>
        <v>9.1799999999999989E-3</v>
      </c>
      <c r="AH9">
        <f t="shared" si="6"/>
        <v>5.1159999999999997E-2</v>
      </c>
    </row>
    <row r="10" spans="1:36" x14ac:dyDescent="0.25">
      <c r="A10" t="s">
        <v>127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15827</v>
      </c>
      <c r="H10" t="s">
        <v>15831</v>
      </c>
      <c r="I10" t="s">
        <v>15838</v>
      </c>
      <c r="J10" t="s">
        <v>23</v>
      </c>
      <c r="L10" s="8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141</v>
      </c>
      <c r="U10" s="5">
        <v>7.93</v>
      </c>
      <c r="V10" s="5">
        <v>1.27</v>
      </c>
      <c r="W10" s="5">
        <v>12.247543</v>
      </c>
      <c r="X10" s="5">
        <v>109.18999100000001</v>
      </c>
      <c r="Y10" s="5">
        <v>6.67</v>
      </c>
      <c r="Z10" s="5">
        <v>12.247517</v>
      </c>
      <c r="AA10" s="5">
        <v>109.18953999999999</v>
      </c>
      <c r="AB10" s="7">
        <f t="shared" si="1"/>
        <v>1.905E-3</v>
      </c>
      <c r="AC10" s="7">
        <f t="shared" si="2"/>
        <v>1.0004999999999998E-2</v>
      </c>
      <c r="AD10" s="6" t="str">
        <f t="shared" si="3"/>
        <v>3.PC06</v>
      </c>
      <c r="AE10" s="6" t="str">
        <f t="shared" si="4"/>
        <v>PA08_Cột trung thế</v>
      </c>
      <c r="AG10">
        <f t="shared" si="5"/>
        <v>1.2700000000000001E-3</v>
      </c>
      <c r="AH10">
        <f t="shared" si="6"/>
        <v>6.6699999999999997E-3</v>
      </c>
    </row>
    <row r="11" spans="1:36" x14ac:dyDescent="0.25">
      <c r="A11" t="s">
        <v>142</v>
      </c>
      <c r="B11" t="s">
        <v>130</v>
      </c>
      <c r="C11" t="s">
        <v>131</v>
      </c>
      <c r="D11" t="s">
        <v>18</v>
      </c>
      <c r="E11" t="s">
        <v>19</v>
      </c>
      <c r="F11" t="s">
        <v>143</v>
      </c>
      <c r="G11" t="s">
        <v>15827</v>
      </c>
      <c r="H11" t="s">
        <v>15831</v>
      </c>
      <c r="I11" t="s">
        <v>15839</v>
      </c>
      <c r="J11" t="s">
        <v>23</v>
      </c>
      <c r="L11" s="8" t="s">
        <v>144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s="5">
        <v>370.36</v>
      </c>
      <c r="V11" s="5">
        <v>179.62</v>
      </c>
      <c r="W11" s="5">
        <v>12.247631</v>
      </c>
      <c r="X11" s="5">
        <v>109.19125</v>
      </c>
      <c r="Y11" s="5">
        <v>190.74</v>
      </c>
      <c r="Z11" s="5">
        <v>12.249428</v>
      </c>
      <c r="AA11" s="5">
        <v>109.184727</v>
      </c>
      <c r="AB11" s="7">
        <f t="shared" si="1"/>
        <v>0.26943</v>
      </c>
      <c r="AC11" s="7">
        <f t="shared" si="2"/>
        <v>0.28611000000000003</v>
      </c>
      <c r="AD11" s="6" t="str">
        <f t="shared" si="3"/>
        <v>3. Trại giam A2</v>
      </c>
      <c r="AE11" s="6" t="str">
        <f t="shared" si="4"/>
        <v>CATP Nha trang cũ</v>
      </c>
      <c r="AG11">
        <f t="shared" si="5"/>
        <v>0.17962</v>
      </c>
      <c r="AH11">
        <f t="shared" si="6"/>
        <v>0.19074000000000002</v>
      </c>
    </row>
    <row r="12" spans="1:36" x14ac:dyDescent="0.25">
      <c r="A12" t="s">
        <v>153</v>
      </c>
      <c r="B12" t="s">
        <v>18</v>
      </c>
      <c r="C12" t="s">
        <v>19</v>
      </c>
      <c r="D12" t="s">
        <v>94</v>
      </c>
      <c r="E12" t="s">
        <v>95</v>
      </c>
      <c r="F12" t="s">
        <v>154</v>
      </c>
      <c r="G12" t="s">
        <v>15827</v>
      </c>
      <c r="H12" t="s">
        <v>15831</v>
      </c>
      <c r="I12" t="s">
        <v>15840</v>
      </c>
      <c r="J12" t="s">
        <v>23</v>
      </c>
      <c r="L12" s="8" t="s">
        <v>24</v>
      </c>
      <c r="M12" t="s">
        <v>155</v>
      </c>
      <c r="N12" t="s">
        <v>26</v>
      </c>
      <c r="O12" t="s">
        <v>27</v>
      </c>
      <c r="P12" t="s">
        <v>28</v>
      </c>
      <c r="Q12" t="s">
        <v>156</v>
      </c>
      <c r="R12" t="s">
        <v>157</v>
      </c>
      <c r="S12" t="s">
        <v>158</v>
      </c>
      <c r="T12" t="s">
        <v>32</v>
      </c>
      <c r="U12" s="5">
        <v>277.70999999999998</v>
      </c>
      <c r="V12" s="5">
        <v>160.66999999999999</v>
      </c>
      <c r="W12" s="5">
        <v>12.249511999999999</v>
      </c>
      <c r="X12" s="5">
        <v>109.185703</v>
      </c>
      <c r="Y12" s="5">
        <v>117.04</v>
      </c>
      <c r="Z12" s="5">
        <v>12.253</v>
      </c>
      <c r="AA12" s="5">
        <v>109.193</v>
      </c>
      <c r="AB12" s="7">
        <f t="shared" si="1"/>
        <v>0.241005</v>
      </c>
      <c r="AC12" s="7">
        <f t="shared" si="2"/>
        <v>0.17555999999999999</v>
      </c>
      <c r="AD12" s="6" t="str">
        <f t="shared" si="3"/>
        <v>5.PA06 cs1</v>
      </c>
      <c r="AE12" s="6" t="str">
        <f t="shared" si="4"/>
        <v>PC08 csc_Cột trung thế</v>
      </c>
      <c r="AG12">
        <f t="shared" si="5"/>
        <v>0.16066999999999998</v>
      </c>
      <c r="AH12">
        <f t="shared" si="6"/>
        <v>0.11704000000000001</v>
      </c>
    </row>
    <row r="13" spans="1:36" x14ac:dyDescent="0.25">
      <c r="A13" t="s">
        <v>159</v>
      </c>
      <c r="B13" t="s">
        <v>160</v>
      </c>
      <c r="C13" t="s">
        <v>161</v>
      </c>
      <c r="D13" t="s">
        <v>34</v>
      </c>
      <c r="E13" t="s">
        <v>35</v>
      </c>
      <c r="F13" t="s">
        <v>162</v>
      </c>
      <c r="G13" t="s">
        <v>15827</v>
      </c>
      <c r="H13" t="s">
        <v>15831</v>
      </c>
      <c r="I13" t="s">
        <v>15841</v>
      </c>
      <c r="J13" t="s">
        <v>23</v>
      </c>
      <c r="L13" s="8" t="s">
        <v>163</v>
      </c>
      <c r="M13" t="s">
        <v>164</v>
      </c>
      <c r="N13" t="s">
        <v>135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170</v>
      </c>
      <c r="U13" s="5">
        <v>3.53</v>
      </c>
      <c r="V13" s="5">
        <v>1.27</v>
      </c>
      <c r="W13" s="5">
        <v>12.278760999999999</v>
      </c>
      <c r="X13" s="5">
        <v>109.188896</v>
      </c>
      <c r="Y13" s="5">
        <v>2.2599999999999998</v>
      </c>
      <c r="Z13" s="5">
        <v>12.276948000000001</v>
      </c>
      <c r="AA13" s="5">
        <v>109.18840899999999</v>
      </c>
      <c r="AB13" s="7">
        <f t="shared" si="1"/>
        <v>1.905E-3</v>
      </c>
      <c r="AC13" s="7">
        <f t="shared" si="2"/>
        <v>3.3899999999999998E-3</v>
      </c>
      <c r="AD13" s="6" t="str">
        <f t="shared" si="3"/>
        <v>Tuyến nhánh PK02 cs1</v>
      </c>
      <c r="AE13" s="6" t="str">
        <f t="shared" si="4"/>
        <v>NTG Nha Trang cũ_Cột hạ thế</v>
      </c>
      <c r="AG13">
        <f t="shared" si="5"/>
        <v>1.2700000000000001E-3</v>
      </c>
      <c r="AH13">
        <f t="shared" si="6"/>
        <v>2.2599999999999999E-3</v>
      </c>
    </row>
    <row r="14" spans="1:36" x14ac:dyDescent="0.25">
      <c r="A14" t="s">
        <v>171</v>
      </c>
      <c r="B14" t="s">
        <v>34</v>
      </c>
      <c r="C14" t="s">
        <v>35</v>
      </c>
      <c r="D14" t="s">
        <v>172</v>
      </c>
      <c r="E14" t="s">
        <v>173</v>
      </c>
      <c r="F14" t="s">
        <v>174</v>
      </c>
      <c r="G14" t="s">
        <v>15827</v>
      </c>
      <c r="H14" t="s">
        <v>15831</v>
      </c>
      <c r="I14" t="s">
        <v>15842</v>
      </c>
      <c r="J14" t="s">
        <v>23</v>
      </c>
      <c r="L14" s="8" t="s">
        <v>39</v>
      </c>
      <c r="M14" t="s">
        <v>175</v>
      </c>
      <c r="N14" t="s">
        <v>41</v>
      </c>
      <c r="O14" t="s">
        <v>42</v>
      </c>
      <c r="P14" t="s">
        <v>43</v>
      </c>
      <c r="Q14" t="s">
        <v>176</v>
      </c>
      <c r="R14" t="s">
        <v>177</v>
      </c>
      <c r="S14" t="s">
        <v>178</v>
      </c>
      <c r="T14" t="s">
        <v>47</v>
      </c>
      <c r="U14" s="5">
        <v>292.88</v>
      </c>
      <c r="V14" s="5">
        <v>206.48</v>
      </c>
      <c r="W14" s="5">
        <v>12.278732</v>
      </c>
      <c r="X14" s="5">
        <v>109.188858</v>
      </c>
      <c r="Y14" s="5">
        <v>86.4</v>
      </c>
      <c r="Z14" s="5">
        <v>12.265396000000001</v>
      </c>
      <c r="AA14" s="5">
        <v>109.196152</v>
      </c>
      <c r="AB14" s="7">
        <f t="shared" si="1"/>
        <v>0.30972</v>
      </c>
      <c r="AC14" s="7">
        <f t="shared" si="2"/>
        <v>0.12960000000000002</v>
      </c>
      <c r="AD14" s="6" t="str">
        <f t="shared" si="3"/>
        <v>1.CAT Khánh Hòa</v>
      </c>
      <c r="AE14" s="6" t="str">
        <f t="shared" si="4"/>
        <v>PK02 cs1</v>
      </c>
      <c r="AG14">
        <f t="shared" si="5"/>
        <v>0.20648</v>
      </c>
      <c r="AH14">
        <f t="shared" si="6"/>
        <v>8.6400000000000005E-2</v>
      </c>
    </row>
    <row r="15" spans="1:36" x14ac:dyDescent="0.25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15827</v>
      </c>
      <c r="H15" t="s">
        <v>15831</v>
      </c>
      <c r="I15" t="s">
        <v>15843</v>
      </c>
      <c r="J15" t="s">
        <v>23</v>
      </c>
      <c r="L15" s="8" t="s">
        <v>185</v>
      </c>
      <c r="M15" t="s">
        <v>186</v>
      </c>
      <c r="N15" t="s">
        <v>187</v>
      </c>
      <c r="O15" t="s">
        <v>188</v>
      </c>
      <c r="P15" t="s">
        <v>189</v>
      </c>
      <c r="Q15" t="s">
        <v>190</v>
      </c>
      <c r="R15" t="s">
        <v>191</v>
      </c>
      <c r="S15" t="s">
        <v>192</v>
      </c>
      <c r="T15" t="s">
        <v>193</v>
      </c>
      <c r="U15" s="5">
        <v>2904.54</v>
      </c>
      <c r="V15" s="5">
        <v>6.07</v>
      </c>
      <c r="W15" s="5">
        <v>12.276066999999999</v>
      </c>
      <c r="X15" s="5">
        <v>109.120259</v>
      </c>
      <c r="Y15" s="5">
        <v>2898.47</v>
      </c>
      <c r="Z15" s="5">
        <v>12.288600000000001</v>
      </c>
      <c r="AA15" s="5">
        <v>109.147541</v>
      </c>
      <c r="AB15" s="7">
        <f t="shared" si="1"/>
        <v>9.1050000000000002E-3</v>
      </c>
      <c r="AC15" s="7">
        <f t="shared" si="2"/>
        <v>4.3477049999999995</v>
      </c>
      <c r="AD15" s="6" t="str">
        <f t="shared" si="3"/>
        <v>2.CA Diên Điền</v>
      </c>
      <c r="AE15" s="6" t="str">
        <f t="shared" si="4"/>
        <v>CA Bắc Nha Trang</v>
      </c>
      <c r="AG15">
        <f t="shared" si="5"/>
        <v>6.0699999999999999E-3</v>
      </c>
      <c r="AH15">
        <f t="shared" si="6"/>
        <v>2.8984699999999997</v>
      </c>
    </row>
    <row r="16" spans="1:36" x14ac:dyDescent="0.25">
      <c r="A16" t="s">
        <v>194</v>
      </c>
      <c r="B16" t="s">
        <v>195</v>
      </c>
      <c r="C16" t="s">
        <v>196</v>
      </c>
      <c r="D16" t="s">
        <v>197</v>
      </c>
      <c r="E16" t="s">
        <v>198</v>
      </c>
      <c r="F16" t="s">
        <v>199</v>
      </c>
      <c r="G16" t="s">
        <v>15827</v>
      </c>
      <c r="H16" t="s">
        <v>15831</v>
      </c>
      <c r="I16" t="s">
        <v>15844</v>
      </c>
      <c r="J16" t="s">
        <v>23</v>
      </c>
      <c r="L16" s="8" t="s">
        <v>200</v>
      </c>
      <c r="M16" t="s">
        <v>201</v>
      </c>
      <c r="N16" t="s">
        <v>202</v>
      </c>
      <c r="O16" t="s">
        <v>203</v>
      </c>
      <c r="P16" t="s">
        <v>204</v>
      </c>
      <c r="Q16" t="s">
        <v>205</v>
      </c>
      <c r="R16" t="s">
        <v>206</v>
      </c>
      <c r="S16" t="s">
        <v>207</v>
      </c>
      <c r="T16" t="s">
        <v>208</v>
      </c>
      <c r="U16" s="5">
        <v>1388.96</v>
      </c>
      <c r="V16" s="5">
        <v>414.08</v>
      </c>
      <c r="W16" s="5">
        <v>12.280430000000001</v>
      </c>
      <c r="X16" s="5">
        <v>109.194828</v>
      </c>
      <c r="Y16" s="5">
        <v>974.88</v>
      </c>
      <c r="Z16" s="5">
        <v>12.265409</v>
      </c>
      <c r="AA16" s="5">
        <v>109.196133</v>
      </c>
      <c r="AB16" s="7">
        <f t="shared" si="1"/>
        <v>0.62112000000000001</v>
      </c>
      <c r="AC16" s="7">
        <f t="shared" si="2"/>
        <v>1.4623199999999998</v>
      </c>
      <c r="AD16" s="6" t="str">
        <f t="shared" si="3"/>
        <v>3.CA Bắc Nha Trang</v>
      </c>
      <c r="AE16" s="6" t="str">
        <f t="shared" si="4"/>
        <v>CAT Khánh Hòa</v>
      </c>
      <c r="AG16">
        <f t="shared" si="5"/>
        <v>0.41408</v>
      </c>
      <c r="AH16">
        <f t="shared" si="6"/>
        <v>0.97487999999999997</v>
      </c>
    </row>
    <row r="17" spans="1:34" x14ac:dyDescent="0.25">
      <c r="A17" t="s">
        <v>209</v>
      </c>
      <c r="B17" t="s">
        <v>197</v>
      </c>
      <c r="C17" t="s">
        <v>198</v>
      </c>
      <c r="D17" t="s">
        <v>210</v>
      </c>
      <c r="E17" t="s">
        <v>211</v>
      </c>
      <c r="F17" t="s">
        <v>212</v>
      </c>
      <c r="G17" t="s">
        <v>15827</v>
      </c>
      <c r="H17" t="s">
        <v>15831</v>
      </c>
      <c r="I17" t="s">
        <v>15845</v>
      </c>
      <c r="J17" t="s">
        <v>23</v>
      </c>
      <c r="L17" s="8" t="s">
        <v>213</v>
      </c>
      <c r="M17" t="s">
        <v>214</v>
      </c>
      <c r="N17" t="s">
        <v>215</v>
      </c>
      <c r="O17" t="s">
        <v>216</v>
      </c>
      <c r="P17" t="s">
        <v>217</v>
      </c>
      <c r="Q17" t="s">
        <v>218</v>
      </c>
      <c r="R17" t="s">
        <v>219</v>
      </c>
      <c r="S17" t="s">
        <v>220</v>
      </c>
      <c r="T17" t="s">
        <v>221</v>
      </c>
      <c r="U17" s="5">
        <v>663.74</v>
      </c>
      <c r="V17" s="5">
        <v>659.73</v>
      </c>
      <c r="W17" s="5">
        <v>12.252942000000001</v>
      </c>
      <c r="X17" s="5">
        <v>109.192953</v>
      </c>
      <c r="Y17" s="5">
        <v>4</v>
      </c>
      <c r="Z17" s="5">
        <v>12.251158999999999</v>
      </c>
      <c r="AA17" s="5">
        <v>109.186369</v>
      </c>
      <c r="AB17" s="7">
        <f t="shared" si="1"/>
        <v>0.989595</v>
      </c>
      <c r="AC17" s="7">
        <f t="shared" si="2"/>
        <v>6.0000000000000001E-3</v>
      </c>
      <c r="AD17" s="6" t="str">
        <f t="shared" si="3"/>
        <v>3.CA Nha Trang</v>
      </c>
      <c r="AE17" s="6" t="str">
        <f t="shared" si="4"/>
        <v>CA Tây Nha Trang_Cột trung thế</v>
      </c>
      <c r="AG17">
        <f t="shared" si="5"/>
        <v>0.65973000000000004</v>
      </c>
      <c r="AH17">
        <f t="shared" si="6"/>
        <v>4.0000000000000001E-3</v>
      </c>
    </row>
    <row r="18" spans="1:34" x14ac:dyDescent="0.25">
      <c r="A18" t="s">
        <v>222</v>
      </c>
      <c r="B18" t="s">
        <v>210</v>
      </c>
      <c r="C18" t="s">
        <v>211</v>
      </c>
      <c r="D18" t="s">
        <v>94</v>
      </c>
      <c r="E18" t="s">
        <v>95</v>
      </c>
      <c r="F18" t="s">
        <v>223</v>
      </c>
      <c r="G18" t="s">
        <v>15827</v>
      </c>
      <c r="H18" t="s">
        <v>15831</v>
      </c>
      <c r="I18" t="s">
        <v>15846</v>
      </c>
      <c r="J18" t="s">
        <v>23</v>
      </c>
      <c r="L18" s="8" t="s">
        <v>213</v>
      </c>
      <c r="M18" t="s">
        <v>224</v>
      </c>
      <c r="N18" t="s">
        <v>218</v>
      </c>
      <c r="O18" t="s">
        <v>219</v>
      </c>
      <c r="P18" t="s">
        <v>220</v>
      </c>
      <c r="Q18" t="s">
        <v>225</v>
      </c>
      <c r="R18" t="s">
        <v>216</v>
      </c>
      <c r="S18" t="s">
        <v>217</v>
      </c>
      <c r="T18" t="s">
        <v>221</v>
      </c>
      <c r="U18" s="5">
        <v>119.8</v>
      </c>
      <c r="V18" s="5">
        <v>4</v>
      </c>
      <c r="W18" s="5">
        <v>12.251158999999999</v>
      </c>
      <c r="X18" s="5">
        <v>109.186369</v>
      </c>
      <c r="Y18" s="5">
        <v>115.79</v>
      </c>
      <c r="Z18" s="5">
        <v>12.252942000000001</v>
      </c>
      <c r="AA18" s="5">
        <v>109.192953</v>
      </c>
      <c r="AB18" s="7">
        <f t="shared" si="1"/>
        <v>6.0000000000000001E-3</v>
      </c>
      <c r="AC18" s="7">
        <f t="shared" si="2"/>
        <v>0.17368500000000001</v>
      </c>
      <c r="AD18" s="6" t="str">
        <f t="shared" si="3"/>
        <v>3.CA Nha Trang</v>
      </c>
      <c r="AE18" s="6" t="str">
        <f t="shared" si="4"/>
        <v>CA Tây Nha Trang_Cột trung thế</v>
      </c>
      <c r="AG18">
        <f t="shared" si="5"/>
        <v>4.0000000000000001E-3</v>
      </c>
      <c r="AH18">
        <f t="shared" si="6"/>
        <v>0.11579</v>
      </c>
    </row>
    <row r="19" spans="1:34" x14ac:dyDescent="0.25">
      <c r="A19" t="s">
        <v>226</v>
      </c>
      <c r="B19" t="s">
        <v>195</v>
      </c>
      <c r="C19" t="s">
        <v>196</v>
      </c>
      <c r="D19" t="s">
        <v>227</v>
      </c>
      <c r="E19" t="s">
        <v>228</v>
      </c>
      <c r="F19" t="s">
        <v>229</v>
      </c>
      <c r="G19" t="s">
        <v>15827</v>
      </c>
      <c r="H19" t="s">
        <v>15831</v>
      </c>
      <c r="I19" t="s">
        <v>15847</v>
      </c>
      <c r="J19" t="s">
        <v>23</v>
      </c>
      <c r="L19" s="8" t="s">
        <v>200</v>
      </c>
      <c r="M19" t="s">
        <v>230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237</v>
      </c>
      <c r="U19" s="5">
        <v>1169.78</v>
      </c>
      <c r="V19" s="5">
        <v>0.85</v>
      </c>
      <c r="W19" s="5">
        <v>12.282332</v>
      </c>
      <c r="X19" s="5">
        <v>109.19810099999999</v>
      </c>
      <c r="Y19" s="5">
        <v>1168.93</v>
      </c>
      <c r="Z19" s="5">
        <v>12.282302</v>
      </c>
      <c r="AA19" s="5">
        <v>109.19833800000001</v>
      </c>
      <c r="AB19" s="7">
        <f t="shared" si="1"/>
        <v>1.2749999999999999E-3</v>
      </c>
      <c r="AC19" s="7">
        <f t="shared" si="2"/>
        <v>1.753395</v>
      </c>
      <c r="AD19" s="6" t="str">
        <f t="shared" si="3"/>
        <v>3.CA Bắc Nha Trang</v>
      </c>
      <c r="AE19" s="6" t="str">
        <f t="shared" si="4"/>
        <v>CAT Khánh Hòa</v>
      </c>
      <c r="AG19">
        <f t="shared" si="5"/>
        <v>8.4999999999999995E-4</v>
      </c>
      <c r="AH19">
        <f t="shared" si="6"/>
        <v>1.16893</v>
      </c>
    </row>
    <row r="20" spans="1:34" x14ac:dyDescent="0.25">
      <c r="A20" t="s">
        <v>238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15827</v>
      </c>
      <c r="H20" t="s">
        <v>15831</v>
      </c>
      <c r="I20" t="s">
        <v>15848</v>
      </c>
      <c r="J20" t="s">
        <v>23</v>
      </c>
      <c r="L20" s="8" t="s">
        <v>244</v>
      </c>
      <c r="M20" t="s">
        <v>245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252</v>
      </c>
      <c r="U20" s="5">
        <v>613.92999999999995</v>
      </c>
      <c r="V20" s="5">
        <v>173.2</v>
      </c>
      <c r="W20" s="5">
        <v>12.235393999999999</v>
      </c>
      <c r="X20" s="5">
        <v>109.18575199999999</v>
      </c>
      <c r="Y20" s="5">
        <v>440.74</v>
      </c>
      <c r="Z20" s="5">
        <v>12.235808</v>
      </c>
      <c r="AA20" s="5">
        <v>109.176413</v>
      </c>
      <c r="AB20" s="7">
        <f t="shared" si="1"/>
        <v>0.25979999999999998</v>
      </c>
      <c r="AC20" s="7">
        <f t="shared" si="2"/>
        <v>0.66110999999999998</v>
      </c>
      <c r="AD20" s="6" t="str">
        <f t="shared" si="3"/>
        <v>5. Cam Phước Đông</v>
      </c>
      <c r="AE20" s="6" t="str">
        <f t="shared" si="4"/>
        <v>CAT Khánh Hòa</v>
      </c>
      <c r="AG20">
        <f t="shared" si="5"/>
        <v>0.17319999999999999</v>
      </c>
      <c r="AH20">
        <f t="shared" si="6"/>
        <v>0.44074000000000002</v>
      </c>
    </row>
    <row r="21" spans="1:34" x14ac:dyDescent="0.25">
      <c r="A21" t="s">
        <v>253</v>
      </c>
      <c r="B21" t="s">
        <v>34</v>
      </c>
      <c r="C21" t="s">
        <v>35</v>
      </c>
      <c r="D21" t="s">
        <v>254</v>
      </c>
      <c r="E21" t="s">
        <v>255</v>
      </c>
      <c r="F21" t="s">
        <v>256</v>
      </c>
      <c r="G21" t="s">
        <v>15827</v>
      </c>
      <c r="H21" t="s">
        <v>15831</v>
      </c>
      <c r="I21" t="s">
        <v>15849</v>
      </c>
      <c r="J21" t="s">
        <v>23</v>
      </c>
      <c r="L21" s="8" t="s">
        <v>39</v>
      </c>
      <c r="M21" t="s">
        <v>257</v>
      </c>
      <c r="N21" t="s">
        <v>41</v>
      </c>
      <c r="O21" t="s">
        <v>42</v>
      </c>
      <c r="P21" t="s">
        <v>43</v>
      </c>
      <c r="Q21" t="s">
        <v>258</v>
      </c>
      <c r="R21" t="s">
        <v>259</v>
      </c>
      <c r="S21" t="s">
        <v>260</v>
      </c>
      <c r="T21" t="s">
        <v>47</v>
      </c>
      <c r="U21" s="5">
        <v>538.41999999999996</v>
      </c>
      <c r="V21" s="5">
        <v>206.48</v>
      </c>
      <c r="W21" s="5">
        <v>12.278732</v>
      </c>
      <c r="X21" s="5">
        <v>109.188858</v>
      </c>
      <c r="Y21" s="5">
        <v>331.94</v>
      </c>
      <c r="Z21" s="5">
        <v>12.276457000000001</v>
      </c>
      <c r="AA21" s="5">
        <v>109.197368</v>
      </c>
      <c r="AB21" s="7">
        <f t="shared" si="1"/>
        <v>0.30972</v>
      </c>
      <c r="AC21" s="7">
        <f t="shared" si="2"/>
        <v>0.49790999999999996</v>
      </c>
      <c r="AD21" s="6" t="str">
        <f t="shared" si="3"/>
        <v>1.CAT Khánh Hòa</v>
      </c>
      <c r="AE21" s="6" t="str">
        <f t="shared" si="4"/>
        <v>PK02 cs1</v>
      </c>
      <c r="AG21">
        <f t="shared" si="5"/>
        <v>0.20648</v>
      </c>
      <c r="AH21">
        <f t="shared" si="6"/>
        <v>0.33194000000000001</v>
      </c>
    </row>
    <row r="22" spans="1:34" x14ac:dyDescent="0.25">
      <c r="A22" t="s">
        <v>261</v>
      </c>
      <c r="B22" t="s">
        <v>262</v>
      </c>
      <c r="C22" t="s">
        <v>263</v>
      </c>
      <c r="D22" t="s">
        <v>264</v>
      </c>
      <c r="E22" t="s">
        <v>265</v>
      </c>
      <c r="F22" t="s">
        <v>266</v>
      </c>
      <c r="G22" t="s">
        <v>15827</v>
      </c>
      <c r="H22" t="s">
        <v>15831</v>
      </c>
      <c r="I22" t="s">
        <v>15850</v>
      </c>
      <c r="J22" t="s">
        <v>23</v>
      </c>
      <c r="L22" s="8" t="s">
        <v>267</v>
      </c>
      <c r="M22" t="s">
        <v>268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275</v>
      </c>
      <c r="U22" s="5">
        <v>510.41</v>
      </c>
      <c r="V22" s="5">
        <v>191.02</v>
      </c>
      <c r="W22" s="5">
        <v>12.250641</v>
      </c>
      <c r="X22" s="5">
        <v>109.18473899999999</v>
      </c>
      <c r="Y22" s="5">
        <v>319.39</v>
      </c>
      <c r="Z22" s="5">
        <v>12.254597</v>
      </c>
      <c r="AA22" s="5">
        <v>109.180751</v>
      </c>
      <c r="AB22" s="7">
        <f t="shared" si="1"/>
        <v>0.28653000000000001</v>
      </c>
      <c r="AC22" s="7">
        <f t="shared" si="2"/>
        <v>0.47908499999999998</v>
      </c>
      <c r="AD22" s="6" t="str">
        <f t="shared" si="3"/>
        <v>4.CA Tây Nha Trang</v>
      </c>
      <c r="AE22" s="6" t="str">
        <f t="shared" si="4"/>
        <v>TTCMKV Diên Khánh</v>
      </c>
      <c r="AG22">
        <f t="shared" si="5"/>
        <v>0.19102000000000002</v>
      </c>
      <c r="AH22">
        <f t="shared" si="6"/>
        <v>0.31939000000000001</v>
      </c>
    </row>
    <row r="23" spans="1:34" x14ac:dyDescent="0.25">
      <c r="A23" t="s">
        <v>276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15827</v>
      </c>
      <c r="H23" t="s">
        <v>15831</v>
      </c>
      <c r="I23" t="s">
        <v>15851</v>
      </c>
      <c r="J23" t="s">
        <v>23</v>
      </c>
      <c r="L23" s="8" t="s">
        <v>282</v>
      </c>
      <c r="M23" t="s">
        <v>283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290</v>
      </c>
      <c r="U23" s="5">
        <v>680.82</v>
      </c>
      <c r="V23" s="5">
        <v>4.91</v>
      </c>
      <c r="W23" s="5">
        <v>12.239117</v>
      </c>
      <c r="X23" s="5">
        <v>109.18664200000001</v>
      </c>
      <c r="Y23" s="5">
        <v>675.91</v>
      </c>
      <c r="Z23" s="5">
        <v>12.243925000000001</v>
      </c>
      <c r="AA23" s="5">
        <v>109.189556</v>
      </c>
      <c r="AB23" s="7">
        <f t="shared" si="1"/>
        <v>7.365E-3</v>
      </c>
      <c r="AC23" s="7">
        <f t="shared" si="2"/>
        <v>1.013865</v>
      </c>
      <c r="AD23" s="6" t="str">
        <f t="shared" si="3"/>
        <v>1.CATP Nha trang cũ</v>
      </c>
      <c r="AE23" s="6" t="str">
        <f t="shared" si="4"/>
        <v>PC07</v>
      </c>
      <c r="AG23">
        <f t="shared" si="5"/>
        <v>4.9100000000000003E-3</v>
      </c>
      <c r="AH23">
        <f t="shared" si="6"/>
        <v>0.67591000000000001</v>
      </c>
    </row>
    <row r="24" spans="1:34" x14ac:dyDescent="0.25">
      <c r="A24" t="s">
        <v>291</v>
      </c>
      <c r="B24" t="s">
        <v>49</v>
      </c>
      <c r="C24" t="s">
        <v>50</v>
      </c>
      <c r="D24" t="s">
        <v>292</v>
      </c>
      <c r="E24" t="s">
        <v>293</v>
      </c>
      <c r="F24" t="s">
        <v>294</v>
      </c>
      <c r="G24" t="s">
        <v>15827</v>
      </c>
      <c r="H24" t="s">
        <v>15831</v>
      </c>
      <c r="I24" t="s">
        <v>15852</v>
      </c>
      <c r="J24" t="s">
        <v>23</v>
      </c>
      <c r="L24" s="8" t="s">
        <v>144</v>
      </c>
      <c r="M24" t="s">
        <v>295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302</v>
      </c>
      <c r="U24" s="5">
        <v>1484.17</v>
      </c>
      <c r="V24" s="5">
        <v>1058.3900000000001</v>
      </c>
      <c r="W24" s="5">
        <v>12.251106999999999</v>
      </c>
      <c r="X24" s="5">
        <v>109.08133599999999</v>
      </c>
      <c r="Y24" s="5">
        <v>425.79</v>
      </c>
      <c r="Z24" s="5">
        <v>12.243822</v>
      </c>
      <c r="AA24" s="5">
        <v>109.09366300000001</v>
      </c>
      <c r="AB24" s="7">
        <f t="shared" si="1"/>
        <v>1.587585</v>
      </c>
      <c r="AC24" s="7">
        <f t="shared" si="2"/>
        <v>0.63868500000000006</v>
      </c>
      <c r="AD24" s="6" t="str">
        <f t="shared" si="3"/>
        <v>3. Trại giam A2</v>
      </c>
      <c r="AE24" s="6" t="str">
        <f t="shared" si="4"/>
        <v>CATP Nha trang cũ</v>
      </c>
      <c r="AG24">
        <f t="shared" si="5"/>
        <v>1.0583900000000002</v>
      </c>
      <c r="AH24">
        <f t="shared" si="6"/>
        <v>0.42579</v>
      </c>
    </row>
    <row r="25" spans="1:34" x14ac:dyDescent="0.25">
      <c r="A25" t="s">
        <v>303</v>
      </c>
      <c r="B25" t="s">
        <v>180</v>
      </c>
      <c r="C25" t="s">
        <v>181</v>
      </c>
      <c r="D25" t="s">
        <v>304</v>
      </c>
      <c r="E25" t="s">
        <v>305</v>
      </c>
      <c r="F25" t="s">
        <v>306</v>
      </c>
      <c r="G25" t="s">
        <v>15827</v>
      </c>
      <c r="H25" t="s">
        <v>15831</v>
      </c>
      <c r="I25" t="s">
        <v>15853</v>
      </c>
      <c r="J25" t="s">
        <v>23</v>
      </c>
      <c r="L25" s="8" t="s">
        <v>185</v>
      </c>
      <c r="M25" t="s">
        <v>307</v>
      </c>
      <c r="N25" t="s">
        <v>187</v>
      </c>
      <c r="O25" t="s">
        <v>188</v>
      </c>
      <c r="P25" t="s">
        <v>189</v>
      </c>
      <c r="Q25" t="s">
        <v>308</v>
      </c>
      <c r="R25" t="s">
        <v>309</v>
      </c>
      <c r="S25" t="s">
        <v>310</v>
      </c>
      <c r="T25" t="s">
        <v>193</v>
      </c>
      <c r="U25" s="5">
        <v>265.61</v>
      </c>
      <c r="V25" s="5">
        <v>6.07</v>
      </c>
      <c r="W25" s="5">
        <v>12.276066999999999</v>
      </c>
      <c r="X25" s="5">
        <v>109.120259</v>
      </c>
      <c r="Y25" s="5">
        <v>259.54000000000002</v>
      </c>
      <c r="Z25" s="5">
        <v>12.278650000000001</v>
      </c>
      <c r="AA25" s="5">
        <v>109.12745</v>
      </c>
      <c r="AB25" s="7">
        <f t="shared" si="1"/>
        <v>9.1050000000000002E-3</v>
      </c>
      <c r="AC25" s="7">
        <f t="shared" si="2"/>
        <v>0.38931000000000004</v>
      </c>
      <c r="AD25" s="6" t="str">
        <f t="shared" si="3"/>
        <v>2.CA Diên Điền</v>
      </c>
      <c r="AE25" s="6" t="str">
        <f t="shared" si="4"/>
        <v>CA Bắc Nha Trang</v>
      </c>
      <c r="AG25">
        <f t="shared" si="5"/>
        <v>6.0699999999999999E-3</v>
      </c>
      <c r="AH25">
        <f t="shared" si="6"/>
        <v>0.25953999999999999</v>
      </c>
    </row>
    <row r="26" spans="1:34" x14ac:dyDescent="0.25">
      <c r="A26" t="s">
        <v>311</v>
      </c>
      <c r="B26" t="s">
        <v>49</v>
      </c>
      <c r="C26" t="s">
        <v>50</v>
      </c>
      <c r="D26" t="s">
        <v>312</v>
      </c>
      <c r="E26" t="s">
        <v>313</v>
      </c>
      <c r="F26" t="s">
        <v>314</v>
      </c>
      <c r="G26" t="s">
        <v>15827</v>
      </c>
      <c r="H26" t="s">
        <v>15831</v>
      </c>
      <c r="I26" t="s">
        <v>15854</v>
      </c>
      <c r="J26" t="s">
        <v>23</v>
      </c>
      <c r="L26" s="8" t="s">
        <v>315</v>
      </c>
      <c r="M26" t="s">
        <v>316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323</v>
      </c>
      <c r="U26" s="5">
        <v>337.64</v>
      </c>
      <c r="V26" s="5">
        <v>7.22</v>
      </c>
      <c r="W26" s="5">
        <v>12.246371</v>
      </c>
      <c r="X26" s="5">
        <v>109.072963</v>
      </c>
      <c r="Y26" s="5">
        <v>330.42</v>
      </c>
      <c r="Z26" s="5">
        <v>12.256955</v>
      </c>
      <c r="AA26" s="5">
        <v>109.071253</v>
      </c>
      <c r="AB26" s="7">
        <f t="shared" si="1"/>
        <v>1.0829999999999999E-2</v>
      </c>
      <c r="AC26" s="7">
        <f t="shared" si="2"/>
        <v>0.49563000000000001</v>
      </c>
      <c r="AD26" s="6" t="str">
        <f t="shared" si="3"/>
        <v>2.Nhà tạm giam Diên Khánh</v>
      </c>
      <c r="AE26" s="6" t="str">
        <f t="shared" si="4"/>
        <v>Trại giam A2</v>
      </c>
      <c r="AG26">
        <f t="shared" si="5"/>
        <v>7.2199999999999999E-3</v>
      </c>
      <c r="AH26">
        <f t="shared" si="6"/>
        <v>0.33041999999999999</v>
      </c>
    </row>
    <row r="27" spans="1:34" x14ac:dyDescent="0.25">
      <c r="A27" t="s">
        <v>324</v>
      </c>
      <c r="B27" t="s">
        <v>77</v>
      </c>
      <c r="C27" t="s">
        <v>78</v>
      </c>
      <c r="D27" t="s">
        <v>325</v>
      </c>
      <c r="E27" t="s">
        <v>326</v>
      </c>
      <c r="F27" t="s">
        <v>327</v>
      </c>
      <c r="G27" t="s">
        <v>15827</v>
      </c>
      <c r="H27" t="s">
        <v>15831</v>
      </c>
      <c r="I27" t="s">
        <v>15855</v>
      </c>
      <c r="J27" t="s">
        <v>23</v>
      </c>
      <c r="L27" s="8" t="s">
        <v>110</v>
      </c>
      <c r="M27" t="s">
        <v>328</v>
      </c>
      <c r="N27" t="s">
        <v>112</v>
      </c>
      <c r="O27" t="s">
        <v>113</v>
      </c>
      <c r="P27" t="s">
        <v>114</v>
      </c>
      <c r="Q27" t="s">
        <v>329</v>
      </c>
      <c r="R27" t="s">
        <v>330</v>
      </c>
      <c r="S27" t="s">
        <v>331</v>
      </c>
      <c r="T27" t="s">
        <v>118</v>
      </c>
      <c r="U27" s="5">
        <v>1703.55</v>
      </c>
      <c r="V27" s="5">
        <v>3.34</v>
      </c>
      <c r="W27" s="5">
        <v>12.175723</v>
      </c>
      <c r="X27" s="5">
        <v>109.17368</v>
      </c>
      <c r="Y27" s="5">
        <v>1700.2</v>
      </c>
      <c r="Z27" s="5">
        <v>12.196674</v>
      </c>
      <c r="AA27" s="5">
        <v>109.174234</v>
      </c>
      <c r="AB27" s="7">
        <f t="shared" si="1"/>
        <v>5.0099999999999997E-3</v>
      </c>
      <c r="AC27" s="7">
        <f t="shared" si="2"/>
        <v>2.5503</v>
      </c>
      <c r="AD27" s="6" t="str">
        <f t="shared" si="3"/>
        <v>4.PC11a</v>
      </c>
      <c r="AE27" s="6" t="str">
        <f t="shared" si="4"/>
        <v>PC02_Đoạn cột trung thế</v>
      </c>
      <c r="AG27">
        <f t="shared" si="5"/>
        <v>3.3399999999999997E-3</v>
      </c>
      <c r="AH27">
        <f t="shared" si="6"/>
        <v>1.7002000000000002</v>
      </c>
    </row>
    <row r="28" spans="1:34" x14ac:dyDescent="0.25">
      <c r="A28" t="s">
        <v>332</v>
      </c>
      <c r="B28" t="s">
        <v>195</v>
      </c>
      <c r="C28" t="s">
        <v>196</v>
      </c>
      <c r="D28" t="s">
        <v>333</v>
      </c>
      <c r="E28" t="s">
        <v>334</v>
      </c>
      <c r="F28" t="s">
        <v>335</v>
      </c>
      <c r="G28" t="s">
        <v>15827</v>
      </c>
      <c r="H28" t="s">
        <v>15831</v>
      </c>
      <c r="I28" t="s">
        <v>15856</v>
      </c>
      <c r="J28" t="s">
        <v>23</v>
      </c>
      <c r="L28" s="8" t="s">
        <v>185</v>
      </c>
      <c r="M28" t="s">
        <v>336</v>
      </c>
      <c r="N28" t="s">
        <v>337</v>
      </c>
      <c r="O28" t="s">
        <v>338</v>
      </c>
      <c r="P28" t="s">
        <v>339</v>
      </c>
      <c r="Q28" t="s">
        <v>340</v>
      </c>
      <c r="R28" t="s">
        <v>341</v>
      </c>
      <c r="S28" t="s">
        <v>342</v>
      </c>
      <c r="T28" t="s">
        <v>343</v>
      </c>
      <c r="U28" s="5">
        <v>574.64</v>
      </c>
      <c r="V28" s="5">
        <v>0.89</v>
      </c>
      <c r="W28" s="5">
        <v>12.282335</v>
      </c>
      <c r="X28" s="5">
        <v>109.198106</v>
      </c>
      <c r="Y28" s="5">
        <v>573.75</v>
      </c>
      <c r="Z28" s="5">
        <v>12.288899000000001</v>
      </c>
      <c r="AA28" s="5">
        <v>109.18953</v>
      </c>
      <c r="AB28" s="7">
        <f t="shared" si="1"/>
        <v>1.335E-3</v>
      </c>
      <c r="AC28" s="7">
        <f t="shared" si="2"/>
        <v>0.86062499999999997</v>
      </c>
      <c r="AD28" s="6" t="str">
        <f t="shared" si="3"/>
        <v>2.CA Diên Điền</v>
      </c>
      <c r="AE28" s="6" t="str">
        <f t="shared" si="4"/>
        <v>CA Bắc Nha Trang</v>
      </c>
      <c r="AG28">
        <f t="shared" si="5"/>
        <v>8.9000000000000006E-4</v>
      </c>
      <c r="AH28">
        <f t="shared" si="6"/>
        <v>0.57374999999999998</v>
      </c>
    </row>
    <row r="29" spans="1:34" x14ac:dyDescent="0.25">
      <c r="A29" t="s">
        <v>344</v>
      </c>
      <c r="B29" t="s">
        <v>345</v>
      </c>
      <c r="C29" t="s">
        <v>346</v>
      </c>
      <c r="D29" t="s">
        <v>347</v>
      </c>
      <c r="E29" t="s">
        <v>348</v>
      </c>
      <c r="F29" t="s">
        <v>349</v>
      </c>
      <c r="G29" t="s">
        <v>15827</v>
      </c>
      <c r="H29" t="s">
        <v>15831</v>
      </c>
      <c r="I29" t="s">
        <v>15857</v>
      </c>
      <c r="J29" t="s">
        <v>23</v>
      </c>
      <c r="L29" s="8" t="s">
        <v>350</v>
      </c>
      <c r="M29" t="s">
        <v>351</v>
      </c>
      <c r="N29" t="s">
        <v>352</v>
      </c>
      <c r="O29" t="s">
        <v>353</v>
      </c>
      <c r="P29" t="s">
        <v>354</v>
      </c>
      <c r="Q29" t="s">
        <v>355</v>
      </c>
      <c r="R29" t="s">
        <v>356</v>
      </c>
      <c r="S29" t="s">
        <v>357</v>
      </c>
      <c r="T29" t="s">
        <v>358</v>
      </c>
      <c r="U29" s="5">
        <v>1461.62</v>
      </c>
      <c r="V29" s="5">
        <v>100</v>
      </c>
      <c r="W29" s="5">
        <v>11.941592</v>
      </c>
      <c r="X29" s="5">
        <v>109.11218100000001</v>
      </c>
      <c r="Y29" s="5">
        <v>1361.62</v>
      </c>
      <c r="Z29" s="5">
        <v>11.955189000000001</v>
      </c>
      <c r="AA29" s="5">
        <v>109.101417</v>
      </c>
      <c r="AB29" s="7">
        <f t="shared" si="1"/>
        <v>0.15</v>
      </c>
      <c r="AC29" s="7">
        <f t="shared" si="2"/>
        <v>2.04243</v>
      </c>
      <c r="AD29" s="6" t="str">
        <f t="shared" si="3"/>
        <v>3.Cam Ranh</v>
      </c>
      <c r="AE29" s="6" t="str">
        <f t="shared" si="4"/>
        <v>Khánh Sơn</v>
      </c>
      <c r="AG29">
        <f t="shared" si="5"/>
        <v>0.1</v>
      </c>
      <c r="AH29">
        <f t="shared" si="6"/>
        <v>1.3616199999999998</v>
      </c>
    </row>
    <row r="30" spans="1:34" x14ac:dyDescent="0.25">
      <c r="A30" t="s">
        <v>359</v>
      </c>
      <c r="B30" t="s">
        <v>360</v>
      </c>
      <c r="C30" t="s">
        <v>361</v>
      </c>
      <c r="D30" t="s">
        <v>362</v>
      </c>
      <c r="E30" t="s">
        <v>363</v>
      </c>
      <c r="F30" t="s">
        <v>364</v>
      </c>
      <c r="G30" t="s">
        <v>15827</v>
      </c>
      <c r="H30" t="s">
        <v>15831</v>
      </c>
      <c r="I30" t="s">
        <v>15858</v>
      </c>
      <c r="J30" t="s">
        <v>23</v>
      </c>
      <c r="L30" s="8" t="s">
        <v>365</v>
      </c>
      <c r="M30" t="s">
        <v>366</v>
      </c>
      <c r="N30" t="s">
        <v>367</v>
      </c>
      <c r="O30" t="s">
        <v>368</v>
      </c>
      <c r="P30" t="s">
        <v>369</v>
      </c>
      <c r="Q30" t="s">
        <v>370</v>
      </c>
      <c r="R30" t="s">
        <v>371</v>
      </c>
      <c r="S30" t="s">
        <v>372</v>
      </c>
      <c r="T30" t="s">
        <v>373</v>
      </c>
      <c r="U30" s="5">
        <v>672.88</v>
      </c>
      <c r="V30" s="5">
        <v>125</v>
      </c>
      <c r="W30" s="5">
        <v>11.976645</v>
      </c>
      <c r="X30" s="5">
        <v>109.19567600000001</v>
      </c>
      <c r="Y30" s="5">
        <v>547.88</v>
      </c>
      <c r="Z30" s="5">
        <v>11.977448000000001</v>
      </c>
      <c r="AA30" s="5">
        <v>109.19279899999999</v>
      </c>
      <c r="AB30" s="7">
        <f t="shared" si="1"/>
        <v>0.1875</v>
      </c>
      <c r="AC30" s="7">
        <f t="shared" si="2"/>
        <v>0.82181999999999988</v>
      </c>
      <c r="AD30" s="6" t="str">
        <f t="shared" si="3"/>
        <v>2.CA Bắc Cam Ranh</v>
      </c>
      <c r="AE30" s="6" t="str">
        <f t="shared" si="4"/>
        <v>CA Cam An</v>
      </c>
      <c r="AG30">
        <f t="shared" si="5"/>
        <v>0.125</v>
      </c>
      <c r="AH30">
        <f t="shared" si="6"/>
        <v>0.54788000000000003</v>
      </c>
    </row>
    <row r="31" spans="1:34" x14ac:dyDescent="0.25">
      <c r="A31" t="s">
        <v>374</v>
      </c>
      <c r="B31" t="s">
        <v>49</v>
      </c>
      <c r="C31" t="s">
        <v>50</v>
      </c>
      <c r="D31" t="s">
        <v>375</v>
      </c>
      <c r="E31" t="s">
        <v>376</v>
      </c>
      <c r="F31" t="s">
        <v>377</v>
      </c>
      <c r="G31" t="s">
        <v>15827</v>
      </c>
      <c r="H31" t="s">
        <v>15831</v>
      </c>
      <c r="I31" t="s">
        <v>15859</v>
      </c>
      <c r="J31" t="s">
        <v>23</v>
      </c>
      <c r="L31" s="8" t="s">
        <v>315</v>
      </c>
      <c r="M31" t="s">
        <v>378</v>
      </c>
      <c r="N31" t="s">
        <v>317</v>
      </c>
      <c r="O31" t="s">
        <v>318</v>
      </c>
      <c r="P31" t="s">
        <v>319</v>
      </c>
      <c r="Q31" t="s">
        <v>379</v>
      </c>
      <c r="R31" t="s">
        <v>380</v>
      </c>
      <c r="S31" t="s">
        <v>381</v>
      </c>
      <c r="T31" t="s">
        <v>323</v>
      </c>
      <c r="U31" s="5">
        <v>2076.33</v>
      </c>
      <c r="V31" s="5">
        <v>7.22</v>
      </c>
      <c r="W31" s="5">
        <v>12.246371</v>
      </c>
      <c r="X31" s="5">
        <v>109.072963</v>
      </c>
      <c r="Y31" s="5">
        <v>2069.11</v>
      </c>
      <c r="Z31" s="5">
        <v>12.246168000000001</v>
      </c>
      <c r="AA31" s="5">
        <v>109.073882</v>
      </c>
      <c r="AB31" s="7">
        <f t="shared" si="1"/>
        <v>1.0829999999999999E-2</v>
      </c>
      <c r="AC31" s="7">
        <f t="shared" si="2"/>
        <v>3.1036649999999999</v>
      </c>
      <c r="AD31" s="6" t="str">
        <f t="shared" si="3"/>
        <v>2.Nhà tạm giam Diên Khánh</v>
      </c>
      <c r="AE31" s="6" t="str">
        <f t="shared" si="4"/>
        <v>Trại giam A2</v>
      </c>
      <c r="AG31">
        <f t="shared" si="5"/>
        <v>7.2199999999999999E-3</v>
      </c>
      <c r="AH31">
        <f t="shared" si="6"/>
        <v>2.0691100000000002</v>
      </c>
    </row>
    <row r="32" spans="1:34" x14ac:dyDescent="0.25">
      <c r="A32" t="s">
        <v>382</v>
      </c>
      <c r="B32" t="s">
        <v>49</v>
      </c>
      <c r="C32" t="s">
        <v>50</v>
      </c>
      <c r="D32" t="s">
        <v>383</v>
      </c>
      <c r="E32" t="s">
        <v>384</v>
      </c>
      <c r="F32" t="s">
        <v>385</v>
      </c>
      <c r="G32" t="s">
        <v>15827</v>
      </c>
      <c r="H32" t="s">
        <v>15831</v>
      </c>
      <c r="I32" t="s">
        <v>15860</v>
      </c>
      <c r="J32" t="s">
        <v>23</v>
      </c>
      <c r="L32" s="8" t="s">
        <v>144</v>
      </c>
      <c r="M32" t="s">
        <v>386</v>
      </c>
      <c r="N32" t="s">
        <v>296</v>
      </c>
      <c r="O32" t="s">
        <v>297</v>
      </c>
      <c r="P32" t="s">
        <v>298</v>
      </c>
      <c r="Q32" t="s">
        <v>387</v>
      </c>
      <c r="R32" t="s">
        <v>388</v>
      </c>
      <c r="S32" t="s">
        <v>389</v>
      </c>
      <c r="T32" t="s">
        <v>302</v>
      </c>
      <c r="U32" s="5">
        <v>1249.28</v>
      </c>
      <c r="V32" s="5">
        <v>1058.3900000000001</v>
      </c>
      <c r="W32" s="5">
        <v>12.251106999999999</v>
      </c>
      <c r="X32" s="5">
        <v>109.08133599999999</v>
      </c>
      <c r="Y32" s="5">
        <v>190.9</v>
      </c>
      <c r="Z32" s="5">
        <v>12.251051</v>
      </c>
      <c r="AA32" s="5">
        <v>109.09642599999999</v>
      </c>
      <c r="AB32" s="7">
        <f t="shared" si="1"/>
        <v>1.587585</v>
      </c>
      <c r="AC32" s="7">
        <f t="shared" si="2"/>
        <v>0.28635000000000005</v>
      </c>
      <c r="AD32" s="6" t="str">
        <f t="shared" si="3"/>
        <v>3. Trại giam A2</v>
      </c>
      <c r="AE32" s="6" t="str">
        <f t="shared" si="4"/>
        <v>CATP Nha trang cũ</v>
      </c>
      <c r="AG32">
        <f t="shared" si="5"/>
        <v>1.0583900000000002</v>
      </c>
      <c r="AH32">
        <f t="shared" si="6"/>
        <v>0.19090000000000001</v>
      </c>
    </row>
    <row r="33" spans="1:34" x14ac:dyDescent="0.25">
      <c r="A33" t="s">
        <v>390</v>
      </c>
      <c r="B33" t="s">
        <v>391</v>
      </c>
      <c r="C33" t="s">
        <v>392</v>
      </c>
      <c r="D33" t="s">
        <v>393</v>
      </c>
      <c r="E33" t="s">
        <v>394</v>
      </c>
      <c r="F33" t="s">
        <v>395</v>
      </c>
      <c r="G33" t="s">
        <v>15827</v>
      </c>
      <c r="H33" t="s">
        <v>15831</v>
      </c>
      <c r="I33" t="s">
        <v>15861</v>
      </c>
      <c r="J33" t="s">
        <v>23</v>
      </c>
      <c r="L33" s="8" t="s">
        <v>396</v>
      </c>
      <c r="M33" t="s">
        <v>397</v>
      </c>
      <c r="N33" t="s">
        <v>398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  <c r="U33" s="5">
        <v>1182.1500000000001</v>
      </c>
      <c r="V33" s="5">
        <v>3.39</v>
      </c>
      <c r="W33" s="5">
        <v>12.269048</v>
      </c>
      <c r="X33" s="5">
        <v>109.03337000000001</v>
      </c>
      <c r="Y33" s="5">
        <v>1178.76</v>
      </c>
      <c r="Z33" s="5">
        <v>12.267571999999999</v>
      </c>
      <c r="AA33" s="5">
        <v>109.03755200000001</v>
      </c>
      <c r="AB33" s="7">
        <f t="shared" si="1"/>
        <v>5.0850000000000001E-3</v>
      </c>
      <c r="AC33" s="7">
        <f t="shared" si="2"/>
        <v>1.7681399999999998</v>
      </c>
      <c r="AD33" s="6" t="str">
        <f t="shared" si="3"/>
        <v>2.CA Diên Lạc</v>
      </c>
      <c r="AE33" s="6" t="str">
        <f t="shared" si="4"/>
        <v>CA Diên Lâm</v>
      </c>
      <c r="AG33">
        <f t="shared" si="5"/>
        <v>3.3900000000000002E-3</v>
      </c>
      <c r="AH33">
        <f t="shared" si="6"/>
        <v>1.17876</v>
      </c>
    </row>
    <row r="34" spans="1:34" x14ac:dyDescent="0.25">
      <c r="A34" t="s">
        <v>405</v>
      </c>
      <c r="B34" t="s">
        <v>51</v>
      </c>
      <c r="C34" t="s">
        <v>52</v>
      </c>
      <c r="D34" t="s">
        <v>406</v>
      </c>
      <c r="E34" t="s">
        <v>407</v>
      </c>
      <c r="F34" t="s">
        <v>408</v>
      </c>
      <c r="G34" t="s">
        <v>15827</v>
      </c>
      <c r="H34" t="s">
        <v>15831</v>
      </c>
      <c r="I34" t="s">
        <v>15862</v>
      </c>
      <c r="J34" t="s">
        <v>23</v>
      </c>
      <c r="L34" s="8" t="s">
        <v>54</v>
      </c>
      <c r="M34" t="s">
        <v>409</v>
      </c>
      <c r="N34" t="s">
        <v>410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416</v>
      </c>
      <c r="U34" s="5">
        <v>174.07</v>
      </c>
      <c r="V34" s="5">
        <v>2.33</v>
      </c>
      <c r="W34" s="5">
        <v>12.221002</v>
      </c>
      <c r="X34" s="5">
        <v>109.083788</v>
      </c>
      <c r="Y34" s="5">
        <v>171.74</v>
      </c>
      <c r="Z34" s="5">
        <v>12.222557999999999</v>
      </c>
      <c r="AA34" s="5">
        <v>109.08448300000001</v>
      </c>
      <c r="AB34" s="7">
        <f t="shared" si="1"/>
        <v>3.4950000000000003E-3</v>
      </c>
      <c r="AC34" s="7">
        <f t="shared" si="2"/>
        <v>0.25761000000000001</v>
      </c>
      <c r="AD34" s="6" t="str">
        <f t="shared" si="3"/>
        <v>1.CA Diên Khánh</v>
      </c>
      <c r="AE34" s="6" t="str">
        <f t="shared" si="4"/>
        <v>CA Suối Hiệp</v>
      </c>
      <c r="AG34">
        <f t="shared" si="5"/>
        <v>2.33E-3</v>
      </c>
      <c r="AH34">
        <f t="shared" si="6"/>
        <v>0.17174</v>
      </c>
    </row>
    <row r="35" spans="1:34" x14ac:dyDescent="0.25">
      <c r="A35" t="s">
        <v>417</v>
      </c>
      <c r="B35" t="s">
        <v>391</v>
      </c>
      <c r="C35" t="s">
        <v>392</v>
      </c>
      <c r="D35" t="s">
        <v>418</v>
      </c>
      <c r="E35" t="s">
        <v>419</v>
      </c>
      <c r="F35" t="s">
        <v>420</v>
      </c>
      <c r="G35" t="s">
        <v>15827</v>
      </c>
      <c r="H35" t="s">
        <v>15831</v>
      </c>
      <c r="I35" t="s">
        <v>15863</v>
      </c>
      <c r="J35" t="s">
        <v>23</v>
      </c>
      <c r="L35" s="8" t="s">
        <v>315</v>
      </c>
      <c r="M35" t="s">
        <v>421</v>
      </c>
      <c r="N35" t="s">
        <v>422</v>
      </c>
      <c r="O35" t="s">
        <v>423</v>
      </c>
      <c r="P35" t="s">
        <v>424</v>
      </c>
      <c r="Q35" t="s">
        <v>425</v>
      </c>
      <c r="R35" t="s">
        <v>426</v>
      </c>
      <c r="S35" t="s">
        <v>427</v>
      </c>
      <c r="T35" t="s">
        <v>323</v>
      </c>
      <c r="U35" s="5">
        <v>894.46</v>
      </c>
      <c r="V35" s="5">
        <v>646.36</v>
      </c>
      <c r="W35" s="5">
        <v>12.263232</v>
      </c>
      <c r="X35" s="5">
        <v>109.033157</v>
      </c>
      <c r="Y35" s="5">
        <v>248.11</v>
      </c>
      <c r="Z35" s="5">
        <v>12.255091</v>
      </c>
      <c r="AA35" s="5">
        <v>109.05873699999999</v>
      </c>
      <c r="AB35" s="7">
        <f t="shared" si="1"/>
        <v>0.96953999999999996</v>
      </c>
      <c r="AC35" s="7">
        <f t="shared" si="2"/>
        <v>0.37216500000000002</v>
      </c>
      <c r="AD35" s="6" t="str">
        <f t="shared" si="3"/>
        <v>2.Nhà tạm giam Diên Khánh</v>
      </c>
      <c r="AE35" s="6" t="str">
        <f t="shared" si="4"/>
        <v>Trại giam A2</v>
      </c>
      <c r="AG35">
        <f t="shared" si="5"/>
        <v>0.64636000000000005</v>
      </c>
      <c r="AH35">
        <f t="shared" si="6"/>
        <v>0.24811000000000002</v>
      </c>
    </row>
    <row r="36" spans="1:34" x14ac:dyDescent="0.25">
      <c r="A36" t="s">
        <v>428</v>
      </c>
      <c r="B36" t="s">
        <v>391</v>
      </c>
      <c r="C36" t="s">
        <v>392</v>
      </c>
      <c r="D36" t="s">
        <v>429</v>
      </c>
      <c r="E36" t="s">
        <v>430</v>
      </c>
      <c r="F36" t="s">
        <v>431</v>
      </c>
      <c r="G36" t="s">
        <v>15827</v>
      </c>
      <c r="H36" t="s">
        <v>15831</v>
      </c>
      <c r="I36" t="s">
        <v>15864</v>
      </c>
      <c r="J36" t="s">
        <v>23</v>
      </c>
      <c r="L36" s="8" t="s">
        <v>432</v>
      </c>
      <c r="M36" t="s">
        <v>433</v>
      </c>
      <c r="N36" t="s">
        <v>434</v>
      </c>
      <c r="O36" t="s">
        <v>435</v>
      </c>
      <c r="P36" t="s">
        <v>436</v>
      </c>
      <c r="Q36" t="s">
        <v>437</v>
      </c>
      <c r="R36" t="s">
        <v>438</v>
      </c>
      <c r="S36" t="s">
        <v>439</v>
      </c>
      <c r="T36" t="s">
        <v>440</v>
      </c>
      <c r="U36" s="5">
        <v>545.69000000000005</v>
      </c>
      <c r="V36" s="5">
        <v>3.2</v>
      </c>
      <c r="W36" s="5">
        <v>12.269061000000001</v>
      </c>
      <c r="X36" s="5">
        <v>109.03337999999999</v>
      </c>
      <c r="Y36" s="5">
        <v>542.49</v>
      </c>
      <c r="Z36" s="5">
        <v>12.274528999999999</v>
      </c>
      <c r="AA36" s="5">
        <v>109.01911</v>
      </c>
      <c r="AB36" s="7">
        <f t="shared" si="1"/>
        <v>4.8000000000000004E-3</v>
      </c>
      <c r="AC36" s="7">
        <f t="shared" si="2"/>
        <v>0.81373499999999999</v>
      </c>
      <c r="AD36" s="6" t="str">
        <f t="shared" si="3"/>
        <v>3.CA Diên Lâm</v>
      </c>
      <c r="AE36" s="6" t="str">
        <f t="shared" si="4"/>
        <v>CA Bắc Khánh Vĩnh_Cột trung thế</v>
      </c>
      <c r="AG36">
        <f t="shared" si="5"/>
        <v>3.2000000000000002E-3</v>
      </c>
      <c r="AH36">
        <f t="shared" si="6"/>
        <v>0.54249000000000003</v>
      </c>
    </row>
    <row r="37" spans="1:34" x14ac:dyDescent="0.25">
      <c r="A37" t="s">
        <v>441</v>
      </c>
      <c r="B37" t="s">
        <v>180</v>
      </c>
      <c r="C37" t="s">
        <v>181</v>
      </c>
      <c r="D37" t="s">
        <v>442</v>
      </c>
      <c r="E37" t="s">
        <v>443</v>
      </c>
      <c r="F37" t="s">
        <v>444</v>
      </c>
      <c r="G37" t="s">
        <v>15827</v>
      </c>
      <c r="H37" t="s">
        <v>15831</v>
      </c>
      <c r="I37" t="s">
        <v>15865</v>
      </c>
      <c r="J37" t="s">
        <v>23</v>
      </c>
      <c r="L37" s="8" t="s">
        <v>445</v>
      </c>
      <c r="M37" t="s">
        <v>446</v>
      </c>
      <c r="N37" t="s">
        <v>447</v>
      </c>
      <c r="O37" t="s">
        <v>448</v>
      </c>
      <c r="P37" t="s">
        <v>449</v>
      </c>
      <c r="Q37" t="s">
        <v>450</v>
      </c>
      <c r="R37" t="s">
        <v>451</v>
      </c>
      <c r="S37" t="s">
        <v>452</v>
      </c>
      <c r="T37" t="s">
        <v>453</v>
      </c>
      <c r="U37" s="5">
        <v>1324.18</v>
      </c>
      <c r="V37" s="5">
        <v>5.44</v>
      </c>
      <c r="W37" s="5">
        <v>12.276033999999999</v>
      </c>
      <c r="X37" s="5">
        <v>109.12025</v>
      </c>
      <c r="Y37" s="5">
        <v>1318.74</v>
      </c>
      <c r="Z37" s="5">
        <v>12.273351999999999</v>
      </c>
      <c r="AA37" s="5">
        <v>109.11435899999999</v>
      </c>
      <c r="AB37" s="7">
        <f t="shared" si="1"/>
        <v>8.1600000000000006E-3</v>
      </c>
      <c r="AC37" s="7">
        <f t="shared" si="2"/>
        <v>1.97811</v>
      </c>
      <c r="AD37" s="6" t="str">
        <f t="shared" si="3"/>
        <v>1.CA Diên Khánh</v>
      </c>
      <c r="AE37" s="6" t="str">
        <f t="shared" si="4"/>
        <v>CA Diên Điền_Cột trung thế</v>
      </c>
      <c r="AG37">
        <f t="shared" si="5"/>
        <v>5.4400000000000004E-3</v>
      </c>
      <c r="AH37">
        <f t="shared" si="6"/>
        <v>1.31874</v>
      </c>
    </row>
    <row r="38" spans="1:34" x14ac:dyDescent="0.25">
      <c r="A38" t="s">
        <v>454</v>
      </c>
      <c r="B38" t="s">
        <v>195</v>
      </c>
      <c r="C38" t="s">
        <v>196</v>
      </c>
      <c r="D38" t="s">
        <v>455</v>
      </c>
      <c r="E38" t="s">
        <v>456</v>
      </c>
      <c r="F38" t="s">
        <v>457</v>
      </c>
      <c r="G38" t="s">
        <v>15827</v>
      </c>
      <c r="H38" t="s">
        <v>15831</v>
      </c>
      <c r="I38" t="s">
        <v>15866</v>
      </c>
      <c r="J38" t="s">
        <v>23</v>
      </c>
      <c r="L38" s="8" t="s">
        <v>200</v>
      </c>
      <c r="M38" t="s">
        <v>458</v>
      </c>
      <c r="N38" t="s">
        <v>231</v>
      </c>
      <c r="O38" t="s">
        <v>232</v>
      </c>
      <c r="P38" t="s">
        <v>233</v>
      </c>
      <c r="Q38" t="s">
        <v>459</v>
      </c>
      <c r="R38" t="s">
        <v>460</v>
      </c>
      <c r="S38" t="s">
        <v>461</v>
      </c>
      <c r="T38" t="s">
        <v>237</v>
      </c>
      <c r="U38" s="5">
        <v>764.16</v>
      </c>
      <c r="V38" s="5">
        <v>0.85</v>
      </c>
      <c r="W38" s="5">
        <v>12.282332</v>
      </c>
      <c r="X38" s="5">
        <v>109.19810099999999</v>
      </c>
      <c r="Y38" s="5">
        <v>763.31</v>
      </c>
      <c r="Z38" s="5">
        <v>12.282397</v>
      </c>
      <c r="AA38" s="5">
        <v>109.198201</v>
      </c>
      <c r="AB38" s="7">
        <f t="shared" si="1"/>
        <v>1.2749999999999999E-3</v>
      </c>
      <c r="AC38" s="7">
        <f t="shared" si="2"/>
        <v>1.144965</v>
      </c>
      <c r="AD38" s="6" t="str">
        <f t="shared" si="3"/>
        <v>3.CA Bắc Nha Trang</v>
      </c>
      <c r="AE38" s="6" t="str">
        <f t="shared" si="4"/>
        <v>CAT Khánh Hòa</v>
      </c>
      <c r="AG38">
        <f t="shared" si="5"/>
        <v>8.4999999999999995E-4</v>
      </c>
      <c r="AH38">
        <f t="shared" si="6"/>
        <v>0.76330999999999993</v>
      </c>
    </row>
    <row r="39" spans="1:34" x14ac:dyDescent="0.25">
      <c r="A39" t="s">
        <v>462</v>
      </c>
      <c r="B39" t="s">
        <v>77</v>
      </c>
      <c r="C39" t="s">
        <v>78</v>
      </c>
      <c r="D39" t="s">
        <v>463</v>
      </c>
      <c r="E39" t="s">
        <v>464</v>
      </c>
      <c r="F39" t="s">
        <v>465</v>
      </c>
      <c r="G39" t="s">
        <v>15827</v>
      </c>
      <c r="H39" t="s">
        <v>15831</v>
      </c>
      <c r="I39" t="s">
        <v>15867</v>
      </c>
      <c r="J39" t="s">
        <v>23</v>
      </c>
      <c r="L39" s="8" t="s">
        <v>110</v>
      </c>
      <c r="M39" t="s">
        <v>466</v>
      </c>
      <c r="N39" t="s">
        <v>112</v>
      </c>
      <c r="O39" t="s">
        <v>113</v>
      </c>
      <c r="P39" t="s">
        <v>114</v>
      </c>
      <c r="Q39" t="s">
        <v>467</v>
      </c>
      <c r="R39" t="s">
        <v>468</v>
      </c>
      <c r="S39" t="s">
        <v>469</v>
      </c>
      <c r="T39" t="s">
        <v>118</v>
      </c>
      <c r="U39" s="5">
        <v>1246.56</v>
      </c>
      <c r="V39" s="5">
        <v>3.34</v>
      </c>
      <c r="W39" s="5">
        <v>12.175723</v>
      </c>
      <c r="X39" s="5">
        <v>109.17368</v>
      </c>
      <c r="Y39" s="5">
        <v>1243.22</v>
      </c>
      <c r="Z39" s="5">
        <v>12.189206</v>
      </c>
      <c r="AA39" s="5">
        <v>109.169819</v>
      </c>
      <c r="AB39" s="7">
        <f t="shared" si="1"/>
        <v>5.0099999999999997E-3</v>
      </c>
      <c r="AC39" s="7">
        <f t="shared" si="2"/>
        <v>1.86483</v>
      </c>
      <c r="AD39" s="6" t="str">
        <f t="shared" si="3"/>
        <v>4.PC11a</v>
      </c>
      <c r="AE39" s="6" t="str">
        <f t="shared" si="4"/>
        <v>PC02_Đoạn cột trung thế</v>
      </c>
      <c r="AG39">
        <f t="shared" si="5"/>
        <v>3.3399999999999997E-3</v>
      </c>
      <c r="AH39">
        <f t="shared" si="6"/>
        <v>1.24322</v>
      </c>
    </row>
    <row r="40" spans="1:34" x14ac:dyDescent="0.25">
      <c r="A40" t="s">
        <v>470</v>
      </c>
      <c r="B40" t="s">
        <v>160</v>
      </c>
      <c r="C40" t="s">
        <v>161</v>
      </c>
      <c r="D40" t="s">
        <v>471</v>
      </c>
      <c r="E40" t="s">
        <v>472</v>
      </c>
      <c r="F40" t="s">
        <v>473</v>
      </c>
      <c r="G40" t="s">
        <v>15827</v>
      </c>
      <c r="H40" t="s">
        <v>15831</v>
      </c>
      <c r="I40" t="s">
        <v>15868</v>
      </c>
      <c r="J40" t="s">
        <v>23</v>
      </c>
      <c r="L40" s="8" t="s">
        <v>163</v>
      </c>
      <c r="M40" t="s">
        <v>474</v>
      </c>
      <c r="N40" t="s">
        <v>135</v>
      </c>
      <c r="O40" t="s">
        <v>165</v>
      </c>
      <c r="P40" t="s">
        <v>166</v>
      </c>
      <c r="Q40" t="s">
        <v>475</v>
      </c>
      <c r="R40" t="s">
        <v>168</v>
      </c>
      <c r="S40" t="s">
        <v>169</v>
      </c>
      <c r="T40" t="s">
        <v>170</v>
      </c>
      <c r="U40" s="5">
        <v>1024.07</v>
      </c>
      <c r="V40" s="5">
        <v>1.27</v>
      </c>
      <c r="W40" s="5">
        <v>12.278760999999999</v>
      </c>
      <c r="X40" s="5">
        <v>109.188896</v>
      </c>
      <c r="Y40" s="5">
        <v>1022.79</v>
      </c>
      <c r="Z40" s="5">
        <v>12.276948000000001</v>
      </c>
      <c r="AA40" s="5">
        <v>109.18840899999999</v>
      </c>
      <c r="AB40" s="7">
        <f t="shared" si="1"/>
        <v>1.905E-3</v>
      </c>
      <c r="AC40" s="7">
        <f t="shared" si="2"/>
        <v>1.5341849999999999</v>
      </c>
      <c r="AD40" s="6" t="str">
        <f t="shared" si="3"/>
        <v>Tuyến nhánh PK02 cs1</v>
      </c>
      <c r="AE40" s="6" t="str">
        <f t="shared" si="4"/>
        <v>NTG Nha Trang cũ_Cột hạ thế</v>
      </c>
      <c r="AG40">
        <f t="shared" si="5"/>
        <v>1.2700000000000001E-3</v>
      </c>
      <c r="AH40">
        <f t="shared" si="6"/>
        <v>1.0227899999999999</v>
      </c>
    </row>
    <row r="41" spans="1:34" x14ac:dyDescent="0.25">
      <c r="A41" t="s">
        <v>476</v>
      </c>
      <c r="B41" t="s">
        <v>195</v>
      </c>
      <c r="C41" t="s">
        <v>196</v>
      </c>
      <c r="D41" t="s">
        <v>477</v>
      </c>
      <c r="E41" t="s">
        <v>478</v>
      </c>
      <c r="F41" t="s">
        <v>479</v>
      </c>
      <c r="G41" t="s">
        <v>15827</v>
      </c>
      <c r="H41" t="s">
        <v>15831</v>
      </c>
      <c r="I41" t="s">
        <v>15869</v>
      </c>
      <c r="J41" t="s">
        <v>23</v>
      </c>
      <c r="L41" s="8" t="s">
        <v>185</v>
      </c>
      <c r="M41" t="s">
        <v>480</v>
      </c>
      <c r="N41" t="s">
        <v>337</v>
      </c>
      <c r="O41" t="s">
        <v>338</v>
      </c>
      <c r="P41" t="s">
        <v>339</v>
      </c>
      <c r="Q41" t="s">
        <v>481</v>
      </c>
      <c r="R41" t="s">
        <v>482</v>
      </c>
      <c r="S41" t="s">
        <v>483</v>
      </c>
      <c r="T41" t="s">
        <v>343</v>
      </c>
      <c r="U41" s="5">
        <v>234.94</v>
      </c>
      <c r="V41" s="5">
        <v>0.89</v>
      </c>
      <c r="W41" s="5">
        <v>12.282335</v>
      </c>
      <c r="X41" s="5">
        <v>109.198106</v>
      </c>
      <c r="Y41" s="5">
        <v>234.06</v>
      </c>
      <c r="Z41" s="5">
        <v>12.282329000000001</v>
      </c>
      <c r="AA41" s="5">
        <v>109.19565299999999</v>
      </c>
      <c r="AB41" s="7">
        <f t="shared" si="1"/>
        <v>1.335E-3</v>
      </c>
      <c r="AC41" s="7">
        <f t="shared" si="2"/>
        <v>0.35109000000000001</v>
      </c>
      <c r="AD41" s="6" t="str">
        <f t="shared" si="3"/>
        <v>2.CA Diên Điền</v>
      </c>
      <c r="AE41" s="6" t="str">
        <f t="shared" si="4"/>
        <v>CA Bắc Nha Trang</v>
      </c>
      <c r="AG41">
        <f t="shared" si="5"/>
        <v>8.9000000000000006E-4</v>
      </c>
      <c r="AH41">
        <f t="shared" si="6"/>
        <v>0.23405999999999999</v>
      </c>
    </row>
    <row r="42" spans="1:34" x14ac:dyDescent="0.25">
      <c r="A42" t="s">
        <v>484</v>
      </c>
      <c r="B42" t="s">
        <v>77</v>
      </c>
      <c r="C42" t="s">
        <v>78</v>
      </c>
      <c r="D42" t="s">
        <v>485</v>
      </c>
      <c r="E42" t="s">
        <v>486</v>
      </c>
      <c r="F42" t="s">
        <v>487</v>
      </c>
      <c r="G42" t="s">
        <v>15827</v>
      </c>
      <c r="H42" t="s">
        <v>15831</v>
      </c>
      <c r="I42" t="s">
        <v>15870</v>
      </c>
      <c r="J42" t="s">
        <v>23</v>
      </c>
      <c r="L42" s="8" t="s">
        <v>488</v>
      </c>
      <c r="M42" t="s">
        <v>489</v>
      </c>
      <c r="N42" t="s">
        <v>490</v>
      </c>
      <c r="O42" t="s">
        <v>491</v>
      </c>
      <c r="P42" t="s">
        <v>492</v>
      </c>
      <c r="Q42" t="s">
        <v>493</v>
      </c>
      <c r="R42" t="s">
        <v>494</v>
      </c>
      <c r="S42" t="s">
        <v>495</v>
      </c>
      <c r="T42" t="s">
        <v>496</v>
      </c>
      <c r="U42" s="5">
        <v>536.66999999999996</v>
      </c>
      <c r="V42" s="5">
        <v>136.09</v>
      </c>
      <c r="W42" s="5">
        <v>12.175768</v>
      </c>
      <c r="X42" s="5">
        <v>109.17495</v>
      </c>
      <c r="Y42" s="5">
        <v>400.58</v>
      </c>
      <c r="Z42" s="5">
        <v>12.170889000000001</v>
      </c>
      <c r="AA42" s="5">
        <v>109.187518</v>
      </c>
      <c r="AB42" s="7">
        <f t="shared" si="1"/>
        <v>0.20413499999999998</v>
      </c>
      <c r="AC42" s="7">
        <f t="shared" si="2"/>
        <v>0.60087000000000002</v>
      </c>
      <c r="AD42" s="6" t="str">
        <f t="shared" si="3"/>
        <v>1.CAT Khánh Hòa</v>
      </c>
      <c r="AE42" s="6" t="str">
        <f t="shared" si="4"/>
        <v>Cam Lâm</v>
      </c>
      <c r="AG42">
        <f t="shared" si="5"/>
        <v>0.13609000000000002</v>
      </c>
      <c r="AH42">
        <f t="shared" si="6"/>
        <v>0.40057999999999999</v>
      </c>
    </row>
    <row r="43" spans="1:34" x14ac:dyDescent="0.25">
      <c r="A43" t="s">
        <v>497</v>
      </c>
      <c r="B43" t="s">
        <v>210</v>
      </c>
      <c r="C43" t="s">
        <v>211</v>
      </c>
      <c r="D43" t="s">
        <v>498</v>
      </c>
      <c r="E43" t="s">
        <v>499</v>
      </c>
      <c r="F43" t="s">
        <v>500</v>
      </c>
      <c r="G43" t="s">
        <v>15827</v>
      </c>
      <c r="H43" t="s">
        <v>15831</v>
      </c>
      <c r="I43" t="s">
        <v>15871</v>
      </c>
      <c r="J43" t="s">
        <v>23</v>
      </c>
      <c r="L43" s="8" t="s">
        <v>39</v>
      </c>
      <c r="M43" t="s">
        <v>501</v>
      </c>
      <c r="N43" t="s">
        <v>502</v>
      </c>
      <c r="O43" t="s">
        <v>503</v>
      </c>
      <c r="P43" t="s">
        <v>504</v>
      </c>
      <c r="Q43" t="s">
        <v>505</v>
      </c>
      <c r="R43" t="s">
        <v>506</v>
      </c>
      <c r="S43" t="s">
        <v>507</v>
      </c>
      <c r="T43" t="s">
        <v>508</v>
      </c>
      <c r="U43" s="5">
        <v>633.82000000000005</v>
      </c>
      <c r="V43" s="5">
        <v>424.42</v>
      </c>
      <c r="W43" s="5">
        <v>12.253059</v>
      </c>
      <c r="X43" s="5">
        <v>109.18977700000001</v>
      </c>
      <c r="Y43" s="5">
        <v>209.39</v>
      </c>
      <c r="Z43" s="5">
        <v>12.259029999999999</v>
      </c>
      <c r="AA43" s="5">
        <v>109.189052</v>
      </c>
      <c r="AB43" s="7">
        <f t="shared" si="1"/>
        <v>0.63663000000000003</v>
      </c>
      <c r="AC43" s="7">
        <f t="shared" si="2"/>
        <v>0.314085</v>
      </c>
      <c r="AD43" s="6" t="str">
        <f t="shared" si="3"/>
        <v>1.CAT Khánh Hòa</v>
      </c>
      <c r="AE43" s="6" t="str">
        <f t="shared" si="4"/>
        <v>PK02 cs1</v>
      </c>
      <c r="AG43">
        <f t="shared" si="5"/>
        <v>0.42442000000000002</v>
      </c>
      <c r="AH43">
        <f t="shared" si="6"/>
        <v>0.20938999999999999</v>
      </c>
    </row>
    <row r="44" spans="1:34" x14ac:dyDescent="0.25">
      <c r="A44" t="s">
        <v>509</v>
      </c>
      <c r="B44" t="s">
        <v>34</v>
      </c>
      <c r="C44" t="s">
        <v>35</v>
      </c>
      <c r="D44" t="s">
        <v>510</v>
      </c>
      <c r="E44" t="s">
        <v>511</v>
      </c>
      <c r="F44" t="s">
        <v>512</v>
      </c>
      <c r="G44" t="s">
        <v>15827</v>
      </c>
      <c r="H44" t="s">
        <v>15831</v>
      </c>
      <c r="I44" t="s">
        <v>15872</v>
      </c>
      <c r="J44" t="s">
        <v>23</v>
      </c>
      <c r="L44" s="8" t="s">
        <v>39</v>
      </c>
      <c r="M44" t="s">
        <v>513</v>
      </c>
      <c r="N44" t="s">
        <v>41</v>
      </c>
      <c r="O44" t="s">
        <v>42</v>
      </c>
      <c r="P44" t="s">
        <v>43</v>
      </c>
      <c r="Q44" t="s">
        <v>514</v>
      </c>
      <c r="R44" t="s">
        <v>515</v>
      </c>
      <c r="S44" t="s">
        <v>516</v>
      </c>
      <c r="T44" t="s">
        <v>47</v>
      </c>
      <c r="U44" s="5">
        <v>331.83</v>
      </c>
      <c r="V44" s="5">
        <v>206.48</v>
      </c>
      <c r="W44" s="5">
        <v>12.278732</v>
      </c>
      <c r="X44" s="5">
        <v>109.188858</v>
      </c>
      <c r="Y44" s="5">
        <v>125.35</v>
      </c>
      <c r="Z44" s="5">
        <v>12.279657</v>
      </c>
      <c r="AA44" s="5">
        <v>109.194971</v>
      </c>
      <c r="AB44" s="7">
        <f t="shared" si="1"/>
        <v>0.30972</v>
      </c>
      <c r="AC44" s="7">
        <f t="shared" si="2"/>
        <v>0.18802499999999997</v>
      </c>
      <c r="AD44" s="6" t="str">
        <f t="shared" si="3"/>
        <v>1.CAT Khánh Hòa</v>
      </c>
      <c r="AE44" s="6" t="str">
        <f t="shared" si="4"/>
        <v>PK02 cs1</v>
      </c>
      <c r="AG44">
        <f t="shared" si="5"/>
        <v>0.20648</v>
      </c>
      <c r="AH44">
        <f t="shared" si="6"/>
        <v>0.12534999999999999</v>
      </c>
    </row>
    <row r="45" spans="1:34" x14ac:dyDescent="0.25">
      <c r="A45" t="s">
        <v>517</v>
      </c>
      <c r="B45" t="s">
        <v>277</v>
      </c>
      <c r="C45" t="s">
        <v>278</v>
      </c>
      <c r="D45" t="s">
        <v>518</v>
      </c>
      <c r="E45" t="s">
        <v>519</v>
      </c>
      <c r="F45" t="s">
        <v>520</v>
      </c>
      <c r="G45" t="s">
        <v>15827</v>
      </c>
      <c r="H45" t="s">
        <v>15831</v>
      </c>
      <c r="I45" t="s">
        <v>15873</v>
      </c>
      <c r="J45" t="s">
        <v>23</v>
      </c>
      <c r="L45" s="8" t="s">
        <v>521</v>
      </c>
      <c r="M45" t="s">
        <v>522</v>
      </c>
      <c r="N45" t="s">
        <v>523</v>
      </c>
      <c r="O45" t="s">
        <v>524</v>
      </c>
      <c r="P45" t="s">
        <v>525</v>
      </c>
      <c r="Q45" t="s">
        <v>526</v>
      </c>
      <c r="R45" t="s">
        <v>527</v>
      </c>
      <c r="S45" t="s">
        <v>528</v>
      </c>
      <c r="T45" t="s">
        <v>529</v>
      </c>
      <c r="U45" s="5">
        <v>37.74</v>
      </c>
      <c r="V45" s="5">
        <v>5.73</v>
      </c>
      <c r="W45" s="5">
        <v>12.239089999999999</v>
      </c>
      <c r="X45" s="5">
        <v>109.186652</v>
      </c>
      <c r="Y45" s="5">
        <v>32.01</v>
      </c>
      <c r="Z45" s="5">
        <v>12.23828</v>
      </c>
      <c r="AA45" s="5">
        <v>109.18708599999999</v>
      </c>
      <c r="AB45" s="7">
        <f t="shared" si="1"/>
        <v>8.5950000000000002E-3</v>
      </c>
      <c r="AC45" s="7">
        <f t="shared" si="2"/>
        <v>4.8015000000000002E-2</v>
      </c>
      <c r="AD45" s="6" t="str">
        <f t="shared" si="3"/>
        <v>2.PC07</v>
      </c>
      <c r="AE45" s="6" t="str">
        <f t="shared" si="4"/>
        <v>PA06 cs2_Cột hạ thế</v>
      </c>
      <c r="AG45">
        <f t="shared" si="5"/>
        <v>5.7300000000000007E-3</v>
      </c>
      <c r="AH45">
        <f t="shared" si="6"/>
        <v>3.2009999999999997E-2</v>
      </c>
    </row>
    <row r="46" spans="1:34" x14ac:dyDescent="0.25">
      <c r="A46" t="s">
        <v>530</v>
      </c>
      <c r="B46" t="s">
        <v>77</v>
      </c>
      <c r="C46" t="s">
        <v>78</v>
      </c>
      <c r="D46" t="s">
        <v>531</v>
      </c>
      <c r="E46" t="s">
        <v>532</v>
      </c>
      <c r="F46" t="s">
        <v>533</v>
      </c>
      <c r="G46" t="s">
        <v>15827</v>
      </c>
      <c r="H46" t="s">
        <v>15831</v>
      </c>
      <c r="I46" t="s">
        <v>15874</v>
      </c>
      <c r="J46" t="s">
        <v>23</v>
      </c>
      <c r="L46" s="8" t="s">
        <v>110</v>
      </c>
      <c r="M46" t="s">
        <v>534</v>
      </c>
      <c r="N46" t="s">
        <v>112</v>
      </c>
      <c r="O46" t="s">
        <v>113</v>
      </c>
      <c r="P46" t="s">
        <v>114</v>
      </c>
      <c r="Q46" t="s">
        <v>535</v>
      </c>
      <c r="R46" t="s">
        <v>536</v>
      </c>
      <c r="S46" t="s">
        <v>537</v>
      </c>
      <c r="T46" t="s">
        <v>118</v>
      </c>
      <c r="U46" s="5">
        <v>147.68</v>
      </c>
      <c r="V46" s="5">
        <v>3.34</v>
      </c>
      <c r="W46" s="5">
        <v>12.175723</v>
      </c>
      <c r="X46" s="5">
        <v>109.17368</v>
      </c>
      <c r="Y46" s="5">
        <v>144.34</v>
      </c>
      <c r="Z46" s="5">
        <v>12.1988</v>
      </c>
      <c r="AA46" s="5">
        <v>109.176728</v>
      </c>
      <c r="AB46" s="7">
        <f t="shared" si="1"/>
        <v>5.0099999999999997E-3</v>
      </c>
      <c r="AC46" s="7">
        <f t="shared" si="2"/>
        <v>0.21650999999999998</v>
      </c>
      <c r="AD46" s="6" t="str">
        <f t="shared" si="3"/>
        <v>4.PC11a</v>
      </c>
      <c r="AE46" s="6" t="str">
        <f t="shared" si="4"/>
        <v>PC02_Đoạn cột trung thế</v>
      </c>
      <c r="AG46">
        <f t="shared" si="5"/>
        <v>3.3399999999999997E-3</v>
      </c>
      <c r="AH46">
        <f t="shared" si="6"/>
        <v>0.14434</v>
      </c>
    </row>
    <row r="47" spans="1:34" x14ac:dyDescent="0.25">
      <c r="A47" t="s">
        <v>538</v>
      </c>
      <c r="B47" t="s">
        <v>210</v>
      </c>
      <c r="C47" t="s">
        <v>211</v>
      </c>
      <c r="D47" t="s">
        <v>539</v>
      </c>
      <c r="E47" t="s">
        <v>540</v>
      </c>
      <c r="F47" t="s">
        <v>541</v>
      </c>
      <c r="G47" t="s">
        <v>15827</v>
      </c>
      <c r="H47" t="s">
        <v>15831</v>
      </c>
      <c r="I47" t="s">
        <v>15875</v>
      </c>
      <c r="J47" t="s">
        <v>23</v>
      </c>
      <c r="L47" s="8" t="s">
        <v>267</v>
      </c>
      <c r="M47" t="s">
        <v>542</v>
      </c>
      <c r="N47" t="s">
        <v>543</v>
      </c>
      <c r="O47" t="s">
        <v>544</v>
      </c>
      <c r="P47" t="s">
        <v>545</v>
      </c>
      <c r="Q47" t="s">
        <v>546</v>
      </c>
      <c r="R47" t="s">
        <v>273</v>
      </c>
      <c r="S47" t="s">
        <v>274</v>
      </c>
      <c r="T47" t="s">
        <v>275</v>
      </c>
      <c r="U47" s="5">
        <v>1012.35</v>
      </c>
      <c r="V47" s="5">
        <v>2.37</v>
      </c>
      <c r="W47" s="5">
        <v>12.251134</v>
      </c>
      <c r="X47" s="5">
        <v>109.186421</v>
      </c>
      <c r="Y47" s="5">
        <v>1009.98</v>
      </c>
      <c r="Z47" s="5">
        <v>12.254597</v>
      </c>
      <c r="AA47" s="5">
        <v>109.180751</v>
      </c>
      <c r="AB47" s="7">
        <f t="shared" si="1"/>
        <v>3.555E-3</v>
      </c>
      <c r="AC47" s="7">
        <f t="shared" si="2"/>
        <v>1.5149699999999999</v>
      </c>
      <c r="AD47" s="6" t="str">
        <f t="shared" si="3"/>
        <v>4.CA Tây Nha Trang</v>
      </c>
      <c r="AE47" s="6" t="str">
        <f t="shared" si="4"/>
        <v>TTCMKV Diên Khánh</v>
      </c>
      <c r="AG47">
        <f t="shared" si="5"/>
        <v>2.3700000000000001E-3</v>
      </c>
      <c r="AH47">
        <f t="shared" si="6"/>
        <v>1.0099800000000001</v>
      </c>
    </row>
    <row r="48" spans="1:34" x14ac:dyDescent="0.25">
      <c r="A48" t="s">
        <v>547</v>
      </c>
      <c r="B48" t="s">
        <v>51</v>
      </c>
      <c r="C48" t="s">
        <v>52</v>
      </c>
      <c r="D48" t="s">
        <v>391</v>
      </c>
      <c r="E48" t="s">
        <v>392</v>
      </c>
      <c r="F48" t="s">
        <v>548</v>
      </c>
      <c r="G48" t="s">
        <v>15827</v>
      </c>
      <c r="H48" t="s">
        <v>15831</v>
      </c>
      <c r="I48" t="s">
        <v>15876</v>
      </c>
      <c r="J48" t="s">
        <v>23</v>
      </c>
      <c r="L48" s="8" t="s">
        <v>315</v>
      </c>
      <c r="M48" t="s">
        <v>549</v>
      </c>
      <c r="N48" t="s">
        <v>550</v>
      </c>
      <c r="O48" t="s">
        <v>380</v>
      </c>
      <c r="P48" t="s">
        <v>381</v>
      </c>
      <c r="Q48" t="s">
        <v>422</v>
      </c>
      <c r="R48" t="s">
        <v>423</v>
      </c>
      <c r="S48" t="s">
        <v>424</v>
      </c>
      <c r="T48" t="s">
        <v>323</v>
      </c>
      <c r="U48" s="5">
        <v>3643.19</v>
      </c>
      <c r="V48" s="5">
        <v>2996.83</v>
      </c>
      <c r="W48" s="5">
        <v>12.246168000000001</v>
      </c>
      <c r="X48" s="5">
        <v>109.073882</v>
      </c>
      <c r="Y48" s="5">
        <v>646.36</v>
      </c>
      <c r="Z48" s="5">
        <v>12.263232</v>
      </c>
      <c r="AA48" s="5">
        <v>109.033157</v>
      </c>
      <c r="AB48" s="7">
        <f t="shared" si="1"/>
        <v>4.4952449999999997</v>
      </c>
      <c r="AC48" s="7">
        <f t="shared" si="2"/>
        <v>0.96953999999999996</v>
      </c>
      <c r="AD48" s="6" t="str">
        <f t="shared" si="3"/>
        <v>2.Nhà tạm giam Diên Khánh</v>
      </c>
      <c r="AE48" s="6" t="str">
        <f t="shared" si="4"/>
        <v>Trại giam A2</v>
      </c>
      <c r="AG48">
        <f t="shared" si="5"/>
        <v>2.9968300000000001</v>
      </c>
      <c r="AH48">
        <f t="shared" si="6"/>
        <v>0.64636000000000005</v>
      </c>
    </row>
    <row r="49" spans="1:34" x14ac:dyDescent="0.25">
      <c r="A49" t="s">
        <v>551</v>
      </c>
      <c r="B49" t="s">
        <v>77</v>
      </c>
      <c r="C49" t="s">
        <v>78</v>
      </c>
      <c r="D49" t="s">
        <v>51</v>
      </c>
      <c r="E49" t="s">
        <v>52</v>
      </c>
      <c r="F49" t="s">
        <v>552</v>
      </c>
      <c r="G49" t="s">
        <v>15827</v>
      </c>
      <c r="H49" t="s">
        <v>15831</v>
      </c>
      <c r="I49" t="s">
        <v>15877</v>
      </c>
      <c r="J49" t="s">
        <v>23</v>
      </c>
      <c r="L49" s="8" t="s">
        <v>244</v>
      </c>
      <c r="M49" t="s">
        <v>553</v>
      </c>
      <c r="N49" t="s">
        <v>554</v>
      </c>
      <c r="O49" t="s">
        <v>555</v>
      </c>
      <c r="P49" t="s">
        <v>556</v>
      </c>
      <c r="Q49" t="s">
        <v>557</v>
      </c>
      <c r="R49" t="s">
        <v>558</v>
      </c>
      <c r="S49" t="s">
        <v>559</v>
      </c>
      <c r="T49" t="s">
        <v>560</v>
      </c>
      <c r="U49" s="5">
        <v>9316.2800000000007</v>
      </c>
      <c r="V49" s="5">
        <v>4830.5600000000004</v>
      </c>
      <c r="W49" s="5">
        <v>12.209825</v>
      </c>
      <c r="X49" s="5">
        <v>109.146196</v>
      </c>
      <c r="Y49" s="5">
        <v>4485.72</v>
      </c>
      <c r="Z49" s="5">
        <v>12.183759</v>
      </c>
      <c r="AA49" s="5">
        <v>109.099619</v>
      </c>
      <c r="AB49" s="7">
        <f t="shared" si="1"/>
        <v>7.2458400000000003</v>
      </c>
      <c r="AC49" s="7">
        <f t="shared" si="2"/>
        <v>6.72858</v>
      </c>
      <c r="AD49" s="6" t="str">
        <f t="shared" si="3"/>
        <v>5. Cam Phước Đông</v>
      </c>
      <c r="AE49" s="6" t="str">
        <f t="shared" si="4"/>
        <v>CAT Khánh Hòa</v>
      </c>
      <c r="AG49">
        <f t="shared" si="5"/>
        <v>4.8305600000000002</v>
      </c>
      <c r="AH49">
        <f t="shared" si="6"/>
        <v>4.4857200000000006</v>
      </c>
    </row>
    <row r="50" spans="1:34" x14ac:dyDescent="0.25">
      <c r="A50" t="s">
        <v>561</v>
      </c>
      <c r="B50" t="s">
        <v>562</v>
      </c>
      <c r="C50" t="s">
        <v>563</v>
      </c>
      <c r="D50" t="s">
        <v>564</v>
      </c>
      <c r="E50" t="s">
        <v>565</v>
      </c>
      <c r="F50" t="s">
        <v>566</v>
      </c>
      <c r="G50" t="s">
        <v>15827</v>
      </c>
      <c r="H50" t="s">
        <v>15831</v>
      </c>
      <c r="I50" t="s">
        <v>15878</v>
      </c>
      <c r="J50" t="s">
        <v>23</v>
      </c>
      <c r="L50" s="8" t="s">
        <v>567</v>
      </c>
      <c r="M50" t="s">
        <v>568</v>
      </c>
      <c r="N50" t="s">
        <v>569</v>
      </c>
      <c r="O50" t="s">
        <v>570</v>
      </c>
      <c r="P50" t="s">
        <v>571</v>
      </c>
      <c r="Q50" t="s">
        <v>572</v>
      </c>
      <c r="R50" t="s">
        <v>573</v>
      </c>
      <c r="S50" t="s">
        <v>574</v>
      </c>
      <c r="T50" t="s">
        <v>575</v>
      </c>
      <c r="U50" s="5">
        <v>145.04</v>
      </c>
      <c r="V50" s="5">
        <v>5.08</v>
      </c>
      <c r="W50" s="5">
        <v>12.540853</v>
      </c>
      <c r="X50" s="5">
        <v>109.00745999999999</v>
      </c>
      <c r="Y50" s="5">
        <v>139.96</v>
      </c>
      <c r="Z50" s="5">
        <v>12.550335</v>
      </c>
      <c r="AA50" s="5">
        <v>109.021041</v>
      </c>
      <c r="AB50" s="7">
        <f t="shared" si="1"/>
        <v>7.62E-3</v>
      </c>
      <c r="AC50" s="7">
        <f t="shared" si="2"/>
        <v>0.20993999999999999</v>
      </c>
      <c r="AD50" s="6" t="str">
        <f t="shared" si="3"/>
        <v>3.CA Tây Ninh Hòa</v>
      </c>
      <c r="AE50" s="6" t="str">
        <f t="shared" si="4"/>
        <v>CA Hòa Trí</v>
      </c>
      <c r="AG50">
        <f t="shared" si="5"/>
        <v>5.0800000000000003E-3</v>
      </c>
      <c r="AH50">
        <f t="shared" si="6"/>
        <v>0.13996</v>
      </c>
    </row>
    <row r="51" spans="1:34" x14ac:dyDescent="0.25">
      <c r="A51" t="s">
        <v>576</v>
      </c>
      <c r="B51" t="s">
        <v>577</v>
      </c>
      <c r="C51" t="s">
        <v>578</v>
      </c>
      <c r="D51" t="s">
        <v>579</v>
      </c>
      <c r="E51" t="s">
        <v>580</v>
      </c>
      <c r="F51" t="s">
        <v>581</v>
      </c>
      <c r="G51" t="s">
        <v>15827</v>
      </c>
      <c r="H51" t="s">
        <v>15831</v>
      </c>
      <c r="I51" t="s">
        <v>15879</v>
      </c>
      <c r="J51" t="s">
        <v>23</v>
      </c>
      <c r="L51" s="8" t="s">
        <v>582</v>
      </c>
      <c r="M51" t="s">
        <v>583</v>
      </c>
      <c r="N51" t="s">
        <v>584</v>
      </c>
      <c r="O51" t="s">
        <v>585</v>
      </c>
      <c r="P51" t="s">
        <v>586</v>
      </c>
      <c r="Q51" t="s">
        <v>587</v>
      </c>
      <c r="R51" t="s">
        <v>588</v>
      </c>
      <c r="S51" t="s">
        <v>589</v>
      </c>
      <c r="T51" t="s">
        <v>590</v>
      </c>
      <c r="U51" s="5">
        <v>411.22</v>
      </c>
      <c r="V51" s="5">
        <v>297.85000000000002</v>
      </c>
      <c r="W51" s="5">
        <v>12.507178</v>
      </c>
      <c r="X51" s="5">
        <v>109.13666499999999</v>
      </c>
      <c r="Y51" s="5">
        <v>113.37</v>
      </c>
      <c r="Z51" s="5">
        <v>12.500529</v>
      </c>
      <c r="AA51" s="5">
        <v>109.13312000000001</v>
      </c>
      <c r="AB51" s="7">
        <f t="shared" si="1"/>
        <v>0.44677500000000003</v>
      </c>
      <c r="AC51" s="7">
        <f t="shared" si="2"/>
        <v>0.17005500000000001</v>
      </c>
      <c r="AD51" s="6" t="str">
        <f t="shared" si="3"/>
        <v>3.CA Tân Định</v>
      </c>
      <c r="AE51" s="6" t="str">
        <f t="shared" si="4"/>
        <v>CA Ninh Hòa</v>
      </c>
      <c r="AG51">
        <f t="shared" si="5"/>
        <v>0.29785</v>
      </c>
      <c r="AH51">
        <f t="shared" si="6"/>
        <v>0.11337</v>
      </c>
    </row>
    <row r="52" spans="1:34" x14ac:dyDescent="0.25">
      <c r="A52" t="s">
        <v>591</v>
      </c>
      <c r="B52" t="s">
        <v>577</v>
      </c>
      <c r="C52" t="s">
        <v>578</v>
      </c>
      <c r="D52" t="s">
        <v>592</v>
      </c>
      <c r="E52" t="s">
        <v>593</v>
      </c>
      <c r="F52" t="s">
        <v>594</v>
      </c>
      <c r="G52" t="s">
        <v>15827</v>
      </c>
      <c r="H52" t="s">
        <v>15831</v>
      </c>
      <c r="I52" t="s">
        <v>15880</v>
      </c>
      <c r="J52" t="s">
        <v>23</v>
      </c>
      <c r="L52" s="8" t="s">
        <v>595</v>
      </c>
      <c r="M52" t="s">
        <v>596</v>
      </c>
      <c r="N52" t="s">
        <v>597</v>
      </c>
      <c r="O52" t="s">
        <v>598</v>
      </c>
      <c r="P52" t="s">
        <v>599</v>
      </c>
      <c r="Q52" t="s">
        <v>600</v>
      </c>
      <c r="R52" t="s">
        <v>601</v>
      </c>
      <c r="S52" t="s">
        <v>602</v>
      </c>
      <c r="T52" t="s">
        <v>603</v>
      </c>
      <c r="U52" s="5">
        <v>1582.27</v>
      </c>
      <c r="V52" s="5">
        <v>2.77</v>
      </c>
      <c r="W52" s="5">
        <v>12.509724</v>
      </c>
      <c r="X52" s="5">
        <v>109.13747499999999</v>
      </c>
      <c r="Y52" s="5">
        <v>1579.51</v>
      </c>
      <c r="Z52" s="5">
        <v>12.481318999999999</v>
      </c>
      <c r="AA52" s="5">
        <v>109.13125100000001</v>
      </c>
      <c r="AB52" s="7">
        <f t="shared" si="1"/>
        <v>4.1549999999999998E-3</v>
      </c>
      <c r="AC52" s="7">
        <f t="shared" si="2"/>
        <v>2.369265</v>
      </c>
      <c r="AD52" s="6" t="str">
        <f t="shared" si="3"/>
        <v>1.CA Ninh Hòa</v>
      </c>
      <c r="AE52" s="6" t="str">
        <f t="shared" si="4"/>
        <v>CA Hòa Thắng_Cột trung thế</v>
      </c>
      <c r="AG52">
        <f t="shared" si="5"/>
        <v>2.7699999999999999E-3</v>
      </c>
      <c r="AH52">
        <f t="shared" si="6"/>
        <v>1.57951</v>
      </c>
    </row>
    <row r="53" spans="1:34" x14ac:dyDescent="0.25">
      <c r="A53" t="s">
        <v>604</v>
      </c>
      <c r="B53" t="s">
        <v>605</v>
      </c>
      <c r="C53" t="s">
        <v>606</v>
      </c>
      <c r="D53" t="s">
        <v>607</v>
      </c>
      <c r="E53" t="s">
        <v>608</v>
      </c>
      <c r="F53" t="s">
        <v>609</v>
      </c>
      <c r="G53" t="s">
        <v>15827</v>
      </c>
      <c r="H53" t="s">
        <v>15831</v>
      </c>
      <c r="I53" t="s">
        <v>15881</v>
      </c>
      <c r="J53" t="s">
        <v>23</v>
      </c>
      <c r="L53" s="8" t="s">
        <v>365</v>
      </c>
      <c r="M53" t="s">
        <v>610</v>
      </c>
      <c r="N53" t="s">
        <v>611</v>
      </c>
      <c r="O53" t="s">
        <v>612</v>
      </c>
      <c r="P53" t="s">
        <v>613</v>
      </c>
      <c r="Q53" t="s">
        <v>614</v>
      </c>
      <c r="R53" t="s">
        <v>612</v>
      </c>
      <c r="S53" t="s">
        <v>613</v>
      </c>
      <c r="T53" t="s">
        <v>615</v>
      </c>
      <c r="U53" s="5">
        <v>325.75</v>
      </c>
      <c r="V53" s="5">
        <v>3.61</v>
      </c>
      <c r="W53" s="5">
        <v>11.962966</v>
      </c>
      <c r="X53" s="5">
        <v>109.09502000000001</v>
      </c>
      <c r="Y53" s="5">
        <v>322.14</v>
      </c>
      <c r="Z53" s="5">
        <v>11.962966</v>
      </c>
      <c r="AA53" s="5">
        <v>109.09502000000001</v>
      </c>
      <c r="AB53" s="7">
        <f t="shared" si="1"/>
        <v>5.4149999999999997E-3</v>
      </c>
      <c r="AC53" s="7">
        <f t="shared" si="2"/>
        <v>0.48320999999999997</v>
      </c>
      <c r="AD53" s="6" t="str">
        <f t="shared" si="3"/>
        <v>2.CA Bắc Cam Ranh</v>
      </c>
      <c r="AE53" s="6" t="str">
        <f t="shared" si="4"/>
        <v>CA Cam An</v>
      </c>
      <c r="AG53">
        <f t="shared" si="5"/>
        <v>3.6099999999999999E-3</v>
      </c>
      <c r="AH53">
        <f t="shared" si="6"/>
        <v>0.32213999999999998</v>
      </c>
    </row>
    <row r="54" spans="1:34" x14ac:dyDescent="0.25">
      <c r="A54" t="s">
        <v>616</v>
      </c>
      <c r="B54" t="s">
        <v>617</v>
      </c>
      <c r="C54" t="s">
        <v>618</v>
      </c>
      <c r="D54" t="s">
        <v>619</v>
      </c>
      <c r="E54" t="s">
        <v>620</v>
      </c>
      <c r="F54" t="s">
        <v>621</v>
      </c>
      <c r="G54" t="s">
        <v>15827</v>
      </c>
      <c r="H54" t="s">
        <v>15831</v>
      </c>
      <c r="I54" t="s">
        <v>15882</v>
      </c>
      <c r="J54" t="s">
        <v>23</v>
      </c>
      <c r="L54" s="8" t="s">
        <v>622</v>
      </c>
      <c r="M54" t="s">
        <v>623</v>
      </c>
      <c r="N54" t="s">
        <v>624</v>
      </c>
      <c r="O54" t="s">
        <v>625</v>
      </c>
      <c r="P54" t="s">
        <v>626</v>
      </c>
      <c r="Q54" t="s">
        <v>627</v>
      </c>
      <c r="R54" t="s">
        <v>628</v>
      </c>
      <c r="S54" t="s">
        <v>629</v>
      </c>
      <c r="T54" t="s">
        <v>630</v>
      </c>
      <c r="U54" s="5">
        <v>754.89</v>
      </c>
      <c r="V54" s="5">
        <v>313.88</v>
      </c>
      <c r="W54" s="5">
        <v>11.923</v>
      </c>
      <c r="X54" s="5">
        <v>109.16500000000001</v>
      </c>
      <c r="Y54" s="5">
        <v>441.01</v>
      </c>
      <c r="Z54" s="5">
        <v>11.911315999999999</v>
      </c>
      <c r="AA54" s="5">
        <v>109.152038</v>
      </c>
      <c r="AB54" s="7">
        <f t="shared" si="1"/>
        <v>0.47082000000000002</v>
      </c>
      <c r="AC54" s="7">
        <f t="shared" si="2"/>
        <v>0.66151499999999996</v>
      </c>
      <c r="AD54" s="6" t="str">
        <f t="shared" si="3"/>
        <v>1.CA Cam Ranh</v>
      </c>
      <c r="AE54" s="6" t="str">
        <f t="shared" si="4"/>
        <v>CA Cam Linh</v>
      </c>
      <c r="AG54">
        <f t="shared" si="5"/>
        <v>0.31387999999999999</v>
      </c>
      <c r="AH54">
        <f t="shared" si="6"/>
        <v>0.44101000000000001</v>
      </c>
    </row>
    <row r="55" spans="1:34" x14ac:dyDescent="0.25">
      <c r="A55" t="s">
        <v>631</v>
      </c>
      <c r="B55" t="s">
        <v>577</v>
      </c>
      <c r="C55" t="s">
        <v>578</v>
      </c>
      <c r="D55" t="s">
        <v>632</v>
      </c>
      <c r="E55" t="s">
        <v>633</v>
      </c>
      <c r="F55" t="s">
        <v>634</v>
      </c>
      <c r="G55" t="s">
        <v>15827</v>
      </c>
      <c r="H55" t="s">
        <v>15831</v>
      </c>
      <c r="I55" t="s">
        <v>15883</v>
      </c>
      <c r="J55" t="s">
        <v>23</v>
      </c>
      <c r="L55" s="8" t="s">
        <v>595</v>
      </c>
      <c r="M55" t="s">
        <v>635</v>
      </c>
      <c r="N55" t="s">
        <v>597</v>
      </c>
      <c r="O55" t="s">
        <v>598</v>
      </c>
      <c r="P55" t="s">
        <v>599</v>
      </c>
      <c r="Q55" t="s">
        <v>636</v>
      </c>
      <c r="R55" t="s">
        <v>637</v>
      </c>
      <c r="S55" t="s">
        <v>638</v>
      </c>
      <c r="T55" t="s">
        <v>603</v>
      </c>
      <c r="U55" s="5">
        <v>273.39</v>
      </c>
      <c r="V55" s="5">
        <v>2.77</v>
      </c>
      <c r="W55" s="5">
        <v>12.509724</v>
      </c>
      <c r="X55" s="5">
        <v>109.13747499999999</v>
      </c>
      <c r="Y55" s="5">
        <v>270.63</v>
      </c>
      <c r="Z55" s="5">
        <v>12.486466</v>
      </c>
      <c r="AA55" s="5">
        <v>109.134191</v>
      </c>
      <c r="AB55" s="7">
        <f t="shared" si="1"/>
        <v>4.1549999999999998E-3</v>
      </c>
      <c r="AC55" s="7">
        <f t="shared" si="2"/>
        <v>0.405945</v>
      </c>
      <c r="AD55" s="6" t="str">
        <f t="shared" si="3"/>
        <v>1.CA Ninh Hòa</v>
      </c>
      <c r="AE55" s="6" t="str">
        <f t="shared" si="4"/>
        <v>CA Hòa Thắng_Cột trung thế</v>
      </c>
      <c r="AG55">
        <f t="shared" si="5"/>
        <v>2.7699999999999999E-3</v>
      </c>
      <c r="AH55">
        <f t="shared" si="6"/>
        <v>0.27062999999999998</v>
      </c>
    </row>
    <row r="56" spans="1:34" x14ac:dyDescent="0.25">
      <c r="A56" t="s">
        <v>639</v>
      </c>
      <c r="B56" t="s">
        <v>277</v>
      </c>
      <c r="C56" t="s">
        <v>278</v>
      </c>
      <c r="D56" t="s">
        <v>640</v>
      </c>
      <c r="E56" t="s">
        <v>641</v>
      </c>
      <c r="F56" t="s">
        <v>642</v>
      </c>
      <c r="G56" t="s">
        <v>15827</v>
      </c>
      <c r="H56" t="s">
        <v>15831</v>
      </c>
      <c r="I56" t="s">
        <v>15884</v>
      </c>
      <c r="J56" t="s">
        <v>23</v>
      </c>
      <c r="L56" s="8" t="s">
        <v>282</v>
      </c>
      <c r="M56" t="s">
        <v>643</v>
      </c>
      <c r="N56" t="s">
        <v>284</v>
      </c>
      <c r="O56" t="s">
        <v>285</v>
      </c>
      <c r="P56" t="s">
        <v>286</v>
      </c>
      <c r="Q56" t="s">
        <v>644</v>
      </c>
      <c r="R56" t="s">
        <v>645</v>
      </c>
      <c r="S56" t="s">
        <v>646</v>
      </c>
      <c r="T56" t="s">
        <v>290</v>
      </c>
      <c r="U56" s="5">
        <v>37.770000000000003</v>
      </c>
      <c r="V56" s="5">
        <v>4.91</v>
      </c>
      <c r="W56" s="5">
        <v>12.239117</v>
      </c>
      <c r="X56" s="5">
        <v>109.18664200000001</v>
      </c>
      <c r="Y56" s="5">
        <v>32.86</v>
      </c>
      <c r="Z56" s="5">
        <v>12.238851</v>
      </c>
      <c r="AA56" s="5">
        <v>109.186412</v>
      </c>
      <c r="AB56" s="7">
        <f t="shared" si="1"/>
        <v>7.365E-3</v>
      </c>
      <c r="AC56" s="7">
        <f t="shared" si="2"/>
        <v>4.929E-2</v>
      </c>
      <c r="AD56" s="6" t="str">
        <f t="shared" si="3"/>
        <v>1.CATP Nha trang cũ</v>
      </c>
      <c r="AE56" s="6" t="str">
        <f t="shared" si="4"/>
        <v>PC07</v>
      </c>
      <c r="AG56">
        <f t="shared" si="5"/>
        <v>4.9100000000000003E-3</v>
      </c>
      <c r="AH56">
        <f t="shared" si="6"/>
        <v>3.286E-2</v>
      </c>
    </row>
    <row r="57" spans="1:34" x14ac:dyDescent="0.25">
      <c r="A57" t="s">
        <v>647</v>
      </c>
      <c r="B57" t="s">
        <v>277</v>
      </c>
      <c r="C57" t="s">
        <v>278</v>
      </c>
      <c r="D57" t="s">
        <v>648</v>
      </c>
      <c r="E57" t="s">
        <v>649</v>
      </c>
      <c r="F57" t="s">
        <v>650</v>
      </c>
      <c r="G57" t="s">
        <v>15827</v>
      </c>
      <c r="H57" t="s">
        <v>15831</v>
      </c>
      <c r="I57" t="s">
        <v>15885</v>
      </c>
      <c r="J57" t="s">
        <v>23</v>
      </c>
      <c r="L57" s="8" t="s">
        <v>282</v>
      </c>
      <c r="M57" t="s">
        <v>651</v>
      </c>
      <c r="N57" t="s">
        <v>284</v>
      </c>
      <c r="O57" t="s">
        <v>285</v>
      </c>
      <c r="P57" t="s">
        <v>286</v>
      </c>
      <c r="Q57" t="s">
        <v>652</v>
      </c>
      <c r="R57" t="s">
        <v>653</v>
      </c>
      <c r="S57" t="s">
        <v>654</v>
      </c>
      <c r="T57" t="s">
        <v>290</v>
      </c>
      <c r="U57" s="5">
        <v>654.25</v>
      </c>
      <c r="V57" s="5">
        <v>4.91</v>
      </c>
      <c r="W57" s="5">
        <v>12.239117</v>
      </c>
      <c r="X57" s="5">
        <v>109.18664200000001</v>
      </c>
      <c r="Y57" s="5">
        <v>649.35</v>
      </c>
      <c r="Z57" s="5">
        <v>12.243726000000001</v>
      </c>
      <c r="AA57" s="5">
        <v>109.18979400000001</v>
      </c>
      <c r="AB57" s="7">
        <f t="shared" si="1"/>
        <v>7.365E-3</v>
      </c>
      <c r="AC57" s="7">
        <f t="shared" si="2"/>
        <v>0.97402500000000014</v>
      </c>
      <c r="AD57" s="6" t="str">
        <f t="shared" si="3"/>
        <v>1.CATP Nha trang cũ</v>
      </c>
      <c r="AE57" s="6" t="str">
        <f t="shared" si="4"/>
        <v>PC07</v>
      </c>
      <c r="AG57">
        <f t="shared" si="5"/>
        <v>4.9100000000000003E-3</v>
      </c>
      <c r="AH57">
        <f t="shared" si="6"/>
        <v>0.64934999999999998</v>
      </c>
    </row>
    <row r="58" spans="1:34" x14ac:dyDescent="0.25">
      <c r="A58" t="s">
        <v>655</v>
      </c>
      <c r="B58" t="s">
        <v>277</v>
      </c>
      <c r="C58" t="s">
        <v>278</v>
      </c>
      <c r="D58" t="s">
        <v>656</v>
      </c>
      <c r="E58" t="s">
        <v>657</v>
      </c>
      <c r="F58" t="s">
        <v>658</v>
      </c>
      <c r="G58" t="s">
        <v>15827</v>
      </c>
      <c r="H58" t="s">
        <v>15831</v>
      </c>
      <c r="I58" t="s">
        <v>15886</v>
      </c>
      <c r="J58" t="s">
        <v>23</v>
      </c>
      <c r="L58" s="8" t="s">
        <v>659</v>
      </c>
      <c r="M58" t="s">
        <v>660</v>
      </c>
      <c r="N58" t="s">
        <v>661</v>
      </c>
      <c r="O58" t="s">
        <v>662</v>
      </c>
      <c r="P58" t="s">
        <v>663</v>
      </c>
      <c r="Q58" t="s">
        <v>664</v>
      </c>
      <c r="R58" t="s">
        <v>665</v>
      </c>
      <c r="S58" t="s">
        <v>666</v>
      </c>
      <c r="T58" t="s">
        <v>667</v>
      </c>
      <c r="U58" s="5">
        <v>317.79000000000002</v>
      </c>
      <c r="V58" s="5">
        <v>209.5</v>
      </c>
      <c r="W58" s="5">
        <v>12.240531000000001</v>
      </c>
      <c r="X58" s="5">
        <v>109.187854</v>
      </c>
      <c r="Y58" s="5">
        <v>108.28</v>
      </c>
      <c r="Z58" s="5">
        <v>12.238301</v>
      </c>
      <c r="AA58" s="5">
        <v>109.19194899999999</v>
      </c>
      <c r="AB58" s="7">
        <f t="shared" si="1"/>
        <v>0.31424999999999997</v>
      </c>
      <c r="AC58" s="7">
        <f t="shared" si="2"/>
        <v>0.16242000000000001</v>
      </c>
      <c r="AD58" s="6" t="str">
        <f t="shared" si="3"/>
        <v>6.PC08 csc</v>
      </c>
      <c r="AE58" s="6" t="str">
        <f t="shared" si="4"/>
        <v>CAT Khánh Hòa_Cột trung thế</v>
      </c>
      <c r="AG58">
        <f t="shared" si="5"/>
        <v>0.20949999999999999</v>
      </c>
      <c r="AH58">
        <f t="shared" si="6"/>
        <v>0.10828</v>
      </c>
    </row>
    <row r="59" spans="1:34" x14ac:dyDescent="0.25">
      <c r="A59" t="s">
        <v>668</v>
      </c>
      <c r="B59" t="s">
        <v>128</v>
      </c>
      <c r="C59" t="s">
        <v>129</v>
      </c>
      <c r="D59" t="s">
        <v>669</v>
      </c>
      <c r="E59" t="s">
        <v>670</v>
      </c>
      <c r="F59" t="s">
        <v>671</v>
      </c>
      <c r="G59" t="s">
        <v>15827</v>
      </c>
      <c r="H59" t="s">
        <v>15831</v>
      </c>
      <c r="I59" t="s">
        <v>15887</v>
      </c>
      <c r="J59" t="s">
        <v>23</v>
      </c>
      <c r="L59" s="8" t="s">
        <v>282</v>
      </c>
      <c r="M59" t="s">
        <v>672</v>
      </c>
      <c r="N59" t="s">
        <v>673</v>
      </c>
      <c r="O59" t="s">
        <v>288</v>
      </c>
      <c r="P59" t="s">
        <v>289</v>
      </c>
      <c r="Q59" t="s">
        <v>674</v>
      </c>
      <c r="R59" t="s">
        <v>675</v>
      </c>
      <c r="S59" t="s">
        <v>676</v>
      </c>
      <c r="T59" t="s">
        <v>290</v>
      </c>
      <c r="U59" s="5">
        <v>887.13</v>
      </c>
      <c r="V59" s="5">
        <v>405.93</v>
      </c>
      <c r="W59" s="5">
        <v>12.243925000000001</v>
      </c>
      <c r="X59" s="5">
        <v>109.189556</v>
      </c>
      <c r="Y59" s="5">
        <v>481.2</v>
      </c>
      <c r="Z59" s="5">
        <v>12.239652</v>
      </c>
      <c r="AA59" s="5">
        <v>109.185587</v>
      </c>
      <c r="AB59" s="7">
        <f t="shared" si="1"/>
        <v>0.60889499999999996</v>
      </c>
      <c r="AC59" s="7">
        <f t="shared" si="2"/>
        <v>0.7218</v>
      </c>
      <c r="AD59" s="6" t="str">
        <f t="shared" si="3"/>
        <v>1.CATP Nha trang cũ</v>
      </c>
      <c r="AE59" s="6" t="str">
        <f t="shared" si="4"/>
        <v>PC07</v>
      </c>
      <c r="AG59">
        <f t="shared" si="5"/>
        <v>0.40593000000000001</v>
      </c>
      <c r="AH59">
        <f t="shared" si="6"/>
        <v>0.48119999999999996</v>
      </c>
    </row>
    <row r="60" spans="1:34" x14ac:dyDescent="0.25">
      <c r="A60" t="s">
        <v>677</v>
      </c>
      <c r="B60" t="s">
        <v>128</v>
      </c>
      <c r="C60" t="s">
        <v>129</v>
      </c>
      <c r="D60" t="s">
        <v>678</v>
      </c>
      <c r="E60" t="s">
        <v>679</v>
      </c>
      <c r="F60" t="s">
        <v>680</v>
      </c>
      <c r="G60" t="s">
        <v>15827</v>
      </c>
      <c r="H60" t="s">
        <v>15831</v>
      </c>
      <c r="I60" t="s">
        <v>15888</v>
      </c>
      <c r="J60" t="s">
        <v>23</v>
      </c>
      <c r="L60" s="8" t="s">
        <v>681</v>
      </c>
      <c r="M60" t="s">
        <v>682</v>
      </c>
      <c r="N60" t="s">
        <v>683</v>
      </c>
      <c r="O60" t="s">
        <v>684</v>
      </c>
      <c r="P60" t="s">
        <v>685</v>
      </c>
      <c r="Q60" t="s">
        <v>686</v>
      </c>
      <c r="R60" t="s">
        <v>687</v>
      </c>
      <c r="S60" t="s">
        <v>688</v>
      </c>
      <c r="T60" t="s">
        <v>689</v>
      </c>
      <c r="U60" s="5">
        <v>681.98</v>
      </c>
      <c r="V60" s="5">
        <v>324.19</v>
      </c>
      <c r="W60" s="5">
        <v>12.249235000000001</v>
      </c>
      <c r="X60" s="5">
        <v>109.192435</v>
      </c>
      <c r="Y60" s="5">
        <v>357.79</v>
      </c>
      <c r="Z60" s="5">
        <v>12.246922</v>
      </c>
      <c r="AA60" s="5">
        <v>109.181597</v>
      </c>
      <c r="AB60" s="7">
        <f t="shared" si="1"/>
        <v>0.48628499999999997</v>
      </c>
      <c r="AC60" s="7">
        <f t="shared" si="2"/>
        <v>0.53668500000000008</v>
      </c>
      <c r="AD60" s="6" t="str">
        <f t="shared" si="3"/>
        <v>2.CA Nam Nha Trang</v>
      </c>
      <c r="AE60" s="6" t="str">
        <f t="shared" si="4"/>
        <v>CA Nha Trang</v>
      </c>
      <c r="AG60">
        <f t="shared" si="5"/>
        <v>0.32418999999999998</v>
      </c>
      <c r="AH60">
        <f t="shared" si="6"/>
        <v>0.35779</v>
      </c>
    </row>
    <row r="61" spans="1:34" x14ac:dyDescent="0.25">
      <c r="A61" t="s">
        <v>690</v>
      </c>
      <c r="B61" t="s">
        <v>262</v>
      </c>
      <c r="C61" t="s">
        <v>263</v>
      </c>
      <c r="D61" t="s">
        <v>691</v>
      </c>
      <c r="E61" t="s">
        <v>692</v>
      </c>
      <c r="F61" t="s">
        <v>693</v>
      </c>
      <c r="G61" t="s">
        <v>15827</v>
      </c>
      <c r="H61" t="s">
        <v>15831</v>
      </c>
      <c r="I61" t="s">
        <v>15889</v>
      </c>
      <c r="J61" t="s">
        <v>23</v>
      </c>
      <c r="L61" s="8" t="s">
        <v>144</v>
      </c>
      <c r="M61" t="s">
        <v>694</v>
      </c>
      <c r="N61" t="s">
        <v>695</v>
      </c>
      <c r="O61" t="s">
        <v>150</v>
      </c>
      <c r="P61" t="s">
        <v>151</v>
      </c>
      <c r="Q61" t="s">
        <v>696</v>
      </c>
      <c r="R61" t="s">
        <v>697</v>
      </c>
      <c r="S61" t="s">
        <v>698</v>
      </c>
      <c r="T61" t="s">
        <v>152</v>
      </c>
      <c r="U61" s="5">
        <v>94.89</v>
      </c>
      <c r="V61" s="5">
        <v>80.62</v>
      </c>
      <c r="W61" s="5">
        <v>12.249428</v>
      </c>
      <c r="X61" s="5">
        <v>109.184727</v>
      </c>
      <c r="Y61" s="5">
        <v>14.27</v>
      </c>
      <c r="Z61" s="5">
        <v>12.250778</v>
      </c>
      <c r="AA61" s="5">
        <v>109.17798000000001</v>
      </c>
      <c r="AB61" s="7">
        <f t="shared" si="1"/>
        <v>0.12093000000000001</v>
      </c>
      <c r="AC61" s="7">
        <f t="shared" si="2"/>
        <v>2.1405E-2</v>
      </c>
      <c r="AD61" s="6" t="str">
        <f t="shared" si="3"/>
        <v>3. Trại giam A2</v>
      </c>
      <c r="AE61" s="6" t="str">
        <f t="shared" si="4"/>
        <v>CATP Nha trang cũ</v>
      </c>
      <c r="AG61">
        <f t="shared" si="5"/>
        <v>8.0620000000000011E-2</v>
      </c>
      <c r="AH61">
        <f t="shared" si="6"/>
        <v>1.427E-2</v>
      </c>
    </row>
    <row r="62" spans="1:34" x14ac:dyDescent="0.25">
      <c r="A62" t="s">
        <v>699</v>
      </c>
      <c r="B62" t="s">
        <v>239</v>
      </c>
      <c r="C62" t="s">
        <v>240</v>
      </c>
      <c r="D62" t="s">
        <v>700</v>
      </c>
      <c r="E62" t="s">
        <v>701</v>
      </c>
      <c r="F62" t="s">
        <v>702</v>
      </c>
      <c r="G62" t="s">
        <v>15827</v>
      </c>
      <c r="H62" t="s">
        <v>15831</v>
      </c>
      <c r="I62" t="s">
        <v>15890</v>
      </c>
      <c r="J62" t="s">
        <v>23</v>
      </c>
      <c r="L62" s="8" t="s">
        <v>521</v>
      </c>
      <c r="M62" t="s">
        <v>703</v>
      </c>
      <c r="N62" t="s">
        <v>704</v>
      </c>
      <c r="O62" t="s">
        <v>705</v>
      </c>
      <c r="P62" t="s">
        <v>706</v>
      </c>
      <c r="Q62" t="s">
        <v>707</v>
      </c>
      <c r="R62" t="s">
        <v>708</v>
      </c>
      <c r="S62" t="s">
        <v>709</v>
      </c>
      <c r="T62" t="s">
        <v>529</v>
      </c>
      <c r="U62" s="5">
        <v>138.44</v>
      </c>
      <c r="V62" s="5">
        <v>4.67</v>
      </c>
      <c r="W62" s="5">
        <v>12.236451000000001</v>
      </c>
      <c r="X62" s="5">
        <v>109.184562</v>
      </c>
      <c r="Y62" s="5">
        <v>133.77000000000001</v>
      </c>
      <c r="Z62" s="5">
        <v>12.236749</v>
      </c>
      <c r="AA62" s="5">
        <v>109.185765</v>
      </c>
      <c r="AB62" s="7">
        <f t="shared" si="1"/>
        <v>7.0049999999999999E-3</v>
      </c>
      <c r="AC62" s="7">
        <f t="shared" si="2"/>
        <v>0.20065500000000003</v>
      </c>
      <c r="AD62" s="6" t="str">
        <f t="shared" si="3"/>
        <v>2.PC07</v>
      </c>
      <c r="AE62" s="6" t="str">
        <f t="shared" si="4"/>
        <v>PA06 cs2_Cột hạ thế</v>
      </c>
      <c r="AG62">
        <f t="shared" si="5"/>
        <v>4.6699999999999997E-3</v>
      </c>
      <c r="AH62">
        <f t="shared" si="6"/>
        <v>0.13377</v>
      </c>
    </row>
    <row r="63" spans="1:34" x14ac:dyDescent="0.25">
      <c r="A63" t="s">
        <v>710</v>
      </c>
      <c r="B63" t="s">
        <v>128</v>
      </c>
      <c r="C63" t="s">
        <v>129</v>
      </c>
      <c r="D63" t="s">
        <v>711</v>
      </c>
      <c r="E63" t="s">
        <v>712</v>
      </c>
      <c r="F63" t="s">
        <v>713</v>
      </c>
      <c r="G63" t="s">
        <v>15827</v>
      </c>
      <c r="H63" t="s">
        <v>15831</v>
      </c>
      <c r="I63" t="s">
        <v>15891</v>
      </c>
      <c r="J63" t="s">
        <v>23</v>
      </c>
      <c r="L63" s="8" t="s">
        <v>282</v>
      </c>
      <c r="M63" t="s">
        <v>714</v>
      </c>
      <c r="N63" t="s">
        <v>673</v>
      </c>
      <c r="O63" t="s">
        <v>288</v>
      </c>
      <c r="P63" t="s">
        <v>289</v>
      </c>
      <c r="Q63" t="s">
        <v>715</v>
      </c>
      <c r="R63" t="s">
        <v>675</v>
      </c>
      <c r="S63" t="s">
        <v>676</v>
      </c>
      <c r="T63" t="s">
        <v>290</v>
      </c>
      <c r="U63" s="5">
        <v>521.71</v>
      </c>
      <c r="V63" s="5">
        <v>405.93</v>
      </c>
      <c r="W63" s="5">
        <v>12.243925000000001</v>
      </c>
      <c r="X63" s="5">
        <v>109.189556</v>
      </c>
      <c r="Y63" s="5">
        <v>115.78</v>
      </c>
      <c r="Z63" s="5">
        <v>12.239652</v>
      </c>
      <c r="AA63" s="5">
        <v>109.185587</v>
      </c>
      <c r="AB63" s="7">
        <f t="shared" si="1"/>
        <v>0.60889499999999996</v>
      </c>
      <c r="AC63" s="7">
        <f t="shared" si="2"/>
        <v>0.17367000000000002</v>
      </c>
      <c r="AD63" s="6" t="str">
        <f t="shared" si="3"/>
        <v>1.CATP Nha trang cũ</v>
      </c>
      <c r="AE63" s="6" t="str">
        <f t="shared" si="4"/>
        <v>PC07</v>
      </c>
      <c r="AG63">
        <f t="shared" si="5"/>
        <v>0.40593000000000001</v>
      </c>
      <c r="AH63">
        <f t="shared" si="6"/>
        <v>0.11578000000000001</v>
      </c>
    </row>
    <row r="64" spans="1:34" x14ac:dyDescent="0.25">
      <c r="A64" t="s">
        <v>716</v>
      </c>
      <c r="B64" t="s">
        <v>128</v>
      </c>
      <c r="C64" t="s">
        <v>129</v>
      </c>
      <c r="D64" t="s">
        <v>717</v>
      </c>
      <c r="E64" t="s">
        <v>718</v>
      </c>
      <c r="F64" t="s">
        <v>719</v>
      </c>
      <c r="G64" t="s">
        <v>15827</v>
      </c>
      <c r="H64" t="s">
        <v>15831</v>
      </c>
      <c r="I64" t="s">
        <v>15892</v>
      </c>
      <c r="J64" t="s">
        <v>23</v>
      </c>
      <c r="L64" s="8" t="s">
        <v>681</v>
      </c>
      <c r="M64" t="s">
        <v>720</v>
      </c>
      <c r="N64" t="s">
        <v>683</v>
      </c>
      <c r="O64" t="s">
        <v>684</v>
      </c>
      <c r="P64" t="s">
        <v>685</v>
      </c>
      <c r="Q64" t="s">
        <v>721</v>
      </c>
      <c r="R64" t="s">
        <v>687</v>
      </c>
      <c r="S64" t="s">
        <v>688</v>
      </c>
      <c r="T64" t="s">
        <v>689</v>
      </c>
      <c r="U64" s="5">
        <v>622.63</v>
      </c>
      <c r="V64" s="5">
        <v>324.19</v>
      </c>
      <c r="W64" s="5">
        <v>12.249235000000001</v>
      </c>
      <c r="X64" s="5">
        <v>109.192435</v>
      </c>
      <c r="Y64" s="5">
        <v>298.44</v>
      </c>
      <c r="Z64" s="5">
        <v>12.246922</v>
      </c>
      <c r="AA64" s="5">
        <v>109.181597</v>
      </c>
      <c r="AB64" s="7">
        <f t="shared" si="1"/>
        <v>0.48628499999999997</v>
      </c>
      <c r="AC64" s="7">
        <f t="shared" si="2"/>
        <v>0.44765999999999995</v>
      </c>
      <c r="AD64" s="6" t="str">
        <f t="shared" si="3"/>
        <v>2.CA Nam Nha Trang</v>
      </c>
      <c r="AE64" s="6" t="str">
        <f t="shared" si="4"/>
        <v>CA Nha Trang</v>
      </c>
      <c r="AG64">
        <f t="shared" si="5"/>
        <v>0.32418999999999998</v>
      </c>
      <c r="AH64">
        <f t="shared" si="6"/>
        <v>0.29843999999999998</v>
      </c>
    </row>
    <row r="65" spans="1:34" x14ac:dyDescent="0.25">
      <c r="A65" t="s">
        <v>722</v>
      </c>
      <c r="B65" t="s">
        <v>239</v>
      </c>
      <c r="C65" t="s">
        <v>240</v>
      </c>
      <c r="D65" t="s">
        <v>723</v>
      </c>
      <c r="E65" t="s">
        <v>724</v>
      </c>
      <c r="F65" t="s">
        <v>725</v>
      </c>
      <c r="G65" t="s">
        <v>15827</v>
      </c>
      <c r="H65" t="s">
        <v>15831</v>
      </c>
      <c r="I65" t="s">
        <v>15893</v>
      </c>
      <c r="J65" t="s">
        <v>23</v>
      </c>
      <c r="L65" s="8" t="s">
        <v>82</v>
      </c>
      <c r="M65" t="s">
        <v>726</v>
      </c>
      <c r="N65" t="s">
        <v>727</v>
      </c>
      <c r="O65" t="s">
        <v>728</v>
      </c>
      <c r="P65" t="s">
        <v>729</v>
      </c>
      <c r="Q65" t="s">
        <v>730</v>
      </c>
      <c r="R65" t="s">
        <v>731</v>
      </c>
      <c r="S65" t="s">
        <v>732</v>
      </c>
      <c r="T65" t="s">
        <v>733</v>
      </c>
      <c r="U65" s="5">
        <v>609.57000000000005</v>
      </c>
      <c r="V65" s="5">
        <v>15.81</v>
      </c>
      <c r="W65" s="5">
        <v>12.236330000000001</v>
      </c>
      <c r="X65" s="5">
        <v>109.18457600000001</v>
      </c>
      <c r="Y65" s="5">
        <v>593.76</v>
      </c>
      <c r="Z65" s="5">
        <v>12.235099999999999</v>
      </c>
      <c r="AA65" s="5">
        <v>109.183842</v>
      </c>
      <c r="AB65" s="7">
        <f t="shared" si="1"/>
        <v>2.3715E-2</v>
      </c>
      <c r="AC65" s="7">
        <f t="shared" si="2"/>
        <v>0.89063999999999999</v>
      </c>
      <c r="AD65" s="6" t="str">
        <f t="shared" si="3"/>
        <v>3.PA06 cs2</v>
      </c>
      <c r="AE65" s="6" t="str">
        <f t="shared" si="4"/>
        <v>PC11a</v>
      </c>
      <c r="AG65">
        <f t="shared" si="5"/>
        <v>1.5810000000000001E-2</v>
      </c>
      <c r="AH65">
        <f t="shared" si="6"/>
        <v>0.59375999999999995</v>
      </c>
    </row>
    <row r="66" spans="1:34" x14ac:dyDescent="0.25">
      <c r="A66" t="s">
        <v>734</v>
      </c>
      <c r="B66" t="s">
        <v>34</v>
      </c>
      <c r="C66" t="s">
        <v>35</v>
      </c>
      <c r="D66" t="s">
        <v>735</v>
      </c>
      <c r="E66" t="s">
        <v>736</v>
      </c>
      <c r="F66" t="s">
        <v>737</v>
      </c>
      <c r="G66" t="s">
        <v>15827</v>
      </c>
      <c r="H66" t="s">
        <v>15831</v>
      </c>
      <c r="I66" t="s">
        <v>15894</v>
      </c>
      <c r="J66" t="s">
        <v>23</v>
      </c>
      <c r="L66" s="8" t="s">
        <v>39</v>
      </c>
      <c r="M66" t="s">
        <v>738</v>
      </c>
      <c r="N66" t="s">
        <v>41</v>
      </c>
      <c r="O66" t="s">
        <v>42</v>
      </c>
      <c r="P66" t="s">
        <v>43</v>
      </c>
      <c r="Q66" t="s">
        <v>739</v>
      </c>
      <c r="R66" t="s">
        <v>740</v>
      </c>
      <c r="S66" t="s">
        <v>741</v>
      </c>
      <c r="T66" t="s">
        <v>47</v>
      </c>
      <c r="U66" s="5">
        <v>478.09</v>
      </c>
      <c r="V66" s="5">
        <v>206.48</v>
      </c>
      <c r="W66" s="5">
        <v>12.278732</v>
      </c>
      <c r="X66" s="5">
        <v>109.188858</v>
      </c>
      <c r="Y66" s="5">
        <v>271.61</v>
      </c>
      <c r="Z66" s="5">
        <v>12.279788999999999</v>
      </c>
      <c r="AA66" s="5">
        <v>109.195205</v>
      </c>
      <c r="AB66" s="7">
        <f t="shared" si="1"/>
        <v>0.30972</v>
      </c>
      <c r="AC66" s="7">
        <f t="shared" si="2"/>
        <v>0.40741500000000003</v>
      </c>
      <c r="AD66" s="6" t="str">
        <f t="shared" si="3"/>
        <v>1.CAT Khánh Hòa</v>
      </c>
      <c r="AE66" s="6" t="str">
        <f t="shared" si="4"/>
        <v>PK02 cs1</v>
      </c>
      <c r="AG66">
        <f t="shared" si="5"/>
        <v>0.20648</v>
      </c>
      <c r="AH66">
        <f t="shared" si="6"/>
        <v>0.27161000000000002</v>
      </c>
    </row>
    <row r="67" spans="1:34" x14ac:dyDescent="0.25">
      <c r="A67" t="s">
        <v>742</v>
      </c>
      <c r="B67" t="s">
        <v>743</v>
      </c>
      <c r="C67" t="s">
        <v>744</v>
      </c>
      <c r="D67" t="s">
        <v>745</v>
      </c>
      <c r="E67" t="s">
        <v>746</v>
      </c>
      <c r="F67" t="s">
        <v>747</v>
      </c>
      <c r="G67" t="s">
        <v>15827</v>
      </c>
      <c r="H67" t="s">
        <v>15831</v>
      </c>
      <c r="I67" t="s">
        <v>15895</v>
      </c>
      <c r="J67" t="s">
        <v>23</v>
      </c>
      <c r="L67" s="8" t="s">
        <v>748</v>
      </c>
      <c r="M67" t="s">
        <v>749</v>
      </c>
      <c r="N67" t="s">
        <v>750</v>
      </c>
      <c r="O67" t="s">
        <v>751</v>
      </c>
      <c r="P67" t="s">
        <v>752</v>
      </c>
      <c r="Q67" t="s">
        <v>753</v>
      </c>
      <c r="R67" t="s">
        <v>754</v>
      </c>
      <c r="S67" t="s">
        <v>755</v>
      </c>
      <c r="T67" t="s">
        <v>756</v>
      </c>
      <c r="U67" s="5">
        <v>140.83000000000001</v>
      </c>
      <c r="V67" s="5">
        <v>1.04</v>
      </c>
      <c r="W67" s="5">
        <v>12.031929</v>
      </c>
      <c r="X67" s="5">
        <v>109.128201</v>
      </c>
      <c r="Y67" s="5">
        <v>139.79</v>
      </c>
      <c r="Z67" s="5">
        <v>12.047109000000001</v>
      </c>
      <c r="AA67" s="5">
        <v>109.12705800000001</v>
      </c>
      <c r="AB67" s="7">
        <f t="shared" ref="AB67:AB130" si="7">V67*1.5/1000</f>
        <v>1.56E-3</v>
      </c>
      <c r="AC67" s="7">
        <f t="shared" ref="AC67:AC130" si="8">Y67*1.5/1000</f>
        <v>0.20968500000000001</v>
      </c>
      <c r="AD67" s="6" t="str">
        <f t="shared" ref="AD67:AD130" si="9">TRIM(LEFT(L67,FIND("-",L67)-1))</f>
        <v>4.CA Cam Hiệp</v>
      </c>
      <c r="AE67" s="6" t="str">
        <f t="shared" ref="AE67:AE130" si="10">TRIM(RIGHT(L67, LEN(L67) - FIND("-", L67)))</f>
        <v>CA Cam Lâm_Cột trung thế</v>
      </c>
      <c r="AG67">
        <f t="shared" ref="AG67:AG130" si="11">V67/1000</f>
        <v>1.0400000000000001E-3</v>
      </c>
      <c r="AH67">
        <f t="shared" ref="AH67:AH130" si="12">Y67/1000</f>
        <v>0.13979</v>
      </c>
    </row>
    <row r="68" spans="1:34" x14ac:dyDescent="0.25">
      <c r="A68" t="s">
        <v>757</v>
      </c>
      <c r="B68" t="s">
        <v>577</v>
      </c>
      <c r="C68" t="s">
        <v>578</v>
      </c>
      <c r="D68" t="s">
        <v>758</v>
      </c>
      <c r="E68" t="s">
        <v>759</v>
      </c>
      <c r="F68" t="s">
        <v>760</v>
      </c>
      <c r="G68" t="s">
        <v>15827</v>
      </c>
      <c r="H68" t="s">
        <v>15831</v>
      </c>
      <c r="I68" t="s">
        <v>15896</v>
      </c>
      <c r="J68" t="s">
        <v>23</v>
      </c>
      <c r="L68" s="8" t="s">
        <v>595</v>
      </c>
      <c r="M68" t="s">
        <v>761</v>
      </c>
      <c r="N68" t="s">
        <v>597</v>
      </c>
      <c r="O68" t="s">
        <v>598</v>
      </c>
      <c r="P68" t="s">
        <v>599</v>
      </c>
      <c r="Q68" t="s">
        <v>762</v>
      </c>
      <c r="R68" t="s">
        <v>601</v>
      </c>
      <c r="S68" t="s">
        <v>602</v>
      </c>
      <c r="T68" t="s">
        <v>603</v>
      </c>
      <c r="U68" s="5">
        <v>571.13</v>
      </c>
      <c r="V68" s="5">
        <v>2.77</v>
      </c>
      <c r="W68" s="5">
        <v>12.509724</v>
      </c>
      <c r="X68" s="5">
        <v>109.13747499999999</v>
      </c>
      <c r="Y68" s="5">
        <v>568.36</v>
      </c>
      <c r="Z68" s="5">
        <v>12.481318999999999</v>
      </c>
      <c r="AA68" s="5">
        <v>109.13125100000001</v>
      </c>
      <c r="AB68" s="7">
        <f t="shared" si="7"/>
        <v>4.1549999999999998E-3</v>
      </c>
      <c r="AC68" s="7">
        <f t="shared" si="8"/>
        <v>0.85253999999999996</v>
      </c>
      <c r="AD68" s="6" t="str">
        <f t="shared" si="9"/>
        <v>1.CA Ninh Hòa</v>
      </c>
      <c r="AE68" s="6" t="str">
        <f t="shared" si="10"/>
        <v>CA Hòa Thắng_Cột trung thế</v>
      </c>
      <c r="AG68">
        <f t="shared" si="11"/>
        <v>2.7699999999999999E-3</v>
      </c>
      <c r="AH68">
        <f t="shared" si="12"/>
        <v>0.56835999999999998</v>
      </c>
    </row>
    <row r="69" spans="1:34" x14ac:dyDescent="0.25">
      <c r="A69" t="s">
        <v>763</v>
      </c>
      <c r="B69" t="s">
        <v>577</v>
      </c>
      <c r="C69" t="s">
        <v>578</v>
      </c>
      <c r="D69" t="s">
        <v>764</v>
      </c>
      <c r="E69" t="s">
        <v>765</v>
      </c>
      <c r="F69" t="s">
        <v>766</v>
      </c>
      <c r="G69" t="s">
        <v>15827</v>
      </c>
      <c r="H69" t="s">
        <v>15831</v>
      </c>
      <c r="I69" t="s">
        <v>15897</v>
      </c>
      <c r="J69" t="s">
        <v>23</v>
      </c>
      <c r="L69" s="8" t="s">
        <v>767</v>
      </c>
      <c r="M69" t="s">
        <v>768</v>
      </c>
      <c r="N69" t="s">
        <v>769</v>
      </c>
      <c r="O69" t="s">
        <v>770</v>
      </c>
      <c r="P69" t="s">
        <v>599</v>
      </c>
      <c r="Q69" t="s">
        <v>771</v>
      </c>
      <c r="R69" t="s">
        <v>772</v>
      </c>
      <c r="S69" t="s">
        <v>773</v>
      </c>
      <c r="T69" t="s">
        <v>774</v>
      </c>
      <c r="U69" s="5">
        <v>626.52</v>
      </c>
      <c r="V69" s="5">
        <v>2.76</v>
      </c>
      <c r="W69" s="5">
        <v>12.509732</v>
      </c>
      <c r="X69" s="5">
        <v>109.13747499999999</v>
      </c>
      <c r="Y69" s="5">
        <v>623.76</v>
      </c>
      <c r="Z69" s="5">
        <v>12.504678999999999</v>
      </c>
      <c r="AA69" s="5">
        <v>109.153633</v>
      </c>
      <c r="AB69" s="7">
        <f t="shared" si="7"/>
        <v>4.1399999999999996E-3</v>
      </c>
      <c r="AC69" s="7">
        <f t="shared" si="8"/>
        <v>0.93564000000000003</v>
      </c>
      <c r="AD69" s="6" t="str">
        <f t="shared" si="9"/>
        <v>5.Trạm CSGT Ninh An cũ</v>
      </c>
      <c r="AE69" s="6" t="str">
        <f t="shared" si="10"/>
        <v>Ninh Hòa</v>
      </c>
      <c r="AG69">
        <f t="shared" si="11"/>
        <v>2.7599999999999999E-3</v>
      </c>
      <c r="AH69">
        <f t="shared" si="12"/>
        <v>0.62375999999999998</v>
      </c>
    </row>
    <row r="70" spans="1:34" x14ac:dyDescent="0.25">
      <c r="A70" t="s">
        <v>775</v>
      </c>
      <c r="B70" t="s">
        <v>776</v>
      </c>
      <c r="C70" t="s">
        <v>777</v>
      </c>
      <c r="D70" t="s">
        <v>778</v>
      </c>
      <c r="E70" t="s">
        <v>779</v>
      </c>
      <c r="F70" t="s">
        <v>780</v>
      </c>
      <c r="G70" t="s">
        <v>15827</v>
      </c>
      <c r="H70" t="s">
        <v>15831</v>
      </c>
      <c r="I70" t="s">
        <v>15898</v>
      </c>
      <c r="J70" t="s">
        <v>23</v>
      </c>
      <c r="L70" s="8" t="s">
        <v>781</v>
      </c>
      <c r="M70" t="s">
        <v>782</v>
      </c>
      <c r="N70" t="s">
        <v>783</v>
      </c>
      <c r="O70" t="s">
        <v>784</v>
      </c>
      <c r="P70" t="s">
        <v>785</v>
      </c>
      <c r="Q70" t="s">
        <v>786</v>
      </c>
      <c r="R70" t="s">
        <v>784</v>
      </c>
      <c r="S70" t="s">
        <v>785</v>
      </c>
      <c r="T70" t="s">
        <v>787</v>
      </c>
      <c r="U70" s="5">
        <v>431.92</v>
      </c>
      <c r="V70" s="5">
        <v>3.45</v>
      </c>
      <c r="W70" s="5">
        <v>12.690776</v>
      </c>
      <c r="X70" s="5">
        <v>109.22086899999999</v>
      </c>
      <c r="Y70" s="5">
        <v>428.48</v>
      </c>
      <c r="Z70" s="5">
        <v>12.690776</v>
      </c>
      <c r="AA70" s="5">
        <v>109.22086899999999</v>
      </c>
      <c r="AB70" s="7">
        <f t="shared" si="7"/>
        <v>5.1750000000000008E-3</v>
      </c>
      <c r="AC70" s="7">
        <f t="shared" si="8"/>
        <v>0.64272000000000007</v>
      </c>
      <c r="AD70" s="6" t="str">
        <f t="shared" si="9"/>
        <v>4.CA Vạn Hưng</v>
      </c>
      <c r="AE70" s="6" t="str">
        <f t="shared" si="10"/>
        <v>CA Vạn Ninh</v>
      </c>
      <c r="AG70">
        <f t="shared" si="11"/>
        <v>3.4500000000000004E-3</v>
      </c>
      <c r="AH70">
        <f t="shared" si="12"/>
        <v>0.42848000000000003</v>
      </c>
    </row>
    <row r="71" spans="1:34" x14ac:dyDescent="0.25">
      <c r="A71" t="s">
        <v>788</v>
      </c>
      <c r="B71" t="s">
        <v>617</v>
      </c>
      <c r="C71" t="s">
        <v>618</v>
      </c>
      <c r="D71" t="s">
        <v>789</v>
      </c>
      <c r="E71" t="s">
        <v>790</v>
      </c>
      <c r="F71" t="s">
        <v>791</v>
      </c>
      <c r="G71" t="s">
        <v>15827</v>
      </c>
      <c r="H71" t="s">
        <v>15831</v>
      </c>
      <c r="I71" t="s">
        <v>15899</v>
      </c>
      <c r="J71" t="s">
        <v>23</v>
      </c>
      <c r="L71" s="8" t="s">
        <v>350</v>
      </c>
      <c r="M71" t="s">
        <v>792</v>
      </c>
      <c r="N71" t="s">
        <v>793</v>
      </c>
      <c r="O71" t="s">
        <v>794</v>
      </c>
      <c r="P71" t="s">
        <v>795</v>
      </c>
      <c r="Q71" t="s">
        <v>796</v>
      </c>
      <c r="R71" t="s">
        <v>797</v>
      </c>
      <c r="S71" t="s">
        <v>798</v>
      </c>
      <c r="T71" t="s">
        <v>358</v>
      </c>
      <c r="U71" s="5">
        <v>5280.19</v>
      </c>
      <c r="V71" s="5">
        <v>274.23</v>
      </c>
      <c r="W71" s="5">
        <v>11.925938</v>
      </c>
      <c r="X71" s="5">
        <v>109.161216</v>
      </c>
      <c r="Y71" s="5">
        <v>5005.96</v>
      </c>
      <c r="Z71" s="5">
        <v>11.960527000000001</v>
      </c>
      <c r="AA71" s="5">
        <v>109.097217</v>
      </c>
      <c r="AB71" s="7">
        <f t="shared" si="7"/>
        <v>0.41134500000000002</v>
      </c>
      <c r="AC71" s="7">
        <f t="shared" si="8"/>
        <v>7.5089400000000008</v>
      </c>
      <c r="AD71" s="6" t="str">
        <f t="shared" si="9"/>
        <v>3.Cam Ranh</v>
      </c>
      <c r="AE71" s="6" t="str">
        <f t="shared" si="10"/>
        <v>Khánh Sơn</v>
      </c>
      <c r="AG71">
        <f t="shared" si="11"/>
        <v>0.27423000000000003</v>
      </c>
      <c r="AH71">
        <f t="shared" si="12"/>
        <v>5.00596</v>
      </c>
    </row>
    <row r="72" spans="1:34" x14ac:dyDescent="0.25">
      <c r="A72" t="s">
        <v>799</v>
      </c>
      <c r="B72" t="s">
        <v>77</v>
      </c>
      <c r="C72" t="s">
        <v>78</v>
      </c>
      <c r="D72" t="s">
        <v>800</v>
      </c>
      <c r="E72" t="s">
        <v>801</v>
      </c>
      <c r="F72" t="s">
        <v>802</v>
      </c>
      <c r="G72" t="s">
        <v>15827</v>
      </c>
      <c r="H72" t="s">
        <v>15831</v>
      </c>
      <c r="I72" t="s">
        <v>15900</v>
      </c>
      <c r="J72" t="s">
        <v>23</v>
      </c>
      <c r="L72" s="8" t="s">
        <v>488</v>
      </c>
      <c r="M72" t="s">
        <v>803</v>
      </c>
      <c r="N72" t="s">
        <v>490</v>
      </c>
      <c r="O72" t="s">
        <v>491</v>
      </c>
      <c r="P72" t="s">
        <v>492</v>
      </c>
      <c r="Q72" t="s">
        <v>804</v>
      </c>
      <c r="R72" t="s">
        <v>805</v>
      </c>
      <c r="S72" t="s">
        <v>806</v>
      </c>
      <c r="T72" t="s">
        <v>496</v>
      </c>
      <c r="U72" s="5">
        <v>138.12</v>
      </c>
      <c r="V72" s="5">
        <v>136.09</v>
      </c>
      <c r="W72" s="5">
        <v>12.175768</v>
      </c>
      <c r="X72" s="5">
        <v>109.17495</v>
      </c>
      <c r="Y72" s="5">
        <v>2.0299999999999998</v>
      </c>
      <c r="Z72" s="5">
        <v>12.074439</v>
      </c>
      <c r="AA72" s="5">
        <v>109.168081</v>
      </c>
      <c r="AB72" s="7">
        <f t="shared" si="7"/>
        <v>0.20413499999999998</v>
      </c>
      <c r="AC72" s="7">
        <f t="shared" si="8"/>
        <v>3.045E-3</v>
      </c>
      <c r="AD72" s="6" t="str">
        <f t="shared" si="9"/>
        <v>1.CAT Khánh Hòa</v>
      </c>
      <c r="AE72" s="6" t="str">
        <f t="shared" si="10"/>
        <v>Cam Lâm</v>
      </c>
      <c r="AG72">
        <f t="shared" si="11"/>
        <v>0.13609000000000002</v>
      </c>
      <c r="AH72">
        <f t="shared" si="12"/>
        <v>2.0299999999999997E-3</v>
      </c>
    </row>
    <row r="73" spans="1:34" x14ac:dyDescent="0.25">
      <c r="A73" t="s">
        <v>807</v>
      </c>
      <c r="B73" t="s">
        <v>345</v>
      </c>
      <c r="C73" t="s">
        <v>346</v>
      </c>
      <c r="D73" t="s">
        <v>808</v>
      </c>
      <c r="E73" t="s">
        <v>809</v>
      </c>
      <c r="F73" t="s">
        <v>810</v>
      </c>
      <c r="G73" t="s">
        <v>15827</v>
      </c>
      <c r="H73" t="s">
        <v>15831</v>
      </c>
      <c r="I73" t="s">
        <v>15901</v>
      </c>
      <c r="J73" t="s">
        <v>23</v>
      </c>
      <c r="L73" s="8" t="s">
        <v>365</v>
      </c>
      <c r="M73" t="s">
        <v>811</v>
      </c>
      <c r="N73" t="s">
        <v>812</v>
      </c>
      <c r="O73" t="s">
        <v>813</v>
      </c>
      <c r="P73" t="s">
        <v>814</v>
      </c>
      <c r="Q73" t="s">
        <v>815</v>
      </c>
      <c r="R73" t="s">
        <v>816</v>
      </c>
      <c r="S73" t="s">
        <v>817</v>
      </c>
      <c r="T73" t="s">
        <v>373</v>
      </c>
      <c r="U73" s="5">
        <v>4045.15</v>
      </c>
      <c r="V73" s="5">
        <v>3421.38</v>
      </c>
      <c r="W73" s="5">
        <v>11.972379</v>
      </c>
      <c r="X73" s="5">
        <v>109.11288999999999</v>
      </c>
      <c r="Y73" s="5">
        <v>623.77</v>
      </c>
      <c r="Z73" s="5">
        <v>11.989046</v>
      </c>
      <c r="AA73" s="5">
        <v>109.151068</v>
      </c>
      <c r="AB73" s="7">
        <f t="shared" si="7"/>
        <v>5.1320699999999997</v>
      </c>
      <c r="AC73" s="7">
        <f t="shared" si="8"/>
        <v>0.93565500000000001</v>
      </c>
      <c r="AD73" s="6" t="str">
        <f t="shared" si="9"/>
        <v>2.CA Bắc Cam Ranh</v>
      </c>
      <c r="AE73" s="6" t="str">
        <f t="shared" si="10"/>
        <v>CA Cam An</v>
      </c>
      <c r="AG73">
        <f t="shared" si="11"/>
        <v>3.4213800000000001</v>
      </c>
      <c r="AH73">
        <f t="shared" si="12"/>
        <v>0.62376999999999994</v>
      </c>
    </row>
    <row r="74" spans="1:34" x14ac:dyDescent="0.25">
      <c r="A74" t="s">
        <v>818</v>
      </c>
      <c r="B74" t="s">
        <v>617</v>
      </c>
      <c r="C74" t="s">
        <v>618</v>
      </c>
      <c r="D74" t="s">
        <v>819</v>
      </c>
      <c r="E74" t="s">
        <v>820</v>
      </c>
      <c r="F74" t="s">
        <v>821</v>
      </c>
      <c r="G74" t="s">
        <v>15827</v>
      </c>
      <c r="H74" t="s">
        <v>15831</v>
      </c>
      <c r="I74" t="s">
        <v>15902</v>
      </c>
      <c r="J74" t="s">
        <v>23</v>
      </c>
      <c r="L74" s="8" t="s">
        <v>822</v>
      </c>
      <c r="M74" t="s">
        <v>823</v>
      </c>
      <c r="N74" t="s">
        <v>824</v>
      </c>
      <c r="O74" t="s">
        <v>825</v>
      </c>
      <c r="P74" t="s">
        <v>826</v>
      </c>
      <c r="Q74" t="s">
        <v>827</v>
      </c>
      <c r="R74" t="s">
        <v>828</v>
      </c>
      <c r="S74" t="s">
        <v>829</v>
      </c>
      <c r="T74" t="s">
        <v>830</v>
      </c>
      <c r="U74" s="5">
        <v>476.19</v>
      </c>
      <c r="V74" s="5">
        <v>271.76</v>
      </c>
      <c r="W74" s="5">
        <v>11.925971000000001</v>
      </c>
      <c r="X74" s="5">
        <v>109.16124499999999</v>
      </c>
      <c r="Y74" s="5">
        <v>204.42</v>
      </c>
      <c r="Z74" s="5">
        <v>11.920406</v>
      </c>
      <c r="AA74" s="5">
        <v>109.144291</v>
      </c>
      <c r="AB74" s="7">
        <f t="shared" si="7"/>
        <v>0.40764</v>
      </c>
      <c r="AC74" s="7">
        <f t="shared" si="8"/>
        <v>0.30663000000000001</v>
      </c>
      <c r="AD74" s="6" t="str">
        <f t="shared" si="9"/>
        <v>4.CA Nam Cam Ranh</v>
      </c>
      <c r="AE74" s="6" t="str">
        <f t="shared" si="10"/>
        <v>CA Cam Ranh</v>
      </c>
      <c r="AG74">
        <f t="shared" si="11"/>
        <v>0.27176</v>
      </c>
      <c r="AH74">
        <f t="shared" si="12"/>
        <v>0.20441999999999999</v>
      </c>
    </row>
    <row r="75" spans="1:34" x14ac:dyDescent="0.25">
      <c r="A75" t="s">
        <v>831</v>
      </c>
      <c r="B75" t="s">
        <v>743</v>
      </c>
      <c r="C75" t="s">
        <v>744</v>
      </c>
      <c r="D75" t="s">
        <v>832</v>
      </c>
      <c r="E75" t="s">
        <v>833</v>
      </c>
      <c r="F75" t="s">
        <v>834</v>
      </c>
      <c r="G75" t="s">
        <v>15827</v>
      </c>
      <c r="H75" t="s">
        <v>15831</v>
      </c>
      <c r="I75" t="s">
        <v>15903</v>
      </c>
      <c r="J75" t="s">
        <v>23</v>
      </c>
      <c r="L75" s="8" t="s">
        <v>748</v>
      </c>
      <c r="M75" t="s">
        <v>835</v>
      </c>
      <c r="N75" t="s">
        <v>750</v>
      </c>
      <c r="O75" t="s">
        <v>751</v>
      </c>
      <c r="P75" t="s">
        <v>752</v>
      </c>
      <c r="Q75" t="s">
        <v>836</v>
      </c>
      <c r="R75" t="s">
        <v>837</v>
      </c>
      <c r="S75" t="s">
        <v>838</v>
      </c>
      <c r="T75" t="s">
        <v>756</v>
      </c>
      <c r="U75" s="5">
        <v>881.07</v>
      </c>
      <c r="V75" s="5">
        <v>1.04</v>
      </c>
      <c r="W75" s="5">
        <v>12.031929</v>
      </c>
      <c r="X75" s="5">
        <v>109.128201</v>
      </c>
      <c r="Y75" s="5">
        <v>880.03</v>
      </c>
      <c r="Z75" s="5">
        <v>12.070831</v>
      </c>
      <c r="AA75" s="5">
        <v>109.157676</v>
      </c>
      <c r="AB75" s="7">
        <f t="shared" si="7"/>
        <v>1.56E-3</v>
      </c>
      <c r="AC75" s="7">
        <f t="shared" si="8"/>
        <v>1.3200450000000001</v>
      </c>
      <c r="AD75" s="6" t="str">
        <f t="shared" si="9"/>
        <v>4.CA Cam Hiệp</v>
      </c>
      <c r="AE75" s="6" t="str">
        <f t="shared" si="10"/>
        <v>CA Cam Lâm_Cột trung thế</v>
      </c>
      <c r="AG75">
        <f t="shared" si="11"/>
        <v>1.0400000000000001E-3</v>
      </c>
      <c r="AH75">
        <f t="shared" si="12"/>
        <v>0.88002999999999998</v>
      </c>
    </row>
    <row r="76" spans="1:34" x14ac:dyDescent="0.25">
      <c r="A76" t="s">
        <v>839</v>
      </c>
      <c r="B76" t="s">
        <v>605</v>
      </c>
      <c r="C76" t="s">
        <v>606</v>
      </c>
      <c r="D76" t="s">
        <v>743</v>
      </c>
      <c r="E76" t="s">
        <v>744</v>
      </c>
      <c r="F76" t="s">
        <v>840</v>
      </c>
      <c r="G76" t="s">
        <v>15827</v>
      </c>
      <c r="H76" t="s">
        <v>15831</v>
      </c>
      <c r="I76" t="s">
        <v>15904</v>
      </c>
      <c r="J76" t="s">
        <v>23</v>
      </c>
      <c r="L76" s="8" t="s">
        <v>841</v>
      </c>
      <c r="M76" t="s">
        <v>842</v>
      </c>
      <c r="N76" t="s">
        <v>843</v>
      </c>
      <c r="O76" t="s">
        <v>844</v>
      </c>
      <c r="P76" t="s">
        <v>845</v>
      </c>
      <c r="Q76" t="s">
        <v>846</v>
      </c>
      <c r="R76" t="s">
        <v>847</v>
      </c>
      <c r="S76" t="s">
        <v>848</v>
      </c>
      <c r="T76" t="s">
        <v>849</v>
      </c>
      <c r="U76" s="5">
        <v>2215.62</v>
      </c>
      <c r="V76" s="5">
        <v>2211.21</v>
      </c>
      <c r="W76" s="5">
        <v>11.97236</v>
      </c>
      <c r="X76" s="5">
        <v>109.11290200000001</v>
      </c>
      <c r="Y76" s="5">
        <v>4.41</v>
      </c>
      <c r="Z76" s="5">
        <v>12.031929999999999</v>
      </c>
      <c r="AA76" s="5">
        <v>109.12816100000001</v>
      </c>
      <c r="AB76" s="7">
        <f t="shared" si="7"/>
        <v>3.3168150000000001</v>
      </c>
      <c r="AC76" s="7">
        <f t="shared" si="8"/>
        <v>6.6150000000000002E-3</v>
      </c>
      <c r="AD76" s="6" t="str">
        <f t="shared" si="9"/>
        <v>3.CA Cam An</v>
      </c>
      <c r="AE76" s="6" t="str">
        <f t="shared" si="10"/>
        <v>CA Cam Hiệp</v>
      </c>
      <c r="AG76">
        <f t="shared" si="11"/>
        <v>2.2112099999999999</v>
      </c>
      <c r="AH76">
        <f t="shared" si="12"/>
        <v>4.4099999999999999E-3</v>
      </c>
    </row>
    <row r="77" spans="1:34" x14ac:dyDescent="0.25">
      <c r="A77" t="s">
        <v>850</v>
      </c>
      <c r="B77" t="s">
        <v>617</v>
      </c>
      <c r="C77" t="s">
        <v>618</v>
      </c>
      <c r="D77" t="s">
        <v>851</v>
      </c>
      <c r="E77" t="s">
        <v>852</v>
      </c>
      <c r="F77" t="s">
        <v>853</v>
      </c>
      <c r="G77" t="s">
        <v>15827</v>
      </c>
      <c r="H77" t="s">
        <v>15831</v>
      </c>
      <c r="I77" t="s">
        <v>15905</v>
      </c>
      <c r="J77" t="s">
        <v>23</v>
      </c>
      <c r="L77" s="8" t="s">
        <v>822</v>
      </c>
      <c r="M77" t="s">
        <v>854</v>
      </c>
      <c r="N77" t="s">
        <v>824</v>
      </c>
      <c r="O77" t="s">
        <v>825</v>
      </c>
      <c r="P77" t="s">
        <v>826</v>
      </c>
      <c r="Q77" t="s">
        <v>855</v>
      </c>
      <c r="R77" t="s">
        <v>856</v>
      </c>
      <c r="S77" t="s">
        <v>857</v>
      </c>
      <c r="T77" t="s">
        <v>830</v>
      </c>
      <c r="U77" s="5">
        <v>370.23</v>
      </c>
      <c r="V77" s="5">
        <v>271.76</v>
      </c>
      <c r="W77" s="5">
        <v>11.925971000000001</v>
      </c>
      <c r="X77" s="5">
        <v>109.16124499999999</v>
      </c>
      <c r="Y77" s="5">
        <v>98.47</v>
      </c>
      <c r="Z77" s="5">
        <v>11.908733</v>
      </c>
      <c r="AA77" s="5">
        <v>109.127402</v>
      </c>
      <c r="AB77" s="7">
        <f t="shared" si="7"/>
        <v>0.40764</v>
      </c>
      <c r="AC77" s="7">
        <f t="shared" si="8"/>
        <v>0.14770499999999998</v>
      </c>
      <c r="AD77" s="6" t="str">
        <f t="shared" si="9"/>
        <v>4.CA Nam Cam Ranh</v>
      </c>
      <c r="AE77" s="6" t="str">
        <f t="shared" si="10"/>
        <v>CA Cam Ranh</v>
      </c>
      <c r="AG77">
        <f t="shared" si="11"/>
        <v>0.27176</v>
      </c>
      <c r="AH77">
        <f t="shared" si="12"/>
        <v>9.8470000000000002E-2</v>
      </c>
    </row>
    <row r="78" spans="1:34" x14ac:dyDescent="0.25">
      <c r="A78" t="s">
        <v>858</v>
      </c>
      <c r="B78" t="s">
        <v>859</v>
      </c>
      <c r="C78" t="s">
        <v>860</v>
      </c>
      <c r="D78" t="s">
        <v>861</v>
      </c>
      <c r="E78" t="s">
        <v>862</v>
      </c>
      <c r="F78" t="s">
        <v>863</v>
      </c>
      <c r="G78" t="s">
        <v>15827</v>
      </c>
      <c r="H78" t="s">
        <v>15831</v>
      </c>
      <c r="I78" t="s">
        <v>15906</v>
      </c>
      <c r="J78" t="s">
        <v>23</v>
      </c>
      <c r="L78" s="8" t="s">
        <v>822</v>
      </c>
      <c r="M78" t="s">
        <v>864</v>
      </c>
      <c r="N78" t="s">
        <v>865</v>
      </c>
      <c r="O78" t="s">
        <v>866</v>
      </c>
      <c r="P78" t="s">
        <v>867</v>
      </c>
      <c r="Q78" t="s">
        <v>868</v>
      </c>
      <c r="R78" t="s">
        <v>869</v>
      </c>
      <c r="S78" t="s">
        <v>870</v>
      </c>
      <c r="T78" t="s">
        <v>830</v>
      </c>
      <c r="U78" s="5">
        <v>5756.97</v>
      </c>
      <c r="V78" s="5">
        <v>1211.77</v>
      </c>
      <c r="W78" s="5">
        <v>11.915801999999999</v>
      </c>
      <c r="X78" s="5">
        <v>109.140168</v>
      </c>
      <c r="Y78" s="5">
        <v>4545.2</v>
      </c>
      <c r="Z78" s="5">
        <v>11.878836</v>
      </c>
      <c r="AA78" s="5">
        <v>109.11086</v>
      </c>
      <c r="AB78" s="7">
        <f t="shared" si="7"/>
        <v>1.817655</v>
      </c>
      <c r="AC78" s="7">
        <f t="shared" si="8"/>
        <v>6.8177999999999992</v>
      </c>
      <c r="AD78" s="6" t="str">
        <f t="shared" si="9"/>
        <v>4.CA Nam Cam Ranh</v>
      </c>
      <c r="AE78" s="6" t="str">
        <f t="shared" si="10"/>
        <v>CA Cam Ranh</v>
      </c>
      <c r="AG78">
        <f t="shared" si="11"/>
        <v>1.21177</v>
      </c>
      <c r="AH78">
        <f t="shared" si="12"/>
        <v>4.5451999999999995</v>
      </c>
    </row>
    <row r="79" spans="1:34" x14ac:dyDescent="0.25">
      <c r="A79" t="s">
        <v>871</v>
      </c>
      <c r="B79" t="s">
        <v>617</v>
      </c>
      <c r="C79" t="s">
        <v>618</v>
      </c>
      <c r="D79" t="s">
        <v>859</v>
      </c>
      <c r="E79" t="s">
        <v>860</v>
      </c>
      <c r="F79" t="s">
        <v>872</v>
      </c>
      <c r="G79" t="s">
        <v>15827</v>
      </c>
      <c r="H79" t="s">
        <v>15831</v>
      </c>
      <c r="I79" t="s">
        <v>15907</v>
      </c>
      <c r="J79" t="s">
        <v>23</v>
      </c>
      <c r="L79" s="8" t="s">
        <v>622</v>
      </c>
      <c r="M79" t="s">
        <v>873</v>
      </c>
      <c r="N79" t="s">
        <v>624</v>
      </c>
      <c r="O79" t="s">
        <v>625</v>
      </c>
      <c r="P79" t="s">
        <v>626</v>
      </c>
      <c r="Q79" t="s">
        <v>874</v>
      </c>
      <c r="R79" t="s">
        <v>875</v>
      </c>
      <c r="S79" t="s">
        <v>876</v>
      </c>
      <c r="T79" t="s">
        <v>630</v>
      </c>
      <c r="U79" s="5">
        <v>318.01</v>
      </c>
      <c r="V79" s="5">
        <v>313.88</v>
      </c>
      <c r="W79" s="5">
        <v>11.923</v>
      </c>
      <c r="X79" s="5">
        <v>109.16500000000001</v>
      </c>
      <c r="Y79" s="5">
        <v>4.13</v>
      </c>
      <c r="Z79" s="5">
        <v>11.906758</v>
      </c>
      <c r="AA79" s="5">
        <v>109.14636400000001</v>
      </c>
      <c r="AB79" s="7">
        <f t="shared" si="7"/>
        <v>0.47082000000000002</v>
      </c>
      <c r="AC79" s="7">
        <f t="shared" si="8"/>
        <v>6.195E-3</v>
      </c>
      <c r="AD79" s="6" t="str">
        <f t="shared" si="9"/>
        <v>1.CA Cam Ranh</v>
      </c>
      <c r="AE79" s="6" t="str">
        <f t="shared" si="10"/>
        <v>CA Cam Linh</v>
      </c>
      <c r="AG79">
        <f t="shared" si="11"/>
        <v>0.31387999999999999</v>
      </c>
      <c r="AH79">
        <f t="shared" si="12"/>
        <v>4.13E-3</v>
      </c>
    </row>
    <row r="80" spans="1:34" x14ac:dyDescent="0.25">
      <c r="A80" t="s">
        <v>877</v>
      </c>
      <c r="B80" t="s">
        <v>360</v>
      </c>
      <c r="C80" t="s">
        <v>361</v>
      </c>
      <c r="D80" t="s">
        <v>878</v>
      </c>
      <c r="E80" t="s">
        <v>879</v>
      </c>
      <c r="F80" t="s">
        <v>880</v>
      </c>
      <c r="G80" t="s">
        <v>15827</v>
      </c>
      <c r="H80" t="s">
        <v>15831</v>
      </c>
      <c r="I80" t="s">
        <v>15908</v>
      </c>
      <c r="J80" t="s">
        <v>23</v>
      </c>
      <c r="L80" s="8" t="s">
        <v>881</v>
      </c>
      <c r="M80" t="s">
        <v>882</v>
      </c>
      <c r="N80" t="s">
        <v>883</v>
      </c>
      <c r="O80" t="s">
        <v>884</v>
      </c>
      <c r="P80" t="s">
        <v>885</v>
      </c>
      <c r="Q80" t="s">
        <v>886</v>
      </c>
      <c r="R80" t="s">
        <v>887</v>
      </c>
      <c r="S80" t="s">
        <v>888</v>
      </c>
      <c r="T80" t="s">
        <v>889</v>
      </c>
      <c r="U80" s="5">
        <v>1218.6500000000001</v>
      </c>
      <c r="V80" s="5">
        <v>674.9</v>
      </c>
      <c r="W80" s="5">
        <v>11.970426</v>
      </c>
      <c r="X80" s="5">
        <v>109.192857</v>
      </c>
      <c r="Y80" s="5">
        <v>543.75</v>
      </c>
      <c r="Z80" s="5">
        <v>12.034096999999999</v>
      </c>
      <c r="AA80" s="5">
        <v>109.174734</v>
      </c>
      <c r="AB80" s="7">
        <f t="shared" si="7"/>
        <v>1.0123499999999999</v>
      </c>
      <c r="AC80" s="7">
        <f t="shared" si="8"/>
        <v>0.81562500000000004</v>
      </c>
      <c r="AD80" s="6" t="str">
        <f t="shared" si="9"/>
        <v>2.Cam Lâm</v>
      </c>
      <c r="AE80" s="6" t="str">
        <f t="shared" si="10"/>
        <v>Cam Ranh</v>
      </c>
      <c r="AG80">
        <f t="shared" si="11"/>
        <v>0.67489999999999994</v>
      </c>
      <c r="AH80">
        <f t="shared" si="12"/>
        <v>0.54374999999999996</v>
      </c>
    </row>
    <row r="81" spans="1:34" x14ac:dyDescent="0.25">
      <c r="A81" t="s">
        <v>890</v>
      </c>
      <c r="B81" t="s">
        <v>800</v>
      </c>
      <c r="C81" t="s">
        <v>801</v>
      </c>
      <c r="D81" t="s">
        <v>891</v>
      </c>
      <c r="E81" t="s">
        <v>892</v>
      </c>
      <c r="F81" t="s">
        <v>893</v>
      </c>
      <c r="G81" t="s">
        <v>15827</v>
      </c>
      <c r="H81" t="s">
        <v>15831</v>
      </c>
      <c r="I81" t="s">
        <v>15909</v>
      </c>
      <c r="J81" t="s">
        <v>23</v>
      </c>
      <c r="L81" s="8" t="s">
        <v>244</v>
      </c>
      <c r="M81" t="s">
        <v>894</v>
      </c>
      <c r="N81" t="s">
        <v>895</v>
      </c>
      <c r="O81" t="s">
        <v>896</v>
      </c>
      <c r="P81" t="s">
        <v>897</v>
      </c>
      <c r="Q81" t="s">
        <v>898</v>
      </c>
      <c r="R81" t="s">
        <v>899</v>
      </c>
      <c r="S81" t="s">
        <v>900</v>
      </c>
      <c r="T81" t="s">
        <v>901</v>
      </c>
      <c r="U81" s="5">
        <v>1833.46</v>
      </c>
      <c r="V81" s="5">
        <v>1719.35</v>
      </c>
      <c r="W81" s="5">
        <v>12.075379</v>
      </c>
      <c r="X81" s="5">
        <v>109.152317</v>
      </c>
      <c r="Y81" s="5">
        <v>114.11</v>
      </c>
      <c r="Z81" s="5">
        <v>12.118789</v>
      </c>
      <c r="AA81" s="5">
        <v>109.11237</v>
      </c>
      <c r="AB81" s="7">
        <f t="shared" si="7"/>
        <v>2.5790249999999997</v>
      </c>
      <c r="AC81" s="7">
        <f t="shared" si="8"/>
        <v>0.17116499999999998</v>
      </c>
      <c r="AD81" s="6" t="str">
        <f t="shared" si="9"/>
        <v>5. Cam Phước Đông</v>
      </c>
      <c r="AE81" s="6" t="str">
        <f t="shared" si="10"/>
        <v>CAT Khánh Hòa</v>
      </c>
      <c r="AG81">
        <f t="shared" si="11"/>
        <v>1.7193499999999999</v>
      </c>
      <c r="AH81">
        <f t="shared" si="12"/>
        <v>0.11411</v>
      </c>
    </row>
    <row r="82" spans="1:34" x14ac:dyDescent="0.25">
      <c r="A82" t="s">
        <v>902</v>
      </c>
      <c r="B82" t="s">
        <v>360</v>
      </c>
      <c r="C82" t="s">
        <v>361</v>
      </c>
      <c r="D82" t="s">
        <v>903</v>
      </c>
      <c r="E82" t="s">
        <v>904</v>
      </c>
      <c r="F82" t="s">
        <v>905</v>
      </c>
      <c r="G82" t="s">
        <v>15827</v>
      </c>
      <c r="H82" t="s">
        <v>15831</v>
      </c>
      <c r="I82" t="s">
        <v>15910</v>
      </c>
      <c r="J82" t="s">
        <v>23</v>
      </c>
      <c r="L82" s="8" t="s">
        <v>906</v>
      </c>
      <c r="M82" t="s">
        <v>907</v>
      </c>
      <c r="N82" t="s">
        <v>908</v>
      </c>
      <c r="O82" t="s">
        <v>909</v>
      </c>
      <c r="P82" t="s">
        <v>910</v>
      </c>
      <c r="Q82" t="s">
        <v>911</v>
      </c>
      <c r="R82" t="s">
        <v>912</v>
      </c>
      <c r="S82" t="s">
        <v>913</v>
      </c>
      <c r="T82" t="s">
        <v>914</v>
      </c>
      <c r="U82" s="5">
        <v>297.57</v>
      </c>
      <c r="V82" s="5">
        <v>125.41</v>
      </c>
      <c r="W82" s="5">
        <v>11.976637</v>
      </c>
      <c r="X82" s="5">
        <v>109.19564699999999</v>
      </c>
      <c r="Y82" s="5">
        <v>172.16</v>
      </c>
      <c r="Z82" s="5">
        <v>11.94308</v>
      </c>
      <c r="AA82" s="5">
        <v>109.180499</v>
      </c>
      <c r="AB82" s="7">
        <f t="shared" si="7"/>
        <v>0.188115</v>
      </c>
      <c r="AC82" s="7">
        <f t="shared" si="8"/>
        <v>0.25824000000000003</v>
      </c>
      <c r="AD82" s="6" t="str">
        <f t="shared" si="9"/>
        <v>1.CA Cam Ranh</v>
      </c>
      <c r="AE82" s="6" t="str">
        <f t="shared" si="10"/>
        <v>CA Bắc Cam Ranh</v>
      </c>
      <c r="AG82">
        <f t="shared" si="11"/>
        <v>0.12540999999999999</v>
      </c>
      <c r="AH82">
        <f t="shared" si="12"/>
        <v>0.17216000000000001</v>
      </c>
    </row>
    <row r="83" spans="1:34" x14ac:dyDescent="0.25">
      <c r="A83" t="s">
        <v>915</v>
      </c>
      <c r="B83" t="s">
        <v>916</v>
      </c>
      <c r="C83" t="s">
        <v>917</v>
      </c>
      <c r="D83" t="s">
        <v>360</v>
      </c>
      <c r="E83" t="s">
        <v>361</v>
      </c>
      <c r="F83" t="s">
        <v>918</v>
      </c>
      <c r="G83" t="s">
        <v>15827</v>
      </c>
      <c r="H83" t="s">
        <v>15831</v>
      </c>
      <c r="I83" t="s">
        <v>15911</v>
      </c>
      <c r="J83" t="s">
        <v>23</v>
      </c>
      <c r="L83" s="8" t="s">
        <v>919</v>
      </c>
      <c r="M83" t="s">
        <v>920</v>
      </c>
      <c r="N83" t="s">
        <v>921</v>
      </c>
      <c r="O83" t="s">
        <v>922</v>
      </c>
      <c r="P83" t="s">
        <v>923</v>
      </c>
      <c r="Q83" t="s">
        <v>924</v>
      </c>
      <c r="R83" t="s">
        <v>925</v>
      </c>
      <c r="S83" t="s">
        <v>926</v>
      </c>
      <c r="T83" t="s">
        <v>927</v>
      </c>
      <c r="U83" s="5">
        <v>2620.9299999999998</v>
      </c>
      <c r="V83" s="5">
        <v>2497.87</v>
      </c>
      <c r="W83" s="5">
        <v>11.984548999999999</v>
      </c>
      <c r="X83" s="5">
        <v>109.20057</v>
      </c>
      <c r="Y83" s="5">
        <v>123.07</v>
      </c>
      <c r="Z83" s="5">
        <v>11.976625</v>
      </c>
      <c r="AA83" s="5">
        <v>109.195673</v>
      </c>
      <c r="AB83" s="7">
        <f t="shared" si="7"/>
        <v>3.7468049999999997</v>
      </c>
      <c r="AC83" s="7">
        <f t="shared" si="8"/>
        <v>0.18460499999999999</v>
      </c>
      <c r="AD83" s="6" t="str">
        <f t="shared" si="9"/>
        <v>Tuyến nhánh CA Bắc Cam Ranh</v>
      </c>
      <c r="AE83" s="6" t="str">
        <f t="shared" si="10"/>
        <v>Cảng HKQT Cam Ranh</v>
      </c>
      <c r="AG83">
        <f t="shared" si="11"/>
        <v>2.4978699999999998</v>
      </c>
      <c r="AH83">
        <f t="shared" si="12"/>
        <v>0.12307</v>
      </c>
    </row>
    <row r="84" spans="1:34" x14ac:dyDescent="0.25">
      <c r="A84" t="s">
        <v>928</v>
      </c>
      <c r="B84" t="s">
        <v>800</v>
      </c>
      <c r="C84" t="s">
        <v>801</v>
      </c>
      <c r="D84" t="s">
        <v>916</v>
      </c>
      <c r="E84" t="s">
        <v>917</v>
      </c>
      <c r="F84" t="s">
        <v>929</v>
      </c>
      <c r="G84" t="s">
        <v>15827</v>
      </c>
      <c r="H84" t="s">
        <v>15831</v>
      </c>
      <c r="I84" t="s">
        <v>15912</v>
      </c>
      <c r="J84" t="s">
        <v>23</v>
      </c>
      <c r="L84" s="8" t="s">
        <v>881</v>
      </c>
      <c r="M84" t="s">
        <v>930</v>
      </c>
      <c r="N84" t="s">
        <v>931</v>
      </c>
      <c r="O84" t="s">
        <v>932</v>
      </c>
      <c r="P84" t="s">
        <v>933</v>
      </c>
      <c r="Q84" t="s">
        <v>934</v>
      </c>
      <c r="R84" t="s">
        <v>935</v>
      </c>
      <c r="S84" t="s">
        <v>936</v>
      </c>
      <c r="T84" t="s">
        <v>889</v>
      </c>
      <c r="U84" s="5">
        <v>3017.86</v>
      </c>
      <c r="V84" s="5">
        <v>5.32</v>
      </c>
      <c r="W84" s="5">
        <v>12.074472</v>
      </c>
      <c r="X84" s="5">
        <v>109.168063</v>
      </c>
      <c r="Y84" s="5">
        <v>3012.54</v>
      </c>
      <c r="Z84" s="5">
        <v>11.992822</v>
      </c>
      <c r="AA84" s="5">
        <v>109.19165599999999</v>
      </c>
      <c r="AB84" s="7">
        <f t="shared" si="7"/>
        <v>7.980000000000001E-3</v>
      </c>
      <c r="AC84" s="7">
        <f t="shared" si="8"/>
        <v>4.5188099999999993</v>
      </c>
      <c r="AD84" s="6" t="str">
        <f t="shared" si="9"/>
        <v>2.Cam Lâm</v>
      </c>
      <c r="AE84" s="6" t="str">
        <f t="shared" si="10"/>
        <v>Cam Ranh</v>
      </c>
      <c r="AG84">
        <f t="shared" si="11"/>
        <v>5.3200000000000001E-3</v>
      </c>
      <c r="AH84">
        <f t="shared" si="12"/>
        <v>3.01254</v>
      </c>
    </row>
    <row r="85" spans="1:34" x14ac:dyDescent="0.25">
      <c r="A85" t="s">
        <v>937</v>
      </c>
      <c r="B85" t="s">
        <v>916</v>
      </c>
      <c r="C85" t="s">
        <v>917</v>
      </c>
      <c r="D85" t="s">
        <v>938</v>
      </c>
      <c r="E85" t="s">
        <v>939</v>
      </c>
      <c r="F85" t="s">
        <v>940</v>
      </c>
      <c r="G85" t="s">
        <v>15827</v>
      </c>
      <c r="H85" t="s">
        <v>15831</v>
      </c>
      <c r="I85" t="s">
        <v>15913</v>
      </c>
      <c r="J85" t="s">
        <v>23</v>
      </c>
      <c r="L85" s="8" t="s">
        <v>919</v>
      </c>
      <c r="M85" t="s">
        <v>941</v>
      </c>
      <c r="N85" t="s">
        <v>942</v>
      </c>
      <c r="O85" t="s">
        <v>943</v>
      </c>
      <c r="P85" t="s">
        <v>944</v>
      </c>
      <c r="Q85" t="s">
        <v>945</v>
      </c>
      <c r="R85" t="s">
        <v>946</v>
      </c>
      <c r="S85" t="s">
        <v>947</v>
      </c>
      <c r="T85" t="s">
        <v>948</v>
      </c>
      <c r="U85" s="5">
        <v>6114.73</v>
      </c>
      <c r="V85" s="5">
        <v>5.18</v>
      </c>
      <c r="W85" s="5">
        <v>11.998255</v>
      </c>
      <c r="X85" s="5">
        <v>109.218788</v>
      </c>
      <c r="Y85" s="5">
        <v>6109.55</v>
      </c>
      <c r="Z85" s="5">
        <v>12.001106999999999</v>
      </c>
      <c r="AA85" s="5">
        <v>109.209318</v>
      </c>
      <c r="AB85" s="7">
        <f t="shared" si="7"/>
        <v>7.77E-3</v>
      </c>
      <c r="AC85" s="7">
        <f t="shared" si="8"/>
        <v>9.1643250000000016</v>
      </c>
      <c r="AD85" s="6" t="str">
        <f t="shared" si="9"/>
        <v>Tuyến nhánh CA Bắc Cam Ranh</v>
      </c>
      <c r="AE85" s="6" t="str">
        <f t="shared" si="10"/>
        <v>Cảng HKQT Cam Ranh</v>
      </c>
      <c r="AG85">
        <f t="shared" si="11"/>
        <v>5.1799999999999997E-3</v>
      </c>
      <c r="AH85">
        <f t="shared" si="12"/>
        <v>6.1095500000000005</v>
      </c>
    </row>
    <row r="86" spans="1:34" x14ac:dyDescent="0.25">
      <c r="A86" t="s">
        <v>949</v>
      </c>
      <c r="B86" t="s">
        <v>743</v>
      </c>
      <c r="C86" t="s">
        <v>744</v>
      </c>
      <c r="D86" t="s">
        <v>950</v>
      </c>
      <c r="E86" t="s">
        <v>951</v>
      </c>
      <c r="F86" t="s">
        <v>952</v>
      </c>
      <c r="G86" t="s">
        <v>15827</v>
      </c>
      <c r="H86" t="s">
        <v>15831</v>
      </c>
      <c r="I86" t="s">
        <v>15914</v>
      </c>
      <c r="J86" t="s">
        <v>23</v>
      </c>
      <c r="L86" s="8" t="s">
        <v>841</v>
      </c>
      <c r="M86" t="s">
        <v>953</v>
      </c>
      <c r="N86" t="s">
        <v>846</v>
      </c>
      <c r="O86" t="s">
        <v>847</v>
      </c>
      <c r="P86" t="s">
        <v>848</v>
      </c>
      <c r="Q86" t="s">
        <v>954</v>
      </c>
      <c r="R86" t="s">
        <v>955</v>
      </c>
      <c r="S86" t="s">
        <v>956</v>
      </c>
      <c r="T86" t="s">
        <v>849</v>
      </c>
      <c r="U86" s="5">
        <v>4303.41</v>
      </c>
      <c r="V86" s="5">
        <v>4.41</v>
      </c>
      <c r="W86" s="5">
        <v>12.031929999999999</v>
      </c>
      <c r="X86" s="5">
        <v>109.12816100000001</v>
      </c>
      <c r="Y86" s="5">
        <v>4299.01</v>
      </c>
      <c r="Z86" s="5">
        <v>12.006541</v>
      </c>
      <c r="AA86" s="5">
        <v>109.125311</v>
      </c>
      <c r="AB86" s="7">
        <f t="shared" si="7"/>
        <v>6.6150000000000002E-3</v>
      </c>
      <c r="AC86" s="7">
        <f t="shared" si="8"/>
        <v>6.4485150000000004</v>
      </c>
      <c r="AD86" s="6" t="str">
        <f t="shared" si="9"/>
        <v>3.CA Cam An</v>
      </c>
      <c r="AE86" s="6" t="str">
        <f t="shared" si="10"/>
        <v>CA Cam Hiệp</v>
      </c>
      <c r="AG86">
        <f t="shared" si="11"/>
        <v>4.4099999999999999E-3</v>
      </c>
      <c r="AH86">
        <f t="shared" si="12"/>
        <v>4.29901</v>
      </c>
    </row>
    <row r="87" spans="1:34" x14ac:dyDescent="0.25">
      <c r="A87" t="s">
        <v>957</v>
      </c>
      <c r="B87" t="s">
        <v>743</v>
      </c>
      <c r="C87" t="s">
        <v>744</v>
      </c>
      <c r="D87" t="s">
        <v>958</v>
      </c>
      <c r="E87" t="s">
        <v>959</v>
      </c>
      <c r="F87" t="s">
        <v>960</v>
      </c>
      <c r="G87" t="s">
        <v>15827</v>
      </c>
      <c r="H87" t="s">
        <v>15831</v>
      </c>
      <c r="I87" t="s">
        <v>15915</v>
      </c>
      <c r="J87" t="s">
        <v>23</v>
      </c>
      <c r="L87" s="8" t="s">
        <v>841</v>
      </c>
      <c r="M87" t="s">
        <v>961</v>
      </c>
      <c r="N87" t="s">
        <v>846</v>
      </c>
      <c r="O87" t="s">
        <v>847</v>
      </c>
      <c r="P87" t="s">
        <v>848</v>
      </c>
      <c r="Q87" t="s">
        <v>962</v>
      </c>
      <c r="R87" t="s">
        <v>963</v>
      </c>
      <c r="S87" t="s">
        <v>964</v>
      </c>
      <c r="T87" t="s">
        <v>849</v>
      </c>
      <c r="U87" s="5">
        <v>1580.41</v>
      </c>
      <c r="V87" s="5">
        <v>4.41</v>
      </c>
      <c r="W87" s="5">
        <v>12.031929999999999</v>
      </c>
      <c r="X87" s="5">
        <v>109.12816100000001</v>
      </c>
      <c r="Y87" s="5">
        <v>1576.01</v>
      </c>
      <c r="Z87" s="5">
        <v>12.008963</v>
      </c>
      <c r="AA87" s="5">
        <v>109.126104</v>
      </c>
      <c r="AB87" s="7">
        <f t="shared" si="7"/>
        <v>6.6150000000000002E-3</v>
      </c>
      <c r="AC87" s="7">
        <f t="shared" si="8"/>
        <v>2.3640149999999998</v>
      </c>
      <c r="AD87" s="6" t="str">
        <f t="shared" si="9"/>
        <v>3.CA Cam An</v>
      </c>
      <c r="AE87" s="6" t="str">
        <f t="shared" si="10"/>
        <v>CA Cam Hiệp</v>
      </c>
      <c r="AG87">
        <f t="shared" si="11"/>
        <v>4.4099999999999999E-3</v>
      </c>
      <c r="AH87">
        <f t="shared" si="12"/>
        <v>1.5760099999999999</v>
      </c>
    </row>
    <row r="88" spans="1:34" x14ac:dyDescent="0.25">
      <c r="A88" t="s">
        <v>965</v>
      </c>
      <c r="B88" t="s">
        <v>617</v>
      </c>
      <c r="C88" t="s">
        <v>618</v>
      </c>
      <c r="D88" t="s">
        <v>966</v>
      </c>
      <c r="E88" t="s">
        <v>967</v>
      </c>
      <c r="F88" t="s">
        <v>968</v>
      </c>
      <c r="G88" t="s">
        <v>15827</v>
      </c>
      <c r="H88" t="s">
        <v>15831</v>
      </c>
      <c r="I88" t="s">
        <v>15916</v>
      </c>
      <c r="J88" t="s">
        <v>23</v>
      </c>
      <c r="L88" s="8" t="s">
        <v>822</v>
      </c>
      <c r="M88" t="s">
        <v>969</v>
      </c>
      <c r="N88" t="s">
        <v>824</v>
      </c>
      <c r="O88" t="s">
        <v>825</v>
      </c>
      <c r="P88" t="s">
        <v>826</v>
      </c>
      <c r="Q88" t="s">
        <v>970</v>
      </c>
      <c r="R88" t="s">
        <v>971</v>
      </c>
      <c r="S88" t="s">
        <v>972</v>
      </c>
      <c r="T88" t="s">
        <v>830</v>
      </c>
      <c r="U88" s="5">
        <v>557.99</v>
      </c>
      <c r="V88" s="5">
        <v>271.76</v>
      </c>
      <c r="W88" s="5">
        <v>11.925971000000001</v>
      </c>
      <c r="X88" s="5">
        <v>109.16124499999999</v>
      </c>
      <c r="Y88" s="5">
        <v>286.23</v>
      </c>
      <c r="Z88" s="5">
        <v>11.920144000000001</v>
      </c>
      <c r="AA88" s="5">
        <v>109.15036000000001</v>
      </c>
      <c r="AB88" s="7">
        <f t="shared" si="7"/>
        <v>0.40764</v>
      </c>
      <c r="AC88" s="7">
        <f t="shared" si="8"/>
        <v>0.42934500000000003</v>
      </c>
      <c r="AD88" s="6" t="str">
        <f t="shared" si="9"/>
        <v>4.CA Nam Cam Ranh</v>
      </c>
      <c r="AE88" s="6" t="str">
        <f t="shared" si="10"/>
        <v>CA Cam Ranh</v>
      </c>
      <c r="AG88">
        <f t="shared" si="11"/>
        <v>0.27176</v>
      </c>
      <c r="AH88">
        <f t="shared" si="12"/>
        <v>0.28623000000000004</v>
      </c>
    </row>
    <row r="89" spans="1:34" x14ac:dyDescent="0.25">
      <c r="A89" t="s">
        <v>973</v>
      </c>
      <c r="B89" t="s">
        <v>859</v>
      </c>
      <c r="C89" t="s">
        <v>860</v>
      </c>
      <c r="D89" t="s">
        <v>974</v>
      </c>
      <c r="E89" t="s">
        <v>975</v>
      </c>
      <c r="F89" t="s">
        <v>976</v>
      </c>
      <c r="G89" t="s">
        <v>15827</v>
      </c>
      <c r="H89" t="s">
        <v>15831</v>
      </c>
      <c r="I89" t="s">
        <v>15917</v>
      </c>
      <c r="J89" t="s">
        <v>23</v>
      </c>
      <c r="L89" s="8" t="s">
        <v>977</v>
      </c>
      <c r="M89" t="s">
        <v>978</v>
      </c>
      <c r="N89" t="s">
        <v>218</v>
      </c>
      <c r="O89" t="s">
        <v>979</v>
      </c>
      <c r="P89" t="s">
        <v>980</v>
      </c>
      <c r="Q89" t="s">
        <v>981</v>
      </c>
      <c r="R89" t="s">
        <v>982</v>
      </c>
      <c r="S89" t="s">
        <v>983</v>
      </c>
      <c r="T89" t="s">
        <v>984</v>
      </c>
      <c r="U89" s="5">
        <v>314.64999999999998</v>
      </c>
      <c r="V89" s="5">
        <v>4</v>
      </c>
      <c r="W89" s="5">
        <v>11.906751</v>
      </c>
      <c r="X89" s="5">
        <v>109.14636900000001</v>
      </c>
      <c r="Y89" s="5">
        <v>310.64999999999998</v>
      </c>
      <c r="Z89" s="5">
        <v>11.905789</v>
      </c>
      <c r="AA89" s="5">
        <v>109.145025</v>
      </c>
      <c r="AB89" s="7">
        <f t="shared" si="7"/>
        <v>6.0000000000000001E-3</v>
      </c>
      <c r="AC89" s="7">
        <f t="shared" si="8"/>
        <v>0.46597499999999997</v>
      </c>
      <c r="AD89" s="6" t="str">
        <f t="shared" si="9"/>
        <v>2.CA Cam Linh</v>
      </c>
      <c r="AE89" s="6" t="str">
        <f t="shared" si="10"/>
        <v>CA Ba Ngòi</v>
      </c>
      <c r="AG89">
        <f t="shared" si="11"/>
        <v>4.0000000000000001E-3</v>
      </c>
      <c r="AH89">
        <f t="shared" si="12"/>
        <v>0.31064999999999998</v>
      </c>
    </row>
    <row r="90" spans="1:34" x14ac:dyDescent="0.25">
      <c r="A90" t="s">
        <v>985</v>
      </c>
      <c r="B90" t="s">
        <v>617</v>
      </c>
      <c r="C90" t="s">
        <v>618</v>
      </c>
      <c r="D90" t="s">
        <v>986</v>
      </c>
      <c r="E90" t="s">
        <v>987</v>
      </c>
      <c r="F90" t="s">
        <v>988</v>
      </c>
      <c r="G90" t="s">
        <v>15827</v>
      </c>
      <c r="H90" t="s">
        <v>15831</v>
      </c>
      <c r="I90" t="s">
        <v>15918</v>
      </c>
      <c r="J90" t="s">
        <v>23</v>
      </c>
      <c r="L90" s="8" t="s">
        <v>622</v>
      </c>
      <c r="M90" t="s">
        <v>989</v>
      </c>
      <c r="N90" t="s">
        <v>624</v>
      </c>
      <c r="O90" t="s">
        <v>625</v>
      </c>
      <c r="P90" t="s">
        <v>626</v>
      </c>
      <c r="Q90" t="s">
        <v>990</v>
      </c>
      <c r="R90" t="s">
        <v>991</v>
      </c>
      <c r="S90" t="s">
        <v>992</v>
      </c>
      <c r="T90" t="s">
        <v>630</v>
      </c>
      <c r="U90" s="5">
        <v>1033.25</v>
      </c>
      <c r="V90" s="5">
        <v>313.88</v>
      </c>
      <c r="W90" s="5">
        <v>11.923</v>
      </c>
      <c r="X90" s="5">
        <v>109.16500000000001</v>
      </c>
      <c r="Y90" s="5">
        <v>719.36</v>
      </c>
      <c r="Z90" s="5">
        <v>11.920299999999999</v>
      </c>
      <c r="AA90" s="5">
        <v>109.16200000000001</v>
      </c>
      <c r="AB90" s="7">
        <f t="shared" si="7"/>
        <v>0.47082000000000002</v>
      </c>
      <c r="AC90" s="7">
        <f t="shared" si="8"/>
        <v>1.07904</v>
      </c>
      <c r="AD90" s="6" t="str">
        <f t="shared" si="9"/>
        <v>1.CA Cam Ranh</v>
      </c>
      <c r="AE90" s="6" t="str">
        <f t="shared" si="10"/>
        <v>CA Cam Linh</v>
      </c>
      <c r="AG90">
        <f t="shared" si="11"/>
        <v>0.31387999999999999</v>
      </c>
      <c r="AH90">
        <f t="shared" si="12"/>
        <v>0.71936</v>
      </c>
    </row>
    <row r="91" spans="1:34" x14ac:dyDescent="0.25">
      <c r="A91" t="s">
        <v>993</v>
      </c>
      <c r="B91" t="s">
        <v>360</v>
      </c>
      <c r="C91" t="s">
        <v>361</v>
      </c>
      <c r="D91" t="s">
        <v>994</v>
      </c>
      <c r="E91" t="s">
        <v>995</v>
      </c>
      <c r="F91" t="s">
        <v>996</v>
      </c>
      <c r="G91" t="s">
        <v>15827</v>
      </c>
      <c r="H91" t="s">
        <v>15831</v>
      </c>
      <c r="I91" t="s">
        <v>15919</v>
      </c>
      <c r="J91" t="s">
        <v>23</v>
      </c>
      <c r="L91" s="8" t="s">
        <v>365</v>
      </c>
      <c r="M91" t="s">
        <v>997</v>
      </c>
      <c r="N91" t="s">
        <v>367</v>
      </c>
      <c r="O91" t="s">
        <v>368</v>
      </c>
      <c r="P91" t="s">
        <v>369</v>
      </c>
      <c r="Q91" t="s">
        <v>998</v>
      </c>
      <c r="R91" t="s">
        <v>999</v>
      </c>
      <c r="S91" t="s">
        <v>1000</v>
      </c>
      <c r="T91" t="s">
        <v>373</v>
      </c>
      <c r="U91" s="5">
        <v>260.36</v>
      </c>
      <c r="V91" s="5">
        <v>125</v>
      </c>
      <c r="W91" s="5">
        <v>11.976645</v>
      </c>
      <c r="X91" s="5">
        <v>109.19567600000001</v>
      </c>
      <c r="Y91" s="5">
        <v>135.35</v>
      </c>
      <c r="Z91" s="5">
        <v>11.987181</v>
      </c>
      <c r="AA91" s="5">
        <v>109.17413500000001</v>
      </c>
      <c r="AB91" s="7">
        <f t="shared" si="7"/>
        <v>0.1875</v>
      </c>
      <c r="AC91" s="7">
        <f t="shared" si="8"/>
        <v>0.20302499999999998</v>
      </c>
      <c r="AD91" s="6" t="str">
        <f t="shared" si="9"/>
        <v>2.CA Bắc Cam Ranh</v>
      </c>
      <c r="AE91" s="6" t="str">
        <f t="shared" si="10"/>
        <v>CA Cam An</v>
      </c>
      <c r="AG91">
        <f t="shared" si="11"/>
        <v>0.125</v>
      </c>
      <c r="AH91">
        <f t="shared" si="12"/>
        <v>0.13535</v>
      </c>
    </row>
    <row r="92" spans="1:34" x14ac:dyDescent="0.25">
      <c r="A92" t="s">
        <v>1001</v>
      </c>
      <c r="B92" t="s">
        <v>859</v>
      </c>
      <c r="C92" t="s">
        <v>860</v>
      </c>
      <c r="D92" t="s">
        <v>1002</v>
      </c>
      <c r="E92" t="s">
        <v>1003</v>
      </c>
      <c r="F92" t="s">
        <v>1004</v>
      </c>
      <c r="G92" t="s">
        <v>15827</v>
      </c>
      <c r="H92" t="s">
        <v>15831</v>
      </c>
      <c r="I92" t="s">
        <v>15920</v>
      </c>
      <c r="J92" t="s">
        <v>23</v>
      </c>
      <c r="L92" s="8" t="s">
        <v>977</v>
      </c>
      <c r="M92" t="s">
        <v>1005</v>
      </c>
      <c r="N92" t="s">
        <v>218</v>
      </c>
      <c r="O92" t="s">
        <v>979</v>
      </c>
      <c r="P92" t="s">
        <v>980</v>
      </c>
      <c r="Q92" t="s">
        <v>1006</v>
      </c>
      <c r="R92" t="s">
        <v>1007</v>
      </c>
      <c r="S92" t="s">
        <v>1008</v>
      </c>
      <c r="T92" t="s">
        <v>984</v>
      </c>
      <c r="U92" s="5">
        <v>19.850000000000001</v>
      </c>
      <c r="V92" s="5">
        <v>4</v>
      </c>
      <c r="W92" s="5">
        <v>11.906751</v>
      </c>
      <c r="X92" s="5">
        <v>109.14636900000001</v>
      </c>
      <c r="Y92" s="5">
        <v>15.86</v>
      </c>
      <c r="Z92" s="5">
        <v>11.909582</v>
      </c>
      <c r="AA92" s="5">
        <v>109.141975</v>
      </c>
      <c r="AB92" s="7">
        <f t="shared" si="7"/>
        <v>6.0000000000000001E-3</v>
      </c>
      <c r="AC92" s="7">
        <f t="shared" si="8"/>
        <v>2.3789999999999999E-2</v>
      </c>
      <c r="AD92" s="6" t="str">
        <f t="shared" si="9"/>
        <v>2.CA Cam Linh</v>
      </c>
      <c r="AE92" s="6" t="str">
        <f t="shared" si="10"/>
        <v>CA Ba Ngòi</v>
      </c>
      <c r="AG92">
        <f t="shared" si="11"/>
        <v>4.0000000000000001E-3</v>
      </c>
      <c r="AH92">
        <f t="shared" si="12"/>
        <v>1.5859999999999999E-2</v>
      </c>
    </row>
    <row r="93" spans="1:34" x14ac:dyDescent="0.25">
      <c r="A93" t="s">
        <v>1009</v>
      </c>
      <c r="B93" t="s">
        <v>617</v>
      </c>
      <c r="C93" t="s">
        <v>618</v>
      </c>
      <c r="D93" t="s">
        <v>1010</v>
      </c>
      <c r="E93" t="s">
        <v>1011</v>
      </c>
      <c r="F93" t="s">
        <v>1012</v>
      </c>
      <c r="G93" t="s">
        <v>15827</v>
      </c>
      <c r="H93" t="s">
        <v>15831</v>
      </c>
      <c r="I93" t="s">
        <v>15921</v>
      </c>
      <c r="J93" t="s">
        <v>23</v>
      </c>
      <c r="L93" s="8" t="s">
        <v>622</v>
      </c>
      <c r="M93" t="s">
        <v>1013</v>
      </c>
      <c r="N93" t="s">
        <v>624</v>
      </c>
      <c r="O93" t="s">
        <v>625</v>
      </c>
      <c r="P93" t="s">
        <v>626</v>
      </c>
      <c r="Q93" t="s">
        <v>1014</v>
      </c>
      <c r="R93" t="s">
        <v>1015</v>
      </c>
      <c r="S93" t="s">
        <v>1016</v>
      </c>
      <c r="T93" t="s">
        <v>630</v>
      </c>
      <c r="U93" s="5">
        <v>636.01</v>
      </c>
      <c r="V93" s="5">
        <v>313.88</v>
      </c>
      <c r="W93" s="5">
        <v>11.923</v>
      </c>
      <c r="X93" s="5">
        <v>109.16500000000001</v>
      </c>
      <c r="Y93" s="5">
        <v>322.13</v>
      </c>
      <c r="Z93" s="5">
        <v>11.909857000000001</v>
      </c>
      <c r="AA93" s="5">
        <v>109.15031399999999</v>
      </c>
      <c r="AB93" s="7">
        <f t="shared" si="7"/>
        <v>0.47082000000000002</v>
      </c>
      <c r="AC93" s="7">
        <f t="shared" si="8"/>
        <v>0.48319499999999999</v>
      </c>
      <c r="AD93" s="6" t="str">
        <f t="shared" si="9"/>
        <v>1.CA Cam Ranh</v>
      </c>
      <c r="AE93" s="6" t="str">
        <f t="shared" si="10"/>
        <v>CA Cam Linh</v>
      </c>
      <c r="AG93">
        <f t="shared" si="11"/>
        <v>0.31387999999999999</v>
      </c>
      <c r="AH93">
        <f t="shared" si="12"/>
        <v>0.32212999999999997</v>
      </c>
    </row>
    <row r="94" spans="1:34" x14ac:dyDescent="0.25">
      <c r="A94" t="s">
        <v>1017</v>
      </c>
      <c r="B94" t="s">
        <v>605</v>
      </c>
      <c r="C94" t="s">
        <v>606</v>
      </c>
      <c r="D94" t="s">
        <v>1018</v>
      </c>
      <c r="E94" t="s">
        <v>1019</v>
      </c>
      <c r="F94" t="s">
        <v>1020</v>
      </c>
      <c r="G94" t="s">
        <v>15827</v>
      </c>
      <c r="H94" t="s">
        <v>15831</v>
      </c>
      <c r="I94" t="s">
        <v>15922</v>
      </c>
      <c r="J94" t="s">
        <v>23</v>
      </c>
      <c r="L94" s="8" t="s">
        <v>350</v>
      </c>
      <c r="M94" t="s">
        <v>1021</v>
      </c>
      <c r="N94" t="s">
        <v>1022</v>
      </c>
      <c r="O94" t="s">
        <v>1023</v>
      </c>
      <c r="P94" t="s">
        <v>1024</v>
      </c>
      <c r="Q94" t="s">
        <v>1025</v>
      </c>
      <c r="R94" t="s">
        <v>1026</v>
      </c>
      <c r="S94" t="s">
        <v>1027</v>
      </c>
      <c r="T94" t="s">
        <v>358</v>
      </c>
      <c r="U94" s="5">
        <v>221.84</v>
      </c>
      <c r="V94" s="5">
        <v>134.52000000000001</v>
      </c>
      <c r="W94" s="5">
        <v>11.962002999999999</v>
      </c>
      <c r="X94" s="5">
        <v>109.094218</v>
      </c>
      <c r="Y94" s="5">
        <v>87.33</v>
      </c>
      <c r="Z94" s="5">
        <v>11.955971</v>
      </c>
      <c r="AA94" s="5">
        <v>109.103486</v>
      </c>
      <c r="AB94" s="7">
        <f t="shared" si="7"/>
        <v>0.20178000000000004</v>
      </c>
      <c r="AC94" s="7">
        <f t="shared" si="8"/>
        <v>0.130995</v>
      </c>
      <c r="AD94" s="6" t="str">
        <f t="shared" si="9"/>
        <v>3.Cam Ranh</v>
      </c>
      <c r="AE94" s="6" t="str">
        <f t="shared" si="10"/>
        <v>Khánh Sơn</v>
      </c>
      <c r="AG94">
        <f t="shared" si="11"/>
        <v>0.13452</v>
      </c>
      <c r="AH94">
        <f t="shared" si="12"/>
        <v>8.7330000000000005E-2</v>
      </c>
    </row>
    <row r="95" spans="1:34" x14ac:dyDescent="0.25">
      <c r="A95" t="s">
        <v>1028</v>
      </c>
      <c r="B95" t="s">
        <v>1029</v>
      </c>
      <c r="C95" t="s">
        <v>1030</v>
      </c>
      <c r="D95" t="s">
        <v>776</v>
      </c>
      <c r="E95" t="s">
        <v>777</v>
      </c>
      <c r="F95" t="s">
        <v>1031</v>
      </c>
      <c r="G95" t="s">
        <v>15827</v>
      </c>
      <c r="H95" t="s">
        <v>15828</v>
      </c>
      <c r="I95" t="s">
        <v>15923</v>
      </c>
      <c r="J95" t="s">
        <v>23</v>
      </c>
      <c r="L95" s="8" t="s">
        <v>1032</v>
      </c>
      <c r="M95" t="s">
        <v>1033</v>
      </c>
      <c r="N95" t="s">
        <v>1034</v>
      </c>
      <c r="O95" t="s">
        <v>1035</v>
      </c>
      <c r="P95" t="s">
        <v>1036</v>
      </c>
      <c r="Q95" t="s">
        <v>1037</v>
      </c>
      <c r="R95" t="s">
        <v>1038</v>
      </c>
      <c r="S95" t="s">
        <v>1039</v>
      </c>
      <c r="T95" t="s">
        <v>1040</v>
      </c>
      <c r="U95" s="5">
        <v>667.15</v>
      </c>
      <c r="V95" s="5">
        <v>663.57</v>
      </c>
      <c r="W95" s="5">
        <v>12.704838000000001</v>
      </c>
      <c r="X95" s="5">
        <v>109.236941</v>
      </c>
      <c r="Y95" s="5">
        <v>3.57</v>
      </c>
      <c r="Z95" s="5">
        <v>12.690783</v>
      </c>
      <c r="AA95" s="5">
        <v>109.22087000000001</v>
      </c>
      <c r="AB95" s="7">
        <f t="shared" si="7"/>
        <v>0.99535499999999999</v>
      </c>
      <c r="AC95" s="7">
        <f t="shared" si="8"/>
        <v>5.3549999999999995E-3</v>
      </c>
      <c r="AD95" s="6" t="str">
        <f t="shared" si="9"/>
        <v>1.CA Vạn Ninh</v>
      </c>
      <c r="AE95" s="6" t="str">
        <f t="shared" si="10"/>
        <v>CA Vạn Thắng_Cột trung thế</v>
      </c>
      <c r="AG95">
        <f t="shared" si="11"/>
        <v>0.6635700000000001</v>
      </c>
      <c r="AH95">
        <f t="shared" si="12"/>
        <v>3.5699999999999998E-3</v>
      </c>
    </row>
    <row r="96" spans="1:34" x14ac:dyDescent="0.25">
      <c r="A96" t="s">
        <v>1041</v>
      </c>
      <c r="B96" t="s">
        <v>1042</v>
      </c>
      <c r="C96" t="s">
        <v>1043</v>
      </c>
      <c r="D96" t="s">
        <v>776</v>
      </c>
      <c r="E96" t="s">
        <v>777</v>
      </c>
      <c r="F96" t="s">
        <v>1044</v>
      </c>
      <c r="G96" t="s">
        <v>15827</v>
      </c>
      <c r="H96" t="s">
        <v>15828</v>
      </c>
      <c r="I96" t="s">
        <v>15924</v>
      </c>
      <c r="J96" t="s">
        <v>23</v>
      </c>
      <c r="L96" s="8" t="s">
        <v>1045</v>
      </c>
      <c r="M96" t="s">
        <v>1046</v>
      </c>
      <c r="N96" t="s">
        <v>1047</v>
      </c>
      <c r="O96" t="s">
        <v>1048</v>
      </c>
      <c r="P96" t="s">
        <v>1049</v>
      </c>
      <c r="Q96" t="s">
        <v>1050</v>
      </c>
      <c r="R96" t="s">
        <v>1051</v>
      </c>
      <c r="S96" t="s">
        <v>1052</v>
      </c>
      <c r="T96" t="s">
        <v>1053</v>
      </c>
      <c r="U96" s="5">
        <v>533.33000000000004</v>
      </c>
      <c r="V96" s="5">
        <v>46.3</v>
      </c>
      <c r="W96" s="5">
        <v>12.721617</v>
      </c>
      <c r="X96" s="5">
        <v>109.234646</v>
      </c>
      <c r="Y96" s="5">
        <v>487.03</v>
      </c>
      <c r="Z96" s="5">
        <v>12.693424</v>
      </c>
      <c r="AA96" s="5">
        <v>109.21732799999999</v>
      </c>
      <c r="AB96" s="7">
        <f t="shared" si="7"/>
        <v>6.9449999999999984E-2</v>
      </c>
      <c r="AC96" s="7">
        <f t="shared" si="8"/>
        <v>0.730545</v>
      </c>
      <c r="AD96" s="6" t="str">
        <f t="shared" si="9"/>
        <v>4.CA Đại Lãnh</v>
      </c>
      <c r="AE96" s="6" t="str">
        <f t="shared" si="10"/>
        <v>CA Vạn Ninh</v>
      </c>
      <c r="AG96">
        <f t="shared" si="11"/>
        <v>4.6299999999999994E-2</v>
      </c>
      <c r="AH96">
        <f t="shared" si="12"/>
        <v>0.48702999999999996</v>
      </c>
    </row>
    <row r="97" spans="1:34" x14ac:dyDescent="0.25">
      <c r="A97" t="s">
        <v>1054</v>
      </c>
      <c r="B97" t="s">
        <v>1055</v>
      </c>
      <c r="C97" t="s">
        <v>1056</v>
      </c>
      <c r="D97" t="s">
        <v>776</v>
      </c>
      <c r="E97" t="s">
        <v>777</v>
      </c>
      <c r="F97" t="s">
        <v>1057</v>
      </c>
      <c r="G97" t="s">
        <v>15827</v>
      </c>
      <c r="H97" t="s">
        <v>15828</v>
      </c>
      <c r="I97" t="s">
        <v>15925</v>
      </c>
      <c r="J97" t="s">
        <v>23</v>
      </c>
      <c r="L97" s="8" t="s">
        <v>1045</v>
      </c>
      <c r="M97" t="s">
        <v>1058</v>
      </c>
      <c r="N97" t="s">
        <v>1059</v>
      </c>
      <c r="O97" t="s">
        <v>1060</v>
      </c>
      <c r="P97" t="s">
        <v>1061</v>
      </c>
      <c r="Q97" t="s">
        <v>1050</v>
      </c>
      <c r="R97" t="s">
        <v>1051</v>
      </c>
      <c r="S97" t="s">
        <v>1052</v>
      </c>
      <c r="T97" t="s">
        <v>1053</v>
      </c>
      <c r="U97" s="5">
        <v>1805.95</v>
      </c>
      <c r="V97" s="5">
        <v>1318.92</v>
      </c>
      <c r="W97" s="5">
        <v>12.726119000000001</v>
      </c>
      <c r="X97" s="5">
        <v>109.25599099999999</v>
      </c>
      <c r="Y97" s="5">
        <v>487.03</v>
      </c>
      <c r="Z97" s="5">
        <v>12.693424</v>
      </c>
      <c r="AA97" s="5">
        <v>109.21732799999999</v>
      </c>
      <c r="AB97" s="7">
        <f t="shared" si="7"/>
        <v>1.97838</v>
      </c>
      <c r="AC97" s="7">
        <f t="shared" si="8"/>
        <v>0.730545</v>
      </c>
      <c r="AD97" s="6" t="str">
        <f t="shared" si="9"/>
        <v>4.CA Đại Lãnh</v>
      </c>
      <c r="AE97" s="6" t="str">
        <f t="shared" si="10"/>
        <v>CA Vạn Ninh</v>
      </c>
      <c r="AG97">
        <f t="shared" si="11"/>
        <v>1.3189200000000001</v>
      </c>
      <c r="AH97">
        <f t="shared" si="12"/>
        <v>0.48702999999999996</v>
      </c>
    </row>
    <row r="98" spans="1:34" x14ac:dyDescent="0.25">
      <c r="A98" t="s">
        <v>1062</v>
      </c>
      <c r="B98" t="s">
        <v>1063</v>
      </c>
      <c r="C98" t="s">
        <v>1064</v>
      </c>
      <c r="D98" t="s">
        <v>776</v>
      </c>
      <c r="E98" t="s">
        <v>777</v>
      </c>
      <c r="F98" t="s">
        <v>1065</v>
      </c>
      <c r="G98" t="s">
        <v>15827</v>
      </c>
      <c r="H98" t="s">
        <v>15828</v>
      </c>
      <c r="I98" t="s">
        <v>15926</v>
      </c>
      <c r="J98" t="s">
        <v>23</v>
      </c>
      <c r="L98" s="8" t="s">
        <v>1032</v>
      </c>
      <c r="M98" t="s">
        <v>1066</v>
      </c>
      <c r="N98" t="s">
        <v>1067</v>
      </c>
      <c r="O98" t="s">
        <v>1068</v>
      </c>
      <c r="P98" t="s">
        <v>1069</v>
      </c>
      <c r="Q98" t="s">
        <v>1037</v>
      </c>
      <c r="R98" t="s">
        <v>1038</v>
      </c>
      <c r="S98" t="s">
        <v>1039</v>
      </c>
      <c r="T98" t="s">
        <v>1040</v>
      </c>
      <c r="U98" s="5">
        <v>640.53</v>
      </c>
      <c r="V98" s="5">
        <v>636.96</v>
      </c>
      <c r="W98" s="5">
        <v>12.699180999999999</v>
      </c>
      <c r="X98" s="5">
        <v>109.22475300000001</v>
      </c>
      <c r="Y98" s="5">
        <v>3.57</v>
      </c>
      <c r="Z98" s="5">
        <v>12.690783</v>
      </c>
      <c r="AA98" s="5">
        <v>109.22087000000001</v>
      </c>
      <c r="AB98" s="7">
        <f t="shared" si="7"/>
        <v>0.95544000000000007</v>
      </c>
      <c r="AC98" s="7">
        <f t="shared" si="8"/>
        <v>5.3549999999999995E-3</v>
      </c>
      <c r="AD98" s="6" t="str">
        <f t="shared" si="9"/>
        <v>1.CA Vạn Ninh</v>
      </c>
      <c r="AE98" s="6" t="str">
        <f t="shared" si="10"/>
        <v>CA Vạn Thắng_Cột trung thế</v>
      </c>
      <c r="AG98">
        <f t="shared" si="11"/>
        <v>0.63696000000000008</v>
      </c>
      <c r="AH98">
        <f t="shared" si="12"/>
        <v>3.5699999999999998E-3</v>
      </c>
    </row>
    <row r="99" spans="1:34" x14ac:dyDescent="0.25">
      <c r="A99" t="s">
        <v>1070</v>
      </c>
      <c r="B99" t="s">
        <v>1071</v>
      </c>
      <c r="C99" t="s">
        <v>1072</v>
      </c>
      <c r="D99" t="s">
        <v>776</v>
      </c>
      <c r="E99" t="s">
        <v>777</v>
      </c>
      <c r="F99" t="s">
        <v>1073</v>
      </c>
      <c r="G99" t="s">
        <v>15827</v>
      </c>
      <c r="H99" t="s">
        <v>15828</v>
      </c>
      <c r="I99" t="s">
        <v>15927</v>
      </c>
      <c r="J99" t="s">
        <v>23</v>
      </c>
      <c r="L99" s="8" t="s">
        <v>1032</v>
      </c>
      <c r="M99" t="s">
        <v>1074</v>
      </c>
      <c r="N99" t="s">
        <v>1075</v>
      </c>
      <c r="O99" t="s">
        <v>1076</v>
      </c>
      <c r="P99" t="s">
        <v>1077</v>
      </c>
      <c r="Q99" t="s">
        <v>1037</v>
      </c>
      <c r="R99" t="s">
        <v>1038</v>
      </c>
      <c r="S99" t="s">
        <v>1039</v>
      </c>
      <c r="T99" t="s">
        <v>1040</v>
      </c>
      <c r="U99" s="5">
        <v>1216.4100000000001</v>
      </c>
      <c r="V99" s="5">
        <v>1212.8399999999999</v>
      </c>
      <c r="W99" s="5">
        <v>12.70477</v>
      </c>
      <c r="X99" s="5">
        <v>109.2372</v>
      </c>
      <c r="Y99" s="5">
        <v>3.57</v>
      </c>
      <c r="Z99" s="5">
        <v>12.690783</v>
      </c>
      <c r="AA99" s="5">
        <v>109.22087000000001</v>
      </c>
      <c r="AB99" s="7">
        <f t="shared" si="7"/>
        <v>1.8192599999999997</v>
      </c>
      <c r="AC99" s="7">
        <f t="shared" si="8"/>
        <v>5.3549999999999995E-3</v>
      </c>
      <c r="AD99" s="6" t="str">
        <f t="shared" si="9"/>
        <v>1.CA Vạn Ninh</v>
      </c>
      <c r="AE99" s="6" t="str">
        <f t="shared" si="10"/>
        <v>CA Vạn Thắng_Cột trung thế</v>
      </c>
      <c r="AG99">
        <f t="shared" si="11"/>
        <v>1.2128399999999999</v>
      </c>
      <c r="AH99">
        <f t="shared" si="12"/>
        <v>3.5699999999999998E-3</v>
      </c>
    </row>
    <row r="100" spans="1:34" x14ac:dyDescent="0.25">
      <c r="A100" t="s">
        <v>1078</v>
      </c>
      <c r="B100" t="s">
        <v>1079</v>
      </c>
      <c r="C100" t="s">
        <v>1080</v>
      </c>
      <c r="D100" t="s">
        <v>391</v>
      </c>
      <c r="E100" t="s">
        <v>392</v>
      </c>
      <c r="F100" t="s">
        <v>1081</v>
      </c>
      <c r="G100" t="s">
        <v>15827</v>
      </c>
      <c r="H100" t="s">
        <v>15828</v>
      </c>
      <c r="I100" t="s">
        <v>15928</v>
      </c>
      <c r="J100" t="s">
        <v>23</v>
      </c>
      <c r="L100" s="8" t="s">
        <v>432</v>
      </c>
      <c r="M100" t="s">
        <v>1082</v>
      </c>
      <c r="N100" t="s">
        <v>1083</v>
      </c>
      <c r="O100" t="s">
        <v>1084</v>
      </c>
      <c r="P100" t="s">
        <v>1085</v>
      </c>
      <c r="Q100" t="s">
        <v>434</v>
      </c>
      <c r="R100" t="s">
        <v>435</v>
      </c>
      <c r="S100" t="s">
        <v>436</v>
      </c>
      <c r="T100" t="s">
        <v>440</v>
      </c>
      <c r="U100" s="5">
        <v>129.19</v>
      </c>
      <c r="V100" s="5">
        <v>125.99</v>
      </c>
      <c r="W100" s="5">
        <v>12.269342</v>
      </c>
      <c r="X100" s="5">
        <v>109.033485</v>
      </c>
      <c r="Y100" s="5">
        <v>3.2</v>
      </c>
      <c r="Z100" s="5">
        <v>12.269061000000001</v>
      </c>
      <c r="AA100" s="5">
        <v>109.03337999999999</v>
      </c>
      <c r="AB100" s="7">
        <f t="shared" si="7"/>
        <v>0.18898499999999999</v>
      </c>
      <c r="AC100" s="7">
        <f t="shared" si="8"/>
        <v>4.8000000000000004E-3</v>
      </c>
      <c r="AD100" s="6" t="str">
        <f t="shared" si="9"/>
        <v>3.CA Diên Lâm</v>
      </c>
      <c r="AE100" s="6" t="str">
        <f t="shared" si="10"/>
        <v>CA Bắc Khánh Vĩnh_Cột trung thế</v>
      </c>
      <c r="AG100">
        <f t="shared" si="11"/>
        <v>0.12598999999999999</v>
      </c>
      <c r="AH100">
        <f t="shared" si="12"/>
        <v>3.2000000000000002E-3</v>
      </c>
    </row>
    <row r="101" spans="1:34" x14ac:dyDescent="0.25">
      <c r="A101" t="s">
        <v>1086</v>
      </c>
      <c r="B101" t="s">
        <v>1087</v>
      </c>
      <c r="C101" t="s">
        <v>1088</v>
      </c>
      <c r="D101" t="s">
        <v>49</v>
      </c>
      <c r="E101" t="s">
        <v>50</v>
      </c>
      <c r="F101" t="s">
        <v>1089</v>
      </c>
      <c r="G101" t="s">
        <v>15827</v>
      </c>
      <c r="H101" t="s">
        <v>15828</v>
      </c>
      <c r="I101" t="s">
        <v>15929</v>
      </c>
      <c r="J101" t="s">
        <v>23</v>
      </c>
      <c r="L101" s="8" t="s">
        <v>315</v>
      </c>
      <c r="M101" t="s">
        <v>1090</v>
      </c>
      <c r="N101" t="s">
        <v>1091</v>
      </c>
      <c r="O101" t="s">
        <v>1092</v>
      </c>
      <c r="P101" t="s">
        <v>1093</v>
      </c>
      <c r="Q101" t="s">
        <v>317</v>
      </c>
      <c r="R101" t="s">
        <v>318</v>
      </c>
      <c r="S101" t="s">
        <v>319</v>
      </c>
      <c r="T101" t="s">
        <v>323</v>
      </c>
      <c r="U101" s="5">
        <v>732.69</v>
      </c>
      <c r="V101" s="5">
        <v>725.47</v>
      </c>
      <c r="W101" s="5">
        <v>12.253289000000001</v>
      </c>
      <c r="X101" s="5">
        <v>109.07729999999999</v>
      </c>
      <c r="Y101" s="5">
        <v>7.22</v>
      </c>
      <c r="Z101" s="5">
        <v>12.246371</v>
      </c>
      <c r="AA101" s="5">
        <v>109.072963</v>
      </c>
      <c r="AB101" s="7">
        <f t="shared" si="7"/>
        <v>1.0882049999999999</v>
      </c>
      <c r="AC101" s="7">
        <f t="shared" si="8"/>
        <v>1.0829999999999999E-2</v>
      </c>
      <c r="AD101" s="6" t="str">
        <f t="shared" si="9"/>
        <v>2.Nhà tạm giam Diên Khánh</v>
      </c>
      <c r="AE101" s="6" t="str">
        <f t="shared" si="10"/>
        <v>Trại giam A2</v>
      </c>
      <c r="AG101">
        <f t="shared" si="11"/>
        <v>0.72547000000000006</v>
      </c>
      <c r="AH101">
        <f t="shared" si="12"/>
        <v>7.2199999999999999E-3</v>
      </c>
    </row>
    <row r="102" spans="1:34" x14ac:dyDescent="0.25">
      <c r="A102" t="s">
        <v>1094</v>
      </c>
      <c r="B102" t="s">
        <v>1095</v>
      </c>
      <c r="C102" t="s">
        <v>1096</v>
      </c>
      <c r="D102" t="s">
        <v>51</v>
      </c>
      <c r="E102" t="s">
        <v>52</v>
      </c>
      <c r="F102" t="s">
        <v>1097</v>
      </c>
      <c r="G102" t="s">
        <v>15827</v>
      </c>
      <c r="H102" t="s">
        <v>15828</v>
      </c>
      <c r="I102" t="s">
        <v>15930</v>
      </c>
      <c r="J102" t="s">
        <v>23</v>
      </c>
      <c r="L102" s="8" t="s">
        <v>67</v>
      </c>
      <c r="M102" t="s">
        <v>1098</v>
      </c>
      <c r="N102" t="s">
        <v>1099</v>
      </c>
      <c r="O102" t="s">
        <v>1100</v>
      </c>
      <c r="P102" t="s">
        <v>1101</v>
      </c>
      <c r="Q102" t="s">
        <v>69</v>
      </c>
      <c r="R102" t="s">
        <v>70</v>
      </c>
      <c r="S102" t="s">
        <v>71</v>
      </c>
      <c r="T102" t="s">
        <v>75</v>
      </c>
      <c r="U102" s="5">
        <v>845.12</v>
      </c>
      <c r="V102" s="5">
        <v>691.22</v>
      </c>
      <c r="W102" s="5">
        <v>12.197663</v>
      </c>
      <c r="X102" s="5">
        <v>109.068449</v>
      </c>
      <c r="Y102" s="5">
        <v>153.9</v>
      </c>
      <c r="Z102" s="5">
        <v>12.220518999999999</v>
      </c>
      <c r="AA102" s="5">
        <v>109.08248</v>
      </c>
      <c r="AB102" s="7">
        <f t="shared" si="7"/>
        <v>1.0368299999999999</v>
      </c>
      <c r="AC102" s="7">
        <f t="shared" si="8"/>
        <v>0.23085000000000003</v>
      </c>
      <c r="AD102" s="6" t="str">
        <f t="shared" si="9"/>
        <v>2.CA Suối Hiệp</v>
      </c>
      <c r="AE102" s="6" t="str">
        <f t="shared" si="10"/>
        <v>CA Suối Dầu</v>
      </c>
      <c r="AG102">
        <f t="shared" si="11"/>
        <v>0.69122000000000006</v>
      </c>
      <c r="AH102">
        <f t="shared" si="12"/>
        <v>0.15390000000000001</v>
      </c>
    </row>
    <row r="103" spans="1:34" x14ac:dyDescent="0.25">
      <c r="A103" t="s">
        <v>1102</v>
      </c>
      <c r="B103" t="s">
        <v>1103</v>
      </c>
      <c r="C103" t="s">
        <v>1104</v>
      </c>
      <c r="D103" t="s">
        <v>743</v>
      </c>
      <c r="E103" t="s">
        <v>744</v>
      </c>
      <c r="F103" t="s">
        <v>1105</v>
      </c>
      <c r="G103" t="s">
        <v>15827</v>
      </c>
      <c r="H103" t="s">
        <v>15828</v>
      </c>
      <c r="I103" t="s">
        <v>15931</v>
      </c>
      <c r="J103" t="s">
        <v>23</v>
      </c>
      <c r="L103" s="8" t="s">
        <v>244</v>
      </c>
      <c r="M103" t="s">
        <v>1106</v>
      </c>
      <c r="N103" t="s">
        <v>1107</v>
      </c>
      <c r="O103" t="s">
        <v>1108</v>
      </c>
      <c r="P103" t="s">
        <v>1109</v>
      </c>
      <c r="Q103" t="s">
        <v>1110</v>
      </c>
      <c r="R103" t="s">
        <v>1111</v>
      </c>
      <c r="S103" t="s">
        <v>1112</v>
      </c>
      <c r="T103" t="s">
        <v>901</v>
      </c>
      <c r="U103" s="5">
        <v>586.94000000000005</v>
      </c>
      <c r="V103" s="5">
        <v>426.11</v>
      </c>
      <c r="W103" s="5">
        <v>12.012765999999999</v>
      </c>
      <c r="X103" s="5">
        <v>109.1266</v>
      </c>
      <c r="Y103" s="5">
        <v>160.83000000000001</v>
      </c>
      <c r="Z103" s="5">
        <v>12.033222</v>
      </c>
      <c r="AA103" s="5">
        <v>109.128844</v>
      </c>
      <c r="AB103" s="7">
        <f t="shared" si="7"/>
        <v>0.63916499999999998</v>
      </c>
      <c r="AC103" s="7">
        <f t="shared" si="8"/>
        <v>0.24124500000000001</v>
      </c>
      <c r="AD103" s="6" t="str">
        <f t="shared" si="9"/>
        <v>5. Cam Phước Đông</v>
      </c>
      <c r="AE103" s="6" t="str">
        <f t="shared" si="10"/>
        <v>CAT Khánh Hòa</v>
      </c>
      <c r="AG103">
        <f t="shared" si="11"/>
        <v>0.42610999999999999</v>
      </c>
      <c r="AH103">
        <f t="shared" si="12"/>
        <v>0.16083</v>
      </c>
    </row>
    <row r="104" spans="1:34" x14ac:dyDescent="0.25">
      <c r="A104" t="s">
        <v>1113</v>
      </c>
      <c r="B104" t="s">
        <v>1114</v>
      </c>
      <c r="C104" t="s">
        <v>1115</v>
      </c>
      <c r="D104" t="s">
        <v>800</v>
      </c>
      <c r="E104" t="s">
        <v>801</v>
      </c>
      <c r="F104" t="s">
        <v>1116</v>
      </c>
      <c r="G104" t="s">
        <v>15827</v>
      </c>
      <c r="H104" t="s">
        <v>15828</v>
      </c>
      <c r="I104" t="s">
        <v>15932</v>
      </c>
      <c r="J104" t="s">
        <v>23</v>
      </c>
      <c r="L104" s="8" t="s">
        <v>488</v>
      </c>
      <c r="M104" t="s">
        <v>1117</v>
      </c>
      <c r="N104" t="s">
        <v>1118</v>
      </c>
      <c r="O104" t="s">
        <v>1119</v>
      </c>
      <c r="P104" t="s">
        <v>1120</v>
      </c>
      <c r="Q104" t="s">
        <v>804</v>
      </c>
      <c r="R104" t="s">
        <v>805</v>
      </c>
      <c r="S104" t="s">
        <v>806</v>
      </c>
      <c r="T104" t="s">
        <v>496</v>
      </c>
      <c r="U104" s="5">
        <v>351.58</v>
      </c>
      <c r="V104" s="5">
        <v>349.55</v>
      </c>
      <c r="W104" s="5">
        <v>12.09661</v>
      </c>
      <c r="X104" s="5">
        <v>109.188524</v>
      </c>
      <c r="Y104" s="5">
        <v>2.0299999999999998</v>
      </c>
      <c r="Z104" s="5">
        <v>12.074439</v>
      </c>
      <c r="AA104" s="5">
        <v>109.168081</v>
      </c>
      <c r="AB104" s="7">
        <f t="shared" si="7"/>
        <v>0.52432500000000004</v>
      </c>
      <c r="AC104" s="7">
        <f t="shared" si="8"/>
        <v>3.045E-3</v>
      </c>
      <c r="AD104" s="6" t="str">
        <f t="shared" si="9"/>
        <v>1.CAT Khánh Hòa</v>
      </c>
      <c r="AE104" s="6" t="str">
        <f t="shared" si="10"/>
        <v>Cam Lâm</v>
      </c>
      <c r="AG104">
        <f t="shared" si="11"/>
        <v>0.34955000000000003</v>
      </c>
      <c r="AH104">
        <f t="shared" si="12"/>
        <v>2.0299999999999997E-3</v>
      </c>
    </row>
    <row r="105" spans="1:34" x14ac:dyDescent="0.25">
      <c r="A105" t="s">
        <v>1121</v>
      </c>
      <c r="B105" t="s">
        <v>1122</v>
      </c>
      <c r="C105" t="s">
        <v>1123</v>
      </c>
      <c r="D105" t="s">
        <v>800</v>
      </c>
      <c r="E105" t="s">
        <v>801</v>
      </c>
      <c r="F105" t="s">
        <v>1124</v>
      </c>
      <c r="G105" t="s">
        <v>15827</v>
      </c>
      <c r="H105" t="s">
        <v>15828</v>
      </c>
      <c r="I105" t="s">
        <v>15933</v>
      </c>
      <c r="J105" t="s">
        <v>23</v>
      </c>
      <c r="L105" s="8" t="s">
        <v>488</v>
      </c>
      <c r="M105" t="s">
        <v>1125</v>
      </c>
      <c r="N105" t="s">
        <v>1126</v>
      </c>
      <c r="O105" t="s">
        <v>1127</v>
      </c>
      <c r="P105" t="s">
        <v>1128</v>
      </c>
      <c r="Q105" t="s">
        <v>804</v>
      </c>
      <c r="R105" t="s">
        <v>805</v>
      </c>
      <c r="S105" t="s">
        <v>806</v>
      </c>
      <c r="T105" t="s">
        <v>496</v>
      </c>
      <c r="U105" s="5">
        <v>1166.83</v>
      </c>
      <c r="V105" s="5">
        <v>1164.8</v>
      </c>
      <c r="W105" s="5">
        <v>12.085070999999999</v>
      </c>
      <c r="X105" s="5">
        <v>109.188964</v>
      </c>
      <c r="Y105" s="5">
        <v>2.0299999999999998</v>
      </c>
      <c r="Z105" s="5">
        <v>12.074439</v>
      </c>
      <c r="AA105" s="5">
        <v>109.168081</v>
      </c>
      <c r="AB105" s="7">
        <f t="shared" si="7"/>
        <v>1.7471999999999999</v>
      </c>
      <c r="AC105" s="7">
        <f t="shared" si="8"/>
        <v>3.045E-3</v>
      </c>
      <c r="AD105" s="6" t="str">
        <f t="shared" si="9"/>
        <v>1.CAT Khánh Hòa</v>
      </c>
      <c r="AE105" s="6" t="str">
        <f t="shared" si="10"/>
        <v>Cam Lâm</v>
      </c>
      <c r="AG105">
        <f t="shared" si="11"/>
        <v>1.1648000000000001</v>
      </c>
      <c r="AH105">
        <f t="shared" si="12"/>
        <v>2.0299999999999997E-3</v>
      </c>
    </row>
    <row r="106" spans="1:34" x14ac:dyDescent="0.25">
      <c r="A106" t="s">
        <v>1129</v>
      </c>
      <c r="B106" t="s">
        <v>1130</v>
      </c>
      <c r="C106" t="s">
        <v>1131</v>
      </c>
      <c r="D106" t="s">
        <v>859</v>
      </c>
      <c r="E106" t="s">
        <v>860</v>
      </c>
      <c r="F106" t="s">
        <v>1132</v>
      </c>
      <c r="G106" t="s">
        <v>15827</v>
      </c>
      <c r="H106" t="s">
        <v>15828</v>
      </c>
      <c r="I106" t="s">
        <v>15934</v>
      </c>
      <c r="J106" t="s">
        <v>23</v>
      </c>
      <c r="L106" s="8" t="s">
        <v>622</v>
      </c>
      <c r="M106" t="s">
        <v>1133</v>
      </c>
      <c r="N106" t="s">
        <v>1134</v>
      </c>
      <c r="O106" t="s">
        <v>1135</v>
      </c>
      <c r="P106" t="s">
        <v>1136</v>
      </c>
      <c r="Q106" t="s">
        <v>874</v>
      </c>
      <c r="R106" t="s">
        <v>875</v>
      </c>
      <c r="S106" t="s">
        <v>876</v>
      </c>
      <c r="T106" t="s">
        <v>630</v>
      </c>
      <c r="U106" s="5">
        <v>132.86000000000001</v>
      </c>
      <c r="V106" s="5">
        <v>128.72999999999999</v>
      </c>
      <c r="W106" s="5">
        <v>11.906952</v>
      </c>
      <c r="X106" s="5">
        <v>109.146519</v>
      </c>
      <c r="Y106" s="5">
        <v>4.13</v>
      </c>
      <c r="Z106" s="5">
        <v>11.906758</v>
      </c>
      <c r="AA106" s="5">
        <v>109.14636400000001</v>
      </c>
      <c r="AB106" s="7">
        <f t="shared" si="7"/>
        <v>0.19309499999999996</v>
      </c>
      <c r="AC106" s="7">
        <f t="shared" si="8"/>
        <v>6.195E-3</v>
      </c>
      <c r="AD106" s="6" t="str">
        <f t="shared" si="9"/>
        <v>1.CA Cam Ranh</v>
      </c>
      <c r="AE106" s="6" t="str">
        <f t="shared" si="10"/>
        <v>CA Cam Linh</v>
      </c>
      <c r="AG106">
        <f t="shared" si="11"/>
        <v>0.12872999999999998</v>
      </c>
      <c r="AH106">
        <f t="shared" si="12"/>
        <v>4.13E-3</v>
      </c>
    </row>
    <row r="107" spans="1:34" x14ac:dyDescent="0.25">
      <c r="A107" t="s">
        <v>1137</v>
      </c>
      <c r="B107" t="s">
        <v>1138</v>
      </c>
      <c r="C107" t="s">
        <v>1139</v>
      </c>
      <c r="D107" t="s">
        <v>345</v>
      </c>
      <c r="E107" t="s">
        <v>346</v>
      </c>
      <c r="F107" t="s">
        <v>1140</v>
      </c>
      <c r="G107" t="s">
        <v>15827</v>
      </c>
      <c r="H107" t="s">
        <v>15828</v>
      </c>
      <c r="I107" t="s">
        <v>15935</v>
      </c>
      <c r="J107" t="s">
        <v>23</v>
      </c>
      <c r="L107" s="8" t="s">
        <v>350</v>
      </c>
      <c r="M107" t="s">
        <v>1141</v>
      </c>
      <c r="N107" t="s">
        <v>1142</v>
      </c>
      <c r="O107" t="s">
        <v>1143</v>
      </c>
      <c r="P107" t="s">
        <v>1144</v>
      </c>
      <c r="Q107" t="s">
        <v>352</v>
      </c>
      <c r="R107" t="s">
        <v>353</v>
      </c>
      <c r="S107" t="s">
        <v>354</v>
      </c>
      <c r="T107" t="s">
        <v>358</v>
      </c>
      <c r="U107" s="5">
        <v>1467.81</v>
      </c>
      <c r="V107" s="5">
        <v>1367.81</v>
      </c>
      <c r="W107" s="5">
        <v>11.932957</v>
      </c>
      <c r="X107" s="5">
        <v>109.11990299999999</v>
      </c>
      <c r="Y107" s="5">
        <v>100</v>
      </c>
      <c r="Z107" s="5">
        <v>11.941592</v>
      </c>
      <c r="AA107" s="5">
        <v>109.11218100000001</v>
      </c>
      <c r="AB107" s="7">
        <f t="shared" si="7"/>
        <v>2.0517150000000002</v>
      </c>
      <c r="AC107" s="7">
        <f t="shared" si="8"/>
        <v>0.15</v>
      </c>
      <c r="AD107" s="6" t="str">
        <f t="shared" si="9"/>
        <v>3.Cam Ranh</v>
      </c>
      <c r="AE107" s="6" t="str">
        <f t="shared" si="10"/>
        <v>Khánh Sơn</v>
      </c>
      <c r="AG107">
        <f t="shared" si="11"/>
        <v>1.36781</v>
      </c>
      <c r="AH107">
        <f t="shared" si="12"/>
        <v>0.1</v>
      </c>
    </row>
    <row r="108" spans="1:34" x14ac:dyDescent="0.25">
      <c r="A108" t="s">
        <v>1145</v>
      </c>
      <c r="B108" t="s">
        <v>1146</v>
      </c>
      <c r="C108" t="s">
        <v>1147</v>
      </c>
      <c r="D108" t="s">
        <v>130</v>
      </c>
      <c r="E108" t="s">
        <v>131</v>
      </c>
      <c r="F108" t="s">
        <v>1148</v>
      </c>
      <c r="G108" t="s">
        <v>15827</v>
      </c>
      <c r="H108" t="s">
        <v>15828</v>
      </c>
      <c r="I108" t="s">
        <v>15936</v>
      </c>
      <c r="J108" t="s">
        <v>23</v>
      </c>
      <c r="L108" s="8" t="s">
        <v>1149</v>
      </c>
      <c r="M108" t="s">
        <v>1150</v>
      </c>
      <c r="N108" t="s">
        <v>1151</v>
      </c>
      <c r="O108" t="s">
        <v>1152</v>
      </c>
      <c r="P108" t="s">
        <v>1153</v>
      </c>
      <c r="Q108" t="s">
        <v>1154</v>
      </c>
      <c r="R108" t="s">
        <v>1155</v>
      </c>
      <c r="S108" t="s">
        <v>1156</v>
      </c>
      <c r="T108" t="s">
        <v>1157</v>
      </c>
      <c r="U108" s="5">
        <v>277.62</v>
      </c>
      <c r="V108" s="5">
        <v>271.99</v>
      </c>
      <c r="W108" s="5">
        <v>12.246491000000001</v>
      </c>
      <c r="X108" s="5">
        <v>109.189426</v>
      </c>
      <c r="Y108" s="5">
        <v>5.63</v>
      </c>
      <c r="Z108" s="5">
        <v>12.247512</v>
      </c>
      <c r="AA108" s="5">
        <v>109.18955099999999</v>
      </c>
      <c r="AB108" s="7">
        <f t="shared" si="7"/>
        <v>0.40798499999999999</v>
      </c>
      <c r="AC108" s="7">
        <f t="shared" si="8"/>
        <v>8.4450000000000011E-3</v>
      </c>
      <c r="AD108" s="6" t="str">
        <f t="shared" si="9"/>
        <v>2.CATP Nha trang cũ</v>
      </c>
      <c r="AE108" s="6" t="str">
        <f t="shared" si="10"/>
        <v>PC06_Ngầm mới</v>
      </c>
      <c r="AG108">
        <f t="shared" si="11"/>
        <v>0.27199000000000001</v>
      </c>
      <c r="AH108">
        <f t="shared" si="12"/>
        <v>5.6299999999999996E-3</v>
      </c>
    </row>
    <row r="109" spans="1:34" x14ac:dyDescent="0.25">
      <c r="A109" t="s">
        <v>1158</v>
      </c>
      <c r="B109" t="s">
        <v>1159</v>
      </c>
      <c r="C109" t="s">
        <v>1160</v>
      </c>
      <c r="D109" t="s">
        <v>239</v>
      </c>
      <c r="E109" t="s">
        <v>240</v>
      </c>
      <c r="F109" t="s">
        <v>1161</v>
      </c>
      <c r="G109" t="s">
        <v>15827</v>
      </c>
      <c r="H109" t="s">
        <v>15828</v>
      </c>
      <c r="I109" t="s">
        <v>15937</v>
      </c>
      <c r="J109" t="s">
        <v>23</v>
      </c>
      <c r="L109" s="8" t="s">
        <v>82</v>
      </c>
      <c r="M109" t="s">
        <v>1162</v>
      </c>
      <c r="N109" t="s">
        <v>1163</v>
      </c>
      <c r="O109" t="s">
        <v>731</v>
      </c>
      <c r="P109" t="s">
        <v>732</v>
      </c>
      <c r="Q109" t="s">
        <v>727</v>
      </c>
      <c r="R109" t="s">
        <v>728</v>
      </c>
      <c r="S109" t="s">
        <v>729</v>
      </c>
      <c r="T109" t="s">
        <v>733</v>
      </c>
      <c r="U109" s="5">
        <v>284.77999999999997</v>
      </c>
      <c r="V109" s="5">
        <v>268.97000000000003</v>
      </c>
      <c r="W109" s="5">
        <v>12.235099999999999</v>
      </c>
      <c r="X109" s="5">
        <v>109.183842</v>
      </c>
      <c r="Y109" s="5">
        <v>15.81</v>
      </c>
      <c r="Z109" s="5">
        <v>12.236330000000001</v>
      </c>
      <c r="AA109" s="5">
        <v>109.18457600000001</v>
      </c>
      <c r="AB109" s="7">
        <f t="shared" si="7"/>
        <v>0.40345500000000006</v>
      </c>
      <c r="AC109" s="7">
        <f t="shared" si="8"/>
        <v>2.3715E-2</v>
      </c>
      <c r="AD109" s="6" t="str">
        <f t="shared" si="9"/>
        <v>3.PA06 cs2</v>
      </c>
      <c r="AE109" s="6" t="str">
        <f t="shared" si="10"/>
        <v>PC11a</v>
      </c>
      <c r="AG109">
        <f t="shared" si="11"/>
        <v>0.26897000000000004</v>
      </c>
      <c r="AH109">
        <f t="shared" si="12"/>
        <v>1.5810000000000001E-2</v>
      </c>
    </row>
    <row r="110" spans="1:34" x14ac:dyDescent="0.25">
      <c r="A110" t="s">
        <v>1164</v>
      </c>
      <c r="B110" t="s">
        <v>1165</v>
      </c>
      <c r="C110" t="s">
        <v>1166</v>
      </c>
      <c r="D110" t="s">
        <v>128</v>
      </c>
      <c r="E110" t="s">
        <v>129</v>
      </c>
      <c r="F110" t="s">
        <v>1167</v>
      </c>
      <c r="G110" t="s">
        <v>15827</v>
      </c>
      <c r="H110" t="s">
        <v>15828</v>
      </c>
      <c r="I110" t="s">
        <v>15938</v>
      </c>
      <c r="J110" t="s">
        <v>23</v>
      </c>
      <c r="L110" s="8" t="s">
        <v>244</v>
      </c>
      <c r="M110" t="s">
        <v>1168</v>
      </c>
      <c r="N110" t="s">
        <v>1169</v>
      </c>
      <c r="O110" t="s">
        <v>1170</v>
      </c>
      <c r="P110" t="s">
        <v>1171</v>
      </c>
      <c r="Q110" t="s">
        <v>1172</v>
      </c>
      <c r="R110" t="s">
        <v>1173</v>
      </c>
      <c r="S110" t="s">
        <v>1174</v>
      </c>
      <c r="T110" t="s">
        <v>252</v>
      </c>
      <c r="U110" s="5">
        <v>1129.07</v>
      </c>
      <c r="V110" s="5">
        <v>81.96</v>
      </c>
      <c r="W110" s="5">
        <v>12.236038000000001</v>
      </c>
      <c r="X110" s="5">
        <v>109.178816</v>
      </c>
      <c r="Y110" s="5">
        <v>1047.1099999999999</v>
      </c>
      <c r="Z110" s="5">
        <v>12.238372999999999</v>
      </c>
      <c r="AA110" s="5">
        <v>109.19216299999999</v>
      </c>
      <c r="AB110" s="7">
        <f t="shared" si="7"/>
        <v>0.12293999999999999</v>
      </c>
      <c r="AC110" s="7">
        <f t="shared" si="8"/>
        <v>1.570665</v>
      </c>
      <c r="AD110" s="6" t="str">
        <f t="shared" si="9"/>
        <v>5. Cam Phước Đông</v>
      </c>
      <c r="AE110" s="6" t="str">
        <f t="shared" si="10"/>
        <v>CAT Khánh Hòa</v>
      </c>
      <c r="AG110">
        <f t="shared" si="11"/>
        <v>8.1959999999999991E-2</v>
      </c>
      <c r="AH110">
        <f t="shared" si="12"/>
        <v>1.04711</v>
      </c>
    </row>
    <row r="111" spans="1:34" x14ac:dyDescent="0.25">
      <c r="A111" t="s">
        <v>1175</v>
      </c>
      <c r="B111" t="s">
        <v>1176</v>
      </c>
      <c r="C111" t="s">
        <v>1177</v>
      </c>
      <c r="D111" t="s">
        <v>577</v>
      </c>
      <c r="E111" t="s">
        <v>578</v>
      </c>
      <c r="F111" t="s">
        <v>1178</v>
      </c>
      <c r="G111" t="s">
        <v>15827</v>
      </c>
      <c r="H111" t="s">
        <v>15828</v>
      </c>
      <c r="I111" t="s">
        <v>15939</v>
      </c>
      <c r="J111" t="s">
        <v>23</v>
      </c>
      <c r="L111" s="8" t="s">
        <v>595</v>
      </c>
      <c r="M111" t="s">
        <v>1179</v>
      </c>
      <c r="N111" t="s">
        <v>1180</v>
      </c>
      <c r="O111" t="s">
        <v>637</v>
      </c>
      <c r="P111" t="s">
        <v>638</v>
      </c>
      <c r="Q111" t="s">
        <v>597</v>
      </c>
      <c r="R111" t="s">
        <v>598</v>
      </c>
      <c r="S111" t="s">
        <v>599</v>
      </c>
      <c r="T111" t="s">
        <v>603</v>
      </c>
      <c r="U111" s="5">
        <v>1089.4000000000001</v>
      </c>
      <c r="V111" s="5">
        <v>1086.6300000000001</v>
      </c>
      <c r="W111" s="5">
        <v>12.486466</v>
      </c>
      <c r="X111" s="5">
        <v>109.134191</v>
      </c>
      <c r="Y111" s="5">
        <v>2.77</v>
      </c>
      <c r="Z111" s="5">
        <v>12.509724</v>
      </c>
      <c r="AA111" s="5">
        <v>109.13747499999999</v>
      </c>
      <c r="AB111" s="7">
        <f t="shared" si="7"/>
        <v>1.6299450000000002</v>
      </c>
      <c r="AC111" s="7">
        <f t="shared" si="8"/>
        <v>4.1549999999999998E-3</v>
      </c>
      <c r="AD111" s="6" t="str">
        <f t="shared" si="9"/>
        <v>1.CA Ninh Hòa</v>
      </c>
      <c r="AE111" s="6" t="str">
        <f t="shared" si="10"/>
        <v>CA Hòa Thắng_Cột trung thế</v>
      </c>
      <c r="AG111">
        <f t="shared" si="11"/>
        <v>1.0866300000000002</v>
      </c>
      <c r="AH111">
        <f t="shared" si="12"/>
        <v>2.7699999999999999E-3</v>
      </c>
    </row>
    <row r="112" spans="1:34" x14ac:dyDescent="0.25">
      <c r="A112" t="s">
        <v>1181</v>
      </c>
      <c r="B112" t="s">
        <v>1182</v>
      </c>
      <c r="C112" t="s">
        <v>1183</v>
      </c>
      <c r="D112" t="s">
        <v>1184</v>
      </c>
      <c r="E112" t="s">
        <v>1185</v>
      </c>
      <c r="F112" t="s">
        <v>1186</v>
      </c>
      <c r="G112" t="s">
        <v>15827</v>
      </c>
      <c r="H112" t="s">
        <v>15828</v>
      </c>
      <c r="I112" t="s">
        <v>15940</v>
      </c>
      <c r="J112" t="s">
        <v>23</v>
      </c>
      <c r="L112" s="8" t="s">
        <v>1187</v>
      </c>
      <c r="M112" t="s">
        <v>1188</v>
      </c>
      <c r="N112" t="s">
        <v>1189</v>
      </c>
      <c r="O112" t="s">
        <v>1190</v>
      </c>
      <c r="P112" t="s">
        <v>1191</v>
      </c>
      <c r="Q112" t="s">
        <v>1192</v>
      </c>
      <c r="R112" t="s">
        <v>1193</v>
      </c>
      <c r="S112" t="s">
        <v>1194</v>
      </c>
      <c r="T112" t="s">
        <v>1195</v>
      </c>
      <c r="U112" s="5">
        <v>249.88</v>
      </c>
      <c r="V112" s="5">
        <v>63.93</v>
      </c>
      <c r="W112" s="5">
        <v>12.462367</v>
      </c>
      <c r="X112" s="5">
        <v>109.121967</v>
      </c>
      <c r="Y112" s="5">
        <v>185.95</v>
      </c>
      <c r="Z112" s="5">
        <v>12.481263999999999</v>
      </c>
      <c r="AA112" s="5">
        <v>109.131214</v>
      </c>
      <c r="AB112" s="7">
        <f t="shared" si="7"/>
        <v>9.5894999999999994E-2</v>
      </c>
      <c r="AC112" s="7">
        <f t="shared" si="8"/>
        <v>0.27892499999999998</v>
      </c>
      <c r="AD112" s="6" t="str">
        <f t="shared" si="9"/>
        <v>4.PK02 cs2</v>
      </c>
      <c r="AE112" s="6" t="str">
        <f t="shared" si="10"/>
        <v>Trạm CSGT Ninh An cũ</v>
      </c>
      <c r="AG112">
        <f t="shared" si="11"/>
        <v>6.3930000000000001E-2</v>
      </c>
      <c r="AH112">
        <f t="shared" si="12"/>
        <v>0.18594999999999998</v>
      </c>
    </row>
    <row r="113" spans="1:34" x14ac:dyDescent="0.25">
      <c r="A113" t="s">
        <v>1196</v>
      </c>
      <c r="B113" t="s">
        <v>1197</v>
      </c>
      <c r="C113" t="s">
        <v>1198</v>
      </c>
      <c r="D113" t="s">
        <v>562</v>
      </c>
      <c r="E113" t="s">
        <v>563</v>
      </c>
      <c r="F113" t="s">
        <v>1199</v>
      </c>
      <c r="G113" t="s">
        <v>15827</v>
      </c>
      <c r="H113" t="s">
        <v>15828</v>
      </c>
      <c r="I113" t="s">
        <v>15941</v>
      </c>
      <c r="J113" t="s">
        <v>23</v>
      </c>
      <c r="L113" s="8" t="s">
        <v>1200</v>
      </c>
      <c r="M113" t="s">
        <v>1201</v>
      </c>
      <c r="N113" t="s">
        <v>1202</v>
      </c>
      <c r="O113" t="s">
        <v>1203</v>
      </c>
      <c r="P113" t="s">
        <v>1204</v>
      </c>
      <c r="Q113" t="s">
        <v>1205</v>
      </c>
      <c r="R113" t="s">
        <v>1206</v>
      </c>
      <c r="S113" t="s">
        <v>1207</v>
      </c>
      <c r="T113" t="s">
        <v>1208</v>
      </c>
      <c r="U113" s="5">
        <v>94.84</v>
      </c>
      <c r="V113" s="5">
        <v>90.25</v>
      </c>
      <c r="W113" s="5">
        <v>12.537072999999999</v>
      </c>
      <c r="X113" s="5">
        <v>109.018368</v>
      </c>
      <c r="Y113" s="5">
        <v>4.59</v>
      </c>
      <c r="Z113" s="5">
        <v>12.540865</v>
      </c>
      <c r="AA113" s="5">
        <v>109.00747800000001</v>
      </c>
      <c r="AB113" s="7">
        <f t="shared" si="7"/>
        <v>0.135375</v>
      </c>
      <c r="AC113" s="7">
        <f t="shared" si="8"/>
        <v>6.8849999999999996E-3</v>
      </c>
      <c r="AD113" s="6" t="str">
        <f t="shared" si="9"/>
        <v>2.CA Nam Ninh Hòa</v>
      </c>
      <c r="AE113" s="6" t="str">
        <f t="shared" si="10"/>
        <v>CA Tây Ninh Hòa</v>
      </c>
      <c r="AG113">
        <f t="shared" si="11"/>
        <v>9.0249999999999997E-2</v>
      </c>
      <c r="AH113">
        <f t="shared" si="12"/>
        <v>4.5899999999999995E-3</v>
      </c>
    </row>
    <row r="114" spans="1:34" x14ac:dyDescent="0.25">
      <c r="A114" t="s">
        <v>1209</v>
      </c>
      <c r="B114" t="s">
        <v>1210</v>
      </c>
      <c r="C114" t="s">
        <v>1211</v>
      </c>
      <c r="D114" t="s">
        <v>562</v>
      </c>
      <c r="E114" t="s">
        <v>563</v>
      </c>
      <c r="F114" t="s">
        <v>1212</v>
      </c>
      <c r="G114" t="s">
        <v>15827</v>
      </c>
      <c r="H114" t="s">
        <v>15828</v>
      </c>
      <c r="I114" t="s">
        <v>15942</v>
      </c>
      <c r="J114" t="s">
        <v>23</v>
      </c>
      <c r="L114" s="8" t="s">
        <v>1200</v>
      </c>
      <c r="M114" t="s">
        <v>1213</v>
      </c>
      <c r="N114" t="s">
        <v>886</v>
      </c>
      <c r="O114" t="s">
        <v>1214</v>
      </c>
      <c r="P114" t="s">
        <v>1215</v>
      </c>
      <c r="Q114" t="s">
        <v>1205</v>
      </c>
      <c r="R114" t="s">
        <v>1206</v>
      </c>
      <c r="S114" t="s">
        <v>1207</v>
      </c>
      <c r="T114" t="s">
        <v>1208</v>
      </c>
      <c r="U114" s="5">
        <v>548.34</v>
      </c>
      <c r="V114" s="5">
        <v>543.75</v>
      </c>
      <c r="W114" s="5">
        <v>12.526709</v>
      </c>
      <c r="X114" s="5">
        <v>109.03269400000001</v>
      </c>
      <c r="Y114" s="5">
        <v>4.59</v>
      </c>
      <c r="Z114" s="5">
        <v>12.540865</v>
      </c>
      <c r="AA114" s="5">
        <v>109.00747800000001</v>
      </c>
      <c r="AB114" s="7">
        <f t="shared" si="7"/>
        <v>0.81562500000000004</v>
      </c>
      <c r="AC114" s="7">
        <f t="shared" si="8"/>
        <v>6.8849999999999996E-3</v>
      </c>
      <c r="AD114" s="6" t="str">
        <f t="shared" si="9"/>
        <v>2.CA Nam Ninh Hòa</v>
      </c>
      <c r="AE114" s="6" t="str">
        <f t="shared" si="10"/>
        <v>CA Tây Ninh Hòa</v>
      </c>
      <c r="AG114">
        <f t="shared" si="11"/>
        <v>0.54374999999999996</v>
      </c>
      <c r="AH114">
        <f t="shared" si="12"/>
        <v>4.5899999999999995E-3</v>
      </c>
    </row>
    <row r="115" spans="1:34" x14ac:dyDescent="0.25">
      <c r="A115" t="s">
        <v>1216</v>
      </c>
      <c r="B115" t="s">
        <v>1217</v>
      </c>
      <c r="C115" t="s">
        <v>1218</v>
      </c>
      <c r="D115" t="s">
        <v>1219</v>
      </c>
      <c r="E115" t="s">
        <v>1220</v>
      </c>
      <c r="F115" t="s">
        <v>1221</v>
      </c>
      <c r="G115" t="s">
        <v>15827</v>
      </c>
      <c r="H115" t="s">
        <v>15828</v>
      </c>
      <c r="I115" t="s">
        <v>15943</v>
      </c>
      <c r="J115" t="s">
        <v>23</v>
      </c>
      <c r="L115" s="8" t="s">
        <v>582</v>
      </c>
      <c r="M115" t="s">
        <v>1222</v>
      </c>
      <c r="N115" t="s">
        <v>1223</v>
      </c>
      <c r="O115" t="s">
        <v>1224</v>
      </c>
      <c r="P115" t="s">
        <v>1225</v>
      </c>
      <c r="Q115" t="s">
        <v>1226</v>
      </c>
      <c r="R115" t="s">
        <v>1227</v>
      </c>
      <c r="S115" t="s">
        <v>1228</v>
      </c>
      <c r="T115" t="s">
        <v>1229</v>
      </c>
      <c r="U115" s="5">
        <v>2390.92</v>
      </c>
      <c r="V115" s="5">
        <v>2008.93</v>
      </c>
      <c r="W115" s="5">
        <v>12.496466</v>
      </c>
      <c r="X115" s="5">
        <v>109.12083800000001</v>
      </c>
      <c r="Y115" s="5">
        <v>381.98</v>
      </c>
      <c r="Z115" s="5">
        <v>12.49287</v>
      </c>
      <c r="AA115" s="5">
        <v>109.11403300000001</v>
      </c>
      <c r="AB115" s="7">
        <f t="shared" si="7"/>
        <v>3.013395</v>
      </c>
      <c r="AC115" s="7">
        <f t="shared" si="8"/>
        <v>0.57296999999999998</v>
      </c>
      <c r="AD115" s="6" t="str">
        <f t="shared" si="9"/>
        <v>3.CA Tân Định</v>
      </c>
      <c r="AE115" s="6" t="str">
        <f t="shared" si="10"/>
        <v>CA Ninh Hòa</v>
      </c>
      <c r="AG115">
        <f t="shared" si="11"/>
        <v>2.0089299999999999</v>
      </c>
      <c r="AH115">
        <f t="shared" si="12"/>
        <v>0.38198000000000004</v>
      </c>
    </row>
    <row r="116" spans="1:34" x14ac:dyDescent="0.25">
      <c r="A116" t="s">
        <v>1230</v>
      </c>
      <c r="B116" t="s">
        <v>1231</v>
      </c>
      <c r="C116" t="s">
        <v>1232</v>
      </c>
      <c r="D116" t="s">
        <v>130</v>
      </c>
      <c r="E116" t="s">
        <v>131</v>
      </c>
      <c r="F116" t="s">
        <v>1233</v>
      </c>
      <c r="G116" t="s">
        <v>15827</v>
      </c>
      <c r="H116" t="s">
        <v>15828</v>
      </c>
      <c r="I116" t="s">
        <v>15944</v>
      </c>
      <c r="J116" t="s">
        <v>23</v>
      </c>
      <c r="L116" s="8" t="s">
        <v>39</v>
      </c>
      <c r="M116" t="s">
        <v>1234</v>
      </c>
      <c r="N116" t="s">
        <v>1235</v>
      </c>
      <c r="O116" t="s">
        <v>1236</v>
      </c>
      <c r="P116" t="s">
        <v>1237</v>
      </c>
      <c r="Q116" t="s">
        <v>1238</v>
      </c>
      <c r="R116" t="s">
        <v>1239</v>
      </c>
      <c r="S116" t="s">
        <v>1240</v>
      </c>
      <c r="T116" t="s">
        <v>508</v>
      </c>
      <c r="U116" s="5">
        <v>700.73</v>
      </c>
      <c r="V116" s="5">
        <v>250.17</v>
      </c>
      <c r="W116" s="5">
        <v>12.235697999999999</v>
      </c>
      <c r="X116" s="5">
        <v>109.195623</v>
      </c>
      <c r="Y116" s="5">
        <v>450.56</v>
      </c>
      <c r="Z116" s="5">
        <v>12.251505999999999</v>
      </c>
      <c r="AA116" s="5">
        <v>109.190398</v>
      </c>
      <c r="AB116" s="7">
        <f t="shared" si="7"/>
        <v>0.37525500000000001</v>
      </c>
      <c r="AC116" s="7">
        <f t="shared" si="8"/>
        <v>0.67584</v>
      </c>
      <c r="AD116" s="6" t="str">
        <f t="shared" si="9"/>
        <v>1.CAT Khánh Hòa</v>
      </c>
      <c r="AE116" s="6" t="str">
        <f t="shared" si="10"/>
        <v>PK02 cs1</v>
      </c>
      <c r="AG116">
        <f t="shared" si="11"/>
        <v>0.25017</v>
      </c>
      <c r="AH116">
        <f t="shared" si="12"/>
        <v>0.45056000000000002</v>
      </c>
    </row>
    <row r="117" spans="1:34" x14ac:dyDescent="0.25">
      <c r="A117" t="s">
        <v>1241</v>
      </c>
      <c r="B117" t="s">
        <v>1242</v>
      </c>
      <c r="C117" t="s">
        <v>1243</v>
      </c>
      <c r="D117" t="s">
        <v>18</v>
      </c>
      <c r="E117" t="s">
        <v>19</v>
      </c>
      <c r="F117" t="s">
        <v>1244</v>
      </c>
      <c r="G117" t="s">
        <v>15827</v>
      </c>
      <c r="H117" t="s">
        <v>15828</v>
      </c>
      <c r="I117" t="s">
        <v>15945</v>
      </c>
      <c r="J117" t="s">
        <v>23</v>
      </c>
      <c r="L117" s="8" t="s">
        <v>144</v>
      </c>
      <c r="M117" t="s">
        <v>1245</v>
      </c>
      <c r="N117" t="s">
        <v>1246</v>
      </c>
      <c r="O117" t="s">
        <v>1247</v>
      </c>
      <c r="P117" t="s">
        <v>1248</v>
      </c>
      <c r="Q117" t="s">
        <v>149</v>
      </c>
      <c r="R117" t="s">
        <v>150</v>
      </c>
      <c r="S117" t="s">
        <v>151</v>
      </c>
      <c r="T117" t="s">
        <v>152</v>
      </c>
      <c r="U117" s="5">
        <v>639.19000000000005</v>
      </c>
      <c r="V117" s="5">
        <v>448.45</v>
      </c>
      <c r="W117" s="5">
        <v>12.245355</v>
      </c>
      <c r="X117" s="5">
        <v>109.19167400000001</v>
      </c>
      <c r="Y117" s="5">
        <v>190.74</v>
      </c>
      <c r="Z117" s="5">
        <v>12.249428</v>
      </c>
      <c r="AA117" s="5">
        <v>109.184727</v>
      </c>
      <c r="AB117" s="7">
        <f t="shared" si="7"/>
        <v>0.67267499999999991</v>
      </c>
      <c r="AC117" s="7">
        <f t="shared" si="8"/>
        <v>0.28611000000000003</v>
      </c>
      <c r="AD117" s="6" t="str">
        <f t="shared" si="9"/>
        <v>3. Trại giam A2</v>
      </c>
      <c r="AE117" s="6" t="str">
        <f t="shared" si="10"/>
        <v>CATP Nha trang cũ</v>
      </c>
      <c r="AG117">
        <f t="shared" si="11"/>
        <v>0.44845000000000002</v>
      </c>
      <c r="AH117">
        <f t="shared" si="12"/>
        <v>0.19074000000000002</v>
      </c>
    </row>
    <row r="118" spans="1:34" x14ac:dyDescent="0.25">
      <c r="A118" t="s">
        <v>1249</v>
      </c>
      <c r="B118" t="s">
        <v>1250</v>
      </c>
      <c r="C118" t="s">
        <v>1251</v>
      </c>
      <c r="D118" t="s">
        <v>197</v>
      </c>
      <c r="E118" t="s">
        <v>198</v>
      </c>
      <c r="F118" t="s">
        <v>1252</v>
      </c>
      <c r="G118" t="s">
        <v>15827</v>
      </c>
      <c r="H118" t="s">
        <v>15828</v>
      </c>
      <c r="I118" t="s">
        <v>15946</v>
      </c>
      <c r="J118" t="s">
        <v>23</v>
      </c>
      <c r="L118" s="8" t="s">
        <v>200</v>
      </c>
      <c r="M118" t="s">
        <v>1253</v>
      </c>
      <c r="N118" t="s">
        <v>1254</v>
      </c>
      <c r="O118" t="s">
        <v>203</v>
      </c>
      <c r="P118" t="s">
        <v>204</v>
      </c>
      <c r="Q118" t="s">
        <v>205</v>
      </c>
      <c r="R118" t="s">
        <v>206</v>
      </c>
      <c r="S118" t="s">
        <v>207</v>
      </c>
      <c r="T118" t="s">
        <v>208</v>
      </c>
      <c r="U118" s="5">
        <v>3457.82</v>
      </c>
      <c r="V118" s="5">
        <v>2482.94</v>
      </c>
      <c r="W118" s="5">
        <v>12.280430000000001</v>
      </c>
      <c r="X118" s="5">
        <v>109.194828</v>
      </c>
      <c r="Y118" s="5">
        <v>974.88</v>
      </c>
      <c r="Z118" s="5">
        <v>12.265409</v>
      </c>
      <c r="AA118" s="5">
        <v>109.196133</v>
      </c>
      <c r="AB118" s="7">
        <f t="shared" si="7"/>
        <v>3.7244099999999998</v>
      </c>
      <c r="AC118" s="7">
        <f t="shared" si="8"/>
        <v>1.4623199999999998</v>
      </c>
      <c r="AD118" s="6" t="str">
        <f t="shared" si="9"/>
        <v>3.CA Bắc Nha Trang</v>
      </c>
      <c r="AE118" s="6" t="str">
        <f t="shared" si="10"/>
        <v>CAT Khánh Hòa</v>
      </c>
      <c r="AG118">
        <f t="shared" si="11"/>
        <v>2.4829400000000001</v>
      </c>
      <c r="AH118">
        <f t="shared" si="12"/>
        <v>0.97487999999999997</v>
      </c>
    </row>
    <row r="119" spans="1:34" x14ac:dyDescent="0.25">
      <c r="A119" t="s">
        <v>1255</v>
      </c>
      <c r="B119" t="s">
        <v>1256</v>
      </c>
      <c r="C119" t="s">
        <v>1257</v>
      </c>
      <c r="D119" t="s">
        <v>92</v>
      </c>
      <c r="E119" t="s">
        <v>93</v>
      </c>
      <c r="F119" t="s">
        <v>1258</v>
      </c>
      <c r="G119" t="s">
        <v>15827</v>
      </c>
      <c r="H119" t="s">
        <v>15828</v>
      </c>
      <c r="I119" t="s">
        <v>15947</v>
      </c>
      <c r="J119" t="s">
        <v>23</v>
      </c>
      <c r="L119" s="8" t="s">
        <v>1259</v>
      </c>
      <c r="M119" t="s">
        <v>1260</v>
      </c>
      <c r="N119" t="s">
        <v>1261</v>
      </c>
      <c r="O119" t="s">
        <v>1262</v>
      </c>
      <c r="P119" t="s">
        <v>1263</v>
      </c>
      <c r="Q119" t="s">
        <v>1264</v>
      </c>
      <c r="R119" t="s">
        <v>1265</v>
      </c>
      <c r="S119" t="s">
        <v>1266</v>
      </c>
      <c r="T119" t="s">
        <v>1267</v>
      </c>
      <c r="U119" s="5">
        <v>669.81</v>
      </c>
      <c r="V119" s="5">
        <v>197.51</v>
      </c>
      <c r="W119" s="5">
        <v>12.235557</v>
      </c>
      <c r="X119" s="5">
        <v>109.19560300000001</v>
      </c>
      <c r="Y119" s="5">
        <v>472.29</v>
      </c>
      <c r="Z119" s="5">
        <v>12.243200999999999</v>
      </c>
      <c r="AA119" s="5">
        <v>109.192176</v>
      </c>
      <c r="AB119" s="7">
        <f t="shared" si="7"/>
        <v>0.296265</v>
      </c>
      <c r="AC119" s="7">
        <f t="shared" si="8"/>
        <v>0.70843500000000004</v>
      </c>
      <c r="AD119" s="6" t="str">
        <f t="shared" si="9"/>
        <v>1.CAT Khánh Hòa</v>
      </c>
      <c r="AE119" s="6" t="str">
        <f t="shared" si="10"/>
        <v>CATP Nha Trang cũ</v>
      </c>
      <c r="AG119">
        <f t="shared" si="11"/>
        <v>0.19750999999999999</v>
      </c>
      <c r="AH119">
        <f t="shared" si="12"/>
        <v>0.47229000000000004</v>
      </c>
    </row>
    <row r="120" spans="1:34" x14ac:dyDescent="0.25">
      <c r="A120" t="s">
        <v>1268</v>
      </c>
      <c r="B120" t="s">
        <v>1269</v>
      </c>
      <c r="C120" t="s">
        <v>1270</v>
      </c>
      <c r="D120" t="s">
        <v>92</v>
      </c>
      <c r="E120" t="s">
        <v>93</v>
      </c>
      <c r="F120" t="s">
        <v>1271</v>
      </c>
      <c r="G120" t="s">
        <v>15827</v>
      </c>
      <c r="H120" t="s">
        <v>15828</v>
      </c>
      <c r="I120" t="s">
        <v>15948</v>
      </c>
      <c r="J120" t="s">
        <v>23</v>
      </c>
      <c r="L120" s="8" t="s">
        <v>1259</v>
      </c>
      <c r="M120" t="s">
        <v>1272</v>
      </c>
      <c r="N120" t="s">
        <v>1273</v>
      </c>
      <c r="O120" t="s">
        <v>1274</v>
      </c>
      <c r="P120" t="s">
        <v>1275</v>
      </c>
      <c r="Q120" t="s">
        <v>1276</v>
      </c>
      <c r="R120" t="s">
        <v>1277</v>
      </c>
      <c r="S120" t="s">
        <v>1278</v>
      </c>
      <c r="T120" t="s">
        <v>1279</v>
      </c>
      <c r="U120" s="5">
        <v>445.51</v>
      </c>
      <c r="V120" s="5">
        <v>314.7</v>
      </c>
      <c r="W120" s="5">
        <v>12.243195999999999</v>
      </c>
      <c r="X120" s="5">
        <v>109.192182</v>
      </c>
      <c r="Y120" s="5">
        <v>130.81</v>
      </c>
      <c r="Z120" s="5">
        <v>12.245825999999999</v>
      </c>
      <c r="AA120" s="5">
        <v>109.19040800000001</v>
      </c>
      <c r="AB120" s="7">
        <f t="shared" si="7"/>
        <v>0.47204999999999997</v>
      </c>
      <c r="AC120" s="7">
        <f t="shared" si="8"/>
        <v>0.196215</v>
      </c>
      <c r="AD120" s="6" t="str">
        <f t="shared" si="9"/>
        <v>1.CAT Khánh Hòa</v>
      </c>
      <c r="AE120" s="6" t="str">
        <f t="shared" si="10"/>
        <v>CATP Nha Trang cũ</v>
      </c>
      <c r="AG120">
        <f t="shared" si="11"/>
        <v>0.31469999999999998</v>
      </c>
      <c r="AH120">
        <f t="shared" si="12"/>
        <v>0.13081000000000001</v>
      </c>
    </row>
    <row r="121" spans="1:34" x14ac:dyDescent="0.25">
      <c r="A121" t="s">
        <v>1280</v>
      </c>
      <c r="B121" t="s">
        <v>1281</v>
      </c>
      <c r="C121" t="s">
        <v>1282</v>
      </c>
      <c r="D121" t="s">
        <v>279</v>
      </c>
      <c r="E121" t="s">
        <v>280</v>
      </c>
      <c r="F121" t="s">
        <v>1283</v>
      </c>
      <c r="G121" t="s">
        <v>15827</v>
      </c>
      <c r="H121" t="s">
        <v>15828</v>
      </c>
      <c r="I121" t="s">
        <v>15949</v>
      </c>
      <c r="J121" t="s">
        <v>23</v>
      </c>
      <c r="L121" s="8" t="s">
        <v>39</v>
      </c>
      <c r="M121" t="s">
        <v>1284</v>
      </c>
      <c r="N121" t="s">
        <v>1285</v>
      </c>
      <c r="O121" t="s">
        <v>1236</v>
      </c>
      <c r="P121" t="s">
        <v>1237</v>
      </c>
      <c r="Q121" t="s">
        <v>1286</v>
      </c>
      <c r="R121" t="s">
        <v>1287</v>
      </c>
      <c r="S121" t="s">
        <v>1288</v>
      </c>
      <c r="T121" t="s">
        <v>508</v>
      </c>
      <c r="U121" s="5">
        <v>512.29999999999995</v>
      </c>
      <c r="V121" s="5">
        <v>354.87</v>
      </c>
      <c r="W121" s="5">
        <v>12.235697999999999</v>
      </c>
      <c r="X121" s="5">
        <v>109.195623</v>
      </c>
      <c r="Y121" s="5">
        <v>157.43</v>
      </c>
      <c r="Z121" s="5">
        <v>12.24933</v>
      </c>
      <c r="AA121" s="5">
        <v>109.19394800000001</v>
      </c>
      <c r="AB121" s="7">
        <f t="shared" si="7"/>
        <v>0.53230500000000003</v>
      </c>
      <c r="AC121" s="7">
        <f t="shared" si="8"/>
        <v>0.23614500000000002</v>
      </c>
      <c r="AD121" s="6" t="str">
        <f t="shared" si="9"/>
        <v>1.CAT Khánh Hòa</v>
      </c>
      <c r="AE121" s="6" t="str">
        <f t="shared" si="10"/>
        <v>PK02 cs1</v>
      </c>
      <c r="AG121">
        <f t="shared" si="11"/>
        <v>0.35487000000000002</v>
      </c>
      <c r="AH121">
        <f t="shared" si="12"/>
        <v>0.15743000000000001</v>
      </c>
    </row>
    <row r="122" spans="1:34" x14ac:dyDescent="0.25">
      <c r="A122" t="s">
        <v>1289</v>
      </c>
      <c r="B122" t="s">
        <v>1290</v>
      </c>
      <c r="C122" t="s">
        <v>1291</v>
      </c>
      <c r="D122" t="s">
        <v>92</v>
      </c>
      <c r="E122" t="s">
        <v>93</v>
      </c>
      <c r="F122" t="s">
        <v>1292</v>
      </c>
      <c r="G122" t="s">
        <v>15827</v>
      </c>
      <c r="H122" t="s">
        <v>15828</v>
      </c>
      <c r="I122" t="s">
        <v>15950</v>
      </c>
      <c r="J122" t="s">
        <v>23</v>
      </c>
      <c r="L122" s="8" t="s">
        <v>1259</v>
      </c>
      <c r="M122" t="s">
        <v>1293</v>
      </c>
      <c r="N122" t="s">
        <v>1294</v>
      </c>
      <c r="O122" t="s">
        <v>1262</v>
      </c>
      <c r="P122" t="s">
        <v>1263</v>
      </c>
      <c r="Q122" t="s">
        <v>1264</v>
      </c>
      <c r="R122" t="s">
        <v>1265</v>
      </c>
      <c r="S122" t="s">
        <v>1266</v>
      </c>
      <c r="T122" t="s">
        <v>1267</v>
      </c>
      <c r="U122" s="5">
        <v>586.73</v>
      </c>
      <c r="V122" s="5">
        <v>114.44</v>
      </c>
      <c r="W122" s="5">
        <v>12.235557</v>
      </c>
      <c r="X122" s="5">
        <v>109.19560300000001</v>
      </c>
      <c r="Y122" s="5">
        <v>472.29</v>
      </c>
      <c r="Z122" s="5">
        <v>12.243200999999999</v>
      </c>
      <c r="AA122" s="5">
        <v>109.192176</v>
      </c>
      <c r="AB122" s="7">
        <f t="shared" si="7"/>
        <v>0.17166000000000001</v>
      </c>
      <c r="AC122" s="7">
        <f t="shared" si="8"/>
        <v>0.70843500000000004</v>
      </c>
      <c r="AD122" s="6" t="str">
        <f t="shared" si="9"/>
        <v>1.CAT Khánh Hòa</v>
      </c>
      <c r="AE122" s="6" t="str">
        <f t="shared" si="10"/>
        <v>CATP Nha Trang cũ</v>
      </c>
      <c r="AG122">
        <f t="shared" si="11"/>
        <v>0.11444</v>
      </c>
      <c r="AH122">
        <f t="shared" si="12"/>
        <v>0.47229000000000004</v>
      </c>
    </row>
    <row r="123" spans="1:34" x14ac:dyDescent="0.25">
      <c r="A123" t="s">
        <v>1295</v>
      </c>
      <c r="B123" t="s">
        <v>1296</v>
      </c>
      <c r="C123" t="s">
        <v>1297</v>
      </c>
      <c r="D123" t="s">
        <v>51</v>
      </c>
      <c r="E123" t="s">
        <v>52</v>
      </c>
      <c r="F123" t="s">
        <v>1298</v>
      </c>
      <c r="G123" t="s">
        <v>15827</v>
      </c>
      <c r="H123" t="s">
        <v>15828</v>
      </c>
      <c r="I123" t="s">
        <v>15951</v>
      </c>
      <c r="J123" t="s">
        <v>23</v>
      </c>
      <c r="L123" s="8" t="s">
        <v>67</v>
      </c>
      <c r="M123" t="s">
        <v>1299</v>
      </c>
      <c r="N123" t="s">
        <v>1300</v>
      </c>
      <c r="O123" t="s">
        <v>73</v>
      </c>
      <c r="P123" t="s">
        <v>74</v>
      </c>
      <c r="Q123" t="s">
        <v>69</v>
      </c>
      <c r="R123" t="s">
        <v>70</v>
      </c>
      <c r="S123" t="s">
        <v>71</v>
      </c>
      <c r="T123" t="s">
        <v>75</v>
      </c>
      <c r="U123" s="5">
        <v>228.27</v>
      </c>
      <c r="V123" s="5">
        <v>74.37</v>
      </c>
      <c r="W123" s="5">
        <v>12.191492</v>
      </c>
      <c r="X123" s="5">
        <v>109.066221</v>
      </c>
      <c r="Y123" s="5">
        <v>153.9</v>
      </c>
      <c r="Z123" s="5">
        <v>12.220518999999999</v>
      </c>
      <c r="AA123" s="5">
        <v>109.08248</v>
      </c>
      <c r="AB123" s="7">
        <f t="shared" si="7"/>
        <v>0.111555</v>
      </c>
      <c r="AC123" s="7">
        <f t="shared" si="8"/>
        <v>0.23085000000000003</v>
      </c>
      <c r="AD123" s="6" t="str">
        <f t="shared" si="9"/>
        <v>2.CA Suối Hiệp</v>
      </c>
      <c r="AE123" s="6" t="str">
        <f t="shared" si="10"/>
        <v>CA Suối Dầu</v>
      </c>
      <c r="AG123">
        <f t="shared" si="11"/>
        <v>7.4370000000000006E-2</v>
      </c>
      <c r="AH123">
        <f t="shared" si="12"/>
        <v>0.15390000000000001</v>
      </c>
    </row>
    <row r="124" spans="1:34" x14ac:dyDescent="0.25">
      <c r="A124" t="s">
        <v>1301</v>
      </c>
      <c r="B124" t="s">
        <v>1302</v>
      </c>
      <c r="C124" t="s">
        <v>1303</v>
      </c>
      <c r="D124" t="s">
        <v>916</v>
      </c>
      <c r="E124" t="s">
        <v>917</v>
      </c>
      <c r="F124" t="s">
        <v>1304</v>
      </c>
      <c r="G124" t="s">
        <v>15827</v>
      </c>
      <c r="H124" t="s">
        <v>15828</v>
      </c>
      <c r="I124" t="s">
        <v>15952</v>
      </c>
      <c r="J124" t="s">
        <v>23</v>
      </c>
      <c r="L124" s="8" t="s">
        <v>919</v>
      </c>
      <c r="M124" t="s">
        <v>1305</v>
      </c>
      <c r="N124" t="s">
        <v>1306</v>
      </c>
      <c r="O124" t="s">
        <v>946</v>
      </c>
      <c r="P124" t="s">
        <v>947</v>
      </c>
      <c r="Q124" t="s">
        <v>942</v>
      </c>
      <c r="R124" t="s">
        <v>943</v>
      </c>
      <c r="S124" t="s">
        <v>944</v>
      </c>
      <c r="T124" t="s">
        <v>948</v>
      </c>
      <c r="U124" s="5">
        <v>4897.24</v>
      </c>
      <c r="V124" s="5">
        <v>4892.0600000000004</v>
      </c>
      <c r="W124" s="5">
        <v>12.001106999999999</v>
      </c>
      <c r="X124" s="5">
        <v>109.209318</v>
      </c>
      <c r="Y124" s="5">
        <v>5.18</v>
      </c>
      <c r="Z124" s="5">
        <v>11.998255</v>
      </c>
      <c r="AA124" s="5">
        <v>109.218788</v>
      </c>
      <c r="AB124" s="7">
        <f t="shared" si="7"/>
        <v>7.3380900000000002</v>
      </c>
      <c r="AC124" s="7">
        <f t="shared" si="8"/>
        <v>7.77E-3</v>
      </c>
      <c r="AD124" s="6" t="str">
        <f t="shared" si="9"/>
        <v>Tuyến nhánh CA Bắc Cam Ranh</v>
      </c>
      <c r="AE124" s="6" t="str">
        <f t="shared" si="10"/>
        <v>Cảng HKQT Cam Ranh</v>
      </c>
      <c r="AG124">
        <f t="shared" si="11"/>
        <v>4.8920600000000007</v>
      </c>
      <c r="AH124">
        <f t="shared" si="12"/>
        <v>5.1799999999999997E-3</v>
      </c>
    </row>
    <row r="125" spans="1:34" x14ac:dyDescent="0.25">
      <c r="A125" t="s">
        <v>1307</v>
      </c>
      <c r="B125" t="s">
        <v>1308</v>
      </c>
      <c r="C125" t="s">
        <v>1309</v>
      </c>
      <c r="D125" t="s">
        <v>345</v>
      </c>
      <c r="E125" t="s">
        <v>346</v>
      </c>
      <c r="F125" t="s">
        <v>1310</v>
      </c>
      <c r="G125" t="s">
        <v>15827</v>
      </c>
      <c r="H125" t="s">
        <v>15828</v>
      </c>
      <c r="I125" t="s">
        <v>15953</v>
      </c>
      <c r="J125" t="s">
        <v>23</v>
      </c>
      <c r="L125" s="8" t="s">
        <v>244</v>
      </c>
      <c r="M125" t="s">
        <v>1311</v>
      </c>
      <c r="N125" t="s">
        <v>1312</v>
      </c>
      <c r="O125" t="s">
        <v>1313</v>
      </c>
      <c r="P125" t="s">
        <v>1314</v>
      </c>
      <c r="Q125" t="s">
        <v>1315</v>
      </c>
      <c r="R125" t="s">
        <v>1316</v>
      </c>
      <c r="S125" t="s">
        <v>1317</v>
      </c>
      <c r="T125" t="s">
        <v>1318</v>
      </c>
      <c r="U125" s="5">
        <v>2788.44</v>
      </c>
      <c r="V125" s="5">
        <v>2781.82</v>
      </c>
      <c r="W125" s="5">
        <v>11.952555</v>
      </c>
      <c r="X125" s="5">
        <v>109.104632</v>
      </c>
      <c r="Y125" s="5">
        <v>6.63</v>
      </c>
      <c r="Z125" s="5">
        <v>11.941641000000001</v>
      </c>
      <c r="AA125" s="5">
        <v>109.11304800000001</v>
      </c>
      <c r="AB125" s="7">
        <f t="shared" si="7"/>
        <v>4.1727300000000005</v>
      </c>
      <c r="AC125" s="7">
        <f t="shared" si="8"/>
        <v>9.9450000000000007E-3</v>
      </c>
      <c r="AD125" s="6" t="str">
        <f t="shared" si="9"/>
        <v>5. Cam Phước Đông</v>
      </c>
      <c r="AE125" s="6" t="str">
        <f t="shared" si="10"/>
        <v>CAT Khánh Hòa</v>
      </c>
      <c r="AG125">
        <f t="shared" si="11"/>
        <v>2.7818200000000002</v>
      </c>
      <c r="AH125">
        <f t="shared" si="12"/>
        <v>6.6299999999999996E-3</v>
      </c>
    </row>
    <row r="126" spans="1:34" x14ac:dyDescent="0.25">
      <c r="A126" t="s">
        <v>1319</v>
      </c>
      <c r="B126" t="s">
        <v>1320</v>
      </c>
      <c r="C126" t="s">
        <v>1321</v>
      </c>
      <c r="D126" t="s">
        <v>345</v>
      </c>
      <c r="E126" t="s">
        <v>346</v>
      </c>
      <c r="F126" t="s">
        <v>1322</v>
      </c>
      <c r="G126" t="s">
        <v>15827</v>
      </c>
      <c r="H126" t="s">
        <v>15828</v>
      </c>
      <c r="I126" t="s">
        <v>15954</v>
      </c>
      <c r="J126" t="s">
        <v>23</v>
      </c>
      <c r="L126" s="8" t="s">
        <v>350</v>
      </c>
      <c r="M126" t="s">
        <v>1323</v>
      </c>
      <c r="N126" t="s">
        <v>1324</v>
      </c>
      <c r="O126" t="s">
        <v>1325</v>
      </c>
      <c r="P126" t="s">
        <v>1326</v>
      </c>
      <c r="Q126" t="s">
        <v>352</v>
      </c>
      <c r="R126" t="s">
        <v>353</v>
      </c>
      <c r="S126" t="s">
        <v>354</v>
      </c>
      <c r="T126" t="s">
        <v>358</v>
      </c>
      <c r="U126" s="5">
        <v>1051.47</v>
      </c>
      <c r="V126" s="5">
        <v>951.47</v>
      </c>
      <c r="W126" s="5">
        <v>11.963487000000001</v>
      </c>
      <c r="X126" s="5">
        <v>109.08228099999999</v>
      </c>
      <c r="Y126" s="5">
        <v>100</v>
      </c>
      <c r="Z126" s="5">
        <v>11.941592</v>
      </c>
      <c r="AA126" s="5">
        <v>109.11218100000001</v>
      </c>
      <c r="AB126" s="7">
        <f t="shared" si="7"/>
        <v>1.4272049999999998</v>
      </c>
      <c r="AC126" s="7">
        <f t="shared" si="8"/>
        <v>0.15</v>
      </c>
      <c r="AD126" s="6" t="str">
        <f t="shared" si="9"/>
        <v>3.Cam Ranh</v>
      </c>
      <c r="AE126" s="6" t="str">
        <f t="shared" si="10"/>
        <v>Khánh Sơn</v>
      </c>
      <c r="AG126">
        <f t="shared" si="11"/>
        <v>0.95147000000000004</v>
      </c>
      <c r="AH126">
        <f t="shared" si="12"/>
        <v>0.1</v>
      </c>
    </row>
    <row r="127" spans="1:34" x14ac:dyDescent="0.25">
      <c r="A127" t="s">
        <v>1327</v>
      </c>
      <c r="B127" t="s">
        <v>1328</v>
      </c>
      <c r="C127" t="s">
        <v>1329</v>
      </c>
      <c r="D127" t="s">
        <v>859</v>
      </c>
      <c r="E127" t="s">
        <v>860</v>
      </c>
      <c r="F127" t="s">
        <v>1330</v>
      </c>
      <c r="G127" t="s">
        <v>15827</v>
      </c>
      <c r="H127" t="s">
        <v>15828</v>
      </c>
      <c r="I127" t="s">
        <v>15955</v>
      </c>
      <c r="J127" t="s">
        <v>23</v>
      </c>
      <c r="L127" s="8" t="s">
        <v>977</v>
      </c>
      <c r="M127" t="s">
        <v>1331</v>
      </c>
      <c r="N127" t="s">
        <v>1332</v>
      </c>
      <c r="O127" t="s">
        <v>1333</v>
      </c>
      <c r="P127" t="s">
        <v>1334</v>
      </c>
      <c r="Q127" t="s">
        <v>218</v>
      </c>
      <c r="R127" t="s">
        <v>979</v>
      </c>
      <c r="S127" t="s">
        <v>980</v>
      </c>
      <c r="T127" t="s">
        <v>984</v>
      </c>
      <c r="U127" s="5">
        <v>40.299999999999997</v>
      </c>
      <c r="V127" s="5">
        <v>36.31</v>
      </c>
      <c r="W127" s="5">
        <v>11.913854000000001</v>
      </c>
      <c r="X127" s="5">
        <v>109.137269</v>
      </c>
      <c r="Y127" s="5">
        <v>4</v>
      </c>
      <c r="Z127" s="5">
        <v>11.906751</v>
      </c>
      <c r="AA127" s="5">
        <v>109.14636900000001</v>
      </c>
      <c r="AB127" s="7">
        <f t="shared" si="7"/>
        <v>5.4465000000000006E-2</v>
      </c>
      <c r="AC127" s="7">
        <f t="shared" si="8"/>
        <v>6.0000000000000001E-3</v>
      </c>
      <c r="AD127" s="6" t="str">
        <f t="shared" si="9"/>
        <v>2.CA Cam Linh</v>
      </c>
      <c r="AE127" s="6" t="str">
        <f t="shared" si="10"/>
        <v>CA Ba Ngòi</v>
      </c>
      <c r="AG127">
        <f t="shared" si="11"/>
        <v>3.6310000000000002E-2</v>
      </c>
      <c r="AH127">
        <f t="shared" si="12"/>
        <v>4.0000000000000001E-3</v>
      </c>
    </row>
    <row r="128" spans="1:34" x14ac:dyDescent="0.25">
      <c r="A128" t="s">
        <v>1335</v>
      </c>
      <c r="B128" t="s">
        <v>1336</v>
      </c>
      <c r="C128" t="s">
        <v>1337</v>
      </c>
      <c r="D128" t="s">
        <v>34</v>
      </c>
      <c r="E128" t="s">
        <v>35</v>
      </c>
      <c r="F128" t="s">
        <v>1338</v>
      </c>
      <c r="G128" t="s">
        <v>15827</v>
      </c>
      <c r="H128" t="s">
        <v>15831</v>
      </c>
      <c r="I128" t="s">
        <v>15956</v>
      </c>
      <c r="J128" t="s">
        <v>23</v>
      </c>
      <c r="L128" s="8" t="s">
        <v>163</v>
      </c>
      <c r="M128" t="s">
        <v>1339</v>
      </c>
      <c r="N128" t="s">
        <v>1340</v>
      </c>
      <c r="O128" t="s">
        <v>1341</v>
      </c>
      <c r="P128" t="s">
        <v>1342</v>
      </c>
      <c r="Q128" t="s">
        <v>167</v>
      </c>
      <c r="R128" t="s">
        <v>168</v>
      </c>
      <c r="S128" t="s">
        <v>169</v>
      </c>
      <c r="T128" t="s">
        <v>170</v>
      </c>
      <c r="U128" s="5">
        <v>410.93</v>
      </c>
      <c r="V128" s="5">
        <v>408.67</v>
      </c>
      <c r="W128" s="5">
        <v>12.277380000000001</v>
      </c>
      <c r="X128" s="5">
        <v>109.189222</v>
      </c>
      <c r="Y128" s="5">
        <v>2.2599999999999998</v>
      </c>
      <c r="Z128" s="5">
        <v>12.276948000000001</v>
      </c>
      <c r="AA128" s="5">
        <v>109.18840899999999</v>
      </c>
      <c r="AB128" s="7">
        <f t="shared" si="7"/>
        <v>0.61300500000000002</v>
      </c>
      <c r="AC128" s="7">
        <f t="shared" si="8"/>
        <v>3.3899999999999998E-3</v>
      </c>
      <c r="AD128" s="6" t="str">
        <f t="shared" si="9"/>
        <v>Tuyến nhánh PK02 cs1</v>
      </c>
      <c r="AE128" s="6" t="str">
        <f t="shared" si="10"/>
        <v>NTG Nha Trang cũ_Cột hạ thế</v>
      </c>
      <c r="AG128">
        <f t="shared" si="11"/>
        <v>0.40867000000000003</v>
      </c>
      <c r="AH128">
        <f t="shared" si="12"/>
        <v>2.2599999999999999E-3</v>
      </c>
    </row>
    <row r="129" spans="1:34" x14ac:dyDescent="0.25">
      <c r="A129" t="s">
        <v>1343</v>
      </c>
      <c r="B129" t="s">
        <v>1344</v>
      </c>
      <c r="C129" t="s">
        <v>1345</v>
      </c>
      <c r="D129" t="s">
        <v>1346</v>
      </c>
      <c r="E129" t="s">
        <v>1347</v>
      </c>
      <c r="F129" t="s">
        <v>1348</v>
      </c>
      <c r="G129" t="s">
        <v>15827</v>
      </c>
      <c r="H129" t="s">
        <v>15831</v>
      </c>
      <c r="I129" t="s">
        <v>15957</v>
      </c>
      <c r="J129" t="s">
        <v>23</v>
      </c>
      <c r="L129" s="8" t="s">
        <v>1349</v>
      </c>
      <c r="M129" t="s">
        <v>1350</v>
      </c>
      <c r="N129" t="s">
        <v>1351</v>
      </c>
      <c r="O129" t="s">
        <v>1352</v>
      </c>
      <c r="P129" t="s">
        <v>1353</v>
      </c>
      <c r="Q129" t="s">
        <v>1354</v>
      </c>
      <c r="R129" t="s">
        <v>1355</v>
      </c>
      <c r="S129" t="s">
        <v>1356</v>
      </c>
      <c r="T129" t="s">
        <v>1357</v>
      </c>
      <c r="U129" s="5">
        <v>579.39</v>
      </c>
      <c r="V129" s="5">
        <v>12.56</v>
      </c>
      <c r="W129" s="5">
        <v>12.21041</v>
      </c>
      <c r="X129" s="5">
        <v>109.213421</v>
      </c>
      <c r="Y129" s="5">
        <v>566.83000000000004</v>
      </c>
      <c r="Z129" s="5">
        <v>12.202648</v>
      </c>
      <c r="AA129" s="5">
        <v>109.214975</v>
      </c>
      <c r="AB129" s="7">
        <f t="shared" si="7"/>
        <v>1.8839999999999999E-2</v>
      </c>
      <c r="AC129" s="7">
        <f t="shared" si="8"/>
        <v>0.85024500000000014</v>
      </c>
      <c r="AD129" s="6" t="str">
        <f t="shared" si="9"/>
        <v>Tuyến nhánh PC02</v>
      </c>
      <c r="AE129" s="6" t="str">
        <f t="shared" si="10"/>
        <v>PC08 (CSGT đường thủy)</v>
      </c>
      <c r="AG129">
        <f t="shared" si="11"/>
        <v>1.256E-2</v>
      </c>
      <c r="AH129">
        <f t="shared" si="12"/>
        <v>0.56683000000000006</v>
      </c>
    </row>
    <row r="130" spans="1:34" x14ac:dyDescent="0.25">
      <c r="A130" t="s">
        <v>1358</v>
      </c>
      <c r="B130" t="s">
        <v>1359</v>
      </c>
      <c r="C130" t="s">
        <v>1360</v>
      </c>
      <c r="D130" t="s">
        <v>262</v>
      </c>
      <c r="E130" t="s">
        <v>263</v>
      </c>
      <c r="F130" t="s">
        <v>1361</v>
      </c>
      <c r="G130" t="s">
        <v>15827</v>
      </c>
      <c r="H130" t="s">
        <v>15831</v>
      </c>
      <c r="I130" t="s">
        <v>15958</v>
      </c>
      <c r="J130" t="s">
        <v>23</v>
      </c>
      <c r="L130" s="8" t="s">
        <v>681</v>
      </c>
      <c r="M130" t="s">
        <v>1362</v>
      </c>
      <c r="N130" t="s">
        <v>1363</v>
      </c>
      <c r="O130" t="s">
        <v>1364</v>
      </c>
      <c r="P130" t="s">
        <v>1365</v>
      </c>
      <c r="Q130" t="s">
        <v>1366</v>
      </c>
      <c r="R130" t="s">
        <v>1367</v>
      </c>
      <c r="S130" t="s">
        <v>1368</v>
      </c>
      <c r="T130" t="s">
        <v>689</v>
      </c>
      <c r="U130" s="5">
        <v>131.72999999999999</v>
      </c>
      <c r="V130" s="5">
        <v>49.56</v>
      </c>
      <c r="W130" s="5">
        <v>12.250439999999999</v>
      </c>
      <c r="X130" s="5">
        <v>109.184605</v>
      </c>
      <c r="Y130" s="5">
        <v>82.17</v>
      </c>
      <c r="Z130" s="5">
        <v>12.249478999999999</v>
      </c>
      <c r="AA130" s="5">
        <v>109.184708</v>
      </c>
      <c r="AB130" s="7">
        <f t="shared" si="7"/>
        <v>7.4340000000000003E-2</v>
      </c>
      <c r="AC130" s="7">
        <f t="shared" si="8"/>
        <v>0.12325499999999999</v>
      </c>
      <c r="AD130" s="6" t="str">
        <f t="shared" si="9"/>
        <v>2.CA Nam Nha Trang</v>
      </c>
      <c r="AE130" s="6" t="str">
        <f t="shared" si="10"/>
        <v>CA Nha Trang</v>
      </c>
      <c r="AG130">
        <f t="shared" si="11"/>
        <v>4.956E-2</v>
      </c>
      <c r="AH130">
        <f t="shared" si="12"/>
        <v>8.2170000000000007E-2</v>
      </c>
    </row>
    <row r="131" spans="1:34" x14ac:dyDescent="0.25">
      <c r="A131" t="s">
        <v>1369</v>
      </c>
      <c r="B131" t="s">
        <v>1370</v>
      </c>
      <c r="C131" t="s">
        <v>1371</v>
      </c>
      <c r="D131" t="s">
        <v>916</v>
      </c>
      <c r="E131" t="s">
        <v>917</v>
      </c>
      <c r="F131" t="s">
        <v>1372</v>
      </c>
      <c r="G131" t="s">
        <v>15827</v>
      </c>
      <c r="H131" t="s">
        <v>15831</v>
      </c>
      <c r="I131" t="s">
        <v>15959</v>
      </c>
      <c r="J131" t="s">
        <v>23</v>
      </c>
      <c r="L131" s="8" t="s">
        <v>919</v>
      </c>
      <c r="M131" t="s">
        <v>1373</v>
      </c>
      <c r="N131" t="s">
        <v>1374</v>
      </c>
      <c r="O131" t="s">
        <v>946</v>
      </c>
      <c r="P131" t="s">
        <v>947</v>
      </c>
      <c r="Q131" t="s">
        <v>942</v>
      </c>
      <c r="R131" t="s">
        <v>943</v>
      </c>
      <c r="S131" t="s">
        <v>944</v>
      </c>
      <c r="T131" t="s">
        <v>948</v>
      </c>
      <c r="U131" s="5">
        <v>986.52</v>
      </c>
      <c r="V131" s="5">
        <v>981.34</v>
      </c>
      <c r="W131" s="5">
        <v>12.001106999999999</v>
      </c>
      <c r="X131" s="5">
        <v>109.209318</v>
      </c>
      <c r="Y131" s="5">
        <v>5.18</v>
      </c>
      <c r="Z131" s="5">
        <v>11.998255</v>
      </c>
      <c r="AA131" s="5">
        <v>109.218788</v>
      </c>
      <c r="AB131" s="7">
        <f t="shared" ref="AB131:AB194" si="13">V131*1.5/1000</f>
        <v>1.47201</v>
      </c>
      <c r="AC131" s="7">
        <f t="shared" ref="AC131:AC194" si="14">Y131*1.5/1000</f>
        <v>7.77E-3</v>
      </c>
      <c r="AD131" s="6" t="str">
        <f t="shared" ref="AD131:AD194" si="15">TRIM(LEFT(L131,FIND("-",L131)-1))</f>
        <v>Tuyến nhánh CA Bắc Cam Ranh</v>
      </c>
      <c r="AE131" s="6" t="str">
        <f t="shared" ref="AE131:AE194" si="16">TRIM(RIGHT(L131, LEN(L131) - FIND("-", L131)))</f>
        <v>Cảng HKQT Cam Ranh</v>
      </c>
      <c r="AG131">
        <f t="shared" ref="AG131:AG194" si="17">V131/1000</f>
        <v>0.98133999999999999</v>
      </c>
      <c r="AH131">
        <f t="shared" ref="AH131:AH194" si="18">Y131/1000</f>
        <v>5.1799999999999997E-3</v>
      </c>
    </row>
    <row r="132" spans="1:34" x14ac:dyDescent="0.25">
      <c r="A132" t="s">
        <v>1375</v>
      </c>
      <c r="B132" t="s">
        <v>1376</v>
      </c>
      <c r="C132" t="s">
        <v>1377</v>
      </c>
      <c r="D132" t="s">
        <v>391</v>
      </c>
      <c r="E132" t="s">
        <v>392</v>
      </c>
      <c r="F132" t="s">
        <v>1378</v>
      </c>
      <c r="G132" t="s">
        <v>15827</v>
      </c>
      <c r="H132" t="s">
        <v>15831</v>
      </c>
      <c r="I132" t="s">
        <v>15960</v>
      </c>
      <c r="J132" t="s">
        <v>23</v>
      </c>
      <c r="L132" s="8" t="s">
        <v>432</v>
      </c>
      <c r="M132" t="s">
        <v>1379</v>
      </c>
      <c r="N132" t="s">
        <v>1380</v>
      </c>
      <c r="O132" t="s">
        <v>1381</v>
      </c>
      <c r="P132" t="s">
        <v>1382</v>
      </c>
      <c r="Q132" t="s">
        <v>434</v>
      </c>
      <c r="R132" t="s">
        <v>435</v>
      </c>
      <c r="S132" t="s">
        <v>436</v>
      </c>
      <c r="T132" t="s">
        <v>440</v>
      </c>
      <c r="U132" s="5">
        <v>150.38999999999999</v>
      </c>
      <c r="V132" s="5">
        <v>147.19</v>
      </c>
      <c r="W132" s="5">
        <v>12.308507000000001</v>
      </c>
      <c r="X132" s="5">
        <v>108.998564</v>
      </c>
      <c r="Y132" s="5">
        <v>3.2</v>
      </c>
      <c r="Z132" s="5">
        <v>12.269061000000001</v>
      </c>
      <c r="AA132" s="5">
        <v>109.03337999999999</v>
      </c>
      <c r="AB132" s="7">
        <f t="shared" si="13"/>
        <v>0.22078500000000001</v>
      </c>
      <c r="AC132" s="7">
        <f t="shared" si="14"/>
        <v>4.8000000000000004E-3</v>
      </c>
      <c r="AD132" s="6" t="str">
        <f t="shared" si="15"/>
        <v>3.CA Diên Lâm</v>
      </c>
      <c r="AE132" s="6" t="str">
        <f t="shared" si="16"/>
        <v>CA Bắc Khánh Vĩnh_Cột trung thế</v>
      </c>
      <c r="AG132">
        <f t="shared" si="17"/>
        <v>0.14718999999999999</v>
      </c>
      <c r="AH132">
        <f t="shared" si="18"/>
        <v>3.2000000000000002E-3</v>
      </c>
    </row>
    <row r="133" spans="1:34" x14ac:dyDescent="0.25">
      <c r="A133" t="s">
        <v>1383</v>
      </c>
      <c r="B133" t="s">
        <v>1384</v>
      </c>
      <c r="C133" t="s">
        <v>1385</v>
      </c>
      <c r="D133" t="s">
        <v>262</v>
      </c>
      <c r="E133" t="s">
        <v>263</v>
      </c>
      <c r="F133" t="s">
        <v>1386</v>
      </c>
      <c r="G133" t="s">
        <v>15827</v>
      </c>
      <c r="H133" t="s">
        <v>15831</v>
      </c>
      <c r="I133" t="s">
        <v>15961</v>
      </c>
      <c r="J133" t="s">
        <v>23</v>
      </c>
      <c r="L133" s="8" t="s">
        <v>144</v>
      </c>
      <c r="M133" t="s">
        <v>1387</v>
      </c>
      <c r="N133" t="s">
        <v>1388</v>
      </c>
      <c r="O133" t="s">
        <v>1389</v>
      </c>
      <c r="P133" t="s">
        <v>1390</v>
      </c>
      <c r="Q133" t="s">
        <v>695</v>
      </c>
      <c r="R133" t="s">
        <v>150</v>
      </c>
      <c r="S133" t="s">
        <v>151</v>
      </c>
      <c r="T133" t="s">
        <v>152</v>
      </c>
      <c r="U133" s="5">
        <v>381.8</v>
      </c>
      <c r="V133" s="5">
        <v>301.17</v>
      </c>
      <c r="W133" s="5">
        <v>12.252969</v>
      </c>
      <c r="X133" s="5">
        <v>109.17461900000001</v>
      </c>
      <c r="Y133" s="5">
        <v>80.62</v>
      </c>
      <c r="Z133" s="5">
        <v>12.249428</v>
      </c>
      <c r="AA133" s="5">
        <v>109.184727</v>
      </c>
      <c r="AB133" s="7">
        <f t="shared" si="13"/>
        <v>0.45175500000000002</v>
      </c>
      <c r="AC133" s="7">
        <f t="shared" si="14"/>
        <v>0.12093000000000001</v>
      </c>
      <c r="AD133" s="6" t="str">
        <f t="shared" si="15"/>
        <v>3. Trại giam A2</v>
      </c>
      <c r="AE133" s="6" t="str">
        <f t="shared" si="16"/>
        <v>CATP Nha trang cũ</v>
      </c>
      <c r="AG133">
        <f t="shared" si="17"/>
        <v>0.30116999999999999</v>
      </c>
      <c r="AH133">
        <f t="shared" si="18"/>
        <v>8.0620000000000011E-2</v>
      </c>
    </row>
    <row r="134" spans="1:34" x14ac:dyDescent="0.25">
      <c r="A134" t="s">
        <v>1391</v>
      </c>
      <c r="B134" t="s">
        <v>1392</v>
      </c>
      <c r="C134" t="s">
        <v>1393</v>
      </c>
      <c r="D134" t="s">
        <v>49</v>
      </c>
      <c r="E134" t="s">
        <v>50</v>
      </c>
      <c r="F134" t="s">
        <v>1394</v>
      </c>
      <c r="G134" t="s">
        <v>15827</v>
      </c>
      <c r="H134" t="s">
        <v>15831</v>
      </c>
      <c r="I134" t="s">
        <v>15962</v>
      </c>
      <c r="J134" t="s">
        <v>23</v>
      </c>
      <c r="L134" s="8" t="s">
        <v>1395</v>
      </c>
      <c r="M134" t="s">
        <v>1396</v>
      </c>
      <c r="N134" t="s">
        <v>1397</v>
      </c>
      <c r="O134" t="s">
        <v>1398</v>
      </c>
      <c r="P134" t="s">
        <v>1399</v>
      </c>
      <c r="Q134" t="s">
        <v>1400</v>
      </c>
      <c r="R134" t="s">
        <v>1401</v>
      </c>
      <c r="S134" t="s">
        <v>1402</v>
      </c>
      <c r="T134" t="s">
        <v>1403</v>
      </c>
      <c r="U134" s="5">
        <v>1443.52</v>
      </c>
      <c r="V134" s="5">
        <v>13.09</v>
      </c>
      <c r="W134" s="5">
        <v>12.256290999999999</v>
      </c>
      <c r="X134" s="5">
        <v>109.09398</v>
      </c>
      <c r="Y134" s="5">
        <v>1430.42</v>
      </c>
      <c r="Z134" s="5">
        <v>12.259205</v>
      </c>
      <c r="AA134" s="5">
        <v>109.072396</v>
      </c>
      <c r="AB134" s="7">
        <f t="shared" si="13"/>
        <v>1.9635E-2</v>
      </c>
      <c r="AC134" s="7">
        <f t="shared" si="14"/>
        <v>2.1456300000000001</v>
      </c>
      <c r="AD134" s="6" t="str">
        <f t="shared" si="15"/>
        <v>1.Diên Khánh</v>
      </c>
      <c r="AE134" s="6" t="str">
        <f t="shared" si="16"/>
        <v>CA Diên Lạc_Cột hạ thế</v>
      </c>
      <c r="AG134">
        <f t="shared" si="17"/>
        <v>1.3089999999999999E-2</v>
      </c>
      <c r="AH134">
        <f t="shared" si="18"/>
        <v>1.43042</v>
      </c>
    </row>
    <row r="135" spans="1:34" x14ac:dyDescent="0.25">
      <c r="A135" t="s">
        <v>1404</v>
      </c>
      <c r="B135" t="s">
        <v>1405</v>
      </c>
      <c r="C135" t="s">
        <v>1406</v>
      </c>
      <c r="D135" t="s">
        <v>391</v>
      </c>
      <c r="E135" t="s">
        <v>392</v>
      </c>
      <c r="F135" t="s">
        <v>1407</v>
      </c>
      <c r="G135" t="s">
        <v>15827</v>
      </c>
      <c r="H135" t="s">
        <v>15831</v>
      </c>
      <c r="I135" t="s">
        <v>15963</v>
      </c>
      <c r="J135" t="s">
        <v>23</v>
      </c>
      <c r="L135" s="8" t="s">
        <v>1408</v>
      </c>
      <c r="M135" t="s">
        <v>1409</v>
      </c>
      <c r="N135" t="s">
        <v>1410</v>
      </c>
      <c r="O135" t="s">
        <v>1411</v>
      </c>
      <c r="P135" t="s">
        <v>1412</v>
      </c>
      <c r="Q135" t="s">
        <v>1413</v>
      </c>
      <c r="R135" t="s">
        <v>1414</v>
      </c>
      <c r="S135" t="s">
        <v>1415</v>
      </c>
      <c r="T135" t="s">
        <v>1416</v>
      </c>
      <c r="U135" s="5">
        <v>2962.55</v>
      </c>
      <c r="V135" s="5">
        <v>153.69</v>
      </c>
      <c r="W135" s="5">
        <v>12.210621</v>
      </c>
      <c r="X135" s="5">
        <v>109.04347799999999</v>
      </c>
      <c r="Y135" s="5">
        <v>2808.86</v>
      </c>
      <c r="Z135" s="5">
        <v>12.244787000000001</v>
      </c>
      <c r="AA135" s="5">
        <v>109.026172</v>
      </c>
      <c r="AB135" s="7">
        <f t="shared" si="13"/>
        <v>0.23053499999999999</v>
      </c>
      <c r="AC135" s="7">
        <f t="shared" si="14"/>
        <v>4.2132899999999998</v>
      </c>
      <c r="AD135" s="6" t="str">
        <f t="shared" si="15"/>
        <v>3.CA Suối Dầu</v>
      </c>
      <c r="AE135" s="6" t="str">
        <f t="shared" si="16"/>
        <v>CA Diên Thọ_Đoạn cột trung thế</v>
      </c>
      <c r="AG135">
        <f t="shared" si="17"/>
        <v>0.15368999999999999</v>
      </c>
      <c r="AH135">
        <f t="shared" si="18"/>
        <v>2.8088600000000001</v>
      </c>
    </row>
    <row r="136" spans="1:34" x14ac:dyDescent="0.25">
      <c r="A136" t="s">
        <v>1417</v>
      </c>
      <c r="B136" t="s">
        <v>1418</v>
      </c>
      <c r="C136" t="s">
        <v>1419</v>
      </c>
      <c r="D136" t="s">
        <v>92</v>
      </c>
      <c r="E136" t="s">
        <v>93</v>
      </c>
      <c r="F136" t="s">
        <v>1420</v>
      </c>
      <c r="G136" t="s">
        <v>15827</v>
      </c>
      <c r="H136" t="s">
        <v>15831</v>
      </c>
      <c r="I136" t="s">
        <v>15964</v>
      </c>
      <c r="J136" t="s">
        <v>23</v>
      </c>
      <c r="L136" s="8" t="s">
        <v>1421</v>
      </c>
      <c r="M136" t="s">
        <v>1422</v>
      </c>
      <c r="N136" t="s">
        <v>1423</v>
      </c>
      <c r="O136" t="s">
        <v>1424</v>
      </c>
      <c r="P136" t="s">
        <v>1425</v>
      </c>
      <c r="Q136" t="s">
        <v>1426</v>
      </c>
      <c r="R136" t="s">
        <v>1427</v>
      </c>
      <c r="S136" t="s">
        <v>1428</v>
      </c>
      <c r="T136" t="s">
        <v>1429</v>
      </c>
      <c r="U136" s="5">
        <v>496.07</v>
      </c>
      <c r="V136" s="5">
        <v>12.14</v>
      </c>
      <c r="W136" s="5">
        <v>12.231814999999999</v>
      </c>
      <c r="X136" s="5">
        <v>109.196006</v>
      </c>
      <c r="Y136" s="5">
        <v>483.94</v>
      </c>
      <c r="Z136" s="5">
        <v>12.243709000000001</v>
      </c>
      <c r="AA136" s="5">
        <v>109.185958</v>
      </c>
      <c r="AB136" s="7">
        <f t="shared" si="13"/>
        <v>1.821E-2</v>
      </c>
      <c r="AC136" s="7">
        <f t="shared" si="14"/>
        <v>0.72590999999999994</v>
      </c>
      <c r="AD136" s="6" t="str">
        <f t="shared" si="15"/>
        <v>1.CAT Khánh Hòa</v>
      </c>
      <c r="AE136" s="6" t="str">
        <f t="shared" si="16"/>
        <v>Diên Khánh</v>
      </c>
      <c r="AG136">
        <f t="shared" si="17"/>
        <v>1.214E-2</v>
      </c>
      <c r="AH136">
        <f t="shared" si="18"/>
        <v>0.48393999999999998</v>
      </c>
    </row>
    <row r="137" spans="1:34" x14ac:dyDescent="0.25">
      <c r="A137" t="s">
        <v>1430</v>
      </c>
      <c r="B137" t="s">
        <v>1431</v>
      </c>
      <c r="C137" t="s">
        <v>1432</v>
      </c>
      <c r="D137" t="s">
        <v>277</v>
      </c>
      <c r="E137" t="s">
        <v>278</v>
      </c>
      <c r="F137" t="s">
        <v>1433</v>
      </c>
      <c r="G137" t="s">
        <v>15827</v>
      </c>
      <c r="H137" t="s">
        <v>15831</v>
      </c>
      <c r="I137" t="s">
        <v>15965</v>
      </c>
      <c r="J137" t="s">
        <v>23</v>
      </c>
      <c r="L137" s="8" t="s">
        <v>82</v>
      </c>
      <c r="M137" t="s">
        <v>1434</v>
      </c>
      <c r="N137" t="s">
        <v>1435</v>
      </c>
      <c r="O137" t="s">
        <v>1436</v>
      </c>
      <c r="P137" t="s">
        <v>1437</v>
      </c>
      <c r="Q137" t="s">
        <v>1438</v>
      </c>
      <c r="R137" t="s">
        <v>1439</v>
      </c>
      <c r="S137" t="s">
        <v>1440</v>
      </c>
      <c r="T137" t="s">
        <v>90</v>
      </c>
      <c r="U137" s="5">
        <v>1212.8499999999999</v>
      </c>
      <c r="V137" s="5">
        <v>677.79</v>
      </c>
      <c r="W137" s="5">
        <v>12.214083</v>
      </c>
      <c r="X137" s="5">
        <v>109.192126</v>
      </c>
      <c r="Y137" s="5">
        <v>535.05999999999995</v>
      </c>
      <c r="Z137" s="5">
        <v>12.235105000000001</v>
      </c>
      <c r="AA137" s="5">
        <v>109.18385600000001</v>
      </c>
      <c r="AB137" s="7">
        <f t="shared" si="13"/>
        <v>1.0166849999999998</v>
      </c>
      <c r="AC137" s="7">
        <f t="shared" si="14"/>
        <v>0.80258999999999991</v>
      </c>
      <c r="AD137" s="6" t="str">
        <f t="shared" si="15"/>
        <v>3.PA06 cs2</v>
      </c>
      <c r="AE137" s="6" t="str">
        <f t="shared" si="16"/>
        <v>PC11a</v>
      </c>
      <c r="AG137">
        <f t="shared" si="17"/>
        <v>0.67779</v>
      </c>
      <c r="AH137">
        <f t="shared" si="18"/>
        <v>0.53505999999999998</v>
      </c>
    </row>
    <row r="138" spans="1:34" x14ac:dyDescent="0.25">
      <c r="A138" t="s">
        <v>1441</v>
      </c>
      <c r="B138" t="s">
        <v>120</v>
      </c>
      <c r="C138" t="s">
        <v>121</v>
      </c>
      <c r="D138" t="s">
        <v>239</v>
      </c>
      <c r="E138" t="s">
        <v>240</v>
      </c>
      <c r="F138" t="s">
        <v>1442</v>
      </c>
      <c r="G138" t="s">
        <v>15827</v>
      </c>
      <c r="H138" t="s">
        <v>15831</v>
      </c>
      <c r="I138" t="s">
        <v>15966</v>
      </c>
      <c r="J138" t="s">
        <v>23</v>
      </c>
      <c r="L138" s="8" t="s">
        <v>82</v>
      </c>
      <c r="M138" t="s">
        <v>1443</v>
      </c>
      <c r="N138" t="s">
        <v>124</v>
      </c>
      <c r="O138" t="s">
        <v>125</v>
      </c>
      <c r="P138" t="s">
        <v>126</v>
      </c>
      <c r="Q138" t="s">
        <v>1444</v>
      </c>
      <c r="R138" t="s">
        <v>1439</v>
      </c>
      <c r="S138" t="s">
        <v>1440</v>
      </c>
      <c r="T138" t="s">
        <v>90</v>
      </c>
      <c r="U138" s="5">
        <v>223.17</v>
      </c>
      <c r="V138" s="5">
        <v>51.16</v>
      </c>
      <c r="W138" s="5">
        <v>12.225636</v>
      </c>
      <c r="X138" s="5">
        <v>109.183539</v>
      </c>
      <c r="Y138" s="5">
        <v>172.01</v>
      </c>
      <c r="Z138" s="5">
        <v>12.235105000000001</v>
      </c>
      <c r="AA138" s="5">
        <v>109.18385600000001</v>
      </c>
      <c r="AB138" s="7">
        <f t="shared" si="13"/>
        <v>7.6739999999999989E-2</v>
      </c>
      <c r="AC138" s="7">
        <f t="shared" si="14"/>
        <v>0.25801499999999999</v>
      </c>
      <c r="AD138" s="6" t="str">
        <f t="shared" si="15"/>
        <v>3.PA06 cs2</v>
      </c>
      <c r="AE138" s="6" t="str">
        <f t="shared" si="16"/>
        <v>PC11a</v>
      </c>
      <c r="AG138">
        <f t="shared" si="17"/>
        <v>5.1159999999999997E-2</v>
      </c>
      <c r="AH138">
        <f t="shared" si="18"/>
        <v>0.17201</v>
      </c>
    </row>
    <row r="139" spans="1:34" x14ac:dyDescent="0.25">
      <c r="A139" t="s">
        <v>1445</v>
      </c>
      <c r="B139" t="s">
        <v>1446</v>
      </c>
      <c r="C139" t="s">
        <v>1447</v>
      </c>
      <c r="D139" t="s">
        <v>160</v>
      </c>
      <c r="E139" t="s">
        <v>161</v>
      </c>
      <c r="F139" t="s">
        <v>1448</v>
      </c>
      <c r="G139" t="s">
        <v>15827</v>
      </c>
      <c r="H139" t="s">
        <v>15831</v>
      </c>
      <c r="I139" t="s">
        <v>15967</v>
      </c>
      <c r="J139" t="s">
        <v>23</v>
      </c>
      <c r="L139" s="8" t="s">
        <v>1449</v>
      </c>
      <c r="M139" t="s">
        <v>1450</v>
      </c>
      <c r="N139" t="s">
        <v>1451</v>
      </c>
      <c r="O139" t="s">
        <v>1452</v>
      </c>
      <c r="P139" t="s">
        <v>1453</v>
      </c>
      <c r="Q139" t="s">
        <v>1454</v>
      </c>
      <c r="R139" t="s">
        <v>42</v>
      </c>
      <c r="S139" t="s">
        <v>1455</v>
      </c>
      <c r="T139" t="s">
        <v>1456</v>
      </c>
      <c r="U139" s="5">
        <v>1458.25</v>
      </c>
      <c r="V139" s="5">
        <v>1453.51</v>
      </c>
      <c r="W139" s="5">
        <v>12.279755</v>
      </c>
      <c r="X139" s="5">
        <v>109.177725</v>
      </c>
      <c r="Y139" s="5">
        <v>4.75</v>
      </c>
      <c r="Z139" s="5">
        <v>12.278732</v>
      </c>
      <c r="AA139" s="5">
        <v>109.18886000000001</v>
      </c>
      <c r="AB139" s="7">
        <f t="shared" si="13"/>
        <v>2.1802649999999999</v>
      </c>
      <c r="AC139" s="7">
        <f t="shared" si="14"/>
        <v>7.1250000000000003E-3</v>
      </c>
      <c r="AD139" s="6" t="str">
        <f t="shared" si="15"/>
        <v>2.PK02 cs1</v>
      </c>
      <c r="AE139" s="6" t="str">
        <f t="shared" si="16"/>
        <v>Trung đoàn CSCĐ-E23_Cột trung thế</v>
      </c>
      <c r="AG139">
        <f t="shared" si="17"/>
        <v>1.4535100000000001</v>
      </c>
      <c r="AH139">
        <f t="shared" si="18"/>
        <v>4.7499999999999999E-3</v>
      </c>
    </row>
    <row r="140" spans="1:34" x14ac:dyDescent="0.25">
      <c r="A140" t="s">
        <v>1457</v>
      </c>
      <c r="B140" t="s">
        <v>1392</v>
      </c>
      <c r="C140" t="s">
        <v>1393</v>
      </c>
      <c r="D140" t="s">
        <v>180</v>
      </c>
      <c r="E140" t="s">
        <v>181</v>
      </c>
      <c r="F140" t="s">
        <v>1458</v>
      </c>
      <c r="G140" t="s">
        <v>15827</v>
      </c>
      <c r="H140" t="s">
        <v>15831</v>
      </c>
      <c r="I140" t="s">
        <v>15968</v>
      </c>
      <c r="J140" t="s">
        <v>23</v>
      </c>
      <c r="L140" s="8" t="s">
        <v>445</v>
      </c>
      <c r="M140" t="s">
        <v>1459</v>
      </c>
      <c r="N140" t="s">
        <v>1460</v>
      </c>
      <c r="O140" t="s">
        <v>1461</v>
      </c>
      <c r="P140" t="s">
        <v>1462</v>
      </c>
      <c r="Q140" t="s">
        <v>447</v>
      </c>
      <c r="R140" t="s">
        <v>448</v>
      </c>
      <c r="S140" t="s">
        <v>449</v>
      </c>
      <c r="T140" t="s">
        <v>453</v>
      </c>
      <c r="U140" s="5">
        <v>9.11</v>
      </c>
      <c r="V140" s="5">
        <v>3.67</v>
      </c>
      <c r="W140" s="5">
        <v>12.25628</v>
      </c>
      <c r="X140" s="5">
        <v>109.09407299999999</v>
      </c>
      <c r="Y140" s="5">
        <v>5.44</v>
      </c>
      <c r="Z140" s="5">
        <v>12.276033999999999</v>
      </c>
      <c r="AA140" s="5">
        <v>109.12025</v>
      </c>
      <c r="AB140" s="7">
        <f t="shared" si="13"/>
        <v>5.5049999999999995E-3</v>
      </c>
      <c r="AC140" s="7">
        <f t="shared" si="14"/>
        <v>8.1600000000000006E-3</v>
      </c>
      <c r="AD140" s="6" t="str">
        <f t="shared" si="15"/>
        <v>1.CA Diên Khánh</v>
      </c>
      <c r="AE140" s="6" t="str">
        <f t="shared" si="16"/>
        <v>CA Diên Điền_Cột trung thế</v>
      </c>
      <c r="AG140">
        <f t="shared" si="17"/>
        <v>3.6700000000000001E-3</v>
      </c>
      <c r="AH140">
        <f t="shared" si="18"/>
        <v>5.4400000000000004E-3</v>
      </c>
    </row>
    <row r="141" spans="1:34" x14ac:dyDescent="0.25">
      <c r="A141" t="s">
        <v>1463</v>
      </c>
      <c r="B141" t="s">
        <v>182</v>
      </c>
      <c r="C141" t="s">
        <v>183</v>
      </c>
      <c r="D141" t="s">
        <v>195</v>
      </c>
      <c r="E141" t="s">
        <v>196</v>
      </c>
      <c r="F141" t="s">
        <v>1464</v>
      </c>
      <c r="G141" t="s">
        <v>15827</v>
      </c>
      <c r="H141" t="s">
        <v>15831</v>
      </c>
      <c r="I141" t="s">
        <v>15969</v>
      </c>
      <c r="J141" t="s">
        <v>23</v>
      </c>
      <c r="L141" s="8" t="s">
        <v>185</v>
      </c>
      <c r="M141" t="s">
        <v>1465</v>
      </c>
      <c r="N141" t="s">
        <v>1466</v>
      </c>
      <c r="O141" t="s">
        <v>1467</v>
      </c>
      <c r="P141" t="s">
        <v>1468</v>
      </c>
      <c r="Q141" t="s">
        <v>337</v>
      </c>
      <c r="R141" t="s">
        <v>338</v>
      </c>
      <c r="S141" t="s">
        <v>339</v>
      </c>
      <c r="T141" t="s">
        <v>343</v>
      </c>
      <c r="U141" s="5">
        <v>221.26</v>
      </c>
      <c r="V141" s="5">
        <v>220.38</v>
      </c>
      <c r="W141" s="5">
        <v>12.303599</v>
      </c>
      <c r="X141" s="5">
        <v>109.168863</v>
      </c>
      <c r="Y141" s="5">
        <v>0.89</v>
      </c>
      <c r="Z141" s="5">
        <v>12.282335</v>
      </c>
      <c r="AA141" s="5">
        <v>109.198106</v>
      </c>
      <c r="AB141" s="7">
        <f t="shared" si="13"/>
        <v>0.33056999999999997</v>
      </c>
      <c r="AC141" s="7">
        <f t="shared" si="14"/>
        <v>1.335E-3</v>
      </c>
      <c r="AD141" s="6" t="str">
        <f t="shared" si="15"/>
        <v>2.CA Diên Điền</v>
      </c>
      <c r="AE141" s="6" t="str">
        <f t="shared" si="16"/>
        <v>CA Bắc Nha Trang</v>
      </c>
      <c r="AG141">
        <f t="shared" si="17"/>
        <v>0.22037999999999999</v>
      </c>
      <c r="AH141">
        <f t="shared" si="18"/>
        <v>8.9000000000000006E-4</v>
      </c>
    </row>
    <row r="142" spans="1:34" x14ac:dyDescent="0.25">
      <c r="A142" t="s">
        <v>1469</v>
      </c>
      <c r="B142" t="s">
        <v>1470</v>
      </c>
      <c r="C142" t="s">
        <v>1471</v>
      </c>
      <c r="D142" t="s">
        <v>800</v>
      </c>
      <c r="E142" t="s">
        <v>801</v>
      </c>
      <c r="F142" t="s">
        <v>1472</v>
      </c>
      <c r="G142" t="s">
        <v>15827</v>
      </c>
      <c r="H142" t="s">
        <v>15831</v>
      </c>
      <c r="I142" t="s">
        <v>15970</v>
      </c>
      <c r="J142" t="s">
        <v>23</v>
      </c>
      <c r="L142" s="8" t="s">
        <v>488</v>
      </c>
      <c r="M142" t="s">
        <v>1473</v>
      </c>
      <c r="N142" t="s">
        <v>1474</v>
      </c>
      <c r="O142" t="s">
        <v>1475</v>
      </c>
      <c r="P142" t="s">
        <v>1476</v>
      </c>
      <c r="Q142" t="s">
        <v>804</v>
      </c>
      <c r="R142" t="s">
        <v>805</v>
      </c>
      <c r="S142" t="s">
        <v>806</v>
      </c>
      <c r="T142" t="s">
        <v>496</v>
      </c>
      <c r="U142" s="5">
        <v>888.04</v>
      </c>
      <c r="V142" s="5">
        <v>886</v>
      </c>
      <c r="W142" s="5">
        <v>12.083786999999999</v>
      </c>
      <c r="X142" s="5">
        <v>109.186933</v>
      </c>
      <c r="Y142" s="5">
        <v>2.0299999999999998</v>
      </c>
      <c r="Z142" s="5">
        <v>12.074439</v>
      </c>
      <c r="AA142" s="5">
        <v>109.168081</v>
      </c>
      <c r="AB142" s="7">
        <f t="shared" si="13"/>
        <v>1.329</v>
      </c>
      <c r="AC142" s="7">
        <f t="shared" si="14"/>
        <v>3.045E-3</v>
      </c>
      <c r="AD142" s="6" t="str">
        <f t="shared" si="15"/>
        <v>1.CAT Khánh Hòa</v>
      </c>
      <c r="AE142" s="6" t="str">
        <f t="shared" si="16"/>
        <v>Cam Lâm</v>
      </c>
      <c r="AG142">
        <f t="shared" si="17"/>
        <v>0.88600000000000001</v>
      </c>
      <c r="AH142">
        <f t="shared" si="18"/>
        <v>2.0299999999999997E-3</v>
      </c>
    </row>
    <row r="143" spans="1:34" x14ac:dyDescent="0.25">
      <c r="A143" t="s">
        <v>1477</v>
      </c>
      <c r="B143" t="s">
        <v>1478</v>
      </c>
      <c r="C143" t="s">
        <v>1479</v>
      </c>
      <c r="D143" t="s">
        <v>1480</v>
      </c>
      <c r="E143" t="s">
        <v>1481</v>
      </c>
      <c r="F143" t="s">
        <v>1482</v>
      </c>
      <c r="G143" t="s">
        <v>15827</v>
      </c>
      <c r="H143" t="s">
        <v>15831</v>
      </c>
      <c r="I143" t="s">
        <v>15971</v>
      </c>
      <c r="J143" t="s">
        <v>23</v>
      </c>
      <c r="L143" s="8" t="s">
        <v>1483</v>
      </c>
      <c r="M143" t="s">
        <v>1484</v>
      </c>
      <c r="N143" t="s">
        <v>1485</v>
      </c>
      <c r="O143" t="s">
        <v>1486</v>
      </c>
      <c r="P143" t="s">
        <v>1487</v>
      </c>
      <c r="Q143" t="s">
        <v>1488</v>
      </c>
      <c r="R143" t="s">
        <v>1489</v>
      </c>
      <c r="S143" t="s">
        <v>1490</v>
      </c>
      <c r="T143" t="s">
        <v>1491</v>
      </c>
      <c r="U143" s="5">
        <v>1861.74</v>
      </c>
      <c r="V143" s="5">
        <v>1857.48</v>
      </c>
      <c r="W143" s="5">
        <v>12.566857000000001</v>
      </c>
      <c r="X143" s="5">
        <v>109.211688</v>
      </c>
      <c r="Y143" s="5">
        <v>4.26</v>
      </c>
      <c r="Z143" s="5">
        <v>12.555453</v>
      </c>
      <c r="AA143" s="5">
        <v>109.217609</v>
      </c>
      <c r="AB143" s="7">
        <f t="shared" si="13"/>
        <v>2.7862200000000001</v>
      </c>
      <c r="AC143" s="7">
        <f t="shared" si="14"/>
        <v>6.3899999999999998E-3</v>
      </c>
      <c r="AD143" s="6" t="str">
        <f t="shared" si="15"/>
        <v>2.CA Đông Ninh Hòa</v>
      </c>
      <c r="AE143" s="6" t="str">
        <f t="shared" si="16"/>
        <v>CA Bắc Ninh Hòa</v>
      </c>
      <c r="AG143">
        <f t="shared" si="17"/>
        <v>1.85748</v>
      </c>
      <c r="AH143">
        <f t="shared" si="18"/>
        <v>4.2599999999999999E-3</v>
      </c>
    </row>
    <row r="144" spans="1:34" x14ac:dyDescent="0.25">
      <c r="A144" t="s">
        <v>1492</v>
      </c>
      <c r="B144" t="s">
        <v>79</v>
      </c>
      <c r="C144" t="s">
        <v>80</v>
      </c>
      <c r="D144" t="s">
        <v>1493</v>
      </c>
      <c r="E144" t="s">
        <v>1494</v>
      </c>
      <c r="F144" t="s">
        <v>1495</v>
      </c>
      <c r="G144" t="s">
        <v>15827</v>
      </c>
      <c r="H144" t="s">
        <v>15831</v>
      </c>
      <c r="I144" t="s">
        <v>15972</v>
      </c>
      <c r="J144" t="s">
        <v>23</v>
      </c>
      <c r="L144" s="8" t="s">
        <v>488</v>
      </c>
      <c r="M144" t="s">
        <v>1496</v>
      </c>
      <c r="N144" t="s">
        <v>1497</v>
      </c>
      <c r="O144" t="s">
        <v>1498</v>
      </c>
      <c r="P144" t="s">
        <v>1499</v>
      </c>
      <c r="Q144" t="s">
        <v>1500</v>
      </c>
      <c r="R144" t="s">
        <v>1501</v>
      </c>
      <c r="S144" t="s">
        <v>1502</v>
      </c>
      <c r="T144" t="s">
        <v>496</v>
      </c>
      <c r="U144" s="5">
        <v>72.989999999999995</v>
      </c>
      <c r="V144" s="5">
        <v>42.66</v>
      </c>
      <c r="W144" s="5">
        <v>12.210644</v>
      </c>
      <c r="X144" s="5">
        <v>109.188384</v>
      </c>
      <c r="Y144" s="5">
        <v>30.33</v>
      </c>
      <c r="Z144" s="5">
        <v>12.211372000000001</v>
      </c>
      <c r="AA144" s="5">
        <v>109.194048</v>
      </c>
      <c r="AB144" s="7">
        <f t="shared" si="13"/>
        <v>6.3989999999999991E-2</v>
      </c>
      <c r="AC144" s="7">
        <f t="shared" si="14"/>
        <v>4.5495000000000001E-2</v>
      </c>
      <c r="AD144" s="6" t="str">
        <f t="shared" si="15"/>
        <v>1.CAT Khánh Hòa</v>
      </c>
      <c r="AE144" s="6" t="str">
        <f t="shared" si="16"/>
        <v>Cam Lâm</v>
      </c>
      <c r="AG144">
        <f t="shared" si="17"/>
        <v>4.2659999999999997E-2</v>
      </c>
      <c r="AH144">
        <f t="shared" si="18"/>
        <v>3.0329999999999999E-2</v>
      </c>
    </row>
    <row r="145" spans="1:34" x14ac:dyDescent="0.25">
      <c r="A145" t="s">
        <v>1503</v>
      </c>
      <c r="B145" t="s">
        <v>1431</v>
      </c>
      <c r="C145" t="s">
        <v>1432</v>
      </c>
      <c r="D145" t="s">
        <v>1504</v>
      </c>
      <c r="E145" t="s">
        <v>1505</v>
      </c>
      <c r="F145" t="s">
        <v>1506</v>
      </c>
      <c r="G145" t="s">
        <v>15827</v>
      </c>
      <c r="H145" t="s">
        <v>15831</v>
      </c>
      <c r="I145" t="s">
        <v>15973</v>
      </c>
      <c r="J145" t="s">
        <v>23</v>
      </c>
      <c r="L145" s="8" t="s">
        <v>110</v>
      </c>
      <c r="M145" t="s">
        <v>1507</v>
      </c>
      <c r="N145" t="s">
        <v>1508</v>
      </c>
      <c r="O145" t="s">
        <v>1509</v>
      </c>
      <c r="P145" t="s">
        <v>1510</v>
      </c>
      <c r="Q145" t="s">
        <v>611</v>
      </c>
      <c r="R145" t="s">
        <v>1511</v>
      </c>
      <c r="S145" t="s">
        <v>1512</v>
      </c>
      <c r="T145" t="s">
        <v>118</v>
      </c>
      <c r="U145" s="5">
        <v>398.11</v>
      </c>
      <c r="V145" s="5">
        <v>394.5</v>
      </c>
      <c r="W145" s="5">
        <v>12.216837999999999</v>
      </c>
      <c r="X145" s="5">
        <v>109.197884</v>
      </c>
      <c r="Y145" s="5">
        <v>3.61</v>
      </c>
      <c r="Z145" s="5">
        <v>12.219013</v>
      </c>
      <c r="AA145" s="5">
        <v>109.20427599999999</v>
      </c>
      <c r="AB145" s="7">
        <f t="shared" si="13"/>
        <v>0.59175</v>
      </c>
      <c r="AC145" s="7">
        <f t="shared" si="14"/>
        <v>5.4149999999999997E-3</v>
      </c>
      <c r="AD145" s="6" t="str">
        <f t="shared" si="15"/>
        <v>4.PC11a</v>
      </c>
      <c r="AE145" s="6" t="str">
        <f t="shared" si="16"/>
        <v>PC02_Đoạn cột trung thế</v>
      </c>
      <c r="AG145">
        <f t="shared" si="17"/>
        <v>0.39450000000000002</v>
      </c>
      <c r="AH145">
        <f t="shared" si="18"/>
        <v>3.6099999999999999E-3</v>
      </c>
    </row>
    <row r="146" spans="1:34" x14ac:dyDescent="0.25">
      <c r="A146" t="s">
        <v>1513</v>
      </c>
      <c r="B146" t="s">
        <v>182</v>
      </c>
      <c r="C146" t="s">
        <v>183</v>
      </c>
      <c r="D146" t="s">
        <v>1514</v>
      </c>
      <c r="E146" t="s">
        <v>1515</v>
      </c>
      <c r="F146" t="s">
        <v>1516</v>
      </c>
      <c r="G146" t="s">
        <v>15827</v>
      </c>
      <c r="H146" t="s">
        <v>15831</v>
      </c>
      <c r="I146" t="s">
        <v>15974</v>
      </c>
      <c r="J146" t="s">
        <v>23</v>
      </c>
      <c r="L146" s="8" t="s">
        <v>1517</v>
      </c>
      <c r="M146" t="s">
        <v>1518</v>
      </c>
      <c r="N146" t="s">
        <v>1519</v>
      </c>
      <c r="O146" t="s">
        <v>1520</v>
      </c>
      <c r="P146" t="s">
        <v>1521</v>
      </c>
      <c r="Q146" t="s">
        <v>1522</v>
      </c>
      <c r="R146" t="s">
        <v>1523</v>
      </c>
      <c r="S146" t="s">
        <v>1524</v>
      </c>
      <c r="T146" t="s">
        <v>1525</v>
      </c>
      <c r="U146" s="5">
        <v>234.56</v>
      </c>
      <c r="V146" s="5">
        <v>214.35</v>
      </c>
      <c r="W146" s="5">
        <v>12.303977</v>
      </c>
      <c r="X146" s="5">
        <v>109.169534</v>
      </c>
      <c r="Y146" s="5">
        <v>20.21</v>
      </c>
      <c r="Z146" s="5">
        <v>12.288512000000001</v>
      </c>
      <c r="AA146" s="5">
        <v>109.163809</v>
      </c>
      <c r="AB146" s="7">
        <f t="shared" si="13"/>
        <v>0.32152499999999995</v>
      </c>
      <c r="AC146" s="7">
        <f t="shared" si="14"/>
        <v>3.0315000000000002E-2</v>
      </c>
      <c r="AD146" s="6" t="str">
        <f t="shared" si="15"/>
        <v>3.Trung đoàn CSCĐ</v>
      </c>
      <c r="AE146" s="6" t="str">
        <f t="shared" si="16"/>
        <v>E23 - PK02 cs2</v>
      </c>
      <c r="AG146">
        <f t="shared" si="17"/>
        <v>0.21434999999999998</v>
      </c>
      <c r="AH146">
        <f t="shared" si="18"/>
        <v>2.0210000000000002E-2</v>
      </c>
    </row>
    <row r="147" spans="1:34" x14ac:dyDescent="0.25">
      <c r="A147" t="s">
        <v>1526</v>
      </c>
      <c r="B147" t="s">
        <v>1527</v>
      </c>
      <c r="C147" t="s">
        <v>1528</v>
      </c>
      <c r="D147" t="s">
        <v>1346</v>
      </c>
      <c r="E147" t="s">
        <v>1347</v>
      </c>
      <c r="F147" t="s">
        <v>1529</v>
      </c>
      <c r="G147" t="s">
        <v>15827</v>
      </c>
      <c r="H147" t="s">
        <v>15831</v>
      </c>
      <c r="I147" t="s">
        <v>15975</v>
      </c>
      <c r="J147" t="s">
        <v>23</v>
      </c>
      <c r="L147" s="8" t="s">
        <v>1349</v>
      </c>
      <c r="M147" t="s">
        <v>1530</v>
      </c>
      <c r="N147" t="s">
        <v>1531</v>
      </c>
      <c r="O147" t="s">
        <v>1532</v>
      </c>
      <c r="P147" t="s">
        <v>1533</v>
      </c>
      <c r="Q147" t="s">
        <v>1354</v>
      </c>
      <c r="R147" t="s">
        <v>1355</v>
      </c>
      <c r="S147" t="s">
        <v>1356</v>
      </c>
      <c r="T147" t="s">
        <v>1357</v>
      </c>
      <c r="U147" s="5">
        <v>1589.27</v>
      </c>
      <c r="V147" s="5">
        <v>1022.44</v>
      </c>
      <c r="W147" s="5">
        <v>12.214154000000001</v>
      </c>
      <c r="X147" s="5">
        <v>109.20967</v>
      </c>
      <c r="Y147" s="5">
        <v>566.83000000000004</v>
      </c>
      <c r="Z147" s="5">
        <v>12.202648</v>
      </c>
      <c r="AA147" s="5">
        <v>109.214975</v>
      </c>
      <c r="AB147" s="7">
        <f t="shared" si="13"/>
        <v>1.53366</v>
      </c>
      <c r="AC147" s="7">
        <f t="shared" si="14"/>
        <v>0.85024500000000014</v>
      </c>
      <c r="AD147" s="6" t="str">
        <f t="shared" si="15"/>
        <v>Tuyến nhánh PC02</v>
      </c>
      <c r="AE147" s="6" t="str">
        <f t="shared" si="16"/>
        <v>PC08 (CSGT đường thủy)</v>
      </c>
      <c r="AG147">
        <f t="shared" si="17"/>
        <v>1.02244</v>
      </c>
      <c r="AH147">
        <f t="shared" si="18"/>
        <v>0.56683000000000006</v>
      </c>
    </row>
    <row r="148" spans="1:34" x14ac:dyDescent="0.25">
      <c r="A148" t="s">
        <v>1534</v>
      </c>
      <c r="B148" t="s">
        <v>819</v>
      </c>
      <c r="C148" t="s">
        <v>820</v>
      </c>
      <c r="D148" t="s">
        <v>345</v>
      </c>
      <c r="E148" t="s">
        <v>346</v>
      </c>
      <c r="F148" t="s">
        <v>1535</v>
      </c>
      <c r="G148" t="s">
        <v>15827</v>
      </c>
      <c r="H148" t="s">
        <v>15831</v>
      </c>
      <c r="I148" t="s">
        <v>15976</v>
      </c>
      <c r="J148" t="s">
        <v>23</v>
      </c>
      <c r="L148" s="8" t="s">
        <v>350</v>
      </c>
      <c r="M148" t="s">
        <v>1536</v>
      </c>
      <c r="N148" t="s">
        <v>1537</v>
      </c>
      <c r="O148" t="s">
        <v>1538</v>
      </c>
      <c r="P148" t="s">
        <v>1539</v>
      </c>
      <c r="Q148" t="s">
        <v>352</v>
      </c>
      <c r="R148" t="s">
        <v>353</v>
      </c>
      <c r="S148" t="s">
        <v>354</v>
      </c>
      <c r="T148" t="s">
        <v>358</v>
      </c>
      <c r="U148" s="5">
        <v>302.27</v>
      </c>
      <c r="V148" s="5">
        <v>202.27</v>
      </c>
      <c r="W148" s="5">
        <v>11.920372</v>
      </c>
      <c r="X148" s="5">
        <v>109.14426</v>
      </c>
      <c r="Y148" s="5">
        <v>100</v>
      </c>
      <c r="Z148" s="5">
        <v>11.941592</v>
      </c>
      <c r="AA148" s="5">
        <v>109.11218100000001</v>
      </c>
      <c r="AB148" s="7">
        <f t="shared" si="13"/>
        <v>0.30340500000000004</v>
      </c>
      <c r="AC148" s="7">
        <f t="shared" si="14"/>
        <v>0.15</v>
      </c>
      <c r="AD148" s="6" t="str">
        <f t="shared" si="15"/>
        <v>3.Cam Ranh</v>
      </c>
      <c r="AE148" s="6" t="str">
        <f t="shared" si="16"/>
        <v>Khánh Sơn</v>
      </c>
      <c r="AG148">
        <f t="shared" si="17"/>
        <v>0.20227000000000001</v>
      </c>
      <c r="AH148">
        <f t="shared" si="18"/>
        <v>0.1</v>
      </c>
    </row>
    <row r="149" spans="1:34" x14ac:dyDescent="0.25">
      <c r="A149" t="s">
        <v>1540</v>
      </c>
      <c r="B149" t="s">
        <v>851</v>
      </c>
      <c r="C149" t="s">
        <v>852</v>
      </c>
      <c r="D149" t="s">
        <v>605</v>
      </c>
      <c r="E149" t="s">
        <v>606</v>
      </c>
      <c r="F149" t="s">
        <v>1541</v>
      </c>
      <c r="G149" t="s">
        <v>15827</v>
      </c>
      <c r="H149" t="s">
        <v>15831</v>
      </c>
      <c r="I149" t="s">
        <v>15977</v>
      </c>
      <c r="J149" t="s">
        <v>23</v>
      </c>
      <c r="L149" s="8" t="s">
        <v>350</v>
      </c>
      <c r="M149" t="s">
        <v>1542</v>
      </c>
      <c r="N149" t="s">
        <v>1543</v>
      </c>
      <c r="O149" t="s">
        <v>1544</v>
      </c>
      <c r="P149" t="s">
        <v>1545</v>
      </c>
      <c r="Q149" t="s">
        <v>1022</v>
      </c>
      <c r="R149" t="s">
        <v>1023</v>
      </c>
      <c r="S149" t="s">
        <v>1024</v>
      </c>
      <c r="T149" t="s">
        <v>358</v>
      </c>
      <c r="U149" s="5">
        <v>888.36</v>
      </c>
      <c r="V149" s="5">
        <v>753.84</v>
      </c>
      <c r="W149" s="5">
        <v>11.912903999999999</v>
      </c>
      <c r="X149" s="5">
        <v>109.133286</v>
      </c>
      <c r="Y149" s="5">
        <v>134.52000000000001</v>
      </c>
      <c r="Z149" s="5">
        <v>11.962002999999999</v>
      </c>
      <c r="AA149" s="5">
        <v>109.094218</v>
      </c>
      <c r="AB149" s="7">
        <f t="shared" si="13"/>
        <v>1.13076</v>
      </c>
      <c r="AC149" s="7">
        <f t="shared" si="14"/>
        <v>0.20178000000000004</v>
      </c>
      <c r="AD149" s="6" t="str">
        <f t="shared" si="15"/>
        <v>3.Cam Ranh</v>
      </c>
      <c r="AE149" s="6" t="str">
        <f t="shared" si="16"/>
        <v>Khánh Sơn</v>
      </c>
      <c r="AG149">
        <f t="shared" si="17"/>
        <v>0.75384000000000007</v>
      </c>
      <c r="AH149">
        <f t="shared" si="18"/>
        <v>0.13452</v>
      </c>
    </row>
    <row r="150" spans="1:34" x14ac:dyDescent="0.25">
      <c r="A150" t="s">
        <v>1546</v>
      </c>
      <c r="B150" t="s">
        <v>1547</v>
      </c>
      <c r="C150" t="s">
        <v>1548</v>
      </c>
      <c r="D150" t="s">
        <v>617</v>
      </c>
      <c r="E150" t="s">
        <v>618</v>
      </c>
      <c r="F150" t="s">
        <v>1549</v>
      </c>
      <c r="G150" t="s">
        <v>15827</v>
      </c>
      <c r="H150" t="s">
        <v>15831</v>
      </c>
      <c r="I150" t="s">
        <v>15978</v>
      </c>
      <c r="J150" t="s">
        <v>23</v>
      </c>
      <c r="L150" s="8" t="s">
        <v>622</v>
      </c>
      <c r="M150" t="s">
        <v>1550</v>
      </c>
      <c r="N150" t="s">
        <v>1551</v>
      </c>
      <c r="O150" t="s">
        <v>991</v>
      </c>
      <c r="P150" t="s">
        <v>992</v>
      </c>
      <c r="Q150" t="s">
        <v>624</v>
      </c>
      <c r="R150" t="s">
        <v>625</v>
      </c>
      <c r="S150" t="s">
        <v>626</v>
      </c>
      <c r="T150" t="s">
        <v>630</v>
      </c>
      <c r="U150" s="5">
        <v>568.54999999999995</v>
      </c>
      <c r="V150" s="5">
        <v>254.67</v>
      </c>
      <c r="W150" s="5">
        <v>11.920299999999999</v>
      </c>
      <c r="X150" s="5">
        <v>109.16200000000001</v>
      </c>
      <c r="Y150" s="5">
        <v>313.88</v>
      </c>
      <c r="Z150" s="5">
        <v>11.923</v>
      </c>
      <c r="AA150" s="5">
        <v>109.16500000000001</v>
      </c>
      <c r="AB150" s="7">
        <f t="shared" si="13"/>
        <v>0.38200499999999998</v>
      </c>
      <c r="AC150" s="7">
        <f t="shared" si="14"/>
        <v>0.47082000000000002</v>
      </c>
      <c r="AD150" s="6" t="str">
        <f t="shared" si="15"/>
        <v>1.CA Cam Ranh</v>
      </c>
      <c r="AE150" s="6" t="str">
        <f t="shared" si="16"/>
        <v>CA Cam Linh</v>
      </c>
      <c r="AG150">
        <f t="shared" si="17"/>
        <v>0.25467000000000001</v>
      </c>
      <c r="AH150">
        <f t="shared" si="18"/>
        <v>0.31387999999999999</v>
      </c>
    </row>
    <row r="151" spans="1:34" x14ac:dyDescent="0.25">
      <c r="A151" t="s">
        <v>1552</v>
      </c>
      <c r="B151" t="s">
        <v>77</v>
      </c>
      <c r="C151" t="s">
        <v>78</v>
      </c>
      <c r="D151" t="s">
        <v>94</v>
      </c>
      <c r="E151" t="s">
        <v>95</v>
      </c>
      <c r="F151" t="s">
        <v>1553</v>
      </c>
      <c r="G151" t="s">
        <v>15979</v>
      </c>
      <c r="H151" t="s">
        <v>15980</v>
      </c>
      <c r="I151" t="s">
        <v>15981</v>
      </c>
      <c r="J151" t="s">
        <v>23</v>
      </c>
      <c r="L151" s="8" t="s">
        <v>82</v>
      </c>
      <c r="M151" t="s">
        <v>1554</v>
      </c>
      <c r="N151" t="s">
        <v>84</v>
      </c>
      <c r="O151" t="s">
        <v>85</v>
      </c>
      <c r="P151" t="s">
        <v>86</v>
      </c>
      <c r="Q151" t="s">
        <v>1555</v>
      </c>
      <c r="R151" t="s">
        <v>1439</v>
      </c>
      <c r="S151" t="s">
        <v>1440</v>
      </c>
      <c r="T151" t="s">
        <v>90</v>
      </c>
      <c r="U151" s="5">
        <v>2190.4299999999998</v>
      </c>
      <c r="V151" s="5">
        <v>9.18</v>
      </c>
      <c r="W151" s="5">
        <v>12.175753</v>
      </c>
      <c r="X151" s="5">
        <v>109.173635</v>
      </c>
      <c r="Y151" s="5">
        <v>2181.2399999999998</v>
      </c>
      <c r="Z151" s="5">
        <v>12.235105000000001</v>
      </c>
      <c r="AA151" s="5">
        <v>109.18385600000001</v>
      </c>
      <c r="AB151" s="7">
        <f t="shared" si="13"/>
        <v>1.3769999999999999E-2</v>
      </c>
      <c r="AC151" s="7">
        <f t="shared" si="14"/>
        <v>3.2718599999999998</v>
      </c>
      <c r="AD151" s="6" t="str">
        <f t="shared" si="15"/>
        <v>3.PA06 cs2</v>
      </c>
      <c r="AE151" s="6" t="str">
        <f t="shared" si="16"/>
        <v>PC11a</v>
      </c>
      <c r="AG151">
        <f t="shared" si="17"/>
        <v>9.1799999999999989E-3</v>
      </c>
      <c r="AH151">
        <f t="shared" si="18"/>
        <v>2.1812399999999998</v>
      </c>
    </row>
    <row r="152" spans="1:34" x14ac:dyDescent="0.25">
      <c r="A152" t="s">
        <v>1556</v>
      </c>
      <c r="B152" t="s">
        <v>800</v>
      </c>
      <c r="C152" t="s">
        <v>801</v>
      </c>
      <c r="D152" t="s">
        <v>94</v>
      </c>
      <c r="E152" t="s">
        <v>95</v>
      </c>
      <c r="F152" t="s">
        <v>1557</v>
      </c>
      <c r="G152" t="s">
        <v>15979</v>
      </c>
      <c r="H152" t="s">
        <v>15980</v>
      </c>
      <c r="I152" t="s">
        <v>15982</v>
      </c>
      <c r="J152" t="s">
        <v>23</v>
      </c>
      <c r="L152" s="8" t="s">
        <v>488</v>
      </c>
      <c r="M152" t="s">
        <v>1558</v>
      </c>
      <c r="N152" t="s">
        <v>804</v>
      </c>
      <c r="O152" t="s">
        <v>805</v>
      </c>
      <c r="P152" t="s">
        <v>806</v>
      </c>
      <c r="Q152" t="s">
        <v>1559</v>
      </c>
      <c r="R152" t="s">
        <v>1560</v>
      </c>
      <c r="S152" t="s">
        <v>1561</v>
      </c>
      <c r="T152" t="s">
        <v>496</v>
      </c>
      <c r="U152" s="5">
        <v>3852.34</v>
      </c>
      <c r="V152" s="5">
        <v>2.0299999999999998</v>
      </c>
      <c r="W152" s="5">
        <v>12.074439</v>
      </c>
      <c r="X152" s="5">
        <v>109.168081</v>
      </c>
      <c r="Y152" s="5">
        <v>3850.3</v>
      </c>
      <c r="Z152" s="5">
        <v>12.219301</v>
      </c>
      <c r="AA152" s="5">
        <v>109.204751</v>
      </c>
      <c r="AB152" s="7">
        <f t="shared" si="13"/>
        <v>3.045E-3</v>
      </c>
      <c r="AC152" s="7">
        <f t="shared" si="14"/>
        <v>5.7754500000000011</v>
      </c>
      <c r="AD152" s="6" t="str">
        <f t="shared" si="15"/>
        <v>1.CAT Khánh Hòa</v>
      </c>
      <c r="AE152" s="6" t="str">
        <f t="shared" si="16"/>
        <v>Cam Lâm</v>
      </c>
      <c r="AG152">
        <f t="shared" si="17"/>
        <v>2.0299999999999997E-3</v>
      </c>
      <c r="AH152">
        <f t="shared" si="18"/>
        <v>3.8503000000000003</v>
      </c>
    </row>
    <row r="153" spans="1:34" x14ac:dyDescent="0.25">
      <c r="A153" t="s">
        <v>1562</v>
      </c>
      <c r="B153" t="s">
        <v>562</v>
      </c>
      <c r="C153" t="s">
        <v>563</v>
      </c>
      <c r="D153" t="s">
        <v>776</v>
      </c>
      <c r="E153" t="s">
        <v>777</v>
      </c>
      <c r="F153" t="s">
        <v>1563</v>
      </c>
      <c r="G153" t="s">
        <v>15979</v>
      </c>
      <c r="H153" t="s">
        <v>15980</v>
      </c>
      <c r="I153" t="s">
        <v>15983</v>
      </c>
      <c r="J153" t="s">
        <v>23</v>
      </c>
      <c r="L153" s="8" t="s">
        <v>1564</v>
      </c>
      <c r="M153" t="s">
        <v>1565</v>
      </c>
      <c r="N153" t="s">
        <v>1566</v>
      </c>
      <c r="O153" t="s">
        <v>1567</v>
      </c>
      <c r="P153" t="s">
        <v>1568</v>
      </c>
      <c r="Q153" t="s">
        <v>1569</v>
      </c>
      <c r="R153" t="s">
        <v>1570</v>
      </c>
      <c r="S153" t="s">
        <v>1571</v>
      </c>
      <c r="T153" t="s">
        <v>1572</v>
      </c>
      <c r="U153" s="5">
        <v>14774.74</v>
      </c>
      <c r="V153" s="5">
        <v>14507.25</v>
      </c>
      <c r="W153" s="5">
        <v>12.509475</v>
      </c>
      <c r="X153" s="5">
        <v>109.137231</v>
      </c>
      <c r="Y153" s="5">
        <v>267.49</v>
      </c>
      <c r="Z153" s="5">
        <v>12.689125000000001</v>
      </c>
      <c r="AA153" s="5">
        <v>109.21910099999999</v>
      </c>
      <c r="AB153" s="7">
        <f t="shared" si="13"/>
        <v>21.760874999999999</v>
      </c>
      <c r="AC153" s="7">
        <f t="shared" si="14"/>
        <v>0.40123500000000001</v>
      </c>
      <c r="AD153" s="6" t="str">
        <f t="shared" si="15"/>
        <v>4.Ninh Hòa</v>
      </c>
      <c r="AE153" s="6" t="str">
        <f t="shared" si="16"/>
        <v>Vạn Ninh</v>
      </c>
      <c r="AG153">
        <f t="shared" si="17"/>
        <v>14.507250000000001</v>
      </c>
      <c r="AH153">
        <f t="shared" si="18"/>
        <v>0.26749000000000001</v>
      </c>
    </row>
    <row r="154" spans="1:34" x14ac:dyDescent="0.25">
      <c r="A154" t="s">
        <v>1573</v>
      </c>
      <c r="B154" t="s">
        <v>776</v>
      </c>
      <c r="C154" t="s">
        <v>777</v>
      </c>
      <c r="D154" t="s">
        <v>1574</v>
      </c>
      <c r="E154" t="s">
        <v>1575</v>
      </c>
      <c r="F154" t="s">
        <v>1576</v>
      </c>
      <c r="G154" t="s">
        <v>15979</v>
      </c>
      <c r="H154" t="s">
        <v>15980</v>
      </c>
      <c r="I154" t="s">
        <v>15984</v>
      </c>
      <c r="J154" t="s">
        <v>23</v>
      </c>
      <c r="L154" s="8" t="s">
        <v>781</v>
      </c>
      <c r="M154" t="s">
        <v>1577</v>
      </c>
      <c r="N154" t="s">
        <v>1578</v>
      </c>
      <c r="O154" t="s">
        <v>1579</v>
      </c>
      <c r="P154" t="s">
        <v>1580</v>
      </c>
      <c r="Q154" t="s">
        <v>1581</v>
      </c>
      <c r="R154" t="s">
        <v>1582</v>
      </c>
      <c r="S154" t="s">
        <v>1583</v>
      </c>
      <c r="T154" t="s">
        <v>1584</v>
      </c>
      <c r="U154" s="5">
        <v>368.28</v>
      </c>
      <c r="V154" s="5">
        <v>267.48</v>
      </c>
      <c r="W154" s="5">
        <v>12.689116</v>
      </c>
      <c r="X154" s="5">
        <v>109.219109</v>
      </c>
      <c r="Y154" s="5">
        <v>100.8</v>
      </c>
      <c r="Z154" s="5">
        <v>12.64448</v>
      </c>
      <c r="AA154" s="5">
        <v>109.194801</v>
      </c>
      <c r="AB154" s="7">
        <f t="shared" si="13"/>
        <v>0.40122000000000002</v>
      </c>
      <c r="AC154" s="7">
        <f t="shared" si="14"/>
        <v>0.1512</v>
      </c>
      <c r="AD154" s="6" t="str">
        <f t="shared" si="15"/>
        <v>4.CA Vạn Hưng</v>
      </c>
      <c r="AE154" s="6" t="str">
        <f t="shared" si="16"/>
        <v>CA Vạn Ninh</v>
      </c>
      <c r="AG154">
        <f t="shared" si="17"/>
        <v>0.26748</v>
      </c>
      <c r="AH154">
        <f t="shared" si="18"/>
        <v>0.1008</v>
      </c>
    </row>
    <row r="155" spans="1:34" x14ac:dyDescent="0.25">
      <c r="A155" t="s">
        <v>1585</v>
      </c>
      <c r="B155" t="s">
        <v>577</v>
      </c>
      <c r="C155" t="s">
        <v>578</v>
      </c>
      <c r="D155" t="s">
        <v>94</v>
      </c>
      <c r="E155" t="s">
        <v>95</v>
      </c>
      <c r="F155" t="s">
        <v>1586</v>
      </c>
      <c r="G155" t="s">
        <v>15979</v>
      </c>
      <c r="H155" t="s">
        <v>15980</v>
      </c>
      <c r="I155" t="s">
        <v>15985</v>
      </c>
      <c r="J155" t="s">
        <v>23</v>
      </c>
      <c r="L155" s="8" t="s">
        <v>1587</v>
      </c>
      <c r="M155" t="s">
        <v>1588</v>
      </c>
      <c r="N155" t="s">
        <v>1589</v>
      </c>
      <c r="O155" t="s">
        <v>1590</v>
      </c>
      <c r="P155" t="s">
        <v>1591</v>
      </c>
      <c r="Q155" t="s">
        <v>1592</v>
      </c>
      <c r="R155" t="s">
        <v>1593</v>
      </c>
      <c r="S155" t="s">
        <v>1594</v>
      </c>
      <c r="T155" t="s">
        <v>1595</v>
      </c>
      <c r="U155" s="5">
        <v>2205.54</v>
      </c>
      <c r="V155" s="5">
        <v>693.41</v>
      </c>
      <c r="W155" s="5">
        <v>12.504054999999999</v>
      </c>
      <c r="X155" s="5">
        <v>109.14014899999999</v>
      </c>
      <c r="Y155" s="5">
        <v>1512.13</v>
      </c>
      <c r="Z155" s="5">
        <v>12.265585</v>
      </c>
      <c r="AA155" s="5">
        <v>109.196157</v>
      </c>
      <c r="AB155" s="7">
        <f t="shared" si="13"/>
        <v>1.0401149999999999</v>
      </c>
      <c r="AC155" s="7">
        <f t="shared" si="14"/>
        <v>2.268195</v>
      </c>
      <c r="AD155" s="6" t="str">
        <f t="shared" si="15"/>
        <v>5.Vạn Ninh</v>
      </c>
      <c r="AE155" s="6" t="str">
        <f t="shared" si="16"/>
        <v>CAT Khánh Hòa</v>
      </c>
      <c r="AG155">
        <f t="shared" si="17"/>
        <v>0.69340999999999997</v>
      </c>
      <c r="AH155">
        <f t="shared" si="18"/>
        <v>1.5121300000000002</v>
      </c>
    </row>
    <row r="156" spans="1:34" x14ac:dyDescent="0.25">
      <c r="A156" t="s">
        <v>1596</v>
      </c>
      <c r="B156" t="s">
        <v>562</v>
      </c>
      <c r="C156" t="s">
        <v>563</v>
      </c>
      <c r="D156" t="s">
        <v>577</v>
      </c>
      <c r="E156" t="s">
        <v>578</v>
      </c>
      <c r="F156" t="s">
        <v>1597</v>
      </c>
      <c r="G156" t="s">
        <v>15979</v>
      </c>
      <c r="H156" t="s">
        <v>15980</v>
      </c>
      <c r="I156" t="s">
        <v>15986</v>
      </c>
      <c r="J156" t="s">
        <v>23</v>
      </c>
      <c r="L156" s="8" t="s">
        <v>1200</v>
      </c>
      <c r="M156" t="s">
        <v>1598</v>
      </c>
      <c r="N156" t="s">
        <v>1205</v>
      </c>
      <c r="O156" t="s">
        <v>1206</v>
      </c>
      <c r="P156" t="s">
        <v>1207</v>
      </c>
      <c r="Q156" t="s">
        <v>1599</v>
      </c>
      <c r="R156" t="s">
        <v>1600</v>
      </c>
      <c r="S156" t="s">
        <v>1601</v>
      </c>
      <c r="T156" t="s">
        <v>1208</v>
      </c>
      <c r="U156" s="5">
        <v>7029.57</v>
      </c>
      <c r="V156" s="5">
        <v>4.59</v>
      </c>
      <c r="W156" s="5">
        <v>12.540865</v>
      </c>
      <c r="X156" s="5">
        <v>109.00747800000001</v>
      </c>
      <c r="Y156" s="5">
        <v>7024.98</v>
      </c>
      <c r="Z156" s="5">
        <v>12.507222000000001</v>
      </c>
      <c r="AA156" s="5">
        <v>109.072838</v>
      </c>
      <c r="AB156" s="7">
        <f t="shared" si="13"/>
        <v>6.8849999999999996E-3</v>
      </c>
      <c r="AC156" s="7">
        <f t="shared" si="14"/>
        <v>10.537469999999999</v>
      </c>
      <c r="AD156" s="6" t="str">
        <f t="shared" si="15"/>
        <v>2.CA Nam Ninh Hòa</v>
      </c>
      <c r="AE156" s="6" t="str">
        <f t="shared" si="16"/>
        <v>CA Tây Ninh Hòa</v>
      </c>
      <c r="AG156">
        <f t="shared" si="17"/>
        <v>4.5899999999999995E-3</v>
      </c>
      <c r="AH156">
        <f t="shared" si="18"/>
        <v>7.0249799999999993</v>
      </c>
    </row>
    <row r="157" spans="1:34" x14ac:dyDescent="0.25">
      <c r="A157" t="s">
        <v>1585</v>
      </c>
      <c r="B157" t="s">
        <v>577</v>
      </c>
      <c r="C157" t="s">
        <v>578</v>
      </c>
      <c r="D157" t="s">
        <v>94</v>
      </c>
      <c r="E157" t="s">
        <v>95</v>
      </c>
      <c r="F157" t="s">
        <v>1586</v>
      </c>
      <c r="G157" t="s">
        <v>15979</v>
      </c>
      <c r="H157" t="s">
        <v>15980</v>
      </c>
      <c r="I157" t="s">
        <v>15985</v>
      </c>
      <c r="J157" t="s">
        <v>23</v>
      </c>
      <c r="L157" s="8" t="s">
        <v>1587</v>
      </c>
      <c r="M157" t="s">
        <v>1588</v>
      </c>
      <c r="N157" t="s">
        <v>1589</v>
      </c>
      <c r="O157" t="s">
        <v>1590</v>
      </c>
      <c r="P157" t="s">
        <v>1591</v>
      </c>
      <c r="Q157" t="s">
        <v>1592</v>
      </c>
      <c r="R157" t="s">
        <v>1593</v>
      </c>
      <c r="S157" t="s">
        <v>1594</v>
      </c>
      <c r="T157" t="s">
        <v>1595</v>
      </c>
      <c r="U157" s="5">
        <v>2205.54</v>
      </c>
      <c r="V157" s="5">
        <v>693.41</v>
      </c>
      <c r="W157" s="5">
        <v>12.504054999999999</v>
      </c>
      <c r="X157" s="5">
        <v>109.14014899999999</v>
      </c>
      <c r="Y157" s="5">
        <v>1512.13</v>
      </c>
      <c r="Z157" s="5">
        <v>12.265585</v>
      </c>
      <c r="AA157" s="5">
        <v>109.196157</v>
      </c>
      <c r="AB157" s="7">
        <f t="shared" si="13"/>
        <v>1.0401149999999999</v>
      </c>
      <c r="AC157" s="7">
        <f t="shared" si="14"/>
        <v>2.268195</v>
      </c>
      <c r="AD157" s="6" t="str">
        <f t="shared" si="15"/>
        <v>5.Vạn Ninh</v>
      </c>
      <c r="AE157" s="6" t="str">
        <f t="shared" si="16"/>
        <v>CAT Khánh Hòa</v>
      </c>
      <c r="AG157">
        <f t="shared" si="17"/>
        <v>0.69340999999999997</v>
      </c>
      <c r="AH157">
        <f t="shared" si="18"/>
        <v>1.5121300000000002</v>
      </c>
    </row>
    <row r="158" spans="1:34" x14ac:dyDescent="0.25">
      <c r="A158" t="s">
        <v>1602</v>
      </c>
      <c r="B158" t="s">
        <v>391</v>
      </c>
      <c r="C158" t="s">
        <v>392</v>
      </c>
      <c r="D158" t="s">
        <v>77</v>
      </c>
      <c r="E158" t="s">
        <v>78</v>
      </c>
      <c r="F158" t="s">
        <v>1603</v>
      </c>
      <c r="G158" t="s">
        <v>15979</v>
      </c>
      <c r="H158" t="s">
        <v>15980</v>
      </c>
      <c r="I158" t="s">
        <v>15987</v>
      </c>
      <c r="J158" t="s">
        <v>23</v>
      </c>
      <c r="L158" s="8" t="s">
        <v>1604</v>
      </c>
      <c r="M158" t="s">
        <v>1605</v>
      </c>
      <c r="N158" t="s">
        <v>1606</v>
      </c>
      <c r="O158" t="s">
        <v>1607</v>
      </c>
      <c r="P158" t="s">
        <v>1608</v>
      </c>
      <c r="Q158" t="s">
        <v>1609</v>
      </c>
      <c r="R158" t="s">
        <v>1610</v>
      </c>
      <c r="S158" t="s">
        <v>1611</v>
      </c>
      <c r="T158" t="s">
        <v>1612</v>
      </c>
      <c r="U158" s="5">
        <v>13250.83</v>
      </c>
      <c r="V158" s="5">
        <v>748.2</v>
      </c>
      <c r="W158" s="5">
        <v>12.262793</v>
      </c>
      <c r="X158" s="5">
        <v>109.03595900000001</v>
      </c>
      <c r="Y158" s="5">
        <v>12502.63</v>
      </c>
      <c r="Z158" s="5">
        <v>12.248526</v>
      </c>
      <c r="AA158" s="5">
        <v>109.08605</v>
      </c>
      <c r="AB158" s="7">
        <f t="shared" si="13"/>
        <v>1.1223000000000001</v>
      </c>
      <c r="AC158" s="7">
        <f t="shared" si="14"/>
        <v>18.753944999999998</v>
      </c>
      <c r="AD158" s="6" t="str">
        <f t="shared" si="15"/>
        <v>4.CA Diên Thọ</v>
      </c>
      <c r="AE158" s="6" t="str">
        <f t="shared" si="16"/>
        <v>CA Diên Khánh</v>
      </c>
      <c r="AG158">
        <f t="shared" si="17"/>
        <v>0.74820000000000009</v>
      </c>
      <c r="AH158">
        <f t="shared" si="18"/>
        <v>12.50263</v>
      </c>
    </row>
    <row r="159" spans="1:34" x14ac:dyDescent="0.25">
      <c r="A159" t="s">
        <v>1613</v>
      </c>
      <c r="B159" t="s">
        <v>617</v>
      </c>
      <c r="C159" t="s">
        <v>618</v>
      </c>
      <c r="D159" t="s">
        <v>360</v>
      </c>
      <c r="E159" t="s">
        <v>361</v>
      </c>
      <c r="F159" t="s">
        <v>1614</v>
      </c>
      <c r="G159" t="s">
        <v>15979</v>
      </c>
      <c r="H159" t="s">
        <v>15980</v>
      </c>
      <c r="I159" t="s">
        <v>15988</v>
      </c>
      <c r="J159" t="s">
        <v>23</v>
      </c>
      <c r="L159" s="8" t="s">
        <v>906</v>
      </c>
      <c r="M159" t="s">
        <v>1615</v>
      </c>
      <c r="N159" t="s">
        <v>1616</v>
      </c>
      <c r="O159" t="s">
        <v>1617</v>
      </c>
      <c r="P159" t="s">
        <v>1618</v>
      </c>
      <c r="Q159" t="s">
        <v>908</v>
      </c>
      <c r="R159" t="s">
        <v>909</v>
      </c>
      <c r="S159" t="s">
        <v>910</v>
      </c>
      <c r="T159" t="s">
        <v>914</v>
      </c>
      <c r="U159" s="5">
        <v>445.58</v>
      </c>
      <c r="V159" s="5">
        <v>320.16000000000003</v>
      </c>
      <c r="W159" s="5">
        <v>11.923038</v>
      </c>
      <c r="X159" s="5">
        <v>109.165192</v>
      </c>
      <c r="Y159" s="5">
        <v>125.41</v>
      </c>
      <c r="Z159" s="5">
        <v>11.976637</v>
      </c>
      <c r="AA159" s="5">
        <v>109.19564699999999</v>
      </c>
      <c r="AB159" s="7">
        <f t="shared" si="13"/>
        <v>0.48024</v>
      </c>
      <c r="AC159" s="7">
        <f t="shared" si="14"/>
        <v>0.188115</v>
      </c>
      <c r="AD159" s="6" t="str">
        <f t="shared" si="15"/>
        <v>1.CA Cam Ranh</v>
      </c>
      <c r="AE159" s="6" t="str">
        <f t="shared" si="16"/>
        <v>CA Bắc Cam Ranh</v>
      </c>
      <c r="AG159">
        <f t="shared" si="17"/>
        <v>0.32016</v>
      </c>
      <c r="AH159">
        <f t="shared" si="18"/>
        <v>0.12540999999999999</v>
      </c>
    </row>
    <row r="160" spans="1:34" x14ac:dyDescent="0.25">
      <c r="A160" t="s">
        <v>1619</v>
      </c>
      <c r="B160" t="s">
        <v>360</v>
      </c>
      <c r="C160" t="s">
        <v>361</v>
      </c>
      <c r="D160" t="s">
        <v>800</v>
      </c>
      <c r="E160" t="s">
        <v>801</v>
      </c>
      <c r="F160" t="s">
        <v>1620</v>
      </c>
      <c r="G160" t="s">
        <v>15979</v>
      </c>
      <c r="H160" t="s">
        <v>15980</v>
      </c>
      <c r="I160" t="s">
        <v>15989</v>
      </c>
      <c r="J160" t="s">
        <v>23</v>
      </c>
      <c r="L160" s="8" t="s">
        <v>881</v>
      </c>
      <c r="M160" t="s">
        <v>1621</v>
      </c>
      <c r="N160" t="s">
        <v>883</v>
      </c>
      <c r="O160" t="s">
        <v>884</v>
      </c>
      <c r="P160" t="s">
        <v>885</v>
      </c>
      <c r="Q160" t="s">
        <v>931</v>
      </c>
      <c r="R160" t="s">
        <v>932</v>
      </c>
      <c r="S160" t="s">
        <v>933</v>
      </c>
      <c r="T160" t="s">
        <v>889</v>
      </c>
      <c r="U160" s="5">
        <v>680.22</v>
      </c>
      <c r="V160" s="5">
        <v>674.9</v>
      </c>
      <c r="W160" s="5">
        <v>11.970426</v>
      </c>
      <c r="X160" s="5">
        <v>109.192857</v>
      </c>
      <c r="Y160" s="5">
        <v>5.32</v>
      </c>
      <c r="Z160" s="5">
        <v>12.074472</v>
      </c>
      <c r="AA160" s="5">
        <v>109.168063</v>
      </c>
      <c r="AB160" s="7">
        <f t="shared" si="13"/>
        <v>1.0123499999999999</v>
      </c>
      <c r="AC160" s="7">
        <f t="shared" si="14"/>
        <v>7.980000000000001E-3</v>
      </c>
      <c r="AD160" s="6" t="str">
        <f t="shared" si="15"/>
        <v>2.Cam Lâm</v>
      </c>
      <c r="AE160" s="6" t="str">
        <f t="shared" si="16"/>
        <v>Cam Ranh</v>
      </c>
      <c r="AG160">
        <f t="shared" si="17"/>
        <v>0.67489999999999994</v>
      </c>
      <c r="AH160">
        <f t="shared" si="18"/>
        <v>5.3200000000000001E-3</v>
      </c>
    </row>
    <row r="161" spans="1:34" x14ac:dyDescent="0.25">
      <c r="A161" t="s">
        <v>1622</v>
      </c>
      <c r="B161" t="s">
        <v>562</v>
      </c>
      <c r="C161" t="s">
        <v>563</v>
      </c>
      <c r="D161" t="s">
        <v>1623</v>
      </c>
      <c r="E161" t="s">
        <v>1624</v>
      </c>
      <c r="F161" t="s">
        <v>1625</v>
      </c>
      <c r="G161" t="s">
        <v>15979</v>
      </c>
      <c r="H161" t="s">
        <v>15980</v>
      </c>
      <c r="I161" t="s">
        <v>15990</v>
      </c>
      <c r="J161" t="s">
        <v>23</v>
      </c>
      <c r="L161" s="8" t="s">
        <v>1200</v>
      </c>
      <c r="M161" t="s">
        <v>1626</v>
      </c>
      <c r="N161" t="s">
        <v>1205</v>
      </c>
      <c r="O161" t="s">
        <v>1206</v>
      </c>
      <c r="P161" t="s">
        <v>1207</v>
      </c>
      <c r="Q161" t="s">
        <v>1627</v>
      </c>
      <c r="R161" t="s">
        <v>1600</v>
      </c>
      <c r="S161" t="s">
        <v>1601</v>
      </c>
      <c r="T161" t="s">
        <v>1208</v>
      </c>
      <c r="U161" s="5">
        <v>5343.16</v>
      </c>
      <c r="V161" s="5">
        <v>4.59</v>
      </c>
      <c r="W161" s="5">
        <v>12.540865</v>
      </c>
      <c r="X161" s="5">
        <v>109.00747800000001</v>
      </c>
      <c r="Y161" s="5">
        <v>5338.57</v>
      </c>
      <c r="Z161" s="5">
        <v>12.507222000000001</v>
      </c>
      <c r="AA161" s="5">
        <v>109.072838</v>
      </c>
      <c r="AB161" s="7">
        <f t="shared" si="13"/>
        <v>6.8849999999999996E-3</v>
      </c>
      <c r="AC161" s="7">
        <f t="shared" si="14"/>
        <v>8.0078549999999993</v>
      </c>
      <c r="AD161" s="6" t="str">
        <f t="shared" si="15"/>
        <v>2.CA Nam Ninh Hòa</v>
      </c>
      <c r="AE161" s="6" t="str">
        <f t="shared" si="16"/>
        <v>CA Tây Ninh Hòa</v>
      </c>
      <c r="AG161">
        <f t="shared" si="17"/>
        <v>4.5899999999999995E-3</v>
      </c>
      <c r="AH161">
        <f t="shared" si="18"/>
        <v>5.3385699999999998</v>
      </c>
    </row>
    <row r="162" spans="1:34" x14ac:dyDescent="0.25">
      <c r="A162" t="s">
        <v>1628</v>
      </c>
      <c r="B162" t="s">
        <v>1184</v>
      </c>
      <c r="C162" t="s">
        <v>1185</v>
      </c>
      <c r="D162" t="s">
        <v>577</v>
      </c>
      <c r="E162" t="s">
        <v>578</v>
      </c>
      <c r="F162" t="s">
        <v>1629</v>
      </c>
      <c r="G162" t="s">
        <v>15979</v>
      </c>
      <c r="H162" t="s">
        <v>15980</v>
      </c>
      <c r="I162" t="s">
        <v>15991</v>
      </c>
      <c r="J162" t="s">
        <v>23</v>
      </c>
      <c r="L162" s="8" t="s">
        <v>595</v>
      </c>
      <c r="M162" t="s">
        <v>1630</v>
      </c>
      <c r="N162" t="s">
        <v>1631</v>
      </c>
      <c r="O162" t="s">
        <v>1632</v>
      </c>
      <c r="P162" t="s">
        <v>1633</v>
      </c>
      <c r="Q162" t="s">
        <v>597</v>
      </c>
      <c r="R162" t="s">
        <v>598</v>
      </c>
      <c r="S162" t="s">
        <v>599</v>
      </c>
      <c r="T162" t="s">
        <v>603</v>
      </c>
      <c r="U162" s="5">
        <v>5.79</v>
      </c>
      <c r="V162" s="5">
        <v>3.02</v>
      </c>
      <c r="W162" s="5">
        <v>12.480164</v>
      </c>
      <c r="X162" s="5">
        <v>109.13247200000001</v>
      </c>
      <c r="Y162" s="5">
        <v>2.77</v>
      </c>
      <c r="Z162" s="5">
        <v>12.509724</v>
      </c>
      <c r="AA162" s="5">
        <v>109.13747499999999</v>
      </c>
      <c r="AB162" s="7">
        <f t="shared" si="13"/>
        <v>4.5300000000000002E-3</v>
      </c>
      <c r="AC162" s="7">
        <f t="shared" si="14"/>
        <v>4.1549999999999998E-3</v>
      </c>
      <c r="AD162" s="6" t="str">
        <f t="shared" si="15"/>
        <v>1.CA Ninh Hòa</v>
      </c>
      <c r="AE162" s="6" t="str">
        <f t="shared" si="16"/>
        <v>CA Hòa Thắng_Cột trung thế</v>
      </c>
      <c r="AG162">
        <f t="shared" si="17"/>
        <v>3.0200000000000001E-3</v>
      </c>
      <c r="AH162">
        <f t="shared" si="18"/>
        <v>2.7699999999999999E-3</v>
      </c>
    </row>
    <row r="163" spans="1:34" x14ac:dyDescent="0.25">
      <c r="A163" t="s">
        <v>1634</v>
      </c>
      <c r="B163" t="s">
        <v>562</v>
      </c>
      <c r="C163" t="s">
        <v>563</v>
      </c>
      <c r="D163" t="s">
        <v>1635</v>
      </c>
      <c r="E163" t="s">
        <v>1636</v>
      </c>
      <c r="F163" t="s">
        <v>1637</v>
      </c>
      <c r="G163" t="s">
        <v>15979</v>
      </c>
      <c r="H163" t="s">
        <v>15980</v>
      </c>
      <c r="I163" t="s">
        <v>15992</v>
      </c>
      <c r="J163" t="s">
        <v>23</v>
      </c>
      <c r="L163" s="8" t="s">
        <v>1200</v>
      </c>
      <c r="M163" t="s">
        <v>1638</v>
      </c>
      <c r="N163" t="s">
        <v>1205</v>
      </c>
      <c r="O163" t="s">
        <v>1206</v>
      </c>
      <c r="P163" t="s">
        <v>1207</v>
      </c>
      <c r="Q163" t="s">
        <v>1639</v>
      </c>
      <c r="R163" t="s">
        <v>1600</v>
      </c>
      <c r="S163" t="s">
        <v>1601</v>
      </c>
      <c r="T163" t="s">
        <v>1208</v>
      </c>
      <c r="U163" s="5">
        <v>842.66</v>
      </c>
      <c r="V163" s="5">
        <v>4.59</v>
      </c>
      <c r="W163" s="5">
        <v>12.540865</v>
      </c>
      <c r="X163" s="5">
        <v>109.00747800000001</v>
      </c>
      <c r="Y163" s="5">
        <v>838.08</v>
      </c>
      <c r="Z163" s="5">
        <v>12.507222000000001</v>
      </c>
      <c r="AA163" s="5">
        <v>109.072838</v>
      </c>
      <c r="AB163" s="7">
        <f t="shared" si="13"/>
        <v>6.8849999999999996E-3</v>
      </c>
      <c r="AC163" s="7">
        <f t="shared" si="14"/>
        <v>1.25712</v>
      </c>
      <c r="AD163" s="6" t="str">
        <f t="shared" si="15"/>
        <v>2.CA Nam Ninh Hòa</v>
      </c>
      <c r="AE163" s="6" t="str">
        <f t="shared" si="16"/>
        <v>CA Tây Ninh Hòa</v>
      </c>
      <c r="AG163">
        <f t="shared" si="17"/>
        <v>4.5899999999999995E-3</v>
      </c>
      <c r="AH163">
        <f t="shared" si="18"/>
        <v>0.83808000000000005</v>
      </c>
    </row>
    <row r="164" spans="1:34" x14ac:dyDescent="0.25">
      <c r="A164" t="s">
        <v>1640</v>
      </c>
      <c r="B164" t="s">
        <v>577</v>
      </c>
      <c r="C164" t="s">
        <v>578</v>
      </c>
      <c r="D164" t="s">
        <v>1641</v>
      </c>
      <c r="E164" t="s">
        <v>1642</v>
      </c>
      <c r="F164" t="s">
        <v>1643</v>
      </c>
      <c r="G164" t="s">
        <v>15979</v>
      </c>
      <c r="H164" t="s">
        <v>15980</v>
      </c>
      <c r="I164" t="s">
        <v>15993</v>
      </c>
      <c r="J164" t="s">
        <v>23</v>
      </c>
      <c r="L164" s="8" t="s">
        <v>1587</v>
      </c>
      <c r="M164" t="s">
        <v>1644</v>
      </c>
      <c r="N164" t="s">
        <v>1589</v>
      </c>
      <c r="O164" t="s">
        <v>1590</v>
      </c>
      <c r="P164" t="s">
        <v>1591</v>
      </c>
      <c r="Q164" t="s">
        <v>1645</v>
      </c>
      <c r="R164" t="s">
        <v>1646</v>
      </c>
      <c r="S164" t="s">
        <v>1647</v>
      </c>
      <c r="T164" t="s">
        <v>1595</v>
      </c>
      <c r="U164" s="5">
        <v>1136.94</v>
      </c>
      <c r="V164" s="5">
        <v>693.41</v>
      </c>
      <c r="W164" s="5">
        <v>12.504054999999999</v>
      </c>
      <c r="X164" s="5">
        <v>109.14014899999999</v>
      </c>
      <c r="Y164" s="5">
        <v>443.53</v>
      </c>
      <c r="Z164" s="5">
        <v>12.420916</v>
      </c>
      <c r="AA164" s="5">
        <v>109.14434199999999</v>
      </c>
      <c r="AB164" s="7">
        <f t="shared" si="13"/>
        <v>1.0401149999999999</v>
      </c>
      <c r="AC164" s="7">
        <f t="shared" si="14"/>
        <v>0.66529499999999997</v>
      </c>
      <c r="AD164" s="6" t="str">
        <f t="shared" si="15"/>
        <v>5.Vạn Ninh</v>
      </c>
      <c r="AE164" s="6" t="str">
        <f t="shared" si="16"/>
        <v>CAT Khánh Hòa</v>
      </c>
      <c r="AG164">
        <f t="shared" si="17"/>
        <v>0.69340999999999997</v>
      </c>
      <c r="AH164">
        <f t="shared" si="18"/>
        <v>0.44352999999999998</v>
      </c>
    </row>
    <row r="165" spans="1:34" x14ac:dyDescent="0.25">
      <c r="A165" t="s">
        <v>1648</v>
      </c>
      <c r="B165" t="s">
        <v>1649</v>
      </c>
      <c r="C165" t="s">
        <v>1650</v>
      </c>
      <c r="D165" t="s">
        <v>94</v>
      </c>
      <c r="E165" t="s">
        <v>95</v>
      </c>
      <c r="F165" t="s">
        <v>1651</v>
      </c>
      <c r="G165" t="s">
        <v>15979</v>
      </c>
      <c r="H165" t="s">
        <v>15980</v>
      </c>
      <c r="I165" t="s">
        <v>15994</v>
      </c>
      <c r="J165" t="s">
        <v>23</v>
      </c>
      <c r="L165" s="8" t="s">
        <v>1587</v>
      </c>
      <c r="M165" t="s">
        <v>1652</v>
      </c>
      <c r="N165" t="s">
        <v>1653</v>
      </c>
      <c r="O165" t="s">
        <v>1654</v>
      </c>
      <c r="P165" t="s">
        <v>1655</v>
      </c>
      <c r="Q165" t="s">
        <v>1592</v>
      </c>
      <c r="R165" t="s">
        <v>1593</v>
      </c>
      <c r="S165" t="s">
        <v>1594</v>
      </c>
      <c r="T165" t="s">
        <v>1595</v>
      </c>
      <c r="U165" s="5">
        <v>1629.35</v>
      </c>
      <c r="V165" s="5">
        <v>117.23</v>
      </c>
      <c r="W165" s="5">
        <v>12.338984999999999</v>
      </c>
      <c r="X165" s="5">
        <v>109.19412199999999</v>
      </c>
      <c r="Y165" s="5">
        <v>1512.13</v>
      </c>
      <c r="Z165" s="5">
        <v>12.265585</v>
      </c>
      <c r="AA165" s="5">
        <v>109.196157</v>
      </c>
      <c r="AB165" s="7">
        <f t="shared" si="13"/>
        <v>0.175845</v>
      </c>
      <c r="AC165" s="7">
        <f t="shared" si="14"/>
        <v>2.268195</v>
      </c>
      <c r="AD165" s="6" t="str">
        <f t="shared" si="15"/>
        <v>5.Vạn Ninh</v>
      </c>
      <c r="AE165" s="6" t="str">
        <f t="shared" si="16"/>
        <v>CAT Khánh Hòa</v>
      </c>
      <c r="AG165">
        <f t="shared" si="17"/>
        <v>0.11723</v>
      </c>
      <c r="AH165">
        <f t="shared" si="18"/>
        <v>1.5121300000000002</v>
      </c>
    </row>
    <row r="166" spans="1:34" x14ac:dyDescent="0.25">
      <c r="A166" t="s">
        <v>1656</v>
      </c>
      <c r="B166" t="s">
        <v>562</v>
      </c>
      <c r="C166" t="s">
        <v>563</v>
      </c>
      <c r="D166" t="s">
        <v>1657</v>
      </c>
      <c r="E166" t="s">
        <v>1658</v>
      </c>
      <c r="F166" t="s">
        <v>1659</v>
      </c>
      <c r="G166" t="s">
        <v>15979</v>
      </c>
      <c r="H166" t="s">
        <v>15980</v>
      </c>
      <c r="I166" t="s">
        <v>15995</v>
      </c>
      <c r="J166" t="s">
        <v>23</v>
      </c>
      <c r="L166" s="8" t="s">
        <v>1200</v>
      </c>
      <c r="M166" t="s">
        <v>1660</v>
      </c>
      <c r="N166" t="s">
        <v>1205</v>
      </c>
      <c r="O166" t="s">
        <v>1206</v>
      </c>
      <c r="P166" t="s">
        <v>1207</v>
      </c>
      <c r="Q166" t="s">
        <v>1661</v>
      </c>
      <c r="R166" t="s">
        <v>1600</v>
      </c>
      <c r="S166" t="s">
        <v>1601</v>
      </c>
      <c r="T166" t="s">
        <v>1208</v>
      </c>
      <c r="U166" s="5">
        <v>3745.62</v>
      </c>
      <c r="V166" s="5">
        <v>4.59</v>
      </c>
      <c r="W166" s="5">
        <v>12.540865</v>
      </c>
      <c r="X166" s="5">
        <v>109.00747800000001</v>
      </c>
      <c r="Y166" s="5">
        <v>3741.03</v>
      </c>
      <c r="Z166" s="5">
        <v>12.507222000000001</v>
      </c>
      <c r="AA166" s="5">
        <v>109.072838</v>
      </c>
      <c r="AB166" s="7">
        <f t="shared" si="13"/>
        <v>6.8849999999999996E-3</v>
      </c>
      <c r="AC166" s="7">
        <f t="shared" si="14"/>
        <v>5.6115450000000004</v>
      </c>
      <c r="AD166" s="6" t="str">
        <f t="shared" si="15"/>
        <v>2.CA Nam Ninh Hòa</v>
      </c>
      <c r="AE166" s="6" t="str">
        <f t="shared" si="16"/>
        <v>CA Tây Ninh Hòa</v>
      </c>
      <c r="AG166">
        <f t="shared" si="17"/>
        <v>4.5899999999999995E-3</v>
      </c>
      <c r="AH166">
        <f t="shared" si="18"/>
        <v>3.7410300000000003</v>
      </c>
    </row>
    <row r="167" spans="1:34" x14ac:dyDescent="0.25">
      <c r="A167" t="s">
        <v>1662</v>
      </c>
      <c r="B167" t="s">
        <v>1219</v>
      </c>
      <c r="C167" t="s">
        <v>1220</v>
      </c>
      <c r="D167" t="s">
        <v>577</v>
      </c>
      <c r="E167" t="s">
        <v>578</v>
      </c>
      <c r="F167" t="s">
        <v>1663</v>
      </c>
      <c r="G167" t="s">
        <v>15979</v>
      </c>
      <c r="H167" t="s">
        <v>15980</v>
      </c>
      <c r="I167" t="s">
        <v>15996</v>
      </c>
      <c r="J167" t="s">
        <v>23</v>
      </c>
      <c r="L167" s="8" t="s">
        <v>582</v>
      </c>
      <c r="M167" t="s">
        <v>1664</v>
      </c>
      <c r="N167" t="s">
        <v>1226</v>
      </c>
      <c r="O167" t="s">
        <v>1227</v>
      </c>
      <c r="P167" t="s">
        <v>1228</v>
      </c>
      <c r="Q167" t="s">
        <v>1665</v>
      </c>
      <c r="R167" t="s">
        <v>1666</v>
      </c>
      <c r="S167" t="s">
        <v>1667</v>
      </c>
      <c r="T167" t="s">
        <v>1229</v>
      </c>
      <c r="U167" s="5">
        <v>1612.06</v>
      </c>
      <c r="V167" s="5">
        <v>381.98</v>
      </c>
      <c r="W167" s="5">
        <v>12.49287</v>
      </c>
      <c r="X167" s="5">
        <v>109.11403300000001</v>
      </c>
      <c r="Y167" s="5">
        <v>1230.07</v>
      </c>
      <c r="Z167" s="5">
        <v>12.499727999999999</v>
      </c>
      <c r="AA167" s="5">
        <v>109.13266</v>
      </c>
      <c r="AB167" s="7">
        <f t="shared" si="13"/>
        <v>0.57296999999999998</v>
      </c>
      <c r="AC167" s="7">
        <f t="shared" si="14"/>
        <v>1.845105</v>
      </c>
      <c r="AD167" s="6" t="str">
        <f t="shared" si="15"/>
        <v>3.CA Tân Định</v>
      </c>
      <c r="AE167" s="6" t="str">
        <f t="shared" si="16"/>
        <v>CA Ninh Hòa</v>
      </c>
      <c r="AG167">
        <f t="shared" si="17"/>
        <v>0.38198000000000004</v>
      </c>
      <c r="AH167">
        <f t="shared" si="18"/>
        <v>1.23007</v>
      </c>
    </row>
    <row r="168" spans="1:34" x14ac:dyDescent="0.25">
      <c r="A168" t="s">
        <v>1668</v>
      </c>
      <c r="B168" t="s">
        <v>776</v>
      </c>
      <c r="C168" t="s">
        <v>777</v>
      </c>
      <c r="D168" t="s">
        <v>1669</v>
      </c>
      <c r="E168" t="s">
        <v>1670</v>
      </c>
      <c r="F168" t="s">
        <v>1671</v>
      </c>
      <c r="G168" t="s">
        <v>15979</v>
      </c>
      <c r="H168" t="s">
        <v>15980</v>
      </c>
      <c r="I168" t="s">
        <v>15997</v>
      </c>
      <c r="J168" t="s">
        <v>23</v>
      </c>
      <c r="L168" s="8" t="s">
        <v>1045</v>
      </c>
      <c r="M168" t="s">
        <v>1672</v>
      </c>
      <c r="N168" t="s">
        <v>1050</v>
      </c>
      <c r="O168" t="s">
        <v>1051</v>
      </c>
      <c r="P168" t="s">
        <v>1052</v>
      </c>
      <c r="Q168" t="s">
        <v>1673</v>
      </c>
      <c r="R168" t="s">
        <v>1674</v>
      </c>
      <c r="S168" t="s">
        <v>1675</v>
      </c>
      <c r="T168" t="s">
        <v>1053</v>
      </c>
      <c r="U168" s="5">
        <v>1164.23</v>
      </c>
      <c r="V168" s="5">
        <v>487.03</v>
      </c>
      <c r="W168" s="5">
        <v>12.693424</v>
      </c>
      <c r="X168" s="5">
        <v>109.21732799999999</v>
      </c>
      <c r="Y168" s="5">
        <v>677.21</v>
      </c>
      <c r="Z168" s="5">
        <v>12.731598</v>
      </c>
      <c r="AA168" s="5">
        <v>109.264076</v>
      </c>
      <c r="AB168" s="7">
        <f t="shared" si="13"/>
        <v>0.730545</v>
      </c>
      <c r="AC168" s="7">
        <f t="shared" si="14"/>
        <v>1.0158150000000001</v>
      </c>
      <c r="AD168" s="6" t="str">
        <f t="shared" si="15"/>
        <v>4.CA Đại Lãnh</v>
      </c>
      <c r="AE168" s="6" t="str">
        <f t="shared" si="16"/>
        <v>CA Vạn Ninh</v>
      </c>
      <c r="AG168">
        <f t="shared" si="17"/>
        <v>0.48702999999999996</v>
      </c>
      <c r="AH168">
        <f t="shared" si="18"/>
        <v>0.67721000000000009</v>
      </c>
    </row>
    <row r="169" spans="1:34" x14ac:dyDescent="0.25">
      <c r="A169" t="s">
        <v>1676</v>
      </c>
      <c r="B169" t="s">
        <v>1677</v>
      </c>
      <c r="C169" t="s">
        <v>1678</v>
      </c>
      <c r="D169" t="s">
        <v>1679</v>
      </c>
      <c r="E169" t="s">
        <v>1680</v>
      </c>
      <c r="F169" t="s">
        <v>1681</v>
      </c>
      <c r="G169" t="s">
        <v>15979</v>
      </c>
      <c r="H169" t="s">
        <v>15980</v>
      </c>
      <c r="I169" t="s">
        <v>15998</v>
      </c>
      <c r="J169" t="s">
        <v>23</v>
      </c>
      <c r="L169" s="8" t="s">
        <v>1682</v>
      </c>
      <c r="M169" t="s">
        <v>1683</v>
      </c>
      <c r="N169" t="s">
        <v>1684</v>
      </c>
      <c r="O169" t="s">
        <v>1685</v>
      </c>
      <c r="P169" t="s">
        <v>1686</v>
      </c>
      <c r="Q169" t="s">
        <v>1687</v>
      </c>
      <c r="R169" t="s">
        <v>1688</v>
      </c>
      <c r="S169" t="s">
        <v>1689</v>
      </c>
      <c r="T169" t="s">
        <v>1690</v>
      </c>
      <c r="U169" s="5">
        <v>8.64</v>
      </c>
      <c r="V169" s="5">
        <v>2.08</v>
      </c>
      <c r="W169" s="5">
        <v>12.778815</v>
      </c>
      <c r="X169" s="5">
        <v>109.312718</v>
      </c>
      <c r="Y169" s="5">
        <v>6.55</v>
      </c>
      <c r="Z169" s="5">
        <v>12.803207</v>
      </c>
      <c r="AA169" s="5">
        <v>109.33374000000001</v>
      </c>
      <c r="AB169" s="7">
        <f t="shared" si="13"/>
        <v>3.1199999999999999E-3</v>
      </c>
      <c r="AC169" s="7">
        <f t="shared" si="14"/>
        <v>9.8249999999999987E-3</v>
      </c>
      <c r="AD169" s="6" t="str">
        <f t="shared" si="15"/>
        <v>3.CA Tu Bông</v>
      </c>
      <c r="AE169" s="6" t="str">
        <f t="shared" si="16"/>
        <v>CA Đại Lãnh_Cột trung thế</v>
      </c>
      <c r="AG169">
        <f t="shared" si="17"/>
        <v>2.0800000000000003E-3</v>
      </c>
      <c r="AH169">
        <f t="shared" si="18"/>
        <v>6.5499999999999994E-3</v>
      </c>
    </row>
    <row r="170" spans="1:34" x14ac:dyDescent="0.25">
      <c r="A170" t="s">
        <v>1691</v>
      </c>
      <c r="B170" t="s">
        <v>1679</v>
      </c>
      <c r="C170" t="s">
        <v>1680</v>
      </c>
      <c r="D170" t="s">
        <v>1574</v>
      </c>
      <c r="E170" t="s">
        <v>1575</v>
      </c>
      <c r="F170" t="s">
        <v>1692</v>
      </c>
      <c r="G170" t="s">
        <v>15979</v>
      </c>
      <c r="H170" t="s">
        <v>15980</v>
      </c>
      <c r="I170" t="s">
        <v>15999</v>
      </c>
      <c r="J170" t="s">
        <v>23</v>
      </c>
      <c r="L170" s="8" t="s">
        <v>1045</v>
      </c>
      <c r="M170" t="s">
        <v>1693</v>
      </c>
      <c r="N170" t="s">
        <v>1694</v>
      </c>
      <c r="O170" t="s">
        <v>1695</v>
      </c>
      <c r="P170" t="s">
        <v>1696</v>
      </c>
      <c r="Q170" t="s">
        <v>1697</v>
      </c>
      <c r="R170" t="s">
        <v>1051</v>
      </c>
      <c r="S170" t="s">
        <v>1052</v>
      </c>
      <c r="T170" t="s">
        <v>1053</v>
      </c>
      <c r="U170" s="5">
        <v>5977.23</v>
      </c>
      <c r="V170" s="5">
        <v>6.73</v>
      </c>
      <c r="W170" s="5">
        <v>12.8032</v>
      </c>
      <c r="X170" s="5">
        <v>109.33373899999999</v>
      </c>
      <c r="Y170" s="5">
        <v>5970.5</v>
      </c>
      <c r="Z170" s="5">
        <v>12.693424</v>
      </c>
      <c r="AA170" s="5">
        <v>109.21732799999999</v>
      </c>
      <c r="AB170" s="7">
        <f t="shared" si="13"/>
        <v>1.0095E-2</v>
      </c>
      <c r="AC170" s="7">
        <f t="shared" si="14"/>
        <v>8.9557500000000001</v>
      </c>
      <c r="AD170" s="6" t="str">
        <f t="shared" si="15"/>
        <v>4.CA Đại Lãnh</v>
      </c>
      <c r="AE170" s="6" t="str">
        <f t="shared" si="16"/>
        <v>CA Vạn Ninh</v>
      </c>
      <c r="AG170">
        <f t="shared" si="17"/>
        <v>6.7300000000000007E-3</v>
      </c>
      <c r="AH170">
        <f t="shared" si="18"/>
        <v>5.9705000000000004</v>
      </c>
    </row>
    <row r="171" spans="1:34" x14ac:dyDescent="0.25">
      <c r="A171" t="s">
        <v>1698</v>
      </c>
      <c r="B171" t="s">
        <v>776</v>
      </c>
      <c r="C171" t="s">
        <v>777</v>
      </c>
      <c r="D171" t="s">
        <v>1699</v>
      </c>
      <c r="E171" t="s">
        <v>1700</v>
      </c>
      <c r="F171" t="s">
        <v>1701</v>
      </c>
      <c r="G171" t="s">
        <v>15979</v>
      </c>
      <c r="H171" t="s">
        <v>15980</v>
      </c>
      <c r="I171" t="s">
        <v>16000</v>
      </c>
      <c r="J171" t="s">
        <v>23</v>
      </c>
      <c r="L171" s="8" t="s">
        <v>1032</v>
      </c>
      <c r="M171" t="s">
        <v>1702</v>
      </c>
      <c r="N171" t="s">
        <v>1037</v>
      </c>
      <c r="O171" t="s">
        <v>1038</v>
      </c>
      <c r="P171" t="s">
        <v>1039</v>
      </c>
      <c r="Q171" t="s">
        <v>1703</v>
      </c>
      <c r="R171" t="s">
        <v>1704</v>
      </c>
      <c r="S171" t="s">
        <v>1705</v>
      </c>
      <c r="T171" t="s">
        <v>1040</v>
      </c>
      <c r="U171" s="5">
        <v>499.96</v>
      </c>
      <c r="V171" s="5">
        <v>3.57</v>
      </c>
      <c r="W171" s="5">
        <v>12.690783</v>
      </c>
      <c r="X171" s="5">
        <v>109.22087000000001</v>
      </c>
      <c r="Y171" s="5">
        <v>496.38</v>
      </c>
      <c r="Z171" s="5">
        <v>12.697971000000001</v>
      </c>
      <c r="AA171" s="5">
        <v>109.226242</v>
      </c>
      <c r="AB171" s="7">
        <f t="shared" si="13"/>
        <v>5.3549999999999995E-3</v>
      </c>
      <c r="AC171" s="7">
        <f t="shared" si="14"/>
        <v>0.74456999999999995</v>
      </c>
      <c r="AD171" s="6" t="str">
        <f t="shared" si="15"/>
        <v>1.CA Vạn Ninh</v>
      </c>
      <c r="AE171" s="6" t="str">
        <f t="shared" si="16"/>
        <v>CA Vạn Thắng_Cột trung thế</v>
      </c>
      <c r="AG171">
        <f t="shared" si="17"/>
        <v>3.5699999999999998E-3</v>
      </c>
      <c r="AH171">
        <f t="shared" si="18"/>
        <v>0.49637999999999999</v>
      </c>
    </row>
    <row r="172" spans="1:34" x14ac:dyDescent="0.25">
      <c r="A172" t="s">
        <v>1706</v>
      </c>
      <c r="B172" t="s">
        <v>1480</v>
      </c>
      <c r="C172" t="s">
        <v>1481</v>
      </c>
      <c r="D172" t="s">
        <v>1707</v>
      </c>
      <c r="E172" t="s">
        <v>1708</v>
      </c>
      <c r="F172" t="s">
        <v>1709</v>
      </c>
      <c r="G172" t="s">
        <v>15979</v>
      </c>
      <c r="H172" t="s">
        <v>15980</v>
      </c>
      <c r="I172" t="s">
        <v>16001</v>
      </c>
      <c r="J172" t="s">
        <v>23</v>
      </c>
      <c r="L172" s="8" t="s">
        <v>1710</v>
      </c>
      <c r="M172" t="s">
        <v>1711</v>
      </c>
      <c r="N172" t="s">
        <v>1712</v>
      </c>
      <c r="O172" t="s">
        <v>1713</v>
      </c>
      <c r="P172" t="s">
        <v>1714</v>
      </c>
      <c r="Q172" t="s">
        <v>1715</v>
      </c>
      <c r="R172" t="s">
        <v>1716</v>
      </c>
      <c r="S172" t="s">
        <v>1717</v>
      </c>
      <c r="T172" t="s">
        <v>1718</v>
      </c>
      <c r="U172" s="5">
        <v>1157.51</v>
      </c>
      <c r="V172" s="5">
        <v>5.23</v>
      </c>
      <c r="W172" s="5">
        <v>12.555443</v>
      </c>
      <c r="X172" s="5">
        <v>109.217606</v>
      </c>
      <c r="Y172" s="5">
        <v>1152.28</v>
      </c>
      <c r="Z172" s="5">
        <v>12.543041000000001</v>
      </c>
      <c r="AA172" s="5">
        <v>109.215219</v>
      </c>
      <c r="AB172" s="7">
        <f t="shared" si="13"/>
        <v>7.8450000000000013E-3</v>
      </c>
      <c r="AC172" s="7">
        <f t="shared" si="14"/>
        <v>1.7284200000000001</v>
      </c>
      <c r="AD172" s="6" t="str">
        <f t="shared" si="15"/>
        <v>1.CA Ninh Hòa</v>
      </c>
      <c r="AE172" s="6" t="str">
        <f t="shared" si="16"/>
        <v>CA Đông Ninh Hòa_Đoạn cột trung thế</v>
      </c>
      <c r="AG172">
        <f t="shared" si="17"/>
        <v>5.2300000000000003E-3</v>
      </c>
      <c r="AH172">
        <f t="shared" si="18"/>
        <v>1.15228</v>
      </c>
    </row>
    <row r="173" spans="1:34" x14ac:dyDescent="0.25">
      <c r="A173" t="s">
        <v>1719</v>
      </c>
      <c r="B173" t="s">
        <v>1720</v>
      </c>
      <c r="C173" t="s">
        <v>1721</v>
      </c>
      <c r="D173" t="s">
        <v>1722</v>
      </c>
      <c r="E173" t="s">
        <v>1723</v>
      </c>
      <c r="F173" t="s">
        <v>1724</v>
      </c>
      <c r="G173" t="s">
        <v>15979</v>
      </c>
      <c r="H173" t="s">
        <v>15980</v>
      </c>
      <c r="I173" t="s">
        <v>16002</v>
      </c>
      <c r="J173" t="s">
        <v>23</v>
      </c>
      <c r="L173" s="8" t="s">
        <v>767</v>
      </c>
      <c r="M173" t="s">
        <v>1725</v>
      </c>
      <c r="N173" t="s">
        <v>1726</v>
      </c>
      <c r="O173" t="s">
        <v>1727</v>
      </c>
      <c r="P173" t="s">
        <v>1728</v>
      </c>
      <c r="Q173" t="s">
        <v>1729</v>
      </c>
      <c r="R173" t="s">
        <v>1730</v>
      </c>
      <c r="S173" t="s">
        <v>1731</v>
      </c>
      <c r="T173" t="s">
        <v>774</v>
      </c>
      <c r="U173" s="5">
        <v>742.02</v>
      </c>
      <c r="V173" s="5">
        <v>467.73</v>
      </c>
      <c r="W173" s="5">
        <v>12.533543</v>
      </c>
      <c r="X173" s="5">
        <v>109.16426800000001</v>
      </c>
      <c r="Y173" s="5">
        <v>274.29000000000002</v>
      </c>
      <c r="Z173" s="5">
        <v>12.505212999999999</v>
      </c>
      <c r="AA173" s="5">
        <v>109.141811</v>
      </c>
      <c r="AB173" s="7">
        <f t="shared" si="13"/>
        <v>0.70159500000000008</v>
      </c>
      <c r="AC173" s="7">
        <f t="shared" si="14"/>
        <v>0.41143500000000005</v>
      </c>
      <c r="AD173" s="6" t="str">
        <f t="shared" si="15"/>
        <v>5.Trạm CSGT Ninh An cũ</v>
      </c>
      <c r="AE173" s="6" t="str">
        <f t="shared" si="16"/>
        <v>Ninh Hòa</v>
      </c>
      <c r="AG173">
        <f t="shared" si="17"/>
        <v>0.46773000000000003</v>
      </c>
      <c r="AH173">
        <f t="shared" si="18"/>
        <v>0.27429000000000003</v>
      </c>
    </row>
    <row r="174" spans="1:34" x14ac:dyDescent="0.25">
      <c r="A174" t="s">
        <v>1552</v>
      </c>
      <c r="B174" t="s">
        <v>77</v>
      </c>
      <c r="C174" t="s">
        <v>78</v>
      </c>
      <c r="D174" t="s">
        <v>94</v>
      </c>
      <c r="E174" t="s">
        <v>95</v>
      </c>
      <c r="F174" t="s">
        <v>1553</v>
      </c>
      <c r="G174" t="s">
        <v>15979</v>
      </c>
      <c r="H174" t="s">
        <v>15980</v>
      </c>
      <c r="I174" t="s">
        <v>15981</v>
      </c>
      <c r="J174" t="s">
        <v>23</v>
      </c>
      <c r="L174" s="8" t="s">
        <v>82</v>
      </c>
      <c r="M174" t="s">
        <v>1554</v>
      </c>
      <c r="N174" t="s">
        <v>84</v>
      </c>
      <c r="O174" t="s">
        <v>85</v>
      </c>
      <c r="P174" t="s">
        <v>86</v>
      </c>
      <c r="Q174" t="s">
        <v>1555</v>
      </c>
      <c r="R174" t="s">
        <v>1439</v>
      </c>
      <c r="S174" t="s">
        <v>1440</v>
      </c>
      <c r="T174" t="s">
        <v>90</v>
      </c>
      <c r="U174" s="5">
        <v>2190.4299999999998</v>
      </c>
      <c r="V174" s="5">
        <v>9.18</v>
      </c>
      <c r="W174" s="5">
        <v>12.175753</v>
      </c>
      <c r="X174" s="5">
        <v>109.173635</v>
      </c>
      <c r="Y174" s="5">
        <v>2181.2399999999998</v>
      </c>
      <c r="Z174" s="5">
        <v>12.235105000000001</v>
      </c>
      <c r="AA174" s="5">
        <v>109.18385600000001</v>
      </c>
      <c r="AB174" s="7">
        <f t="shared" si="13"/>
        <v>1.3769999999999999E-2</v>
      </c>
      <c r="AC174" s="7">
        <f t="shared" si="14"/>
        <v>3.2718599999999998</v>
      </c>
      <c r="AD174" s="6" t="str">
        <f t="shared" si="15"/>
        <v>3.PA06 cs2</v>
      </c>
      <c r="AE174" s="6" t="str">
        <f t="shared" si="16"/>
        <v>PC11a</v>
      </c>
      <c r="AG174">
        <f t="shared" si="17"/>
        <v>9.1799999999999989E-3</v>
      </c>
      <c r="AH174">
        <f t="shared" si="18"/>
        <v>2.1812399999999998</v>
      </c>
    </row>
    <row r="175" spans="1:34" x14ac:dyDescent="0.25">
      <c r="A175" t="s">
        <v>1613</v>
      </c>
      <c r="B175" t="s">
        <v>617</v>
      </c>
      <c r="C175" t="s">
        <v>618</v>
      </c>
      <c r="D175" t="s">
        <v>360</v>
      </c>
      <c r="E175" t="s">
        <v>361</v>
      </c>
      <c r="F175" t="s">
        <v>1614</v>
      </c>
      <c r="G175" t="s">
        <v>15979</v>
      </c>
      <c r="H175" t="s">
        <v>15980</v>
      </c>
      <c r="I175" t="s">
        <v>15988</v>
      </c>
      <c r="J175" t="s">
        <v>23</v>
      </c>
      <c r="L175" s="8" t="s">
        <v>906</v>
      </c>
      <c r="M175" t="s">
        <v>1615</v>
      </c>
      <c r="N175" t="s">
        <v>1616</v>
      </c>
      <c r="O175" t="s">
        <v>1617</v>
      </c>
      <c r="P175" t="s">
        <v>1618</v>
      </c>
      <c r="Q175" t="s">
        <v>908</v>
      </c>
      <c r="R175" t="s">
        <v>909</v>
      </c>
      <c r="S175" t="s">
        <v>910</v>
      </c>
      <c r="T175" t="s">
        <v>914</v>
      </c>
      <c r="U175" s="5">
        <v>445.58</v>
      </c>
      <c r="V175" s="5">
        <v>320.16000000000003</v>
      </c>
      <c r="W175" s="5">
        <v>11.923038</v>
      </c>
      <c r="X175" s="5">
        <v>109.165192</v>
      </c>
      <c r="Y175" s="5">
        <v>125.41</v>
      </c>
      <c r="Z175" s="5">
        <v>11.976637</v>
      </c>
      <c r="AA175" s="5">
        <v>109.19564699999999</v>
      </c>
      <c r="AB175" s="7">
        <f t="shared" si="13"/>
        <v>0.48024</v>
      </c>
      <c r="AC175" s="7">
        <f t="shared" si="14"/>
        <v>0.188115</v>
      </c>
      <c r="AD175" s="6" t="str">
        <f t="shared" si="15"/>
        <v>1.CA Cam Ranh</v>
      </c>
      <c r="AE175" s="6" t="str">
        <f t="shared" si="16"/>
        <v>CA Bắc Cam Ranh</v>
      </c>
      <c r="AG175">
        <f t="shared" si="17"/>
        <v>0.32016</v>
      </c>
      <c r="AH175">
        <f t="shared" si="18"/>
        <v>0.12540999999999999</v>
      </c>
    </row>
    <row r="176" spans="1:34" x14ac:dyDescent="0.25">
      <c r="A176" t="s">
        <v>1619</v>
      </c>
      <c r="B176" t="s">
        <v>360</v>
      </c>
      <c r="C176" t="s">
        <v>361</v>
      </c>
      <c r="D176" t="s">
        <v>800</v>
      </c>
      <c r="E176" t="s">
        <v>801</v>
      </c>
      <c r="F176" t="s">
        <v>1620</v>
      </c>
      <c r="G176" t="s">
        <v>15979</v>
      </c>
      <c r="H176" t="s">
        <v>15980</v>
      </c>
      <c r="I176" t="s">
        <v>15989</v>
      </c>
      <c r="J176" t="s">
        <v>23</v>
      </c>
      <c r="L176" s="8" t="s">
        <v>881</v>
      </c>
      <c r="M176" t="s">
        <v>1621</v>
      </c>
      <c r="N176" t="s">
        <v>883</v>
      </c>
      <c r="O176" t="s">
        <v>884</v>
      </c>
      <c r="P176" t="s">
        <v>885</v>
      </c>
      <c r="Q176" t="s">
        <v>931</v>
      </c>
      <c r="R176" t="s">
        <v>932</v>
      </c>
      <c r="S176" t="s">
        <v>933</v>
      </c>
      <c r="T176" t="s">
        <v>889</v>
      </c>
      <c r="U176" s="5">
        <v>680.22</v>
      </c>
      <c r="V176" s="5">
        <v>674.9</v>
      </c>
      <c r="W176" s="5">
        <v>11.970426</v>
      </c>
      <c r="X176" s="5">
        <v>109.192857</v>
      </c>
      <c r="Y176" s="5">
        <v>5.32</v>
      </c>
      <c r="Z176" s="5">
        <v>12.074472</v>
      </c>
      <c r="AA176" s="5">
        <v>109.168063</v>
      </c>
      <c r="AB176" s="7">
        <f t="shared" si="13"/>
        <v>1.0123499999999999</v>
      </c>
      <c r="AC176" s="7">
        <f t="shared" si="14"/>
        <v>7.980000000000001E-3</v>
      </c>
      <c r="AD176" s="6" t="str">
        <f t="shared" si="15"/>
        <v>2.Cam Lâm</v>
      </c>
      <c r="AE176" s="6" t="str">
        <f t="shared" si="16"/>
        <v>Cam Ranh</v>
      </c>
      <c r="AG176">
        <f t="shared" si="17"/>
        <v>0.67489999999999994</v>
      </c>
      <c r="AH176">
        <f t="shared" si="18"/>
        <v>5.3200000000000001E-3</v>
      </c>
    </row>
    <row r="177" spans="1:34" x14ac:dyDescent="0.25">
      <c r="A177" t="s">
        <v>1732</v>
      </c>
      <c r="B177" t="s">
        <v>1392</v>
      </c>
      <c r="C177" t="s">
        <v>1393</v>
      </c>
      <c r="D177" t="s">
        <v>391</v>
      </c>
      <c r="E177" t="s">
        <v>392</v>
      </c>
      <c r="F177" t="s">
        <v>1733</v>
      </c>
      <c r="G177" t="s">
        <v>15979</v>
      </c>
      <c r="H177" t="s">
        <v>15980</v>
      </c>
      <c r="I177" t="s">
        <v>16003</v>
      </c>
      <c r="J177" t="s">
        <v>23</v>
      </c>
      <c r="L177" s="8" t="s">
        <v>1604</v>
      </c>
      <c r="M177" t="s">
        <v>1734</v>
      </c>
      <c r="N177" t="s">
        <v>1735</v>
      </c>
      <c r="O177" t="s">
        <v>1736</v>
      </c>
      <c r="P177" t="s">
        <v>1737</v>
      </c>
      <c r="Q177" t="s">
        <v>1606</v>
      </c>
      <c r="R177" t="s">
        <v>1607</v>
      </c>
      <c r="S177" t="s">
        <v>1608</v>
      </c>
      <c r="T177" t="s">
        <v>1612</v>
      </c>
      <c r="U177" s="5">
        <v>1566.48</v>
      </c>
      <c r="V177" s="5">
        <v>818.28</v>
      </c>
      <c r="W177" s="5">
        <v>12.25568</v>
      </c>
      <c r="X177" s="5">
        <v>109.086596</v>
      </c>
      <c r="Y177" s="5">
        <v>748.2</v>
      </c>
      <c r="Z177" s="5">
        <v>12.262793</v>
      </c>
      <c r="AA177" s="5">
        <v>109.03595900000001</v>
      </c>
      <c r="AB177" s="7">
        <f t="shared" si="13"/>
        <v>1.2274200000000002</v>
      </c>
      <c r="AC177" s="7">
        <f t="shared" si="14"/>
        <v>1.1223000000000001</v>
      </c>
      <c r="AD177" s="6" t="str">
        <f t="shared" si="15"/>
        <v>4.CA Diên Thọ</v>
      </c>
      <c r="AE177" s="6" t="str">
        <f t="shared" si="16"/>
        <v>CA Diên Khánh</v>
      </c>
      <c r="AG177">
        <f t="shared" si="17"/>
        <v>0.81828000000000001</v>
      </c>
      <c r="AH177">
        <f t="shared" si="18"/>
        <v>0.74820000000000009</v>
      </c>
    </row>
    <row r="178" spans="1:34" x14ac:dyDescent="0.25">
      <c r="A178" t="s">
        <v>1738</v>
      </c>
      <c r="B178" t="s">
        <v>1392</v>
      </c>
      <c r="C178" t="s">
        <v>1393</v>
      </c>
      <c r="D178" t="s">
        <v>562</v>
      </c>
      <c r="E178" t="s">
        <v>563</v>
      </c>
      <c r="F178" t="s">
        <v>1739</v>
      </c>
      <c r="G178" t="s">
        <v>15979</v>
      </c>
      <c r="H178" t="s">
        <v>15980</v>
      </c>
      <c r="I178" t="s">
        <v>16004</v>
      </c>
      <c r="J178" t="s">
        <v>23</v>
      </c>
      <c r="L178" s="8" t="s">
        <v>1587</v>
      </c>
      <c r="M178" t="s">
        <v>1740</v>
      </c>
      <c r="N178" t="s">
        <v>1741</v>
      </c>
      <c r="O178" t="s">
        <v>1742</v>
      </c>
      <c r="P178" t="s">
        <v>1743</v>
      </c>
      <c r="Q178" t="s">
        <v>1744</v>
      </c>
      <c r="R178" t="s">
        <v>1745</v>
      </c>
      <c r="S178" t="s">
        <v>1746</v>
      </c>
      <c r="T178" t="s">
        <v>1595</v>
      </c>
      <c r="U178" s="5">
        <v>25735.56</v>
      </c>
      <c r="V178" s="5">
        <v>10890.65</v>
      </c>
      <c r="W178" s="5">
        <v>12.292956999999999</v>
      </c>
      <c r="X178" s="5">
        <v>109.187048</v>
      </c>
      <c r="Y178" s="5">
        <v>14844.91</v>
      </c>
      <c r="Z178" s="5">
        <v>12.501725</v>
      </c>
      <c r="AA178" s="5">
        <v>109.13825799999999</v>
      </c>
      <c r="AB178" s="7">
        <f t="shared" si="13"/>
        <v>16.335974999999998</v>
      </c>
      <c r="AC178" s="7">
        <f t="shared" si="14"/>
        <v>22.267364999999998</v>
      </c>
      <c r="AD178" s="6" t="str">
        <f t="shared" si="15"/>
        <v>5.Vạn Ninh</v>
      </c>
      <c r="AE178" s="6" t="str">
        <f t="shared" si="16"/>
        <v>CAT Khánh Hòa</v>
      </c>
      <c r="AG178">
        <f t="shared" si="17"/>
        <v>10.890649999999999</v>
      </c>
      <c r="AH178">
        <f t="shared" si="18"/>
        <v>14.84491</v>
      </c>
    </row>
    <row r="179" spans="1:34" x14ac:dyDescent="0.25">
      <c r="A179" t="s">
        <v>1747</v>
      </c>
      <c r="B179" t="s">
        <v>1748</v>
      </c>
      <c r="C179" t="s">
        <v>1749</v>
      </c>
      <c r="D179" t="s">
        <v>577</v>
      </c>
      <c r="E179" t="s">
        <v>578</v>
      </c>
      <c r="F179" t="s">
        <v>1750</v>
      </c>
      <c r="G179" t="s">
        <v>15979</v>
      </c>
      <c r="H179" t="s">
        <v>15980</v>
      </c>
      <c r="I179" t="s">
        <v>16005</v>
      </c>
      <c r="J179" t="s">
        <v>23</v>
      </c>
      <c r="L179" s="8" t="s">
        <v>1564</v>
      </c>
      <c r="M179" t="s">
        <v>1751</v>
      </c>
      <c r="N179" t="s">
        <v>1752</v>
      </c>
      <c r="O179" t="s">
        <v>1753</v>
      </c>
      <c r="P179" t="s">
        <v>1754</v>
      </c>
      <c r="Q179" t="s">
        <v>1755</v>
      </c>
      <c r="R179" t="s">
        <v>1756</v>
      </c>
      <c r="S179" t="s">
        <v>1757</v>
      </c>
      <c r="T179" t="s">
        <v>1572</v>
      </c>
      <c r="U179" s="5">
        <v>115.8</v>
      </c>
      <c r="V179" s="5">
        <v>110.58</v>
      </c>
      <c r="W179" s="5">
        <v>12.630297000000001</v>
      </c>
      <c r="X179" s="5">
        <v>109.187321</v>
      </c>
      <c r="Y179" s="5">
        <v>5.22</v>
      </c>
      <c r="Z179" s="5">
        <v>12.509763</v>
      </c>
      <c r="AA179" s="5">
        <v>109.13746500000001</v>
      </c>
      <c r="AB179" s="7">
        <f t="shared" si="13"/>
        <v>0.16587000000000002</v>
      </c>
      <c r="AC179" s="7">
        <f t="shared" si="14"/>
        <v>7.8300000000000002E-3</v>
      </c>
      <c r="AD179" s="6" t="str">
        <f t="shared" si="15"/>
        <v>4.Ninh Hòa</v>
      </c>
      <c r="AE179" s="6" t="str">
        <f t="shared" si="16"/>
        <v>Vạn Ninh</v>
      </c>
      <c r="AG179">
        <f t="shared" si="17"/>
        <v>0.11058</v>
      </c>
      <c r="AH179">
        <f t="shared" si="18"/>
        <v>5.2199999999999998E-3</v>
      </c>
    </row>
    <row r="180" spans="1:34" x14ac:dyDescent="0.25">
      <c r="A180" t="s">
        <v>1738</v>
      </c>
      <c r="B180" t="s">
        <v>1392</v>
      </c>
      <c r="C180" t="s">
        <v>1393</v>
      </c>
      <c r="D180" t="s">
        <v>562</v>
      </c>
      <c r="E180" t="s">
        <v>563</v>
      </c>
      <c r="F180" t="s">
        <v>1739</v>
      </c>
      <c r="G180" t="s">
        <v>15979</v>
      </c>
      <c r="H180" t="s">
        <v>15980</v>
      </c>
      <c r="I180" t="s">
        <v>16004</v>
      </c>
      <c r="J180" t="s">
        <v>23</v>
      </c>
      <c r="L180" s="8" t="s">
        <v>1587</v>
      </c>
      <c r="M180" t="s">
        <v>1740</v>
      </c>
      <c r="N180" t="s">
        <v>1741</v>
      </c>
      <c r="O180" t="s">
        <v>1742</v>
      </c>
      <c r="P180" t="s">
        <v>1743</v>
      </c>
      <c r="Q180" t="s">
        <v>1744</v>
      </c>
      <c r="R180" t="s">
        <v>1745</v>
      </c>
      <c r="S180" t="s">
        <v>1746</v>
      </c>
      <c r="T180" t="s">
        <v>1595</v>
      </c>
      <c r="U180" s="5">
        <v>25735.56</v>
      </c>
      <c r="V180" s="5">
        <v>10890.65</v>
      </c>
      <c r="W180" s="5">
        <v>12.292956999999999</v>
      </c>
      <c r="X180" s="5">
        <v>109.187048</v>
      </c>
      <c r="Y180" s="5">
        <v>14844.91</v>
      </c>
      <c r="Z180" s="5">
        <v>12.501725</v>
      </c>
      <c r="AA180" s="5">
        <v>109.13825799999999</v>
      </c>
      <c r="AB180" s="7">
        <f t="shared" si="13"/>
        <v>16.335974999999998</v>
      </c>
      <c r="AC180" s="7">
        <f t="shared" si="14"/>
        <v>22.267364999999998</v>
      </c>
      <c r="AD180" s="6" t="str">
        <f t="shared" si="15"/>
        <v>5.Vạn Ninh</v>
      </c>
      <c r="AE180" s="6" t="str">
        <f t="shared" si="16"/>
        <v>CAT Khánh Hòa</v>
      </c>
      <c r="AG180">
        <f t="shared" si="17"/>
        <v>10.890649999999999</v>
      </c>
      <c r="AH180">
        <f t="shared" si="18"/>
        <v>14.84491</v>
      </c>
    </row>
    <row r="181" spans="1:34" x14ac:dyDescent="0.25">
      <c r="A181" t="s">
        <v>1758</v>
      </c>
      <c r="B181" t="s">
        <v>832</v>
      </c>
      <c r="C181" t="s">
        <v>833</v>
      </c>
      <c r="D181" t="s">
        <v>617</v>
      </c>
      <c r="E181" t="s">
        <v>618</v>
      </c>
      <c r="F181" t="s">
        <v>1759</v>
      </c>
      <c r="G181" t="s">
        <v>15979</v>
      </c>
      <c r="H181" t="s">
        <v>15980</v>
      </c>
      <c r="I181" t="s">
        <v>16006</v>
      </c>
      <c r="J181" t="s">
        <v>23</v>
      </c>
      <c r="L181" s="8" t="s">
        <v>881</v>
      </c>
      <c r="M181" t="s">
        <v>1760</v>
      </c>
      <c r="N181" t="s">
        <v>1761</v>
      </c>
      <c r="O181" t="s">
        <v>1762</v>
      </c>
      <c r="P181" t="s">
        <v>1763</v>
      </c>
      <c r="Q181" t="s">
        <v>1764</v>
      </c>
      <c r="R181" t="s">
        <v>1765</v>
      </c>
      <c r="S181" t="s">
        <v>1766</v>
      </c>
      <c r="T181" t="s">
        <v>889</v>
      </c>
      <c r="U181" s="5">
        <v>415.75</v>
      </c>
      <c r="V181" s="5">
        <v>98.97</v>
      </c>
      <c r="W181" s="5">
        <v>12.063228000000001</v>
      </c>
      <c r="X181" s="5">
        <v>109.15919100000001</v>
      </c>
      <c r="Y181" s="5">
        <v>316.77999999999997</v>
      </c>
      <c r="Z181" s="5">
        <v>11.923064</v>
      </c>
      <c r="AA181" s="5">
        <v>109.165175</v>
      </c>
      <c r="AB181" s="7">
        <f t="shared" si="13"/>
        <v>0.14845499999999998</v>
      </c>
      <c r="AC181" s="7">
        <f t="shared" si="14"/>
        <v>0.47516999999999998</v>
      </c>
      <c r="AD181" s="6" t="str">
        <f t="shared" si="15"/>
        <v>2.Cam Lâm</v>
      </c>
      <c r="AE181" s="6" t="str">
        <f t="shared" si="16"/>
        <v>Cam Ranh</v>
      </c>
      <c r="AG181">
        <f t="shared" si="17"/>
        <v>9.8970000000000002E-2</v>
      </c>
      <c r="AH181">
        <f t="shared" si="18"/>
        <v>0.31677999999999995</v>
      </c>
    </row>
    <row r="182" spans="1:34" x14ac:dyDescent="0.25">
      <c r="A182" t="s">
        <v>1767</v>
      </c>
      <c r="B182" t="s">
        <v>1623</v>
      </c>
      <c r="C182" t="s">
        <v>1624</v>
      </c>
      <c r="D182" t="s">
        <v>1184</v>
      </c>
      <c r="E182" t="s">
        <v>1185</v>
      </c>
      <c r="F182" t="s">
        <v>1768</v>
      </c>
      <c r="G182" t="s">
        <v>15979</v>
      </c>
      <c r="H182" t="s">
        <v>15980</v>
      </c>
      <c r="I182" t="s">
        <v>16007</v>
      </c>
      <c r="J182" t="s">
        <v>23</v>
      </c>
      <c r="L182" s="8" t="s">
        <v>1769</v>
      </c>
      <c r="M182" t="s">
        <v>1770</v>
      </c>
      <c r="N182" t="s">
        <v>1771</v>
      </c>
      <c r="O182" t="s">
        <v>1772</v>
      </c>
      <c r="P182" t="s">
        <v>1773</v>
      </c>
      <c r="Q182" t="s">
        <v>1774</v>
      </c>
      <c r="R182" t="s">
        <v>1775</v>
      </c>
      <c r="S182" t="s">
        <v>1776</v>
      </c>
      <c r="T182" t="s">
        <v>1777</v>
      </c>
      <c r="U182" s="5">
        <v>2680.86</v>
      </c>
      <c r="V182" s="5">
        <v>230.1</v>
      </c>
      <c r="W182" s="5">
        <v>12.461582</v>
      </c>
      <c r="X182" s="5">
        <v>109.0823</v>
      </c>
      <c r="Y182" s="5">
        <v>2450.7600000000002</v>
      </c>
      <c r="Z182" s="5">
        <v>12.476618999999999</v>
      </c>
      <c r="AA182" s="5">
        <v>109.11022</v>
      </c>
      <c r="AB182" s="7">
        <f t="shared" si="13"/>
        <v>0.34514999999999996</v>
      </c>
      <c r="AC182" s="7">
        <f t="shared" si="14"/>
        <v>3.6761400000000002</v>
      </c>
      <c r="AD182" s="6" t="str">
        <f t="shared" si="15"/>
        <v>3.Khánh Vĩnh</v>
      </c>
      <c r="AE182" s="6" t="str">
        <f t="shared" si="16"/>
        <v>Ninh Hòa</v>
      </c>
      <c r="AG182">
        <f t="shared" si="17"/>
        <v>0.2301</v>
      </c>
      <c r="AH182">
        <f t="shared" si="18"/>
        <v>2.4507600000000003</v>
      </c>
    </row>
    <row r="183" spans="1:34" x14ac:dyDescent="0.25">
      <c r="A183" t="s">
        <v>1778</v>
      </c>
      <c r="B183" t="s">
        <v>1635</v>
      </c>
      <c r="C183" t="s">
        <v>1636</v>
      </c>
      <c r="D183" t="s">
        <v>577</v>
      </c>
      <c r="E183" t="s">
        <v>578</v>
      </c>
      <c r="F183" t="s">
        <v>1779</v>
      </c>
      <c r="G183" t="s">
        <v>15979</v>
      </c>
      <c r="H183" t="s">
        <v>15980</v>
      </c>
      <c r="I183" t="s">
        <v>16008</v>
      </c>
      <c r="J183" t="s">
        <v>23</v>
      </c>
      <c r="L183" s="8" t="s">
        <v>1200</v>
      </c>
      <c r="M183" t="s">
        <v>1780</v>
      </c>
      <c r="N183" t="s">
        <v>1781</v>
      </c>
      <c r="O183" t="s">
        <v>1782</v>
      </c>
      <c r="P183" t="s">
        <v>1783</v>
      </c>
      <c r="Q183" t="s">
        <v>1784</v>
      </c>
      <c r="R183" t="s">
        <v>1785</v>
      </c>
      <c r="S183" t="s">
        <v>1786</v>
      </c>
      <c r="T183" t="s">
        <v>1787</v>
      </c>
      <c r="U183" s="5">
        <v>4207.79</v>
      </c>
      <c r="V183" s="5">
        <v>442.39</v>
      </c>
      <c r="W183" s="5">
        <v>12.505763999999999</v>
      </c>
      <c r="X183" s="5">
        <v>109.078005</v>
      </c>
      <c r="Y183" s="5">
        <v>3765.4</v>
      </c>
      <c r="Z183" s="5">
        <v>12.502250999999999</v>
      </c>
      <c r="AA183" s="5">
        <v>109.10367100000001</v>
      </c>
      <c r="AB183" s="7">
        <f t="shared" si="13"/>
        <v>0.66358500000000009</v>
      </c>
      <c r="AC183" s="7">
        <f t="shared" si="14"/>
        <v>5.6481000000000003</v>
      </c>
      <c r="AD183" s="6" t="str">
        <f t="shared" si="15"/>
        <v>2.CA Nam Ninh Hòa</v>
      </c>
      <c r="AE183" s="6" t="str">
        <f t="shared" si="16"/>
        <v>CA Tây Ninh Hòa</v>
      </c>
      <c r="AG183">
        <f t="shared" si="17"/>
        <v>0.44239000000000001</v>
      </c>
      <c r="AH183">
        <f t="shared" si="18"/>
        <v>3.7654000000000001</v>
      </c>
    </row>
    <row r="184" spans="1:34" x14ac:dyDescent="0.25">
      <c r="A184" t="s">
        <v>1788</v>
      </c>
      <c r="B184" t="s">
        <v>1641</v>
      </c>
      <c r="C184" t="s">
        <v>1642</v>
      </c>
      <c r="D184" t="s">
        <v>1649</v>
      </c>
      <c r="E184" t="s">
        <v>1650</v>
      </c>
      <c r="F184" t="s">
        <v>1789</v>
      </c>
      <c r="G184" t="s">
        <v>15979</v>
      </c>
      <c r="H184" t="s">
        <v>15980</v>
      </c>
      <c r="I184" t="s">
        <v>16009</v>
      </c>
      <c r="J184" t="s">
        <v>23</v>
      </c>
      <c r="L184" s="8" t="s">
        <v>1587</v>
      </c>
      <c r="M184" t="s">
        <v>1790</v>
      </c>
      <c r="N184" t="s">
        <v>1645</v>
      </c>
      <c r="O184" t="s">
        <v>1646</v>
      </c>
      <c r="P184" t="s">
        <v>1647</v>
      </c>
      <c r="Q184" t="s">
        <v>1653</v>
      </c>
      <c r="R184" t="s">
        <v>1654</v>
      </c>
      <c r="S184" t="s">
        <v>1655</v>
      </c>
      <c r="T184" t="s">
        <v>1595</v>
      </c>
      <c r="U184" s="5">
        <v>560.76</v>
      </c>
      <c r="V184" s="5">
        <v>443.53</v>
      </c>
      <c r="W184" s="5">
        <v>12.420916</v>
      </c>
      <c r="X184" s="5">
        <v>109.14434199999999</v>
      </c>
      <c r="Y184" s="5">
        <v>117.23</v>
      </c>
      <c r="Z184" s="5">
        <v>12.338984999999999</v>
      </c>
      <c r="AA184" s="5">
        <v>109.19412199999999</v>
      </c>
      <c r="AB184" s="7">
        <f t="shared" si="13"/>
        <v>0.66529499999999997</v>
      </c>
      <c r="AC184" s="7">
        <f t="shared" si="14"/>
        <v>0.175845</v>
      </c>
      <c r="AD184" s="6" t="str">
        <f t="shared" si="15"/>
        <v>5.Vạn Ninh</v>
      </c>
      <c r="AE184" s="6" t="str">
        <f t="shared" si="16"/>
        <v>CAT Khánh Hòa</v>
      </c>
      <c r="AG184">
        <f t="shared" si="17"/>
        <v>0.44352999999999998</v>
      </c>
      <c r="AH184">
        <f t="shared" si="18"/>
        <v>0.11723</v>
      </c>
    </row>
    <row r="185" spans="1:34" x14ac:dyDescent="0.25">
      <c r="A185" t="s">
        <v>1791</v>
      </c>
      <c r="B185" t="s">
        <v>1657</v>
      </c>
      <c r="C185" t="s">
        <v>1658</v>
      </c>
      <c r="D185" t="s">
        <v>1219</v>
      </c>
      <c r="E185" t="s">
        <v>1220</v>
      </c>
      <c r="F185" t="s">
        <v>1792</v>
      </c>
      <c r="G185" t="s">
        <v>15979</v>
      </c>
      <c r="H185" t="s">
        <v>15980</v>
      </c>
      <c r="I185" t="s">
        <v>16010</v>
      </c>
      <c r="J185" t="s">
        <v>23</v>
      </c>
      <c r="L185" s="8" t="s">
        <v>1200</v>
      </c>
      <c r="M185" t="s">
        <v>1793</v>
      </c>
      <c r="N185" t="s">
        <v>1794</v>
      </c>
      <c r="O185" t="s">
        <v>1795</v>
      </c>
      <c r="P185" t="s">
        <v>1796</v>
      </c>
      <c r="Q185" t="s">
        <v>1797</v>
      </c>
      <c r="R185" t="s">
        <v>1798</v>
      </c>
      <c r="S185" t="s">
        <v>1799</v>
      </c>
      <c r="T185" t="s">
        <v>1787</v>
      </c>
      <c r="U185" s="5">
        <v>3462.89</v>
      </c>
      <c r="V185" s="5">
        <v>2181.61</v>
      </c>
      <c r="W185" s="5">
        <v>12.505404</v>
      </c>
      <c r="X185" s="5">
        <v>109.098456</v>
      </c>
      <c r="Y185" s="5">
        <v>1281.28</v>
      </c>
      <c r="Z185" s="5">
        <v>12.495310999999999</v>
      </c>
      <c r="AA185" s="5">
        <v>109.103539</v>
      </c>
      <c r="AB185" s="7">
        <f t="shared" si="13"/>
        <v>3.2724150000000001</v>
      </c>
      <c r="AC185" s="7">
        <f t="shared" si="14"/>
        <v>1.9219200000000001</v>
      </c>
      <c r="AD185" s="6" t="str">
        <f t="shared" si="15"/>
        <v>2.CA Nam Ninh Hòa</v>
      </c>
      <c r="AE185" s="6" t="str">
        <f t="shared" si="16"/>
        <v>CA Tây Ninh Hòa</v>
      </c>
      <c r="AG185">
        <f t="shared" si="17"/>
        <v>2.18161</v>
      </c>
      <c r="AH185">
        <f t="shared" si="18"/>
        <v>1.28128</v>
      </c>
    </row>
    <row r="186" spans="1:34" x14ac:dyDescent="0.25">
      <c r="A186" t="s">
        <v>1800</v>
      </c>
      <c r="B186" t="s">
        <v>1669</v>
      </c>
      <c r="C186" t="s">
        <v>1670</v>
      </c>
      <c r="D186" t="s">
        <v>1677</v>
      </c>
      <c r="E186" t="s">
        <v>1678</v>
      </c>
      <c r="F186" t="s">
        <v>1801</v>
      </c>
      <c r="G186" t="s">
        <v>15979</v>
      </c>
      <c r="H186" t="s">
        <v>15980</v>
      </c>
      <c r="I186" t="s">
        <v>16011</v>
      </c>
      <c r="J186" t="s">
        <v>23</v>
      </c>
      <c r="L186" s="8" t="s">
        <v>1802</v>
      </c>
      <c r="M186" t="s">
        <v>1803</v>
      </c>
      <c r="N186" t="s">
        <v>1804</v>
      </c>
      <c r="O186" t="s">
        <v>1805</v>
      </c>
      <c r="P186" t="s">
        <v>1806</v>
      </c>
      <c r="Q186" t="s">
        <v>1807</v>
      </c>
      <c r="R186" t="s">
        <v>1808</v>
      </c>
      <c r="S186" t="s">
        <v>1809</v>
      </c>
      <c r="T186" t="s">
        <v>1810</v>
      </c>
      <c r="U186" s="5">
        <v>289.89999999999998</v>
      </c>
      <c r="V186" s="5">
        <v>289.55</v>
      </c>
      <c r="W186" s="5">
        <v>12.730185000000001</v>
      </c>
      <c r="X186" s="5">
        <v>109.26945600000001</v>
      </c>
      <c r="Y186" s="5">
        <v>0.35</v>
      </c>
      <c r="Z186" s="5">
        <v>12.77881</v>
      </c>
      <c r="AA186" s="5">
        <v>109.312703</v>
      </c>
      <c r="AB186" s="7">
        <f t="shared" si="13"/>
        <v>0.43432500000000007</v>
      </c>
      <c r="AC186" s="7">
        <f t="shared" si="14"/>
        <v>5.2499999999999986E-4</v>
      </c>
      <c r="AD186" s="6" t="str">
        <f t="shared" si="15"/>
        <v>2.CA Vạn Thắng</v>
      </c>
      <c r="AE186" s="6" t="str">
        <f t="shared" si="16"/>
        <v>CA Tu Bông_Cột trung thế</v>
      </c>
      <c r="AG186">
        <f t="shared" si="17"/>
        <v>0.28955000000000003</v>
      </c>
      <c r="AH186">
        <f t="shared" si="18"/>
        <v>3.5E-4</v>
      </c>
    </row>
    <row r="187" spans="1:34" x14ac:dyDescent="0.25">
      <c r="A187" t="s">
        <v>1811</v>
      </c>
      <c r="B187" t="s">
        <v>1748</v>
      </c>
      <c r="C187" t="s">
        <v>1749</v>
      </c>
      <c r="D187" t="s">
        <v>1480</v>
      </c>
      <c r="E187" t="s">
        <v>1481</v>
      </c>
      <c r="F187" t="s">
        <v>1812</v>
      </c>
      <c r="G187" t="s">
        <v>15979</v>
      </c>
      <c r="H187" t="s">
        <v>15980</v>
      </c>
      <c r="I187" t="s">
        <v>16012</v>
      </c>
      <c r="J187" t="s">
        <v>23</v>
      </c>
      <c r="L187" s="8" t="s">
        <v>1564</v>
      </c>
      <c r="M187" t="s">
        <v>1813</v>
      </c>
      <c r="N187" t="s">
        <v>1752</v>
      </c>
      <c r="O187" t="s">
        <v>1753</v>
      </c>
      <c r="P187" t="s">
        <v>1754</v>
      </c>
      <c r="Q187" t="s">
        <v>1814</v>
      </c>
      <c r="R187" t="s">
        <v>1815</v>
      </c>
      <c r="S187" t="s">
        <v>1816</v>
      </c>
      <c r="T187" t="s">
        <v>1572</v>
      </c>
      <c r="U187" s="5">
        <v>4221.33</v>
      </c>
      <c r="V187" s="5">
        <v>110.58</v>
      </c>
      <c r="W187" s="5">
        <v>12.630297000000001</v>
      </c>
      <c r="X187" s="5">
        <v>109.187321</v>
      </c>
      <c r="Y187" s="5">
        <v>4110.75</v>
      </c>
      <c r="Z187" s="5">
        <v>12.534793000000001</v>
      </c>
      <c r="AA187" s="5">
        <v>109.18621899999999</v>
      </c>
      <c r="AB187" s="7">
        <f t="shared" si="13"/>
        <v>0.16587000000000002</v>
      </c>
      <c r="AC187" s="7">
        <f t="shared" si="14"/>
        <v>6.1661250000000001</v>
      </c>
      <c r="AD187" s="6" t="str">
        <f t="shared" si="15"/>
        <v>4.Ninh Hòa</v>
      </c>
      <c r="AE187" s="6" t="str">
        <f t="shared" si="16"/>
        <v>Vạn Ninh</v>
      </c>
      <c r="AG187">
        <f t="shared" si="17"/>
        <v>0.11058</v>
      </c>
      <c r="AH187">
        <f t="shared" si="18"/>
        <v>4.1107500000000003</v>
      </c>
    </row>
    <row r="188" spans="1:34" x14ac:dyDescent="0.25">
      <c r="A188" t="s">
        <v>1817</v>
      </c>
      <c r="B188" t="s">
        <v>1818</v>
      </c>
      <c r="C188" t="s">
        <v>1819</v>
      </c>
      <c r="D188" t="s">
        <v>577</v>
      </c>
      <c r="E188" t="s">
        <v>578</v>
      </c>
      <c r="F188" t="s">
        <v>1820</v>
      </c>
      <c r="G188" t="s">
        <v>15979</v>
      </c>
      <c r="H188" t="s">
        <v>15980</v>
      </c>
      <c r="I188" t="s">
        <v>16013</v>
      </c>
      <c r="J188" t="s">
        <v>23</v>
      </c>
      <c r="L188" s="8" t="s">
        <v>595</v>
      </c>
      <c r="M188" t="s">
        <v>1821</v>
      </c>
      <c r="N188" t="s">
        <v>1822</v>
      </c>
      <c r="O188" t="s">
        <v>1823</v>
      </c>
      <c r="P188" t="s">
        <v>1824</v>
      </c>
      <c r="Q188" t="s">
        <v>597</v>
      </c>
      <c r="R188" t="s">
        <v>598</v>
      </c>
      <c r="S188" t="s">
        <v>599</v>
      </c>
      <c r="T188" t="s">
        <v>603</v>
      </c>
      <c r="U188" s="5">
        <v>1353.25</v>
      </c>
      <c r="V188" s="5">
        <v>1350.48</v>
      </c>
      <c r="W188" s="5">
        <v>12.492353</v>
      </c>
      <c r="X188" s="5">
        <v>109.14014299999999</v>
      </c>
      <c r="Y188" s="5">
        <v>2.77</v>
      </c>
      <c r="Z188" s="5">
        <v>12.509724</v>
      </c>
      <c r="AA188" s="5">
        <v>109.13747499999999</v>
      </c>
      <c r="AB188" s="7">
        <f t="shared" si="13"/>
        <v>2.0257200000000002</v>
      </c>
      <c r="AC188" s="7">
        <f t="shared" si="14"/>
        <v>4.1549999999999998E-3</v>
      </c>
      <c r="AD188" s="6" t="str">
        <f t="shared" si="15"/>
        <v>1.CA Ninh Hòa</v>
      </c>
      <c r="AE188" s="6" t="str">
        <f t="shared" si="16"/>
        <v>CA Hòa Thắng_Cột trung thế</v>
      </c>
      <c r="AG188">
        <f t="shared" si="17"/>
        <v>1.3504800000000001</v>
      </c>
      <c r="AH188">
        <f t="shared" si="18"/>
        <v>2.7699999999999999E-3</v>
      </c>
    </row>
    <row r="189" spans="1:34" x14ac:dyDescent="0.25">
      <c r="A189" t="s">
        <v>1825</v>
      </c>
      <c r="B189" t="s">
        <v>1826</v>
      </c>
      <c r="C189" t="s">
        <v>1827</v>
      </c>
      <c r="D189" t="s">
        <v>1720</v>
      </c>
      <c r="E189" t="s">
        <v>1721</v>
      </c>
      <c r="F189" t="s">
        <v>1828</v>
      </c>
      <c r="G189" t="s">
        <v>15979</v>
      </c>
      <c r="H189" t="s">
        <v>15980</v>
      </c>
      <c r="I189" t="s">
        <v>16014</v>
      </c>
      <c r="J189" t="s">
        <v>23</v>
      </c>
      <c r="L189" s="8" t="s">
        <v>1564</v>
      </c>
      <c r="M189" t="s">
        <v>1829</v>
      </c>
      <c r="N189" t="s">
        <v>1830</v>
      </c>
      <c r="O189" t="s">
        <v>1831</v>
      </c>
      <c r="P189" t="s">
        <v>1832</v>
      </c>
      <c r="Q189" t="s">
        <v>1833</v>
      </c>
      <c r="R189" t="s">
        <v>1834</v>
      </c>
      <c r="S189" t="s">
        <v>1835</v>
      </c>
      <c r="T189" t="s">
        <v>1572</v>
      </c>
      <c r="U189" s="5">
        <v>1120.5899999999999</v>
      </c>
      <c r="V189" s="5">
        <v>152.65</v>
      </c>
      <c r="W189" s="5">
        <v>12.564939000000001</v>
      </c>
      <c r="X189" s="5">
        <v>109.171781</v>
      </c>
      <c r="Y189" s="5">
        <v>967.94</v>
      </c>
      <c r="Z189" s="5">
        <v>12.525967</v>
      </c>
      <c r="AA189" s="5">
        <v>109.167119</v>
      </c>
      <c r="AB189" s="7">
        <f t="shared" si="13"/>
        <v>0.22897500000000001</v>
      </c>
      <c r="AC189" s="7">
        <f t="shared" si="14"/>
        <v>1.45191</v>
      </c>
      <c r="AD189" s="6" t="str">
        <f t="shared" si="15"/>
        <v>4.Ninh Hòa</v>
      </c>
      <c r="AE189" s="6" t="str">
        <f t="shared" si="16"/>
        <v>Vạn Ninh</v>
      </c>
      <c r="AG189">
        <f t="shared" si="17"/>
        <v>0.15265000000000001</v>
      </c>
      <c r="AH189">
        <f t="shared" si="18"/>
        <v>0.96794000000000002</v>
      </c>
    </row>
    <row r="190" spans="1:34" x14ac:dyDescent="0.25">
      <c r="A190" t="s">
        <v>1836</v>
      </c>
      <c r="B190" t="s">
        <v>1722</v>
      </c>
      <c r="C190" t="s">
        <v>1723</v>
      </c>
      <c r="D190" t="s">
        <v>577</v>
      </c>
      <c r="E190" t="s">
        <v>578</v>
      </c>
      <c r="F190" t="s">
        <v>1837</v>
      </c>
      <c r="G190" t="s">
        <v>15979</v>
      </c>
      <c r="H190" t="s">
        <v>15980</v>
      </c>
      <c r="I190" t="s">
        <v>16015</v>
      </c>
      <c r="J190" t="s">
        <v>23</v>
      </c>
      <c r="L190" s="8" t="s">
        <v>1838</v>
      </c>
      <c r="M190" t="s">
        <v>1839</v>
      </c>
      <c r="N190" t="s">
        <v>1840</v>
      </c>
      <c r="O190" t="s">
        <v>1841</v>
      </c>
      <c r="P190" t="s">
        <v>1842</v>
      </c>
      <c r="Q190" t="s">
        <v>1843</v>
      </c>
      <c r="R190" t="s">
        <v>1844</v>
      </c>
      <c r="S190" t="s">
        <v>1845</v>
      </c>
      <c r="T190" t="s">
        <v>1846</v>
      </c>
      <c r="U190" s="5">
        <v>29.24</v>
      </c>
      <c r="V190" s="5">
        <v>24.35</v>
      </c>
      <c r="W190" s="5">
        <v>12.503812</v>
      </c>
      <c r="X190" s="5">
        <v>109.139841</v>
      </c>
      <c r="Y190" s="5">
        <v>4.88</v>
      </c>
      <c r="Z190" s="5">
        <v>12.509729999999999</v>
      </c>
      <c r="AA190" s="5">
        <v>109.137455</v>
      </c>
      <c r="AB190" s="7">
        <f t="shared" si="13"/>
        <v>3.6525000000000009E-2</v>
      </c>
      <c r="AC190" s="7">
        <f t="shared" si="14"/>
        <v>7.3200000000000001E-3</v>
      </c>
      <c r="AD190" s="6" t="str">
        <f t="shared" si="15"/>
        <v>1.CA Ninh Hòa</v>
      </c>
      <c r="AE190" s="6" t="str">
        <f t="shared" si="16"/>
        <v>CA Nam Ninh Hòa_Cột trung thế</v>
      </c>
      <c r="AG190">
        <f t="shared" si="17"/>
        <v>2.435E-2</v>
      </c>
      <c r="AH190">
        <f t="shared" si="18"/>
        <v>4.8799999999999998E-3</v>
      </c>
    </row>
    <row r="191" spans="1:34" x14ac:dyDescent="0.25">
      <c r="A191" t="s">
        <v>1738</v>
      </c>
      <c r="B191" t="s">
        <v>1392</v>
      </c>
      <c r="C191" t="s">
        <v>1393</v>
      </c>
      <c r="D191" t="s">
        <v>562</v>
      </c>
      <c r="E191" t="s">
        <v>563</v>
      </c>
      <c r="F191" t="s">
        <v>1739</v>
      </c>
      <c r="G191" t="s">
        <v>15979</v>
      </c>
      <c r="H191" t="s">
        <v>15980</v>
      </c>
      <c r="I191" t="s">
        <v>16004</v>
      </c>
      <c r="J191" t="s">
        <v>23</v>
      </c>
      <c r="L191" s="8" t="s">
        <v>1587</v>
      </c>
      <c r="M191" t="s">
        <v>1740</v>
      </c>
      <c r="N191" t="s">
        <v>1741</v>
      </c>
      <c r="O191" t="s">
        <v>1742</v>
      </c>
      <c r="P191" t="s">
        <v>1743</v>
      </c>
      <c r="Q191" t="s">
        <v>1744</v>
      </c>
      <c r="R191" t="s">
        <v>1745</v>
      </c>
      <c r="S191" t="s">
        <v>1746</v>
      </c>
      <c r="T191" t="s">
        <v>1595</v>
      </c>
      <c r="U191" s="5">
        <v>25735.56</v>
      </c>
      <c r="V191" s="5">
        <v>10890.65</v>
      </c>
      <c r="W191" s="5">
        <v>12.292956999999999</v>
      </c>
      <c r="X191" s="5">
        <v>109.187048</v>
      </c>
      <c r="Y191" s="5">
        <v>14844.91</v>
      </c>
      <c r="Z191" s="5">
        <v>12.501725</v>
      </c>
      <c r="AA191" s="5">
        <v>109.13825799999999</v>
      </c>
      <c r="AB191" s="7">
        <f t="shared" si="13"/>
        <v>16.335974999999998</v>
      </c>
      <c r="AC191" s="7">
        <f t="shared" si="14"/>
        <v>22.267364999999998</v>
      </c>
      <c r="AD191" s="6" t="str">
        <f t="shared" si="15"/>
        <v>5.Vạn Ninh</v>
      </c>
      <c r="AE191" s="6" t="str">
        <f t="shared" si="16"/>
        <v>CAT Khánh Hòa</v>
      </c>
      <c r="AG191">
        <f t="shared" si="17"/>
        <v>10.890649999999999</v>
      </c>
      <c r="AH191">
        <f t="shared" si="18"/>
        <v>14.84491</v>
      </c>
    </row>
    <row r="192" spans="1:34" x14ac:dyDescent="0.25">
      <c r="A192" t="s">
        <v>1732</v>
      </c>
      <c r="B192" t="s">
        <v>1392</v>
      </c>
      <c r="C192" t="s">
        <v>1393</v>
      </c>
      <c r="D192" t="s">
        <v>391</v>
      </c>
      <c r="E192" t="s">
        <v>392</v>
      </c>
      <c r="F192" t="s">
        <v>1733</v>
      </c>
      <c r="G192" t="s">
        <v>15979</v>
      </c>
      <c r="H192" t="s">
        <v>15980</v>
      </c>
      <c r="I192" t="s">
        <v>16003</v>
      </c>
      <c r="J192" t="s">
        <v>23</v>
      </c>
      <c r="L192" s="8" t="s">
        <v>1604</v>
      </c>
      <c r="M192" t="s">
        <v>1734</v>
      </c>
      <c r="N192" t="s">
        <v>1735</v>
      </c>
      <c r="O192" t="s">
        <v>1736</v>
      </c>
      <c r="P192" t="s">
        <v>1737</v>
      </c>
      <c r="Q192" t="s">
        <v>1606</v>
      </c>
      <c r="R192" t="s">
        <v>1607</v>
      </c>
      <c r="S192" t="s">
        <v>1608</v>
      </c>
      <c r="T192" t="s">
        <v>1612</v>
      </c>
      <c r="U192" s="5">
        <v>1566.48</v>
      </c>
      <c r="V192" s="5">
        <v>818.28</v>
      </c>
      <c r="W192" s="5">
        <v>12.25568</v>
      </c>
      <c r="X192" s="5">
        <v>109.086596</v>
      </c>
      <c r="Y192" s="5">
        <v>748.2</v>
      </c>
      <c r="Z192" s="5">
        <v>12.262793</v>
      </c>
      <c r="AA192" s="5">
        <v>109.03595900000001</v>
      </c>
      <c r="AB192" s="7">
        <f t="shared" si="13"/>
        <v>1.2274200000000002</v>
      </c>
      <c r="AC192" s="7">
        <f t="shared" si="14"/>
        <v>1.1223000000000001</v>
      </c>
      <c r="AD192" s="6" t="str">
        <f t="shared" si="15"/>
        <v>4.CA Diên Thọ</v>
      </c>
      <c r="AE192" s="6" t="str">
        <f t="shared" si="16"/>
        <v>CA Diên Khánh</v>
      </c>
      <c r="AG192">
        <f t="shared" si="17"/>
        <v>0.81828000000000001</v>
      </c>
      <c r="AH192">
        <f t="shared" si="18"/>
        <v>0.74820000000000009</v>
      </c>
    </row>
    <row r="193" spans="1:34" x14ac:dyDescent="0.25">
      <c r="A193" t="s">
        <v>1758</v>
      </c>
      <c r="B193" t="s">
        <v>832</v>
      </c>
      <c r="C193" t="s">
        <v>833</v>
      </c>
      <c r="D193" t="s">
        <v>617</v>
      </c>
      <c r="E193" t="s">
        <v>618</v>
      </c>
      <c r="F193" t="s">
        <v>1759</v>
      </c>
      <c r="G193" t="s">
        <v>15979</v>
      </c>
      <c r="H193" t="s">
        <v>15980</v>
      </c>
      <c r="I193" t="s">
        <v>16006</v>
      </c>
      <c r="J193" t="s">
        <v>23</v>
      </c>
      <c r="L193" s="8" t="s">
        <v>881</v>
      </c>
      <c r="M193" t="s">
        <v>1760</v>
      </c>
      <c r="N193" t="s">
        <v>1761</v>
      </c>
      <c r="O193" t="s">
        <v>1762</v>
      </c>
      <c r="P193" t="s">
        <v>1763</v>
      </c>
      <c r="Q193" t="s">
        <v>1764</v>
      </c>
      <c r="R193" t="s">
        <v>1765</v>
      </c>
      <c r="S193" t="s">
        <v>1766</v>
      </c>
      <c r="T193" t="s">
        <v>889</v>
      </c>
      <c r="U193" s="5">
        <v>415.75</v>
      </c>
      <c r="V193" s="5">
        <v>98.97</v>
      </c>
      <c r="W193" s="5">
        <v>12.063228000000001</v>
      </c>
      <c r="X193" s="5">
        <v>109.15919100000001</v>
      </c>
      <c r="Y193" s="5">
        <v>316.77999999999997</v>
      </c>
      <c r="Z193" s="5">
        <v>11.923064</v>
      </c>
      <c r="AA193" s="5">
        <v>109.165175</v>
      </c>
      <c r="AB193" s="7">
        <f t="shared" si="13"/>
        <v>0.14845499999999998</v>
      </c>
      <c r="AC193" s="7">
        <f t="shared" si="14"/>
        <v>0.47516999999999998</v>
      </c>
      <c r="AD193" s="6" t="str">
        <f t="shared" si="15"/>
        <v>2.Cam Lâm</v>
      </c>
      <c r="AE193" s="6" t="str">
        <f t="shared" si="16"/>
        <v>Cam Ranh</v>
      </c>
      <c r="AG193">
        <f t="shared" si="17"/>
        <v>9.8970000000000002E-2</v>
      </c>
      <c r="AH193">
        <f t="shared" si="18"/>
        <v>0.31677999999999995</v>
      </c>
    </row>
    <row r="194" spans="1:34" x14ac:dyDescent="0.25">
      <c r="A194" t="s">
        <v>1847</v>
      </c>
      <c r="B194" t="s">
        <v>1392</v>
      </c>
      <c r="C194" t="s">
        <v>1393</v>
      </c>
      <c r="D194" t="s">
        <v>1848</v>
      </c>
      <c r="E194" t="s">
        <v>1849</v>
      </c>
      <c r="F194" t="s">
        <v>1850</v>
      </c>
      <c r="G194" t="s">
        <v>15827</v>
      </c>
      <c r="H194" t="s">
        <v>15831</v>
      </c>
      <c r="I194" t="s">
        <v>16016</v>
      </c>
      <c r="J194" t="s">
        <v>23</v>
      </c>
      <c r="L194" s="8" t="s">
        <v>1395</v>
      </c>
      <c r="M194" t="s">
        <v>1851</v>
      </c>
      <c r="N194" t="s">
        <v>1397</v>
      </c>
      <c r="O194" t="s">
        <v>1398</v>
      </c>
      <c r="P194" t="s">
        <v>1399</v>
      </c>
      <c r="Q194" t="s">
        <v>1852</v>
      </c>
      <c r="R194" t="s">
        <v>1853</v>
      </c>
      <c r="S194" t="s">
        <v>1854</v>
      </c>
      <c r="T194" t="s">
        <v>1403</v>
      </c>
      <c r="U194" s="5">
        <v>1314.82</v>
      </c>
      <c r="V194" s="5">
        <v>13.09</v>
      </c>
      <c r="W194" s="5">
        <v>12.256290999999999</v>
      </c>
      <c r="X194" s="5">
        <v>109.09398</v>
      </c>
      <c r="Y194" s="5">
        <v>1301.73</v>
      </c>
      <c r="Z194" s="5">
        <v>12.259256000000001</v>
      </c>
      <c r="AA194" s="5">
        <v>109.084643</v>
      </c>
      <c r="AB194" s="7">
        <f t="shared" si="13"/>
        <v>1.9635E-2</v>
      </c>
      <c r="AC194" s="7">
        <f t="shared" si="14"/>
        <v>1.9525950000000001</v>
      </c>
      <c r="AD194" s="6" t="str">
        <f t="shared" si="15"/>
        <v>1.Diên Khánh</v>
      </c>
      <c r="AE194" s="6" t="str">
        <f t="shared" si="16"/>
        <v>CA Diên Lạc_Cột hạ thế</v>
      </c>
      <c r="AG194">
        <f t="shared" si="17"/>
        <v>1.3089999999999999E-2</v>
      </c>
      <c r="AH194">
        <f t="shared" si="18"/>
        <v>1.3017300000000001</v>
      </c>
    </row>
    <row r="195" spans="1:34" x14ac:dyDescent="0.25">
      <c r="A195" t="s">
        <v>1855</v>
      </c>
      <c r="B195" t="s">
        <v>1392</v>
      </c>
      <c r="C195" t="s">
        <v>1393</v>
      </c>
      <c r="D195" t="s">
        <v>1856</v>
      </c>
      <c r="E195" t="s">
        <v>1857</v>
      </c>
      <c r="F195" t="s">
        <v>1858</v>
      </c>
      <c r="G195" t="s">
        <v>15827</v>
      </c>
      <c r="H195" t="s">
        <v>15831</v>
      </c>
      <c r="I195" t="s">
        <v>16017</v>
      </c>
      <c r="J195" t="s">
        <v>23</v>
      </c>
      <c r="L195" s="8" t="s">
        <v>144</v>
      </c>
      <c r="M195" t="s">
        <v>1859</v>
      </c>
      <c r="N195" t="s">
        <v>1860</v>
      </c>
      <c r="O195" t="s">
        <v>1861</v>
      </c>
      <c r="P195" t="s">
        <v>1862</v>
      </c>
      <c r="Q195" t="s">
        <v>1863</v>
      </c>
      <c r="R195" t="s">
        <v>1864</v>
      </c>
      <c r="S195" t="s">
        <v>1865</v>
      </c>
      <c r="T195" t="s">
        <v>1866</v>
      </c>
      <c r="U195" s="5">
        <v>1953.83</v>
      </c>
      <c r="V195" s="5">
        <v>1446.96</v>
      </c>
      <c r="W195" s="5">
        <v>12.257196</v>
      </c>
      <c r="X195" s="5">
        <v>109.10738499999999</v>
      </c>
      <c r="Y195" s="5">
        <v>506.87</v>
      </c>
      <c r="Z195" s="5">
        <v>12.257274000000001</v>
      </c>
      <c r="AA195" s="5">
        <v>109.140851</v>
      </c>
      <c r="AB195" s="7">
        <f t="shared" ref="AB195:AB258" si="19">V195*1.5/1000</f>
        <v>2.1704400000000001</v>
      </c>
      <c r="AC195" s="7">
        <f t="shared" ref="AC195:AC258" si="20">Y195*1.5/1000</f>
        <v>0.76030500000000001</v>
      </c>
      <c r="AD195" s="6" t="str">
        <f t="shared" ref="AD195:AD258" si="21">TRIM(LEFT(L195,FIND("-",L195)-1))</f>
        <v>3. Trại giam A2</v>
      </c>
      <c r="AE195" s="6" t="str">
        <f t="shared" ref="AE195:AE258" si="22">TRIM(RIGHT(L195, LEN(L195) - FIND("-", L195)))</f>
        <v>CATP Nha trang cũ</v>
      </c>
      <c r="AG195">
        <f t="shared" ref="AG195:AG258" si="23">V195/1000</f>
        <v>1.44696</v>
      </c>
      <c r="AH195">
        <f t="shared" ref="AH195:AH258" si="24">Y195/1000</f>
        <v>0.50687000000000004</v>
      </c>
    </row>
    <row r="196" spans="1:34" x14ac:dyDescent="0.25">
      <c r="A196" t="s">
        <v>1867</v>
      </c>
      <c r="B196" t="s">
        <v>1392</v>
      </c>
      <c r="C196" t="s">
        <v>1393</v>
      </c>
      <c r="D196" t="s">
        <v>1446</v>
      </c>
      <c r="E196" t="s">
        <v>1447</v>
      </c>
      <c r="F196" t="s">
        <v>1868</v>
      </c>
      <c r="G196" t="s">
        <v>15827</v>
      </c>
      <c r="H196" t="s">
        <v>15831</v>
      </c>
      <c r="I196" t="s">
        <v>16018</v>
      </c>
      <c r="J196" t="s">
        <v>23</v>
      </c>
      <c r="L196" s="8" t="s">
        <v>267</v>
      </c>
      <c r="M196" t="s">
        <v>1869</v>
      </c>
      <c r="N196" t="s">
        <v>1870</v>
      </c>
      <c r="O196" t="s">
        <v>1871</v>
      </c>
      <c r="P196" t="s">
        <v>1872</v>
      </c>
      <c r="Q196" t="s">
        <v>1873</v>
      </c>
      <c r="R196" t="s">
        <v>1874</v>
      </c>
      <c r="S196" t="s">
        <v>1875</v>
      </c>
      <c r="T196" t="s">
        <v>1876</v>
      </c>
      <c r="U196" s="5">
        <v>2948.5</v>
      </c>
      <c r="V196" s="5">
        <v>1446.62</v>
      </c>
      <c r="W196" s="5">
        <v>12.257206999999999</v>
      </c>
      <c r="X196" s="5">
        <v>109.107381</v>
      </c>
      <c r="Y196" s="5">
        <v>1501.88</v>
      </c>
      <c r="Z196" s="5">
        <v>12.255112</v>
      </c>
      <c r="AA196" s="5">
        <v>109.167627</v>
      </c>
      <c r="AB196" s="7">
        <f t="shared" si="19"/>
        <v>2.1699299999999999</v>
      </c>
      <c r="AC196" s="7">
        <f t="shared" si="20"/>
        <v>2.2528200000000003</v>
      </c>
      <c r="AD196" s="6" t="str">
        <f t="shared" si="21"/>
        <v>4.CA Tây Nha Trang</v>
      </c>
      <c r="AE196" s="6" t="str">
        <f t="shared" si="22"/>
        <v>TTCMKV Diên Khánh</v>
      </c>
      <c r="AG196">
        <f t="shared" si="23"/>
        <v>1.4466199999999998</v>
      </c>
      <c r="AH196">
        <f t="shared" si="24"/>
        <v>1.5018800000000001</v>
      </c>
    </row>
    <row r="197" spans="1:34" x14ac:dyDescent="0.25">
      <c r="A197" t="s">
        <v>1877</v>
      </c>
      <c r="B197" t="s">
        <v>1392</v>
      </c>
      <c r="C197" t="s">
        <v>1393</v>
      </c>
      <c r="D197" t="s">
        <v>1878</v>
      </c>
      <c r="E197" t="s">
        <v>1879</v>
      </c>
      <c r="F197" t="s">
        <v>1880</v>
      </c>
      <c r="G197" t="s">
        <v>15827</v>
      </c>
      <c r="H197" t="s">
        <v>15831</v>
      </c>
      <c r="I197" t="s">
        <v>16019</v>
      </c>
      <c r="J197" t="s">
        <v>23</v>
      </c>
      <c r="L197" s="8" t="s">
        <v>445</v>
      </c>
      <c r="M197" t="s">
        <v>1881</v>
      </c>
      <c r="N197" t="s">
        <v>1460</v>
      </c>
      <c r="O197" t="s">
        <v>1461</v>
      </c>
      <c r="P197" t="s">
        <v>1462</v>
      </c>
      <c r="Q197" t="s">
        <v>1882</v>
      </c>
      <c r="R197" t="s">
        <v>1883</v>
      </c>
      <c r="S197" t="s">
        <v>1884</v>
      </c>
      <c r="T197" t="s">
        <v>453</v>
      </c>
      <c r="U197" s="5">
        <v>152.74</v>
      </c>
      <c r="V197" s="5">
        <v>3.67</v>
      </c>
      <c r="W197" s="5">
        <v>12.25628</v>
      </c>
      <c r="X197" s="5">
        <v>109.09407299999999</v>
      </c>
      <c r="Y197" s="5">
        <v>149.07</v>
      </c>
      <c r="Z197" s="5">
        <v>12.26765</v>
      </c>
      <c r="AA197" s="5">
        <v>109.108559</v>
      </c>
      <c r="AB197" s="7">
        <f t="shared" si="19"/>
        <v>5.5049999999999995E-3</v>
      </c>
      <c r="AC197" s="7">
        <f t="shared" si="20"/>
        <v>0.223605</v>
      </c>
      <c r="AD197" s="6" t="str">
        <f t="shared" si="21"/>
        <v>1.CA Diên Khánh</v>
      </c>
      <c r="AE197" s="6" t="str">
        <f t="shared" si="22"/>
        <v>CA Diên Điền_Cột trung thế</v>
      </c>
      <c r="AG197">
        <f t="shared" si="23"/>
        <v>3.6700000000000001E-3</v>
      </c>
      <c r="AH197">
        <f t="shared" si="24"/>
        <v>0.14906999999999998</v>
      </c>
    </row>
    <row r="198" spans="1:34" x14ac:dyDescent="0.25">
      <c r="A198" t="s">
        <v>1885</v>
      </c>
      <c r="B198" t="s">
        <v>1392</v>
      </c>
      <c r="C198" t="s">
        <v>1393</v>
      </c>
      <c r="D198" t="s">
        <v>1886</v>
      </c>
      <c r="E198" t="s">
        <v>1887</v>
      </c>
      <c r="F198" t="s">
        <v>1888</v>
      </c>
      <c r="G198" t="s">
        <v>15827</v>
      </c>
      <c r="H198" t="s">
        <v>15831</v>
      </c>
      <c r="I198" t="s">
        <v>16020</v>
      </c>
      <c r="J198" t="s">
        <v>23</v>
      </c>
      <c r="L198" s="8" t="s">
        <v>445</v>
      </c>
      <c r="M198" t="s">
        <v>1889</v>
      </c>
      <c r="N198" t="s">
        <v>1460</v>
      </c>
      <c r="O198" t="s">
        <v>1461</v>
      </c>
      <c r="P198" t="s">
        <v>1462</v>
      </c>
      <c r="Q198" t="s">
        <v>1890</v>
      </c>
      <c r="R198" t="s">
        <v>1891</v>
      </c>
      <c r="S198" t="s">
        <v>1892</v>
      </c>
      <c r="T198" t="s">
        <v>453</v>
      </c>
      <c r="U198" s="5">
        <v>181.44</v>
      </c>
      <c r="V198" s="5">
        <v>3.67</v>
      </c>
      <c r="W198" s="5">
        <v>12.25628</v>
      </c>
      <c r="X198" s="5">
        <v>109.09407299999999</v>
      </c>
      <c r="Y198" s="5">
        <v>177.77</v>
      </c>
      <c r="Z198" s="5">
        <v>12.257208</v>
      </c>
      <c r="AA198" s="5">
        <v>109.10672700000001</v>
      </c>
      <c r="AB198" s="7">
        <f t="shared" si="19"/>
        <v>5.5049999999999995E-3</v>
      </c>
      <c r="AC198" s="7">
        <f t="shared" si="20"/>
        <v>0.26665500000000003</v>
      </c>
      <c r="AD198" s="6" t="str">
        <f t="shared" si="21"/>
        <v>1.CA Diên Khánh</v>
      </c>
      <c r="AE198" s="6" t="str">
        <f t="shared" si="22"/>
        <v>CA Diên Điền_Cột trung thế</v>
      </c>
      <c r="AG198">
        <f t="shared" si="23"/>
        <v>3.6700000000000001E-3</v>
      </c>
      <c r="AH198">
        <f t="shared" si="24"/>
        <v>0.17777000000000001</v>
      </c>
    </row>
    <row r="199" spans="1:34" x14ac:dyDescent="0.25">
      <c r="A199" t="s">
        <v>1893</v>
      </c>
      <c r="B199" t="s">
        <v>1392</v>
      </c>
      <c r="C199" t="s">
        <v>1393</v>
      </c>
      <c r="D199" t="s">
        <v>1894</v>
      </c>
      <c r="E199" t="s">
        <v>1895</v>
      </c>
      <c r="F199" t="s">
        <v>1896</v>
      </c>
      <c r="G199" t="s">
        <v>15827</v>
      </c>
      <c r="H199" t="s">
        <v>15831</v>
      </c>
      <c r="I199" t="s">
        <v>16021</v>
      </c>
      <c r="J199" t="s">
        <v>23</v>
      </c>
      <c r="L199" s="8" t="s">
        <v>445</v>
      </c>
      <c r="M199" t="s">
        <v>1897</v>
      </c>
      <c r="N199" t="s">
        <v>1460</v>
      </c>
      <c r="O199" t="s">
        <v>1461</v>
      </c>
      <c r="P199" t="s">
        <v>1462</v>
      </c>
      <c r="Q199" t="s">
        <v>1898</v>
      </c>
      <c r="R199" t="s">
        <v>1899</v>
      </c>
      <c r="S199" t="s">
        <v>1900</v>
      </c>
      <c r="T199" t="s">
        <v>453</v>
      </c>
      <c r="U199" s="5">
        <v>1447.06</v>
      </c>
      <c r="V199" s="5">
        <v>3.67</v>
      </c>
      <c r="W199" s="5">
        <v>12.25628</v>
      </c>
      <c r="X199" s="5">
        <v>109.09407299999999</v>
      </c>
      <c r="Y199" s="5">
        <v>1443.39</v>
      </c>
      <c r="Z199" s="5">
        <v>12.274564</v>
      </c>
      <c r="AA199" s="5">
        <v>109.11688599999999</v>
      </c>
      <c r="AB199" s="7">
        <f t="shared" si="19"/>
        <v>5.5049999999999995E-3</v>
      </c>
      <c r="AC199" s="7">
        <f t="shared" si="20"/>
        <v>2.1650849999999999</v>
      </c>
      <c r="AD199" s="6" t="str">
        <f t="shared" si="21"/>
        <v>1.CA Diên Khánh</v>
      </c>
      <c r="AE199" s="6" t="str">
        <f t="shared" si="22"/>
        <v>CA Diên Điền_Cột trung thế</v>
      </c>
      <c r="AG199">
        <f t="shared" si="23"/>
        <v>3.6700000000000001E-3</v>
      </c>
      <c r="AH199">
        <f t="shared" si="24"/>
        <v>1.4433900000000002</v>
      </c>
    </row>
    <row r="200" spans="1:34" x14ac:dyDescent="0.25">
      <c r="A200" t="s">
        <v>1901</v>
      </c>
      <c r="B200" t="s">
        <v>1392</v>
      </c>
      <c r="C200" t="s">
        <v>1393</v>
      </c>
      <c r="D200" t="s">
        <v>1902</v>
      </c>
      <c r="E200" t="s">
        <v>1903</v>
      </c>
      <c r="F200" t="s">
        <v>1904</v>
      </c>
      <c r="G200" t="s">
        <v>15827</v>
      </c>
      <c r="H200" t="s">
        <v>15831</v>
      </c>
      <c r="I200" t="s">
        <v>16022</v>
      </c>
      <c r="J200" t="s">
        <v>23</v>
      </c>
      <c r="L200" s="8" t="s">
        <v>54</v>
      </c>
      <c r="M200" t="s">
        <v>1905</v>
      </c>
      <c r="N200" t="s">
        <v>1843</v>
      </c>
      <c r="O200" t="s">
        <v>1906</v>
      </c>
      <c r="P200" t="s">
        <v>1907</v>
      </c>
      <c r="Q200" t="s">
        <v>1908</v>
      </c>
      <c r="R200" t="s">
        <v>1909</v>
      </c>
      <c r="S200" t="s">
        <v>1910</v>
      </c>
      <c r="T200" t="s">
        <v>62</v>
      </c>
      <c r="U200" s="5">
        <v>1738.43</v>
      </c>
      <c r="V200" s="5">
        <v>4.88</v>
      </c>
      <c r="W200" s="5">
        <v>12.256322000000001</v>
      </c>
      <c r="X200" s="5">
        <v>109.094061</v>
      </c>
      <c r="Y200" s="5">
        <v>1733.55</v>
      </c>
      <c r="Z200" s="5">
        <v>12.240461</v>
      </c>
      <c r="AA200" s="5">
        <v>109.09412</v>
      </c>
      <c r="AB200" s="7">
        <f t="shared" si="19"/>
        <v>7.3200000000000001E-3</v>
      </c>
      <c r="AC200" s="7">
        <f t="shared" si="20"/>
        <v>2.6003249999999998</v>
      </c>
      <c r="AD200" s="6" t="str">
        <f t="shared" si="21"/>
        <v>1.CA Diên Khánh</v>
      </c>
      <c r="AE200" s="6" t="str">
        <f t="shared" si="22"/>
        <v>CA Suối Hiệp</v>
      </c>
      <c r="AG200">
        <f t="shared" si="23"/>
        <v>4.8799999999999998E-3</v>
      </c>
      <c r="AH200">
        <f t="shared" si="24"/>
        <v>1.7335499999999999</v>
      </c>
    </row>
    <row r="201" spans="1:34" x14ac:dyDescent="0.25">
      <c r="A201" t="s">
        <v>1911</v>
      </c>
      <c r="B201" t="s">
        <v>1912</v>
      </c>
      <c r="C201" t="s">
        <v>1913</v>
      </c>
      <c r="D201" t="s">
        <v>1392</v>
      </c>
      <c r="E201" t="s">
        <v>1393</v>
      </c>
      <c r="F201" t="s">
        <v>1914</v>
      </c>
      <c r="G201" t="s">
        <v>15827</v>
      </c>
      <c r="H201" t="s">
        <v>15828</v>
      </c>
      <c r="I201" t="s">
        <v>16023</v>
      </c>
      <c r="J201" t="s">
        <v>23</v>
      </c>
      <c r="L201" s="8" t="s">
        <v>445</v>
      </c>
      <c r="M201" t="s">
        <v>1915</v>
      </c>
      <c r="N201" t="s">
        <v>1916</v>
      </c>
      <c r="O201" t="s">
        <v>1917</v>
      </c>
      <c r="P201" t="s">
        <v>1918</v>
      </c>
      <c r="Q201" t="s">
        <v>1460</v>
      </c>
      <c r="R201" t="s">
        <v>1461</v>
      </c>
      <c r="S201" t="s">
        <v>1462</v>
      </c>
      <c r="T201" t="s">
        <v>453</v>
      </c>
      <c r="U201" s="5">
        <v>969.58</v>
      </c>
      <c r="V201" s="5">
        <v>965.91</v>
      </c>
      <c r="W201" s="5">
        <v>12.258483999999999</v>
      </c>
      <c r="X201" s="5">
        <v>109.10706</v>
      </c>
      <c r="Y201" s="5">
        <v>3.67</v>
      </c>
      <c r="Z201" s="5">
        <v>12.25628</v>
      </c>
      <c r="AA201" s="5">
        <v>109.09407299999999</v>
      </c>
      <c r="AB201" s="7">
        <f t="shared" si="19"/>
        <v>1.4488650000000001</v>
      </c>
      <c r="AC201" s="7">
        <f t="shared" si="20"/>
        <v>5.5049999999999995E-3</v>
      </c>
      <c r="AD201" s="6" t="str">
        <f t="shared" si="21"/>
        <v>1.CA Diên Khánh</v>
      </c>
      <c r="AE201" s="6" t="str">
        <f t="shared" si="22"/>
        <v>CA Diên Điền_Cột trung thế</v>
      </c>
      <c r="AG201">
        <f t="shared" si="23"/>
        <v>0.96590999999999994</v>
      </c>
      <c r="AH201">
        <f t="shared" si="24"/>
        <v>3.6700000000000001E-3</v>
      </c>
    </row>
    <row r="202" spans="1:34" x14ac:dyDescent="0.25">
      <c r="A202" t="s">
        <v>1919</v>
      </c>
      <c r="B202" t="s">
        <v>1920</v>
      </c>
      <c r="C202" t="s">
        <v>1921</v>
      </c>
      <c r="D202" t="s">
        <v>1392</v>
      </c>
      <c r="E202" t="s">
        <v>1393</v>
      </c>
      <c r="F202" t="s">
        <v>1922</v>
      </c>
      <c r="G202" t="s">
        <v>15827</v>
      </c>
      <c r="H202" t="s">
        <v>15828</v>
      </c>
      <c r="I202" t="s">
        <v>16024</v>
      </c>
      <c r="J202" t="s">
        <v>23</v>
      </c>
      <c r="L202" s="8" t="s">
        <v>445</v>
      </c>
      <c r="M202" t="s">
        <v>1923</v>
      </c>
      <c r="N202" t="s">
        <v>1924</v>
      </c>
      <c r="O202" t="s">
        <v>1891</v>
      </c>
      <c r="P202" t="s">
        <v>1925</v>
      </c>
      <c r="Q202" t="s">
        <v>1460</v>
      </c>
      <c r="R202" t="s">
        <v>1461</v>
      </c>
      <c r="S202" t="s">
        <v>1462</v>
      </c>
      <c r="T202" t="s">
        <v>453</v>
      </c>
      <c r="U202" s="5">
        <v>411.92</v>
      </c>
      <c r="V202" s="5">
        <v>408.25</v>
      </c>
      <c r="W202" s="5">
        <v>12.257208</v>
      </c>
      <c r="X202" s="5">
        <v>109.104496</v>
      </c>
      <c r="Y202" s="5">
        <v>3.67</v>
      </c>
      <c r="Z202" s="5">
        <v>12.25628</v>
      </c>
      <c r="AA202" s="5">
        <v>109.09407299999999</v>
      </c>
      <c r="AB202" s="7">
        <f t="shared" si="19"/>
        <v>0.612375</v>
      </c>
      <c r="AC202" s="7">
        <f t="shared" si="20"/>
        <v>5.5049999999999995E-3</v>
      </c>
      <c r="AD202" s="6" t="str">
        <f t="shared" si="21"/>
        <v>1.CA Diên Khánh</v>
      </c>
      <c r="AE202" s="6" t="str">
        <f t="shared" si="22"/>
        <v>CA Diên Điền_Cột trung thế</v>
      </c>
      <c r="AG202">
        <f t="shared" si="23"/>
        <v>0.40825</v>
      </c>
      <c r="AH202">
        <f t="shared" si="24"/>
        <v>3.6700000000000001E-3</v>
      </c>
    </row>
    <row r="203" spans="1:34" x14ac:dyDescent="0.25">
      <c r="A203" t="s">
        <v>1926</v>
      </c>
      <c r="B203" t="s">
        <v>1927</v>
      </c>
      <c r="C203" t="s">
        <v>1928</v>
      </c>
      <c r="D203" t="s">
        <v>1392</v>
      </c>
      <c r="E203" t="s">
        <v>1393</v>
      </c>
      <c r="F203" t="s">
        <v>1929</v>
      </c>
      <c r="G203" t="s">
        <v>15827</v>
      </c>
      <c r="H203" t="s">
        <v>15828</v>
      </c>
      <c r="I203" t="s">
        <v>16025</v>
      </c>
      <c r="J203" t="s">
        <v>23</v>
      </c>
      <c r="L203" s="8" t="s">
        <v>54</v>
      </c>
      <c r="M203" t="s">
        <v>1930</v>
      </c>
      <c r="N203" t="s">
        <v>1931</v>
      </c>
      <c r="O203" t="s">
        <v>1932</v>
      </c>
      <c r="P203" t="s">
        <v>1933</v>
      </c>
      <c r="Q203" t="s">
        <v>1843</v>
      </c>
      <c r="R203" t="s">
        <v>1906</v>
      </c>
      <c r="S203" t="s">
        <v>1907</v>
      </c>
      <c r="T203" t="s">
        <v>62</v>
      </c>
      <c r="U203" s="5">
        <v>63.19</v>
      </c>
      <c r="V203" s="5">
        <v>58.31</v>
      </c>
      <c r="W203" s="5">
        <v>12.256041</v>
      </c>
      <c r="X203" s="5">
        <v>109.097449</v>
      </c>
      <c r="Y203" s="5">
        <v>4.88</v>
      </c>
      <c r="Z203" s="5">
        <v>12.256322000000001</v>
      </c>
      <c r="AA203" s="5">
        <v>109.094061</v>
      </c>
      <c r="AB203" s="7">
        <f t="shared" si="19"/>
        <v>8.7465000000000001E-2</v>
      </c>
      <c r="AC203" s="7">
        <f t="shared" si="20"/>
        <v>7.3200000000000001E-3</v>
      </c>
      <c r="AD203" s="6" t="str">
        <f t="shared" si="21"/>
        <v>1.CA Diên Khánh</v>
      </c>
      <c r="AE203" s="6" t="str">
        <f t="shared" si="22"/>
        <v>CA Suối Hiệp</v>
      </c>
      <c r="AG203">
        <f t="shared" si="23"/>
        <v>5.8310000000000001E-2</v>
      </c>
      <c r="AH203">
        <f t="shared" si="24"/>
        <v>4.8799999999999998E-3</v>
      </c>
    </row>
    <row r="204" spans="1:34" x14ac:dyDescent="0.25">
      <c r="A204" t="s">
        <v>1934</v>
      </c>
      <c r="B204" t="s">
        <v>64</v>
      </c>
      <c r="C204" t="s">
        <v>65</v>
      </c>
      <c r="D204" t="s">
        <v>1392</v>
      </c>
      <c r="E204" t="s">
        <v>1393</v>
      </c>
      <c r="F204" t="s">
        <v>1935</v>
      </c>
      <c r="G204" t="s">
        <v>15827</v>
      </c>
      <c r="H204" t="s">
        <v>15831</v>
      </c>
      <c r="I204" t="s">
        <v>16026</v>
      </c>
      <c r="J204" t="s">
        <v>23</v>
      </c>
      <c r="L204" s="8" t="s">
        <v>54</v>
      </c>
      <c r="M204" t="s">
        <v>1936</v>
      </c>
      <c r="N204" t="s">
        <v>1937</v>
      </c>
      <c r="O204" t="s">
        <v>60</v>
      </c>
      <c r="P204" t="s">
        <v>61</v>
      </c>
      <c r="Q204" t="s">
        <v>1843</v>
      </c>
      <c r="R204" t="s">
        <v>1906</v>
      </c>
      <c r="S204" t="s">
        <v>1907</v>
      </c>
      <c r="T204" t="s">
        <v>62</v>
      </c>
      <c r="U204" s="5">
        <v>7884.25</v>
      </c>
      <c r="V204" s="5">
        <v>7879.37</v>
      </c>
      <c r="W204" s="5">
        <v>12.222536</v>
      </c>
      <c r="X204" s="5">
        <v>109.084489</v>
      </c>
      <c r="Y204" s="5">
        <v>4.88</v>
      </c>
      <c r="Z204" s="5">
        <v>12.256322000000001</v>
      </c>
      <c r="AA204" s="5">
        <v>109.094061</v>
      </c>
      <c r="AB204" s="7">
        <f t="shared" si="19"/>
        <v>11.819055000000001</v>
      </c>
      <c r="AC204" s="7">
        <f t="shared" si="20"/>
        <v>7.3200000000000001E-3</v>
      </c>
      <c r="AD204" s="6" t="str">
        <f t="shared" si="21"/>
        <v>1.CA Diên Khánh</v>
      </c>
      <c r="AE204" s="6" t="str">
        <f t="shared" si="22"/>
        <v>CA Suối Hiệp</v>
      </c>
      <c r="AG204">
        <f t="shared" si="23"/>
        <v>7.8793699999999998</v>
      </c>
      <c r="AH204">
        <f t="shared" si="24"/>
        <v>4.8799999999999998E-3</v>
      </c>
    </row>
    <row r="205" spans="1:34" x14ac:dyDescent="0.25">
      <c r="A205" t="s">
        <v>1938</v>
      </c>
      <c r="B205" t="s">
        <v>1392</v>
      </c>
      <c r="C205" t="s">
        <v>1393</v>
      </c>
      <c r="D205" t="s">
        <v>94</v>
      </c>
      <c r="E205" t="s">
        <v>95</v>
      </c>
      <c r="F205" t="s">
        <v>1939</v>
      </c>
      <c r="G205" t="s">
        <v>15979</v>
      </c>
      <c r="H205" t="s">
        <v>15980</v>
      </c>
      <c r="I205" t="s">
        <v>16027</v>
      </c>
      <c r="J205" t="s">
        <v>23</v>
      </c>
      <c r="L205" s="8" t="s">
        <v>267</v>
      </c>
      <c r="M205" t="s">
        <v>1940</v>
      </c>
      <c r="N205" t="s">
        <v>1870</v>
      </c>
      <c r="O205" t="s">
        <v>1871</v>
      </c>
      <c r="P205" t="s">
        <v>1872</v>
      </c>
      <c r="Q205" t="s">
        <v>1941</v>
      </c>
      <c r="R205" t="s">
        <v>1874</v>
      </c>
      <c r="S205" t="s">
        <v>1875</v>
      </c>
      <c r="T205" t="s">
        <v>1876</v>
      </c>
      <c r="U205" s="5">
        <v>4298.2299999999996</v>
      </c>
      <c r="V205" s="5">
        <v>1446.62</v>
      </c>
      <c r="W205" s="5">
        <v>12.257206999999999</v>
      </c>
      <c r="X205" s="5">
        <v>109.107381</v>
      </c>
      <c r="Y205" s="5">
        <v>2851.62</v>
      </c>
      <c r="Z205" s="5">
        <v>12.255112</v>
      </c>
      <c r="AA205" s="5">
        <v>109.167627</v>
      </c>
      <c r="AB205" s="7">
        <f t="shared" si="19"/>
        <v>2.1699299999999999</v>
      </c>
      <c r="AC205" s="7">
        <f t="shared" si="20"/>
        <v>4.2774300000000007</v>
      </c>
      <c r="AD205" s="6" t="str">
        <f t="shared" si="21"/>
        <v>4.CA Tây Nha Trang</v>
      </c>
      <c r="AE205" s="6" t="str">
        <f t="shared" si="22"/>
        <v>TTCMKV Diên Khánh</v>
      </c>
      <c r="AG205">
        <f t="shared" si="23"/>
        <v>1.4466199999999998</v>
      </c>
      <c r="AH205">
        <f t="shared" si="24"/>
        <v>2.85162</v>
      </c>
    </row>
    <row r="206" spans="1:34" x14ac:dyDescent="0.25">
      <c r="A206" t="s">
        <v>1942</v>
      </c>
      <c r="B206" t="s">
        <v>1392</v>
      </c>
      <c r="C206" t="s">
        <v>1393</v>
      </c>
      <c r="D206" t="s">
        <v>832</v>
      </c>
      <c r="E206" t="s">
        <v>833</v>
      </c>
      <c r="F206" t="s">
        <v>1943</v>
      </c>
      <c r="G206" t="s">
        <v>15979</v>
      </c>
      <c r="H206" t="s">
        <v>15980</v>
      </c>
      <c r="I206" t="s">
        <v>16028</v>
      </c>
      <c r="J206" t="s">
        <v>23</v>
      </c>
      <c r="L206" s="8" t="s">
        <v>244</v>
      </c>
      <c r="M206" t="s">
        <v>1944</v>
      </c>
      <c r="N206" t="s">
        <v>1945</v>
      </c>
      <c r="O206" t="s">
        <v>1946</v>
      </c>
      <c r="P206" t="s">
        <v>1947</v>
      </c>
      <c r="Q206" t="s">
        <v>1948</v>
      </c>
      <c r="R206" t="s">
        <v>1949</v>
      </c>
      <c r="S206" t="s">
        <v>1950</v>
      </c>
      <c r="T206" t="s">
        <v>901</v>
      </c>
      <c r="U206" s="5">
        <v>11802.2</v>
      </c>
      <c r="V206" s="5">
        <v>10371.14</v>
      </c>
      <c r="W206" s="5">
        <v>12.164901</v>
      </c>
      <c r="X206" s="5">
        <v>109.07508300000001</v>
      </c>
      <c r="Y206" s="5">
        <v>1431.05</v>
      </c>
      <c r="Z206" s="5">
        <v>12.07361</v>
      </c>
      <c r="AA206" s="5">
        <v>109.15225100000001</v>
      </c>
      <c r="AB206" s="7">
        <f t="shared" si="19"/>
        <v>15.556709999999999</v>
      </c>
      <c r="AC206" s="7">
        <f t="shared" si="20"/>
        <v>2.1465749999999999</v>
      </c>
      <c r="AD206" s="6" t="str">
        <f t="shared" si="21"/>
        <v>5. Cam Phước Đông</v>
      </c>
      <c r="AE206" s="6" t="str">
        <f t="shared" si="22"/>
        <v>CAT Khánh Hòa</v>
      </c>
      <c r="AG206">
        <f t="shared" si="23"/>
        <v>10.371139999999999</v>
      </c>
      <c r="AH206">
        <f t="shared" si="24"/>
        <v>1.4310499999999999</v>
      </c>
    </row>
    <row r="207" spans="1:34" x14ac:dyDescent="0.25">
      <c r="A207" t="s">
        <v>1938</v>
      </c>
      <c r="B207" t="s">
        <v>1392</v>
      </c>
      <c r="C207" t="s">
        <v>1393</v>
      </c>
      <c r="D207" t="s">
        <v>94</v>
      </c>
      <c r="E207" t="s">
        <v>95</v>
      </c>
      <c r="F207" t="s">
        <v>1939</v>
      </c>
      <c r="G207" t="s">
        <v>15979</v>
      </c>
      <c r="H207" t="s">
        <v>15980</v>
      </c>
      <c r="I207" t="s">
        <v>16027</v>
      </c>
      <c r="J207" t="s">
        <v>23</v>
      </c>
      <c r="L207" s="8" t="s">
        <v>267</v>
      </c>
      <c r="M207" t="s">
        <v>1940</v>
      </c>
      <c r="N207" t="s">
        <v>1870</v>
      </c>
      <c r="O207" t="s">
        <v>1871</v>
      </c>
      <c r="P207" t="s">
        <v>1872</v>
      </c>
      <c r="Q207" t="s">
        <v>1941</v>
      </c>
      <c r="R207" t="s">
        <v>1874</v>
      </c>
      <c r="S207" t="s">
        <v>1875</v>
      </c>
      <c r="T207" t="s">
        <v>1876</v>
      </c>
      <c r="U207" s="5">
        <v>4298.2299999999996</v>
      </c>
      <c r="V207" s="5">
        <v>1446.62</v>
      </c>
      <c r="W207" s="5">
        <v>12.257206999999999</v>
      </c>
      <c r="X207" s="5">
        <v>109.107381</v>
      </c>
      <c r="Y207" s="5">
        <v>2851.62</v>
      </c>
      <c r="Z207" s="5">
        <v>12.255112</v>
      </c>
      <c r="AA207" s="5">
        <v>109.167627</v>
      </c>
      <c r="AB207" s="7">
        <f t="shared" si="19"/>
        <v>2.1699299999999999</v>
      </c>
      <c r="AC207" s="7">
        <f t="shared" si="20"/>
        <v>4.2774300000000007</v>
      </c>
      <c r="AD207" s="6" t="str">
        <f t="shared" si="21"/>
        <v>4.CA Tây Nha Trang</v>
      </c>
      <c r="AE207" s="6" t="str">
        <f t="shared" si="22"/>
        <v>TTCMKV Diên Khánh</v>
      </c>
      <c r="AG207">
        <f t="shared" si="23"/>
        <v>1.4466199999999998</v>
      </c>
      <c r="AH207">
        <f t="shared" si="24"/>
        <v>2.85162</v>
      </c>
    </row>
    <row r="208" spans="1:34" x14ac:dyDescent="0.25">
      <c r="A208" t="s">
        <v>1951</v>
      </c>
      <c r="B208" t="s">
        <v>1392</v>
      </c>
      <c r="C208" t="s">
        <v>1393</v>
      </c>
      <c r="D208" t="s">
        <v>1952</v>
      </c>
      <c r="E208" t="s">
        <v>1953</v>
      </c>
      <c r="F208" t="s">
        <v>1954</v>
      </c>
      <c r="G208" t="s">
        <v>15979</v>
      </c>
      <c r="H208" t="s">
        <v>15980</v>
      </c>
      <c r="I208" t="s">
        <v>16029</v>
      </c>
      <c r="J208" t="s">
        <v>23</v>
      </c>
      <c r="L208" s="8" t="s">
        <v>54</v>
      </c>
      <c r="M208" t="s">
        <v>1955</v>
      </c>
      <c r="N208" t="s">
        <v>1843</v>
      </c>
      <c r="O208" t="s">
        <v>1906</v>
      </c>
      <c r="P208" t="s">
        <v>1907</v>
      </c>
      <c r="Q208" t="s">
        <v>1956</v>
      </c>
      <c r="R208" t="s">
        <v>1957</v>
      </c>
      <c r="S208" t="s">
        <v>1958</v>
      </c>
      <c r="T208" t="s">
        <v>62</v>
      </c>
      <c r="U208" s="5">
        <v>698.36</v>
      </c>
      <c r="V208" s="5">
        <v>4.88</v>
      </c>
      <c r="W208" s="5">
        <v>12.256322000000001</v>
      </c>
      <c r="X208" s="5">
        <v>109.094061</v>
      </c>
      <c r="Y208" s="5">
        <v>693.48</v>
      </c>
      <c r="Z208" s="5">
        <v>12.252197000000001</v>
      </c>
      <c r="AA208" s="5">
        <v>109.097283</v>
      </c>
      <c r="AB208" s="7">
        <f t="shared" si="19"/>
        <v>7.3200000000000001E-3</v>
      </c>
      <c r="AC208" s="7">
        <f t="shared" si="20"/>
        <v>1.0402199999999999</v>
      </c>
      <c r="AD208" s="6" t="str">
        <f t="shared" si="21"/>
        <v>1.CA Diên Khánh</v>
      </c>
      <c r="AE208" s="6" t="str">
        <f t="shared" si="22"/>
        <v>CA Suối Hiệp</v>
      </c>
      <c r="AG208">
        <f t="shared" si="23"/>
        <v>4.8799999999999998E-3</v>
      </c>
      <c r="AH208">
        <f t="shared" si="24"/>
        <v>0.69347999999999999</v>
      </c>
    </row>
    <row r="209" spans="1:34" x14ac:dyDescent="0.25">
      <c r="A209" t="s">
        <v>1959</v>
      </c>
      <c r="B209" t="s">
        <v>94</v>
      </c>
      <c r="C209" t="s">
        <v>95</v>
      </c>
      <c r="D209" t="s">
        <v>1392</v>
      </c>
      <c r="E209" t="s">
        <v>1393</v>
      </c>
      <c r="F209" t="s">
        <v>1960</v>
      </c>
      <c r="G209" t="s">
        <v>15979</v>
      </c>
      <c r="H209" t="s">
        <v>15980</v>
      </c>
      <c r="I209" t="s">
        <v>16030</v>
      </c>
      <c r="J209" t="s">
        <v>23</v>
      </c>
      <c r="L209" s="8" t="s">
        <v>267</v>
      </c>
      <c r="M209" t="s">
        <v>1940</v>
      </c>
      <c r="N209" t="s">
        <v>1941</v>
      </c>
      <c r="O209" t="s">
        <v>1874</v>
      </c>
      <c r="P209" t="s">
        <v>1875</v>
      </c>
      <c r="Q209" t="s">
        <v>1870</v>
      </c>
      <c r="R209" t="s">
        <v>1871</v>
      </c>
      <c r="S209" t="s">
        <v>1872</v>
      </c>
      <c r="T209" t="s">
        <v>1876</v>
      </c>
      <c r="U209" s="5">
        <v>4298.2299999999996</v>
      </c>
      <c r="V209" s="5">
        <v>2851.62</v>
      </c>
      <c r="W209" s="5">
        <v>12.255112</v>
      </c>
      <c r="X209" s="5">
        <v>109.167627</v>
      </c>
      <c r="Y209" s="5">
        <v>1446.62</v>
      </c>
      <c r="Z209" s="5">
        <v>12.257206999999999</v>
      </c>
      <c r="AA209" s="5">
        <v>109.107381</v>
      </c>
      <c r="AB209" s="7">
        <f t="shared" si="19"/>
        <v>4.2774300000000007</v>
      </c>
      <c r="AC209" s="7">
        <f t="shared" si="20"/>
        <v>2.1699299999999999</v>
      </c>
      <c r="AD209" s="6" t="str">
        <f t="shared" si="21"/>
        <v>4.CA Tây Nha Trang</v>
      </c>
      <c r="AE209" s="6" t="str">
        <f t="shared" si="22"/>
        <v>TTCMKV Diên Khánh</v>
      </c>
      <c r="AG209">
        <f t="shared" si="23"/>
        <v>2.85162</v>
      </c>
      <c r="AH209">
        <f t="shared" si="24"/>
        <v>1.4466199999999998</v>
      </c>
    </row>
    <row r="210" spans="1:34" x14ac:dyDescent="0.25">
      <c r="A210" t="s">
        <v>1961</v>
      </c>
      <c r="B210" t="s">
        <v>262</v>
      </c>
      <c r="C210" t="s">
        <v>263</v>
      </c>
      <c r="D210" t="s">
        <v>128</v>
      </c>
      <c r="E210" t="s">
        <v>129</v>
      </c>
      <c r="F210" t="s">
        <v>1962</v>
      </c>
      <c r="G210" t="s">
        <v>15979</v>
      </c>
      <c r="H210" t="s">
        <v>15980</v>
      </c>
      <c r="I210" t="s">
        <v>16031</v>
      </c>
      <c r="J210" t="s">
        <v>23</v>
      </c>
      <c r="L210" s="8" t="s">
        <v>144</v>
      </c>
      <c r="M210" t="s">
        <v>1963</v>
      </c>
      <c r="N210" t="s">
        <v>695</v>
      </c>
      <c r="O210" t="s">
        <v>150</v>
      </c>
      <c r="P210" t="s">
        <v>151</v>
      </c>
      <c r="Q210" t="s">
        <v>1964</v>
      </c>
      <c r="R210" t="s">
        <v>147</v>
      </c>
      <c r="S210" t="s">
        <v>148</v>
      </c>
      <c r="T210" t="s">
        <v>152</v>
      </c>
      <c r="U210" s="5">
        <v>216.72</v>
      </c>
      <c r="V210" s="5">
        <v>80.62</v>
      </c>
      <c r="W210" s="5">
        <v>12.249428</v>
      </c>
      <c r="X210" s="5">
        <v>109.184727</v>
      </c>
      <c r="Y210" s="5">
        <v>136.1</v>
      </c>
      <c r="Z210" s="5">
        <v>12.247631</v>
      </c>
      <c r="AA210" s="5">
        <v>109.19125</v>
      </c>
      <c r="AB210" s="7">
        <f t="shared" si="19"/>
        <v>0.12093000000000001</v>
      </c>
      <c r="AC210" s="7">
        <f t="shared" si="20"/>
        <v>0.20414999999999997</v>
      </c>
      <c r="AD210" s="6" t="str">
        <f t="shared" si="21"/>
        <v>3. Trại giam A2</v>
      </c>
      <c r="AE210" s="6" t="str">
        <f t="shared" si="22"/>
        <v>CATP Nha trang cũ</v>
      </c>
      <c r="AG210">
        <f t="shared" si="23"/>
        <v>8.0620000000000011E-2</v>
      </c>
      <c r="AH210">
        <f t="shared" si="24"/>
        <v>0.1361</v>
      </c>
    </row>
    <row r="211" spans="1:34" x14ac:dyDescent="0.25">
      <c r="A211" t="s">
        <v>1965</v>
      </c>
      <c r="B211" t="s">
        <v>128</v>
      </c>
      <c r="C211" t="s">
        <v>129</v>
      </c>
      <c r="D211" t="s">
        <v>239</v>
      </c>
      <c r="E211" t="s">
        <v>240</v>
      </c>
      <c r="F211" t="s">
        <v>1966</v>
      </c>
      <c r="G211" t="s">
        <v>15979</v>
      </c>
      <c r="H211" t="s">
        <v>15980</v>
      </c>
      <c r="I211" t="s">
        <v>16032</v>
      </c>
      <c r="J211" t="s">
        <v>23</v>
      </c>
      <c r="L211" s="8" t="s">
        <v>282</v>
      </c>
      <c r="M211" t="s">
        <v>1967</v>
      </c>
      <c r="N211" t="s">
        <v>673</v>
      </c>
      <c r="O211" t="s">
        <v>288</v>
      </c>
      <c r="P211" t="s">
        <v>289</v>
      </c>
      <c r="Q211" t="s">
        <v>1968</v>
      </c>
      <c r="R211" t="s">
        <v>1969</v>
      </c>
      <c r="S211" t="s">
        <v>1970</v>
      </c>
      <c r="T211" t="s">
        <v>290</v>
      </c>
      <c r="U211" s="5">
        <v>735.51</v>
      </c>
      <c r="V211" s="5">
        <v>405.93</v>
      </c>
      <c r="W211" s="5">
        <v>12.243925000000001</v>
      </c>
      <c r="X211" s="5">
        <v>109.189556</v>
      </c>
      <c r="Y211" s="5">
        <v>329.57</v>
      </c>
      <c r="Z211" s="5">
        <v>12.238564999999999</v>
      </c>
      <c r="AA211" s="5">
        <v>109.186745</v>
      </c>
      <c r="AB211" s="7">
        <f t="shared" si="19"/>
        <v>0.60889499999999996</v>
      </c>
      <c r="AC211" s="7">
        <f t="shared" si="20"/>
        <v>0.49435500000000004</v>
      </c>
      <c r="AD211" s="6" t="str">
        <f t="shared" si="21"/>
        <v>1.CATP Nha trang cũ</v>
      </c>
      <c r="AE211" s="6" t="str">
        <f t="shared" si="22"/>
        <v>PC07</v>
      </c>
      <c r="AG211">
        <f t="shared" si="23"/>
        <v>0.40593000000000001</v>
      </c>
      <c r="AH211">
        <f t="shared" si="24"/>
        <v>0.32956999999999997</v>
      </c>
    </row>
    <row r="212" spans="1:34" x14ac:dyDescent="0.25">
      <c r="A212" t="s">
        <v>1971</v>
      </c>
      <c r="B212" t="s">
        <v>239</v>
      </c>
      <c r="C212" t="s">
        <v>240</v>
      </c>
      <c r="D212" t="s">
        <v>277</v>
      </c>
      <c r="E212" t="s">
        <v>278</v>
      </c>
      <c r="F212" t="s">
        <v>1972</v>
      </c>
      <c r="G212" t="s">
        <v>15979</v>
      </c>
      <c r="H212" t="s">
        <v>15980</v>
      </c>
      <c r="I212" t="s">
        <v>16033</v>
      </c>
      <c r="J212" t="s">
        <v>23</v>
      </c>
      <c r="L212" s="8" t="s">
        <v>521</v>
      </c>
      <c r="M212" t="s">
        <v>1973</v>
      </c>
      <c r="N212" t="s">
        <v>704</v>
      </c>
      <c r="O212" t="s">
        <v>705</v>
      </c>
      <c r="P212" t="s">
        <v>706</v>
      </c>
      <c r="Q212" t="s">
        <v>523</v>
      </c>
      <c r="R212" t="s">
        <v>524</v>
      </c>
      <c r="S212" t="s">
        <v>525</v>
      </c>
      <c r="T212" t="s">
        <v>529</v>
      </c>
      <c r="U212" s="5">
        <v>10.39</v>
      </c>
      <c r="V212" s="5">
        <v>4.67</v>
      </c>
      <c r="W212" s="5">
        <v>12.236451000000001</v>
      </c>
      <c r="X212" s="5">
        <v>109.184562</v>
      </c>
      <c r="Y212" s="5">
        <v>5.73</v>
      </c>
      <c r="Z212" s="5">
        <v>12.239089999999999</v>
      </c>
      <c r="AA212" s="5">
        <v>109.186652</v>
      </c>
      <c r="AB212" s="7">
        <f t="shared" si="19"/>
        <v>7.0049999999999999E-3</v>
      </c>
      <c r="AC212" s="7">
        <f t="shared" si="20"/>
        <v>8.5950000000000002E-3</v>
      </c>
      <c r="AD212" s="6" t="str">
        <f t="shared" si="21"/>
        <v>2.PC07</v>
      </c>
      <c r="AE212" s="6" t="str">
        <f t="shared" si="22"/>
        <v>PA06 cs2_Cột hạ thế</v>
      </c>
      <c r="AG212">
        <f t="shared" si="23"/>
        <v>4.6699999999999997E-3</v>
      </c>
      <c r="AH212">
        <f t="shared" si="24"/>
        <v>5.7300000000000007E-3</v>
      </c>
    </row>
    <row r="213" spans="1:34" x14ac:dyDescent="0.25">
      <c r="A213" t="s">
        <v>1974</v>
      </c>
      <c r="B213" t="s">
        <v>277</v>
      </c>
      <c r="C213" t="s">
        <v>278</v>
      </c>
      <c r="D213" t="s">
        <v>92</v>
      </c>
      <c r="E213" t="s">
        <v>93</v>
      </c>
      <c r="F213" t="s">
        <v>1975</v>
      </c>
      <c r="G213" t="s">
        <v>15979</v>
      </c>
      <c r="H213" t="s">
        <v>15980</v>
      </c>
      <c r="I213" t="s">
        <v>16034</v>
      </c>
      <c r="J213" t="s">
        <v>23</v>
      </c>
      <c r="L213" s="8" t="s">
        <v>282</v>
      </c>
      <c r="M213" t="s">
        <v>1976</v>
      </c>
      <c r="N213" t="s">
        <v>284</v>
      </c>
      <c r="O213" t="s">
        <v>285</v>
      </c>
      <c r="P213" t="s">
        <v>286</v>
      </c>
      <c r="Q213" t="s">
        <v>1977</v>
      </c>
      <c r="R213" t="s">
        <v>288</v>
      </c>
      <c r="S213" t="s">
        <v>289</v>
      </c>
      <c r="T213" t="s">
        <v>290</v>
      </c>
      <c r="U213" s="5">
        <v>288.38</v>
      </c>
      <c r="V213" s="5">
        <v>4.91</v>
      </c>
      <c r="W213" s="5">
        <v>12.239117</v>
      </c>
      <c r="X213" s="5">
        <v>109.18664200000001</v>
      </c>
      <c r="Y213" s="5">
        <v>283.48</v>
      </c>
      <c r="Z213" s="5">
        <v>12.243925000000001</v>
      </c>
      <c r="AA213" s="5">
        <v>109.189556</v>
      </c>
      <c r="AB213" s="7">
        <f t="shared" si="19"/>
        <v>7.365E-3</v>
      </c>
      <c r="AC213" s="7">
        <f t="shared" si="20"/>
        <v>0.42522000000000004</v>
      </c>
      <c r="AD213" s="6" t="str">
        <f t="shared" si="21"/>
        <v>1.CATP Nha trang cũ</v>
      </c>
      <c r="AE213" s="6" t="str">
        <f t="shared" si="22"/>
        <v>PC07</v>
      </c>
      <c r="AG213">
        <f t="shared" si="23"/>
        <v>4.9100000000000003E-3</v>
      </c>
      <c r="AH213">
        <f t="shared" si="24"/>
        <v>0.28348000000000001</v>
      </c>
    </row>
    <row r="214" spans="1:34" x14ac:dyDescent="0.25">
      <c r="A214" t="s">
        <v>1978</v>
      </c>
      <c r="B214" t="s">
        <v>92</v>
      </c>
      <c r="C214" t="s">
        <v>93</v>
      </c>
      <c r="D214" t="s">
        <v>1418</v>
      </c>
      <c r="E214" t="s">
        <v>1419</v>
      </c>
      <c r="F214" t="s">
        <v>1979</v>
      </c>
      <c r="G214" t="s">
        <v>15979</v>
      </c>
      <c r="H214" t="s">
        <v>15980</v>
      </c>
      <c r="I214" t="s">
        <v>16035</v>
      </c>
      <c r="J214" t="s">
        <v>23</v>
      </c>
      <c r="L214" s="8" t="s">
        <v>1421</v>
      </c>
      <c r="M214" t="s">
        <v>1422</v>
      </c>
      <c r="N214" t="s">
        <v>1426</v>
      </c>
      <c r="O214" t="s">
        <v>1427</v>
      </c>
      <c r="P214" t="s">
        <v>1428</v>
      </c>
      <c r="Q214" t="s">
        <v>1423</v>
      </c>
      <c r="R214" t="s">
        <v>1424</v>
      </c>
      <c r="S214" t="s">
        <v>1425</v>
      </c>
      <c r="T214" t="s">
        <v>1429</v>
      </c>
      <c r="U214" s="5">
        <v>496.07</v>
      </c>
      <c r="V214" s="5">
        <v>483.94</v>
      </c>
      <c r="W214" s="5">
        <v>12.243709000000001</v>
      </c>
      <c r="X214" s="5">
        <v>109.185958</v>
      </c>
      <c r="Y214" s="5">
        <v>12.14</v>
      </c>
      <c r="Z214" s="5">
        <v>12.231814999999999</v>
      </c>
      <c r="AA214" s="5">
        <v>109.196006</v>
      </c>
      <c r="AB214" s="7">
        <f t="shared" si="19"/>
        <v>0.72590999999999994</v>
      </c>
      <c r="AC214" s="7">
        <f t="shared" si="20"/>
        <v>1.821E-2</v>
      </c>
      <c r="AD214" s="6" t="str">
        <f t="shared" si="21"/>
        <v>1.CAT Khánh Hòa</v>
      </c>
      <c r="AE214" s="6" t="str">
        <f t="shared" si="22"/>
        <v>Diên Khánh</v>
      </c>
      <c r="AG214">
        <f t="shared" si="23"/>
        <v>0.48393999999999998</v>
      </c>
      <c r="AH214">
        <f t="shared" si="24"/>
        <v>1.214E-2</v>
      </c>
    </row>
    <row r="215" spans="1:34" x14ac:dyDescent="0.25">
      <c r="A215" t="s">
        <v>1980</v>
      </c>
      <c r="B215" t="s">
        <v>34</v>
      </c>
      <c r="C215" t="s">
        <v>35</v>
      </c>
      <c r="D215" t="s">
        <v>1981</v>
      </c>
      <c r="E215" t="s">
        <v>1982</v>
      </c>
      <c r="F215" t="s">
        <v>1983</v>
      </c>
      <c r="G215" t="s">
        <v>15979</v>
      </c>
      <c r="H215" t="s">
        <v>15980</v>
      </c>
      <c r="I215" t="s">
        <v>16036</v>
      </c>
      <c r="J215" t="s">
        <v>23</v>
      </c>
      <c r="L215" s="8" t="s">
        <v>39</v>
      </c>
      <c r="M215" t="s">
        <v>1984</v>
      </c>
      <c r="N215" t="s">
        <v>41</v>
      </c>
      <c r="O215" t="s">
        <v>42</v>
      </c>
      <c r="P215" t="s">
        <v>43</v>
      </c>
      <c r="Q215" t="s">
        <v>1985</v>
      </c>
      <c r="R215" t="s">
        <v>1986</v>
      </c>
      <c r="S215" t="s">
        <v>1987</v>
      </c>
      <c r="T215" t="s">
        <v>47</v>
      </c>
      <c r="U215" s="5">
        <v>354.21</v>
      </c>
      <c r="V215" s="5">
        <v>206.48</v>
      </c>
      <c r="W215" s="5">
        <v>12.278732</v>
      </c>
      <c r="X215" s="5">
        <v>109.188858</v>
      </c>
      <c r="Y215" s="5">
        <v>147.72</v>
      </c>
      <c r="Z215" s="5">
        <v>12.271108999999999</v>
      </c>
      <c r="AA215" s="5">
        <v>109.198149</v>
      </c>
      <c r="AB215" s="7">
        <f t="shared" si="19"/>
        <v>0.30972</v>
      </c>
      <c r="AC215" s="7">
        <f t="shared" si="20"/>
        <v>0.22157999999999997</v>
      </c>
      <c r="AD215" s="6" t="str">
        <f t="shared" si="21"/>
        <v>1.CAT Khánh Hòa</v>
      </c>
      <c r="AE215" s="6" t="str">
        <f t="shared" si="22"/>
        <v>PK02 cs1</v>
      </c>
      <c r="AG215">
        <f t="shared" si="23"/>
        <v>0.20648</v>
      </c>
      <c r="AH215">
        <f t="shared" si="24"/>
        <v>0.14771999999999999</v>
      </c>
    </row>
    <row r="216" spans="1:34" x14ac:dyDescent="0.25">
      <c r="A216" t="s">
        <v>1988</v>
      </c>
      <c r="B216" t="s">
        <v>34</v>
      </c>
      <c r="C216" t="s">
        <v>35</v>
      </c>
      <c r="D216" t="s">
        <v>1989</v>
      </c>
      <c r="E216" t="s">
        <v>1990</v>
      </c>
      <c r="F216" t="s">
        <v>1991</v>
      </c>
      <c r="G216" t="s">
        <v>15979</v>
      </c>
      <c r="H216" t="s">
        <v>15980</v>
      </c>
      <c r="I216" t="s">
        <v>16037</v>
      </c>
      <c r="J216" t="s">
        <v>23</v>
      </c>
      <c r="L216" s="8" t="s">
        <v>39</v>
      </c>
      <c r="M216" t="s">
        <v>1992</v>
      </c>
      <c r="N216" t="s">
        <v>41</v>
      </c>
      <c r="O216" t="s">
        <v>42</v>
      </c>
      <c r="P216" t="s">
        <v>43</v>
      </c>
      <c r="Q216" t="s">
        <v>1993</v>
      </c>
      <c r="R216" t="s">
        <v>740</v>
      </c>
      <c r="S216" t="s">
        <v>741</v>
      </c>
      <c r="T216" t="s">
        <v>47</v>
      </c>
      <c r="U216" s="5">
        <v>1122.3699999999999</v>
      </c>
      <c r="V216" s="5">
        <v>206.48</v>
      </c>
      <c r="W216" s="5">
        <v>12.278732</v>
      </c>
      <c r="X216" s="5">
        <v>109.188858</v>
      </c>
      <c r="Y216" s="5">
        <v>915.89</v>
      </c>
      <c r="Z216" s="5">
        <v>12.279788999999999</v>
      </c>
      <c r="AA216" s="5">
        <v>109.195205</v>
      </c>
      <c r="AB216" s="7">
        <f t="shared" si="19"/>
        <v>0.30972</v>
      </c>
      <c r="AC216" s="7">
        <f t="shared" si="20"/>
        <v>1.3738350000000001</v>
      </c>
      <c r="AD216" s="6" t="str">
        <f t="shared" si="21"/>
        <v>1.CAT Khánh Hòa</v>
      </c>
      <c r="AE216" s="6" t="str">
        <f t="shared" si="22"/>
        <v>PK02 cs1</v>
      </c>
      <c r="AG216">
        <f t="shared" si="23"/>
        <v>0.20648</v>
      </c>
      <c r="AH216">
        <f t="shared" si="24"/>
        <v>0.91588999999999998</v>
      </c>
    </row>
    <row r="217" spans="1:34" x14ac:dyDescent="0.25">
      <c r="A217" t="s">
        <v>1994</v>
      </c>
      <c r="B217" t="s">
        <v>1184</v>
      </c>
      <c r="C217" t="s">
        <v>1185</v>
      </c>
      <c r="D217" t="s">
        <v>1995</v>
      </c>
      <c r="E217" t="s">
        <v>1996</v>
      </c>
      <c r="F217" t="s">
        <v>1997</v>
      </c>
      <c r="G217" t="s">
        <v>15979</v>
      </c>
      <c r="H217" t="s">
        <v>15980</v>
      </c>
      <c r="I217" t="s">
        <v>16038</v>
      </c>
      <c r="J217" t="s">
        <v>23</v>
      </c>
      <c r="L217" s="8" t="s">
        <v>1187</v>
      </c>
      <c r="M217" t="s">
        <v>1998</v>
      </c>
      <c r="N217" t="s">
        <v>1192</v>
      </c>
      <c r="O217" t="s">
        <v>1193</v>
      </c>
      <c r="P217" t="s">
        <v>1194</v>
      </c>
      <c r="Q217" t="s">
        <v>1999</v>
      </c>
      <c r="R217" t="s">
        <v>2000</v>
      </c>
      <c r="S217" t="s">
        <v>2001</v>
      </c>
      <c r="T217" t="s">
        <v>1195</v>
      </c>
      <c r="U217" s="5">
        <v>2356.9299999999998</v>
      </c>
      <c r="V217" s="5">
        <v>185.95</v>
      </c>
      <c r="W217" s="5">
        <v>12.481263999999999</v>
      </c>
      <c r="X217" s="5">
        <v>109.131214</v>
      </c>
      <c r="Y217" s="5">
        <v>2170.9899999999998</v>
      </c>
      <c r="Z217" s="5">
        <v>12.464891</v>
      </c>
      <c r="AA217" s="5">
        <v>109.122587</v>
      </c>
      <c r="AB217" s="7">
        <f t="shared" si="19"/>
        <v>0.27892499999999998</v>
      </c>
      <c r="AC217" s="7">
        <f t="shared" si="20"/>
        <v>3.2564849999999996</v>
      </c>
      <c r="AD217" s="6" t="str">
        <f t="shared" si="21"/>
        <v>4.PK02 cs2</v>
      </c>
      <c r="AE217" s="6" t="str">
        <f t="shared" si="22"/>
        <v>Trạm CSGT Ninh An cũ</v>
      </c>
      <c r="AG217">
        <f t="shared" si="23"/>
        <v>0.18594999999999998</v>
      </c>
      <c r="AH217">
        <f t="shared" si="24"/>
        <v>2.1709899999999998</v>
      </c>
    </row>
    <row r="218" spans="1:34" x14ac:dyDescent="0.25">
      <c r="A218" t="s">
        <v>2002</v>
      </c>
      <c r="B218" t="s">
        <v>1480</v>
      </c>
      <c r="C218" t="s">
        <v>1481</v>
      </c>
      <c r="D218" t="s">
        <v>2003</v>
      </c>
      <c r="E218" t="s">
        <v>2004</v>
      </c>
      <c r="F218" t="s">
        <v>2005</v>
      </c>
      <c r="G218" t="s">
        <v>15979</v>
      </c>
      <c r="H218" t="s">
        <v>15980</v>
      </c>
      <c r="I218" t="s">
        <v>16039</v>
      </c>
      <c r="J218" t="s">
        <v>23</v>
      </c>
      <c r="L218" s="8" t="s">
        <v>1710</v>
      </c>
      <c r="M218" t="s">
        <v>2006</v>
      </c>
      <c r="N218" t="s">
        <v>1712</v>
      </c>
      <c r="O218" t="s">
        <v>1713</v>
      </c>
      <c r="P218" t="s">
        <v>1714</v>
      </c>
      <c r="Q218" t="s">
        <v>2007</v>
      </c>
      <c r="R218" t="s">
        <v>2008</v>
      </c>
      <c r="S218" t="s">
        <v>2009</v>
      </c>
      <c r="T218" t="s">
        <v>1718</v>
      </c>
      <c r="U218" s="5">
        <v>86.06</v>
      </c>
      <c r="V218" s="5">
        <v>5.23</v>
      </c>
      <c r="W218" s="5">
        <v>12.555443</v>
      </c>
      <c r="X218" s="5">
        <v>109.217606</v>
      </c>
      <c r="Y218" s="5">
        <v>80.83</v>
      </c>
      <c r="Z218" s="5">
        <v>12.549189999999999</v>
      </c>
      <c r="AA218" s="5">
        <v>109.215142</v>
      </c>
      <c r="AB218" s="7">
        <f t="shared" si="19"/>
        <v>7.8450000000000013E-3</v>
      </c>
      <c r="AC218" s="7">
        <f t="shared" si="20"/>
        <v>0.12124500000000001</v>
      </c>
      <c r="AD218" s="6" t="str">
        <f t="shared" si="21"/>
        <v>1.CA Ninh Hòa</v>
      </c>
      <c r="AE218" s="6" t="str">
        <f t="shared" si="22"/>
        <v>CA Đông Ninh Hòa_Đoạn cột trung thế</v>
      </c>
      <c r="AG218">
        <f t="shared" si="23"/>
        <v>5.2300000000000003E-3</v>
      </c>
      <c r="AH218">
        <f t="shared" si="24"/>
        <v>8.0829999999999999E-2</v>
      </c>
    </row>
    <row r="219" spans="1:34" x14ac:dyDescent="0.25">
      <c r="A219" t="s">
        <v>2010</v>
      </c>
      <c r="B219" t="s">
        <v>1219</v>
      </c>
      <c r="C219" t="s">
        <v>1220</v>
      </c>
      <c r="D219" t="s">
        <v>2011</v>
      </c>
      <c r="E219" t="s">
        <v>2012</v>
      </c>
      <c r="F219" t="s">
        <v>2013</v>
      </c>
      <c r="G219" t="s">
        <v>15979</v>
      </c>
      <c r="H219" t="s">
        <v>15980</v>
      </c>
      <c r="I219" t="s">
        <v>16040</v>
      </c>
      <c r="J219" t="s">
        <v>23</v>
      </c>
      <c r="L219" s="8" t="s">
        <v>582</v>
      </c>
      <c r="M219" t="s">
        <v>2014</v>
      </c>
      <c r="N219" t="s">
        <v>1226</v>
      </c>
      <c r="O219" t="s">
        <v>1227</v>
      </c>
      <c r="P219" t="s">
        <v>1228</v>
      </c>
      <c r="Q219" t="s">
        <v>2015</v>
      </c>
      <c r="R219" t="s">
        <v>2016</v>
      </c>
      <c r="S219" t="s">
        <v>2017</v>
      </c>
      <c r="T219" t="s">
        <v>1229</v>
      </c>
      <c r="U219" s="5">
        <v>435.85</v>
      </c>
      <c r="V219" s="5">
        <v>381.98</v>
      </c>
      <c r="W219" s="5">
        <v>12.49287</v>
      </c>
      <c r="X219" s="5">
        <v>109.11403300000001</v>
      </c>
      <c r="Y219" s="5">
        <v>53.87</v>
      </c>
      <c r="Z219" s="5">
        <v>12.494854</v>
      </c>
      <c r="AA219" s="5">
        <v>109.132463</v>
      </c>
      <c r="AB219" s="7">
        <f t="shared" si="19"/>
        <v>0.57296999999999998</v>
      </c>
      <c r="AC219" s="7">
        <f t="shared" si="20"/>
        <v>8.0804999999999988E-2</v>
      </c>
      <c r="AD219" s="6" t="str">
        <f t="shared" si="21"/>
        <v>3.CA Tân Định</v>
      </c>
      <c r="AE219" s="6" t="str">
        <f t="shared" si="22"/>
        <v>CA Ninh Hòa</v>
      </c>
      <c r="AG219">
        <f t="shared" si="23"/>
        <v>0.38198000000000004</v>
      </c>
      <c r="AH219">
        <f t="shared" si="24"/>
        <v>5.3869999999999994E-2</v>
      </c>
    </row>
    <row r="220" spans="1:34" x14ac:dyDescent="0.25">
      <c r="A220" t="s">
        <v>2018</v>
      </c>
      <c r="B220" t="s">
        <v>1720</v>
      </c>
      <c r="C220" t="s">
        <v>1721</v>
      </c>
      <c r="D220" t="s">
        <v>2019</v>
      </c>
      <c r="E220" t="s">
        <v>2020</v>
      </c>
      <c r="F220" t="s">
        <v>2021</v>
      </c>
      <c r="G220" t="s">
        <v>15979</v>
      </c>
      <c r="H220" t="s">
        <v>15980</v>
      </c>
      <c r="I220" t="s">
        <v>16041</v>
      </c>
      <c r="J220" t="s">
        <v>23</v>
      </c>
      <c r="L220" s="8" t="s">
        <v>1564</v>
      </c>
      <c r="M220" t="s">
        <v>2022</v>
      </c>
      <c r="N220" t="s">
        <v>1833</v>
      </c>
      <c r="O220" t="s">
        <v>1834</v>
      </c>
      <c r="P220" t="s">
        <v>1835</v>
      </c>
      <c r="Q220" t="s">
        <v>2023</v>
      </c>
      <c r="R220" t="s">
        <v>1815</v>
      </c>
      <c r="S220" t="s">
        <v>1816</v>
      </c>
      <c r="T220" t="s">
        <v>1572</v>
      </c>
      <c r="U220" s="5">
        <v>1062.26</v>
      </c>
      <c r="V220" s="5">
        <v>967.94</v>
      </c>
      <c r="W220" s="5">
        <v>12.525967</v>
      </c>
      <c r="X220" s="5">
        <v>109.167119</v>
      </c>
      <c r="Y220" s="5">
        <v>94.31</v>
      </c>
      <c r="Z220" s="5">
        <v>12.534793000000001</v>
      </c>
      <c r="AA220" s="5">
        <v>109.18621899999999</v>
      </c>
      <c r="AB220" s="7">
        <f t="shared" si="19"/>
        <v>1.45191</v>
      </c>
      <c r="AC220" s="7">
        <f t="shared" si="20"/>
        <v>0.14146500000000001</v>
      </c>
      <c r="AD220" s="6" t="str">
        <f t="shared" si="21"/>
        <v>4.Ninh Hòa</v>
      </c>
      <c r="AE220" s="6" t="str">
        <f t="shared" si="22"/>
        <v>Vạn Ninh</v>
      </c>
      <c r="AG220">
        <f t="shared" si="23"/>
        <v>0.96794000000000002</v>
      </c>
      <c r="AH220">
        <f t="shared" si="24"/>
        <v>9.4310000000000005E-2</v>
      </c>
    </row>
    <row r="221" spans="1:34" x14ac:dyDescent="0.25">
      <c r="A221" t="s">
        <v>2024</v>
      </c>
      <c r="B221" t="s">
        <v>1219</v>
      </c>
      <c r="C221" t="s">
        <v>1220</v>
      </c>
      <c r="D221" t="s">
        <v>2025</v>
      </c>
      <c r="E221" t="s">
        <v>2026</v>
      </c>
      <c r="F221" t="s">
        <v>2027</v>
      </c>
      <c r="G221" t="s">
        <v>15979</v>
      </c>
      <c r="H221" t="s">
        <v>15980</v>
      </c>
      <c r="I221" t="s">
        <v>16042</v>
      </c>
      <c r="J221" t="s">
        <v>23</v>
      </c>
      <c r="L221" s="8" t="s">
        <v>582</v>
      </c>
      <c r="M221" t="s">
        <v>2028</v>
      </c>
      <c r="N221" t="s">
        <v>1226</v>
      </c>
      <c r="O221" t="s">
        <v>1227</v>
      </c>
      <c r="P221" t="s">
        <v>1228</v>
      </c>
      <c r="Q221" t="s">
        <v>2029</v>
      </c>
      <c r="R221" t="s">
        <v>2030</v>
      </c>
      <c r="S221" t="s">
        <v>2031</v>
      </c>
      <c r="T221" t="s">
        <v>1229</v>
      </c>
      <c r="U221" s="5">
        <v>1319.89</v>
      </c>
      <c r="V221" s="5">
        <v>381.98</v>
      </c>
      <c r="W221" s="5">
        <v>12.49287</v>
      </c>
      <c r="X221" s="5">
        <v>109.11403300000001</v>
      </c>
      <c r="Y221" s="5">
        <v>937.9</v>
      </c>
      <c r="Z221" s="5">
        <v>12.497920000000001</v>
      </c>
      <c r="AA221" s="5">
        <v>109.113754</v>
      </c>
      <c r="AB221" s="7">
        <f t="shared" si="19"/>
        <v>0.57296999999999998</v>
      </c>
      <c r="AC221" s="7">
        <f t="shared" si="20"/>
        <v>1.4068499999999999</v>
      </c>
      <c r="AD221" s="6" t="str">
        <f t="shared" si="21"/>
        <v>3.CA Tân Định</v>
      </c>
      <c r="AE221" s="6" t="str">
        <f t="shared" si="22"/>
        <v>CA Ninh Hòa</v>
      </c>
      <c r="AG221">
        <f t="shared" si="23"/>
        <v>0.38198000000000004</v>
      </c>
      <c r="AH221">
        <f t="shared" si="24"/>
        <v>0.93789999999999996</v>
      </c>
    </row>
    <row r="222" spans="1:34" x14ac:dyDescent="0.25">
      <c r="A222" t="s">
        <v>2032</v>
      </c>
      <c r="B222" t="s">
        <v>1720</v>
      </c>
      <c r="C222" t="s">
        <v>1721</v>
      </c>
      <c r="D222" t="s">
        <v>2033</v>
      </c>
      <c r="E222" t="s">
        <v>2034</v>
      </c>
      <c r="F222" t="s">
        <v>2035</v>
      </c>
      <c r="G222" t="s">
        <v>15979</v>
      </c>
      <c r="H222" t="s">
        <v>15980</v>
      </c>
      <c r="I222" t="s">
        <v>16043</v>
      </c>
      <c r="J222" t="s">
        <v>23</v>
      </c>
      <c r="L222" s="8" t="s">
        <v>1587</v>
      </c>
      <c r="M222" t="s">
        <v>2036</v>
      </c>
      <c r="N222" t="s">
        <v>2037</v>
      </c>
      <c r="O222" t="s">
        <v>2038</v>
      </c>
      <c r="P222" t="s">
        <v>2039</v>
      </c>
      <c r="Q222" t="s">
        <v>2040</v>
      </c>
      <c r="R222" t="s">
        <v>2041</v>
      </c>
      <c r="S222" t="s">
        <v>2042</v>
      </c>
      <c r="T222" t="s">
        <v>2043</v>
      </c>
      <c r="U222" s="5">
        <v>1826.66</v>
      </c>
      <c r="V222" s="5">
        <v>27.93</v>
      </c>
      <c r="W222" s="5">
        <v>12.531679</v>
      </c>
      <c r="X222" s="5">
        <v>109.160657</v>
      </c>
      <c r="Y222" s="5">
        <v>1798.73</v>
      </c>
      <c r="Z222" s="5">
        <v>12.541454999999999</v>
      </c>
      <c r="AA222" s="5">
        <v>109.16320399999999</v>
      </c>
      <c r="AB222" s="7">
        <f t="shared" si="19"/>
        <v>4.1894999999999995E-2</v>
      </c>
      <c r="AC222" s="7">
        <f t="shared" si="20"/>
        <v>2.6980950000000004</v>
      </c>
      <c r="AD222" s="6" t="str">
        <f t="shared" si="21"/>
        <v>5.Vạn Ninh</v>
      </c>
      <c r="AE222" s="6" t="str">
        <f t="shared" si="22"/>
        <v>CAT Khánh Hòa</v>
      </c>
      <c r="AG222">
        <f t="shared" si="23"/>
        <v>2.793E-2</v>
      </c>
      <c r="AH222">
        <f t="shared" si="24"/>
        <v>1.7987299999999999</v>
      </c>
    </row>
    <row r="223" spans="1:34" x14ac:dyDescent="0.25">
      <c r="A223" t="s">
        <v>2044</v>
      </c>
      <c r="B223" t="s">
        <v>1720</v>
      </c>
      <c r="C223" t="s">
        <v>1721</v>
      </c>
      <c r="D223" t="s">
        <v>2045</v>
      </c>
      <c r="E223" t="s">
        <v>2046</v>
      </c>
      <c r="F223" t="s">
        <v>2047</v>
      </c>
      <c r="G223" t="s">
        <v>15979</v>
      </c>
      <c r="H223" t="s">
        <v>15980</v>
      </c>
      <c r="I223" t="s">
        <v>16044</v>
      </c>
      <c r="J223" t="s">
        <v>23</v>
      </c>
      <c r="L223" s="8" t="s">
        <v>1187</v>
      </c>
      <c r="M223" t="s">
        <v>2048</v>
      </c>
      <c r="N223" t="s">
        <v>2049</v>
      </c>
      <c r="O223" t="s">
        <v>2050</v>
      </c>
      <c r="P223" t="s">
        <v>2051</v>
      </c>
      <c r="Q223" t="s">
        <v>2052</v>
      </c>
      <c r="R223" t="s">
        <v>2053</v>
      </c>
      <c r="S223" t="s">
        <v>2054</v>
      </c>
      <c r="T223" t="s">
        <v>2055</v>
      </c>
      <c r="U223" s="5">
        <v>285.31</v>
      </c>
      <c r="V223" s="5">
        <v>32.4</v>
      </c>
      <c r="W223" s="5">
        <v>12.53181</v>
      </c>
      <c r="X223" s="5">
        <v>109.16067200000001</v>
      </c>
      <c r="Y223" s="5">
        <v>252.91</v>
      </c>
      <c r="Z223" s="5">
        <v>12.513339</v>
      </c>
      <c r="AA223" s="5">
        <v>109.154017</v>
      </c>
      <c r="AB223" s="7">
        <f t="shared" si="19"/>
        <v>4.8599999999999997E-2</v>
      </c>
      <c r="AC223" s="7">
        <f t="shared" si="20"/>
        <v>0.37936500000000001</v>
      </c>
      <c r="AD223" s="6" t="str">
        <f t="shared" si="21"/>
        <v>4.PK02 cs2</v>
      </c>
      <c r="AE223" s="6" t="str">
        <f t="shared" si="22"/>
        <v>Trạm CSGT Ninh An cũ</v>
      </c>
      <c r="AG223">
        <f t="shared" si="23"/>
        <v>3.2399999999999998E-2</v>
      </c>
      <c r="AH223">
        <f t="shared" si="24"/>
        <v>0.25291000000000002</v>
      </c>
    </row>
    <row r="224" spans="1:34" x14ac:dyDescent="0.25">
      <c r="A224" t="s">
        <v>2056</v>
      </c>
      <c r="B224" t="s">
        <v>1679</v>
      </c>
      <c r="C224" t="s">
        <v>1680</v>
      </c>
      <c r="D224" t="s">
        <v>2057</v>
      </c>
      <c r="E224" t="s">
        <v>2058</v>
      </c>
      <c r="F224" t="s">
        <v>2059</v>
      </c>
      <c r="G224" t="s">
        <v>15979</v>
      </c>
      <c r="H224" t="s">
        <v>15980</v>
      </c>
      <c r="I224" t="s">
        <v>16045</v>
      </c>
      <c r="J224" t="s">
        <v>23</v>
      </c>
      <c r="L224" s="8" t="s">
        <v>1682</v>
      </c>
      <c r="M224" t="s">
        <v>2060</v>
      </c>
      <c r="N224" t="s">
        <v>1687</v>
      </c>
      <c r="O224" t="s">
        <v>1688</v>
      </c>
      <c r="P224" t="s">
        <v>1689</v>
      </c>
      <c r="Q224" t="s">
        <v>2061</v>
      </c>
      <c r="R224" t="s">
        <v>2062</v>
      </c>
      <c r="S224" t="s">
        <v>2063</v>
      </c>
      <c r="T224" t="s">
        <v>1690</v>
      </c>
      <c r="U224" s="5">
        <v>2886.35</v>
      </c>
      <c r="V224" s="5">
        <v>6.55</v>
      </c>
      <c r="W224" s="5">
        <v>12.803207</v>
      </c>
      <c r="X224" s="5">
        <v>109.33374000000001</v>
      </c>
      <c r="Y224" s="5">
        <v>2879.8</v>
      </c>
      <c r="Z224" s="5">
        <v>12.804639</v>
      </c>
      <c r="AA224" s="5">
        <v>109.33377299999999</v>
      </c>
      <c r="AB224" s="7">
        <f t="shared" si="19"/>
        <v>9.8249999999999987E-3</v>
      </c>
      <c r="AC224" s="7">
        <f t="shared" si="20"/>
        <v>4.319700000000001</v>
      </c>
      <c r="AD224" s="6" t="str">
        <f t="shared" si="21"/>
        <v>3.CA Tu Bông</v>
      </c>
      <c r="AE224" s="6" t="str">
        <f t="shared" si="22"/>
        <v>CA Đại Lãnh_Cột trung thế</v>
      </c>
      <c r="AG224">
        <f t="shared" si="23"/>
        <v>6.5499999999999994E-3</v>
      </c>
      <c r="AH224">
        <f t="shared" si="24"/>
        <v>2.8798000000000004</v>
      </c>
    </row>
    <row r="225" spans="1:34" x14ac:dyDescent="0.25">
      <c r="A225" t="s">
        <v>2064</v>
      </c>
      <c r="B225" t="s">
        <v>92</v>
      </c>
      <c r="C225" t="s">
        <v>93</v>
      </c>
      <c r="D225" t="s">
        <v>2065</v>
      </c>
      <c r="E225" t="s">
        <v>2066</v>
      </c>
      <c r="F225" t="s">
        <v>2067</v>
      </c>
      <c r="G225" t="s">
        <v>15979</v>
      </c>
      <c r="H225" t="s">
        <v>15980</v>
      </c>
      <c r="I225" t="s">
        <v>16046</v>
      </c>
      <c r="J225" t="s">
        <v>23</v>
      </c>
      <c r="L225" s="8" t="s">
        <v>1259</v>
      </c>
      <c r="M225" t="s">
        <v>2068</v>
      </c>
      <c r="N225" t="s">
        <v>1276</v>
      </c>
      <c r="O225" t="s">
        <v>1277</v>
      </c>
      <c r="P225" t="s">
        <v>1278</v>
      </c>
      <c r="Q225" t="s">
        <v>2069</v>
      </c>
      <c r="R225" t="s">
        <v>1274</v>
      </c>
      <c r="S225" t="s">
        <v>1275</v>
      </c>
      <c r="T225" t="s">
        <v>1279</v>
      </c>
      <c r="U225" s="5">
        <v>210.65</v>
      </c>
      <c r="V225" s="5">
        <v>130.81</v>
      </c>
      <c r="W225" s="5">
        <v>12.245825999999999</v>
      </c>
      <c r="X225" s="5">
        <v>109.19040800000001</v>
      </c>
      <c r="Y225" s="5">
        <v>79.84</v>
      </c>
      <c r="Z225" s="5">
        <v>12.243195999999999</v>
      </c>
      <c r="AA225" s="5">
        <v>109.192182</v>
      </c>
      <c r="AB225" s="7">
        <f t="shared" si="19"/>
        <v>0.196215</v>
      </c>
      <c r="AC225" s="7">
        <f t="shared" si="20"/>
        <v>0.11976000000000001</v>
      </c>
      <c r="AD225" s="6" t="str">
        <f t="shared" si="21"/>
        <v>1.CAT Khánh Hòa</v>
      </c>
      <c r="AE225" s="6" t="str">
        <f t="shared" si="22"/>
        <v>CATP Nha Trang cũ</v>
      </c>
      <c r="AG225">
        <f t="shared" si="23"/>
        <v>0.13081000000000001</v>
      </c>
      <c r="AH225">
        <f t="shared" si="24"/>
        <v>7.9840000000000008E-2</v>
      </c>
    </row>
    <row r="226" spans="1:34" x14ac:dyDescent="0.25">
      <c r="A226" t="s">
        <v>2070</v>
      </c>
      <c r="B226" t="s">
        <v>2071</v>
      </c>
      <c r="C226" t="s">
        <v>2072</v>
      </c>
      <c r="D226" t="s">
        <v>2073</v>
      </c>
      <c r="E226" t="s">
        <v>2074</v>
      </c>
      <c r="F226" t="s">
        <v>2075</v>
      </c>
      <c r="G226" t="s">
        <v>15979</v>
      </c>
      <c r="H226" t="s">
        <v>15980</v>
      </c>
      <c r="I226" t="s">
        <v>16047</v>
      </c>
      <c r="J226" t="s">
        <v>23</v>
      </c>
      <c r="L226" s="8" t="s">
        <v>2076</v>
      </c>
      <c r="M226" t="s">
        <v>2077</v>
      </c>
      <c r="N226" t="s">
        <v>2078</v>
      </c>
      <c r="O226" t="s">
        <v>2079</v>
      </c>
      <c r="P226" t="s">
        <v>2080</v>
      </c>
      <c r="Q226" t="s">
        <v>2081</v>
      </c>
      <c r="R226" t="s">
        <v>2082</v>
      </c>
      <c r="S226" t="s">
        <v>2083</v>
      </c>
      <c r="T226" t="s">
        <v>2084</v>
      </c>
      <c r="U226" s="5">
        <v>92.02</v>
      </c>
      <c r="V226" s="5">
        <v>3.43</v>
      </c>
      <c r="W226" s="5">
        <v>12.405989999999999</v>
      </c>
      <c r="X226" s="5">
        <v>108.95707</v>
      </c>
      <c r="Y226" s="5">
        <v>88.59</v>
      </c>
      <c r="Z226" s="5">
        <v>12.384285999999999</v>
      </c>
      <c r="AA226" s="5">
        <v>108.95461400000001</v>
      </c>
      <c r="AB226" s="7">
        <f t="shared" si="19"/>
        <v>5.1450000000000003E-3</v>
      </c>
      <c r="AC226" s="7">
        <f t="shared" si="20"/>
        <v>0.132885</v>
      </c>
      <c r="AD226" s="6" t="str">
        <f t="shared" si="21"/>
        <v>Tuyến nhánh CA Bắc Khánh Vĩnh</v>
      </c>
      <c r="AE226" s="6" t="str">
        <f t="shared" si="22"/>
        <v>Trung tâm Cai nghiện Khánh Bình_Cột trung thế</v>
      </c>
      <c r="AG226">
        <f t="shared" si="23"/>
        <v>3.4300000000000003E-3</v>
      </c>
      <c r="AH226">
        <f t="shared" si="24"/>
        <v>8.8590000000000002E-2</v>
      </c>
    </row>
    <row r="227" spans="1:34" x14ac:dyDescent="0.25">
      <c r="A227" t="s">
        <v>2085</v>
      </c>
      <c r="B227" t="s">
        <v>916</v>
      </c>
      <c r="C227" t="s">
        <v>917</v>
      </c>
      <c r="D227" t="s">
        <v>2086</v>
      </c>
      <c r="E227" t="s">
        <v>2087</v>
      </c>
      <c r="F227" t="s">
        <v>2088</v>
      </c>
      <c r="G227" t="s">
        <v>15979</v>
      </c>
      <c r="H227" t="s">
        <v>15980</v>
      </c>
      <c r="I227" t="s">
        <v>16048</v>
      </c>
      <c r="J227" t="s">
        <v>23</v>
      </c>
      <c r="L227" s="8" t="s">
        <v>919</v>
      </c>
      <c r="M227" t="s">
        <v>2089</v>
      </c>
      <c r="N227" t="s">
        <v>942</v>
      </c>
      <c r="O227" t="s">
        <v>943</v>
      </c>
      <c r="P227" t="s">
        <v>944</v>
      </c>
      <c r="Q227" t="s">
        <v>2090</v>
      </c>
      <c r="R227" t="s">
        <v>946</v>
      </c>
      <c r="S227" t="s">
        <v>947</v>
      </c>
      <c r="T227" t="s">
        <v>948</v>
      </c>
      <c r="U227" s="5">
        <v>3004.79</v>
      </c>
      <c r="V227" s="5">
        <v>5.18</v>
      </c>
      <c r="W227" s="5">
        <v>11.998255</v>
      </c>
      <c r="X227" s="5">
        <v>109.218788</v>
      </c>
      <c r="Y227" s="5">
        <v>2999.62</v>
      </c>
      <c r="Z227" s="5">
        <v>12.001106999999999</v>
      </c>
      <c r="AA227" s="5">
        <v>109.209318</v>
      </c>
      <c r="AB227" s="7">
        <f t="shared" si="19"/>
        <v>7.77E-3</v>
      </c>
      <c r="AC227" s="7">
        <f t="shared" si="20"/>
        <v>4.4994300000000003</v>
      </c>
      <c r="AD227" s="6" t="str">
        <f t="shared" si="21"/>
        <v>Tuyến nhánh CA Bắc Cam Ranh</v>
      </c>
      <c r="AE227" s="6" t="str">
        <f t="shared" si="22"/>
        <v>Cảng HKQT Cam Ranh</v>
      </c>
      <c r="AG227">
        <f t="shared" si="23"/>
        <v>5.1799999999999997E-3</v>
      </c>
      <c r="AH227">
        <f t="shared" si="24"/>
        <v>2.9996199999999997</v>
      </c>
    </row>
    <row r="228" spans="1:34" x14ac:dyDescent="0.25">
      <c r="A228" t="s">
        <v>2091</v>
      </c>
      <c r="B228" t="s">
        <v>262</v>
      </c>
      <c r="C228" t="s">
        <v>263</v>
      </c>
      <c r="D228" t="s">
        <v>2092</v>
      </c>
      <c r="E228" t="s">
        <v>2093</v>
      </c>
      <c r="F228" t="s">
        <v>2094</v>
      </c>
      <c r="G228" t="s">
        <v>15979</v>
      </c>
      <c r="H228" t="s">
        <v>15980</v>
      </c>
      <c r="I228" t="s">
        <v>16049</v>
      </c>
      <c r="J228" t="s">
        <v>23</v>
      </c>
      <c r="L228" s="8" t="s">
        <v>144</v>
      </c>
      <c r="M228" t="s">
        <v>2095</v>
      </c>
      <c r="N228" t="s">
        <v>695</v>
      </c>
      <c r="O228" t="s">
        <v>150</v>
      </c>
      <c r="P228" t="s">
        <v>151</v>
      </c>
      <c r="Q228" t="s">
        <v>2096</v>
      </c>
      <c r="R228" t="s">
        <v>1389</v>
      </c>
      <c r="S228" t="s">
        <v>1390</v>
      </c>
      <c r="T228" t="s">
        <v>152</v>
      </c>
      <c r="U228" s="5">
        <v>432.85</v>
      </c>
      <c r="V228" s="5">
        <v>80.62</v>
      </c>
      <c r="W228" s="5">
        <v>12.249428</v>
      </c>
      <c r="X228" s="5">
        <v>109.184727</v>
      </c>
      <c r="Y228" s="5">
        <v>352.23</v>
      </c>
      <c r="Z228" s="5">
        <v>12.252969</v>
      </c>
      <c r="AA228" s="5">
        <v>109.17461900000001</v>
      </c>
      <c r="AB228" s="7">
        <f t="shared" si="19"/>
        <v>0.12093000000000001</v>
      </c>
      <c r="AC228" s="7">
        <f t="shared" si="20"/>
        <v>0.52834500000000006</v>
      </c>
      <c r="AD228" s="6" t="str">
        <f t="shared" si="21"/>
        <v>3. Trại giam A2</v>
      </c>
      <c r="AE228" s="6" t="str">
        <f t="shared" si="22"/>
        <v>CATP Nha trang cũ</v>
      </c>
      <c r="AG228">
        <f t="shared" si="23"/>
        <v>8.0620000000000011E-2</v>
      </c>
      <c r="AH228">
        <f t="shared" si="24"/>
        <v>0.35223000000000004</v>
      </c>
    </row>
    <row r="229" spans="1:34" x14ac:dyDescent="0.25">
      <c r="A229" t="s">
        <v>2097</v>
      </c>
      <c r="B229" t="s">
        <v>262</v>
      </c>
      <c r="C229" t="s">
        <v>263</v>
      </c>
      <c r="D229" t="s">
        <v>94</v>
      </c>
      <c r="E229" t="s">
        <v>95</v>
      </c>
      <c r="F229" t="s">
        <v>2098</v>
      </c>
      <c r="G229" t="s">
        <v>15979</v>
      </c>
      <c r="H229" t="s">
        <v>15980</v>
      </c>
      <c r="I229" t="s">
        <v>16050</v>
      </c>
      <c r="J229" t="s">
        <v>23</v>
      </c>
      <c r="L229" s="8" t="s">
        <v>24</v>
      </c>
      <c r="M229" t="s">
        <v>2099</v>
      </c>
      <c r="N229" t="s">
        <v>410</v>
      </c>
      <c r="O229" t="s">
        <v>2100</v>
      </c>
      <c r="P229" t="s">
        <v>2101</v>
      </c>
      <c r="Q229" t="s">
        <v>156</v>
      </c>
      <c r="R229" t="s">
        <v>157</v>
      </c>
      <c r="S229" t="s">
        <v>158</v>
      </c>
      <c r="T229" t="s">
        <v>32</v>
      </c>
      <c r="U229" s="5">
        <v>119.37</v>
      </c>
      <c r="V229" s="5">
        <v>2.33</v>
      </c>
      <c r="W229" s="5">
        <v>12.249037</v>
      </c>
      <c r="X229" s="5">
        <v>109.184079</v>
      </c>
      <c r="Y229" s="5">
        <v>117.04</v>
      </c>
      <c r="Z229" s="5">
        <v>12.253</v>
      </c>
      <c r="AA229" s="5">
        <v>109.193</v>
      </c>
      <c r="AB229" s="7">
        <f t="shared" si="19"/>
        <v>3.4950000000000003E-3</v>
      </c>
      <c r="AC229" s="7">
        <f t="shared" si="20"/>
        <v>0.17555999999999999</v>
      </c>
      <c r="AD229" s="6" t="str">
        <f t="shared" si="21"/>
        <v>5.PA06 cs1</v>
      </c>
      <c r="AE229" s="6" t="str">
        <f t="shared" si="22"/>
        <v>PC08 csc_Cột trung thế</v>
      </c>
      <c r="AG229">
        <f t="shared" si="23"/>
        <v>2.33E-3</v>
      </c>
      <c r="AH229">
        <f t="shared" si="24"/>
        <v>0.11704000000000001</v>
      </c>
    </row>
    <row r="230" spans="1:34" x14ac:dyDescent="0.25">
      <c r="A230" t="s">
        <v>2102</v>
      </c>
      <c r="B230" t="s">
        <v>1679</v>
      </c>
      <c r="C230" t="s">
        <v>1680</v>
      </c>
      <c r="D230" t="s">
        <v>2103</v>
      </c>
      <c r="E230" t="s">
        <v>2104</v>
      </c>
      <c r="F230" t="s">
        <v>2105</v>
      </c>
      <c r="G230" t="s">
        <v>15979</v>
      </c>
      <c r="H230" t="s">
        <v>15980</v>
      </c>
      <c r="I230" t="s">
        <v>16051</v>
      </c>
      <c r="J230" t="s">
        <v>23</v>
      </c>
      <c r="L230" s="8" t="s">
        <v>1682</v>
      </c>
      <c r="M230" t="s">
        <v>2106</v>
      </c>
      <c r="N230" t="s">
        <v>1687</v>
      </c>
      <c r="O230" t="s">
        <v>1688</v>
      </c>
      <c r="P230" t="s">
        <v>1689</v>
      </c>
      <c r="Q230" t="s">
        <v>2107</v>
      </c>
      <c r="R230" t="s">
        <v>2062</v>
      </c>
      <c r="S230" t="s">
        <v>2063</v>
      </c>
      <c r="T230" t="s">
        <v>1690</v>
      </c>
      <c r="U230" s="5">
        <v>3298.92</v>
      </c>
      <c r="V230" s="5">
        <v>6.55</v>
      </c>
      <c r="W230" s="5">
        <v>12.803207</v>
      </c>
      <c r="X230" s="5">
        <v>109.33374000000001</v>
      </c>
      <c r="Y230" s="5">
        <v>3292.36</v>
      </c>
      <c r="Z230" s="5">
        <v>12.804639</v>
      </c>
      <c r="AA230" s="5">
        <v>109.33377299999999</v>
      </c>
      <c r="AB230" s="7">
        <f t="shared" si="19"/>
        <v>9.8249999999999987E-3</v>
      </c>
      <c r="AC230" s="7">
        <f t="shared" si="20"/>
        <v>4.9385399999999997</v>
      </c>
      <c r="AD230" s="6" t="str">
        <f t="shared" si="21"/>
        <v>3.CA Tu Bông</v>
      </c>
      <c r="AE230" s="6" t="str">
        <f t="shared" si="22"/>
        <v>CA Đại Lãnh_Cột trung thế</v>
      </c>
      <c r="AG230">
        <f t="shared" si="23"/>
        <v>6.5499999999999994E-3</v>
      </c>
      <c r="AH230">
        <f t="shared" si="24"/>
        <v>3.29236</v>
      </c>
    </row>
    <row r="231" spans="1:34" x14ac:dyDescent="0.25">
      <c r="A231" t="s">
        <v>2108</v>
      </c>
      <c r="B231" t="s">
        <v>1346</v>
      </c>
      <c r="C231" t="s">
        <v>1347</v>
      </c>
      <c r="D231" t="s">
        <v>2109</v>
      </c>
      <c r="E231" t="s">
        <v>2110</v>
      </c>
      <c r="F231" t="s">
        <v>2111</v>
      </c>
      <c r="G231" t="s">
        <v>15979</v>
      </c>
      <c r="H231" t="s">
        <v>15980</v>
      </c>
      <c r="I231" t="s">
        <v>16052</v>
      </c>
      <c r="J231" t="s">
        <v>23</v>
      </c>
      <c r="L231" s="8" t="s">
        <v>1349</v>
      </c>
      <c r="M231" t="s">
        <v>2112</v>
      </c>
      <c r="N231" t="s">
        <v>2113</v>
      </c>
      <c r="O231" t="s">
        <v>2114</v>
      </c>
      <c r="P231" t="s">
        <v>2115</v>
      </c>
      <c r="Q231" t="s">
        <v>2116</v>
      </c>
      <c r="R231" t="s">
        <v>2117</v>
      </c>
      <c r="S231" t="s">
        <v>2118</v>
      </c>
      <c r="T231" t="s">
        <v>2119</v>
      </c>
      <c r="U231" s="5">
        <v>29.22</v>
      </c>
      <c r="V231" s="5">
        <v>3.8</v>
      </c>
      <c r="W231" s="5">
        <v>12.197634000000001</v>
      </c>
      <c r="X231" s="5">
        <v>109.215698</v>
      </c>
      <c r="Y231" s="5">
        <v>25.42</v>
      </c>
      <c r="Z231" s="5">
        <v>12.202631999999999</v>
      </c>
      <c r="AA231" s="5">
        <v>109.21503800000001</v>
      </c>
      <c r="AB231" s="7">
        <f t="shared" si="19"/>
        <v>5.6999999999999993E-3</v>
      </c>
      <c r="AC231" s="7">
        <f t="shared" si="20"/>
        <v>3.8130000000000004E-2</v>
      </c>
      <c r="AD231" s="6" t="str">
        <f t="shared" si="21"/>
        <v>Tuyến nhánh PC02</v>
      </c>
      <c r="AE231" s="6" t="str">
        <f t="shared" si="22"/>
        <v>PC08 (CSGT đường thủy)</v>
      </c>
      <c r="AG231">
        <f t="shared" si="23"/>
        <v>3.8E-3</v>
      </c>
      <c r="AH231">
        <f t="shared" si="24"/>
        <v>2.5420000000000002E-2</v>
      </c>
    </row>
    <row r="232" spans="1:34" x14ac:dyDescent="0.25">
      <c r="A232" t="s">
        <v>2120</v>
      </c>
      <c r="B232" t="s">
        <v>2121</v>
      </c>
      <c r="C232" t="s">
        <v>2122</v>
      </c>
      <c r="D232" t="s">
        <v>262</v>
      </c>
      <c r="E232" t="s">
        <v>263</v>
      </c>
      <c r="F232" t="s">
        <v>2123</v>
      </c>
      <c r="G232" t="s">
        <v>15979</v>
      </c>
      <c r="H232" t="s">
        <v>15980</v>
      </c>
      <c r="I232" t="s">
        <v>16053</v>
      </c>
      <c r="J232" t="s">
        <v>23</v>
      </c>
      <c r="L232" s="8" t="s">
        <v>24</v>
      </c>
      <c r="M232" t="s">
        <v>2124</v>
      </c>
      <c r="N232" t="s">
        <v>2125</v>
      </c>
      <c r="O232" t="s">
        <v>2126</v>
      </c>
      <c r="P232" t="s">
        <v>2127</v>
      </c>
      <c r="Q232" t="s">
        <v>410</v>
      </c>
      <c r="R232" t="s">
        <v>2100</v>
      </c>
      <c r="S232" t="s">
        <v>2101</v>
      </c>
      <c r="T232" t="s">
        <v>32</v>
      </c>
      <c r="U232" s="5">
        <v>131.11000000000001</v>
      </c>
      <c r="V232" s="5">
        <v>128.78</v>
      </c>
      <c r="W232" s="5">
        <v>12.253722</v>
      </c>
      <c r="X232" s="5">
        <v>109.194215</v>
      </c>
      <c r="Y232" s="5">
        <v>2.33</v>
      </c>
      <c r="Z232" s="5">
        <v>12.249037</v>
      </c>
      <c r="AA232" s="5">
        <v>109.184079</v>
      </c>
      <c r="AB232" s="7">
        <f t="shared" si="19"/>
        <v>0.19317000000000001</v>
      </c>
      <c r="AC232" s="7">
        <f t="shared" si="20"/>
        <v>3.4950000000000003E-3</v>
      </c>
      <c r="AD232" s="6" t="str">
        <f t="shared" si="21"/>
        <v>5.PA06 cs1</v>
      </c>
      <c r="AE232" s="6" t="str">
        <f t="shared" si="22"/>
        <v>PC08 csc_Cột trung thế</v>
      </c>
      <c r="AG232">
        <f t="shared" si="23"/>
        <v>0.12878000000000001</v>
      </c>
      <c r="AH232">
        <f t="shared" si="24"/>
        <v>2.33E-3</v>
      </c>
    </row>
    <row r="233" spans="1:34" x14ac:dyDescent="0.25">
      <c r="A233" t="s">
        <v>2128</v>
      </c>
      <c r="B233" t="s">
        <v>2129</v>
      </c>
      <c r="C233" t="s">
        <v>2130</v>
      </c>
      <c r="D233" t="s">
        <v>360</v>
      </c>
      <c r="E233" t="s">
        <v>361</v>
      </c>
      <c r="F233" t="s">
        <v>2131</v>
      </c>
      <c r="G233" t="s">
        <v>15979</v>
      </c>
      <c r="H233" t="s">
        <v>15980</v>
      </c>
      <c r="I233" t="s">
        <v>16054</v>
      </c>
      <c r="J233" t="s">
        <v>23</v>
      </c>
      <c r="L233" s="8" t="s">
        <v>365</v>
      </c>
      <c r="M233" t="s">
        <v>2132</v>
      </c>
      <c r="N233" t="s">
        <v>2133</v>
      </c>
      <c r="O233" t="s">
        <v>2134</v>
      </c>
      <c r="P233" t="s">
        <v>2135</v>
      </c>
      <c r="Q233" t="s">
        <v>367</v>
      </c>
      <c r="R233" t="s">
        <v>368</v>
      </c>
      <c r="S233" t="s">
        <v>369</v>
      </c>
      <c r="T233" t="s">
        <v>373</v>
      </c>
      <c r="U233" s="5">
        <v>801.16</v>
      </c>
      <c r="V233" s="5">
        <v>676.15</v>
      </c>
      <c r="W233" s="5">
        <v>11.987859</v>
      </c>
      <c r="X233" s="5">
        <v>109.168706</v>
      </c>
      <c r="Y233" s="5">
        <v>125</v>
      </c>
      <c r="Z233" s="5">
        <v>11.976645</v>
      </c>
      <c r="AA233" s="5">
        <v>109.19567600000001</v>
      </c>
      <c r="AB233" s="7">
        <f t="shared" si="19"/>
        <v>1.0142249999999999</v>
      </c>
      <c r="AC233" s="7">
        <f t="shared" si="20"/>
        <v>0.1875</v>
      </c>
      <c r="AD233" s="6" t="str">
        <f t="shared" si="21"/>
        <v>2.CA Bắc Cam Ranh</v>
      </c>
      <c r="AE233" s="6" t="str">
        <f t="shared" si="22"/>
        <v>CA Cam An</v>
      </c>
      <c r="AG233">
        <f t="shared" si="23"/>
        <v>0.67615000000000003</v>
      </c>
      <c r="AH233">
        <f t="shared" si="24"/>
        <v>0.125</v>
      </c>
    </row>
    <row r="234" spans="1:34" x14ac:dyDescent="0.25">
      <c r="A234" t="s">
        <v>2136</v>
      </c>
      <c r="B234" t="s">
        <v>2137</v>
      </c>
      <c r="C234" t="s">
        <v>2138</v>
      </c>
      <c r="D234" t="s">
        <v>277</v>
      </c>
      <c r="E234" t="s">
        <v>278</v>
      </c>
      <c r="F234" t="s">
        <v>2139</v>
      </c>
      <c r="G234" t="s">
        <v>15979</v>
      </c>
      <c r="H234" t="s">
        <v>15980</v>
      </c>
      <c r="I234" t="s">
        <v>16055</v>
      </c>
      <c r="J234" t="s">
        <v>23</v>
      </c>
      <c r="L234" s="8" t="s">
        <v>659</v>
      </c>
      <c r="M234" t="s">
        <v>2140</v>
      </c>
      <c r="N234" t="s">
        <v>2141</v>
      </c>
      <c r="O234" t="s">
        <v>2142</v>
      </c>
      <c r="P234" t="s">
        <v>2143</v>
      </c>
      <c r="Q234" t="s">
        <v>661</v>
      </c>
      <c r="R234" t="s">
        <v>662</v>
      </c>
      <c r="S234" t="s">
        <v>663</v>
      </c>
      <c r="T234" t="s">
        <v>667</v>
      </c>
      <c r="U234" s="5">
        <v>1512.99</v>
      </c>
      <c r="V234" s="5">
        <v>1303.49</v>
      </c>
      <c r="W234" s="5">
        <v>12.231809</v>
      </c>
      <c r="X234" s="5">
        <v>109.19592799999999</v>
      </c>
      <c r="Y234" s="5">
        <v>209.5</v>
      </c>
      <c r="Z234" s="5">
        <v>12.240531000000001</v>
      </c>
      <c r="AA234" s="5">
        <v>109.187854</v>
      </c>
      <c r="AB234" s="7">
        <f t="shared" si="19"/>
        <v>1.9552350000000001</v>
      </c>
      <c r="AC234" s="7">
        <f t="shared" si="20"/>
        <v>0.31424999999999997</v>
      </c>
      <c r="AD234" s="6" t="str">
        <f t="shared" si="21"/>
        <v>6.PC08 csc</v>
      </c>
      <c r="AE234" s="6" t="str">
        <f t="shared" si="22"/>
        <v>CAT Khánh Hòa_Cột trung thế</v>
      </c>
      <c r="AG234">
        <f t="shared" si="23"/>
        <v>1.30349</v>
      </c>
      <c r="AH234">
        <f t="shared" si="24"/>
        <v>0.20949999999999999</v>
      </c>
    </row>
    <row r="235" spans="1:34" x14ac:dyDescent="0.25">
      <c r="A235" t="s">
        <v>2144</v>
      </c>
      <c r="B235" t="s">
        <v>2145</v>
      </c>
      <c r="C235" t="s">
        <v>2146</v>
      </c>
      <c r="D235" t="s">
        <v>77</v>
      </c>
      <c r="E235" t="s">
        <v>78</v>
      </c>
      <c r="F235" t="s">
        <v>2147</v>
      </c>
      <c r="G235" t="s">
        <v>15979</v>
      </c>
      <c r="H235" t="s">
        <v>15980</v>
      </c>
      <c r="I235" t="s">
        <v>16056</v>
      </c>
      <c r="J235" t="s">
        <v>23</v>
      </c>
      <c r="L235" s="8" t="s">
        <v>110</v>
      </c>
      <c r="M235" t="s">
        <v>2148</v>
      </c>
      <c r="N235" t="s">
        <v>2149</v>
      </c>
      <c r="O235" t="s">
        <v>2150</v>
      </c>
      <c r="P235" t="s">
        <v>2151</v>
      </c>
      <c r="Q235" t="s">
        <v>112</v>
      </c>
      <c r="R235" t="s">
        <v>113</v>
      </c>
      <c r="S235" t="s">
        <v>114</v>
      </c>
      <c r="T235" t="s">
        <v>118</v>
      </c>
      <c r="U235" s="5">
        <v>119.5</v>
      </c>
      <c r="V235" s="5">
        <v>116.16</v>
      </c>
      <c r="W235" s="5">
        <v>12.181132</v>
      </c>
      <c r="X235" s="5">
        <v>109.173</v>
      </c>
      <c r="Y235" s="5">
        <v>3.34</v>
      </c>
      <c r="Z235" s="5">
        <v>12.175723</v>
      </c>
      <c r="AA235" s="5">
        <v>109.17368</v>
      </c>
      <c r="AB235" s="7">
        <f t="shared" si="19"/>
        <v>0.17424000000000001</v>
      </c>
      <c r="AC235" s="7">
        <f t="shared" si="20"/>
        <v>5.0099999999999997E-3</v>
      </c>
      <c r="AD235" s="6" t="str">
        <f t="shared" si="21"/>
        <v>4.PC11a</v>
      </c>
      <c r="AE235" s="6" t="str">
        <f t="shared" si="22"/>
        <v>PC02_Đoạn cột trung thế</v>
      </c>
      <c r="AG235">
        <f t="shared" si="23"/>
        <v>0.11616</v>
      </c>
      <c r="AH235">
        <f t="shared" si="24"/>
        <v>3.3399999999999997E-3</v>
      </c>
    </row>
    <row r="236" spans="1:34" x14ac:dyDescent="0.25">
      <c r="A236" t="s">
        <v>2152</v>
      </c>
      <c r="B236" t="s">
        <v>2153</v>
      </c>
      <c r="C236" t="s">
        <v>2154</v>
      </c>
      <c r="D236" t="s">
        <v>77</v>
      </c>
      <c r="E236" t="s">
        <v>78</v>
      </c>
      <c r="F236" t="s">
        <v>2155</v>
      </c>
      <c r="G236" t="s">
        <v>15979</v>
      </c>
      <c r="H236" t="s">
        <v>15980</v>
      </c>
      <c r="I236" t="s">
        <v>16057</v>
      </c>
      <c r="J236" t="s">
        <v>23</v>
      </c>
      <c r="L236" s="8" t="s">
        <v>488</v>
      </c>
      <c r="M236" t="s">
        <v>2156</v>
      </c>
      <c r="N236" t="s">
        <v>2157</v>
      </c>
      <c r="O236" t="s">
        <v>2158</v>
      </c>
      <c r="P236" t="s">
        <v>2159</v>
      </c>
      <c r="Q236" t="s">
        <v>490</v>
      </c>
      <c r="R236" t="s">
        <v>491</v>
      </c>
      <c r="S236" t="s">
        <v>492</v>
      </c>
      <c r="T236" t="s">
        <v>496</v>
      </c>
      <c r="U236" s="5">
        <v>1039.97</v>
      </c>
      <c r="V236" s="5">
        <v>903.88</v>
      </c>
      <c r="W236" s="5">
        <v>12.173728000000001</v>
      </c>
      <c r="X236" s="5">
        <v>109.177217</v>
      </c>
      <c r="Y236" s="5">
        <v>136.09</v>
      </c>
      <c r="Z236" s="5">
        <v>12.175768</v>
      </c>
      <c r="AA236" s="5">
        <v>109.17495</v>
      </c>
      <c r="AB236" s="7">
        <f t="shared" si="19"/>
        <v>1.35582</v>
      </c>
      <c r="AC236" s="7">
        <f t="shared" si="20"/>
        <v>0.20413499999999998</v>
      </c>
      <c r="AD236" s="6" t="str">
        <f t="shared" si="21"/>
        <v>1.CAT Khánh Hòa</v>
      </c>
      <c r="AE236" s="6" t="str">
        <f t="shared" si="22"/>
        <v>Cam Lâm</v>
      </c>
      <c r="AG236">
        <f t="shared" si="23"/>
        <v>0.90388000000000002</v>
      </c>
      <c r="AH236">
        <f t="shared" si="24"/>
        <v>0.13609000000000002</v>
      </c>
    </row>
    <row r="237" spans="1:34" x14ac:dyDescent="0.25">
      <c r="A237" t="s">
        <v>2160</v>
      </c>
      <c r="B237" t="s">
        <v>2161</v>
      </c>
      <c r="C237" t="s">
        <v>2162</v>
      </c>
      <c r="D237" t="s">
        <v>77</v>
      </c>
      <c r="E237" t="s">
        <v>78</v>
      </c>
      <c r="F237" t="s">
        <v>2163</v>
      </c>
      <c r="G237" t="s">
        <v>15979</v>
      </c>
      <c r="H237" t="s">
        <v>15980</v>
      </c>
      <c r="I237" t="s">
        <v>16058</v>
      </c>
      <c r="J237" t="s">
        <v>23</v>
      </c>
      <c r="L237" s="8" t="s">
        <v>110</v>
      </c>
      <c r="M237" t="s">
        <v>873</v>
      </c>
      <c r="N237" t="s">
        <v>2164</v>
      </c>
      <c r="O237" t="s">
        <v>2165</v>
      </c>
      <c r="P237" t="s">
        <v>2166</v>
      </c>
      <c r="Q237" t="s">
        <v>112</v>
      </c>
      <c r="R237" t="s">
        <v>113</v>
      </c>
      <c r="S237" t="s">
        <v>114</v>
      </c>
      <c r="T237" t="s">
        <v>118</v>
      </c>
      <c r="U237" s="5">
        <v>318.01</v>
      </c>
      <c r="V237" s="5">
        <v>314.67</v>
      </c>
      <c r="W237" s="5">
        <v>12.190372999999999</v>
      </c>
      <c r="X237" s="5">
        <v>109.170748</v>
      </c>
      <c r="Y237" s="5">
        <v>3.34</v>
      </c>
      <c r="Z237" s="5">
        <v>12.175723</v>
      </c>
      <c r="AA237" s="5">
        <v>109.17368</v>
      </c>
      <c r="AB237" s="7">
        <f t="shared" si="19"/>
        <v>0.47200500000000001</v>
      </c>
      <c r="AC237" s="7">
        <f t="shared" si="20"/>
        <v>5.0099999999999997E-3</v>
      </c>
      <c r="AD237" s="6" t="str">
        <f t="shared" si="21"/>
        <v>4.PC11a</v>
      </c>
      <c r="AE237" s="6" t="str">
        <f t="shared" si="22"/>
        <v>PC02_Đoạn cột trung thế</v>
      </c>
      <c r="AG237">
        <f t="shared" si="23"/>
        <v>0.31467000000000001</v>
      </c>
      <c r="AH237">
        <f t="shared" si="24"/>
        <v>3.3399999999999997E-3</v>
      </c>
    </row>
    <row r="238" spans="1:34" x14ac:dyDescent="0.25">
      <c r="A238" t="s">
        <v>2167</v>
      </c>
      <c r="B238" t="s">
        <v>2168</v>
      </c>
      <c r="C238" t="s">
        <v>2169</v>
      </c>
      <c r="D238" t="s">
        <v>262</v>
      </c>
      <c r="E238" t="s">
        <v>263</v>
      </c>
      <c r="F238" t="s">
        <v>2170</v>
      </c>
      <c r="G238" t="s">
        <v>15979</v>
      </c>
      <c r="H238" t="s">
        <v>15980</v>
      </c>
      <c r="I238" t="s">
        <v>16059</v>
      </c>
      <c r="J238" t="s">
        <v>23</v>
      </c>
      <c r="L238" s="8" t="s">
        <v>267</v>
      </c>
      <c r="M238" t="s">
        <v>2171</v>
      </c>
      <c r="N238" t="s">
        <v>2172</v>
      </c>
      <c r="O238" t="s">
        <v>2173</v>
      </c>
      <c r="P238" t="s">
        <v>2174</v>
      </c>
      <c r="Q238" t="s">
        <v>269</v>
      </c>
      <c r="R238" t="s">
        <v>270</v>
      </c>
      <c r="S238" t="s">
        <v>271</v>
      </c>
      <c r="T238" t="s">
        <v>275</v>
      </c>
      <c r="U238" s="5">
        <v>198.3</v>
      </c>
      <c r="V238" s="5">
        <v>7.28</v>
      </c>
      <c r="W238" s="5">
        <v>12.252446000000001</v>
      </c>
      <c r="X238" s="5">
        <v>109.182911</v>
      </c>
      <c r="Y238" s="5">
        <v>191.02</v>
      </c>
      <c r="Z238" s="5">
        <v>12.250641</v>
      </c>
      <c r="AA238" s="5">
        <v>109.18473899999999</v>
      </c>
      <c r="AB238" s="7">
        <f t="shared" si="19"/>
        <v>1.0919999999999999E-2</v>
      </c>
      <c r="AC238" s="7">
        <f t="shared" si="20"/>
        <v>0.28653000000000001</v>
      </c>
      <c r="AD238" s="6" t="str">
        <f t="shared" si="21"/>
        <v>4.CA Tây Nha Trang</v>
      </c>
      <c r="AE238" s="6" t="str">
        <f t="shared" si="22"/>
        <v>TTCMKV Diên Khánh</v>
      </c>
      <c r="AG238">
        <f t="shared" si="23"/>
        <v>7.28E-3</v>
      </c>
      <c r="AH238">
        <f t="shared" si="24"/>
        <v>0.19102000000000002</v>
      </c>
    </row>
    <row r="239" spans="1:34" x14ac:dyDescent="0.25">
      <c r="A239" t="s">
        <v>2175</v>
      </c>
      <c r="B239" t="s">
        <v>2176</v>
      </c>
      <c r="C239" t="s">
        <v>2177</v>
      </c>
      <c r="D239" t="s">
        <v>197</v>
      </c>
      <c r="E239" t="s">
        <v>198</v>
      </c>
      <c r="F239" t="s">
        <v>2178</v>
      </c>
      <c r="G239" t="s">
        <v>15979</v>
      </c>
      <c r="H239" t="s">
        <v>15980</v>
      </c>
      <c r="I239" t="s">
        <v>16060</v>
      </c>
      <c r="J239" t="s">
        <v>23</v>
      </c>
      <c r="L239" s="8" t="s">
        <v>2179</v>
      </c>
      <c r="M239" t="s">
        <v>2180</v>
      </c>
      <c r="N239" t="s">
        <v>2181</v>
      </c>
      <c r="O239" t="s">
        <v>2182</v>
      </c>
      <c r="P239" t="s">
        <v>2183</v>
      </c>
      <c r="Q239" t="s">
        <v>942</v>
      </c>
      <c r="R239" t="s">
        <v>2182</v>
      </c>
      <c r="S239" t="s">
        <v>2183</v>
      </c>
      <c r="T239" t="s">
        <v>2184</v>
      </c>
      <c r="U239" s="5">
        <v>907.31</v>
      </c>
      <c r="V239" s="5">
        <v>902.12</v>
      </c>
      <c r="W239" s="5">
        <v>12.256762</v>
      </c>
      <c r="X239" s="5">
        <v>109.197648</v>
      </c>
      <c r="Y239" s="5">
        <v>5.18</v>
      </c>
      <c r="Z239" s="5">
        <v>12.256762</v>
      </c>
      <c r="AA239" s="5">
        <v>109.197648</v>
      </c>
      <c r="AB239" s="7">
        <f t="shared" si="19"/>
        <v>1.35318</v>
      </c>
      <c r="AC239" s="7">
        <f t="shared" si="20"/>
        <v>7.77E-3</v>
      </c>
      <c r="AD239" s="6" t="str">
        <f t="shared" si="21"/>
        <v>Tuyến nhánh PA06 cs1</v>
      </c>
      <c r="AE239" s="6" t="str">
        <f t="shared" si="22"/>
        <v>Nhà nghỉ dưỡng 378 BCA_Cột trung thế</v>
      </c>
      <c r="AG239">
        <f t="shared" si="23"/>
        <v>0.90212000000000003</v>
      </c>
      <c r="AH239">
        <f t="shared" si="24"/>
        <v>5.1799999999999997E-3</v>
      </c>
    </row>
    <row r="240" spans="1:34" x14ac:dyDescent="0.25">
      <c r="A240" t="s">
        <v>2185</v>
      </c>
      <c r="B240" t="s">
        <v>2186</v>
      </c>
      <c r="C240" t="s">
        <v>2187</v>
      </c>
      <c r="D240" t="s">
        <v>160</v>
      </c>
      <c r="E240" t="s">
        <v>161</v>
      </c>
      <c r="F240" t="s">
        <v>2188</v>
      </c>
      <c r="G240" t="s">
        <v>15979</v>
      </c>
      <c r="H240" t="s">
        <v>15980</v>
      </c>
      <c r="I240" t="s">
        <v>16061</v>
      </c>
      <c r="J240" t="s">
        <v>23</v>
      </c>
      <c r="L240" s="8" t="s">
        <v>1449</v>
      </c>
      <c r="M240" t="s">
        <v>2189</v>
      </c>
      <c r="N240" t="s">
        <v>2190</v>
      </c>
      <c r="O240" t="s">
        <v>2191</v>
      </c>
      <c r="P240" t="s">
        <v>2192</v>
      </c>
      <c r="Q240" t="s">
        <v>1454</v>
      </c>
      <c r="R240" t="s">
        <v>42</v>
      </c>
      <c r="S240" t="s">
        <v>1455</v>
      </c>
      <c r="T240" t="s">
        <v>1456</v>
      </c>
      <c r="U240" s="5">
        <v>789.42</v>
      </c>
      <c r="V240" s="5">
        <v>784.67</v>
      </c>
      <c r="W240" s="5">
        <v>12.280041000000001</v>
      </c>
      <c r="X240" s="5">
        <v>109.188703</v>
      </c>
      <c r="Y240" s="5">
        <v>4.75</v>
      </c>
      <c r="Z240" s="5">
        <v>12.278732</v>
      </c>
      <c r="AA240" s="5">
        <v>109.18886000000001</v>
      </c>
      <c r="AB240" s="7">
        <f t="shared" si="19"/>
        <v>1.1770049999999999</v>
      </c>
      <c r="AC240" s="7">
        <f t="shared" si="20"/>
        <v>7.1250000000000003E-3</v>
      </c>
      <c r="AD240" s="6" t="str">
        <f t="shared" si="21"/>
        <v>2.PK02 cs1</v>
      </c>
      <c r="AE240" s="6" t="str">
        <f t="shared" si="22"/>
        <v>Trung đoàn CSCĐ-E23_Cột trung thế</v>
      </c>
      <c r="AG240">
        <f t="shared" si="23"/>
        <v>0.78466999999999998</v>
      </c>
      <c r="AH240">
        <f t="shared" si="24"/>
        <v>4.7499999999999999E-3</v>
      </c>
    </row>
    <row r="241" spans="1:34" x14ac:dyDescent="0.25">
      <c r="A241" t="s">
        <v>2193</v>
      </c>
      <c r="B241" t="s">
        <v>2194</v>
      </c>
      <c r="C241" t="s">
        <v>2195</v>
      </c>
      <c r="D241" t="s">
        <v>197</v>
      </c>
      <c r="E241" t="s">
        <v>198</v>
      </c>
      <c r="F241" t="s">
        <v>2196</v>
      </c>
      <c r="G241" t="s">
        <v>15979</v>
      </c>
      <c r="H241" t="s">
        <v>15980</v>
      </c>
      <c r="I241" t="s">
        <v>16062</v>
      </c>
      <c r="J241" t="s">
        <v>23</v>
      </c>
      <c r="L241" s="8" t="s">
        <v>200</v>
      </c>
      <c r="M241" t="s">
        <v>2197</v>
      </c>
      <c r="N241" t="s">
        <v>2198</v>
      </c>
      <c r="O241" t="s">
        <v>203</v>
      </c>
      <c r="P241" t="s">
        <v>204</v>
      </c>
      <c r="Q241" t="s">
        <v>205</v>
      </c>
      <c r="R241" t="s">
        <v>206</v>
      </c>
      <c r="S241" t="s">
        <v>207</v>
      </c>
      <c r="T241" t="s">
        <v>208</v>
      </c>
      <c r="U241" s="5">
        <v>2220.4</v>
      </c>
      <c r="V241" s="5">
        <v>1245.53</v>
      </c>
      <c r="W241" s="5">
        <v>12.280430000000001</v>
      </c>
      <c r="X241" s="5">
        <v>109.194828</v>
      </c>
      <c r="Y241" s="5">
        <v>974.88</v>
      </c>
      <c r="Z241" s="5">
        <v>12.265409</v>
      </c>
      <c r="AA241" s="5">
        <v>109.196133</v>
      </c>
      <c r="AB241" s="7">
        <f t="shared" si="19"/>
        <v>1.868295</v>
      </c>
      <c r="AC241" s="7">
        <f t="shared" si="20"/>
        <v>1.4623199999999998</v>
      </c>
      <c r="AD241" s="6" t="str">
        <f t="shared" si="21"/>
        <v>3.CA Bắc Nha Trang</v>
      </c>
      <c r="AE241" s="6" t="str">
        <f t="shared" si="22"/>
        <v>CAT Khánh Hòa</v>
      </c>
      <c r="AG241">
        <f t="shared" si="23"/>
        <v>1.24553</v>
      </c>
      <c r="AH241">
        <f t="shared" si="24"/>
        <v>0.97487999999999997</v>
      </c>
    </row>
    <row r="242" spans="1:34" x14ac:dyDescent="0.25">
      <c r="A242" t="s">
        <v>2199</v>
      </c>
      <c r="B242" t="s">
        <v>2200</v>
      </c>
      <c r="C242" t="s">
        <v>2201</v>
      </c>
      <c r="D242" t="s">
        <v>160</v>
      </c>
      <c r="E242" t="s">
        <v>161</v>
      </c>
      <c r="F242" t="s">
        <v>2202</v>
      </c>
      <c r="G242" t="s">
        <v>15979</v>
      </c>
      <c r="H242" t="s">
        <v>15980</v>
      </c>
      <c r="I242" t="s">
        <v>16063</v>
      </c>
      <c r="J242" t="s">
        <v>23</v>
      </c>
      <c r="L242" s="8" t="s">
        <v>1449</v>
      </c>
      <c r="M242" t="s">
        <v>2203</v>
      </c>
      <c r="N242" t="s">
        <v>2204</v>
      </c>
      <c r="O242" t="s">
        <v>1452</v>
      </c>
      <c r="P242" t="s">
        <v>1453</v>
      </c>
      <c r="Q242" t="s">
        <v>1454</v>
      </c>
      <c r="R242" t="s">
        <v>42</v>
      </c>
      <c r="S242" t="s">
        <v>1455</v>
      </c>
      <c r="T242" t="s">
        <v>1456</v>
      </c>
      <c r="U242" s="5">
        <v>727.91</v>
      </c>
      <c r="V242" s="5">
        <v>723.16</v>
      </c>
      <c r="W242" s="5">
        <v>12.279755</v>
      </c>
      <c r="X242" s="5">
        <v>109.177725</v>
      </c>
      <c r="Y242" s="5">
        <v>4.75</v>
      </c>
      <c r="Z242" s="5">
        <v>12.278732</v>
      </c>
      <c r="AA242" s="5">
        <v>109.18886000000001</v>
      </c>
      <c r="AB242" s="7">
        <f t="shared" si="19"/>
        <v>1.08474</v>
      </c>
      <c r="AC242" s="7">
        <f t="shared" si="20"/>
        <v>7.1250000000000003E-3</v>
      </c>
      <c r="AD242" s="6" t="str">
        <f t="shared" si="21"/>
        <v>2.PK02 cs1</v>
      </c>
      <c r="AE242" s="6" t="str">
        <f t="shared" si="22"/>
        <v>Trung đoàn CSCĐ-E23_Cột trung thế</v>
      </c>
      <c r="AG242">
        <f t="shared" si="23"/>
        <v>0.72315999999999991</v>
      </c>
      <c r="AH242">
        <f t="shared" si="24"/>
        <v>4.7499999999999999E-3</v>
      </c>
    </row>
    <row r="243" spans="1:34" x14ac:dyDescent="0.25">
      <c r="A243" t="s">
        <v>2205</v>
      </c>
      <c r="B243" t="s">
        <v>2206</v>
      </c>
      <c r="C243" t="s">
        <v>2207</v>
      </c>
      <c r="D243" t="s">
        <v>195</v>
      </c>
      <c r="E243" t="s">
        <v>196</v>
      </c>
      <c r="F243" t="s">
        <v>2208</v>
      </c>
      <c r="G243" t="s">
        <v>15979</v>
      </c>
      <c r="H243" t="s">
        <v>15980</v>
      </c>
      <c r="I243" t="s">
        <v>16064</v>
      </c>
      <c r="J243" t="s">
        <v>23</v>
      </c>
      <c r="L243" s="8" t="s">
        <v>185</v>
      </c>
      <c r="M243" t="s">
        <v>2209</v>
      </c>
      <c r="N243" t="s">
        <v>2210</v>
      </c>
      <c r="O243" t="s">
        <v>2211</v>
      </c>
      <c r="P243" t="s">
        <v>2212</v>
      </c>
      <c r="Q243" t="s">
        <v>337</v>
      </c>
      <c r="R243" t="s">
        <v>338</v>
      </c>
      <c r="S243" t="s">
        <v>339</v>
      </c>
      <c r="T243" t="s">
        <v>343</v>
      </c>
      <c r="U243" s="5">
        <v>53.12</v>
      </c>
      <c r="V243" s="5">
        <v>52.23</v>
      </c>
      <c r="W243" s="5">
        <v>12.285190999999999</v>
      </c>
      <c r="X243" s="5">
        <v>109.19182000000001</v>
      </c>
      <c r="Y243" s="5">
        <v>0.89</v>
      </c>
      <c r="Z243" s="5">
        <v>12.282335</v>
      </c>
      <c r="AA243" s="5">
        <v>109.198106</v>
      </c>
      <c r="AB243" s="7">
        <f t="shared" si="19"/>
        <v>7.8344999999999998E-2</v>
      </c>
      <c r="AC243" s="7">
        <f t="shared" si="20"/>
        <v>1.335E-3</v>
      </c>
      <c r="AD243" s="6" t="str">
        <f t="shared" si="21"/>
        <v>2.CA Diên Điền</v>
      </c>
      <c r="AE243" s="6" t="str">
        <f t="shared" si="22"/>
        <v>CA Bắc Nha Trang</v>
      </c>
      <c r="AG243">
        <f t="shared" si="23"/>
        <v>5.2229999999999999E-2</v>
      </c>
      <c r="AH243">
        <f t="shared" si="24"/>
        <v>8.9000000000000006E-4</v>
      </c>
    </row>
    <row r="244" spans="1:34" x14ac:dyDescent="0.25">
      <c r="A244" t="s">
        <v>2213</v>
      </c>
      <c r="B244" t="s">
        <v>2214</v>
      </c>
      <c r="C244" t="s">
        <v>2215</v>
      </c>
      <c r="D244" t="s">
        <v>77</v>
      </c>
      <c r="E244" t="s">
        <v>78</v>
      </c>
      <c r="F244" t="s">
        <v>2216</v>
      </c>
      <c r="G244" t="s">
        <v>15979</v>
      </c>
      <c r="H244" t="s">
        <v>15980</v>
      </c>
      <c r="I244" t="s">
        <v>16065</v>
      </c>
      <c r="J244" t="s">
        <v>23</v>
      </c>
      <c r="L244" s="8" t="s">
        <v>488</v>
      </c>
      <c r="M244" t="s">
        <v>2217</v>
      </c>
      <c r="N244" t="s">
        <v>2218</v>
      </c>
      <c r="O244" t="s">
        <v>2219</v>
      </c>
      <c r="P244" t="s">
        <v>2220</v>
      </c>
      <c r="Q244" t="s">
        <v>490</v>
      </c>
      <c r="R244" t="s">
        <v>491</v>
      </c>
      <c r="S244" t="s">
        <v>492</v>
      </c>
      <c r="T244" t="s">
        <v>496</v>
      </c>
      <c r="U244" s="5">
        <v>222.3</v>
      </c>
      <c r="V244" s="5">
        <v>86.21</v>
      </c>
      <c r="W244" s="5">
        <v>12.169498000000001</v>
      </c>
      <c r="X244" s="5">
        <v>109.19072</v>
      </c>
      <c r="Y244" s="5">
        <v>136.09</v>
      </c>
      <c r="Z244" s="5">
        <v>12.175768</v>
      </c>
      <c r="AA244" s="5">
        <v>109.17495</v>
      </c>
      <c r="AB244" s="7">
        <f t="shared" si="19"/>
        <v>0.12931499999999999</v>
      </c>
      <c r="AC244" s="7">
        <f t="shared" si="20"/>
        <v>0.20413499999999998</v>
      </c>
      <c r="AD244" s="6" t="str">
        <f t="shared" si="21"/>
        <v>1.CAT Khánh Hòa</v>
      </c>
      <c r="AE244" s="6" t="str">
        <f t="shared" si="22"/>
        <v>Cam Lâm</v>
      </c>
      <c r="AG244">
        <f t="shared" si="23"/>
        <v>8.6209999999999995E-2</v>
      </c>
      <c r="AH244">
        <f t="shared" si="24"/>
        <v>0.13609000000000002</v>
      </c>
    </row>
    <row r="245" spans="1:34" x14ac:dyDescent="0.25">
      <c r="A245" t="s">
        <v>2221</v>
      </c>
      <c r="B245" t="s">
        <v>2222</v>
      </c>
      <c r="C245" t="s">
        <v>2223</v>
      </c>
      <c r="D245" t="s">
        <v>262</v>
      </c>
      <c r="E245" t="s">
        <v>263</v>
      </c>
      <c r="F245" t="s">
        <v>2224</v>
      </c>
      <c r="G245" t="s">
        <v>15979</v>
      </c>
      <c r="H245" t="s">
        <v>15980</v>
      </c>
      <c r="I245" t="s">
        <v>16066</v>
      </c>
      <c r="J245" t="s">
        <v>23</v>
      </c>
      <c r="L245" s="8" t="s">
        <v>659</v>
      </c>
      <c r="M245" t="s">
        <v>2225</v>
      </c>
      <c r="N245" t="s">
        <v>2226</v>
      </c>
      <c r="O245" t="s">
        <v>2227</v>
      </c>
      <c r="P245" t="s">
        <v>2228</v>
      </c>
      <c r="Q245" t="s">
        <v>2229</v>
      </c>
      <c r="R245" t="s">
        <v>2230</v>
      </c>
      <c r="S245" t="s">
        <v>2231</v>
      </c>
      <c r="T245" t="s">
        <v>667</v>
      </c>
      <c r="U245" s="5">
        <v>32.26</v>
      </c>
      <c r="V245" s="5">
        <v>30.01</v>
      </c>
      <c r="W245" s="5">
        <v>12.246561</v>
      </c>
      <c r="X245" s="5">
        <v>109.181628</v>
      </c>
      <c r="Y245" s="5">
        <v>2.25</v>
      </c>
      <c r="Z245" s="5">
        <v>12.249053</v>
      </c>
      <c r="AA245" s="5">
        <v>109.184084</v>
      </c>
      <c r="AB245" s="7">
        <f t="shared" si="19"/>
        <v>4.5014999999999999E-2</v>
      </c>
      <c r="AC245" s="7">
        <f t="shared" si="20"/>
        <v>3.375E-3</v>
      </c>
      <c r="AD245" s="6" t="str">
        <f t="shared" si="21"/>
        <v>6.PC08 csc</v>
      </c>
      <c r="AE245" s="6" t="str">
        <f t="shared" si="22"/>
        <v>CAT Khánh Hòa_Cột trung thế</v>
      </c>
      <c r="AG245">
        <f t="shared" si="23"/>
        <v>3.0010000000000002E-2</v>
      </c>
      <c r="AH245">
        <f t="shared" si="24"/>
        <v>2.2499999999999998E-3</v>
      </c>
    </row>
    <row r="246" spans="1:34" x14ac:dyDescent="0.25">
      <c r="A246" t="s">
        <v>2232</v>
      </c>
      <c r="B246" t="s">
        <v>2233</v>
      </c>
      <c r="C246" t="s">
        <v>2234</v>
      </c>
      <c r="D246" t="s">
        <v>195</v>
      </c>
      <c r="E246" t="s">
        <v>196</v>
      </c>
      <c r="F246" t="s">
        <v>2235</v>
      </c>
      <c r="G246" t="s">
        <v>15979</v>
      </c>
      <c r="H246" t="s">
        <v>15980</v>
      </c>
      <c r="I246" t="s">
        <v>16067</v>
      </c>
      <c r="J246" t="s">
        <v>23</v>
      </c>
      <c r="L246" s="8" t="s">
        <v>1587</v>
      </c>
      <c r="M246" t="s">
        <v>2236</v>
      </c>
      <c r="N246" t="s">
        <v>2237</v>
      </c>
      <c r="O246" t="s">
        <v>2238</v>
      </c>
      <c r="P246" t="s">
        <v>2239</v>
      </c>
      <c r="Q246" t="s">
        <v>2240</v>
      </c>
      <c r="R246" t="s">
        <v>2241</v>
      </c>
      <c r="S246" t="s">
        <v>2242</v>
      </c>
      <c r="T246" t="s">
        <v>1595</v>
      </c>
      <c r="U246" s="5">
        <v>627.16999999999996</v>
      </c>
      <c r="V246" s="5">
        <v>201.05</v>
      </c>
      <c r="W246" s="5">
        <v>12.300356000000001</v>
      </c>
      <c r="X246" s="5">
        <v>109.186825</v>
      </c>
      <c r="Y246" s="5">
        <v>426.12</v>
      </c>
      <c r="Z246" s="5">
        <v>12.279659000000001</v>
      </c>
      <c r="AA246" s="5">
        <v>109.19529799999999</v>
      </c>
      <c r="AB246" s="7">
        <f t="shared" si="19"/>
        <v>0.30157500000000004</v>
      </c>
      <c r="AC246" s="7">
        <f t="shared" si="20"/>
        <v>0.63918000000000008</v>
      </c>
      <c r="AD246" s="6" t="str">
        <f t="shared" si="21"/>
        <v>5.Vạn Ninh</v>
      </c>
      <c r="AE246" s="6" t="str">
        <f t="shared" si="22"/>
        <v>CAT Khánh Hòa</v>
      </c>
      <c r="AG246">
        <f t="shared" si="23"/>
        <v>0.20105000000000001</v>
      </c>
      <c r="AH246">
        <f t="shared" si="24"/>
        <v>0.42612</v>
      </c>
    </row>
    <row r="247" spans="1:34" x14ac:dyDescent="0.25">
      <c r="A247" t="s">
        <v>2243</v>
      </c>
      <c r="B247" t="s">
        <v>2244</v>
      </c>
      <c r="C247" t="s">
        <v>2245</v>
      </c>
      <c r="D247" t="s">
        <v>92</v>
      </c>
      <c r="E247" t="s">
        <v>93</v>
      </c>
      <c r="F247" t="s">
        <v>2246</v>
      </c>
      <c r="G247" t="s">
        <v>15979</v>
      </c>
      <c r="H247" t="s">
        <v>15980</v>
      </c>
      <c r="I247" t="s">
        <v>16068</v>
      </c>
      <c r="J247" t="s">
        <v>23</v>
      </c>
      <c r="L247" s="8" t="s">
        <v>1259</v>
      </c>
      <c r="M247" t="s">
        <v>2247</v>
      </c>
      <c r="N247" t="s">
        <v>2248</v>
      </c>
      <c r="O247" t="s">
        <v>1274</v>
      </c>
      <c r="P247" t="s">
        <v>1275</v>
      </c>
      <c r="Q247" t="s">
        <v>1276</v>
      </c>
      <c r="R247" t="s">
        <v>1277</v>
      </c>
      <c r="S247" t="s">
        <v>1278</v>
      </c>
      <c r="T247" t="s">
        <v>1279</v>
      </c>
      <c r="U247" s="5">
        <v>598.77</v>
      </c>
      <c r="V247" s="5">
        <v>467.96</v>
      </c>
      <c r="W247" s="5">
        <v>12.243195999999999</v>
      </c>
      <c r="X247" s="5">
        <v>109.192182</v>
      </c>
      <c r="Y247" s="5">
        <v>130.81</v>
      </c>
      <c r="Z247" s="5">
        <v>12.245825999999999</v>
      </c>
      <c r="AA247" s="5">
        <v>109.19040800000001</v>
      </c>
      <c r="AB247" s="7">
        <f t="shared" si="19"/>
        <v>0.7019399999999999</v>
      </c>
      <c r="AC247" s="7">
        <f t="shared" si="20"/>
        <v>0.196215</v>
      </c>
      <c r="AD247" s="6" t="str">
        <f t="shared" si="21"/>
        <v>1.CAT Khánh Hòa</v>
      </c>
      <c r="AE247" s="6" t="str">
        <f t="shared" si="22"/>
        <v>CATP Nha Trang cũ</v>
      </c>
      <c r="AG247">
        <f t="shared" si="23"/>
        <v>0.46795999999999999</v>
      </c>
      <c r="AH247">
        <f t="shared" si="24"/>
        <v>0.13081000000000001</v>
      </c>
    </row>
    <row r="248" spans="1:34" x14ac:dyDescent="0.25">
      <c r="A248" t="s">
        <v>2249</v>
      </c>
      <c r="B248" t="s">
        <v>2250</v>
      </c>
      <c r="C248" t="s">
        <v>2251</v>
      </c>
      <c r="D248" t="s">
        <v>605</v>
      </c>
      <c r="E248" t="s">
        <v>606</v>
      </c>
      <c r="F248" t="s">
        <v>2252</v>
      </c>
      <c r="G248" t="s">
        <v>15979</v>
      </c>
      <c r="H248" t="s">
        <v>15980</v>
      </c>
      <c r="I248" t="s">
        <v>16069</v>
      </c>
      <c r="J248" t="s">
        <v>23</v>
      </c>
      <c r="L248" s="8" t="s">
        <v>350</v>
      </c>
      <c r="M248" t="s">
        <v>2253</v>
      </c>
      <c r="N248" t="s">
        <v>2254</v>
      </c>
      <c r="O248" t="s">
        <v>2255</v>
      </c>
      <c r="P248" t="s">
        <v>2256</v>
      </c>
      <c r="Q248" t="s">
        <v>1022</v>
      </c>
      <c r="R248" t="s">
        <v>1023</v>
      </c>
      <c r="S248" t="s">
        <v>1024</v>
      </c>
      <c r="T248" t="s">
        <v>358</v>
      </c>
      <c r="U248" s="5">
        <v>521.54</v>
      </c>
      <c r="V248" s="5">
        <v>387.03</v>
      </c>
      <c r="W248" s="5">
        <v>11.974342999999999</v>
      </c>
      <c r="X248" s="5">
        <v>109.068472</v>
      </c>
      <c r="Y248" s="5">
        <v>134.52000000000001</v>
      </c>
      <c r="Z248" s="5">
        <v>11.962002999999999</v>
      </c>
      <c r="AA248" s="5">
        <v>109.094218</v>
      </c>
      <c r="AB248" s="7">
        <f t="shared" si="19"/>
        <v>0.58054499999999998</v>
      </c>
      <c r="AC248" s="7">
        <f t="shared" si="20"/>
        <v>0.20178000000000004</v>
      </c>
      <c r="AD248" s="6" t="str">
        <f t="shared" si="21"/>
        <v>3.Cam Ranh</v>
      </c>
      <c r="AE248" s="6" t="str">
        <f t="shared" si="22"/>
        <v>Khánh Sơn</v>
      </c>
      <c r="AG248">
        <f t="shared" si="23"/>
        <v>0.38702999999999999</v>
      </c>
      <c r="AH248">
        <f t="shared" si="24"/>
        <v>0.13452</v>
      </c>
    </row>
    <row r="249" spans="1:34" x14ac:dyDescent="0.25">
      <c r="A249" t="s">
        <v>2257</v>
      </c>
      <c r="B249" t="s">
        <v>2258</v>
      </c>
      <c r="C249" t="s">
        <v>2259</v>
      </c>
      <c r="D249" t="s">
        <v>360</v>
      </c>
      <c r="E249" t="s">
        <v>361</v>
      </c>
      <c r="F249" t="s">
        <v>2260</v>
      </c>
      <c r="G249" t="s">
        <v>15979</v>
      </c>
      <c r="H249" t="s">
        <v>15980</v>
      </c>
      <c r="I249" t="s">
        <v>16070</v>
      </c>
      <c r="J249" t="s">
        <v>23</v>
      </c>
      <c r="L249" s="8" t="s">
        <v>881</v>
      </c>
      <c r="M249" t="s">
        <v>2261</v>
      </c>
      <c r="N249" t="s">
        <v>2262</v>
      </c>
      <c r="O249" t="s">
        <v>2263</v>
      </c>
      <c r="P249" t="s">
        <v>2264</v>
      </c>
      <c r="Q249" t="s">
        <v>883</v>
      </c>
      <c r="R249" t="s">
        <v>884</v>
      </c>
      <c r="S249" t="s">
        <v>885</v>
      </c>
      <c r="T249" t="s">
        <v>889</v>
      </c>
      <c r="U249" s="5">
        <v>1651.48</v>
      </c>
      <c r="V249" s="5">
        <v>976.58</v>
      </c>
      <c r="W249" s="5">
        <v>12.018553000000001</v>
      </c>
      <c r="X249" s="5">
        <v>109.192533</v>
      </c>
      <c r="Y249" s="5">
        <v>674.9</v>
      </c>
      <c r="Z249" s="5">
        <v>11.970426</v>
      </c>
      <c r="AA249" s="5">
        <v>109.192857</v>
      </c>
      <c r="AB249" s="7">
        <f t="shared" si="19"/>
        <v>1.4648700000000001</v>
      </c>
      <c r="AC249" s="7">
        <f t="shared" si="20"/>
        <v>1.0123499999999999</v>
      </c>
      <c r="AD249" s="6" t="str">
        <f t="shared" si="21"/>
        <v>2.Cam Lâm</v>
      </c>
      <c r="AE249" s="6" t="str">
        <f t="shared" si="22"/>
        <v>Cam Ranh</v>
      </c>
      <c r="AG249">
        <f t="shared" si="23"/>
        <v>0.97658</v>
      </c>
      <c r="AH249">
        <f t="shared" si="24"/>
        <v>0.67489999999999994</v>
      </c>
    </row>
    <row r="250" spans="1:34" x14ac:dyDescent="0.25">
      <c r="A250" t="s">
        <v>2265</v>
      </c>
      <c r="B250" t="s">
        <v>2266</v>
      </c>
      <c r="C250" t="s">
        <v>2267</v>
      </c>
      <c r="D250" t="s">
        <v>800</v>
      </c>
      <c r="E250" t="s">
        <v>801</v>
      </c>
      <c r="F250" t="s">
        <v>2268</v>
      </c>
      <c r="G250" t="s">
        <v>15979</v>
      </c>
      <c r="H250" t="s">
        <v>15980</v>
      </c>
      <c r="I250" t="s">
        <v>16071</v>
      </c>
      <c r="J250" t="s">
        <v>23</v>
      </c>
      <c r="L250" s="8" t="s">
        <v>488</v>
      </c>
      <c r="M250" t="s">
        <v>2269</v>
      </c>
      <c r="N250" t="s">
        <v>2270</v>
      </c>
      <c r="O250" t="s">
        <v>2271</v>
      </c>
      <c r="P250" t="s">
        <v>2272</v>
      </c>
      <c r="Q250" t="s">
        <v>804</v>
      </c>
      <c r="R250" t="s">
        <v>805</v>
      </c>
      <c r="S250" t="s">
        <v>806</v>
      </c>
      <c r="T250" t="s">
        <v>496</v>
      </c>
      <c r="U250" s="5">
        <v>87.53</v>
      </c>
      <c r="V250" s="5">
        <v>85.5</v>
      </c>
      <c r="W250" s="5">
        <v>12.080638</v>
      </c>
      <c r="X250" s="5">
        <v>109.180874</v>
      </c>
      <c r="Y250" s="5">
        <v>2.0299999999999998</v>
      </c>
      <c r="Z250" s="5">
        <v>12.074439</v>
      </c>
      <c r="AA250" s="5">
        <v>109.168081</v>
      </c>
      <c r="AB250" s="7">
        <f t="shared" si="19"/>
        <v>0.12825</v>
      </c>
      <c r="AC250" s="7">
        <f t="shared" si="20"/>
        <v>3.045E-3</v>
      </c>
      <c r="AD250" s="6" t="str">
        <f t="shared" si="21"/>
        <v>1.CAT Khánh Hòa</v>
      </c>
      <c r="AE250" s="6" t="str">
        <f t="shared" si="22"/>
        <v>Cam Lâm</v>
      </c>
      <c r="AG250">
        <f t="shared" si="23"/>
        <v>8.5500000000000007E-2</v>
      </c>
      <c r="AH250">
        <f t="shared" si="24"/>
        <v>2.0299999999999997E-3</v>
      </c>
    </row>
    <row r="251" spans="1:34" x14ac:dyDescent="0.25">
      <c r="A251" t="s">
        <v>2273</v>
      </c>
      <c r="B251" t="s">
        <v>2274</v>
      </c>
      <c r="C251" t="s">
        <v>2275</v>
      </c>
      <c r="D251" t="s">
        <v>800</v>
      </c>
      <c r="E251" t="s">
        <v>801</v>
      </c>
      <c r="F251" t="s">
        <v>2276</v>
      </c>
      <c r="G251" t="s">
        <v>15979</v>
      </c>
      <c r="H251" t="s">
        <v>15980</v>
      </c>
      <c r="I251" t="s">
        <v>16072</v>
      </c>
      <c r="J251" t="s">
        <v>23</v>
      </c>
      <c r="L251" s="8" t="s">
        <v>488</v>
      </c>
      <c r="M251" t="s">
        <v>2277</v>
      </c>
      <c r="N251" t="s">
        <v>2278</v>
      </c>
      <c r="O251" t="s">
        <v>2279</v>
      </c>
      <c r="P251" t="s">
        <v>2280</v>
      </c>
      <c r="Q251" t="s">
        <v>804</v>
      </c>
      <c r="R251" t="s">
        <v>805</v>
      </c>
      <c r="S251" t="s">
        <v>806</v>
      </c>
      <c r="T251" t="s">
        <v>496</v>
      </c>
      <c r="U251" s="5">
        <v>1691.44</v>
      </c>
      <c r="V251" s="5">
        <v>1689.41</v>
      </c>
      <c r="W251" s="5">
        <v>12.079611999999999</v>
      </c>
      <c r="X251" s="5">
        <v>109.179793</v>
      </c>
      <c r="Y251" s="5">
        <v>2.0299999999999998</v>
      </c>
      <c r="Z251" s="5">
        <v>12.074439</v>
      </c>
      <c r="AA251" s="5">
        <v>109.168081</v>
      </c>
      <c r="AB251" s="7">
        <f t="shared" si="19"/>
        <v>2.5341150000000003</v>
      </c>
      <c r="AC251" s="7">
        <f t="shared" si="20"/>
        <v>3.045E-3</v>
      </c>
      <c r="AD251" s="6" t="str">
        <f t="shared" si="21"/>
        <v>1.CAT Khánh Hòa</v>
      </c>
      <c r="AE251" s="6" t="str">
        <f t="shared" si="22"/>
        <v>Cam Lâm</v>
      </c>
      <c r="AG251">
        <f t="shared" si="23"/>
        <v>1.6894100000000001</v>
      </c>
      <c r="AH251">
        <f t="shared" si="24"/>
        <v>2.0299999999999997E-3</v>
      </c>
    </row>
    <row r="252" spans="1:34" x14ac:dyDescent="0.25">
      <c r="A252" t="s">
        <v>2281</v>
      </c>
      <c r="B252" t="s">
        <v>2282</v>
      </c>
      <c r="C252" t="s">
        <v>2283</v>
      </c>
      <c r="D252" t="s">
        <v>800</v>
      </c>
      <c r="E252" t="s">
        <v>801</v>
      </c>
      <c r="F252" t="s">
        <v>2284</v>
      </c>
      <c r="G252" t="s">
        <v>15979</v>
      </c>
      <c r="H252" t="s">
        <v>15980</v>
      </c>
      <c r="I252" t="s">
        <v>16073</v>
      </c>
      <c r="J252" t="s">
        <v>23</v>
      </c>
      <c r="L252" s="8" t="s">
        <v>488</v>
      </c>
      <c r="M252" t="s">
        <v>2285</v>
      </c>
      <c r="N252" t="s">
        <v>2286</v>
      </c>
      <c r="O252" t="s">
        <v>1119</v>
      </c>
      <c r="P252" t="s">
        <v>1120</v>
      </c>
      <c r="Q252" t="s">
        <v>804</v>
      </c>
      <c r="R252" t="s">
        <v>805</v>
      </c>
      <c r="S252" t="s">
        <v>806</v>
      </c>
      <c r="T252" t="s">
        <v>496</v>
      </c>
      <c r="U252" s="5">
        <v>240.1</v>
      </c>
      <c r="V252" s="5">
        <v>238.07</v>
      </c>
      <c r="W252" s="5">
        <v>12.09661</v>
      </c>
      <c r="X252" s="5">
        <v>109.188524</v>
      </c>
      <c r="Y252" s="5">
        <v>2.0299999999999998</v>
      </c>
      <c r="Z252" s="5">
        <v>12.074439</v>
      </c>
      <c r="AA252" s="5">
        <v>109.168081</v>
      </c>
      <c r="AB252" s="7">
        <f t="shared" si="19"/>
        <v>0.35710500000000001</v>
      </c>
      <c r="AC252" s="7">
        <f t="shared" si="20"/>
        <v>3.045E-3</v>
      </c>
      <c r="AD252" s="6" t="str">
        <f t="shared" si="21"/>
        <v>1.CAT Khánh Hòa</v>
      </c>
      <c r="AE252" s="6" t="str">
        <f t="shared" si="22"/>
        <v>Cam Lâm</v>
      </c>
      <c r="AG252">
        <f t="shared" si="23"/>
        <v>0.23807</v>
      </c>
      <c r="AH252">
        <f t="shared" si="24"/>
        <v>2.0299999999999997E-3</v>
      </c>
    </row>
    <row r="253" spans="1:34" x14ac:dyDescent="0.25">
      <c r="A253" t="s">
        <v>2287</v>
      </c>
      <c r="B253" t="s">
        <v>2288</v>
      </c>
      <c r="C253" t="s">
        <v>2289</v>
      </c>
      <c r="D253" t="s">
        <v>180</v>
      </c>
      <c r="E253" t="s">
        <v>181</v>
      </c>
      <c r="F253" t="s">
        <v>2290</v>
      </c>
      <c r="G253" t="s">
        <v>15979</v>
      </c>
      <c r="H253" t="s">
        <v>15980</v>
      </c>
      <c r="I253" t="s">
        <v>16074</v>
      </c>
      <c r="J253" t="s">
        <v>23</v>
      </c>
      <c r="L253" s="8" t="s">
        <v>185</v>
      </c>
      <c r="M253" t="s">
        <v>2291</v>
      </c>
      <c r="N253" t="s">
        <v>2292</v>
      </c>
      <c r="O253" t="s">
        <v>309</v>
      </c>
      <c r="P253" t="s">
        <v>310</v>
      </c>
      <c r="Q253" t="s">
        <v>187</v>
      </c>
      <c r="R253" t="s">
        <v>188</v>
      </c>
      <c r="S253" t="s">
        <v>189</v>
      </c>
      <c r="T253" t="s">
        <v>193</v>
      </c>
      <c r="U253" s="5">
        <v>1091.75</v>
      </c>
      <c r="V253" s="5">
        <v>1085.68</v>
      </c>
      <c r="W253" s="5">
        <v>12.278650000000001</v>
      </c>
      <c r="X253" s="5">
        <v>109.12745</v>
      </c>
      <c r="Y253" s="5">
        <v>6.07</v>
      </c>
      <c r="Z253" s="5">
        <v>12.276066999999999</v>
      </c>
      <c r="AA253" s="5">
        <v>109.120259</v>
      </c>
      <c r="AB253" s="7">
        <f t="shared" si="19"/>
        <v>1.62852</v>
      </c>
      <c r="AC253" s="7">
        <f t="shared" si="20"/>
        <v>9.1050000000000002E-3</v>
      </c>
      <c r="AD253" s="6" t="str">
        <f t="shared" si="21"/>
        <v>2.CA Diên Điền</v>
      </c>
      <c r="AE253" s="6" t="str">
        <f t="shared" si="22"/>
        <v>CA Bắc Nha Trang</v>
      </c>
      <c r="AG253">
        <f t="shared" si="23"/>
        <v>1.08568</v>
      </c>
      <c r="AH253">
        <f t="shared" si="24"/>
        <v>6.0699999999999999E-3</v>
      </c>
    </row>
    <row r="254" spans="1:34" x14ac:dyDescent="0.25">
      <c r="A254" t="s">
        <v>2293</v>
      </c>
      <c r="B254" t="s">
        <v>2294</v>
      </c>
      <c r="C254" t="s">
        <v>2295</v>
      </c>
      <c r="D254" t="s">
        <v>51</v>
      </c>
      <c r="E254" t="s">
        <v>52</v>
      </c>
      <c r="F254" t="s">
        <v>2296</v>
      </c>
      <c r="G254" t="s">
        <v>15979</v>
      </c>
      <c r="H254" t="s">
        <v>15980</v>
      </c>
      <c r="I254" t="s">
        <v>16075</v>
      </c>
      <c r="J254" t="s">
        <v>23</v>
      </c>
      <c r="L254" s="8" t="s">
        <v>67</v>
      </c>
      <c r="M254" t="s">
        <v>2297</v>
      </c>
      <c r="N254" t="s">
        <v>2298</v>
      </c>
      <c r="O254" t="s">
        <v>2299</v>
      </c>
      <c r="P254" t="s">
        <v>2300</v>
      </c>
      <c r="Q254" t="s">
        <v>69</v>
      </c>
      <c r="R254" t="s">
        <v>70</v>
      </c>
      <c r="S254" t="s">
        <v>71</v>
      </c>
      <c r="T254" t="s">
        <v>75</v>
      </c>
      <c r="U254" s="5">
        <v>2282.2199999999998</v>
      </c>
      <c r="V254" s="5">
        <v>2128.3200000000002</v>
      </c>
      <c r="W254" s="5">
        <v>12.215051000000001</v>
      </c>
      <c r="X254" s="5">
        <v>109.074147</v>
      </c>
      <c r="Y254" s="5">
        <v>153.9</v>
      </c>
      <c r="Z254" s="5">
        <v>12.220518999999999</v>
      </c>
      <c r="AA254" s="5">
        <v>109.08248</v>
      </c>
      <c r="AB254" s="7">
        <f t="shared" si="19"/>
        <v>3.1924800000000007</v>
      </c>
      <c r="AC254" s="7">
        <f t="shared" si="20"/>
        <v>0.23085000000000003</v>
      </c>
      <c r="AD254" s="6" t="str">
        <f t="shared" si="21"/>
        <v>2.CA Suối Hiệp</v>
      </c>
      <c r="AE254" s="6" t="str">
        <f t="shared" si="22"/>
        <v>CA Suối Dầu</v>
      </c>
      <c r="AG254">
        <f t="shared" si="23"/>
        <v>2.12832</v>
      </c>
      <c r="AH254">
        <f t="shared" si="24"/>
        <v>0.15390000000000001</v>
      </c>
    </row>
    <row r="255" spans="1:34" x14ac:dyDescent="0.25">
      <c r="A255" t="s">
        <v>2301</v>
      </c>
      <c r="B255" t="s">
        <v>1952</v>
      </c>
      <c r="C255" t="s">
        <v>1953</v>
      </c>
      <c r="D255" t="s">
        <v>1392</v>
      </c>
      <c r="E255" t="s">
        <v>1393</v>
      </c>
      <c r="F255" t="s">
        <v>2302</v>
      </c>
      <c r="G255" t="s">
        <v>15979</v>
      </c>
      <c r="H255" t="s">
        <v>15980</v>
      </c>
      <c r="I255" t="s">
        <v>16076</v>
      </c>
      <c r="J255" t="s">
        <v>23</v>
      </c>
      <c r="L255" s="8" t="s">
        <v>54</v>
      </c>
      <c r="M255" t="s">
        <v>1955</v>
      </c>
      <c r="N255" t="s">
        <v>1956</v>
      </c>
      <c r="O255" t="s">
        <v>1957</v>
      </c>
      <c r="P255" t="s">
        <v>1958</v>
      </c>
      <c r="Q255" t="s">
        <v>1843</v>
      </c>
      <c r="R255" t="s">
        <v>1906</v>
      </c>
      <c r="S255" t="s">
        <v>1907</v>
      </c>
      <c r="T255" t="s">
        <v>62</v>
      </c>
      <c r="U255" s="5">
        <v>698.36</v>
      </c>
      <c r="V255" s="5">
        <v>693.48</v>
      </c>
      <c r="W255" s="5">
        <v>12.252197000000001</v>
      </c>
      <c r="X255" s="5">
        <v>109.097283</v>
      </c>
      <c r="Y255" s="5">
        <v>4.88</v>
      </c>
      <c r="Z255" s="5">
        <v>12.256322000000001</v>
      </c>
      <c r="AA255" s="5">
        <v>109.094061</v>
      </c>
      <c r="AB255" s="7">
        <f t="shared" si="19"/>
        <v>1.0402199999999999</v>
      </c>
      <c r="AC255" s="7">
        <f t="shared" si="20"/>
        <v>7.3200000000000001E-3</v>
      </c>
      <c r="AD255" s="6" t="str">
        <f t="shared" si="21"/>
        <v>1.CA Diên Khánh</v>
      </c>
      <c r="AE255" s="6" t="str">
        <f t="shared" si="22"/>
        <v>CA Suối Hiệp</v>
      </c>
      <c r="AG255">
        <f t="shared" si="23"/>
        <v>0.69347999999999999</v>
      </c>
      <c r="AH255">
        <f t="shared" si="24"/>
        <v>4.8799999999999998E-3</v>
      </c>
    </row>
    <row r="256" spans="1:34" x14ac:dyDescent="0.25">
      <c r="A256" t="s">
        <v>2303</v>
      </c>
      <c r="B256" t="s">
        <v>2304</v>
      </c>
      <c r="C256" t="s">
        <v>2305</v>
      </c>
      <c r="D256" t="s">
        <v>1219</v>
      </c>
      <c r="E256" t="s">
        <v>1220</v>
      </c>
      <c r="F256" t="s">
        <v>2306</v>
      </c>
      <c r="G256" t="s">
        <v>15979</v>
      </c>
      <c r="H256" t="s">
        <v>15980</v>
      </c>
      <c r="I256" t="s">
        <v>16077</v>
      </c>
      <c r="J256" t="s">
        <v>23</v>
      </c>
      <c r="L256" s="8" t="s">
        <v>582</v>
      </c>
      <c r="M256" t="s">
        <v>2307</v>
      </c>
      <c r="N256" t="s">
        <v>2308</v>
      </c>
      <c r="O256" t="s">
        <v>1666</v>
      </c>
      <c r="P256" t="s">
        <v>1667</v>
      </c>
      <c r="Q256" t="s">
        <v>1226</v>
      </c>
      <c r="R256" t="s">
        <v>1227</v>
      </c>
      <c r="S256" t="s">
        <v>1228</v>
      </c>
      <c r="T256" t="s">
        <v>1229</v>
      </c>
      <c r="U256" s="5">
        <v>1168.3599999999999</v>
      </c>
      <c r="V256" s="5">
        <v>786.37</v>
      </c>
      <c r="W256" s="5">
        <v>12.499727999999999</v>
      </c>
      <c r="X256" s="5">
        <v>109.13266</v>
      </c>
      <c r="Y256" s="5">
        <v>381.98</v>
      </c>
      <c r="Z256" s="5">
        <v>12.49287</v>
      </c>
      <c r="AA256" s="5">
        <v>109.11403300000001</v>
      </c>
      <c r="AB256" s="7">
        <f t="shared" si="19"/>
        <v>1.1795550000000001</v>
      </c>
      <c r="AC256" s="7">
        <f t="shared" si="20"/>
        <v>0.57296999999999998</v>
      </c>
      <c r="AD256" s="6" t="str">
        <f t="shared" si="21"/>
        <v>3.CA Tân Định</v>
      </c>
      <c r="AE256" s="6" t="str">
        <f t="shared" si="22"/>
        <v>CA Ninh Hòa</v>
      </c>
      <c r="AG256">
        <f t="shared" si="23"/>
        <v>0.78637000000000001</v>
      </c>
      <c r="AH256">
        <f t="shared" si="24"/>
        <v>0.38198000000000004</v>
      </c>
    </row>
    <row r="257" spans="1:34" x14ac:dyDescent="0.25">
      <c r="A257" t="s">
        <v>2309</v>
      </c>
      <c r="B257" t="s">
        <v>2310</v>
      </c>
      <c r="C257" t="s">
        <v>2311</v>
      </c>
      <c r="D257" t="s">
        <v>1184</v>
      </c>
      <c r="E257" t="s">
        <v>1185</v>
      </c>
      <c r="F257" t="s">
        <v>2312</v>
      </c>
      <c r="G257" t="s">
        <v>15979</v>
      </c>
      <c r="H257" t="s">
        <v>15980</v>
      </c>
      <c r="I257" t="s">
        <v>16078</v>
      </c>
      <c r="J257" t="s">
        <v>23</v>
      </c>
      <c r="L257" s="8" t="s">
        <v>1587</v>
      </c>
      <c r="M257" t="s">
        <v>2313</v>
      </c>
      <c r="N257" t="s">
        <v>2314</v>
      </c>
      <c r="O257" t="s">
        <v>2315</v>
      </c>
      <c r="P257" t="s">
        <v>2316</v>
      </c>
      <c r="Q257" t="s">
        <v>1192</v>
      </c>
      <c r="R257" t="s">
        <v>1193</v>
      </c>
      <c r="S257" t="s">
        <v>1194</v>
      </c>
      <c r="T257" t="s">
        <v>1595</v>
      </c>
      <c r="U257" s="5">
        <v>1216.54</v>
      </c>
      <c r="V257" s="5">
        <v>1030.5899999999999</v>
      </c>
      <c r="W257" s="5">
        <v>12.455375</v>
      </c>
      <c r="X257" s="5">
        <v>109.121938</v>
      </c>
      <c r="Y257" s="5">
        <v>185.95</v>
      </c>
      <c r="Z257" s="5">
        <v>12.481263999999999</v>
      </c>
      <c r="AA257" s="5">
        <v>109.131214</v>
      </c>
      <c r="AB257" s="7">
        <f t="shared" si="19"/>
        <v>1.5458849999999997</v>
      </c>
      <c r="AC257" s="7">
        <f t="shared" si="20"/>
        <v>0.27892499999999998</v>
      </c>
      <c r="AD257" s="6" t="str">
        <f t="shared" si="21"/>
        <v>5.Vạn Ninh</v>
      </c>
      <c r="AE257" s="6" t="str">
        <f t="shared" si="22"/>
        <v>CAT Khánh Hòa</v>
      </c>
      <c r="AG257">
        <f t="shared" si="23"/>
        <v>1.0305899999999999</v>
      </c>
      <c r="AH257">
        <f t="shared" si="24"/>
        <v>0.18594999999999998</v>
      </c>
    </row>
    <row r="258" spans="1:34" x14ac:dyDescent="0.25">
      <c r="A258" t="s">
        <v>2317</v>
      </c>
      <c r="B258" t="s">
        <v>2318</v>
      </c>
      <c r="C258" t="s">
        <v>2319</v>
      </c>
      <c r="D258" t="s">
        <v>1219</v>
      </c>
      <c r="E258" t="s">
        <v>1220</v>
      </c>
      <c r="F258" t="s">
        <v>2320</v>
      </c>
      <c r="G258" t="s">
        <v>15979</v>
      </c>
      <c r="H258" t="s">
        <v>15980</v>
      </c>
      <c r="I258" t="s">
        <v>16079</v>
      </c>
      <c r="J258" t="s">
        <v>23</v>
      </c>
      <c r="L258" s="8" t="s">
        <v>582</v>
      </c>
      <c r="M258" t="s">
        <v>2321</v>
      </c>
      <c r="N258" t="s">
        <v>2322</v>
      </c>
      <c r="O258" t="s">
        <v>2016</v>
      </c>
      <c r="P258" t="s">
        <v>2017</v>
      </c>
      <c r="Q258" t="s">
        <v>1226</v>
      </c>
      <c r="R258" t="s">
        <v>1227</v>
      </c>
      <c r="S258" t="s">
        <v>1228</v>
      </c>
      <c r="T258" t="s">
        <v>1229</v>
      </c>
      <c r="U258" s="5">
        <v>1477.34</v>
      </c>
      <c r="V258" s="5">
        <v>1095.3499999999999</v>
      </c>
      <c r="W258" s="5">
        <v>12.494854</v>
      </c>
      <c r="X258" s="5">
        <v>109.132463</v>
      </c>
      <c r="Y258" s="5">
        <v>381.98</v>
      </c>
      <c r="Z258" s="5">
        <v>12.49287</v>
      </c>
      <c r="AA258" s="5">
        <v>109.11403300000001</v>
      </c>
      <c r="AB258" s="7">
        <f t="shared" si="19"/>
        <v>1.643025</v>
      </c>
      <c r="AC258" s="7">
        <f t="shared" si="20"/>
        <v>0.57296999999999998</v>
      </c>
      <c r="AD258" s="6" t="str">
        <f t="shared" si="21"/>
        <v>3.CA Tân Định</v>
      </c>
      <c r="AE258" s="6" t="str">
        <f t="shared" si="22"/>
        <v>CA Ninh Hòa</v>
      </c>
      <c r="AG258">
        <f t="shared" si="23"/>
        <v>1.0953499999999998</v>
      </c>
      <c r="AH258">
        <f t="shared" si="24"/>
        <v>0.38198000000000004</v>
      </c>
    </row>
    <row r="259" spans="1:34" x14ac:dyDescent="0.25">
      <c r="A259" t="s">
        <v>2323</v>
      </c>
      <c r="B259" t="s">
        <v>2324</v>
      </c>
      <c r="C259" t="s">
        <v>2325</v>
      </c>
      <c r="D259" t="s">
        <v>1480</v>
      </c>
      <c r="E259" t="s">
        <v>1481</v>
      </c>
      <c r="F259" t="s">
        <v>2326</v>
      </c>
      <c r="G259" t="s">
        <v>15979</v>
      </c>
      <c r="H259" t="s">
        <v>15980</v>
      </c>
      <c r="I259" t="s">
        <v>16080</v>
      </c>
      <c r="J259" t="s">
        <v>23</v>
      </c>
      <c r="L259" s="8" t="s">
        <v>1483</v>
      </c>
      <c r="M259" t="s">
        <v>2327</v>
      </c>
      <c r="N259" t="s">
        <v>2328</v>
      </c>
      <c r="O259" t="s">
        <v>2329</v>
      </c>
      <c r="P259" t="s">
        <v>2330</v>
      </c>
      <c r="Q259" t="s">
        <v>1488</v>
      </c>
      <c r="R259" t="s">
        <v>1489</v>
      </c>
      <c r="S259" t="s">
        <v>1490</v>
      </c>
      <c r="T259" t="s">
        <v>1491</v>
      </c>
      <c r="U259" s="5">
        <v>2074.1799999999998</v>
      </c>
      <c r="V259" s="5">
        <v>2069.92</v>
      </c>
      <c r="W259" s="5">
        <v>12.559901999999999</v>
      </c>
      <c r="X259" s="5">
        <v>109.21615</v>
      </c>
      <c r="Y259" s="5">
        <v>4.26</v>
      </c>
      <c r="Z259" s="5">
        <v>12.555453</v>
      </c>
      <c r="AA259" s="5">
        <v>109.217609</v>
      </c>
      <c r="AB259" s="7">
        <f t="shared" ref="AB259:AB322" si="25">V259*1.5/1000</f>
        <v>3.1048800000000001</v>
      </c>
      <c r="AC259" s="7">
        <f t="shared" ref="AC259:AC322" si="26">Y259*1.5/1000</f>
        <v>6.3899999999999998E-3</v>
      </c>
      <c r="AD259" s="6" t="str">
        <f t="shared" ref="AD259:AD322" si="27">TRIM(LEFT(L259,FIND("-",L259)-1))</f>
        <v>2.CA Đông Ninh Hòa</v>
      </c>
      <c r="AE259" s="6" t="str">
        <f t="shared" ref="AE259:AE322" si="28">TRIM(RIGHT(L259, LEN(L259) - FIND("-", L259)))</f>
        <v>CA Bắc Ninh Hòa</v>
      </c>
      <c r="AG259">
        <f t="shared" ref="AG259:AG322" si="29">V259/1000</f>
        <v>2.0699200000000002</v>
      </c>
      <c r="AH259">
        <f t="shared" ref="AH259:AH322" si="30">Y259/1000</f>
        <v>4.2599999999999999E-3</v>
      </c>
    </row>
    <row r="260" spans="1:34" x14ac:dyDescent="0.25">
      <c r="A260" t="s">
        <v>2331</v>
      </c>
      <c r="B260" t="s">
        <v>2332</v>
      </c>
      <c r="C260" t="s">
        <v>2333</v>
      </c>
      <c r="D260" t="s">
        <v>1219</v>
      </c>
      <c r="E260" t="s">
        <v>1220</v>
      </c>
      <c r="F260" t="s">
        <v>2334</v>
      </c>
      <c r="G260" t="s">
        <v>15979</v>
      </c>
      <c r="H260" t="s">
        <v>15980</v>
      </c>
      <c r="I260" t="s">
        <v>16081</v>
      </c>
      <c r="J260" t="s">
        <v>23</v>
      </c>
      <c r="L260" s="8" t="s">
        <v>582</v>
      </c>
      <c r="M260" t="s">
        <v>2335</v>
      </c>
      <c r="N260" t="s">
        <v>2336</v>
      </c>
      <c r="O260" t="s">
        <v>2337</v>
      </c>
      <c r="P260" t="s">
        <v>2338</v>
      </c>
      <c r="Q260" t="s">
        <v>1226</v>
      </c>
      <c r="R260" t="s">
        <v>1227</v>
      </c>
      <c r="S260" t="s">
        <v>1228</v>
      </c>
      <c r="T260" t="s">
        <v>1229</v>
      </c>
      <c r="U260" s="5">
        <v>681.08</v>
      </c>
      <c r="V260" s="5">
        <v>299.08999999999997</v>
      </c>
      <c r="W260" s="5">
        <v>12.494325</v>
      </c>
      <c r="X260" s="5">
        <v>109.128719</v>
      </c>
      <c r="Y260" s="5">
        <v>381.98</v>
      </c>
      <c r="Z260" s="5">
        <v>12.49287</v>
      </c>
      <c r="AA260" s="5">
        <v>109.11403300000001</v>
      </c>
      <c r="AB260" s="7">
        <f t="shared" si="25"/>
        <v>0.44863500000000001</v>
      </c>
      <c r="AC260" s="7">
        <f t="shared" si="26"/>
        <v>0.57296999999999998</v>
      </c>
      <c r="AD260" s="6" t="str">
        <f t="shared" si="27"/>
        <v>3.CA Tân Định</v>
      </c>
      <c r="AE260" s="6" t="str">
        <f t="shared" si="28"/>
        <v>CA Ninh Hòa</v>
      </c>
      <c r="AG260">
        <f t="shared" si="29"/>
        <v>0.29908999999999997</v>
      </c>
      <c r="AH260">
        <f t="shared" si="30"/>
        <v>0.38198000000000004</v>
      </c>
    </row>
    <row r="261" spans="1:34" x14ac:dyDescent="0.25">
      <c r="A261" t="s">
        <v>2339</v>
      </c>
      <c r="B261" t="s">
        <v>2340</v>
      </c>
      <c r="C261" t="s">
        <v>2341</v>
      </c>
      <c r="D261" t="s">
        <v>1184</v>
      </c>
      <c r="E261" t="s">
        <v>1185</v>
      </c>
      <c r="F261" t="s">
        <v>2342</v>
      </c>
      <c r="G261" t="s">
        <v>15979</v>
      </c>
      <c r="H261" t="s">
        <v>15980</v>
      </c>
      <c r="I261" t="s">
        <v>16082</v>
      </c>
      <c r="J261" t="s">
        <v>23</v>
      </c>
      <c r="L261" s="8" t="s">
        <v>1587</v>
      </c>
      <c r="M261" t="s">
        <v>2343</v>
      </c>
      <c r="N261" t="s">
        <v>2344</v>
      </c>
      <c r="O261" t="s">
        <v>2345</v>
      </c>
      <c r="P261" t="s">
        <v>2346</v>
      </c>
      <c r="Q261" t="s">
        <v>1192</v>
      </c>
      <c r="R261" t="s">
        <v>1193</v>
      </c>
      <c r="S261" t="s">
        <v>1194</v>
      </c>
      <c r="T261" t="s">
        <v>1595</v>
      </c>
      <c r="U261" s="5">
        <v>1889.42</v>
      </c>
      <c r="V261" s="5">
        <v>1703.47</v>
      </c>
      <c r="W261" s="5">
        <v>12.471017</v>
      </c>
      <c r="X261" s="5">
        <v>109.12625300000001</v>
      </c>
      <c r="Y261" s="5">
        <v>185.95</v>
      </c>
      <c r="Z261" s="5">
        <v>12.481263999999999</v>
      </c>
      <c r="AA261" s="5">
        <v>109.131214</v>
      </c>
      <c r="AB261" s="7">
        <f t="shared" si="25"/>
        <v>2.5552049999999999</v>
      </c>
      <c r="AC261" s="7">
        <f t="shared" si="26"/>
        <v>0.27892499999999998</v>
      </c>
      <c r="AD261" s="6" t="str">
        <f t="shared" si="27"/>
        <v>5.Vạn Ninh</v>
      </c>
      <c r="AE261" s="6" t="str">
        <f t="shared" si="28"/>
        <v>CAT Khánh Hòa</v>
      </c>
      <c r="AG261">
        <f t="shared" si="29"/>
        <v>1.70347</v>
      </c>
      <c r="AH261">
        <f t="shared" si="30"/>
        <v>0.18594999999999998</v>
      </c>
    </row>
    <row r="262" spans="1:34" x14ac:dyDescent="0.25">
      <c r="A262" t="s">
        <v>2347</v>
      </c>
      <c r="B262" t="s">
        <v>2348</v>
      </c>
      <c r="C262" t="s">
        <v>2349</v>
      </c>
      <c r="D262" t="s">
        <v>1649</v>
      </c>
      <c r="E262" t="s">
        <v>1650</v>
      </c>
      <c r="F262" t="s">
        <v>2350</v>
      </c>
      <c r="G262" t="s">
        <v>15979</v>
      </c>
      <c r="H262" t="s">
        <v>15980</v>
      </c>
      <c r="I262" t="s">
        <v>16083</v>
      </c>
      <c r="J262" t="s">
        <v>23</v>
      </c>
      <c r="L262" s="8" t="s">
        <v>1587</v>
      </c>
      <c r="M262" t="s">
        <v>2351</v>
      </c>
      <c r="N262" t="s">
        <v>2352</v>
      </c>
      <c r="O262" t="s">
        <v>2353</v>
      </c>
      <c r="P262" t="s">
        <v>2354</v>
      </c>
      <c r="Q262" t="s">
        <v>1653</v>
      </c>
      <c r="R262" t="s">
        <v>1654</v>
      </c>
      <c r="S262" t="s">
        <v>1655</v>
      </c>
      <c r="T262" t="s">
        <v>1595</v>
      </c>
      <c r="U262" s="5">
        <v>138.58000000000001</v>
      </c>
      <c r="V262" s="5">
        <v>21.35</v>
      </c>
      <c r="W262" s="5">
        <v>12.364604999999999</v>
      </c>
      <c r="X262" s="5">
        <v>109.194498</v>
      </c>
      <c r="Y262" s="5">
        <v>117.23</v>
      </c>
      <c r="Z262" s="5">
        <v>12.338984999999999</v>
      </c>
      <c r="AA262" s="5">
        <v>109.19412199999999</v>
      </c>
      <c r="AB262" s="7">
        <f t="shared" si="25"/>
        <v>3.2025000000000005E-2</v>
      </c>
      <c r="AC262" s="7">
        <f t="shared" si="26"/>
        <v>0.175845</v>
      </c>
      <c r="AD262" s="6" t="str">
        <f t="shared" si="27"/>
        <v>5.Vạn Ninh</v>
      </c>
      <c r="AE262" s="6" t="str">
        <f t="shared" si="28"/>
        <v>CAT Khánh Hòa</v>
      </c>
      <c r="AG262">
        <f t="shared" si="29"/>
        <v>2.1350000000000001E-2</v>
      </c>
      <c r="AH262">
        <f t="shared" si="30"/>
        <v>0.11723</v>
      </c>
    </row>
    <row r="263" spans="1:34" x14ac:dyDescent="0.25">
      <c r="A263" t="s">
        <v>2355</v>
      </c>
      <c r="B263" t="s">
        <v>2356</v>
      </c>
      <c r="C263" t="s">
        <v>2357</v>
      </c>
      <c r="D263" t="s">
        <v>1649</v>
      </c>
      <c r="E263" t="s">
        <v>1650</v>
      </c>
      <c r="F263" t="s">
        <v>2358</v>
      </c>
      <c r="G263" t="s">
        <v>15979</v>
      </c>
      <c r="H263" t="s">
        <v>15980</v>
      </c>
      <c r="I263" t="s">
        <v>16084</v>
      </c>
      <c r="J263" t="s">
        <v>23</v>
      </c>
      <c r="L263" s="8" t="s">
        <v>1587</v>
      </c>
      <c r="M263" t="s">
        <v>2359</v>
      </c>
      <c r="N263" t="s">
        <v>2360</v>
      </c>
      <c r="O263" t="s">
        <v>2361</v>
      </c>
      <c r="P263" t="s">
        <v>2362</v>
      </c>
      <c r="Q263" t="s">
        <v>1653</v>
      </c>
      <c r="R263" t="s">
        <v>1654</v>
      </c>
      <c r="S263" t="s">
        <v>1655</v>
      </c>
      <c r="T263" t="s">
        <v>1595</v>
      </c>
      <c r="U263" s="5">
        <v>251.61</v>
      </c>
      <c r="V263" s="5">
        <v>134.38</v>
      </c>
      <c r="W263" s="5">
        <v>12.384585</v>
      </c>
      <c r="X263" s="5">
        <v>109.194734</v>
      </c>
      <c r="Y263" s="5">
        <v>117.23</v>
      </c>
      <c r="Z263" s="5">
        <v>12.338984999999999</v>
      </c>
      <c r="AA263" s="5">
        <v>109.19412199999999</v>
      </c>
      <c r="AB263" s="7">
        <f t="shared" si="25"/>
        <v>0.20157</v>
      </c>
      <c r="AC263" s="7">
        <f t="shared" si="26"/>
        <v>0.175845</v>
      </c>
      <c r="AD263" s="6" t="str">
        <f t="shared" si="27"/>
        <v>5.Vạn Ninh</v>
      </c>
      <c r="AE263" s="6" t="str">
        <f t="shared" si="28"/>
        <v>CAT Khánh Hòa</v>
      </c>
      <c r="AG263">
        <f t="shared" si="29"/>
        <v>0.13438</v>
      </c>
      <c r="AH263">
        <f t="shared" si="30"/>
        <v>0.11723</v>
      </c>
    </row>
    <row r="264" spans="1:34" x14ac:dyDescent="0.25">
      <c r="A264" t="s">
        <v>2363</v>
      </c>
      <c r="B264" t="s">
        <v>2364</v>
      </c>
      <c r="C264" t="s">
        <v>2365</v>
      </c>
      <c r="D264" t="s">
        <v>562</v>
      </c>
      <c r="E264" t="s">
        <v>563</v>
      </c>
      <c r="F264" t="s">
        <v>2366</v>
      </c>
      <c r="G264" t="s">
        <v>15979</v>
      </c>
      <c r="H264" t="s">
        <v>15980</v>
      </c>
      <c r="I264" t="s">
        <v>16085</v>
      </c>
      <c r="J264" t="s">
        <v>23</v>
      </c>
      <c r="L264" s="8" t="s">
        <v>1200</v>
      </c>
      <c r="M264" t="s">
        <v>2367</v>
      </c>
      <c r="N264" t="s">
        <v>2368</v>
      </c>
      <c r="O264" t="s">
        <v>2369</v>
      </c>
      <c r="P264" t="s">
        <v>2370</v>
      </c>
      <c r="Q264" t="s">
        <v>1205</v>
      </c>
      <c r="R264" t="s">
        <v>1206</v>
      </c>
      <c r="S264" t="s">
        <v>1207</v>
      </c>
      <c r="T264" t="s">
        <v>1208</v>
      </c>
      <c r="U264" s="5">
        <v>93.36</v>
      </c>
      <c r="V264" s="5">
        <v>88.78</v>
      </c>
      <c r="W264" s="5">
        <v>12.540544000000001</v>
      </c>
      <c r="X264" s="5">
        <v>109.009872</v>
      </c>
      <c r="Y264" s="5">
        <v>4.59</v>
      </c>
      <c r="Z264" s="5">
        <v>12.540865</v>
      </c>
      <c r="AA264" s="5">
        <v>109.00747800000001</v>
      </c>
      <c r="AB264" s="7">
        <f t="shared" si="25"/>
        <v>0.13317000000000001</v>
      </c>
      <c r="AC264" s="7">
        <f t="shared" si="26"/>
        <v>6.8849999999999996E-3</v>
      </c>
      <c r="AD264" s="6" t="str">
        <f t="shared" si="27"/>
        <v>2.CA Nam Ninh Hòa</v>
      </c>
      <c r="AE264" s="6" t="str">
        <f t="shared" si="28"/>
        <v>CA Tây Ninh Hòa</v>
      </c>
      <c r="AG264">
        <f t="shared" si="29"/>
        <v>8.8779999999999998E-2</v>
      </c>
      <c r="AH264">
        <f t="shared" si="30"/>
        <v>4.5899999999999995E-3</v>
      </c>
    </row>
    <row r="265" spans="1:34" x14ac:dyDescent="0.25">
      <c r="A265" t="s">
        <v>2371</v>
      </c>
      <c r="B265" t="s">
        <v>2372</v>
      </c>
      <c r="C265" t="s">
        <v>2373</v>
      </c>
      <c r="D265" t="s">
        <v>562</v>
      </c>
      <c r="E265" t="s">
        <v>563</v>
      </c>
      <c r="F265" t="s">
        <v>2374</v>
      </c>
      <c r="G265" t="s">
        <v>15979</v>
      </c>
      <c r="H265" t="s">
        <v>15980</v>
      </c>
      <c r="I265" t="s">
        <v>16086</v>
      </c>
      <c r="J265" t="s">
        <v>23</v>
      </c>
      <c r="L265" s="8" t="s">
        <v>1200</v>
      </c>
      <c r="M265" t="s">
        <v>2375</v>
      </c>
      <c r="N265" t="s">
        <v>2376</v>
      </c>
      <c r="O265" t="s">
        <v>2377</v>
      </c>
      <c r="P265" t="s">
        <v>2378</v>
      </c>
      <c r="Q265" t="s">
        <v>1205</v>
      </c>
      <c r="R265" t="s">
        <v>1206</v>
      </c>
      <c r="S265" t="s">
        <v>1207</v>
      </c>
      <c r="T265" t="s">
        <v>1208</v>
      </c>
      <c r="U265" s="5">
        <v>3042.21</v>
      </c>
      <c r="V265" s="5">
        <v>3037.62</v>
      </c>
      <c r="W265" s="5">
        <v>12.519499</v>
      </c>
      <c r="X265" s="5">
        <v>109.042643</v>
      </c>
      <c r="Y265" s="5">
        <v>4.59</v>
      </c>
      <c r="Z265" s="5">
        <v>12.540865</v>
      </c>
      <c r="AA265" s="5">
        <v>109.00747800000001</v>
      </c>
      <c r="AB265" s="7">
        <f t="shared" si="25"/>
        <v>4.5564300000000006</v>
      </c>
      <c r="AC265" s="7">
        <f t="shared" si="26"/>
        <v>6.8849999999999996E-3</v>
      </c>
      <c r="AD265" s="6" t="str">
        <f t="shared" si="27"/>
        <v>2.CA Nam Ninh Hòa</v>
      </c>
      <c r="AE265" s="6" t="str">
        <f t="shared" si="28"/>
        <v>CA Tây Ninh Hòa</v>
      </c>
      <c r="AG265">
        <f t="shared" si="29"/>
        <v>3.03762</v>
      </c>
      <c r="AH265">
        <f t="shared" si="30"/>
        <v>4.5899999999999995E-3</v>
      </c>
    </row>
    <row r="266" spans="1:34" x14ac:dyDescent="0.25">
      <c r="A266" t="s">
        <v>2379</v>
      </c>
      <c r="B266" t="s">
        <v>2380</v>
      </c>
      <c r="C266" t="s">
        <v>2381</v>
      </c>
      <c r="D266" t="s">
        <v>776</v>
      </c>
      <c r="E266" t="s">
        <v>777</v>
      </c>
      <c r="F266" t="s">
        <v>2382</v>
      </c>
      <c r="G266" t="s">
        <v>15979</v>
      </c>
      <c r="H266" t="s">
        <v>15980</v>
      </c>
      <c r="I266" t="s">
        <v>16087</v>
      </c>
      <c r="J266" t="s">
        <v>23</v>
      </c>
      <c r="L266" s="8" t="s">
        <v>1032</v>
      </c>
      <c r="M266" t="s">
        <v>2383</v>
      </c>
      <c r="N266" t="s">
        <v>2384</v>
      </c>
      <c r="O266" t="s">
        <v>1076</v>
      </c>
      <c r="P266" t="s">
        <v>1077</v>
      </c>
      <c r="Q266" t="s">
        <v>1037</v>
      </c>
      <c r="R266" t="s">
        <v>1038</v>
      </c>
      <c r="S266" t="s">
        <v>1039</v>
      </c>
      <c r="T266" t="s">
        <v>1040</v>
      </c>
      <c r="U266" s="5">
        <v>1311.74</v>
      </c>
      <c r="V266" s="5">
        <v>1308.17</v>
      </c>
      <c r="W266" s="5">
        <v>12.70477</v>
      </c>
      <c r="X266" s="5">
        <v>109.2372</v>
      </c>
      <c r="Y266" s="5">
        <v>3.57</v>
      </c>
      <c r="Z266" s="5">
        <v>12.690783</v>
      </c>
      <c r="AA266" s="5">
        <v>109.22087000000001</v>
      </c>
      <c r="AB266" s="7">
        <f t="shared" si="25"/>
        <v>1.9622550000000001</v>
      </c>
      <c r="AC266" s="7">
        <f t="shared" si="26"/>
        <v>5.3549999999999995E-3</v>
      </c>
      <c r="AD266" s="6" t="str">
        <f t="shared" si="27"/>
        <v>1.CA Vạn Ninh</v>
      </c>
      <c r="AE266" s="6" t="str">
        <f t="shared" si="28"/>
        <v>CA Vạn Thắng_Cột trung thế</v>
      </c>
      <c r="AG266">
        <f t="shared" si="29"/>
        <v>1.3081700000000001</v>
      </c>
      <c r="AH266">
        <f t="shared" si="30"/>
        <v>3.5699999999999998E-3</v>
      </c>
    </row>
    <row r="267" spans="1:34" x14ac:dyDescent="0.25">
      <c r="A267" t="s">
        <v>2385</v>
      </c>
      <c r="B267" t="s">
        <v>1677</v>
      </c>
      <c r="C267" t="s">
        <v>2386</v>
      </c>
      <c r="D267" t="s">
        <v>1677</v>
      </c>
      <c r="E267" t="s">
        <v>1678</v>
      </c>
      <c r="F267" t="s">
        <v>2387</v>
      </c>
      <c r="G267" t="s">
        <v>15979</v>
      </c>
      <c r="H267" t="s">
        <v>15980</v>
      </c>
      <c r="I267" t="s">
        <v>16088</v>
      </c>
      <c r="J267" t="s">
        <v>23</v>
      </c>
      <c r="L267" s="8" t="s">
        <v>1802</v>
      </c>
      <c r="M267" t="s">
        <v>2388</v>
      </c>
      <c r="N267" t="s">
        <v>2389</v>
      </c>
      <c r="O267" t="s">
        <v>2390</v>
      </c>
      <c r="P267" t="s">
        <v>2391</v>
      </c>
      <c r="Q267" t="s">
        <v>1807</v>
      </c>
      <c r="R267" t="s">
        <v>1808</v>
      </c>
      <c r="S267" t="s">
        <v>1809</v>
      </c>
      <c r="T267" t="s">
        <v>1810</v>
      </c>
      <c r="U267" s="5">
        <v>365.75</v>
      </c>
      <c r="V267" s="5">
        <v>365.4</v>
      </c>
      <c r="W267" s="5">
        <v>12.778753</v>
      </c>
      <c r="X267" s="5">
        <v>109.313261</v>
      </c>
      <c r="Y267" s="5">
        <v>0.35</v>
      </c>
      <c r="Z267" s="5">
        <v>12.77881</v>
      </c>
      <c r="AA267" s="5">
        <v>109.312703</v>
      </c>
      <c r="AB267" s="7">
        <f t="shared" si="25"/>
        <v>0.54809999999999992</v>
      </c>
      <c r="AC267" s="7">
        <f t="shared" si="26"/>
        <v>5.2499999999999986E-4</v>
      </c>
      <c r="AD267" s="6" t="str">
        <f t="shared" si="27"/>
        <v>2.CA Vạn Thắng</v>
      </c>
      <c r="AE267" s="6" t="str">
        <f t="shared" si="28"/>
        <v>CA Tu Bông_Cột trung thế</v>
      </c>
      <c r="AG267">
        <f t="shared" si="29"/>
        <v>0.3654</v>
      </c>
      <c r="AH267">
        <f t="shared" si="30"/>
        <v>3.5E-4</v>
      </c>
    </row>
    <row r="268" spans="1:34" x14ac:dyDescent="0.25">
      <c r="A268" t="s">
        <v>2392</v>
      </c>
      <c r="B268" t="s">
        <v>2393</v>
      </c>
      <c r="C268" t="s">
        <v>2394</v>
      </c>
      <c r="D268" t="s">
        <v>1677</v>
      </c>
      <c r="E268" t="s">
        <v>1678</v>
      </c>
      <c r="F268" t="s">
        <v>2395</v>
      </c>
      <c r="G268" t="s">
        <v>15979</v>
      </c>
      <c r="H268" t="s">
        <v>15980</v>
      </c>
      <c r="I268" t="s">
        <v>16089</v>
      </c>
      <c r="J268" t="s">
        <v>23</v>
      </c>
      <c r="L268" s="8" t="s">
        <v>1682</v>
      </c>
      <c r="M268" t="s">
        <v>2396</v>
      </c>
      <c r="N268" t="s">
        <v>2397</v>
      </c>
      <c r="O268" t="s">
        <v>2398</v>
      </c>
      <c r="P268" t="s">
        <v>2399</v>
      </c>
      <c r="Q268" t="s">
        <v>1684</v>
      </c>
      <c r="R268" t="s">
        <v>1685</v>
      </c>
      <c r="S268" t="s">
        <v>1686</v>
      </c>
      <c r="T268" t="s">
        <v>1690</v>
      </c>
      <c r="U268" s="5">
        <v>177.99</v>
      </c>
      <c r="V268" s="5">
        <v>175.91</v>
      </c>
      <c r="W268" s="5">
        <v>12.784682</v>
      </c>
      <c r="X268" s="5">
        <v>109.30530400000001</v>
      </c>
      <c r="Y268" s="5">
        <v>2.08</v>
      </c>
      <c r="Z268" s="5">
        <v>12.778815</v>
      </c>
      <c r="AA268" s="5">
        <v>109.312718</v>
      </c>
      <c r="AB268" s="7">
        <f t="shared" si="25"/>
        <v>0.26386500000000002</v>
      </c>
      <c r="AC268" s="7">
        <f t="shared" si="26"/>
        <v>3.1199999999999999E-3</v>
      </c>
      <c r="AD268" s="6" t="str">
        <f t="shared" si="27"/>
        <v>3.CA Tu Bông</v>
      </c>
      <c r="AE268" s="6" t="str">
        <f t="shared" si="28"/>
        <v>CA Đại Lãnh_Cột trung thế</v>
      </c>
      <c r="AG268">
        <f t="shared" si="29"/>
        <v>0.17590999999999998</v>
      </c>
      <c r="AH268">
        <f t="shared" si="30"/>
        <v>2.0800000000000003E-3</v>
      </c>
    </row>
    <row r="269" spans="1:34" x14ac:dyDescent="0.25">
      <c r="A269" t="s">
        <v>2400</v>
      </c>
      <c r="B269" t="s">
        <v>2401</v>
      </c>
      <c r="C269" t="s">
        <v>2402</v>
      </c>
      <c r="D269" t="s">
        <v>277</v>
      </c>
      <c r="E269" t="s">
        <v>278</v>
      </c>
      <c r="F269" t="s">
        <v>2403</v>
      </c>
      <c r="G269" t="s">
        <v>15979</v>
      </c>
      <c r="H269" t="s">
        <v>15980</v>
      </c>
      <c r="I269" t="s">
        <v>16090</v>
      </c>
      <c r="J269" t="s">
        <v>23</v>
      </c>
      <c r="L269" s="8" t="s">
        <v>659</v>
      </c>
      <c r="M269" t="s">
        <v>2404</v>
      </c>
      <c r="N269" t="s">
        <v>2405</v>
      </c>
      <c r="O269" t="s">
        <v>2406</v>
      </c>
      <c r="P269" t="s">
        <v>2407</v>
      </c>
      <c r="Q269" t="s">
        <v>661</v>
      </c>
      <c r="R269" t="s">
        <v>662</v>
      </c>
      <c r="S269" t="s">
        <v>663</v>
      </c>
      <c r="T269" t="s">
        <v>667</v>
      </c>
      <c r="U269" s="5">
        <v>245.89</v>
      </c>
      <c r="V269" s="5">
        <v>36.39</v>
      </c>
      <c r="W269" s="5">
        <v>12.237921999999999</v>
      </c>
      <c r="X269" s="5">
        <v>109.19082400000001</v>
      </c>
      <c r="Y269" s="5">
        <v>209.5</v>
      </c>
      <c r="Z269" s="5">
        <v>12.240531000000001</v>
      </c>
      <c r="AA269" s="5">
        <v>109.187854</v>
      </c>
      <c r="AB269" s="7">
        <f t="shared" si="25"/>
        <v>5.4585000000000002E-2</v>
      </c>
      <c r="AC269" s="7">
        <f t="shared" si="26"/>
        <v>0.31424999999999997</v>
      </c>
      <c r="AD269" s="6" t="str">
        <f t="shared" si="27"/>
        <v>6.PC08 csc</v>
      </c>
      <c r="AE269" s="6" t="str">
        <f t="shared" si="28"/>
        <v>CAT Khánh Hòa_Cột trung thế</v>
      </c>
      <c r="AG269">
        <f t="shared" si="29"/>
        <v>3.6389999999999999E-2</v>
      </c>
      <c r="AH269">
        <f t="shared" si="30"/>
        <v>0.20949999999999999</v>
      </c>
    </row>
    <row r="270" spans="1:34" x14ac:dyDescent="0.25">
      <c r="A270" t="s">
        <v>2408</v>
      </c>
      <c r="B270" t="s">
        <v>2409</v>
      </c>
      <c r="C270" t="s">
        <v>2410</v>
      </c>
      <c r="D270" t="s">
        <v>128</v>
      </c>
      <c r="E270" t="s">
        <v>129</v>
      </c>
      <c r="F270" t="s">
        <v>2411</v>
      </c>
      <c r="G270" t="s">
        <v>15979</v>
      </c>
      <c r="H270" t="s">
        <v>15980</v>
      </c>
      <c r="I270" t="s">
        <v>16091</v>
      </c>
      <c r="J270" t="s">
        <v>23</v>
      </c>
      <c r="L270" s="8" t="s">
        <v>681</v>
      </c>
      <c r="M270" t="s">
        <v>2412</v>
      </c>
      <c r="N270" t="s">
        <v>2413</v>
      </c>
      <c r="O270" t="s">
        <v>2414</v>
      </c>
      <c r="P270" t="s">
        <v>2415</v>
      </c>
      <c r="Q270" t="s">
        <v>2416</v>
      </c>
      <c r="R270" t="s">
        <v>2417</v>
      </c>
      <c r="S270" t="s">
        <v>2418</v>
      </c>
      <c r="T270" t="s">
        <v>2419</v>
      </c>
      <c r="U270" s="5">
        <v>929.4</v>
      </c>
      <c r="V270" s="5">
        <v>12.43</v>
      </c>
      <c r="W270" s="5">
        <v>12.235884</v>
      </c>
      <c r="X270" s="5">
        <v>109.181016</v>
      </c>
      <c r="Y270" s="5">
        <v>916.97</v>
      </c>
      <c r="Z270" s="5">
        <v>12.246574000000001</v>
      </c>
      <c r="AA270" s="5">
        <v>109.18162100000001</v>
      </c>
      <c r="AB270" s="7">
        <f t="shared" si="25"/>
        <v>1.8644999999999998E-2</v>
      </c>
      <c r="AC270" s="7">
        <f t="shared" si="26"/>
        <v>1.3754549999999999</v>
      </c>
      <c r="AD270" s="6" t="str">
        <f t="shared" si="27"/>
        <v>2.CA Nam Nha Trang</v>
      </c>
      <c r="AE270" s="6" t="str">
        <f t="shared" si="28"/>
        <v>CA Nha Trang</v>
      </c>
      <c r="AG270">
        <f t="shared" si="29"/>
        <v>1.243E-2</v>
      </c>
      <c r="AH270">
        <f t="shared" si="30"/>
        <v>0.91697000000000006</v>
      </c>
    </row>
    <row r="271" spans="1:34" x14ac:dyDescent="0.25">
      <c r="A271" t="s">
        <v>2420</v>
      </c>
      <c r="B271" t="s">
        <v>2421</v>
      </c>
      <c r="C271" t="s">
        <v>2422</v>
      </c>
      <c r="D271" t="s">
        <v>18</v>
      </c>
      <c r="E271" t="s">
        <v>19</v>
      </c>
      <c r="F271" t="s">
        <v>2423</v>
      </c>
      <c r="G271" t="s">
        <v>15979</v>
      </c>
      <c r="H271" t="s">
        <v>15980</v>
      </c>
      <c r="I271" t="s">
        <v>16092</v>
      </c>
      <c r="J271" t="s">
        <v>23</v>
      </c>
      <c r="L271" s="8" t="s">
        <v>24</v>
      </c>
      <c r="M271" t="s">
        <v>2424</v>
      </c>
      <c r="N271" t="s">
        <v>2425</v>
      </c>
      <c r="O271" t="s">
        <v>2426</v>
      </c>
      <c r="P271" t="s">
        <v>2427</v>
      </c>
      <c r="Q271" t="s">
        <v>26</v>
      </c>
      <c r="R271" t="s">
        <v>27</v>
      </c>
      <c r="S271" t="s">
        <v>28</v>
      </c>
      <c r="T271" t="s">
        <v>32</v>
      </c>
      <c r="U271" s="5">
        <v>254.69</v>
      </c>
      <c r="V271" s="5">
        <v>94.02</v>
      </c>
      <c r="W271" s="5">
        <v>12.251268</v>
      </c>
      <c r="X271" s="5">
        <v>109.189643</v>
      </c>
      <c r="Y271" s="5">
        <v>160.66999999999999</v>
      </c>
      <c r="Z271" s="5">
        <v>12.249511999999999</v>
      </c>
      <c r="AA271" s="5">
        <v>109.185703</v>
      </c>
      <c r="AB271" s="7">
        <f t="shared" si="25"/>
        <v>0.14102999999999999</v>
      </c>
      <c r="AC271" s="7">
        <f t="shared" si="26"/>
        <v>0.241005</v>
      </c>
      <c r="AD271" s="6" t="str">
        <f t="shared" si="27"/>
        <v>5.PA06 cs1</v>
      </c>
      <c r="AE271" s="6" t="str">
        <f t="shared" si="28"/>
        <v>PC08 csc_Cột trung thế</v>
      </c>
      <c r="AG271">
        <f t="shared" si="29"/>
        <v>9.4019999999999992E-2</v>
      </c>
      <c r="AH271">
        <f t="shared" si="30"/>
        <v>0.16066999999999998</v>
      </c>
    </row>
    <row r="272" spans="1:34" x14ac:dyDescent="0.25">
      <c r="A272" t="s">
        <v>2428</v>
      </c>
      <c r="B272" t="s">
        <v>2429</v>
      </c>
      <c r="C272" t="s">
        <v>2430</v>
      </c>
      <c r="D272" t="s">
        <v>391</v>
      </c>
      <c r="E272" t="s">
        <v>392</v>
      </c>
      <c r="F272" t="s">
        <v>2431</v>
      </c>
      <c r="G272" t="s">
        <v>15979</v>
      </c>
      <c r="H272" t="s">
        <v>15980</v>
      </c>
      <c r="I272" t="s">
        <v>16093</v>
      </c>
      <c r="J272" t="s">
        <v>23</v>
      </c>
      <c r="L272" s="8" t="s">
        <v>1604</v>
      </c>
      <c r="M272" t="s">
        <v>2432</v>
      </c>
      <c r="N272" t="s">
        <v>2433</v>
      </c>
      <c r="O272" t="s">
        <v>2434</v>
      </c>
      <c r="P272" t="s">
        <v>2435</v>
      </c>
      <c r="Q272" t="s">
        <v>1606</v>
      </c>
      <c r="R272" t="s">
        <v>1607</v>
      </c>
      <c r="S272" t="s">
        <v>1608</v>
      </c>
      <c r="T272" t="s">
        <v>1612</v>
      </c>
      <c r="U272" s="5">
        <v>814.18</v>
      </c>
      <c r="V272" s="5">
        <v>65.98</v>
      </c>
      <c r="W272" s="5">
        <v>12.238942</v>
      </c>
      <c r="X272" s="5">
        <v>109.008505</v>
      </c>
      <c r="Y272" s="5">
        <v>748.2</v>
      </c>
      <c r="Z272" s="5">
        <v>12.262793</v>
      </c>
      <c r="AA272" s="5">
        <v>109.03595900000001</v>
      </c>
      <c r="AB272" s="7">
        <f t="shared" si="25"/>
        <v>9.8970000000000002E-2</v>
      </c>
      <c r="AC272" s="7">
        <f t="shared" si="26"/>
        <v>1.1223000000000001</v>
      </c>
      <c r="AD272" s="6" t="str">
        <f t="shared" si="27"/>
        <v>4.CA Diên Thọ</v>
      </c>
      <c r="AE272" s="6" t="str">
        <f t="shared" si="28"/>
        <v>CA Diên Khánh</v>
      </c>
      <c r="AG272">
        <f t="shared" si="29"/>
        <v>6.5980000000000011E-2</v>
      </c>
      <c r="AH272">
        <f t="shared" si="30"/>
        <v>0.74820000000000009</v>
      </c>
    </row>
    <row r="273" spans="1:34" x14ac:dyDescent="0.25">
      <c r="A273" t="s">
        <v>2436</v>
      </c>
      <c r="B273" t="s">
        <v>2437</v>
      </c>
      <c r="C273" t="s">
        <v>2438</v>
      </c>
      <c r="D273" t="s">
        <v>577</v>
      </c>
      <c r="E273" t="s">
        <v>578</v>
      </c>
      <c r="F273" t="s">
        <v>2439</v>
      </c>
      <c r="G273" t="s">
        <v>15979</v>
      </c>
      <c r="H273" t="s">
        <v>15980</v>
      </c>
      <c r="I273" t="s">
        <v>16094</v>
      </c>
      <c r="J273" t="s">
        <v>23</v>
      </c>
      <c r="L273" s="8" t="s">
        <v>1838</v>
      </c>
      <c r="M273" t="s">
        <v>2440</v>
      </c>
      <c r="N273" t="s">
        <v>2441</v>
      </c>
      <c r="O273" t="s">
        <v>2442</v>
      </c>
      <c r="P273" t="s">
        <v>2443</v>
      </c>
      <c r="Q273" t="s">
        <v>1843</v>
      </c>
      <c r="R273" t="s">
        <v>1844</v>
      </c>
      <c r="S273" t="s">
        <v>1845</v>
      </c>
      <c r="T273" t="s">
        <v>1846</v>
      </c>
      <c r="U273" s="5">
        <v>1820.48</v>
      </c>
      <c r="V273" s="5">
        <v>1815.59</v>
      </c>
      <c r="W273" s="5">
        <v>12.476967</v>
      </c>
      <c r="X273" s="5">
        <v>109.12887000000001</v>
      </c>
      <c r="Y273" s="5">
        <v>4.88</v>
      </c>
      <c r="Z273" s="5">
        <v>12.509729999999999</v>
      </c>
      <c r="AA273" s="5">
        <v>109.137455</v>
      </c>
      <c r="AB273" s="7">
        <f t="shared" si="25"/>
        <v>2.7233849999999999</v>
      </c>
      <c r="AC273" s="7">
        <f t="shared" si="26"/>
        <v>7.3200000000000001E-3</v>
      </c>
      <c r="AD273" s="6" t="str">
        <f t="shared" si="27"/>
        <v>1.CA Ninh Hòa</v>
      </c>
      <c r="AE273" s="6" t="str">
        <f t="shared" si="28"/>
        <v>CA Nam Ninh Hòa_Cột trung thế</v>
      </c>
      <c r="AG273">
        <f t="shared" si="29"/>
        <v>1.8155899999999998</v>
      </c>
      <c r="AH273">
        <f t="shared" si="30"/>
        <v>4.8799999999999998E-3</v>
      </c>
    </row>
    <row r="274" spans="1:34" x14ac:dyDescent="0.25">
      <c r="A274" t="s">
        <v>2444</v>
      </c>
      <c r="B274" t="s">
        <v>2445</v>
      </c>
      <c r="C274" t="s">
        <v>2446</v>
      </c>
      <c r="D274" t="s">
        <v>160</v>
      </c>
      <c r="E274" t="s">
        <v>161</v>
      </c>
      <c r="F274" t="s">
        <v>2447</v>
      </c>
      <c r="G274" t="s">
        <v>15979</v>
      </c>
      <c r="H274" t="s">
        <v>15980</v>
      </c>
      <c r="I274" t="s">
        <v>16095</v>
      </c>
      <c r="J274" t="s">
        <v>23</v>
      </c>
      <c r="L274" s="8" t="s">
        <v>39</v>
      </c>
      <c r="M274" t="s">
        <v>2448</v>
      </c>
      <c r="N274" t="s">
        <v>2449</v>
      </c>
      <c r="O274" t="s">
        <v>2450</v>
      </c>
      <c r="P274" t="s">
        <v>2451</v>
      </c>
      <c r="Q274" t="s">
        <v>2452</v>
      </c>
      <c r="R274" t="s">
        <v>42</v>
      </c>
      <c r="S274" t="s">
        <v>43</v>
      </c>
      <c r="T274" t="s">
        <v>47</v>
      </c>
      <c r="U274" s="5">
        <v>93.7</v>
      </c>
      <c r="V274" s="5">
        <v>88.75</v>
      </c>
      <c r="W274" s="5">
        <v>12.279602000000001</v>
      </c>
      <c r="X274" s="5">
        <v>109.190867</v>
      </c>
      <c r="Y274" s="5">
        <v>4.96</v>
      </c>
      <c r="Z274" s="5">
        <v>12.278732</v>
      </c>
      <c r="AA274" s="5">
        <v>109.188858</v>
      </c>
      <c r="AB274" s="7">
        <f t="shared" si="25"/>
        <v>0.13312499999999999</v>
      </c>
      <c r="AC274" s="7">
        <f t="shared" si="26"/>
        <v>7.4399999999999996E-3</v>
      </c>
      <c r="AD274" s="6" t="str">
        <f t="shared" si="27"/>
        <v>1.CAT Khánh Hòa</v>
      </c>
      <c r="AE274" s="6" t="str">
        <f t="shared" si="28"/>
        <v>PK02 cs1</v>
      </c>
      <c r="AG274">
        <f t="shared" si="29"/>
        <v>8.8749999999999996E-2</v>
      </c>
      <c r="AH274">
        <f t="shared" si="30"/>
        <v>4.96E-3</v>
      </c>
    </row>
    <row r="275" spans="1:34" x14ac:dyDescent="0.25">
      <c r="A275" t="s">
        <v>2453</v>
      </c>
      <c r="B275" t="s">
        <v>2454</v>
      </c>
      <c r="C275" t="s">
        <v>2455</v>
      </c>
      <c r="D275" t="s">
        <v>239</v>
      </c>
      <c r="E275" t="s">
        <v>240</v>
      </c>
      <c r="F275" t="s">
        <v>2456</v>
      </c>
      <c r="G275" t="s">
        <v>15979</v>
      </c>
      <c r="H275" t="s">
        <v>15980</v>
      </c>
      <c r="I275" t="s">
        <v>16096</v>
      </c>
      <c r="J275" t="s">
        <v>23</v>
      </c>
      <c r="L275" s="8" t="s">
        <v>244</v>
      </c>
      <c r="M275" t="s">
        <v>2457</v>
      </c>
      <c r="N275" t="s">
        <v>2458</v>
      </c>
      <c r="O275" t="s">
        <v>250</v>
      </c>
      <c r="P275" t="s">
        <v>251</v>
      </c>
      <c r="Q275" t="s">
        <v>246</v>
      </c>
      <c r="R275" t="s">
        <v>247</v>
      </c>
      <c r="S275" t="s">
        <v>248</v>
      </c>
      <c r="T275" t="s">
        <v>252</v>
      </c>
      <c r="U275" s="5">
        <v>2030.06</v>
      </c>
      <c r="V275" s="5">
        <v>1856.86</v>
      </c>
      <c r="W275" s="5">
        <v>12.235808</v>
      </c>
      <c r="X275" s="5">
        <v>109.176413</v>
      </c>
      <c r="Y275" s="5">
        <v>173.2</v>
      </c>
      <c r="Z275" s="5">
        <v>12.235393999999999</v>
      </c>
      <c r="AA275" s="5">
        <v>109.18575199999999</v>
      </c>
      <c r="AB275" s="7">
        <f t="shared" si="25"/>
        <v>2.7852899999999998</v>
      </c>
      <c r="AC275" s="7">
        <f t="shared" si="26"/>
        <v>0.25979999999999998</v>
      </c>
      <c r="AD275" s="6" t="str">
        <f t="shared" si="27"/>
        <v>5. Cam Phước Đông</v>
      </c>
      <c r="AE275" s="6" t="str">
        <f t="shared" si="28"/>
        <v>CAT Khánh Hòa</v>
      </c>
      <c r="AG275">
        <f t="shared" si="29"/>
        <v>1.85686</v>
      </c>
      <c r="AH275">
        <f t="shared" si="30"/>
        <v>0.17319999999999999</v>
      </c>
    </row>
    <row r="276" spans="1:34" x14ac:dyDescent="0.25">
      <c r="A276" t="s">
        <v>2459</v>
      </c>
      <c r="B276" t="s">
        <v>2460</v>
      </c>
      <c r="C276" t="s">
        <v>2461</v>
      </c>
      <c r="D276" t="s">
        <v>18</v>
      </c>
      <c r="E276" t="s">
        <v>19</v>
      </c>
      <c r="F276" t="s">
        <v>2462</v>
      </c>
      <c r="G276" t="s">
        <v>15979</v>
      </c>
      <c r="H276" t="s">
        <v>15980</v>
      </c>
      <c r="I276" t="s">
        <v>16097</v>
      </c>
      <c r="J276" t="s">
        <v>23</v>
      </c>
      <c r="L276" s="8" t="s">
        <v>2463</v>
      </c>
      <c r="M276" t="s">
        <v>2464</v>
      </c>
      <c r="N276" t="s">
        <v>2465</v>
      </c>
      <c r="O276" t="s">
        <v>2466</v>
      </c>
      <c r="P276" t="s">
        <v>2467</v>
      </c>
      <c r="Q276" t="s">
        <v>2468</v>
      </c>
      <c r="R276" t="s">
        <v>2469</v>
      </c>
      <c r="S276" t="s">
        <v>2470</v>
      </c>
      <c r="T276" t="s">
        <v>2471</v>
      </c>
      <c r="U276" s="5">
        <v>277.93</v>
      </c>
      <c r="V276" s="5">
        <v>276.27</v>
      </c>
      <c r="W276" s="5">
        <v>12.248199</v>
      </c>
      <c r="X276" s="5">
        <v>109.18584</v>
      </c>
      <c r="Y276" s="5">
        <v>1.67</v>
      </c>
      <c r="Z276" s="5">
        <v>12.248073</v>
      </c>
      <c r="AA276" s="5">
        <v>109.185785</v>
      </c>
      <c r="AB276" s="7">
        <f t="shared" si="25"/>
        <v>0.41440499999999997</v>
      </c>
      <c r="AC276" s="7">
        <f t="shared" si="26"/>
        <v>2.5049999999999998E-3</v>
      </c>
      <c r="AD276" s="6" t="str">
        <f t="shared" si="27"/>
        <v>Tuyến nhánh PC08 csc</v>
      </c>
      <c r="AE276" s="6" t="str">
        <f t="shared" si="28"/>
        <v>PC08 (xử lý vi phạm)</v>
      </c>
      <c r="AG276">
        <f t="shared" si="29"/>
        <v>0.27626999999999996</v>
      </c>
      <c r="AH276">
        <f t="shared" si="30"/>
        <v>1.6699999999999998E-3</v>
      </c>
    </row>
    <row r="277" spans="1:34" x14ac:dyDescent="0.25">
      <c r="A277" t="s">
        <v>2472</v>
      </c>
      <c r="B277" t="s">
        <v>2473</v>
      </c>
      <c r="C277" t="s">
        <v>2474</v>
      </c>
      <c r="D277" t="s">
        <v>92</v>
      </c>
      <c r="E277" t="s">
        <v>93</v>
      </c>
      <c r="F277" t="s">
        <v>2475</v>
      </c>
      <c r="G277" t="s">
        <v>15979</v>
      </c>
      <c r="H277" t="s">
        <v>15980</v>
      </c>
      <c r="I277" t="s">
        <v>16098</v>
      </c>
      <c r="J277" t="s">
        <v>23</v>
      </c>
      <c r="L277" s="8" t="s">
        <v>282</v>
      </c>
      <c r="M277" t="s">
        <v>2476</v>
      </c>
      <c r="N277" t="s">
        <v>2477</v>
      </c>
      <c r="O277" t="s">
        <v>285</v>
      </c>
      <c r="P277" t="s">
        <v>286</v>
      </c>
      <c r="Q277" t="s">
        <v>1977</v>
      </c>
      <c r="R277" t="s">
        <v>288</v>
      </c>
      <c r="S277" t="s">
        <v>289</v>
      </c>
      <c r="T277" t="s">
        <v>290</v>
      </c>
      <c r="U277" s="5">
        <v>481.89</v>
      </c>
      <c r="V277" s="5">
        <v>198.41</v>
      </c>
      <c r="W277" s="5">
        <v>12.239117</v>
      </c>
      <c r="X277" s="5">
        <v>109.18664200000001</v>
      </c>
      <c r="Y277" s="5">
        <v>283.48</v>
      </c>
      <c r="Z277" s="5">
        <v>12.243925000000001</v>
      </c>
      <c r="AA277" s="5">
        <v>109.189556</v>
      </c>
      <c r="AB277" s="7">
        <f t="shared" si="25"/>
        <v>0.29761500000000002</v>
      </c>
      <c r="AC277" s="7">
        <f t="shared" si="26"/>
        <v>0.42522000000000004</v>
      </c>
      <c r="AD277" s="6" t="str">
        <f t="shared" si="27"/>
        <v>1.CATP Nha trang cũ</v>
      </c>
      <c r="AE277" s="6" t="str">
        <f t="shared" si="28"/>
        <v>PC07</v>
      </c>
      <c r="AG277">
        <f t="shared" si="29"/>
        <v>0.19841</v>
      </c>
      <c r="AH277">
        <f t="shared" si="30"/>
        <v>0.28348000000000001</v>
      </c>
    </row>
    <row r="278" spans="1:34" x14ac:dyDescent="0.25">
      <c r="A278" t="s">
        <v>2478</v>
      </c>
      <c r="B278" t="s">
        <v>2479</v>
      </c>
      <c r="C278" t="s">
        <v>2480</v>
      </c>
      <c r="D278" t="s">
        <v>210</v>
      </c>
      <c r="E278" t="s">
        <v>211</v>
      </c>
      <c r="F278" t="s">
        <v>2481</v>
      </c>
      <c r="G278" t="s">
        <v>15979</v>
      </c>
      <c r="H278" t="s">
        <v>15980</v>
      </c>
      <c r="I278" t="s">
        <v>16099</v>
      </c>
      <c r="J278" t="s">
        <v>23</v>
      </c>
      <c r="L278" s="8" t="s">
        <v>213</v>
      </c>
      <c r="M278" t="s">
        <v>2482</v>
      </c>
      <c r="N278" t="s">
        <v>2483</v>
      </c>
      <c r="O278" t="s">
        <v>2484</v>
      </c>
      <c r="P278" t="s">
        <v>2485</v>
      </c>
      <c r="Q278" t="s">
        <v>218</v>
      </c>
      <c r="R278" t="s">
        <v>219</v>
      </c>
      <c r="S278" t="s">
        <v>220</v>
      </c>
      <c r="T278" t="s">
        <v>221</v>
      </c>
      <c r="U278" s="5">
        <v>415.26</v>
      </c>
      <c r="V278" s="5">
        <v>411.26</v>
      </c>
      <c r="W278" s="5">
        <v>12.252363000000001</v>
      </c>
      <c r="X278" s="5">
        <v>109.192133</v>
      </c>
      <c r="Y278" s="5">
        <v>4</v>
      </c>
      <c r="Z278" s="5">
        <v>12.251158999999999</v>
      </c>
      <c r="AA278" s="5">
        <v>109.186369</v>
      </c>
      <c r="AB278" s="7">
        <f t="shared" si="25"/>
        <v>0.61688999999999994</v>
      </c>
      <c r="AC278" s="7">
        <f t="shared" si="26"/>
        <v>6.0000000000000001E-3</v>
      </c>
      <c r="AD278" s="6" t="str">
        <f t="shared" si="27"/>
        <v>3.CA Nha Trang</v>
      </c>
      <c r="AE278" s="6" t="str">
        <f t="shared" si="28"/>
        <v>CA Tây Nha Trang_Cột trung thế</v>
      </c>
      <c r="AG278">
        <f t="shared" si="29"/>
        <v>0.41126000000000001</v>
      </c>
      <c r="AH278">
        <f t="shared" si="30"/>
        <v>4.0000000000000001E-3</v>
      </c>
    </row>
    <row r="279" spans="1:34" x14ac:dyDescent="0.25">
      <c r="A279" t="s">
        <v>2486</v>
      </c>
      <c r="B279" t="s">
        <v>2487</v>
      </c>
      <c r="C279" t="s">
        <v>2488</v>
      </c>
      <c r="D279" t="s">
        <v>210</v>
      </c>
      <c r="E279" t="s">
        <v>211</v>
      </c>
      <c r="F279" t="s">
        <v>2489</v>
      </c>
      <c r="G279" t="s">
        <v>15979</v>
      </c>
      <c r="H279" t="s">
        <v>15980</v>
      </c>
      <c r="I279" t="s">
        <v>16100</v>
      </c>
      <c r="J279" t="s">
        <v>23</v>
      </c>
      <c r="L279" s="8" t="s">
        <v>267</v>
      </c>
      <c r="M279" t="s">
        <v>2490</v>
      </c>
      <c r="N279" t="s">
        <v>2491</v>
      </c>
      <c r="O279" t="s">
        <v>2492</v>
      </c>
      <c r="P279" t="s">
        <v>2493</v>
      </c>
      <c r="Q279" t="s">
        <v>543</v>
      </c>
      <c r="R279" t="s">
        <v>544</v>
      </c>
      <c r="S279" t="s">
        <v>545</v>
      </c>
      <c r="T279" t="s">
        <v>275</v>
      </c>
      <c r="U279" s="5">
        <v>291.73</v>
      </c>
      <c r="V279" s="5">
        <v>289.36</v>
      </c>
      <c r="W279" s="5">
        <v>12.251707</v>
      </c>
      <c r="X279" s="5">
        <v>109.186132</v>
      </c>
      <c r="Y279" s="5">
        <v>2.37</v>
      </c>
      <c r="Z279" s="5">
        <v>12.251134</v>
      </c>
      <c r="AA279" s="5">
        <v>109.186421</v>
      </c>
      <c r="AB279" s="7">
        <f t="shared" si="25"/>
        <v>0.43404000000000004</v>
      </c>
      <c r="AC279" s="7">
        <f t="shared" si="26"/>
        <v>3.555E-3</v>
      </c>
      <c r="AD279" s="6" t="str">
        <f t="shared" si="27"/>
        <v>4.CA Tây Nha Trang</v>
      </c>
      <c r="AE279" s="6" t="str">
        <f t="shared" si="28"/>
        <v>TTCMKV Diên Khánh</v>
      </c>
      <c r="AG279">
        <f t="shared" si="29"/>
        <v>0.28936000000000001</v>
      </c>
      <c r="AH279">
        <f t="shared" si="30"/>
        <v>2.3700000000000001E-3</v>
      </c>
    </row>
    <row r="280" spans="1:34" x14ac:dyDescent="0.25">
      <c r="A280" t="s">
        <v>2494</v>
      </c>
      <c r="B280" t="s">
        <v>2495</v>
      </c>
      <c r="C280" t="s">
        <v>2496</v>
      </c>
      <c r="D280" t="s">
        <v>210</v>
      </c>
      <c r="E280" t="s">
        <v>211</v>
      </c>
      <c r="F280" t="s">
        <v>2497</v>
      </c>
      <c r="G280" t="s">
        <v>15979</v>
      </c>
      <c r="H280" t="s">
        <v>15980</v>
      </c>
      <c r="I280" t="s">
        <v>16101</v>
      </c>
      <c r="J280" t="s">
        <v>23</v>
      </c>
      <c r="L280" s="8" t="s">
        <v>1587</v>
      </c>
      <c r="M280" t="s">
        <v>2498</v>
      </c>
      <c r="N280" t="s">
        <v>2499</v>
      </c>
      <c r="O280" t="s">
        <v>2500</v>
      </c>
      <c r="P280" t="s">
        <v>2501</v>
      </c>
      <c r="Q280" t="s">
        <v>2502</v>
      </c>
      <c r="R280" t="s">
        <v>2503</v>
      </c>
      <c r="S280" t="s">
        <v>2504</v>
      </c>
      <c r="T280" t="s">
        <v>2505</v>
      </c>
      <c r="U280" s="5">
        <v>492.68</v>
      </c>
      <c r="V280" s="5">
        <v>63.57</v>
      </c>
      <c r="W280" s="5">
        <v>12.26135</v>
      </c>
      <c r="X280" s="5">
        <v>109.19110000000001</v>
      </c>
      <c r="Y280" s="5">
        <v>429.11</v>
      </c>
      <c r="Z280" s="5">
        <v>12.253068000000001</v>
      </c>
      <c r="AA280" s="5">
        <v>109.18982099999999</v>
      </c>
      <c r="AB280" s="7">
        <f t="shared" si="25"/>
        <v>9.5355000000000009E-2</v>
      </c>
      <c r="AC280" s="7">
        <f t="shared" si="26"/>
        <v>0.64366499999999993</v>
      </c>
      <c r="AD280" s="6" t="str">
        <f t="shared" si="27"/>
        <v>5.Vạn Ninh</v>
      </c>
      <c r="AE280" s="6" t="str">
        <f t="shared" si="28"/>
        <v>CAT Khánh Hòa</v>
      </c>
      <c r="AG280">
        <f t="shared" si="29"/>
        <v>6.3570000000000002E-2</v>
      </c>
      <c r="AH280">
        <f t="shared" si="30"/>
        <v>0.42910999999999999</v>
      </c>
    </row>
    <row r="281" spans="1:34" x14ac:dyDescent="0.25">
      <c r="A281" t="s">
        <v>2506</v>
      </c>
      <c r="B281" t="s">
        <v>2507</v>
      </c>
      <c r="C281" t="s">
        <v>2508</v>
      </c>
      <c r="D281" t="s">
        <v>130</v>
      </c>
      <c r="E281" t="s">
        <v>131</v>
      </c>
      <c r="F281" t="s">
        <v>2509</v>
      </c>
      <c r="G281" t="s">
        <v>15979</v>
      </c>
      <c r="H281" t="s">
        <v>15980</v>
      </c>
      <c r="I281" t="s">
        <v>16102</v>
      </c>
      <c r="J281" t="s">
        <v>23</v>
      </c>
      <c r="L281" s="8" t="s">
        <v>282</v>
      </c>
      <c r="M281" t="s">
        <v>2510</v>
      </c>
      <c r="N281" t="s">
        <v>2511</v>
      </c>
      <c r="O281" t="s">
        <v>2512</v>
      </c>
      <c r="P281" t="s">
        <v>2513</v>
      </c>
      <c r="Q281" t="s">
        <v>2514</v>
      </c>
      <c r="R281" t="s">
        <v>2515</v>
      </c>
      <c r="S281" t="s">
        <v>2516</v>
      </c>
      <c r="T281" t="s">
        <v>2517</v>
      </c>
      <c r="U281" s="5">
        <v>404.12</v>
      </c>
      <c r="V281" s="5">
        <v>208.23</v>
      </c>
      <c r="W281" s="5">
        <v>12.243746</v>
      </c>
      <c r="X281" s="5">
        <v>109.189792</v>
      </c>
      <c r="Y281" s="5">
        <v>195.89</v>
      </c>
      <c r="Z281" s="5">
        <v>12.245896</v>
      </c>
      <c r="AA281" s="5">
        <v>109.190274</v>
      </c>
      <c r="AB281" s="7">
        <f t="shared" si="25"/>
        <v>0.31234499999999998</v>
      </c>
      <c r="AC281" s="7">
        <f t="shared" si="26"/>
        <v>0.29383499999999996</v>
      </c>
      <c r="AD281" s="6" t="str">
        <f t="shared" si="27"/>
        <v>1.CATP Nha trang cũ</v>
      </c>
      <c r="AE281" s="6" t="str">
        <f t="shared" si="28"/>
        <v>PC07</v>
      </c>
      <c r="AG281">
        <f t="shared" si="29"/>
        <v>0.20823</v>
      </c>
      <c r="AH281">
        <f t="shared" si="30"/>
        <v>0.19588999999999998</v>
      </c>
    </row>
    <row r="282" spans="1:34" x14ac:dyDescent="0.25">
      <c r="A282" t="s">
        <v>2518</v>
      </c>
      <c r="B282" t="s">
        <v>2519</v>
      </c>
      <c r="C282" t="s">
        <v>2520</v>
      </c>
      <c r="D282" t="s">
        <v>197</v>
      </c>
      <c r="E282" t="s">
        <v>198</v>
      </c>
      <c r="F282" t="s">
        <v>2521</v>
      </c>
      <c r="G282" t="s">
        <v>15979</v>
      </c>
      <c r="H282" t="s">
        <v>15980</v>
      </c>
      <c r="I282" t="s">
        <v>16103</v>
      </c>
      <c r="J282" t="s">
        <v>23</v>
      </c>
      <c r="L282" s="8" t="s">
        <v>2179</v>
      </c>
      <c r="M282" t="s">
        <v>2522</v>
      </c>
      <c r="N282" t="s">
        <v>2523</v>
      </c>
      <c r="O282" t="s">
        <v>2182</v>
      </c>
      <c r="P282" t="s">
        <v>2183</v>
      </c>
      <c r="Q282" t="s">
        <v>942</v>
      </c>
      <c r="R282" t="s">
        <v>2182</v>
      </c>
      <c r="S282" t="s">
        <v>2183</v>
      </c>
      <c r="T282" t="s">
        <v>2184</v>
      </c>
      <c r="U282" s="5">
        <v>1334.67</v>
      </c>
      <c r="V282" s="5">
        <v>1329.49</v>
      </c>
      <c r="W282" s="5">
        <v>12.256762</v>
      </c>
      <c r="X282" s="5">
        <v>109.197648</v>
      </c>
      <c r="Y282" s="5">
        <v>5.18</v>
      </c>
      <c r="Z282" s="5">
        <v>12.256762</v>
      </c>
      <c r="AA282" s="5">
        <v>109.197648</v>
      </c>
      <c r="AB282" s="7">
        <f t="shared" si="25"/>
        <v>1.9942350000000002</v>
      </c>
      <c r="AC282" s="7">
        <f t="shared" si="26"/>
        <v>7.77E-3</v>
      </c>
      <c r="AD282" s="6" t="str">
        <f t="shared" si="27"/>
        <v>Tuyến nhánh PA06 cs1</v>
      </c>
      <c r="AE282" s="6" t="str">
        <f t="shared" si="28"/>
        <v>Nhà nghỉ dưỡng 378 BCA_Cột trung thế</v>
      </c>
      <c r="AG282">
        <f t="shared" si="29"/>
        <v>1.3294900000000001</v>
      </c>
      <c r="AH282">
        <f t="shared" si="30"/>
        <v>5.1799999999999997E-3</v>
      </c>
    </row>
    <row r="283" spans="1:34" x14ac:dyDescent="0.25">
      <c r="A283" t="s">
        <v>2524</v>
      </c>
      <c r="B283" t="s">
        <v>2525</v>
      </c>
      <c r="C283" t="s">
        <v>2526</v>
      </c>
      <c r="D283" t="s">
        <v>2527</v>
      </c>
      <c r="E283" t="s">
        <v>2528</v>
      </c>
      <c r="F283" t="s">
        <v>2529</v>
      </c>
      <c r="G283" t="s">
        <v>15979</v>
      </c>
      <c r="H283" t="s">
        <v>15980</v>
      </c>
      <c r="I283" t="s">
        <v>16104</v>
      </c>
      <c r="J283" t="s">
        <v>23</v>
      </c>
      <c r="L283" s="8" t="s">
        <v>432</v>
      </c>
      <c r="M283" t="s">
        <v>2530</v>
      </c>
      <c r="N283" t="s">
        <v>2531</v>
      </c>
      <c r="O283" t="s">
        <v>2532</v>
      </c>
      <c r="P283" t="s">
        <v>2533</v>
      </c>
      <c r="Q283" t="s">
        <v>2534</v>
      </c>
      <c r="R283" t="s">
        <v>2535</v>
      </c>
      <c r="S283" t="s">
        <v>2536</v>
      </c>
      <c r="T283" t="s">
        <v>440</v>
      </c>
      <c r="U283" s="5">
        <v>208.64</v>
      </c>
      <c r="V283" s="5">
        <v>205.15</v>
      </c>
      <c r="W283" s="5">
        <v>12.351702</v>
      </c>
      <c r="X283" s="5">
        <v>108.978459</v>
      </c>
      <c r="Y283" s="5">
        <v>3.48</v>
      </c>
      <c r="Z283" s="5">
        <v>12.358867999999999</v>
      </c>
      <c r="AA283" s="5">
        <v>108.96072599999999</v>
      </c>
      <c r="AB283" s="7">
        <f t="shared" si="25"/>
        <v>0.30772500000000003</v>
      </c>
      <c r="AC283" s="7">
        <f t="shared" si="26"/>
        <v>5.2199999999999998E-3</v>
      </c>
      <c r="AD283" s="6" t="str">
        <f t="shared" si="27"/>
        <v>3.CA Diên Lâm</v>
      </c>
      <c r="AE283" s="6" t="str">
        <f t="shared" si="28"/>
        <v>CA Bắc Khánh Vĩnh_Cột trung thế</v>
      </c>
      <c r="AG283">
        <f t="shared" si="29"/>
        <v>0.20515</v>
      </c>
      <c r="AH283">
        <f t="shared" si="30"/>
        <v>3.48E-3</v>
      </c>
    </row>
    <row r="284" spans="1:34" x14ac:dyDescent="0.25">
      <c r="A284" t="s">
        <v>2537</v>
      </c>
      <c r="B284" t="s">
        <v>2073</v>
      </c>
      <c r="C284" t="s">
        <v>2074</v>
      </c>
      <c r="D284" t="s">
        <v>2527</v>
      </c>
      <c r="E284" t="s">
        <v>2528</v>
      </c>
      <c r="F284" t="s">
        <v>2538</v>
      </c>
      <c r="G284" t="s">
        <v>15979</v>
      </c>
      <c r="H284" t="s">
        <v>15980</v>
      </c>
      <c r="I284" t="s">
        <v>16105</v>
      </c>
      <c r="J284" t="s">
        <v>23</v>
      </c>
      <c r="L284" s="8" t="s">
        <v>2076</v>
      </c>
      <c r="M284" t="s">
        <v>2539</v>
      </c>
      <c r="N284" t="s">
        <v>2081</v>
      </c>
      <c r="O284" t="s">
        <v>2082</v>
      </c>
      <c r="P284" t="s">
        <v>2083</v>
      </c>
      <c r="Q284" t="s">
        <v>2540</v>
      </c>
      <c r="R284" t="s">
        <v>2541</v>
      </c>
      <c r="S284" t="s">
        <v>2542</v>
      </c>
      <c r="T284" t="s">
        <v>2084</v>
      </c>
      <c r="U284" s="5">
        <v>90.56</v>
      </c>
      <c r="V284" s="5">
        <v>88.59</v>
      </c>
      <c r="W284" s="5">
        <v>12.384285999999999</v>
      </c>
      <c r="X284" s="5">
        <v>108.95461400000001</v>
      </c>
      <c r="Y284" s="5">
        <v>1.97</v>
      </c>
      <c r="Z284" s="5">
        <v>12.358832</v>
      </c>
      <c r="AA284" s="5">
        <v>108.96069900000001</v>
      </c>
      <c r="AB284" s="7">
        <f t="shared" si="25"/>
        <v>0.132885</v>
      </c>
      <c r="AC284" s="7">
        <f t="shared" si="26"/>
        <v>2.9550000000000002E-3</v>
      </c>
      <c r="AD284" s="6" t="str">
        <f t="shared" si="27"/>
        <v>Tuyến nhánh CA Bắc Khánh Vĩnh</v>
      </c>
      <c r="AE284" s="6" t="str">
        <f t="shared" si="28"/>
        <v>Trung tâm Cai nghiện Khánh Bình_Cột trung thế</v>
      </c>
      <c r="AG284">
        <f t="shared" si="29"/>
        <v>8.8590000000000002E-2</v>
      </c>
      <c r="AH284">
        <f t="shared" si="30"/>
        <v>1.97E-3</v>
      </c>
    </row>
    <row r="285" spans="1:34" x14ac:dyDescent="0.25">
      <c r="A285" t="s">
        <v>2543</v>
      </c>
      <c r="B285" t="s">
        <v>2544</v>
      </c>
      <c r="C285" t="s">
        <v>2545</v>
      </c>
      <c r="D285" t="s">
        <v>2527</v>
      </c>
      <c r="E285" t="s">
        <v>2528</v>
      </c>
      <c r="F285" t="s">
        <v>2546</v>
      </c>
      <c r="G285" t="s">
        <v>15979</v>
      </c>
      <c r="H285" t="s">
        <v>15980</v>
      </c>
      <c r="I285" t="s">
        <v>16106</v>
      </c>
      <c r="J285" t="s">
        <v>23</v>
      </c>
      <c r="L285" s="8" t="s">
        <v>2547</v>
      </c>
      <c r="M285" t="s">
        <v>2548</v>
      </c>
      <c r="N285" t="s">
        <v>2549</v>
      </c>
      <c r="O285" t="s">
        <v>2550</v>
      </c>
      <c r="P285" t="s">
        <v>2551</v>
      </c>
      <c r="Q285" t="s">
        <v>2552</v>
      </c>
      <c r="R285" t="s">
        <v>2553</v>
      </c>
      <c r="S285" t="s">
        <v>2554</v>
      </c>
      <c r="T285" t="s">
        <v>2555</v>
      </c>
      <c r="U285" s="5">
        <v>80.53</v>
      </c>
      <c r="V285" s="5">
        <v>77.17</v>
      </c>
      <c r="W285" s="5">
        <v>12.376333000000001</v>
      </c>
      <c r="X285" s="5">
        <v>108.936274</v>
      </c>
      <c r="Y285" s="5">
        <v>3.37</v>
      </c>
      <c r="Z285" s="5">
        <v>12.358874999999999</v>
      </c>
      <c r="AA285" s="5">
        <v>108.960717</v>
      </c>
      <c r="AB285" s="7">
        <f t="shared" si="25"/>
        <v>0.115755</v>
      </c>
      <c r="AC285" s="7">
        <f t="shared" si="26"/>
        <v>5.0549999999999996E-3</v>
      </c>
      <c r="AD285" s="6" t="str">
        <f t="shared" si="27"/>
        <v>4.CA Bắc Khánh Vĩnh</v>
      </c>
      <c r="AE285" s="6" t="str">
        <f t="shared" si="28"/>
        <v>CA Trung Khánh Vĩnh_Cột trung thế</v>
      </c>
      <c r="AG285">
        <f t="shared" si="29"/>
        <v>7.7170000000000002E-2</v>
      </c>
      <c r="AH285">
        <f t="shared" si="30"/>
        <v>3.3700000000000002E-3</v>
      </c>
    </row>
    <row r="286" spans="1:34" x14ac:dyDescent="0.25">
      <c r="A286" t="s">
        <v>2556</v>
      </c>
      <c r="B286" t="s">
        <v>2557</v>
      </c>
      <c r="C286" t="s">
        <v>2558</v>
      </c>
      <c r="D286" t="s">
        <v>391</v>
      </c>
      <c r="E286" t="s">
        <v>392</v>
      </c>
      <c r="F286" t="s">
        <v>2559</v>
      </c>
      <c r="G286" t="s">
        <v>15979</v>
      </c>
      <c r="H286" t="s">
        <v>15980</v>
      </c>
      <c r="I286" t="s">
        <v>16107</v>
      </c>
      <c r="J286" t="s">
        <v>23</v>
      </c>
      <c r="L286" s="8" t="s">
        <v>396</v>
      </c>
      <c r="M286" t="s">
        <v>2560</v>
      </c>
      <c r="N286" t="s">
        <v>2561</v>
      </c>
      <c r="O286" t="s">
        <v>2562</v>
      </c>
      <c r="P286" t="s">
        <v>2563</v>
      </c>
      <c r="Q286" t="s">
        <v>398</v>
      </c>
      <c r="R286" t="s">
        <v>399</v>
      </c>
      <c r="S286" t="s">
        <v>400</v>
      </c>
      <c r="T286" t="s">
        <v>404</v>
      </c>
      <c r="U286" s="5">
        <v>1974.8</v>
      </c>
      <c r="V286" s="5">
        <v>1971.41</v>
      </c>
      <c r="W286" s="5">
        <v>12.262613</v>
      </c>
      <c r="X286" s="5">
        <v>109.037289</v>
      </c>
      <c r="Y286" s="5">
        <v>3.39</v>
      </c>
      <c r="Z286" s="5">
        <v>12.269048</v>
      </c>
      <c r="AA286" s="5">
        <v>109.03337000000001</v>
      </c>
      <c r="AB286" s="7">
        <f t="shared" si="25"/>
        <v>2.9571150000000004</v>
      </c>
      <c r="AC286" s="7">
        <f t="shared" si="26"/>
        <v>5.0850000000000001E-3</v>
      </c>
      <c r="AD286" s="6" t="str">
        <f t="shared" si="27"/>
        <v>2.CA Diên Lạc</v>
      </c>
      <c r="AE286" s="6" t="str">
        <f t="shared" si="28"/>
        <v>CA Diên Lâm</v>
      </c>
      <c r="AG286">
        <f t="shared" si="29"/>
        <v>1.9714100000000001</v>
      </c>
      <c r="AH286">
        <f t="shared" si="30"/>
        <v>3.3900000000000002E-3</v>
      </c>
    </row>
    <row r="287" spans="1:34" x14ac:dyDescent="0.25">
      <c r="A287" t="s">
        <v>2564</v>
      </c>
      <c r="B287" t="s">
        <v>2565</v>
      </c>
      <c r="C287" t="s">
        <v>2566</v>
      </c>
      <c r="D287" t="s">
        <v>195</v>
      </c>
      <c r="E287" t="s">
        <v>196</v>
      </c>
      <c r="F287" t="s">
        <v>2567</v>
      </c>
      <c r="G287" t="s">
        <v>15979</v>
      </c>
      <c r="H287" t="s">
        <v>15980</v>
      </c>
      <c r="I287" t="s">
        <v>16108</v>
      </c>
      <c r="J287" t="s">
        <v>23</v>
      </c>
      <c r="L287" s="8" t="s">
        <v>200</v>
      </c>
      <c r="M287" t="s">
        <v>2568</v>
      </c>
      <c r="N287" t="s">
        <v>2569</v>
      </c>
      <c r="O287" t="s">
        <v>235</v>
      </c>
      <c r="P287" t="s">
        <v>236</v>
      </c>
      <c r="Q287" t="s">
        <v>231</v>
      </c>
      <c r="R287" t="s">
        <v>232</v>
      </c>
      <c r="S287" t="s">
        <v>233</v>
      </c>
      <c r="T287" t="s">
        <v>237</v>
      </c>
      <c r="U287" s="5">
        <v>2238.29</v>
      </c>
      <c r="V287" s="5">
        <v>2237.4299999999998</v>
      </c>
      <c r="W287" s="5">
        <v>12.282302</v>
      </c>
      <c r="X287" s="5">
        <v>109.19833800000001</v>
      </c>
      <c r="Y287" s="5">
        <v>0.85</v>
      </c>
      <c r="Z287" s="5">
        <v>12.282332</v>
      </c>
      <c r="AA287" s="5">
        <v>109.19810099999999</v>
      </c>
      <c r="AB287" s="7">
        <f t="shared" si="25"/>
        <v>3.3561449999999997</v>
      </c>
      <c r="AC287" s="7">
        <f t="shared" si="26"/>
        <v>1.2749999999999999E-3</v>
      </c>
      <c r="AD287" s="6" t="str">
        <f t="shared" si="27"/>
        <v>3.CA Bắc Nha Trang</v>
      </c>
      <c r="AE287" s="6" t="str">
        <f t="shared" si="28"/>
        <v>CAT Khánh Hòa</v>
      </c>
      <c r="AG287">
        <f t="shared" si="29"/>
        <v>2.2374299999999998</v>
      </c>
      <c r="AH287">
        <f t="shared" si="30"/>
        <v>8.4999999999999995E-4</v>
      </c>
    </row>
    <row r="288" spans="1:34" x14ac:dyDescent="0.25">
      <c r="A288" t="s">
        <v>2570</v>
      </c>
      <c r="B288" t="s">
        <v>304</v>
      </c>
      <c r="C288" t="s">
        <v>305</v>
      </c>
      <c r="D288" t="s">
        <v>180</v>
      </c>
      <c r="E288" t="s">
        <v>181</v>
      </c>
      <c r="F288" t="s">
        <v>2571</v>
      </c>
      <c r="G288" t="s">
        <v>15979</v>
      </c>
      <c r="H288" t="s">
        <v>15980</v>
      </c>
      <c r="I288" t="s">
        <v>16109</v>
      </c>
      <c r="J288" t="s">
        <v>23</v>
      </c>
      <c r="L288" s="8" t="s">
        <v>185</v>
      </c>
      <c r="M288" t="s">
        <v>307</v>
      </c>
      <c r="N288" t="s">
        <v>308</v>
      </c>
      <c r="O288" t="s">
        <v>309</v>
      </c>
      <c r="P288" t="s">
        <v>310</v>
      </c>
      <c r="Q288" t="s">
        <v>187</v>
      </c>
      <c r="R288" t="s">
        <v>188</v>
      </c>
      <c r="S288" t="s">
        <v>189</v>
      </c>
      <c r="T288" t="s">
        <v>193</v>
      </c>
      <c r="U288" s="5">
        <v>265.61</v>
      </c>
      <c r="V288" s="5">
        <v>259.54000000000002</v>
      </c>
      <c r="W288" s="5">
        <v>12.278650000000001</v>
      </c>
      <c r="X288" s="5">
        <v>109.12745</v>
      </c>
      <c r="Y288" s="5">
        <v>6.07</v>
      </c>
      <c r="Z288" s="5">
        <v>12.276066999999999</v>
      </c>
      <c r="AA288" s="5">
        <v>109.120259</v>
      </c>
      <c r="AB288" s="7">
        <f t="shared" si="25"/>
        <v>0.38931000000000004</v>
      </c>
      <c r="AC288" s="7">
        <f t="shared" si="26"/>
        <v>9.1050000000000002E-3</v>
      </c>
      <c r="AD288" s="6" t="str">
        <f t="shared" si="27"/>
        <v>2.CA Diên Điền</v>
      </c>
      <c r="AE288" s="6" t="str">
        <f t="shared" si="28"/>
        <v>CA Bắc Nha Trang</v>
      </c>
      <c r="AG288">
        <f t="shared" si="29"/>
        <v>0.25953999999999999</v>
      </c>
      <c r="AH288">
        <f t="shared" si="30"/>
        <v>6.0699999999999999E-3</v>
      </c>
    </row>
    <row r="289" spans="1:34" x14ac:dyDescent="0.25">
      <c r="A289" t="s">
        <v>2572</v>
      </c>
      <c r="B289" t="s">
        <v>2573</v>
      </c>
      <c r="C289" t="s">
        <v>2574</v>
      </c>
      <c r="D289" t="s">
        <v>1679</v>
      </c>
      <c r="E289" t="s">
        <v>1680</v>
      </c>
      <c r="F289" t="s">
        <v>2575</v>
      </c>
      <c r="G289" t="s">
        <v>15979</v>
      </c>
      <c r="H289" t="s">
        <v>15980</v>
      </c>
      <c r="I289" t="s">
        <v>16110</v>
      </c>
      <c r="J289" t="s">
        <v>23</v>
      </c>
      <c r="L289" s="8" t="s">
        <v>1045</v>
      </c>
      <c r="M289" t="s">
        <v>2576</v>
      </c>
      <c r="N289" t="s">
        <v>2577</v>
      </c>
      <c r="O289" t="s">
        <v>2578</v>
      </c>
      <c r="P289" t="s">
        <v>2579</v>
      </c>
      <c r="Q289" t="s">
        <v>1694</v>
      </c>
      <c r="R289" t="s">
        <v>1695</v>
      </c>
      <c r="S289" t="s">
        <v>1696</v>
      </c>
      <c r="T289" t="s">
        <v>1053</v>
      </c>
      <c r="U289" s="5">
        <v>2046.07</v>
      </c>
      <c r="V289" s="5">
        <v>2039.35</v>
      </c>
      <c r="W289" s="5">
        <v>12.803172999999999</v>
      </c>
      <c r="X289" s="5">
        <v>109.33414500000001</v>
      </c>
      <c r="Y289" s="5">
        <v>6.73</v>
      </c>
      <c r="Z289" s="5">
        <v>12.8032</v>
      </c>
      <c r="AA289" s="5">
        <v>109.33373899999999</v>
      </c>
      <c r="AB289" s="7">
        <f t="shared" si="25"/>
        <v>3.0590249999999997</v>
      </c>
      <c r="AC289" s="7">
        <f t="shared" si="26"/>
        <v>1.0095E-2</v>
      </c>
      <c r="AD289" s="6" t="str">
        <f t="shared" si="27"/>
        <v>4.CA Đại Lãnh</v>
      </c>
      <c r="AE289" s="6" t="str">
        <f t="shared" si="28"/>
        <v>CA Vạn Ninh</v>
      </c>
      <c r="AG289">
        <f t="shared" si="29"/>
        <v>2.0393499999999998</v>
      </c>
      <c r="AH289">
        <f t="shared" si="30"/>
        <v>6.7300000000000007E-3</v>
      </c>
    </row>
    <row r="290" spans="1:34" x14ac:dyDescent="0.25">
      <c r="A290" t="s">
        <v>2580</v>
      </c>
      <c r="B290" t="s">
        <v>2581</v>
      </c>
      <c r="C290" t="s">
        <v>2582</v>
      </c>
      <c r="D290" t="s">
        <v>1679</v>
      </c>
      <c r="E290" t="s">
        <v>1680</v>
      </c>
      <c r="F290" t="s">
        <v>2583</v>
      </c>
      <c r="G290" t="s">
        <v>15979</v>
      </c>
      <c r="H290" t="s">
        <v>15980</v>
      </c>
      <c r="I290" t="s">
        <v>16111</v>
      </c>
      <c r="J290" t="s">
        <v>23</v>
      </c>
      <c r="L290" s="8" t="s">
        <v>1045</v>
      </c>
      <c r="M290" t="s">
        <v>2584</v>
      </c>
      <c r="N290" t="s">
        <v>2585</v>
      </c>
      <c r="O290" t="s">
        <v>2578</v>
      </c>
      <c r="P290" t="s">
        <v>2579</v>
      </c>
      <c r="Q290" t="s">
        <v>1694</v>
      </c>
      <c r="R290" t="s">
        <v>1695</v>
      </c>
      <c r="S290" t="s">
        <v>1696</v>
      </c>
      <c r="T290" t="s">
        <v>1053</v>
      </c>
      <c r="U290" s="5">
        <v>4013.08</v>
      </c>
      <c r="V290" s="5">
        <v>4006.35</v>
      </c>
      <c r="W290" s="5">
        <v>12.803172999999999</v>
      </c>
      <c r="X290" s="5">
        <v>109.33414500000001</v>
      </c>
      <c r="Y290" s="5">
        <v>6.73</v>
      </c>
      <c r="Z290" s="5">
        <v>12.8032</v>
      </c>
      <c r="AA290" s="5">
        <v>109.33373899999999</v>
      </c>
      <c r="AB290" s="7">
        <f t="shared" si="25"/>
        <v>6.009525</v>
      </c>
      <c r="AC290" s="7">
        <f t="shared" si="26"/>
        <v>1.0095E-2</v>
      </c>
      <c r="AD290" s="6" t="str">
        <f t="shared" si="27"/>
        <v>4.CA Đại Lãnh</v>
      </c>
      <c r="AE290" s="6" t="str">
        <f t="shared" si="28"/>
        <v>CA Vạn Ninh</v>
      </c>
      <c r="AG290">
        <f t="shared" si="29"/>
        <v>4.0063500000000003</v>
      </c>
      <c r="AH290">
        <f t="shared" si="30"/>
        <v>6.7300000000000007E-3</v>
      </c>
    </row>
    <row r="291" spans="1:34" x14ac:dyDescent="0.25">
      <c r="A291" t="s">
        <v>2586</v>
      </c>
      <c r="B291" t="s">
        <v>2587</v>
      </c>
      <c r="C291" t="s">
        <v>2588</v>
      </c>
      <c r="D291" t="s">
        <v>1679</v>
      </c>
      <c r="E291" t="s">
        <v>1680</v>
      </c>
      <c r="F291" t="s">
        <v>2589</v>
      </c>
      <c r="G291" t="s">
        <v>15979</v>
      </c>
      <c r="H291" t="s">
        <v>15980</v>
      </c>
      <c r="I291" t="s">
        <v>16112</v>
      </c>
      <c r="J291" t="s">
        <v>23</v>
      </c>
      <c r="L291" s="8" t="s">
        <v>1682</v>
      </c>
      <c r="M291" t="s">
        <v>2590</v>
      </c>
      <c r="N291" t="s">
        <v>2591</v>
      </c>
      <c r="O291" t="s">
        <v>2062</v>
      </c>
      <c r="P291" t="s">
        <v>2063</v>
      </c>
      <c r="Q291" t="s">
        <v>1687</v>
      </c>
      <c r="R291" t="s">
        <v>1688</v>
      </c>
      <c r="S291" t="s">
        <v>1689</v>
      </c>
      <c r="T291" t="s">
        <v>1690</v>
      </c>
      <c r="U291" s="5">
        <v>4694.6499999999996</v>
      </c>
      <c r="V291" s="5">
        <v>4688.09</v>
      </c>
      <c r="W291" s="5">
        <v>12.804639</v>
      </c>
      <c r="X291" s="5">
        <v>109.33377299999999</v>
      </c>
      <c r="Y291" s="5">
        <v>6.55</v>
      </c>
      <c r="Z291" s="5">
        <v>12.803207</v>
      </c>
      <c r="AA291" s="5">
        <v>109.33374000000001</v>
      </c>
      <c r="AB291" s="7">
        <f t="shared" si="25"/>
        <v>7.0321350000000002</v>
      </c>
      <c r="AC291" s="7">
        <f t="shared" si="26"/>
        <v>9.8249999999999987E-3</v>
      </c>
      <c r="AD291" s="6" t="str">
        <f t="shared" si="27"/>
        <v>3.CA Tu Bông</v>
      </c>
      <c r="AE291" s="6" t="str">
        <f t="shared" si="28"/>
        <v>CA Đại Lãnh_Cột trung thế</v>
      </c>
      <c r="AG291">
        <f t="shared" si="29"/>
        <v>4.6880899999999999</v>
      </c>
      <c r="AH291">
        <f t="shared" si="30"/>
        <v>6.5499999999999994E-3</v>
      </c>
    </row>
    <row r="292" spans="1:34" x14ac:dyDescent="0.25">
      <c r="A292" t="s">
        <v>2592</v>
      </c>
      <c r="B292" t="s">
        <v>2593</v>
      </c>
      <c r="C292" t="s">
        <v>2594</v>
      </c>
      <c r="D292" t="s">
        <v>345</v>
      </c>
      <c r="E292" t="s">
        <v>346</v>
      </c>
      <c r="F292" t="s">
        <v>2595</v>
      </c>
      <c r="G292" t="s">
        <v>15979</v>
      </c>
      <c r="H292" t="s">
        <v>15980</v>
      </c>
      <c r="I292" t="s">
        <v>16113</v>
      </c>
      <c r="J292" t="s">
        <v>23</v>
      </c>
      <c r="L292" s="8" t="s">
        <v>350</v>
      </c>
      <c r="M292" t="s">
        <v>2596</v>
      </c>
      <c r="N292" t="s">
        <v>2597</v>
      </c>
      <c r="O292" t="s">
        <v>2598</v>
      </c>
      <c r="P292" t="s">
        <v>2599</v>
      </c>
      <c r="Q292" t="s">
        <v>352</v>
      </c>
      <c r="R292" t="s">
        <v>353</v>
      </c>
      <c r="S292" t="s">
        <v>354</v>
      </c>
      <c r="T292" t="s">
        <v>358</v>
      </c>
      <c r="U292" s="5">
        <v>252.31</v>
      </c>
      <c r="V292" s="5">
        <v>152.31</v>
      </c>
      <c r="W292" s="5">
        <v>11.923322000000001</v>
      </c>
      <c r="X292" s="5">
        <v>109.126536</v>
      </c>
      <c r="Y292" s="5">
        <v>100</v>
      </c>
      <c r="Z292" s="5">
        <v>11.941592</v>
      </c>
      <c r="AA292" s="5">
        <v>109.11218100000001</v>
      </c>
      <c r="AB292" s="7">
        <f t="shared" si="25"/>
        <v>0.228465</v>
      </c>
      <c r="AC292" s="7">
        <f t="shared" si="26"/>
        <v>0.15</v>
      </c>
      <c r="AD292" s="6" t="str">
        <f t="shared" si="27"/>
        <v>3.Cam Ranh</v>
      </c>
      <c r="AE292" s="6" t="str">
        <f t="shared" si="28"/>
        <v>Khánh Sơn</v>
      </c>
      <c r="AG292">
        <f t="shared" si="29"/>
        <v>0.15231</v>
      </c>
      <c r="AH292">
        <f t="shared" si="30"/>
        <v>0.1</v>
      </c>
    </row>
    <row r="293" spans="1:34" x14ac:dyDescent="0.25">
      <c r="A293" t="s">
        <v>2600</v>
      </c>
      <c r="B293" t="s">
        <v>1018</v>
      </c>
      <c r="C293" t="s">
        <v>1019</v>
      </c>
      <c r="D293" t="s">
        <v>345</v>
      </c>
      <c r="E293" t="s">
        <v>346</v>
      </c>
      <c r="F293" t="s">
        <v>2601</v>
      </c>
      <c r="G293" t="s">
        <v>15979</v>
      </c>
      <c r="H293" t="s">
        <v>15980</v>
      </c>
      <c r="I293" t="s">
        <v>16114</v>
      </c>
      <c r="J293" t="s">
        <v>23</v>
      </c>
      <c r="L293" s="8" t="s">
        <v>244</v>
      </c>
      <c r="M293" t="s">
        <v>2602</v>
      </c>
      <c r="N293" t="s">
        <v>2603</v>
      </c>
      <c r="O293" t="s">
        <v>2604</v>
      </c>
      <c r="P293" t="s">
        <v>2605</v>
      </c>
      <c r="Q293" t="s">
        <v>1315</v>
      </c>
      <c r="R293" t="s">
        <v>1316</v>
      </c>
      <c r="S293" t="s">
        <v>1317</v>
      </c>
      <c r="T293" t="s">
        <v>1318</v>
      </c>
      <c r="U293" s="5">
        <v>95.74</v>
      </c>
      <c r="V293" s="5">
        <v>89.11</v>
      </c>
      <c r="W293" s="5">
        <v>11.956004</v>
      </c>
      <c r="X293" s="5">
        <v>109.103488</v>
      </c>
      <c r="Y293" s="5">
        <v>6.63</v>
      </c>
      <c r="Z293" s="5">
        <v>11.941641000000001</v>
      </c>
      <c r="AA293" s="5">
        <v>109.11304800000001</v>
      </c>
      <c r="AB293" s="7">
        <f t="shared" si="25"/>
        <v>0.13366499999999998</v>
      </c>
      <c r="AC293" s="7">
        <f t="shared" si="26"/>
        <v>9.9450000000000007E-3</v>
      </c>
      <c r="AD293" s="6" t="str">
        <f t="shared" si="27"/>
        <v>5. Cam Phước Đông</v>
      </c>
      <c r="AE293" s="6" t="str">
        <f t="shared" si="28"/>
        <v>CAT Khánh Hòa</v>
      </c>
      <c r="AG293">
        <f t="shared" si="29"/>
        <v>8.9109999999999995E-2</v>
      </c>
      <c r="AH293">
        <f t="shared" si="30"/>
        <v>6.6299999999999996E-3</v>
      </c>
    </row>
    <row r="294" spans="1:34" x14ac:dyDescent="0.25">
      <c r="A294" t="s">
        <v>2606</v>
      </c>
      <c r="B294" t="s">
        <v>2607</v>
      </c>
      <c r="C294" t="s">
        <v>2608</v>
      </c>
      <c r="D294" t="s">
        <v>1720</v>
      </c>
      <c r="E294" t="s">
        <v>1721</v>
      </c>
      <c r="F294" t="s">
        <v>2609</v>
      </c>
      <c r="G294" t="s">
        <v>15979</v>
      </c>
      <c r="H294" t="s">
        <v>15980</v>
      </c>
      <c r="I294" t="s">
        <v>16115</v>
      </c>
      <c r="J294" t="s">
        <v>23</v>
      </c>
      <c r="L294" s="8" t="s">
        <v>1587</v>
      </c>
      <c r="M294" t="s">
        <v>2610</v>
      </c>
      <c r="N294" t="s">
        <v>2611</v>
      </c>
      <c r="O294" t="s">
        <v>2041</v>
      </c>
      <c r="P294" t="s">
        <v>2042</v>
      </c>
      <c r="Q294" t="s">
        <v>2037</v>
      </c>
      <c r="R294" t="s">
        <v>2038</v>
      </c>
      <c r="S294" t="s">
        <v>2039</v>
      </c>
      <c r="T294" t="s">
        <v>2043</v>
      </c>
      <c r="U294" s="5">
        <v>191.34</v>
      </c>
      <c r="V294" s="5">
        <v>163.41</v>
      </c>
      <c r="W294" s="5">
        <v>12.541454999999999</v>
      </c>
      <c r="X294" s="5">
        <v>109.16320399999999</v>
      </c>
      <c r="Y294" s="5">
        <v>27.93</v>
      </c>
      <c r="Z294" s="5">
        <v>12.531679</v>
      </c>
      <c r="AA294" s="5">
        <v>109.160657</v>
      </c>
      <c r="AB294" s="7">
        <f t="shared" si="25"/>
        <v>0.245115</v>
      </c>
      <c r="AC294" s="7">
        <f t="shared" si="26"/>
        <v>4.1894999999999995E-2</v>
      </c>
      <c r="AD294" s="6" t="str">
        <f t="shared" si="27"/>
        <v>5.Vạn Ninh</v>
      </c>
      <c r="AE294" s="6" t="str">
        <f t="shared" si="28"/>
        <v>CAT Khánh Hòa</v>
      </c>
      <c r="AG294">
        <f t="shared" si="29"/>
        <v>0.16341</v>
      </c>
      <c r="AH294">
        <f t="shared" si="30"/>
        <v>2.793E-2</v>
      </c>
    </row>
    <row r="295" spans="1:34" x14ac:dyDescent="0.25">
      <c r="A295" t="s">
        <v>2612</v>
      </c>
      <c r="B295" t="s">
        <v>2613</v>
      </c>
      <c r="C295" t="s">
        <v>2614</v>
      </c>
      <c r="D295" t="s">
        <v>92</v>
      </c>
      <c r="E295" t="s">
        <v>93</v>
      </c>
      <c r="F295" t="s">
        <v>2615</v>
      </c>
      <c r="G295" t="s">
        <v>15979</v>
      </c>
      <c r="H295" t="s">
        <v>15980</v>
      </c>
      <c r="I295" t="s">
        <v>16116</v>
      </c>
      <c r="J295" t="s">
        <v>23</v>
      </c>
      <c r="L295" s="8" t="s">
        <v>282</v>
      </c>
      <c r="M295" t="s">
        <v>2616</v>
      </c>
      <c r="N295" t="s">
        <v>2617</v>
      </c>
      <c r="O295" t="s">
        <v>2618</v>
      </c>
      <c r="P295" t="s">
        <v>2619</v>
      </c>
      <c r="Q295" t="s">
        <v>1977</v>
      </c>
      <c r="R295" t="s">
        <v>288</v>
      </c>
      <c r="S295" t="s">
        <v>289</v>
      </c>
      <c r="T295" t="s">
        <v>290</v>
      </c>
      <c r="U295" s="5">
        <v>614.77</v>
      </c>
      <c r="V295" s="5">
        <v>331.29</v>
      </c>
      <c r="W295" s="5">
        <v>12.238712</v>
      </c>
      <c r="X295" s="5">
        <v>109.186746</v>
      </c>
      <c r="Y295" s="5">
        <v>283.48</v>
      </c>
      <c r="Z295" s="5">
        <v>12.243925000000001</v>
      </c>
      <c r="AA295" s="5">
        <v>109.189556</v>
      </c>
      <c r="AB295" s="7">
        <f t="shared" si="25"/>
        <v>0.49693500000000007</v>
      </c>
      <c r="AC295" s="7">
        <f t="shared" si="26"/>
        <v>0.42522000000000004</v>
      </c>
      <c r="AD295" s="6" t="str">
        <f t="shared" si="27"/>
        <v>1.CATP Nha trang cũ</v>
      </c>
      <c r="AE295" s="6" t="str">
        <f t="shared" si="28"/>
        <v>PC07</v>
      </c>
      <c r="AG295">
        <f t="shared" si="29"/>
        <v>0.33129000000000003</v>
      </c>
      <c r="AH295">
        <f t="shared" si="30"/>
        <v>0.28348000000000001</v>
      </c>
    </row>
    <row r="296" spans="1:34" x14ac:dyDescent="0.25">
      <c r="A296" t="s">
        <v>2620</v>
      </c>
      <c r="B296" t="s">
        <v>2621</v>
      </c>
      <c r="C296" t="s">
        <v>2622</v>
      </c>
      <c r="D296" t="s">
        <v>77</v>
      </c>
      <c r="E296" t="s">
        <v>78</v>
      </c>
      <c r="F296" t="s">
        <v>2623</v>
      </c>
      <c r="G296" t="s">
        <v>15979</v>
      </c>
      <c r="H296" t="s">
        <v>15980</v>
      </c>
      <c r="I296" t="s">
        <v>16117</v>
      </c>
      <c r="J296" t="s">
        <v>23</v>
      </c>
      <c r="L296" s="8" t="s">
        <v>110</v>
      </c>
      <c r="M296" t="s">
        <v>2624</v>
      </c>
      <c r="N296" t="s">
        <v>2625</v>
      </c>
      <c r="O296" t="s">
        <v>330</v>
      </c>
      <c r="P296" t="s">
        <v>331</v>
      </c>
      <c r="Q296" t="s">
        <v>112</v>
      </c>
      <c r="R296" t="s">
        <v>113</v>
      </c>
      <c r="S296" t="s">
        <v>114</v>
      </c>
      <c r="T296" t="s">
        <v>118</v>
      </c>
      <c r="U296" s="5">
        <v>809.79</v>
      </c>
      <c r="V296" s="5">
        <v>806.45</v>
      </c>
      <c r="W296" s="5">
        <v>12.196674</v>
      </c>
      <c r="X296" s="5">
        <v>109.174234</v>
      </c>
      <c r="Y296" s="5">
        <v>3.34</v>
      </c>
      <c r="Z296" s="5">
        <v>12.175723</v>
      </c>
      <c r="AA296" s="5">
        <v>109.17368</v>
      </c>
      <c r="AB296" s="7">
        <f t="shared" si="25"/>
        <v>1.2096750000000003</v>
      </c>
      <c r="AC296" s="7">
        <f t="shared" si="26"/>
        <v>5.0099999999999997E-3</v>
      </c>
      <c r="AD296" s="6" t="str">
        <f t="shared" si="27"/>
        <v>4.PC11a</v>
      </c>
      <c r="AE296" s="6" t="str">
        <f t="shared" si="28"/>
        <v>PC02_Đoạn cột trung thế</v>
      </c>
      <c r="AG296">
        <f t="shared" si="29"/>
        <v>0.80645</v>
      </c>
      <c r="AH296">
        <f t="shared" si="30"/>
        <v>3.3399999999999997E-3</v>
      </c>
    </row>
    <row r="297" spans="1:34" x14ac:dyDescent="0.25">
      <c r="A297" t="s">
        <v>2626</v>
      </c>
      <c r="B297" t="s">
        <v>2627</v>
      </c>
      <c r="C297" t="s">
        <v>2628</v>
      </c>
      <c r="D297" t="s">
        <v>1504</v>
      </c>
      <c r="E297" t="s">
        <v>1505</v>
      </c>
      <c r="F297" t="s">
        <v>2629</v>
      </c>
      <c r="G297" t="s">
        <v>15979</v>
      </c>
      <c r="H297" t="s">
        <v>15980</v>
      </c>
      <c r="I297" t="s">
        <v>16118</v>
      </c>
      <c r="J297" t="s">
        <v>23</v>
      </c>
      <c r="L297" s="8" t="s">
        <v>1349</v>
      </c>
      <c r="M297" t="s">
        <v>2630</v>
      </c>
      <c r="N297" t="s">
        <v>2631</v>
      </c>
      <c r="O297" t="s">
        <v>2632</v>
      </c>
      <c r="P297" t="s">
        <v>2633</v>
      </c>
      <c r="Q297" t="s">
        <v>2634</v>
      </c>
      <c r="R297" t="s">
        <v>2632</v>
      </c>
      <c r="S297" t="s">
        <v>2633</v>
      </c>
      <c r="T297" t="s">
        <v>1357</v>
      </c>
      <c r="U297" s="5">
        <v>55.2</v>
      </c>
      <c r="V297" s="5">
        <v>53.16</v>
      </c>
      <c r="W297" s="5">
        <v>12.219007</v>
      </c>
      <c r="X297" s="5">
        <v>109.204294</v>
      </c>
      <c r="Y297" s="5">
        <v>2.04</v>
      </c>
      <c r="Z297" s="5">
        <v>12.219007</v>
      </c>
      <c r="AA297" s="5">
        <v>109.204294</v>
      </c>
      <c r="AB297" s="7">
        <f t="shared" si="25"/>
        <v>7.9739999999999991E-2</v>
      </c>
      <c r="AC297" s="7">
        <f t="shared" si="26"/>
        <v>3.0600000000000002E-3</v>
      </c>
      <c r="AD297" s="6" t="str">
        <f t="shared" si="27"/>
        <v>Tuyến nhánh PC02</v>
      </c>
      <c r="AE297" s="6" t="str">
        <f t="shared" si="28"/>
        <v>PC08 (CSGT đường thủy)</v>
      </c>
      <c r="AG297">
        <f t="shared" si="29"/>
        <v>5.3159999999999999E-2</v>
      </c>
      <c r="AH297">
        <f t="shared" si="30"/>
        <v>2.0400000000000001E-3</v>
      </c>
    </row>
    <row r="298" spans="1:34" x14ac:dyDescent="0.25">
      <c r="A298" t="s">
        <v>2635</v>
      </c>
      <c r="B298" t="s">
        <v>2636</v>
      </c>
      <c r="C298" t="s">
        <v>2637</v>
      </c>
      <c r="D298" t="s">
        <v>197</v>
      </c>
      <c r="E298" t="s">
        <v>198</v>
      </c>
      <c r="F298" t="s">
        <v>2638</v>
      </c>
      <c r="G298" t="s">
        <v>15979</v>
      </c>
      <c r="H298" t="s">
        <v>15980</v>
      </c>
      <c r="I298" t="s">
        <v>16119</v>
      </c>
      <c r="J298" t="s">
        <v>23</v>
      </c>
      <c r="L298" s="8" t="s">
        <v>2179</v>
      </c>
      <c r="M298" t="s">
        <v>2639</v>
      </c>
      <c r="N298" t="s">
        <v>2640</v>
      </c>
      <c r="O298" t="s">
        <v>2182</v>
      </c>
      <c r="P298" t="s">
        <v>2183</v>
      </c>
      <c r="Q298" t="s">
        <v>942</v>
      </c>
      <c r="R298" t="s">
        <v>2182</v>
      </c>
      <c r="S298" t="s">
        <v>2183</v>
      </c>
      <c r="T298" t="s">
        <v>2184</v>
      </c>
      <c r="U298" s="5">
        <v>1340.05</v>
      </c>
      <c r="V298" s="5">
        <v>1334.87</v>
      </c>
      <c r="W298" s="5">
        <v>12.256762</v>
      </c>
      <c r="X298" s="5">
        <v>109.197648</v>
      </c>
      <c r="Y298" s="5">
        <v>5.18</v>
      </c>
      <c r="Z298" s="5">
        <v>12.256762</v>
      </c>
      <c r="AA298" s="5">
        <v>109.197648</v>
      </c>
      <c r="AB298" s="7">
        <f t="shared" si="25"/>
        <v>2.0023049999999998</v>
      </c>
      <c r="AC298" s="7">
        <f t="shared" si="26"/>
        <v>7.77E-3</v>
      </c>
      <c r="AD298" s="6" t="str">
        <f t="shared" si="27"/>
        <v>Tuyến nhánh PA06 cs1</v>
      </c>
      <c r="AE298" s="6" t="str">
        <f t="shared" si="28"/>
        <v>Nhà nghỉ dưỡng 378 BCA_Cột trung thế</v>
      </c>
      <c r="AG298">
        <f t="shared" si="29"/>
        <v>1.33487</v>
      </c>
      <c r="AH298">
        <f t="shared" si="30"/>
        <v>5.1799999999999997E-3</v>
      </c>
    </row>
    <row r="299" spans="1:34" x14ac:dyDescent="0.25">
      <c r="A299" t="s">
        <v>2641</v>
      </c>
      <c r="B299" t="s">
        <v>2642</v>
      </c>
      <c r="C299" t="s">
        <v>2643</v>
      </c>
      <c r="D299" t="s">
        <v>1504</v>
      </c>
      <c r="E299" t="s">
        <v>1505</v>
      </c>
      <c r="F299" t="s">
        <v>2644</v>
      </c>
      <c r="G299" t="s">
        <v>15979</v>
      </c>
      <c r="H299" t="s">
        <v>15980</v>
      </c>
      <c r="I299" t="s">
        <v>16120</v>
      </c>
      <c r="J299" t="s">
        <v>23</v>
      </c>
      <c r="L299" s="8" t="s">
        <v>110</v>
      </c>
      <c r="M299" t="s">
        <v>2645</v>
      </c>
      <c r="N299" t="s">
        <v>2646</v>
      </c>
      <c r="O299" t="s">
        <v>2647</v>
      </c>
      <c r="P299" t="s">
        <v>2648</v>
      </c>
      <c r="Q299" t="s">
        <v>611</v>
      </c>
      <c r="R299" t="s">
        <v>1511</v>
      </c>
      <c r="S299" t="s">
        <v>1512</v>
      </c>
      <c r="T299" t="s">
        <v>118</v>
      </c>
      <c r="U299" s="5">
        <v>342.24</v>
      </c>
      <c r="V299" s="5">
        <v>338.62</v>
      </c>
      <c r="W299" s="5">
        <v>12.21711</v>
      </c>
      <c r="X299" s="5">
        <v>109.20002700000001</v>
      </c>
      <c r="Y299" s="5">
        <v>3.61</v>
      </c>
      <c r="Z299" s="5">
        <v>12.219013</v>
      </c>
      <c r="AA299" s="5">
        <v>109.20427599999999</v>
      </c>
      <c r="AB299" s="7">
        <f t="shared" si="25"/>
        <v>0.50792999999999999</v>
      </c>
      <c r="AC299" s="7">
        <f t="shared" si="26"/>
        <v>5.4149999999999997E-3</v>
      </c>
      <c r="AD299" s="6" t="str">
        <f t="shared" si="27"/>
        <v>4.PC11a</v>
      </c>
      <c r="AE299" s="6" t="str">
        <f t="shared" si="28"/>
        <v>PC02_Đoạn cột trung thế</v>
      </c>
      <c r="AG299">
        <f t="shared" si="29"/>
        <v>0.33862000000000003</v>
      </c>
      <c r="AH299">
        <f t="shared" si="30"/>
        <v>3.6099999999999999E-3</v>
      </c>
    </row>
    <row r="300" spans="1:34" x14ac:dyDescent="0.25">
      <c r="A300" t="s">
        <v>2649</v>
      </c>
      <c r="B300" t="s">
        <v>2650</v>
      </c>
      <c r="C300" t="s">
        <v>2651</v>
      </c>
      <c r="D300" t="s">
        <v>128</v>
      </c>
      <c r="E300" t="s">
        <v>129</v>
      </c>
      <c r="F300" t="s">
        <v>2652</v>
      </c>
      <c r="G300" t="s">
        <v>15979</v>
      </c>
      <c r="H300" t="s">
        <v>15980</v>
      </c>
      <c r="I300" t="s">
        <v>16121</v>
      </c>
      <c r="J300" t="s">
        <v>23</v>
      </c>
      <c r="L300" s="8" t="s">
        <v>681</v>
      </c>
      <c r="M300" t="s">
        <v>2653</v>
      </c>
      <c r="N300" t="s">
        <v>2654</v>
      </c>
      <c r="O300" t="s">
        <v>687</v>
      </c>
      <c r="P300" t="s">
        <v>688</v>
      </c>
      <c r="Q300" t="s">
        <v>683</v>
      </c>
      <c r="R300" t="s">
        <v>684</v>
      </c>
      <c r="S300" t="s">
        <v>685</v>
      </c>
      <c r="T300" t="s">
        <v>689</v>
      </c>
      <c r="U300" s="5">
        <v>1099.43</v>
      </c>
      <c r="V300" s="5">
        <v>775.24</v>
      </c>
      <c r="W300" s="5">
        <v>12.246922</v>
      </c>
      <c r="X300" s="5">
        <v>109.181597</v>
      </c>
      <c r="Y300" s="5">
        <v>324.19</v>
      </c>
      <c r="Z300" s="5">
        <v>12.249235000000001</v>
      </c>
      <c r="AA300" s="5">
        <v>109.192435</v>
      </c>
      <c r="AB300" s="7">
        <f t="shared" si="25"/>
        <v>1.1628600000000002</v>
      </c>
      <c r="AC300" s="7">
        <f t="shared" si="26"/>
        <v>0.48628499999999997</v>
      </c>
      <c r="AD300" s="6" t="str">
        <f t="shared" si="27"/>
        <v>2.CA Nam Nha Trang</v>
      </c>
      <c r="AE300" s="6" t="str">
        <f t="shared" si="28"/>
        <v>CA Nha Trang</v>
      </c>
      <c r="AG300">
        <f t="shared" si="29"/>
        <v>0.77524000000000004</v>
      </c>
      <c r="AH300">
        <f t="shared" si="30"/>
        <v>0.32418999999999998</v>
      </c>
    </row>
    <row r="301" spans="1:34" x14ac:dyDescent="0.25">
      <c r="A301" t="s">
        <v>2655</v>
      </c>
      <c r="B301" t="s">
        <v>2656</v>
      </c>
      <c r="C301" t="s">
        <v>2657</v>
      </c>
      <c r="D301" t="s">
        <v>2658</v>
      </c>
      <c r="E301" t="s">
        <v>2659</v>
      </c>
      <c r="F301" t="s">
        <v>2660</v>
      </c>
      <c r="G301" t="s">
        <v>15827</v>
      </c>
      <c r="H301" t="s">
        <v>15828</v>
      </c>
      <c r="I301" t="s">
        <v>16122</v>
      </c>
      <c r="J301" t="s">
        <v>23</v>
      </c>
      <c r="L301" t="s">
        <v>2661</v>
      </c>
      <c r="M301" t="s">
        <v>2662</v>
      </c>
      <c r="N301" t="s">
        <v>2663</v>
      </c>
      <c r="O301" t="s">
        <v>2664</v>
      </c>
      <c r="P301" t="s">
        <v>2665</v>
      </c>
      <c r="Q301" t="s">
        <v>2666</v>
      </c>
      <c r="R301" t="s">
        <v>2667</v>
      </c>
      <c r="S301" t="s">
        <v>2668</v>
      </c>
      <c r="T301" t="s">
        <v>2669</v>
      </c>
      <c r="U301" s="5">
        <v>2815.96</v>
      </c>
      <c r="V301" s="5">
        <v>2735.47</v>
      </c>
      <c r="W301" s="5">
        <v>16.798327</v>
      </c>
      <c r="X301" s="5">
        <v>107.124168</v>
      </c>
      <c r="Y301" s="5">
        <v>80.489999999999995</v>
      </c>
      <c r="Z301" s="5">
        <v>16.790924</v>
      </c>
      <c r="AA301" s="5">
        <v>107.10477400000001</v>
      </c>
      <c r="AB301" s="7">
        <f t="shared" si="25"/>
        <v>4.103205</v>
      </c>
      <c r="AC301" s="7">
        <f t="shared" si="26"/>
        <v>0.12073499999999998</v>
      </c>
      <c r="AD301" s="6" t="str">
        <f t="shared" si="27"/>
        <v>CA Công an Quảng Trị</v>
      </c>
      <c r="AE301" s="6" t="str">
        <f t="shared" si="28"/>
        <v>Triệu Phong</v>
      </c>
      <c r="AG301">
        <f t="shared" si="29"/>
        <v>2.7354699999999998</v>
      </c>
      <c r="AH301">
        <f t="shared" si="30"/>
        <v>8.0489999999999992E-2</v>
      </c>
    </row>
    <row r="302" spans="1:34" x14ac:dyDescent="0.25">
      <c r="A302" t="s">
        <v>2670</v>
      </c>
      <c r="B302" t="s">
        <v>2671</v>
      </c>
      <c r="C302" t="s">
        <v>2672</v>
      </c>
      <c r="D302" t="s">
        <v>2658</v>
      </c>
      <c r="E302" t="s">
        <v>2659</v>
      </c>
      <c r="F302" t="s">
        <v>2673</v>
      </c>
      <c r="G302" t="s">
        <v>15827</v>
      </c>
      <c r="H302" t="s">
        <v>15828</v>
      </c>
      <c r="I302" t="s">
        <v>16123</v>
      </c>
      <c r="J302" t="s">
        <v>23</v>
      </c>
      <c r="L302" t="s">
        <v>2674</v>
      </c>
      <c r="M302" t="s">
        <v>2675</v>
      </c>
      <c r="N302" t="s">
        <v>2676</v>
      </c>
      <c r="O302" t="s">
        <v>2677</v>
      </c>
      <c r="P302" t="s">
        <v>2678</v>
      </c>
      <c r="Q302" t="s">
        <v>2679</v>
      </c>
      <c r="R302" t="s">
        <v>2680</v>
      </c>
      <c r="S302" t="s">
        <v>2681</v>
      </c>
      <c r="T302" t="s">
        <v>2682</v>
      </c>
      <c r="U302" s="5">
        <v>8982.56</v>
      </c>
      <c r="V302" s="5">
        <v>8918.31</v>
      </c>
      <c r="W302" s="5">
        <v>16.803405000000001</v>
      </c>
      <c r="X302" s="5">
        <v>107.021788</v>
      </c>
      <c r="Y302" s="5">
        <v>64.25</v>
      </c>
      <c r="Z302" s="5">
        <v>16.790624000000001</v>
      </c>
      <c r="AA302" s="5">
        <v>107.103763</v>
      </c>
      <c r="AB302" s="7">
        <f t="shared" si="25"/>
        <v>13.377465000000001</v>
      </c>
      <c r="AC302" s="7">
        <f t="shared" si="26"/>
        <v>9.6375000000000002E-2</v>
      </c>
      <c r="AD302" s="6" t="str">
        <f t="shared" si="27"/>
        <v>TT2 Quảng Trị</v>
      </c>
      <c r="AE302" s="6" t="str">
        <f t="shared" si="28"/>
        <v>Đăk Rông</v>
      </c>
      <c r="AG302">
        <f t="shared" si="29"/>
        <v>8.91831</v>
      </c>
      <c r="AH302">
        <f t="shared" si="30"/>
        <v>6.4250000000000002E-2</v>
      </c>
    </row>
    <row r="303" spans="1:34" x14ac:dyDescent="0.25">
      <c r="A303" t="s">
        <v>2683</v>
      </c>
      <c r="B303" t="s">
        <v>2684</v>
      </c>
      <c r="C303" t="s">
        <v>2685</v>
      </c>
      <c r="D303" t="s">
        <v>2658</v>
      </c>
      <c r="E303" t="s">
        <v>2659</v>
      </c>
      <c r="F303" t="s">
        <v>2686</v>
      </c>
      <c r="G303" t="s">
        <v>15827</v>
      </c>
      <c r="H303" t="s">
        <v>15828</v>
      </c>
      <c r="I303" t="s">
        <v>16124</v>
      </c>
      <c r="J303" t="s">
        <v>23</v>
      </c>
      <c r="L303" t="s">
        <v>2687</v>
      </c>
      <c r="M303" t="s">
        <v>2688</v>
      </c>
      <c r="N303" t="s">
        <v>2689</v>
      </c>
      <c r="O303" t="s">
        <v>2690</v>
      </c>
      <c r="P303" t="s">
        <v>2691</v>
      </c>
      <c r="Q303" t="s">
        <v>2692</v>
      </c>
      <c r="R303" t="s">
        <v>2693</v>
      </c>
      <c r="S303" t="s">
        <v>2694</v>
      </c>
      <c r="T303" t="s">
        <v>2695</v>
      </c>
      <c r="U303" s="5">
        <v>112.13</v>
      </c>
      <c r="V303" s="5">
        <v>40.36</v>
      </c>
      <c r="W303" s="5">
        <v>16.790599</v>
      </c>
      <c r="X303" s="5">
        <v>107.091199</v>
      </c>
      <c r="Y303" s="5">
        <v>71.77</v>
      </c>
      <c r="Z303" s="5">
        <v>16.790613</v>
      </c>
      <c r="AA303" s="5">
        <v>107.10368</v>
      </c>
      <c r="AB303" s="7">
        <f t="shared" si="25"/>
        <v>6.0539999999999997E-2</v>
      </c>
      <c r="AC303" s="7">
        <f t="shared" si="26"/>
        <v>0.107655</v>
      </c>
      <c r="AD303" s="6" t="str">
        <f t="shared" si="27"/>
        <v>TT2 Quảng Trị</v>
      </c>
      <c r="AE303" s="6" t="str">
        <f t="shared" si="28"/>
        <v>PC07</v>
      </c>
      <c r="AG303">
        <f t="shared" si="29"/>
        <v>4.036E-2</v>
      </c>
      <c r="AH303">
        <f t="shared" si="30"/>
        <v>7.177E-2</v>
      </c>
    </row>
    <row r="304" spans="1:34" x14ac:dyDescent="0.25">
      <c r="A304" t="s">
        <v>2696</v>
      </c>
      <c r="B304" t="s">
        <v>2697</v>
      </c>
      <c r="C304" t="s">
        <v>2698</v>
      </c>
      <c r="D304" t="s">
        <v>2658</v>
      </c>
      <c r="E304" t="s">
        <v>2659</v>
      </c>
      <c r="F304" t="s">
        <v>2699</v>
      </c>
      <c r="G304" t="s">
        <v>15827</v>
      </c>
      <c r="H304" t="s">
        <v>15831</v>
      </c>
      <c r="I304" t="s">
        <v>16125</v>
      </c>
      <c r="J304" t="s">
        <v>23</v>
      </c>
      <c r="L304" t="s">
        <v>2700</v>
      </c>
      <c r="M304" t="s">
        <v>2701</v>
      </c>
      <c r="N304" t="s">
        <v>2702</v>
      </c>
      <c r="O304" t="s">
        <v>2703</v>
      </c>
      <c r="P304" t="s">
        <v>2704</v>
      </c>
      <c r="Q304" t="s">
        <v>2705</v>
      </c>
      <c r="R304" t="s">
        <v>2706</v>
      </c>
      <c r="S304" t="s">
        <v>2707</v>
      </c>
      <c r="T304" t="s">
        <v>2708</v>
      </c>
      <c r="U304" s="5">
        <v>4955.32</v>
      </c>
      <c r="V304" s="5">
        <v>1526.92</v>
      </c>
      <c r="W304" s="5">
        <v>16.749236</v>
      </c>
      <c r="X304" s="5">
        <v>107.17827200000001</v>
      </c>
      <c r="Y304" s="5">
        <v>3428.4</v>
      </c>
      <c r="Z304" s="5">
        <v>16.791696000000002</v>
      </c>
      <c r="AA304" s="5">
        <v>107.136475</v>
      </c>
      <c r="AB304" s="7">
        <f t="shared" si="25"/>
        <v>2.2903800000000003</v>
      </c>
      <c r="AC304" s="7">
        <f t="shared" si="26"/>
        <v>5.1426000000000007</v>
      </c>
      <c r="AD304" s="6" t="str">
        <f t="shared" si="27"/>
        <v>Hải Lăng</v>
      </c>
      <c r="AE304" s="6" t="str">
        <f t="shared" si="28"/>
        <v>TT2 Quảng Trị</v>
      </c>
      <c r="AG304">
        <f t="shared" si="29"/>
        <v>1.5269200000000001</v>
      </c>
      <c r="AH304">
        <f t="shared" si="30"/>
        <v>3.4283999999999999</v>
      </c>
    </row>
    <row r="305" spans="1:34" x14ac:dyDescent="0.25">
      <c r="A305" t="s">
        <v>2709</v>
      </c>
      <c r="B305" t="s">
        <v>2710</v>
      </c>
      <c r="C305" t="s">
        <v>2711</v>
      </c>
      <c r="D305" t="s">
        <v>2658</v>
      </c>
      <c r="E305" t="s">
        <v>2659</v>
      </c>
      <c r="F305" t="s">
        <v>2712</v>
      </c>
      <c r="G305" t="s">
        <v>15827</v>
      </c>
      <c r="H305" t="s">
        <v>15831</v>
      </c>
      <c r="I305" t="s">
        <v>16126</v>
      </c>
      <c r="J305" t="s">
        <v>23</v>
      </c>
      <c r="L305" t="s">
        <v>2661</v>
      </c>
      <c r="M305" t="s">
        <v>2713</v>
      </c>
      <c r="N305" t="s">
        <v>2714</v>
      </c>
      <c r="O305" t="s">
        <v>2664</v>
      </c>
      <c r="P305" t="s">
        <v>2665</v>
      </c>
      <c r="Q305" t="s">
        <v>2666</v>
      </c>
      <c r="R305" t="s">
        <v>2667</v>
      </c>
      <c r="S305" t="s">
        <v>2668</v>
      </c>
      <c r="T305" t="s">
        <v>2669</v>
      </c>
      <c r="U305" s="5">
        <v>4033.4</v>
      </c>
      <c r="V305" s="5">
        <v>3952.91</v>
      </c>
      <c r="W305" s="5">
        <v>16.798327</v>
      </c>
      <c r="X305" s="5">
        <v>107.124168</v>
      </c>
      <c r="Y305" s="5">
        <v>80.489999999999995</v>
      </c>
      <c r="Z305" s="5">
        <v>16.790924</v>
      </c>
      <c r="AA305" s="5">
        <v>107.10477400000001</v>
      </c>
      <c r="AB305" s="7">
        <f t="shared" si="25"/>
        <v>5.9293649999999998</v>
      </c>
      <c r="AC305" s="7">
        <f t="shared" si="26"/>
        <v>0.12073499999999998</v>
      </c>
      <c r="AD305" s="6" t="str">
        <f t="shared" si="27"/>
        <v>CA Công an Quảng Trị</v>
      </c>
      <c r="AE305" s="6" t="str">
        <f t="shared" si="28"/>
        <v>Triệu Phong</v>
      </c>
      <c r="AG305">
        <f t="shared" si="29"/>
        <v>3.9529099999999997</v>
      </c>
      <c r="AH305">
        <f t="shared" si="30"/>
        <v>8.0489999999999992E-2</v>
      </c>
    </row>
    <row r="306" spans="1:34" x14ac:dyDescent="0.25">
      <c r="A306" t="s">
        <v>2715</v>
      </c>
      <c r="B306" t="s">
        <v>2716</v>
      </c>
      <c r="C306" t="s">
        <v>2717</v>
      </c>
      <c r="D306" t="s">
        <v>2718</v>
      </c>
      <c r="E306" t="s">
        <v>2719</v>
      </c>
      <c r="F306" t="s">
        <v>2720</v>
      </c>
      <c r="G306" t="s">
        <v>15827</v>
      </c>
      <c r="H306" t="s">
        <v>15828</v>
      </c>
      <c r="I306" t="s">
        <v>16127</v>
      </c>
      <c r="J306" t="s">
        <v>23</v>
      </c>
      <c r="L306" t="s">
        <v>2721</v>
      </c>
      <c r="M306" t="s">
        <v>2722</v>
      </c>
      <c r="N306" t="s">
        <v>2723</v>
      </c>
      <c r="O306" t="s">
        <v>2724</v>
      </c>
      <c r="P306" t="s">
        <v>2725</v>
      </c>
      <c r="Q306" t="s">
        <v>2726</v>
      </c>
      <c r="R306" t="s">
        <v>2727</v>
      </c>
      <c r="S306" t="s">
        <v>2728</v>
      </c>
      <c r="T306" t="s">
        <v>2729</v>
      </c>
      <c r="U306" s="5">
        <v>101.08</v>
      </c>
      <c r="V306" s="5">
        <v>64.44</v>
      </c>
      <c r="W306" s="5">
        <v>16.810813</v>
      </c>
      <c r="X306" s="5">
        <v>107.05588299999999</v>
      </c>
      <c r="Y306" s="5">
        <v>36.65</v>
      </c>
      <c r="Z306" s="5">
        <v>16.804551</v>
      </c>
      <c r="AA306" s="5">
        <v>107.040873</v>
      </c>
      <c r="AB306" s="7">
        <f t="shared" si="25"/>
        <v>9.6659999999999996E-2</v>
      </c>
      <c r="AC306" s="7">
        <f t="shared" si="26"/>
        <v>5.4974999999999996E-2</v>
      </c>
      <c r="AD306" s="6" t="str">
        <f t="shared" si="27"/>
        <v>Cửa Việt</v>
      </c>
      <c r="AE306" s="6" t="str">
        <f t="shared" si="28"/>
        <v>Hiếu Giang</v>
      </c>
      <c r="AG306">
        <f t="shared" si="29"/>
        <v>6.4439999999999997E-2</v>
      </c>
      <c r="AH306">
        <f t="shared" si="30"/>
        <v>3.6650000000000002E-2</v>
      </c>
    </row>
    <row r="307" spans="1:34" x14ac:dyDescent="0.25">
      <c r="A307" t="s">
        <v>2730</v>
      </c>
      <c r="B307" t="s">
        <v>2731</v>
      </c>
      <c r="C307" t="s">
        <v>2732</v>
      </c>
      <c r="D307" t="s">
        <v>2718</v>
      </c>
      <c r="E307" t="s">
        <v>2719</v>
      </c>
      <c r="F307" t="s">
        <v>2733</v>
      </c>
      <c r="G307" t="s">
        <v>15827</v>
      </c>
      <c r="H307" t="s">
        <v>15828</v>
      </c>
      <c r="I307" t="s">
        <v>16128</v>
      </c>
      <c r="J307" t="s">
        <v>23</v>
      </c>
      <c r="L307" t="s">
        <v>2721</v>
      </c>
      <c r="M307" t="s">
        <v>2734</v>
      </c>
      <c r="N307" t="s">
        <v>2735</v>
      </c>
      <c r="O307" t="s">
        <v>2736</v>
      </c>
      <c r="P307" t="s">
        <v>2737</v>
      </c>
      <c r="Q307" t="s">
        <v>2726</v>
      </c>
      <c r="R307" t="s">
        <v>2727</v>
      </c>
      <c r="S307" t="s">
        <v>2728</v>
      </c>
      <c r="T307" t="s">
        <v>2729</v>
      </c>
      <c r="U307" s="5">
        <v>1511.86</v>
      </c>
      <c r="V307" s="5">
        <v>1475.22</v>
      </c>
      <c r="W307" s="5">
        <v>16.806809999999999</v>
      </c>
      <c r="X307" s="5">
        <v>107.04599399999999</v>
      </c>
      <c r="Y307" s="5">
        <v>36.65</v>
      </c>
      <c r="Z307" s="5">
        <v>16.804551</v>
      </c>
      <c r="AA307" s="5">
        <v>107.040873</v>
      </c>
      <c r="AB307" s="7">
        <f t="shared" si="25"/>
        <v>2.2128299999999999</v>
      </c>
      <c r="AC307" s="7">
        <f t="shared" si="26"/>
        <v>5.4974999999999996E-2</v>
      </c>
      <c r="AD307" s="6" t="str">
        <f t="shared" si="27"/>
        <v>Cửa Việt</v>
      </c>
      <c r="AE307" s="6" t="str">
        <f t="shared" si="28"/>
        <v>Hiếu Giang</v>
      </c>
      <c r="AG307">
        <f t="shared" si="29"/>
        <v>1.47522</v>
      </c>
      <c r="AH307">
        <f t="shared" si="30"/>
        <v>3.6650000000000002E-2</v>
      </c>
    </row>
    <row r="308" spans="1:34" x14ac:dyDescent="0.25">
      <c r="A308" t="s">
        <v>2738</v>
      </c>
      <c r="B308" t="s">
        <v>2739</v>
      </c>
      <c r="C308" t="s">
        <v>2740</v>
      </c>
      <c r="D308" t="s">
        <v>2741</v>
      </c>
      <c r="E308" t="s">
        <v>2742</v>
      </c>
      <c r="F308" t="s">
        <v>2743</v>
      </c>
      <c r="G308" t="s">
        <v>15827</v>
      </c>
      <c r="H308" t="s">
        <v>15828</v>
      </c>
      <c r="I308" t="s">
        <v>16129</v>
      </c>
      <c r="J308" t="s">
        <v>23</v>
      </c>
      <c r="L308" t="s">
        <v>2721</v>
      </c>
      <c r="M308" t="s">
        <v>2744</v>
      </c>
      <c r="N308" t="s">
        <v>2745</v>
      </c>
      <c r="O308" t="s">
        <v>2746</v>
      </c>
      <c r="P308" t="s">
        <v>2747</v>
      </c>
      <c r="Q308" t="s">
        <v>2748</v>
      </c>
      <c r="R308" t="s">
        <v>2749</v>
      </c>
      <c r="S308" t="s">
        <v>2750</v>
      </c>
      <c r="T308" t="s">
        <v>2751</v>
      </c>
      <c r="U308" s="5">
        <v>56.68</v>
      </c>
      <c r="V308" s="5">
        <v>44.44</v>
      </c>
      <c r="W308" s="5">
        <v>16.90136</v>
      </c>
      <c r="X308" s="5">
        <v>107.172324</v>
      </c>
      <c r="Y308" s="5">
        <v>12.23</v>
      </c>
      <c r="Z308" s="5">
        <v>16.905640999999999</v>
      </c>
      <c r="AA308" s="5">
        <v>107.176884</v>
      </c>
      <c r="AB308" s="7">
        <f t="shared" si="25"/>
        <v>6.6659999999999997E-2</v>
      </c>
      <c r="AC308" s="7">
        <f t="shared" si="26"/>
        <v>1.8345E-2</v>
      </c>
      <c r="AD308" s="6" t="str">
        <f t="shared" si="27"/>
        <v>Cửa Việt</v>
      </c>
      <c r="AE308" s="6" t="str">
        <f t="shared" si="28"/>
        <v>Hiếu Giang</v>
      </c>
      <c r="AG308">
        <f t="shared" si="29"/>
        <v>4.444E-2</v>
      </c>
      <c r="AH308">
        <f t="shared" si="30"/>
        <v>1.2230000000000001E-2</v>
      </c>
    </row>
    <row r="309" spans="1:34" x14ac:dyDescent="0.25">
      <c r="A309" t="s">
        <v>2752</v>
      </c>
      <c r="B309" t="s">
        <v>2753</v>
      </c>
      <c r="C309" t="s">
        <v>2754</v>
      </c>
      <c r="D309" t="s">
        <v>2718</v>
      </c>
      <c r="E309" t="s">
        <v>2719</v>
      </c>
      <c r="F309" t="s">
        <v>2755</v>
      </c>
      <c r="G309" t="s">
        <v>15827</v>
      </c>
      <c r="H309" t="s">
        <v>15828</v>
      </c>
      <c r="I309" t="s">
        <v>16130</v>
      </c>
      <c r="J309" t="s">
        <v>23</v>
      </c>
      <c r="L309" t="s">
        <v>2756</v>
      </c>
      <c r="M309" t="s">
        <v>2757</v>
      </c>
      <c r="N309" t="s">
        <v>2758</v>
      </c>
      <c r="O309" t="s">
        <v>2759</v>
      </c>
      <c r="P309" t="s">
        <v>2760</v>
      </c>
      <c r="Q309" t="s">
        <v>2761</v>
      </c>
      <c r="R309" t="s">
        <v>2762</v>
      </c>
      <c r="S309" t="s">
        <v>2763</v>
      </c>
      <c r="T309" t="s">
        <v>2764</v>
      </c>
      <c r="U309" s="5">
        <v>72.58</v>
      </c>
      <c r="V309" s="5">
        <v>40.58</v>
      </c>
      <c r="W309" s="5">
        <v>16.816952000000001</v>
      </c>
      <c r="X309" s="5">
        <v>107.07738999999999</v>
      </c>
      <c r="Y309" s="5">
        <v>32</v>
      </c>
      <c r="Z309" s="5">
        <v>16.804628000000001</v>
      </c>
      <c r="AA309" s="5">
        <v>107.040678</v>
      </c>
      <c r="AB309" s="7">
        <f t="shared" si="25"/>
        <v>6.087E-2</v>
      </c>
      <c r="AC309" s="7">
        <f t="shared" si="26"/>
        <v>4.8000000000000001E-2</v>
      </c>
      <c r="AD309" s="6" t="str">
        <f t="shared" si="27"/>
        <v>Cam Lộ</v>
      </c>
      <c r="AE309" s="6" t="str">
        <f t="shared" si="28"/>
        <v>Nam Đông Hà</v>
      </c>
      <c r="AG309">
        <f t="shared" si="29"/>
        <v>4.0579999999999998E-2</v>
      </c>
      <c r="AH309">
        <f t="shared" si="30"/>
        <v>3.2000000000000001E-2</v>
      </c>
    </row>
    <row r="310" spans="1:34" x14ac:dyDescent="0.25">
      <c r="A310" t="s">
        <v>2765</v>
      </c>
      <c r="B310" t="s">
        <v>2718</v>
      </c>
      <c r="C310" t="s">
        <v>2719</v>
      </c>
      <c r="D310" t="s">
        <v>2766</v>
      </c>
      <c r="E310" t="s">
        <v>2767</v>
      </c>
      <c r="F310" t="s">
        <v>2768</v>
      </c>
      <c r="G310" t="s">
        <v>15827</v>
      </c>
      <c r="H310" t="s">
        <v>15828</v>
      </c>
      <c r="I310" t="s">
        <v>16131</v>
      </c>
      <c r="J310" t="s">
        <v>23</v>
      </c>
      <c r="L310" t="s">
        <v>2769</v>
      </c>
      <c r="M310" t="s">
        <v>2770</v>
      </c>
      <c r="N310" t="s">
        <v>2771</v>
      </c>
      <c r="O310" t="s">
        <v>2772</v>
      </c>
      <c r="P310" t="s">
        <v>2773</v>
      </c>
      <c r="Q310" t="s">
        <v>2774</v>
      </c>
      <c r="R310" t="s">
        <v>2775</v>
      </c>
      <c r="S310" t="s">
        <v>2776</v>
      </c>
      <c r="T310" t="s">
        <v>2777</v>
      </c>
      <c r="U310" s="5">
        <v>480.57</v>
      </c>
      <c r="V310" s="5">
        <v>455.33</v>
      </c>
      <c r="W310" s="5">
        <v>16.800270000000001</v>
      </c>
      <c r="X310" s="5">
        <v>107.040229</v>
      </c>
      <c r="Y310" s="5">
        <v>25.24</v>
      </c>
      <c r="Z310" s="5">
        <v>16.807245999999999</v>
      </c>
      <c r="AA310" s="5">
        <v>106.99248</v>
      </c>
      <c r="AB310" s="7">
        <f t="shared" si="25"/>
        <v>0.68299500000000002</v>
      </c>
      <c r="AC310" s="7">
        <f t="shared" si="26"/>
        <v>3.7859999999999998E-2</v>
      </c>
      <c r="AD310" s="6" t="str">
        <f t="shared" si="27"/>
        <v>Cơ sở cai nghiện (Cam Hiếu, Cam Lộ)</v>
      </c>
      <c r="AE310" s="6" t="str">
        <f t="shared" si="28"/>
        <v>TTCMKV Cam Lộ</v>
      </c>
      <c r="AG310">
        <f t="shared" si="29"/>
        <v>0.45532999999999996</v>
      </c>
      <c r="AH310">
        <f t="shared" si="30"/>
        <v>2.5239999999999999E-2</v>
      </c>
    </row>
    <row r="311" spans="1:34" x14ac:dyDescent="0.25">
      <c r="A311" t="s">
        <v>2778</v>
      </c>
      <c r="B311" t="s">
        <v>2779</v>
      </c>
      <c r="C311" t="s">
        <v>2780</v>
      </c>
      <c r="D311" t="s">
        <v>2741</v>
      </c>
      <c r="E311" t="s">
        <v>2742</v>
      </c>
      <c r="F311" t="s">
        <v>2781</v>
      </c>
      <c r="G311" t="s">
        <v>15827</v>
      </c>
      <c r="H311" t="s">
        <v>15828</v>
      </c>
      <c r="I311" t="s">
        <v>16132</v>
      </c>
      <c r="J311" t="s">
        <v>23</v>
      </c>
      <c r="L311" t="s">
        <v>2721</v>
      </c>
      <c r="M311" t="s">
        <v>2782</v>
      </c>
      <c r="N311" t="s">
        <v>2783</v>
      </c>
      <c r="O311" t="s">
        <v>2784</v>
      </c>
      <c r="P311" t="s">
        <v>2785</v>
      </c>
      <c r="Q311" t="s">
        <v>2786</v>
      </c>
      <c r="R311" t="s">
        <v>2787</v>
      </c>
      <c r="S311" t="s">
        <v>2788</v>
      </c>
      <c r="T311" t="s">
        <v>2789</v>
      </c>
      <c r="U311" s="5">
        <v>8215.07</v>
      </c>
      <c r="V311" s="5">
        <v>4809.76</v>
      </c>
      <c r="W311" s="5">
        <v>16.858868000000001</v>
      </c>
      <c r="X311" s="5">
        <v>107.116151</v>
      </c>
      <c r="Y311" s="5">
        <v>3405.32</v>
      </c>
      <c r="Z311" s="5">
        <v>16.886192999999999</v>
      </c>
      <c r="AA311" s="5">
        <v>107.15227</v>
      </c>
      <c r="AB311" s="7">
        <f t="shared" si="25"/>
        <v>7.2146400000000002</v>
      </c>
      <c r="AC311" s="7">
        <f t="shared" si="26"/>
        <v>5.1079800000000004</v>
      </c>
      <c r="AD311" s="6" t="str">
        <f t="shared" si="27"/>
        <v>Cửa Việt</v>
      </c>
      <c r="AE311" s="6" t="str">
        <f t="shared" si="28"/>
        <v>Hiếu Giang</v>
      </c>
      <c r="AG311">
        <f t="shared" si="29"/>
        <v>4.8097599999999998</v>
      </c>
      <c r="AH311">
        <f t="shared" si="30"/>
        <v>3.4053200000000001</v>
      </c>
    </row>
    <row r="312" spans="1:34" x14ac:dyDescent="0.25">
      <c r="A312" t="s">
        <v>2790</v>
      </c>
      <c r="B312" t="s">
        <v>2741</v>
      </c>
      <c r="C312" t="s">
        <v>2742</v>
      </c>
      <c r="D312" t="s">
        <v>2791</v>
      </c>
      <c r="E312" t="s">
        <v>2792</v>
      </c>
      <c r="F312" t="s">
        <v>2793</v>
      </c>
      <c r="G312" t="s">
        <v>15827</v>
      </c>
      <c r="H312" t="s">
        <v>15828</v>
      </c>
      <c r="I312" t="s">
        <v>16133</v>
      </c>
      <c r="J312" t="s">
        <v>23</v>
      </c>
      <c r="L312" t="s">
        <v>2794</v>
      </c>
      <c r="M312" t="s">
        <v>2795</v>
      </c>
      <c r="N312" t="s">
        <v>2796</v>
      </c>
      <c r="O312" t="s">
        <v>2797</v>
      </c>
      <c r="P312" t="s">
        <v>2798</v>
      </c>
      <c r="Q312" t="s">
        <v>2799</v>
      </c>
      <c r="R312" t="s">
        <v>2800</v>
      </c>
      <c r="S312" t="s">
        <v>2801</v>
      </c>
      <c r="T312" t="s">
        <v>2802</v>
      </c>
      <c r="U312" s="5">
        <v>3488.89</v>
      </c>
      <c r="V312" s="5">
        <v>584.17999999999995</v>
      </c>
      <c r="W312" s="5">
        <v>16.90917</v>
      </c>
      <c r="X312" s="5">
        <v>107.18106899999999</v>
      </c>
      <c r="Y312" s="5">
        <v>2904.71</v>
      </c>
      <c r="Z312" s="5">
        <v>16.944780999999999</v>
      </c>
      <c r="AA312" s="5">
        <v>107.152832</v>
      </c>
      <c r="AB312" s="7">
        <f t="shared" si="25"/>
        <v>0.87626999999999999</v>
      </c>
      <c r="AC312" s="7">
        <f t="shared" si="26"/>
        <v>4.3570650000000004</v>
      </c>
      <c r="AD312" s="6" t="str">
        <f t="shared" si="27"/>
        <v>Cửa Tùng</v>
      </c>
      <c r="AE312" s="6" t="str">
        <f t="shared" si="28"/>
        <v>Phòng PH10 (Nhà Nghỉ dưỡng Cửa Việt)</v>
      </c>
      <c r="AG312">
        <f t="shared" si="29"/>
        <v>0.58417999999999992</v>
      </c>
      <c r="AH312">
        <f t="shared" si="30"/>
        <v>2.9047100000000001</v>
      </c>
    </row>
    <row r="313" spans="1:34" x14ac:dyDescent="0.25">
      <c r="A313" t="s">
        <v>2803</v>
      </c>
      <c r="B313" t="s">
        <v>2791</v>
      </c>
      <c r="C313" t="s">
        <v>2792</v>
      </c>
      <c r="D313" t="s">
        <v>2804</v>
      </c>
      <c r="E313" t="s">
        <v>2805</v>
      </c>
      <c r="F313" t="s">
        <v>2806</v>
      </c>
      <c r="G313" t="s">
        <v>15827</v>
      </c>
      <c r="H313" t="s">
        <v>15828</v>
      </c>
      <c r="I313" t="s">
        <v>16134</v>
      </c>
      <c r="J313" t="s">
        <v>23</v>
      </c>
      <c r="L313" t="s">
        <v>2794</v>
      </c>
      <c r="M313" t="s">
        <v>2807</v>
      </c>
      <c r="N313" t="s">
        <v>2808</v>
      </c>
      <c r="O313" t="s">
        <v>2809</v>
      </c>
      <c r="P313" t="s">
        <v>2810</v>
      </c>
      <c r="Q313" t="s">
        <v>2811</v>
      </c>
      <c r="R313" t="s">
        <v>2812</v>
      </c>
      <c r="S313" t="s">
        <v>2813</v>
      </c>
      <c r="T313" t="s">
        <v>2814</v>
      </c>
      <c r="U313" s="5">
        <v>1654.97</v>
      </c>
      <c r="V313" s="5">
        <v>1632.07</v>
      </c>
      <c r="W313" s="5">
        <v>16.978663999999998</v>
      </c>
      <c r="X313" s="5">
        <v>107.129091</v>
      </c>
      <c r="Y313" s="5">
        <v>22.9</v>
      </c>
      <c r="Z313" s="5">
        <v>16.988969000000001</v>
      </c>
      <c r="AA313" s="5">
        <v>107.106525</v>
      </c>
      <c r="AB313" s="7">
        <f t="shared" si="25"/>
        <v>2.448105</v>
      </c>
      <c r="AC313" s="7">
        <f t="shared" si="26"/>
        <v>3.4349999999999992E-2</v>
      </c>
      <c r="AD313" s="6" t="str">
        <f t="shared" si="27"/>
        <v>Cửa Tùng</v>
      </c>
      <c r="AE313" s="6" t="str">
        <f t="shared" si="28"/>
        <v>Phòng PH10 (Nhà Nghỉ dưỡng Cửa Việt)</v>
      </c>
      <c r="AG313">
        <f t="shared" si="29"/>
        <v>1.6320699999999999</v>
      </c>
      <c r="AH313">
        <f t="shared" si="30"/>
        <v>2.29E-2</v>
      </c>
    </row>
    <row r="314" spans="1:34" x14ac:dyDescent="0.25">
      <c r="A314" t="s">
        <v>2815</v>
      </c>
      <c r="B314" t="s">
        <v>2804</v>
      </c>
      <c r="C314" t="s">
        <v>2805</v>
      </c>
      <c r="D314" t="s">
        <v>2816</v>
      </c>
      <c r="E314" t="s">
        <v>2817</v>
      </c>
      <c r="F314" t="s">
        <v>2818</v>
      </c>
      <c r="G314" t="s">
        <v>15827</v>
      </c>
      <c r="H314" t="s">
        <v>15828</v>
      </c>
      <c r="I314" t="s">
        <v>16135</v>
      </c>
      <c r="J314" t="s">
        <v>23</v>
      </c>
      <c r="L314" t="s">
        <v>2819</v>
      </c>
      <c r="M314" t="s">
        <v>2820</v>
      </c>
      <c r="N314" t="s">
        <v>2821</v>
      </c>
      <c r="O314" t="s">
        <v>2822</v>
      </c>
      <c r="P314" t="s">
        <v>2823</v>
      </c>
      <c r="Q314" t="s">
        <v>2824</v>
      </c>
      <c r="R314" t="s">
        <v>2825</v>
      </c>
      <c r="S314" t="s">
        <v>2826</v>
      </c>
      <c r="T314" t="s">
        <v>2827</v>
      </c>
      <c r="U314" s="5">
        <v>784.07</v>
      </c>
      <c r="V314" s="5">
        <v>21.88</v>
      </c>
      <c r="W314" s="5">
        <v>16.988904000000002</v>
      </c>
      <c r="X314" s="5">
        <v>107.106632</v>
      </c>
      <c r="Y314" s="5">
        <v>762.2</v>
      </c>
      <c r="Z314" s="5">
        <v>16.970361</v>
      </c>
      <c r="AA314" s="5">
        <v>107.075029</v>
      </c>
      <c r="AB314" s="7">
        <f t="shared" si="25"/>
        <v>3.2820000000000002E-2</v>
      </c>
      <c r="AC314" s="7">
        <f t="shared" si="26"/>
        <v>1.1433000000000002</v>
      </c>
      <c r="AD314" s="6" t="str">
        <f t="shared" si="27"/>
        <v>Bến Hải</v>
      </c>
      <c r="AE314" s="6" t="str">
        <f t="shared" si="28"/>
        <v>PC07 (Đội PCCC khu vực 4)</v>
      </c>
      <c r="AG314">
        <f t="shared" si="29"/>
        <v>2.188E-2</v>
      </c>
      <c r="AH314">
        <f t="shared" si="30"/>
        <v>0.7622000000000001</v>
      </c>
    </row>
    <row r="315" spans="1:34" x14ac:dyDescent="0.25">
      <c r="A315" t="s">
        <v>2828</v>
      </c>
      <c r="B315" t="s">
        <v>2829</v>
      </c>
      <c r="C315" t="s">
        <v>2830</v>
      </c>
      <c r="D315" t="s">
        <v>2766</v>
      </c>
      <c r="E315" t="s">
        <v>2767</v>
      </c>
      <c r="F315" t="s">
        <v>2831</v>
      </c>
      <c r="G315" t="s">
        <v>15827</v>
      </c>
      <c r="H315" t="s">
        <v>15828</v>
      </c>
      <c r="I315" t="s">
        <v>16136</v>
      </c>
      <c r="J315" t="s">
        <v>23</v>
      </c>
      <c r="L315" t="s">
        <v>2832</v>
      </c>
      <c r="M315" t="s">
        <v>2833</v>
      </c>
      <c r="N315" t="s">
        <v>2834</v>
      </c>
      <c r="O315" t="s">
        <v>2835</v>
      </c>
      <c r="P315" t="s">
        <v>2836</v>
      </c>
      <c r="Q315" t="s">
        <v>2837</v>
      </c>
      <c r="R315" t="s">
        <v>2838</v>
      </c>
      <c r="S315" t="s">
        <v>2839</v>
      </c>
      <c r="T315" t="s">
        <v>2840</v>
      </c>
      <c r="U315" s="5">
        <v>305.69</v>
      </c>
      <c r="V315" s="5">
        <v>99.07</v>
      </c>
      <c r="W315" s="5">
        <v>16.827306</v>
      </c>
      <c r="X315" s="5">
        <v>107.003486</v>
      </c>
      <c r="Y315" s="5">
        <v>206.63</v>
      </c>
      <c r="Z315" s="5">
        <v>16.808361000000001</v>
      </c>
      <c r="AA315" s="5">
        <v>106.994315</v>
      </c>
      <c r="AB315" s="7">
        <f t="shared" si="25"/>
        <v>0.14860499999999999</v>
      </c>
      <c r="AC315" s="7">
        <f t="shared" si="26"/>
        <v>0.30994499999999997</v>
      </c>
      <c r="AD315" s="6" t="str">
        <f t="shared" si="27"/>
        <v>Cam Lộ</v>
      </c>
      <c r="AE315" s="6" t="str">
        <f t="shared" si="28"/>
        <v>Vĩnh Linh</v>
      </c>
      <c r="AG315">
        <f t="shared" si="29"/>
        <v>9.9069999999999991E-2</v>
      </c>
      <c r="AH315">
        <f t="shared" si="30"/>
        <v>0.20663000000000001</v>
      </c>
    </row>
    <row r="316" spans="1:34" x14ac:dyDescent="0.25">
      <c r="A316" t="s">
        <v>2841</v>
      </c>
      <c r="B316" t="s">
        <v>2766</v>
      </c>
      <c r="C316" t="s">
        <v>2767</v>
      </c>
      <c r="D316" t="s">
        <v>2842</v>
      </c>
      <c r="E316" t="s">
        <v>2843</v>
      </c>
      <c r="F316" t="s">
        <v>2844</v>
      </c>
      <c r="G316" t="s">
        <v>15827</v>
      </c>
      <c r="H316" t="s">
        <v>15828</v>
      </c>
      <c r="I316" t="s">
        <v>16137</v>
      </c>
      <c r="J316" t="s">
        <v>23</v>
      </c>
      <c r="L316" t="s">
        <v>2674</v>
      </c>
      <c r="M316" t="s">
        <v>2845</v>
      </c>
      <c r="N316" t="s">
        <v>2846</v>
      </c>
      <c r="O316" t="s">
        <v>2847</v>
      </c>
      <c r="P316" t="s">
        <v>2776</v>
      </c>
      <c r="Q316" t="s">
        <v>2848</v>
      </c>
      <c r="R316" t="s">
        <v>2849</v>
      </c>
      <c r="S316" t="s">
        <v>2850</v>
      </c>
      <c r="T316" t="s">
        <v>2851</v>
      </c>
      <c r="U316" s="5">
        <v>140.93</v>
      </c>
      <c r="V316" s="5">
        <v>25.04</v>
      </c>
      <c r="W316" s="5">
        <v>16.80725</v>
      </c>
      <c r="X316" s="5">
        <v>106.99248</v>
      </c>
      <c r="Y316" s="5">
        <v>115.89</v>
      </c>
      <c r="Z316" s="5">
        <v>16.794359</v>
      </c>
      <c r="AA316" s="5">
        <v>106.968371</v>
      </c>
      <c r="AB316" s="7">
        <f t="shared" si="25"/>
        <v>3.7560000000000003E-2</v>
      </c>
      <c r="AC316" s="7">
        <f t="shared" si="26"/>
        <v>0.17383500000000002</v>
      </c>
      <c r="AD316" s="6" t="str">
        <f t="shared" si="27"/>
        <v>TT2 Quảng Trị</v>
      </c>
      <c r="AE316" s="6" t="str">
        <f t="shared" si="28"/>
        <v>Đăk Rông</v>
      </c>
      <c r="AG316">
        <f t="shared" si="29"/>
        <v>2.504E-2</v>
      </c>
      <c r="AH316">
        <f t="shared" si="30"/>
        <v>0.11589000000000001</v>
      </c>
    </row>
    <row r="317" spans="1:34" x14ac:dyDescent="0.25">
      <c r="A317" t="s">
        <v>2852</v>
      </c>
      <c r="B317" t="s">
        <v>2853</v>
      </c>
      <c r="C317" t="s">
        <v>2854</v>
      </c>
      <c r="D317" t="s">
        <v>2855</v>
      </c>
      <c r="E317" t="s">
        <v>2856</v>
      </c>
      <c r="F317" t="s">
        <v>2857</v>
      </c>
      <c r="G317" t="s">
        <v>15827</v>
      </c>
      <c r="H317" t="s">
        <v>15828</v>
      </c>
      <c r="I317" t="s">
        <v>16138</v>
      </c>
      <c r="J317" t="s">
        <v>23</v>
      </c>
      <c r="L317" t="s">
        <v>2858</v>
      </c>
      <c r="M317" t="s">
        <v>2859</v>
      </c>
      <c r="N317" t="s">
        <v>2860</v>
      </c>
      <c r="O317" t="s">
        <v>2861</v>
      </c>
      <c r="P317" t="s">
        <v>2862</v>
      </c>
      <c r="Q317" t="s">
        <v>2863</v>
      </c>
      <c r="R317" t="s">
        <v>2864</v>
      </c>
      <c r="S317" t="s">
        <v>2865</v>
      </c>
      <c r="T317" t="s">
        <v>2866</v>
      </c>
      <c r="U317" s="5">
        <v>832.84</v>
      </c>
      <c r="V317" s="5">
        <v>170.69</v>
      </c>
      <c r="W317" s="5">
        <v>16.814188999999999</v>
      </c>
      <c r="X317" s="5">
        <v>107.10494</v>
      </c>
      <c r="Y317" s="5">
        <v>662.15</v>
      </c>
      <c r="Z317" s="5">
        <v>16.810613</v>
      </c>
      <c r="AA317" s="5">
        <v>107.10834</v>
      </c>
      <c r="AB317" s="7">
        <f t="shared" si="25"/>
        <v>0.25603499999999996</v>
      </c>
      <c r="AC317" s="7">
        <f t="shared" si="26"/>
        <v>0.99322499999999991</v>
      </c>
      <c r="AD317" s="6" t="str">
        <f t="shared" si="27"/>
        <v>PA09</v>
      </c>
      <c r="AE317" s="6" t="str">
        <f t="shared" si="28"/>
        <v>TP Đông Hà</v>
      </c>
      <c r="AG317">
        <f t="shared" si="29"/>
        <v>0.17069000000000001</v>
      </c>
      <c r="AH317">
        <f t="shared" si="30"/>
        <v>0.66215000000000002</v>
      </c>
    </row>
    <row r="318" spans="1:34" x14ac:dyDescent="0.25">
      <c r="A318" t="s">
        <v>2867</v>
      </c>
      <c r="B318" t="s">
        <v>2868</v>
      </c>
      <c r="C318" t="s">
        <v>2869</v>
      </c>
      <c r="D318" t="s">
        <v>2870</v>
      </c>
      <c r="E318" t="s">
        <v>2871</v>
      </c>
      <c r="F318" t="s">
        <v>2872</v>
      </c>
      <c r="G318" t="s">
        <v>15827</v>
      </c>
      <c r="H318" t="s">
        <v>15831</v>
      </c>
      <c r="I318" t="s">
        <v>16139</v>
      </c>
      <c r="J318" t="s">
        <v>23</v>
      </c>
      <c r="L318" t="s">
        <v>2700</v>
      </c>
      <c r="M318" t="s">
        <v>2873</v>
      </c>
      <c r="N318" t="s">
        <v>2874</v>
      </c>
      <c r="O318" t="s">
        <v>2875</v>
      </c>
      <c r="P318" t="s">
        <v>2876</v>
      </c>
      <c r="Q318" t="s">
        <v>2877</v>
      </c>
      <c r="R318" t="s">
        <v>2878</v>
      </c>
      <c r="S318" t="s">
        <v>2879</v>
      </c>
      <c r="T318" t="s">
        <v>2880</v>
      </c>
      <c r="U318" s="5">
        <v>15092.01</v>
      </c>
      <c r="V318" s="5">
        <v>15061.66</v>
      </c>
      <c r="W318" s="5">
        <v>16.746936999999999</v>
      </c>
      <c r="X318" s="5">
        <v>107.194355</v>
      </c>
      <c r="Y318" s="5">
        <v>30.35</v>
      </c>
      <c r="Z318" s="5">
        <v>16.692073000000001</v>
      </c>
      <c r="AA318" s="5">
        <v>107.245351</v>
      </c>
      <c r="AB318" s="7">
        <f t="shared" si="25"/>
        <v>22.592489999999998</v>
      </c>
      <c r="AC318" s="7">
        <f t="shared" si="26"/>
        <v>4.5525000000000003E-2</v>
      </c>
      <c r="AD318" s="6" t="str">
        <f t="shared" si="27"/>
        <v>Hải Lăng</v>
      </c>
      <c r="AE318" s="6" t="str">
        <f t="shared" si="28"/>
        <v>TT2 Quảng Trị</v>
      </c>
      <c r="AG318">
        <f t="shared" si="29"/>
        <v>15.06166</v>
      </c>
      <c r="AH318">
        <f t="shared" si="30"/>
        <v>3.0350000000000002E-2</v>
      </c>
    </row>
    <row r="319" spans="1:34" x14ac:dyDescent="0.25">
      <c r="A319" t="s">
        <v>2881</v>
      </c>
      <c r="B319" t="s">
        <v>2870</v>
      </c>
      <c r="C319" t="s">
        <v>2871</v>
      </c>
      <c r="D319" t="s">
        <v>2697</v>
      </c>
      <c r="E319" t="s">
        <v>2698</v>
      </c>
      <c r="F319" t="s">
        <v>2882</v>
      </c>
      <c r="G319" t="s">
        <v>15827</v>
      </c>
      <c r="H319" t="s">
        <v>15831</v>
      </c>
      <c r="I319" t="s">
        <v>16140</v>
      </c>
      <c r="J319" t="s">
        <v>23</v>
      </c>
      <c r="L319" t="s">
        <v>2700</v>
      </c>
      <c r="M319" t="s">
        <v>2883</v>
      </c>
      <c r="N319" t="s">
        <v>2877</v>
      </c>
      <c r="O319" t="s">
        <v>2878</v>
      </c>
      <c r="P319" t="s">
        <v>2879</v>
      </c>
      <c r="Q319" t="s">
        <v>2884</v>
      </c>
      <c r="R319" t="s">
        <v>2885</v>
      </c>
      <c r="S319" t="s">
        <v>2886</v>
      </c>
      <c r="T319" t="s">
        <v>2880</v>
      </c>
      <c r="U319" s="5">
        <v>989.41</v>
      </c>
      <c r="V319" s="5">
        <v>30.35</v>
      </c>
      <c r="W319" s="5">
        <v>16.692073000000001</v>
      </c>
      <c r="X319" s="5">
        <v>107.245351</v>
      </c>
      <c r="Y319" s="5">
        <v>959.07</v>
      </c>
      <c r="Z319" s="5">
        <v>16.7441</v>
      </c>
      <c r="AA319" s="5">
        <v>107.195866</v>
      </c>
      <c r="AB319" s="7">
        <f t="shared" si="25"/>
        <v>4.5525000000000003E-2</v>
      </c>
      <c r="AC319" s="7">
        <f t="shared" si="26"/>
        <v>1.4386049999999999</v>
      </c>
      <c r="AD319" s="6" t="str">
        <f t="shared" si="27"/>
        <v>Hải Lăng</v>
      </c>
      <c r="AE319" s="6" t="str">
        <f t="shared" si="28"/>
        <v>TT2 Quảng Trị</v>
      </c>
      <c r="AG319">
        <f t="shared" si="29"/>
        <v>3.0350000000000002E-2</v>
      </c>
      <c r="AH319">
        <f t="shared" si="30"/>
        <v>0.95907000000000009</v>
      </c>
    </row>
    <row r="320" spans="1:34" x14ac:dyDescent="0.25">
      <c r="A320" t="s">
        <v>2887</v>
      </c>
      <c r="B320" t="s">
        <v>2888</v>
      </c>
      <c r="C320" t="s">
        <v>2889</v>
      </c>
      <c r="D320" t="s">
        <v>2890</v>
      </c>
      <c r="E320" t="s">
        <v>2891</v>
      </c>
      <c r="F320" t="s">
        <v>2892</v>
      </c>
      <c r="G320" t="s">
        <v>15827</v>
      </c>
      <c r="H320" t="s">
        <v>15831</v>
      </c>
      <c r="I320" t="s">
        <v>16141</v>
      </c>
      <c r="J320" t="s">
        <v>23</v>
      </c>
      <c r="L320" t="s">
        <v>2893</v>
      </c>
      <c r="M320" t="s">
        <v>2894</v>
      </c>
      <c r="N320" t="s">
        <v>2895</v>
      </c>
      <c r="O320" t="s">
        <v>2896</v>
      </c>
      <c r="P320" t="s">
        <v>2897</v>
      </c>
      <c r="Q320" t="s">
        <v>2898</v>
      </c>
      <c r="R320" t="s">
        <v>2899</v>
      </c>
      <c r="S320" t="s">
        <v>2900</v>
      </c>
      <c r="T320" t="s">
        <v>2901</v>
      </c>
      <c r="U320" s="5">
        <v>4267.6899999999996</v>
      </c>
      <c r="V320" s="5">
        <v>4222.55</v>
      </c>
      <c r="W320" s="5">
        <v>16.743265999999998</v>
      </c>
      <c r="X320" s="5">
        <v>107.31160800000001</v>
      </c>
      <c r="Y320" s="5">
        <v>45.14</v>
      </c>
      <c r="Z320" s="5">
        <v>16.726123999999999</v>
      </c>
      <c r="AA320" s="5">
        <v>107.334998</v>
      </c>
      <c r="AB320" s="7">
        <f t="shared" si="25"/>
        <v>6.3338250000000009</v>
      </c>
      <c r="AC320" s="7">
        <f t="shared" si="26"/>
        <v>6.7710000000000006E-2</v>
      </c>
      <c r="AD320" s="6" t="str">
        <f t="shared" si="27"/>
        <v>Mỹ Thủy</v>
      </c>
      <c r="AE320" s="6" t="str">
        <f t="shared" si="28"/>
        <v>Vĩnh Định</v>
      </c>
      <c r="AG320">
        <f t="shared" si="29"/>
        <v>4.22255</v>
      </c>
      <c r="AH320">
        <f t="shared" si="30"/>
        <v>4.514E-2</v>
      </c>
    </row>
    <row r="321" spans="1:34" x14ac:dyDescent="0.25">
      <c r="A321" t="s">
        <v>2902</v>
      </c>
      <c r="B321" t="s">
        <v>2890</v>
      </c>
      <c r="C321" t="s">
        <v>2891</v>
      </c>
      <c r="D321" t="s">
        <v>2870</v>
      </c>
      <c r="E321" t="s">
        <v>2871</v>
      </c>
      <c r="F321" t="s">
        <v>2903</v>
      </c>
      <c r="G321" t="s">
        <v>15827</v>
      </c>
      <c r="H321" t="s">
        <v>15831</v>
      </c>
      <c r="I321" t="s">
        <v>16142</v>
      </c>
      <c r="J321" t="s">
        <v>23</v>
      </c>
      <c r="L321" t="s">
        <v>2904</v>
      </c>
      <c r="M321" t="s">
        <v>2905</v>
      </c>
      <c r="N321" t="s">
        <v>2906</v>
      </c>
      <c r="O321" t="s">
        <v>2907</v>
      </c>
      <c r="P321" t="s">
        <v>2908</v>
      </c>
      <c r="Q321" t="s">
        <v>2909</v>
      </c>
      <c r="R321" t="s">
        <v>2910</v>
      </c>
      <c r="S321" t="s">
        <v>2911</v>
      </c>
      <c r="T321" t="s">
        <v>2912</v>
      </c>
      <c r="U321" s="5">
        <v>8605.83</v>
      </c>
      <c r="V321" s="5">
        <v>1165.58</v>
      </c>
      <c r="W321" s="5">
        <v>16.719866</v>
      </c>
      <c r="X321" s="5">
        <v>107.343448</v>
      </c>
      <c r="Y321" s="5">
        <v>7440.25</v>
      </c>
      <c r="Z321" s="5">
        <v>16.657613000000001</v>
      </c>
      <c r="AA321" s="5">
        <v>107.305519</v>
      </c>
      <c r="AB321" s="7">
        <f t="shared" si="25"/>
        <v>1.74837</v>
      </c>
      <c r="AC321" s="7">
        <f t="shared" si="26"/>
        <v>11.160375</v>
      </c>
      <c r="AD321" s="6" t="str">
        <f t="shared" si="27"/>
        <v>Nam hải Lăng</v>
      </c>
      <c r="AE321" s="6" t="str">
        <f t="shared" si="28"/>
        <v>Mỹ Thủy</v>
      </c>
      <c r="AG321">
        <f t="shared" si="29"/>
        <v>1.1655799999999998</v>
      </c>
      <c r="AH321">
        <f t="shared" si="30"/>
        <v>7.4402499999999998</v>
      </c>
    </row>
    <row r="322" spans="1:34" x14ac:dyDescent="0.25">
      <c r="A322" t="s">
        <v>2913</v>
      </c>
      <c r="B322" t="s">
        <v>2870</v>
      </c>
      <c r="C322" t="s">
        <v>2871</v>
      </c>
      <c r="D322" t="s">
        <v>2914</v>
      </c>
      <c r="E322" t="s">
        <v>2915</v>
      </c>
      <c r="F322" t="s">
        <v>2916</v>
      </c>
      <c r="G322" t="s">
        <v>15827</v>
      </c>
      <c r="H322" t="s">
        <v>15831</v>
      </c>
      <c r="I322" t="s">
        <v>16143</v>
      </c>
      <c r="J322" t="s">
        <v>23</v>
      </c>
      <c r="L322" t="s">
        <v>2700</v>
      </c>
      <c r="M322" t="s">
        <v>2917</v>
      </c>
      <c r="N322" t="s">
        <v>2877</v>
      </c>
      <c r="O322" t="s">
        <v>2878</v>
      </c>
      <c r="P322" t="s">
        <v>2879</v>
      </c>
      <c r="Q322" t="s">
        <v>2918</v>
      </c>
      <c r="R322" t="s">
        <v>2919</v>
      </c>
      <c r="S322" t="s">
        <v>2920</v>
      </c>
      <c r="T322" t="s">
        <v>2880</v>
      </c>
      <c r="U322" s="5">
        <v>1379.78</v>
      </c>
      <c r="V322" s="5">
        <v>30.35</v>
      </c>
      <c r="W322" s="5">
        <v>16.692073000000001</v>
      </c>
      <c r="X322" s="5">
        <v>107.245351</v>
      </c>
      <c r="Y322" s="5">
        <v>1349.44</v>
      </c>
      <c r="Z322" s="5">
        <v>16.703040999999999</v>
      </c>
      <c r="AA322" s="5">
        <v>107.234706</v>
      </c>
      <c r="AB322" s="7">
        <f t="shared" si="25"/>
        <v>4.5525000000000003E-2</v>
      </c>
      <c r="AC322" s="7">
        <f t="shared" si="26"/>
        <v>2.0241600000000002</v>
      </c>
      <c r="AD322" s="6" t="str">
        <f t="shared" si="27"/>
        <v>Hải Lăng</v>
      </c>
      <c r="AE322" s="6" t="str">
        <f t="shared" si="28"/>
        <v>TT2 Quảng Trị</v>
      </c>
      <c r="AG322">
        <f t="shared" si="29"/>
        <v>3.0350000000000002E-2</v>
      </c>
      <c r="AH322">
        <f t="shared" si="30"/>
        <v>1.34944</v>
      </c>
    </row>
    <row r="323" spans="1:34" x14ac:dyDescent="0.25">
      <c r="A323" t="s">
        <v>2921</v>
      </c>
      <c r="B323" t="s">
        <v>2914</v>
      </c>
      <c r="C323" t="s">
        <v>2915</v>
      </c>
      <c r="D323" t="s">
        <v>2922</v>
      </c>
      <c r="E323" t="s">
        <v>2923</v>
      </c>
      <c r="F323" t="s">
        <v>2924</v>
      </c>
      <c r="G323" t="s">
        <v>15827</v>
      </c>
      <c r="H323" t="s">
        <v>15831</v>
      </c>
      <c r="I323" t="s">
        <v>16144</v>
      </c>
      <c r="J323" t="s">
        <v>23</v>
      </c>
      <c r="L323" t="s">
        <v>2925</v>
      </c>
      <c r="M323" t="s">
        <v>2926</v>
      </c>
      <c r="N323" t="s">
        <v>2927</v>
      </c>
      <c r="O323" t="s">
        <v>2928</v>
      </c>
      <c r="P323" t="s">
        <v>2929</v>
      </c>
      <c r="Q323" t="s">
        <v>2930</v>
      </c>
      <c r="R323" t="s">
        <v>2931</v>
      </c>
      <c r="S323" t="s">
        <v>2932</v>
      </c>
      <c r="T323" t="s">
        <v>2933</v>
      </c>
      <c r="U323" s="5">
        <v>4980.2299999999996</v>
      </c>
      <c r="V323" s="5">
        <v>73.959999999999994</v>
      </c>
      <c r="W323" s="5">
        <v>16.710954999999998</v>
      </c>
      <c r="X323" s="5">
        <v>107.24515700000001</v>
      </c>
      <c r="Y323" s="5">
        <v>4906.2700000000004</v>
      </c>
      <c r="Z323" s="5">
        <v>16.709966999999999</v>
      </c>
      <c r="AA323" s="5">
        <v>107.24739</v>
      </c>
      <c r="AB323" s="7">
        <f t="shared" ref="AB323:AB386" si="31">V323*1.5/1000</f>
        <v>0.11094</v>
      </c>
      <c r="AC323" s="7">
        <f t="shared" ref="AC323:AC386" si="32">Y323*1.5/1000</f>
        <v>7.3594050000000006</v>
      </c>
      <c r="AD323" s="6" t="str">
        <f t="shared" ref="AD323:AD386" si="33">TRIM(LEFT(L323,FIND("-",L323)-1))</f>
        <v>PC07 (Đội PCCC khu vực Hải lăng)</v>
      </c>
      <c r="AE323" s="6" t="str">
        <f t="shared" ref="AE323:AE386" si="34">TRIM(RIGHT(L323, LEN(L323) - FIND("-", L323)))</f>
        <v>Hải Lăng</v>
      </c>
      <c r="AG323">
        <f t="shared" ref="AG323:AG386" si="35">V323/1000</f>
        <v>7.3959999999999998E-2</v>
      </c>
      <c r="AH323">
        <f t="shared" ref="AH323:AH386" si="36">Y323/1000</f>
        <v>4.9062700000000001</v>
      </c>
    </row>
    <row r="324" spans="1:34" x14ac:dyDescent="0.25">
      <c r="A324" t="s">
        <v>2934</v>
      </c>
      <c r="B324" t="s">
        <v>2922</v>
      </c>
      <c r="C324" t="s">
        <v>2923</v>
      </c>
      <c r="D324" t="s">
        <v>2935</v>
      </c>
      <c r="E324" t="s">
        <v>2936</v>
      </c>
      <c r="F324" t="s">
        <v>2937</v>
      </c>
      <c r="G324" t="s">
        <v>15827</v>
      </c>
      <c r="H324" t="s">
        <v>15831</v>
      </c>
      <c r="I324" t="s">
        <v>16145</v>
      </c>
      <c r="J324" t="s">
        <v>23</v>
      </c>
      <c r="L324" t="s">
        <v>2893</v>
      </c>
      <c r="M324" t="s">
        <v>2938</v>
      </c>
      <c r="N324" t="s">
        <v>2939</v>
      </c>
      <c r="O324" t="s">
        <v>2940</v>
      </c>
      <c r="P324" t="s">
        <v>2941</v>
      </c>
      <c r="Q324" t="s">
        <v>2942</v>
      </c>
      <c r="R324" t="s">
        <v>2943</v>
      </c>
      <c r="S324" t="s">
        <v>2944</v>
      </c>
      <c r="T324" t="s">
        <v>2945</v>
      </c>
      <c r="U324" s="5">
        <v>4079</v>
      </c>
      <c r="V324" s="5">
        <v>3737.36</v>
      </c>
      <c r="W324" s="5">
        <v>16.771798</v>
      </c>
      <c r="X324" s="5">
        <v>107.261014</v>
      </c>
      <c r="Y324" s="5">
        <v>341.64</v>
      </c>
      <c r="Z324" s="5">
        <v>16.766483999999998</v>
      </c>
      <c r="AA324" s="5">
        <v>107.242845</v>
      </c>
      <c r="AB324" s="7">
        <f t="shared" si="31"/>
        <v>5.6060400000000001</v>
      </c>
      <c r="AC324" s="7">
        <f t="shared" si="32"/>
        <v>0.51246000000000003</v>
      </c>
      <c r="AD324" s="6" t="str">
        <f t="shared" si="33"/>
        <v>Mỹ Thủy</v>
      </c>
      <c r="AE324" s="6" t="str">
        <f t="shared" si="34"/>
        <v>Vĩnh Định</v>
      </c>
      <c r="AG324">
        <f t="shared" si="35"/>
        <v>3.7373600000000002</v>
      </c>
      <c r="AH324">
        <f t="shared" si="36"/>
        <v>0.34164</v>
      </c>
    </row>
    <row r="325" spans="1:34" x14ac:dyDescent="0.25">
      <c r="A325" t="s">
        <v>2946</v>
      </c>
      <c r="B325" t="s">
        <v>2935</v>
      </c>
      <c r="C325" t="s">
        <v>2936</v>
      </c>
      <c r="D325" t="s">
        <v>2947</v>
      </c>
      <c r="E325" t="s">
        <v>2948</v>
      </c>
      <c r="F325" t="s">
        <v>2949</v>
      </c>
      <c r="G325" t="s">
        <v>15827</v>
      </c>
      <c r="H325" t="s">
        <v>15831</v>
      </c>
      <c r="I325" t="s">
        <v>16146</v>
      </c>
      <c r="J325" t="s">
        <v>23</v>
      </c>
      <c r="L325" t="s">
        <v>2950</v>
      </c>
      <c r="M325" t="s">
        <v>2951</v>
      </c>
      <c r="N325" t="s">
        <v>2952</v>
      </c>
      <c r="O325" t="s">
        <v>2953</v>
      </c>
      <c r="P325" t="s">
        <v>2954</v>
      </c>
      <c r="Q325" t="s">
        <v>2955</v>
      </c>
      <c r="R325" t="s">
        <v>2956</v>
      </c>
      <c r="S325" t="s">
        <v>2957</v>
      </c>
      <c r="T325" t="s">
        <v>2958</v>
      </c>
      <c r="U325" s="5">
        <v>733.45</v>
      </c>
      <c r="V325" s="5">
        <v>46.07</v>
      </c>
      <c r="W325" s="5">
        <v>16.763349999999999</v>
      </c>
      <c r="X325" s="5">
        <v>107.24277499999999</v>
      </c>
      <c r="Y325" s="5">
        <v>687.38</v>
      </c>
      <c r="Z325" s="5">
        <v>16.769258000000001</v>
      </c>
      <c r="AA325" s="5">
        <v>107.228122</v>
      </c>
      <c r="AB325" s="7">
        <f t="shared" si="31"/>
        <v>6.9105E-2</v>
      </c>
      <c r="AC325" s="7">
        <f t="shared" si="32"/>
        <v>1.0310699999999999</v>
      </c>
      <c r="AD325" s="6" t="str">
        <f t="shared" si="33"/>
        <v>Nam Cửa Việt</v>
      </c>
      <c r="AE325" s="6" t="str">
        <f t="shared" si="34"/>
        <v>Triệu Cơ</v>
      </c>
      <c r="AG325">
        <f t="shared" si="35"/>
        <v>4.607E-2</v>
      </c>
      <c r="AH325">
        <f t="shared" si="36"/>
        <v>0.68737999999999999</v>
      </c>
    </row>
    <row r="326" spans="1:34" x14ac:dyDescent="0.25">
      <c r="A326" t="s">
        <v>2959</v>
      </c>
      <c r="B326" t="s">
        <v>2947</v>
      </c>
      <c r="C326" t="s">
        <v>2948</v>
      </c>
      <c r="D326" t="s">
        <v>2697</v>
      </c>
      <c r="E326" t="s">
        <v>2698</v>
      </c>
      <c r="F326" t="s">
        <v>2960</v>
      </c>
      <c r="G326" t="s">
        <v>15827</v>
      </c>
      <c r="H326" t="s">
        <v>15831</v>
      </c>
      <c r="I326" t="s">
        <v>16147</v>
      </c>
      <c r="J326" t="s">
        <v>23</v>
      </c>
      <c r="L326" t="s">
        <v>2961</v>
      </c>
      <c r="M326" t="s">
        <v>2962</v>
      </c>
      <c r="N326" t="s">
        <v>2963</v>
      </c>
      <c r="O326" t="s">
        <v>2964</v>
      </c>
      <c r="P326" t="s">
        <v>2965</v>
      </c>
      <c r="Q326" t="s">
        <v>2966</v>
      </c>
      <c r="R326" t="s">
        <v>2967</v>
      </c>
      <c r="S326" t="s">
        <v>2968</v>
      </c>
      <c r="T326" t="s">
        <v>2969</v>
      </c>
      <c r="U326" s="5">
        <v>2915.45</v>
      </c>
      <c r="V326" s="5">
        <v>2885.9</v>
      </c>
      <c r="W326" s="5">
        <v>16.755587999999999</v>
      </c>
      <c r="X326" s="5">
        <v>107.198543</v>
      </c>
      <c r="Y326" s="5">
        <v>29.56</v>
      </c>
      <c r="Z326" s="5">
        <v>16.739564999999999</v>
      </c>
      <c r="AA326" s="5">
        <v>107.188067</v>
      </c>
      <c r="AB326" s="7">
        <f t="shared" si="31"/>
        <v>4.3288500000000001</v>
      </c>
      <c r="AC326" s="7">
        <f t="shared" si="32"/>
        <v>4.4339999999999997E-2</v>
      </c>
      <c r="AD326" s="6" t="str">
        <f t="shared" si="33"/>
        <v>Quảng Trị</v>
      </c>
      <c r="AE326" s="6" t="str">
        <f t="shared" si="34"/>
        <v>PC07 (Đội PCCC khu vực 5)</v>
      </c>
      <c r="AG326">
        <f t="shared" si="35"/>
        <v>2.8858999999999999</v>
      </c>
      <c r="AH326">
        <f t="shared" si="36"/>
        <v>2.9559999999999999E-2</v>
      </c>
    </row>
    <row r="327" spans="1:34" x14ac:dyDescent="0.25">
      <c r="A327" t="s">
        <v>2970</v>
      </c>
      <c r="B327" t="s">
        <v>2870</v>
      </c>
      <c r="C327" t="s">
        <v>2871</v>
      </c>
      <c r="D327" t="s">
        <v>2971</v>
      </c>
      <c r="E327" t="s">
        <v>2972</v>
      </c>
      <c r="F327" t="s">
        <v>2973</v>
      </c>
      <c r="G327" t="s">
        <v>15827</v>
      </c>
      <c r="H327" t="s">
        <v>15831</v>
      </c>
      <c r="I327" t="s">
        <v>16148</v>
      </c>
      <c r="J327" t="s">
        <v>23</v>
      </c>
      <c r="L327" t="s">
        <v>2974</v>
      </c>
      <c r="M327" t="s">
        <v>2975</v>
      </c>
      <c r="N327" t="s">
        <v>2976</v>
      </c>
      <c r="O327" t="s">
        <v>2977</v>
      </c>
      <c r="P327" t="s">
        <v>2978</v>
      </c>
      <c r="Q327" t="s">
        <v>2979</v>
      </c>
      <c r="R327" t="s">
        <v>2980</v>
      </c>
      <c r="S327" t="s">
        <v>2981</v>
      </c>
      <c r="T327" t="s">
        <v>2982</v>
      </c>
      <c r="U327" s="5">
        <v>334.39</v>
      </c>
      <c r="V327" s="5">
        <v>44.1</v>
      </c>
      <c r="W327" s="5">
        <v>16.691837</v>
      </c>
      <c r="X327" s="5">
        <v>107.245086</v>
      </c>
      <c r="Y327" s="5">
        <v>290.3</v>
      </c>
      <c r="Z327" s="5">
        <v>16.661895999999999</v>
      </c>
      <c r="AA327" s="5">
        <v>107.27864099999999</v>
      </c>
      <c r="AB327" s="7">
        <f t="shared" si="31"/>
        <v>6.615E-2</v>
      </c>
      <c r="AC327" s="7">
        <f t="shared" si="32"/>
        <v>0.43545000000000006</v>
      </c>
      <c r="AD327" s="6" t="str">
        <f t="shared" si="33"/>
        <v>Diên Sanh</v>
      </c>
      <c r="AE327" s="6" t="str">
        <f t="shared" si="34"/>
        <v>Nam Hải Lăng</v>
      </c>
      <c r="AG327">
        <f t="shared" si="35"/>
        <v>4.41E-2</v>
      </c>
      <c r="AH327">
        <f t="shared" si="36"/>
        <v>0.2903</v>
      </c>
    </row>
    <row r="328" spans="1:34" x14ac:dyDescent="0.25">
      <c r="A328" t="s">
        <v>2983</v>
      </c>
      <c r="B328" t="s">
        <v>2984</v>
      </c>
      <c r="C328" t="s">
        <v>2985</v>
      </c>
      <c r="D328" t="s">
        <v>2697</v>
      </c>
      <c r="E328" t="s">
        <v>2698</v>
      </c>
      <c r="F328" t="s">
        <v>2986</v>
      </c>
      <c r="G328" t="s">
        <v>15827</v>
      </c>
      <c r="H328" t="s">
        <v>15831</v>
      </c>
      <c r="I328" t="s">
        <v>16149</v>
      </c>
      <c r="J328" t="s">
        <v>23</v>
      </c>
      <c r="L328" t="s">
        <v>2987</v>
      </c>
      <c r="M328" t="s">
        <v>2988</v>
      </c>
      <c r="N328" t="s">
        <v>2989</v>
      </c>
      <c r="O328" t="s">
        <v>2990</v>
      </c>
      <c r="P328" t="s">
        <v>2991</v>
      </c>
      <c r="Q328" t="s">
        <v>2992</v>
      </c>
      <c r="R328" t="s">
        <v>2993</v>
      </c>
      <c r="S328" t="s">
        <v>2994</v>
      </c>
      <c r="T328" t="s">
        <v>2995</v>
      </c>
      <c r="U328" s="5">
        <v>196.81</v>
      </c>
      <c r="V328" s="5">
        <v>169.47</v>
      </c>
      <c r="W328" s="5">
        <v>16.740214000000002</v>
      </c>
      <c r="X328" s="5">
        <v>107.192099</v>
      </c>
      <c r="Y328" s="5">
        <v>27.34</v>
      </c>
      <c r="Z328" s="5">
        <v>16.739604</v>
      </c>
      <c r="AA328" s="5">
        <v>107.18847</v>
      </c>
      <c r="AB328" s="7">
        <f t="shared" si="31"/>
        <v>0.25420499999999996</v>
      </c>
      <c r="AC328" s="7">
        <f t="shared" si="32"/>
        <v>4.1009999999999998E-2</v>
      </c>
      <c r="AD328" s="6" t="str">
        <f t="shared" si="33"/>
        <v>TX Quảng Trị</v>
      </c>
      <c r="AE328" s="6" t="str">
        <f t="shared" si="34"/>
        <v>Hải Lăng</v>
      </c>
      <c r="AG328">
        <f t="shared" si="35"/>
        <v>0.16947000000000001</v>
      </c>
      <c r="AH328">
        <f t="shared" si="36"/>
        <v>2.734E-2</v>
      </c>
    </row>
    <row r="329" spans="1:34" x14ac:dyDescent="0.25">
      <c r="A329" t="s">
        <v>2996</v>
      </c>
      <c r="B329" t="s">
        <v>2870</v>
      </c>
      <c r="C329" t="s">
        <v>2871</v>
      </c>
      <c r="D329" t="s">
        <v>2997</v>
      </c>
      <c r="E329" t="s">
        <v>2998</v>
      </c>
      <c r="F329" t="s">
        <v>2999</v>
      </c>
      <c r="G329" t="s">
        <v>15827</v>
      </c>
      <c r="H329" t="s">
        <v>15831</v>
      </c>
      <c r="I329" t="s">
        <v>16150</v>
      </c>
      <c r="J329" t="s">
        <v>23</v>
      </c>
      <c r="L329" t="s">
        <v>2925</v>
      </c>
      <c r="M329" t="s">
        <v>3000</v>
      </c>
      <c r="N329" t="s">
        <v>3001</v>
      </c>
      <c r="O329" t="s">
        <v>3002</v>
      </c>
      <c r="P329" t="s">
        <v>3003</v>
      </c>
      <c r="Q329" t="s">
        <v>3004</v>
      </c>
      <c r="R329" t="s">
        <v>3005</v>
      </c>
      <c r="S329" t="s">
        <v>3006</v>
      </c>
      <c r="T329" t="s">
        <v>3007</v>
      </c>
      <c r="U329" s="5">
        <v>1246.45</v>
      </c>
      <c r="V329" s="5">
        <v>31.11</v>
      </c>
      <c r="W329" s="5">
        <v>16.692076</v>
      </c>
      <c r="X329" s="5">
        <v>107.245344</v>
      </c>
      <c r="Y329" s="5">
        <v>1215.3399999999999</v>
      </c>
      <c r="Z329" s="5">
        <v>16.701003</v>
      </c>
      <c r="AA329" s="5">
        <v>107.254479</v>
      </c>
      <c r="AB329" s="7">
        <f t="shared" si="31"/>
        <v>4.6664999999999998E-2</v>
      </c>
      <c r="AC329" s="7">
        <f t="shared" si="32"/>
        <v>1.8230099999999998</v>
      </c>
      <c r="AD329" s="6" t="str">
        <f t="shared" si="33"/>
        <v>PC07 (Đội PCCC khu vực Hải lăng)</v>
      </c>
      <c r="AE329" s="6" t="str">
        <f t="shared" si="34"/>
        <v>Hải Lăng</v>
      </c>
      <c r="AG329">
        <f t="shared" si="35"/>
        <v>3.1109999999999999E-2</v>
      </c>
      <c r="AH329">
        <f t="shared" si="36"/>
        <v>1.2153399999999999</v>
      </c>
    </row>
    <row r="330" spans="1:34" x14ac:dyDescent="0.25">
      <c r="A330" t="s">
        <v>3008</v>
      </c>
      <c r="B330" t="s">
        <v>2997</v>
      </c>
      <c r="C330" t="s">
        <v>2998</v>
      </c>
      <c r="D330" t="s">
        <v>2870</v>
      </c>
      <c r="E330" t="s">
        <v>2871</v>
      </c>
      <c r="F330" t="s">
        <v>3009</v>
      </c>
      <c r="G330" t="s">
        <v>15827</v>
      </c>
      <c r="H330" t="s">
        <v>15831</v>
      </c>
      <c r="I330" t="s">
        <v>16151</v>
      </c>
      <c r="J330" t="s">
        <v>23</v>
      </c>
      <c r="L330" t="s">
        <v>2925</v>
      </c>
      <c r="M330" t="s">
        <v>3000</v>
      </c>
      <c r="N330" t="s">
        <v>3004</v>
      </c>
      <c r="O330" t="s">
        <v>3005</v>
      </c>
      <c r="P330" t="s">
        <v>3006</v>
      </c>
      <c r="Q330" t="s">
        <v>3001</v>
      </c>
      <c r="R330" t="s">
        <v>3002</v>
      </c>
      <c r="S330" t="s">
        <v>3003</v>
      </c>
      <c r="T330" t="s">
        <v>3007</v>
      </c>
      <c r="U330" s="5">
        <v>1246.45</v>
      </c>
      <c r="V330" s="5">
        <v>1215.3399999999999</v>
      </c>
      <c r="W330" s="5">
        <v>16.701003</v>
      </c>
      <c r="X330" s="5">
        <v>107.254479</v>
      </c>
      <c r="Y330" s="5">
        <v>31.11</v>
      </c>
      <c r="Z330" s="5">
        <v>16.692076</v>
      </c>
      <c r="AA330" s="5">
        <v>107.245344</v>
      </c>
      <c r="AB330" s="7">
        <f t="shared" si="31"/>
        <v>1.8230099999999998</v>
      </c>
      <c r="AC330" s="7">
        <f t="shared" si="32"/>
        <v>4.6664999999999998E-2</v>
      </c>
      <c r="AD330" s="6" t="str">
        <f t="shared" si="33"/>
        <v>PC07 (Đội PCCC khu vực Hải lăng)</v>
      </c>
      <c r="AE330" s="6" t="str">
        <f t="shared" si="34"/>
        <v>Hải Lăng</v>
      </c>
      <c r="AG330">
        <f t="shared" si="35"/>
        <v>1.2153399999999999</v>
      </c>
      <c r="AH330">
        <f t="shared" si="36"/>
        <v>3.1109999999999999E-2</v>
      </c>
    </row>
    <row r="331" spans="1:34" x14ac:dyDescent="0.25">
      <c r="A331" t="s">
        <v>2881</v>
      </c>
      <c r="B331" t="s">
        <v>2870</v>
      </c>
      <c r="C331" t="s">
        <v>2871</v>
      </c>
      <c r="D331" t="s">
        <v>2697</v>
      </c>
      <c r="E331" t="s">
        <v>2698</v>
      </c>
      <c r="F331" t="s">
        <v>3010</v>
      </c>
      <c r="G331" t="s">
        <v>15827</v>
      </c>
      <c r="H331" t="s">
        <v>15831</v>
      </c>
      <c r="I331" t="s">
        <v>16152</v>
      </c>
      <c r="J331" t="s">
        <v>23</v>
      </c>
      <c r="L331" t="s">
        <v>2700</v>
      </c>
      <c r="M331" t="s">
        <v>2883</v>
      </c>
      <c r="N331" t="s">
        <v>2877</v>
      </c>
      <c r="O331" t="s">
        <v>2878</v>
      </c>
      <c r="P331" t="s">
        <v>2879</v>
      </c>
      <c r="Q331" t="s">
        <v>2884</v>
      </c>
      <c r="R331" t="s">
        <v>2885</v>
      </c>
      <c r="S331" t="s">
        <v>2886</v>
      </c>
      <c r="T331" t="s">
        <v>2880</v>
      </c>
      <c r="U331" s="5">
        <v>989.41</v>
      </c>
      <c r="V331" s="5">
        <v>30.35</v>
      </c>
      <c r="W331" s="5">
        <v>16.692073000000001</v>
      </c>
      <c r="X331" s="5">
        <v>107.245351</v>
      </c>
      <c r="Y331" s="5">
        <v>959.07</v>
      </c>
      <c r="Z331" s="5">
        <v>16.7441</v>
      </c>
      <c r="AA331" s="5">
        <v>107.195866</v>
      </c>
      <c r="AB331" s="7">
        <f t="shared" si="31"/>
        <v>4.5525000000000003E-2</v>
      </c>
      <c r="AC331" s="7">
        <f t="shared" si="32"/>
        <v>1.4386049999999999</v>
      </c>
      <c r="AD331" s="6" t="str">
        <f t="shared" si="33"/>
        <v>Hải Lăng</v>
      </c>
      <c r="AE331" s="6" t="str">
        <f t="shared" si="34"/>
        <v>TT2 Quảng Trị</v>
      </c>
      <c r="AG331">
        <f t="shared" si="35"/>
        <v>3.0350000000000002E-2</v>
      </c>
      <c r="AH331">
        <f t="shared" si="36"/>
        <v>0.95907000000000009</v>
      </c>
    </row>
    <row r="332" spans="1:34" x14ac:dyDescent="0.25">
      <c r="A332" t="s">
        <v>3011</v>
      </c>
      <c r="B332" t="s">
        <v>3012</v>
      </c>
      <c r="C332" t="s">
        <v>3013</v>
      </c>
      <c r="D332" t="s">
        <v>2697</v>
      </c>
      <c r="E332" t="s">
        <v>2698</v>
      </c>
      <c r="F332" t="s">
        <v>3014</v>
      </c>
      <c r="G332" t="s">
        <v>15827</v>
      </c>
      <c r="H332" t="s">
        <v>15831</v>
      </c>
      <c r="I332" t="s">
        <v>16153</v>
      </c>
      <c r="J332" t="s">
        <v>23</v>
      </c>
      <c r="L332" t="s">
        <v>3015</v>
      </c>
      <c r="M332" t="s">
        <v>3016</v>
      </c>
      <c r="N332" t="s">
        <v>3017</v>
      </c>
      <c r="O332" t="s">
        <v>3018</v>
      </c>
      <c r="P332" t="s">
        <v>3019</v>
      </c>
      <c r="Q332" t="s">
        <v>3020</v>
      </c>
      <c r="R332" t="s">
        <v>3021</v>
      </c>
      <c r="S332" t="s">
        <v>3022</v>
      </c>
      <c r="T332" t="s">
        <v>3023</v>
      </c>
      <c r="U332" s="5">
        <v>1967.45</v>
      </c>
      <c r="V332" s="5">
        <v>629.54999999999995</v>
      </c>
      <c r="W332" s="5">
        <v>16.767475000000001</v>
      </c>
      <c r="X332" s="5">
        <v>107.192733</v>
      </c>
      <c r="Y332" s="5">
        <v>1337.9</v>
      </c>
      <c r="Z332" s="5">
        <v>16.751204000000001</v>
      </c>
      <c r="AA332" s="5">
        <v>107.185762</v>
      </c>
      <c r="AB332" s="7">
        <f t="shared" si="31"/>
        <v>0.94432499999999997</v>
      </c>
      <c r="AC332" s="7">
        <f t="shared" si="32"/>
        <v>2.00685</v>
      </c>
      <c r="AD332" s="6" t="str">
        <f t="shared" si="33"/>
        <v>Ái Tử</v>
      </c>
      <c r="AE332" s="6" t="str">
        <f t="shared" si="34"/>
        <v>TTCMKV TX Quảng Trị</v>
      </c>
      <c r="AG332">
        <f t="shared" si="35"/>
        <v>0.62954999999999994</v>
      </c>
      <c r="AH332">
        <f t="shared" si="36"/>
        <v>1.3379000000000001</v>
      </c>
    </row>
    <row r="333" spans="1:34" x14ac:dyDescent="0.25">
      <c r="A333" t="s">
        <v>3024</v>
      </c>
      <c r="B333" t="s">
        <v>3025</v>
      </c>
      <c r="C333" t="s">
        <v>3026</v>
      </c>
      <c r="D333" t="s">
        <v>3027</v>
      </c>
      <c r="E333" t="s">
        <v>3028</v>
      </c>
      <c r="F333" t="s">
        <v>3029</v>
      </c>
      <c r="G333" t="s">
        <v>15827</v>
      </c>
      <c r="H333" t="s">
        <v>15831</v>
      </c>
      <c r="I333" t="s">
        <v>16154</v>
      </c>
      <c r="J333" t="s">
        <v>23</v>
      </c>
      <c r="L333" t="s">
        <v>3015</v>
      </c>
      <c r="M333" t="s">
        <v>3030</v>
      </c>
      <c r="N333" t="s">
        <v>3031</v>
      </c>
      <c r="O333" t="s">
        <v>3032</v>
      </c>
      <c r="P333" t="s">
        <v>3033</v>
      </c>
      <c r="Q333" t="s">
        <v>3034</v>
      </c>
      <c r="R333" t="s">
        <v>3035</v>
      </c>
      <c r="S333" t="s">
        <v>3036</v>
      </c>
      <c r="T333" t="s">
        <v>3037</v>
      </c>
      <c r="U333" s="5">
        <v>3005.76</v>
      </c>
      <c r="V333" s="5">
        <v>3005.2</v>
      </c>
      <c r="W333" s="5">
        <v>16.792856</v>
      </c>
      <c r="X333" s="5">
        <v>107.176041</v>
      </c>
      <c r="Y333" s="5">
        <v>0.56000000000000005</v>
      </c>
      <c r="Z333" s="5">
        <v>16.790996</v>
      </c>
      <c r="AA333" s="5">
        <v>107.172702</v>
      </c>
      <c r="AB333" s="7">
        <f t="shared" si="31"/>
        <v>4.5077999999999996</v>
      </c>
      <c r="AC333" s="7">
        <f t="shared" si="32"/>
        <v>8.4000000000000003E-4</v>
      </c>
      <c r="AD333" s="6" t="str">
        <f t="shared" si="33"/>
        <v>Ái Tử</v>
      </c>
      <c r="AE333" s="6" t="str">
        <f t="shared" si="34"/>
        <v>TTCMKV TX Quảng Trị</v>
      </c>
      <c r="AG333">
        <f t="shared" si="35"/>
        <v>3.0051999999999999</v>
      </c>
      <c r="AH333">
        <f t="shared" si="36"/>
        <v>5.6000000000000006E-4</v>
      </c>
    </row>
    <row r="334" spans="1:34" x14ac:dyDescent="0.25">
      <c r="A334" t="s">
        <v>3038</v>
      </c>
      <c r="B334" t="s">
        <v>3027</v>
      </c>
      <c r="C334" t="s">
        <v>3028</v>
      </c>
      <c r="D334" t="s">
        <v>3039</v>
      </c>
      <c r="E334" t="s">
        <v>3040</v>
      </c>
      <c r="F334" t="s">
        <v>3041</v>
      </c>
      <c r="G334" t="s">
        <v>15827</v>
      </c>
      <c r="H334" t="s">
        <v>15831</v>
      </c>
      <c r="I334" t="s">
        <v>16155</v>
      </c>
      <c r="J334" t="s">
        <v>23</v>
      </c>
      <c r="L334" t="s">
        <v>2700</v>
      </c>
      <c r="M334" t="s">
        <v>3042</v>
      </c>
      <c r="N334" t="s">
        <v>3043</v>
      </c>
      <c r="O334" t="s">
        <v>3044</v>
      </c>
      <c r="P334" t="s">
        <v>3045</v>
      </c>
      <c r="Q334" t="s">
        <v>3046</v>
      </c>
      <c r="R334" t="s">
        <v>2703</v>
      </c>
      <c r="S334" t="s">
        <v>2704</v>
      </c>
      <c r="T334" t="s">
        <v>2708</v>
      </c>
      <c r="U334" s="5">
        <v>3251.83</v>
      </c>
      <c r="V334" s="5">
        <v>2219.4499999999998</v>
      </c>
      <c r="W334" s="5">
        <v>16.777950000000001</v>
      </c>
      <c r="X334" s="5">
        <v>107.156925</v>
      </c>
      <c r="Y334" s="5">
        <v>1032.3800000000001</v>
      </c>
      <c r="Z334" s="5">
        <v>16.749236</v>
      </c>
      <c r="AA334" s="5">
        <v>107.17827200000001</v>
      </c>
      <c r="AB334" s="7">
        <f t="shared" si="31"/>
        <v>3.3291749999999998</v>
      </c>
      <c r="AC334" s="7">
        <f t="shared" si="32"/>
        <v>1.5485700000000002</v>
      </c>
      <c r="AD334" s="6" t="str">
        <f t="shared" si="33"/>
        <v>Hải Lăng</v>
      </c>
      <c r="AE334" s="6" t="str">
        <f t="shared" si="34"/>
        <v>TT2 Quảng Trị</v>
      </c>
      <c r="AG334">
        <f t="shared" si="35"/>
        <v>2.2194499999999997</v>
      </c>
      <c r="AH334">
        <f t="shared" si="36"/>
        <v>1.0323800000000001</v>
      </c>
    </row>
    <row r="335" spans="1:34" x14ac:dyDescent="0.25">
      <c r="A335" t="s">
        <v>3047</v>
      </c>
      <c r="B335" t="s">
        <v>3039</v>
      </c>
      <c r="C335" t="s">
        <v>3040</v>
      </c>
      <c r="D335" t="s">
        <v>2697</v>
      </c>
      <c r="E335" t="s">
        <v>2698</v>
      </c>
      <c r="F335" t="s">
        <v>3048</v>
      </c>
      <c r="G335" t="s">
        <v>15827</v>
      </c>
      <c r="H335" t="s">
        <v>15831</v>
      </c>
      <c r="I335" t="s">
        <v>16156</v>
      </c>
      <c r="J335" t="s">
        <v>23</v>
      </c>
      <c r="L335" t="s">
        <v>3015</v>
      </c>
      <c r="M335" t="s">
        <v>3049</v>
      </c>
      <c r="N335" t="s">
        <v>3050</v>
      </c>
      <c r="O335" t="s">
        <v>3051</v>
      </c>
      <c r="P335" t="s">
        <v>3052</v>
      </c>
      <c r="Q335" t="s">
        <v>3053</v>
      </c>
      <c r="R335" t="s">
        <v>3054</v>
      </c>
      <c r="S335" t="s">
        <v>3055</v>
      </c>
      <c r="T335" t="s">
        <v>3056</v>
      </c>
      <c r="U335" s="5">
        <v>185.49</v>
      </c>
      <c r="V335" s="5">
        <v>155.44999999999999</v>
      </c>
      <c r="W335" s="5">
        <v>16.741446</v>
      </c>
      <c r="X335" s="5">
        <v>107.18541</v>
      </c>
      <c r="Y335" s="5">
        <v>30.04</v>
      </c>
      <c r="Z335" s="5">
        <v>16.739591999999998</v>
      </c>
      <c r="AA335" s="5">
        <v>107.18808300000001</v>
      </c>
      <c r="AB335" s="7">
        <f t="shared" si="31"/>
        <v>0.23317499999999999</v>
      </c>
      <c r="AC335" s="7">
        <f t="shared" si="32"/>
        <v>4.5060000000000003E-2</v>
      </c>
      <c r="AD335" s="6" t="str">
        <f t="shared" si="33"/>
        <v>Ái Tử</v>
      </c>
      <c r="AE335" s="6" t="str">
        <f t="shared" si="34"/>
        <v>TTCMKV TX Quảng Trị</v>
      </c>
      <c r="AG335">
        <f t="shared" si="35"/>
        <v>0.15544999999999998</v>
      </c>
      <c r="AH335">
        <f t="shared" si="36"/>
        <v>3.0040000000000001E-2</v>
      </c>
    </row>
    <row r="336" spans="1:34" x14ac:dyDescent="0.25">
      <c r="A336" t="s">
        <v>3057</v>
      </c>
      <c r="B336" t="s">
        <v>3058</v>
      </c>
      <c r="C336" t="s">
        <v>3059</v>
      </c>
      <c r="D336" t="s">
        <v>3060</v>
      </c>
      <c r="E336" t="s">
        <v>3061</v>
      </c>
      <c r="F336" t="s">
        <v>3062</v>
      </c>
      <c r="G336" t="s">
        <v>15827</v>
      </c>
      <c r="H336" t="s">
        <v>15831</v>
      </c>
      <c r="I336" t="s">
        <v>16157</v>
      </c>
      <c r="J336" t="s">
        <v>23</v>
      </c>
      <c r="L336" t="s">
        <v>2950</v>
      </c>
      <c r="M336" t="s">
        <v>3063</v>
      </c>
      <c r="N336" t="s">
        <v>3064</v>
      </c>
      <c r="O336" t="s">
        <v>3065</v>
      </c>
      <c r="P336" t="s">
        <v>3066</v>
      </c>
      <c r="Q336" t="s">
        <v>3067</v>
      </c>
      <c r="R336" t="s">
        <v>3068</v>
      </c>
      <c r="S336" t="s">
        <v>3069</v>
      </c>
      <c r="T336" t="s">
        <v>2958</v>
      </c>
      <c r="U336" s="5">
        <v>3373.3</v>
      </c>
      <c r="V336" s="5">
        <v>30.58</v>
      </c>
      <c r="W336" s="5">
        <v>16.794288999999999</v>
      </c>
      <c r="X336" s="5">
        <v>107.24495899999999</v>
      </c>
      <c r="Y336" s="5">
        <v>3342.73</v>
      </c>
      <c r="Z336" s="5">
        <v>16.771896000000002</v>
      </c>
      <c r="AA336" s="5">
        <v>107.225466</v>
      </c>
      <c r="AB336" s="7">
        <f t="shared" si="31"/>
        <v>4.5869999999999994E-2</v>
      </c>
      <c r="AC336" s="7">
        <f t="shared" si="32"/>
        <v>5.0140950000000002</v>
      </c>
      <c r="AD336" s="6" t="str">
        <f t="shared" si="33"/>
        <v>Nam Cửa Việt</v>
      </c>
      <c r="AE336" s="6" t="str">
        <f t="shared" si="34"/>
        <v>Triệu Cơ</v>
      </c>
      <c r="AG336">
        <f t="shared" si="35"/>
        <v>3.058E-2</v>
      </c>
      <c r="AH336">
        <f t="shared" si="36"/>
        <v>3.34273</v>
      </c>
    </row>
    <row r="337" spans="1:34" x14ac:dyDescent="0.25">
      <c r="A337" t="s">
        <v>3070</v>
      </c>
      <c r="B337" t="s">
        <v>3060</v>
      </c>
      <c r="C337" t="s">
        <v>3061</v>
      </c>
      <c r="D337" t="s">
        <v>2697</v>
      </c>
      <c r="E337" t="s">
        <v>2698</v>
      </c>
      <c r="F337" t="s">
        <v>3071</v>
      </c>
      <c r="G337" t="s">
        <v>15827</v>
      </c>
      <c r="H337" t="s">
        <v>15831</v>
      </c>
      <c r="I337" t="s">
        <v>16158</v>
      </c>
      <c r="J337" t="s">
        <v>23</v>
      </c>
      <c r="L337" t="s">
        <v>2961</v>
      </c>
      <c r="M337" t="s">
        <v>587</v>
      </c>
      <c r="N337" t="s">
        <v>3072</v>
      </c>
      <c r="O337" t="s">
        <v>2964</v>
      </c>
      <c r="P337" t="s">
        <v>2965</v>
      </c>
      <c r="Q337" t="s">
        <v>2966</v>
      </c>
      <c r="R337" t="s">
        <v>2967</v>
      </c>
      <c r="S337" t="s">
        <v>2968</v>
      </c>
      <c r="T337" t="s">
        <v>2969</v>
      </c>
      <c r="U337" s="5">
        <v>113.37</v>
      </c>
      <c r="V337" s="5">
        <v>83.81</v>
      </c>
      <c r="W337" s="5">
        <v>16.755587999999999</v>
      </c>
      <c r="X337" s="5">
        <v>107.198543</v>
      </c>
      <c r="Y337" s="5">
        <v>29.56</v>
      </c>
      <c r="Z337" s="5">
        <v>16.739564999999999</v>
      </c>
      <c r="AA337" s="5">
        <v>107.188067</v>
      </c>
      <c r="AB337" s="7">
        <f t="shared" si="31"/>
        <v>0.12571499999999999</v>
      </c>
      <c r="AC337" s="7">
        <f t="shared" si="32"/>
        <v>4.4339999999999997E-2</v>
      </c>
      <c r="AD337" s="6" t="str">
        <f t="shared" si="33"/>
        <v>Quảng Trị</v>
      </c>
      <c r="AE337" s="6" t="str">
        <f t="shared" si="34"/>
        <v>PC07 (Đội PCCC khu vực 5)</v>
      </c>
      <c r="AG337">
        <f t="shared" si="35"/>
        <v>8.3809999999999996E-2</v>
      </c>
      <c r="AH337">
        <f t="shared" si="36"/>
        <v>2.9559999999999999E-2</v>
      </c>
    </row>
    <row r="338" spans="1:34" x14ac:dyDescent="0.25">
      <c r="A338" t="s">
        <v>3073</v>
      </c>
      <c r="B338" t="s">
        <v>2697</v>
      </c>
      <c r="C338" t="s">
        <v>2698</v>
      </c>
      <c r="D338" t="s">
        <v>3074</v>
      </c>
      <c r="E338" t="s">
        <v>3075</v>
      </c>
      <c r="F338" t="s">
        <v>3076</v>
      </c>
      <c r="G338" t="s">
        <v>15827</v>
      </c>
      <c r="H338" t="s">
        <v>15831</v>
      </c>
      <c r="I338" t="s">
        <v>16159</v>
      </c>
      <c r="J338" t="s">
        <v>23</v>
      </c>
      <c r="L338" t="s">
        <v>3077</v>
      </c>
      <c r="M338" t="s">
        <v>3078</v>
      </c>
      <c r="N338" t="s">
        <v>3079</v>
      </c>
      <c r="O338" t="s">
        <v>3080</v>
      </c>
      <c r="P338" t="s">
        <v>3081</v>
      </c>
      <c r="Q338" t="s">
        <v>3082</v>
      </c>
      <c r="R338" t="s">
        <v>3083</v>
      </c>
      <c r="S338" t="s">
        <v>3084</v>
      </c>
      <c r="T338" t="s">
        <v>3085</v>
      </c>
      <c r="U338" s="5">
        <v>617.41999999999996</v>
      </c>
      <c r="V338" s="5">
        <v>570.32000000000005</v>
      </c>
      <c r="W338" s="5">
        <v>16.741589999999999</v>
      </c>
      <c r="X338" s="5">
        <v>107.183447</v>
      </c>
      <c r="Y338" s="5">
        <v>47.1</v>
      </c>
      <c r="Z338" s="5">
        <v>16.747253000000001</v>
      </c>
      <c r="AA338" s="5">
        <v>107.17797299999999</v>
      </c>
      <c r="AB338" s="7">
        <f t="shared" si="31"/>
        <v>0.85548000000000002</v>
      </c>
      <c r="AC338" s="7">
        <f t="shared" si="32"/>
        <v>7.0650000000000004E-2</v>
      </c>
      <c r="AD338" s="6" t="str">
        <f t="shared" si="33"/>
        <v>TTCMKV Triệu Phong</v>
      </c>
      <c r="AE338" s="6" t="str">
        <f t="shared" si="34"/>
        <v>TX Quảng Trị</v>
      </c>
      <c r="AG338">
        <f t="shared" si="35"/>
        <v>0.57032000000000005</v>
      </c>
      <c r="AH338">
        <f t="shared" si="36"/>
        <v>4.7100000000000003E-2</v>
      </c>
    </row>
    <row r="339" spans="1:34" x14ac:dyDescent="0.25">
      <c r="A339" t="s">
        <v>3086</v>
      </c>
      <c r="B339" t="s">
        <v>3074</v>
      </c>
      <c r="C339" t="s">
        <v>3075</v>
      </c>
      <c r="D339" t="s">
        <v>2697</v>
      </c>
      <c r="E339" t="s">
        <v>2698</v>
      </c>
      <c r="F339" t="s">
        <v>3087</v>
      </c>
      <c r="G339" t="s">
        <v>15827</v>
      </c>
      <c r="H339" t="s">
        <v>15831</v>
      </c>
      <c r="I339" t="s">
        <v>16160</v>
      </c>
      <c r="J339" t="s">
        <v>23</v>
      </c>
      <c r="L339" t="s">
        <v>3077</v>
      </c>
      <c r="M339" t="s">
        <v>3078</v>
      </c>
      <c r="N339" t="s">
        <v>3082</v>
      </c>
      <c r="O339" t="s">
        <v>3083</v>
      </c>
      <c r="P339" t="s">
        <v>3084</v>
      </c>
      <c r="Q339" t="s">
        <v>3079</v>
      </c>
      <c r="R339" t="s">
        <v>3080</v>
      </c>
      <c r="S339" t="s">
        <v>3081</v>
      </c>
      <c r="T339" t="s">
        <v>3085</v>
      </c>
      <c r="U339" s="5">
        <v>617.41999999999996</v>
      </c>
      <c r="V339" s="5">
        <v>47.1</v>
      </c>
      <c r="W339" s="5">
        <v>16.747253000000001</v>
      </c>
      <c r="X339" s="5">
        <v>107.17797299999999</v>
      </c>
      <c r="Y339" s="5">
        <v>570.32000000000005</v>
      </c>
      <c r="Z339" s="5">
        <v>16.741589999999999</v>
      </c>
      <c r="AA339" s="5">
        <v>107.183447</v>
      </c>
      <c r="AB339" s="7">
        <f t="shared" si="31"/>
        <v>7.0650000000000004E-2</v>
      </c>
      <c r="AC339" s="7">
        <f t="shared" si="32"/>
        <v>0.85548000000000002</v>
      </c>
      <c r="AD339" s="6" t="str">
        <f t="shared" si="33"/>
        <v>TTCMKV Triệu Phong</v>
      </c>
      <c r="AE339" s="6" t="str">
        <f t="shared" si="34"/>
        <v>TX Quảng Trị</v>
      </c>
      <c r="AG339">
        <f t="shared" si="35"/>
        <v>4.7100000000000003E-2</v>
      </c>
      <c r="AH339">
        <f t="shared" si="36"/>
        <v>0.57032000000000005</v>
      </c>
    </row>
    <row r="340" spans="1:34" x14ac:dyDescent="0.25">
      <c r="A340" t="s">
        <v>3088</v>
      </c>
      <c r="B340" t="s">
        <v>3089</v>
      </c>
      <c r="C340" t="s">
        <v>3090</v>
      </c>
      <c r="D340" t="s">
        <v>2870</v>
      </c>
      <c r="E340" t="s">
        <v>2871</v>
      </c>
      <c r="F340" t="s">
        <v>3091</v>
      </c>
      <c r="G340" t="s">
        <v>15827</v>
      </c>
      <c r="H340" t="s">
        <v>15831</v>
      </c>
      <c r="I340" t="s">
        <v>16161</v>
      </c>
      <c r="J340" t="s">
        <v>23</v>
      </c>
      <c r="L340" t="s">
        <v>2700</v>
      </c>
      <c r="M340" t="s">
        <v>3092</v>
      </c>
      <c r="N340" t="s">
        <v>3093</v>
      </c>
      <c r="O340" t="s">
        <v>3094</v>
      </c>
      <c r="P340" t="s">
        <v>3095</v>
      </c>
      <c r="Q340" t="s">
        <v>2877</v>
      </c>
      <c r="R340" t="s">
        <v>2878</v>
      </c>
      <c r="S340" t="s">
        <v>2879</v>
      </c>
      <c r="T340" t="s">
        <v>2880</v>
      </c>
      <c r="U340" s="5">
        <v>975.49</v>
      </c>
      <c r="V340" s="5">
        <v>945.15</v>
      </c>
      <c r="W340" s="5">
        <v>16.718717999999999</v>
      </c>
      <c r="X340" s="5">
        <v>107.222302</v>
      </c>
      <c r="Y340" s="5">
        <v>30.35</v>
      </c>
      <c r="Z340" s="5">
        <v>16.692073000000001</v>
      </c>
      <c r="AA340" s="5">
        <v>107.245351</v>
      </c>
      <c r="AB340" s="7">
        <f t="shared" si="31"/>
        <v>1.4177249999999999</v>
      </c>
      <c r="AC340" s="7">
        <f t="shared" si="32"/>
        <v>4.5525000000000003E-2</v>
      </c>
      <c r="AD340" s="6" t="str">
        <f t="shared" si="33"/>
        <v>Hải Lăng</v>
      </c>
      <c r="AE340" s="6" t="str">
        <f t="shared" si="34"/>
        <v>TT2 Quảng Trị</v>
      </c>
      <c r="AG340">
        <f t="shared" si="35"/>
        <v>0.94514999999999993</v>
      </c>
      <c r="AH340">
        <f t="shared" si="36"/>
        <v>3.0350000000000002E-2</v>
      </c>
    </row>
    <row r="341" spans="1:34" x14ac:dyDescent="0.25">
      <c r="A341" t="s">
        <v>3096</v>
      </c>
      <c r="B341" t="s">
        <v>3097</v>
      </c>
      <c r="C341" t="s">
        <v>3098</v>
      </c>
      <c r="D341" t="s">
        <v>3099</v>
      </c>
      <c r="E341" t="s">
        <v>3100</v>
      </c>
      <c r="F341" t="s">
        <v>3101</v>
      </c>
      <c r="G341" t="s">
        <v>15827</v>
      </c>
      <c r="H341" t="s">
        <v>15831</v>
      </c>
      <c r="I341" t="s">
        <v>16162</v>
      </c>
      <c r="J341" t="s">
        <v>23</v>
      </c>
      <c r="L341" t="s">
        <v>3102</v>
      </c>
      <c r="M341" t="s">
        <v>3103</v>
      </c>
      <c r="N341" t="s">
        <v>3104</v>
      </c>
      <c r="O341" t="s">
        <v>3105</v>
      </c>
      <c r="P341" t="s">
        <v>3106</v>
      </c>
      <c r="Q341" t="s">
        <v>3107</v>
      </c>
      <c r="R341" t="s">
        <v>3108</v>
      </c>
      <c r="S341" t="s">
        <v>3109</v>
      </c>
      <c r="T341" t="s">
        <v>3110</v>
      </c>
      <c r="U341" s="5">
        <v>58.35</v>
      </c>
      <c r="V341" s="5">
        <v>29.18</v>
      </c>
      <c r="W341" s="5">
        <v>16.815601000000001</v>
      </c>
      <c r="X341" s="5">
        <v>107.090208</v>
      </c>
      <c r="Y341" s="5">
        <v>29.17</v>
      </c>
      <c r="Z341" s="5">
        <v>16.812353000000002</v>
      </c>
      <c r="AA341" s="5">
        <v>107.089033</v>
      </c>
      <c r="AB341" s="7">
        <f t="shared" si="31"/>
        <v>4.3769999999999996E-2</v>
      </c>
      <c r="AC341" s="7">
        <f t="shared" si="32"/>
        <v>4.3755000000000002E-2</v>
      </c>
      <c r="AD341" s="6" t="str">
        <f t="shared" si="33"/>
        <v>Gio Linh</v>
      </c>
      <c r="AE341" s="6" t="str">
        <f t="shared" si="34"/>
        <v>Đông Hà</v>
      </c>
      <c r="AG341">
        <f t="shared" si="35"/>
        <v>2.9180000000000001E-2</v>
      </c>
      <c r="AH341">
        <f t="shared" si="36"/>
        <v>2.9170000000000001E-2</v>
      </c>
    </row>
    <row r="342" spans="1:34" x14ac:dyDescent="0.25">
      <c r="A342" t="s">
        <v>3111</v>
      </c>
      <c r="B342" t="s">
        <v>3112</v>
      </c>
      <c r="C342" t="s">
        <v>3113</v>
      </c>
      <c r="D342" t="s">
        <v>2741</v>
      </c>
      <c r="E342" t="s">
        <v>2742</v>
      </c>
      <c r="F342" t="s">
        <v>3114</v>
      </c>
      <c r="G342" t="s">
        <v>15827</v>
      </c>
      <c r="H342" t="s">
        <v>15831</v>
      </c>
      <c r="I342" t="s">
        <v>16163</v>
      </c>
      <c r="J342" t="s">
        <v>23</v>
      </c>
      <c r="L342" t="s">
        <v>2794</v>
      </c>
      <c r="M342" t="s">
        <v>3115</v>
      </c>
      <c r="N342" t="s">
        <v>3116</v>
      </c>
      <c r="O342" t="s">
        <v>3117</v>
      </c>
      <c r="P342" t="s">
        <v>3118</v>
      </c>
      <c r="Q342" t="s">
        <v>2796</v>
      </c>
      <c r="R342" t="s">
        <v>2797</v>
      </c>
      <c r="S342" t="s">
        <v>2798</v>
      </c>
      <c r="T342" t="s">
        <v>2802</v>
      </c>
      <c r="U342" s="5">
        <v>824.87</v>
      </c>
      <c r="V342" s="5">
        <v>240.69</v>
      </c>
      <c r="W342" s="5">
        <v>16.933150000000001</v>
      </c>
      <c r="X342" s="5">
        <v>107.160359</v>
      </c>
      <c r="Y342" s="5">
        <v>584.17999999999995</v>
      </c>
      <c r="Z342" s="5">
        <v>16.90917</v>
      </c>
      <c r="AA342" s="5">
        <v>107.18106899999999</v>
      </c>
      <c r="AB342" s="7">
        <f t="shared" si="31"/>
        <v>0.36103499999999999</v>
      </c>
      <c r="AC342" s="7">
        <f t="shared" si="32"/>
        <v>0.87626999999999999</v>
      </c>
      <c r="AD342" s="6" t="str">
        <f t="shared" si="33"/>
        <v>Cửa Tùng</v>
      </c>
      <c r="AE342" s="6" t="str">
        <f t="shared" si="34"/>
        <v>Phòng PH10 (Nhà Nghỉ dưỡng Cửa Việt)</v>
      </c>
      <c r="AG342">
        <f t="shared" si="35"/>
        <v>0.24068999999999999</v>
      </c>
      <c r="AH342">
        <f t="shared" si="36"/>
        <v>0.58417999999999992</v>
      </c>
    </row>
    <row r="343" spans="1:34" x14ac:dyDescent="0.25">
      <c r="A343" t="s">
        <v>3119</v>
      </c>
      <c r="B343" t="s">
        <v>3120</v>
      </c>
      <c r="C343" t="s">
        <v>3121</v>
      </c>
      <c r="D343" t="s">
        <v>3122</v>
      </c>
      <c r="E343" t="s">
        <v>3123</v>
      </c>
      <c r="F343" t="s">
        <v>3124</v>
      </c>
      <c r="G343" t="s">
        <v>15827</v>
      </c>
      <c r="H343" t="s">
        <v>15831</v>
      </c>
      <c r="I343" t="s">
        <v>16164</v>
      </c>
      <c r="J343" t="s">
        <v>23</v>
      </c>
      <c r="L343" t="s">
        <v>3125</v>
      </c>
      <c r="M343" t="s">
        <v>3126</v>
      </c>
      <c r="N343" t="s">
        <v>3127</v>
      </c>
      <c r="O343" t="s">
        <v>3128</v>
      </c>
      <c r="P343" t="s">
        <v>3129</v>
      </c>
      <c r="Q343" t="s">
        <v>3130</v>
      </c>
      <c r="R343" t="s">
        <v>3131</v>
      </c>
      <c r="S343" t="s">
        <v>3132</v>
      </c>
      <c r="T343" t="s">
        <v>3133</v>
      </c>
      <c r="U343" s="5">
        <v>1209.5999999999999</v>
      </c>
      <c r="V343" s="5">
        <v>897.53</v>
      </c>
      <c r="W343" s="5">
        <v>16.783339000000002</v>
      </c>
      <c r="X343" s="5">
        <v>107.10921399999999</v>
      </c>
      <c r="Y343" s="5">
        <v>312.07</v>
      </c>
      <c r="Z343" s="5">
        <v>16.786483</v>
      </c>
      <c r="AA343" s="5">
        <v>107.10559000000001</v>
      </c>
      <c r="AB343" s="7">
        <f t="shared" si="31"/>
        <v>1.346295</v>
      </c>
      <c r="AC343" s="7">
        <f t="shared" si="32"/>
        <v>0.46810499999999999</v>
      </c>
      <c r="AD343" s="6" t="str">
        <f t="shared" si="33"/>
        <v>Trung tâm sát hạch lái xe</v>
      </c>
      <c r="AE343" s="6" t="str">
        <f t="shared" si="34"/>
        <v>TX Quảng Trị</v>
      </c>
      <c r="AG343">
        <f t="shared" si="35"/>
        <v>0.89752999999999994</v>
      </c>
      <c r="AH343">
        <f t="shared" si="36"/>
        <v>0.31207000000000001</v>
      </c>
    </row>
    <row r="344" spans="1:34" x14ac:dyDescent="0.25">
      <c r="A344" t="s">
        <v>3134</v>
      </c>
      <c r="B344" t="s">
        <v>3135</v>
      </c>
      <c r="C344" t="s">
        <v>3136</v>
      </c>
      <c r="D344" t="s">
        <v>2684</v>
      </c>
      <c r="E344" t="s">
        <v>2685</v>
      </c>
      <c r="F344" t="s">
        <v>3137</v>
      </c>
      <c r="G344" t="s">
        <v>15827</v>
      </c>
      <c r="H344" t="s">
        <v>15831</v>
      </c>
      <c r="I344" t="s">
        <v>16165</v>
      </c>
      <c r="J344" t="s">
        <v>23</v>
      </c>
      <c r="L344" t="s">
        <v>2687</v>
      </c>
      <c r="M344" t="s">
        <v>3138</v>
      </c>
      <c r="N344" t="s">
        <v>3139</v>
      </c>
      <c r="O344" t="s">
        <v>3140</v>
      </c>
      <c r="P344" t="s">
        <v>3141</v>
      </c>
      <c r="Q344" t="s">
        <v>2689</v>
      </c>
      <c r="R344" t="s">
        <v>2690</v>
      </c>
      <c r="S344" t="s">
        <v>2691</v>
      </c>
      <c r="T344" t="s">
        <v>2695</v>
      </c>
      <c r="U344" s="5">
        <v>131.01</v>
      </c>
      <c r="V344" s="5">
        <v>90.65</v>
      </c>
      <c r="W344" s="5">
        <v>16.790571</v>
      </c>
      <c r="X344" s="5">
        <v>107.099158</v>
      </c>
      <c r="Y344" s="5">
        <v>40.36</v>
      </c>
      <c r="Z344" s="5">
        <v>16.790599</v>
      </c>
      <c r="AA344" s="5">
        <v>107.091199</v>
      </c>
      <c r="AB344" s="7">
        <f t="shared" si="31"/>
        <v>0.13597500000000001</v>
      </c>
      <c r="AC344" s="7">
        <f t="shared" si="32"/>
        <v>6.0539999999999997E-2</v>
      </c>
      <c r="AD344" s="6" t="str">
        <f t="shared" si="33"/>
        <v>TT2 Quảng Trị</v>
      </c>
      <c r="AE344" s="6" t="str">
        <f t="shared" si="34"/>
        <v>PC07</v>
      </c>
      <c r="AG344">
        <f t="shared" si="35"/>
        <v>9.0650000000000008E-2</v>
      </c>
      <c r="AH344">
        <f t="shared" si="36"/>
        <v>4.036E-2</v>
      </c>
    </row>
    <row r="345" spans="1:34" x14ac:dyDescent="0.25">
      <c r="A345" t="s">
        <v>3142</v>
      </c>
      <c r="B345" t="s">
        <v>3143</v>
      </c>
      <c r="C345" t="s">
        <v>3144</v>
      </c>
      <c r="D345" t="s">
        <v>2684</v>
      </c>
      <c r="E345" t="s">
        <v>2685</v>
      </c>
      <c r="F345" t="s">
        <v>3145</v>
      </c>
      <c r="G345" t="s">
        <v>15827</v>
      </c>
      <c r="H345" t="s">
        <v>15831</v>
      </c>
      <c r="I345" t="s">
        <v>16166</v>
      </c>
      <c r="J345" t="s">
        <v>23</v>
      </c>
      <c r="L345" t="s">
        <v>3146</v>
      </c>
      <c r="M345" t="s">
        <v>3147</v>
      </c>
      <c r="N345" t="s">
        <v>3148</v>
      </c>
      <c r="O345" t="s">
        <v>3149</v>
      </c>
      <c r="P345" t="s">
        <v>3150</v>
      </c>
      <c r="Q345" t="s">
        <v>3151</v>
      </c>
      <c r="R345" t="s">
        <v>3152</v>
      </c>
      <c r="S345" t="s">
        <v>3153</v>
      </c>
      <c r="T345" t="s">
        <v>3154</v>
      </c>
      <c r="U345" s="5">
        <v>250.41</v>
      </c>
      <c r="V345" s="5">
        <v>246.4</v>
      </c>
      <c r="W345" s="5">
        <v>16.789892999999999</v>
      </c>
      <c r="X345" s="5">
        <v>107.065859</v>
      </c>
      <c r="Y345" s="5">
        <v>4.01</v>
      </c>
      <c r="Z345" s="5">
        <v>16.790272000000002</v>
      </c>
      <c r="AA345" s="5">
        <v>107.09096700000001</v>
      </c>
      <c r="AB345" s="7">
        <f t="shared" si="31"/>
        <v>0.36960000000000004</v>
      </c>
      <c r="AC345" s="7">
        <f t="shared" si="32"/>
        <v>6.0149999999999995E-3</v>
      </c>
      <c r="AD345" s="6" t="str">
        <f t="shared" si="33"/>
        <v>Hiếu Giang</v>
      </c>
      <c r="AE345" s="6" t="str">
        <f t="shared" si="34"/>
        <v>CA Công an Quảng Trị</v>
      </c>
      <c r="AG345">
        <f t="shared" si="35"/>
        <v>0.24640000000000001</v>
      </c>
      <c r="AH345">
        <f t="shared" si="36"/>
        <v>4.0099999999999997E-3</v>
      </c>
    </row>
    <row r="346" spans="1:34" x14ac:dyDescent="0.25">
      <c r="A346" t="s">
        <v>3155</v>
      </c>
      <c r="B346" t="s">
        <v>3156</v>
      </c>
      <c r="C346" t="s">
        <v>3157</v>
      </c>
      <c r="D346" t="s">
        <v>2853</v>
      </c>
      <c r="E346" t="s">
        <v>2854</v>
      </c>
      <c r="F346" t="s">
        <v>3158</v>
      </c>
      <c r="G346" t="s">
        <v>15827</v>
      </c>
      <c r="H346" t="s">
        <v>15831</v>
      </c>
      <c r="I346" t="s">
        <v>16167</v>
      </c>
      <c r="J346" t="s">
        <v>23</v>
      </c>
      <c r="L346" t="s">
        <v>2756</v>
      </c>
      <c r="M346" t="s">
        <v>3159</v>
      </c>
      <c r="N346" t="s">
        <v>3160</v>
      </c>
      <c r="O346" t="s">
        <v>3161</v>
      </c>
      <c r="P346" t="s">
        <v>3162</v>
      </c>
      <c r="Q346" t="s">
        <v>3163</v>
      </c>
      <c r="R346" t="s">
        <v>3164</v>
      </c>
      <c r="S346" t="s">
        <v>3165</v>
      </c>
      <c r="T346" t="s">
        <v>3166</v>
      </c>
      <c r="U346" s="5">
        <v>106.05</v>
      </c>
      <c r="V346" s="5">
        <v>72.540000000000006</v>
      </c>
      <c r="W346" s="5">
        <v>16.814689999999999</v>
      </c>
      <c r="X346" s="5">
        <v>107.10002299999999</v>
      </c>
      <c r="Y346" s="5">
        <v>33.5</v>
      </c>
      <c r="Z346" s="5">
        <v>16.815836000000001</v>
      </c>
      <c r="AA346" s="5">
        <v>107.10514499999999</v>
      </c>
      <c r="AB346" s="7">
        <f t="shared" si="31"/>
        <v>0.10881</v>
      </c>
      <c r="AC346" s="7">
        <f t="shared" si="32"/>
        <v>5.0250000000000003E-2</v>
      </c>
      <c r="AD346" s="6" t="str">
        <f t="shared" si="33"/>
        <v>Cam Lộ</v>
      </c>
      <c r="AE346" s="6" t="str">
        <f t="shared" si="34"/>
        <v>Nam Đông Hà</v>
      </c>
      <c r="AG346">
        <f t="shared" si="35"/>
        <v>7.2540000000000007E-2</v>
      </c>
      <c r="AH346">
        <f t="shared" si="36"/>
        <v>3.3500000000000002E-2</v>
      </c>
    </row>
    <row r="347" spans="1:34" x14ac:dyDescent="0.25">
      <c r="A347" t="s">
        <v>3167</v>
      </c>
      <c r="B347" t="s">
        <v>3168</v>
      </c>
      <c r="C347" t="s">
        <v>3169</v>
      </c>
      <c r="D347" t="s">
        <v>3122</v>
      </c>
      <c r="E347" t="s">
        <v>3123</v>
      </c>
      <c r="F347" t="s">
        <v>3170</v>
      </c>
      <c r="G347" t="s">
        <v>15827</v>
      </c>
      <c r="H347" t="s">
        <v>15831</v>
      </c>
      <c r="I347" t="s">
        <v>16168</v>
      </c>
      <c r="J347" t="s">
        <v>23</v>
      </c>
      <c r="L347" t="s">
        <v>2661</v>
      </c>
      <c r="M347" t="s">
        <v>3171</v>
      </c>
      <c r="N347" t="s">
        <v>3172</v>
      </c>
      <c r="O347" t="s">
        <v>3173</v>
      </c>
      <c r="P347" t="s">
        <v>3174</v>
      </c>
      <c r="Q347" t="s">
        <v>3175</v>
      </c>
      <c r="R347" t="s">
        <v>3176</v>
      </c>
      <c r="S347" t="s">
        <v>3177</v>
      </c>
      <c r="T347" t="s">
        <v>2669</v>
      </c>
      <c r="U347" s="5">
        <v>574.45000000000005</v>
      </c>
      <c r="V347" s="5">
        <v>408.39</v>
      </c>
      <c r="W347" s="5">
        <v>16.794229000000001</v>
      </c>
      <c r="X347" s="5">
        <v>107.11251</v>
      </c>
      <c r="Y347" s="5">
        <v>166.06</v>
      </c>
      <c r="Z347" s="5">
        <v>16.790261999999998</v>
      </c>
      <c r="AA347" s="5">
        <v>107.10346</v>
      </c>
      <c r="AB347" s="7">
        <f t="shared" si="31"/>
        <v>0.61258500000000005</v>
      </c>
      <c r="AC347" s="7">
        <f t="shared" si="32"/>
        <v>0.24909000000000001</v>
      </c>
      <c r="AD347" s="6" t="str">
        <f t="shared" si="33"/>
        <v>CA Công an Quảng Trị</v>
      </c>
      <c r="AE347" s="6" t="str">
        <f t="shared" si="34"/>
        <v>Triệu Phong</v>
      </c>
      <c r="AG347">
        <f t="shared" si="35"/>
        <v>0.40838999999999998</v>
      </c>
      <c r="AH347">
        <f t="shared" si="36"/>
        <v>0.16606000000000001</v>
      </c>
    </row>
    <row r="348" spans="1:34" x14ac:dyDescent="0.25">
      <c r="A348" t="s">
        <v>3178</v>
      </c>
      <c r="B348" t="s">
        <v>3179</v>
      </c>
      <c r="C348" t="s">
        <v>3180</v>
      </c>
      <c r="D348" t="s">
        <v>3181</v>
      </c>
      <c r="E348" t="s">
        <v>3182</v>
      </c>
      <c r="F348" t="s">
        <v>3183</v>
      </c>
      <c r="G348" t="s">
        <v>15827</v>
      </c>
      <c r="H348" t="s">
        <v>15831</v>
      </c>
      <c r="I348" t="s">
        <v>16169</v>
      </c>
      <c r="J348" t="s">
        <v>23</v>
      </c>
      <c r="L348" t="s">
        <v>3184</v>
      </c>
      <c r="M348" t="s">
        <v>3185</v>
      </c>
      <c r="N348" t="s">
        <v>3186</v>
      </c>
      <c r="O348" t="s">
        <v>3187</v>
      </c>
      <c r="P348" t="s">
        <v>3188</v>
      </c>
      <c r="Q348" t="s">
        <v>3189</v>
      </c>
      <c r="R348" t="s">
        <v>3190</v>
      </c>
      <c r="S348" t="s">
        <v>3191</v>
      </c>
      <c r="T348" t="s">
        <v>3192</v>
      </c>
      <c r="U348" s="5">
        <v>396.96</v>
      </c>
      <c r="V348" s="5">
        <v>197.76</v>
      </c>
      <c r="W348" s="5">
        <v>16.800301999999999</v>
      </c>
      <c r="X348" s="5">
        <v>107.09280699999999</v>
      </c>
      <c r="Y348" s="5">
        <v>199.2</v>
      </c>
      <c r="Z348" s="5">
        <v>16.800885999999998</v>
      </c>
      <c r="AA348" s="5">
        <v>107.08566999999999</v>
      </c>
      <c r="AB348" s="7">
        <f t="shared" si="31"/>
        <v>0.29663999999999996</v>
      </c>
      <c r="AC348" s="7">
        <f t="shared" si="32"/>
        <v>0.29879999999999995</v>
      </c>
      <c r="AD348" s="6" t="str">
        <f t="shared" si="33"/>
        <v>Đông Hà</v>
      </c>
      <c r="AE348" s="6" t="str">
        <f t="shared" si="34"/>
        <v>CA Công an Quảng Trị</v>
      </c>
      <c r="AG348">
        <f t="shared" si="35"/>
        <v>0.19775999999999999</v>
      </c>
      <c r="AH348">
        <f t="shared" si="36"/>
        <v>0.19919999999999999</v>
      </c>
    </row>
    <row r="349" spans="1:34" x14ac:dyDescent="0.25">
      <c r="A349" t="s">
        <v>3193</v>
      </c>
      <c r="B349" t="s">
        <v>3194</v>
      </c>
      <c r="C349" t="s">
        <v>3195</v>
      </c>
      <c r="D349" t="s">
        <v>2804</v>
      </c>
      <c r="E349" t="s">
        <v>2805</v>
      </c>
      <c r="F349" t="s">
        <v>3196</v>
      </c>
      <c r="G349" t="s">
        <v>15827</v>
      </c>
      <c r="H349" t="s">
        <v>15831</v>
      </c>
      <c r="I349" t="s">
        <v>16170</v>
      </c>
      <c r="J349" t="s">
        <v>23</v>
      </c>
      <c r="L349" t="s">
        <v>2794</v>
      </c>
      <c r="M349" t="s">
        <v>3197</v>
      </c>
      <c r="N349" t="s">
        <v>3198</v>
      </c>
      <c r="O349" t="s">
        <v>3199</v>
      </c>
      <c r="P349" t="s">
        <v>3200</v>
      </c>
      <c r="Q349" t="s">
        <v>2811</v>
      </c>
      <c r="R349" t="s">
        <v>2812</v>
      </c>
      <c r="S349" t="s">
        <v>2813</v>
      </c>
      <c r="T349" t="s">
        <v>2814</v>
      </c>
      <c r="U349" s="5">
        <v>81.650000000000006</v>
      </c>
      <c r="V349" s="5">
        <v>58.75</v>
      </c>
      <c r="W349" s="5">
        <v>16.997064000000002</v>
      </c>
      <c r="X349" s="5">
        <v>107.10917600000001</v>
      </c>
      <c r="Y349" s="5">
        <v>22.9</v>
      </c>
      <c r="Z349" s="5">
        <v>16.988969000000001</v>
      </c>
      <c r="AA349" s="5">
        <v>107.106525</v>
      </c>
      <c r="AB349" s="7">
        <f t="shared" si="31"/>
        <v>8.8124999999999995E-2</v>
      </c>
      <c r="AC349" s="7">
        <f t="shared" si="32"/>
        <v>3.4349999999999992E-2</v>
      </c>
      <c r="AD349" s="6" t="str">
        <f t="shared" si="33"/>
        <v>Cửa Tùng</v>
      </c>
      <c r="AE349" s="6" t="str">
        <f t="shared" si="34"/>
        <v>Phòng PH10 (Nhà Nghỉ dưỡng Cửa Việt)</v>
      </c>
      <c r="AG349">
        <f t="shared" si="35"/>
        <v>5.8749999999999997E-2</v>
      </c>
      <c r="AH349">
        <f t="shared" si="36"/>
        <v>2.29E-2</v>
      </c>
    </row>
    <row r="350" spans="1:34" x14ac:dyDescent="0.25">
      <c r="A350" t="s">
        <v>3201</v>
      </c>
      <c r="B350" t="s">
        <v>3202</v>
      </c>
      <c r="C350" t="s">
        <v>3203</v>
      </c>
      <c r="D350" t="s">
        <v>3027</v>
      </c>
      <c r="E350" t="s">
        <v>3028</v>
      </c>
      <c r="F350" t="s">
        <v>3204</v>
      </c>
      <c r="G350" t="s">
        <v>15827</v>
      </c>
      <c r="H350" t="s">
        <v>15831</v>
      </c>
      <c r="I350" t="s">
        <v>16171</v>
      </c>
      <c r="J350" t="s">
        <v>23</v>
      </c>
      <c r="L350" t="s">
        <v>3205</v>
      </c>
      <c r="M350" t="s">
        <v>3206</v>
      </c>
      <c r="N350" t="s">
        <v>3207</v>
      </c>
      <c r="O350" t="s">
        <v>3208</v>
      </c>
      <c r="P350" t="s">
        <v>3209</v>
      </c>
      <c r="Q350" t="s">
        <v>3210</v>
      </c>
      <c r="R350" t="s">
        <v>3211</v>
      </c>
      <c r="S350" t="s">
        <v>3212</v>
      </c>
      <c r="T350" t="s">
        <v>3213</v>
      </c>
      <c r="U350" s="5">
        <v>892.75</v>
      </c>
      <c r="V350" s="5">
        <v>881.84</v>
      </c>
      <c r="W350" s="5">
        <v>16.789978000000001</v>
      </c>
      <c r="X350" s="5">
        <v>107.17057699999999</v>
      </c>
      <c r="Y350" s="5">
        <v>10.92</v>
      </c>
      <c r="Z350" s="5">
        <v>16.791053000000002</v>
      </c>
      <c r="AA350" s="5">
        <v>107.172613</v>
      </c>
      <c r="AB350" s="7">
        <f t="shared" si="31"/>
        <v>1.3227599999999999</v>
      </c>
      <c r="AC350" s="7">
        <f t="shared" si="32"/>
        <v>1.6379999999999999E-2</v>
      </c>
      <c r="AD350" s="6" t="str">
        <f t="shared" si="33"/>
        <v>Triệu Phong</v>
      </c>
      <c r="AE350" s="6" t="str">
        <f t="shared" si="34"/>
        <v>Ái Tử</v>
      </c>
      <c r="AG350">
        <f t="shared" si="35"/>
        <v>0.88184000000000007</v>
      </c>
      <c r="AH350">
        <f t="shared" si="36"/>
        <v>1.0919999999999999E-2</v>
      </c>
    </row>
    <row r="351" spans="1:34" x14ac:dyDescent="0.25">
      <c r="A351" t="s">
        <v>3214</v>
      </c>
      <c r="B351" t="s">
        <v>3060</v>
      </c>
      <c r="C351" t="s">
        <v>3061</v>
      </c>
      <c r="D351" t="s">
        <v>3215</v>
      </c>
      <c r="E351" t="s">
        <v>3216</v>
      </c>
      <c r="F351" t="s">
        <v>3217</v>
      </c>
      <c r="G351" t="s">
        <v>15827</v>
      </c>
      <c r="H351" t="s">
        <v>15831</v>
      </c>
      <c r="I351" t="s">
        <v>16172</v>
      </c>
      <c r="J351" t="s">
        <v>23</v>
      </c>
      <c r="L351" t="s">
        <v>3218</v>
      </c>
      <c r="M351" t="s">
        <v>3219</v>
      </c>
      <c r="N351" t="s">
        <v>3220</v>
      </c>
      <c r="O351" t="s">
        <v>3221</v>
      </c>
      <c r="P351" t="s">
        <v>3222</v>
      </c>
      <c r="Q351" t="s">
        <v>3223</v>
      </c>
      <c r="R351" t="s">
        <v>3224</v>
      </c>
      <c r="S351" t="s">
        <v>3225</v>
      </c>
      <c r="T351" t="s">
        <v>3226</v>
      </c>
      <c r="U351" s="5">
        <v>160.44</v>
      </c>
      <c r="V351" s="5">
        <v>38.99</v>
      </c>
      <c r="W351" s="5">
        <v>16.756112999999999</v>
      </c>
      <c r="X351" s="5">
        <v>107.19887900000001</v>
      </c>
      <c r="Y351" s="5">
        <v>121.44</v>
      </c>
      <c r="Z351" s="5">
        <v>16.764666999999999</v>
      </c>
      <c r="AA351" s="5">
        <v>107.204076</v>
      </c>
      <c r="AB351" s="7">
        <f t="shared" si="31"/>
        <v>5.8485000000000002E-2</v>
      </c>
      <c r="AC351" s="7">
        <f t="shared" si="32"/>
        <v>0.18215999999999999</v>
      </c>
      <c r="AD351" s="6" t="str">
        <f t="shared" si="33"/>
        <v>PC07 (Đội PCCC khu vực 5)</v>
      </c>
      <c r="AE351" s="6" t="str">
        <f t="shared" si="34"/>
        <v>Triệu Cơ</v>
      </c>
      <c r="AG351">
        <f t="shared" si="35"/>
        <v>3.8990000000000004E-2</v>
      </c>
      <c r="AH351">
        <f t="shared" si="36"/>
        <v>0.12143999999999999</v>
      </c>
    </row>
    <row r="352" spans="1:34" x14ac:dyDescent="0.25">
      <c r="A352" t="s">
        <v>3227</v>
      </c>
      <c r="B352" t="s">
        <v>2947</v>
      </c>
      <c r="C352" t="s">
        <v>2948</v>
      </c>
      <c r="D352" t="s">
        <v>3228</v>
      </c>
      <c r="E352" t="s">
        <v>3229</v>
      </c>
      <c r="F352" t="s">
        <v>3230</v>
      </c>
      <c r="G352" t="s">
        <v>15827</v>
      </c>
      <c r="H352" t="s">
        <v>15831</v>
      </c>
      <c r="I352" t="s">
        <v>16173</v>
      </c>
      <c r="J352" t="s">
        <v>23</v>
      </c>
      <c r="L352" t="s">
        <v>2893</v>
      </c>
      <c r="M352" t="s">
        <v>3231</v>
      </c>
      <c r="N352" t="s">
        <v>3232</v>
      </c>
      <c r="O352" t="s">
        <v>3233</v>
      </c>
      <c r="P352" t="s">
        <v>3234</v>
      </c>
      <c r="Q352" t="s">
        <v>3235</v>
      </c>
      <c r="R352" t="s">
        <v>3236</v>
      </c>
      <c r="S352" t="s">
        <v>3237</v>
      </c>
      <c r="T352" t="s">
        <v>3238</v>
      </c>
      <c r="U352" s="5">
        <v>201.03</v>
      </c>
      <c r="V352" s="5">
        <v>9.82</v>
      </c>
      <c r="W352" s="5">
        <v>16.764586999999999</v>
      </c>
      <c r="X352" s="5">
        <v>107.22398200000001</v>
      </c>
      <c r="Y352" s="5">
        <v>191.2</v>
      </c>
      <c r="Z352" s="5">
        <v>16.765232000000001</v>
      </c>
      <c r="AA352" s="5">
        <v>107.22210699999999</v>
      </c>
      <c r="AB352" s="7">
        <f t="shared" si="31"/>
        <v>1.473E-2</v>
      </c>
      <c r="AC352" s="7">
        <f t="shared" si="32"/>
        <v>0.28679999999999994</v>
      </c>
      <c r="AD352" s="6" t="str">
        <f t="shared" si="33"/>
        <v>Mỹ Thủy</v>
      </c>
      <c r="AE352" s="6" t="str">
        <f t="shared" si="34"/>
        <v>Vĩnh Định</v>
      </c>
      <c r="AG352">
        <f t="shared" si="35"/>
        <v>9.8200000000000006E-3</v>
      </c>
      <c r="AH352">
        <f t="shared" si="36"/>
        <v>0.19119999999999998</v>
      </c>
    </row>
    <row r="353" spans="1:34" x14ac:dyDescent="0.25">
      <c r="A353" t="s">
        <v>3239</v>
      </c>
      <c r="B353" t="s">
        <v>3240</v>
      </c>
      <c r="C353" t="s">
        <v>3241</v>
      </c>
      <c r="D353" t="s">
        <v>2935</v>
      </c>
      <c r="E353" t="s">
        <v>2936</v>
      </c>
      <c r="F353" t="s">
        <v>3242</v>
      </c>
      <c r="G353" t="s">
        <v>15827</v>
      </c>
      <c r="H353" t="s">
        <v>15831</v>
      </c>
      <c r="I353" t="s">
        <v>16174</v>
      </c>
      <c r="J353" t="s">
        <v>23</v>
      </c>
      <c r="L353" t="s">
        <v>2950</v>
      </c>
      <c r="M353" t="s">
        <v>3243</v>
      </c>
      <c r="N353" t="s">
        <v>3244</v>
      </c>
      <c r="O353" t="s">
        <v>3245</v>
      </c>
      <c r="P353" t="s">
        <v>3246</v>
      </c>
      <c r="Q353" t="s">
        <v>2952</v>
      </c>
      <c r="R353" t="s">
        <v>2953</v>
      </c>
      <c r="S353" t="s">
        <v>2954</v>
      </c>
      <c r="T353" t="s">
        <v>2958</v>
      </c>
      <c r="U353" s="5">
        <v>583.29</v>
      </c>
      <c r="V353" s="5">
        <v>537.22</v>
      </c>
      <c r="W353" s="5">
        <v>16.768227</v>
      </c>
      <c r="X353" s="5">
        <v>107.229687</v>
      </c>
      <c r="Y353" s="5">
        <v>46.07</v>
      </c>
      <c r="Z353" s="5">
        <v>16.763349999999999</v>
      </c>
      <c r="AA353" s="5">
        <v>107.24277499999999</v>
      </c>
      <c r="AB353" s="7">
        <f t="shared" si="31"/>
        <v>0.80583000000000005</v>
      </c>
      <c r="AC353" s="7">
        <f t="shared" si="32"/>
        <v>6.9105E-2</v>
      </c>
      <c r="AD353" s="6" t="str">
        <f t="shared" si="33"/>
        <v>Nam Cửa Việt</v>
      </c>
      <c r="AE353" s="6" t="str">
        <f t="shared" si="34"/>
        <v>Triệu Cơ</v>
      </c>
      <c r="AG353">
        <f t="shared" si="35"/>
        <v>0.53722000000000003</v>
      </c>
      <c r="AH353">
        <f t="shared" si="36"/>
        <v>4.607E-2</v>
      </c>
    </row>
    <row r="354" spans="1:34" x14ac:dyDescent="0.25">
      <c r="A354" t="s">
        <v>3247</v>
      </c>
      <c r="B354" t="s">
        <v>2935</v>
      </c>
      <c r="C354" t="s">
        <v>2936</v>
      </c>
      <c r="D354" t="s">
        <v>3248</v>
      </c>
      <c r="E354" t="s">
        <v>3249</v>
      </c>
      <c r="F354" t="s">
        <v>3250</v>
      </c>
      <c r="G354" t="s">
        <v>15827</v>
      </c>
      <c r="H354" t="s">
        <v>15831</v>
      </c>
      <c r="I354" t="s">
        <v>16175</v>
      </c>
      <c r="J354" t="s">
        <v>23</v>
      </c>
      <c r="L354" t="s">
        <v>2893</v>
      </c>
      <c r="M354" t="s">
        <v>3251</v>
      </c>
      <c r="N354" t="s">
        <v>2942</v>
      </c>
      <c r="O354" t="s">
        <v>2943</v>
      </c>
      <c r="P354" t="s">
        <v>2944</v>
      </c>
      <c r="Q354" t="s">
        <v>3252</v>
      </c>
      <c r="R354" t="s">
        <v>2940</v>
      </c>
      <c r="S354" t="s">
        <v>2941</v>
      </c>
      <c r="T354" t="s">
        <v>2945</v>
      </c>
      <c r="U354" s="5">
        <v>848.47</v>
      </c>
      <c r="V354" s="5">
        <v>341.64</v>
      </c>
      <c r="W354" s="5">
        <v>16.766483999999998</v>
      </c>
      <c r="X354" s="5">
        <v>107.242845</v>
      </c>
      <c r="Y354" s="5">
        <v>506.83</v>
      </c>
      <c r="Z354" s="5">
        <v>16.771798</v>
      </c>
      <c r="AA354" s="5">
        <v>107.261014</v>
      </c>
      <c r="AB354" s="7">
        <f t="shared" si="31"/>
        <v>0.51246000000000003</v>
      </c>
      <c r="AC354" s="7">
        <f t="shared" si="32"/>
        <v>0.76024500000000006</v>
      </c>
      <c r="AD354" s="6" t="str">
        <f t="shared" si="33"/>
        <v>Mỹ Thủy</v>
      </c>
      <c r="AE354" s="6" t="str">
        <f t="shared" si="34"/>
        <v>Vĩnh Định</v>
      </c>
      <c r="AG354">
        <f t="shared" si="35"/>
        <v>0.34164</v>
      </c>
      <c r="AH354">
        <f t="shared" si="36"/>
        <v>0.50683</v>
      </c>
    </row>
    <row r="355" spans="1:34" x14ac:dyDescent="0.25">
      <c r="A355" t="s">
        <v>3253</v>
      </c>
      <c r="B355" t="s">
        <v>3254</v>
      </c>
      <c r="C355" t="s">
        <v>3255</v>
      </c>
      <c r="D355" t="s">
        <v>2890</v>
      </c>
      <c r="E355" t="s">
        <v>2891</v>
      </c>
      <c r="F355" t="s">
        <v>3256</v>
      </c>
      <c r="G355" t="s">
        <v>15827</v>
      </c>
      <c r="H355" t="s">
        <v>15831</v>
      </c>
      <c r="I355" t="s">
        <v>16176</v>
      </c>
      <c r="J355" t="s">
        <v>23</v>
      </c>
      <c r="L355" t="s">
        <v>2893</v>
      </c>
      <c r="M355" t="s">
        <v>3257</v>
      </c>
      <c r="N355" t="s">
        <v>3258</v>
      </c>
      <c r="O355" t="s">
        <v>3259</v>
      </c>
      <c r="P355" t="s">
        <v>3260</v>
      </c>
      <c r="Q355" t="s">
        <v>2898</v>
      </c>
      <c r="R355" t="s">
        <v>2899</v>
      </c>
      <c r="S355" t="s">
        <v>2900</v>
      </c>
      <c r="T355" t="s">
        <v>2901</v>
      </c>
      <c r="U355" s="5">
        <v>367.9</v>
      </c>
      <c r="V355" s="5">
        <v>322.75</v>
      </c>
      <c r="W355" s="5">
        <v>16.734660000000002</v>
      </c>
      <c r="X355" s="5">
        <v>107.321911</v>
      </c>
      <c r="Y355" s="5">
        <v>45.14</v>
      </c>
      <c r="Z355" s="5">
        <v>16.726123999999999</v>
      </c>
      <c r="AA355" s="5">
        <v>107.334998</v>
      </c>
      <c r="AB355" s="7">
        <f t="shared" si="31"/>
        <v>0.48412500000000003</v>
      </c>
      <c r="AC355" s="7">
        <f t="shared" si="32"/>
        <v>6.7710000000000006E-2</v>
      </c>
      <c r="AD355" s="6" t="str">
        <f t="shared" si="33"/>
        <v>Mỹ Thủy</v>
      </c>
      <c r="AE355" s="6" t="str">
        <f t="shared" si="34"/>
        <v>Vĩnh Định</v>
      </c>
      <c r="AG355">
        <f t="shared" si="35"/>
        <v>0.32274999999999998</v>
      </c>
      <c r="AH355">
        <f t="shared" si="36"/>
        <v>4.514E-2</v>
      </c>
    </row>
    <row r="356" spans="1:34" x14ac:dyDescent="0.25">
      <c r="A356" t="s">
        <v>3261</v>
      </c>
      <c r="B356" t="s">
        <v>3262</v>
      </c>
      <c r="C356" t="s">
        <v>3263</v>
      </c>
      <c r="D356" t="s">
        <v>3060</v>
      </c>
      <c r="E356" t="s">
        <v>3061</v>
      </c>
      <c r="F356" t="s">
        <v>3264</v>
      </c>
      <c r="G356" t="s">
        <v>15827</v>
      </c>
      <c r="H356" t="s">
        <v>15831</v>
      </c>
      <c r="I356" t="s">
        <v>16177</v>
      </c>
      <c r="J356" t="s">
        <v>23</v>
      </c>
      <c r="L356" t="s">
        <v>2961</v>
      </c>
      <c r="M356" t="s">
        <v>3265</v>
      </c>
      <c r="N356" t="s">
        <v>3266</v>
      </c>
      <c r="O356" t="s">
        <v>3267</v>
      </c>
      <c r="P356" t="s">
        <v>3268</v>
      </c>
      <c r="Q356" t="s">
        <v>3072</v>
      </c>
      <c r="R356" t="s">
        <v>2964</v>
      </c>
      <c r="S356" t="s">
        <v>2965</v>
      </c>
      <c r="T356" t="s">
        <v>2969</v>
      </c>
      <c r="U356" s="5">
        <v>312.67</v>
      </c>
      <c r="V356" s="5">
        <v>228.86</v>
      </c>
      <c r="W356" s="5">
        <v>16.749625999999999</v>
      </c>
      <c r="X356" s="5">
        <v>107.19395900000001</v>
      </c>
      <c r="Y356" s="5">
        <v>83.81</v>
      </c>
      <c r="Z356" s="5">
        <v>16.755587999999999</v>
      </c>
      <c r="AA356" s="5">
        <v>107.198543</v>
      </c>
      <c r="AB356" s="7">
        <f t="shared" si="31"/>
        <v>0.34329000000000004</v>
      </c>
      <c r="AC356" s="7">
        <f t="shared" si="32"/>
        <v>0.12571499999999999</v>
      </c>
      <c r="AD356" s="6" t="str">
        <f t="shared" si="33"/>
        <v>Quảng Trị</v>
      </c>
      <c r="AE356" s="6" t="str">
        <f t="shared" si="34"/>
        <v>PC07 (Đội PCCC khu vực 5)</v>
      </c>
      <c r="AG356">
        <f t="shared" si="35"/>
        <v>0.22886000000000001</v>
      </c>
      <c r="AH356">
        <f t="shared" si="36"/>
        <v>8.3809999999999996E-2</v>
      </c>
    </row>
    <row r="357" spans="1:34" x14ac:dyDescent="0.25">
      <c r="A357" t="s">
        <v>3269</v>
      </c>
      <c r="B357" t="s">
        <v>3270</v>
      </c>
      <c r="C357" t="s">
        <v>3271</v>
      </c>
      <c r="D357" t="s">
        <v>2890</v>
      </c>
      <c r="E357" t="s">
        <v>2891</v>
      </c>
      <c r="F357" t="s">
        <v>3272</v>
      </c>
      <c r="G357" t="s">
        <v>15827</v>
      </c>
      <c r="H357" t="s">
        <v>15831</v>
      </c>
      <c r="I357" t="s">
        <v>16178</v>
      </c>
      <c r="J357" t="s">
        <v>23</v>
      </c>
      <c r="L357" t="s">
        <v>2904</v>
      </c>
      <c r="M357" t="s">
        <v>3273</v>
      </c>
      <c r="N357" t="s">
        <v>3274</v>
      </c>
      <c r="O357" t="s">
        <v>3275</v>
      </c>
      <c r="P357" t="s">
        <v>3276</v>
      </c>
      <c r="Q357" t="s">
        <v>3277</v>
      </c>
      <c r="R357" t="s">
        <v>3278</v>
      </c>
      <c r="S357" t="s">
        <v>3279</v>
      </c>
      <c r="T357" t="s">
        <v>3280</v>
      </c>
      <c r="U357" s="5">
        <v>4600.1400000000003</v>
      </c>
      <c r="V357" s="5">
        <v>4504.26</v>
      </c>
      <c r="W357" s="5">
        <v>16.720811999999999</v>
      </c>
      <c r="X357" s="5">
        <v>107.34401699999999</v>
      </c>
      <c r="Y357" s="5">
        <v>95.88</v>
      </c>
      <c r="Z357" s="5">
        <v>16.725815999999998</v>
      </c>
      <c r="AA357" s="5">
        <v>107.335505</v>
      </c>
      <c r="AB357" s="7">
        <f t="shared" si="31"/>
        <v>6.7563900000000006</v>
      </c>
      <c r="AC357" s="7">
        <f t="shared" si="32"/>
        <v>0.14382</v>
      </c>
      <c r="AD357" s="6" t="str">
        <f t="shared" si="33"/>
        <v>Nam hải Lăng</v>
      </c>
      <c r="AE357" s="6" t="str">
        <f t="shared" si="34"/>
        <v>Mỹ Thủy</v>
      </c>
      <c r="AG357">
        <f t="shared" si="35"/>
        <v>4.5042600000000004</v>
      </c>
      <c r="AH357">
        <f t="shared" si="36"/>
        <v>9.5879999999999993E-2</v>
      </c>
    </row>
    <row r="358" spans="1:34" x14ac:dyDescent="0.25">
      <c r="A358" t="s">
        <v>3281</v>
      </c>
      <c r="B358" t="s">
        <v>3282</v>
      </c>
      <c r="C358" t="s">
        <v>3283</v>
      </c>
      <c r="D358" t="s">
        <v>2870</v>
      </c>
      <c r="E358" t="s">
        <v>2871</v>
      </c>
      <c r="F358" t="s">
        <v>3284</v>
      </c>
      <c r="G358" t="s">
        <v>15827</v>
      </c>
      <c r="H358" t="s">
        <v>15831</v>
      </c>
      <c r="I358" t="s">
        <v>16179</v>
      </c>
      <c r="J358" t="s">
        <v>23</v>
      </c>
      <c r="L358" t="s">
        <v>2974</v>
      </c>
      <c r="M358" t="s">
        <v>3285</v>
      </c>
      <c r="N358" t="s">
        <v>3286</v>
      </c>
      <c r="O358" t="s">
        <v>3287</v>
      </c>
      <c r="P358" t="s">
        <v>3288</v>
      </c>
      <c r="Q358" t="s">
        <v>2976</v>
      </c>
      <c r="R358" t="s">
        <v>2977</v>
      </c>
      <c r="S358" t="s">
        <v>2978</v>
      </c>
      <c r="T358" t="s">
        <v>2982</v>
      </c>
      <c r="U358" s="5">
        <v>3153.37</v>
      </c>
      <c r="V358" s="5">
        <v>3109.27</v>
      </c>
      <c r="W358" s="5">
        <v>16.660246000000001</v>
      </c>
      <c r="X358" s="5">
        <v>107.280727</v>
      </c>
      <c r="Y358" s="5">
        <v>44.1</v>
      </c>
      <c r="Z358" s="5">
        <v>16.691837</v>
      </c>
      <c r="AA358" s="5">
        <v>107.245086</v>
      </c>
      <c r="AB358" s="7">
        <f t="shared" si="31"/>
        <v>4.6639049999999997</v>
      </c>
      <c r="AC358" s="7">
        <f t="shared" si="32"/>
        <v>6.615E-2</v>
      </c>
      <c r="AD358" s="6" t="str">
        <f t="shared" si="33"/>
        <v>Diên Sanh</v>
      </c>
      <c r="AE358" s="6" t="str">
        <f t="shared" si="34"/>
        <v>Nam Hải Lăng</v>
      </c>
      <c r="AG358">
        <f t="shared" si="35"/>
        <v>3.10927</v>
      </c>
      <c r="AH358">
        <f t="shared" si="36"/>
        <v>4.41E-2</v>
      </c>
    </row>
    <row r="359" spans="1:34" x14ac:dyDescent="0.25">
      <c r="A359" t="s">
        <v>3289</v>
      </c>
      <c r="B359" t="s">
        <v>2779</v>
      </c>
      <c r="C359" t="s">
        <v>2780</v>
      </c>
      <c r="D359" t="s">
        <v>2658</v>
      </c>
      <c r="E359" t="s">
        <v>2659</v>
      </c>
      <c r="F359" t="s">
        <v>3290</v>
      </c>
      <c r="G359" t="s">
        <v>15979</v>
      </c>
      <c r="H359" t="s">
        <v>15980</v>
      </c>
      <c r="I359" t="s">
        <v>16180</v>
      </c>
      <c r="J359" t="s">
        <v>23</v>
      </c>
      <c r="L359" t="s">
        <v>2858</v>
      </c>
      <c r="M359" t="s">
        <v>3291</v>
      </c>
      <c r="N359" t="s">
        <v>3292</v>
      </c>
      <c r="O359" t="s">
        <v>3293</v>
      </c>
      <c r="P359" t="s">
        <v>3294</v>
      </c>
      <c r="Q359" t="s">
        <v>3295</v>
      </c>
      <c r="R359" t="s">
        <v>3296</v>
      </c>
      <c r="S359" t="s">
        <v>3297</v>
      </c>
      <c r="T359" t="s">
        <v>2866</v>
      </c>
      <c r="U359" s="5">
        <v>664.55</v>
      </c>
      <c r="V359" s="5">
        <v>574.74</v>
      </c>
      <c r="W359" s="5">
        <v>16.812517</v>
      </c>
      <c r="X359" s="5">
        <v>107.106554</v>
      </c>
      <c r="Y359" s="5">
        <v>89.8</v>
      </c>
      <c r="Z359" s="5">
        <v>16.790647</v>
      </c>
      <c r="AA359" s="5">
        <v>107.10508900000001</v>
      </c>
      <c r="AB359" s="7">
        <f t="shared" si="31"/>
        <v>0.86211000000000004</v>
      </c>
      <c r="AC359" s="7">
        <f t="shared" si="32"/>
        <v>0.13469999999999999</v>
      </c>
      <c r="AD359" s="6" t="str">
        <f t="shared" si="33"/>
        <v>PA09</v>
      </c>
      <c r="AE359" s="6" t="str">
        <f t="shared" si="34"/>
        <v>TP Đông Hà</v>
      </c>
      <c r="AG359">
        <f t="shared" si="35"/>
        <v>0.57474000000000003</v>
      </c>
      <c r="AH359">
        <f t="shared" si="36"/>
        <v>8.9799999999999991E-2</v>
      </c>
    </row>
    <row r="360" spans="1:34" x14ac:dyDescent="0.25">
      <c r="A360" t="s">
        <v>3298</v>
      </c>
      <c r="B360" t="s">
        <v>3299</v>
      </c>
      <c r="C360" t="s">
        <v>3300</v>
      </c>
      <c r="D360" t="s">
        <v>2658</v>
      </c>
      <c r="E360" t="s">
        <v>2659</v>
      </c>
      <c r="F360" t="s">
        <v>3301</v>
      </c>
      <c r="G360" t="s">
        <v>15979</v>
      </c>
      <c r="H360" t="s">
        <v>15980</v>
      </c>
      <c r="I360" t="s">
        <v>16181</v>
      </c>
      <c r="J360" t="s">
        <v>23</v>
      </c>
      <c r="L360" t="s">
        <v>2674</v>
      </c>
      <c r="M360" t="s">
        <v>3302</v>
      </c>
      <c r="N360" t="s">
        <v>3303</v>
      </c>
      <c r="O360" t="s">
        <v>2677</v>
      </c>
      <c r="P360" t="s">
        <v>2678</v>
      </c>
      <c r="Q360" t="s">
        <v>2679</v>
      </c>
      <c r="R360" t="s">
        <v>2680</v>
      </c>
      <c r="S360" t="s">
        <v>2681</v>
      </c>
      <c r="T360" t="s">
        <v>2682</v>
      </c>
      <c r="U360" s="5">
        <v>2305.08</v>
      </c>
      <c r="V360" s="5">
        <v>2240.84</v>
      </c>
      <c r="W360" s="5">
        <v>16.803405000000001</v>
      </c>
      <c r="X360" s="5">
        <v>107.021788</v>
      </c>
      <c r="Y360" s="5">
        <v>64.25</v>
      </c>
      <c r="Z360" s="5">
        <v>16.790624000000001</v>
      </c>
      <c r="AA360" s="5">
        <v>107.103763</v>
      </c>
      <c r="AB360" s="7">
        <f t="shared" si="31"/>
        <v>3.3612600000000001</v>
      </c>
      <c r="AC360" s="7">
        <f t="shared" si="32"/>
        <v>9.6375000000000002E-2</v>
      </c>
      <c r="AD360" s="6" t="str">
        <f t="shared" si="33"/>
        <v>TT2 Quảng Trị</v>
      </c>
      <c r="AE360" s="6" t="str">
        <f t="shared" si="34"/>
        <v>Đăk Rông</v>
      </c>
      <c r="AG360">
        <f t="shared" si="35"/>
        <v>2.2408399999999999</v>
      </c>
      <c r="AH360">
        <f t="shared" si="36"/>
        <v>6.4250000000000002E-2</v>
      </c>
    </row>
    <row r="361" spans="1:34" x14ac:dyDescent="0.25">
      <c r="A361" t="s">
        <v>3304</v>
      </c>
      <c r="B361" t="s">
        <v>3305</v>
      </c>
      <c r="C361" t="s">
        <v>3306</v>
      </c>
      <c r="D361" t="s">
        <v>2658</v>
      </c>
      <c r="E361" t="s">
        <v>2659</v>
      </c>
      <c r="F361" t="s">
        <v>3307</v>
      </c>
      <c r="G361" t="s">
        <v>15979</v>
      </c>
      <c r="H361" t="s">
        <v>15980</v>
      </c>
      <c r="I361" t="s">
        <v>16182</v>
      </c>
      <c r="J361" t="s">
        <v>23</v>
      </c>
      <c r="L361" t="s">
        <v>2858</v>
      </c>
      <c r="M361" t="s">
        <v>3308</v>
      </c>
      <c r="N361" t="s">
        <v>3309</v>
      </c>
      <c r="O361" t="s">
        <v>3310</v>
      </c>
      <c r="P361" t="s">
        <v>3311</v>
      </c>
      <c r="Q361" t="s">
        <v>3295</v>
      </c>
      <c r="R361" t="s">
        <v>3296</v>
      </c>
      <c r="S361" t="s">
        <v>3297</v>
      </c>
      <c r="T361" t="s">
        <v>2866</v>
      </c>
      <c r="U361" s="5">
        <v>731.79</v>
      </c>
      <c r="V361" s="5">
        <v>641.99</v>
      </c>
      <c r="W361" s="5">
        <v>16.801244000000001</v>
      </c>
      <c r="X361" s="5">
        <v>107.114485</v>
      </c>
      <c r="Y361" s="5">
        <v>89.8</v>
      </c>
      <c r="Z361" s="5">
        <v>16.790647</v>
      </c>
      <c r="AA361" s="5">
        <v>107.10508900000001</v>
      </c>
      <c r="AB361" s="7">
        <f t="shared" si="31"/>
        <v>0.96298499999999998</v>
      </c>
      <c r="AC361" s="7">
        <f t="shared" si="32"/>
        <v>0.13469999999999999</v>
      </c>
      <c r="AD361" s="6" t="str">
        <f t="shared" si="33"/>
        <v>PA09</v>
      </c>
      <c r="AE361" s="6" t="str">
        <f t="shared" si="34"/>
        <v>TP Đông Hà</v>
      </c>
      <c r="AG361">
        <f t="shared" si="35"/>
        <v>0.64199000000000006</v>
      </c>
      <c r="AH361">
        <f t="shared" si="36"/>
        <v>8.9799999999999991E-2</v>
      </c>
    </row>
    <row r="362" spans="1:34" x14ac:dyDescent="0.25">
      <c r="A362" t="s">
        <v>3312</v>
      </c>
      <c r="B362" t="s">
        <v>3313</v>
      </c>
      <c r="C362" t="s">
        <v>3314</v>
      </c>
      <c r="D362" t="s">
        <v>2658</v>
      </c>
      <c r="E362" t="s">
        <v>2659</v>
      </c>
      <c r="F362" t="s">
        <v>3315</v>
      </c>
      <c r="G362" t="s">
        <v>15979</v>
      </c>
      <c r="H362" t="s">
        <v>15980</v>
      </c>
      <c r="I362" t="s">
        <v>16183</v>
      </c>
      <c r="J362" t="s">
        <v>23</v>
      </c>
      <c r="L362" t="s">
        <v>2858</v>
      </c>
      <c r="M362" t="s">
        <v>3316</v>
      </c>
      <c r="N362" t="s">
        <v>3317</v>
      </c>
      <c r="O362" t="s">
        <v>3318</v>
      </c>
      <c r="P362" t="s">
        <v>3319</v>
      </c>
      <c r="Q362" t="s">
        <v>3295</v>
      </c>
      <c r="R362" t="s">
        <v>3296</v>
      </c>
      <c r="S362" t="s">
        <v>3297</v>
      </c>
      <c r="T362" t="s">
        <v>2866</v>
      </c>
      <c r="U362" s="5">
        <v>132.4</v>
      </c>
      <c r="V362" s="5">
        <v>42.59</v>
      </c>
      <c r="W362" s="5">
        <v>16.804106000000001</v>
      </c>
      <c r="X362" s="5">
        <v>107.113777</v>
      </c>
      <c r="Y362" s="5">
        <v>89.8</v>
      </c>
      <c r="Z362" s="5">
        <v>16.790647</v>
      </c>
      <c r="AA362" s="5">
        <v>107.10508900000001</v>
      </c>
      <c r="AB362" s="7">
        <f t="shared" si="31"/>
        <v>6.3885000000000011E-2</v>
      </c>
      <c r="AC362" s="7">
        <f t="shared" si="32"/>
        <v>0.13469999999999999</v>
      </c>
      <c r="AD362" s="6" t="str">
        <f t="shared" si="33"/>
        <v>PA09</v>
      </c>
      <c r="AE362" s="6" t="str">
        <f t="shared" si="34"/>
        <v>TP Đông Hà</v>
      </c>
      <c r="AG362">
        <f t="shared" si="35"/>
        <v>4.2590000000000003E-2</v>
      </c>
      <c r="AH362">
        <f t="shared" si="36"/>
        <v>8.9799999999999991E-2</v>
      </c>
    </row>
    <row r="363" spans="1:34" x14ac:dyDescent="0.25">
      <c r="A363" t="s">
        <v>3320</v>
      </c>
      <c r="B363" t="s">
        <v>2779</v>
      </c>
      <c r="C363" t="s">
        <v>2780</v>
      </c>
      <c r="D363" t="s">
        <v>2853</v>
      </c>
      <c r="E363" t="s">
        <v>2854</v>
      </c>
      <c r="F363" t="s">
        <v>3321</v>
      </c>
      <c r="G363" t="s">
        <v>15979</v>
      </c>
      <c r="H363" t="s">
        <v>15980</v>
      </c>
      <c r="I363" t="s">
        <v>16184</v>
      </c>
      <c r="J363" t="s">
        <v>23</v>
      </c>
      <c r="L363" t="s">
        <v>3322</v>
      </c>
      <c r="M363" t="s">
        <v>3323</v>
      </c>
      <c r="N363" t="s">
        <v>3324</v>
      </c>
      <c r="O363" t="s">
        <v>3325</v>
      </c>
      <c r="P363" t="s">
        <v>3326</v>
      </c>
      <c r="Q363" t="s">
        <v>3327</v>
      </c>
      <c r="R363" t="s">
        <v>3328</v>
      </c>
      <c r="S363" t="s">
        <v>3329</v>
      </c>
      <c r="T363" t="s">
        <v>3330</v>
      </c>
      <c r="U363" s="5">
        <v>412.5</v>
      </c>
      <c r="V363" s="5">
        <v>82.72</v>
      </c>
      <c r="W363" s="5">
        <v>16.815228999999999</v>
      </c>
      <c r="X363" s="5">
        <v>107.110372</v>
      </c>
      <c r="Y363" s="5">
        <v>329.79</v>
      </c>
      <c r="Z363" s="5">
        <v>16.817404</v>
      </c>
      <c r="AA363" s="5">
        <v>107.107906</v>
      </c>
      <c r="AB363" s="7">
        <f t="shared" si="31"/>
        <v>0.12408</v>
      </c>
      <c r="AC363" s="7">
        <f t="shared" si="32"/>
        <v>0.49468500000000004</v>
      </c>
      <c r="AD363" s="6" t="str">
        <f t="shared" si="33"/>
        <v>Vĩnh Linh</v>
      </c>
      <c r="AE363" s="6" t="str">
        <f t="shared" si="34"/>
        <v>TT2 Quảng Trị</v>
      </c>
      <c r="AG363">
        <f t="shared" si="35"/>
        <v>8.2720000000000002E-2</v>
      </c>
      <c r="AH363">
        <f t="shared" si="36"/>
        <v>0.32979000000000003</v>
      </c>
    </row>
    <row r="364" spans="1:34" x14ac:dyDescent="0.25">
      <c r="A364" t="s">
        <v>3331</v>
      </c>
      <c r="B364" t="s">
        <v>2855</v>
      </c>
      <c r="C364" t="s">
        <v>2856</v>
      </c>
      <c r="D364" t="s">
        <v>3122</v>
      </c>
      <c r="E364" t="s">
        <v>3123</v>
      </c>
      <c r="F364" t="s">
        <v>3332</v>
      </c>
      <c r="G364" t="s">
        <v>15979</v>
      </c>
      <c r="H364" t="s">
        <v>15980</v>
      </c>
      <c r="I364" t="s">
        <v>16185</v>
      </c>
      <c r="J364" t="s">
        <v>23</v>
      </c>
      <c r="L364" t="s">
        <v>2858</v>
      </c>
      <c r="M364" t="s">
        <v>3333</v>
      </c>
      <c r="N364" t="s">
        <v>2863</v>
      </c>
      <c r="O364" t="s">
        <v>2864</v>
      </c>
      <c r="P364" t="s">
        <v>2865</v>
      </c>
      <c r="Q364" t="s">
        <v>3334</v>
      </c>
      <c r="R364" t="s">
        <v>3296</v>
      </c>
      <c r="S364" t="s">
        <v>3297</v>
      </c>
      <c r="T364" t="s">
        <v>2866</v>
      </c>
      <c r="U364" s="5">
        <v>883.07</v>
      </c>
      <c r="V364" s="5">
        <v>662.15</v>
      </c>
      <c r="W364" s="5">
        <v>16.810613</v>
      </c>
      <c r="X364" s="5">
        <v>107.10834</v>
      </c>
      <c r="Y364" s="5">
        <v>220.92</v>
      </c>
      <c r="Z364" s="5">
        <v>16.790647</v>
      </c>
      <c r="AA364" s="5">
        <v>107.10508900000001</v>
      </c>
      <c r="AB364" s="7">
        <f t="shared" si="31"/>
        <v>0.99322499999999991</v>
      </c>
      <c r="AC364" s="7">
        <f t="shared" si="32"/>
        <v>0.33138000000000001</v>
      </c>
      <c r="AD364" s="6" t="str">
        <f t="shared" si="33"/>
        <v>PA09</v>
      </c>
      <c r="AE364" s="6" t="str">
        <f t="shared" si="34"/>
        <v>TP Đông Hà</v>
      </c>
      <c r="AG364">
        <f t="shared" si="35"/>
        <v>0.66215000000000002</v>
      </c>
      <c r="AH364">
        <f t="shared" si="36"/>
        <v>0.22091999999999998</v>
      </c>
    </row>
    <row r="365" spans="1:34" x14ac:dyDescent="0.25">
      <c r="A365" t="s">
        <v>3335</v>
      </c>
      <c r="B365" t="s">
        <v>3122</v>
      </c>
      <c r="C365" t="s">
        <v>3123</v>
      </c>
      <c r="D365" t="s">
        <v>2658</v>
      </c>
      <c r="E365" t="s">
        <v>2659</v>
      </c>
      <c r="F365" t="s">
        <v>3336</v>
      </c>
      <c r="G365" t="s">
        <v>15979</v>
      </c>
      <c r="H365" t="s">
        <v>15980</v>
      </c>
      <c r="I365" t="s">
        <v>16186</v>
      </c>
      <c r="J365" t="s">
        <v>23</v>
      </c>
      <c r="L365" t="s">
        <v>3337</v>
      </c>
      <c r="M365" t="s">
        <v>3338</v>
      </c>
      <c r="N365" t="s">
        <v>3339</v>
      </c>
      <c r="O365" t="s">
        <v>3340</v>
      </c>
      <c r="P365" t="s">
        <v>3341</v>
      </c>
      <c r="Q365" t="s">
        <v>3342</v>
      </c>
      <c r="R365" t="s">
        <v>3343</v>
      </c>
      <c r="S365" t="s">
        <v>3344</v>
      </c>
      <c r="T365" t="s">
        <v>3345</v>
      </c>
      <c r="U365" s="5">
        <v>139.76</v>
      </c>
      <c r="V365" s="5">
        <v>90.53</v>
      </c>
      <c r="W365" s="5">
        <v>16.789712000000002</v>
      </c>
      <c r="X365" s="5">
        <v>107.104035</v>
      </c>
      <c r="Y365" s="5">
        <v>49.23</v>
      </c>
      <c r="Z365" s="5">
        <v>16.790006999999999</v>
      </c>
      <c r="AA365" s="5">
        <v>107.10402000000001</v>
      </c>
      <c r="AB365" s="7">
        <f t="shared" si="31"/>
        <v>0.13579500000000003</v>
      </c>
      <c r="AC365" s="7">
        <f t="shared" si="32"/>
        <v>7.3844999999999994E-2</v>
      </c>
      <c r="AD365" s="6" t="e">
        <f t="shared" si="33"/>
        <v>#VALUE!</v>
      </c>
      <c r="AE365" s="6" t="e">
        <f t="shared" si="34"/>
        <v>#VALUE!</v>
      </c>
      <c r="AG365">
        <f t="shared" si="35"/>
        <v>9.0529999999999999E-2</v>
      </c>
      <c r="AH365">
        <f t="shared" si="36"/>
        <v>4.9229999999999996E-2</v>
      </c>
    </row>
    <row r="366" spans="1:34" x14ac:dyDescent="0.25">
      <c r="A366" t="s">
        <v>3346</v>
      </c>
      <c r="B366" t="s">
        <v>3347</v>
      </c>
      <c r="C366" t="s">
        <v>3348</v>
      </c>
      <c r="D366" t="s">
        <v>3349</v>
      </c>
      <c r="E366" t="s">
        <v>3350</v>
      </c>
      <c r="F366" t="s">
        <v>3351</v>
      </c>
      <c r="G366" t="s">
        <v>15979</v>
      </c>
      <c r="H366" t="s">
        <v>15980</v>
      </c>
      <c r="I366" t="s">
        <v>16187</v>
      </c>
      <c r="J366" t="s">
        <v>23</v>
      </c>
      <c r="L366" t="s">
        <v>3352</v>
      </c>
      <c r="M366" t="s">
        <v>3353</v>
      </c>
      <c r="N366" t="s">
        <v>3354</v>
      </c>
      <c r="O366" t="s">
        <v>3355</v>
      </c>
      <c r="P366" t="s">
        <v>3356</v>
      </c>
      <c r="Q366" t="s">
        <v>3357</v>
      </c>
      <c r="R366" t="s">
        <v>3358</v>
      </c>
      <c r="S366" t="s">
        <v>3359</v>
      </c>
      <c r="T366" t="s">
        <v>3360</v>
      </c>
      <c r="U366" s="5">
        <v>682.54</v>
      </c>
      <c r="V366" s="5">
        <v>411.42</v>
      </c>
      <c r="W366" s="5">
        <v>16.815262000000001</v>
      </c>
      <c r="X366" s="5">
        <v>107.097443</v>
      </c>
      <c r="Y366" s="5">
        <v>271.13</v>
      </c>
      <c r="Z366" s="5">
        <v>16.809927999999999</v>
      </c>
      <c r="AA366" s="5">
        <v>107.09835</v>
      </c>
      <c r="AB366" s="7">
        <f t="shared" si="31"/>
        <v>0.61712999999999996</v>
      </c>
      <c r="AC366" s="7">
        <f t="shared" si="32"/>
        <v>0.40669499999999997</v>
      </c>
      <c r="AD366" s="6" t="str">
        <f t="shared" si="33"/>
        <v>PC07</v>
      </c>
      <c r="AE366" s="6" t="str">
        <f t="shared" si="34"/>
        <v>Khối CS</v>
      </c>
      <c r="AG366">
        <f t="shared" si="35"/>
        <v>0.41142000000000001</v>
      </c>
      <c r="AH366">
        <f t="shared" si="36"/>
        <v>0.27112999999999998</v>
      </c>
    </row>
    <row r="367" spans="1:34" x14ac:dyDescent="0.25">
      <c r="A367" t="s">
        <v>3361</v>
      </c>
      <c r="B367" t="s">
        <v>3349</v>
      </c>
      <c r="C367" t="s">
        <v>3350</v>
      </c>
      <c r="D367" t="s">
        <v>2658</v>
      </c>
      <c r="E367" t="s">
        <v>2659</v>
      </c>
      <c r="F367" t="s">
        <v>3362</v>
      </c>
      <c r="G367" t="s">
        <v>15979</v>
      </c>
      <c r="H367" t="s">
        <v>15980</v>
      </c>
      <c r="I367" t="s">
        <v>16188</v>
      </c>
      <c r="J367" t="s">
        <v>23</v>
      </c>
      <c r="L367" t="s">
        <v>2858</v>
      </c>
      <c r="M367" t="s">
        <v>3363</v>
      </c>
      <c r="N367" t="s">
        <v>3364</v>
      </c>
      <c r="O367" t="s">
        <v>2861</v>
      </c>
      <c r="P367" t="s">
        <v>2862</v>
      </c>
      <c r="Q367" t="s">
        <v>3295</v>
      </c>
      <c r="R367" t="s">
        <v>3296</v>
      </c>
      <c r="S367" t="s">
        <v>3297</v>
      </c>
      <c r="T367" t="s">
        <v>2866</v>
      </c>
      <c r="U367" s="5">
        <v>1197.22</v>
      </c>
      <c r="V367" s="5">
        <v>1107.42</v>
      </c>
      <c r="W367" s="5">
        <v>16.814188999999999</v>
      </c>
      <c r="X367" s="5">
        <v>107.10494</v>
      </c>
      <c r="Y367" s="5">
        <v>89.8</v>
      </c>
      <c r="Z367" s="5">
        <v>16.790647</v>
      </c>
      <c r="AA367" s="5">
        <v>107.10508900000001</v>
      </c>
      <c r="AB367" s="7">
        <f t="shared" si="31"/>
        <v>1.6611300000000002</v>
      </c>
      <c r="AC367" s="7">
        <f t="shared" si="32"/>
        <v>0.13469999999999999</v>
      </c>
      <c r="AD367" s="6" t="str">
        <f t="shared" si="33"/>
        <v>PA09</v>
      </c>
      <c r="AE367" s="6" t="str">
        <f t="shared" si="34"/>
        <v>TP Đông Hà</v>
      </c>
      <c r="AG367">
        <f t="shared" si="35"/>
        <v>1.1074200000000001</v>
      </c>
      <c r="AH367">
        <f t="shared" si="36"/>
        <v>8.9799999999999991E-2</v>
      </c>
    </row>
    <row r="368" spans="1:34" x14ac:dyDescent="0.25">
      <c r="A368" t="s">
        <v>3365</v>
      </c>
      <c r="B368" t="s">
        <v>3366</v>
      </c>
      <c r="C368" t="s">
        <v>3367</v>
      </c>
      <c r="D368" t="s">
        <v>2658</v>
      </c>
      <c r="E368" t="s">
        <v>2659</v>
      </c>
      <c r="F368" t="s">
        <v>3368</v>
      </c>
      <c r="G368" t="s">
        <v>15979</v>
      </c>
      <c r="H368" t="s">
        <v>15980</v>
      </c>
      <c r="I368" t="s">
        <v>16189</v>
      </c>
      <c r="J368" t="s">
        <v>23</v>
      </c>
      <c r="L368" t="s">
        <v>2858</v>
      </c>
      <c r="M368" t="s">
        <v>3369</v>
      </c>
      <c r="N368" t="s">
        <v>3370</v>
      </c>
      <c r="O368" t="s">
        <v>3371</v>
      </c>
      <c r="P368" t="s">
        <v>3372</v>
      </c>
      <c r="Q368" t="s">
        <v>3295</v>
      </c>
      <c r="R368" t="s">
        <v>3296</v>
      </c>
      <c r="S368" t="s">
        <v>3297</v>
      </c>
      <c r="T368" t="s">
        <v>2866</v>
      </c>
      <c r="U368" s="5">
        <v>1086.74</v>
      </c>
      <c r="V368" s="5">
        <v>996.93</v>
      </c>
      <c r="W368" s="5">
        <v>16.813186999999999</v>
      </c>
      <c r="X368" s="5">
        <v>107.10592699999999</v>
      </c>
      <c r="Y368" s="5">
        <v>89.8</v>
      </c>
      <c r="Z368" s="5">
        <v>16.790647</v>
      </c>
      <c r="AA368" s="5">
        <v>107.10508900000001</v>
      </c>
      <c r="AB368" s="7">
        <f t="shared" si="31"/>
        <v>1.495395</v>
      </c>
      <c r="AC368" s="7">
        <f t="shared" si="32"/>
        <v>0.13469999999999999</v>
      </c>
      <c r="AD368" s="6" t="str">
        <f t="shared" si="33"/>
        <v>PA09</v>
      </c>
      <c r="AE368" s="6" t="str">
        <f t="shared" si="34"/>
        <v>TP Đông Hà</v>
      </c>
      <c r="AG368">
        <f t="shared" si="35"/>
        <v>0.99692999999999998</v>
      </c>
      <c r="AH368">
        <f t="shared" si="36"/>
        <v>8.9799999999999991E-2</v>
      </c>
    </row>
    <row r="369" spans="1:34" x14ac:dyDescent="0.25">
      <c r="A369" t="s">
        <v>3373</v>
      </c>
      <c r="B369" t="s">
        <v>3374</v>
      </c>
      <c r="C369" t="s">
        <v>3375</v>
      </c>
      <c r="D369" t="s">
        <v>3099</v>
      </c>
      <c r="E369" t="s">
        <v>3100</v>
      </c>
      <c r="F369" t="s">
        <v>3376</v>
      </c>
      <c r="G369" t="s">
        <v>15979</v>
      </c>
      <c r="H369" t="s">
        <v>15980</v>
      </c>
      <c r="I369" t="s">
        <v>16190</v>
      </c>
      <c r="J369" t="s">
        <v>23</v>
      </c>
      <c r="L369" t="s">
        <v>3102</v>
      </c>
      <c r="M369" t="s">
        <v>3377</v>
      </c>
      <c r="N369" t="s">
        <v>3378</v>
      </c>
      <c r="O369" t="s">
        <v>3379</v>
      </c>
      <c r="P369" t="s">
        <v>3380</v>
      </c>
      <c r="Q369" t="s">
        <v>3107</v>
      </c>
      <c r="R369" t="s">
        <v>3108</v>
      </c>
      <c r="S369" t="s">
        <v>3109</v>
      </c>
      <c r="T369" t="s">
        <v>3110</v>
      </c>
      <c r="U369" s="5">
        <v>40.9</v>
      </c>
      <c r="V369" s="5">
        <v>11.73</v>
      </c>
      <c r="W369" s="5">
        <v>16.819821000000001</v>
      </c>
      <c r="X369" s="5">
        <v>107.090867</v>
      </c>
      <c r="Y369" s="5">
        <v>29.17</v>
      </c>
      <c r="Z369" s="5">
        <v>16.812353000000002</v>
      </c>
      <c r="AA369" s="5">
        <v>107.089033</v>
      </c>
      <c r="AB369" s="7">
        <f t="shared" si="31"/>
        <v>1.7595E-2</v>
      </c>
      <c r="AC369" s="7">
        <f t="shared" si="32"/>
        <v>4.3755000000000002E-2</v>
      </c>
      <c r="AD369" s="6" t="str">
        <f t="shared" si="33"/>
        <v>Gio Linh</v>
      </c>
      <c r="AE369" s="6" t="str">
        <f t="shared" si="34"/>
        <v>Đông Hà</v>
      </c>
      <c r="AG369">
        <f t="shared" si="35"/>
        <v>1.1730000000000001E-2</v>
      </c>
      <c r="AH369">
        <f t="shared" si="36"/>
        <v>2.9170000000000001E-2</v>
      </c>
    </row>
    <row r="370" spans="1:34" x14ac:dyDescent="0.25">
      <c r="A370" t="s">
        <v>3381</v>
      </c>
      <c r="B370" t="s">
        <v>3099</v>
      </c>
      <c r="C370" t="s">
        <v>3100</v>
      </c>
      <c r="D370" t="s">
        <v>3382</v>
      </c>
      <c r="E370" t="s">
        <v>3383</v>
      </c>
      <c r="F370" t="s">
        <v>3384</v>
      </c>
      <c r="G370" t="s">
        <v>15979</v>
      </c>
      <c r="H370" t="s">
        <v>15980</v>
      </c>
      <c r="I370" t="s">
        <v>16191</v>
      </c>
      <c r="J370" t="s">
        <v>23</v>
      </c>
      <c r="L370" t="s">
        <v>3102</v>
      </c>
      <c r="M370" t="s">
        <v>3385</v>
      </c>
      <c r="N370" t="s">
        <v>3107</v>
      </c>
      <c r="O370" t="s">
        <v>3108</v>
      </c>
      <c r="P370" t="s">
        <v>3109</v>
      </c>
      <c r="Q370" t="s">
        <v>3386</v>
      </c>
      <c r="R370" t="s">
        <v>3387</v>
      </c>
      <c r="S370" t="s">
        <v>3388</v>
      </c>
      <c r="T370" t="s">
        <v>3110</v>
      </c>
      <c r="U370" s="5">
        <v>44.28</v>
      </c>
      <c r="V370" s="5">
        <v>29.17</v>
      </c>
      <c r="W370" s="5">
        <v>16.812353000000002</v>
      </c>
      <c r="X370" s="5">
        <v>107.089033</v>
      </c>
      <c r="Y370" s="5">
        <v>15.1</v>
      </c>
      <c r="Z370" s="5">
        <v>16.813209000000001</v>
      </c>
      <c r="AA370" s="5">
        <v>107.088835</v>
      </c>
      <c r="AB370" s="7">
        <f t="shared" si="31"/>
        <v>4.3755000000000002E-2</v>
      </c>
      <c r="AC370" s="7">
        <f t="shared" si="32"/>
        <v>2.265E-2</v>
      </c>
      <c r="AD370" s="6" t="str">
        <f t="shared" si="33"/>
        <v>Gio Linh</v>
      </c>
      <c r="AE370" s="6" t="str">
        <f t="shared" si="34"/>
        <v>Đông Hà</v>
      </c>
      <c r="AG370">
        <f t="shared" si="35"/>
        <v>2.9170000000000001E-2</v>
      </c>
      <c r="AH370">
        <f t="shared" si="36"/>
        <v>1.5099999999999999E-2</v>
      </c>
    </row>
    <row r="371" spans="1:34" x14ac:dyDescent="0.25">
      <c r="A371" t="s">
        <v>3389</v>
      </c>
      <c r="B371" t="s">
        <v>3382</v>
      </c>
      <c r="C371" t="s">
        <v>3383</v>
      </c>
      <c r="D371" t="s">
        <v>3181</v>
      </c>
      <c r="E371" t="s">
        <v>3182</v>
      </c>
      <c r="F371" t="s">
        <v>3390</v>
      </c>
      <c r="G371" t="s">
        <v>15979</v>
      </c>
      <c r="H371" t="s">
        <v>15980</v>
      </c>
      <c r="I371" t="s">
        <v>16192</v>
      </c>
      <c r="J371" t="s">
        <v>23</v>
      </c>
      <c r="L371" t="s">
        <v>3184</v>
      </c>
      <c r="M371" t="s">
        <v>3391</v>
      </c>
      <c r="N371" t="s">
        <v>3392</v>
      </c>
      <c r="O371" t="s">
        <v>3393</v>
      </c>
      <c r="P371" t="s">
        <v>3394</v>
      </c>
      <c r="Q371" t="s">
        <v>3189</v>
      </c>
      <c r="R371" t="s">
        <v>3190</v>
      </c>
      <c r="S371" t="s">
        <v>3191</v>
      </c>
      <c r="T371" t="s">
        <v>3192</v>
      </c>
      <c r="U371" s="5">
        <v>728.56</v>
      </c>
      <c r="V371" s="5">
        <v>529.36</v>
      </c>
      <c r="W371" s="5">
        <v>16.808979999999998</v>
      </c>
      <c r="X371" s="5">
        <v>107.086501</v>
      </c>
      <c r="Y371" s="5">
        <v>199.2</v>
      </c>
      <c r="Z371" s="5">
        <v>16.800885999999998</v>
      </c>
      <c r="AA371" s="5">
        <v>107.08566999999999</v>
      </c>
      <c r="AB371" s="7">
        <f t="shared" si="31"/>
        <v>0.79403999999999997</v>
      </c>
      <c r="AC371" s="7">
        <f t="shared" si="32"/>
        <v>0.29879999999999995</v>
      </c>
      <c r="AD371" s="6" t="str">
        <f t="shared" si="33"/>
        <v>Đông Hà</v>
      </c>
      <c r="AE371" s="6" t="str">
        <f t="shared" si="34"/>
        <v>CA Công an Quảng Trị</v>
      </c>
      <c r="AG371">
        <f t="shared" si="35"/>
        <v>0.52936000000000005</v>
      </c>
      <c r="AH371">
        <f t="shared" si="36"/>
        <v>0.19919999999999999</v>
      </c>
    </row>
    <row r="372" spans="1:34" x14ac:dyDescent="0.25">
      <c r="A372" t="s">
        <v>3395</v>
      </c>
      <c r="B372" t="s">
        <v>3181</v>
      </c>
      <c r="C372" t="s">
        <v>3182</v>
      </c>
      <c r="D372" t="s">
        <v>2684</v>
      </c>
      <c r="E372" t="s">
        <v>2685</v>
      </c>
      <c r="F372" t="s">
        <v>3396</v>
      </c>
      <c r="G372" t="s">
        <v>15979</v>
      </c>
      <c r="H372" t="s">
        <v>15980</v>
      </c>
      <c r="I372" t="s">
        <v>16193</v>
      </c>
      <c r="J372" t="s">
        <v>23</v>
      </c>
      <c r="L372" t="s">
        <v>3337</v>
      </c>
      <c r="M372" t="s">
        <v>3397</v>
      </c>
      <c r="N372" t="s">
        <v>3398</v>
      </c>
      <c r="O372" t="s">
        <v>3399</v>
      </c>
      <c r="P372" t="s">
        <v>3400</v>
      </c>
      <c r="Q372" t="s">
        <v>3401</v>
      </c>
      <c r="R372" t="s">
        <v>3402</v>
      </c>
      <c r="S372" t="s">
        <v>3403</v>
      </c>
      <c r="T372" t="s">
        <v>3404</v>
      </c>
      <c r="U372" s="5">
        <v>437.57</v>
      </c>
      <c r="V372" s="5">
        <v>280.22000000000003</v>
      </c>
      <c r="W372" s="5">
        <v>16.798743000000002</v>
      </c>
      <c r="X372" s="5">
        <v>107.087372</v>
      </c>
      <c r="Y372" s="5">
        <v>157.35</v>
      </c>
      <c r="Z372" s="5">
        <v>16.790247999999998</v>
      </c>
      <c r="AA372" s="5">
        <v>107.089523</v>
      </c>
      <c r="AB372" s="7">
        <f t="shared" si="31"/>
        <v>0.42033000000000004</v>
      </c>
      <c r="AC372" s="7">
        <f t="shared" si="32"/>
        <v>0.23602499999999998</v>
      </c>
      <c r="AD372" s="6" t="e">
        <f t="shared" si="33"/>
        <v>#VALUE!</v>
      </c>
      <c r="AE372" s="6" t="e">
        <f t="shared" si="34"/>
        <v>#VALUE!</v>
      </c>
      <c r="AG372">
        <f t="shared" si="35"/>
        <v>0.28022000000000002</v>
      </c>
      <c r="AH372">
        <f t="shared" si="36"/>
        <v>0.15734999999999999</v>
      </c>
    </row>
    <row r="373" spans="1:34" x14ac:dyDescent="0.25">
      <c r="A373" t="s">
        <v>3405</v>
      </c>
      <c r="B373" t="s">
        <v>3406</v>
      </c>
      <c r="C373" t="s">
        <v>3407</v>
      </c>
      <c r="D373" t="s">
        <v>2766</v>
      </c>
      <c r="E373" t="s">
        <v>2767</v>
      </c>
      <c r="F373" t="s">
        <v>3408</v>
      </c>
      <c r="G373" t="s">
        <v>15979</v>
      </c>
      <c r="H373" t="s">
        <v>15980</v>
      </c>
      <c r="I373" t="s">
        <v>16194</v>
      </c>
      <c r="J373" t="s">
        <v>23</v>
      </c>
      <c r="L373" t="s">
        <v>3409</v>
      </c>
      <c r="M373" t="s">
        <v>3410</v>
      </c>
      <c r="N373" t="s">
        <v>3411</v>
      </c>
      <c r="O373" t="s">
        <v>3412</v>
      </c>
      <c r="P373" t="s">
        <v>3413</v>
      </c>
      <c r="Q373" t="s">
        <v>3414</v>
      </c>
      <c r="R373" t="s">
        <v>3415</v>
      </c>
      <c r="S373" t="s">
        <v>3416</v>
      </c>
      <c r="T373" t="s">
        <v>3417</v>
      </c>
      <c r="U373" s="5">
        <v>65.25</v>
      </c>
      <c r="V373" s="5">
        <v>26.25</v>
      </c>
      <c r="W373" s="5">
        <v>16.806694</v>
      </c>
      <c r="X373" s="5">
        <v>106.993571</v>
      </c>
      <c r="Y373" s="5">
        <v>39</v>
      </c>
      <c r="Z373" s="5">
        <v>16.807314999999999</v>
      </c>
      <c r="AA373" s="5">
        <v>106.993066</v>
      </c>
      <c r="AB373" s="7">
        <f t="shared" si="31"/>
        <v>3.9375E-2</v>
      </c>
      <c r="AC373" s="7">
        <f t="shared" si="32"/>
        <v>5.8500000000000003E-2</v>
      </c>
      <c r="AD373" s="6" t="str">
        <f t="shared" si="33"/>
        <v>Đăk Rông</v>
      </c>
      <c r="AE373" s="6" t="str">
        <f t="shared" si="34"/>
        <v>Cam Lộ</v>
      </c>
      <c r="AG373">
        <f t="shared" si="35"/>
        <v>2.6249999999999999E-2</v>
      </c>
      <c r="AH373">
        <f t="shared" si="36"/>
        <v>3.9E-2</v>
      </c>
    </row>
    <row r="374" spans="1:34" x14ac:dyDescent="0.25">
      <c r="A374" t="s">
        <v>3418</v>
      </c>
      <c r="B374" t="s">
        <v>3419</v>
      </c>
      <c r="C374" t="s">
        <v>3420</v>
      </c>
      <c r="D374" t="s">
        <v>2766</v>
      </c>
      <c r="E374" t="s">
        <v>2767</v>
      </c>
      <c r="F374" t="s">
        <v>3421</v>
      </c>
      <c r="G374" t="s">
        <v>15979</v>
      </c>
      <c r="H374" t="s">
        <v>15980</v>
      </c>
      <c r="I374" t="s">
        <v>16195</v>
      </c>
      <c r="J374" t="s">
        <v>23</v>
      </c>
      <c r="L374" t="s">
        <v>2769</v>
      </c>
      <c r="M374" t="s">
        <v>3422</v>
      </c>
      <c r="N374" t="s">
        <v>3423</v>
      </c>
      <c r="O374" t="s">
        <v>3424</v>
      </c>
      <c r="P374" t="s">
        <v>3425</v>
      </c>
      <c r="Q374" t="s">
        <v>2774</v>
      </c>
      <c r="R374" t="s">
        <v>2775</v>
      </c>
      <c r="S374" t="s">
        <v>2776</v>
      </c>
      <c r="T374" t="s">
        <v>2777</v>
      </c>
      <c r="U374" s="5">
        <v>261.14999999999998</v>
      </c>
      <c r="V374" s="5">
        <v>235.91</v>
      </c>
      <c r="W374" s="5">
        <v>16.800384999999999</v>
      </c>
      <c r="X374" s="5">
        <v>107.023729</v>
      </c>
      <c r="Y374" s="5">
        <v>25.24</v>
      </c>
      <c r="Z374" s="5">
        <v>16.807245999999999</v>
      </c>
      <c r="AA374" s="5">
        <v>106.99248</v>
      </c>
      <c r="AB374" s="7">
        <f t="shared" si="31"/>
        <v>0.35386499999999999</v>
      </c>
      <c r="AC374" s="7">
        <f t="shared" si="32"/>
        <v>3.7859999999999998E-2</v>
      </c>
      <c r="AD374" s="6" t="str">
        <f t="shared" si="33"/>
        <v>Cơ sở cai nghiện (Cam Hiếu, Cam Lộ)</v>
      </c>
      <c r="AE374" s="6" t="str">
        <f t="shared" si="34"/>
        <v>TTCMKV Cam Lộ</v>
      </c>
      <c r="AG374">
        <f t="shared" si="35"/>
        <v>0.23591000000000001</v>
      </c>
      <c r="AH374">
        <f t="shared" si="36"/>
        <v>2.5239999999999999E-2</v>
      </c>
    </row>
    <row r="375" spans="1:34" x14ac:dyDescent="0.25">
      <c r="A375" t="s">
        <v>3426</v>
      </c>
      <c r="B375" t="s">
        <v>3427</v>
      </c>
      <c r="C375" t="s">
        <v>3428</v>
      </c>
      <c r="D375" t="s">
        <v>2658</v>
      </c>
      <c r="E375" t="s">
        <v>2659</v>
      </c>
      <c r="F375" t="s">
        <v>3429</v>
      </c>
      <c r="G375" t="s">
        <v>15979</v>
      </c>
      <c r="H375" t="s">
        <v>15980</v>
      </c>
      <c r="I375" t="s">
        <v>16196</v>
      </c>
      <c r="J375" t="s">
        <v>23</v>
      </c>
      <c r="L375" t="s">
        <v>3430</v>
      </c>
      <c r="M375" t="s">
        <v>3431</v>
      </c>
      <c r="N375" t="s">
        <v>3432</v>
      </c>
      <c r="O375" t="s">
        <v>3433</v>
      </c>
      <c r="P375" t="s">
        <v>3434</v>
      </c>
      <c r="Q375" t="s">
        <v>3435</v>
      </c>
      <c r="R375" t="s">
        <v>3436</v>
      </c>
      <c r="S375" t="s">
        <v>3437</v>
      </c>
      <c r="T375" t="s">
        <v>3438</v>
      </c>
      <c r="U375" s="5">
        <v>2008.65</v>
      </c>
      <c r="V375" s="5">
        <v>935.24</v>
      </c>
      <c r="W375" s="5">
        <v>16.785588000000001</v>
      </c>
      <c r="X375" s="5">
        <v>107.12400599999999</v>
      </c>
      <c r="Y375" s="5">
        <v>1073.4100000000001</v>
      </c>
      <c r="Z375" s="5">
        <v>16.785212999999999</v>
      </c>
      <c r="AA375" s="5">
        <v>107.11283</v>
      </c>
      <c r="AB375" s="7">
        <f t="shared" si="31"/>
        <v>1.4028600000000002</v>
      </c>
      <c r="AC375" s="7">
        <f t="shared" si="32"/>
        <v>1.6101150000000002</v>
      </c>
      <c r="AD375" s="6" t="str">
        <f t="shared" si="33"/>
        <v>TT2 Quảng Trị</v>
      </c>
      <c r="AE375" s="6" t="str">
        <f t="shared" si="34"/>
        <v>TX Quảng Trị</v>
      </c>
      <c r="AG375">
        <f t="shared" si="35"/>
        <v>0.93523999999999996</v>
      </c>
      <c r="AH375">
        <f t="shared" si="36"/>
        <v>1.07341</v>
      </c>
    </row>
    <row r="376" spans="1:34" x14ac:dyDescent="0.25">
      <c r="A376" t="s">
        <v>3439</v>
      </c>
      <c r="B376" t="s">
        <v>3440</v>
      </c>
      <c r="C376" t="s">
        <v>3441</v>
      </c>
      <c r="D376" t="s">
        <v>2804</v>
      </c>
      <c r="E376" t="s">
        <v>2805</v>
      </c>
      <c r="F376" t="s">
        <v>3442</v>
      </c>
      <c r="G376" t="s">
        <v>15979</v>
      </c>
      <c r="H376" t="s">
        <v>15980</v>
      </c>
      <c r="I376" t="s">
        <v>16197</v>
      </c>
      <c r="J376" t="s">
        <v>23</v>
      </c>
      <c r="L376" t="s">
        <v>2819</v>
      </c>
      <c r="M376" t="s">
        <v>3443</v>
      </c>
      <c r="N376" t="s">
        <v>3444</v>
      </c>
      <c r="O376" t="s">
        <v>3445</v>
      </c>
      <c r="P376" t="s">
        <v>3446</v>
      </c>
      <c r="Q376" t="s">
        <v>2821</v>
      </c>
      <c r="R376" t="s">
        <v>2822</v>
      </c>
      <c r="S376" t="s">
        <v>2823</v>
      </c>
      <c r="T376" t="s">
        <v>2827</v>
      </c>
      <c r="U376" s="5">
        <v>3270.6</v>
      </c>
      <c r="V376" s="5">
        <v>3248.72</v>
      </c>
      <c r="W376" s="5">
        <v>16.978266000000001</v>
      </c>
      <c r="X376" s="5">
        <v>107.099942</v>
      </c>
      <c r="Y376" s="5">
        <v>21.88</v>
      </c>
      <c r="Z376" s="5">
        <v>16.988904000000002</v>
      </c>
      <c r="AA376" s="5">
        <v>107.106632</v>
      </c>
      <c r="AB376" s="7">
        <f t="shared" si="31"/>
        <v>4.8730799999999999</v>
      </c>
      <c r="AC376" s="7">
        <f t="shared" si="32"/>
        <v>3.2820000000000002E-2</v>
      </c>
      <c r="AD376" s="6" t="str">
        <f t="shared" si="33"/>
        <v>Bến Hải</v>
      </c>
      <c r="AE376" s="6" t="str">
        <f t="shared" si="34"/>
        <v>PC07 (Đội PCCC khu vực 4)</v>
      </c>
      <c r="AG376">
        <f t="shared" si="35"/>
        <v>3.2487199999999996</v>
      </c>
      <c r="AH376">
        <f t="shared" si="36"/>
        <v>2.188E-2</v>
      </c>
    </row>
    <row r="377" spans="1:34" x14ac:dyDescent="0.25">
      <c r="A377" t="s">
        <v>3447</v>
      </c>
      <c r="B377" t="s">
        <v>3448</v>
      </c>
      <c r="C377" t="s">
        <v>3449</v>
      </c>
      <c r="D377" t="s">
        <v>3450</v>
      </c>
      <c r="E377" t="s">
        <v>3451</v>
      </c>
      <c r="F377" t="s">
        <v>3452</v>
      </c>
      <c r="G377" t="s">
        <v>15979</v>
      </c>
      <c r="H377" t="s">
        <v>15980</v>
      </c>
      <c r="I377" t="s">
        <v>16198</v>
      </c>
      <c r="J377" t="s">
        <v>23</v>
      </c>
      <c r="L377" t="s">
        <v>3453</v>
      </c>
      <c r="M377" t="s">
        <v>3454</v>
      </c>
      <c r="N377" t="s">
        <v>3455</v>
      </c>
      <c r="O377" t="s">
        <v>3456</v>
      </c>
      <c r="P377" t="s">
        <v>3457</v>
      </c>
      <c r="Q377" t="s">
        <v>3458</v>
      </c>
      <c r="R377" t="s">
        <v>3459</v>
      </c>
      <c r="S377" t="s">
        <v>3460</v>
      </c>
      <c r="T377" t="s">
        <v>3461</v>
      </c>
      <c r="U377" s="5">
        <v>345.78</v>
      </c>
      <c r="V377" s="5">
        <v>254.51</v>
      </c>
      <c r="W377" s="5">
        <v>17.070644999999999</v>
      </c>
      <c r="X377" s="5">
        <v>107.004336</v>
      </c>
      <c r="Y377" s="5">
        <v>91.27</v>
      </c>
      <c r="Z377" s="5">
        <v>17.077088</v>
      </c>
      <c r="AA377" s="5">
        <v>106.99789199999999</v>
      </c>
      <c r="AB377" s="7">
        <f t="shared" si="31"/>
        <v>0.38176499999999997</v>
      </c>
      <c r="AC377" s="7">
        <f t="shared" si="32"/>
        <v>0.136905</v>
      </c>
      <c r="AD377" s="6" t="str">
        <f t="shared" si="33"/>
        <v>Phòng PC07 (Đội PCCC khu vực 3)</v>
      </c>
      <c r="AE377" s="6" t="str">
        <f t="shared" si="34"/>
        <v>Vĩnh Linh</v>
      </c>
      <c r="AG377">
        <f t="shared" si="35"/>
        <v>0.25451000000000001</v>
      </c>
      <c r="AH377">
        <f t="shared" si="36"/>
        <v>9.126999999999999E-2</v>
      </c>
    </row>
    <row r="378" spans="1:34" x14ac:dyDescent="0.25">
      <c r="A378" t="s">
        <v>3462</v>
      </c>
      <c r="B378" t="s">
        <v>3463</v>
      </c>
      <c r="C378" t="s">
        <v>3464</v>
      </c>
      <c r="D378" t="s">
        <v>3450</v>
      </c>
      <c r="E378" t="s">
        <v>3451</v>
      </c>
      <c r="F378" t="s">
        <v>3465</v>
      </c>
      <c r="G378" t="s">
        <v>15979</v>
      </c>
      <c r="H378" t="s">
        <v>15980</v>
      </c>
      <c r="I378" t="s">
        <v>16199</v>
      </c>
      <c r="J378" t="s">
        <v>23</v>
      </c>
      <c r="L378" t="s">
        <v>3466</v>
      </c>
      <c r="M378" t="s">
        <v>3467</v>
      </c>
      <c r="N378" t="s">
        <v>3468</v>
      </c>
      <c r="O378" t="s">
        <v>3469</v>
      </c>
      <c r="P378" t="s">
        <v>3470</v>
      </c>
      <c r="Q378" t="s">
        <v>3471</v>
      </c>
      <c r="R378" t="s">
        <v>3472</v>
      </c>
      <c r="S378" t="s">
        <v>3473</v>
      </c>
      <c r="T378" t="s">
        <v>3474</v>
      </c>
      <c r="U378" s="5">
        <v>2655.86</v>
      </c>
      <c r="V378" s="5">
        <v>2537.6</v>
      </c>
      <c r="W378" s="5">
        <v>17.076809999999998</v>
      </c>
      <c r="X378" s="5">
        <v>106.98994500000001</v>
      </c>
      <c r="Y378" s="5">
        <v>118.26</v>
      </c>
      <c r="Z378" s="5">
        <v>17.076765999999999</v>
      </c>
      <c r="AA378" s="5">
        <v>106.998086</v>
      </c>
      <c r="AB378" s="7">
        <f t="shared" si="31"/>
        <v>3.8063999999999996</v>
      </c>
      <c r="AC378" s="7">
        <f t="shared" si="32"/>
        <v>0.17739000000000002</v>
      </c>
      <c r="AD378" s="6" t="str">
        <f t="shared" si="33"/>
        <v>Vĩnh Hoàng</v>
      </c>
      <c r="AE378" s="6" t="str">
        <f t="shared" si="34"/>
        <v>Bến Quan</v>
      </c>
      <c r="AG378">
        <f t="shared" si="35"/>
        <v>2.5375999999999999</v>
      </c>
      <c r="AH378">
        <f t="shared" si="36"/>
        <v>0.11826</v>
      </c>
    </row>
    <row r="379" spans="1:34" x14ac:dyDescent="0.25">
      <c r="A379" t="s">
        <v>3475</v>
      </c>
      <c r="B379" t="s">
        <v>3476</v>
      </c>
      <c r="C379" t="s">
        <v>3477</v>
      </c>
      <c r="D379" t="s">
        <v>2697</v>
      </c>
      <c r="E379" t="s">
        <v>2698</v>
      </c>
      <c r="F379" t="s">
        <v>3478</v>
      </c>
      <c r="G379" t="s">
        <v>15979</v>
      </c>
      <c r="H379" t="s">
        <v>15980</v>
      </c>
      <c r="I379" t="s">
        <v>16200</v>
      </c>
      <c r="J379" t="s">
        <v>23</v>
      </c>
      <c r="L379" t="s">
        <v>3125</v>
      </c>
      <c r="M379" t="s">
        <v>3479</v>
      </c>
      <c r="N379" t="s">
        <v>3480</v>
      </c>
      <c r="O379" t="s">
        <v>3481</v>
      </c>
      <c r="P379" t="s">
        <v>3482</v>
      </c>
      <c r="Q379" t="s">
        <v>3483</v>
      </c>
      <c r="R379" t="s">
        <v>3484</v>
      </c>
      <c r="S379" t="s">
        <v>3485</v>
      </c>
      <c r="T379" t="s">
        <v>3486</v>
      </c>
      <c r="U379" s="5">
        <v>4453.9799999999996</v>
      </c>
      <c r="V379" s="5">
        <v>4421.4799999999996</v>
      </c>
      <c r="W379" s="5">
        <v>16.739267999999999</v>
      </c>
      <c r="X379" s="5">
        <v>107.185075</v>
      </c>
      <c r="Y379" s="5">
        <v>32.49</v>
      </c>
      <c r="Z379" s="5">
        <v>16.739595000000001</v>
      </c>
      <c r="AA379" s="5">
        <v>107.188056</v>
      </c>
      <c r="AB379" s="7">
        <f t="shared" si="31"/>
        <v>6.6322199999999993</v>
      </c>
      <c r="AC379" s="7">
        <f t="shared" si="32"/>
        <v>4.8735000000000001E-2</v>
      </c>
      <c r="AD379" s="6" t="str">
        <f t="shared" si="33"/>
        <v>Trung tâm sát hạch lái xe</v>
      </c>
      <c r="AE379" s="6" t="str">
        <f t="shared" si="34"/>
        <v>TX Quảng Trị</v>
      </c>
      <c r="AG379">
        <f t="shared" si="35"/>
        <v>4.4214799999999999</v>
      </c>
      <c r="AH379">
        <f t="shared" si="36"/>
        <v>3.2490000000000005E-2</v>
      </c>
    </row>
    <row r="380" spans="1:34" x14ac:dyDescent="0.25">
      <c r="A380" t="s">
        <v>3487</v>
      </c>
      <c r="B380" t="s">
        <v>3488</v>
      </c>
      <c r="C380" t="s">
        <v>3489</v>
      </c>
      <c r="D380" t="s">
        <v>3490</v>
      </c>
      <c r="E380" t="s">
        <v>3491</v>
      </c>
      <c r="F380" t="s">
        <v>3492</v>
      </c>
      <c r="G380" t="s">
        <v>15827</v>
      </c>
      <c r="H380" t="s">
        <v>15828</v>
      </c>
      <c r="I380" t="s">
        <v>16201</v>
      </c>
      <c r="J380" t="s">
        <v>23</v>
      </c>
      <c r="L380" t="s">
        <v>3493</v>
      </c>
      <c r="M380" t="s">
        <v>3494</v>
      </c>
      <c r="N380" t="s">
        <v>3495</v>
      </c>
      <c r="O380" t="s">
        <v>3496</v>
      </c>
      <c r="P380" t="s">
        <v>3497</v>
      </c>
      <c r="Q380" t="s">
        <v>3498</v>
      </c>
      <c r="R380" t="s">
        <v>3499</v>
      </c>
      <c r="S380" t="s">
        <v>3500</v>
      </c>
      <c r="T380" t="s">
        <v>3501</v>
      </c>
      <c r="U380" s="5">
        <v>589.26</v>
      </c>
      <c r="V380" s="5">
        <v>364.81</v>
      </c>
      <c r="W380" s="5">
        <v>12.099976</v>
      </c>
      <c r="X380" s="5">
        <v>107.656622</v>
      </c>
      <c r="Y380" s="5">
        <v>224.45</v>
      </c>
      <c r="Z380" s="5">
        <v>12.087807</v>
      </c>
      <c r="AA380" s="5">
        <v>107.655304</v>
      </c>
      <c r="AB380" s="7">
        <f t="shared" si="31"/>
        <v>0.54721500000000001</v>
      </c>
      <c r="AC380" s="7">
        <f t="shared" si="32"/>
        <v>0.33667499999999995</v>
      </c>
      <c r="AD380" s="6" t="str">
        <f t="shared" si="33"/>
        <v>Công an tỉnh Lâm Đồng</v>
      </c>
      <c r="AE380" s="6" t="str">
        <f t="shared" si="34"/>
        <v>TT2 - Công an xã Đức An (Trụ sở CAH Đắk Song cũ)</v>
      </c>
      <c r="AG380">
        <f t="shared" si="35"/>
        <v>0.36481000000000002</v>
      </c>
      <c r="AH380">
        <f t="shared" si="36"/>
        <v>0.22444999999999998</v>
      </c>
    </row>
    <row r="381" spans="1:34" x14ac:dyDescent="0.25">
      <c r="A381" t="s">
        <v>3502</v>
      </c>
      <c r="B381" t="s">
        <v>3503</v>
      </c>
      <c r="C381" t="s">
        <v>3504</v>
      </c>
      <c r="D381" t="s">
        <v>3505</v>
      </c>
      <c r="E381" t="s">
        <v>3506</v>
      </c>
      <c r="F381" t="s">
        <v>3507</v>
      </c>
      <c r="G381" t="s">
        <v>15827</v>
      </c>
      <c r="H381" t="s">
        <v>15828</v>
      </c>
      <c r="I381" t="s">
        <v>16202</v>
      </c>
      <c r="J381" t="s">
        <v>23</v>
      </c>
      <c r="L381" t="s">
        <v>3508</v>
      </c>
      <c r="M381" t="s">
        <v>3509</v>
      </c>
      <c r="N381" t="s">
        <v>3510</v>
      </c>
      <c r="O381" t="s">
        <v>3511</v>
      </c>
      <c r="P381" t="s">
        <v>3512</v>
      </c>
      <c r="Q381" t="s">
        <v>3513</v>
      </c>
      <c r="R381" t="s">
        <v>3514</v>
      </c>
      <c r="S381" t="s">
        <v>3515</v>
      </c>
      <c r="T381" t="s">
        <v>3516</v>
      </c>
      <c r="U381" s="5">
        <v>67.62</v>
      </c>
      <c r="V381" s="5">
        <v>2.06</v>
      </c>
      <c r="W381" s="5">
        <v>12.447380000000001</v>
      </c>
      <c r="X381" s="5">
        <v>107.621711</v>
      </c>
      <c r="Y381" s="5">
        <v>65.56</v>
      </c>
      <c r="Z381" s="5">
        <v>12.448696</v>
      </c>
      <c r="AA381" s="5">
        <v>107.62101</v>
      </c>
      <c r="AB381" s="7">
        <f t="shared" si="31"/>
        <v>3.0899999999999999E-3</v>
      </c>
      <c r="AC381" s="7">
        <f t="shared" si="32"/>
        <v>9.8339999999999997E-2</v>
      </c>
      <c r="AD381" s="6" t="str">
        <f t="shared" si="33"/>
        <v xml:space="preserve">Công an xã Đức Lập (Trụ sở 2 CAH Đắk Mil cũ)
</v>
      </c>
      <c r="AE381" s="6" t="str">
        <f t="shared" si="34"/>
        <v>Công an xã Cư Jút (Trụ sở CAH Cư Jút cũ)</v>
      </c>
      <c r="AG381">
        <f t="shared" si="35"/>
        <v>2.0600000000000002E-3</v>
      </c>
      <c r="AH381">
        <f t="shared" si="36"/>
        <v>6.5560000000000007E-2</v>
      </c>
    </row>
    <row r="382" spans="1:34" x14ac:dyDescent="0.25">
      <c r="A382" t="s">
        <v>3517</v>
      </c>
      <c r="B382" t="s">
        <v>3518</v>
      </c>
      <c r="C382" t="s">
        <v>3519</v>
      </c>
      <c r="D382" t="s">
        <v>3520</v>
      </c>
      <c r="E382" t="s">
        <v>3521</v>
      </c>
      <c r="F382" t="s">
        <v>3522</v>
      </c>
      <c r="G382" t="s">
        <v>15827</v>
      </c>
      <c r="H382" t="s">
        <v>15828</v>
      </c>
      <c r="I382" t="s">
        <v>16203</v>
      </c>
      <c r="J382" t="s">
        <v>23</v>
      </c>
      <c r="L382" t="s">
        <v>3523</v>
      </c>
      <c r="M382" t="s">
        <v>3524</v>
      </c>
      <c r="N382" t="s">
        <v>3525</v>
      </c>
      <c r="O382" t="s">
        <v>3526</v>
      </c>
      <c r="P382" t="s">
        <v>3527</v>
      </c>
      <c r="Q382" t="s">
        <v>3528</v>
      </c>
      <c r="R382" t="s">
        <v>3526</v>
      </c>
      <c r="S382" t="s">
        <v>3527</v>
      </c>
      <c r="T382" t="s">
        <v>3529</v>
      </c>
      <c r="U382" s="5">
        <v>2681.12</v>
      </c>
      <c r="V382" s="5">
        <v>0.75</v>
      </c>
      <c r="W382" s="5">
        <v>12.650228</v>
      </c>
      <c r="X382" s="5">
        <v>107.873526</v>
      </c>
      <c r="Y382" s="5">
        <v>2680.37</v>
      </c>
      <c r="Z382" s="5">
        <v>12.650228</v>
      </c>
      <c r="AA382" s="5">
        <v>107.873526</v>
      </c>
      <c r="AB382" s="7">
        <f t="shared" si="31"/>
        <v>1.1249999999999999E-3</v>
      </c>
      <c r="AC382" s="7">
        <f t="shared" si="32"/>
        <v>4.0205549999999999</v>
      </c>
      <c r="AD382" s="6" t="str">
        <f t="shared" si="33"/>
        <v>Công an xã Nam Dong</v>
      </c>
      <c r="AE382" s="6" t="str">
        <f t="shared" si="34"/>
        <v>Công an xã Đắk Mil</v>
      </c>
      <c r="AG382">
        <f t="shared" si="35"/>
        <v>7.5000000000000002E-4</v>
      </c>
      <c r="AH382">
        <f t="shared" si="36"/>
        <v>2.6803699999999999</v>
      </c>
    </row>
    <row r="383" spans="1:34" x14ac:dyDescent="0.25">
      <c r="A383" t="s">
        <v>3530</v>
      </c>
      <c r="B383" t="s">
        <v>3531</v>
      </c>
      <c r="C383" t="s">
        <v>3532</v>
      </c>
      <c r="D383" t="s">
        <v>3533</v>
      </c>
      <c r="E383" t="s">
        <v>3534</v>
      </c>
      <c r="F383" t="s">
        <v>3535</v>
      </c>
      <c r="G383" t="s">
        <v>15827</v>
      </c>
      <c r="H383" t="s">
        <v>15828</v>
      </c>
      <c r="I383" t="s">
        <v>16204</v>
      </c>
      <c r="J383" t="s">
        <v>23</v>
      </c>
      <c r="L383" t="s">
        <v>3536</v>
      </c>
      <c r="M383" t="s">
        <v>3537</v>
      </c>
      <c r="N383" t="s">
        <v>3538</v>
      </c>
      <c r="O383" t="s">
        <v>3539</v>
      </c>
      <c r="P383" t="s">
        <v>3540</v>
      </c>
      <c r="Q383" t="s">
        <v>3541</v>
      </c>
      <c r="R383" t="s">
        <v>3542</v>
      </c>
      <c r="S383" t="s">
        <v>3543</v>
      </c>
      <c r="T383" t="s">
        <v>3544</v>
      </c>
      <c r="U383" s="5">
        <v>2304</v>
      </c>
      <c r="V383" s="5">
        <v>47.06</v>
      </c>
      <c r="W383" s="5">
        <v>12.095340999999999</v>
      </c>
      <c r="X383" s="5">
        <v>107.480919</v>
      </c>
      <c r="Y383" s="5">
        <v>2256.94</v>
      </c>
      <c r="Z383" s="5">
        <v>12.096983</v>
      </c>
      <c r="AA383" s="5">
        <v>107.483132</v>
      </c>
      <c r="AB383" s="7">
        <f t="shared" si="31"/>
        <v>7.059E-2</v>
      </c>
      <c r="AC383" s="7">
        <f t="shared" si="32"/>
        <v>3.3854099999999998</v>
      </c>
      <c r="AD383" s="6" t="str">
        <f t="shared" si="33"/>
        <v>Đường PC08 đội 6</v>
      </c>
      <c r="AE383" s="6" t="str">
        <f t="shared" si="34"/>
        <v>CS Cai nghiện số 4</v>
      </c>
      <c r="AG383">
        <f t="shared" si="35"/>
        <v>4.7060000000000005E-2</v>
      </c>
      <c r="AH383">
        <f t="shared" si="36"/>
        <v>2.2569400000000002</v>
      </c>
    </row>
    <row r="384" spans="1:34" x14ac:dyDescent="0.25">
      <c r="A384" t="s">
        <v>3545</v>
      </c>
      <c r="B384" t="s">
        <v>3546</v>
      </c>
      <c r="C384" t="s">
        <v>3547</v>
      </c>
      <c r="D384" t="s">
        <v>3548</v>
      </c>
      <c r="E384" t="s">
        <v>3549</v>
      </c>
      <c r="F384" t="s">
        <v>3550</v>
      </c>
      <c r="G384" t="s">
        <v>15827</v>
      </c>
      <c r="H384" t="s">
        <v>15828</v>
      </c>
      <c r="I384" t="s">
        <v>16205</v>
      </c>
      <c r="J384" t="s">
        <v>23</v>
      </c>
      <c r="L384" t="s">
        <v>3508</v>
      </c>
      <c r="M384" t="s">
        <v>3551</v>
      </c>
      <c r="N384" t="s">
        <v>3552</v>
      </c>
      <c r="O384" t="s">
        <v>3553</v>
      </c>
      <c r="P384" t="s">
        <v>3554</v>
      </c>
      <c r="Q384" t="s">
        <v>3555</v>
      </c>
      <c r="R384" t="s">
        <v>3556</v>
      </c>
      <c r="S384" t="s">
        <v>3557</v>
      </c>
      <c r="T384" t="s">
        <v>3558</v>
      </c>
      <c r="U384" s="5">
        <v>723.22</v>
      </c>
      <c r="V384" s="5">
        <v>260.5</v>
      </c>
      <c r="W384" s="5">
        <v>12.511248999999999</v>
      </c>
      <c r="X384" s="5">
        <v>107.74746399999999</v>
      </c>
      <c r="Y384" s="5">
        <v>462.72</v>
      </c>
      <c r="Z384" s="5">
        <v>12.543331</v>
      </c>
      <c r="AA384" s="5">
        <v>107.786057</v>
      </c>
      <c r="AB384" s="7">
        <f t="shared" si="31"/>
        <v>0.39074999999999999</v>
      </c>
      <c r="AC384" s="7">
        <f t="shared" si="32"/>
        <v>0.69408000000000003</v>
      </c>
      <c r="AD384" s="6" t="str">
        <f t="shared" si="33"/>
        <v xml:space="preserve">Công an xã Đức Lập (Trụ sở 2 CAH Đắk Mil cũ)
</v>
      </c>
      <c r="AE384" s="6" t="str">
        <f t="shared" si="34"/>
        <v>Công an xã Cư Jút (Trụ sở CAH Cư Jút cũ)</v>
      </c>
      <c r="AG384">
        <f t="shared" si="35"/>
        <v>0.26050000000000001</v>
      </c>
      <c r="AH384">
        <f t="shared" si="36"/>
        <v>0.46272000000000002</v>
      </c>
    </row>
    <row r="385" spans="1:34" x14ac:dyDescent="0.25">
      <c r="A385" t="s">
        <v>3559</v>
      </c>
      <c r="B385" t="s">
        <v>3560</v>
      </c>
      <c r="C385" t="s">
        <v>3561</v>
      </c>
      <c r="D385" t="s">
        <v>3562</v>
      </c>
      <c r="E385" t="s">
        <v>3563</v>
      </c>
      <c r="F385" t="s">
        <v>3564</v>
      </c>
      <c r="G385" t="s">
        <v>15827</v>
      </c>
      <c r="H385" t="s">
        <v>15828</v>
      </c>
      <c r="I385" t="s">
        <v>16206</v>
      </c>
      <c r="J385" t="s">
        <v>23</v>
      </c>
      <c r="L385" t="s">
        <v>3565</v>
      </c>
      <c r="M385" t="s">
        <v>3566</v>
      </c>
      <c r="N385" t="s">
        <v>3567</v>
      </c>
      <c r="O385" t="s">
        <v>3568</v>
      </c>
      <c r="P385" t="s">
        <v>3569</v>
      </c>
      <c r="Q385" t="s">
        <v>3570</v>
      </c>
      <c r="R385" t="s">
        <v>3571</v>
      </c>
      <c r="S385" t="s">
        <v>3572</v>
      </c>
      <c r="T385" t="s">
        <v>3573</v>
      </c>
      <c r="U385" s="5">
        <v>577.41999999999996</v>
      </c>
      <c r="V385" s="5">
        <v>226.46</v>
      </c>
      <c r="W385" s="5">
        <v>11.913881999999999</v>
      </c>
      <c r="X385" s="5">
        <v>107.791538</v>
      </c>
      <c r="Y385" s="5">
        <v>350.97</v>
      </c>
      <c r="Z385" s="5">
        <v>11.917935</v>
      </c>
      <c r="AA385" s="5">
        <v>107.790319</v>
      </c>
      <c r="AB385" s="7">
        <f t="shared" si="31"/>
        <v>0.33968999999999999</v>
      </c>
      <c r="AC385" s="7">
        <f t="shared" si="32"/>
        <v>0.52645500000000001</v>
      </c>
      <c r="AD385" s="6" t="str">
        <f t="shared" si="33"/>
        <v>Công an tỉnh Lâm Đồng</v>
      </c>
      <c r="AE385" s="6" t="str">
        <f t="shared" si="34"/>
        <v>TT2 - Công an xã Quảng Khê</v>
      </c>
      <c r="AG385">
        <f t="shared" si="35"/>
        <v>0.22645999999999999</v>
      </c>
      <c r="AH385">
        <f t="shared" si="36"/>
        <v>0.35097</v>
      </c>
    </row>
    <row r="386" spans="1:34" x14ac:dyDescent="0.25">
      <c r="A386" t="s">
        <v>3574</v>
      </c>
      <c r="B386" t="s">
        <v>3575</v>
      </c>
      <c r="C386" t="s">
        <v>3576</v>
      </c>
      <c r="D386" t="s">
        <v>3503</v>
      </c>
      <c r="E386" t="s">
        <v>3504</v>
      </c>
      <c r="F386" t="s">
        <v>3577</v>
      </c>
      <c r="G386" t="s">
        <v>15827</v>
      </c>
      <c r="H386" t="s">
        <v>15828</v>
      </c>
      <c r="I386" t="s">
        <v>16207</v>
      </c>
      <c r="J386" t="s">
        <v>23</v>
      </c>
      <c r="L386" t="s">
        <v>3578</v>
      </c>
      <c r="M386" t="s">
        <v>3579</v>
      </c>
      <c r="N386" t="s">
        <v>3580</v>
      </c>
      <c r="O386" t="s">
        <v>3581</v>
      </c>
      <c r="P386" t="s">
        <v>3582</v>
      </c>
      <c r="Q386" t="s">
        <v>3583</v>
      </c>
      <c r="R386" t="s">
        <v>3584</v>
      </c>
      <c r="S386" t="s">
        <v>3585</v>
      </c>
      <c r="T386" t="s">
        <v>3586</v>
      </c>
      <c r="U386" s="5">
        <v>24690.13</v>
      </c>
      <c r="V386" s="5">
        <v>24684.21</v>
      </c>
      <c r="W386" s="5">
        <v>12.415565000000001</v>
      </c>
      <c r="X386" s="5">
        <v>107.58331099999999</v>
      </c>
      <c r="Y386" s="5">
        <v>5.91</v>
      </c>
      <c r="Z386" s="5">
        <v>12.447349000000001</v>
      </c>
      <c r="AA386" s="5">
        <v>107.62173</v>
      </c>
      <c r="AB386" s="7">
        <f t="shared" si="31"/>
        <v>37.026315000000004</v>
      </c>
      <c r="AC386" s="7">
        <f t="shared" si="32"/>
        <v>8.8649999999999996E-3</v>
      </c>
      <c r="AD386" s="6" t="str">
        <f t="shared" si="33"/>
        <v>Công an tỉnh Lâm Đồng</v>
      </c>
      <c r="AE386" s="6" t="str">
        <f t="shared" si="34"/>
        <v>TT2
- Công an xã Đức Lập (Trụ sở 2 CAH Đắk Mil cũ)</v>
      </c>
      <c r="AG386">
        <f t="shared" si="35"/>
        <v>24.68421</v>
      </c>
      <c r="AH386">
        <f t="shared" si="36"/>
        <v>5.9100000000000003E-3</v>
      </c>
    </row>
    <row r="387" spans="1:34" x14ac:dyDescent="0.25">
      <c r="A387" t="s">
        <v>3587</v>
      </c>
      <c r="B387" t="s">
        <v>3503</v>
      </c>
      <c r="C387" t="s">
        <v>3504</v>
      </c>
      <c r="D387" t="s">
        <v>3588</v>
      </c>
      <c r="E387" t="s">
        <v>3589</v>
      </c>
      <c r="F387" t="s">
        <v>3590</v>
      </c>
      <c r="G387" t="s">
        <v>15827</v>
      </c>
      <c r="H387" t="s">
        <v>15828</v>
      </c>
      <c r="I387" t="s">
        <v>16208</v>
      </c>
      <c r="J387" t="s">
        <v>23</v>
      </c>
      <c r="L387" t="s">
        <v>3578</v>
      </c>
      <c r="M387" t="s">
        <v>3591</v>
      </c>
      <c r="N387" t="s">
        <v>3592</v>
      </c>
      <c r="O387" t="s">
        <v>3593</v>
      </c>
      <c r="P387" t="s">
        <v>3594</v>
      </c>
      <c r="Q387" t="s">
        <v>3595</v>
      </c>
      <c r="R387" t="s">
        <v>3596</v>
      </c>
      <c r="S387" t="s">
        <v>3597</v>
      </c>
      <c r="T387" t="s">
        <v>3586</v>
      </c>
      <c r="U387" s="5">
        <v>15005.25</v>
      </c>
      <c r="V387" s="5">
        <v>11711.93</v>
      </c>
      <c r="W387" s="5">
        <v>12.355719000000001</v>
      </c>
      <c r="X387" s="5">
        <v>107.568584</v>
      </c>
      <c r="Y387" s="5">
        <v>3293.32</v>
      </c>
      <c r="Z387" s="5">
        <v>12.232108999999999</v>
      </c>
      <c r="AA387" s="5">
        <v>107.63054099999999</v>
      </c>
      <c r="AB387" s="7">
        <f t="shared" ref="AB387:AB450" si="37">V387*1.5/1000</f>
        <v>17.567895</v>
      </c>
      <c r="AC387" s="7">
        <f t="shared" ref="AC387:AC450" si="38">Y387*1.5/1000</f>
        <v>4.9399800000000003</v>
      </c>
      <c r="AD387" s="6" t="str">
        <f t="shared" ref="AD387:AD450" si="39">TRIM(LEFT(L387,FIND("-",L387)-1))</f>
        <v>Công an tỉnh Lâm Đồng</v>
      </c>
      <c r="AE387" s="6" t="str">
        <f t="shared" ref="AE387:AE450" si="40">TRIM(RIGHT(L387, LEN(L387) - FIND("-", L387)))</f>
        <v>TT2
- Công an xã Đức Lập (Trụ sở 2 CAH Đắk Mil cũ)</v>
      </c>
      <c r="AG387">
        <f t="shared" ref="AG387:AG450" si="41">V387/1000</f>
        <v>11.711930000000001</v>
      </c>
      <c r="AH387">
        <f t="shared" ref="AH387:AH450" si="42">Y387/1000</f>
        <v>3.29332</v>
      </c>
    </row>
    <row r="388" spans="1:34" x14ac:dyDescent="0.25">
      <c r="A388" t="s">
        <v>3598</v>
      </c>
      <c r="B388" t="s">
        <v>3599</v>
      </c>
      <c r="C388" t="s">
        <v>3600</v>
      </c>
      <c r="D388" t="s">
        <v>3575</v>
      </c>
      <c r="E388" t="s">
        <v>3576</v>
      </c>
      <c r="F388" t="s">
        <v>3601</v>
      </c>
      <c r="G388" t="s">
        <v>15827</v>
      </c>
      <c r="H388" t="s">
        <v>15828</v>
      </c>
      <c r="I388" t="s">
        <v>16209</v>
      </c>
      <c r="J388" t="s">
        <v>23</v>
      </c>
      <c r="L388" t="s">
        <v>3602</v>
      </c>
      <c r="M388" t="s">
        <v>3603</v>
      </c>
      <c r="N388" t="s">
        <v>3604</v>
      </c>
      <c r="O388" t="s">
        <v>3605</v>
      </c>
      <c r="P388" t="s">
        <v>3606</v>
      </c>
      <c r="Q388" t="s">
        <v>3607</v>
      </c>
      <c r="R388" t="s">
        <v>3608</v>
      </c>
      <c r="S388" t="s">
        <v>3609</v>
      </c>
      <c r="T388" t="s">
        <v>3610</v>
      </c>
      <c r="U388" s="5">
        <v>2597.29</v>
      </c>
      <c r="V388" s="5">
        <v>2574.2199999999998</v>
      </c>
      <c r="W388" s="5">
        <v>12.018853</v>
      </c>
      <c r="X388" s="5">
        <v>107.492485</v>
      </c>
      <c r="Y388" s="5">
        <v>23.06</v>
      </c>
      <c r="Z388" s="5">
        <v>12.218915000000001</v>
      </c>
      <c r="AA388" s="5">
        <v>107.47745500000001</v>
      </c>
      <c r="AB388" s="7">
        <f t="shared" si="37"/>
        <v>3.8613299999999997</v>
      </c>
      <c r="AC388" s="7">
        <f t="shared" si="38"/>
        <v>3.4589999999999996E-2</v>
      </c>
      <c r="AD388" s="6" t="str">
        <f t="shared" si="39"/>
        <v>Công an xã Tuy Đức (Trụ sở CAH Tuy Đức cũ)</v>
      </c>
      <c r="AE388" s="6" t="str">
        <f t="shared" si="40"/>
        <v>Công an xã Kiến Đức (Trụ sở CAH Đắk R'Lấp cũ)</v>
      </c>
      <c r="AG388">
        <f t="shared" si="41"/>
        <v>2.57422</v>
      </c>
      <c r="AH388">
        <f t="shared" si="42"/>
        <v>2.3059999999999997E-2</v>
      </c>
    </row>
    <row r="389" spans="1:34" x14ac:dyDescent="0.25">
      <c r="A389" t="s">
        <v>3611</v>
      </c>
      <c r="B389" t="s">
        <v>3575</v>
      </c>
      <c r="C389" t="s">
        <v>3576</v>
      </c>
      <c r="D389" t="s">
        <v>3588</v>
      </c>
      <c r="E389" t="s">
        <v>3589</v>
      </c>
      <c r="F389" t="s">
        <v>3612</v>
      </c>
      <c r="G389" t="s">
        <v>15827</v>
      </c>
      <c r="H389" t="s">
        <v>15828</v>
      </c>
      <c r="I389" t="s">
        <v>16210</v>
      </c>
      <c r="J389" t="s">
        <v>23</v>
      </c>
      <c r="L389" t="s">
        <v>3613</v>
      </c>
      <c r="M389" t="s">
        <v>3614</v>
      </c>
      <c r="N389" t="s">
        <v>3615</v>
      </c>
      <c r="O389" t="s">
        <v>3616</v>
      </c>
      <c r="P389" t="s">
        <v>3617</v>
      </c>
      <c r="Q389" t="s">
        <v>3618</v>
      </c>
      <c r="R389" t="s">
        <v>3619</v>
      </c>
      <c r="S389" t="s">
        <v>3620</v>
      </c>
      <c r="T389" t="s">
        <v>3621</v>
      </c>
      <c r="U389" s="5">
        <v>8914</v>
      </c>
      <c r="V389" s="5">
        <v>4762.24</v>
      </c>
      <c r="W389" s="5">
        <v>12.199433000000001</v>
      </c>
      <c r="X389" s="5">
        <v>107.51656</v>
      </c>
      <c r="Y389" s="5">
        <v>4151.75</v>
      </c>
      <c r="Z389" s="5">
        <v>12.229092</v>
      </c>
      <c r="AA389" s="5">
        <v>107.609746</v>
      </c>
      <c r="AB389" s="7">
        <f t="shared" si="37"/>
        <v>7.1433599999999995</v>
      </c>
      <c r="AC389" s="7">
        <f t="shared" si="38"/>
        <v>6.2276249999999997</v>
      </c>
      <c r="AD389" s="6" t="str">
        <f t="shared" si="39"/>
        <v>Công an xã Đức An (Trụ sở CAH Đắk Song cũ)</v>
      </c>
      <c r="AE389" s="6" t="str">
        <f t="shared" si="40"/>
        <v>Công an xã Tuy Đức (Trụ sở CAH Tuy Đức cũ)</v>
      </c>
      <c r="AG389">
        <f t="shared" si="41"/>
        <v>4.7622399999999994</v>
      </c>
      <c r="AH389">
        <f t="shared" si="42"/>
        <v>4.1517499999999998</v>
      </c>
    </row>
    <row r="390" spans="1:34" x14ac:dyDescent="0.25">
      <c r="A390" t="s">
        <v>3622</v>
      </c>
      <c r="B390" t="s">
        <v>3575</v>
      </c>
      <c r="C390" t="s">
        <v>3576</v>
      </c>
      <c r="D390" t="s">
        <v>3623</v>
      </c>
      <c r="E390" t="s">
        <v>3624</v>
      </c>
      <c r="F390" t="s">
        <v>3625</v>
      </c>
      <c r="G390" t="s">
        <v>15827</v>
      </c>
      <c r="H390" t="s">
        <v>15828</v>
      </c>
      <c r="I390" t="s">
        <v>16211</v>
      </c>
      <c r="J390" t="s">
        <v>23</v>
      </c>
      <c r="L390" t="s">
        <v>3626</v>
      </c>
      <c r="M390" t="s">
        <v>3627</v>
      </c>
      <c r="N390" t="s">
        <v>3628</v>
      </c>
      <c r="O390" t="s">
        <v>3629</v>
      </c>
      <c r="P390" t="s">
        <v>3630</v>
      </c>
      <c r="Q390" t="s">
        <v>3631</v>
      </c>
      <c r="R390" t="s">
        <v>3632</v>
      </c>
      <c r="S390" t="s">
        <v>3633</v>
      </c>
      <c r="T390" t="s">
        <v>3634</v>
      </c>
      <c r="U390" s="5">
        <v>9976.7099999999991</v>
      </c>
      <c r="V390" s="5">
        <v>3942.84</v>
      </c>
      <c r="W390" s="5">
        <v>12.250895999999999</v>
      </c>
      <c r="X390" s="5">
        <v>107.493579</v>
      </c>
      <c r="Y390" s="5">
        <v>6033.86</v>
      </c>
      <c r="Z390" s="5">
        <v>12.2438</v>
      </c>
      <c r="AA390" s="5">
        <v>107.518868</v>
      </c>
      <c r="AB390" s="7">
        <f t="shared" si="37"/>
        <v>5.9142600000000005</v>
      </c>
      <c r="AC390" s="7">
        <f t="shared" si="38"/>
        <v>9.0507899999999992</v>
      </c>
      <c r="AD390" s="6" t="str">
        <f t="shared" si="39"/>
        <v>Thuận Hạnh</v>
      </c>
      <c r="AE390" s="6" t="str">
        <f t="shared" si="40"/>
        <v>Quảng Trực</v>
      </c>
      <c r="AG390">
        <f t="shared" si="41"/>
        <v>3.9428400000000003</v>
      </c>
      <c r="AH390">
        <f t="shared" si="42"/>
        <v>6.0338599999999998</v>
      </c>
    </row>
    <row r="391" spans="1:34" x14ac:dyDescent="0.25">
      <c r="A391" t="s">
        <v>3635</v>
      </c>
      <c r="B391" t="s">
        <v>3575</v>
      </c>
      <c r="C391" t="s">
        <v>3576</v>
      </c>
      <c r="D391" t="s">
        <v>3636</v>
      </c>
      <c r="E391" t="s">
        <v>3637</v>
      </c>
      <c r="F391" t="s">
        <v>3638</v>
      </c>
      <c r="G391" t="s">
        <v>15827</v>
      </c>
      <c r="H391" t="s">
        <v>15828</v>
      </c>
      <c r="I391" t="s">
        <v>16212</v>
      </c>
      <c r="J391" t="s">
        <v>23</v>
      </c>
      <c r="L391" t="s">
        <v>3578</v>
      </c>
      <c r="M391" t="s">
        <v>3639</v>
      </c>
      <c r="N391" t="s">
        <v>3640</v>
      </c>
      <c r="O391" t="s">
        <v>3641</v>
      </c>
      <c r="P391" t="s">
        <v>3642</v>
      </c>
      <c r="Q391" t="s">
        <v>3643</v>
      </c>
      <c r="R391" t="s">
        <v>3593</v>
      </c>
      <c r="S391" t="s">
        <v>3594</v>
      </c>
      <c r="T391" t="s">
        <v>3586</v>
      </c>
      <c r="U391" s="5">
        <v>21138.3</v>
      </c>
      <c r="V391" s="5">
        <v>14760.23</v>
      </c>
      <c r="W391" s="5">
        <v>12.276176</v>
      </c>
      <c r="X391" s="5">
        <v>107.60022499999999</v>
      </c>
      <c r="Y391" s="5">
        <v>6378.07</v>
      </c>
      <c r="Z391" s="5">
        <v>12.355719000000001</v>
      </c>
      <c r="AA391" s="5">
        <v>107.568584</v>
      </c>
      <c r="AB391" s="7">
        <f t="shared" si="37"/>
        <v>22.140345</v>
      </c>
      <c r="AC391" s="7">
        <f t="shared" si="38"/>
        <v>9.5671049999999997</v>
      </c>
      <c r="AD391" s="6" t="str">
        <f t="shared" si="39"/>
        <v>Công an tỉnh Lâm Đồng</v>
      </c>
      <c r="AE391" s="6" t="str">
        <f t="shared" si="40"/>
        <v>TT2
- Công an xã Đức Lập (Trụ sở 2 CAH Đắk Mil cũ)</v>
      </c>
      <c r="AG391">
        <f t="shared" si="41"/>
        <v>14.76023</v>
      </c>
      <c r="AH391">
        <f t="shared" si="42"/>
        <v>6.3780700000000001</v>
      </c>
    </row>
    <row r="392" spans="1:34" x14ac:dyDescent="0.25">
      <c r="A392" t="s">
        <v>3644</v>
      </c>
      <c r="B392" t="s">
        <v>3636</v>
      </c>
      <c r="C392" t="s">
        <v>3637</v>
      </c>
      <c r="D392" t="s">
        <v>3645</v>
      </c>
      <c r="E392" t="s">
        <v>3646</v>
      </c>
      <c r="F392" t="s">
        <v>3647</v>
      </c>
      <c r="G392" t="s">
        <v>15827</v>
      </c>
      <c r="H392" t="s">
        <v>15828</v>
      </c>
      <c r="I392" t="s">
        <v>16213</v>
      </c>
      <c r="J392" t="s">
        <v>23</v>
      </c>
      <c r="L392" t="s">
        <v>3578</v>
      </c>
      <c r="M392" t="s">
        <v>3648</v>
      </c>
      <c r="N392" t="s">
        <v>3649</v>
      </c>
      <c r="O392" t="s">
        <v>3581</v>
      </c>
      <c r="P392" t="s">
        <v>3582</v>
      </c>
      <c r="Q392" t="s">
        <v>3650</v>
      </c>
      <c r="R392" t="s">
        <v>3651</v>
      </c>
      <c r="S392" t="s">
        <v>3652</v>
      </c>
      <c r="T392" t="s">
        <v>3586</v>
      </c>
      <c r="U392" s="5">
        <v>670.63</v>
      </c>
      <c r="V392" s="5">
        <v>532.38</v>
      </c>
      <c r="W392" s="5">
        <v>12.415565000000001</v>
      </c>
      <c r="X392" s="5">
        <v>107.58331099999999</v>
      </c>
      <c r="Y392" s="5">
        <v>138.26</v>
      </c>
      <c r="Z392" s="5">
        <v>12.447319999999999</v>
      </c>
      <c r="AA392" s="5">
        <v>107.609408</v>
      </c>
      <c r="AB392" s="7">
        <f t="shared" si="37"/>
        <v>0.79856999999999989</v>
      </c>
      <c r="AC392" s="7">
        <f t="shared" si="38"/>
        <v>0.20738999999999999</v>
      </c>
      <c r="AD392" s="6" t="str">
        <f t="shared" si="39"/>
        <v>Công an tỉnh Lâm Đồng</v>
      </c>
      <c r="AE392" s="6" t="str">
        <f t="shared" si="40"/>
        <v>TT2
- Công an xã Đức Lập (Trụ sở 2 CAH Đắk Mil cũ)</v>
      </c>
      <c r="AG392">
        <f t="shared" si="41"/>
        <v>0.53237999999999996</v>
      </c>
      <c r="AH392">
        <f t="shared" si="42"/>
        <v>0.13825999999999999</v>
      </c>
    </row>
    <row r="393" spans="1:34" x14ac:dyDescent="0.25">
      <c r="A393" t="s">
        <v>3653</v>
      </c>
      <c r="B393" t="s">
        <v>3654</v>
      </c>
      <c r="C393" t="s">
        <v>3655</v>
      </c>
      <c r="D393" t="s">
        <v>3503</v>
      </c>
      <c r="E393" t="s">
        <v>3504</v>
      </c>
      <c r="F393" t="s">
        <v>3656</v>
      </c>
      <c r="G393" t="s">
        <v>15827</v>
      </c>
      <c r="H393" t="s">
        <v>15828</v>
      </c>
      <c r="I393" t="s">
        <v>16214</v>
      </c>
      <c r="J393" t="s">
        <v>23</v>
      </c>
      <c r="L393" t="s">
        <v>3657</v>
      </c>
      <c r="M393" t="s">
        <v>3658</v>
      </c>
      <c r="N393" t="s">
        <v>3659</v>
      </c>
      <c r="O393" t="s">
        <v>3660</v>
      </c>
      <c r="P393" t="s">
        <v>3661</v>
      </c>
      <c r="Q393" t="s">
        <v>3662</v>
      </c>
      <c r="R393" t="s">
        <v>3663</v>
      </c>
      <c r="S393" t="s">
        <v>3664</v>
      </c>
      <c r="T393" t="s">
        <v>3665</v>
      </c>
      <c r="U393" s="5">
        <v>5.95</v>
      </c>
      <c r="V393" s="5">
        <v>2.99</v>
      </c>
      <c r="W393" s="5">
        <v>12.459466000000001</v>
      </c>
      <c r="X393" s="5">
        <v>107.61325100000001</v>
      </c>
      <c r="Y393" s="5">
        <v>2.96</v>
      </c>
      <c r="Z393" s="5">
        <v>12.447414999999999</v>
      </c>
      <c r="AA393" s="5">
        <v>107.621692</v>
      </c>
      <c r="AB393" s="7">
        <f t="shared" si="37"/>
        <v>4.4850000000000003E-3</v>
      </c>
      <c r="AC393" s="7">
        <f t="shared" si="38"/>
        <v>4.4399999999999995E-3</v>
      </c>
      <c r="AD393" s="6" t="str">
        <f t="shared" si="39"/>
        <v>Phòng PC07</v>
      </c>
      <c r="AE393" s="6" t="str">
        <f t="shared" si="40"/>
        <v>Đội CC&amp;CNCH khu vực 14 - Công an xã Đức Lập (Trụ sở 2 CAH Đắk Mil cũ)</v>
      </c>
      <c r="AG393">
        <f t="shared" si="41"/>
        <v>2.99E-3</v>
      </c>
      <c r="AH393">
        <f t="shared" si="42"/>
        <v>2.96E-3</v>
      </c>
    </row>
    <row r="394" spans="1:34" x14ac:dyDescent="0.25">
      <c r="A394" t="s">
        <v>3666</v>
      </c>
      <c r="B394" t="s">
        <v>3503</v>
      </c>
      <c r="C394" t="s">
        <v>3504</v>
      </c>
      <c r="D394" t="s">
        <v>3667</v>
      </c>
      <c r="E394" t="s">
        <v>3668</v>
      </c>
      <c r="F394" t="s">
        <v>3669</v>
      </c>
      <c r="G394" t="s">
        <v>15827</v>
      </c>
      <c r="H394" t="s">
        <v>15828</v>
      </c>
      <c r="I394" t="s">
        <v>16215</v>
      </c>
      <c r="J394" t="s">
        <v>23</v>
      </c>
      <c r="L394" t="s">
        <v>3508</v>
      </c>
      <c r="M394" t="s">
        <v>3670</v>
      </c>
      <c r="N394" t="s">
        <v>3671</v>
      </c>
      <c r="O394" t="s">
        <v>3672</v>
      </c>
      <c r="P394" t="s">
        <v>3673</v>
      </c>
      <c r="Q394" t="s">
        <v>3674</v>
      </c>
      <c r="R394" t="s">
        <v>3675</v>
      </c>
      <c r="S394" t="s">
        <v>3676</v>
      </c>
      <c r="T394" t="s">
        <v>3558</v>
      </c>
      <c r="U394" s="5">
        <v>291.32</v>
      </c>
      <c r="V394" s="5">
        <v>174.6</v>
      </c>
      <c r="W394" s="5">
        <v>12.448781</v>
      </c>
      <c r="X394" s="5">
        <v>107.62094999999999</v>
      </c>
      <c r="Y394" s="5">
        <v>116.72</v>
      </c>
      <c r="Z394" s="5">
        <v>12.455816</v>
      </c>
      <c r="AA394" s="5">
        <v>107.636764</v>
      </c>
      <c r="AB394" s="7">
        <f t="shared" si="37"/>
        <v>0.26189999999999997</v>
      </c>
      <c r="AC394" s="7">
        <f t="shared" si="38"/>
        <v>0.17507999999999999</v>
      </c>
      <c r="AD394" s="6" t="str">
        <f t="shared" si="39"/>
        <v xml:space="preserve">Công an xã Đức Lập (Trụ sở 2 CAH Đắk Mil cũ)
</v>
      </c>
      <c r="AE394" s="6" t="str">
        <f t="shared" si="40"/>
        <v>Công an xã Cư Jút (Trụ sở CAH Cư Jút cũ)</v>
      </c>
      <c r="AG394">
        <f t="shared" si="41"/>
        <v>0.17460000000000001</v>
      </c>
      <c r="AH394">
        <f t="shared" si="42"/>
        <v>0.11672</v>
      </c>
    </row>
    <row r="395" spans="1:34" x14ac:dyDescent="0.25">
      <c r="A395" t="s">
        <v>3677</v>
      </c>
      <c r="B395" t="s">
        <v>3546</v>
      </c>
      <c r="C395" t="s">
        <v>3547</v>
      </c>
      <c r="D395" t="s">
        <v>3678</v>
      </c>
      <c r="E395" t="s">
        <v>3679</v>
      </c>
      <c r="F395" t="s">
        <v>3680</v>
      </c>
      <c r="G395" t="s">
        <v>15827</v>
      </c>
      <c r="H395" t="s">
        <v>15828</v>
      </c>
      <c r="I395" t="s">
        <v>16216</v>
      </c>
      <c r="J395" t="s">
        <v>23</v>
      </c>
      <c r="L395" t="s">
        <v>3681</v>
      </c>
      <c r="M395" t="s">
        <v>3682</v>
      </c>
      <c r="N395" t="s">
        <v>3683</v>
      </c>
      <c r="O395" t="s">
        <v>3684</v>
      </c>
      <c r="P395" t="s">
        <v>3685</v>
      </c>
      <c r="Q395" t="s">
        <v>3686</v>
      </c>
      <c r="R395" t="s">
        <v>3687</v>
      </c>
      <c r="S395" t="s">
        <v>3688</v>
      </c>
      <c r="T395" t="s">
        <v>3689</v>
      </c>
      <c r="U395" s="5">
        <v>3548.16</v>
      </c>
      <c r="V395" s="5">
        <v>3423.15</v>
      </c>
      <c r="W395" s="5">
        <v>12.482524</v>
      </c>
      <c r="X395" s="5">
        <v>107.764273</v>
      </c>
      <c r="Y395" s="5">
        <v>125.01</v>
      </c>
      <c r="Z395" s="5">
        <v>12.461428</v>
      </c>
      <c r="AA395" s="5">
        <v>107.74693600000001</v>
      </c>
      <c r="AB395" s="7">
        <f t="shared" si="37"/>
        <v>5.1347250000000004</v>
      </c>
      <c r="AC395" s="7">
        <f t="shared" si="38"/>
        <v>0.18751500000000002</v>
      </c>
      <c r="AD395" s="6" t="str">
        <f t="shared" si="39"/>
        <v>TTCMKV Krông Nô</v>
      </c>
      <c r="AE395" s="6" t="str">
        <f t="shared" si="40"/>
        <v>Đắk Sắk</v>
      </c>
      <c r="AG395">
        <f t="shared" si="41"/>
        <v>3.4231500000000001</v>
      </c>
      <c r="AH395">
        <f t="shared" si="42"/>
        <v>0.12501000000000001</v>
      </c>
    </row>
    <row r="396" spans="1:34" x14ac:dyDescent="0.25">
      <c r="A396" t="s">
        <v>3690</v>
      </c>
      <c r="B396" t="s">
        <v>3503</v>
      </c>
      <c r="C396" t="s">
        <v>3504</v>
      </c>
      <c r="D396" t="s">
        <v>3691</v>
      </c>
      <c r="E396" t="s">
        <v>3692</v>
      </c>
      <c r="F396" t="s">
        <v>3693</v>
      </c>
      <c r="G396" t="s">
        <v>15827</v>
      </c>
      <c r="H396" t="s">
        <v>15828</v>
      </c>
      <c r="I396" t="s">
        <v>16217</v>
      </c>
      <c r="J396" t="s">
        <v>23</v>
      </c>
      <c r="L396" t="s">
        <v>3508</v>
      </c>
      <c r="M396" t="s">
        <v>3694</v>
      </c>
      <c r="N396" t="s">
        <v>3671</v>
      </c>
      <c r="O396" t="s">
        <v>3672</v>
      </c>
      <c r="P396" t="s">
        <v>3673</v>
      </c>
      <c r="Q396" t="s">
        <v>3695</v>
      </c>
      <c r="R396" t="s">
        <v>3696</v>
      </c>
      <c r="S396" t="s">
        <v>3697</v>
      </c>
      <c r="T396" t="s">
        <v>3558</v>
      </c>
      <c r="U396" s="5">
        <v>409.4</v>
      </c>
      <c r="V396" s="5">
        <v>174.6</v>
      </c>
      <c r="W396" s="5">
        <v>12.448781</v>
      </c>
      <c r="X396" s="5">
        <v>107.62094999999999</v>
      </c>
      <c r="Y396" s="5">
        <v>234.8</v>
      </c>
      <c r="Z396" s="5">
        <v>12.456039000000001</v>
      </c>
      <c r="AA396" s="5">
        <v>107.655632</v>
      </c>
      <c r="AB396" s="7">
        <f t="shared" si="37"/>
        <v>0.26189999999999997</v>
      </c>
      <c r="AC396" s="7">
        <f t="shared" si="38"/>
        <v>0.35220000000000007</v>
      </c>
      <c r="AD396" s="6" t="str">
        <f t="shared" si="39"/>
        <v xml:space="preserve">Công an xã Đức Lập (Trụ sở 2 CAH Đắk Mil cũ)
</v>
      </c>
      <c r="AE396" s="6" t="str">
        <f t="shared" si="40"/>
        <v>Công an xã Cư Jút (Trụ sở CAH Cư Jút cũ)</v>
      </c>
      <c r="AG396">
        <f t="shared" si="41"/>
        <v>0.17460000000000001</v>
      </c>
      <c r="AH396">
        <f t="shared" si="42"/>
        <v>0.23480000000000001</v>
      </c>
    </row>
    <row r="397" spans="1:34" x14ac:dyDescent="0.25">
      <c r="A397" t="s">
        <v>3698</v>
      </c>
      <c r="B397" t="s">
        <v>3575</v>
      </c>
      <c r="C397" t="s">
        <v>3576</v>
      </c>
      <c r="D397" t="s">
        <v>3699</v>
      </c>
      <c r="E397" t="s">
        <v>3700</v>
      </c>
      <c r="F397" t="s">
        <v>3701</v>
      </c>
      <c r="G397" t="s">
        <v>15827</v>
      </c>
      <c r="H397" t="s">
        <v>15828</v>
      </c>
      <c r="I397" t="s">
        <v>16218</v>
      </c>
      <c r="J397" t="s">
        <v>23</v>
      </c>
      <c r="L397" t="s">
        <v>3578</v>
      </c>
      <c r="M397" t="s">
        <v>3702</v>
      </c>
      <c r="N397" t="s">
        <v>3640</v>
      </c>
      <c r="O397" t="s">
        <v>3641</v>
      </c>
      <c r="P397" t="s">
        <v>3642</v>
      </c>
      <c r="Q397" t="s">
        <v>3703</v>
      </c>
      <c r="R397" t="s">
        <v>3593</v>
      </c>
      <c r="S397" t="s">
        <v>3594</v>
      </c>
      <c r="T397" t="s">
        <v>3586</v>
      </c>
      <c r="U397" s="5">
        <v>14830.98</v>
      </c>
      <c r="V397" s="5">
        <v>14760.23</v>
      </c>
      <c r="W397" s="5">
        <v>12.276176</v>
      </c>
      <c r="X397" s="5">
        <v>107.60022499999999</v>
      </c>
      <c r="Y397" s="5">
        <v>70.75</v>
      </c>
      <c r="Z397" s="5">
        <v>12.355719000000001</v>
      </c>
      <c r="AA397" s="5">
        <v>107.568584</v>
      </c>
      <c r="AB397" s="7">
        <f t="shared" si="37"/>
        <v>22.140345</v>
      </c>
      <c r="AC397" s="7">
        <f t="shared" si="38"/>
        <v>0.106125</v>
      </c>
      <c r="AD397" s="6" t="str">
        <f t="shared" si="39"/>
        <v>Công an tỉnh Lâm Đồng</v>
      </c>
      <c r="AE397" s="6" t="str">
        <f t="shared" si="40"/>
        <v>TT2
- Công an xã Đức Lập (Trụ sở 2 CAH Đắk Mil cũ)</v>
      </c>
      <c r="AG397">
        <f t="shared" si="41"/>
        <v>14.76023</v>
      </c>
      <c r="AH397">
        <f t="shared" si="42"/>
        <v>7.0749999999999993E-2</v>
      </c>
    </row>
    <row r="398" spans="1:34" x14ac:dyDescent="0.25">
      <c r="A398" t="s">
        <v>3704</v>
      </c>
      <c r="B398" t="s">
        <v>3503</v>
      </c>
      <c r="C398" t="s">
        <v>3504</v>
      </c>
      <c r="D398" t="s">
        <v>3705</v>
      </c>
      <c r="E398" t="s">
        <v>3706</v>
      </c>
      <c r="F398" t="s">
        <v>3707</v>
      </c>
      <c r="G398" t="s">
        <v>15827</v>
      </c>
      <c r="H398" t="s">
        <v>15828</v>
      </c>
      <c r="I398" t="s">
        <v>16219</v>
      </c>
      <c r="J398" t="s">
        <v>23</v>
      </c>
      <c r="L398" t="s">
        <v>3508</v>
      </c>
      <c r="M398" t="s">
        <v>3708</v>
      </c>
      <c r="N398" t="s">
        <v>3671</v>
      </c>
      <c r="O398" t="s">
        <v>3672</v>
      </c>
      <c r="P398" t="s">
        <v>3673</v>
      </c>
      <c r="Q398" t="s">
        <v>3709</v>
      </c>
      <c r="R398" t="s">
        <v>3710</v>
      </c>
      <c r="S398" t="s">
        <v>3711</v>
      </c>
      <c r="T398" t="s">
        <v>3558</v>
      </c>
      <c r="U398" s="5">
        <v>3547.73</v>
      </c>
      <c r="V398" s="5">
        <v>174.6</v>
      </c>
      <c r="W398" s="5">
        <v>12.448781</v>
      </c>
      <c r="X398" s="5">
        <v>107.62094999999999</v>
      </c>
      <c r="Y398" s="5">
        <v>3373.13</v>
      </c>
      <c r="Z398" s="5">
        <v>12.456170999999999</v>
      </c>
      <c r="AA398" s="5">
        <v>107.65601700000001</v>
      </c>
      <c r="AB398" s="7">
        <f t="shared" si="37"/>
        <v>0.26189999999999997</v>
      </c>
      <c r="AC398" s="7">
        <f t="shared" si="38"/>
        <v>5.0596949999999996</v>
      </c>
      <c r="AD398" s="6" t="str">
        <f t="shared" si="39"/>
        <v xml:space="preserve">Công an xã Đức Lập (Trụ sở 2 CAH Đắk Mil cũ)
</v>
      </c>
      <c r="AE398" s="6" t="str">
        <f t="shared" si="40"/>
        <v>Công an xã Cư Jút (Trụ sở CAH Cư Jút cũ)</v>
      </c>
      <c r="AG398">
        <f t="shared" si="41"/>
        <v>0.17460000000000001</v>
      </c>
      <c r="AH398">
        <f t="shared" si="42"/>
        <v>3.3731300000000002</v>
      </c>
    </row>
    <row r="399" spans="1:34" x14ac:dyDescent="0.25">
      <c r="A399" t="s">
        <v>3712</v>
      </c>
      <c r="B399" t="s">
        <v>3705</v>
      </c>
      <c r="C399" t="s">
        <v>3706</v>
      </c>
      <c r="D399" t="s">
        <v>3713</v>
      </c>
      <c r="E399" t="s">
        <v>3714</v>
      </c>
      <c r="F399" t="s">
        <v>3715</v>
      </c>
      <c r="G399" t="s">
        <v>15827</v>
      </c>
      <c r="H399" t="s">
        <v>15828</v>
      </c>
      <c r="I399" t="s">
        <v>16220</v>
      </c>
      <c r="J399" t="s">
        <v>23</v>
      </c>
      <c r="L399" t="s">
        <v>3716</v>
      </c>
      <c r="M399" t="s">
        <v>3717</v>
      </c>
      <c r="N399" t="s">
        <v>3718</v>
      </c>
      <c r="O399" t="s">
        <v>3719</v>
      </c>
      <c r="P399" t="s">
        <v>3720</v>
      </c>
      <c r="Q399" t="s">
        <v>3721</v>
      </c>
      <c r="R399" t="s">
        <v>3722</v>
      </c>
      <c r="S399" t="s">
        <v>3723</v>
      </c>
      <c r="T399" t="s">
        <v>3724</v>
      </c>
      <c r="U399" s="5">
        <v>410.29</v>
      </c>
      <c r="V399" s="5">
        <v>393.59</v>
      </c>
      <c r="W399" s="5">
        <v>12.431642999999999</v>
      </c>
      <c r="X399" s="5">
        <v>107.667064</v>
      </c>
      <c r="Y399" s="5">
        <v>16.7</v>
      </c>
      <c r="Z399" s="5">
        <v>12.401227</v>
      </c>
      <c r="AA399" s="5">
        <v>107.645455</v>
      </c>
      <c r="AB399" s="7">
        <f t="shared" si="37"/>
        <v>0.59038499999999994</v>
      </c>
      <c r="AC399" s="7">
        <f t="shared" si="38"/>
        <v>2.5049999999999996E-2</v>
      </c>
      <c r="AD399" s="6" t="str">
        <f t="shared" si="39"/>
        <v>Đắk Sắk</v>
      </c>
      <c r="AE399" s="6" t="str">
        <f t="shared" si="40"/>
        <v>Đắk Song</v>
      </c>
      <c r="AG399">
        <f t="shared" si="41"/>
        <v>0.39359</v>
      </c>
      <c r="AH399">
        <f t="shared" si="42"/>
        <v>1.67E-2</v>
      </c>
    </row>
    <row r="400" spans="1:34" x14ac:dyDescent="0.25">
      <c r="A400" t="s">
        <v>3725</v>
      </c>
      <c r="B400" t="s">
        <v>3713</v>
      </c>
      <c r="C400" t="s">
        <v>3714</v>
      </c>
      <c r="D400" t="s">
        <v>3726</v>
      </c>
      <c r="E400" t="s">
        <v>3727</v>
      </c>
      <c r="F400" t="s">
        <v>3728</v>
      </c>
      <c r="G400" t="s">
        <v>15827</v>
      </c>
      <c r="H400" t="s">
        <v>15828</v>
      </c>
      <c r="I400" t="s">
        <v>16221</v>
      </c>
      <c r="J400" t="s">
        <v>23</v>
      </c>
      <c r="L400" t="s">
        <v>3729</v>
      </c>
      <c r="M400" t="s">
        <v>3730</v>
      </c>
      <c r="N400" t="s">
        <v>3731</v>
      </c>
      <c r="O400" t="s">
        <v>3732</v>
      </c>
      <c r="P400" t="s">
        <v>3733</v>
      </c>
      <c r="Q400" t="s">
        <v>3734</v>
      </c>
      <c r="R400" t="s">
        <v>3732</v>
      </c>
      <c r="S400" t="s">
        <v>3733</v>
      </c>
      <c r="T400" t="s">
        <v>3735</v>
      </c>
      <c r="U400" s="5">
        <v>4850.8500000000004</v>
      </c>
      <c r="V400" s="5">
        <v>7.94</v>
      </c>
      <c r="W400" s="5">
        <v>12.401149999999999</v>
      </c>
      <c r="X400" s="5">
        <v>107.645475</v>
      </c>
      <c r="Y400" s="5">
        <v>4842.8999999999996</v>
      </c>
      <c r="Z400" s="5">
        <v>12.401149999999999</v>
      </c>
      <c r="AA400" s="5">
        <v>107.645475</v>
      </c>
      <c r="AB400" s="7">
        <f t="shared" si="37"/>
        <v>1.191E-2</v>
      </c>
      <c r="AC400" s="7">
        <f t="shared" si="38"/>
        <v>7.2643499999999994</v>
      </c>
      <c r="AD400" s="6" t="str">
        <f t="shared" si="39"/>
        <v>Công an xã Đắk Song</v>
      </c>
      <c r="AE400" s="6" t="str">
        <f t="shared" si="40"/>
        <v>Công an xã Thuận An</v>
      </c>
      <c r="AG400">
        <f t="shared" si="41"/>
        <v>7.9400000000000009E-3</v>
      </c>
      <c r="AH400">
        <f t="shared" si="42"/>
        <v>4.8428999999999993</v>
      </c>
    </row>
    <row r="401" spans="1:34" x14ac:dyDescent="0.25">
      <c r="A401" t="s">
        <v>3736</v>
      </c>
      <c r="B401" t="s">
        <v>3575</v>
      </c>
      <c r="C401" t="s">
        <v>3576</v>
      </c>
      <c r="D401" t="s">
        <v>3737</v>
      </c>
      <c r="E401" t="s">
        <v>3738</v>
      </c>
      <c r="F401" t="s">
        <v>3739</v>
      </c>
      <c r="G401" t="s">
        <v>15827</v>
      </c>
      <c r="H401" t="s">
        <v>15828</v>
      </c>
      <c r="I401" t="s">
        <v>16222</v>
      </c>
      <c r="J401" t="s">
        <v>23</v>
      </c>
      <c r="L401" t="s">
        <v>3626</v>
      </c>
      <c r="M401" t="s">
        <v>3740</v>
      </c>
      <c r="N401" t="s">
        <v>3628</v>
      </c>
      <c r="O401" t="s">
        <v>3629</v>
      </c>
      <c r="P401" t="s">
        <v>3630</v>
      </c>
      <c r="Q401" t="s">
        <v>3741</v>
      </c>
      <c r="R401" t="s">
        <v>3742</v>
      </c>
      <c r="S401" t="s">
        <v>3743</v>
      </c>
      <c r="T401" t="s">
        <v>3634</v>
      </c>
      <c r="U401" s="5">
        <v>5133.63</v>
      </c>
      <c r="V401" s="5">
        <v>3942.84</v>
      </c>
      <c r="W401" s="5">
        <v>12.250895999999999</v>
      </c>
      <c r="X401" s="5">
        <v>107.493579</v>
      </c>
      <c r="Y401" s="5">
        <v>1190.78</v>
      </c>
      <c r="Z401" s="5">
        <v>12.256793999999999</v>
      </c>
      <c r="AA401" s="5">
        <v>107.38615900000001</v>
      </c>
      <c r="AB401" s="7">
        <f t="shared" si="37"/>
        <v>5.9142600000000005</v>
      </c>
      <c r="AC401" s="7">
        <f t="shared" si="38"/>
        <v>1.78617</v>
      </c>
      <c r="AD401" s="6" t="str">
        <f t="shared" si="39"/>
        <v>Thuận Hạnh</v>
      </c>
      <c r="AE401" s="6" t="str">
        <f t="shared" si="40"/>
        <v>Quảng Trực</v>
      </c>
      <c r="AG401">
        <f t="shared" si="41"/>
        <v>3.9428400000000003</v>
      </c>
      <c r="AH401">
        <f t="shared" si="42"/>
        <v>1.1907799999999999</v>
      </c>
    </row>
    <row r="402" spans="1:34" x14ac:dyDescent="0.25">
      <c r="A402" t="s">
        <v>3744</v>
      </c>
      <c r="B402" t="s">
        <v>3737</v>
      </c>
      <c r="C402" t="s">
        <v>3738</v>
      </c>
      <c r="D402" t="s">
        <v>3745</v>
      </c>
      <c r="E402" t="s">
        <v>3746</v>
      </c>
      <c r="F402" t="s">
        <v>3747</v>
      </c>
      <c r="G402" t="s">
        <v>15827</v>
      </c>
      <c r="H402" t="s">
        <v>15828</v>
      </c>
      <c r="I402" t="s">
        <v>16223</v>
      </c>
      <c r="J402" t="s">
        <v>23</v>
      </c>
      <c r="L402" t="s">
        <v>3626</v>
      </c>
      <c r="M402" t="s">
        <v>3748</v>
      </c>
      <c r="N402" t="s">
        <v>3741</v>
      </c>
      <c r="O402" t="s">
        <v>3742</v>
      </c>
      <c r="P402" t="s">
        <v>3743</v>
      </c>
      <c r="Q402" t="s">
        <v>3749</v>
      </c>
      <c r="R402" t="s">
        <v>3750</v>
      </c>
      <c r="S402" t="s">
        <v>3751</v>
      </c>
      <c r="T402" t="s">
        <v>3634</v>
      </c>
      <c r="U402" s="5">
        <v>1311.01</v>
      </c>
      <c r="V402" s="5">
        <v>1190.78</v>
      </c>
      <c r="W402" s="5">
        <v>12.256793999999999</v>
      </c>
      <c r="X402" s="5">
        <v>107.38615900000001</v>
      </c>
      <c r="Y402" s="5">
        <v>120.23</v>
      </c>
      <c r="Z402" s="5">
        <v>12.246599</v>
      </c>
      <c r="AA402" s="5">
        <v>107.437123</v>
      </c>
      <c r="AB402" s="7">
        <f t="shared" si="37"/>
        <v>1.78617</v>
      </c>
      <c r="AC402" s="7">
        <f t="shared" si="38"/>
        <v>0.18034500000000001</v>
      </c>
      <c r="AD402" s="6" t="str">
        <f t="shared" si="39"/>
        <v>Thuận Hạnh</v>
      </c>
      <c r="AE402" s="6" t="str">
        <f t="shared" si="40"/>
        <v>Quảng Trực</v>
      </c>
      <c r="AG402">
        <f t="shared" si="41"/>
        <v>1.1907799999999999</v>
      </c>
      <c r="AH402">
        <f t="shared" si="42"/>
        <v>0.12023</v>
      </c>
    </row>
    <row r="403" spans="1:34" x14ac:dyDescent="0.25">
      <c r="A403" t="s">
        <v>3752</v>
      </c>
      <c r="B403" t="s">
        <v>3753</v>
      </c>
      <c r="C403" t="s">
        <v>3754</v>
      </c>
      <c r="D403" t="s">
        <v>3588</v>
      </c>
      <c r="E403" t="s">
        <v>3589</v>
      </c>
      <c r="F403" t="s">
        <v>3755</v>
      </c>
      <c r="G403" t="s">
        <v>15827</v>
      </c>
      <c r="H403" t="s">
        <v>15828</v>
      </c>
      <c r="I403" t="s">
        <v>16224</v>
      </c>
      <c r="J403" t="s">
        <v>23</v>
      </c>
      <c r="L403" t="s">
        <v>3493</v>
      </c>
      <c r="M403" t="s">
        <v>3756</v>
      </c>
      <c r="N403" t="s">
        <v>3757</v>
      </c>
      <c r="O403" t="s">
        <v>3758</v>
      </c>
      <c r="P403" t="s">
        <v>3759</v>
      </c>
      <c r="Q403" t="s">
        <v>3760</v>
      </c>
      <c r="R403" t="s">
        <v>3761</v>
      </c>
      <c r="S403" t="s">
        <v>3762</v>
      </c>
      <c r="T403" t="s">
        <v>3501</v>
      </c>
      <c r="U403" s="5">
        <v>3398.18</v>
      </c>
      <c r="V403" s="5">
        <v>101.63</v>
      </c>
      <c r="W403" s="5">
        <v>12.254339</v>
      </c>
      <c r="X403" s="5">
        <v>107.609391</v>
      </c>
      <c r="Y403" s="5">
        <v>3296.55</v>
      </c>
      <c r="Z403" s="5">
        <v>12.232143000000001</v>
      </c>
      <c r="AA403" s="5">
        <v>107.63055900000001</v>
      </c>
      <c r="AB403" s="7">
        <f t="shared" si="37"/>
        <v>0.152445</v>
      </c>
      <c r="AC403" s="7">
        <f t="shared" si="38"/>
        <v>4.9448250000000007</v>
      </c>
      <c r="AD403" s="6" t="str">
        <f t="shared" si="39"/>
        <v>Công an tỉnh Lâm Đồng</v>
      </c>
      <c r="AE403" s="6" t="str">
        <f t="shared" si="40"/>
        <v>TT2 - Công an xã Đức An (Trụ sở CAH Đắk Song cũ)</v>
      </c>
      <c r="AG403">
        <f t="shared" si="41"/>
        <v>0.10163</v>
      </c>
      <c r="AH403">
        <f t="shared" si="42"/>
        <v>3.2965500000000003</v>
      </c>
    </row>
    <row r="404" spans="1:34" x14ac:dyDescent="0.25">
      <c r="A404" t="s">
        <v>3763</v>
      </c>
      <c r="B404" t="s">
        <v>3599</v>
      </c>
      <c r="C404" t="s">
        <v>3600</v>
      </c>
      <c r="D404" t="s">
        <v>3764</v>
      </c>
      <c r="E404" t="s">
        <v>3765</v>
      </c>
      <c r="F404" t="s">
        <v>3766</v>
      </c>
      <c r="G404" t="s">
        <v>15827</v>
      </c>
      <c r="H404" t="s">
        <v>15828</v>
      </c>
      <c r="I404" t="s">
        <v>16225</v>
      </c>
      <c r="J404" t="s">
        <v>23</v>
      </c>
      <c r="L404" t="s">
        <v>3767</v>
      </c>
      <c r="M404" t="s">
        <v>3768</v>
      </c>
      <c r="N404" t="s">
        <v>3769</v>
      </c>
      <c r="O404" t="s">
        <v>3770</v>
      </c>
      <c r="P404" t="s">
        <v>3771</v>
      </c>
      <c r="Q404" t="s">
        <v>3772</v>
      </c>
      <c r="R404" t="s">
        <v>3773</v>
      </c>
      <c r="S404" t="s">
        <v>3774</v>
      </c>
      <c r="T404" t="s">
        <v>3775</v>
      </c>
      <c r="U404" s="5">
        <v>519.03</v>
      </c>
      <c r="V404" s="5">
        <v>232.64</v>
      </c>
      <c r="W404" s="5">
        <v>12.006525</v>
      </c>
      <c r="X404" s="5">
        <v>107.510881</v>
      </c>
      <c r="Y404" s="5">
        <v>286.39</v>
      </c>
      <c r="Z404" s="5">
        <v>12.014405</v>
      </c>
      <c r="AA404" s="5">
        <v>107.492576</v>
      </c>
      <c r="AB404" s="7">
        <f t="shared" si="37"/>
        <v>0.34895999999999999</v>
      </c>
      <c r="AC404" s="7">
        <f t="shared" si="38"/>
        <v>0.42958499999999999</v>
      </c>
      <c r="AD404" s="6" t="str">
        <f t="shared" si="39"/>
        <v>Đường Quảng Tân</v>
      </c>
      <c r="AE404" s="6" t="str">
        <f t="shared" si="40"/>
        <v>TTCMKV Đắk R'Lấp</v>
      </c>
      <c r="AG404">
        <f t="shared" si="41"/>
        <v>0.23263999999999999</v>
      </c>
      <c r="AH404">
        <f t="shared" si="42"/>
        <v>0.28638999999999998</v>
      </c>
    </row>
    <row r="405" spans="1:34" x14ac:dyDescent="0.25">
      <c r="A405" t="s">
        <v>3776</v>
      </c>
      <c r="B405" t="s">
        <v>3777</v>
      </c>
      <c r="C405" t="s">
        <v>3778</v>
      </c>
      <c r="D405" t="s">
        <v>3531</v>
      </c>
      <c r="E405" t="s">
        <v>3532</v>
      </c>
      <c r="F405" t="s">
        <v>3779</v>
      </c>
      <c r="G405" t="s">
        <v>15827</v>
      </c>
      <c r="H405" t="s">
        <v>15828</v>
      </c>
      <c r="I405" t="s">
        <v>16226</v>
      </c>
      <c r="J405" t="s">
        <v>23</v>
      </c>
      <c r="L405" t="s">
        <v>3602</v>
      </c>
      <c r="M405" t="s">
        <v>3780</v>
      </c>
      <c r="N405" t="s">
        <v>3781</v>
      </c>
      <c r="O405" t="s">
        <v>3782</v>
      </c>
      <c r="P405" t="s">
        <v>3783</v>
      </c>
      <c r="Q405" t="s">
        <v>3784</v>
      </c>
      <c r="R405" t="s">
        <v>3785</v>
      </c>
      <c r="S405" t="s">
        <v>3786</v>
      </c>
      <c r="T405" t="s">
        <v>3610</v>
      </c>
      <c r="U405" s="5">
        <v>216.37</v>
      </c>
      <c r="V405" s="5">
        <v>148.81</v>
      </c>
      <c r="W405" s="5">
        <v>12.043371</v>
      </c>
      <c r="X405" s="5">
        <v>107.489839</v>
      </c>
      <c r="Y405" s="5">
        <v>67.56</v>
      </c>
      <c r="Z405" s="5">
        <v>12.09477</v>
      </c>
      <c r="AA405" s="5">
        <v>107.48153499999999</v>
      </c>
      <c r="AB405" s="7">
        <f t="shared" si="37"/>
        <v>0.223215</v>
      </c>
      <c r="AC405" s="7">
        <f t="shared" si="38"/>
        <v>0.10134</v>
      </c>
      <c r="AD405" s="6" t="str">
        <f t="shared" si="39"/>
        <v>Công an xã Tuy Đức (Trụ sở CAH Tuy Đức cũ)</v>
      </c>
      <c r="AE405" s="6" t="str">
        <f t="shared" si="40"/>
        <v>Công an xã Kiến Đức (Trụ sở CAH Đắk R'Lấp cũ)</v>
      </c>
      <c r="AG405">
        <f t="shared" si="41"/>
        <v>0.14881</v>
      </c>
      <c r="AH405">
        <f t="shared" si="42"/>
        <v>6.7560000000000009E-2</v>
      </c>
    </row>
    <row r="406" spans="1:34" x14ac:dyDescent="0.25">
      <c r="A406" t="s">
        <v>3787</v>
      </c>
      <c r="B406" t="s">
        <v>3531</v>
      </c>
      <c r="C406" t="s">
        <v>3532</v>
      </c>
      <c r="D406" t="s">
        <v>3788</v>
      </c>
      <c r="E406" t="s">
        <v>3789</v>
      </c>
      <c r="F406" t="s">
        <v>3790</v>
      </c>
      <c r="G406" t="s">
        <v>15827</v>
      </c>
      <c r="H406" t="s">
        <v>15828</v>
      </c>
      <c r="I406" t="s">
        <v>16227</v>
      </c>
      <c r="J406" t="s">
        <v>23</v>
      </c>
      <c r="L406" t="s">
        <v>3602</v>
      </c>
      <c r="M406" t="s">
        <v>3791</v>
      </c>
      <c r="N406" t="s">
        <v>3784</v>
      </c>
      <c r="O406" t="s">
        <v>3785</v>
      </c>
      <c r="P406" t="s">
        <v>3786</v>
      </c>
      <c r="Q406" t="s">
        <v>3792</v>
      </c>
      <c r="R406" t="s">
        <v>3793</v>
      </c>
      <c r="S406" t="s">
        <v>3794</v>
      </c>
      <c r="T406" t="s">
        <v>3610</v>
      </c>
      <c r="U406" s="5">
        <v>142.4</v>
      </c>
      <c r="V406" s="5">
        <v>67.56</v>
      </c>
      <c r="W406" s="5">
        <v>12.09477</v>
      </c>
      <c r="X406" s="5">
        <v>107.48153499999999</v>
      </c>
      <c r="Y406" s="5">
        <v>74.84</v>
      </c>
      <c r="Z406" s="5">
        <v>12.184903</v>
      </c>
      <c r="AA406" s="5">
        <v>107.450288</v>
      </c>
      <c r="AB406" s="7">
        <f t="shared" si="37"/>
        <v>0.10134</v>
      </c>
      <c r="AC406" s="7">
        <f t="shared" si="38"/>
        <v>0.11226</v>
      </c>
      <c r="AD406" s="6" t="str">
        <f t="shared" si="39"/>
        <v>Công an xã Tuy Đức (Trụ sở CAH Tuy Đức cũ)</v>
      </c>
      <c r="AE406" s="6" t="str">
        <f t="shared" si="40"/>
        <v>Công an xã Kiến Đức (Trụ sở CAH Đắk R'Lấp cũ)</v>
      </c>
      <c r="AG406">
        <f t="shared" si="41"/>
        <v>6.7560000000000009E-2</v>
      </c>
      <c r="AH406">
        <f t="shared" si="42"/>
        <v>7.4840000000000004E-2</v>
      </c>
    </row>
    <row r="407" spans="1:34" x14ac:dyDescent="0.25">
      <c r="A407" t="s">
        <v>3795</v>
      </c>
      <c r="B407" t="s">
        <v>3575</v>
      </c>
      <c r="C407" t="s">
        <v>3576</v>
      </c>
      <c r="D407" t="s">
        <v>3796</v>
      </c>
      <c r="E407" t="s">
        <v>3797</v>
      </c>
      <c r="F407" t="s">
        <v>3798</v>
      </c>
      <c r="G407" t="s">
        <v>15827</v>
      </c>
      <c r="H407" t="s">
        <v>15828</v>
      </c>
      <c r="I407" t="s">
        <v>16228</v>
      </c>
      <c r="J407" t="s">
        <v>23</v>
      </c>
      <c r="L407" t="s">
        <v>3613</v>
      </c>
      <c r="M407" t="s">
        <v>3799</v>
      </c>
      <c r="N407" t="s">
        <v>3800</v>
      </c>
      <c r="O407" t="s">
        <v>3801</v>
      </c>
      <c r="P407" t="s">
        <v>3802</v>
      </c>
      <c r="Q407" t="s">
        <v>3803</v>
      </c>
      <c r="R407" t="s">
        <v>3804</v>
      </c>
      <c r="S407" t="s">
        <v>3805</v>
      </c>
      <c r="T407" t="s">
        <v>3806</v>
      </c>
      <c r="U407" s="5">
        <v>803.75</v>
      </c>
      <c r="V407" s="5">
        <v>4.46</v>
      </c>
      <c r="W407" s="5">
        <v>12.219080999999999</v>
      </c>
      <c r="X407" s="5">
        <v>107.477643</v>
      </c>
      <c r="Y407" s="5">
        <v>799.29</v>
      </c>
      <c r="Z407" s="5">
        <v>12.209053000000001</v>
      </c>
      <c r="AA407" s="5">
        <v>107.484025</v>
      </c>
      <c r="AB407" s="7">
        <f t="shared" si="37"/>
        <v>6.6899999999999998E-3</v>
      </c>
      <c r="AC407" s="7">
        <f t="shared" si="38"/>
        <v>1.1989349999999999</v>
      </c>
      <c r="AD407" s="6" t="str">
        <f t="shared" si="39"/>
        <v>Công an xã Đức An (Trụ sở CAH Đắk Song cũ)</v>
      </c>
      <c r="AE407" s="6" t="str">
        <f t="shared" si="40"/>
        <v>Công an xã Tuy Đức (Trụ sở CAH Tuy Đức cũ)</v>
      </c>
      <c r="AG407">
        <f t="shared" si="41"/>
        <v>4.4599999999999996E-3</v>
      </c>
      <c r="AH407">
        <f t="shared" si="42"/>
        <v>0.79928999999999994</v>
      </c>
    </row>
    <row r="408" spans="1:34" x14ac:dyDescent="0.25">
      <c r="A408" t="s">
        <v>3807</v>
      </c>
      <c r="B408" t="s">
        <v>3488</v>
      </c>
      <c r="C408" t="s">
        <v>3489</v>
      </c>
      <c r="D408" t="s">
        <v>3808</v>
      </c>
      <c r="E408" t="s">
        <v>3809</v>
      </c>
      <c r="F408" t="s">
        <v>3810</v>
      </c>
      <c r="G408" t="s">
        <v>15827</v>
      </c>
      <c r="H408" t="s">
        <v>15828</v>
      </c>
      <c r="I408" t="s">
        <v>16229</v>
      </c>
      <c r="J408" t="s">
        <v>23</v>
      </c>
      <c r="L408" t="s">
        <v>3811</v>
      </c>
      <c r="M408" t="s">
        <v>3812</v>
      </c>
      <c r="N408" t="s">
        <v>3813</v>
      </c>
      <c r="O408" t="s">
        <v>3814</v>
      </c>
      <c r="P408" t="s">
        <v>3815</v>
      </c>
      <c r="Q408" t="s">
        <v>3816</v>
      </c>
      <c r="R408" t="s">
        <v>3817</v>
      </c>
      <c r="S408" t="s">
        <v>3818</v>
      </c>
      <c r="T408" t="s">
        <v>3819</v>
      </c>
      <c r="U408" s="5">
        <v>433.2</v>
      </c>
      <c r="V408" s="5">
        <v>373.54</v>
      </c>
      <c r="W408" s="5">
        <v>12.09986</v>
      </c>
      <c r="X408" s="5">
        <v>107.656604</v>
      </c>
      <c r="Y408" s="5">
        <v>59.66</v>
      </c>
      <c r="Z408" s="5">
        <v>12.054190999999999</v>
      </c>
      <c r="AA408" s="5">
        <v>107.680781</v>
      </c>
      <c r="AB408" s="7">
        <f t="shared" si="37"/>
        <v>0.56031000000000009</v>
      </c>
      <c r="AC408" s="7">
        <f t="shared" si="38"/>
        <v>8.949E-2</v>
      </c>
      <c r="AD408" s="6" t="str">
        <f t="shared" si="39"/>
        <v>Trường Xuân</v>
      </c>
      <c r="AE408" s="6" t="str">
        <f t="shared" si="40"/>
        <v>TT2 LÂM ĐỒNG (GIA NGHĨA)</v>
      </c>
      <c r="AG408">
        <f t="shared" si="41"/>
        <v>0.37354000000000004</v>
      </c>
      <c r="AH408">
        <f t="shared" si="42"/>
        <v>5.9659999999999998E-2</v>
      </c>
    </row>
    <row r="409" spans="1:34" x14ac:dyDescent="0.25">
      <c r="A409" t="s">
        <v>3820</v>
      </c>
      <c r="B409" t="s">
        <v>3821</v>
      </c>
      <c r="C409" t="s">
        <v>3822</v>
      </c>
      <c r="D409" t="s">
        <v>3823</v>
      </c>
      <c r="E409" t="s">
        <v>3824</v>
      </c>
      <c r="F409" t="s">
        <v>3825</v>
      </c>
      <c r="G409" t="s">
        <v>15827</v>
      </c>
      <c r="H409" t="s">
        <v>16230</v>
      </c>
      <c r="I409" t="s">
        <v>16231</v>
      </c>
      <c r="J409" t="s">
        <v>23</v>
      </c>
      <c r="L409" t="s">
        <v>3826</v>
      </c>
      <c r="M409" t="s">
        <v>3827</v>
      </c>
      <c r="N409" t="s">
        <v>3828</v>
      </c>
      <c r="O409" t="s">
        <v>3829</v>
      </c>
      <c r="P409" t="s">
        <v>3830</v>
      </c>
      <c r="Q409" t="s">
        <v>3831</v>
      </c>
      <c r="R409" t="s">
        <v>3832</v>
      </c>
      <c r="S409" t="s">
        <v>3833</v>
      </c>
      <c r="T409" t="s">
        <v>3834</v>
      </c>
      <c r="U409" s="5">
        <v>1189.3800000000001</v>
      </c>
      <c r="V409" s="5">
        <v>4.0599999999999996</v>
      </c>
      <c r="W409" s="5">
        <v>12.008977</v>
      </c>
      <c r="X409" s="5">
        <v>107.694585</v>
      </c>
      <c r="Y409" s="5">
        <v>1185.31</v>
      </c>
      <c r="Z409" s="5">
        <v>12.008922</v>
      </c>
      <c r="AA409" s="5">
        <v>107.6952</v>
      </c>
      <c r="AB409" s="7">
        <f t="shared" si="37"/>
        <v>6.0899999999999999E-3</v>
      </c>
      <c r="AC409" s="7">
        <f t="shared" si="38"/>
        <v>1.777965</v>
      </c>
      <c r="AD409" s="6" t="str">
        <f t="shared" si="39"/>
        <v>Công an phường Bắc Gia Nghĩa</v>
      </c>
      <c r="AE409" s="6" t="str">
        <f t="shared" si="40"/>
        <v>Công an phường Đông Gia Nghĩa</v>
      </c>
      <c r="AG409">
        <f t="shared" si="41"/>
        <v>4.0599999999999994E-3</v>
      </c>
      <c r="AH409">
        <f t="shared" si="42"/>
        <v>1.1853099999999999</v>
      </c>
    </row>
    <row r="410" spans="1:34" x14ac:dyDescent="0.25">
      <c r="A410" t="s">
        <v>3835</v>
      </c>
      <c r="B410" t="s">
        <v>3836</v>
      </c>
      <c r="C410" t="s">
        <v>3837</v>
      </c>
      <c r="D410" t="s">
        <v>3838</v>
      </c>
      <c r="E410" t="s">
        <v>3839</v>
      </c>
      <c r="F410" t="s">
        <v>3840</v>
      </c>
      <c r="G410" t="s">
        <v>15827</v>
      </c>
      <c r="H410" t="s">
        <v>16230</v>
      </c>
      <c r="I410" t="s">
        <v>16232</v>
      </c>
      <c r="J410" t="s">
        <v>23</v>
      </c>
      <c r="L410" t="s">
        <v>3565</v>
      </c>
      <c r="M410" t="s">
        <v>3483</v>
      </c>
      <c r="N410" t="s">
        <v>3841</v>
      </c>
      <c r="O410" t="s">
        <v>3842</v>
      </c>
      <c r="P410" t="s">
        <v>3843</v>
      </c>
      <c r="Q410" t="s">
        <v>3844</v>
      </c>
      <c r="R410" t="s">
        <v>3845</v>
      </c>
      <c r="S410" t="s">
        <v>3846</v>
      </c>
      <c r="T410" t="s">
        <v>3847</v>
      </c>
      <c r="U410" s="5">
        <v>32.49</v>
      </c>
      <c r="V410" s="5">
        <v>1.35</v>
      </c>
      <c r="W410" s="5">
        <v>12.023592000000001</v>
      </c>
      <c r="X410" s="5">
        <v>107.685997</v>
      </c>
      <c r="Y410" s="5">
        <v>31.13</v>
      </c>
      <c r="Z410" s="5">
        <v>12.007395000000001</v>
      </c>
      <c r="AA410" s="5">
        <v>107.685744</v>
      </c>
      <c r="AB410" s="7">
        <f t="shared" si="37"/>
        <v>2.0250000000000003E-3</v>
      </c>
      <c r="AC410" s="7">
        <f t="shared" si="38"/>
        <v>4.6695E-2</v>
      </c>
      <c r="AD410" s="6" t="str">
        <f t="shared" si="39"/>
        <v>Công an tỉnh Lâm Đồng</v>
      </c>
      <c r="AE410" s="6" t="str">
        <f t="shared" si="40"/>
        <v>TT2 - Công an xã Quảng Khê</v>
      </c>
      <c r="AG410">
        <f t="shared" si="41"/>
        <v>1.3500000000000001E-3</v>
      </c>
      <c r="AH410">
        <f t="shared" si="42"/>
        <v>3.1129999999999998E-2</v>
      </c>
    </row>
    <row r="411" spans="1:34" x14ac:dyDescent="0.25">
      <c r="A411" t="s">
        <v>3848</v>
      </c>
      <c r="B411" t="s">
        <v>3849</v>
      </c>
      <c r="C411" t="s">
        <v>3850</v>
      </c>
      <c r="D411" t="s">
        <v>3851</v>
      </c>
      <c r="E411" t="s">
        <v>3852</v>
      </c>
      <c r="F411" t="s">
        <v>3853</v>
      </c>
      <c r="G411" t="s">
        <v>15827</v>
      </c>
      <c r="H411" t="s">
        <v>16230</v>
      </c>
      <c r="I411" t="s">
        <v>16233</v>
      </c>
      <c r="J411" t="s">
        <v>23</v>
      </c>
      <c r="L411" t="s">
        <v>3854</v>
      </c>
      <c r="M411" t="s">
        <v>3855</v>
      </c>
      <c r="N411" t="s">
        <v>3856</v>
      </c>
      <c r="O411" t="s">
        <v>3857</v>
      </c>
      <c r="P411" t="s">
        <v>3858</v>
      </c>
      <c r="Q411" t="s">
        <v>3859</v>
      </c>
      <c r="R411" t="s">
        <v>3860</v>
      </c>
      <c r="S411" t="s">
        <v>3861</v>
      </c>
      <c r="T411" t="s">
        <v>3862</v>
      </c>
      <c r="U411" s="5">
        <v>223.57</v>
      </c>
      <c r="V411" s="5">
        <v>130.19</v>
      </c>
      <c r="W411" s="5">
        <v>11.982198</v>
      </c>
      <c r="X411" s="5">
        <v>107.58801200000001</v>
      </c>
      <c r="Y411" s="5">
        <v>93.38</v>
      </c>
      <c r="Z411" s="5">
        <v>11.984299</v>
      </c>
      <c r="AA411" s="5">
        <v>107.573368</v>
      </c>
      <c r="AB411" s="7">
        <f t="shared" si="37"/>
        <v>0.19528499999999999</v>
      </c>
      <c r="AC411" s="7">
        <f t="shared" si="38"/>
        <v>0.14007</v>
      </c>
      <c r="AD411" s="6" t="str">
        <f t="shared" si="39"/>
        <v>Công an phường Nam Gia Nghĩa</v>
      </c>
      <c r="AE411" s="6" t="str">
        <f t="shared" si="40"/>
        <v>Công an xã Kiến Đức</v>
      </c>
      <c r="AG411">
        <f t="shared" si="41"/>
        <v>0.13019</v>
      </c>
      <c r="AH411">
        <f t="shared" si="42"/>
        <v>9.3379999999999991E-2</v>
      </c>
    </row>
    <row r="412" spans="1:34" x14ac:dyDescent="0.25">
      <c r="A412" t="s">
        <v>3863</v>
      </c>
      <c r="B412" t="s">
        <v>3864</v>
      </c>
      <c r="C412" t="s">
        <v>3865</v>
      </c>
      <c r="D412" t="s">
        <v>3866</v>
      </c>
      <c r="E412" t="s">
        <v>3867</v>
      </c>
      <c r="F412" t="s">
        <v>3868</v>
      </c>
      <c r="G412" t="s">
        <v>15827</v>
      </c>
      <c r="H412" t="s">
        <v>16230</v>
      </c>
      <c r="I412" t="s">
        <v>16234</v>
      </c>
      <c r="J412" t="s">
        <v>23</v>
      </c>
      <c r="L412" t="s">
        <v>3854</v>
      </c>
      <c r="M412" t="s">
        <v>3869</v>
      </c>
      <c r="N412" t="s">
        <v>3870</v>
      </c>
      <c r="O412" t="s">
        <v>3871</v>
      </c>
      <c r="P412" t="s">
        <v>3872</v>
      </c>
      <c r="Q412" t="s">
        <v>3873</v>
      </c>
      <c r="R412" t="s">
        <v>3874</v>
      </c>
      <c r="S412" t="s">
        <v>3875</v>
      </c>
      <c r="T412" t="s">
        <v>3862</v>
      </c>
      <c r="U412" s="5">
        <v>972.89</v>
      </c>
      <c r="V412" s="5">
        <v>287.95</v>
      </c>
      <c r="W412" s="5">
        <v>11.981467</v>
      </c>
      <c r="X412" s="5">
        <v>107.65797499999999</v>
      </c>
      <c r="Y412" s="5">
        <v>684.94</v>
      </c>
      <c r="Z412" s="5">
        <v>11.981695999999999</v>
      </c>
      <c r="AA412" s="5">
        <v>107.580975</v>
      </c>
      <c r="AB412" s="7">
        <f t="shared" si="37"/>
        <v>0.43192499999999995</v>
      </c>
      <c r="AC412" s="7">
        <f t="shared" si="38"/>
        <v>1.0274100000000002</v>
      </c>
      <c r="AD412" s="6" t="str">
        <f t="shared" si="39"/>
        <v>Công an phường Nam Gia Nghĩa</v>
      </c>
      <c r="AE412" s="6" t="str">
        <f t="shared" si="40"/>
        <v>Công an xã Kiến Đức</v>
      </c>
      <c r="AG412">
        <f t="shared" si="41"/>
        <v>0.28794999999999998</v>
      </c>
      <c r="AH412">
        <f t="shared" si="42"/>
        <v>0.6849400000000001</v>
      </c>
    </row>
    <row r="413" spans="1:34" x14ac:dyDescent="0.25">
      <c r="A413" t="s">
        <v>3876</v>
      </c>
      <c r="B413" t="s">
        <v>3866</v>
      </c>
      <c r="C413" t="s">
        <v>3867</v>
      </c>
      <c r="D413" t="s">
        <v>3877</v>
      </c>
      <c r="E413" t="s">
        <v>3878</v>
      </c>
      <c r="F413" t="s">
        <v>3879</v>
      </c>
      <c r="G413" t="s">
        <v>15827</v>
      </c>
      <c r="H413" t="s">
        <v>16230</v>
      </c>
      <c r="I413" t="s">
        <v>16235</v>
      </c>
      <c r="J413" t="s">
        <v>23</v>
      </c>
      <c r="L413" t="s">
        <v>3854</v>
      </c>
      <c r="M413" t="s">
        <v>3880</v>
      </c>
      <c r="N413" t="s">
        <v>3873</v>
      </c>
      <c r="O413" t="s">
        <v>3874</v>
      </c>
      <c r="P413" t="s">
        <v>3875</v>
      </c>
      <c r="Q413" t="s">
        <v>3881</v>
      </c>
      <c r="R413" t="s">
        <v>3882</v>
      </c>
      <c r="S413" t="s">
        <v>3883</v>
      </c>
      <c r="T413" t="s">
        <v>3862</v>
      </c>
      <c r="U413" s="5">
        <v>2558.84</v>
      </c>
      <c r="V413" s="5">
        <v>684.94</v>
      </c>
      <c r="W413" s="5">
        <v>11.981695999999999</v>
      </c>
      <c r="X413" s="5">
        <v>107.580975</v>
      </c>
      <c r="Y413" s="5">
        <v>1873.89</v>
      </c>
      <c r="Z413" s="5">
        <v>11.992266000000001</v>
      </c>
      <c r="AA413" s="5">
        <v>107.558694</v>
      </c>
      <c r="AB413" s="7">
        <f t="shared" si="37"/>
        <v>1.0274100000000002</v>
      </c>
      <c r="AC413" s="7">
        <f t="shared" si="38"/>
        <v>2.810835</v>
      </c>
      <c r="AD413" s="6" t="str">
        <f t="shared" si="39"/>
        <v>Công an phường Nam Gia Nghĩa</v>
      </c>
      <c r="AE413" s="6" t="str">
        <f t="shared" si="40"/>
        <v>Công an xã Kiến Đức</v>
      </c>
      <c r="AG413">
        <f t="shared" si="41"/>
        <v>0.6849400000000001</v>
      </c>
      <c r="AH413">
        <f t="shared" si="42"/>
        <v>1.8738900000000001</v>
      </c>
    </row>
    <row r="414" spans="1:34" x14ac:dyDescent="0.25">
      <c r="A414" t="s">
        <v>3884</v>
      </c>
      <c r="B414" t="s">
        <v>3885</v>
      </c>
      <c r="C414" t="s">
        <v>3886</v>
      </c>
      <c r="D414" t="s">
        <v>3887</v>
      </c>
      <c r="E414" t="s">
        <v>3888</v>
      </c>
      <c r="F414" t="s">
        <v>3889</v>
      </c>
      <c r="G414" t="s">
        <v>15827</v>
      </c>
      <c r="H414" t="s">
        <v>16230</v>
      </c>
      <c r="I414" t="s">
        <v>16236</v>
      </c>
      <c r="J414" t="s">
        <v>23</v>
      </c>
      <c r="L414" t="s">
        <v>3890</v>
      </c>
      <c r="M414" t="s">
        <v>3891</v>
      </c>
      <c r="N414" t="s">
        <v>3892</v>
      </c>
      <c r="O414" t="s">
        <v>3893</v>
      </c>
      <c r="P414" t="s">
        <v>3894</v>
      </c>
      <c r="Q414" t="s">
        <v>3895</v>
      </c>
      <c r="R414" t="s">
        <v>3896</v>
      </c>
      <c r="S414" t="s">
        <v>3897</v>
      </c>
      <c r="T414" t="s">
        <v>3898</v>
      </c>
      <c r="U414" s="5">
        <v>321.42</v>
      </c>
      <c r="V414" s="5">
        <v>35.54</v>
      </c>
      <c r="W414" s="5">
        <v>11.912875</v>
      </c>
      <c r="X414" s="5">
        <v>107.398793</v>
      </c>
      <c r="Y414" s="5">
        <v>285.88</v>
      </c>
      <c r="Z414" s="5">
        <v>11.923932000000001</v>
      </c>
      <c r="AA414" s="5">
        <v>107.415873</v>
      </c>
      <c r="AB414" s="7">
        <f t="shared" si="37"/>
        <v>5.3310000000000003E-2</v>
      </c>
      <c r="AC414" s="7">
        <f t="shared" si="38"/>
        <v>0.42881999999999998</v>
      </c>
      <c r="AD414" s="6" t="str">
        <f t="shared" si="39"/>
        <v>Đội CC&amp;CNCH khu vực 13</v>
      </c>
      <c r="AE414" s="6" t="str">
        <f t="shared" si="40"/>
        <v>Công an xã Quảng Tín</v>
      </c>
      <c r="AG414">
        <f t="shared" si="41"/>
        <v>3.5540000000000002E-2</v>
      </c>
      <c r="AH414">
        <f t="shared" si="42"/>
        <v>0.28588000000000002</v>
      </c>
    </row>
    <row r="415" spans="1:34" x14ac:dyDescent="0.25">
      <c r="A415" t="s">
        <v>3899</v>
      </c>
      <c r="B415" t="s">
        <v>3900</v>
      </c>
      <c r="C415" t="s">
        <v>3901</v>
      </c>
      <c r="D415" t="s">
        <v>3546</v>
      </c>
      <c r="E415" t="s">
        <v>3547</v>
      </c>
      <c r="F415" t="s">
        <v>3902</v>
      </c>
      <c r="G415" t="s">
        <v>15827</v>
      </c>
      <c r="H415" t="s">
        <v>15828</v>
      </c>
      <c r="I415" t="s">
        <v>16237</v>
      </c>
      <c r="J415" t="s">
        <v>23</v>
      </c>
      <c r="L415" t="s">
        <v>3903</v>
      </c>
      <c r="M415" t="s">
        <v>3904</v>
      </c>
      <c r="N415" t="s">
        <v>3905</v>
      </c>
      <c r="O415" t="s">
        <v>3906</v>
      </c>
      <c r="P415" t="s">
        <v>3907</v>
      </c>
      <c r="Q415" t="s">
        <v>3908</v>
      </c>
      <c r="R415" t="s">
        <v>3909</v>
      </c>
      <c r="S415" t="s">
        <v>3910</v>
      </c>
      <c r="T415" t="s">
        <v>3911</v>
      </c>
      <c r="U415" s="5">
        <v>114.97</v>
      </c>
      <c r="V415" s="5">
        <v>112.39</v>
      </c>
      <c r="W415" s="5">
        <v>12.501187</v>
      </c>
      <c r="X415" s="5">
        <v>107.743188</v>
      </c>
      <c r="Y415" s="5">
        <v>2.58</v>
      </c>
      <c r="Z415" s="5">
        <v>12.509452</v>
      </c>
      <c r="AA415" s="5">
        <v>107.749016</v>
      </c>
      <c r="AB415" s="7">
        <f t="shared" si="37"/>
        <v>0.16858500000000001</v>
      </c>
      <c r="AC415" s="7">
        <f t="shared" si="38"/>
        <v>3.8700000000000002E-3</v>
      </c>
      <c r="AD415" s="6" t="str">
        <f t="shared" si="39"/>
        <v>Công an xã Đắk Mil</v>
      </c>
      <c r="AE415" s="6" t="str">
        <f t="shared" si="40"/>
        <v>Phòng PC08 - Đội CSGT số 4</v>
      </c>
      <c r="AG415">
        <f t="shared" si="41"/>
        <v>0.11239</v>
      </c>
      <c r="AH415">
        <f t="shared" si="42"/>
        <v>2.5800000000000003E-3</v>
      </c>
    </row>
    <row r="416" spans="1:34" x14ac:dyDescent="0.25">
      <c r="A416" t="s">
        <v>3912</v>
      </c>
      <c r="B416" t="s">
        <v>3913</v>
      </c>
      <c r="C416" t="s">
        <v>3914</v>
      </c>
      <c r="D416" t="s">
        <v>3546</v>
      </c>
      <c r="E416" t="s">
        <v>3547</v>
      </c>
      <c r="F416" t="s">
        <v>3915</v>
      </c>
      <c r="G416" t="s">
        <v>15827</v>
      </c>
      <c r="H416" t="s">
        <v>15828</v>
      </c>
      <c r="I416" t="s">
        <v>16238</v>
      </c>
      <c r="J416" t="s">
        <v>23</v>
      </c>
      <c r="L416" t="s">
        <v>3508</v>
      </c>
      <c r="M416" t="s">
        <v>3916</v>
      </c>
      <c r="N416" t="s">
        <v>3917</v>
      </c>
      <c r="O416" t="s">
        <v>3918</v>
      </c>
      <c r="P416" t="s">
        <v>3919</v>
      </c>
      <c r="Q416" t="s">
        <v>3552</v>
      </c>
      <c r="R416" t="s">
        <v>3553</v>
      </c>
      <c r="S416" t="s">
        <v>3554</v>
      </c>
      <c r="T416" t="s">
        <v>3558</v>
      </c>
      <c r="U416" s="5">
        <v>1830.31</v>
      </c>
      <c r="V416" s="5">
        <v>1569.82</v>
      </c>
      <c r="W416" s="5">
        <v>12.532603</v>
      </c>
      <c r="X416" s="5">
        <v>107.777164</v>
      </c>
      <c r="Y416" s="5">
        <v>260.5</v>
      </c>
      <c r="Z416" s="5">
        <v>12.511248999999999</v>
      </c>
      <c r="AA416" s="5">
        <v>107.74746399999999</v>
      </c>
      <c r="AB416" s="7">
        <f t="shared" si="37"/>
        <v>2.35473</v>
      </c>
      <c r="AC416" s="7">
        <f t="shared" si="38"/>
        <v>0.39074999999999999</v>
      </c>
      <c r="AD416" s="6" t="str">
        <f t="shared" si="39"/>
        <v xml:space="preserve">Công an xã Đức Lập (Trụ sở 2 CAH Đắk Mil cũ)
</v>
      </c>
      <c r="AE416" s="6" t="str">
        <f t="shared" si="40"/>
        <v>Công an xã Cư Jút (Trụ sở CAH Cư Jút cũ)</v>
      </c>
      <c r="AG416">
        <f t="shared" si="41"/>
        <v>1.56982</v>
      </c>
      <c r="AH416">
        <f t="shared" si="42"/>
        <v>0.26050000000000001</v>
      </c>
    </row>
    <row r="417" spans="1:34" x14ac:dyDescent="0.25">
      <c r="A417" t="s">
        <v>3920</v>
      </c>
      <c r="B417" t="s">
        <v>3921</v>
      </c>
      <c r="C417" t="s">
        <v>3922</v>
      </c>
      <c r="D417" t="s">
        <v>3636</v>
      </c>
      <c r="E417" t="s">
        <v>3637</v>
      </c>
      <c r="F417" t="s">
        <v>3923</v>
      </c>
      <c r="G417" t="s">
        <v>15827</v>
      </c>
      <c r="H417" t="s">
        <v>15828</v>
      </c>
      <c r="I417" t="s">
        <v>16239</v>
      </c>
      <c r="J417" t="s">
        <v>23</v>
      </c>
      <c r="L417" t="s">
        <v>3924</v>
      </c>
      <c r="M417" t="s">
        <v>3925</v>
      </c>
      <c r="N417" t="s">
        <v>3926</v>
      </c>
      <c r="O417" t="s">
        <v>3927</v>
      </c>
      <c r="P417" t="s">
        <v>3928</v>
      </c>
      <c r="Q417" t="s">
        <v>3929</v>
      </c>
      <c r="R417" t="s">
        <v>3930</v>
      </c>
      <c r="S417" t="s">
        <v>3931</v>
      </c>
      <c r="T417" t="s">
        <v>3932</v>
      </c>
      <c r="U417" s="5">
        <v>622.14</v>
      </c>
      <c r="V417" s="5">
        <v>619.66</v>
      </c>
      <c r="W417" s="5">
        <v>12.410083999999999</v>
      </c>
      <c r="X417" s="5">
        <v>107.58107699999999</v>
      </c>
      <c r="Y417" s="5">
        <v>2.48</v>
      </c>
      <c r="Z417" s="5">
        <v>12.411949999999999</v>
      </c>
      <c r="AA417" s="5">
        <v>107.58006399999999</v>
      </c>
      <c r="AB417" s="7">
        <f t="shared" si="37"/>
        <v>0.92949000000000004</v>
      </c>
      <c r="AC417" s="7">
        <f t="shared" si="38"/>
        <v>3.7199999999999998E-3</v>
      </c>
      <c r="AD417" s="6" t="str">
        <f t="shared" si="39"/>
        <v>Công an xã Thuận An</v>
      </c>
      <c r="AE417" s="6" t="str">
        <f t="shared" si="40"/>
        <v>Phòng PC02 - Tổ địa bàn số 2</v>
      </c>
      <c r="AG417">
        <f t="shared" si="41"/>
        <v>0.61965999999999999</v>
      </c>
      <c r="AH417">
        <f t="shared" si="42"/>
        <v>2.48E-3</v>
      </c>
    </row>
    <row r="418" spans="1:34" x14ac:dyDescent="0.25">
      <c r="A418" t="s">
        <v>3933</v>
      </c>
      <c r="B418" t="s">
        <v>3934</v>
      </c>
      <c r="C418" t="s">
        <v>3935</v>
      </c>
      <c r="D418" t="s">
        <v>3636</v>
      </c>
      <c r="E418" t="s">
        <v>3637</v>
      </c>
      <c r="F418" t="s">
        <v>3936</v>
      </c>
      <c r="G418" t="s">
        <v>15827</v>
      </c>
      <c r="H418" t="s">
        <v>15828</v>
      </c>
      <c r="I418" t="s">
        <v>16240</v>
      </c>
      <c r="J418" t="s">
        <v>23</v>
      </c>
      <c r="L418" t="s">
        <v>3578</v>
      </c>
      <c r="M418" t="s">
        <v>3937</v>
      </c>
      <c r="N418" t="s">
        <v>3938</v>
      </c>
      <c r="O418" t="s">
        <v>3939</v>
      </c>
      <c r="P418" t="s">
        <v>3940</v>
      </c>
      <c r="Q418" t="s">
        <v>3649</v>
      </c>
      <c r="R418" t="s">
        <v>3581</v>
      </c>
      <c r="S418" t="s">
        <v>3582</v>
      </c>
      <c r="T418" t="s">
        <v>3586</v>
      </c>
      <c r="U418" s="5">
        <v>654.75</v>
      </c>
      <c r="V418" s="5">
        <v>122.37</v>
      </c>
      <c r="W418" s="5">
        <v>12.43608</v>
      </c>
      <c r="X418" s="5">
        <v>107.592159</v>
      </c>
      <c r="Y418" s="5">
        <v>532.38</v>
      </c>
      <c r="Z418" s="5">
        <v>12.415565000000001</v>
      </c>
      <c r="AA418" s="5">
        <v>107.58331099999999</v>
      </c>
      <c r="AB418" s="7">
        <f t="shared" si="37"/>
        <v>0.183555</v>
      </c>
      <c r="AC418" s="7">
        <f t="shared" si="38"/>
        <v>0.79856999999999989</v>
      </c>
      <c r="AD418" s="6" t="str">
        <f t="shared" si="39"/>
        <v>Công an tỉnh Lâm Đồng</v>
      </c>
      <c r="AE418" s="6" t="str">
        <f t="shared" si="40"/>
        <v>TT2
- Công an xã Đức Lập (Trụ sở 2 CAH Đắk Mil cũ)</v>
      </c>
      <c r="AG418">
        <f t="shared" si="41"/>
        <v>0.12237000000000001</v>
      </c>
      <c r="AH418">
        <f t="shared" si="42"/>
        <v>0.53237999999999996</v>
      </c>
    </row>
    <row r="419" spans="1:34" x14ac:dyDescent="0.25">
      <c r="A419" t="s">
        <v>3941</v>
      </c>
      <c r="B419" t="s">
        <v>3942</v>
      </c>
      <c r="C419" t="s">
        <v>3943</v>
      </c>
      <c r="D419" t="s">
        <v>3753</v>
      </c>
      <c r="E419" t="s">
        <v>3754</v>
      </c>
      <c r="F419" t="s">
        <v>3944</v>
      </c>
      <c r="G419" t="s">
        <v>15827</v>
      </c>
      <c r="H419" t="s">
        <v>15828</v>
      </c>
      <c r="I419" t="s">
        <v>16241</v>
      </c>
      <c r="J419" t="s">
        <v>23</v>
      </c>
      <c r="L419" t="s">
        <v>3578</v>
      </c>
      <c r="M419" t="s">
        <v>3945</v>
      </c>
      <c r="N419" t="s">
        <v>3946</v>
      </c>
      <c r="O419" t="s">
        <v>3947</v>
      </c>
      <c r="P419" t="s">
        <v>3948</v>
      </c>
      <c r="Q419" t="s">
        <v>3949</v>
      </c>
      <c r="R419" t="s">
        <v>3950</v>
      </c>
      <c r="S419" t="s">
        <v>3951</v>
      </c>
      <c r="T419" t="s">
        <v>3586</v>
      </c>
      <c r="U419" s="5">
        <v>210.27</v>
      </c>
      <c r="V419" s="5">
        <v>65.91</v>
      </c>
      <c r="W419" s="5">
        <v>12.260488</v>
      </c>
      <c r="X419" s="5">
        <v>107.611086</v>
      </c>
      <c r="Y419" s="5">
        <v>144.36000000000001</v>
      </c>
      <c r="Z419" s="5">
        <v>12.25478</v>
      </c>
      <c r="AA419" s="5">
        <v>107.609988</v>
      </c>
      <c r="AB419" s="7">
        <f t="shared" si="37"/>
        <v>9.8864999999999995E-2</v>
      </c>
      <c r="AC419" s="7">
        <f t="shared" si="38"/>
        <v>0.21654000000000001</v>
      </c>
      <c r="AD419" s="6" t="str">
        <f t="shared" si="39"/>
        <v>Công an tỉnh Lâm Đồng</v>
      </c>
      <c r="AE419" s="6" t="str">
        <f t="shared" si="40"/>
        <v>TT2
- Công an xã Đức Lập (Trụ sở 2 CAH Đắk Mil cũ)</v>
      </c>
      <c r="AG419">
        <f t="shared" si="41"/>
        <v>6.5909999999999996E-2</v>
      </c>
      <c r="AH419">
        <f t="shared" si="42"/>
        <v>0.14436000000000002</v>
      </c>
    </row>
    <row r="420" spans="1:34" x14ac:dyDescent="0.25">
      <c r="A420" t="s">
        <v>3952</v>
      </c>
      <c r="B420" t="s">
        <v>3953</v>
      </c>
      <c r="C420" t="s">
        <v>3954</v>
      </c>
      <c r="D420" t="s">
        <v>3518</v>
      </c>
      <c r="E420" t="s">
        <v>3519</v>
      </c>
      <c r="F420" t="s">
        <v>3955</v>
      </c>
      <c r="G420" t="s">
        <v>15827</v>
      </c>
      <c r="H420" t="s">
        <v>15828</v>
      </c>
      <c r="I420" t="s">
        <v>16242</v>
      </c>
      <c r="J420" t="s">
        <v>23</v>
      </c>
      <c r="L420" t="s">
        <v>3523</v>
      </c>
      <c r="M420" t="s">
        <v>3956</v>
      </c>
      <c r="N420" t="s">
        <v>3957</v>
      </c>
      <c r="O420" t="s">
        <v>3958</v>
      </c>
      <c r="P420" t="s">
        <v>3959</v>
      </c>
      <c r="Q420" t="s">
        <v>3960</v>
      </c>
      <c r="R420" t="s">
        <v>3961</v>
      </c>
      <c r="S420" t="s">
        <v>3962</v>
      </c>
      <c r="T420" t="s">
        <v>3963</v>
      </c>
      <c r="U420" s="5">
        <v>1025.74</v>
      </c>
      <c r="V420" s="5">
        <v>93.74</v>
      </c>
      <c r="W420" s="5">
        <v>12.63913</v>
      </c>
      <c r="X420" s="5">
        <v>107.851491</v>
      </c>
      <c r="Y420" s="5">
        <v>932</v>
      </c>
      <c r="Z420" s="5">
        <v>12.649492</v>
      </c>
      <c r="AA420" s="5">
        <v>107.86497</v>
      </c>
      <c r="AB420" s="7">
        <f t="shared" si="37"/>
        <v>0.14060999999999998</v>
      </c>
      <c r="AC420" s="7">
        <f t="shared" si="38"/>
        <v>1.3979999999999999</v>
      </c>
      <c r="AD420" s="6" t="str">
        <f t="shared" si="39"/>
        <v>Công an xã Nam Dong</v>
      </c>
      <c r="AE420" s="6" t="str">
        <f t="shared" si="40"/>
        <v>Công an xã Đắk Mil</v>
      </c>
      <c r="AG420">
        <f t="shared" si="41"/>
        <v>9.373999999999999E-2</v>
      </c>
      <c r="AH420">
        <f t="shared" si="42"/>
        <v>0.93200000000000005</v>
      </c>
    </row>
    <row r="421" spans="1:34" x14ac:dyDescent="0.25">
      <c r="A421" t="s">
        <v>3964</v>
      </c>
      <c r="B421" t="s">
        <v>3965</v>
      </c>
      <c r="C421" t="s">
        <v>3966</v>
      </c>
      <c r="D421" t="s">
        <v>3737</v>
      </c>
      <c r="E421" t="s">
        <v>3738</v>
      </c>
      <c r="F421" t="s">
        <v>3967</v>
      </c>
      <c r="G421" t="s">
        <v>15827</v>
      </c>
      <c r="H421" t="s">
        <v>15828</v>
      </c>
      <c r="I421" t="s">
        <v>16243</v>
      </c>
      <c r="J421" t="s">
        <v>23</v>
      </c>
      <c r="L421" t="s">
        <v>3626</v>
      </c>
      <c r="M421" t="s">
        <v>3968</v>
      </c>
      <c r="N421" t="s">
        <v>3969</v>
      </c>
      <c r="O421" t="s">
        <v>3970</v>
      </c>
      <c r="P421" t="s">
        <v>3971</v>
      </c>
      <c r="Q421" t="s">
        <v>3972</v>
      </c>
      <c r="R421" t="s">
        <v>3970</v>
      </c>
      <c r="S421" t="s">
        <v>3971</v>
      </c>
      <c r="T421" t="s">
        <v>3973</v>
      </c>
      <c r="U421" s="5">
        <v>1620.04</v>
      </c>
      <c r="V421" s="5">
        <v>1617.33</v>
      </c>
      <c r="W421" s="5">
        <v>12.263942</v>
      </c>
      <c r="X421" s="5">
        <v>107.37797500000001</v>
      </c>
      <c r="Y421" s="5">
        <v>2.71</v>
      </c>
      <c r="Z421" s="5">
        <v>12.263942</v>
      </c>
      <c r="AA421" s="5">
        <v>107.37797500000001</v>
      </c>
      <c r="AB421" s="7">
        <f t="shared" si="37"/>
        <v>2.4259949999999999</v>
      </c>
      <c r="AC421" s="7">
        <f t="shared" si="38"/>
        <v>4.0649999999999992E-3</v>
      </c>
      <c r="AD421" s="6" t="str">
        <f t="shared" si="39"/>
        <v>Thuận Hạnh</v>
      </c>
      <c r="AE421" s="6" t="str">
        <f t="shared" si="40"/>
        <v>Quảng Trực</v>
      </c>
      <c r="AG421">
        <f t="shared" si="41"/>
        <v>1.6173299999999999</v>
      </c>
      <c r="AH421">
        <f t="shared" si="42"/>
        <v>2.7100000000000002E-3</v>
      </c>
    </row>
    <row r="422" spans="1:34" x14ac:dyDescent="0.25">
      <c r="A422" t="s">
        <v>3974</v>
      </c>
      <c r="B422" t="s">
        <v>3975</v>
      </c>
      <c r="C422" t="s">
        <v>3976</v>
      </c>
      <c r="D422" t="s">
        <v>3488</v>
      </c>
      <c r="E422" t="s">
        <v>3489</v>
      </c>
      <c r="F422" t="s">
        <v>3977</v>
      </c>
      <c r="G422" t="s">
        <v>15827</v>
      </c>
      <c r="H422" t="s">
        <v>15828</v>
      </c>
      <c r="I422" t="s">
        <v>16244</v>
      </c>
      <c r="J422" t="s">
        <v>23</v>
      </c>
      <c r="L422" t="s">
        <v>3493</v>
      </c>
      <c r="M422" t="s">
        <v>3978</v>
      </c>
      <c r="N422" t="s">
        <v>3979</v>
      </c>
      <c r="O422" t="s">
        <v>3980</v>
      </c>
      <c r="P422" t="s">
        <v>3981</v>
      </c>
      <c r="Q422" t="s">
        <v>3495</v>
      </c>
      <c r="R422" t="s">
        <v>3496</v>
      </c>
      <c r="S422" t="s">
        <v>3497</v>
      </c>
      <c r="T422" t="s">
        <v>3501</v>
      </c>
      <c r="U422" s="5">
        <v>760.5</v>
      </c>
      <c r="V422" s="5">
        <v>395.69</v>
      </c>
      <c r="W422" s="5">
        <v>12.131570999999999</v>
      </c>
      <c r="X422" s="5">
        <v>107.652833</v>
      </c>
      <c r="Y422" s="5">
        <v>364.81</v>
      </c>
      <c r="Z422" s="5">
        <v>12.099976</v>
      </c>
      <c r="AA422" s="5">
        <v>107.656622</v>
      </c>
      <c r="AB422" s="7">
        <f t="shared" si="37"/>
        <v>0.59353499999999992</v>
      </c>
      <c r="AC422" s="7">
        <f t="shared" si="38"/>
        <v>0.54721500000000001</v>
      </c>
      <c r="AD422" s="6" t="str">
        <f t="shared" si="39"/>
        <v>Công an tỉnh Lâm Đồng</v>
      </c>
      <c r="AE422" s="6" t="str">
        <f t="shared" si="40"/>
        <v>TT2 - Công an xã Đức An (Trụ sở CAH Đắk Song cũ)</v>
      </c>
      <c r="AG422">
        <f t="shared" si="41"/>
        <v>0.39568999999999999</v>
      </c>
      <c r="AH422">
        <f t="shared" si="42"/>
        <v>0.36481000000000002</v>
      </c>
    </row>
    <row r="423" spans="1:34" x14ac:dyDescent="0.25">
      <c r="A423" t="s">
        <v>3982</v>
      </c>
      <c r="B423" t="s">
        <v>3983</v>
      </c>
      <c r="C423" t="s">
        <v>3984</v>
      </c>
      <c r="D423" t="s">
        <v>3488</v>
      </c>
      <c r="E423" t="s">
        <v>3489</v>
      </c>
      <c r="F423" t="s">
        <v>3985</v>
      </c>
      <c r="G423" t="s">
        <v>15827</v>
      </c>
      <c r="H423" t="s">
        <v>15828</v>
      </c>
      <c r="I423" t="s">
        <v>16245</v>
      </c>
      <c r="J423" t="s">
        <v>23</v>
      </c>
      <c r="L423" t="s">
        <v>3986</v>
      </c>
      <c r="M423" t="s">
        <v>3987</v>
      </c>
      <c r="N423" t="s">
        <v>3988</v>
      </c>
      <c r="O423" t="s">
        <v>3989</v>
      </c>
      <c r="P423" t="s">
        <v>3990</v>
      </c>
      <c r="Q423" t="s">
        <v>3991</v>
      </c>
      <c r="R423" t="s">
        <v>3992</v>
      </c>
      <c r="S423" t="s">
        <v>3993</v>
      </c>
      <c r="T423" t="s">
        <v>3994</v>
      </c>
      <c r="U423" s="5">
        <v>638.96</v>
      </c>
      <c r="V423" s="5">
        <v>632.88</v>
      </c>
      <c r="W423" s="5">
        <v>12.101863</v>
      </c>
      <c r="X423" s="5">
        <v>107.658514</v>
      </c>
      <c r="Y423" s="5">
        <v>6.08</v>
      </c>
      <c r="Z423" s="5">
        <v>12.102447</v>
      </c>
      <c r="AA423" s="5">
        <v>107.654394</v>
      </c>
      <c r="AB423" s="7">
        <f t="shared" si="37"/>
        <v>0.94931999999999994</v>
      </c>
      <c r="AC423" s="7">
        <f t="shared" si="38"/>
        <v>9.1200000000000014E-3</v>
      </c>
      <c r="AD423" s="6" t="str">
        <f t="shared" si="39"/>
        <v>Đội CSGT Đường bộ số 4</v>
      </c>
      <c r="AE423" s="6" t="str">
        <f t="shared" si="40"/>
        <v>II - Trường Xuân</v>
      </c>
      <c r="AG423">
        <f t="shared" si="41"/>
        <v>0.63288</v>
      </c>
      <c r="AH423">
        <f t="shared" si="42"/>
        <v>6.0800000000000003E-3</v>
      </c>
    </row>
    <row r="424" spans="1:34" x14ac:dyDescent="0.25">
      <c r="A424" t="s">
        <v>3995</v>
      </c>
      <c r="B424" t="s">
        <v>3996</v>
      </c>
      <c r="C424" t="s">
        <v>3997</v>
      </c>
      <c r="D424" t="s">
        <v>3518</v>
      </c>
      <c r="E424" t="s">
        <v>3519</v>
      </c>
      <c r="F424" t="s">
        <v>3998</v>
      </c>
      <c r="G424" t="s">
        <v>15827</v>
      </c>
      <c r="H424" t="s">
        <v>15828</v>
      </c>
      <c r="I424" t="s">
        <v>16246</v>
      </c>
      <c r="J424" t="s">
        <v>23</v>
      </c>
      <c r="L424" t="s">
        <v>3999</v>
      </c>
      <c r="M424" t="s">
        <v>4000</v>
      </c>
      <c r="N424" t="s">
        <v>4001</v>
      </c>
      <c r="O424" t="s">
        <v>4002</v>
      </c>
      <c r="P424" t="s">
        <v>4003</v>
      </c>
      <c r="Q424" t="s">
        <v>4004</v>
      </c>
      <c r="R424" t="s">
        <v>4005</v>
      </c>
      <c r="S424" t="s">
        <v>4006</v>
      </c>
      <c r="T424" t="s">
        <v>4007</v>
      </c>
      <c r="U424" s="5">
        <v>1445.14</v>
      </c>
      <c r="V424" s="5">
        <v>1390.95</v>
      </c>
      <c r="W424" s="5">
        <v>12.663349</v>
      </c>
      <c r="X424" s="5">
        <v>107.863784</v>
      </c>
      <c r="Y424" s="5">
        <v>54.19</v>
      </c>
      <c r="Z424" s="5">
        <v>12.65029</v>
      </c>
      <c r="AA424" s="5">
        <v>107.87303300000001</v>
      </c>
      <c r="AB424" s="7">
        <f t="shared" si="37"/>
        <v>2.0864250000000002</v>
      </c>
      <c r="AC424" s="7">
        <f t="shared" si="38"/>
        <v>8.1284999999999996E-2</v>
      </c>
      <c r="AD424" s="6" t="str">
        <f t="shared" si="39"/>
        <v>Công an xã Đắk Wil</v>
      </c>
      <c r="AE424" s="6" t="str">
        <f t="shared" si="40"/>
        <v>Công an xã Nam Dong</v>
      </c>
      <c r="AG424">
        <f t="shared" si="41"/>
        <v>1.3909500000000001</v>
      </c>
      <c r="AH424">
        <f t="shared" si="42"/>
        <v>5.4189999999999995E-2</v>
      </c>
    </row>
    <row r="425" spans="1:34" x14ac:dyDescent="0.25">
      <c r="A425" t="s">
        <v>4008</v>
      </c>
      <c r="B425" t="s">
        <v>4009</v>
      </c>
      <c r="C425" t="s">
        <v>4010</v>
      </c>
      <c r="D425" t="s">
        <v>3705</v>
      </c>
      <c r="E425" t="s">
        <v>3706</v>
      </c>
      <c r="F425" t="s">
        <v>4011</v>
      </c>
      <c r="G425" t="s">
        <v>15827</v>
      </c>
      <c r="H425" t="s">
        <v>15828</v>
      </c>
      <c r="I425" t="s">
        <v>16247</v>
      </c>
      <c r="J425" t="s">
        <v>23</v>
      </c>
      <c r="L425" t="s">
        <v>3716</v>
      </c>
      <c r="M425" t="s">
        <v>4012</v>
      </c>
      <c r="N425" t="s">
        <v>4013</v>
      </c>
      <c r="O425" t="s">
        <v>4014</v>
      </c>
      <c r="P425" t="s">
        <v>4015</v>
      </c>
      <c r="Q425" t="s">
        <v>3718</v>
      </c>
      <c r="R425" t="s">
        <v>3719</v>
      </c>
      <c r="S425" t="s">
        <v>3720</v>
      </c>
      <c r="T425" t="s">
        <v>3724</v>
      </c>
      <c r="U425" s="5">
        <v>1137.42</v>
      </c>
      <c r="V425" s="5">
        <v>743.83</v>
      </c>
      <c r="W425" s="5">
        <v>12.430531999999999</v>
      </c>
      <c r="X425" s="5">
        <v>107.656166</v>
      </c>
      <c r="Y425" s="5">
        <v>393.59</v>
      </c>
      <c r="Z425" s="5">
        <v>12.431642999999999</v>
      </c>
      <c r="AA425" s="5">
        <v>107.667064</v>
      </c>
      <c r="AB425" s="7">
        <f t="shared" si="37"/>
        <v>1.1157450000000002</v>
      </c>
      <c r="AC425" s="7">
        <f t="shared" si="38"/>
        <v>0.59038499999999994</v>
      </c>
      <c r="AD425" s="6" t="str">
        <f t="shared" si="39"/>
        <v>Đắk Sắk</v>
      </c>
      <c r="AE425" s="6" t="str">
        <f t="shared" si="40"/>
        <v>Đắk Song</v>
      </c>
      <c r="AG425">
        <f t="shared" si="41"/>
        <v>0.74382999999999999</v>
      </c>
      <c r="AH425">
        <f t="shared" si="42"/>
        <v>0.39359</v>
      </c>
    </row>
    <row r="426" spans="1:34" x14ac:dyDescent="0.25">
      <c r="A426" t="s">
        <v>4016</v>
      </c>
      <c r="B426" t="s">
        <v>4017</v>
      </c>
      <c r="C426" t="s">
        <v>4018</v>
      </c>
      <c r="D426" t="s">
        <v>3636</v>
      </c>
      <c r="E426" t="s">
        <v>3637</v>
      </c>
      <c r="F426" t="s">
        <v>4019</v>
      </c>
      <c r="G426" t="s">
        <v>15827</v>
      </c>
      <c r="H426" t="s">
        <v>15828</v>
      </c>
      <c r="I426" t="s">
        <v>16248</v>
      </c>
      <c r="J426" t="s">
        <v>23</v>
      </c>
      <c r="L426" t="s">
        <v>3578</v>
      </c>
      <c r="M426" t="s">
        <v>4020</v>
      </c>
      <c r="N426" t="s">
        <v>4021</v>
      </c>
      <c r="O426" t="s">
        <v>4022</v>
      </c>
      <c r="P426" t="s">
        <v>4023</v>
      </c>
      <c r="Q426" t="s">
        <v>4024</v>
      </c>
      <c r="R426" t="s">
        <v>4025</v>
      </c>
      <c r="S426" t="s">
        <v>4026</v>
      </c>
      <c r="T426" t="s">
        <v>4027</v>
      </c>
      <c r="U426" s="5">
        <v>520.86</v>
      </c>
      <c r="V426" s="5">
        <v>470.79</v>
      </c>
      <c r="W426" s="5">
        <v>12.395092</v>
      </c>
      <c r="X426" s="5">
        <v>107.572092</v>
      </c>
      <c r="Y426" s="5">
        <v>50.07</v>
      </c>
      <c r="Z426" s="5">
        <v>12.411678999999999</v>
      </c>
      <c r="AA426" s="5">
        <v>107.58042500000001</v>
      </c>
      <c r="AB426" s="7">
        <f t="shared" si="37"/>
        <v>0.70618500000000006</v>
      </c>
      <c r="AC426" s="7">
        <f t="shared" si="38"/>
        <v>7.5105000000000005E-2</v>
      </c>
      <c r="AD426" s="6" t="str">
        <f t="shared" si="39"/>
        <v>Công an tỉnh Lâm Đồng</v>
      </c>
      <c r="AE426" s="6" t="str">
        <f t="shared" si="40"/>
        <v>TT2
- Công an xã Đức Lập (Trụ sở 2 CAH Đắk Mil cũ)</v>
      </c>
      <c r="AG426">
        <f t="shared" si="41"/>
        <v>0.47079000000000004</v>
      </c>
      <c r="AH426">
        <f t="shared" si="42"/>
        <v>5.0070000000000003E-2</v>
      </c>
    </row>
    <row r="427" spans="1:34" x14ac:dyDescent="0.25">
      <c r="A427" t="s">
        <v>4028</v>
      </c>
      <c r="B427" t="s">
        <v>4029</v>
      </c>
      <c r="C427" t="s">
        <v>4030</v>
      </c>
      <c r="D427" t="s">
        <v>3864</v>
      </c>
      <c r="E427" t="s">
        <v>3865</v>
      </c>
      <c r="F427" t="s">
        <v>4031</v>
      </c>
      <c r="G427" t="s">
        <v>15827</v>
      </c>
      <c r="H427" t="s">
        <v>15828</v>
      </c>
      <c r="I427" t="s">
        <v>16249</v>
      </c>
      <c r="J427" t="s">
        <v>23</v>
      </c>
      <c r="L427" t="s">
        <v>4032</v>
      </c>
      <c r="M427" t="s">
        <v>4033</v>
      </c>
      <c r="N427" t="s">
        <v>4034</v>
      </c>
      <c r="O427" t="s">
        <v>4035</v>
      </c>
      <c r="P427" t="s">
        <v>4036</v>
      </c>
      <c r="Q427" t="s">
        <v>704</v>
      </c>
      <c r="R427" t="s">
        <v>4037</v>
      </c>
      <c r="S427" t="s">
        <v>4038</v>
      </c>
      <c r="T427" t="s">
        <v>4039</v>
      </c>
      <c r="U427" s="5">
        <v>250.43</v>
      </c>
      <c r="V427" s="5">
        <v>245.75</v>
      </c>
      <c r="W427" s="5">
        <v>11.992292000000001</v>
      </c>
      <c r="X427" s="5">
        <v>107.664286</v>
      </c>
      <c r="Y427" s="5">
        <v>4.67</v>
      </c>
      <c r="Z427" s="5">
        <v>11.982702</v>
      </c>
      <c r="AA427" s="5">
        <v>107.655608</v>
      </c>
      <c r="AB427" s="7">
        <f t="shared" si="37"/>
        <v>0.36862499999999998</v>
      </c>
      <c r="AC427" s="7">
        <f t="shared" si="38"/>
        <v>7.0049999999999999E-3</v>
      </c>
      <c r="AD427" s="6" t="str">
        <f t="shared" si="39"/>
        <v>Phòng PK02</v>
      </c>
      <c r="AE427" s="6" t="str">
        <f t="shared" si="40"/>
        <v>Tổ địa bàn số 2 - Phòng PA06 - Tổ địa bàn số 2</v>
      </c>
      <c r="AG427">
        <f t="shared" si="41"/>
        <v>0.24575</v>
      </c>
      <c r="AH427">
        <f t="shared" si="42"/>
        <v>4.6699999999999997E-3</v>
      </c>
    </row>
    <row r="428" spans="1:34" x14ac:dyDescent="0.25">
      <c r="A428" t="s">
        <v>4040</v>
      </c>
      <c r="B428" t="s">
        <v>4041</v>
      </c>
      <c r="C428" t="s">
        <v>4042</v>
      </c>
      <c r="D428" t="s">
        <v>3836</v>
      </c>
      <c r="E428" t="s">
        <v>3837</v>
      </c>
      <c r="F428" t="s">
        <v>4043</v>
      </c>
      <c r="G428" t="s">
        <v>15827</v>
      </c>
      <c r="H428" t="s">
        <v>15828</v>
      </c>
      <c r="I428" t="s">
        <v>16250</v>
      </c>
      <c r="J428" t="s">
        <v>23</v>
      </c>
      <c r="L428" t="s">
        <v>4044</v>
      </c>
      <c r="M428" t="s">
        <v>4045</v>
      </c>
      <c r="N428" t="s">
        <v>4046</v>
      </c>
      <c r="O428" t="s">
        <v>4047</v>
      </c>
      <c r="P428" t="s">
        <v>4048</v>
      </c>
      <c r="Q428" t="s">
        <v>4049</v>
      </c>
      <c r="R428" t="s">
        <v>4050</v>
      </c>
      <c r="S428" t="s">
        <v>4051</v>
      </c>
      <c r="T428" t="s">
        <v>4052</v>
      </c>
      <c r="U428" s="5">
        <v>229.03</v>
      </c>
      <c r="V428" s="5">
        <v>213.63</v>
      </c>
      <c r="W428" s="5">
        <v>12.006126</v>
      </c>
      <c r="X428" s="5">
        <v>107.67491800000001</v>
      </c>
      <c r="Y428" s="5">
        <v>15.4</v>
      </c>
      <c r="Z428" s="5">
        <v>12.023471000000001</v>
      </c>
      <c r="AA428" s="5">
        <v>107.686087</v>
      </c>
      <c r="AB428" s="7">
        <f t="shared" si="37"/>
        <v>0.32044499999999998</v>
      </c>
      <c r="AC428" s="7">
        <f t="shared" si="38"/>
        <v>2.3100000000000002E-2</v>
      </c>
      <c r="AD428" s="6" t="str">
        <f t="shared" si="39"/>
        <v>Phòng PA06</v>
      </c>
      <c r="AE428" s="6" t="str">
        <f t="shared" si="40"/>
        <v>Tổ địa bàn số 2 - Công an tỉnh Lâm Đồng - TT2</v>
      </c>
      <c r="AG428">
        <f t="shared" si="41"/>
        <v>0.21362999999999999</v>
      </c>
      <c r="AH428">
        <f t="shared" si="42"/>
        <v>1.54E-2</v>
      </c>
    </row>
    <row r="429" spans="1:34" x14ac:dyDescent="0.25">
      <c r="A429" t="s">
        <v>4053</v>
      </c>
      <c r="B429" t="s">
        <v>4054</v>
      </c>
      <c r="C429" t="s">
        <v>4055</v>
      </c>
      <c r="D429" t="s">
        <v>3849</v>
      </c>
      <c r="E429" t="s">
        <v>3850</v>
      </c>
      <c r="F429" t="s">
        <v>4056</v>
      </c>
      <c r="G429" t="s">
        <v>15827</v>
      </c>
      <c r="H429" t="s">
        <v>15828</v>
      </c>
      <c r="I429" t="s">
        <v>16251</v>
      </c>
      <c r="J429" t="s">
        <v>23</v>
      </c>
      <c r="L429" t="s">
        <v>3854</v>
      </c>
      <c r="M429" t="s">
        <v>4057</v>
      </c>
      <c r="N429" t="s">
        <v>4058</v>
      </c>
      <c r="O429" t="s">
        <v>4059</v>
      </c>
      <c r="P429" t="s">
        <v>4060</v>
      </c>
      <c r="Q429" t="s">
        <v>3856</v>
      </c>
      <c r="R429" t="s">
        <v>3857</v>
      </c>
      <c r="S429" t="s">
        <v>3858</v>
      </c>
      <c r="T429" t="s">
        <v>3862</v>
      </c>
      <c r="U429" s="5">
        <v>3244.7</v>
      </c>
      <c r="V429" s="5">
        <v>3114.51</v>
      </c>
      <c r="W429" s="5">
        <v>11.981562</v>
      </c>
      <c r="X429" s="5">
        <v>107.600892</v>
      </c>
      <c r="Y429" s="5">
        <v>130.19</v>
      </c>
      <c r="Z429" s="5">
        <v>11.982198</v>
      </c>
      <c r="AA429" s="5">
        <v>107.58801200000001</v>
      </c>
      <c r="AB429" s="7">
        <f t="shared" si="37"/>
        <v>4.6717650000000006</v>
      </c>
      <c r="AC429" s="7">
        <f t="shared" si="38"/>
        <v>0.19528499999999999</v>
      </c>
      <c r="AD429" s="6" t="str">
        <f t="shared" si="39"/>
        <v>Công an phường Nam Gia Nghĩa</v>
      </c>
      <c r="AE429" s="6" t="str">
        <f t="shared" si="40"/>
        <v>Công an xã Kiến Đức</v>
      </c>
      <c r="AG429">
        <f t="shared" si="41"/>
        <v>3.1145100000000001</v>
      </c>
      <c r="AH429">
        <f t="shared" si="42"/>
        <v>0.13019</v>
      </c>
    </row>
    <row r="430" spans="1:34" x14ac:dyDescent="0.25">
      <c r="A430" t="s">
        <v>4061</v>
      </c>
      <c r="B430" t="s">
        <v>4062</v>
      </c>
      <c r="C430" t="s">
        <v>4063</v>
      </c>
      <c r="D430" t="s">
        <v>3599</v>
      </c>
      <c r="E430" t="s">
        <v>3600</v>
      </c>
      <c r="F430" t="s">
        <v>4064</v>
      </c>
      <c r="G430" t="s">
        <v>15827</v>
      </c>
      <c r="H430" t="s">
        <v>15828</v>
      </c>
      <c r="I430" t="s">
        <v>16252</v>
      </c>
      <c r="J430" t="s">
        <v>23</v>
      </c>
      <c r="L430" t="s">
        <v>3890</v>
      </c>
      <c r="M430" t="s">
        <v>4065</v>
      </c>
      <c r="N430" t="s">
        <v>4066</v>
      </c>
      <c r="O430" t="s">
        <v>4067</v>
      </c>
      <c r="P430" t="s">
        <v>4068</v>
      </c>
      <c r="Q430" t="s">
        <v>4069</v>
      </c>
      <c r="R430" t="s">
        <v>4070</v>
      </c>
      <c r="S430" t="s">
        <v>4071</v>
      </c>
      <c r="T430" t="s">
        <v>3898</v>
      </c>
      <c r="U430" s="5">
        <v>1706.7</v>
      </c>
      <c r="V430" s="5">
        <v>94.46</v>
      </c>
      <c r="W430" s="5">
        <v>11.973898</v>
      </c>
      <c r="X430" s="5">
        <v>107.49282700000001</v>
      </c>
      <c r="Y430" s="5">
        <v>1612.24</v>
      </c>
      <c r="Z430" s="5">
        <v>11.992825</v>
      </c>
      <c r="AA430" s="5">
        <v>107.510738</v>
      </c>
      <c r="AB430" s="7">
        <f t="shared" si="37"/>
        <v>0.14169000000000001</v>
      </c>
      <c r="AC430" s="7">
        <f t="shared" si="38"/>
        <v>2.4183600000000003</v>
      </c>
      <c r="AD430" s="6" t="str">
        <f t="shared" si="39"/>
        <v>Đội CC&amp;CNCH khu vực 13</v>
      </c>
      <c r="AE430" s="6" t="str">
        <f t="shared" si="40"/>
        <v>Công an xã Quảng Tín</v>
      </c>
      <c r="AG430">
        <f t="shared" si="41"/>
        <v>9.4459999999999988E-2</v>
      </c>
      <c r="AH430">
        <f t="shared" si="42"/>
        <v>1.6122400000000001</v>
      </c>
    </row>
    <row r="431" spans="1:34" x14ac:dyDescent="0.25">
      <c r="A431" t="s">
        <v>4072</v>
      </c>
      <c r="B431" t="s">
        <v>4073</v>
      </c>
      <c r="C431" t="s">
        <v>4074</v>
      </c>
      <c r="D431" t="s">
        <v>3849</v>
      </c>
      <c r="E431" t="s">
        <v>3850</v>
      </c>
      <c r="F431" t="s">
        <v>4075</v>
      </c>
      <c r="G431" t="s">
        <v>15827</v>
      </c>
      <c r="H431" t="s">
        <v>15828</v>
      </c>
      <c r="I431" t="s">
        <v>16253</v>
      </c>
      <c r="J431" t="s">
        <v>23</v>
      </c>
      <c r="L431" t="s">
        <v>3854</v>
      </c>
      <c r="M431" t="s">
        <v>4076</v>
      </c>
      <c r="N431" t="s">
        <v>4077</v>
      </c>
      <c r="O431" t="s">
        <v>4078</v>
      </c>
      <c r="P431" t="s">
        <v>4079</v>
      </c>
      <c r="Q431" t="s">
        <v>3856</v>
      </c>
      <c r="R431" t="s">
        <v>3857</v>
      </c>
      <c r="S431" t="s">
        <v>3858</v>
      </c>
      <c r="T431" t="s">
        <v>3862</v>
      </c>
      <c r="U431" s="5">
        <v>203.67</v>
      </c>
      <c r="V431" s="5">
        <v>73.48</v>
      </c>
      <c r="W431" s="5">
        <v>11.976922</v>
      </c>
      <c r="X431" s="5">
        <v>107.625933</v>
      </c>
      <c r="Y431" s="5">
        <v>130.19</v>
      </c>
      <c r="Z431" s="5">
        <v>11.982198</v>
      </c>
      <c r="AA431" s="5">
        <v>107.58801200000001</v>
      </c>
      <c r="AB431" s="7">
        <f t="shared" si="37"/>
        <v>0.11022</v>
      </c>
      <c r="AC431" s="7">
        <f t="shared" si="38"/>
        <v>0.19528499999999999</v>
      </c>
      <c r="AD431" s="6" t="str">
        <f t="shared" si="39"/>
        <v>Công an phường Nam Gia Nghĩa</v>
      </c>
      <c r="AE431" s="6" t="str">
        <f t="shared" si="40"/>
        <v>Công an xã Kiến Đức</v>
      </c>
      <c r="AG431">
        <f t="shared" si="41"/>
        <v>7.3480000000000004E-2</v>
      </c>
      <c r="AH431">
        <f t="shared" si="42"/>
        <v>0.13019</v>
      </c>
    </row>
    <row r="432" spans="1:34" x14ac:dyDescent="0.25">
      <c r="A432" t="s">
        <v>4080</v>
      </c>
      <c r="B432" t="s">
        <v>4081</v>
      </c>
      <c r="C432" t="s">
        <v>4082</v>
      </c>
      <c r="D432" t="s">
        <v>3864</v>
      </c>
      <c r="E432" t="s">
        <v>3865</v>
      </c>
      <c r="F432" t="s">
        <v>4083</v>
      </c>
      <c r="G432" t="s">
        <v>15827</v>
      </c>
      <c r="H432" t="s">
        <v>15828</v>
      </c>
      <c r="I432" t="s">
        <v>16254</v>
      </c>
      <c r="J432" t="s">
        <v>23</v>
      </c>
      <c r="L432" t="s">
        <v>4084</v>
      </c>
      <c r="M432" t="s">
        <v>4085</v>
      </c>
      <c r="N432" t="s">
        <v>4086</v>
      </c>
      <c r="O432" t="s">
        <v>4087</v>
      </c>
      <c r="P432" t="s">
        <v>4088</v>
      </c>
      <c r="Q432" t="s">
        <v>4089</v>
      </c>
      <c r="R432" t="s">
        <v>4090</v>
      </c>
      <c r="S432" t="s">
        <v>4091</v>
      </c>
      <c r="T432" t="s">
        <v>4092</v>
      </c>
      <c r="U432" s="5">
        <v>1804.57</v>
      </c>
      <c r="V432" s="5">
        <v>1506.09</v>
      </c>
      <c r="W432" s="5">
        <v>11.977278</v>
      </c>
      <c r="X432" s="5">
        <v>107.63810700000001</v>
      </c>
      <c r="Y432" s="5">
        <v>298.48</v>
      </c>
      <c r="Z432" s="5">
        <v>11.981714</v>
      </c>
      <c r="AA432" s="5">
        <v>107.65819399999999</v>
      </c>
      <c r="AB432" s="7">
        <f t="shared" si="37"/>
        <v>2.2591349999999997</v>
      </c>
      <c r="AC432" s="7">
        <f t="shared" si="38"/>
        <v>0.44772000000000001</v>
      </c>
      <c r="AD432" s="6" t="str">
        <f t="shared" si="39"/>
        <v>Công an xã Kiến Đức (Trụ sở CAH Đắk R'Lấp cũ)</v>
      </c>
      <c r="AE432" s="6" t="str">
        <f t="shared" si="40"/>
        <v>Công an tỉnh Lâm Đồng - TT2</v>
      </c>
      <c r="AG432">
        <f t="shared" si="41"/>
        <v>1.5060899999999999</v>
      </c>
      <c r="AH432">
        <f t="shared" si="42"/>
        <v>0.29848000000000002</v>
      </c>
    </row>
    <row r="433" spans="1:34" x14ac:dyDescent="0.25">
      <c r="A433" t="s">
        <v>4093</v>
      </c>
      <c r="B433" t="s">
        <v>4094</v>
      </c>
      <c r="C433" t="s">
        <v>4095</v>
      </c>
      <c r="D433" t="s">
        <v>4096</v>
      </c>
      <c r="E433" t="s">
        <v>4097</v>
      </c>
      <c r="F433" t="s">
        <v>4098</v>
      </c>
      <c r="G433" t="s">
        <v>15827</v>
      </c>
      <c r="H433" t="s">
        <v>15828</v>
      </c>
      <c r="I433" t="s">
        <v>16255</v>
      </c>
      <c r="J433" t="s">
        <v>23</v>
      </c>
      <c r="L433" t="s">
        <v>3826</v>
      </c>
      <c r="M433" t="s">
        <v>4099</v>
      </c>
      <c r="N433" t="s">
        <v>4100</v>
      </c>
      <c r="O433" t="s">
        <v>4101</v>
      </c>
      <c r="P433" t="s">
        <v>4102</v>
      </c>
      <c r="Q433" t="s">
        <v>4103</v>
      </c>
      <c r="R433" t="s">
        <v>4104</v>
      </c>
      <c r="S433" t="s">
        <v>4105</v>
      </c>
      <c r="T433" t="s">
        <v>3834</v>
      </c>
      <c r="U433" s="5">
        <v>2068.14</v>
      </c>
      <c r="V433" s="5">
        <v>2062</v>
      </c>
      <c r="W433" s="5">
        <v>11.964795000000001</v>
      </c>
      <c r="X433" s="5">
        <v>107.733818</v>
      </c>
      <c r="Y433" s="5">
        <v>6.14</v>
      </c>
      <c r="Z433" s="5">
        <v>11.959954</v>
      </c>
      <c r="AA433" s="5">
        <v>107.72863599999999</v>
      </c>
      <c r="AB433" s="7">
        <f t="shared" si="37"/>
        <v>3.093</v>
      </c>
      <c r="AC433" s="7">
        <f t="shared" si="38"/>
        <v>9.2099999999999994E-3</v>
      </c>
      <c r="AD433" s="6" t="str">
        <f t="shared" si="39"/>
        <v>Công an phường Bắc Gia Nghĩa</v>
      </c>
      <c r="AE433" s="6" t="str">
        <f t="shared" si="40"/>
        <v>Công an phường Đông Gia Nghĩa</v>
      </c>
      <c r="AG433">
        <f t="shared" si="41"/>
        <v>2.0619999999999998</v>
      </c>
      <c r="AH433">
        <f t="shared" si="42"/>
        <v>6.1399999999999996E-3</v>
      </c>
    </row>
    <row r="434" spans="1:34" x14ac:dyDescent="0.25">
      <c r="A434" t="s">
        <v>4106</v>
      </c>
      <c r="B434" t="s">
        <v>4107</v>
      </c>
      <c r="C434" t="s">
        <v>4108</v>
      </c>
      <c r="D434" t="s">
        <v>4096</v>
      </c>
      <c r="E434" t="s">
        <v>4097</v>
      </c>
      <c r="F434" t="s">
        <v>4109</v>
      </c>
      <c r="G434" t="s">
        <v>15827</v>
      </c>
      <c r="H434" t="s">
        <v>15828</v>
      </c>
      <c r="I434" t="s">
        <v>16256</v>
      </c>
      <c r="J434" t="s">
        <v>23</v>
      </c>
      <c r="L434" t="s">
        <v>3826</v>
      </c>
      <c r="M434" t="s">
        <v>4110</v>
      </c>
      <c r="N434" t="s">
        <v>4111</v>
      </c>
      <c r="O434" t="s">
        <v>4101</v>
      </c>
      <c r="P434" t="s">
        <v>4102</v>
      </c>
      <c r="Q434" t="s">
        <v>4103</v>
      </c>
      <c r="R434" t="s">
        <v>4104</v>
      </c>
      <c r="S434" t="s">
        <v>4105</v>
      </c>
      <c r="T434" t="s">
        <v>3834</v>
      </c>
      <c r="U434" s="5">
        <v>4385.78</v>
      </c>
      <c r="V434" s="5">
        <v>4379.6400000000003</v>
      </c>
      <c r="W434" s="5">
        <v>11.964795000000001</v>
      </c>
      <c r="X434" s="5">
        <v>107.733818</v>
      </c>
      <c r="Y434" s="5">
        <v>6.14</v>
      </c>
      <c r="Z434" s="5">
        <v>11.959954</v>
      </c>
      <c r="AA434" s="5">
        <v>107.72863599999999</v>
      </c>
      <c r="AB434" s="7">
        <f t="shared" si="37"/>
        <v>6.5694600000000012</v>
      </c>
      <c r="AC434" s="7">
        <f t="shared" si="38"/>
        <v>9.2099999999999994E-3</v>
      </c>
      <c r="AD434" s="6" t="str">
        <f t="shared" si="39"/>
        <v>Công an phường Bắc Gia Nghĩa</v>
      </c>
      <c r="AE434" s="6" t="str">
        <f t="shared" si="40"/>
        <v>Công an phường Đông Gia Nghĩa</v>
      </c>
      <c r="AG434">
        <f t="shared" si="41"/>
        <v>4.3796400000000002</v>
      </c>
      <c r="AH434">
        <f t="shared" si="42"/>
        <v>6.1399999999999996E-3</v>
      </c>
    </row>
    <row r="435" spans="1:34" x14ac:dyDescent="0.25">
      <c r="A435" t="s">
        <v>4112</v>
      </c>
      <c r="B435" t="s">
        <v>4113</v>
      </c>
      <c r="C435" t="s">
        <v>4114</v>
      </c>
      <c r="D435" t="s">
        <v>3866</v>
      </c>
      <c r="E435" t="s">
        <v>3867</v>
      </c>
      <c r="F435" t="s">
        <v>4115</v>
      </c>
      <c r="G435" t="s">
        <v>15827</v>
      </c>
      <c r="H435" t="s">
        <v>15828</v>
      </c>
      <c r="I435" t="s">
        <v>16257</v>
      </c>
      <c r="J435" t="s">
        <v>23</v>
      </c>
      <c r="L435" t="s">
        <v>4116</v>
      </c>
      <c r="M435" t="s">
        <v>4117</v>
      </c>
      <c r="N435" t="s">
        <v>4118</v>
      </c>
      <c r="O435" t="s">
        <v>4119</v>
      </c>
      <c r="P435" t="s">
        <v>4120</v>
      </c>
      <c r="Q435" t="s">
        <v>4121</v>
      </c>
      <c r="R435" t="s">
        <v>4119</v>
      </c>
      <c r="S435" t="s">
        <v>4120</v>
      </c>
      <c r="T435" t="s">
        <v>4122</v>
      </c>
      <c r="U435" s="5">
        <v>1381.74</v>
      </c>
      <c r="V435" s="5">
        <v>1378.88</v>
      </c>
      <c r="W435" s="5">
        <v>11.975606000000001</v>
      </c>
      <c r="X435" s="5">
        <v>107.581761</v>
      </c>
      <c r="Y435" s="5">
        <v>2.86</v>
      </c>
      <c r="Z435" s="5">
        <v>11.975606000000001</v>
      </c>
      <c r="AA435" s="5">
        <v>107.581761</v>
      </c>
      <c r="AB435" s="7">
        <f t="shared" si="37"/>
        <v>2.0683200000000004</v>
      </c>
      <c r="AC435" s="7">
        <f t="shared" si="38"/>
        <v>4.2900000000000004E-3</v>
      </c>
      <c r="AD435" s="6" t="str">
        <f t="shared" si="39"/>
        <v>Công An xã Quảng Tín</v>
      </c>
      <c r="AE435" s="6" t="str">
        <f t="shared" si="40"/>
        <v>Đồn CA KCN Nhân Cơ</v>
      </c>
      <c r="AG435">
        <f t="shared" si="41"/>
        <v>1.3788800000000001</v>
      </c>
      <c r="AH435">
        <f t="shared" si="42"/>
        <v>2.8599999999999997E-3</v>
      </c>
    </row>
    <row r="436" spans="1:34" x14ac:dyDescent="0.25">
      <c r="A436" t="s">
        <v>4123</v>
      </c>
      <c r="B436" t="s">
        <v>4124</v>
      </c>
      <c r="C436" t="s">
        <v>4125</v>
      </c>
      <c r="D436" t="s">
        <v>3849</v>
      </c>
      <c r="E436" t="s">
        <v>3850</v>
      </c>
      <c r="F436" t="s">
        <v>4126</v>
      </c>
      <c r="G436" t="s">
        <v>15827</v>
      </c>
      <c r="H436" t="s">
        <v>15828</v>
      </c>
      <c r="I436" t="s">
        <v>16258</v>
      </c>
      <c r="J436" t="s">
        <v>23</v>
      </c>
      <c r="L436" t="s">
        <v>3854</v>
      </c>
      <c r="M436" t="s">
        <v>4127</v>
      </c>
      <c r="N436" t="s">
        <v>4128</v>
      </c>
      <c r="O436" t="s">
        <v>4129</v>
      </c>
      <c r="P436" t="s">
        <v>4130</v>
      </c>
      <c r="Q436" t="s">
        <v>3856</v>
      </c>
      <c r="R436" t="s">
        <v>3857</v>
      </c>
      <c r="S436" t="s">
        <v>3858</v>
      </c>
      <c r="T436" t="s">
        <v>3862</v>
      </c>
      <c r="U436" s="5">
        <v>849.96</v>
      </c>
      <c r="V436" s="5">
        <v>719.77</v>
      </c>
      <c r="W436" s="5">
        <v>11.980340999999999</v>
      </c>
      <c r="X436" s="5">
        <v>107.607388</v>
      </c>
      <c r="Y436" s="5">
        <v>130.19</v>
      </c>
      <c r="Z436" s="5">
        <v>11.982198</v>
      </c>
      <c r="AA436" s="5">
        <v>107.58801200000001</v>
      </c>
      <c r="AB436" s="7">
        <f t="shared" si="37"/>
        <v>1.079655</v>
      </c>
      <c r="AC436" s="7">
        <f t="shared" si="38"/>
        <v>0.19528499999999999</v>
      </c>
      <c r="AD436" s="6" t="str">
        <f t="shared" si="39"/>
        <v>Công an phường Nam Gia Nghĩa</v>
      </c>
      <c r="AE436" s="6" t="str">
        <f t="shared" si="40"/>
        <v>Công an xã Kiến Đức</v>
      </c>
      <c r="AG436">
        <f t="shared" si="41"/>
        <v>0.71977000000000002</v>
      </c>
      <c r="AH436">
        <f t="shared" si="42"/>
        <v>0.13019</v>
      </c>
    </row>
    <row r="437" spans="1:34" x14ac:dyDescent="0.25">
      <c r="A437" t="s">
        <v>4131</v>
      </c>
      <c r="B437" t="s">
        <v>4132</v>
      </c>
      <c r="C437" t="s">
        <v>4133</v>
      </c>
      <c r="D437" t="s">
        <v>3575</v>
      </c>
      <c r="E437" t="s">
        <v>3576</v>
      </c>
      <c r="F437" t="s">
        <v>4134</v>
      </c>
      <c r="G437" t="s">
        <v>15827</v>
      </c>
      <c r="H437" t="s">
        <v>15828</v>
      </c>
      <c r="I437" t="s">
        <v>16259</v>
      </c>
      <c r="J437" t="s">
        <v>23</v>
      </c>
      <c r="L437" t="s">
        <v>3493</v>
      </c>
      <c r="M437" t="s">
        <v>4135</v>
      </c>
      <c r="N437" t="s">
        <v>4136</v>
      </c>
      <c r="O437" t="s">
        <v>4137</v>
      </c>
      <c r="P437" t="s">
        <v>3843</v>
      </c>
      <c r="Q437" t="s">
        <v>4138</v>
      </c>
      <c r="R437" t="s">
        <v>4139</v>
      </c>
      <c r="S437" t="s">
        <v>4140</v>
      </c>
      <c r="T437" t="s">
        <v>3501</v>
      </c>
      <c r="U437" s="5">
        <v>18692.099999999999</v>
      </c>
      <c r="V437" s="5">
        <v>2438.15</v>
      </c>
      <c r="W437" s="5">
        <v>12.023574</v>
      </c>
      <c r="X437" s="5">
        <v>107.685997</v>
      </c>
      <c r="Y437" s="5">
        <v>16253.95</v>
      </c>
      <c r="Z437" s="5">
        <v>12.205287999999999</v>
      </c>
      <c r="AA437" s="5">
        <v>107.62650600000001</v>
      </c>
      <c r="AB437" s="7">
        <f t="shared" si="37"/>
        <v>3.6572250000000004</v>
      </c>
      <c r="AC437" s="7">
        <f t="shared" si="38"/>
        <v>24.380925000000001</v>
      </c>
      <c r="AD437" s="6" t="str">
        <f t="shared" si="39"/>
        <v>Công an tỉnh Lâm Đồng</v>
      </c>
      <c r="AE437" s="6" t="str">
        <f t="shared" si="40"/>
        <v>TT2 - Công an xã Đức An (Trụ sở CAH Đắk Song cũ)</v>
      </c>
      <c r="AG437">
        <f t="shared" si="41"/>
        <v>2.4381500000000003</v>
      </c>
      <c r="AH437">
        <f t="shared" si="42"/>
        <v>16.25395</v>
      </c>
    </row>
    <row r="438" spans="1:34" x14ac:dyDescent="0.25">
      <c r="A438" t="s">
        <v>4141</v>
      </c>
      <c r="B438" t="s">
        <v>3588</v>
      </c>
      <c r="C438" t="s">
        <v>3589</v>
      </c>
      <c r="D438" t="s">
        <v>3836</v>
      </c>
      <c r="E438" t="s">
        <v>3837</v>
      </c>
      <c r="F438" t="s">
        <v>4142</v>
      </c>
      <c r="G438" t="s">
        <v>15827</v>
      </c>
      <c r="H438" t="s">
        <v>15828</v>
      </c>
      <c r="I438" t="s">
        <v>16260</v>
      </c>
      <c r="J438" t="s">
        <v>23</v>
      </c>
      <c r="L438" t="s">
        <v>3493</v>
      </c>
      <c r="M438" t="s">
        <v>4143</v>
      </c>
      <c r="N438" t="s">
        <v>4144</v>
      </c>
      <c r="O438" t="s">
        <v>4145</v>
      </c>
      <c r="P438" t="s">
        <v>4146</v>
      </c>
      <c r="Q438" t="s">
        <v>3525</v>
      </c>
      <c r="R438" t="s">
        <v>4137</v>
      </c>
      <c r="S438" t="s">
        <v>3843</v>
      </c>
      <c r="T438" t="s">
        <v>3501</v>
      </c>
      <c r="U438" s="5">
        <v>404.43</v>
      </c>
      <c r="V438" s="5">
        <v>403.68</v>
      </c>
      <c r="W438" s="5">
        <v>12.202097</v>
      </c>
      <c r="X438" s="5">
        <v>107.633785</v>
      </c>
      <c r="Y438" s="5">
        <v>0.75</v>
      </c>
      <c r="Z438" s="5">
        <v>12.023574</v>
      </c>
      <c r="AA438" s="5">
        <v>107.685997</v>
      </c>
      <c r="AB438" s="7">
        <f t="shared" si="37"/>
        <v>0.60551999999999995</v>
      </c>
      <c r="AC438" s="7">
        <f t="shared" si="38"/>
        <v>1.1249999999999999E-3</v>
      </c>
      <c r="AD438" s="6" t="str">
        <f t="shared" si="39"/>
        <v>Công an tỉnh Lâm Đồng</v>
      </c>
      <c r="AE438" s="6" t="str">
        <f t="shared" si="40"/>
        <v>TT2 - Công an xã Đức An (Trụ sở CAH Đắk Song cũ)</v>
      </c>
      <c r="AG438">
        <f t="shared" si="41"/>
        <v>0.40367999999999998</v>
      </c>
      <c r="AH438">
        <f t="shared" si="42"/>
        <v>7.5000000000000002E-4</v>
      </c>
    </row>
    <row r="439" spans="1:34" x14ac:dyDescent="0.25">
      <c r="A439" t="s">
        <v>4141</v>
      </c>
      <c r="B439" t="s">
        <v>3588</v>
      </c>
      <c r="C439" t="s">
        <v>3589</v>
      </c>
      <c r="D439" t="s">
        <v>3836</v>
      </c>
      <c r="E439" t="s">
        <v>3837</v>
      </c>
      <c r="F439" t="s">
        <v>4142</v>
      </c>
      <c r="G439" t="s">
        <v>15827</v>
      </c>
      <c r="H439" t="s">
        <v>15828</v>
      </c>
      <c r="I439" t="s">
        <v>16260</v>
      </c>
      <c r="J439" t="s">
        <v>23</v>
      </c>
      <c r="L439" t="s">
        <v>3493</v>
      </c>
      <c r="M439" t="s">
        <v>4143</v>
      </c>
      <c r="N439" t="s">
        <v>4144</v>
      </c>
      <c r="O439" t="s">
        <v>4145</v>
      </c>
      <c r="P439" t="s">
        <v>4146</v>
      </c>
      <c r="Q439" t="s">
        <v>3525</v>
      </c>
      <c r="R439" t="s">
        <v>4137</v>
      </c>
      <c r="S439" t="s">
        <v>3843</v>
      </c>
      <c r="T439" t="s">
        <v>3501</v>
      </c>
      <c r="U439" s="5">
        <v>404.43</v>
      </c>
      <c r="V439" s="5">
        <v>403.68</v>
      </c>
      <c r="W439" s="5">
        <v>12.202097</v>
      </c>
      <c r="X439" s="5">
        <v>107.633785</v>
      </c>
      <c r="Y439" s="5">
        <v>0.75</v>
      </c>
      <c r="Z439" s="5">
        <v>12.023574</v>
      </c>
      <c r="AA439" s="5">
        <v>107.685997</v>
      </c>
      <c r="AB439" s="7">
        <f t="shared" si="37"/>
        <v>0.60551999999999995</v>
      </c>
      <c r="AC439" s="7">
        <f t="shared" si="38"/>
        <v>1.1249999999999999E-3</v>
      </c>
      <c r="AD439" s="6" t="str">
        <f t="shared" si="39"/>
        <v>Công an tỉnh Lâm Đồng</v>
      </c>
      <c r="AE439" s="6" t="str">
        <f t="shared" si="40"/>
        <v>TT2 - Công an xã Đức An (Trụ sở CAH Đắk Song cũ)</v>
      </c>
      <c r="AG439">
        <f t="shared" si="41"/>
        <v>0.40367999999999998</v>
      </c>
      <c r="AH439">
        <f t="shared" si="42"/>
        <v>7.5000000000000002E-4</v>
      </c>
    </row>
    <row r="440" spans="1:34" x14ac:dyDescent="0.25">
      <c r="A440" t="s">
        <v>4147</v>
      </c>
      <c r="B440" t="s">
        <v>3645</v>
      </c>
      <c r="C440" t="s">
        <v>3646</v>
      </c>
      <c r="D440" t="s">
        <v>3654</v>
      </c>
      <c r="E440" t="s">
        <v>3655</v>
      </c>
      <c r="F440" t="s">
        <v>4148</v>
      </c>
      <c r="G440" t="s">
        <v>15827</v>
      </c>
      <c r="H440" t="s">
        <v>15828</v>
      </c>
      <c r="I440" t="s">
        <v>16261</v>
      </c>
      <c r="J440" t="s">
        <v>23</v>
      </c>
      <c r="L440" t="s">
        <v>3657</v>
      </c>
      <c r="M440" t="s">
        <v>4149</v>
      </c>
      <c r="N440" t="s">
        <v>4150</v>
      </c>
      <c r="O440" t="s">
        <v>4151</v>
      </c>
      <c r="P440" t="s">
        <v>4152</v>
      </c>
      <c r="Q440" t="s">
        <v>3659</v>
      </c>
      <c r="R440" t="s">
        <v>3660</v>
      </c>
      <c r="S440" t="s">
        <v>3661</v>
      </c>
      <c r="T440" t="s">
        <v>3665</v>
      </c>
      <c r="U440" s="5">
        <v>141.31</v>
      </c>
      <c r="V440" s="5">
        <v>138.32</v>
      </c>
      <c r="W440" s="5">
        <v>12.447314</v>
      </c>
      <c r="X440" s="5">
        <v>107.60942900000001</v>
      </c>
      <c r="Y440" s="5">
        <v>2.99</v>
      </c>
      <c r="Z440" s="5">
        <v>12.459466000000001</v>
      </c>
      <c r="AA440" s="5">
        <v>107.61325100000001</v>
      </c>
      <c r="AB440" s="7">
        <f t="shared" si="37"/>
        <v>0.20748</v>
      </c>
      <c r="AC440" s="7">
        <f t="shared" si="38"/>
        <v>4.4850000000000003E-3</v>
      </c>
      <c r="AD440" s="6" t="str">
        <f t="shared" si="39"/>
        <v>Phòng PC07</v>
      </c>
      <c r="AE440" s="6" t="str">
        <f t="shared" si="40"/>
        <v>Đội CC&amp;CNCH khu vực 14 - Công an xã Đức Lập (Trụ sở 2 CAH Đắk Mil cũ)</v>
      </c>
      <c r="AG440">
        <f t="shared" si="41"/>
        <v>0.13832</v>
      </c>
      <c r="AH440">
        <f t="shared" si="42"/>
        <v>2.99E-3</v>
      </c>
    </row>
    <row r="441" spans="1:34" x14ac:dyDescent="0.25">
      <c r="A441" t="s">
        <v>4153</v>
      </c>
      <c r="B441" t="s">
        <v>4154</v>
      </c>
      <c r="C441" t="s">
        <v>4155</v>
      </c>
      <c r="D441" t="s">
        <v>3546</v>
      </c>
      <c r="E441" t="s">
        <v>3547</v>
      </c>
      <c r="F441" t="s">
        <v>4156</v>
      </c>
      <c r="G441" t="s">
        <v>15827</v>
      </c>
      <c r="H441" t="s">
        <v>15828</v>
      </c>
      <c r="I441" t="s">
        <v>16262</v>
      </c>
      <c r="J441" t="s">
        <v>23</v>
      </c>
      <c r="L441" t="s">
        <v>3903</v>
      </c>
      <c r="M441" t="s">
        <v>4157</v>
      </c>
      <c r="N441" t="s">
        <v>4158</v>
      </c>
      <c r="O441" t="s">
        <v>4159</v>
      </c>
      <c r="P441" t="s">
        <v>4160</v>
      </c>
      <c r="Q441" t="s">
        <v>3908</v>
      </c>
      <c r="R441" t="s">
        <v>3909</v>
      </c>
      <c r="S441" t="s">
        <v>3910</v>
      </c>
      <c r="T441" t="s">
        <v>3911</v>
      </c>
      <c r="U441" s="5">
        <v>2939.55</v>
      </c>
      <c r="V441" s="5">
        <v>2936.97</v>
      </c>
      <c r="W441" s="5">
        <v>12.489153999999999</v>
      </c>
      <c r="X441" s="5">
        <v>107.723986</v>
      </c>
      <c r="Y441" s="5">
        <v>2.58</v>
      </c>
      <c r="Z441" s="5">
        <v>12.509452</v>
      </c>
      <c r="AA441" s="5">
        <v>107.749016</v>
      </c>
      <c r="AB441" s="7">
        <f t="shared" si="37"/>
        <v>4.4054549999999999</v>
      </c>
      <c r="AC441" s="7">
        <f t="shared" si="38"/>
        <v>3.8700000000000002E-3</v>
      </c>
      <c r="AD441" s="6" t="str">
        <f t="shared" si="39"/>
        <v>Công an xã Đắk Mil</v>
      </c>
      <c r="AE441" s="6" t="str">
        <f t="shared" si="40"/>
        <v>Phòng PC08 - Đội CSGT số 4</v>
      </c>
      <c r="AG441">
        <f t="shared" si="41"/>
        <v>2.9369699999999996</v>
      </c>
      <c r="AH441">
        <f t="shared" si="42"/>
        <v>2.5800000000000003E-3</v>
      </c>
    </row>
    <row r="442" spans="1:34" x14ac:dyDescent="0.25">
      <c r="A442" t="s">
        <v>4161</v>
      </c>
      <c r="B442" t="s">
        <v>4162</v>
      </c>
      <c r="C442" t="s">
        <v>4163</v>
      </c>
      <c r="D442" t="s">
        <v>3503</v>
      </c>
      <c r="E442" t="s">
        <v>3504</v>
      </c>
      <c r="F442" t="s">
        <v>4164</v>
      </c>
      <c r="G442" t="s">
        <v>15827</v>
      </c>
      <c r="H442" t="s">
        <v>15828</v>
      </c>
      <c r="I442" t="s">
        <v>16263</v>
      </c>
      <c r="J442" t="s">
        <v>23</v>
      </c>
      <c r="L442" t="s">
        <v>3729</v>
      </c>
      <c r="M442" t="s">
        <v>4165</v>
      </c>
      <c r="N442" t="s">
        <v>4166</v>
      </c>
      <c r="O442" t="s">
        <v>4167</v>
      </c>
      <c r="P442" t="s">
        <v>4168</v>
      </c>
      <c r="Q442" t="s">
        <v>4169</v>
      </c>
      <c r="R442" t="s">
        <v>4170</v>
      </c>
      <c r="S442" t="s">
        <v>4171</v>
      </c>
      <c r="T442" t="s">
        <v>4172</v>
      </c>
      <c r="U442" s="5">
        <v>96.65</v>
      </c>
      <c r="V442" s="5">
        <v>80.05</v>
      </c>
      <c r="W442" s="5">
        <v>12.441776000000001</v>
      </c>
      <c r="X442" s="5">
        <v>107.629672</v>
      </c>
      <c r="Y442" s="5">
        <v>16.600000000000001</v>
      </c>
      <c r="Z442" s="5">
        <v>12.44727</v>
      </c>
      <c r="AA442" s="5">
        <v>107.621786</v>
      </c>
      <c r="AB442" s="7">
        <f t="shared" si="37"/>
        <v>0.12007499999999999</v>
      </c>
      <c r="AC442" s="7">
        <f t="shared" si="38"/>
        <v>2.4900000000000002E-2</v>
      </c>
      <c r="AD442" s="6" t="str">
        <f t="shared" si="39"/>
        <v>Công an xã Đắk Song</v>
      </c>
      <c r="AE442" s="6" t="str">
        <f t="shared" si="40"/>
        <v>Công an xã Thuận An</v>
      </c>
      <c r="AG442">
        <f t="shared" si="41"/>
        <v>8.0049999999999996E-2</v>
      </c>
      <c r="AH442">
        <f t="shared" si="42"/>
        <v>1.66E-2</v>
      </c>
    </row>
    <row r="443" spans="1:34" x14ac:dyDescent="0.25">
      <c r="A443" t="s">
        <v>4173</v>
      </c>
      <c r="B443" t="s">
        <v>4174</v>
      </c>
      <c r="C443" t="s">
        <v>4175</v>
      </c>
      <c r="D443" t="s">
        <v>3753</v>
      </c>
      <c r="E443" t="s">
        <v>3754</v>
      </c>
      <c r="F443" t="s">
        <v>4176</v>
      </c>
      <c r="G443" t="s">
        <v>15827</v>
      </c>
      <c r="H443" t="s">
        <v>15828</v>
      </c>
      <c r="I443" t="s">
        <v>16264</v>
      </c>
      <c r="J443" t="s">
        <v>23</v>
      </c>
      <c r="L443" t="s">
        <v>3578</v>
      </c>
      <c r="M443" t="s">
        <v>4177</v>
      </c>
      <c r="N443" t="s">
        <v>4178</v>
      </c>
      <c r="O443" t="s">
        <v>4179</v>
      </c>
      <c r="P443" t="s">
        <v>4180</v>
      </c>
      <c r="Q443" t="s">
        <v>3949</v>
      </c>
      <c r="R443" t="s">
        <v>3950</v>
      </c>
      <c r="S443" t="s">
        <v>3951</v>
      </c>
      <c r="T443" t="s">
        <v>3586</v>
      </c>
      <c r="U443" s="5">
        <v>273.01</v>
      </c>
      <c r="V443" s="5">
        <v>128.65</v>
      </c>
      <c r="W443" s="5">
        <v>12.303564</v>
      </c>
      <c r="X443" s="5">
        <v>107.5934</v>
      </c>
      <c r="Y443" s="5">
        <v>144.36000000000001</v>
      </c>
      <c r="Z443" s="5">
        <v>12.25478</v>
      </c>
      <c r="AA443" s="5">
        <v>107.609988</v>
      </c>
      <c r="AB443" s="7">
        <f t="shared" si="37"/>
        <v>0.19297500000000004</v>
      </c>
      <c r="AC443" s="7">
        <f t="shared" si="38"/>
        <v>0.21654000000000001</v>
      </c>
      <c r="AD443" s="6" t="str">
        <f t="shared" si="39"/>
        <v>Công an tỉnh Lâm Đồng</v>
      </c>
      <c r="AE443" s="6" t="str">
        <f t="shared" si="40"/>
        <v>TT2
- Công an xã Đức Lập (Trụ sở 2 CAH Đắk Mil cũ)</v>
      </c>
      <c r="AG443">
        <f t="shared" si="41"/>
        <v>0.12865000000000001</v>
      </c>
      <c r="AH443">
        <f t="shared" si="42"/>
        <v>0.14436000000000002</v>
      </c>
    </row>
    <row r="444" spans="1:34" x14ac:dyDescent="0.25">
      <c r="A444" t="s">
        <v>4181</v>
      </c>
      <c r="B444" t="s">
        <v>3764</v>
      </c>
      <c r="C444" t="s">
        <v>3765</v>
      </c>
      <c r="D444" t="s">
        <v>3777</v>
      </c>
      <c r="E444" t="s">
        <v>3778</v>
      </c>
      <c r="F444" t="s">
        <v>4182</v>
      </c>
      <c r="G444" t="s">
        <v>15827</v>
      </c>
      <c r="H444" t="s">
        <v>15828</v>
      </c>
      <c r="I444" t="s">
        <v>16265</v>
      </c>
      <c r="J444" t="s">
        <v>23</v>
      </c>
      <c r="L444" t="s">
        <v>3602</v>
      </c>
      <c r="M444" t="s">
        <v>4183</v>
      </c>
      <c r="N444" t="s">
        <v>4184</v>
      </c>
      <c r="O444" t="s">
        <v>3605</v>
      </c>
      <c r="P444" t="s">
        <v>3606</v>
      </c>
      <c r="Q444" t="s">
        <v>3781</v>
      </c>
      <c r="R444" t="s">
        <v>3782</v>
      </c>
      <c r="S444" t="s">
        <v>3783</v>
      </c>
      <c r="T444" t="s">
        <v>3610</v>
      </c>
      <c r="U444" s="5">
        <v>796.43</v>
      </c>
      <c r="V444" s="5">
        <v>647.62</v>
      </c>
      <c r="W444" s="5">
        <v>12.018853</v>
      </c>
      <c r="X444" s="5">
        <v>107.492485</v>
      </c>
      <c r="Y444" s="5">
        <v>148.81</v>
      </c>
      <c r="Z444" s="5">
        <v>12.043371</v>
      </c>
      <c r="AA444" s="5">
        <v>107.489839</v>
      </c>
      <c r="AB444" s="7">
        <f t="shared" si="37"/>
        <v>0.97143000000000002</v>
      </c>
      <c r="AC444" s="7">
        <f t="shared" si="38"/>
        <v>0.223215</v>
      </c>
      <c r="AD444" s="6" t="str">
        <f t="shared" si="39"/>
        <v>Công an xã Tuy Đức (Trụ sở CAH Tuy Đức cũ)</v>
      </c>
      <c r="AE444" s="6" t="str">
        <f t="shared" si="40"/>
        <v>Công an xã Kiến Đức (Trụ sở CAH Đắk R'Lấp cũ)</v>
      </c>
      <c r="AG444">
        <f t="shared" si="41"/>
        <v>0.64761999999999997</v>
      </c>
      <c r="AH444">
        <f t="shared" si="42"/>
        <v>0.14881</v>
      </c>
    </row>
    <row r="445" spans="1:34" x14ac:dyDescent="0.25">
      <c r="A445" t="s">
        <v>4185</v>
      </c>
      <c r="B445" t="s">
        <v>3788</v>
      </c>
      <c r="C445" t="s">
        <v>3789</v>
      </c>
      <c r="D445" t="s">
        <v>3575</v>
      </c>
      <c r="E445" t="s">
        <v>3576</v>
      </c>
      <c r="F445" t="s">
        <v>4186</v>
      </c>
      <c r="G445" t="s">
        <v>15827</v>
      </c>
      <c r="H445" t="s">
        <v>15828</v>
      </c>
      <c r="I445" t="s">
        <v>16266</v>
      </c>
      <c r="J445" t="s">
        <v>23</v>
      </c>
      <c r="L445" t="s">
        <v>3602</v>
      </c>
      <c r="M445" t="s">
        <v>4187</v>
      </c>
      <c r="N445" t="s">
        <v>3792</v>
      </c>
      <c r="O445" t="s">
        <v>3793</v>
      </c>
      <c r="P445" t="s">
        <v>3794</v>
      </c>
      <c r="Q445" t="s">
        <v>3607</v>
      </c>
      <c r="R445" t="s">
        <v>3608</v>
      </c>
      <c r="S445" t="s">
        <v>3609</v>
      </c>
      <c r="T445" t="s">
        <v>3610</v>
      </c>
      <c r="U445" s="5">
        <v>97.91</v>
      </c>
      <c r="V445" s="5">
        <v>74.84</v>
      </c>
      <c r="W445" s="5">
        <v>12.184903</v>
      </c>
      <c r="X445" s="5">
        <v>107.450288</v>
      </c>
      <c r="Y445" s="5">
        <v>23.06</v>
      </c>
      <c r="Z445" s="5">
        <v>12.218915000000001</v>
      </c>
      <c r="AA445" s="5">
        <v>107.47745500000001</v>
      </c>
      <c r="AB445" s="7">
        <f t="shared" si="37"/>
        <v>0.11226</v>
      </c>
      <c r="AC445" s="7">
        <f t="shared" si="38"/>
        <v>3.4589999999999996E-2</v>
      </c>
      <c r="AD445" s="6" t="str">
        <f t="shared" si="39"/>
        <v>Công an xã Tuy Đức (Trụ sở CAH Tuy Đức cũ)</v>
      </c>
      <c r="AE445" s="6" t="str">
        <f t="shared" si="40"/>
        <v>Công an xã Kiến Đức (Trụ sở CAH Đắk R'Lấp cũ)</v>
      </c>
      <c r="AG445">
        <f t="shared" si="41"/>
        <v>7.4840000000000004E-2</v>
      </c>
      <c r="AH445">
        <f t="shared" si="42"/>
        <v>2.3059999999999997E-2</v>
      </c>
    </row>
    <row r="446" spans="1:34" x14ac:dyDescent="0.25">
      <c r="A446" t="s">
        <v>4188</v>
      </c>
      <c r="B446" t="s">
        <v>4189</v>
      </c>
      <c r="C446" t="s">
        <v>4190</v>
      </c>
      <c r="D446" t="s">
        <v>3488</v>
      </c>
      <c r="E446" t="s">
        <v>3489</v>
      </c>
      <c r="F446" t="s">
        <v>4191</v>
      </c>
      <c r="G446" t="s">
        <v>15827</v>
      </c>
      <c r="H446" t="s">
        <v>15828</v>
      </c>
      <c r="I446" t="s">
        <v>16267</v>
      </c>
      <c r="J446" t="s">
        <v>23</v>
      </c>
      <c r="L446" t="s">
        <v>3578</v>
      </c>
      <c r="M446" t="s">
        <v>4192</v>
      </c>
      <c r="N446" t="s">
        <v>4193</v>
      </c>
      <c r="O446" t="s">
        <v>4194</v>
      </c>
      <c r="P446" t="s">
        <v>4195</v>
      </c>
      <c r="Q446" t="s">
        <v>4196</v>
      </c>
      <c r="R446" t="s">
        <v>4197</v>
      </c>
      <c r="S446" t="s">
        <v>4198</v>
      </c>
      <c r="T446" t="s">
        <v>3586</v>
      </c>
      <c r="U446" s="5">
        <v>825.64</v>
      </c>
      <c r="V446" s="5">
        <v>452.26</v>
      </c>
      <c r="W446" s="5">
        <v>12.15021</v>
      </c>
      <c r="X446" s="5">
        <v>107.643135</v>
      </c>
      <c r="Y446" s="5">
        <v>373.39</v>
      </c>
      <c r="Z446" s="5">
        <v>12.099854000000001</v>
      </c>
      <c r="AA446" s="5">
        <v>107.656595</v>
      </c>
      <c r="AB446" s="7">
        <f t="shared" si="37"/>
        <v>0.67838999999999994</v>
      </c>
      <c r="AC446" s="7">
        <f t="shared" si="38"/>
        <v>0.56008500000000006</v>
      </c>
      <c r="AD446" s="6" t="str">
        <f t="shared" si="39"/>
        <v>Công an tỉnh Lâm Đồng</v>
      </c>
      <c r="AE446" s="6" t="str">
        <f t="shared" si="40"/>
        <v>TT2
- Công an xã Đức Lập (Trụ sở 2 CAH Đắk Mil cũ)</v>
      </c>
      <c r="AG446">
        <f t="shared" si="41"/>
        <v>0.45226</v>
      </c>
      <c r="AH446">
        <f t="shared" si="42"/>
        <v>0.37339</v>
      </c>
    </row>
    <row r="447" spans="1:34" x14ac:dyDescent="0.25">
      <c r="A447" t="s">
        <v>4199</v>
      </c>
      <c r="B447" t="s">
        <v>4200</v>
      </c>
      <c r="C447" t="s">
        <v>4201</v>
      </c>
      <c r="D447" t="s">
        <v>3836</v>
      </c>
      <c r="E447" t="s">
        <v>3837</v>
      </c>
      <c r="F447" t="s">
        <v>4202</v>
      </c>
      <c r="G447" t="s">
        <v>15827</v>
      </c>
      <c r="H447" t="s">
        <v>15828</v>
      </c>
      <c r="I447" t="s">
        <v>16268</v>
      </c>
      <c r="J447" t="s">
        <v>23</v>
      </c>
      <c r="L447" t="s">
        <v>3493</v>
      </c>
      <c r="M447" t="s">
        <v>4203</v>
      </c>
      <c r="N447" t="s">
        <v>4204</v>
      </c>
      <c r="O447" t="s">
        <v>4205</v>
      </c>
      <c r="P447" t="s">
        <v>4206</v>
      </c>
      <c r="Q447" t="s">
        <v>3525</v>
      </c>
      <c r="R447" t="s">
        <v>4137</v>
      </c>
      <c r="S447" t="s">
        <v>3843</v>
      </c>
      <c r="T447" t="s">
        <v>3501</v>
      </c>
      <c r="U447" s="5">
        <v>63.53</v>
      </c>
      <c r="V447" s="5">
        <v>62.77</v>
      </c>
      <c r="W447" s="5">
        <v>12.033683999999999</v>
      </c>
      <c r="X447" s="5">
        <v>107.687252</v>
      </c>
      <c r="Y447" s="5">
        <v>0.75</v>
      </c>
      <c r="Z447" s="5">
        <v>12.023574</v>
      </c>
      <c r="AA447" s="5">
        <v>107.685997</v>
      </c>
      <c r="AB447" s="7">
        <f t="shared" si="37"/>
        <v>9.4155000000000003E-2</v>
      </c>
      <c r="AC447" s="7">
        <f t="shared" si="38"/>
        <v>1.1249999999999999E-3</v>
      </c>
      <c r="AD447" s="6" t="str">
        <f t="shared" si="39"/>
        <v>Công an tỉnh Lâm Đồng</v>
      </c>
      <c r="AE447" s="6" t="str">
        <f t="shared" si="40"/>
        <v>TT2 - Công an xã Đức An (Trụ sở CAH Đắk Song cũ)</v>
      </c>
      <c r="AG447">
        <f t="shared" si="41"/>
        <v>6.2770000000000006E-2</v>
      </c>
      <c r="AH447">
        <f t="shared" si="42"/>
        <v>7.5000000000000002E-4</v>
      </c>
    </row>
    <row r="448" spans="1:34" x14ac:dyDescent="0.25">
      <c r="A448" t="s">
        <v>4207</v>
      </c>
      <c r="B448" t="s">
        <v>4208</v>
      </c>
      <c r="C448" t="s">
        <v>4209</v>
      </c>
      <c r="D448" t="s">
        <v>3836</v>
      </c>
      <c r="E448" t="s">
        <v>3837</v>
      </c>
      <c r="F448" t="s">
        <v>4210</v>
      </c>
      <c r="G448" t="s">
        <v>15827</v>
      </c>
      <c r="H448" t="s">
        <v>15828</v>
      </c>
      <c r="I448" t="s">
        <v>16269</v>
      </c>
      <c r="J448" t="s">
        <v>23</v>
      </c>
      <c r="L448" t="s">
        <v>4211</v>
      </c>
      <c r="M448" t="s">
        <v>4212</v>
      </c>
      <c r="N448" t="s">
        <v>4213</v>
      </c>
      <c r="O448" t="s">
        <v>4214</v>
      </c>
      <c r="P448" t="s">
        <v>4215</v>
      </c>
      <c r="Q448" t="s">
        <v>4216</v>
      </c>
      <c r="R448" t="s">
        <v>4217</v>
      </c>
      <c r="S448" t="s">
        <v>4218</v>
      </c>
      <c r="T448" t="s">
        <v>4219</v>
      </c>
      <c r="U448" s="5">
        <v>4548.8900000000003</v>
      </c>
      <c r="V448" s="5">
        <v>466.07</v>
      </c>
      <c r="W448" s="5">
        <v>12.021367</v>
      </c>
      <c r="X448" s="5">
        <v>107.738292</v>
      </c>
      <c r="Y448" s="5">
        <v>4082.82</v>
      </c>
      <c r="Z448" s="5">
        <v>12.006174</v>
      </c>
      <c r="AA448" s="5">
        <v>107.719054</v>
      </c>
      <c r="AB448" s="7">
        <f t="shared" si="37"/>
        <v>0.69910499999999998</v>
      </c>
      <c r="AC448" s="7">
        <f t="shared" si="38"/>
        <v>6.1242300000000007</v>
      </c>
      <c r="AD448" s="6" t="str">
        <f t="shared" si="39"/>
        <v>Công an xã Quảng Sơn</v>
      </c>
      <c r="AE448" s="6" t="str">
        <f t="shared" si="40"/>
        <v>Trại tạm giam cơ sở 2</v>
      </c>
      <c r="AG448">
        <f t="shared" si="41"/>
        <v>0.46606999999999998</v>
      </c>
      <c r="AH448">
        <f t="shared" si="42"/>
        <v>4.0828199999999999</v>
      </c>
    </row>
    <row r="449" spans="1:34" x14ac:dyDescent="0.25">
      <c r="A449" t="s">
        <v>4220</v>
      </c>
      <c r="B449" t="s">
        <v>4221</v>
      </c>
      <c r="C449" t="s">
        <v>4222</v>
      </c>
      <c r="D449" t="s">
        <v>3866</v>
      </c>
      <c r="E449" t="s">
        <v>3867</v>
      </c>
      <c r="F449" t="s">
        <v>4223</v>
      </c>
      <c r="G449" t="s">
        <v>15827</v>
      </c>
      <c r="H449" t="s">
        <v>16230</v>
      </c>
      <c r="I449" t="s">
        <v>16270</v>
      </c>
      <c r="J449" t="s">
        <v>23</v>
      </c>
      <c r="L449" t="s">
        <v>4116</v>
      </c>
      <c r="M449" t="s">
        <v>4224</v>
      </c>
      <c r="N449" t="s">
        <v>4225</v>
      </c>
      <c r="O449" t="s">
        <v>4226</v>
      </c>
      <c r="P449" t="s">
        <v>4227</v>
      </c>
      <c r="Q449" t="s">
        <v>4228</v>
      </c>
      <c r="R449" t="s">
        <v>4229</v>
      </c>
      <c r="S449" t="s">
        <v>4230</v>
      </c>
      <c r="T449" t="s">
        <v>4231</v>
      </c>
      <c r="U449" s="5">
        <v>205.07</v>
      </c>
      <c r="V449" s="5">
        <v>108.24</v>
      </c>
      <c r="W449" s="5">
        <v>11.970677999999999</v>
      </c>
      <c r="X449" s="5">
        <v>107.576391</v>
      </c>
      <c r="Y449" s="5">
        <v>96.83</v>
      </c>
      <c r="Z449" s="5">
        <v>11.976426999999999</v>
      </c>
      <c r="AA449" s="5">
        <v>107.58153</v>
      </c>
      <c r="AB449" s="7">
        <f t="shared" si="37"/>
        <v>0.16235999999999998</v>
      </c>
      <c r="AC449" s="7">
        <f t="shared" si="38"/>
        <v>0.14524500000000001</v>
      </c>
      <c r="AD449" s="6" t="str">
        <f t="shared" si="39"/>
        <v>Công An xã Quảng Tín</v>
      </c>
      <c r="AE449" s="6" t="str">
        <f t="shared" si="40"/>
        <v>Đồn CA KCN Nhân Cơ</v>
      </c>
      <c r="AG449">
        <f t="shared" si="41"/>
        <v>0.10823999999999999</v>
      </c>
      <c r="AH449">
        <f t="shared" si="42"/>
        <v>9.6829999999999999E-2</v>
      </c>
    </row>
    <row r="450" spans="1:34" x14ac:dyDescent="0.25">
      <c r="A450" t="s">
        <v>4232</v>
      </c>
      <c r="B450" t="s">
        <v>4233</v>
      </c>
      <c r="C450" t="s">
        <v>4234</v>
      </c>
      <c r="D450" t="s">
        <v>3599</v>
      </c>
      <c r="E450" t="s">
        <v>3600</v>
      </c>
      <c r="F450" t="s">
        <v>4235</v>
      </c>
      <c r="G450" t="s">
        <v>15827</v>
      </c>
      <c r="H450" t="s">
        <v>16230</v>
      </c>
      <c r="I450" t="s">
        <v>16271</v>
      </c>
      <c r="J450" t="s">
        <v>23</v>
      </c>
      <c r="L450" t="s">
        <v>3890</v>
      </c>
      <c r="M450" t="s">
        <v>4236</v>
      </c>
      <c r="N450" t="s">
        <v>4237</v>
      </c>
      <c r="O450" t="s">
        <v>4238</v>
      </c>
      <c r="P450" t="s">
        <v>4239</v>
      </c>
      <c r="Q450" t="s">
        <v>4240</v>
      </c>
      <c r="R450" t="s">
        <v>4241</v>
      </c>
      <c r="S450" t="s">
        <v>4242</v>
      </c>
      <c r="T450" t="s">
        <v>4243</v>
      </c>
      <c r="U450" s="5">
        <v>3604.33</v>
      </c>
      <c r="V450" s="5">
        <v>3532.75</v>
      </c>
      <c r="W450" s="5">
        <v>11.992851999999999</v>
      </c>
      <c r="X450" s="5">
        <v>107.510395</v>
      </c>
      <c r="Y450" s="5">
        <v>71.58</v>
      </c>
      <c r="Z450" s="5">
        <v>12.00653</v>
      </c>
      <c r="AA450" s="5">
        <v>107.513014</v>
      </c>
      <c r="AB450" s="7">
        <f t="shared" si="37"/>
        <v>5.2991250000000001</v>
      </c>
      <c r="AC450" s="7">
        <f t="shared" si="38"/>
        <v>0.10737000000000001</v>
      </c>
      <c r="AD450" s="6" t="str">
        <f t="shared" si="39"/>
        <v>Đội CC&amp;CNCH khu vực 13</v>
      </c>
      <c r="AE450" s="6" t="str">
        <f t="shared" si="40"/>
        <v>Công an xã Quảng Tín</v>
      </c>
      <c r="AG450">
        <f t="shared" si="41"/>
        <v>3.5327500000000001</v>
      </c>
      <c r="AH450">
        <f t="shared" si="42"/>
        <v>7.1580000000000005E-2</v>
      </c>
    </row>
    <row r="451" spans="1:34" x14ac:dyDescent="0.25">
      <c r="A451" t="s">
        <v>4244</v>
      </c>
      <c r="B451" t="s">
        <v>4245</v>
      </c>
      <c r="C451" t="s">
        <v>4246</v>
      </c>
      <c r="D451" t="s">
        <v>3599</v>
      </c>
      <c r="E451" t="s">
        <v>3600</v>
      </c>
      <c r="F451" t="s">
        <v>4247</v>
      </c>
      <c r="G451" t="s">
        <v>15827</v>
      </c>
      <c r="H451" t="s">
        <v>16230</v>
      </c>
      <c r="I451" t="s">
        <v>16272</v>
      </c>
      <c r="J451" t="s">
        <v>23</v>
      </c>
      <c r="L451" t="s">
        <v>3890</v>
      </c>
      <c r="M451" t="s">
        <v>4248</v>
      </c>
      <c r="N451" t="s">
        <v>4249</v>
      </c>
      <c r="O451" t="s">
        <v>4250</v>
      </c>
      <c r="P451" t="s">
        <v>4251</v>
      </c>
      <c r="Q451" t="s">
        <v>4069</v>
      </c>
      <c r="R451" t="s">
        <v>4070</v>
      </c>
      <c r="S451" t="s">
        <v>4071</v>
      </c>
      <c r="T451" t="s">
        <v>3898</v>
      </c>
      <c r="U451" s="5">
        <v>2602.9899999999998</v>
      </c>
      <c r="V451" s="5">
        <v>990.75</v>
      </c>
      <c r="W451" s="5">
        <v>11.95595</v>
      </c>
      <c r="X451" s="5">
        <v>107.471277</v>
      </c>
      <c r="Y451" s="5">
        <v>1612.24</v>
      </c>
      <c r="Z451" s="5">
        <v>11.992825</v>
      </c>
      <c r="AA451" s="5">
        <v>107.510738</v>
      </c>
      <c r="AB451" s="7">
        <f t="shared" ref="AB451:AB514" si="43">V451*1.5/1000</f>
        <v>1.4861249999999999</v>
      </c>
      <c r="AC451" s="7">
        <f t="shared" ref="AC451:AC514" si="44">Y451*1.5/1000</f>
        <v>2.4183600000000003</v>
      </c>
      <c r="AD451" s="6" t="str">
        <f t="shared" ref="AD451:AD514" si="45">TRIM(LEFT(L451,FIND("-",L451)-1))</f>
        <v>Đội CC&amp;CNCH khu vực 13</v>
      </c>
      <c r="AE451" s="6" t="str">
        <f t="shared" ref="AE451:AE514" si="46">TRIM(RIGHT(L451, LEN(L451) - FIND("-", L451)))</f>
        <v>Công an xã Quảng Tín</v>
      </c>
      <c r="AG451">
        <f t="shared" ref="AG451:AG514" si="47">V451/1000</f>
        <v>0.99075000000000002</v>
      </c>
      <c r="AH451">
        <f t="shared" ref="AH451:AH514" si="48">Y451/1000</f>
        <v>1.6122400000000001</v>
      </c>
    </row>
    <row r="452" spans="1:34" x14ac:dyDescent="0.25">
      <c r="A452" t="s">
        <v>4252</v>
      </c>
      <c r="B452" t="s">
        <v>4132</v>
      </c>
      <c r="C452" t="s">
        <v>4133</v>
      </c>
      <c r="D452" t="s">
        <v>3849</v>
      </c>
      <c r="E452" t="s">
        <v>3850</v>
      </c>
      <c r="F452" t="s">
        <v>4253</v>
      </c>
      <c r="G452" t="s">
        <v>15827</v>
      </c>
      <c r="H452" t="s">
        <v>16230</v>
      </c>
      <c r="I452" t="s">
        <v>16273</v>
      </c>
      <c r="J452" t="s">
        <v>23</v>
      </c>
      <c r="L452" t="s">
        <v>3854</v>
      </c>
      <c r="M452" t="s">
        <v>4254</v>
      </c>
      <c r="N452" t="s">
        <v>4255</v>
      </c>
      <c r="O452" t="s">
        <v>4256</v>
      </c>
      <c r="P452" t="s">
        <v>4257</v>
      </c>
      <c r="Q452" t="s">
        <v>3856</v>
      </c>
      <c r="R452" t="s">
        <v>3857</v>
      </c>
      <c r="S452" t="s">
        <v>3858</v>
      </c>
      <c r="T452" t="s">
        <v>3862</v>
      </c>
      <c r="U452" s="5">
        <v>1891.38</v>
      </c>
      <c r="V452" s="5">
        <v>1761.19</v>
      </c>
      <c r="W452" s="5">
        <v>12.001448999999999</v>
      </c>
      <c r="X452" s="5">
        <v>107.676164</v>
      </c>
      <c r="Y452" s="5">
        <v>130.19</v>
      </c>
      <c r="Z452" s="5">
        <v>11.982198</v>
      </c>
      <c r="AA452" s="5">
        <v>107.58801200000001</v>
      </c>
      <c r="AB452" s="7">
        <f t="shared" si="43"/>
        <v>2.641785</v>
      </c>
      <c r="AC452" s="7">
        <f t="shared" si="44"/>
        <v>0.19528499999999999</v>
      </c>
      <c r="AD452" s="6" t="str">
        <f t="shared" si="45"/>
        <v>Công an phường Nam Gia Nghĩa</v>
      </c>
      <c r="AE452" s="6" t="str">
        <f t="shared" si="46"/>
        <v>Công an xã Kiến Đức</v>
      </c>
      <c r="AG452">
        <f t="shared" si="47"/>
        <v>1.76119</v>
      </c>
      <c r="AH452">
        <f t="shared" si="48"/>
        <v>0.13019</v>
      </c>
    </row>
    <row r="453" spans="1:34" x14ac:dyDescent="0.25">
      <c r="A453" t="s">
        <v>4258</v>
      </c>
      <c r="B453" t="s">
        <v>4259</v>
      </c>
      <c r="C453" t="s">
        <v>4260</v>
      </c>
      <c r="D453" t="s">
        <v>3599</v>
      </c>
      <c r="E453" t="s">
        <v>3600</v>
      </c>
      <c r="F453" t="s">
        <v>4261</v>
      </c>
      <c r="G453" t="s">
        <v>15827</v>
      </c>
      <c r="H453" t="s">
        <v>16230</v>
      </c>
      <c r="I453" t="s">
        <v>16274</v>
      </c>
      <c r="J453" t="s">
        <v>23</v>
      </c>
      <c r="L453" t="s">
        <v>3854</v>
      </c>
      <c r="M453" t="s">
        <v>4262</v>
      </c>
      <c r="N453" t="s">
        <v>4263</v>
      </c>
      <c r="O453" t="s">
        <v>4264</v>
      </c>
      <c r="P453" t="s">
        <v>4265</v>
      </c>
      <c r="Q453" t="s">
        <v>4266</v>
      </c>
      <c r="R453" t="s">
        <v>4267</v>
      </c>
      <c r="S453" t="s">
        <v>4268</v>
      </c>
      <c r="T453" t="s">
        <v>3862</v>
      </c>
      <c r="U453" s="5">
        <v>878.39</v>
      </c>
      <c r="V453" s="5">
        <v>222.21</v>
      </c>
      <c r="W453" s="5">
        <v>11.993556999999999</v>
      </c>
      <c r="X453" s="5">
        <v>107.546589</v>
      </c>
      <c r="Y453" s="5">
        <v>656.18</v>
      </c>
      <c r="Z453" s="5">
        <v>12.001529</v>
      </c>
      <c r="AA453" s="5">
        <v>107.511134</v>
      </c>
      <c r="AB453" s="7">
        <f t="shared" si="43"/>
        <v>0.33331499999999997</v>
      </c>
      <c r="AC453" s="7">
        <f t="shared" si="44"/>
        <v>0.98426999999999998</v>
      </c>
      <c r="AD453" s="6" t="str">
        <f t="shared" si="45"/>
        <v>Công an phường Nam Gia Nghĩa</v>
      </c>
      <c r="AE453" s="6" t="str">
        <f t="shared" si="46"/>
        <v>Công an xã Kiến Đức</v>
      </c>
      <c r="AG453">
        <f t="shared" si="47"/>
        <v>0.22221000000000002</v>
      </c>
      <c r="AH453">
        <f t="shared" si="48"/>
        <v>0.65617999999999999</v>
      </c>
    </row>
    <row r="454" spans="1:34" x14ac:dyDescent="0.25">
      <c r="A454" t="s">
        <v>4269</v>
      </c>
      <c r="B454" t="s">
        <v>4132</v>
      </c>
      <c r="C454" t="s">
        <v>4133</v>
      </c>
      <c r="D454" t="s">
        <v>3864</v>
      </c>
      <c r="E454" t="s">
        <v>3865</v>
      </c>
      <c r="F454" t="s">
        <v>4270</v>
      </c>
      <c r="G454" t="s">
        <v>15827</v>
      </c>
      <c r="H454" t="s">
        <v>16230</v>
      </c>
      <c r="I454" t="s">
        <v>16275</v>
      </c>
      <c r="J454" t="s">
        <v>23</v>
      </c>
      <c r="L454" t="s">
        <v>4271</v>
      </c>
      <c r="M454" t="s">
        <v>4272</v>
      </c>
      <c r="N454" t="s">
        <v>4273</v>
      </c>
      <c r="O454" t="s">
        <v>4274</v>
      </c>
      <c r="P454" t="s">
        <v>4275</v>
      </c>
      <c r="Q454" t="s">
        <v>4276</v>
      </c>
      <c r="R454" t="s">
        <v>4277</v>
      </c>
      <c r="S454" t="s">
        <v>4278</v>
      </c>
      <c r="T454" t="s">
        <v>4279</v>
      </c>
      <c r="U454" s="5">
        <v>1887.12</v>
      </c>
      <c r="V454" s="5">
        <v>1596.44</v>
      </c>
      <c r="W454" s="5">
        <v>12.013104</v>
      </c>
      <c r="X454" s="5">
        <v>107.68238100000001</v>
      </c>
      <c r="Y454" s="5">
        <v>290.69</v>
      </c>
      <c r="Z454" s="5">
        <v>11.981328</v>
      </c>
      <c r="AA454" s="5">
        <v>107.65792500000001</v>
      </c>
      <c r="AB454" s="7">
        <f t="shared" si="43"/>
        <v>2.39466</v>
      </c>
      <c r="AC454" s="7">
        <f t="shared" si="44"/>
        <v>0.43603499999999995</v>
      </c>
      <c r="AD454" s="6" t="str">
        <f t="shared" si="45"/>
        <v>Công an xã Nhân Cơ</v>
      </c>
      <c r="AE454" s="6" t="str">
        <f t="shared" si="46"/>
        <v>Công an tỉnh Lâm Đồng - TT2</v>
      </c>
      <c r="AG454">
        <f t="shared" si="47"/>
        <v>1.5964400000000001</v>
      </c>
      <c r="AH454">
        <f t="shared" si="48"/>
        <v>0.29069</v>
      </c>
    </row>
    <row r="455" spans="1:34" x14ac:dyDescent="0.25">
      <c r="A455" t="s">
        <v>4280</v>
      </c>
      <c r="B455" t="s">
        <v>4281</v>
      </c>
      <c r="C455" t="s">
        <v>4282</v>
      </c>
      <c r="D455" t="s">
        <v>3599</v>
      </c>
      <c r="E455" t="s">
        <v>3600</v>
      </c>
      <c r="F455" t="s">
        <v>4283</v>
      </c>
      <c r="G455" t="s">
        <v>15827</v>
      </c>
      <c r="H455" t="s">
        <v>16230</v>
      </c>
      <c r="I455" t="s">
        <v>16276</v>
      </c>
      <c r="J455" t="s">
        <v>23</v>
      </c>
      <c r="L455" t="s">
        <v>3767</v>
      </c>
      <c r="M455" t="s">
        <v>4284</v>
      </c>
      <c r="N455" t="s">
        <v>4285</v>
      </c>
      <c r="O455" t="s">
        <v>4286</v>
      </c>
      <c r="P455" t="s">
        <v>4287</v>
      </c>
      <c r="Q455" t="s">
        <v>4288</v>
      </c>
      <c r="R455" t="s">
        <v>4286</v>
      </c>
      <c r="S455" t="s">
        <v>4287</v>
      </c>
      <c r="T455" t="s">
        <v>4289</v>
      </c>
      <c r="U455" s="5">
        <v>1580.83</v>
      </c>
      <c r="V455" s="5">
        <v>1573.82</v>
      </c>
      <c r="W455" s="5">
        <v>12.007192</v>
      </c>
      <c r="X455" s="5">
        <v>107.51297599999999</v>
      </c>
      <c r="Y455" s="5">
        <v>7.01</v>
      </c>
      <c r="Z455" s="5">
        <v>12.007192</v>
      </c>
      <c r="AA455" s="5">
        <v>107.51297599999999</v>
      </c>
      <c r="AB455" s="7">
        <f t="shared" si="43"/>
        <v>2.3607300000000002</v>
      </c>
      <c r="AC455" s="7">
        <f t="shared" si="44"/>
        <v>1.0515E-2</v>
      </c>
      <c r="AD455" s="6" t="str">
        <f t="shared" si="45"/>
        <v>Đường Quảng Tân</v>
      </c>
      <c r="AE455" s="6" t="str">
        <f t="shared" si="46"/>
        <v>TTCMKV Đắk R'Lấp</v>
      </c>
      <c r="AG455">
        <f t="shared" si="47"/>
        <v>1.57382</v>
      </c>
      <c r="AH455">
        <f t="shared" si="48"/>
        <v>7.0099999999999997E-3</v>
      </c>
    </row>
    <row r="456" spans="1:34" x14ac:dyDescent="0.25">
      <c r="A456" t="s">
        <v>4290</v>
      </c>
      <c r="B456" t="s">
        <v>4291</v>
      </c>
      <c r="C456" t="s">
        <v>4292</v>
      </c>
      <c r="D456" t="s">
        <v>3885</v>
      </c>
      <c r="E456" t="s">
        <v>3886</v>
      </c>
      <c r="F456" t="s">
        <v>4293</v>
      </c>
      <c r="G456" t="s">
        <v>15827</v>
      </c>
      <c r="H456" t="s">
        <v>16230</v>
      </c>
      <c r="I456" t="s">
        <v>16277</v>
      </c>
      <c r="J456" t="s">
        <v>23</v>
      </c>
      <c r="L456" t="s">
        <v>4116</v>
      </c>
      <c r="M456" t="s">
        <v>4294</v>
      </c>
      <c r="N456" t="s">
        <v>4295</v>
      </c>
      <c r="O456" t="s">
        <v>4296</v>
      </c>
      <c r="P456" t="s">
        <v>4297</v>
      </c>
      <c r="Q456" t="s">
        <v>4298</v>
      </c>
      <c r="R456" t="s">
        <v>4299</v>
      </c>
      <c r="S456" t="s">
        <v>4300</v>
      </c>
      <c r="T456" t="s">
        <v>4231</v>
      </c>
      <c r="U456" s="5">
        <v>1133.54</v>
      </c>
      <c r="V456" s="5">
        <v>163.77000000000001</v>
      </c>
      <c r="W456" s="5">
        <v>11.877682999999999</v>
      </c>
      <c r="X456" s="5">
        <v>107.41624</v>
      </c>
      <c r="Y456" s="5">
        <v>969.77</v>
      </c>
      <c r="Z456" s="5">
        <v>11.904558</v>
      </c>
      <c r="AA456" s="5">
        <v>107.395252</v>
      </c>
      <c r="AB456" s="7">
        <f t="shared" si="43"/>
        <v>0.24565500000000004</v>
      </c>
      <c r="AC456" s="7">
        <f t="shared" si="44"/>
        <v>1.454655</v>
      </c>
      <c r="AD456" s="6" t="str">
        <f t="shared" si="45"/>
        <v>Công An xã Quảng Tín</v>
      </c>
      <c r="AE456" s="6" t="str">
        <f t="shared" si="46"/>
        <v>Đồn CA KCN Nhân Cơ</v>
      </c>
      <c r="AG456">
        <f t="shared" si="47"/>
        <v>0.16377</v>
      </c>
      <c r="AH456">
        <f t="shared" si="48"/>
        <v>0.96977000000000002</v>
      </c>
    </row>
    <row r="457" spans="1:34" x14ac:dyDescent="0.25">
      <c r="A457" t="s">
        <v>4301</v>
      </c>
      <c r="B457" t="s">
        <v>4302</v>
      </c>
      <c r="C457" t="s">
        <v>4303</v>
      </c>
      <c r="D457" t="s">
        <v>3599</v>
      </c>
      <c r="E457" t="s">
        <v>3600</v>
      </c>
      <c r="F457" t="s">
        <v>4304</v>
      </c>
      <c r="G457" t="s">
        <v>15827</v>
      </c>
      <c r="H457" t="s">
        <v>16230</v>
      </c>
      <c r="I457" t="s">
        <v>16278</v>
      </c>
      <c r="J457" t="s">
        <v>23</v>
      </c>
      <c r="L457" t="s">
        <v>3890</v>
      </c>
      <c r="M457" t="s">
        <v>4305</v>
      </c>
      <c r="N457" t="s">
        <v>4306</v>
      </c>
      <c r="O457" t="s">
        <v>4307</v>
      </c>
      <c r="P457" t="s">
        <v>4308</v>
      </c>
      <c r="Q457" t="s">
        <v>4069</v>
      </c>
      <c r="R457" t="s">
        <v>4070</v>
      </c>
      <c r="S457" t="s">
        <v>4071</v>
      </c>
      <c r="T457" t="s">
        <v>3898</v>
      </c>
      <c r="U457" s="5">
        <v>1707.25</v>
      </c>
      <c r="V457" s="5">
        <v>95.01</v>
      </c>
      <c r="W457" s="5">
        <v>11.932662000000001</v>
      </c>
      <c r="X457" s="5">
        <v>107.433708</v>
      </c>
      <c r="Y457" s="5">
        <v>1612.24</v>
      </c>
      <c r="Z457" s="5">
        <v>11.992825</v>
      </c>
      <c r="AA457" s="5">
        <v>107.510738</v>
      </c>
      <c r="AB457" s="7">
        <f t="shared" si="43"/>
        <v>0.142515</v>
      </c>
      <c r="AC457" s="7">
        <f t="shared" si="44"/>
        <v>2.4183600000000003</v>
      </c>
      <c r="AD457" s="6" t="str">
        <f t="shared" si="45"/>
        <v>Đội CC&amp;CNCH khu vực 13</v>
      </c>
      <c r="AE457" s="6" t="str">
        <f t="shared" si="46"/>
        <v>Công an xã Quảng Tín</v>
      </c>
      <c r="AG457">
        <f t="shared" si="47"/>
        <v>9.5010000000000011E-2</v>
      </c>
      <c r="AH457">
        <f t="shared" si="48"/>
        <v>1.6122400000000001</v>
      </c>
    </row>
    <row r="458" spans="1:34" x14ac:dyDescent="0.25">
      <c r="A458" t="s">
        <v>4309</v>
      </c>
      <c r="B458" t="s">
        <v>4310</v>
      </c>
      <c r="C458" t="s">
        <v>4311</v>
      </c>
      <c r="D458" t="s">
        <v>4096</v>
      </c>
      <c r="E458" t="s">
        <v>4097</v>
      </c>
      <c r="F458" t="s">
        <v>4312</v>
      </c>
      <c r="G458" t="s">
        <v>15827</v>
      </c>
      <c r="H458" t="s">
        <v>16230</v>
      </c>
      <c r="I458" t="s">
        <v>16279</v>
      </c>
      <c r="J458" t="s">
        <v>23</v>
      </c>
      <c r="L458" t="s">
        <v>4313</v>
      </c>
      <c r="M458" t="s">
        <v>4314</v>
      </c>
      <c r="N458" t="s">
        <v>4315</v>
      </c>
      <c r="O458" t="s">
        <v>4316</v>
      </c>
      <c r="P458" t="s">
        <v>4317</v>
      </c>
      <c r="Q458" t="s">
        <v>4318</v>
      </c>
      <c r="R458" t="s">
        <v>4319</v>
      </c>
      <c r="S458" t="s">
        <v>4320</v>
      </c>
      <c r="T458" t="s">
        <v>4321</v>
      </c>
      <c r="U458" s="5">
        <v>161.94999999999999</v>
      </c>
      <c r="V458" s="5">
        <v>157.74</v>
      </c>
      <c r="W458" s="5">
        <v>11.958558</v>
      </c>
      <c r="X458" s="5">
        <v>107.727834</v>
      </c>
      <c r="Y458" s="5">
        <v>4.21</v>
      </c>
      <c r="Z458" s="5">
        <v>11.95994</v>
      </c>
      <c r="AA458" s="5">
        <v>107.728562</v>
      </c>
      <c r="AB458" s="7">
        <f t="shared" si="43"/>
        <v>0.23661000000000001</v>
      </c>
      <c r="AC458" s="7">
        <f t="shared" si="44"/>
        <v>6.3149999999999994E-3</v>
      </c>
      <c r="AD458" s="6" t="str">
        <f t="shared" si="45"/>
        <v>Công an phường Đông Gia Nghĩa</v>
      </c>
      <c r="AE458" s="6" t="str">
        <f t="shared" si="46"/>
        <v>Công an phường Nam Gia Nghĩa</v>
      </c>
      <c r="AG458">
        <f t="shared" si="47"/>
        <v>0.15774000000000002</v>
      </c>
      <c r="AH458">
        <f t="shared" si="48"/>
        <v>4.2100000000000002E-3</v>
      </c>
    </row>
    <row r="459" spans="1:34" x14ac:dyDescent="0.25">
      <c r="A459" t="s">
        <v>4322</v>
      </c>
      <c r="B459" t="s">
        <v>4323</v>
      </c>
      <c r="C459" t="s">
        <v>4324</v>
      </c>
      <c r="D459" t="s">
        <v>3836</v>
      </c>
      <c r="E459" t="s">
        <v>3837</v>
      </c>
      <c r="F459" t="s">
        <v>4325</v>
      </c>
      <c r="G459" t="s">
        <v>15979</v>
      </c>
      <c r="H459" t="s">
        <v>15980</v>
      </c>
      <c r="I459" t="s">
        <v>16280</v>
      </c>
      <c r="J459" t="s">
        <v>23</v>
      </c>
      <c r="L459" t="s">
        <v>4044</v>
      </c>
      <c r="M459" t="s">
        <v>4326</v>
      </c>
      <c r="N459" t="s">
        <v>4327</v>
      </c>
      <c r="O459" t="s">
        <v>4328</v>
      </c>
      <c r="P459" t="s">
        <v>4329</v>
      </c>
      <c r="Q459" t="s">
        <v>4049</v>
      </c>
      <c r="R459" t="s">
        <v>4050</v>
      </c>
      <c r="S459" t="s">
        <v>4051</v>
      </c>
      <c r="T459" t="s">
        <v>4052</v>
      </c>
      <c r="U459" s="5">
        <v>364.07</v>
      </c>
      <c r="V459" s="5">
        <v>348.67</v>
      </c>
      <c r="W459" s="5">
        <v>11.992516999999999</v>
      </c>
      <c r="X459" s="5">
        <v>107.6704</v>
      </c>
      <c r="Y459" s="5">
        <v>15.4</v>
      </c>
      <c r="Z459" s="5">
        <v>12.023471000000001</v>
      </c>
      <c r="AA459" s="5">
        <v>107.686087</v>
      </c>
      <c r="AB459" s="7">
        <f t="shared" si="43"/>
        <v>0.52300499999999994</v>
      </c>
      <c r="AC459" s="7">
        <f t="shared" si="44"/>
        <v>2.3100000000000002E-2</v>
      </c>
      <c r="AD459" s="6" t="str">
        <f t="shared" si="45"/>
        <v>Phòng PA06</v>
      </c>
      <c r="AE459" s="6" t="str">
        <f t="shared" si="46"/>
        <v>Tổ địa bàn số 2 - Công an tỉnh Lâm Đồng - TT2</v>
      </c>
      <c r="AG459">
        <f t="shared" si="47"/>
        <v>0.34867000000000004</v>
      </c>
      <c r="AH459">
        <f t="shared" si="48"/>
        <v>1.54E-2</v>
      </c>
    </row>
    <row r="460" spans="1:34" x14ac:dyDescent="0.25">
      <c r="A460" t="s">
        <v>4330</v>
      </c>
      <c r="B460" t="s">
        <v>3836</v>
      </c>
      <c r="C460" t="s">
        <v>3837</v>
      </c>
      <c r="D460" t="s">
        <v>4323</v>
      </c>
      <c r="E460" t="s">
        <v>4324</v>
      </c>
      <c r="F460" t="s">
        <v>4331</v>
      </c>
      <c r="G460" t="s">
        <v>15979</v>
      </c>
      <c r="H460" t="s">
        <v>15980</v>
      </c>
      <c r="I460" t="s">
        <v>16281</v>
      </c>
      <c r="J460" t="s">
        <v>23</v>
      </c>
      <c r="L460" t="s">
        <v>4044</v>
      </c>
      <c r="M460" t="s">
        <v>4326</v>
      </c>
      <c r="N460" t="s">
        <v>4049</v>
      </c>
      <c r="O460" t="s">
        <v>4050</v>
      </c>
      <c r="P460" t="s">
        <v>4051</v>
      </c>
      <c r="Q460" t="s">
        <v>4327</v>
      </c>
      <c r="R460" t="s">
        <v>4328</v>
      </c>
      <c r="S460" t="s">
        <v>4329</v>
      </c>
      <c r="T460" t="s">
        <v>4052</v>
      </c>
      <c r="U460" s="5">
        <v>364.07</v>
      </c>
      <c r="V460" s="5">
        <v>15.4</v>
      </c>
      <c r="W460" s="5">
        <v>12.023471000000001</v>
      </c>
      <c r="X460" s="5">
        <v>107.686087</v>
      </c>
      <c r="Y460" s="5">
        <v>348.67</v>
      </c>
      <c r="Z460" s="5">
        <v>11.992516999999999</v>
      </c>
      <c r="AA460" s="5">
        <v>107.6704</v>
      </c>
      <c r="AB460" s="7">
        <f t="shared" si="43"/>
        <v>2.3100000000000002E-2</v>
      </c>
      <c r="AC460" s="7">
        <f t="shared" si="44"/>
        <v>0.52300499999999994</v>
      </c>
      <c r="AD460" s="6" t="str">
        <f t="shared" si="45"/>
        <v>Phòng PA06</v>
      </c>
      <c r="AE460" s="6" t="str">
        <f t="shared" si="46"/>
        <v>Tổ địa bàn số 2 - Công an tỉnh Lâm Đồng - TT2</v>
      </c>
      <c r="AG460">
        <f t="shared" si="47"/>
        <v>1.54E-2</v>
      </c>
      <c r="AH460">
        <f t="shared" si="48"/>
        <v>0.34867000000000004</v>
      </c>
    </row>
    <row r="461" spans="1:34" x14ac:dyDescent="0.25">
      <c r="A461" t="s">
        <v>4332</v>
      </c>
      <c r="B461" t="s">
        <v>3836</v>
      </c>
      <c r="C461" t="s">
        <v>3837</v>
      </c>
      <c r="D461" t="s">
        <v>4132</v>
      </c>
      <c r="E461" t="s">
        <v>4133</v>
      </c>
      <c r="F461" t="s">
        <v>4333</v>
      </c>
      <c r="G461" t="s">
        <v>15979</v>
      </c>
      <c r="H461" t="s">
        <v>15980</v>
      </c>
      <c r="I461" t="s">
        <v>16282</v>
      </c>
      <c r="J461" t="s">
        <v>23</v>
      </c>
      <c r="L461" t="s">
        <v>3565</v>
      </c>
      <c r="M461" t="s">
        <v>4334</v>
      </c>
      <c r="N461" t="s">
        <v>3841</v>
      </c>
      <c r="O461" t="s">
        <v>3842</v>
      </c>
      <c r="P461" t="s">
        <v>3843</v>
      </c>
      <c r="Q461" t="s">
        <v>4335</v>
      </c>
      <c r="R461" t="s">
        <v>4336</v>
      </c>
      <c r="S461" t="s">
        <v>4337</v>
      </c>
      <c r="T461" t="s">
        <v>3847</v>
      </c>
      <c r="U461" s="5">
        <v>91.33</v>
      </c>
      <c r="V461" s="5">
        <v>1.35</v>
      </c>
      <c r="W461" s="5">
        <v>12.023592000000001</v>
      </c>
      <c r="X461" s="5">
        <v>107.685997</v>
      </c>
      <c r="Y461" s="5">
        <v>89.98</v>
      </c>
      <c r="Z461" s="5">
        <v>12.00291</v>
      </c>
      <c r="AA461" s="5">
        <v>107.69305199999999</v>
      </c>
      <c r="AB461" s="7">
        <f t="shared" si="43"/>
        <v>2.0250000000000003E-3</v>
      </c>
      <c r="AC461" s="7">
        <f t="shared" si="44"/>
        <v>0.13497000000000001</v>
      </c>
      <c r="AD461" s="6" t="str">
        <f t="shared" si="45"/>
        <v>Công an tỉnh Lâm Đồng</v>
      </c>
      <c r="AE461" s="6" t="str">
        <f t="shared" si="46"/>
        <v>TT2 - Công an xã Quảng Khê</v>
      </c>
      <c r="AG461">
        <f t="shared" si="47"/>
        <v>1.3500000000000001E-3</v>
      </c>
      <c r="AH461">
        <f t="shared" si="48"/>
        <v>8.9980000000000004E-2</v>
      </c>
    </row>
    <row r="462" spans="1:34" x14ac:dyDescent="0.25">
      <c r="A462" t="s">
        <v>4338</v>
      </c>
      <c r="B462" t="s">
        <v>4323</v>
      </c>
      <c r="C462" t="s">
        <v>4324</v>
      </c>
      <c r="D462" t="s">
        <v>3599</v>
      </c>
      <c r="E462" t="s">
        <v>3600</v>
      </c>
      <c r="F462" t="s">
        <v>4339</v>
      </c>
      <c r="G462" t="s">
        <v>15979</v>
      </c>
      <c r="H462" t="s">
        <v>15980</v>
      </c>
      <c r="I462" t="s">
        <v>16283</v>
      </c>
      <c r="J462" t="s">
        <v>23</v>
      </c>
      <c r="L462" t="s">
        <v>3854</v>
      </c>
      <c r="M462" t="s">
        <v>4340</v>
      </c>
      <c r="N462" t="s">
        <v>4341</v>
      </c>
      <c r="O462" t="s">
        <v>4342</v>
      </c>
      <c r="P462" t="s">
        <v>4343</v>
      </c>
      <c r="Q462" t="s">
        <v>4266</v>
      </c>
      <c r="R462" t="s">
        <v>4267</v>
      </c>
      <c r="S462" t="s">
        <v>4268</v>
      </c>
      <c r="T462" t="s">
        <v>3862</v>
      </c>
      <c r="U462" s="5">
        <v>1003.78</v>
      </c>
      <c r="V462" s="5">
        <v>347.59</v>
      </c>
      <c r="W462" s="5">
        <v>11.992580999999999</v>
      </c>
      <c r="X462" s="5">
        <v>107.670472</v>
      </c>
      <c r="Y462" s="5">
        <v>656.18</v>
      </c>
      <c r="Z462" s="5">
        <v>12.001529</v>
      </c>
      <c r="AA462" s="5">
        <v>107.511134</v>
      </c>
      <c r="AB462" s="7">
        <f t="shared" si="43"/>
        <v>0.52138499999999999</v>
      </c>
      <c r="AC462" s="7">
        <f t="shared" si="44"/>
        <v>0.98426999999999998</v>
      </c>
      <c r="AD462" s="6" t="str">
        <f t="shared" si="45"/>
        <v>Công an phường Nam Gia Nghĩa</v>
      </c>
      <c r="AE462" s="6" t="str">
        <f t="shared" si="46"/>
        <v>Công an xã Kiến Đức</v>
      </c>
      <c r="AG462">
        <f t="shared" si="47"/>
        <v>0.34758999999999995</v>
      </c>
      <c r="AH462">
        <f t="shared" si="48"/>
        <v>0.65617999999999999</v>
      </c>
    </row>
    <row r="463" spans="1:34" x14ac:dyDescent="0.25">
      <c r="A463" t="s">
        <v>4344</v>
      </c>
      <c r="B463" t="s">
        <v>3599</v>
      </c>
      <c r="C463" t="s">
        <v>3600</v>
      </c>
      <c r="D463" t="s">
        <v>3836</v>
      </c>
      <c r="E463" t="s">
        <v>3837</v>
      </c>
      <c r="F463" t="s">
        <v>4345</v>
      </c>
      <c r="G463" t="s">
        <v>15979</v>
      </c>
      <c r="H463" t="s">
        <v>15980</v>
      </c>
      <c r="I463" t="s">
        <v>16284</v>
      </c>
      <c r="J463" t="s">
        <v>23</v>
      </c>
      <c r="L463" t="s">
        <v>3854</v>
      </c>
      <c r="M463" t="s">
        <v>4346</v>
      </c>
      <c r="N463" t="s">
        <v>4266</v>
      </c>
      <c r="O463" t="s">
        <v>4267</v>
      </c>
      <c r="P463" t="s">
        <v>4268</v>
      </c>
      <c r="Q463" t="s">
        <v>4347</v>
      </c>
      <c r="R463" t="s">
        <v>4348</v>
      </c>
      <c r="S463" t="s">
        <v>4349</v>
      </c>
      <c r="T463" t="s">
        <v>3862</v>
      </c>
      <c r="U463" s="5">
        <v>3155.9</v>
      </c>
      <c r="V463" s="5">
        <v>656.18</v>
      </c>
      <c r="W463" s="5">
        <v>12.001529</v>
      </c>
      <c r="X463" s="5">
        <v>107.511134</v>
      </c>
      <c r="Y463" s="5">
        <v>2499.7199999999998</v>
      </c>
      <c r="Z463" s="5">
        <v>12.003710999999999</v>
      </c>
      <c r="AA463" s="5">
        <v>107.675248</v>
      </c>
      <c r="AB463" s="7">
        <f t="shared" si="43"/>
        <v>0.98426999999999998</v>
      </c>
      <c r="AC463" s="7">
        <f t="shared" si="44"/>
        <v>3.7495799999999999</v>
      </c>
      <c r="AD463" s="6" t="str">
        <f t="shared" si="45"/>
        <v>Công an phường Nam Gia Nghĩa</v>
      </c>
      <c r="AE463" s="6" t="str">
        <f t="shared" si="46"/>
        <v>Công an xã Kiến Đức</v>
      </c>
      <c r="AG463">
        <f t="shared" si="47"/>
        <v>0.65617999999999999</v>
      </c>
      <c r="AH463">
        <f t="shared" si="48"/>
        <v>2.4997199999999999</v>
      </c>
    </row>
    <row r="464" spans="1:34" x14ac:dyDescent="0.25">
      <c r="A464" t="s">
        <v>4350</v>
      </c>
      <c r="B464" t="s">
        <v>4096</v>
      </c>
      <c r="C464" t="s">
        <v>4097</v>
      </c>
      <c r="D464" t="s">
        <v>4351</v>
      </c>
      <c r="E464" t="s">
        <v>4352</v>
      </c>
      <c r="F464" t="s">
        <v>4353</v>
      </c>
      <c r="G464" t="s">
        <v>15979</v>
      </c>
      <c r="H464" t="s">
        <v>15980</v>
      </c>
      <c r="I464" t="s">
        <v>16285</v>
      </c>
      <c r="J464" t="s">
        <v>23</v>
      </c>
      <c r="L464" t="s">
        <v>3565</v>
      </c>
      <c r="M464" t="s">
        <v>4354</v>
      </c>
      <c r="N464" t="s">
        <v>4355</v>
      </c>
      <c r="O464" t="s">
        <v>4356</v>
      </c>
      <c r="P464" t="s">
        <v>4357</v>
      </c>
      <c r="Q464" t="s">
        <v>4358</v>
      </c>
      <c r="R464" t="s">
        <v>4359</v>
      </c>
      <c r="S464" t="s">
        <v>4360</v>
      </c>
      <c r="T464" t="s">
        <v>3847</v>
      </c>
      <c r="U464" s="5">
        <v>1177.3599999999999</v>
      </c>
      <c r="V464" s="5">
        <v>588.54999999999995</v>
      </c>
      <c r="W464" s="5">
        <v>11.965242999999999</v>
      </c>
      <c r="X464" s="5">
        <v>107.729074</v>
      </c>
      <c r="Y464" s="5">
        <v>588.80999999999995</v>
      </c>
      <c r="Z464" s="5">
        <v>11.940144</v>
      </c>
      <c r="AA464" s="5">
        <v>107.75215799999999</v>
      </c>
      <c r="AB464" s="7">
        <f t="shared" si="43"/>
        <v>0.88282499999999997</v>
      </c>
      <c r="AC464" s="7">
        <f t="shared" si="44"/>
        <v>0.88321499999999997</v>
      </c>
      <c r="AD464" s="6" t="str">
        <f t="shared" si="45"/>
        <v>Công an tỉnh Lâm Đồng</v>
      </c>
      <c r="AE464" s="6" t="str">
        <f t="shared" si="46"/>
        <v>TT2 - Công an xã Quảng Khê</v>
      </c>
      <c r="AG464">
        <f t="shared" si="47"/>
        <v>0.58854999999999991</v>
      </c>
      <c r="AH464">
        <f t="shared" si="48"/>
        <v>0.58880999999999994</v>
      </c>
    </row>
    <row r="465" spans="1:34" x14ac:dyDescent="0.25">
      <c r="A465" t="s">
        <v>4361</v>
      </c>
      <c r="B465" t="s">
        <v>4323</v>
      </c>
      <c r="C465" t="s">
        <v>4324</v>
      </c>
      <c r="D465" t="s">
        <v>4362</v>
      </c>
      <c r="E465" t="s">
        <v>4363</v>
      </c>
      <c r="F465" t="s">
        <v>4364</v>
      </c>
      <c r="G465" t="s">
        <v>15979</v>
      </c>
      <c r="H465" t="s">
        <v>15980</v>
      </c>
      <c r="I465" t="s">
        <v>16286</v>
      </c>
      <c r="J465" t="s">
        <v>23</v>
      </c>
      <c r="L465" t="s">
        <v>3854</v>
      </c>
      <c r="M465" t="s">
        <v>4365</v>
      </c>
      <c r="N465" t="s">
        <v>4341</v>
      </c>
      <c r="O465" t="s">
        <v>4342</v>
      </c>
      <c r="P465" t="s">
        <v>4343</v>
      </c>
      <c r="Q465" t="s">
        <v>4366</v>
      </c>
      <c r="R465" t="s">
        <v>4256</v>
      </c>
      <c r="S465" t="s">
        <v>4257</v>
      </c>
      <c r="T465" t="s">
        <v>3862</v>
      </c>
      <c r="U465" s="5">
        <v>448.57</v>
      </c>
      <c r="V465" s="5">
        <v>347.59</v>
      </c>
      <c r="W465" s="5">
        <v>11.992580999999999</v>
      </c>
      <c r="X465" s="5">
        <v>107.670472</v>
      </c>
      <c r="Y465" s="5">
        <v>100.98</v>
      </c>
      <c r="Z465" s="5">
        <v>12.001448999999999</v>
      </c>
      <c r="AA465" s="5">
        <v>107.676164</v>
      </c>
      <c r="AB465" s="7">
        <f t="shared" si="43"/>
        <v>0.52138499999999999</v>
      </c>
      <c r="AC465" s="7">
        <f t="shared" si="44"/>
        <v>0.15146999999999999</v>
      </c>
      <c r="AD465" s="6" t="str">
        <f t="shared" si="45"/>
        <v>Công an phường Nam Gia Nghĩa</v>
      </c>
      <c r="AE465" s="6" t="str">
        <f t="shared" si="46"/>
        <v>Công an xã Kiến Đức</v>
      </c>
      <c r="AG465">
        <f t="shared" si="47"/>
        <v>0.34758999999999995</v>
      </c>
      <c r="AH465">
        <f t="shared" si="48"/>
        <v>0.10098</v>
      </c>
    </row>
    <row r="466" spans="1:34" x14ac:dyDescent="0.25">
      <c r="A466" t="s">
        <v>4367</v>
      </c>
      <c r="B466" t="s">
        <v>4362</v>
      </c>
      <c r="C466" t="s">
        <v>4363</v>
      </c>
      <c r="D466" t="s">
        <v>4368</v>
      </c>
      <c r="E466" t="s">
        <v>4369</v>
      </c>
      <c r="F466" t="s">
        <v>4370</v>
      </c>
      <c r="G466" t="s">
        <v>15979</v>
      </c>
      <c r="H466" t="s">
        <v>15980</v>
      </c>
      <c r="I466" t="s">
        <v>16287</v>
      </c>
      <c r="J466" t="s">
        <v>23</v>
      </c>
      <c r="L466" t="s">
        <v>4084</v>
      </c>
      <c r="M466" t="s">
        <v>4371</v>
      </c>
      <c r="N466" t="s">
        <v>4372</v>
      </c>
      <c r="O466" t="s">
        <v>4373</v>
      </c>
      <c r="P466" t="s">
        <v>4374</v>
      </c>
      <c r="Q466" t="s">
        <v>4375</v>
      </c>
      <c r="R466" t="s">
        <v>4376</v>
      </c>
      <c r="S466" t="s">
        <v>4377</v>
      </c>
      <c r="T466" t="s">
        <v>4092</v>
      </c>
      <c r="U466" s="5">
        <v>470.24</v>
      </c>
      <c r="V466" s="5">
        <v>361.91</v>
      </c>
      <c r="W466" s="5">
        <v>12.001927</v>
      </c>
      <c r="X466" s="5">
        <v>107.673315</v>
      </c>
      <c r="Y466" s="5">
        <v>108.33</v>
      </c>
      <c r="Z466" s="5">
        <v>12.016175</v>
      </c>
      <c r="AA466" s="5">
        <v>107.68436699999999</v>
      </c>
      <c r="AB466" s="7">
        <f t="shared" si="43"/>
        <v>0.54286500000000004</v>
      </c>
      <c r="AC466" s="7">
        <f t="shared" si="44"/>
        <v>0.162495</v>
      </c>
      <c r="AD466" s="6" t="str">
        <f t="shared" si="45"/>
        <v>Công an xã Kiến Đức (Trụ sở CAH Đắk R'Lấp cũ)</v>
      </c>
      <c r="AE466" s="6" t="str">
        <f t="shared" si="46"/>
        <v>Công an tỉnh Lâm Đồng - TT2</v>
      </c>
      <c r="AG466">
        <f t="shared" si="47"/>
        <v>0.36191000000000001</v>
      </c>
      <c r="AH466">
        <f t="shared" si="48"/>
        <v>0.10833</v>
      </c>
    </row>
    <row r="467" spans="1:34" x14ac:dyDescent="0.25">
      <c r="A467" t="s">
        <v>4378</v>
      </c>
      <c r="B467" t="s">
        <v>3821</v>
      </c>
      <c r="C467" t="s">
        <v>3822</v>
      </c>
      <c r="D467" t="s">
        <v>4379</v>
      </c>
      <c r="E467" t="s">
        <v>4380</v>
      </c>
      <c r="F467" t="s">
        <v>4381</v>
      </c>
      <c r="G467" t="s">
        <v>15979</v>
      </c>
      <c r="H467" t="s">
        <v>15980</v>
      </c>
      <c r="I467" t="s">
        <v>16288</v>
      </c>
      <c r="J467" t="s">
        <v>23</v>
      </c>
      <c r="L467" t="s">
        <v>3565</v>
      </c>
      <c r="M467" t="s">
        <v>4382</v>
      </c>
      <c r="N467" t="s">
        <v>4383</v>
      </c>
      <c r="O467" t="s">
        <v>4384</v>
      </c>
      <c r="P467" t="s">
        <v>4385</v>
      </c>
      <c r="Q467" t="s">
        <v>4386</v>
      </c>
      <c r="R467" t="s">
        <v>4387</v>
      </c>
      <c r="S467" t="s">
        <v>4388</v>
      </c>
      <c r="T467" t="s">
        <v>3847</v>
      </c>
      <c r="U467" s="5">
        <v>720.53</v>
      </c>
      <c r="V467" s="5">
        <v>647.54999999999995</v>
      </c>
      <c r="W467" s="5">
        <v>12.003776</v>
      </c>
      <c r="X467" s="5">
        <v>107.691926</v>
      </c>
      <c r="Y467" s="5">
        <v>72.98</v>
      </c>
      <c r="Z467" s="5">
        <v>11.998570000000001</v>
      </c>
      <c r="AA467" s="5">
        <v>107.70381500000001</v>
      </c>
      <c r="AB467" s="7">
        <f t="shared" si="43"/>
        <v>0.97132499999999988</v>
      </c>
      <c r="AC467" s="7">
        <f t="shared" si="44"/>
        <v>0.10947</v>
      </c>
      <c r="AD467" s="6" t="str">
        <f t="shared" si="45"/>
        <v>Công an tỉnh Lâm Đồng</v>
      </c>
      <c r="AE467" s="6" t="str">
        <f t="shared" si="46"/>
        <v>TT2 - Công an xã Quảng Khê</v>
      </c>
      <c r="AG467">
        <f t="shared" si="47"/>
        <v>0.64754999999999996</v>
      </c>
      <c r="AH467">
        <f t="shared" si="48"/>
        <v>7.2980000000000003E-2</v>
      </c>
    </row>
    <row r="468" spans="1:34" x14ac:dyDescent="0.25">
      <c r="A468" t="s">
        <v>4389</v>
      </c>
      <c r="B468" t="s">
        <v>4132</v>
      </c>
      <c r="C468" t="s">
        <v>4133</v>
      </c>
      <c r="D468" t="s">
        <v>3836</v>
      </c>
      <c r="E468" t="s">
        <v>3837</v>
      </c>
      <c r="F468" t="s">
        <v>4390</v>
      </c>
      <c r="G468" t="s">
        <v>15979</v>
      </c>
      <c r="H468" t="s">
        <v>15980</v>
      </c>
      <c r="I468" t="s">
        <v>16289</v>
      </c>
      <c r="J468" t="s">
        <v>23</v>
      </c>
      <c r="L468" t="s">
        <v>3565</v>
      </c>
      <c r="M468" t="s">
        <v>4334</v>
      </c>
      <c r="N468" t="s">
        <v>4335</v>
      </c>
      <c r="O468" t="s">
        <v>4336</v>
      </c>
      <c r="P468" t="s">
        <v>4337</v>
      </c>
      <c r="Q468" t="s">
        <v>3841</v>
      </c>
      <c r="R468" t="s">
        <v>3842</v>
      </c>
      <c r="S468" t="s">
        <v>3843</v>
      </c>
      <c r="T468" t="s">
        <v>3847</v>
      </c>
      <c r="U468" s="5">
        <v>91.33</v>
      </c>
      <c r="V468" s="5">
        <v>89.98</v>
      </c>
      <c r="W468" s="5">
        <v>12.00291</v>
      </c>
      <c r="X468" s="5">
        <v>107.69305199999999</v>
      </c>
      <c r="Y468" s="5">
        <v>1.35</v>
      </c>
      <c r="Z468" s="5">
        <v>12.023592000000001</v>
      </c>
      <c r="AA468" s="5">
        <v>107.685997</v>
      </c>
      <c r="AB468" s="7">
        <f t="shared" si="43"/>
        <v>0.13497000000000001</v>
      </c>
      <c r="AC468" s="7">
        <f t="shared" si="44"/>
        <v>2.0250000000000003E-3</v>
      </c>
      <c r="AD468" s="6" t="str">
        <f t="shared" si="45"/>
        <v>Công an tỉnh Lâm Đồng</v>
      </c>
      <c r="AE468" s="6" t="str">
        <f t="shared" si="46"/>
        <v>TT2 - Công an xã Quảng Khê</v>
      </c>
      <c r="AG468">
        <f t="shared" si="47"/>
        <v>8.9980000000000004E-2</v>
      </c>
      <c r="AH468">
        <f t="shared" si="48"/>
        <v>1.3500000000000001E-3</v>
      </c>
    </row>
    <row r="469" spans="1:34" x14ac:dyDescent="0.25">
      <c r="A469" t="s">
        <v>4391</v>
      </c>
      <c r="B469" t="s">
        <v>4392</v>
      </c>
      <c r="C469" t="s">
        <v>4393</v>
      </c>
      <c r="D469" t="s">
        <v>4096</v>
      </c>
      <c r="E469" t="s">
        <v>4097</v>
      </c>
      <c r="F469" t="s">
        <v>4394</v>
      </c>
      <c r="G469" t="s">
        <v>15979</v>
      </c>
      <c r="H469" t="s">
        <v>15980</v>
      </c>
      <c r="I469" t="s">
        <v>16290</v>
      </c>
      <c r="J469" t="s">
        <v>23</v>
      </c>
      <c r="L469" t="s">
        <v>4313</v>
      </c>
      <c r="M469" t="s">
        <v>4395</v>
      </c>
      <c r="N469" t="s">
        <v>4396</v>
      </c>
      <c r="O469" t="s">
        <v>4397</v>
      </c>
      <c r="P469" t="s">
        <v>4398</v>
      </c>
      <c r="Q469" t="s">
        <v>4318</v>
      </c>
      <c r="R469" t="s">
        <v>4319</v>
      </c>
      <c r="S469" t="s">
        <v>4320</v>
      </c>
      <c r="T469" t="s">
        <v>4321</v>
      </c>
      <c r="U469" s="5">
        <v>1679.83</v>
      </c>
      <c r="V469" s="5">
        <v>1675.62</v>
      </c>
      <c r="W469" s="5">
        <v>11.965643</v>
      </c>
      <c r="X469" s="5">
        <v>107.70783900000001</v>
      </c>
      <c r="Y469" s="5">
        <v>4.21</v>
      </c>
      <c r="Z469" s="5">
        <v>11.95994</v>
      </c>
      <c r="AA469" s="5">
        <v>107.728562</v>
      </c>
      <c r="AB469" s="7">
        <f t="shared" si="43"/>
        <v>2.5134300000000001</v>
      </c>
      <c r="AC469" s="7">
        <f t="shared" si="44"/>
        <v>6.3149999999999994E-3</v>
      </c>
      <c r="AD469" s="6" t="str">
        <f t="shared" si="45"/>
        <v>Công an phường Đông Gia Nghĩa</v>
      </c>
      <c r="AE469" s="6" t="str">
        <f t="shared" si="46"/>
        <v>Công an phường Nam Gia Nghĩa</v>
      </c>
      <c r="AG469">
        <f t="shared" si="47"/>
        <v>1.6756199999999999</v>
      </c>
      <c r="AH469">
        <f t="shared" si="48"/>
        <v>4.2100000000000002E-3</v>
      </c>
    </row>
    <row r="470" spans="1:34" x14ac:dyDescent="0.25">
      <c r="A470" t="s">
        <v>4399</v>
      </c>
      <c r="B470" t="s">
        <v>4400</v>
      </c>
      <c r="C470" t="s">
        <v>4401</v>
      </c>
      <c r="D470" t="s">
        <v>3836</v>
      </c>
      <c r="E470" t="s">
        <v>3837</v>
      </c>
      <c r="F470" t="s">
        <v>4402</v>
      </c>
      <c r="G470" t="s">
        <v>15979</v>
      </c>
      <c r="H470" t="s">
        <v>15980</v>
      </c>
      <c r="I470" t="s">
        <v>16291</v>
      </c>
      <c r="J470" t="s">
        <v>23</v>
      </c>
      <c r="L470" t="s">
        <v>3565</v>
      </c>
      <c r="M470" t="s">
        <v>4403</v>
      </c>
      <c r="N470" t="s">
        <v>4404</v>
      </c>
      <c r="O470" t="s">
        <v>4405</v>
      </c>
      <c r="P470" t="s">
        <v>4406</v>
      </c>
      <c r="Q470" t="s">
        <v>3841</v>
      </c>
      <c r="R470" t="s">
        <v>3842</v>
      </c>
      <c r="S470" t="s">
        <v>3843</v>
      </c>
      <c r="T470" t="s">
        <v>3847</v>
      </c>
      <c r="U470" s="5">
        <v>393.01</v>
      </c>
      <c r="V470" s="5">
        <v>391.65</v>
      </c>
      <c r="W470" s="5">
        <v>11.985188000000001</v>
      </c>
      <c r="X470" s="5">
        <v>107.701414</v>
      </c>
      <c r="Y470" s="5">
        <v>1.35</v>
      </c>
      <c r="Z470" s="5">
        <v>12.023592000000001</v>
      </c>
      <c r="AA470" s="5">
        <v>107.685997</v>
      </c>
      <c r="AB470" s="7">
        <f t="shared" si="43"/>
        <v>0.58747499999999986</v>
      </c>
      <c r="AC470" s="7">
        <f t="shared" si="44"/>
        <v>2.0250000000000003E-3</v>
      </c>
      <c r="AD470" s="6" t="str">
        <f t="shared" si="45"/>
        <v>Công an tỉnh Lâm Đồng</v>
      </c>
      <c r="AE470" s="6" t="str">
        <f t="shared" si="46"/>
        <v>TT2 - Công an xã Quảng Khê</v>
      </c>
      <c r="AG470">
        <f t="shared" si="47"/>
        <v>0.39165</v>
      </c>
      <c r="AH470">
        <f t="shared" si="48"/>
        <v>1.3500000000000001E-3</v>
      </c>
    </row>
    <row r="471" spans="1:34" x14ac:dyDescent="0.25">
      <c r="A471" t="s">
        <v>4407</v>
      </c>
      <c r="B471" t="s">
        <v>4368</v>
      </c>
      <c r="C471" t="s">
        <v>4369</v>
      </c>
      <c r="D471" t="s">
        <v>3821</v>
      </c>
      <c r="E471" t="s">
        <v>3822</v>
      </c>
      <c r="F471" t="s">
        <v>4408</v>
      </c>
      <c r="G471" t="s">
        <v>15979</v>
      </c>
      <c r="H471" t="s">
        <v>15980</v>
      </c>
      <c r="I471" t="s">
        <v>16292</v>
      </c>
      <c r="J471" t="s">
        <v>23</v>
      </c>
      <c r="L471" t="s">
        <v>4409</v>
      </c>
      <c r="M471" t="s">
        <v>4410</v>
      </c>
      <c r="N471" t="s">
        <v>4411</v>
      </c>
      <c r="O471" t="s">
        <v>4412</v>
      </c>
      <c r="P471" t="s">
        <v>4413</v>
      </c>
      <c r="Q471" t="s">
        <v>4414</v>
      </c>
      <c r="R471" t="s">
        <v>4415</v>
      </c>
      <c r="S471" t="s">
        <v>4416</v>
      </c>
      <c r="T471" t="s">
        <v>4417</v>
      </c>
      <c r="U471" s="5">
        <v>301.08</v>
      </c>
      <c r="V471" s="5">
        <v>244.25</v>
      </c>
      <c r="W471" s="5">
        <v>12.015499</v>
      </c>
      <c r="X471" s="5">
        <v>107.687308</v>
      </c>
      <c r="Y471" s="5">
        <v>56.83</v>
      </c>
      <c r="Z471" s="5">
        <v>12.009066000000001</v>
      </c>
      <c r="AA471" s="5">
        <v>107.69403800000001</v>
      </c>
      <c r="AB471" s="7">
        <f t="shared" si="43"/>
        <v>0.36637500000000001</v>
      </c>
      <c r="AC471" s="7">
        <f t="shared" si="44"/>
        <v>8.5245000000000001E-2</v>
      </c>
      <c r="AD471" s="6" t="str">
        <f t="shared" si="45"/>
        <v>Công an tỉnh Lâm Đồng</v>
      </c>
      <c r="AE471" s="6" t="str">
        <f t="shared" si="46"/>
        <v>TT2 - Công an phường Bắc Gia Nghĩa</v>
      </c>
      <c r="AG471">
        <f t="shared" si="47"/>
        <v>0.24424999999999999</v>
      </c>
      <c r="AH471">
        <f t="shared" si="48"/>
        <v>5.6829999999999999E-2</v>
      </c>
    </row>
    <row r="472" spans="1:34" x14ac:dyDescent="0.25">
      <c r="A472" t="s">
        <v>4418</v>
      </c>
      <c r="B472" t="s">
        <v>4419</v>
      </c>
      <c r="C472" t="s">
        <v>4420</v>
      </c>
      <c r="D472" t="s">
        <v>3836</v>
      </c>
      <c r="E472" t="s">
        <v>3837</v>
      </c>
      <c r="F472" t="s">
        <v>4421</v>
      </c>
      <c r="G472" t="s">
        <v>15979</v>
      </c>
      <c r="H472" t="s">
        <v>15980</v>
      </c>
      <c r="I472" t="s">
        <v>16293</v>
      </c>
      <c r="J472" t="s">
        <v>23</v>
      </c>
      <c r="L472" t="s">
        <v>3565</v>
      </c>
      <c r="M472" t="s">
        <v>4422</v>
      </c>
      <c r="N472" t="s">
        <v>4423</v>
      </c>
      <c r="O472" t="s">
        <v>4424</v>
      </c>
      <c r="P472" t="s">
        <v>4425</v>
      </c>
      <c r="Q472" t="s">
        <v>3841</v>
      </c>
      <c r="R472" t="s">
        <v>3842</v>
      </c>
      <c r="S472" t="s">
        <v>3843</v>
      </c>
      <c r="T472" t="s">
        <v>3847</v>
      </c>
      <c r="U472" s="5">
        <v>481.47</v>
      </c>
      <c r="V472" s="5">
        <v>480.12</v>
      </c>
      <c r="W472" s="5">
        <v>12.001099999999999</v>
      </c>
      <c r="X472" s="5">
        <v>107.694659</v>
      </c>
      <c r="Y472" s="5">
        <v>1.35</v>
      </c>
      <c r="Z472" s="5">
        <v>12.023592000000001</v>
      </c>
      <c r="AA472" s="5">
        <v>107.685997</v>
      </c>
      <c r="AB472" s="7">
        <f t="shared" si="43"/>
        <v>0.72018000000000004</v>
      </c>
      <c r="AC472" s="7">
        <f t="shared" si="44"/>
        <v>2.0250000000000003E-3</v>
      </c>
      <c r="AD472" s="6" t="str">
        <f t="shared" si="45"/>
        <v>Công an tỉnh Lâm Đồng</v>
      </c>
      <c r="AE472" s="6" t="str">
        <f t="shared" si="46"/>
        <v>TT2 - Công an xã Quảng Khê</v>
      </c>
      <c r="AG472">
        <f t="shared" si="47"/>
        <v>0.48011999999999999</v>
      </c>
      <c r="AH472">
        <f t="shared" si="48"/>
        <v>1.3500000000000001E-3</v>
      </c>
    </row>
    <row r="473" spans="1:34" x14ac:dyDescent="0.25">
      <c r="A473" t="s">
        <v>4426</v>
      </c>
      <c r="B473" t="s">
        <v>3667</v>
      </c>
      <c r="C473" t="s">
        <v>3668</v>
      </c>
      <c r="D473" t="s">
        <v>3503</v>
      </c>
      <c r="E473" t="s">
        <v>3504</v>
      </c>
      <c r="F473" t="s">
        <v>4427</v>
      </c>
      <c r="G473" t="s">
        <v>15979</v>
      </c>
      <c r="H473" t="s">
        <v>15980</v>
      </c>
      <c r="I473" t="s">
        <v>16294</v>
      </c>
      <c r="J473" t="s">
        <v>23</v>
      </c>
      <c r="L473" t="s">
        <v>3508</v>
      </c>
      <c r="M473" t="s">
        <v>3670</v>
      </c>
      <c r="N473" t="s">
        <v>3674</v>
      </c>
      <c r="O473" t="s">
        <v>3675</v>
      </c>
      <c r="P473" t="s">
        <v>3676</v>
      </c>
      <c r="Q473" t="s">
        <v>3671</v>
      </c>
      <c r="R473" t="s">
        <v>3672</v>
      </c>
      <c r="S473" t="s">
        <v>3673</v>
      </c>
      <c r="T473" t="s">
        <v>3558</v>
      </c>
      <c r="U473" s="5">
        <v>291.32</v>
      </c>
      <c r="V473" s="5">
        <v>116.72</v>
      </c>
      <c r="W473" s="5">
        <v>12.455816</v>
      </c>
      <c r="X473" s="5">
        <v>107.636764</v>
      </c>
      <c r="Y473" s="5">
        <v>174.6</v>
      </c>
      <c r="Z473" s="5">
        <v>12.448781</v>
      </c>
      <c r="AA473" s="5">
        <v>107.62094999999999</v>
      </c>
      <c r="AB473" s="7">
        <f t="shared" si="43"/>
        <v>0.17507999999999999</v>
      </c>
      <c r="AC473" s="7">
        <f t="shared" si="44"/>
        <v>0.26189999999999997</v>
      </c>
      <c r="AD473" s="6" t="str">
        <f t="shared" si="45"/>
        <v xml:space="preserve">Công an xã Đức Lập (Trụ sở 2 CAH Đắk Mil cũ)
</v>
      </c>
      <c r="AE473" s="6" t="str">
        <f t="shared" si="46"/>
        <v>Công an xã Cư Jút (Trụ sở CAH Cư Jút cũ)</v>
      </c>
      <c r="AG473">
        <f t="shared" si="47"/>
        <v>0.11672</v>
      </c>
      <c r="AH473">
        <f t="shared" si="48"/>
        <v>0.17460000000000001</v>
      </c>
    </row>
    <row r="474" spans="1:34" x14ac:dyDescent="0.25">
      <c r="A474" t="s">
        <v>4428</v>
      </c>
      <c r="B474" t="s">
        <v>3531</v>
      </c>
      <c r="C474" t="s">
        <v>3532</v>
      </c>
      <c r="D474" t="s">
        <v>4429</v>
      </c>
      <c r="E474" t="s">
        <v>4430</v>
      </c>
      <c r="F474" t="s">
        <v>4431</v>
      </c>
      <c r="G474" t="s">
        <v>15979</v>
      </c>
      <c r="H474" t="s">
        <v>15980</v>
      </c>
      <c r="I474" t="s">
        <v>16295</v>
      </c>
      <c r="J474" t="s">
        <v>23</v>
      </c>
      <c r="L474" t="s">
        <v>4432</v>
      </c>
      <c r="M474" t="s">
        <v>4433</v>
      </c>
      <c r="N474" t="s">
        <v>4434</v>
      </c>
      <c r="O474" t="s">
        <v>4435</v>
      </c>
      <c r="P474" t="s">
        <v>4436</v>
      </c>
      <c r="Q474" t="s">
        <v>4437</v>
      </c>
      <c r="R474" t="s">
        <v>4438</v>
      </c>
      <c r="S474" t="s">
        <v>4439</v>
      </c>
      <c r="T474" t="s">
        <v>4440</v>
      </c>
      <c r="U474" s="5">
        <v>219.93</v>
      </c>
      <c r="V474" s="5">
        <v>53.32</v>
      </c>
      <c r="W474" s="5">
        <v>12.095286</v>
      </c>
      <c r="X474" s="5">
        <v>107.48086600000001</v>
      </c>
      <c r="Y474" s="5">
        <v>166.61</v>
      </c>
      <c r="Z474" s="5">
        <v>12.069982</v>
      </c>
      <c r="AA474" s="5">
        <v>107.474149</v>
      </c>
      <c r="AB474" s="7">
        <f t="shared" si="43"/>
        <v>7.9980000000000009E-2</v>
      </c>
      <c r="AC474" s="7">
        <f t="shared" si="44"/>
        <v>0.24991500000000003</v>
      </c>
      <c r="AD474" s="6" t="str">
        <f t="shared" si="45"/>
        <v>Đường Cơ sở cai nghiện số 4</v>
      </c>
      <c r="AE474" s="6" t="str">
        <f t="shared" si="46"/>
        <v>Quảng Tân</v>
      </c>
      <c r="AG474">
        <f t="shared" si="47"/>
        <v>5.3319999999999999E-2</v>
      </c>
      <c r="AH474">
        <f t="shared" si="48"/>
        <v>0.16661000000000001</v>
      </c>
    </row>
    <row r="475" spans="1:34" x14ac:dyDescent="0.25">
      <c r="A475" t="s">
        <v>4441</v>
      </c>
      <c r="B475" t="s">
        <v>3753</v>
      </c>
      <c r="C475" t="s">
        <v>3754</v>
      </c>
      <c r="D475" t="s">
        <v>4442</v>
      </c>
      <c r="E475" t="s">
        <v>4443</v>
      </c>
      <c r="F475" t="s">
        <v>4444</v>
      </c>
      <c r="G475" t="s">
        <v>15979</v>
      </c>
      <c r="H475" t="s">
        <v>15980</v>
      </c>
      <c r="I475" t="s">
        <v>16296</v>
      </c>
      <c r="J475" t="s">
        <v>23</v>
      </c>
      <c r="L475" t="s">
        <v>3493</v>
      </c>
      <c r="M475" t="s">
        <v>4445</v>
      </c>
      <c r="N475" t="s">
        <v>3757</v>
      </c>
      <c r="O475" t="s">
        <v>3758</v>
      </c>
      <c r="P475" t="s">
        <v>3759</v>
      </c>
      <c r="Q475" t="s">
        <v>4446</v>
      </c>
      <c r="R475" t="s">
        <v>4447</v>
      </c>
      <c r="S475" t="s">
        <v>4448</v>
      </c>
      <c r="T475" t="s">
        <v>3501</v>
      </c>
      <c r="U475" s="5">
        <v>248.83</v>
      </c>
      <c r="V475" s="5">
        <v>101.63</v>
      </c>
      <c r="W475" s="5">
        <v>12.254339</v>
      </c>
      <c r="X475" s="5">
        <v>107.609391</v>
      </c>
      <c r="Y475" s="5">
        <v>147.19999999999999</v>
      </c>
      <c r="Z475" s="5">
        <v>12.251628</v>
      </c>
      <c r="AA475" s="5">
        <v>107.61387499999999</v>
      </c>
      <c r="AB475" s="7">
        <f t="shared" si="43"/>
        <v>0.152445</v>
      </c>
      <c r="AC475" s="7">
        <f t="shared" si="44"/>
        <v>0.2208</v>
      </c>
      <c r="AD475" s="6" t="str">
        <f t="shared" si="45"/>
        <v>Công an tỉnh Lâm Đồng</v>
      </c>
      <c r="AE475" s="6" t="str">
        <f t="shared" si="46"/>
        <v>TT2 - Công an xã Đức An (Trụ sở CAH Đắk Song cũ)</v>
      </c>
      <c r="AG475">
        <f t="shared" si="47"/>
        <v>0.10163</v>
      </c>
      <c r="AH475">
        <f t="shared" si="48"/>
        <v>0.1472</v>
      </c>
    </row>
    <row r="476" spans="1:34" x14ac:dyDescent="0.25">
      <c r="A476" t="s">
        <v>4449</v>
      </c>
      <c r="B476" t="s">
        <v>4450</v>
      </c>
      <c r="C476" t="s">
        <v>4451</v>
      </c>
      <c r="D476" t="s">
        <v>3599</v>
      </c>
      <c r="E476" t="s">
        <v>3600</v>
      </c>
      <c r="F476" t="s">
        <v>4452</v>
      </c>
      <c r="G476" t="s">
        <v>15979</v>
      </c>
      <c r="H476" t="s">
        <v>15980</v>
      </c>
      <c r="I476" t="s">
        <v>16297</v>
      </c>
      <c r="J476" t="s">
        <v>23</v>
      </c>
      <c r="L476" t="s">
        <v>4084</v>
      </c>
      <c r="M476" t="s">
        <v>3749</v>
      </c>
      <c r="N476" t="s">
        <v>4453</v>
      </c>
      <c r="O476" t="s">
        <v>4454</v>
      </c>
      <c r="P476" t="s">
        <v>4455</v>
      </c>
      <c r="Q476" t="s">
        <v>4456</v>
      </c>
      <c r="R476" t="s">
        <v>4457</v>
      </c>
      <c r="S476" t="s">
        <v>4458</v>
      </c>
      <c r="T476" t="s">
        <v>4459</v>
      </c>
      <c r="U476" s="5">
        <v>120.23</v>
      </c>
      <c r="V476" s="5">
        <v>77.239999999999995</v>
      </c>
      <c r="W476" s="5">
        <v>11.99624</v>
      </c>
      <c r="X476" s="5">
        <v>107.512438</v>
      </c>
      <c r="Y476" s="5">
        <v>42.99</v>
      </c>
      <c r="Z476" s="5">
        <v>12.006997999999999</v>
      </c>
      <c r="AA476" s="5">
        <v>107.512562</v>
      </c>
      <c r="AB476" s="7">
        <f t="shared" si="43"/>
        <v>0.11585999999999999</v>
      </c>
      <c r="AC476" s="7">
        <f t="shared" si="44"/>
        <v>6.4485000000000001E-2</v>
      </c>
      <c r="AD476" s="6" t="str">
        <f t="shared" si="45"/>
        <v>Công an xã Kiến Đức (Trụ sở CAH Đắk R'Lấp cũ)</v>
      </c>
      <c r="AE476" s="6" t="str">
        <f t="shared" si="46"/>
        <v>Công an tỉnh Lâm Đồng - TT2</v>
      </c>
      <c r="AG476">
        <f t="shared" si="47"/>
        <v>7.7239999999999989E-2</v>
      </c>
      <c r="AH476">
        <f t="shared" si="48"/>
        <v>4.299E-2</v>
      </c>
    </row>
    <row r="477" spans="1:34" x14ac:dyDescent="0.25">
      <c r="A477" t="s">
        <v>4460</v>
      </c>
      <c r="B477" t="s">
        <v>4461</v>
      </c>
      <c r="C477" t="s">
        <v>4462</v>
      </c>
      <c r="D477" t="s">
        <v>3864</v>
      </c>
      <c r="E477" t="s">
        <v>3865</v>
      </c>
      <c r="F477" t="s">
        <v>4463</v>
      </c>
      <c r="G477" t="s">
        <v>15979</v>
      </c>
      <c r="H477" t="s">
        <v>15980</v>
      </c>
      <c r="I477" t="s">
        <v>16298</v>
      </c>
      <c r="J477" t="s">
        <v>23</v>
      </c>
      <c r="L477" t="s">
        <v>4032</v>
      </c>
      <c r="M477" t="s">
        <v>4464</v>
      </c>
      <c r="N477" t="s">
        <v>4465</v>
      </c>
      <c r="O477" t="s">
        <v>4037</v>
      </c>
      <c r="P477" t="s">
        <v>4038</v>
      </c>
      <c r="Q477" t="s">
        <v>704</v>
      </c>
      <c r="R477" t="s">
        <v>4037</v>
      </c>
      <c r="S477" t="s">
        <v>4038</v>
      </c>
      <c r="T477" t="s">
        <v>4039</v>
      </c>
      <c r="U477" s="5">
        <v>2109.31</v>
      </c>
      <c r="V477" s="5">
        <v>2104.63</v>
      </c>
      <c r="W477" s="5">
        <v>11.982702</v>
      </c>
      <c r="X477" s="5">
        <v>107.655608</v>
      </c>
      <c r="Y477" s="5">
        <v>4.67</v>
      </c>
      <c r="Z477" s="5">
        <v>11.982702</v>
      </c>
      <c r="AA477" s="5">
        <v>107.655608</v>
      </c>
      <c r="AB477" s="7">
        <f t="shared" si="43"/>
        <v>3.1569450000000003</v>
      </c>
      <c r="AC477" s="7">
        <f t="shared" si="44"/>
        <v>7.0049999999999999E-3</v>
      </c>
      <c r="AD477" s="6" t="str">
        <f t="shared" si="45"/>
        <v>Phòng PK02</v>
      </c>
      <c r="AE477" s="6" t="str">
        <f t="shared" si="46"/>
        <v>Tổ địa bàn số 2 - Phòng PA06 - Tổ địa bàn số 2</v>
      </c>
      <c r="AG477">
        <f t="shared" si="47"/>
        <v>2.1046300000000002</v>
      </c>
      <c r="AH477">
        <f t="shared" si="48"/>
        <v>4.6699999999999997E-3</v>
      </c>
    </row>
    <row r="478" spans="1:34" x14ac:dyDescent="0.25">
      <c r="A478" t="s">
        <v>4466</v>
      </c>
      <c r="B478" t="s">
        <v>4467</v>
      </c>
      <c r="C478" t="s">
        <v>4468</v>
      </c>
      <c r="D478" t="s">
        <v>4096</v>
      </c>
      <c r="E478" t="s">
        <v>4097</v>
      </c>
      <c r="F478" t="s">
        <v>4469</v>
      </c>
      <c r="G478" t="s">
        <v>15979</v>
      </c>
      <c r="H478" t="s">
        <v>15980</v>
      </c>
      <c r="I478" t="s">
        <v>16299</v>
      </c>
      <c r="J478" t="s">
        <v>23</v>
      </c>
      <c r="L478" t="s">
        <v>3826</v>
      </c>
      <c r="M478" t="s">
        <v>4470</v>
      </c>
      <c r="N478" t="s">
        <v>4471</v>
      </c>
      <c r="O478" t="s">
        <v>4472</v>
      </c>
      <c r="P478" t="s">
        <v>4473</v>
      </c>
      <c r="Q478" t="s">
        <v>4103</v>
      </c>
      <c r="R478" t="s">
        <v>4104</v>
      </c>
      <c r="S478" t="s">
        <v>4105</v>
      </c>
      <c r="T478" t="s">
        <v>3834</v>
      </c>
      <c r="U478" s="5">
        <v>2885.65</v>
      </c>
      <c r="V478" s="5">
        <v>2879.51</v>
      </c>
      <c r="W478" s="5">
        <v>11.964401000000001</v>
      </c>
      <c r="X478" s="5">
        <v>107.73414</v>
      </c>
      <c r="Y478" s="5">
        <v>6.14</v>
      </c>
      <c r="Z478" s="5">
        <v>11.959954</v>
      </c>
      <c r="AA478" s="5">
        <v>107.72863599999999</v>
      </c>
      <c r="AB478" s="7">
        <f t="shared" si="43"/>
        <v>4.3192650000000006</v>
      </c>
      <c r="AC478" s="7">
        <f t="shared" si="44"/>
        <v>9.2099999999999994E-3</v>
      </c>
      <c r="AD478" s="6" t="str">
        <f t="shared" si="45"/>
        <v>Công an phường Bắc Gia Nghĩa</v>
      </c>
      <c r="AE478" s="6" t="str">
        <f t="shared" si="46"/>
        <v>Công an phường Đông Gia Nghĩa</v>
      </c>
      <c r="AG478">
        <f t="shared" si="47"/>
        <v>2.8795100000000002</v>
      </c>
      <c r="AH478">
        <f t="shared" si="48"/>
        <v>6.1399999999999996E-3</v>
      </c>
    </row>
    <row r="479" spans="1:34" x14ac:dyDescent="0.25">
      <c r="A479" t="s">
        <v>4474</v>
      </c>
      <c r="B479" t="s">
        <v>4475</v>
      </c>
      <c r="C479" t="s">
        <v>4476</v>
      </c>
      <c r="D479" t="s">
        <v>3753</v>
      </c>
      <c r="E479" t="s">
        <v>3754</v>
      </c>
      <c r="F479" t="s">
        <v>4477</v>
      </c>
      <c r="G479" t="s">
        <v>15979</v>
      </c>
      <c r="H479" t="s">
        <v>15980</v>
      </c>
      <c r="I479" t="s">
        <v>16300</v>
      </c>
      <c r="J479" t="s">
        <v>23</v>
      </c>
      <c r="L479" t="s">
        <v>3493</v>
      </c>
      <c r="M479" t="s">
        <v>4478</v>
      </c>
      <c r="N479" t="s">
        <v>4479</v>
      </c>
      <c r="O479" t="s">
        <v>4480</v>
      </c>
      <c r="P479" t="s">
        <v>4481</v>
      </c>
      <c r="Q479" t="s">
        <v>3757</v>
      </c>
      <c r="R479" t="s">
        <v>3758</v>
      </c>
      <c r="S479" t="s">
        <v>3759</v>
      </c>
      <c r="T479" t="s">
        <v>3501</v>
      </c>
      <c r="U479" s="5">
        <v>353.8</v>
      </c>
      <c r="V479" s="5">
        <v>252.17</v>
      </c>
      <c r="W479" s="5">
        <v>12.234887000000001</v>
      </c>
      <c r="X479" s="5">
        <v>107.627437</v>
      </c>
      <c r="Y479" s="5">
        <v>101.63</v>
      </c>
      <c r="Z479" s="5">
        <v>12.254339</v>
      </c>
      <c r="AA479" s="5">
        <v>107.609391</v>
      </c>
      <c r="AB479" s="7">
        <f t="shared" si="43"/>
        <v>0.37825500000000001</v>
      </c>
      <c r="AC479" s="7">
        <f t="shared" si="44"/>
        <v>0.152445</v>
      </c>
      <c r="AD479" s="6" t="str">
        <f t="shared" si="45"/>
        <v>Công an tỉnh Lâm Đồng</v>
      </c>
      <c r="AE479" s="6" t="str">
        <f t="shared" si="46"/>
        <v>TT2 - Công an xã Đức An (Trụ sở CAH Đắk Song cũ)</v>
      </c>
      <c r="AG479">
        <f t="shared" si="47"/>
        <v>0.25217000000000001</v>
      </c>
      <c r="AH479">
        <f t="shared" si="48"/>
        <v>0.10163</v>
      </c>
    </row>
    <row r="480" spans="1:34" x14ac:dyDescent="0.25">
      <c r="A480" t="s">
        <v>4482</v>
      </c>
      <c r="B480" t="s">
        <v>4483</v>
      </c>
      <c r="C480" t="s">
        <v>4484</v>
      </c>
      <c r="D480" t="s">
        <v>3705</v>
      </c>
      <c r="E480" t="s">
        <v>3706</v>
      </c>
      <c r="F480" t="s">
        <v>4485</v>
      </c>
      <c r="G480" t="s">
        <v>15979</v>
      </c>
      <c r="H480" t="s">
        <v>15980</v>
      </c>
      <c r="I480" t="s">
        <v>16301</v>
      </c>
      <c r="J480" t="s">
        <v>23</v>
      </c>
      <c r="L480" t="s">
        <v>3716</v>
      </c>
      <c r="M480" t="s">
        <v>4486</v>
      </c>
      <c r="N480" t="s">
        <v>4487</v>
      </c>
      <c r="O480" t="s">
        <v>4488</v>
      </c>
      <c r="P480" t="s">
        <v>4489</v>
      </c>
      <c r="Q480" t="s">
        <v>3718</v>
      </c>
      <c r="R480" t="s">
        <v>3719</v>
      </c>
      <c r="S480" t="s">
        <v>3720</v>
      </c>
      <c r="T480" t="s">
        <v>3724</v>
      </c>
      <c r="U480" s="5">
        <v>534.80999999999995</v>
      </c>
      <c r="V480" s="5">
        <v>141.22</v>
      </c>
      <c r="W480" s="5">
        <v>12.432173000000001</v>
      </c>
      <c r="X480" s="5">
        <v>107.65992</v>
      </c>
      <c r="Y480" s="5">
        <v>393.59</v>
      </c>
      <c r="Z480" s="5">
        <v>12.431642999999999</v>
      </c>
      <c r="AA480" s="5">
        <v>107.667064</v>
      </c>
      <c r="AB480" s="7">
        <f t="shared" si="43"/>
        <v>0.21182999999999999</v>
      </c>
      <c r="AC480" s="7">
        <f t="shared" si="44"/>
        <v>0.59038499999999994</v>
      </c>
      <c r="AD480" s="6" t="str">
        <f t="shared" si="45"/>
        <v>Đắk Sắk</v>
      </c>
      <c r="AE480" s="6" t="str">
        <f t="shared" si="46"/>
        <v>Đắk Song</v>
      </c>
      <c r="AG480">
        <f t="shared" si="47"/>
        <v>0.14122000000000001</v>
      </c>
      <c r="AH480">
        <f t="shared" si="48"/>
        <v>0.39359</v>
      </c>
    </row>
    <row r="481" spans="1:34" x14ac:dyDescent="0.25">
      <c r="A481" t="s">
        <v>4490</v>
      </c>
      <c r="B481" t="s">
        <v>4491</v>
      </c>
      <c r="C481" t="s">
        <v>4492</v>
      </c>
      <c r="D481" t="s">
        <v>3531</v>
      </c>
      <c r="E481" t="s">
        <v>3532</v>
      </c>
      <c r="F481" t="s">
        <v>4493</v>
      </c>
      <c r="G481" t="s">
        <v>15979</v>
      </c>
      <c r="H481" t="s">
        <v>15980</v>
      </c>
      <c r="I481" t="s">
        <v>16302</v>
      </c>
      <c r="J481" t="s">
        <v>23</v>
      </c>
      <c r="L481" t="s">
        <v>3536</v>
      </c>
      <c r="M481" t="s">
        <v>4494</v>
      </c>
      <c r="N481" t="s">
        <v>4495</v>
      </c>
      <c r="O481" t="s">
        <v>4496</v>
      </c>
      <c r="P481" t="s">
        <v>4497</v>
      </c>
      <c r="Q481" t="s">
        <v>3538</v>
      </c>
      <c r="R481" t="s">
        <v>3539</v>
      </c>
      <c r="S481" t="s">
        <v>3540</v>
      </c>
      <c r="T481" t="s">
        <v>3544</v>
      </c>
      <c r="U481" s="5">
        <v>101.61</v>
      </c>
      <c r="V481" s="5">
        <v>54.55</v>
      </c>
      <c r="W481" s="5">
        <v>12.131736999999999</v>
      </c>
      <c r="X481" s="5">
        <v>107.471434</v>
      </c>
      <c r="Y481" s="5">
        <v>47.06</v>
      </c>
      <c r="Z481" s="5">
        <v>12.095340999999999</v>
      </c>
      <c r="AA481" s="5">
        <v>107.480919</v>
      </c>
      <c r="AB481" s="7">
        <f t="shared" si="43"/>
        <v>8.1824999999999995E-2</v>
      </c>
      <c r="AC481" s="7">
        <f t="shared" si="44"/>
        <v>7.059E-2</v>
      </c>
      <c r="AD481" s="6" t="str">
        <f t="shared" si="45"/>
        <v>Đường PC08 đội 6</v>
      </c>
      <c r="AE481" s="6" t="str">
        <f t="shared" si="46"/>
        <v>CS Cai nghiện số 4</v>
      </c>
      <c r="AG481">
        <f t="shared" si="47"/>
        <v>5.4549999999999994E-2</v>
      </c>
      <c r="AH481">
        <f t="shared" si="48"/>
        <v>4.7060000000000005E-2</v>
      </c>
    </row>
    <row r="482" spans="1:34" x14ac:dyDescent="0.25">
      <c r="A482" t="s">
        <v>4498</v>
      </c>
      <c r="B482" t="s">
        <v>4429</v>
      </c>
      <c r="C482" t="s">
        <v>4430</v>
      </c>
      <c r="D482" t="s">
        <v>3777</v>
      </c>
      <c r="E482" t="s">
        <v>3778</v>
      </c>
      <c r="F482" t="s">
        <v>4499</v>
      </c>
      <c r="G482" t="s">
        <v>15979</v>
      </c>
      <c r="H482" t="s">
        <v>15980</v>
      </c>
      <c r="I482" t="s">
        <v>16303</v>
      </c>
      <c r="J482" t="s">
        <v>23</v>
      </c>
      <c r="L482" t="s">
        <v>3602</v>
      </c>
      <c r="M482" t="s">
        <v>4500</v>
      </c>
      <c r="N482" t="s">
        <v>4501</v>
      </c>
      <c r="O482" t="s">
        <v>4502</v>
      </c>
      <c r="P482" t="s">
        <v>4503</v>
      </c>
      <c r="Q482" t="s">
        <v>3781</v>
      </c>
      <c r="R482" t="s">
        <v>3782</v>
      </c>
      <c r="S482" t="s">
        <v>3783</v>
      </c>
      <c r="T482" t="s">
        <v>3610</v>
      </c>
      <c r="U482" s="5">
        <v>312.08999999999997</v>
      </c>
      <c r="V482" s="5">
        <v>163.28</v>
      </c>
      <c r="W482" s="5">
        <v>12.069725999999999</v>
      </c>
      <c r="X482" s="5">
        <v>107.47431400000001</v>
      </c>
      <c r="Y482" s="5">
        <v>148.81</v>
      </c>
      <c r="Z482" s="5">
        <v>12.043371</v>
      </c>
      <c r="AA482" s="5">
        <v>107.489839</v>
      </c>
      <c r="AB482" s="7">
        <f t="shared" si="43"/>
        <v>0.24492000000000003</v>
      </c>
      <c r="AC482" s="7">
        <f t="shared" si="44"/>
        <v>0.223215</v>
      </c>
      <c r="AD482" s="6" t="str">
        <f t="shared" si="45"/>
        <v>Công an xã Tuy Đức (Trụ sở CAH Tuy Đức cũ)</v>
      </c>
      <c r="AE482" s="6" t="str">
        <f t="shared" si="46"/>
        <v>Công an xã Kiến Đức (Trụ sở CAH Đắk R'Lấp cũ)</v>
      </c>
      <c r="AG482">
        <f t="shared" si="47"/>
        <v>0.16328000000000001</v>
      </c>
      <c r="AH482">
        <f t="shared" si="48"/>
        <v>0.14881</v>
      </c>
    </row>
    <row r="483" spans="1:34" x14ac:dyDescent="0.25">
      <c r="A483" t="s">
        <v>4504</v>
      </c>
      <c r="B483" t="s">
        <v>4505</v>
      </c>
      <c r="C483" t="s">
        <v>4506</v>
      </c>
      <c r="D483" t="s">
        <v>3777</v>
      </c>
      <c r="E483" t="s">
        <v>3778</v>
      </c>
      <c r="F483" t="s">
        <v>4507</v>
      </c>
      <c r="G483" t="s">
        <v>15979</v>
      </c>
      <c r="H483" t="s">
        <v>15980</v>
      </c>
      <c r="I483" t="s">
        <v>16304</v>
      </c>
      <c r="J483" t="s">
        <v>23</v>
      </c>
      <c r="L483" t="s">
        <v>3767</v>
      </c>
      <c r="M483" t="s">
        <v>4508</v>
      </c>
      <c r="N483" t="s">
        <v>4509</v>
      </c>
      <c r="O483" t="s">
        <v>4510</v>
      </c>
      <c r="P483" t="s">
        <v>4511</v>
      </c>
      <c r="Q483" t="s">
        <v>4512</v>
      </c>
      <c r="R483" t="s">
        <v>4513</v>
      </c>
      <c r="S483" t="s">
        <v>4514</v>
      </c>
      <c r="T483" t="s">
        <v>4289</v>
      </c>
      <c r="U483" s="5">
        <v>1796.88</v>
      </c>
      <c r="V483" s="5">
        <v>1778.18</v>
      </c>
      <c r="W483" s="5">
        <v>12.024914000000001</v>
      </c>
      <c r="X483" s="5">
        <v>107.492846</v>
      </c>
      <c r="Y483" s="5">
        <v>18.7</v>
      </c>
      <c r="Z483" s="5">
        <v>12.044472000000001</v>
      </c>
      <c r="AA483" s="5">
        <v>107.490295</v>
      </c>
      <c r="AB483" s="7">
        <f t="shared" si="43"/>
        <v>2.6672699999999998</v>
      </c>
      <c r="AC483" s="7">
        <f t="shared" si="44"/>
        <v>2.8049999999999999E-2</v>
      </c>
      <c r="AD483" s="6" t="str">
        <f t="shared" si="45"/>
        <v>Đường Quảng Tân</v>
      </c>
      <c r="AE483" s="6" t="str">
        <f t="shared" si="46"/>
        <v>TTCMKV Đắk R'Lấp</v>
      </c>
      <c r="AG483">
        <f t="shared" si="47"/>
        <v>1.7781800000000001</v>
      </c>
      <c r="AH483">
        <f t="shared" si="48"/>
        <v>1.8699999999999998E-2</v>
      </c>
    </row>
    <row r="484" spans="1:34" x14ac:dyDescent="0.25">
      <c r="A484" t="s">
        <v>4515</v>
      </c>
      <c r="B484" t="s">
        <v>4516</v>
      </c>
      <c r="C484" t="s">
        <v>4517</v>
      </c>
      <c r="D484" t="s">
        <v>3560</v>
      </c>
      <c r="E484" t="s">
        <v>3561</v>
      </c>
      <c r="F484" t="s">
        <v>4518</v>
      </c>
      <c r="G484" t="s">
        <v>15979</v>
      </c>
      <c r="H484" t="s">
        <v>15980</v>
      </c>
      <c r="I484" t="s">
        <v>16305</v>
      </c>
      <c r="J484" t="s">
        <v>23</v>
      </c>
      <c r="L484" t="s">
        <v>4519</v>
      </c>
      <c r="M484" t="s">
        <v>4520</v>
      </c>
      <c r="N484" t="s">
        <v>4521</v>
      </c>
      <c r="O484" t="s">
        <v>4522</v>
      </c>
      <c r="P484" t="s">
        <v>4523</v>
      </c>
      <c r="Q484" t="s">
        <v>4524</v>
      </c>
      <c r="R484" t="s">
        <v>4525</v>
      </c>
      <c r="S484" t="s">
        <v>4526</v>
      </c>
      <c r="T484" t="s">
        <v>4527</v>
      </c>
      <c r="U484" s="5">
        <v>1397.67</v>
      </c>
      <c r="V484" s="5">
        <v>1305.43</v>
      </c>
      <c r="W484" s="5">
        <v>11.907869</v>
      </c>
      <c r="X484" s="5">
        <v>107.79853799999999</v>
      </c>
      <c r="Y484" s="5">
        <v>92.23</v>
      </c>
      <c r="Z484" s="5">
        <v>11.912006999999999</v>
      </c>
      <c r="AA484" s="5">
        <v>107.792113</v>
      </c>
      <c r="AB484" s="7">
        <f t="shared" si="43"/>
        <v>1.958145</v>
      </c>
      <c r="AC484" s="7">
        <f t="shared" si="44"/>
        <v>0.138345</v>
      </c>
      <c r="AD484" s="6" t="str">
        <f t="shared" si="45"/>
        <v>Công an xã Quảng Khê</v>
      </c>
      <c r="AE484" s="6" t="str">
        <f t="shared" si="46"/>
        <v>Công an xã Tà Đùng</v>
      </c>
      <c r="AG484">
        <f t="shared" si="47"/>
        <v>1.3054300000000001</v>
      </c>
      <c r="AH484">
        <f t="shared" si="48"/>
        <v>9.2230000000000006E-2</v>
      </c>
    </row>
    <row r="485" spans="1:34" x14ac:dyDescent="0.25">
      <c r="A485" t="s">
        <v>4528</v>
      </c>
      <c r="B485" t="s">
        <v>4529</v>
      </c>
      <c r="C485" t="s">
        <v>4530</v>
      </c>
      <c r="D485" t="s">
        <v>3560</v>
      </c>
      <c r="E485" t="s">
        <v>3561</v>
      </c>
      <c r="F485" t="s">
        <v>4531</v>
      </c>
      <c r="G485" t="s">
        <v>15979</v>
      </c>
      <c r="H485" t="s">
        <v>15980</v>
      </c>
      <c r="I485" t="s">
        <v>16306</v>
      </c>
      <c r="J485" t="s">
        <v>23</v>
      </c>
      <c r="L485" t="s">
        <v>4519</v>
      </c>
      <c r="M485" t="s">
        <v>4532</v>
      </c>
      <c r="N485" t="s">
        <v>4533</v>
      </c>
      <c r="O485" t="s">
        <v>4534</v>
      </c>
      <c r="P485" t="s">
        <v>4535</v>
      </c>
      <c r="Q485" t="s">
        <v>4524</v>
      </c>
      <c r="R485" t="s">
        <v>4525</v>
      </c>
      <c r="S485" t="s">
        <v>4526</v>
      </c>
      <c r="T485" t="s">
        <v>4527</v>
      </c>
      <c r="U485" s="5">
        <v>1152.06</v>
      </c>
      <c r="V485" s="5">
        <v>1059.83</v>
      </c>
      <c r="W485" s="5">
        <v>11.900826</v>
      </c>
      <c r="X485" s="5">
        <v>107.824889</v>
      </c>
      <c r="Y485" s="5">
        <v>92.23</v>
      </c>
      <c r="Z485" s="5">
        <v>11.912006999999999</v>
      </c>
      <c r="AA485" s="5">
        <v>107.792113</v>
      </c>
      <c r="AB485" s="7">
        <f t="shared" si="43"/>
        <v>1.589745</v>
      </c>
      <c r="AC485" s="7">
        <f t="shared" si="44"/>
        <v>0.138345</v>
      </c>
      <c r="AD485" s="6" t="str">
        <f t="shared" si="45"/>
        <v>Công an xã Quảng Khê</v>
      </c>
      <c r="AE485" s="6" t="str">
        <f t="shared" si="46"/>
        <v>Công an xã Tà Đùng</v>
      </c>
      <c r="AG485">
        <f t="shared" si="47"/>
        <v>1.0598299999999998</v>
      </c>
      <c r="AH485">
        <f t="shared" si="48"/>
        <v>9.2230000000000006E-2</v>
      </c>
    </row>
    <row r="486" spans="1:34" x14ac:dyDescent="0.25">
      <c r="A486" t="s">
        <v>4426</v>
      </c>
      <c r="B486" t="s">
        <v>3667</v>
      </c>
      <c r="C486" t="s">
        <v>3668</v>
      </c>
      <c r="D486" t="s">
        <v>3503</v>
      </c>
      <c r="E486" t="s">
        <v>3504</v>
      </c>
      <c r="F486" t="s">
        <v>4427</v>
      </c>
      <c r="G486" t="s">
        <v>15979</v>
      </c>
      <c r="H486" t="s">
        <v>15980</v>
      </c>
      <c r="I486" t="s">
        <v>16294</v>
      </c>
      <c r="J486" t="s">
        <v>23</v>
      </c>
      <c r="L486" t="s">
        <v>3508</v>
      </c>
      <c r="M486" t="s">
        <v>3670</v>
      </c>
      <c r="N486" t="s">
        <v>3674</v>
      </c>
      <c r="O486" t="s">
        <v>3675</v>
      </c>
      <c r="P486" t="s">
        <v>3676</v>
      </c>
      <c r="Q486" t="s">
        <v>3671</v>
      </c>
      <c r="R486" t="s">
        <v>3672</v>
      </c>
      <c r="S486" t="s">
        <v>3673</v>
      </c>
      <c r="T486" t="s">
        <v>3558</v>
      </c>
      <c r="U486" s="5">
        <v>291.32</v>
      </c>
      <c r="V486" s="5">
        <v>116.72</v>
      </c>
      <c r="W486" s="5">
        <v>12.455816</v>
      </c>
      <c r="X486" s="5">
        <v>107.636764</v>
      </c>
      <c r="Y486" s="5">
        <v>174.6</v>
      </c>
      <c r="Z486" s="5">
        <v>12.448781</v>
      </c>
      <c r="AA486" s="5">
        <v>107.62094999999999</v>
      </c>
      <c r="AB486" s="7">
        <f t="shared" si="43"/>
        <v>0.17507999999999999</v>
      </c>
      <c r="AC486" s="7">
        <f t="shared" si="44"/>
        <v>0.26189999999999997</v>
      </c>
      <c r="AD486" s="6" t="str">
        <f t="shared" si="45"/>
        <v xml:space="preserve">Công an xã Đức Lập (Trụ sở 2 CAH Đắk Mil cũ)
</v>
      </c>
      <c r="AE486" s="6" t="str">
        <f t="shared" si="46"/>
        <v>Công an xã Cư Jút (Trụ sở CAH Cư Jút cũ)</v>
      </c>
      <c r="AG486">
        <f t="shared" si="47"/>
        <v>0.11672</v>
      </c>
      <c r="AH486">
        <f t="shared" si="48"/>
        <v>0.17460000000000001</v>
      </c>
    </row>
    <row r="487" spans="1:34" x14ac:dyDescent="0.25">
      <c r="A487" t="s">
        <v>4536</v>
      </c>
      <c r="B487" t="s">
        <v>4537</v>
      </c>
      <c r="C487" t="s">
        <v>4538</v>
      </c>
      <c r="D487" t="s">
        <v>4539</v>
      </c>
      <c r="E487" t="s">
        <v>4540</v>
      </c>
      <c r="F487" t="s">
        <v>4541</v>
      </c>
      <c r="G487" t="s">
        <v>15827</v>
      </c>
      <c r="H487" t="s">
        <v>15828</v>
      </c>
      <c r="I487" t="s">
        <v>16307</v>
      </c>
      <c r="J487" t="s">
        <v>23</v>
      </c>
      <c r="L487" t="s">
        <v>4536</v>
      </c>
      <c r="M487" t="s">
        <v>4542</v>
      </c>
      <c r="N487" t="s">
        <v>4543</v>
      </c>
      <c r="O487" t="s">
        <v>4544</v>
      </c>
      <c r="P487" t="s">
        <v>4545</v>
      </c>
      <c r="Q487" t="s">
        <v>4546</v>
      </c>
      <c r="R487" t="s">
        <v>4547</v>
      </c>
      <c r="S487" t="s">
        <v>4548</v>
      </c>
      <c r="T487" t="s">
        <v>4549</v>
      </c>
      <c r="U487" s="5">
        <v>2358.2600000000002</v>
      </c>
      <c r="V487" s="5">
        <v>2321.4</v>
      </c>
      <c r="W487" s="5">
        <v>14.703706</v>
      </c>
      <c r="X487" s="5">
        <v>107.68625900000001</v>
      </c>
      <c r="Y487" s="5">
        <v>36.869999999999997</v>
      </c>
      <c r="Z487" s="5">
        <v>14.398239</v>
      </c>
      <c r="AA487" s="5">
        <v>107.79636600000001</v>
      </c>
      <c r="AB487" s="7">
        <f t="shared" si="43"/>
        <v>3.4821000000000004</v>
      </c>
      <c r="AC487" s="7">
        <f t="shared" si="44"/>
        <v>5.5304999999999993E-2</v>
      </c>
      <c r="AD487" s="12" t="str">
        <f t="shared" si="45"/>
        <v>Ngọc Hồi</v>
      </c>
      <c r="AE487" s="12" t="str">
        <f t="shared" si="46"/>
        <v>Sa Thầy</v>
      </c>
      <c r="AG487">
        <f t="shared" si="47"/>
        <v>2.3214000000000001</v>
      </c>
      <c r="AH487">
        <f t="shared" si="48"/>
        <v>3.687E-2</v>
      </c>
    </row>
    <row r="488" spans="1:34" x14ac:dyDescent="0.25">
      <c r="A488" t="s">
        <v>4550</v>
      </c>
      <c r="B488" t="s">
        <v>4551</v>
      </c>
      <c r="C488" t="s">
        <v>4552</v>
      </c>
      <c r="D488" t="s">
        <v>4553</v>
      </c>
      <c r="E488" t="s">
        <v>4554</v>
      </c>
      <c r="F488" t="s">
        <v>4555</v>
      </c>
      <c r="G488" t="s">
        <v>15827</v>
      </c>
      <c r="H488" t="s">
        <v>15828</v>
      </c>
      <c r="I488" t="s">
        <v>16308</v>
      </c>
      <c r="J488" t="s">
        <v>23</v>
      </c>
      <c r="L488" t="s">
        <v>4556</v>
      </c>
      <c r="M488" t="s">
        <v>4557</v>
      </c>
      <c r="N488" t="s">
        <v>4558</v>
      </c>
      <c r="O488" t="s">
        <v>4559</v>
      </c>
      <c r="P488" t="s">
        <v>4560</v>
      </c>
      <c r="Q488" t="s">
        <v>4561</v>
      </c>
      <c r="R488" t="s">
        <v>4562</v>
      </c>
      <c r="S488" t="s">
        <v>4563</v>
      </c>
      <c r="T488" t="s">
        <v>4564</v>
      </c>
      <c r="U488" s="5">
        <v>4806.4799999999996</v>
      </c>
      <c r="V488" s="5">
        <v>52.76</v>
      </c>
      <c r="W488" s="5">
        <v>14.698688000000001</v>
      </c>
      <c r="X488" s="5">
        <v>107.83670499999999</v>
      </c>
      <c r="Y488" s="5">
        <v>4753.72</v>
      </c>
      <c r="Z488" s="5">
        <v>14.716917</v>
      </c>
      <c r="AA488" s="5">
        <v>107.795519</v>
      </c>
      <c r="AB488" s="7">
        <f t="shared" si="43"/>
        <v>7.9140000000000002E-2</v>
      </c>
      <c r="AC488" s="7">
        <f t="shared" si="44"/>
        <v>7.1305800000000001</v>
      </c>
      <c r="AD488" s="12" t="str">
        <f t="shared" si="45"/>
        <v>Đăk Mar</v>
      </c>
      <c r="AE488" s="12" t="str">
        <f t="shared" si="46"/>
        <v>Ngọk Tụ</v>
      </c>
      <c r="AG488">
        <f t="shared" si="47"/>
        <v>5.2760000000000001E-2</v>
      </c>
      <c r="AH488">
        <f t="shared" si="48"/>
        <v>4.7537200000000004</v>
      </c>
    </row>
    <row r="489" spans="1:34" x14ac:dyDescent="0.25">
      <c r="A489" t="s">
        <v>4565</v>
      </c>
      <c r="B489" t="s">
        <v>4537</v>
      </c>
      <c r="C489" t="s">
        <v>4538</v>
      </c>
      <c r="D489" t="s">
        <v>4566</v>
      </c>
      <c r="E489" t="s">
        <v>4567</v>
      </c>
      <c r="F489" t="s">
        <v>4568</v>
      </c>
      <c r="G489" t="s">
        <v>15827</v>
      </c>
      <c r="H489" t="s">
        <v>15828</v>
      </c>
      <c r="I489" t="s">
        <v>16309</v>
      </c>
      <c r="J489" t="s">
        <v>23</v>
      </c>
      <c r="L489" t="s">
        <v>4569</v>
      </c>
      <c r="M489" t="s">
        <v>4570</v>
      </c>
      <c r="N489" t="s">
        <v>727</v>
      </c>
      <c r="O489" t="s">
        <v>4571</v>
      </c>
      <c r="P489" t="s">
        <v>4572</v>
      </c>
      <c r="Q489" t="s">
        <v>4573</v>
      </c>
      <c r="R489" t="s">
        <v>4574</v>
      </c>
      <c r="S489" t="s">
        <v>4575</v>
      </c>
      <c r="T489" t="s">
        <v>4576</v>
      </c>
      <c r="U489" s="5">
        <v>2202.5500000000002</v>
      </c>
      <c r="V489" s="5">
        <v>15.81</v>
      </c>
      <c r="W489" s="5">
        <v>14.724418999999999</v>
      </c>
      <c r="X489" s="5">
        <v>107.68789200000001</v>
      </c>
      <c r="Y489" s="5">
        <v>2186.7399999999998</v>
      </c>
      <c r="Z489" s="5">
        <v>14.694341</v>
      </c>
      <c r="AA489" s="5">
        <v>107.68619099999999</v>
      </c>
      <c r="AB489" s="7">
        <f t="shared" si="43"/>
        <v>2.3715E-2</v>
      </c>
      <c r="AC489" s="7">
        <f t="shared" si="44"/>
        <v>3.2801099999999996</v>
      </c>
      <c r="AD489" s="12" t="str">
        <f t="shared" si="45"/>
        <v>TTCMKV Ngọc Hồi</v>
      </c>
      <c r="AE489" s="12" t="str">
        <f t="shared" si="46"/>
        <v>Sa Loong</v>
      </c>
      <c r="AG489">
        <f t="shared" si="47"/>
        <v>1.5810000000000001E-2</v>
      </c>
      <c r="AH489">
        <f t="shared" si="48"/>
        <v>2.1867399999999999</v>
      </c>
    </row>
    <row r="490" spans="1:34" x14ac:dyDescent="0.25">
      <c r="A490" t="s">
        <v>4577</v>
      </c>
      <c r="B490" t="s">
        <v>4539</v>
      </c>
      <c r="C490" t="s">
        <v>4540</v>
      </c>
      <c r="D490" t="s">
        <v>4578</v>
      </c>
      <c r="E490" t="s">
        <v>4579</v>
      </c>
      <c r="F490" t="s">
        <v>4580</v>
      </c>
      <c r="G490" t="s">
        <v>15827</v>
      </c>
      <c r="H490" t="s">
        <v>15828</v>
      </c>
      <c r="I490" t="s">
        <v>16310</v>
      </c>
      <c r="J490" t="s">
        <v>23</v>
      </c>
      <c r="L490" t="s">
        <v>4581</v>
      </c>
      <c r="M490" t="s">
        <v>4582</v>
      </c>
      <c r="N490" t="s">
        <v>4583</v>
      </c>
      <c r="O490" t="s">
        <v>4584</v>
      </c>
      <c r="P490" t="s">
        <v>4585</v>
      </c>
      <c r="Q490" t="s">
        <v>4586</v>
      </c>
      <c r="R490" t="s">
        <v>4587</v>
      </c>
      <c r="S490" t="s">
        <v>4588</v>
      </c>
      <c r="T490" t="s">
        <v>4589</v>
      </c>
      <c r="U490" s="5">
        <v>971.36</v>
      </c>
      <c r="V490" s="5">
        <v>2.2799999999999998</v>
      </c>
      <c r="W490" s="5">
        <v>14.39805</v>
      </c>
      <c r="X490" s="5">
        <v>107.79609600000001</v>
      </c>
      <c r="Y490" s="5">
        <v>969.08</v>
      </c>
      <c r="Z490" s="5">
        <v>14.396425000000001</v>
      </c>
      <c r="AA490" s="5">
        <v>107.81647</v>
      </c>
      <c r="AB490" s="7">
        <f t="shared" si="43"/>
        <v>3.4199999999999999E-3</v>
      </c>
      <c r="AC490" s="7">
        <f t="shared" si="44"/>
        <v>1.4536200000000001</v>
      </c>
      <c r="AD490" s="12" t="str">
        <f t="shared" si="45"/>
        <v>TTCMKV Sa Thầy</v>
      </c>
      <c r="AE490" s="12" t="str">
        <f t="shared" si="46"/>
        <v>Sa Bình</v>
      </c>
      <c r="AG490">
        <f t="shared" si="47"/>
        <v>2.2799999999999999E-3</v>
      </c>
      <c r="AH490">
        <f t="shared" si="48"/>
        <v>0.96908000000000005</v>
      </c>
    </row>
    <row r="491" spans="1:34" x14ac:dyDescent="0.25">
      <c r="A491" t="s">
        <v>4590</v>
      </c>
      <c r="B491" t="s">
        <v>4591</v>
      </c>
      <c r="C491" t="s">
        <v>4592</v>
      </c>
      <c r="D491" t="s">
        <v>4593</v>
      </c>
      <c r="E491" t="s">
        <v>4594</v>
      </c>
      <c r="F491" t="s">
        <v>4595</v>
      </c>
      <c r="G491" t="s">
        <v>15827</v>
      </c>
      <c r="H491" t="s">
        <v>15828</v>
      </c>
      <c r="I491" t="s">
        <v>16311</v>
      </c>
      <c r="J491" t="s">
        <v>23</v>
      </c>
      <c r="L491" t="s">
        <v>4596</v>
      </c>
      <c r="M491" t="s">
        <v>4597</v>
      </c>
      <c r="N491" t="s">
        <v>4598</v>
      </c>
      <c r="O491" t="s">
        <v>4599</v>
      </c>
      <c r="P491" t="s">
        <v>4600</v>
      </c>
      <c r="Q491" t="s">
        <v>4601</v>
      </c>
      <c r="R491" t="s">
        <v>4602</v>
      </c>
      <c r="S491" t="s">
        <v>4603</v>
      </c>
      <c r="T491" t="s">
        <v>4604</v>
      </c>
      <c r="U491" s="5">
        <v>2086.91</v>
      </c>
      <c r="V491" s="5">
        <v>77.010000000000005</v>
      </c>
      <c r="W491" s="5">
        <v>14.352309</v>
      </c>
      <c r="X491" s="5">
        <v>108.007857</v>
      </c>
      <c r="Y491" s="5">
        <v>2009.89</v>
      </c>
      <c r="Z491" s="5">
        <v>14.500681</v>
      </c>
      <c r="AA491" s="5">
        <v>107.943207</v>
      </c>
      <c r="AB491" s="7">
        <f t="shared" si="43"/>
        <v>0.11551500000000002</v>
      </c>
      <c r="AC491" s="7">
        <f t="shared" si="44"/>
        <v>3.0148350000000002</v>
      </c>
      <c r="AD491" s="12" t="str">
        <f t="shared" si="45"/>
        <v>TT2 Kon Tum</v>
      </c>
      <c r="AE491" s="12" t="str">
        <f t="shared" si="46"/>
        <v>PC11</v>
      </c>
      <c r="AG491">
        <f t="shared" si="47"/>
        <v>7.7010000000000009E-2</v>
      </c>
      <c r="AH491">
        <f t="shared" si="48"/>
        <v>2.00989</v>
      </c>
    </row>
    <row r="492" spans="1:34" x14ac:dyDescent="0.25">
      <c r="A492" t="s">
        <v>4605</v>
      </c>
      <c r="B492" t="s">
        <v>4606</v>
      </c>
      <c r="C492" t="s">
        <v>4607</v>
      </c>
      <c r="D492" t="s">
        <v>4608</v>
      </c>
      <c r="E492" t="s">
        <v>4609</v>
      </c>
      <c r="F492" t="s">
        <v>4610</v>
      </c>
      <c r="G492" t="s">
        <v>15827</v>
      </c>
      <c r="H492" t="s">
        <v>15828</v>
      </c>
      <c r="I492" t="s">
        <v>16312</v>
      </c>
      <c r="J492" t="s">
        <v>23</v>
      </c>
      <c r="L492" t="s">
        <v>4611</v>
      </c>
      <c r="M492" t="s">
        <v>4487</v>
      </c>
      <c r="N492" t="s">
        <v>4612</v>
      </c>
      <c r="O492" t="s">
        <v>4613</v>
      </c>
      <c r="P492" t="s">
        <v>4614</v>
      </c>
      <c r="Q492" t="s">
        <v>4615</v>
      </c>
      <c r="R492" t="s">
        <v>4616</v>
      </c>
      <c r="S492" t="s">
        <v>4617</v>
      </c>
      <c r="T492" t="s">
        <v>4618</v>
      </c>
      <c r="U492" s="5">
        <v>141.22</v>
      </c>
      <c r="V492" s="5">
        <v>50.16</v>
      </c>
      <c r="W492" s="5">
        <v>14.53088</v>
      </c>
      <c r="X492" s="5">
        <v>107.94065399999999</v>
      </c>
      <c r="Y492" s="5">
        <v>91.06</v>
      </c>
      <c r="Z492" s="5">
        <v>14.545249999999999</v>
      </c>
      <c r="AA492" s="5">
        <v>107.920755</v>
      </c>
      <c r="AB492" s="7">
        <f t="shared" si="43"/>
        <v>7.5240000000000001E-2</v>
      </c>
      <c r="AC492" s="7">
        <f t="shared" si="44"/>
        <v>0.13659000000000002</v>
      </c>
      <c r="AD492" s="12" t="str">
        <f t="shared" si="45"/>
        <v>Đăk Ui</v>
      </c>
      <c r="AE492" s="12" t="str">
        <f t="shared" si="46"/>
        <v>Đăk Mar</v>
      </c>
      <c r="AG492">
        <f t="shared" si="47"/>
        <v>5.0159999999999996E-2</v>
      </c>
      <c r="AH492">
        <f t="shared" si="48"/>
        <v>9.1060000000000002E-2</v>
      </c>
    </row>
    <row r="493" spans="1:34" x14ac:dyDescent="0.25">
      <c r="A493" t="s">
        <v>4619</v>
      </c>
      <c r="B493" t="s">
        <v>4608</v>
      </c>
      <c r="C493" t="s">
        <v>4609</v>
      </c>
      <c r="D493" t="s">
        <v>4620</v>
      </c>
      <c r="E493" t="s">
        <v>4621</v>
      </c>
      <c r="F493" t="s">
        <v>4622</v>
      </c>
      <c r="G493" t="s">
        <v>15827</v>
      </c>
      <c r="H493" t="s">
        <v>15828</v>
      </c>
      <c r="I493" t="s">
        <v>16313</v>
      </c>
      <c r="J493" t="s">
        <v>23</v>
      </c>
      <c r="L493" t="s">
        <v>4623</v>
      </c>
      <c r="M493" t="s">
        <v>4624</v>
      </c>
      <c r="N493" t="s">
        <v>4625</v>
      </c>
      <c r="O493" t="s">
        <v>4626</v>
      </c>
      <c r="P493" t="s">
        <v>4627</v>
      </c>
      <c r="Q493" t="s">
        <v>4628</v>
      </c>
      <c r="R493" t="s">
        <v>4629</v>
      </c>
      <c r="S493" t="s">
        <v>4630</v>
      </c>
      <c r="T493" t="s">
        <v>4631</v>
      </c>
      <c r="U493" s="5">
        <v>499.47</v>
      </c>
      <c r="V493" s="5">
        <v>79.930000000000007</v>
      </c>
      <c r="W493" s="5">
        <v>14.545743999999999</v>
      </c>
      <c r="X493" s="5">
        <v>107.920731</v>
      </c>
      <c r="Y493" s="5">
        <v>419.54</v>
      </c>
      <c r="Z493" s="5">
        <v>14.521151</v>
      </c>
      <c r="AA493" s="5">
        <v>107.918747</v>
      </c>
      <c r="AB493" s="7">
        <f t="shared" si="43"/>
        <v>0.11989500000000002</v>
      </c>
      <c r="AC493" s="7">
        <f t="shared" si="44"/>
        <v>0.62931000000000004</v>
      </c>
      <c r="AD493" s="12" t="str">
        <f t="shared" si="45"/>
        <v>Đăk Tô</v>
      </c>
      <c r="AE493" s="12" t="str">
        <f t="shared" si="46"/>
        <v>TT2 Kon Tum</v>
      </c>
      <c r="AG493">
        <f t="shared" si="47"/>
        <v>7.9930000000000001E-2</v>
      </c>
      <c r="AH493">
        <f t="shared" si="48"/>
        <v>0.41954000000000002</v>
      </c>
    </row>
    <row r="494" spans="1:34" x14ac:dyDescent="0.25">
      <c r="A494" t="s">
        <v>4632</v>
      </c>
      <c r="B494" t="s">
        <v>4633</v>
      </c>
      <c r="C494" t="s">
        <v>4634</v>
      </c>
      <c r="D494" t="s">
        <v>4635</v>
      </c>
      <c r="E494" t="s">
        <v>4636</v>
      </c>
      <c r="F494" t="s">
        <v>4637</v>
      </c>
      <c r="G494" t="s">
        <v>15827</v>
      </c>
      <c r="H494" t="s">
        <v>15828</v>
      </c>
      <c r="I494" t="s">
        <v>16314</v>
      </c>
      <c r="J494" t="s">
        <v>23</v>
      </c>
      <c r="L494" t="s">
        <v>4638</v>
      </c>
      <c r="M494" t="s">
        <v>4639</v>
      </c>
      <c r="N494" t="s">
        <v>4640</v>
      </c>
      <c r="O494" t="s">
        <v>4641</v>
      </c>
      <c r="P494" t="s">
        <v>4642</v>
      </c>
      <c r="Q494" t="s">
        <v>4643</v>
      </c>
      <c r="R494" t="s">
        <v>4644</v>
      </c>
      <c r="S494" t="s">
        <v>4645</v>
      </c>
      <c r="T494" t="s">
        <v>4646</v>
      </c>
      <c r="U494" s="5">
        <v>2835.25</v>
      </c>
      <c r="V494" s="5">
        <v>80.02</v>
      </c>
      <c r="W494" s="5">
        <v>14.491633999999999</v>
      </c>
      <c r="X494" s="5">
        <v>107.925735</v>
      </c>
      <c r="Y494" s="5">
        <v>2755.23</v>
      </c>
      <c r="Z494" s="5">
        <v>14.47508</v>
      </c>
      <c r="AA494" s="5">
        <v>107.932951</v>
      </c>
      <c r="AB494" s="7">
        <f t="shared" si="43"/>
        <v>0.12003</v>
      </c>
      <c r="AC494" s="7">
        <f t="shared" si="44"/>
        <v>4.1328450000000005</v>
      </c>
      <c r="AD494" s="12" t="str">
        <f t="shared" si="45"/>
        <v>Đăk Pxi</v>
      </c>
      <c r="AE494" s="12" t="str">
        <f t="shared" si="46"/>
        <v>CAT Kon Tum</v>
      </c>
      <c r="AG494">
        <f t="shared" si="47"/>
        <v>8.0019999999999994E-2</v>
      </c>
      <c r="AH494">
        <f t="shared" si="48"/>
        <v>2.7552300000000001</v>
      </c>
    </row>
    <row r="495" spans="1:34" x14ac:dyDescent="0.25">
      <c r="A495" t="s">
        <v>4647</v>
      </c>
      <c r="B495" t="s">
        <v>4633</v>
      </c>
      <c r="C495" t="s">
        <v>4634</v>
      </c>
      <c r="D495" t="s">
        <v>4648</v>
      </c>
      <c r="E495" t="s">
        <v>4649</v>
      </c>
      <c r="F495" t="s">
        <v>4650</v>
      </c>
      <c r="G495" t="s">
        <v>15827</v>
      </c>
      <c r="H495" t="s">
        <v>15828</v>
      </c>
      <c r="I495" t="s">
        <v>16315</v>
      </c>
      <c r="J495" t="s">
        <v>23</v>
      </c>
      <c r="L495" t="s">
        <v>4596</v>
      </c>
      <c r="M495" t="s">
        <v>3458</v>
      </c>
      <c r="N495" t="s">
        <v>4651</v>
      </c>
      <c r="O495" t="s">
        <v>4652</v>
      </c>
      <c r="P495" t="s">
        <v>4653</v>
      </c>
      <c r="Q495" t="s">
        <v>4654</v>
      </c>
      <c r="R495" t="s">
        <v>4655</v>
      </c>
      <c r="S495" t="s">
        <v>4656</v>
      </c>
      <c r="T495" t="s">
        <v>4604</v>
      </c>
      <c r="U495" s="5">
        <v>91.27</v>
      </c>
      <c r="V495" s="5">
        <v>82.42</v>
      </c>
      <c r="W495" s="5">
        <v>14.491698</v>
      </c>
      <c r="X495" s="5">
        <v>107.925718</v>
      </c>
      <c r="Y495" s="5">
        <v>8.85</v>
      </c>
      <c r="Z495" s="5">
        <v>14.487886</v>
      </c>
      <c r="AA495" s="5">
        <v>107.959982</v>
      </c>
      <c r="AB495" s="7">
        <f t="shared" si="43"/>
        <v>0.12362999999999999</v>
      </c>
      <c r="AC495" s="7">
        <f t="shared" si="44"/>
        <v>1.3274999999999999E-2</v>
      </c>
      <c r="AD495" s="12" t="str">
        <f t="shared" si="45"/>
        <v>TT2 Kon Tum</v>
      </c>
      <c r="AE495" s="12" t="str">
        <f t="shared" si="46"/>
        <v>PC11</v>
      </c>
      <c r="AG495">
        <f t="shared" si="47"/>
        <v>8.2420000000000007E-2</v>
      </c>
      <c r="AH495">
        <f t="shared" si="48"/>
        <v>8.8500000000000002E-3</v>
      </c>
    </row>
    <row r="496" spans="1:34" x14ac:dyDescent="0.25">
      <c r="A496" t="s">
        <v>4657</v>
      </c>
      <c r="B496" t="s">
        <v>4648</v>
      </c>
      <c r="C496" t="s">
        <v>4649</v>
      </c>
      <c r="D496" t="s">
        <v>4658</v>
      </c>
      <c r="E496" t="s">
        <v>4659</v>
      </c>
      <c r="F496" t="s">
        <v>4660</v>
      </c>
      <c r="G496" t="s">
        <v>15827</v>
      </c>
      <c r="H496" t="s">
        <v>15828</v>
      </c>
      <c r="I496" t="s">
        <v>16316</v>
      </c>
      <c r="J496" t="s">
        <v>23</v>
      </c>
      <c r="L496" t="s">
        <v>4661</v>
      </c>
      <c r="M496" t="s">
        <v>4662</v>
      </c>
      <c r="N496" t="s">
        <v>4663</v>
      </c>
      <c r="O496" t="s">
        <v>4664</v>
      </c>
      <c r="P496" t="s">
        <v>4665</v>
      </c>
      <c r="Q496" t="s">
        <v>4666</v>
      </c>
      <c r="R496" t="s">
        <v>4667</v>
      </c>
      <c r="S496" t="s">
        <v>4668</v>
      </c>
      <c r="T496" t="s">
        <v>4669</v>
      </c>
      <c r="U496" s="5">
        <v>776.52</v>
      </c>
      <c r="V496" s="5">
        <v>709.89</v>
      </c>
      <c r="W496" s="5">
        <v>14.494263999999999</v>
      </c>
      <c r="X496" s="5">
        <v>107.959536</v>
      </c>
      <c r="Y496" s="5">
        <v>66.62</v>
      </c>
      <c r="Z496" s="5">
        <v>14.506976</v>
      </c>
      <c r="AA496" s="5">
        <v>108.010105</v>
      </c>
      <c r="AB496" s="7">
        <f t="shared" si="43"/>
        <v>1.064835</v>
      </c>
      <c r="AC496" s="7">
        <f t="shared" si="44"/>
        <v>9.9930000000000005E-2</v>
      </c>
      <c r="AD496" s="12" t="str">
        <f t="shared" si="45"/>
        <v>Ngọk Réo</v>
      </c>
      <c r="AE496" s="12" t="str">
        <f t="shared" si="46"/>
        <v>TTCMKV Đăk Hà</v>
      </c>
      <c r="AG496">
        <f t="shared" si="47"/>
        <v>0.70989000000000002</v>
      </c>
      <c r="AH496">
        <f t="shared" si="48"/>
        <v>6.6619999999999999E-2</v>
      </c>
    </row>
    <row r="497" spans="1:34" x14ac:dyDescent="0.25">
      <c r="A497" t="s">
        <v>4670</v>
      </c>
      <c r="B497" t="s">
        <v>4551</v>
      </c>
      <c r="C497" t="s">
        <v>4552</v>
      </c>
      <c r="D497" t="s">
        <v>4671</v>
      </c>
      <c r="E497" t="s">
        <v>4672</v>
      </c>
      <c r="F497" t="s">
        <v>4673</v>
      </c>
      <c r="G497" t="s">
        <v>15827</v>
      </c>
      <c r="H497" t="s">
        <v>15828</v>
      </c>
      <c r="I497" t="s">
        <v>16317</v>
      </c>
      <c r="J497" t="s">
        <v>23</v>
      </c>
      <c r="L497" t="s">
        <v>4674</v>
      </c>
      <c r="M497" t="s">
        <v>4675</v>
      </c>
      <c r="N497" t="s">
        <v>4676</v>
      </c>
      <c r="O497" t="s">
        <v>4677</v>
      </c>
      <c r="P497" t="s">
        <v>4678</v>
      </c>
      <c r="Q497" t="s">
        <v>4679</v>
      </c>
      <c r="R497" t="s">
        <v>4680</v>
      </c>
      <c r="S497" t="s">
        <v>4681</v>
      </c>
      <c r="T497" t="s">
        <v>4682</v>
      </c>
      <c r="U497" s="5">
        <v>93.89</v>
      </c>
      <c r="V497" s="5">
        <v>0.99</v>
      </c>
      <c r="W497" s="5">
        <v>14.698413</v>
      </c>
      <c r="X497" s="5">
        <v>107.836294</v>
      </c>
      <c r="Y497" s="5">
        <v>92.9</v>
      </c>
      <c r="Z497" s="5">
        <v>14.695057</v>
      </c>
      <c r="AA497" s="5">
        <v>107.837833</v>
      </c>
      <c r="AB497" s="7">
        <f t="shared" si="43"/>
        <v>1.4849999999999998E-3</v>
      </c>
      <c r="AC497" s="7">
        <f t="shared" si="44"/>
        <v>0.13935000000000003</v>
      </c>
      <c r="AD497" s="12" t="str">
        <f t="shared" si="45"/>
        <v>TTCMKV Đăk Tô</v>
      </c>
      <c r="AE497" s="12" t="str">
        <f t="shared" si="46"/>
        <v>Kon Đào</v>
      </c>
      <c r="AG497">
        <f t="shared" si="47"/>
        <v>9.8999999999999999E-4</v>
      </c>
      <c r="AH497">
        <f t="shared" si="48"/>
        <v>9.290000000000001E-2</v>
      </c>
    </row>
    <row r="498" spans="1:34" x14ac:dyDescent="0.25">
      <c r="A498" t="s">
        <v>4683</v>
      </c>
      <c r="B498" t="s">
        <v>4537</v>
      </c>
      <c r="C498" t="s">
        <v>4538</v>
      </c>
      <c r="D498" t="s">
        <v>4684</v>
      </c>
      <c r="E498" t="s">
        <v>4685</v>
      </c>
      <c r="F498" t="s">
        <v>4686</v>
      </c>
      <c r="G498" t="s">
        <v>15827</v>
      </c>
      <c r="H498" t="s">
        <v>15828</v>
      </c>
      <c r="I498" t="s">
        <v>16318</v>
      </c>
      <c r="J498" t="s">
        <v>23</v>
      </c>
      <c r="L498" t="s">
        <v>4569</v>
      </c>
      <c r="M498" t="s">
        <v>4687</v>
      </c>
      <c r="N498" t="s">
        <v>727</v>
      </c>
      <c r="O498" t="s">
        <v>4571</v>
      </c>
      <c r="P498" t="s">
        <v>4572</v>
      </c>
      <c r="Q498" t="s">
        <v>4688</v>
      </c>
      <c r="R498" t="s">
        <v>4689</v>
      </c>
      <c r="S498" t="s">
        <v>4690</v>
      </c>
      <c r="T498" t="s">
        <v>4576</v>
      </c>
      <c r="U498" s="5">
        <v>55.91</v>
      </c>
      <c r="V498" s="5">
        <v>15.81</v>
      </c>
      <c r="W498" s="5">
        <v>14.724418999999999</v>
      </c>
      <c r="X498" s="5">
        <v>107.68789200000001</v>
      </c>
      <c r="Y498" s="5">
        <v>40.1</v>
      </c>
      <c r="Z498" s="5">
        <v>14.687182</v>
      </c>
      <c r="AA498" s="5">
        <v>107.68757100000001</v>
      </c>
      <c r="AB498" s="7">
        <f t="shared" si="43"/>
        <v>2.3715E-2</v>
      </c>
      <c r="AC498" s="7">
        <f t="shared" si="44"/>
        <v>6.0150000000000009E-2</v>
      </c>
      <c r="AD498" s="12" t="str">
        <f t="shared" si="45"/>
        <v>TTCMKV Ngọc Hồi</v>
      </c>
      <c r="AE498" s="12" t="str">
        <f t="shared" si="46"/>
        <v>Sa Loong</v>
      </c>
      <c r="AG498">
        <f t="shared" si="47"/>
        <v>1.5810000000000001E-2</v>
      </c>
      <c r="AH498">
        <f t="shared" si="48"/>
        <v>4.0100000000000004E-2</v>
      </c>
    </row>
    <row r="499" spans="1:34" x14ac:dyDescent="0.25">
      <c r="A499" t="s">
        <v>4691</v>
      </c>
      <c r="B499" t="s">
        <v>4692</v>
      </c>
      <c r="C499" t="s">
        <v>4693</v>
      </c>
      <c r="D499" t="s">
        <v>4537</v>
      </c>
      <c r="E499" t="s">
        <v>4538</v>
      </c>
      <c r="F499" t="s">
        <v>4694</v>
      </c>
      <c r="G499" t="s">
        <v>15827</v>
      </c>
      <c r="H499" t="s">
        <v>15828</v>
      </c>
      <c r="I499" t="s">
        <v>16319</v>
      </c>
      <c r="J499" t="s">
        <v>23</v>
      </c>
      <c r="L499" t="s">
        <v>4695</v>
      </c>
      <c r="M499" t="s">
        <v>4696</v>
      </c>
      <c r="N499" t="s">
        <v>4697</v>
      </c>
      <c r="O499" t="s">
        <v>4698</v>
      </c>
      <c r="P499" t="s">
        <v>4699</v>
      </c>
      <c r="Q499" t="s">
        <v>4700</v>
      </c>
      <c r="R499" t="s">
        <v>4701</v>
      </c>
      <c r="S499" t="s">
        <v>4702</v>
      </c>
      <c r="T499" t="s">
        <v>4703</v>
      </c>
      <c r="U499" s="5">
        <v>191.92</v>
      </c>
      <c r="V499" s="5">
        <v>110.28</v>
      </c>
      <c r="W499" s="5">
        <v>14.493387999999999</v>
      </c>
      <c r="X499" s="5">
        <v>107.92475899999999</v>
      </c>
      <c r="Y499" s="5">
        <v>81.64</v>
      </c>
      <c r="Z499" s="5">
        <v>14.724747000000001</v>
      </c>
      <c r="AA499" s="5">
        <v>107.688525</v>
      </c>
      <c r="AB499" s="7">
        <f t="shared" si="43"/>
        <v>0.16542000000000001</v>
      </c>
      <c r="AC499" s="7">
        <f t="shared" si="44"/>
        <v>0.12246000000000001</v>
      </c>
      <c r="AD499" s="12" t="str">
        <f t="shared" si="45"/>
        <v>Đak Hà</v>
      </c>
      <c r="AE499" s="12" t="str">
        <f t="shared" si="46"/>
        <v>Ngọc Hồi</v>
      </c>
      <c r="AG499">
        <f t="shared" si="47"/>
        <v>0.11028</v>
      </c>
      <c r="AH499">
        <f t="shared" si="48"/>
        <v>8.1640000000000004E-2</v>
      </c>
    </row>
    <row r="500" spans="1:34" x14ac:dyDescent="0.25">
      <c r="A500" t="s">
        <v>4704</v>
      </c>
      <c r="B500" t="s">
        <v>4705</v>
      </c>
      <c r="C500" t="s">
        <v>4706</v>
      </c>
      <c r="D500" t="s">
        <v>4537</v>
      </c>
      <c r="E500" t="s">
        <v>4538</v>
      </c>
      <c r="F500" t="s">
        <v>4707</v>
      </c>
      <c r="G500" t="s">
        <v>15827</v>
      </c>
      <c r="H500" t="s">
        <v>15828</v>
      </c>
      <c r="I500" t="s">
        <v>16320</v>
      </c>
      <c r="J500" t="s">
        <v>23</v>
      </c>
      <c r="L500" t="s">
        <v>4708</v>
      </c>
      <c r="M500" t="s">
        <v>4709</v>
      </c>
      <c r="N500" t="s">
        <v>4710</v>
      </c>
      <c r="O500" t="s">
        <v>4711</v>
      </c>
      <c r="P500" t="s">
        <v>4712</v>
      </c>
      <c r="Q500" t="s">
        <v>4713</v>
      </c>
      <c r="R500" t="s">
        <v>4714</v>
      </c>
      <c r="S500" t="s">
        <v>4715</v>
      </c>
      <c r="T500" t="s">
        <v>4716</v>
      </c>
      <c r="U500" s="5">
        <v>161.46</v>
      </c>
      <c r="V500" s="5">
        <v>145.96</v>
      </c>
      <c r="W500" s="5">
        <v>14.704893</v>
      </c>
      <c r="X500" s="5">
        <v>107.69735900000001</v>
      </c>
      <c r="Y500" s="5">
        <v>15.5</v>
      </c>
      <c r="Z500" s="5">
        <v>14.724413999999999</v>
      </c>
      <c r="AA500" s="5">
        <v>107.68788000000001</v>
      </c>
      <c r="AB500" s="7">
        <f t="shared" si="43"/>
        <v>0.21894</v>
      </c>
      <c r="AC500" s="7">
        <f t="shared" si="44"/>
        <v>2.325E-2</v>
      </c>
      <c r="AD500" s="12" t="str">
        <f t="shared" si="45"/>
        <v>Pô Kô</v>
      </c>
      <c r="AE500" s="12" t="str">
        <f t="shared" si="46"/>
        <v>TTCMKV Ngọc Hồi</v>
      </c>
      <c r="AG500">
        <f t="shared" si="47"/>
        <v>0.14596000000000001</v>
      </c>
      <c r="AH500">
        <f t="shared" si="48"/>
        <v>1.55E-2</v>
      </c>
    </row>
    <row r="501" spans="1:34" x14ac:dyDescent="0.25">
      <c r="A501" t="s">
        <v>4717</v>
      </c>
      <c r="B501" t="s">
        <v>4692</v>
      </c>
      <c r="C501" t="s">
        <v>4693</v>
      </c>
      <c r="D501" t="s">
        <v>4551</v>
      </c>
      <c r="E501" t="s">
        <v>4552</v>
      </c>
      <c r="F501" t="s">
        <v>4718</v>
      </c>
      <c r="G501" t="s">
        <v>15827</v>
      </c>
      <c r="H501" t="s">
        <v>15828</v>
      </c>
      <c r="I501" t="s">
        <v>16321</v>
      </c>
      <c r="J501" t="s">
        <v>23</v>
      </c>
      <c r="L501" t="s">
        <v>4623</v>
      </c>
      <c r="M501" t="s">
        <v>4719</v>
      </c>
      <c r="N501" t="s">
        <v>4720</v>
      </c>
      <c r="O501" t="s">
        <v>4721</v>
      </c>
      <c r="P501" t="s">
        <v>4722</v>
      </c>
      <c r="Q501" t="s">
        <v>4723</v>
      </c>
      <c r="R501" t="s">
        <v>4724</v>
      </c>
      <c r="S501" t="s">
        <v>4725</v>
      </c>
      <c r="T501" t="s">
        <v>4631</v>
      </c>
      <c r="U501" s="5">
        <v>4425.24</v>
      </c>
      <c r="V501" s="5">
        <v>109.89</v>
      </c>
      <c r="W501" s="5">
        <v>14.493391000000001</v>
      </c>
      <c r="X501" s="5">
        <v>107.924763</v>
      </c>
      <c r="Y501" s="5">
        <v>4315.3500000000004</v>
      </c>
      <c r="Z501" s="5">
        <v>14.659758</v>
      </c>
      <c r="AA501" s="5">
        <v>107.83978500000001</v>
      </c>
      <c r="AB501" s="7">
        <f t="shared" si="43"/>
        <v>0.16483500000000001</v>
      </c>
      <c r="AC501" s="7">
        <f t="shared" si="44"/>
        <v>6.4730250000000007</v>
      </c>
      <c r="AD501" s="12" t="str">
        <f t="shared" si="45"/>
        <v>Đăk Tô</v>
      </c>
      <c r="AE501" s="12" t="str">
        <f t="shared" si="46"/>
        <v>TT2 Kon Tum</v>
      </c>
      <c r="AG501">
        <f t="shared" si="47"/>
        <v>0.10989</v>
      </c>
      <c r="AH501">
        <f t="shared" si="48"/>
        <v>4.3153500000000005</v>
      </c>
    </row>
    <row r="502" spans="1:34" x14ac:dyDescent="0.25">
      <c r="A502" t="s">
        <v>4726</v>
      </c>
      <c r="B502" t="s">
        <v>4727</v>
      </c>
      <c r="C502" t="s">
        <v>4728</v>
      </c>
      <c r="D502" t="s">
        <v>4537</v>
      </c>
      <c r="E502" t="s">
        <v>4538</v>
      </c>
      <c r="F502" t="s">
        <v>4729</v>
      </c>
      <c r="G502" t="s">
        <v>15827</v>
      </c>
      <c r="H502" t="s">
        <v>15828</v>
      </c>
      <c r="I502" t="s">
        <v>16322</v>
      </c>
      <c r="J502" t="s">
        <v>23</v>
      </c>
      <c r="L502" t="s">
        <v>4730</v>
      </c>
      <c r="M502" t="s">
        <v>4731</v>
      </c>
      <c r="N502" t="s">
        <v>4732</v>
      </c>
      <c r="O502" t="s">
        <v>4733</v>
      </c>
      <c r="P502" t="s">
        <v>4734</v>
      </c>
      <c r="Q502" t="s">
        <v>4735</v>
      </c>
      <c r="R502" t="s">
        <v>4736</v>
      </c>
      <c r="S502" t="s">
        <v>4737</v>
      </c>
      <c r="T502" t="s">
        <v>4738</v>
      </c>
      <c r="U502" s="5">
        <v>131.09</v>
      </c>
      <c r="V502" s="5">
        <v>114.38</v>
      </c>
      <c r="W502" s="5">
        <v>14.732032</v>
      </c>
      <c r="X502" s="5">
        <v>107.691819</v>
      </c>
      <c r="Y502" s="5">
        <v>16.71</v>
      </c>
      <c r="Z502" s="5">
        <v>14.724416</v>
      </c>
      <c r="AA502" s="5">
        <v>107.687901</v>
      </c>
      <c r="AB502" s="7">
        <f t="shared" si="43"/>
        <v>0.17157</v>
      </c>
      <c r="AC502" s="7">
        <f t="shared" si="44"/>
        <v>2.5065E-2</v>
      </c>
      <c r="AD502" s="12" t="str">
        <f t="shared" si="45"/>
        <v>Bờ Y</v>
      </c>
      <c r="AE502" s="12" t="str">
        <f t="shared" si="46"/>
        <v>Đăk Môn</v>
      </c>
      <c r="AG502">
        <f t="shared" si="47"/>
        <v>0.11438</v>
      </c>
      <c r="AH502">
        <f t="shared" si="48"/>
        <v>1.6709999999999999E-2</v>
      </c>
    </row>
    <row r="503" spans="1:34" x14ac:dyDescent="0.25">
      <c r="A503" t="s">
        <v>4739</v>
      </c>
      <c r="B503" t="s">
        <v>4740</v>
      </c>
      <c r="C503" t="s">
        <v>4741</v>
      </c>
      <c r="D503" t="s">
        <v>4537</v>
      </c>
      <c r="E503" t="s">
        <v>4538</v>
      </c>
      <c r="F503" t="s">
        <v>4742</v>
      </c>
      <c r="G503" t="s">
        <v>15827</v>
      </c>
      <c r="H503" t="s">
        <v>15828</v>
      </c>
      <c r="I503" t="s">
        <v>16323</v>
      </c>
      <c r="J503" t="s">
        <v>23</v>
      </c>
      <c r="L503" t="s">
        <v>4708</v>
      </c>
      <c r="M503" t="s">
        <v>4743</v>
      </c>
      <c r="N503" t="s">
        <v>4744</v>
      </c>
      <c r="O503" t="s">
        <v>4745</v>
      </c>
      <c r="P503" t="s">
        <v>4746</v>
      </c>
      <c r="Q503" t="s">
        <v>4713</v>
      </c>
      <c r="R503" t="s">
        <v>4714</v>
      </c>
      <c r="S503" t="s">
        <v>4715</v>
      </c>
      <c r="T503" t="s">
        <v>4716</v>
      </c>
      <c r="U503" s="5">
        <v>135.58000000000001</v>
      </c>
      <c r="V503" s="5">
        <v>120.08</v>
      </c>
      <c r="W503" s="5">
        <v>14.688022</v>
      </c>
      <c r="X503" s="5">
        <v>107.717382</v>
      </c>
      <c r="Y503" s="5">
        <v>15.5</v>
      </c>
      <c r="Z503" s="5">
        <v>14.724413999999999</v>
      </c>
      <c r="AA503" s="5">
        <v>107.68788000000001</v>
      </c>
      <c r="AB503" s="7">
        <f t="shared" si="43"/>
        <v>0.18012</v>
      </c>
      <c r="AC503" s="7">
        <f t="shared" si="44"/>
        <v>2.325E-2</v>
      </c>
      <c r="AD503" s="12" t="str">
        <f t="shared" si="45"/>
        <v>Pô Kô</v>
      </c>
      <c r="AE503" s="12" t="str">
        <f t="shared" si="46"/>
        <v>TTCMKV Ngọc Hồi</v>
      </c>
      <c r="AG503">
        <f t="shared" si="47"/>
        <v>0.12007999999999999</v>
      </c>
      <c r="AH503">
        <f t="shared" si="48"/>
        <v>1.55E-2</v>
      </c>
    </row>
    <row r="504" spans="1:34" x14ac:dyDescent="0.25">
      <c r="A504" t="s">
        <v>4747</v>
      </c>
      <c r="B504" t="s">
        <v>4748</v>
      </c>
      <c r="C504" t="s">
        <v>4749</v>
      </c>
      <c r="D504" t="s">
        <v>4750</v>
      </c>
      <c r="E504" t="s">
        <v>4751</v>
      </c>
      <c r="F504" t="s">
        <v>4752</v>
      </c>
      <c r="G504" t="s">
        <v>15827</v>
      </c>
      <c r="H504" t="s">
        <v>15828</v>
      </c>
      <c r="I504" t="s">
        <v>16324</v>
      </c>
      <c r="J504" t="s">
        <v>23</v>
      </c>
      <c r="L504" t="s">
        <v>4753</v>
      </c>
      <c r="M504" t="s">
        <v>4754</v>
      </c>
      <c r="N504" t="s">
        <v>4755</v>
      </c>
      <c r="O504" t="s">
        <v>4756</v>
      </c>
      <c r="P504" t="s">
        <v>4757</v>
      </c>
      <c r="Q504" t="s">
        <v>4758</v>
      </c>
      <c r="R504" t="s">
        <v>4759</v>
      </c>
      <c r="S504" t="s">
        <v>4760</v>
      </c>
      <c r="T504" t="s">
        <v>4761</v>
      </c>
      <c r="U504" s="5">
        <v>87.67</v>
      </c>
      <c r="V504" s="5">
        <v>55.13</v>
      </c>
      <c r="W504" s="5">
        <v>14.302493</v>
      </c>
      <c r="X504" s="5">
        <v>107.993155</v>
      </c>
      <c r="Y504" s="5">
        <v>32.54</v>
      </c>
      <c r="Z504" s="5">
        <v>14.30256</v>
      </c>
      <c r="AA504" s="5">
        <v>107.99348999999999</v>
      </c>
      <c r="AB504" s="7">
        <f t="shared" si="43"/>
        <v>8.2695000000000005E-2</v>
      </c>
      <c r="AC504" s="7">
        <f t="shared" si="44"/>
        <v>4.8809999999999999E-2</v>
      </c>
      <c r="AD504" s="12" t="str">
        <f t="shared" si="45"/>
        <v>CAT Kon TUm</v>
      </c>
      <c r="AE504" s="12" t="str">
        <f t="shared" si="46"/>
        <v>Đăk Bla</v>
      </c>
      <c r="AG504">
        <f t="shared" si="47"/>
        <v>5.5130000000000005E-2</v>
      </c>
      <c r="AH504">
        <f t="shared" si="48"/>
        <v>3.2539999999999999E-2</v>
      </c>
    </row>
    <row r="505" spans="1:34" x14ac:dyDescent="0.25">
      <c r="A505" t="s">
        <v>4762</v>
      </c>
      <c r="B505" t="s">
        <v>4763</v>
      </c>
      <c r="C505" t="s">
        <v>4764</v>
      </c>
      <c r="D505" t="s">
        <v>4750</v>
      </c>
      <c r="E505" t="s">
        <v>4751</v>
      </c>
      <c r="F505" t="s">
        <v>4765</v>
      </c>
      <c r="G505" t="s">
        <v>15827</v>
      </c>
      <c r="H505" t="s">
        <v>15828</v>
      </c>
      <c r="I505" t="s">
        <v>16325</v>
      </c>
      <c r="J505" t="s">
        <v>23</v>
      </c>
      <c r="L505" t="s">
        <v>4753</v>
      </c>
      <c r="M505" t="s">
        <v>4766</v>
      </c>
      <c r="N505" t="s">
        <v>4767</v>
      </c>
      <c r="O505" t="s">
        <v>4768</v>
      </c>
      <c r="P505" t="s">
        <v>4769</v>
      </c>
      <c r="Q505" t="s">
        <v>4758</v>
      </c>
      <c r="R505" t="s">
        <v>4759</v>
      </c>
      <c r="S505" t="s">
        <v>4760</v>
      </c>
      <c r="T505" t="s">
        <v>4761</v>
      </c>
      <c r="U505" s="5">
        <v>178.46</v>
      </c>
      <c r="V505" s="5">
        <v>145.91999999999999</v>
      </c>
      <c r="W505" s="5">
        <v>14.319241999999999</v>
      </c>
      <c r="X505" s="5">
        <v>107.987888</v>
      </c>
      <c r="Y505" s="5">
        <v>32.54</v>
      </c>
      <c r="Z505" s="5">
        <v>14.30256</v>
      </c>
      <c r="AA505" s="5">
        <v>107.99348999999999</v>
      </c>
      <c r="AB505" s="7">
        <f t="shared" si="43"/>
        <v>0.21887999999999999</v>
      </c>
      <c r="AC505" s="7">
        <f t="shared" si="44"/>
        <v>4.8809999999999999E-2</v>
      </c>
      <c r="AD505" s="12" t="str">
        <f t="shared" si="45"/>
        <v>CAT Kon TUm</v>
      </c>
      <c r="AE505" s="12" t="str">
        <f t="shared" si="46"/>
        <v>Đăk Bla</v>
      </c>
      <c r="AG505">
        <f t="shared" si="47"/>
        <v>0.14591999999999999</v>
      </c>
      <c r="AH505">
        <f t="shared" si="48"/>
        <v>3.2539999999999999E-2</v>
      </c>
    </row>
    <row r="506" spans="1:34" x14ac:dyDescent="0.25">
      <c r="A506" t="s">
        <v>4770</v>
      </c>
      <c r="B506" t="s">
        <v>4771</v>
      </c>
      <c r="C506" t="s">
        <v>4772</v>
      </c>
      <c r="D506" t="s">
        <v>4773</v>
      </c>
      <c r="E506" t="s">
        <v>4774</v>
      </c>
      <c r="F506" t="s">
        <v>4775</v>
      </c>
      <c r="G506" t="s">
        <v>15827</v>
      </c>
      <c r="H506" t="s">
        <v>15828</v>
      </c>
      <c r="I506" t="s">
        <v>16326</v>
      </c>
      <c r="J506" t="s">
        <v>23</v>
      </c>
      <c r="L506" t="s">
        <v>4776</v>
      </c>
      <c r="M506" t="s">
        <v>4777</v>
      </c>
      <c r="N506" t="s">
        <v>4778</v>
      </c>
      <c r="O506" t="s">
        <v>4779</v>
      </c>
      <c r="P506" t="s">
        <v>4780</v>
      </c>
      <c r="Q506" t="s">
        <v>4781</v>
      </c>
      <c r="R506" t="s">
        <v>4782</v>
      </c>
      <c r="S506" t="s">
        <v>4783</v>
      </c>
      <c r="T506" t="s">
        <v>4784</v>
      </c>
      <c r="U506" s="5">
        <v>170.46</v>
      </c>
      <c r="V506" s="5">
        <v>167.18</v>
      </c>
      <c r="W506" s="5">
        <v>14.367974999999999</v>
      </c>
      <c r="X506" s="5">
        <v>107.99443100000001</v>
      </c>
      <c r="Y506" s="5">
        <v>3.28</v>
      </c>
      <c r="Z506" s="5">
        <v>14.363504000000001</v>
      </c>
      <c r="AA506" s="5">
        <v>107.998783</v>
      </c>
      <c r="AB506" s="7">
        <f t="shared" si="43"/>
        <v>0.25076999999999999</v>
      </c>
      <c r="AC506" s="7">
        <f t="shared" si="44"/>
        <v>4.9199999999999999E-3</v>
      </c>
      <c r="AD506" s="12" t="str">
        <f t="shared" si="45"/>
        <v>PC07</v>
      </c>
      <c r="AE506" s="12" t="str">
        <f t="shared" si="46"/>
        <v>Khối CS (PC01, PC02, PC03, PC04)</v>
      </c>
      <c r="AG506">
        <f t="shared" si="47"/>
        <v>0.16718</v>
      </c>
      <c r="AH506">
        <f t="shared" si="48"/>
        <v>3.2799999999999999E-3</v>
      </c>
    </row>
    <row r="507" spans="1:34" x14ac:dyDescent="0.25">
      <c r="A507" t="s">
        <v>4785</v>
      </c>
      <c r="B507" t="s">
        <v>4786</v>
      </c>
      <c r="C507" t="s">
        <v>4787</v>
      </c>
      <c r="D507" t="s">
        <v>4788</v>
      </c>
      <c r="E507" t="s">
        <v>4789</v>
      </c>
      <c r="F507" t="s">
        <v>4790</v>
      </c>
      <c r="G507" t="s">
        <v>15827</v>
      </c>
      <c r="H507" t="s">
        <v>15828</v>
      </c>
      <c r="I507" t="s">
        <v>16327</v>
      </c>
      <c r="J507" t="s">
        <v>23</v>
      </c>
      <c r="L507" t="s">
        <v>4791</v>
      </c>
      <c r="M507" t="s">
        <v>4792</v>
      </c>
      <c r="N507" t="s">
        <v>4793</v>
      </c>
      <c r="O507" t="s">
        <v>4794</v>
      </c>
      <c r="P507" t="s">
        <v>4795</v>
      </c>
      <c r="Q507" t="s">
        <v>4796</v>
      </c>
      <c r="R507" t="s">
        <v>4797</v>
      </c>
      <c r="S507" t="s">
        <v>4798</v>
      </c>
      <c r="T507" t="s">
        <v>4799</v>
      </c>
      <c r="U507" s="5">
        <v>401.75</v>
      </c>
      <c r="V507" s="5">
        <v>399.08</v>
      </c>
      <c r="W507" s="5">
        <v>14.367728</v>
      </c>
      <c r="X507" s="5">
        <v>108.008712</v>
      </c>
      <c r="Y507" s="5">
        <v>2.67</v>
      </c>
      <c r="Z507" s="5">
        <v>14.369460999999999</v>
      </c>
      <c r="AA507" s="5">
        <v>108.008522</v>
      </c>
      <c r="AB507" s="7">
        <f t="shared" si="43"/>
        <v>0.59862000000000004</v>
      </c>
      <c r="AC507" s="7">
        <f t="shared" si="44"/>
        <v>4.0049999999999999E-3</v>
      </c>
      <c r="AD507" s="12" t="str">
        <f t="shared" si="45"/>
        <v>PC08</v>
      </c>
      <c r="AE507" s="12" t="str">
        <f t="shared" si="46"/>
        <v>TT2 Kon Tum</v>
      </c>
      <c r="AG507">
        <f t="shared" si="47"/>
        <v>0.39907999999999999</v>
      </c>
      <c r="AH507">
        <f t="shared" si="48"/>
        <v>2.6700000000000001E-3</v>
      </c>
    </row>
    <row r="508" spans="1:34" x14ac:dyDescent="0.25">
      <c r="A508" t="s">
        <v>4800</v>
      </c>
      <c r="B508" t="s">
        <v>4801</v>
      </c>
      <c r="C508" t="s">
        <v>4802</v>
      </c>
      <c r="D508" t="s">
        <v>4803</v>
      </c>
      <c r="E508" t="s">
        <v>4804</v>
      </c>
      <c r="F508" t="s">
        <v>4805</v>
      </c>
      <c r="G508" t="s">
        <v>15827</v>
      </c>
      <c r="H508" t="s">
        <v>15828</v>
      </c>
      <c r="I508" t="s">
        <v>16328</v>
      </c>
      <c r="J508" t="s">
        <v>23</v>
      </c>
      <c r="L508" t="s">
        <v>4806</v>
      </c>
      <c r="M508" t="s">
        <v>4807</v>
      </c>
      <c r="N508" t="s">
        <v>4808</v>
      </c>
      <c r="O508" t="s">
        <v>4809</v>
      </c>
      <c r="P508" t="s">
        <v>4810</v>
      </c>
      <c r="Q508" t="s">
        <v>4811</v>
      </c>
      <c r="R508" t="s">
        <v>4812</v>
      </c>
      <c r="S508" t="s">
        <v>4813</v>
      </c>
      <c r="T508" t="s">
        <v>4814</v>
      </c>
      <c r="U508" s="5">
        <v>331.13</v>
      </c>
      <c r="V508" s="5">
        <v>290.43</v>
      </c>
      <c r="W508" s="5">
        <v>14.381186</v>
      </c>
      <c r="X508" s="5">
        <v>108.029183</v>
      </c>
      <c r="Y508" s="5">
        <v>40.700000000000003</v>
      </c>
      <c r="Z508" s="5">
        <v>14.377231999999999</v>
      </c>
      <c r="AA508" s="5">
        <v>108.02014</v>
      </c>
      <c r="AB508" s="7">
        <f t="shared" si="43"/>
        <v>0.435645</v>
      </c>
      <c r="AC508" s="7">
        <f t="shared" si="44"/>
        <v>6.1050000000000007E-2</v>
      </c>
      <c r="AD508" s="12" t="str">
        <f t="shared" si="45"/>
        <v>Ia chim</v>
      </c>
      <c r="AE508" s="12" t="str">
        <f t="shared" si="46"/>
        <v>Đăk Rơ Wa</v>
      </c>
      <c r="AG508">
        <f t="shared" si="47"/>
        <v>0.29043000000000002</v>
      </c>
      <c r="AH508">
        <f t="shared" si="48"/>
        <v>4.07E-2</v>
      </c>
    </row>
    <row r="509" spans="1:34" x14ac:dyDescent="0.25">
      <c r="A509" t="s">
        <v>4815</v>
      </c>
      <c r="B509" t="s">
        <v>4593</v>
      </c>
      <c r="C509" t="s">
        <v>4594</v>
      </c>
      <c r="D509" t="s">
        <v>4606</v>
      </c>
      <c r="E509" t="s">
        <v>4607</v>
      </c>
      <c r="F509" t="s">
        <v>4816</v>
      </c>
      <c r="G509" t="s">
        <v>15827</v>
      </c>
      <c r="H509" t="s">
        <v>15828</v>
      </c>
      <c r="I509" t="s">
        <v>16329</v>
      </c>
      <c r="J509" t="s">
        <v>23</v>
      </c>
      <c r="L509" t="s">
        <v>4817</v>
      </c>
      <c r="M509" t="s">
        <v>4818</v>
      </c>
      <c r="N509" t="s">
        <v>4819</v>
      </c>
      <c r="O509" t="s">
        <v>4820</v>
      </c>
      <c r="P509" t="s">
        <v>4821</v>
      </c>
      <c r="Q509" t="s">
        <v>4822</v>
      </c>
      <c r="R509" t="s">
        <v>4823</v>
      </c>
      <c r="S509" t="s">
        <v>4824</v>
      </c>
      <c r="T509" t="s">
        <v>4825</v>
      </c>
      <c r="U509" s="5">
        <v>1111.72</v>
      </c>
      <c r="V509" s="5">
        <v>1055.28</v>
      </c>
      <c r="W509" s="5">
        <v>14.519339</v>
      </c>
      <c r="X509" s="5">
        <v>107.936525</v>
      </c>
      <c r="Y509" s="5">
        <v>56.44</v>
      </c>
      <c r="Z509" s="5">
        <v>14.530480000000001</v>
      </c>
      <c r="AA509" s="5">
        <v>107.940293</v>
      </c>
      <c r="AB509" s="7">
        <f t="shared" si="43"/>
        <v>1.5829200000000001</v>
      </c>
      <c r="AC509" s="7">
        <f t="shared" si="44"/>
        <v>8.4659999999999999E-2</v>
      </c>
      <c r="AD509" s="12" t="str">
        <f t="shared" si="45"/>
        <v>Đăk Hà</v>
      </c>
      <c r="AE509" s="12" t="str">
        <f t="shared" si="46"/>
        <v>Đăk Ui</v>
      </c>
      <c r="AG509">
        <f t="shared" si="47"/>
        <v>1.05528</v>
      </c>
      <c r="AH509">
        <f t="shared" si="48"/>
        <v>5.6439999999999997E-2</v>
      </c>
    </row>
    <row r="510" spans="1:34" x14ac:dyDescent="0.25">
      <c r="A510" t="s">
        <v>4605</v>
      </c>
      <c r="B510" t="s">
        <v>4606</v>
      </c>
      <c r="C510" t="s">
        <v>4607</v>
      </c>
      <c r="D510" t="s">
        <v>4608</v>
      </c>
      <c r="E510" t="s">
        <v>4609</v>
      </c>
      <c r="F510" t="s">
        <v>4610</v>
      </c>
      <c r="G510" t="s">
        <v>15827</v>
      </c>
      <c r="H510" t="s">
        <v>15828</v>
      </c>
      <c r="I510" t="s">
        <v>16312</v>
      </c>
      <c r="J510" t="s">
        <v>23</v>
      </c>
      <c r="L510" t="s">
        <v>4611</v>
      </c>
      <c r="M510" t="s">
        <v>4487</v>
      </c>
      <c r="N510" t="s">
        <v>4612</v>
      </c>
      <c r="O510" t="s">
        <v>4613</v>
      </c>
      <c r="P510" t="s">
        <v>4614</v>
      </c>
      <c r="Q510" t="s">
        <v>4615</v>
      </c>
      <c r="R510" t="s">
        <v>4616</v>
      </c>
      <c r="S510" t="s">
        <v>4617</v>
      </c>
      <c r="T510" t="s">
        <v>4618</v>
      </c>
      <c r="U510" s="5">
        <v>141.22</v>
      </c>
      <c r="V510" s="5">
        <v>50.16</v>
      </c>
      <c r="W510" s="5">
        <v>14.53088</v>
      </c>
      <c r="X510" s="5">
        <v>107.94065399999999</v>
      </c>
      <c r="Y510" s="5">
        <v>91.06</v>
      </c>
      <c r="Z510" s="5">
        <v>14.545249999999999</v>
      </c>
      <c r="AA510" s="5">
        <v>107.920755</v>
      </c>
      <c r="AB510" s="7">
        <f t="shared" si="43"/>
        <v>7.5240000000000001E-2</v>
      </c>
      <c r="AC510" s="7">
        <f t="shared" si="44"/>
        <v>0.13659000000000002</v>
      </c>
      <c r="AD510" s="12" t="str">
        <f t="shared" si="45"/>
        <v>Đăk Ui</v>
      </c>
      <c r="AE510" s="12" t="str">
        <f t="shared" si="46"/>
        <v>Đăk Mar</v>
      </c>
      <c r="AG510">
        <f t="shared" si="47"/>
        <v>5.0159999999999996E-2</v>
      </c>
      <c r="AH510">
        <f t="shared" si="48"/>
        <v>9.1060000000000002E-2</v>
      </c>
    </row>
    <row r="511" spans="1:34" x14ac:dyDescent="0.25">
      <c r="A511" t="s">
        <v>4826</v>
      </c>
      <c r="B511" t="s">
        <v>4620</v>
      </c>
      <c r="C511" t="s">
        <v>4621</v>
      </c>
      <c r="D511" t="s">
        <v>4633</v>
      </c>
      <c r="E511" t="s">
        <v>4634</v>
      </c>
      <c r="F511" t="s">
        <v>4827</v>
      </c>
      <c r="G511" t="s">
        <v>15827</v>
      </c>
      <c r="H511" t="s">
        <v>15828</v>
      </c>
      <c r="I511" t="s">
        <v>16330</v>
      </c>
      <c r="J511" t="s">
        <v>23</v>
      </c>
      <c r="L511" t="s">
        <v>4623</v>
      </c>
      <c r="M511" t="s">
        <v>4828</v>
      </c>
      <c r="N511" t="s">
        <v>4628</v>
      </c>
      <c r="O511" t="s">
        <v>4629</v>
      </c>
      <c r="P511" t="s">
        <v>4630</v>
      </c>
      <c r="Q511" t="s">
        <v>4829</v>
      </c>
      <c r="R511" t="s">
        <v>4830</v>
      </c>
      <c r="S511" t="s">
        <v>4831</v>
      </c>
      <c r="T511" t="s">
        <v>4631</v>
      </c>
      <c r="U511" s="5">
        <v>500.13</v>
      </c>
      <c r="V511" s="5">
        <v>419.54</v>
      </c>
      <c r="W511" s="5">
        <v>14.521151</v>
      </c>
      <c r="X511" s="5">
        <v>107.918747</v>
      </c>
      <c r="Y511" s="5">
        <v>80.59</v>
      </c>
      <c r="Z511" s="5">
        <v>14.491771</v>
      </c>
      <c r="AA511" s="5">
        <v>107.925631</v>
      </c>
      <c r="AB511" s="7">
        <f t="shared" si="43"/>
        <v>0.62931000000000004</v>
      </c>
      <c r="AC511" s="7">
        <f t="shared" si="44"/>
        <v>0.12088500000000001</v>
      </c>
      <c r="AD511" s="12" t="str">
        <f t="shared" si="45"/>
        <v>Đăk Tô</v>
      </c>
      <c r="AE511" s="12" t="str">
        <f t="shared" si="46"/>
        <v>TT2 Kon Tum</v>
      </c>
      <c r="AG511">
        <f t="shared" si="47"/>
        <v>0.41954000000000002</v>
      </c>
      <c r="AH511">
        <f t="shared" si="48"/>
        <v>8.0590000000000009E-2</v>
      </c>
    </row>
    <row r="512" spans="1:34" x14ac:dyDescent="0.25">
      <c r="A512" t="s">
        <v>4647</v>
      </c>
      <c r="B512" t="s">
        <v>4633</v>
      </c>
      <c r="C512" t="s">
        <v>4634</v>
      </c>
      <c r="D512" t="s">
        <v>4648</v>
      </c>
      <c r="E512" t="s">
        <v>4649</v>
      </c>
      <c r="F512" t="s">
        <v>4650</v>
      </c>
      <c r="G512" t="s">
        <v>15827</v>
      </c>
      <c r="H512" t="s">
        <v>15828</v>
      </c>
      <c r="I512" t="s">
        <v>16315</v>
      </c>
      <c r="J512" t="s">
        <v>23</v>
      </c>
      <c r="L512" t="s">
        <v>4596</v>
      </c>
      <c r="M512" t="s">
        <v>3458</v>
      </c>
      <c r="N512" t="s">
        <v>4651</v>
      </c>
      <c r="O512" t="s">
        <v>4652</v>
      </c>
      <c r="P512" t="s">
        <v>4653</v>
      </c>
      <c r="Q512" t="s">
        <v>4654</v>
      </c>
      <c r="R512" t="s">
        <v>4655</v>
      </c>
      <c r="S512" t="s">
        <v>4656</v>
      </c>
      <c r="T512" t="s">
        <v>4604</v>
      </c>
      <c r="U512" s="5">
        <v>91.27</v>
      </c>
      <c r="V512" s="5">
        <v>82.42</v>
      </c>
      <c r="W512" s="5">
        <v>14.491698</v>
      </c>
      <c r="X512" s="5">
        <v>107.925718</v>
      </c>
      <c r="Y512" s="5">
        <v>8.85</v>
      </c>
      <c r="Z512" s="5">
        <v>14.487886</v>
      </c>
      <c r="AA512" s="5">
        <v>107.959982</v>
      </c>
      <c r="AB512" s="7">
        <f t="shared" si="43"/>
        <v>0.12362999999999999</v>
      </c>
      <c r="AC512" s="7">
        <f t="shared" si="44"/>
        <v>1.3274999999999999E-2</v>
      </c>
      <c r="AD512" s="12" t="str">
        <f t="shared" si="45"/>
        <v>TT2 Kon Tum</v>
      </c>
      <c r="AE512" s="12" t="str">
        <f t="shared" si="46"/>
        <v>PC11</v>
      </c>
      <c r="AG512">
        <f t="shared" si="47"/>
        <v>8.2420000000000007E-2</v>
      </c>
      <c r="AH512">
        <f t="shared" si="48"/>
        <v>8.8500000000000002E-3</v>
      </c>
    </row>
    <row r="513" spans="1:34" x14ac:dyDescent="0.25">
      <c r="A513" t="s">
        <v>4832</v>
      </c>
      <c r="B513" t="s">
        <v>4658</v>
      </c>
      <c r="C513" t="s">
        <v>4659</v>
      </c>
      <c r="D513" t="s">
        <v>4591</v>
      </c>
      <c r="E513" t="s">
        <v>4592</v>
      </c>
      <c r="F513" t="s">
        <v>4833</v>
      </c>
      <c r="G513" t="s">
        <v>15827</v>
      </c>
      <c r="H513" t="s">
        <v>15828</v>
      </c>
      <c r="I513" t="s">
        <v>16331</v>
      </c>
      <c r="J513" t="s">
        <v>23</v>
      </c>
      <c r="L513" t="s">
        <v>4596</v>
      </c>
      <c r="M513" t="s">
        <v>4834</v>
      </c>
      <c r="N513" t="s">
        <v>4835</v>
      </c>
      <c r="O513" t="s">
        <v>4836</v>
      </c>
      <c r="P513" t="s">
        <v>4837</v>
      </c>
      <c r="Q513" t="s">
        <v>4598</v>
      </c>
      <c r="R513" t="s">
        <v>4599</v>
      </c>
      <c r="S513" t="s">
        <v>4600</v>
      </c>
      <c r="T513" t="s">
        <v>4604</v>
      </c>
      <c r="U513" s="5">
        <v>5661.56</v>
      </c>
      <c r="V513" s="5">
        <v>5584.54</v>
      </c>
      <c r="W513" s="5">
        <v>14.494221</v>
      </c>
      <c r="X513" s="5">
        <v>107.959389</v>
      </c>
      <c r="Y513" s="5">
        <v>77.010000000000005</v>
      </c>
      <c r="Z513" s="5">
        <v>14.352309</v>
      </c>
      <c r="AA513" s="5">
        <v>108.007857</v>
      </c>
      <c r="AB513" s="7">
        <f t="shared" si="43"/>
        <v>8.376809999999999</v>
      </c>
      <c r="AC513" s="7">
        <f t="shared" si="44"/>
        <v>0.11551500000000002</v>
      </c>
      <c r="AD513" s="12" t="str">
        <f t="shared" si="45"/>
        <v>TT2 Kon Tum</v>
      </c>
      <c r="AE513" s="12" t="str">
        <f t="shared" si="46"/>
        <v>PC11</v>
      </c>
      <c r="AG513">
        <f t="shared" si="47"/>
        <v>5.5845399999999996</v>
      </c>
      <c r="AH513">
        <f t="shared" si="48"/>
        <v>7.7010000000000009E-2</v>
      </c>
    </row>
    <row r="514" spans="1:34" x14ac:dyDescent="0.25">
      <c r="A514" t="s">
        <v>4838</v>
      </c>
      <c r="B514" t="s">
        <v>4839</v>
      </c>
      <c r="C514" t="s">
        <v>4840</v>
      </c>
      <c r="D514" t="s">
        <v>4841</v>
      </c>
      <c r="E514" t="s">
        <v>4842</v>
      </c>
      <c r="F514" t="s">
        <v>4843</v>
      </c>
      <c r="G514" t="s">
        <v>15827</v>
      </c>
      <c r="H514" t="s">
        <v>15828</v>
      </c>
      <c r="I514" t="s">
        <v>16332</v>
      </c>
      <c r="J514" t="s">
        <v>23</v>
      </c>
      <c r="L514" t="s">
        <v>4623</v>
      </c>
      <c r="M514" t="s">
        <v>4844</v>
      </c>
      <c r="N514" t="s">
        <v>4845</v>
      </c>
      <c r="O514" t="s">
        <v>4846</v>
      </c>
      <c r="P514" t="s">
        <v>4847</v>
      </c>
      <c r="Q514" t="s">
        <v>4848</v>
      </c>
      <c r="R514" t="s">
        <v>4724</v>
      </c>
      <c r="S514" t="s">
        <v>4725</v>
      </c>
      <c r="T514" t="s">
        <v>4631</v>
      </c>
      <c r="U514" s="5">
        <v>156124.85999999999</v>
      </c>
      <c r="V514" s="5">
        <v>875.38</v>
      </c>
      <c r="W514" s="5">
        <v>14.352316999999999</v>
      </c>
      <c r="X514" s="5">
        <v>108.007831</v>
      </c>
      <c r="Y514" s="5">
        <v>155249.48000000001</v>
      </c>
      <c r="Z514" s="5">
        <v>14.659758</v>
      </c>
      <c r="AA514" s="5">
        <v>107.83978500000001</v>
      </c>
      <c r="AB514" s="7">
        <f t="shared" si="43"/>
        <v>1.31307</v>
      </c>
      <c r="AC514" s="7">
        <f t="shared" si="44"/>
        <v>232.87422000000004</v>
      </c>
      <c r="AD514" s="12" t="str">
        <f t="shared" si="45"/>
        <v>Đăk Tô</v>
      </c>
      <c r="AE514" s="12" t="str">
        <f t="shared" si="46"/>
        <v>TT2 Kon Tum</v>
      </c>
      <c r="AG514">
        <f t="shared" si="47"/>
        <v>0.87538000000000005</v>
      </c>
      <c r="AH514">
        <f t="shared" si="48"/>
        <v>155.24948000000001</v>
      </c>
    </row>
    <row r="515" spans="1:34" x14ac:dyDescent="0.25">
      <c r="A515" t="s">
        <v>4849</v>
      </c>
      <c r="B515" t="s">
        <v>4850</v>
      </c>
      <c r="C515" t="s">
        <v>4851</v>
      </c>
      <c r="D515" t="s">
        <v>3382</v>
      </c>
      <c r="E515" t="s">
        <v>3383</v>
      </c>
      <c r="F515" t="s">
        <v>4852</v>
      </c>
      <c r="G515" t="s">
        <v>15827</v>
      </c>
      <c r="H515" t="s">
        <v>15828</v>
      </c>
      <c r="I515" t="s">
        <v>16333</v>
      </c>
      <c r="J515" t="s">
        <v>23</v>
      </c>
      <c r="L515" t="s">
        <v>4623</v>
      </c>
      <c r="M515" t="s">
        <v>4853</v>
      </c>
      <c r="N515" t="s">
        <v>4854</v>
      </c>
      <c r="O515" t="s">
        <v>4855</v>
      </c>
      <c r="P515" t="s">
        <v>4856</v>
      </c>
      <c r="Q515" t="s">
        <v>4857</v>
      </c>
      <c r="R515" t="s">
        <v>4858</v>
      </c>
      <c r="S515" t="s">
        <v>4859</v>
      </c>
      <c r="T515" t="s">
        <v>4631</v>
      </c>
      <c r="U515" s="5">
        <v>253903.22</v>
      </c>
      <c r="V515" s="5">
        <v>1319.03</v>
      </c>
      <c r="W515" s="5">
        <v>14.363782</v>
      </c>
      <c r="X515" s="5">
        <v>107.999065</v>
      </c>
      <c r="Y515" s="5">
        <v>252584.19</v>
      </c>
      <c r="Z515" s="5">
        <v>14.659686000000001</v>
      </c>
      <c r="AA515" s="5">
        <v>107.839439</v>
      </c>
      <c r="AB515" s="7">
        <f t="shared" ref="AB515:AB578" si="49">V515*1.5/1000</f>
        <v>1.978545</v>
      </c>
      <c r="AC515" s="7">
        <f t="shared" ref="AC515:AC578" si="50">Y515*1.5/1000</f>
        <v>378.87628500000005</v>
      </c>
      <c r="AD515" s="12" t="str">
        <f t="shared" ref="AD515:AD578" si="51">TRIM(LEFT(L515,FIND("-",L515)-1))</f>
        <v>Đăk Tô</v>
      </c>
      <c r="AE515" s="12" t="str">
        <f t="shared" ref="AE515:AE578" si="52">TRIM(RIGHT(L515, LEN(L515) - FIND("-", L515)))</f>
        <v>TT2 Kon Tum</v>
      </c>
      <c r="AG515">
        <f t="shared" ref="AG515:AG578" si="53">V515/1000</f>
        <v>1.3190299999999999</v>
      </c>
      <c r="AH515">
        <f t="shared" ref="AH515:AH578" si="54">Y515/1000</f>
        <v>252.58419000000001</v>
      </c>
    </row>
    <row r="516" spans="1:34" x14ac:dyDescent="0.25">
      <c r="A516" t="s">
        <v>4860</v>
      </c>
      <c r="B516" t="s">
        <v>4861</v>
      </c>
      <c r="C516" t="s">
        <v>4862</v>
      </c>
      <c r="D516" t="s">
        <v>3382</v>
      </c>
      <c r="E516" t="s">
        <v>3383</v>
      </c>
      <c r="F516" t="s">
        <v>4863</v>
      </c>
      <c r="G516" t="s">
        <v>15827</v>
      </c>
      <c r="H516" t="s">
        <v>15828</v>
      </c>
      <c r="I516" t="s">
        <v>16334</v>
      </c>
      <c r="J516" t="s">
        <v>23</v>
      </c>
      <c r="L516" t="s">
        <v>4623</v>
      </c>
      <c r="M516" t="s">
        <v>4864</v>
      </c>
      <c r="N516" t="s">
        <v>4865</v>
      </c>
      <c r="O516" t="s">
        <v>4866</v>
      </c>
      <c r="P516" t="s">
        <v>4867</v>
      </c>
      <c r="Q516" t="s">
        <v>4857</v>
      </c>
      <c r="R516" t="s">
        <v>4858</v>
      </c>
      <c r="S516" t="s">
        <v>4859</v>
      </c>
      <c r="T516" t="s">
        <v>4631</v>
      </c>
      <c r="U516" s="5">
        <v>252723.12</v>
      </c>
      <c r="V516" s="5">
        <v>138.93</v>
      </c>
      <c r="W516" s="5">
        <v>14.360533999999999</v>
      </c>
      <c r="X516" s="5">
        <v>107.999864</v>
      </c>
      <c r="Y516" s="5">
        <v>252584.19</v>
      </c>
      <c r="Z516" s="5">
        <v>14.659686000000001</v>
      </c>
      <c r="AA516" s="5">
        <v>107.839439</v>
      </c>
      <c r="AB516" s="7">
        <f t="shared" si="49"/>
        <v>0.208395</v>
      </c>
      <c r="AC516" s="7">
        <f t="shared" si="50"/>
        <v>378.87628500000005</v>
      </c>
      <c r="AD516" s="12" t="str">
        <f t="shared" si="51"/>
        <v>Đăk Tô</v>
      </c>
      <c r="AE516" s="12" t="str">
        <f t="shared" si="52"/>
        <v>TT2 Kon Tum</v>
      </c>
      <c r="AG516">
        <f t="shared" si="53"/>
        <v>0.13893</v>
      </c>
      <c r="AH516">
        <f t="shared" si="54"/>
        <v>252.58419000000001</v>
      </c>
    </row>
    <row r="517" spans="1:34" x14ac:dyDescent="0.25">
      <c r="A517" t="s">
        <v>4868</v>
      </c>
      <c r="B517" t="s">
        <v>4869</v>
      </c>
      <c r="C517" t="s">
        <v>4870</v>
      </c>
      <c r="D517" t="s">
        <v>4871</v>
      </c>
      <c r="E517" t="s">
        <v>4872</v>
      </c>
      <c r="F517" t="s">
        <v>4873</v>
      </c>
      <c r="G517" t="s">
        <v>15827</v>
      </c>
      <c r="H517" t="s">
        <v>15828</v>
      </c>
      <c r="I517" t="s">
        <v>16335</v>
      </c>
      <c r="J517" t="s">
        <v>23</v>
      </c>
      <c r="L517" t="s">
        <v>4874</v>
      </c>
      <c r="M517" t="s">
        <v>4875</v>
      </c>
      <c r="N517" t="s">
        <v>4876</v>
      </c>
      <c r="O517" t="s">
        <v>4877</v>
      </c>
      <c r="P517" t="s">
        <v>4878</v>
      </c>
      <c r="Q517" t="s">
        <v>4879</v>
      </c>
      <c r="R517" t="s">
        <v>4880</v>
      </c>
      <c r="S517" t="s">
        <v>4881</v>
      </c>
      <c r="T517" t="s">
        <v>4882</v>
      </c>
      <c r="U517" s="5">
        <v>58.43</v>
      </c>
      <c r="V517" s="5">
        <v>52.82</v>
      </c>
      <c r="W517" s="5">
        <v>14.356553999999999</v>
      </c>
      <c r="X517" s="5">
        <v>107.994704</v>
      </c>
      <c r="Y517" s="5">
        <v>5.61</v>
      </c>
      <c r="Z517" s="5">
        <v>14.358169</v>
      </c>
      <c r="AA517" s="5">
        <v>107.97927</v>
      </c>
      <c r="AB517" s="7">
        <f t="shared" si="49"/>
        <v>7.9230000000000009E-2</v>
      </c>
      <c r="AC517" s="7">
        <f t="shared" si="50"/>
        <v>8.4150000000000006E-3</v>
      </c>
      <c r="AD517" s="12" t="str">
        <f t="shared" si="51"/>
        <v>CAT Kon Tum</v>
      </c>
      <c r="AE517" s="12" t="str">
        <f t="shared" si="52"/>
        <v>Ngọk Bay</v>
      </c>
      <c r="AG517">
        <f t="shared" si="53"/>
        <v>5.2819999999999999E-2</v>
      </c>
      <c r="AH517">
        <f t="shared" si="54"/>
        <v>5.6100000000000004E-3</v>
      </c>
    </row>
    <row r="518" spans="1:34" x14ac:dyDescent="0.25">
      <c r="A518" t="s">
        <v>4883</v>
      </c>
      <c r="B518" t="s">
        <v>4884</v>
      </c>
      <c r="C518" t="s">
        <v>4885</v>
      </c>
      <c r="D518" t="s">
        <v>4871</v>
      </c>
      <c r="E518" t="s">
        <v>4872</v>
      </c>
      <c r="F518" t="s">
        <v>4886</v>
      </c>
      <c r="G518" t="s">
        <v>15827</v>
      </c>
      <c r="H518" t="s">
        <v>15828</v>
      </c>
      <c r="I518" t="s">
        <v>16336</v>
      </c>
      <c r="J518" t="s">
        <v>23</v>
      </c>
      <c r="L518" t="s">
        <v>4887</v>
      </c>
      <c r="M518" t="s">
        <v>4888</v>
      </c>
      <c r="N518" t="s">
        <v>4889</v>
      </c>
      <c r="O518" t="s">
        <v>4890</v>
      </c>
      <c r="P518" t="s">
        <v>4891</v>
      </c>
      <c r="Q518" t="s">
        <v>4892</v>
      </c>
      <c r="R518" t="s">
        <v>4893</v>
      </c>
      <c r="S518" t="s">
        <v>4894</v>
      </c>
      <c r="T518" t="s">
        <v>4895</v>
      </c>
      <c r="U518" s="5">
        <v>303.87</v>
      </c>
      <c r="V518" s="5">
        <v>303.14999999999998</v>
      </c>
      <c r="W518" s="5">
        <v>14.36042</v>
      </c>
      <c r="X518" s="5">
        <v>107.974538</v>
      </c>
      <c r="Y518" s="5">
        <v>0.72</v>
      </c>
      <c r="Z518" s="5">
        <v>14.358211000000001</v>
      </c>
      <c r="AA518" s="5">
        <v>107.979293</v>
      </c>
      <c r="AB518" s="7">
        <f t="shared" si="49"/>
        <v>0.45472499999999999</v>
      </c>
      <c r="AC518" s="7">
        <f t="shared" si="50"/>
        <v>1.08E-3</v>
      </c>
      <c r="AD518" s="12" t="str">
        <f t="shared" si="51"/>
        <v>Ngọk Bay</v>
      </c>
      <c r="AE518" s="12" t="str">
        <f t="shared" si="52"/>
        <v>Ya Ly</v>
      </c>
      <c r="AG518">
        <f t="shared" si="53"/>
        <v>0.30314999999999998</v>
      </c>
      <c r="AH518">
        <f t="shared" si="54"/>
        <v>7.1999999999999994E-4</v>
      </c>
    </row>
    <row r="519" spans="1:34" x14ac:dyDescent="0.25">
      <c r="A519" t="s">
        <v>4896</v>
      </c>
      <c r="B519" t="s">
        <v>4897</v>
      </c>
      <c r="C519" t="s">
        <v>4898</v>
      </c>
      <c r="D519" t="s">
        <v>4899</v>
      </c>
      <c r="E519" t="s">
        <v>4900</v>
      </c>
      <c r="F519" t="s">
        <v>4901</v>
      </c>
      <c r="G519" t="s">
        <v>15827</v>
      </c>
      <c r="H519" t="s">
        <v>15828</v>
      </c>
      <c r="I519" t="s">
        <v>16337</v>
      </c>
      <c r="J519" t="s">
        <v>23</v>
      </c>
      <c r="L519" t="s">
        <v>4902</v>
      </c>
      <c r="M519" t="s">
        <v>4903</v>
      </c>
      <c r="N519" t="s">
        <v>4904</v>
      </c>
      <c r="O519" t="s">
        <v>4905</v>
      </c>
      <c r="P519" t="s">
        <v>4906</v>
      </c>
      <c r="Q519" t="s">
        <v>4907</v>
      </c>
      <c r="R519" t="s">
        <v>4908</v>
      </c>
      <c r="S519" t="s">
        <v>4909</v>
      </c>
      <c r="T519" t="s">
        <v>4910</v>
      </c>
      <c r="U519" s="5">
        <v>462.93</v>
      </c>
      <c r="V519" s="5">
        <v>37.479999999999997</v>
      </c>
      <c r="W519" s="5">
        <v>14.364989</v>
      </c>
      <c r="X519" s="5">
        <v>107.990376</v>
      </c>
      <c r="Y519" s="5">
        <v>425.45</v>
      </c>
      <c r="Z519" s="5">
        <v>14.377385</v>
      </c>
      <c r="AA519" s="5">
        <v>107.984059</v>
      </c>
      <c r="AB519" s="7">
        <f t="shared" si="49"/>
        <v>5.6219999999999999E-2</v>
      </c>
      <c r="AC519" s="7">
        <f t="shared" si="50"/>
        <v>0.63817499999999994</v>
      </c>
      <c r="AD519" s="12" t="str">
        <f t="shared" si="51"/>
        <v>Sa Thầy</v>
      </c>
      <c r="AE519" s="12" t="str">
        <f t="shared" si="52"/>
        <v>TT2 Kon Tum</v>
      </c>
      <c r="AG519">
        <f t="shared" si="53"/>
        <v>3.7479999999999999E-2</v>
      </c>
      <c r="AH519">
        <f t="shared" si="54"/>
        <v>0.42544999999999999</v>
      </c>
    </row>
    <row r="520" spans="1:34" x14ac:dyDescent="0.25">
      <c r="A520" t="s">
        <v>4911</v>
      </c>
      <c r="B520" t="s">
        <v>4912</v>
      </c>
      <c r="C520" t="s">
        <v>4913</v>
      </c>
      <c r="D520" t="s">
        <v>4914</v>
      </c>
      <c r="E520" t="s">
        <v>4915</v>
      </c>
      <c r="F520" t="s">
        <v>4916</v>
      </c>
      <c r="G520" t="s">
        <v>15827</v>
      </c>
      <c r="H520" t="s">
        <v>15828</v>
      </c>
      <c r="I520" t="s">
        <v>16338</v>
      </c>
      <c r="J520" t="s">
        <v>23</v>
      </c>
      <c r="L520" t="s">
        <v>4753</v>
      </c>
      <c r="M520" t="s">
        <v>4917</v>
      </c>
      <c r="N520" t="s">
        <v>4918</v>
      </c>
      <c r="O520" t="s">
        <v>4919</v>
      </c>
      <c r="P520" t="s">
        <v>4920</v>
      </c>
      <c r="Q520" t="s">
        <v>4921</v>
      </c>
      <c r="R520" t="s">
        <v>4922</v>
      </c>
      <c r="S520" t="s">
        <v>4923</v>
      </c>
      <c r="T520" t="s">
        <v>4924</v>
      </c>
      <c r="U520" s="5">
        <v>397.23</v>
      </c>
      <c r="V520" s="5">
        <v>142.83000000000001</v>
      </c>
      <c r="W520" s="5">
        <v>14.34604</v>
      </c>
      <c r="X520" s="5">
        <v>108.01441699999999</v>
      </c>
      <c r="Y520" s="5">
        <v>254.4</v>
      </c>
      <c r="Z520" s="5">
        <v>14.352304</v>
      </c>
      <c r="AA520" s="5">
        <v>108.007864</v>
      </c>
      <c r="AB520" s="7">
        <f t="shared" si="49"/>
        <v>0.21424499999999999</v>
      </c>
      <c r="AC520" s="7">
        <f t="shared" si="50"/>
        <v>0.38160000000000005</v>
      </c>
      <c r="AD520" s="12" t="str">
        <f t="shared" si="51"/>
        <v>CAT Kon TUm</v>
      </c>
      <c r="AE520" s="12" t="str">
        <f t="shared" si="52"/>
        <v>Đăk Bla</v>
      </c>
      <c r="AG520">
        <f t="shared" si="53"/>
        <v>0.14283000000000001</v>
      </c>
      <c r="AH520">
        <f t="shared" si="54"/>
        <v>0.25440000000000002</v>
      </c>
    </row>
    <row r="521" spans="1:34" x14ac:dyDescent="0.25">
      <c r="A521" t="s">
        <v>4925</v>
      </c>
      <c r="B521" t="s">
        <v>4926</v>
      </c>
      <c r="C521" t="s">
        <v>4927</v>
      </c>
      <c r="D521" t="s">
        <v>4803</v>
      </c>
      <c r="E521" t="s">
        <v>4804</v>
      </c>
      <c r="F521" t="s">
        <v>4928</v>
      </c>
      <c r="G521" t="s">
        <v>15827</v>
      </c>
      <c r="H521" t="s">
        <v>15828</v>
      </c>
      <c r="I521" t="s">
        <v>16339</v>
      </c>
      <c r="J521" t="s">
        <v>23</v>
      </c>
      <c r="L521" t="s">
        <v>4806</v>
      </c>
      <c r="M521" t="s">
        <v>4929</v>
      </c>
      <c r="N521" t="s">
        <v>4930</v>
      </c>
      <c r="O521" t="s">
        <v>4931</v>
      </c>
      <c r="P521" t="s">
        <v>4932</v>
      </c>
      <c r="Q521" t="s">
        <v>4811</v>
      </c>
      <c r="R521" t="s">
        <v>4812</v>
      </c>
      <c r="S521" t="s">
        <v>4813</v>
      </c>
      <c r="T521" t="s">
        <v>4814</v>
      </c>
      <c r="U521" s="5">
        <v>64.91</v>
      </c>
      <c r="V521" s="5">
        <v>24.22</v>
      </c>
      <c r="W521" s="5">
        <v>14.377484000000001</v>
      </c>
      <c r="X521" s="5">
        <v>108.021191</v>
      </c>
      <c r="Y521" s="5">
        <v>40.700000000000003</v>
      </c>
      <c r="Z521" s="5">
        <v>14.377231999999999</v>
      </c>
      <c r="AA521" s="5">
        <v>108.02014</v>
      </c>
      <c r="AB521" s="7">
        <f t="shared" si="49"/>
        <v>3.6330000000000001E-2</v>
      </c>
      <c r="AC521" s="7">
        <f t="shared" si="50"/>
        <v>6.1050000000000007E-2</v>
      </c>
      <c r="AD521" s="12" t="str">
        <f t="shared" si="51"/>
        <v>Ia chim</v>
      </c>
      <c r="AE521" s="12" t="str">
        <f t="shared" si="52"/>
        <v>Đăk Rơ Wa</v>
      </c>
      <c r="AG521">
        <f t="shared" si="53"/>
        <v>2.4219999999999998E-2</v>
      </c>
      <c r="AH521">
        <f t="shared" si="54"/>
        <v>4.07E-2</v>
      </c>
    </row>
    <row r="522" spans="1:34" x14ac:dyDescent="0.25">
      <c r="A522" t="s">
        <v>4933</v>
      </c>
      <c r="B522" t="s">
        <v>4934</v>
      </c>
      <c r="C522" t="s">
        <v>4935</v>
      </c>
      <c r="D522" t="s">
        <v>4936</v>
      </c>
      <c r="E522" t="s">
        <v>4937</v>
      </c>
      <c r="F522" t="s">
        <v>4938</v>
      </c>
      <c r="G522" t="s">
        <v>15827</v>
      </c>
      <c r="H522" t="s">
        <v>15828</v>
      </c>
      <c r="I522" t="s">
        <v>16340</v>
      </c>
      <c r="J522" t="s">
        <v>23</v>
      </c>
      <c r="L522" t="s">
        <v>4939</v>
      </c>
      <c r="M522" t="s">
        <v>4940</v>
      </c>
      <c r="N522" t="s">
        <v>4941</v>
      </c>
      <c r="O522" t="s">
        <v>4942</v>
      </c>
      <c r="P522" t="s">
        <v>4943</v>
      </c>
      <c r="Q522" t="s">
        <v>4944</v>
      </c>
      <c r="R522" t="s">
        <v>4945</v>
      </c>
      <c r="S522" t="s">
        <v>4946</v>
      </c>
      <c r="T522" t="s">
        <v>4947</v>
      </c>
      <c r="U522" s="5">
        <v>684.03</v>
      </c>
      <c r="V522" s="5">
        <v>61.17</v>
      </c>
      <c r="W522" s="5">
        <v>14.276998000000001</v>
      </c>
      <c r="X522" s="5">
        <v>107.929247</v>
      </c>
      <c r="Y522" s="5">
        <v>622.86</v>
      </c>
      <c r="Z522" s="5">
        <v>14.30968</v>
      </c>
      <c r="AA522" s="5">
        <v>107.92868</v>
      </c>
      <c r="AB522" s="7">
        <f t="shared" si="49"/>
        <v>9.1754999999999989E-2</v>
      </c>
      <c r="AC522" s="7">
        <f t="shared" si="50"/>
        <v>0.93428999999999995</v>
      </c>
      <c r="AD522" s="12" t="str">
        <f t="shared" si="51"/>
        <v>Đăk Bla</v>
      </c>
      <c r="AE522" s="12" t="str">
        <f t="shared" si="52"/>
        <v>Ia Chim</v>
      </c>
      <c r="AG522">
        <f t="shared" si="53"/>
        <v>6.1170000000000002E-2</v>
      </c>
      <c r="AH522">
        <f t="shared" si="54"/>
        <v>0.62285999999999997</v>
      </c>
    </row>
    <row r="523" spans="1:34" x14ac:dyDescent="0.25">
      <c r="A523" t="s">
        <v>4948</v>
      </c>
      <c r="B523" t="s">
        <v>4949</v>
      </c>
      <c r="C523" t="s">
        <v>4950</v>
      </c>
      <c r="D523" t="s">
        <v>4551</v>
      </c>
      <c r="E523" t="s">
        <v>4552</v>
      </c>
      <c r="F523" t="s">
        <v>4951</v>
      </c>
      <c r="G523" t="s">
        <v>15827</v>
      </c>
      <c r="H523" t="s">
        <v>15828</v>
      </c>
      <c r="I523" t="s">
        <v>16341</v>
      </c>
      <c r="J523" t="s">
        <v>23</v>
      </c>
      <c r="L523" t="s">
        <v>4556</v>
      </c>
      <c r="M523" t="s">
        <v>4952</v>
      </c>
      <c r="N523" t="s">
        <v>4953</v>
      </c>
      <c r="O523" t="s">
        <v>4562</v>
      </c>
      <c r="P523" t="s">
        <v>4563</v>
      </c>
      <c r="Q523" t="s">
        <v>4558</v>
      </c>
      <c r="R523" t="s">
        <v>4559</v>
      </c>
      <c r="S523" t="s">
        <v>4560</v>
      </c>
      <c r="T523" t="s">
        <v>4564</v>
      </c>
      <c r="U523" s="5">
        <v>326.56</v>
      </c>
      <c r="V523" s="5">
        <v>273.8</v>
      </c>
      <c r="W523" s="5">
        <v>14.716917</v>
      </c>
      <c r="X523" s="5">
        <v>107.795519</v>
      </c>
      <c r="Y523" s="5">
        <v>52.76</v>
      </c>
      <c r="Z523" s="5">
        <v>14.698688000000001</v>
      </c>
      <c r="AA523" s="5">
        <v>107.83670499999999</v>
      </c>
      <c r="AB523" s="7">
        <f t="shared" si="49"/>
        <v>0.41070000000000007</v>
      </c>
      <c r="AC523" s="7">
        <f t="shared" si="50"/>
        <v>7.9140000000000002E-2</v>
      </c>
      <c r="AD523" s="12" t="str">
        <f t="shared" si="51"/>
        <v>Đăk Mar</v>
      </c>
      <c r="AE523" s="12" t="str">
        <f t="shared" si="52"/>
        <v>Ngọk Tụ</v>
      </c>
      <c r="AG523">
        <f t="shared" si="53"/>
        <v>0.27379999999999999</v>
      </c>
      <c r="AH523">
        <f t="shared" si="54"/>
        <v>5.2760000000000001E-2</v>
      </c>
    </row>
    <row r="524" spans="1:34" x14ac:dyDescent="0.25">
      <c r="A524" t="s">
        <v>4954</v>
      </c>
      <c r="B524" t="s">
        <v>4955</v>
      </c>
      <c r="C524" t="s">
        <v>4956</v>
      </c>
      <c r="D524" t="s">
        <v>4539</v>
      </c>
      <c r="E524" t="s">
        <v>4540</v>
      </c>
      <c r="F524" t="s">
        <v>4957</v>
      </c>
      <c r="G524" t="s">
        <v>15827</v>
      </c>
      <c r="H524" t="s">
        <v>15828</v>
      </c>
      <c r="I524" t="s">
        <v>16342</v>
      </c>
      <c r="J524" t="s">
        <v>23</v>
      </c>
      <c r="L524" t="s">
        <v>4581</v>
      </c>
      <c r="M524" t="s">
        <v>4958</v>
      </c>
      <c r="N524" t="s">
        <v>4959</v>
      </c>
      <c r="O524" t="s">
        <v>4960</v>
      </c>
      <c r="P524" t="s">
        <v>4961</v>
      </c>
      <c r="Q524" t="s">
        <v>4583</v>
      </c>
      <c r="R524" t="s">
        <v>4584</v>
      </c>
      <c r="S524" t="s">
        <v>4585</v>
      </c>
      <c r="T524" t="s">
        <v>4589</v>
      </c>
      <c r="U524" s="5">
        <v>127.71</v>
      </c>
      <c r="V524" s="5">
        <v>125.43</v>
      </c>
      <c r="W524" s="5">
        <v>14.394170000000001</v>
      </c>
      <c r="X524" s="5">
        <v>107.809774</v>
      </c>
      <c r="Y524" s="5">
        <v>2.2799999999999998</v>
      </c>
      <c r="Z524" s="5">
        <v>14.39805</v>
      </c>
      <c r="AA524" s="5">
        <v>107.79609600000001</v>
      </c>
      <c r="AB524" s="7">
        <f t="shared" si="49"/>
        <v>0.18814500000000001</v>
      </c>
      <c r="AC524" s="7">
        <f t="shared" si="50"/>
        <v>3.4199999999999999E-3</v>
      </c>
      <c r="AD524" s="12" t="str">
        <f t="shared" si="51"/>
        <v>TTCMKV Sa Thầy</v>
      </c>
      <c r="AE524" s="12" t="str">
        <f t="shared" si="52"/>
        <v>Sa Bình</v>
      </c>
      <c r="AG524">
        <f t="shared" si="53"/>
        <v>0.12543000000000001</v>
      </c>
      <c r="AH524">
        <f t="shared" si="54"/>
        <v>2.2799999999999999E-3</v>
      </c>
    </row>
    <row r="525" spans="1:34" x14ac:dyDescent="0.25">
      <c r="A525" t="s">
        <v>4962</v>
      </c>
      <c r="B525" t="s">
        <v>4963</v>
      </c>
      <c r="C525" t="s">
        <v>4964</v>
      </c>
      <c r="D525" t="s">
        <v>4539</v>
      </c>
      <c r="E525" t="s">
        <v>4540</v>
      </c>
      <c r="F525" t="s">
        <v>4965</v>
      </c>
      <c r="G525" t="s">
        <v>15827</v>
      </c>
      <c r="H525" t="s">
        <v>15828</v>
      </c>
      <c r="I525" t="s">
        <v>16343</v>
      </c>
      <c r="J525" t="s">
        <v>23</v>
      </c>
      <c r="L525" t="s">
        <v>4966</v>
      </c>
      <c r="M525" t="s">
        <v>4967</v>
      </c>
      <c r="N525" t="s">
        <v>4968</v>
      </c>
      <c r="O525" t="s">
        <v>4969</v>
      </c>
      <c r="P525" t="s">
        <v>4970</v>
      </c>
      <c r="Q525" t="s">
        <v>4971</v>
      </c>
      <c r="R525" t="s">
        <v>4972</v>
      </c>
      <c r="S525" t="s">
        <v>4973</v>
      </c>
      <c r="T525" t="s">
        <v>4974</v>
      </c>
      <c r="U525" s="5">
        <v>93.5</v>
      </c>
      <c r="V525" s="5">
        <v>91.99</v>
      </c>
      <c r="W525" s="5">
        <v>14.381275</v>
      </c>
      <c r="X525" s="5">
        <v>107.802266</v>
      </c>
      <c r="Y525" s="5">
        <v>1.51</v>
      </c>
      <c r="Z525" s="5">
        <v>14.398033</v>
      </c>
      <c r="AA525" s="5">
        <v>107.796086</v>
      </c>
      <c r="AB525" s="7">
        <f t="shared" si="49"/>
        <v>0.137985</v>
      </c>
      <c r="AC525" s="7">
        <f t="shared" si="50"/>
        <v>2.2650000000000001E-3</v>
      </c>
      <c r="AD525" s="12" t="str">
        <f t="shared" si="51"/>
        <v>Ya Ly</v>
      </c>
      <c r="AE525" s="12" t="str">
        <f t="shared" si="52"/>
        <v>Sa Thầy</v>
      </c>
      <c r="AG525">
        <f t="shared" si="53"/>
        <v>9.1989999999999988E-2</v>
      </c>
      <c r="AH525">
        <f t="shared" si="54"/>
        <v>1.5100000000000001E-3</v>
      </c>
    </row>
    <row r="526" spans="1:34" x14ac:dyDescent="0.25">
      <c r="A526" t="s">
        <v>4975</v>
      </c>
      <c r="B526" t="s">
        <v>4976</v>
      </c>
      <c r="C526" t="s">
        <v>4977</v>
      </c>
      <c r="D526" t="s">
        <v>4539</v>
      </c>
      <c r="E526" t="s">
        <v>4540</v>
      </c>
      <c r="F526" t="s">
        <v>4978</v>
      </c>
      <c r="G526" t="s">
        <v>15827</v>
      </c>
      <c r="H526" t="s">
        <v>15828</v>
      </c>
      <c r="I526" t="s">
        <v>16344</v>
      </c>
      <c r="J526" t="s">
        <v>23</v>
      </c>
      <c r="L526" t="s">
        <v>4536</v>
      </c>
      <c r="M526" t="s">
        <v>4979</v>
      </c>
      <c r="N526" t="s">
        <v>4980</v>
      </c>
      <c r="O526" t="s">
        <v>4981</v>
      </c>
      <c r="P526" t="s">
        <v>4982</v>
      </c>
      <c r="Q526" t="s">
        <v>4546</v>
      </c>
      <c r="R526" t="s">
        <v>4547</v>
      </c>
      <c r="S526" t="s">
        <v>4548</v>
      </c>
      <c r="T526" t="s">
        <v>4549</v>
      </c>
      <c r="U526" s="5">
        <v>2070.4499999999998</v>
      </c>
      <c r="V526" s="5">
        <v>2033.58</v>
      </c>
      <c r="W526" s="5">
        <v>14.410907</v>
      </c>
      <c r="X526" s="5">
        <v>107.786083</v>
      </c>
      <c r="Y526" s="5">
        <v>36.869999999999997</v>
      </c>
      <c r="Z526" s="5">
        <v>14.398239</v>
      </c>
      <c r="AA526" s="5">
        <v>107.79636600000001</v>
      </c>
      <c r="AB526" s="7">
        <f t="shared" si="49"/>
        <v>3.05037</v>
      </c>
      <c r="AC526" s="7">
        <f t="shared" si="50"/>
        <v>5.5304999999999993E-2</v>
      </c>
      <c r="AD526" s="12" t="str">
        <f t="shared" si="51"/>
        <v>Ngọc Hồi</v>
      </c>
      <c r="AE526" s="12" t="str">
        <f t="shared" si="52"/>
        <v>Sa Thầy</v>
      </c>
      <c r="AG526">
        <f t="shared" si="53"/>
        <v>2.0335799999999997</v>
      </c>
      <c r="AH526">
        <f t="shared" si="54"/>
        <v>3.687E-2</v>
      </c>
    </row>
    <row r="527" spans="1:34" x14ac:dyDescent="0.25">
      <c r="A527" t="s">
        <v>4983</v>
      </c>
      <c r="B527" t="s">
        <v>4984</v>
      </c>
      <c r="C527" t="s">
        <v>4985</v>
      </c>
      <c r="D527" t="s">
        <v>4591</v>
      </c>
      <c r="E527" t="s">
        <v>4592</v>
      </c>
      <c r="F527" t="s">
        <v>4986</v>
      </c>
      <c r="G527" t="s">
        <v>15979</v>
      </c>
      <c r="H527" t="s">
        <v>15980</v>
      </c>
      <c r="I527" t="s">
        <v>16345</v>
      </c>
      <c r="J527" t="s">
        <v>23</v>
      </c>
      <c r="L527" t="s">
        <v>4623</v>
      </c>
      <c r="M527" t="s">
        <v>4987</v>
      </c>
      <c r="N527" t="s">
        <v>4988</v>
      </c>
      <c r="O527" t="s">
        <v>4989</v>
      </c>
      <c r="P527" t="s">
        <v>4990</v>
      </c>
      <c r="Q527" t="s">
        <v>4991</v>
      </c>
      <c r="R527" t="s">
        <v>4846</v>
      </c>
      <c r="S527" t="s">
        <v>4847</v>
      </c>
      <c r="T527" t="s">
        <v>4631</v>
      </c>
      <c r="U527" s="5">
        <v>178.47</v>
      </c>
      <c r="V527" s="5">
        <v>102.19</v>
      </c>
      <c r="W527" s="5">
        <v>14.354221000000001</v>
      </c>
      <c r="X527" s="5">
        <v>108.00283</v>
      </c>
      <c r="Y527" s="5">
        <v>76.28</v>
      </c>
      <c r="Z527" s="5">
        <v>14.352316999999999</v>
      </c>
      <c r="AA527" s="5">
        <v>108.007831</v>
      </c>
      <c r="AB527" s="7">
        <f t="shared" si="49"/>
        <v>0.153285</v>
      </c>
      <c r="AC527" s="7">
        <f t="shared" si="50"/>
        <v>0.11442000000000001</v>
      </c>
      <c r="AD527" s="12" t="str">
        <f t="shared" si="51"/>
        <v>Đăk Tô</v>
      </c>
      <c r="AE527" s="12" t="str">
        <f t="shared" si="52"/>
        <v>TT2 Kon Tum</v>
      </c>
      <c r="AG527">
        <f t="shared" si="53"/>
        <v>0.10219</v>
      </c>
      <c r="AH527">
        <f t="shared" si="54"/>
        <v>7.6280000000000001E-2</v>
      </c>
    </row>
    <row r="528" spans="1:34" x14ac:dyDescent="0.25">
      <c r="A528" t="s">
        <v>4992</v>
      </c>
      <c r="B528" t="s">
        <v>4591</v>
      </c>
      <c r="C528" t="s">
        <v>4592</v>
      </c>
      <c r="D528" t="s">
        <v>4803</v>
      </c>
      <c r="E528" t="s">
        <v>4804</v>
      </c>
      <c r="F528" t="s">
        <v>4993</v>
      </c>
      <c r="G528" t="s">
        <v>15979</v>
      </c>
      <c r="H528" t="s">
        <v>15980</v>
      </c>
      <c r="I528" t="s">
        <v>16346</v>
      </c>
      <c r="J528" t="s">
        <v>23</v>
      </c>
      <c r="L528" t="s">
        <v>4994</v>
      </c>
      <c r="M528" t="s">
        <v>4995</v>
      </c>
      <c r="N528" t="s">
        <v>4996</v>
      </c>
      <c r="O528" t="s">
        <v>4997</v>
      </c>
      <c r="P528" t="s">
        <v>4998</v>
      </c>
      <c r="Q528" t="s">
        <v>4999</v>
      </c>
      <c r="R528" t="s">
        <v>5000</v>
      </c>
      <c r="S528" t="s">
        <v>5001</v>
      </c>
      <c r="T528" t="s">
        <v>5002</v>
      </c>
      <c r="U528" s="5">
        <v>345.25</v>
      </c>
      <c r="V528" s="5">
        <v>341.75</v>
      </c>
      <c r="W528" s="5">
        <v>14.349970000000001</v>
      </c>
      <c r="X528" s="5">
        <v>108.007367</v>
      </c>
      <c r="Y528" s="5">
        <v>3.5</v>
      </c>
      <c r="Z528" s="5">
        <v>14.376951</v>
      </c>
      <c r="AA528" s="5">
        <v>108.019868</v>
      </c>
      <c r="AB528" s="7">
        <f t="shared" si="49"/>
        <v>0.512625</v>
      </c>
      <c r="AC528" s="7">
        <f t="shared" si="50"/>
        <v>5.2500000000000003E-3</v>
      </c>
      <c r="AD528" s="12" t="e">
        <f t="shared" si="51"/>
        <v>#VALUE!</v>
      </c>
      <c r="AE528" s="12" t="e">
        <f t="shared" si="52"/>
        <v>#VALUE!</v>
      </c>
      <c r="AG528">
        <f t="shared" si="53"/>
        <v>0.34175</v>
      </c>
      <c r="AH528">
        <f t="shared" si="54"/>
        <v>3.5000000000000001E-3</v>
      </c>
    </row>
    <row r="529" spans="1:34" x14ac:dyDescent="0.25">
      <c r="A529" t="s">
        <v>5003</v>
      </c>
      <c r="B529" t="s">
        <v>5004</v>
      </c>
      <c r="C529" t="s">
        <v>5005</v>
      </c>
      <c r="D529" t="s">
        <v>4899</v>
      </c>
      <c r="E529" t="s">
        <v>4900</v>
      </c>
      <c r="F529" t="s">
        <v>5006</v>
      </c>
      <c r="G529" t="s">
        <v>15979</v>
      </c>
      <c r="H529" t="s">
        <v>15980</v>
      </c>
      <c r="I529" t="s">
        <v>16347</v>
      </c>
      <c r="J529" t="s">
        <v>23</v>
      </c>
      <c r="L529" t="s">
        <v>4902</v>
      </c>
      <c r="M529" t="s">
        <v>5007</v>
      </c>
      <c r="N529" t="s">
        <v>5008</v>
      </c>
      <c r="O529" t="s">
        <v>5009</v>
      </c>
      <c r="P529" t="s">
        <v>5010</v>
      </c>
      <c r="Q529" t="s">
        <v>4907</v>
      </c>
      <c r="R529" t="s">
        <v>4908</v>
      </c>
      <c r="S529" t="s">
        <v>4909</v>
      </c>
      <c r="T529" t="s">
        <v>4910</v>
      </c>
      <c r="U529" s="5">
        <v>519.5</v>
      </c>
      <c r="V529" s="5">
        <v>94.05</v>
      </c>
      <c r="W529" s="5">
        <v>14.381167</v>
      </c>
      <c r="X529" s="5">
        <v>107.975342</v>
      </c>
      <c r="Y529" s="5">
        <v>425.45</v>
      </c>
      <c r="Z529" s="5">
        <v>14.377385</v>
      </c>
      <c r="AA529" s="5">
        <v>107.984059</v>
      </c>
      <c r="AB529" s="7">
        <f t="shared" si="49"/>
        <v>0.14107499999999998</v>
      </c>
      <c r="AC529" s="7">
        <f t="shared" si="50"/>
        <v>0.63817499999999994</v>
      </c>
      <c r="AD529" s="12" t="str">
        <f t="shared" si="51"/>
        <v>Sa Thầy</v>
      </c>
      <c r="AE529" s="12" t="str">
        <f t="shared" si="52"/>
        <v>TT2 Kon Tum</v>
      </c>
      <c r="AG529">
        <f t="shared" si="53"/>
        <v>9.4049999999999995E-2</v>
      </c>
      <c r="AH529">
        <f t="shared" si="54"/>
        <v>0.42544999999999999</v>
      </c>
    </row>
    <row r="530" spans="1:34" x14ac:dyDescent="0.25">
      <c r="A530" t="s">
        <v>5011</v>
      </c>
      <c r="B530" t="s">
        <v>4984</v>
      </c>
      <c r="C530" t="s">
        <v>4985</v>
      </c>
      <c r="D530" t="s">
        <v>5012</v>
      </c>
      <c r="E530" t="s">
        <v>5013</v>
      </c>
      <c r="F530" t="s">
        <v>5014</v>
      </c>
      <c r="G530" t="s">
        <v>15979</v>
      </c>
      <c r="H530" t="s">
        <v>15980</v>
      </c>
      <c r="I530" t="s">
        <v>16348</v>
      </c>
      <c r="J530" t="s">
        <v>23</v>
      </c>
      <c r="L530" t="s">
        <v>4994</v>
      </c>
      <c r="M530" t="s">
        <v>5015</v>
      </c>
      <c r="N530" t="s">
        <v>5016</v>
      </c>
      <c r="O530" t="s">
        <v>5017</v>
      </c>
      <c r="P530" t="s">
        <v>5018</v>
      </c>
      <c r="Q530" t="s">
        <v>3001</v>
      </c>
      <c r="R530" t="s">
        <v>5019</v>
      </c>
      <c r="S530" t="s">
        <v>5020</v>
      </c>
      <c r="T530" t="s">
        <v>5002</v>
      </c>
      <c r="U530" s="5">
        <v>135.08000000000001</v>
      </c>
      <c r="V530" s="5">
        <v>103.97</v>
      </c>
      <c r="W530" s="5">
        <v>14.354255999999999</v>
      </c>
      <c r="X530" s="5">
        <v>108.002816</v>
      </c>
      <c r="Y530" s="5">
        <v>31.11</v>
      </c>
      <c r="Z530" s="5">
        <v>14.356370999999999</v>
      </c>
      <c r="AA530" s="5">
        <v>108.00289600000001</v>
      </c>
      <c r="AB530" s="7">
        <f t="shared" si="49"/>
        <v>0.15595499999999998</v>
      </c>
      <c r="AC530" s="7">
        <f t="shared" si="50"/>
        <v>4.6664999999999998E-2</v>
      </c>
      <c r="AD530" s="12" t="e">
        <f t="shared" si="51"/>
        <v>#VALUE!</v>
      </c>
      <c r="AE530" s="12" t="e">
        <f t="shared" si="52"/>
        <v>#VALUE!</v>
      </c>
      <c r="AG530">
        <f t="shared" si="53"/>
        <v>0.10396999999999999</v>
      </c>
      <c r="AH530">
        <f t="shared" si="54"/>
        <v>3.1109999999999999E-2</v>
      </c>
    </row>
    <row r="531" spans="1:34" x14ac:dyDescent="0.25">
      <c r="A531" t="s">
        <v>5021</v>
      </c>
      <c r="B531" t="s">
        <v>5012</v>
      </c>
      <c r="C531" t="s">
        <v>5013</v>
      </c>
      <c r="D531" t="s">
        <v>4773</v>
      </c>
      <c r="E531" t="s">
        <v>4774</v>
      </c>
      <c r="F531" t="s">
        <v>5022</v>
      </c>
      <c r="G531" t="s">
        <v>15979</v>
      </c>
      <c r="H531" t="s">
        <v>15980</v>
      </c>
      <c r="I531" t="s">
        <v>16349</v>
      </c>
      <c r="J531" t="s">
        <v>23</v>
      </c>
      <c r="L531" t="s">
        <v>5023</v>
      </c>
      <c r="M531" t="s">
        <v>5024</v>
      </c>
      <c r="N531" t="s">
        <v>5025</v>
      </c>
      <c r="O531" t="s">
        <v>5026</v>
      </c>
      <c r="P531" t="s">
        <v>4990</v>
      </c>
      <c r="Q531" t="s">
        <v>5027</v>
      </c>
      <c r="R531" t="s">
        <v>5028</v>
      </c>
      <c r="S531" t="s">
        <v>5029</v>
      </c>
      <c r="T531" t="s">
        <v>5030</v>
      </c>
      <c r="U531" s="5">
        <v>23.81</v>
      </c>
      <c r="V531" s="5">
        <v>19.25</v>
      </c>
      <c r="W531" s="5">
        <v>14.356164</v>
      </c>
      <c r="X531" s="5">
        <v>108.00283</v>
      </c>
      <c r="Y531" s="5">
        <v>4.5599999999999996</v>
      </c>
      <c r="Z531" s="5">
        <v>14.363441</v>
      </c>
      <c r="AA531" s="5">
        <v>107.998813</v>
      </c>
      <c r="AB531" s="7">
        <f t="shared" si="49"/>
        <v>2.8875000000000001E-2</v>
      </c>
      <c r="AC531" s="7">
        <f t="shared" si="50"/>
        <v>6.8399999999999997E-3</v>
      </c>
      <c r="AD531" s="12" t="str">
        <f t="shared" si="51"/>
        <v>PA06</v>
      </c>
      <c r="AE531" s="12" t="str">
        <f t="shared" si="52"/>
        <v>PC07</v>
      </c>
      <c r="AG531">
        <f t="shared" si="53"/>
        <v>1.925E-2</v>
      </c>
      <c r="AH531">
        <f t="shared" si="54"/>
        <v>4.5599999999999998E-3</v>
      </c>
    </row>
    <row r="532" spans="1:34" x14ac:dyDescent="0.25">
      <c r="A532" t="s">
        <v>5031</v>
      </c>
      <c r="B532" t="s">
        <v>4773</v>
      </c>
      <c r="C532" t="s">
        <v>4774</v>
      </c>
      <c r="D532" t="s">
        <v>4788</v>
      </c>
      <c r="E532" t="s">
        <v>4789</v>
      </c>
      <c r="F532" t="s">
        <v>5032</v>
      </c>
      <c r="G532" t="s">
        <v>15979</v>
      </c>
      <c r="H532" t="s">
        <v>15980</v>
      </c>
      <c r="I532" t="s">
        <v>16350</v>
      </c>
      <c r="J532" t="s">
        <v>23</v>
      </c>
      <c r="L532" t="s">
        <v>4806</v>
      </c>
      <c r="M532" t="s">
        <v>5033</v>
      </c>
      <c r="N532" t="s">
        <v>5034</v>
      </c>
      <c r="O532" t="s">
        <v>5035</v>
      </c>
      <c r="P532" t="s">
        <v>5036</v>
      </c>
      <c r="Q532" t="s">
        <v>5037</v>
      </c>
      <c r="R532" t="s">
        <v>5038</v>
      </c>
      <c r="S532" t="s">
        <v>5039</v>
      </c>
      <c r="T532" t="s">
        <v>4814</v>
      </c>
      <c r="U532" s="5">
        <v>639.37</v>
      </c>
      <c r="V532" s="5">
        <v>293.06</v>
      </c>
      <c r="W532" s="5">
        <v>14.365588000000001</v>
      </c>
      <c r="X532" s="5">
        <v>107.997167</v>
      </c>
      <c r="Y532" s="5">
        <v>346.31</v>
      </c>
      <c r="Z532" s="5">
        <v>14.371943</v>
      </c>
      <c r="AA532" s="5">
        <v>108.006573</v>
      </c>
      <c r="AB532" s="7">
        <f t="shared" si="49"/>
        <v>0.43959000000000004</v>
      </c>
      <c r="AC532" s="7">
        <f t="shared" si="50"/>
        <v>0.51946500000000007</v>
      </c>
      <c r="AD532" s="12" t="str">
        <f t="shared" si="51"/>
        <v>Ia chim</v>
      </c>
      <c r="AE532" s="12" t="str">
        <f t="shared" si="52"/>
        <v>Đăk Rơ Wa</v>
      </c>
      <c r="AG532">
        <f t="shared" si="53"/>
        <v>0.29305999999999999</v>
      </c>
      <c r="AH532">
        <f t="shared" si="54"/>
        <v>0.34631000000000001</v>
      </c>
    </row>
    <row r="533" spans="1:34" x14ac:dyDescent="0.25">
      <c r="A533" t="s">
        <v>5040</v>
      </c>
      <c r="B533" t="s">
        <v>4788</v>
      </c>
      <c r="C533" t="s">
        <v>4789</v>
      </c>
      <c r="D533" t="s">
        <v>4591</v>
      </c>
      <c r="E533" t="s">
        <v>4592</v>
      </c>
      <c r="F533" t="s">
        <v>5041</v>
      </c>
      <c r="G533" t="s">
        <v>15979</v>
      </c>
      <c r="H533" t="s">
        <v>15980</v>
      </c>
      <c r="I533" t="s">
        <v>16351</v>
      </c>
      <c r="J533" t="s">
        <v>23</v>
      </c>
      <c r="L533" t="s">
        <v>5042</v>
      </c>
      <c r="M533" t="s">
        <v>5043</v>
      </c>
      <c r="N533" t="s">
        <v>5044</v>
      </c>
      <c r="O533" t="s">
        <v>5045</v>
      </c>
      <c r="P533" t="s">
        <v>5046</v>
      </c>
      <c r="Q533" t="s">
        <v>5047</v>
      </c>
      <c r="R533" t="s">
        <v>5048</v>
      </c>
      <c r="S533" t="s">
        <v>5049</v>
      </c>
      <c r="T533" t="s">
        <v>5050</v>
      </c>
      <c r="U533" s="5">
        <v>98.96</v>
      </c>
      <c r="V533" s="5">
        <v>22.89</v>
      </c>
      <c r="W533" s="5">
        <v>14.369567999999999</v>
      </c>
      <c r="X533" s="5">
        <v>108.008674</v>
      </c>
      <c r="Y533" s="5">
        <v>76.08</v>
      </c>
      <c r="Z533" s="5">
        <v>14.352316</v>
      </c>
      <c r="AA533" s="5">
        <v>108.007886</v>
      </c>
      <c r="AB533" s="7">
        <f t="shared" si="49"/>
        <v>3.4334999999999997E-2</v>
      </c>
      <c r="AC533" s="7">
        <f t="shared" si="50"/>
        <v>0.11412</v>
      </c>
      <c r="AD533" s="12" t="str">
        <f t="shared" si="51"/>
        <v>CAT Kon Tum</v>
      </c>
      <c r="AE533" s="12" t="str">
        <f t="shared" si="52"/>
        <v>Đăk Cấm</v>
      </c>
      <c r="AG533">
        <f t="shared" si="53"/>
        <v>2.2890000000000001E-2</v>
      </c>
      <c r="AH533">
        <f t="shared" si="54"/>
        <v>7.6079999999999995E-2</v>
      </c>
    </row>
    <row r="534" spans="1:34" x14ac:dyDescent="0.25">
      <c r="A534" t="s">
        <v>5051</v>
      </c>
      <c r="B534" t="s">
        <v>5052</v>
      </c>
      <c r="C534" t="s">
        <v>5053</v>
      </c>
      <c r="D534" t="s">
        <v>4871</v>
      </c>
      <c r="E534" t="s">
        <v>4872</v>
      </c>
      <c r="F534" t="s">
        <v>5054</v>
      </c>
      <c r="G534" t="s">
        <v>15979</v>
      </c>
      <c r="H534" t="s">
        <v>15980</v>
      </c>
      <c r="I534" t="s">
        <v>16352</v>
      </c>
      <c r="J534" t="s">
        <v>23</v>
      </c>
      <c r="L534" t="s">
        <v>4902</v>
      </c>
      <c r="M534" t="s">
        <v>5055</v>
      </c>
      <c r="N534" t="s">
        <v>5056</v>
      </c>
      <c r="O534" t="s">
        <v>5057</v>
      </c>
      <c r="P534" t="s">
        <v>5058</v>
      </c>
      <c r="Q534" t="s">
        <v>5059</v>
      </c>
      <c r="R534" t="s">
        <v>5060</v>
      </c>
      <c r="S534" t="s">
        <v>5061</v>
      </c>
      <c r="T534" t="s">
        <v>4910</v>
      </c>
      <c r="U534" s="5">
        <v>1449.39</v>
      </c>
      <c r="V534" s="5">
        <v>231.4</v>
      </c>
      <c r="W534" s="5">
        <v>14.377012000000001</v>
      </c>
      <c r="X534" s="5">
        <v>107.9584</v>
      </c>
      <c r="Y534" s="5">
        <v>1217.98</v>
      </c>
      <c r="Z534" s="5">
        <v>14.359938</v>
      </c>
      <c r="AA534" s="5">
        <v>107.990465</v>
      </c>
      <c r="AB534" s="7">
        <f t="shared" si="49"/>
        <v>0.34710000000000002</v>
      </c>
      <c r="AC534" s="7">
        <f t="shared" si="50"/>
        <v>1.82697</v>
      </c>
      <c r="AD534" s="12" t="str">
        <f t="shared" si="51"/>
        <v>Sa Thầy</v>
      </c>
      <c r="AE534" s="12" t="str">
        <f t="shared" si="52"/>
        <v>TT2 Kon Tum</v>
      </c>
      <c r="AG534">
        <f t="shared" si="53"/>
        <v>0.23139999999999999</v>
      </c>
      <c r="AH534">
        <f t="shared" si="54"/>
        <v>1.2179800000000001</v>
      </c>
    </row>
    <row r="535" spans="1:34" x14ac:dyDescent="0.25">
      <c r="A535" t="s">
        <v>5062</v>
      </c>
      <c r="B535" t="s">
        <v>4984</v>
      </c>
      <c r="C535" t="s">
        <v>4985</v>
      </c>
      <c r="D535" t="s">
        <v>5063</v>
      </c>
      <c r="E535" t="s">
        <v>5064</v>
      </c>
      <c r="F535" t="s">
        <v>5065</v>
      </c>
      <c r="G535" t="s">
        <v>15979</v>
      </c>
      <c r="H535" t="s">
        <v>15980</v>
      </c>
      <c r="I535" t="s">
        <v>16353</v>
      </c>
      <c r="J535" t="s">
        <v>23</v>
      </c>
      <c r="L535" t="s">
        <v>4994</v>
      </c>
      <c r="M535" t="s">
        <v>5066</v>
      </c>
      <c r="N535" t="s">
        <v>5016</v>
      </c>
      <c r="O535" t="s">
        <v>5017</v>
      </c>
      <c r="P535" t="s">
        <v>5018</v>
      </c>
      <c r="Q535" t="s">
        <v>5067</v>
      </c>
      <c r="R535" t="s">
        <v>5068</v>
      </c>
      <c r="S535" t="s">
        <v>5069</v>
      </c>
      <c r="T535" t="s">
        <v>5002</v>
      </c>
      <c r="U535" s="5">
        <v>111.73</v>
      </c>
      <c r="V535" s="5">
        <v>103.97</v>
      </c>
      <c r="W535" s="5">
        <v>14.354255999999999</v>
      </c>
      <c r="X535" s="5">
        <v>108.002816</v>
      </c>
      <c r="Y535" s="5">
        <v>7.76</v>
      </c>
      <c r="Z535" s="5">
        <v>14.349694</v>
      </c>
      <c r="AA535" s="5">
        <v>108.00743199999999</v>
      </c>
      <c r="AB535" s="7">
        <f t="shared" si="49"/>
        <v>0.15595499999999998</v>
      </c>
      <c r="AC535" s="7">
        <f t="shared" si="50"/>
        <v>1.1640000000000001E-2</v>
      </c>
      <c r="AD535" s="12" t="e">
        <f t="shared" si="51"/>
        <v>#VALUE!</v>
      </c>
      <c r="AE535" s="12" t="e">
        <f t="shared" si="52"/>
        <v>#VALUE!</v>
      </c>
      <c r="AG535">
        <f t="shared" si="53"/>
        <v>0.10396999999999999</v>
      </c>
      <c r="AH535">
        <f t="shared" si="54"/>
        <v>7.7599999999999995E-3</v>
      </c>
    </row>
    <row r="536" spans="1:34" x14ac:dyDescent="0.25">
      <c r="A536" t="s">
        <v>5070</v>
      </c>
      <c r="B536" t="s">
        <v>5071</v>
      </c>
      <c r="C536" t="s">
        <v>5072</v>
      </c>
      <c r="D536" t="s">
        <v>4591</v>
      </c>
      <c r="E536" t="s">
        <v>4592</v>
      </c>
      <c r="F536" t="s">
        <v>5073</v>
      </c>
      <c r="G536" t="s">
        <v>15979</v>
      </c>
      <c r="H536" t="s">
        <v>15980</v>
      </c>
      <c r="I536" t="s">
        <v>16354</v>
      </c>
      <c r="J536" t="s">
        <v>23</v>
      </c>
      <c r="L536" t="s">
        <v>5074</v>
      </c>
      <c r="M536" t="s">
        <v>5075</v>
      </c>
      <c r="N536" t="s">
        <v>5076</v>
      </c>
      <c r="O536" t="s">
        <v>5077</v>
      </c>
      <c r="P536" t="s">
        <v>5078</v>
      </c>
      <c r="Q536" t="s">
        <v>5079</v>
      </c>
      <c r="R536" t="s">
        <v>5080</v>
      </c>
      <c r="S536" t="s">
        <v>5081</v>
      </c>
      <c r="T536" t="s">
        <v>5082</v>
      </c>
      <c r="U536" s="5">
        <v>420.8</v>
      </c>
      <c r="V536" s="5">
        <v>353.62</v>
      </c>
      <c r="W536" s="5">
        <v>14.352606</v>
      </c>
      <c r="X536" s="5">
        <v>108.02003499999999</v>
      </c>
      <c r="Y536" s="5">
        <v>67.180000000000007</v>
      </c>
      <c r="Z536" s="5">
        <v>14.352398000000001</v>
      </c>
      <c r="AA536" s="5">
        <v>108.007853</v>
      </c>
      <c r="AB536" s="7">
        <f t="shared" si="49"/>
        <v>0.53043000000000007</v>
      </c>
      <c r="AC536" s="7">
        <f t="shared" si="50"/>
        <v>0.10077000000000001</v>
      </c>
      <c r="AD536" s="12" t="str">
        <f t="shared" si="51"/>
        <v>Đăk Rơ Wa</v>
      </c>
      <c r="AE536" s="12" t="str">
        <f t="shared" si="52"/>
        <v>Kon Tum</v>
      </c>
      <c r="AG536">
        <f t="shared" si="53"/>
        <v>0.35361999999999999</v>
      </c>
      <c r="AH536">
        <f t="shared" si="54"/>
        <v>6.7180000000000004E-2</v>
      </c>
    </row>
    <row r="537" spans="1:34" x14ac:dyDescent="0.25">
      <c r="A537" t="s">
        <v>5083</v>
      </c>
      <c r="B537" t="s">
        <v>5084</v>
      </c>
      <c r="C537" t="s">
        <v>5085</v>
      </c>
      <c r="D537" t="s">
        <v>4914</v>
      </c>
      <c r="E537" t="s">
        <v>4915</v>
      </c>
      <c r="F537" t="s">
        <v>5086</v>
      </c>
      <c r="G537" t="s">
        <v>15979</v>
      </c>
      <c r="H537" t="s">
        <v>15980</v>
      </c>
      <c r="I537" t="s">
        <v>16355</v>
      </c>
      <c r="J537" t="s">
        <v>23</v>
      </c>
      <c r="L537" t="s">
        <v>4753</v>
      </c>
      <c r="M537" t="s">
        <v>5087</v>
      </c>
      <c r="N537" t="s">
        <v>5088</v>
      </c>
      <c r="O537" t="s">
        <v>5089</v>
      </c>
      <c r="P537" t="s">
        <v>5090</v>
      </c>
      <c r="Q537" t="s">
        <v>5091</v>
      </c>
      <c r="R537" t="s">
        <v>5092</v>
      </c>
      <c r="S537" t="s">
        <v>5093</v>
      </c>
      <c r="T537" t="s">
        <v>4761</v>
      </c>
      <c r="U537" s="5">
        <v>1588.27</v>
      </c>
      <c r="V537" s="5">
        <v>65.27</v>
      </c>
      <c r="W537" s="5">
        <v>14.334607999999999</v>
      </c>
      <c r="X537" s="5">
        <v>107.996469</v>
      </c>
      <c r="Y537" s="5">
        <v>1523</v>
      </c>
      <c r="Z537" s="5">
        <v>14.343185999999999</v>
      </c>
      <c r="AA537" s="5">
        <v>108.000281</v>
      </c>
      <c r="AB537" s="7">
        <f t="shared" si="49"/>
        <v>9.7905000000000006E-2</v>
      </c>
      <c r="AC537" s="7">
        <f t="shared" si="50"/>
        <v>2.2845</v>
      </c>
      <c r="AD537" s="12" t="str">
        <f t="shared" si="51"/>
        <v>CAT Kon TUm</v>
      </c>
      <c r="AE537" s="12" t="str">
        <f t="shared" si="52"/>
        <v>Đăk Bla</v>
      </c>
      <c r="AG537">
        <f t="shared" si="53"/>
        <v>6.5269999999999995E-2</v>
      </c>
      <c r="AH537">
        <f t="shared" si="54"/>
        <v>1.5229999999999999</v>
      </c>
    </row>
    <row r="538" spans="1:34" x14ac:dyDescent="0.25">
      <c r="A538" t="s">
        <v>5094</v>
      </c>
      <c r="B538" t="s">
        <v>4914</v>
      </c>
      <c r="C538" t="s">
        <v>4915</v>
      </c>
      <c r="D538" t="s">
        <v>4591</v>
      </c>
      <c r="E538" t="s">
        <v>4592</v>
      </c>
      <c r="F538" t="s">
        <v>5095</v>
      </c>
      <c r="G538" t="s">
        <v>15979</v>
      </c>
      <c r="H538" t="s">
        <v>15980</v>
      </c>
      <c r="I538" t="s">
        <v>16356</v>
      </c>
      <c r="J538" t="s">
        <v>23</v>
      </c>
      <c r="L538" t="s">
        <v>5074</v>
      </c>
      <c r="M538" t="s">
        <v>5096</v>
      </c>
      <c r="N538" t="s">
        <v>5097</v>
      </c>
      <c r="O538" t="s">
        <v>5098</v>
      </c>
      <c r="P538" t="s">
        <v>5099</v>
      </c>
      <c r="Q538" t="s">
        <v>5079</v>
      </c>
      <c r="R538" t="s">
        <v>5080</v>
      </c>
      <c r="S538" t="s">
        <v>5081</v>
      </c>
      <c r="T538" t="s">
        <v>5082</v>
      </c>
      <c r="U538" s="5">
        <v>142.76</v>
      </c>
      <c r="V538" s="5">
        <v>75.58</v>
      </c>
      <c r="W538" s="5">
        <v>14.352361999999999</v>
      </c>
      <c r="X538" s="5">
        <v>108.010153</v>
      </c>
      <c r="Y538" s="5">
        <v>67.180000000000007</v>
      </c>
      <c r="Z538" s="5">
        <v>14.352398000000001</v>
      </c>
      <c r="AA538" s="5">
        <v>108.007853</v>
      </c>
      <c r="AB538" s="7">
        <f t="shared" si="49"/>
        <v>0.11337</v>
      </c>
      <c r="AC538" s="7">
        <f t="shared" si="50"/>
        <v>0.10077000000000001</v>
      </c>
      <c r="AD538" s="12" t="str">
        <f t="shared" si="51"/>
        <v>Đăk Rơ Wa</v>
      </c>
      <c r="AE538" s="12" t="str">
        <f t="shared" si="52"/>
        <v>Kon Tum</v>
      </c>
      <c r="AG538">
        <f t="shared" si="53"/>
        <v>7.5579999999999994E-2</v>
      </c>
      <c r="AH538">
        <f t="shared" si="54"/>
        <v>6.7180000000000004E-2</v>
      </c>
    </row>
    <row r="539" spans="1:34" x14ac:dyDescent="0.25">
      <c r="A539" t="s">
        <v>5100</v>
      </c>
      <c r="B539" t="s">
        <v>5101</v>
      </c>
      <c r="C539" t="s">
        <v>5102</v>
      </c>
      <c r="D539" t="s">
        <v>4936</v>
      </c>
      <c r="E539" t="s">
        <v>4937</v>
      </c>
      <c r="F539" t="s">
        <v>5103</v>
      </c>
      <c r="G539" t="s">
        <v>15979</v>
      </c>
      <c r="H539" t="s">
        <v>15980</v>
      </c>
      <c r="I539" t="s">
        <v>16357</v>
      </c>
      <c r="J539" t="s">
        <v>23</v>
      </c>
      <c r="L539" t="s">
        <v>4806</v>
      </c>
      <c r="M539" t="s">
        <v>5104</v>
      </c>
      <c r="N539" t="s">
        <v>5105</v>
      </c>
      <c r="O539" t="s">
        <v>5106</v>
      </c>
      <c r="P539" t="s">
        <v>5107</v>
      </c>
      <c r="Q539" t="s">
        <v>5108</v>
      </c>
      <c r="R539" t="s">
        <v>5109</v>
      </c>
      <c r="S539" t="s">
        <v>5110</v>
      </c>
      <c r="T539" t="s">
        <v>4814</v>
      </c>
      <c r="U539" s="5">
        <v>663.49</v>
      </c>
      <c r="V539" s="5">
        <v>582.83000000000004</v>
      </c>
      <c r="W539" s="5">
        <v>14.342359999999999</v>
      </c>
      <c r="X539" s="5">
        <v>107.982474</v>
      </c>
      <c r="Y539" s="5">
        <v>80.650000000000006</v>
      </c>
      <c r="Z539" s="5">
        <v>14.313442999999999</v>
      </c>
      <c r="AA539" s="5">
        <v>107.925479</v>
      </c>
      <c r="AB539" s="7">
        <f t="shared" si="49"/>
        <v>0.87424500000000016</v>
      </c>
      <c r="AC539" s="7">
        <f t="shared" si="50"/>
        <v>0.12097500000000001</v>
      </c>
      <c r="AD539" s="12" t="str">
        <f t="shared" si="51"/>
        <v>Ia chim</v>
      </c>
      <c r="AE539" s="12" t="str">
        <f t="shared" si="52"/>
        <v>Đăk Rơ Wa</v>
      </c>
      <c r="AG539">
        <f t="shared" si="53"/>
        <v>0.58283000000000007</v>
      </c>
      <c r="AH539">
        <f t="shared" si="54"/>
        <v>8.0649999999999999E-2</v>
      </c>
    </row>
    <row r="540" spans="1:34" x14ac:dyDescent="0.25">
      <c r="A540" t="s">
        <v>5111</v>
      </c>
      <c r="B540" t="s">
        <v>4936</v>
      </c>
      <c r="C540" t="s">
        <v>4937</v>
      </c>
      <c r="D540" t="s">
        <v>4750</v>
      </c>
      <c r="E540" t="s">
        <v>4751</v>
      </c>
      <c r="F540" t="s">
        <v>5112</v>
      </c>
      <c r="G540" t="s">
        <v>15979</v>
      </c>
      <c r="H540" t="s">
        <v>15980</v>
      </c>
      <c r="I540" t="s">
        <v>16358</v>
      </c>
      <c r="J540" t="s">
        <v>23</v>
      </c>
      <c r="L540" t="s">
        <v>4939</v>
      </c>
      <c r="M540" t="s">
        <v>5113</v>
      </c>
      <c r="N540" t="s">
        <v>4944</v>
      </c>
      <c r="O540" t="s">
        <v>4945</v>
      </c>
      <c r="P540" t="s">
        <v>4946</v>
      </c>
      <c r="Q540" t="s">
        <v>5114</v>
      </c>
      <c r="R540" t="s">
        <v>5115</v>
      </c>
      <c r="S540" t="s">
        <v>5116</v>
      </c>
      <c r="T540" t="s">
        <v>4947</v>
      </c>
      <c r="U540" s="5">
        <v>2670.38</v>
      </c>
      <c r="V540" s="5">
        <v>622.86</v>
      </c>
      <c r="W540" s="5">
        <v>14.30968</v>
      </c>
      <c r="X540" s="5">
        <v>107.92868</v>
      </c>
      <c r="Y540" s="5">
        <v>2047.52</v>
      </c>
      <c r="Z540" s="5">
        <v>14.296118</v>
      </c>
      <c r="AA540" s="5">
        <v>107.975981</v>
      </c>
      <c r="AB540" s="7">
        <f t="shared" si="49"/>
        <v>0.93428999999999995</v>
      </c>
      <c r="AC540" s="7">
        <f t="shared" si="50"/>
        <v>3.0712799999999998</v>
      </c>
      <c r="AD540" s="12" t="str">
        <f t="shared" si="51"/>
        <v>Đăk Bla</v>
      </c>
      <c r="AE540" s="12" t="str">
        <f t="shared" si="52"/>
        <v>Ia Chim</v>
      </c>
      <c r="AG540">
        <f t="shared" si="53"/>
        <v>0.62285999999999997</v>
      </c>
      <c r="AH540">
        <f t="shared" si="54"/>
        <v>2.04752</v>
      </c>
    </row>
    <row r="541" spans="1:34" x14ac:dyDescent="0.25">
      <c r="A541" t="s">
        <v>5117</v>
      </c>
      <c r="B541" t="s">
        <v>5118</v>
      </c>
      <c r="C541" t="s">
        <v>5119</v>
      </c>
      <c r="D541" t="s">
        <v>4591</v>
      </c>
      <c r="E541" t="s">
        <v>4592</v>
      </c>
      <c r="F541" t="s">
        <v>5120</v>
      </c>
      <c r="G541" t="s">
        <v>15979</v>
      </c>
      <c r="H541" t="s">
        <v>15980</v>
      </c>
      <c r="I541" t="s">
        <v>16359</v>
      </c>
      <c r="J541" t="s">
        <v>23</v>
      </c>
      <c r="L541" t="s">
        <v>5121</v>
      </c>
      <c r="M541" t="s">
        <v>5122</v>
      </c>
      <c r="N541" t="s">
        <v>5123</v>
      </c>
      <c r="O541" t="s">
        <v>5124</v>
      </c>
      <c r="P541" t="s">
        <v>5125</v>
      </c>
      <c r="Q541" t="s">
        <v>5126</v>
      </c>
      <c r="R541" t="s">
        <v>5127</v>
      </c>
      <c r="S541" t="s">
        <v>5128</v>
      </c>
      <c r="T541" t="s">
        <v>5129</v>
      </c>
      <c r="U541" s="5">
        <v>2136.34</v>
      </c>
      <c r="V541" s="5">
        <v>2061.1799999999998</v>
      </c>
      <c r="W541" s="5">
        <v>14.356558</v>
      </c>
      <c r="X541" s="5">
        <v>108.023526</v>
      </c>
      <c r="Y541" s="5">
        <v>75.150000000000006</v>
      </c>
      <c r="Z541" s="5">
        <v>14.352325</v>
      </c>
      <c r="AA541" s="5">
        <v>108.007865</v>
      </c>
      <c r="AB541" s="7">
        <f t="shared" si="49"/>
        <v>3.0917699999999995</v>
      </c>
      <c r="AC541" s="7">
        <f t="shared" si="50"/>
        <v>0.11272500000000001</v>
      </c>
      <c r="AD541" s="12" t="str">
        <f t="shared" si="51"/>
        <v>TT2 Kon Tum</v>
      </c>
      <c r="AE541" s="12" t="str">
        <f t="shared" si="52"/>
        <v>Kon Rẫy</v>
      </c>
      <c r="AG541">
        <f t="shared" si="53"/>
        <v>2.0611799999999998</v>
      </c>
      <c r="AH541">
        <f t="shared" si="54"/>
        <v>7.5150000000000008E-2</v>
      </c>
    </row>
    <row r="542" spans="1:34" x14ac:dyDescent="0.25">
      <c r="A542" t="s">
        <v>5130</v>
      </c>
      <c r="B542" t="s">
        <v>5131</v>
      </c>
      <c r="C542" t="s">
        <v>5132</v>
      </c>
      <c r="D542" t="s">
        <v>4591</v>
      </c>
      <c r="E542" t="s">
        <v>4592</v>
      </c>
      <c r="F542" t="s">
        <v>5133</v>
      </c>
      <c r="G542" t="s">
        <v>15979</v>
      </c>
      <c r="H542" t="s">
        <v>15980</v>
      </c>
      <c r="I542" t="s">
        <v>16360</v>
      </c>
      <c r="J542" t="s">
        <v>23</v>
      </c>
      <c r="L542" t="s">
        <v>4753</v>
      </c>
      <c r="M542" t="s">
        <v>5134</v>
      </c>
      <c r="N542" t="s">
        <v>5135</v>
      </c>
      <c r="O542" t="s">
        <v>5136</v>
      </c>
      <c r="P542" t="s">
        <v>5137</v>
      </c>
      <c r="Q542" t="s">
        <v>5138</v>
      </c>
      <c r="R542" t="s">
        <v>5092</v>
      </c>
      <c r="S542" t="s">
        <v>5093</v>
      </c>
      <c r="T542" t="s">
        <v>4761</v>
      </c>
      <c r="U542" s="5">
        <v>1576.93</v>
      </c>
      <c r="V542" s="5">
        <v>211.43</v>
      </c>
      <c r="W542" s="5">
        <v>14.329800000000001</v>
      </c>
      <c r="X542" s="5">
        <v>107.992604</v>
      </c>
      <c r="Y542" s="5">
        <v>1365.5</v>
      </c>
      <c r="Z542" s="5">
        <v>14.343185999999999</v>
      </c>
      <c r="AA542" s="5">
        <v>108.000281</v>
      </c>
      <c r="AB542" s="7">
        <f t="shared" si="49"/>
        <v>0.31714499999999995</v>
      </c>
      <c r="AC542" s="7">
        <f t="shared" si="50"/>
        <v>2.0482499999999999</v>
      </c>
      <c r="AD542" s="12" t="str">
        <f t="shared" si="51"/>
        <v>CAT Kon TUm</v>
      </c>
      <c r="AE542" s="12" t="str">
        <f t="shared" si="52"/>
        <v>Đăk Bla</v>
      </c>
      <c r="AG542">
        <f t="shared" si="53"/>
        <v>0.21143000000000001</v>
      </c>
      <c r="AH542">
        <f t="shared" si="54"/>
        <v>1.3654999999999999</v>
      </c>
    </row>
    <row r="543" spans="1:34" x14ac:dyDescent="0.25">
      <c r="A543" t="s">
        <v>5139</v>
      </c>
      <c r="B543" t="s">
        <v>5140</v>
      </c>
      <c r="C543" t="s">
        <v>5141</v>
      </c>
      <c r="D543" t="s">
        <v>4608</v>
      </c>
      <c r="E543" t="s">
        <v>4609</v>
      </c>
      <c r="F543" t="s">
        <v>5142</v>
      </c>
      <c r="G543" t="s">
        <v>15979</v>
      </c>
      <c r="H543" t="s">
        <v>15980</v>
      </c>
      <c r="I543" t="s">
        <v>16361</v>
      </c>
      <c r="J543" t="s">
        <v>23</v>
      </c>
      <c r="L543" t="s">
        <v>4638</v>
      </c>
      <c r="M543" t="s">
        <v>5143</v>
      </c>
      <c r="N543" t="s">
        <v>5144</v>
      </c>
      <c r="O543" t="s">
        <v>5145</v>
      </c>
      <c r="P543" t="s">
        <v>5146</v>
      </c>
      <c r="Q543" t="s">
        <v>5147</v>
      </c>
      <c r="R543" t="s">
        <v>5148</v>
      </c>
      <c r="S543" t="s">
        <v>5149</v>
      </c>
      <c r="T543" t="s">
        <v>5150</v>
      </c>
      <c r="U543" s="5">
        <v>256.69</v>
      </c>
      <c r="V543" s="5">
        <v>177.82</v>
      </c>
      <c r="W543" s="5">
        <v>14.561059</v>
      </c>
      <c r="X543" s="5">
        <v>107.920536</v>
      </c>
      <c r="Y543" s="5">
        <v>78.87</v>
      </c>
      <c r="Z543" s="5">
        <v>14.545738999999999</v>
      </c>
      <c r="AA543" s="5">
        <v>107.920722</v>
      </c>
      <c r="AB543" s="7">
        <f t="shared" si="49"/>
        <v>0.26673000000000002</v>
      </c>
      <c r="AC543" s="7">
        <f t="shared" si="50"/>
        <v>0.11830500000000001</v>
      </c>
      <c r="AD543" s="12" t="str">
        <f t="shared" si="51"/>
        <v>Đăk Pxi</v>
      </c>
      <c r="AE543" s="12" t="str">
        <f t="shared" si="52"/>
        <v>CAT Kon Tum</v>
      </c>
      <c r="AG543">
        <f t="shared" si="53"/>
        <v>0.17782000000000001</v>
      </c>
      <c r="AH543">
        <f t="shared" si="54"/>
        <v>7.887000000000001E-2</v>
      </c>
    </row>
    <row r="544" spans="1:34" x14ac:dyDescent="0.25">
      <c r="A544" t="s">
        <v>5151</v>
      </c>
      <c r="B544" t="s">
        <v>5152</v>
      </c>
      <c r="C544" t="s">
        <v>5153</v>
      </c>
      <c r="D544" t="s">
        <v>4608</v>
      </c>
      <c r="E544" t="s">
        <v>4609</v>
      </c>
      <c r="F544" t="s">
        <v>5154</v>
      </c>
      <c r="G544" t="s">
        <v>15979</v>
      </c>
      <c r="H544" t="s">
        <v>15980</v>
      </c>
      <c r="I544" t="s">
        <v>16362</v>
      </c>
      <c r="J544" t="s">
        <v>23</v>
      </c>
      <c r="L544" t="s">
        <v>4611</v>
      </c>
      <c r="M544" t="s">
        <v>5155</v>
      </c>
      <c r="N544" t="s">
        <v>5156</v>
      </c>
      <c r="O544" t="s">
        <v>5157</v>
      </c>
      <c r="P544" t="s">
        <v>5158</v>
      </c>
      <c r="Q544" t="s">
        <v>5159</v>
      </c>
      <c r="R544" t="s">
        <v>5160</v>
      </c>
      <c r="S544" t="s">
        <v>5161</v>
      </c>
      <c r="T544" t="s">
        <v>5162</v>
      </c>
      <c r="U544" s="5">
        <v>3270.38</v>
      </c>
      <c r="V544" s="5">
        <v>3268.72</v>
      </c>
      <c r="W544" s="5">
        <v>14.545508</v>
      </c>
      <c r="X544" s="5">
        <v>107.920002</v>
      </c>
      <c r="Y544" s="5">
        <v>1.66</v>
      </c>
      <c r="Z544" s="5">
        <v>14.545607</v>
      </c>
      <c r="AA544" s="5">
        <v>107.920008</v>
      </c>
      <c r="AB544" s="7">
        <f t="shared" si="49"/>
        <v>4.9030800000000001</v>
      </c>
      <c r="AC544" s="7">
        <f t="shared" si="50"/>
        <v>2.4899999999999996E-3</v>
      </c>
      <c r="AD544" s="12" t="str">
        <f t="shared" si="51"/>
        <v>Đăk Ui</v>
      </c>
      <c r="AE544" s="12" t="str">
        <f t="shared" si="52"/>
        <v>Đăk Mar</v>
      </c>
      <c r="AG544">
        <f t="shared" si="53"/>
        <v>3.2687199999999996</v>
      </c>
      <c r="AH544">
        <f t="shared" si="54"/>
        <v>1.66E-3</v>
      </c>
    </row>
    <row r="545" spans="1:34" x14ac:dyDescent="0.25">
      <c r="A545" t="s">
        <v>5163</v>
      </c>
      <c r="B545" t="s">
        <v>5164</v>
      </c>
      <c r="C545" t="s">
        <v>5165</v>
      </c>
      <c r="D545" t="s">
        <v>4606</v>
      </c>
      <c r="E545" t="s">
        <v>4607</v>
      </c>
      <c r="F545" t="s">
        <v>5166</v>
      </c>
      <c r="G545" t="s">
        <v>15979</v>
      </c>
      <c r="H545" t="s">
        <v>15980</v>
      </c>
      <c r="I545" t="s">
        <v>16363</v>
      </c>
      <c r="J545" t="s">
        <v>23</v>
      </c>
      <c r="L545" t="s">
        <v>4611</v>
      </c>
      <c r="M545" t="s">
        <v>5167</v>
      </c>
      <c r="N545" t="s">
        <v>5168</v>
      </c>
      <c r="O545" t="s">
        <v>5169</v>
      </c>
      <c r="P545" t="s">
        <v>5170</v>
      </c>
      <c r="Q545" t="s">
        <v>4612</v>
      </c>
      <c r="R545" t="s">
        <v>4613</v>
      </c>
      <c r="S545" t="s">
        <v>4614</v>
      </c>
      <c r="T545" t="s">
        <v>4618</v>
      </c>
      <c r="U545" s="5">
        <v>4607.21</v>
      </c>
      <c r="V545" s="5">
        <v>4557.05</v>
      </c>
      <c r="W545" s="5">
        <v>14.533442000000001</v>
      </c>
      <c r="X545" s="5">
        <v>107.940314</v>
      </c>
      <c r="Y545" s="5">
        <v>50.16</v>
      </c>
      <c r="Z545" s="5">
        <v>14.53088</v>
      </c>
      <c r="AA545" s="5">
        <v>107.94065399999999</v>
      </c>
      <c r="AB545" s="7">
        <f t="shared" si="49"/>
        <v>6.8355750000000004</v>
      </c>
      <c r="AC545" s="7">
        <f t="shared" si="50"/>
        <v>7.5240000000000001E-2</v>
      </c>
      <c r="AD545" s="12" t="str">
        <f t="shared" si="51"/>
        <v>Đăk Ui</v>
      </c>
      <c r="AE545" s="12" t="str">
        <f t="shared" si="52"/>
        <v>Đăk Mar</v>
      </c>
      <c r="AG545">
        <f t="shared" si="53"/>
        <v>4.5570500000000003</v>
      </c>
      <c r="AH545">
        <f t="shared" si="54"/>
        <v>5.0159999999999996E-2</v>
      </c>
    </row>
    <row r="546" spans="1:34" x14ac:dyDescent="0.25">
      <c r="A546" t="s">
        <v>5171</v>
      </c>
      <c r="B546" t="s">
        <v>5172</v>
      </c>
      <c r="C546" t="s">
        <v>5173</v>
      </c>
      <c r="D546" t="s">
        <v>4936</v>
      </c>
      <c r="E546" t="s">
        <v>4937</v>
      </c>
      <c r="F546" t="s">
        <v>5174</v>
      </c>
      <c r="G546" t="s">
        <v>15979</v>
      </c>
      <c r="H546" t="s">
        <v>15980</v>
      </c>
      <c r="I546" t="s">
        <v>16364</v>
      </c>
      <c r="J546" t="s">
        <v>23</v>
      </c>
      <c r="L546" t="s">
        <v>4939</v>
      </c>
      <c r="M546" t="s">
        <v>5175</v>
      </c>
      <c r="N546" t="s">
        <v>5176</v>
      </c>
      <c r="O546" t="s">
        <v>5177</v>
      </c>
      <c r="P546" t="s">
        <v>5178</v>
      </c>
      <c r="Q546" t="s">
        <v>5179</v>
      </c>
      <c r="R546" t="s">
        <v>5180</v>
      </c>
      <c r="S546" t="s">
        <v>5181</v>
      </c>
      <c r="T546" t="s">
        <v>5182</v>
      </c>
      <c r="U546" s="5">
        <v>1000.26</v>
      </c>
      <c r="V546" s="5">
        <v>918.95</v>
      </c>
      <c r="W546" s="5">
        <v>14.3094</v>
      </c>
      <c r="X546" s="5">
        <v>107.91629399999999</v>
      </c>
      <c r="Y546" s="5">
        <v>81.31</v>
      </c>
      <c r="Z546" s="5">
        <v>14.313440999999999</v>
      </c>
      <c r="AA546" s="5">
        <v>107.925487</v>
      </c>
      <c r="AB546" s="7">
        <f t="shared" si="49"/>
        <v>1.3784250000000002</v>
      </c>
      <c r="AC546" s="7">
        <f t="shared" si="50"/>
        <v>0.121965</v>
      </c>
      <c r="AD546" s="12" t="str">
        <f t="shared" si="51"/>
        <v>Đăk Bla</v>
      </c>
      <c r="AE546" s="12" t="str">
        <f t="shared" si="52"/>
        <v>Ia Chim</v>
      </c>
      <c r="AG546">
        <f t="shared" si="53"/>
        <v>0.91895000000000004</v>
      </c>
      <c r="AH546">
        <f t="shared" si="54"/>
        <v>8.1310000000000007E-2</v>
      </c>
    </row>
    <row r="547" spans="1:34" x14ac:dyDescent="0.25">
      <c r="A547" t="s">
        <v>5183</v>
      </c>
      <c r="B547" t="s">
        <v>5184</v>
      </c>
      <c r="C547" t="s">
        <v>5185</v>
      </c>
      <c r="D547" t="s">
        <v>4591</v>
      </c>
      <c r="E547" t="s">
        <v>4592</v>
      </c>
      <c r="F547" t="s">
        <v>5186</v>
      </c>
      <c r="G547" t="s">
        <v>15979</v>
      </c>
      <c r="H547" t="s">
        <v>15980</v>
      </c>
      <c r="I547" t="s">
        <v>16365</v>
      </c>
      <c r="J547" t="s">
        <v>23</v>
      </c>
      <c r="L547" t="s">
        <v>5121</v>
      </c>
      <c r="M547" t="s">
        <v>5187</v>
      </c>
      <c r="N547" t="s">
        <v>5188</v>
      </c>
      <c r="O547" t="s">
        <v>5189</v>
      </c>
      <c r="P547" t="s">
        <v>5190</v>
      </c>
      <c r="Q547" t="s">
        <v>5126</v>
      </c>
      <c r="R547" t="s">
        <v>5127</v>
      </c>
      <c r="S547" t="s">
        <v>5128</v>
      </c>
      <c r="T547" t="s">
        <v>5129</v>
      </c>
      <c r="U547" s="5">
        <v>392.2</v>
      </c>
      <c r="V547" s="5">
        <v>317.04000000000002</v>
      </c>
      <c r="W547" s="5">
        <v>14.364977</v>
      </c>
      <c r="X547" s="5">
        <v>108.026622</v>
      </c>
      <c r="Y547" s="5">
        <v>75.150000000000006</v>
      </c>
      <c r="Z547" s="5">
        <v>14.352325</v>
      </c>
      <c r="AA547" s="5">
        <v>108.007865</v>
      </c>
      <c r="AB547" s="7">
        <f t="shared" si="49"/>
        <v>0.47556000000000004</v>
      </c>
      <c r="AC547" s="7">
        <f t="shared" si="50"/>
        <v>0.11272500000000001</v>
      </c>
      <c r="AD547" s="12" t="str">
        <f t="shared" si="51"/>
        <v>TT2 Kon Tum</v>
      </c>
      <c r="AE547" s="12" t="str">
        <f t="shared" si="52"/>
        <v>Kon Rẫy</v>
      </c>
      <c r="AG547">
        <f t="shared" si="53"/>
        <v>0.31704000000000004</v>
      </c>
      <c r="AH547">
        <f t="shared" si="54"/>
        <v>7.5150000000000008E-2</v>
      </c>
    </row>
    <row r="548" spans="1:34" x14ac:dyDescent="0.25">
      <c r="A548" t="s">
        <v>5191</v>
      </c>
      <c r="B548" t="s">
        <v>5192</v>
      </c>
      <c r="C548" t="s">
        <v>5193</v>
      </c>
      <c r="D548" t="s">
        <v>5063</v>
      </c>
      <c r="E548" t="s">
        <v>5064</v>
      </c>
      <c r="F548" t="s">
        <v>5194</v>
      </c>
      <c r="G548" t="s">
        <v>15979</v>
      </c>
      <c r="H548" t="s">
        <v>15980</v>
      </c>
      <c r="I548" t="s">
        <v>16366</v>
      </c>
      <c r="J548" t="s">
        <v>23</v>
      </c>
      <c r="L548" t="s">
        <v>4753</v>
      </c>
      <c r="M548" t="s">
        <v>5195</v>
      </c>
      <c r="N548" t="s">
        <v>5196</v>
      </c>
      <c r="O548" t="s">
        <v>5197</v>
      </c>
      <c r="P548" t="s">
        <v>5198</v>
      </c>
      <c r="Q548" t="s">
        <v>5199</v>
      </c>
      <c r="R548" t="s">
        <v>5200</v>
      </c>
      <c r="S548" t="s">
        <v>5201</v>
      </c>
      <c r="T548" t="s">
        <v>4924</v>
      </c>
      <c r="U548" s="5">
        <v>65.040000000000006</v>
      </c>
      <c r="V548" s="5">
        <v>27.95</v>
      </c>
      <c r="W548" s="5">
        <v>14.345952</v>
      </c>
      <c r="X548" s="5">
        <v>108.00247400000001</v>
      </c>
      <c r="Y548" s="5">
        <v>37.090000000000003</v>
      </c>
      <c r="Z548" s="5">
        <v>14.349981</v>
      </c>
      <c r="AA548" s="5">
        <v>108.007375</v>
      </c>
      <c r="AB548" s="7">
        <f t="shared" si="49"/>
        <v>4.1924999999999997E-2</v>
      </c>
      <c r="AC548" s="7">
        <f t="shared" si="50"/>
        <v>5.5635000000000004E-2</v>
      </c>
      <c r="AD548" s="12" t="str">
        <f t="shared" si="51"/>
        <v>CAT Kon TUm</v>
      </c>
      <c r="AE548" s="12" t="str">
        <f t="shared" si="52"/>
        <v>Đăk Bla</v>
      </c>
      <c r="AG548">
        <f t="shared" si="53"/>
        <v>2.7949999999999999E-2</v>
      </c>
      <c r="AH548">
        <f t="shared" si="54"/>
        <v>3.7090000000000005E-2</v>
      </c>
    </row>
    <row r="549" spans="1:34" x14ac:dyDescent="0.25">
      <c r="A549" t="s">
        <v>5202</v>
      </c>
      <c r="B549" t="s">
        <v>5203</v>
      </c>
      <c r="C549" t="s">
        <v>5204</v>
      </c>
      <c r="D549" t="s">
        <v>4914</v>
      </c>
      <c r="E549" t="s">
        <v>4915</v>
      </c>
      <c r="F549" t="s">
        <v>5205</v>
      </c>
      <c r="G549" t="s">
        <v>15979</v>
      </c>
      <c r="H549" t="s">
        <v>15980</v>
      </c>
      <c r="I549" t="s">
        <v>16367</v>
      </c>
      <c r="J549" t="s">
        <v>23</v>
      </c>
      <c r="L549" t="s">
        <v>4753</v>
      </c>
      <c r="M549" t="s">
        <v>5206</v>
      </c>
      <c r="N549" t="s">
        <v>5207</v>
      </c>
      <c r="O549" t="s">
        <v>5208</v>
      </c>
      <c r="P549" t="s">
        <v>5209</v>
      </c>
      <c r="Q549" t="s">
        <v>4921</v>
      </c>
      <c r="R549" t="s">
        <v>4922</v>
      </c>
      <c r="S549" t="s">
        <v>4923</v>
      </c>
      <c r="T549" t="s">
        <v>4924</v>
      </c>
      <c r="U549" s="5">
        <v>596.6</v>
      </c>
      <c r="V549" s="5">
        <v>342.2</v>
      </c>
      <c r="W549" s="5">
        <v>14.345356000000001</v>
      </c>
      <c r="X549" s="5">
        <v>108.009923</v>
      </c>
      <c r="Y549" s="5">
        <v>254.4</v>
      </c>
      <c r="Z549" s="5">
        <v>14.352304</v>
      </c>
      <c r="AA549" s="5">
        <v>108.007864</v>
      </c>
      <c r="AB549" s="7">
        <f t="shared" si="49"/>
        <v>0.51329999999999998</v>
      </c>
      <c r="AC549" s="7">
        <f t="shared" si="50"/>
        <v>0.38160000000000005</v>
      </c>
      <c r="AD549" s="12" t="str">
        <f t="shared" si="51"/>
        <v>CAT Kon TUm</v>
      </c>
      <c r="AE549" s="12" t="str">
        <f t="shared" si="52"/>
        <v>Đăk Bla</v>
      </c>
      <c r="AG549">
        <f t="shared" si="53"/>
        <v>0.3422</v>
      </c>
      <c r="AH549">
        <f t="shared" si="54"/>
        <v>0.25440000000000002</v>
      </c>
    </row>
    <row r="550" spans="1:34" x14ac:dyDescent="0.25">
      <c r="A550" t="s">
        <v>5210</v>
      </c>
      <c r="B550" t="s">
        <v>5211</v>
      </c>
      <c r="C550" t="s">
        <v>5212</v>
      </c>
      <c r="D550" t="s">
        <v>4591</v>
      </c>
      <c r="E550" t="s">
        <v>4592</v>
      </c>
      <c r="F550" t="s">
        <v>5213</v>
      </c>
      <c r="G550" t="s">
        <v>15979</v>
      </c>
      <c r="H550" t="s">
        <v>15980</v>
      </c>
      <c r="I550" t="s">
        <v>16368</v>
      </c>
      <c r="J550" t="s">
        <v>23</v>
      </c>
      <c r="L550" t="s">
        <v>5042</v>
      </c>
      <c r="M550" t="s">
        <v>5214</v>
      </c>
      <c r="N550" t="s">
        <v>5215</v>
      </c>
      <c r="O550" t="s">
        <v>5216</v>
      </c>
      <c r="P550" t="s">
        <v>5217</v>
      </c>
      <c r="Q550" t="s">
        <v>5047</v>
      </c>
      <c r="R550" t="s">
        <v>5048</v>
      </c>
      <c r="S550" t="s">
        <v>5049</v>
      </c>
      <c r="T550" t="s">
        <v>5050</v>
      </c>
      <c r="U550" s="5">
        <v>228.58</v>
      </c>
      <c r="V550" s="5">
        <v>152.5</v>
      </c>
      <c r="W550" s="5">
        <v>14.356747</v>
      </c>
      <c r="X550" s="5">
        <v>108.012901</v>
      </c>
      <c r="Y550" s="5">
        <v>76.08</v>
      </c>
      <c r="Z550" s="5">
        <v>14.352316</v>
      </c>
      <c r="AA550" s="5">
        <v>108.007886</v>
      </c>
      <c r="AB550" s="7">
        <f t="shared" si="49"/>
        <v>0.22875000000000001</v>
      </c>
      <c r="AC550" s="7">
        <f t="shared" si="50"/>
        <v>0.11412</v>
      </c>
      <c r="AD550" s="12" t="str">
        <f t="shared" si="51"/>
        <v>CAT Kon Tum</v>
      </c>
      <c r="AE550" s="12" t="str">
        <f t="shared" si="52"/>
        <v>Đăk Cấm</v>
      </c>
      <c r="AG550">
        <f t="shared" si="53"/>
        <v>0.1525</v>
      </c>
      <c r="AH550">
        <f t="shared" si="54"/>
        <v>7.6079999999999995E-2</v>
      </c>
    </row>
    <row r="551" spans="1:34" x14ac:dyDescent="0.25">
      <c r="A551" t="s">
        <v>5218</v>
      </c>
      <c r="B551" t="s">
        <v>5219</v>
      </c>
      <c r="C551" t="s">
        <v>5220</v>
      </c>
      <c r="D551" t="s">
        <v>4537</v>
      </c>
      <c r="E551" t="s">
        <v>4538</v>
      </c>
      <c r="F551" t="s">
        <v>5221</v>
      </c>
      <c r="G551" t="s">
        <v>15979</v>
      </c>
      <c r="H551" t="s">
        <v>15980</v>
      </c>
      <c r="I551" t="s">
        <v>16369</v>
      </c>
      <c r="J551" t="s">
        <v>23</v>
      </c>
      <c r="L551" t="s">
        <v>4708</v>
      </c>
      <c r="M551" t="s">
        <v>5222</v>
      </c>
      <c r="N551" t="s">
        <v>5223</v>
      </c>
      <c r="O551" t="s">
        <v>5224</v>
      </c>
      <c r="P551" t="s">
        <v>5225</v>
      </c>
      <c r="Q551" t="s">
        <v>4713</v>
      </c>
      <c r="R551" t="s">
        <v>4714</v>
      </c>
      <c r="S551" t="s">
        <v>4715</v>
      </c>
      <c r="T551" t="s">
        <v>4716</v>
      </c>
      <c r="U551" s="5">
        <v>126.73</v>
      </c>
      <c r="V551" s="5">
        <v>111.23</v>
      </c>
      <c r="W551" s="5">
        <v>14.714510000000001</v>
      </c>
      <c r="X551" s="5">
        <v>107.68991800000001</v>
      </c>
      <c r="Y551" s="5">
        <v>15.5</v>
      </c>
      <c r="Z551" s="5">
        <v>14.724413999999999</v>
      </c>
      <c r="AA551" s="5">
        <v>107.68788000000001</v>
      </c>
      <c r="AB551" s="7">
        <f t="shared" si="49"/>
        <v>0.16684499999999999</v>
      </c>
      <c r="AC551" s="7">
        <f t="shared" si="50"/>
        <v>2.325E-2</v>
      </c>
      <c r="AD551" s="12" t="str">
        <f t="shared" si="51"/>
        <v>Pô Kô</v>
      </c>
      <c r="AE551" s="12" t="str">
        <f t="shared" si="52"/>
        <v>TTCMKV Ngọc Hồi</v>
      </c>
      <c r="AG551">
        <f t="shared" si="53"/>
        <v>0.11123000000000001</v>
      </c>
      <c r="AH551">
        <f t="shared" si="54"/>
        <v>1.55E-2</v>
      </c>
    </row>
    <row r="552" spans="1:34" x14ac:dyDescent="0.25">
      <c r="A552" t="s">
        <v>5226</v>
      </c>
      <c r="B552" t="s">
        <v>5227</v>
      </c>
      <c r="C552" t="s">
        <v>5228</v>
      </c>
      <c r="D552" t="s">
        <v>4899</v>
      </c>
      <c r="E552" t="s">
        <v>4900</v>
      </c>
      <c r="F552" t="s">
        <v>5229</v>
      </c>
      <c r="G552" t="s">
        <v>15979</v>
      </c>
      <c r="H552" t="s">
        <v>15980</v>
      </c>
      <c r="I552" t="s">
        <v>16370</v>
      </c>
      <c r="J552" t="s">
        <v>23</v>
      </c>
      <c r="L552" t="s">
        <v>5230</v>
      </c>
      <c r="M552" t="s">
        <v>5231</v>
      </c>
      <c r="N552" t="s">
        <v>5232</v>
      </c>
      <c r="O552" t="s">
        <v>5233</v>
      </c>
      <c r="P552" t="s">
        <v>5234</v>
      </c>
      <c r="Q552" t="s">
        <v>5235</v>
      </c>
      <c r="R552" t="s">
        <v>5233</v>
      </c>
      <c r="S552" t="s">
        <v>5234</v>
      </c>
      <c r="T552" t="s">
        <v>5236</v>
      </c>
      <c r="U552" s="5">
        <v>445.22</v>
      </c>
      <c r="V552" s="5">
        <v>445.06</v>
      </c>
      <c r="W552" s="5">
        <v>14.380141</v>
      </c>
      <c r="X552" s="5">
        <v>107.986801</v>
      </c>
      <c r="Y552" s="5">
        <v>0.16</v>
      </c>
      <c r="Z552" s="5">
        <v>14.380141</v>
      </c>
      <c r="AA552" s="5">
        <v>107.986801</v>
      </c>
      <c r="AB552" s="7">
        <f t="shared" si="49"/>
        <v>0.66759000000000002</v>
      </c>
      <c r="AC552" s="7">
        <f t="shared" si="50"/>
        <v>2.3999999999999998E-4</v>
      </c>
      <c r="AD552" s="12" t="str">
        <f t="shared" si="51"/>
        <v>Khối CS (PC01, PC02, PC03, PC04)</v>
      </c>
      <c r="AE552" s="12" t="str">
        <f t="shared" si="52"/>
        <v>PC08</v>
      </c>
      <c r="AG552">
        <f t="shared" si="53"/>
        <v>0.44506000000000001</v>
      </c>
      <c r="AH552">
        <f t="shared" si="54"/>
        <v>1.6000000000000001E-4</v>
      </c>
    </row>
    <row r="553" spans="1:34" x14ac:dyDescent="0.25">
      <c r="A553" t="s">
        <v>5237</v>
      </c>
      <c r="B553" t="e">
        <v>#N/A</v>
      </c>
      <c r="C553" t="e">
        <v>#N/A</v>
      </c>
      <c r="D553" t="s">
        <v>4914</v>
      </c>
      <c r="E553" t="s">
        <v>4915</v>
      </c>
      <c r="F553" t="s">
        <v>5238</v>
      </c>
      <c r="G553" t="s">
        <v>15979</v>
      </c>
      <c r="H553" t="s">
        <v>15980</v>
      </c>
      <c r="I553" t="s">
        <v>16371</v>
      </c>
      <c r="J553" t="s">
        <v>5239</v>
      </c>
      <c r="K553" t="s">
        <v>5240</v>
      </c>
      <c r="AB553" s="7">
        <f t="shared" si="49"/>
        <v>0</v>
      </c>
      <c r="AC553" s="7">
        <f t="shared" si="50"/>
        <v>0</v>
      </c>
      <c r="AD553" s="12" t="e">
        <f t="shared" si="51"/>
        <v>#VALUE!</v>
      </c>
      <c r="AE553" s="12" t="e">
        <f t="shared" si="52"/>
        <v>#VALUE!</v>
      </c>
      <c r="AG553">
        <f t="shared" si="53"/>
        <v>0</v>
      </c>
      <c r="AH553">
        <f t="shared" si="54"/>
        <v>0</v>
      </c>
    </row>
    <row r="554" spans="1:34" x14ac:dyDescent="0.25">
      <c r="A554" t="s">
        <v>5241</v>
      </c>
      <c r="B554" t="s">
        <v>5242</v>
      </c>
      <c r="C554" t="s">
        <v>5243</v>
      </c>
      <c r="D554" t="s">
        <v>5244</v>
      </c>
      <c r="E554" t="s">
        <v>5245</v>
      </c>
      <c r="F554" t="s">
        <v>5246</v>
      </c>
      <c r="G554" t="s">
        <v>15979</v>
      </c>
      <c r="H554" t="s">
        <v>15980</v>
      </c>
      <c r="I554" t="s">
        <v>16372</v>
      </c>
      <c r="J554" t="s">
        <v>23</v>
      </c>
      <c r="L554" t="s">
        <v>5247</v>
      </c>
      <c r="M554" t="s">
        <v>5248</v>
      </c>
      <c r="N554" t="s">
        <v>5249</v>
      </c>
      <c r="O554" t="s">
        <v>5250</v>
      </c>
      <c r="P554" t="s">
        <v>5251</v>
      </c>
      <c r="Q554" t="s">
        <v>5252</v>
      </c>
      <c r="R554" t="s">
        <v>5253</v>
      </c>
      <c r="S554" t="s">
        <v>5254</v>
      </c>
      <c r="T554" t="s">
        <v>5255</v>
      </c>
      <c r="U554" s="5">
        <v>99407.86</v>
      </c>
      <c r="V554" s="5">
        <v>95430.33</v>
      </c>
      <c r="W554" s="5">
        <v>15.340258</v>
      </c>
      <c r="X554" s="5">
        <v>108.213703</v>
      </c>
      <c r="Y554" s="5">
        <v>3977.54</v>
      </c>
      <c r="Z554" s="5">
        <v>15.550722</v>
      </c>
      <c r="AA554" s="5">
        <v>108.413776</v>
      </c>
      <c r="AB554" s="7">
        <f t="shared" si="49"/>
        <v>143.14549499999998</v>
      </c>
      <c r="AC554" s="7">
        <f t="shared" si="50"/>
        <v>5.9663099999999991</v>
      </c>
      <c r="AD554" s="12" t="str">
        <f t="shared" si="51"/>
        <v>Bắc Trà My</v>
      </c>
      <c r="AE554" s="12" t="str">
        <f t="shared" si="52"/>
        <v>Phú Ninh</v>
      </c>
      <c r="AG554">
        <f t="shared" si="53"/>
        <v>95.430329999999998</v>
      </c>
      <c r="AH554">
        <f t="shared" si="54"/>
        <v>3.9775399999999999</v>
      </c>
    </row>
    <row r="555" spans="1:34" x14ac:dyDescent="0.25">
      <c r="A555" t="s">
        <v>5256</v>
      </c>
      <c r="B555" t="s">
        <v>5257</v>
      </c>
      <c r="C555" t="s">
        <v>5258</v>
      </c>
      <c r="D555" t="s">
        <v>4551</v>
      </c>
      <c r="E555" t="s">
        <v>4552</v>
      </c>
      <c r="F555" t="s">
        <v>5259</v>
      </c>
      <c r="G555" t="s">
        <v>15979</v>
      </c>
      <c r="H555" t="s">
        <v>15980</v>
      </c>
      <c r="I555" t="s">
        <v>16373</v>
      </c>
      <c r="J555" t="s">
        <v>23</v>
      </c>
      <c r="L555" t="s">
        <v>4556</v>
      </c>
      <c r="M555" t="s">
        <v>5260</v>
      </c>
      <c r="N555" t="s">
        <v>5261</v>
      </c>
      <c r="O555" t="s">
        <v>5262</v>
      </c>
      <c r="P555" t="s">
        <v>5263</v>
      </c>
      <c r="Q555" t="s">
        <v>4558</v>
      </c>
      <c r="R555" t="s">
        <v>4559</v>
      </c>
      <c r="S555" t="s">
        <v>4560</v>
      </c>
      <c r="T555" t="s">
        <v>4564</v>
      </c>
      <c r="U555" s="5">
        <v>100.11</v>
      </c>
      <c r="V555" s="5">
        <v>47.35</v>
      </c>
      <c r="W555" s="5">
        <v>14.721538000000001</v>
      </c>
      <c r="X555" s="5">
        <v>107.80973400000001</v>
      </c>
      <c r="Y555" s="5">
        <v>52.76</v>
      </c>
      <c r="Z555" s="5">
        <v>14.698688000000001</v>
      </c>
      <c r="AA555" s="5">
        <v>107.83670499999999</v>
      </c>
      <c r="AB555" s="7">
        <f t="shared" si="49"/>
        <v>7.1025000000000005E-2</v>
      </c>
      <c r="AC555" s="7">
        <f t="shared" si="50"/>
        <v>7.9140000000000002E-2</v>
      </c>
      <c r="AD555" s="12" t="str">
        <f t="shared" si="51"/>
        <v>Đăk Mar</v>
      </c>
      <c r="AE555" s="12" t="str">
        <f t="shared" si="52"/>
        <v>Ngọk Tụ</v>
      </c>
      <c r="AG555">
        <f t="shared" si="53"/>
        <v>4.7350000000000003E-2</v>
      </c>
      <c r="AH555">
        <f t="shared" si="54"/>
        <v>5.2760000000000001E-2</v>
      </c>
    </row>
    <row r="556" spans="1:34" x14ac:dyDescent="0.25">
      <c r="A556" t="s">
        <v>5264</v>
      </c>
      <c r="B556" t="s">
        <v>4591</v>
      </c>
      <c r="C556" t="s">
        <v>4592</v>
      </c>
      <c r="D556" t="s">
        <v>5063</v>
      </c>
      <c r="E556" t="s">
        <v>5064</v>
      </c>
      <c r="F556" t="s">
        <v>5265</v>
      </c>
      <c r="G556" t="s">
        <v>15979</v>
      </c>
      <c r="H556" t="s">
        <v>15980</v>
      </c>
      <c r="I556" t="s">
        <v>16374</v>
      </c>
      <c r="J556" t="s">
        <v>23</v>
      </c>
      <c r="L556" t="s">
        <v>4874</v>
      </c>
      <c r="M556" t="s">
        <v>5266</v>
      </c>
      <c r="N556" t="s">
        <v>5267</v>
      </c>
      <c r="O556" t="s">
        <v>5268</v>
      </c>
      <c r="P556" t="s">
        <v>5269</v>
      </c>
      <c r="Q556" t="s">
        <v>5270</v>
      </c>
      <c r="R556" t="s">
        <v>5271</v>
      </c>
      <c r="S556" t="s">
        <v>5272</v>
      </c>
      <c r="T556" t="s">
        <v>4882</v>
      </c>
      <c r="U556" s="5">
        <v>42.47</v>
      </c>
      <c r="V556" s="5">
        <v>4.76</v>
      </c>
      <c r="W556" s="5">
        <v>14.352999000000001</v>
      </c>
      <c r="X556" s="5">
        <v>108.007856</v>
      </c>
      <c r="Y556" s="5">
        <v>37.700000000000003</v>
      </c>
      <c r="Z556" s="5">
        <v>14.349993</v>
      </c>
      <c r="AA556" s="5">
        <v>108.00739299999999</v>
      </c>
      <c r="AB556" s="7">
        <f t="shared" si="49"/>
        <v>7.1399999999999996E-3</v>
      </c>
      <c r="AC556" s="7">
        <f t="shared" si="50"/>
        <v>5.6550000000000003E-2</v>
      </c>
      <c r="AD556" s="12" t="str">
        <f t="shared" si="51"/>
        <v>CAT Kon Tum</v>
      </c>
      <c r="AE556" s="12" t="str">
        <f t="shared" si="52"/>
        <v>Ngọk Bay</v>
      </c>
      <c r="AG556">
        <f t="shared" si="53"/>
        <v>4.7599999999999995E-3</v>
      </c>
      <c r="AH556">
        <f t="shared" si="54"/>
        <v>3.7700000000000004E-2</v>
      </c>
    </row>
    <row r="557" spans="1:34" x14ac:dyDescent="0.25">
      <c r="A557" t="s">
        <v>5273</v>
      </c>
      <c r="B557" t="s">
        <v>5274</v>
      </c>
      <c r="C557" t="s">
        <v>5275</v>
      </c>
      <c r="D557" t="s">
        <v>5276</v>
      </c>
      <c r="E557" t="s">
        <v>5277</v>
      </c>
      <c r="F557" t="s">
        <v>5278</v>
      </c>
      <c r="G557" t="s">
        <v>15827</v>
      </c>
      <c r="H557" t="s">
        <v>15831</v>
      </c>
      <c r="I557" t="s">
        <v>16375</v>
      </c>
      <c r="J557" t="s">
        <v>23</v>
      </c>
      <c r="L557" t="s">
        <v>5279</v>
      </c>
      <c r="M557" t="s">
        <v>5280</v>
      </c>
      <c r="N557" t="s">
        <v>5281</v>
      </c>
      <c r="O557" t="s">
        <v>5282</v>
      </c>
      <c r="P557" t="s">
        <v>5283</v>
      </c>
      <c r="Q557" t="s">
        <v>5284</v>
      </c>
      <c r="R557" t="s">
        <v>5285</v>
      </c>
      <c r="S557" t="s">
        <v>5286</v>
      </c>
      <c r="T557" t="s">
        <v>5287</v>
      </c>
      <c r="U557" s="5">
        <v>1060.3499999999999</v>
      </c>
      <c r="V557" s="5">
        <v>860.1</v>
      </c>
      <c r="W557" s="5">
        <v>15.113571</v>
      </c>
      <c r="X557" s="5">
        <v>108.78981899999999</v>
      </c>
      <c r="Y557" s="5">
        <v>200.25</v>
      </c>
      <c r="Z557" s="5">
        <v>15.044577</v>
      </c>
      <c r="AA557" s="5">
        <v>108.774884</v>
      </c>
      <c r="AB557" s="7">
        <f t="shared" si="49"/>
        <v>1.2901500000000001</v>
      </c>
      <c r="AC557" s="7">
        <f t="shared" si="50"/>
        <v>0.300375</v>
      </c>
      <c r="AD557" s="6" t="str">
        <f t="shared" si="51"/>
        <v>TT1 Quảng Ngãi</v>
      </c>
      <c r="AE557" s="6" t="str">
        <f t="shared" si="52"/>
        <v>Minh Long</v>
      </c>
      <c r="AG557">
        <f t="shared" si="53"/>
        <v>0.86009999999999998</v>
      </c>
      <c r="AH557">
        <f t="shared" si="54"/>
        <v>0.20025000000000001</v>
      </c>
    </row>
    <row r="558" spans="1:34" x14ac:dyDescent="0.25">
      <c r="A558" t="s">
        <v>5288</v>
      </c>
      <c r="B558" t="s">
        <v>5274</v>
      </c>
      <c r="C558" t="s">
        <v>5275</v>
      </c>
      <c r="D558" t="s">
        <v>5289</v>
      </c>
      <c r="E558" t="s">
        <v>5290</v>
      </c>
      <c r="F558" t="s">
        <v>5291</v>
      </c>
      <c r="G558" t="s">
        <v>15827</v>
      </c>
      <c r="H558" t="s">
        <v>15831</v>
      </c>
      <c r="I558" t="s">
        <v>16376</v>
      </c>
      <c r="J558" t="s">
        <v>23</v>
      </c>
      <c r="L558" t="s">
        <v>5292</v>
      </c>
      <c r="M558" t="s">
        <v>5293</v>
      </c>
      <c r="N558" t="s">
        <v>5294</v>
      </c>
      <c r="O558" t="s">
        <v>5295</v>
      </c>
      <c r="P558" t="s">
        <v>5296</v>
      </c>
      <c r="Q558" t="s">
        <v>5297</v>
      </c>
      <c r="R558" t="s">
        <v>5298</v>
      </c>
      <c r="S558" t="s">
        <v>5299</v>
      </c>
      <c r="T558" t="s">
        <v>5300</v>
      </c>
      <c r="U558" s="5">
        <v>2329.7199999999998</v>
      </c>
      <c r="V558" s="5">
        <v>2213.11</v>
      </c>
      <c r="W558" s="5">
        <v>15.139443999999999</v>
      </c>
      <c r="X558" s="5">
        <v>108.784302</v>
      </c>
      <c r="Y558" s="5">
        <v>116.62</v>
      </c>
      <c r="Z558" s="5">
        <v>15.155536</v>
      </c>
      <c r="AA558" s="5">
        <v>108.736003</v>
      </c>
      <c r="AB558" s="7">
        <f t="shared" si="49"/>
        <v>3.3196650000000001</v>
      </c>
      <c r="AC558" s="7">
        <f t="shared" si="50"/>
        <v>0.17493</v>
      </c>
      <c r="AD558" s="6" t="str">
        <f t="shared" si="51"/>
        <v>PC07</v>
      </c>
      <c r="AE558" s="6" t="str">
        <f t="shared" si="52"/>
        <v>Sơn Tịnh</v>
      </c>
      <c r="AG558">
        <f t="shared" si="53"/>
        <v>2.2131099999999999</v>
      </c>
      <c r="AH558">
        <f t="shared" si="54"/>
        <v>0.11662</v>
      </c>
    </row>
    <row r="559" spans="1:34" x14ac:dyDescent="0.25">
      <c r="A559" t="s">
        <v>5301</v>
      </c>
      <c r="B559" t="s">
        <v>5274</v>
      </c>
      <c r="C559" t="s">
        <v>5275</v>
      </c>
      <c r="D559" t="s">
        <v>5302</v>
      </c>
      <c r="E559" t="s">
        <v>5303</v>
      </c>
      <c r="F559" t="s">
        <v>5304</v>
      </c>
      <c r="G559" t="s">
        <v>15827</v>
      </c>
      <c r="H559" t="s">
        <v>16377</v>
      </c>
      <c r="I559" t="s">
        <v>16378</v>
      </c>
      <c r="J559" t="s">
        <v>23</v>
      </c>
      <c r="L559" t="s">
        <v>5305</v>
      </c>
      <c r="M559" t="s">
        <v>5306</v>
      </c>
      <c r="N559" t="s">
        <v>5307</v>
      </c>
      <c r="O559" t="s">
        <v>5308</v>
      </c>
      <c r="P559" t="s">
        <v>5309</v>
      </c>
      <c r="Q559" t="s">
        <v>5310</v>
      </c>
      <c r="R559" t="s">
        <v>5311</v>
      </c>
      <c r="S559" t="s">
        <v>5312</v>
      </c>
      <c r="T559" t="s">
        <v>5313</v>
      </c>
      <c r="U559" s="5">
        <v>2119.48</v>
      </c>
      <c r="V559" s="5">
        <v>38.96</v>
      </c>
      <c r="W559" s="5">
        <v>15.120827</v>
      </c>
      <c r="X559" s="5">
        <v>108.79173400000001</v>
      </c>
      <c r="Y559" s="5">
        <v>2080.52</v>
      </c>
      <c r="Z559" s="5">
        <v>15.129204</v>
      </c>
      <c r="AA559" s="5">
        <v>108.73198499999999</v>
      </c>
      <c r="AB559" s="7">
        <f t="shared" si="49"/>
        <v>5.8439999999999999E-2</v>
      </c>
      <c r="AC559" s="7">
        <f t="shared" si="50"/>
        <v>3.1207799999999999</v>
      </c>
      <c r="AD559" s="6" t="str">
        <f t="shared" si="51"/>
        <v>Sơn Tịnh</v>
      </c>
      <c r="AE559" s="6" t="str">
        <f t="shared" si="52"/>
        <v>TT1 QUẢNG NGÃI</v>
      </c>
      <c r="AG559">
        <f t="shared" si="53"/>
        <v>3.8960000000000002E-2</v>
      </c>
      <c r="AH559">
        <f t="shared" si="54"/>
        <v>2.0805199999999999</v>
      </c>
    </row>
    <row r="560" spans="1:34" x14ac:dyDescent="0.25">
      <c r="A560" t="s">
        <v>5314</v>
      </c>
      <c r="B560" t="s">
        <v>5274</v>
      </c>
      <c r="C560" t="s">
        <v>5275</v>
      </c>
      <c r="D560" t="s">
        <v>5315</v>
      </c>
      <c r="E560" t="s">
        <v>5316</v>
      </c>
      <c r="F560" t="s">
        <v>5317</v>
      </c>
      <c r="G560" t="s">
        <v>15827</v>
      </c>
      <c r="H560" t="s">
        <v>15831</v>
      </c>
      <c r="I560" t="s">
        <v>16379</v>
      </c>
      <c r="J560" t="s">
        <v>23</v>
      </c>
      <c r="L560" t="s">
        <v>5318</v>
      </c>
      <c r="M560" t="s">
        <v>5319</v>
      </c>
      <c r="N560" t="s">
        <v>5320</v>
      </c>
      <c r="O560" t="s">
        <v>5321</v>
      </c>
      <c r="P560" t="s">
        <v>5322</v>
      </c>
      <c r="Q560" t="s">
        <v>5323</v>
      </c>
      <c r="R560" t="s">
        <v>5324</v>
      </c>
      <c r="S560" t="s">
        <v>5325</v>
      </c>
      <c r="T560" t="s">
        <v>5326</v>
      </c>
      <c r="U560" s="5">
        <v>2461.2399999999998</v>
      </c>
      <c r="V560" s="5">
        <v>2350.67</v>
      </c>
      <c r="W560" s="5">
        <v>15.140404</v>
      </c>
      <c r="X560" s="5">
        <v>108.800742</v>
      </c>
      <c r="Y560" s="5">
        <v>110.57</v>
      </c>
      <c r="Z560" s="5">
        <v>15.201007000000001</v>
      </c>
      <c r="AA560" s="5">
        <v>108.78958</v>
      </c>
      <c r="AB560" s="7">
        <f t="shared" si="49"/>
        <v>3.5260050000000001</v>
      </c>
      <c r="AC560" s="7">
        <f t="shared" si="50"/>
        <v>0.165855</v>
      </c>
      <c r="AD560" s="6" t="e">
        <f t="shared" si="51"/>
        <v>#VALUE!</v>
      </c>
      <c r="AE560" s="6" t="e">
        <f t="shared" si="52"/>
        <v>#VALUE!</v>
      </c>
      <c r="AG560">
        <f t="shared" si="53"/>
        <v>2.35067</v>
      </c>
      <c r="AH560">
        <f t="shared" si="54"/>
        <v>0.11056999999999999</v>
      </c>
    </row>
    <row r="561" spans="1:34" x14ac:dyDescent="0.25">
      <c r="A561" t="s">
        <v>5314</v>
      </c>
      <c r="B561" t="s">
        <v>5274</v>
      </c>
      <c r="C561" t="s">
        <v>5275</v>
      </c>
      <c r="D561" t="s">
        <v>5315</v>
      </c>
      <c r="E561" t="s">
        <v>5316</v>
      </c>
      <c r="F561" t="s">
        <v>5317</v>
      </c>
      <c r="G561" t="s">
        <v>15827</v>
      </c>
      <c r="H561" t="s">
        <v>15831</v>
      </c>
      <c r="I561" t="s">
        <v>16379</v>
      </c>
      <c r="J561" t="s">
        <v>23</v>
      </c>
      <c r="L561" t="s">
        <v>5318</v>
      </c>
      <c r="M561" t="s">
        <v>5319</v>
      </c>
      <c r="N561" t="s">
        <v>5320</v>
      </c>
      <c r="O561" t="s">
        <v>5321</v>
      </c>
      <c r="P561" t="s">
        <v>5322</v>
      </c>
      <c r="Q561" t="s">
        <v>5323</v>
      </c>
      <c r="R561" t="s">
        <v>5324</v>
      </c>
      <c r="S561" t="s">
        <v>5325</v>
      </c>
      <c r="T561" t="s">
        <v>5326</v>
      </c>
      <c r="U561" s="5">
        <v>2461.2399999999998</v>
      </c>
      <c r="V561" s="5">
        <v>2350.67</v>
      </c>
      <c r="W561" s="5">
        <v>15.140404</v>
      </c>
      <c r="X561" s="5">
        <v>108.800742</v>
      </c>
      <c r="Y561" s="5">
        <v>110.57</v>
      </c>
      <c r="Z561" s="5">
        <v>15.201007000000001</v>
      </c>
      <c r="AA561" s="5">
        <v>108.78958</v>
      </c>
      <c r="AB561" s="7">
        <f t="shared" si="49"/>
        <v>3.5260050000000001</v>
      </c>
      <c r="AC561" s="7">
        <f t="shared" si="50"/>
        <v>0.165855</v>
      </c>
      <c r="AD561" s="6" t="e">
        <f t="shared" si="51"/>
        <v>#VALUE!</v>
      </c>
      <c r="AE561" s="6" t="e">
        <f t="shared" si="52"/>
        <v>#VALUE!</v>
      </c>
      <c r="AG561">
        <f t="shared" si="53"/>
        <v>2.35067</v>
      </c>
      <c r="AH561">
        <f t="shared" si="54"/>
        <v>0.11056999999999999</v>
      </c>
    </row>
    <row r="562" spans="1:34" x14ac:dyDescent="0.25">
      <c r="A562" t="s">
        <v>5327</v>
      </c>
      <c r="B562" t="s">
        <v>5274</v>
      </c>
      <c r="C562" t="s">
        <v>5275</v>
      </c>
      <c r="D562" t="s">
        <v>5328</v>
      </c>
      <c r="E562" t="s">
        <v>5329</v>
      </c>
      <c r="F562" t="s">
        <v>5330</v>
      </c>
      <c r="G562" t="s">
        <v>15827</v>
      </c>
      <c r="H562" t="s">
        <v>15831</v>
      </c>
      <c r="I562" t="s">
        <v>16380</v>
      </c>
      <c r="J562" t="s">
        <v>23</v>
      </c>
      <c r="L562" t="s">
        <v>5331</v>
      </c>
      <c r="M562" t="s">
        <v>5332</v>
      </c>
      <c r="N562" t="s">
        <v>5333</v>
      </c>
      <c r="O562" t="s">
        <v>5334</v>
      </c>
      <c r="P562" t="s">
        <v>5335</v>
      </c>
      <c r="Q562" t="s">
        <v>5336</v>
      </c>
      <c r="R562" t="s">
        <v>5337</v>
      </c>
      <c r="S562" t="s">
        <v>5338</v>
      </c>
      <c r="T562" t="s">
        <v>5339</v>
      </c>
      <c r="U562" s="5">
        <v>2312.3200000000002</v>
      </c>
      <c r="V562" s="5">
        <v>56.31</v>
      </c>
      <c r="W562" s="5">
        <v>15.121472000000001</v>
      </c>
      <c r="X562" s="5">
        <v>108.791859</v>
      </c>
      <c r="Y562" s="5">
        <v>2256.0100000000002</v>
      </c>
      <c r="Z562" s="5">
        <v>15.126612</v>
      </c>
      <c r="AA562" s="5">
        <v>108.77953100000001</v>
      </c>
      <c r="AB562" s="7">
        <f t="shared" si="49"/>
        <v>8.4464999999999998E-2</v>
      </c>
      <c r="AC562" s="7">
        <f t="shared" si="50"/>
        <v>3.3840150000000002</v>
      </c>
      <c r="AD562" s="6" t="str">
        <f t="shared" si="51"/>
        <v>Ba Gia</v>
      </c>
      <c r="AE562" s="6" t="str">
        <f t="shared" si="52"/>
        <v>TT1 QUẢNG NGÃI</v>
      </c>
      <c r="AG562">
        <f t="shared" si="53"/>
        <v>5.6309999999999999E-2</v>
      </c>
      <c r="AH562">
        <f t="shared" si="54"/>
        <v>2.2560100000000003</v>
      </c>
    </row>
    <row r="563" spans="1:34" x14ac:dyDescent="0.25">
      <c r="A563" t="s">
        <v>5340</v>
      </c>
      <c r="B563" t="s">
        <v>5274</v>
      </c>
      <c r="C563" t="s">
        <v>5275</v>
      </c>
      <c r="D563" t="s">
        <v>5341</v>
      </c>
      <c r="E563" t="s">
        <v>5342</v>
      </c>
      <c r="F563" t="s">
        <v>5343</v>
      </c>
      <c r="G563" t="s">
        <v>15827</v>
      </c>
      <c r="H563" t="s">
        <v>15831</v>
      </c>
      <c r="I563" t="s">
        <v>16381</v>
      </c>
      <c r="J563" t="s">
        <v>23</v>
      </c>
      <c r="L563" t="s">
        <v>5331</v>
      </c>
      <c r="M563" t="s">
        <v>5344</v>
      </c>
      <c r="N563" t="s">
        <v>5333</v>
      </c>
      <c r="O563" t="s">
        <v>5334</v>
      </c>
      <c r="P563" t="s">
        <v>5335</v>
      </c>
      <c r="Q563" t="s">
        <v>5345</v>
      </c>
      <c r="R563" t="s">
        <v>5346</v>
      </c>
      <c r="S563" t="s">
        <v>5347</v>
      </c>
      <c r="T563" t="s">
        <v>5339</v>
      </c>
      <c r="U563" s="5">
        <v>1301.1199999999999</v>
      </c>
      <c r="V563" s="5">
        <v>56.31</v>
      </c>
      <c r="W563" s="5">
        <v>15.121472000000001</v>
      </c>
      <c r="X563" s="5">
        <v>108.791859</v>
      </c>
      <c r="Y563" s="5">
        <v>1244.81</v>
      </c>
      <c r="Z563" s="5">
        <v>15.127291</v>
      </c>
      <c r="AA563" s="5">
        <v>108.78287899999999</v>
      </c>
      <c r="AB563" s="7">
        <f t="shared" si="49"/>
        <v>8.4464999999999998E-2</v>
      </c>
      <c r="AC563" s="7">
        <f t="shared" si="50"/>
        <v>1.8672149999999998</v>
      </c>
      <c r="AD563" s="6" t="str">
        <f t="shared" si="51"/>
        <v>Ba Gia</v>
      </c>
      <c r="AE563" s="6" t="str">
        <f t="shared" si="52"/>
        <v>TT1 QUẢNG NGÃI</v>
      </c>
      <c r="AG563">
        <f t="shared" si="53"/>
        <v>5.6309999999999999E-2</v>
      </c>
      <c r="AH563">
        <f t="shared" si="54"/>
        <v>1.24481</v>
      </c>
    </row>
    <row r="564" spans="1:34" x14ac:dyDescent="0.25">
      <c r="A564" t="s">
        <v>5348</v>
      </c>
      <c r="B564" t="s">
        <v>5274</v>
      </c>
      <c r="C564" t="s">
        <v>5275</v>
      </c>
      <c r="D564" t="s">
        <v>5349</v>
      </c>
      <c r="E564" t="s">
        <v>5350</v>
      </c>
      <c r="F564" t="s">
        <v>5351</v>
      </c>
      <c r="G564" t="s">
        <v>15827</v>
      </c>
      <c r="H564" t="s">
        <v>15831</v>
      </c>
      <c r="I564" t="s">
        <v>16382</v>
      </c>
      <c r="J564" t="s">
        <v>23</v>
      </c>
      <c r="L564" t="s">
        <v>5305</v>
      </c>
      <c r="M564" t="s">
        <v>5352</v>
      </c>
      <c r="N564" t="s">
        <v>5307</v>
      </c>
      <c r="O564" t="s">
        <v>5308</v>
      </c>
      <c r="P564" t="s">
        <v>5309</v>
      </c>
      <c r="Q564" t="s">
        <v>5353</v>
      </c>
      <c r="R564" t="s">
        <v>5354</v>
      </c>
      <c r="S564" t="s">
        <v>5355</v>
      </c>
      <c r="T564" t="s">
        <v>5313</v>
      </c>
      <c r="U564" s="5">
        <v>3827.45</v>
      </c>
      <c r="V564" s="5">
        <v>38.96</v>
      </c>
      <c r="W564" s="5">
        <v>15.120827</v>
      </c>
      <c r="X564" s="5">
        <v>108.79173400000001</v>
      </c>
      <c r="Y564" s="5">
        <v>3788.49</v>
      </c>
      <c r="Z564" s="5">
        <v>15.132574</v>
      </c>
      <c r="AA564" s="5">
        <v>108.732478</v>
      </c>
      <c r="AB564" s="7">
        <f t="shared" si="49"/>
        <v>5.8439999999999999E-2</v>
      </c>
      <c r="AC564" s="7">
        <f t="shared" si="50"/>
        <v>5.6827350000000001</v>
      </c>
      <c r="AD564" s="6" t="str">
        <f t="shared" si="51"/>
        <v>Sơn Tịnh</v>
      </c>
      <c r="AE564" s="6" t="str">
        <f t="shared" si="52"/>
        <v>TT1 QUẢNG NGÃI</v>
      </c>
      <c r="AG564">
        <f t="shared" si="53"/>
        <v>3.8960000000000002E-2</v>
      </c>
      <c r="AH564">
        <f t="shared" si="54"/>
        <v>3.7884899999999999</v>
      </c>
    </row>
    <row r="565" spans="1:34" x14ac:dyDescent="0.25">
      <c r="A565" t="s">
        <v>5356</v>
      </c>
      <c r="B565" t="s">
        <v>5274</v>
      </c>
      <c r="C565" t="s">
        <v>5275</v>
      </c>
      <c r="D565" t="s">
        <v>5357</v>
      </c>
      <c r="E565" t="s">
        <v>5358</v>
      </c>
      <c r="F565" t="s">
        <v>5359</v>
      </c>
      <c r="G565" t="s">
        <v>15827</v>
      </c>
      <c r="H565" t="s">
        <v>15831</v>
      </c>
      <c r="I565" t="s">
        <v>16383</v>
      </c>
      <c r="J565" t="s">
        <v>23</v>
      </c>
      <c r="L565" t="s">
        <v>5331</v>
      </c>
      <c r="M565" t="s">
        <v>5360</v>
      </c>
      <c r="N565" t="s">
        <v>5333</v>
      </c>
      <c r="O565" t="s">
        <v>5334</v>
      </c>
      <c r="P565" t="s">
        <v>5335</v>
      </c>
      <c r="Q565" t="s">
        <v>5361</v>
      </c>
      <c r="R565" t="s">
        <v>5362</v>
      </c>
      <c r="S565" t="s">
        <v>5363</v>
      </c>
      <c r="T565" t="s">
        <v>5339</v>
      </c>
      <c r="U565" s="5">
        <v>324.62</v>
      </c>
      <c r="V565" s="5">
        <v>56.31</v>
      </c>
      <c r="W565" s="5">
        <v>15.121472000000001</v>
      </c>
      <c r="X565" s="5">
        <v>108.791859</v>
      </c>
      <c r="Y565" s="5">
        <v>268.31</v>
      </c>
      <c r="Z565" s="5">
        <v>15.126120999999999</v>
      </c>
      <c r="AA565" s="5">
        <v>108.779673</v>
      </c>
      <c r="AB565" s="7">
        <f t="shared" si="49"/>
        <v>8.4464999999999998E-2</v>
      </c>
      <c r="AC565" s="7">
        <f t="shared" si="50"/>
        <v>0.40246500000000002</v>
      </c>
      <c r="AD565" s="6" t="str">
        <f t="shared" si="51"/>
        <v>Ba Gia</v>
      </c>
      <c r="AE565" s="6" t="str">
        <f t="shared" si="52"/>
        <v>TT1 QUẢNG NGÃI</v>
      </c>
      <c r="AG565">
        <f t="shared" si="53"/>
        <v>5.6309999999999999E-2</v>
      </c>
      <c r="AH565">
        <f t="shared" si="54"/>
        <v>0.26830999999999999</v>
      </c>
    </row>
    <row r="566" spans="1:34" x14ac:dyDescent="0.25">
      <c r="A566" t="s">
        <v>5364</v>
      </c>
      <c r="B566" t="s">
        <v>5274</v>
      </c>
      <c r="C566" t="s">
        <v>5275</v>
      </c>
      <c r="D566" t="s">
        <v>5365</v>
      </c>
      <c r="E566" t="s">
        <v>5366</v>
      </c>
      <c r="F566" t="s">
        <v>5367</v>
      </c>
      <c r="G566" t="s">
        <v>15827</v>
      </c>
      <c r="H566" t="s">
        <v>15831</v>
      </c>
      <c r="I566" t="s">
        <v>16384</v>
      </c>
      <c r="J566" t="s">
        <v>23</v>
      </c>
      <c r="L566" t="s">
        <v>5305</v>
      </c>
      <c r="M566" t="s">
        <v>5368</v>
      </c>
      <c r="N566" t="s">
        <v>5307</v>
      </c>
      <c r="O566" t="s">
        <v>5308</v>
      </c>
      <c r="P566" t="s">
        <v>5309</v>
      </c>
      <c r="Q566" t="s">
        <v>5369</v>
      </c>
      <c r="R566" t="s">
        <v>5370</v>
      </c>
      <c r="S566" t="s">
        <v>5371</v>
      </c>
      <c r="T566" t="s">
        <v>5313</v>
      </c>
      <c r="U566" s="5">
        <v>154.49</v>
      </c>
      <c r="V566" s="5">
        <v>38.96</v>
      </c>
      <c r="W566" s="5">
        <v>15.120827</v>
      </c>
      <c r="X566" s="5">
        <v>108.79173400000001</v>
      </c>
      <c r="Y566" s="5">
        <v>115.53</v>
      </c>
      <c r="Z566" s="5">
        <v>15.114606</v>
      </c>
      <c r="AA566" s="5">
        <v>108.77101500000001</v>
      </c>
      <c r="AB566" s="7">
        <f t="shared" si="49"/>
        <v>5.8439999999999999E-2</v>
      </c>
      <c r="AC566" s="7">
        <f t="shared" si="50"/>
        <v>0.173295</v>
      </c>
      <c r="AD566" s="6" t="str">
        <f t="shared" si="51"/>
        <v>Sơn Tịnh</v>
      </c>
      <c r="AE566" s="6" t="str">
        <f t="shared" si="52"/>
        <v>TT1 QUẢNG NGÃI</v>
      </c>
      <c r="AG566">
        <f t="shared" si="53"/>
        <v>3.8960000000000002E-2</v>
      </c>
      <c r="AH566">
        <f t="shared" si="54"/>
        <v>0.11553000000000001</v>
      </c>
    </row>
    <row r="567" spans="1:34" x14ac:dyDescent="0.25">
      <c r="A567" t="s">
        <v>5372</v>
      </c>
      <c r="B567" t="s">
        <v>5274</v>
      </c>
      <c r="C567" t="s">
        <v>5275</v>
      </c>
      <c r="D567" t="s">
        <v>5373</v>
      </c>
      <c r="E567" t="s">
        <v>5374</v>
      </c>
      <c r="F567" t="s">
        <v>5375</v>
      </c>
      <c r="G567" t="s">
        <v>15827</v>
      </c>
      <c r="H567" t="s">
        <v>15831</v>
      </c>
      <c r="I567" t="s">
        <v>16385</v>
      </c>
      <c r="J567" t="s">
        <v>23</v>
      </c>
      <c r="L567" t="s">
        <v>5331</v>
      </c>
      <c r="M567" t="s">
        <v>5376</v>
      </c>
      <c r="N567" t="s">
        <v>5333</v>
      </c>
      <c r="O567" t="s">
        <v>5334</v>
      </c>
      <c r="P567" t="s">
        <v>5335</v>
      </c>
      <c r="Q567" t="s">
        <v>5377</v>
      </c>
      <c r="R567" t="s">
        <v>5337</v>
      </c>
      <c r="S567" t="s">
        <v>5338</v>
      </c>
      <c r="T567" t="s">
        <v>5339</v>
      </c>
      <c r="U567" s="5">
        <v>1001.53</v>
      </c>
      <c r="V567" s="5">
        <v>56.31</v>
      </c>
      <c r="W567" s="5">
        <v>15.121472000000001</v>
      </c>
      <c r="X567" s="5">
        <v>108.791859</v>
      </c>
      <c r="Y567" s="5">
        <v>945.21</v>
      </c>
      <c r="Z567" s="5">
        <v>15.126612</v>
      </c>
      <c r="AA567" s="5">
        <v>108.77953100000001</v>
      </c>
      <c r="AB567" s="7">
        <f t="shared" si="49"/>
        <v>8.4464999999999998E-2</v>
      </c>
      <c r="AC567" s="7">
        <f t="shared" si="50"/>
        <v>1.417815</v>
      </c>
      <c r="AD567" s="6" t="str">
        <f t="shared" si="51"/>
        <v>Ba Gia</v>
      </c>
      <c r="AE567" s="6" t="str">
        <f t="shared" si="52"/>
        <v>TT1 QUẢNG NGÃI</v>
      </c>
      <c r="AG567">
        <f t="shared" si="53"/>
        <v>5.6309999999999999E-2</v>
      </c>
      <c r="AH567">
        <f t="shared" si="54"/>
        <v>0.94520999999999999</v>
      </c>
    </row>
    <row r="568" spans="1:34" x14ac:dyDescent="0.25">
      <c r="A568" t="s">
        <v>5378</v>
      </c>
      <c r="B568" t="s">
        <v>5274</v>
      </c>
      <c r="C568" t="s">
        <v>5275</v>
      </c>
      <c r="D568" t="s">
        <v>5379</v>
      </c>
      <c r="E568" t="s">
        <v>5380</v>
      </c>
      <c r="F568" t="s">
        <v>5381</v>
      </c>
      <c r="G568" t="s">
        <v>15827</v>
      </c>
      <c r="H568" t="s">
        <v>16377</v>
      </c>
      <c r="I568" t="s">
        <v>16386</v>
      </c>
      <c r="J568" t="s">
        <v>23</v>
      </c>
      <c r="L568" t="s">
        <v>5279</v>
      </c>
      <c r="M568" t="s">
        <v>5382</v>
      </c>
      <c r="N568" t="s">
        <v>5281</v>
      </c>
      <c r="O568" t="s">
        <v>5282</v>
      </c>
      <c r="P568" t="s">
        <v>5283</v>
      </c>
      <c r="Q568" t="s">
        <v>5383</v>
      </c>
      <c r="R568" t="s">
        <v>5384</v>
      </c>
      <c r="S568" t="s">
        <v>5385</v>
      </c>
      <c r="T568" t="s">
        <v>5287</v>
      </c>
      <c r="U568" s="5">
        <v>994.3</v>
      </c>
      <c r="V568" s="5">
        <v>860.1</v>
      </c>
      <c r="W568" s="5">
        <v>15.113571</v>
      </c>
      <c r="X568" s="5">
        <v>108.78981899999999</v>
      </c>
      <c r="Y568" s="5">
        <v>134.19999999999999</v>
      </c>
      <c r="Z568" s="5">
        <v>15.10492</v>
      </c>
      <c r="AA568" s="5">
        <v>108.766801</v>
      </c>
      <c r="AB568" s="7">
        <f t="shared" si="49"/>
        <v>1.2901500000000001</v>
      </c>
      <c r="AC568" s="7">
        <f t="shared" si="50"/>
        <v>0.20129999999999998</v>
      </c>
      <c r="AD568" s="6" t="str">
        <f t="shared" si="51"/>
        <v>TT1 Quảng Ngãi</v>
      </c>
      <c r="AE568" s="6" t="str">
        <f t="shared" si="52"/>
        <v>Minh Long</v>
      </c>
      <c r="AG568">
        <f t="shared" si="53"/>
        <v>0.86009999999999998</v>
      </c>
      <c r="AH568">
        <f t="shared" si="54"/>
        <v>0.13419999999999999</v>
      </c>
    </row>
    <row r="569" spans="1:34" x14ac:dyDescent="0.25">
      <c r="A569" t="s">
        <v>5386</v>
      </c>
      <c r="B569" t="s">
        <v>5274</v>
      </c>
      <c r="C569" t="s">
        <v>5275</v>
      </c>
      <c r="D569" t="s">
        <v>5387</v>
      </c>
      <c r="E569" t="s">
        <v>5388</v>
      </c>
      <c r="F569" t="s">
        <v>5389</v>
      </c>
      <c r="G569" t="s">
        <v>15827</v>
      </c>
      <c r="H569" t="s">
        <v>16377</v>
      </c>
      <c r="I569" t="s">
        <v>16387</v>
      </c>
      <c r="J569" t="s">
        <v>23</v>
      </c>
      <c r="L569" t="s">
        <v>5305</v>
      </c>
      <c r="M569" t="s">
        <v>5390</v>
      </c>
      <c r="N569" t="s">
        <v>5307</v>
      </c>
      <c r="O569" t="s">
        <v>5308</v>
      </c>
      <c r="P569" t="s">
        <v>5309</v>
      </c>
      <c r="Q569" t="s">
        <v>5391</v>
      </c>
      <c r="R569" t="s">
        <v>5392</v>
      </c>
      <c r="S569" t="s">
        <v>5393</v>
      </c>
      <c r="T569" t="s">
        <v>5313</v>
      </c>
      <c r="U569" s="5">
        <v>171.71</v>
      </c>
      <c r="V569" s="5">
        <v>38.96</v>
      </c>
      <c r="W569" s="5">
        <v>15.120827</v>
      </c>
      <c r="X569" s="5">
        <v>108.79173400000001</v>
      </c>
      <c r="Y569" s="5">
        <v>132.75</v>
      </c>
      <c r="Z569" s="5">
        <v>15.118463999999999</v>
      </c>
      <c r="AA569" s="5">
        <v>108.75459600000001</v>
      </c>
      <c r="AB569" s="7">
        <f t="shared" si="49"/>
        <v>5.8439999999999999E-2</v>
      </c>
      <c r="AC569" s="7">
        <f t="shared" si="50"/>
        <v>0.199125</v>
      </c>
      <c r="AD569" s="6" t="str">
        <f t="shared" si="51"/>
        <v>Sơn Tịnh</v>
      </c>
      <c r="AE569" s="6" t="str">
        <f t="shared" si="52"/>
        <v>TT1 QUẢNG NGÃI</v>
      </c>
      <c r="AG569">
        <f t="shared" si="53"/>
        <v>3.8960000000000002E-2</v>
      </c>
      <c r="AH569">
        <f t="shared" si="54"/>
        <v>0.13275000000000001</v>
      </c>
    </row>
    <row r="570" spans="1:34" x14ac:dyDescent="0.25">
      <c r="A570" t="s">
        <v>5394</v>
      </c>
      <c r="B570" t="s">
        <v>5395</v>
      </c>
      <c r="C570" t="s">
        <v>5396</v>
      </c>
      <c r="D570" t="s">
        <v>5274</v>
      </c>
      <c r="E570" t="s">
        <v>5275</v>
      </c>
      <c r="F570" t="s">
        <v>5397</v>
      </c>
      <c r="G570" t="s">
        <v>15827</v>
      </c>
      <c r="H570" t="s">
        <v>16377</v>
      </c>
      <c r="I570" t="s">
        <v>16388</v>
      </c>
      <c r="J570" t="s">
        <v>23</v>
      </c>
      <c r="L570" t="s">
        <v>5305</v>
      </c>
      <c r="M570" t="s">
        <v>5398</v>
      </c>
      <c r="N570" t="s">
        <v>5399</v>
      </c>
      <c r="O570" t="s">
        <v>5400</v>
      </c>
      <c r="P570" t="s">
        <v>5401</v>
      </c>
      <c r="Q570" t="s">
        <v>5307</v>
      </c>
      <c r="R570" t="s">
        <v>5308</v>
      </c>
      <c r="S570" t="s">
        <v>5309</v>
      </c>
      <c r="T570" t="s">
        <v>5313</v>
      </c>
      <c r="U570" s="5">
        <v>628.66999999999996</v>
      </c>
      <c r="V570" s="5">
        <v>589.72</v>
      </c>
      <c r="W570" s="5">
        <v>15.113611000000001</v>
      </c>
      <c r="X570" s="5">
        <v>108.77909699999999</v>
      </c>
      <c r="Y570" s="5">
        <v>38.96</v>
      </c>
      <c r="Z570" s="5">
        <v>15.120827</v>
      </c>
      <c r="AA570" s="5">
        <v>108.79173400000001</v>
      </c>
      <c r="AB570" s="7">
        <f t="shared" si="49"/>
        <v>0.88458000000000003</v>
      </c>
      <c r="AC570" s="7">
        <f t="shared" si="50"/>
        <v>5.8439999999999999E-2</v>
      </c>
      <c r="AD570" s="6" t="str">
        <f t="shared" si="51"/>
        <v>Sơn Tịnh</v>
      </c>
      <c r="AE570" s="6" t="str">
        <f t="shared" si="52"/>
        <v>TT1 QUẢNG NGÃI</v>
      </c>
      <c r="AG570">
        <f t="shared" si="53"/>
        <v>0.58972000000000002</v>
      </c>
      <c r="AH570">
        <f t="shared" si="54"/>
        <v>3.8960000000000002E-2</v>
      </c>
    </row>
    <row r="571" spans="1:34" x14ac:dyDescent="0.25">
      <c r="A571" t="s">
        <v>5402</v>
      </c>
      <c r="B571" t="s">
        <v>5403</v>
      </c>
      <c r="C571" t="s">
        <v>5404</v>
      </c>
      <c r="D571" t="s">
        <v>5274</v>
      </c>
      <c r="E571" t="s">
        <v>5275</v>
      </c>
      <c r="F571" t="s">
        <v>5405</v>
      </c>
      <c r="G571" t="s">
        <v>15979</v>
      </c>
      <c r="H571" t="s">
        <v>15980</v>
      </c>
      <c r="I571" t="s">
        <v>16389</v>
      </c>
      <c r="J571" t="s">
        <v>23</v>
      </c>
      <c r="L571" t="s">
        <v>5406</v>
      </c>
      <c r="M571" t="s">
        <v>5407</v>
      </c>
      <c r="N571" t="s">
        <v>5408</v>
      </c>
      <c r="O571" t="s">
        <v>5409</v>
      </c>
      <c r="P571" t="s">
        <v>5410</v>
      </c>
      <c r="Q571" t="s">
        <v>5411</v>
      </c>
      <c r="R571" t="s">
        <v>5412</v>
      </c>
      <c r="S571" t="s">
        <v>5413</v>
      </c>
      <c r="T571" t="s">
        <v>5414</v>
      </c>
      <c r="U571" s="5">
        <v>606.29</v>
      </c>
      <c r="V571" s="5">
        <v>556.46</v>
      </c>
      <c r="W571" s="5">
        <v>15.127977</v>
      </c>
      <c r="X571" s="5">
        <v>108.795976</v>
      </c>
      <c r="Y571" s="5">
        <v>49.84</v>
      </c>
      <c r="Z571" s="5">
        <v>15.121444</v>
      </c>
      <c r="AA571" s="5">
        <v>108.792112</v>
      </c>
      <c r="AB571" s="7">
        <f t="shared" si="49"/>
        <v>0.83469000000000004</v>
      </c>
      <c r="AC571" s="7">
        <f t="shared" si="50"/>
        <v>7.4760000000000007E-2</v>
      </c>
      <c r="AD571" s="6" t="str">
        <f t="shared" si="51"/>
        <v>Khối Cảnh sát</v>
      </c>
      <c r="AE571" s="6" t="str">
        <f t="shared" si="52"/>
        <v>Khối Phòng CAT KV P.Nghĩa Lộ</v>
      </c>
      <c r="AG571">
        <f t="shared" si="53"/>
        <v>0.55646000000000007</v>
      </c>
      <c r="AH571">
        <f t="shared" si="54"/>
        <v>4.9840000000000002E-2</v>
      </c>
    </row>
    <row r="572" spans="1:34" x14ac:dyDescent="0.25">
      <c r="A572" t="s">
        <v>5415</v>
      </c>
      <c r="B572" t="s">
        <v>5274</v>
      </c>
      <c r="C572" t="s">
        <v>5275</v>
      </c>
      <c r="D572" t="s">
        <v>5403</v>
      </c>
      <c r="E572" t="s">
        <v>5404</v>
      </c>
      <c r="F572" t="s">
        <v>5416</v>
      </c>
      <c r="G572" t="s">
        <v>15979</v>
      </c>
      <c r="H572" t="s">
        <v>15980</v>
      </c>
      <c r="I572" t="s">
        <v>16390</v>
      </c>
      <c r="J572" t="s">
        <v>23</v>
      </c>
      <c r="L572" t="s">
        <v>5406</v>
      </c>
      <c r="M572" t="s">
        <v>5407</v>
      </c>
      <c r="N572" t="s">
        <v>5411</v>
      </c>
      <c r="O572" t="s">
        <v>5412</v>
      </c>
      <c r="P572" t="s">
        <v>5413</v>
      </c>
      <c r="Q572" t="s">
        <v>5408</v>
      </c>
      <c r="R572" t="s">
        <v>5409</v>
      </c>
      <c r="S572" t="s">
        <v>5410</v>
      </c>
      <c r="T572" t="s">
        <v>5414</v>
      </c>
      <c r="U572" s="5">
        <v>606.29</v>
      </c>
      <c r="V572" s="5">
        <v>49.84</v>
      </c>
      <c r="W572" s="5">
        <v>15.121444</v>
      </c>
      <c r="X572" s="5">
        <v>108.792112</v>
      </c>
      <c r="Y572" s="5">
        <v>556.46</v>
      </c>
      <c r="Z572" s="5">
        <v>15.127977</v>
      </c>
      <c r="AA572" s="5">
        <v>108.795976</v>
      </c>
      <c r="AB572" s="7">
        <f t="shared" si="49"/>
        <v>7.4760000000000007E-2</v>
      </c>
      <c r="AC572" s="7">
        <f t="shared" si="50"/>
        <v>0.83469000000000004</v>
      </c>
      <c r="AD572" s="6" t="str">
        <f t="shared" si="51"/>
        <v>Khối Cảnh sát</v>
      </c>
      <c r="AE572" s="6" t="str">
        <f t="shared" si="52"/>
        <v>Khối Phòng CAT KV P.Nghĩa Lộ</v>
      </c>
      <c r="AG572">
        <f t="shared" si="53"/>
        <v>4.9840000000000002E-2</v>
      </c>
      <c r="AH572">
        <f t="shared" si="54"/>
        <v>0.55646000000000007</v>
      </c>
    </row>
    <row r="573" spans="1:34" x14ac:dyDescent="0.25">
      <c r="A573" t="s">
        <v>5273</v>
      </c>
      <c r="B573" t="s">
        <v>5274</v>
      </c>
      <c r="C573" t="s">
        <v>5275</v>
      </c>
      <c r="D573" t="s">
        <v>5276</v>
      </c>
      <c r="E573" t="s">
        <v>5277</v>
      </c>
      <c r="F573" t="s">
        <v>5417</v>
      </c>
      <c r="G573" t="s">
        <v>15979</v>
      </c>
      <c r="H573" t="s">
        <v>15980</v>
      </c>
      <c r="I573" t="s">
        <v>16375</v>
      </c>
      <c r="J573" t="s">
        <v>23</v>
      </c>
      <c r="L573" t="s">
        <v>5279</v>
      </c>
      <c r="M573" t="s">
        <v>5280</v>
      </c>
      <c r="N573" t="s">
        <v>5281</v>
      </c>
      <c r="O573" t="s">
        <v>5282</v>
      </c>
      <c r="P573" t="s">
        <v>5283</v>
      </c>
      <c r="Q573" t="s">
        <v>5284</v>
      </c>
      <c r="R573" t="s">
        <v>5285</v>
      </c>
      <c r="S573" t="s">
        <v>5286</v>
      </c>
      <c r="T573" t="s">
        <v>5287</v>
      </c>
      <c r="U573" s="5">
        <v>1060.3499999999999</v>
      </c>
      <c r="V573" s="5">
        <v>860.1</v>
      </c>
      <c r="W573" s="5">
        <v>15.113571</v>
      </c>
      <c r="X573" s="5">
        <v>108.78981899999999</v>
      </c>
      <c r="Y573" s="5">
        <v>200.25</v>
      </c>
      <c r="Z573" s="5">
        <v>15.044577</v>
      </c>
      <c r="AA573" s="5">
        <v>108.774884</v>
      </c>
      <c r="AB573" s="7">
        <f t="shared" si="49"/>
        <v>1.2901500000000001</v>
      </c>
      <c r="AC573" s="7">
        <f t="shared" si="50"/>
        <v>0.300375</v>
      </c>
      <c r="AD573" s="6" t="str">
        <f t="shared" si="51"/>
        <v>TT1 Quảng Ngãi</v>
      </c>
      <c r="AE573" s="6" t="str">
        <f t="shared" si="52"/>
        <v>Minh Long</v>
      </c>
      <c r="AG573">
        <f t="shared" si="53"/>
        <v>0.86009999999999998</v>
      </c>
      <c r="AH573">
        <f t="shared" si="54"/>
        <v>0.20025000000000001</v>
      </c>
    </row>
    <row r="574" spans="1:34" x14ac:dyDescent="0.25">
      <c r="A574" t="s">
        <v>5418</v>
      </c>
      <c r="B574" t="s">
        <v>5274</v>
      </c>
      <c r="C574" t="s">
        <v>5275</v>
      </c>
      <c r="D574" t="s">
        <v>5419</v>
      </c>
      <c r="E574" t="s">
        <v>5420</v>
      </c>
      <c r="F574" t="s">
        <v>5421</v>
      </c>
      <c r="G574" t="s">
        <v>15979</v>
      </c>
      <c r="H574" t="s">
        <v>15980</v>
      </c>
      <c r="I574" t="s">
        <v>16391</v>
      </c>
      <c r="J574" t="s">
        <v>23</v>
      </c>
      <c r="L574" t="s">
        <v>5422</v>
      </c>
      <c r="M574" t="s">
        <v>5423</v>
      </c>
      <c r="N574" t="s">
        <v>5424</v>
      </c>
      <c r="O574" t="s">
        <v>5425</v>
      </c>
      <c r="P574" t="s">
        <v>5426</v>
      </c>
      <c r="Q574" t="s">
        <v>5427</v>
      </c>
      <c r="R574" t="s">
        <v>5428</v>
      </c>
      <c r="S574" t="s">
        <v>5429</v>
      </c>
      <c r="T574" t="s">
        <v>5430</v>
      </c>
      <c r="U574" s="5">
        <v>49.18</v>
      </c>
      <c r="V574" s="5">
        <v>37.5</v>
      </c>
      <c r="W574" s="5">
        <v>15.120825999999999</v>
      </c>
      <c r="X574" s="5">
        <v>108.791751</v>
      </c>
      <c r="Y574" s="5">
        <v>11.68</v>
      </c>
      <c r="Z574" s="5">
        <v>15.113891000000001</v>
      </c>
      <c r="AA574" s="5">
        <v>108.79631999999999</v>
      </c>
      <c r="AB574" s="7">
        <f t="shared" si="49"/>
        <v>5.6250000000000001E-2</v>
      </c>
      <c r="AC574" s="7">
        <f t="shared" si="50"/>
        <v>1.7520000000000001E-2</v>
      </c>
      <c r="AD574" s="6" t="str">
        <f t="shared" si="51"/>
        <v>Khối Phòng PA08_PA05</v>
      </c>
      <c r="AE574" s="6" t="str">
        <f t="shared" si="52"/>
        <v>TT1 Quảng Ngãi</v>
      </c>
      <c r="AG574">
        <f t="shared" si="53"/>
        <v>3.7499999999999999E-2</v>
      </c>
      <c r="AH574">
        <f t="shared" si="54"/>
        <v>1.1679999999999999E-2</v>
      </c>
    </row>
    <row r="575" spans="1:34" x14ac:dyDescent="0.25">
      <c r="A575" t="s">
        <v>5431</v>
      </c>
      <c r="B575" t="s">
        <v>5432</v>
      </c>
      <c r="C575" t="s">
        <v>5433</v>
      </c>
      <c r="D575" t="s">
        <v>5434</v>
      </c>
      <c r="E575" t="s">
        <v>5435</v>
      </c>
      <c r="F575" t="s">
        <v>5436</v>
      </c>
      <c r="G575" t="s">
        <v>15827</v>
      </c>
      <c r="H575" t="s">
        <v>15831</v>
      </c>
      <c r="I575" t="s">
        <v>16392</v>
      </c>
      <c r="J575" t="s">
        <v>23</v>
      </c>
      <c r="L575" t="s">
        <v>5437</v>
      </c>
      <c r="M575" t="s">
        <v>5438</v>
      </c>
      <c r="N575" t="s">
        <v>5439</v>
      </c>
      <c r="O575" t="s">
        <v>5440</v>
      </c>
      <c r="P575" t="s">
        <v>5441</v>
      </c>
      <c r="Q575" t="s">
        <v>5442</v>
      </c>
      <c r="R575" t="s">
        <v>5443</v>
      </c>
      <c r="S575" t="s">
        <v>5444</v>
      </c>
      <c r="T575" t="s">
        <v>5445</v>
      </c>
      <c r="U575" s="5">
        <v>3196.39</v>
      </c>
      <c r="V575" s="5">
        <v>757.26</v>
      </c>
      <c r="W575" s="5">
        <v>14.941793000000001</v>
      </c>
      <c r="X575" s="5">
        <v>108.884749</v>
      </c>
      <c r="Y575" s="5">
        <v>2439.13</v>
      </c>
      <c r="Z575" s="5">
        <v>15.038804000000001</v>
      </c>
      <c r="AA575" s="5">
        <v>108.852233</v>
      </c>
      <c r="AB575" s="7">
        <f t="shared" si="49"/>
        <v>1.1358899999999998</v>
      </c>
      <c r="AC575" s="7">
        <f t="shared" si="50"/>
        <v>3.6586950000000003</v>
      </c>
      <c r="AD575" s="6" t="str">
        <f t="shared" si="51"/>
        <v>Đức Phổ</v>
      </c>
      <c r="AE575" s="6" t="str">
        <f t="shared" si="52"/>
        <v>TT1 Quảng Ngãi mới</v>
      </c>
      <c r="AG575">
        <f t="shared" si="53"/>
        <v>0.75726000000000004</v>
      </c>
      <c r="AH575">
        <f t="shared" si="54"/>
        <v>2.43913</v>
      </c>
    </row>
    <row r="576" spans="1:34" x14ac:dyDescent="0.25">
      <c r="A576" t="s">
        <v>5446</v>
      </c>
      <c r="B576" t="s">
        <v>5432</v>
      </c>
      <c r="C576" t="s">
        <v>5433</v>
      </c>
      <c r="D576" t="s">
        <v>5447</v>
      </c>
      <c r="E576" t="s">
        <v>5448</v>
      </c>
      <c r="F576" t="s">
        <v>5449</v>
      </c>
      <c r="G576" t="s">
        <v>15827</v>
      </c>
      <c r="H576" t="s">
        <v>15831</v>
      </c>
      <c r="I576" t="s">
        <v>16393</v>
      </c>
      <c r="J576" t="s">
        <v>23</v>
      </c>
      <c r="L576" t="s">
        <v>5450</v>
      </c>
      <c r="M576" t="s">
        <v>5451</v>
      </c>
      <c r="N576" t="s">
        <v>5452</v>
      </c>
      <c r="O576" t="s">
        <v>5453</v>
      </c>
      <c r="P576" t="s">
        <v>5454</v>
      </c>
      <c r="Q576" t="s">
        <v>5455</v>
      </c>
      <c r="R576" t="s">
        <v>5456</v>
      </c>
      <c r="S576" t="s">
        <v>5457</v>
      </c>
      <c r="T576" t="s">
        <v>5458</v>
      </c>
      <c r="U576" s="5">
        <v>653.54</v>
      </c>
      <c r="V576" s="5">
        <v>321.69</v>
      </c>
      <c r="W576" s="5">
        <v>14.94886</v>
      </c>
      <c r="X576" s="5">
        <v>108.885069</v>
      </c>
      <c r="Y576" s="5">
        <v>331.85</v>
      </c>
      <c r="Z576" s="5">
        <v>14.9232</v>
      </c>
      <c r="AA576" s="5">
        <v>108.90261099999999</v>
      </c>
      <c r="AB576" s="7">
        <f t="shared" si="49"/>
        <v>0.48253499999999999</v>
      </c>
      <c r="AC576" s="7">
        <f t="shared" si="50"/>
        <v>0.49777500000000002</v>
      </c>
      <c r="AD576" s="6" t="str">
        <f t="shared" si="51"/>
        <v>Trà Câu</v>
      </c>
      <c r="AE576" s="6" t="str">
        <f t="shared" si="52"/>
        <v>Mộ Đức</v>
      </c>
      <c r="AG576">
        <f t="shared" si="53"/>
        <v>0.32168999999999998</v>
      </c>
      <c r="AH576">
        <f t="shared" si="54"/>
        <v>0.33185000000000003</v>
      </c>
    </row>
    <row r="577" spans="1:34" x14ac:dyDescent="0.25">
      <c r="A577" t="s">
        <v>5459</v>
      </c>
      <c r="B577" t="s">
        <v>5432</v>
      </c>
      <c r="C577" t="s">
        <v>5433</v>
      </c>
      <c r="D577" t="s">
        <v>5460</v>
      </c>
      <c r="E577" t="s">
        <v>5461</v>
      </c>
      <c r="F577" t="s">
        <v>5462</v>
      </c>
      <c r="G577" t="s">
        <v>15827</v>
      </c>
      <c r="H577" t="s">
        <v>15831</v>
      </c>
      <c r="I577" t="s">
        <v>16394</v>
      </c>
      <c r="J577" t="s">
        <v>23</v>
      </c>
      <c r="L577" t="s">
        <v>5463</v>
      </c>
      <c r="M577" t="s">
        <v>5464</v>
      </c>
      <c r="N577" t="s">
        <v>5465</v>
      </c>
      <c r="O577" t="s">
        <v>5466</v>
      </c>
      <c r="P577" t="s">
        <v>5467</v>
      </c>
      <c r="Q577" t="s">
        <v>5468</v>
      </c>
      <c r="R577" t="s">
        <v>5469</v>
      </c>
      <c r="S577" t="s">
        <v>5470</v>
      </c>
      <c r="T577" t="s">
        <v>5471</v>
      </c>
      <c r="U577" s="5">
        <v>2747.46</v>
      </c>
      <c r="V577" s="5">
        <v>683.74</v>
      </c>
      <c r="W577" s="5">
        <v>14.953834000000001</v>
      </c>
      <c r="X577" s="5">
        <v>108.88625999999999</v>
      </c>
      <c r="Y577" s="5">
        <v>2063.7199999999998</v>
      </c>
      <c r="Z577" s="5">
        <v>14.996029999999999</v>
      </c>
      <c r="AA577" s="5">
        <v>108.85276500000001</v>
      </c>
      <c r="AB577" s="7">
        <f t="shared" si="49"/>
        <v>1.0256100000000001</v>
      </c>
      <c r="AC577" s="7">
        <f t="shared" si="50"/>
        <v>3.09558</v>
      </c>
      <c r="AD577" s="6" t="str">
        <f t="shared" si="51"/>
        <v>Mộ Đức</v>
      </c>
      <c r="AE577" s="6" t="str">
        <f t="shared" si="52"/>
        <v>Vệ Giang</v>
      </c>
      <c r="AG577">
        <f t="shared" si="53"/>
        <v>0.68374000000000001</v>
      </c>
      <c r="AH577">
        <f t="shared" si="54"/>
        <v>2.06372</v>
      </c>
    </row>
    <row r="578" spans="1:34" x14ac:dyDescent="0.25">
      <c r="A578" t="s">
        <v>5472</v>
      </c>
      <c r="B578" t="s">
        <v>5432</v>
      </c>
      <c r="C578" t="s">
        <v>5433</v>
      </c>
      <c r="D578" t="s">
        <v>5473</v>
      </c>
      <c r="E578" t="s">
        <v>5474</v>
      </c>
      <c r="F578" t="s">
        <v>5475</v>
      </c>
      <c r="G578" t="s">
        <v>15827</v>
      </c>
      <c r="H578" t="s">
        <v>15831</v>
      </c>
      <c r="I578" t="s">
        <v>16395</v>
      </c>
      <c r="J578" t="s">
        <v>23</v>
      </c>
      <c r="L578" t="s">
        <v>5437</v>
      </c>
      <c r="M578" t="s">
        <v>5476</v>
      </c>
      <c r="N578" t="s">
        <v>5439</v>
      </c>
      <c r="O578" t="s">
        <v>5440</v>
      </c>
      <c r="P578" t="s">
        <v>5441</v>
      </c>
      <c r="Q578" t="s">
        <v>5477</v>
      </c>
      <c r="R578" t="s">
        <v>5478</v>
      </c>
      <c r="S578" t="s">
        <v>5479</v>
      </c>
      <c r="T578" t="s">
        <v>5445</v>
      </c>
      <c r="U578" s="5">
        <v>951.83</v>
      </c>
      <c r="V578" s="5">
        <v>757.26</v>
      </c>
      <c r="W578" s="5">
        <v>14.941793000000001</v>
      </c>
      <c r="X578" s="5">
        <v>108.884749</v>
      </c>
      <c r="Y578" s="5">
        <v>194.57</v>
      </c>
      <c r="Z578" s="5">
        <v>15.011333</v>
      </c>
      <c r="AA578" s="5">
        <v>108.869854</v>
      </c>
      <c r="AB578" s="7">
        <f t="shared" si="49"/>
        <v>1.1358899999999998</v>
      </c>
      <c r="AC578" s="7">
        <f t="shared" si="50"/>
        <v>0.29185500000000003</v>
      </c>
      <c r="AD578" s="6" t="str">
        <f t="shared" si="51"/>
        <v>Đức Phổ</v>
      </c>
      <c r="AE578" s="6" t="str">
        <f t="shared" si="52"/>
        <v>TT1 Quảng Ngãi mới</v>
      </c>
      <c r="AG578">
        <f t="shared" si="53"/>
        <v>0.75726000000000004</v>
      </c>
      <c r="AH578">
        <f t="shared" si="54"/>
        <v>0.19456999999999999</v>
      </c>
    </row>
    <row r="579" spans="1:34" x14ac:dyDescent="0.25">
      <c r="A579" t="s">
        <v>5480</v>
      </c>
      <c r="B579" t="s">
        <v>5432</v>
      </c>
      <c r="C579" t="s">
        <v>5433</v>
      </c>
      <c r="D579" t="s">
        <v>5481</v>
      </c>
      <c r="E579" t="s">
        <v>5482</v>
      </c>
      <c r="F579" t="s">
        <v>5483</v>
      </c>
      <c r="G579" t="s">
        <v>15827</v>
      </c>
      <c r="H579" t="s">
        <v>15831</v>
      </c>
      <c r="I579" t="s">
        <v>16396</v>
      </c>
      <c r="J579" t="s">
        <v>23</v>
      </c>
      <c r="L579" t="s">
        <v>5450</v>
      </c>
      <c r="M579" t="s">
        <v>5484</v>
      </c>
      <c r="N579" t="s">
        <v>5452</v>
      </c>
      <c r="O579" t="s">
        <v>5453</v>
      </c>
      <c r="P579" t="s">
        <v>5454</v>
      </c>
      <c r="Q579" t="s">
        <v>5485</v>
      </c>
      <c r="R579" t="s">
        <v>5486</v>
      </c>
      <c r="S579" t="s">
        <v>5487</v>
      </c>
      <c r="T579" t="s">
        <v>5458</v>
      </c>
      <c r="U579" s="5">
        <v>1972.89</v>
      </c>
      <c r="V579" s="5">
        <v>321.69</v>
      </c>
      <c r="W579" s="5">
        <v>14.94886</v>
      </c>
      <c r="X579" s="5">
        <v>108.885069</v>
      </c>
      <c r="Y579" s="5">
        <v>1651.2</v>
      </c>
      <c r="Z579" s="5">
        <v>14.920210000000001</v>
      </c>
      <c r="AA579" s="5">
        <v>108.904616</v>
      </c>
      <c r="AB579" s="7">
        <f t="shared" ref="AB579:AB642" si="55">V579*1.5/1000</f>
        <v>0.48253499999999999</v>
      </c>
      <c r="AC579" s="7">
        <f t="shared" ref="AC579:AC642" si="56">Y579*1.5/1000</f>
        <v>2.4768000000000003</v>
      </c>
      <c r="AD579" s="6" t="str">
        <f t="shared" ref="AD579:AD642" si="57">TRIM(LEFT(L579,FIND("-",L579)-1))</f>
        <v>Trà Câu</v>
      </c>
      <c r="AE579" s="6" t="str">
        <f t="shared" ref="AE579:AE642" si="58">TRIM(RIGHT(L579, LEN(L579) - FIND("-", L579)))</f>
        <v>Mộ Đức</v>
      </c>
      <c r="AG579">
        <f t="shared" ref="AG579:AG642" si="59">V579/1000</f>
        <v>0.32168999999999998</v>
      </c>
      <c r="AH579">
        <f t="shared" ref="AH579:AH642" si="60">Y579/1000</f>
        <v>1.6512</v>
      </c>
    </row>
    <row r="580" spans="1:34" x14ac:dyDescent="0.25">
      <c r="A580" t="s">
        <v>5488</v>
      </c>
      <c r="B580" t="s">
        <v>5432</v>
      </c>
      <c r="C580" t="s">
        <v>5433</v>
      </c>
      <c r="D580" t="s">
        <v>5489</v>
      </c>
      <c r="E580" t="s">
        <v>5490</v>
      </c>
      <c r="F580" t="s">
        <v>5491</v>
      </c>
      <c r="G580" t="s">
        <v>15827</v>
      </c>
      <c r="H580" t="s">
        <v>15831</v>
      </c>
      <c r="I580" t="s">
        <v>16397</v>
      </c>
      <c r="J580" t="s">
        <v>23</v>
      </c>
      <c r="L580" t="s">
        <v>5463</v>
      </c>
      <c r="M580" t="s">
        <v>5492</v>
      </c>
      <c r="N580" t="s">
        <v>5493</v>
      </c>
      <c r="O580" t="s">
        <v>5494</v>
      </c>
      <c r="P580" t="s">
        <v>5495</v>
      </c>
      <c r="Q580" t="s">
        <v>5496</v>
      </c>
      <c r="R580" t="s">
        <v>5466</v>
      </c>
      <c r="S580" t="s">
        <v>5497</v>
      </c>
      <c r="T580" t="s">
        <v>5498</v>
      </c>
      <c r="U580" s="5">
        <v>636.9</v>
      </c>
      <c r="V580" s="5">
        <v>228.52</v>
      </c>
      <c r="W580" s="5">
        <v>14.949937</v>
      </c>
      <c r="X580" s="5">
        <v>108.887698</v>
      </c>
      <c r="Y580" s="5">
        <v>408.38</v>
      </c>
      <c r="Z580" s="5">
        <v>14.953834000000001</v>
      </c>
      <c r="AA580" s="5">
        <v>108.886257</v>
      </c>
      <c r="AB580" s="7">
        <f t="shared" si="55"/>
        <v>0.34278000000000003</v>
      </c>
      <c r="AC580" s="7">
        <f t="shared" si="56"/>
        <v>0.61256999999999995</v>
      </c>
      <c r="AD580" s="6" t="str">
        <f t="shared" si="57"/>
        <v>Mộ Đức</v>
      </c>
      <c r="AE580" s="6" t="str">
        <f t="shared" si="58"/>
        <v>Vệ Giang</v>
      </c>
      <c r="AG580">
        <f t="shared" si="59"/>
        <v>0.22852</v>
      </c>
      <c r="AH580">
        <f t="shared" si="60"/>
        <v>0.40838000000000002</v>
      </c>
    </row>
    <row r="581" spans="1:34" x14ac:dyDescent="0.25">
      <c r="A581" t="s">
        <v>5459</v>
      </c>
      <c r="B581" t="s">
        <v>5432</v>
      </c>
      <c r="C581" t="s">
        <v>5433</v>
      </c>
      <c r="D581" t="s">
        <v>5460</v>
      </c>
      <c r="E581" t="s">
        <v>5461</v>
      </c>
      <c r="F581" t="s">
        <v>5499</v>
      </c>
      <c r="G581" t="s">
        <v>15827</v>
      </c>
      <c r="H581" t="s">
        <v>16398</v>
      </c>
      <c r="I581" t="s">
        <v>16394</v>
      </c>
      <c r="J581" t="s">
        <v>23</v>
      </c>
      <c r="L581" t="s">
        <v>5463</v>
      </c>
      <c r="M581" t="s">
        <v>5464</v>
      </c>
      <c r="N581" t="s">
        <v>5465</v>
      </c>
      <c r="O581" t="s">
        <v>5466</v>
      </c>
      <c r="P581" t="s">
        <v>5467</v>
      </c>
      <c r="Q581" t="s">
        <v>5468</v>
      </c>
      <c r="R581" t="s">
        <v>5469</v>
      </c>
      <c r="S581" t="s">
        <v>5470</v>
      </c>
      <c r="T581" t="s">
        <v>5471</v>
      </c>
      <c r="U581" s="5">
        <v>2747.46</v>
      </c>
      <c r="V581" s="5">
        <v>683.74</v>
      </c>
      <c r="W581" s="5">
        <v>14.953834000000001</v>
      </c>
      <c r="X581" s="5">
        <v>108.88625999999999</v>
      </c>
      <c r="Y581" s="5">
        <v>2063.7199999999998</v>
      </c>
      <c r="Z581" s="5">
        <v>14.996029999999999</v>
      </c>
      <c r="AA581" s="5">
        <v>108.85276500000001</v>
      </c>
      <c r="AB581" s="7">
        <f t="shared" si="55"/>
        <v>1.0256100000000001</v>
      </c>
      <c r="AC581" s="7">
        <f t="shared" si="56"/>
        <v>3.09558</v>
      </c>
      <c r="AD581" s="6" t="str">
        <f t="shared" si="57"/>
        <v>Mộ Đức</v>
      </c>
      <c r="AE581" s="6" t="str">
        <f t="shared" si="58"/>
        <v>Vệ Giang</v>
      </c>
      <c r="AG581">
        <f t="shared" si="59"/>
        <v>0.68374000000000001</v>
      </c>
      <c r="AH581">
        <f t="shared" si="60"/>
        <v>2.06372</v>
      </c>
    </row>
    <row r="582" spans="1:34" x14ac:dyDescent="0.25">
      <c r="A582" t="s">
        <v>5431</v>
      </c>
      <c r="B582" t="s">
        <v>5432</v>
      </c>
      <c r="C582" t="s">
        <v>5433</v>
      </c>
      <c r="D582" t="s">
        <v>5434</v>
      </c>
      <c r="E582" t="s">
        <v>5435</v>
      </c>
      <c r="F582" t="s">
        <v>5500</v>
      </c>
      <c r="G582" t="s">
        <v>15827</v>
      </c>
      <c r="H582" t="s">
        <v>16398</v>
      </c>
      <c r="I582" t="s">
        <v>16392</v>
      </c>
      <c r="J582" t="s">
        <v>23</v>
      </c>
      <c r="L582" t="s">
        <v>5437</v>
      </c>
      <c r="M582" t="s">
        <v>5438</v>
      </c>
      <c r="N582" t="s">
        <v>5439</v>
      </c>
      <c r="O582" t="s">
        <v>5440</v>
      </c>
      <c r="P582" t="s">
        <v>5441</v>
      </c>
      <c r="Q582" t="s">
        <v>5442</v>
      </c>
      <c r="R582" t="s">
        <v>5443</v>
      </c>
      <c r="S582" t="s">
        <v>5444</v>
      </c>
      <c r="T582" t="s">
        <v>5445</v>
      </c>
      <c r="U582" s="5">
        <v>3196.39</v>
      </c>
      <c r="V582" s="5">
        <v>757.26</v>
      </c>
      <c r="W582" s="5">
        <v>14.941793000000001</v>
      </c>
      <c r="X582" s="5">
        <v>108.884749</v>
      </c>
      <c r="Y582" s="5">
        <v>2439.13</v>
      </c>
      <c r="Z582" s="5">
        <v>15.038804000000001</v>
      </c>
      <c r="AA582" s="5">
        <v>108.852233</v>
      </c>
      <c r="AB582" s="7">
        <f t="shared" si="55"/>
        <v>1.1358899999999998</v>
      </c>
      <c r="AC582" s="7">
        <f t="shared" si="56"/>
        <v>3.6586950000000003</v>
      </c>
      <c r="AD582" s="6" t="str">
        <f t="shared" si="57"/>
        <v>Đức Phổ</v>
      </c>
      <c r="AE582" s="6" t="str">
        <f t="shared" si="58"/>
        <v>TT1 Quảng Ngãi mới</v>
      </c>
      <c r="AG582">
        <f t="shared" si="59"/>
        <v>0.75726000000000004</v>
      </c>
      <c r="AH582">
        <f t="shared" si="60"/>
        <v>2.43913</v>
      </c>
    </row>
    <row r="583" spans="1:34" x14ac:dyDescent="0.25">
      <c r="A583" t="s">
        <v>5501</v>
      </c>
      <c r="B583" t="s">
        <v>5276</v>
      </c>
      <c r="C583" t="s">
        <v>5277</v>
      </c>
      <c r="D583" t="s">
        <v>5432</v>
      </c>
      <c r="E583" t="s">
        <v>5433</v>
      </c>
      <c r="F583" t="s">
        <v>5502</v>
      </c>
      <c r="G583" t="s">
        <v>15827</v>
      </c>
      <c r="H583" t="s">
        <v>15831</v>
      </c>
      <c r="I583" t="s">
        <v>16399</v>
      </c>
      <c r="J583" t="s">
        <v>23</v>
      </c>
      <c r="L583" t="s">
        <v>5463</v>
      </c>
      <c r="M583" t="s">
        <v>5503</v>
      </c>
      <c r="N583" t="s">
        <v>5504</v>
      </c>
      <c r="O583" t="s">
        <v>5505</v>
      </c>
      <c r="P583" t="s">
        <v>5506</v>
      </c>
      <c r="Q583" t="s">
        <v>5465</v>
      </c>
      <c r="R583" t="s">
        <v>5466</v>
      </c>
      <c r="S583" t="s">
        <v>5467</v>
      </c>
      <c r="T583" t="s">
        <v>5471</v>
      </c>
      <c r="U583" s="5">
        <v>8758.42</v>
      </c>
      <c r="V583" s="5">
        <v>8074.67</v>
      </c>
      <c r="W583" s="5">
        <v>15.008497999999999</v>
      </c>
      <c r="X583" s="5">
        <v>108.842247</v>
      </c>
      <c r="Y583" s="5">
        <v>683.74</v>
      </c>
      <c r="Z583" s="5">
        <v>14.953834000000001</v>
      </c>
      <c r="AA583" s="5">
        <v>108.88625999999999</v>
      </c>
      <c r="AB583" s="7">
        <f t="shared" si="55"/>
        <v>12.112005000000002</v>
      </c>
      <c r="AC583" s="7">
        <f t="shared" si="56"/>
        <v>1.0256100000000001</v>
      </c>
      <c r="AD583" s="6" t="str">
        <f t="shared" si="57"/>
        <v>Mộ Đức</v>
      </c>
      <c r="AE583" s="6" t="str">
        <f t="shared" si="58"/>
        <v>Vệ Giang</v>
      </c>
      <c r="AG583">
        <f t="shared" si="59"/>
        <v>8.0746699999999993</v>
      </c>
      <c r="AH583">
        <f t="shared" si="60"/>
        <v>0.68374000000000001</v>
      </c>
    </row>
    <row r="584" spans="1:34" x14ac:dyDescent="0.25">
      <c r="A584" t="s">
        <v>5507</v>
      </c>
      <c r="B584" t="s">
        <v>5508</v>
      </c>
      <c r="C584" t="s">
        <v>5509</v>
      </c>
      <c r="D584" t="s">
        <v>5432</v>
      </c>
      <c r="E584" t="s">
        <v>5433</v>
      </c>
      <c r="F584" t="s">
        <v>5510</v>
      </c>
      <c r="G584" t="s">
        <v>15827</v>
      </c>
      <c r="H584" t="s">
        <v>15831</v>
      </c>
      <c r="I584" t="s">
        <v>16400</v>
      </c>
      <c r="J584" t="s">
        <v>23</v>
      </c>
      <c r="L584" t="s">
        <v>5450</v>
      </c>
      <c r="M584" t="s">
        <v>5511</v>
      </c>
      <c r="N584" t="s">
        <v>5512</v>
      </c>
      <c r="O584" t="s">
        <v>5513</v>
      </c>
      <c r="P584" t="s">
        <v>5514</v>
      </c>
      <c r="Q584" t="s">
        <v>5515</v>
      </c>
      <c r="R584" t="s">
        <v>5516</v>
      </c>
      <c r="S584" t="s">
        <v>5517</v>
      </c>
      <c r="T584" t="s">
        <v>5518</v>
      </c>
      <c r="U584" s="5">
        <v>2814.66</v>
      </c>
      <c r="V584" s="5">
        <v>2675.01</v>
      </c>
      <c r="W584" s="5">
        <v>14.946975999999999</v>
      </c>
      <c r="X584" s="5">
        <v>108.88515099999999</v>
      </c>
      <c r="Y584" s="5">
        <v>139.65</v>
      </c>
      <c r="Z584" s="5">
        <v>14.946636</v>
      </c>
      <c r="AA584" s="5">
        <v>108.887959</v>
      </c>
      <c r="AB584" s="7">
        <f t="shared" si="55"/>
        <v>4.0125150000000005</v>
      </c>
      <c r="AC584" s="7">
        <f t="shared" si="56"/>
        <v>0.20947500000000002</v>
      </c>
      <c r="AD584" s="6" t="str">
        <f t="shared" si="57"/>
        <v>Trà Câu</v>
      </c>
      <c r="AE584" s="6" t="str">
        <f t="shared" si="58"/>
        <v>Mộ Đức</v>
      </c>
      <c r="AG584">
        <f t="shared" si="59"/>
        <v>2.6750100000000003</v>
      </c>
      <c r="AH584">
        <f t="shared" si="60"/>
        <v>0.13965</v>
      </c>
    </row>
    <row r="585" spans="1:34" x14ac:dyDescent="0.25">
      <c r="A585" t="s">
        <v>5519</v>
      </c>
      <c r="B585" t="s">
        <v>5520</v>
      </c>
      <c r="C585" t="s">
        <v>5521</v>
      </c>
      <c r="D585" t="s">
        <v>5432</v>
      </c>
      <c r="E585" t="s">
        <v>5433</v>
      </c>
      <c r="F585" t="s">
        <v>5522</v>
      </c>
      <c r="G585" t="s">
        <v>15827</v>
      </c>
      <c r="H585" t="s">
        <v>15831</v>
      </c>
      <c r="I585" t="s">
        <v>16401</v>
      </c>
      <c r="J585" t="s">
        <v>23</v>
      </c>
      <c r="L585" t="s">
        <v>5450</v>
      </c>
      <c r="M585" t="s">
        <v>5523</v>
      </c>
      <c r="N585" t="s">
        <v>5524</v>
      </c>
      <c r="O585" t="s">
        <v>5525</v>
      </c>
      <c r="P585" t="s">
        <v>5526</v>
      </c>
      <c r="Q585" t="s">
        <v>5452</v>
      </c>
      <c r="R585" t="s">
        <v>5453</v>
      </c>
      <c r="S585" t="s">
        <v>5454</v>
      </c>
      <c r="T585" t="s">
        <v>5458</v>
      </c>
      <c r="U585" s="5">
        <v>498.47</v>
      </c>
      <c r="V585" s="5">
        <v>176.78</v>
      </c>
      <c r="W585" s="5">
        <v>14.904019999999999</v>
      </c>
      <c r="X585" s="5">
        <v>108.911083</v>
      </c>
      <c r="Y585" s="5">
        <v>321.69</v>
      </c>
      <c r="Z585" s="5">
        <v>14.94886</v>
      </c>
      <c r="AA585" s="5">
        <v>108.885069</v>
      </c>
      <c r="AB585" s="7">
        <f t="shared" si="55"/>
        <v>0.26517000000000002</v>
      </c>
      <c r="AC585" s="7">
        <f t="shared" si="56"/>
        <v>0.48253499999999999</v>
      </c>
      <c r="AD585" s="6" t="str">
        <f t="shared" si="57"/>
        <v>Trà Câu</v>
      </c>
      <c r="AE585" s="6" t="str">
        <f t="shared" si="58"/>
        <v>Mộ Đức</v>
      </c>
      <c r="AG585">
        <f t="shared" si="59"/>
        <v>0.17677999999999999</v>
      </c>
      <c r="AH585">
        <f t="shared" si="60"/>
        <v>0.32168999999999998</v>
      </c>
    </row>
    <row r="586" spans="1:34" x14ac:dyDescent="0.25">
      <c r="A586" t="s">
        <v>5527</v>
      </c>
      <c r="B586" t="s">
        <v>5528</v>
      </c>
      <c r="C586" t="s">
        <v>5529</v>
      </c>
      <c r="D586" t="s">
        <v>5432</v>
      </c>
      <c r="E586" t="s">
        <v>5433</v>
      </c>
      <c r="F586" t="s">
        <v>5530</v>
      </c>
      <c r="G586" t="s">
        <v>15827</v>
      </c>
      <c r="H586" t="s">
        <v>15831</v>
      </c>
      <c r="I586" t="s">
        <v>16402</v>
      </c>
      <c r="J586" t="s">
        <v>23</v>
      </c>
      <c r="L586" t="s">
        <v>5450</v>
      </c>
      <c r="M586" t="s">
        <v>5531</v>
      </c>
      <c r="N586" t="s">
        <v>5532</v>
      </c>
      <c r="O586" t="s">
        <v>5533</v>
      </c>
      <c r="P586" t="s">
        <v>5534</v>
      </c>
      <c r="Q586" t="s">
        <v>5535</v>
      </c>
      <c r="R586" t="s">
        <v>5536</v>
      </c>
      <c r="S586" t="s">
        <v>5537</v>
      </c>
      <c r="T586" t="s">
        <v>5538</v>
      </c>
      <c r="U586" s="5">
        <v>915.7</v>
      </c>
      <c r="V586" s="5">
        <v>913.32</v>
      </c>
      <c r="W586" s="5">
        <v>14.947108999999999</v>
      </c>
      <c r="X586" s="5">
        <v>108.887216</v>
      </c>
      <c r="Y586" s="5">
        <v>2.39</v>
      </c>
      <c r="Z586" s="5">
        <v>14.947894</v>
      </c>
      <c r="AA586" s="5">
        <v>108.887912</v>
      </c>
      <c r="AB586" s="7">
        <f t="shared" si="55"/>
        <v>1.36998</v>
      </c>
      <c r="AC586" s="7">
        <f t="shared" si="56"/>
        <v>3.5850000000000001E-3</v>
      </c>
      <c r="AD586" s="6" t="str">
        <f t="shared" si="57"/>
        <v>Trà Câu</v>
      </c>
      <c r="AE586" s="6" t="str">
        <f t="shared" si="58"/>
        <v>Mộ Đức</v>
      </c>
      <c r="AG586">
        <f t="shared" si="59"/>
        <v>0.91332000000000002</v>
      </c>
      <c r="AH586">
        <f t="shared" si="60"/>
        <v>2.3900000000000002E-3</v>
      </c>
    </row>
    <row r="587" spans="1:34" x14ac:dyDescent="0.25">
      <c r="A587" t="s">
        <v>5539</v>
      </c>
      <c r="B587" t="s">
        <v>5540</v>
      </c>
      <c r="C587" t="s">
        <v>5541</v>
      </c>
      <c r="D587" t="s">
        <v>5432</v>
      </c>
      <c r="E587" t="s">
        <v>5433</v>
      </c>
      <c r="F587" t="s">
        <v>5542</v>
      </c>
      <c r="G587" t="s">
        <v>15827</v>
      </c>
      <c r="H587" t="s">
        <v>15831</v>
      </c>
      <c r="I587" t="s">
        <v>16403</v>
      </c>
      <c r="J587" t="s">
        <v>23</v>
      </c>
      <c r="L587" t="s">
        <v>5450</v>
      </c>
      <c r="M587" t="s">
        <v>5543</v>
      </c>
      <c r="N587" t="s">
        <v>5544</v>
      </c>
      <c r="O587" t="s">
        <v>5545</v>
      </c>
      <c r="P587" t="s">
        <v>5546</v>
      </c>
      <c r="Q587" t="s">
        <v>5452</v>
      </c>
      <c r="R587" t="s">
        <v>5453</v>
      </c>
      <c r="S587" t="s">
        <v>5454</v>
      </c>
      <c r="T587" t="s">
        <v>5458</v>
      </c>
      <c r="U587" s="5">
        <v>2292.33</v>
      </c>
      <c r="V587" s="5">
        <v>1970.64</v>
      </c>
      <c r="W587" s="5">
        <v>14.934362</v>
      </c>
      <c r="X587" s="5">
        <v>108.89045299999999</v>
      </c>
      <c r="Y587" s="5">
        <v>321.69</v>
      </c>
      <c r="Z587" s="5">
        <v>14.94886</v>
      </c>
      <c r="AA587" s="5">
        <v>108.885069</v>
      </c>
      <c r="AB587" s="7">
        <f t="shared" si="55"/>
        <v>2.9559600000000001</v>
      </c>
      <c r="AC587" s="7">
        <f t="shared" si="56"/>
        <v>0.48253499999999999</v>
      </c>
      <c r="AD587" s="6" t="str">
        <f t="shared" si="57"/>
        <v>Trà Câu</v>
      </c>
      <c r="AE587" s="6" t="str">
        <f t="shared" si="58"/>
        <v>Mộ Đức</v>
      </c>
      <c r="AG587">
        <f t="shared" si="59"/>
        <v>1.9706400000000002</v>
      </c>
      <c r="AH587">
        <f t="shared" si="60"/>
        <v>0.32168999999999998</v>
      </c>
    </row>
    <row r="588" spans="1:34" x14ac:dyDescent="0.25">
      <c r="A588" t="s">
        <v>5547</v>
      </c>
      <c r="B588" t="s">
        <v>5276</v>
      </c>
      <c r="C588" t="s">
        <v>5277</v>
      </c>
      <c r="D588" t="s">
        <v>5548</v>
      </c>
      <c r="E588" t="s">
        <v>5549</v>
      </c>
      <c r="F588" t="s">
        <v>5550</v>
      </c>
      <c r="G588" t="s">
        <v>15827</v>
      </c>
      <c r="H588" t="s">
        <v>15831</v>
      </c>
      <c r="I588" t="s">
        <v>16404</v>
      </c>
      <c r="J588" t="s">
        <v>23</v>
      </c>
      <c r="L588" t="s">
        <v>5551</v>
      </c>
      <c r="M588" t="s">
        <v>5552</v>
      </c>
      <c r="N588" t="s">
        <v>5553</v>
      </c>
      <c r="O588" t="s">
        <v>5554</v>
      </c>
      <c r="P588" t="s">
        <v>5555</v>
      </c>
      <c r="Q588" t="s">
        <v>5556</v>
      </c>
      <c r="R588" t="s">
        <v>5557</v>
      </c>
      <c r="S588" t="s">
        <v>5558</v>
      </c>
      <c r="T588" t="s">
        <v>5559</v>
      </c>
      <c r="U588" s="5">
        <v>3435.33</v>
      </c>
      <c r="V588" s="5">
        <v>3098.74</v>
      </c>
      <c r="W588" s="5">
        <v>15.047853999999999</v>
      </c>
      <c r="X588" s="5">
        <v>108.748065</v>
      </c>
      <c r="Y588" s="5">
        <v>336.59</v>
      </c>
      <c r="Z588" s="5">
        <v>15.045444</v>
      </c>
      <c r="AA588" s="5">
        <v>108.745306</v>
      </c>
      <c r="AB588" s="7">
        <f t="shared" si="55"/>
        <v>4.64811</v>
      </c>
      <c r="AC588" s="7">
        <f t="shared" si="56"/>
        <v>0.50488500000000003</v>
      </c>
      <c r="AD588" s="6" t="str">
        <f t="shared" si="57"/>
        <v>Phước Giang</v>
      </c>
      <c r="AE588" s="6" t="str">
        <f t="shared" si="58"/>
        <v>Trà Giang</v>
      </c>
      <c r="AG588">
        <f t="shared" si="59"/>
        <v>3.0987399999999998</v>
      </c>
      <c r="AH588">
        <f t="shared" si="60"/>
        <v>0.33659</v>
      </c>
    </row>
    <row r="589" spans="1:34" x14ac:dyDescent="0.25">
      <c r="A589" t="s">
        <v>5560</v>
      </c>
      <c r="B589" t="s">
        <v>5276</v>
      </c>
      <c r="C589" t="s">
        <v>5277</v>
      </c>
      <c r="D589" t="s">
        <v>5561</v>
      </c>
      <c r="E589" t="s">
        <v>5562</v>
      </c>
      <c r="F589" t="s">
        <v>5563</v>
      </c>
      <c r="G589" t="s">
        <v>15827</v>
      </c>
      <c r="H589" t="s">
        <v>15831</v>
      </c>
      <c r="I589" t="s">
        <v>16405</v>
      </c>
      <c r="J589" t="s">
        <v>23</v>
      </c>
      <c r="L589" t="s">
        <v>5437</v>
      </c>
      <c r="M589" t="s">
        <v>5564</v>
      </c>
      <c r="N589" t="s">
        <v>5565</v>
      </c>
      <c r="O589" t="s">
        <v>5443</v>
      </c>
      <c r="P589" t="s">
        <v>5444</v>
      </c>
      <c r="Q589" t="s">
        <v>5566</v>
      </c>
      <c r="R589" t="s">
        <v>5567</v>
      </c>
      <c r="S589" t="s">
        <v>5568</v>
      </c>
      <c r="T589" t="s">
        <v>5445</v>
      </c>
      <c r="U589" s="5">
        <v>9066.16</v>
      </c>
      <c r="V589" s="5">
        <v>8137.92</v>
      </c>
      <c r="W589" s="5">
        <v>15.038804000000001</v>
      </c>
      <c r="X589" s="5">
        <v>108.852233</v>
      </c>
      <c r="Y589" s="5">
        <v>928.24</v>
      </c>
      <c r="Z589" s="5">
        <v>14.889078</v>
      </c>
      <c r="AA589" s="5">
        <v>108.92642499999999</v>
      </c>
      <c r="AB589" s="7">
        <f t="shared" si="55"/>
        <v>12.206880000000002</v>
      </c>
      <c r="AC589" s="7">
        <f t="shared" si="56"/>
        <v>1.39236</v>
      </c>
      <c r="AD589" s="6" t="str">
        <f t="shared" si="57"/>
        <v>Đức Phổ</v>
      </c>
      <c r="AE589" s="6" t="str">
        <f t="shared" si="58"/>
        <v>TT1 Quảng Ngãi mới</v>
      </c>
      <c r="AG589">
        <f t="shared" si="59"/>
        <v>8.1379199999999994</v>
      </c>
      <c r="AH589">
        <f t="shared" si="60"/>
        <v>0.92823999999999995</v>
      </c>
    </row>
    <row r="590" spans="1:34" x14ac:dyDescent="0.25">
      <c r="A590" t="s">
        <v>5569</v>
      </c>
      <c r="B590" t="s">
        <v>5276</v>
      </c>
      <c r="C590" t="s">
        <v>5277</v>
      </c>
      <c r="D590" t="s">
        <v>5570</v>
      </c>
      <c r="E590" t="s">
        <v>5571</v>
      </c>
      <c r="F590" t="s">
        <v>5572</v>
      </c>
      <c r="G590" t="s">
        <v>15827</v>
      </c>
      <c r="H590" t="s">
        <v>15831</v>
      </c>
      <c r="I590" t="s">
        <v>16406</v>
      </c>
      <c r="J590" t="s">
        <v>23</v>
      </c>
      <c r="L590" t="s">
        <v>5573</v>
      </c>
      <c r="M590" t="s">
        <v>5574</v>
      </c>
      <c r="N590" t="s">
        <v>5575</v>
      </c>
      <c r="O590" t="s">
        <v>5576</v>
      </c>
      <c r="P590" t="s">
        <v>5577</v>
      </c>
      <c r="Q590" t="s">
        <v>5578</v>
      </c>
      <c r="R590" t="s">
        <v>5579</v>
      </c>
      <c r="S590" t="s">
        <v>5580</v>
      </c>
      <c r="T590" t="s">
        <v>5581</v>
      </c>
      <c r="U590" s="5">
        <v>445.83</v>
      </c>
      <c r="V590" s="5">
        <v>224.35</v>
      </c>
      <c r="W590" s="5">
        <v>15.043967</v>
      </c>
      <c r="X590" s="5">
        <v>108.778729</v>
      </c>
      <c r="Y590" s="5">
        <v>221.48</v>
      </c>
      <c r="Z590" s="5">
        <v>15.04072</v>
      </c>
      <c r="AA590" s="5">
        <v>108.795241</v>
      </c>
      <c r="AB590" s="7">
        <f t="shared" si="55"/>
        <v>0.33652499999999996</v>
      </c>
      <c r="AC590" s="7">
        <f t="shared" si="56"/>
        <v>0.33221999999999996</v>
      </c>
      <c r="AD590" s="6" t="str">
        <f t="shared" si="57"/>
        <v>Đình Cương</v>
      </c>
      <c r="AE590" s="6" t="str">
        <f t="shared" si="58"/>
        <v>Nghĩa Hành</v>
      </c>
      <c r="AG590">
        <f t="shared" si="59"/>
        <v>0.22434999999999999</v>
      </c>
      <c r="AH590">
        <f t="shared" si="60"/>
        <v>0.22147999999999998</v>
      </c>
    </row>
    <row r="591" spans="1:34" x14ac:dyDescent="0.25">
      <c r="A591" t="s">
        <v>5582</v>
      </c>
      <c r="B591" t="s">
        <v>5583</v>
      </c>
      <c r="C591" t="s">
        <v>5584</v>
      </c>
      <c r="D591" t="s">
        <v>5276</v>
      </c>
      <c r="E591" t="s">
        <v>5277</v>
      </c>
      <c r="F591" t="s">
        <v>5585</v>
      </c>
      <c r="G591" t="s">
        <v>15827</v>
      </c>
      <c r="H591" t="s">
        <v>16377</v>
      </c>
      <c r="I591" t="s">
        <v>16407</v>
      </c>
      <c r="J591" t="s">
        <v>23</v>
      </c>
      <c r="L591" t="s">
        <v>5586</v>
      </c>
      <c r="M591" t="s">
        <v>5587</v>
      </c>
      <c r="N591" t="s">
        <v>5588</v>
      </c>
      <c r="O591" t="s">
        <v>5589</v>
      </c>
      <c r="P591" t="s">
        <v>5590</v>
      </c>
      <c r="Q591" t="s">
        <v>5591</v>
      </c>
      <c r="R591" t="s">
        <v>5592</v>
      </c>
      <c r="S591" t="s">
        <v>5593</v>
      </c>
      <c r="T591" t="s">
        <v>5594</v>
      </c>
      <c r="U591" s="5">
        <v>447.13</v>
      </c>
      <c r="V591" s="5">
        <v>425.67</v>
      </c>
      <c r="W591" s="5">
        <v>15.079530999999999</v>
      </c>
      <c r="X591" s="5">
        <v>108.783874</v>
      </c>
      <c r="Y591" s="5">
        <v>21.46</v>
      </c>
      <c r="Z591" s="5">
        <v>15.043846</v>
      </c>
      <c r="AA591" s="5">
        <v>108.776487</v>
      </c>
      <c r="AB591" s="7">
        <f t="shared" si="55"/>
        <v>0.63850499999999999</v>
      </c>
      <c r="AC591" s="7">
        <f t="shared" si="56"/>
        <v>3.2189999999999996E-2</v>
      </c>
      <c r="AD591" s="6" t="str">
        <f t="shared" si="57"/>
        <v>Nghĩa Hành</v>
      </c>
      <c r="AE591" s="6" t="str">
        <f t="shared" si="58"/>
        <v>Nghĩa Lộ</v>
      </c>
      <c r="AG591">
        <f t="shared" si="59"/>
        <v>0.42566999999999999</v>
      </c>
      <c r="AH591">
        <f t="shared" si="60"/>
        <v>2.146E-2</v>
      </c>
    </row>
    <row r="592" spans="1:34" x14ac:dyDescent="0.25">
      <c r="A592" t="s">
        <v>5595</v>
      </c>
      <c r="B592" t="s">
        <v>5596</v>
      </c>
      <c r="C592" t="s">
        <v>5597</v>
      </c>
      <c r="D592" t="s">
        <v>5276</v>
      </c>
      <c r="E592" t="s">
        <v>5277</v>
      </c>
      <c r="F592" t="s">
        <v>5598</v>
      </c>
      <c r="G592" t="s">
        <v>15827</v>
      </c>
      <c r="H592" t="s">
        <v>16377</v>
      </c>
      <c r="I592" t="s">
        <v>16408</v>
      </c>
      <c r="J592" t="s">
        <v>23</v>
      </c>
      <c r="L592" t="s">
        <v>5586</v>
      </c>
      <c r="M592" t="s">
        <v>5599</v>
      </c>
      <c r="N592" t="s">
        <v>5600</v>
      </c>
      <c r="O592" t="s">
        <v>5601</v>
      </c>
      <c r="P592" t="s">
        <v>5602</v>
      </c>
      <c r="Q592" t="s">
        <v>5591</v>
      </c>
      <c r="R592" t="s">
        <v>5592</v>
      </c>
      <c r="S592" t="s">
        <v>5593</v>
      </c>
      <c r="T592" t="s">
        <v>5594</v>
      </c>
      <c r="U592" s="5">
        <v>1836.28</v>
      </c>
      <c r="V592" s="5">
        <v>1814.82</v>
      </c>
      <c r="W592" s="5">
        <v>15.105012</v>
      </c>
      <c r="X592" s="5">
        <v>108.76304399999999</v>
      </c>
      <c r="Y592" s="5">
        <v>21.46</v>
      </c>
      <c r="Z592" s="5">
        <v>15.043846</v>
      </c>
      <c r="AA592" s="5">
        <v>108.776487</v>
      </c>
      <c r="AB592" s="7">
        <f t="shared" si="55"/>
        <v>2.7222300000000001</v>
      </c>
      <c r="AC592" s="7">
        <f t="shared" si="56"/>
        <v>3.2189999999999996E-2</v>
      </c>
      <c r="AD592" s="6" t="str">
        <f t="shared" si="57"/>
        <v>Nghĩa Hành</v>
      </c>
      <c r="AE592" s="6" t="str">
        <f t="shared" si="58"/>
        <v>Nghĩa Lộ</v>
      </c>
      <c r="AG592">
        <f t="shared" si="59"/>
        <v>1.8148199999999999</v>
      </c>
      <c r="AH592">
        <f t="shared" si="60"/>
        <v>2.146E-2</v>
      </c>
    </row>
    <row r="593" spans="1:34" x14ac:dyDescent="0.25">
      <c r="A593" t="s">
        <v>5603</v>
      </c>
      <c r="B593" t="s">
        <v>5604</v>
      </c>
      <c r="C593" t="s">
        <v>5605</v>
      </c>
      <c r="D593" t="s">
        <v>5276</v>
      </c>
      <c r="E593" t="s">
        <v>5277</v>
      </c>
      <c r="F593" t="s">
        <v>5606</v>
      </c>
      <c r="G593" t="s">
        <v>15827</v>
      </c>
      <c r="H593" t="s">
        <v>16377</v>
      </c>
      <c r="I593" t="s">
        <v>16409</v>
      </c>
      <c r="J593" t="s">
        <v>23</v>
      </c>
      <c r="L593" t="s">
        <v>5586</v>
      </c>
      <c r="M593" t="s">
        <v>5607</v>
      </c>
      <c r="N593" t="s">
        <v>5608</v>
      </c>
      <c r="O593" t="s">
        <v>5601</v>
      </c>
      <c r="P593" t="s">
        <v>5602</v>
      </c>
      <c r="Q593" t="s">
        <v>5591</v>
      </c>
      <c r="R593" t="s">
        <v>5592</v>
      </c>
      <c r="S593" t="s">
        <v>5593</v>
      </c>
      <c r="T593" t="s">
        <v>5594</v>
      </c>
      <c r="U593" s="5">
        <v>4686.51</v>
      </c>
      <c r="V593" s="5">
        <v>4665.05</v>
      </c>
      <c r="W593" s="5">
        <v>15.105012</v>
      </c>
      <c r="X593" s="5">
        <v>108.76304399999999</v>
      </c>
      <c r="Y593" s="5">
        <v>21.46</v>
      </c>
      <c r="Z593" s="5">
        <v>15.043846</v>
      </c>
      <c r="AA593" s="5">
        <v>108.776487</v>
      </c>
      <c r="AB593" s="7">
        <f t="shared" si="55"/>
        <v>6.9975750000000003</v>
      </c>
      <c r="AC593" s="7">
        <f t="shared" si="56"/>
        <v>3.2189999999999996E-2</v>
      </c>
      <c r="AD593" s="6" t="str">
        <f t="shared" si="57"/>
        <v>Nghĩa Hành</v>
      </c>
      <c r="AE593" s="6" t="str">
        <f t="shared" si="58"/>
        <v>Nghĩa Lộ</v>
      </c>
      <c r="AG593">
        <f t="shared" si="59"/>
        <v>4.6650499999999999</v>
      </c>
      <c r="AH593">
        <f t="shared" si="60"/>
        <v>2.146E-2</v>
      </c>
    </row>
    <row r="594" spans="1:34" x14ac:dyDescent="0.25">
      <c r="A594" t="s">
        <v>5609</v>
      </c>
      <c r="B594" t="s">
        <v>5610</v>
      </c>
      <c r="C594" t="s">
        <v>5611</v>
      </c>
      <c r="D594" t="s">
        <v>5276</v>
      </c>
      <c r="E594" t="s">
        <v>5277</v>
      </c>
      <c r="F594" t="s">
        <v>5612</v>
      </c>
      <c r="G594" t="s">
        <v>15827</v>
      </c>
      <c r="H594" t="s">
        <v>16377</v>
      </c>
      <c r="I594" t="s">
        <v>16410</v>
      </c>
      <c r="J594" t="s">
        <v>23</v>
      </c>
      <c r="L594" t="s">
        <v>5586</v>
      </c>
      <c r="M594" t="s">
        <v>5613</v>
      </c>
      <c r="N594" t="s">
        <v>5614</v>
      </c>
      <c r="O594" t="s">
        <v>5615</v>
      </c>
      <c r="P594" t="s">
        <v>5616</v>
      </c>
      <c r="Q594" t="s">
        <v>5591</v>
      </c>
      <c r="R594" t="s">
        <v>5592</v>
      </c>
      <c r="S594" t="s">
        <v>5593</v>
      </c>
      <c r="T594" t="s">
        <v>5594</v>
      </c>
      <c r="U594" s="5">
        <v>1608.16</v>
      </c>
      <c r="V594" s="5">
        <v>1586.7</v>
      </c>
      <c r="W594" s="5">
        <v>15.056607</v>
      </c>
      <c r="X594" s="5">
        <v>108.77717</v>
      </c>
      <c r="Y594" s="5">
        <v>21.46</v>
      </c>
      <c r="Z594" s="5">
        <v>15.043846</v>
      </c>
      <c r="AA594" s="5">
        <v>108.776487</v>
      </c>
      <c r="AB594" s="7">
        <f t="shared" si="55"/>
        <v>2.3800500000000002</v>
      </c>
      <c r="AC594" s="7">
        <f t="shared" si="56"/>
        <v>3.2189999999999996E-2</v>
      </c>
      <c r="AD594" s="6" t="str">
        <f t="shared" si="57"/>
        <v>Nghĩa Hành</v>
      </c>
      <c r="AE594" s="6" t="str">
        <f t="shared" si="58"/>
        <v>Nghĩa Lộ</v>
      </c>
      <c r="AG594">
        <f t="shared" si="59"/>
        <v>1.5867</v>
      </c>
      <c r="AH594">
        <f t="shared" si="60"/>
        <v>2.146E-2</v>
      </c>
    </row>
    <row r="595" spans="1:34" x14ac:dyDescent="0.25">
      <c r="A595" t="s">
        <v>5617</v>
      </c>
      <c r="B595" t="s">
        <v>5618</v>
      </c>
      <c r="C595" t="s">
        <v>5619</v>
      </c>
      <c r="D595" t="s">
        <v>5276</v>
      </c>
      <c r="E595" t="s">
        <v>5277</v>
      </c>
      <c r="F595" t="s">
        <v>5620</v>
      </c>
      <c r="G595" t="s">
        <v>15827</v>
      </c>
      <c r="H595" t="s">
        <v>16377</v>
      </c>
      <c r="I595" t="s">
        <v>16411</v>
      </c>
      <c r="J595" t="s">
        <v>23</v>
      </c>
      <c r="L595" t="s">
        <v>5279</v>
      </c>
      <c r="M595" t="s">
        <v>5621</v>
      </c>
      <c r="N595" t="s">
        <v>5622</v>
      </c>
      <c r="O595" t="s">
        <v>5623</v>
      </c>
      <c r="P595" t="s">
        <v>5624</v>
      </c>
      <c r="Q595" t="s">
        <v>5284</v>
      </c>
      <c r="R595" t="s">
        <v>5285</v>
      </c>
      <c r="S595" t="s">
        <v>5286</v>
      </c>
      <c r="T595" t="s">
        <v>5287</v>
      </c>
      <c r="U595" s="5">
        <v>3430.77</v>
      </c>
      <c r="V595" s="5">
        <v>3230.52</v>
      </c>
      <c r="W595" s="5">
        <v>15.030417999999999</v>
      </c>
      <c r="X595" s="5">
        <v>108.775809</v>
      </c>
      <c r="Y595" s="5">
        <v>200.25</v>
      </c>
      <c r="Z595" s="5">
        <v>15.044577</v>
      </c>
      <c r="AA595" s="5">
        <v>108.774884</v>
      </c>
      <c r="AB595" s="7">
        <f t="shared" si="55"/>
        <v>4.8457799999999995</v>
      </c>
      <c r="AC595" s="7">
        <f t="shared" si="56"/>
        <v>0.300375</v>
      </c>
      <c r="AD595" s="6" t="str">
        <f t="shared" si="57"/>
        <v>TT1 Quảng Ngãi</v>
      </c>
      <c r="AE595" s="6" t="str">
        <f t="shared" si="58"/>
        <v>Minh Long</v>
      </c>
      <c r="AG595">
        <f t="shared" si="59"/>
        <v>3.2305199999999998</v>
      </c>
      <c r="AH595">
        <f t="shared" si="60"/>
        <v>0.20025000000000001</v>
      </c>
    </row>
    <row r="596" spans="1:34" x14ac:dyDescent="0.25">
      <c r="A596" t="s">
        <v>5625</v>
      </c>
      <c r="B596" t="s">
        <v>5276</v>
      </c>
      <c r="C596" t="s">
        <v>5277</v>
      </c>
      <c r="D596" t="s">
        <v>5434</v>
      </c>
      <c r="E596" t="s">
        <v>5435</v>
      </c>
      <c r="F596" t="s">
        <v>5626</v>
      </c>
      <c r="G596" t="s">
        <v>15979</v>
      </c>
      <c r="H596" t="s">
        <v>15980</v>
      </c>
      <c r="I596" t="s">
        <v>16412</v>
      </c>
      <c r="J596" t="s">
        <v>23</v>
      </c>
      <c r="L596" t="s">
        <v>5279</v>
      </c>
      <c r="M596" t="s">
        <v>5627</v>
      </c>
      <c r="N596" t="s">
        <v>5284</v>
      </c>
      <c r="O596" t="s">
        <v>5285</v>
      </c>
      <c r="P596" t="s">
        <v>5286</v>
      </c>
      <c r="Q596" t="s">
        <v>5628</v>
      </c>
      <c r="R596" t="s">
        <v>5629</v>
      </c>
      <c r="S596" t="s">
        <v>5630</v>
      </c>
      <c r="T596" t="s">
        <v>5287</v>
      </c>
      <c r="U596" s="5">
        <v>5623.29</v>
      </c>
      <c r="V596" s="5">
        <v>200.25</v>
      </c>
      <c r="W596" s="5">
        <v>15.044577</v>
      </c>
      <c r="X596" s="5">
        <v>108.774884</v>
      </c>
      <c r="Y596" s="5">
        <v>5423.04</v>
      </c>
      <c r="Z596" s="5">
        <v>15.023047999999999</v>
      </c>
      <c r="AA596" s="5">
        <v>108.809173</v>
      </c>
      <c r="AB596" s="7">
        <f t="shared" si="55"/>
        <v>0.300375</v>
      </c>
      <c r="AC596" s="7">
        <f t="shared" si="56"/>
        <v>8.1345599999999987</v>
      </c>
      <c r="AD596" s="6" t="str">
        <f t="shared" si="57"/>
        <v>TT1 Quảng Ngãi</v>
      </c>
      <c r="AE596" s="6" t="str">
        <f t="shared" si="58"/>
        <v>Minh Long</v>
      </c>
      <c r="AG596">
        <f t="shared" si="59"/>
        <v>0.20025000000000001</v>
      </c>
      <c r="AH596">
        <f t="shared" si="60"/>
        <v>5.4230400000000003</v>
      </c>
    </row>
    <row r="597" spans="1:34" x14ac:dyDescent="0.25">
      <c r="A597" t="s">
        <v>5631</v>
      </c>
      <c r="B597" t="s">
        <v>5276</v>
      </c>
      <c r="C597" t="s">
        <v>5277</v>
      </c>
      <c r="D597" t="s">
        <v>5632</v>
      </c>
      <c r="E597" t="s">
        <v>5633</v>
      </c>
      <c r="F597" t="s">
        <v>5634</v>
      </c>
      <c r="G597" t="s">
        <v>15979</v>
      </c>
      <c r="H597" t="s">
        <v>15980</v>
      </c>
      <c r="I597" t="s">
        <v>16413</v>
      </c>
      <c r="J597" t="s">
        <v>23</v>
      </c>
      <c r="L597" t="s">
        <v>5573</v>
      </c>
      <c r="M597" t="s">
        <v>5635</v>
      </c>
      <c r="N597" t="s">
        <v>5636</v>
      </c>
      <c r="O597" t="s">
        <v>5637</v>
      </c>
      <c r="P597" t="s">
        <v>5638</v>
      </c>
      <c r="Q597" t="s">
        <v>2015</v>
      </c>
      <c r="R597" t="s">
        <v>5639</v>
      </c>
      <c r="S597" t="s">
        <v>5640</v>
      </c>
      <c r="T597" t="s">
        <v>5641</v>
      </c>
      <c r="U597" s="5">
        <v>55.33</v>
      </c>
      <c r="V597" s="5">
        <v>1.47</v>
      </c>
      <c r="W597" s="5">
        <v>15.043957000000001</v>
      </c>
      <c r="X597" s="5">
        <v>108.77663800000001</v>
      </c>
      <c r="Y597" s="5">
        <v>53.87</v>
      </c>
      <c r="Z597" s="5">
        <v>15.043850000000001</v>
      </c>
      <c r="AA597" s="5">
        <v>108.776494</v>
      </c>
      <c r="AB597" s="7">
        <f t="shared" si="55"/>
        <v>2.2049999999999999E-3</v>
      </c>
      <c r="AC597" s="7">
        <f t="shared" si="56"/>
        <v>8.0804999999999988E-2</v>
      </c>
      <c r="AD597" s="6" t="str">
        <f t="shared" si="57"/>
        <v>Đình Cương</v>
      </c>
      <c r="AE597" s="6" t="str">
        <f t="shared" si="58"/>
        <v>Nghĩa Hành</v>
      </c>
      <c r="AG597">
        <f t="shared" si="59"/>
        <v>1.47E-3</v>
      </c>
      <c r="AH597">
        <f t="shared" si="60"/>
        <v>5.3869999999999994E-2</v>
      </c>
    </row>
    <row r="598" spans="1:34" x14ac:dyDescent="0.25">
      <c r="A598" t="s">
        <v>5642</v>
      </c>
      <c r="B598" t="s">
        <v>5276</v>
      </c>
      <c r="C598" t="s">
        <v>5277</v>
      </c>
      <c r="D598" t="s">
        <v>5643</v>
      </c>
      <c r="E598" t="s">
        <v>5644</v>
      </c>
      <c r="F598" t="s">
        <v>5645</v>
      </c>
      <c r="G598" t="s">
        <v>15979</v>
      </c>
      <c r="H598" t="s">
        <v>15980</v>
      </c>
      <c r="I598" t="s">
        <v>16414</v>
      </c>
      <c r="J598" t="s">
        <v>23</v>
      </c>
      <c r="L598" t="s">
        <v>5279</v>
      </c>
      <c r="M598" t="s">
        <v>5646</v>
      </c>
      <c r="N598" t="s">
        <v>5284</v>
      </c>
      <c r="O598" t="s">
        <v>5285</v>
      </c>
      <c r="P598" t="s">
        <v>5286</v>
      </c>
      <c r="Q598" t="s">
        <v>5647</v>
      </c>
      <c r="R598" t="s">
        <v>5648</v>
      </c>
      <c r="S598" t="s">
        <v>5649</v>
      </c>
      <c r="T598" t="s">
        <v>5287</v>
      </c>
      <c r="U598" s="5">
        <v>1302.25</v>
      </c>
      <c r="V598" s="5">
        <v>200.25</v>
      </c>
      <c r="W598" s="5">
        <v>15.044577</v>
      </c>
      <c r="X598" s="5">
        <v>108.774884</v>
      </c>
      <c r="Y598" s="5">
        <v>1101.99</v>
      </c>
      <c r="Z598" s="5">
        <v>15.023507</v>
      </c>
      <c r="AA598" s="5">
        <v>108.77718400000001</v>
      </c>
      <c r="AB598" s="7">
        <f t="shared" si="55"/>
        <v>0.300375</v>
      </c>
      <c r="AC598" s="7">
        <f t="shared" si="56"/>
        <v>1.6529850000000001</v>
      </c>
      <c r="AD598" s="6" t="str">
        <f t="shared" si="57"/>
        <v>TT1 Quảng Ngãi</v>
      </c>
      <c r="AE598" s="6" t="str">
        <f t="shared" si="58"/>
        <v>Minh Long</v>
      </c>
      <c r="AG598">
        <f t="shared" si="59"/>
        <v>0.20025000000000001</v>
      </c>
      <c r="AH598">
        <f t="shared" si="60"/>
        <v>1.10199</v>
      </c>
    </row>
    <row r="599" spans="1:34" x14ac:dyDescent="0.25">
      <c r="A599" t="s">
        <v>5650</v>
      </c>
      <c r="B599" t="s">
        <v>5276</v>
      </c>
      <c r="C599" t="s">
        <v>5277</v>
      </c>
      <c r="D599" t="s">
        <v>5651</v>
      </c>
      <c r="E599" t="s">
        <v>5652</v>
      </c>
      <c r="F599" t="s">
        <v>5653</v>
      </c>
      <c r="G599" t="s">
        <v>15979</v>
      </c>
      <c r="H599" t="s">
        <v>15980</v>
      </c>
      <c r="I599" t="s">
        <v>16415</v>
      </c>
      <c r="J599" t="s">
        <v>23</v>
      </c>
      <c r="L599" t="s">
        <v>5586</v>
      </c>
      <c r="M599" t="s">
        <v>5654</v>
      </c>
      <c r="N599" t="s">
        <v>5591</v>
      </c>
      <c r="O599" t="s">
        <v>5592</v>
      </c>
      <c r="P599" t="s">
        <v>5593</v>
      </c>
      <c r="Q599" t="s">
        <v>5655</v>
      </c>
      <c r="R599" t="s">
        <v>5656</v>
      </c>
      <c r="S599" t="s">
        <v>5657</v>
      </c>
      <c r="T599" t="s">
        <v>5594</v>
      </c>
      <c r="U599" s="5">
        <v>239.17</v>
      </c>
      <c r="V599" s="5">
        <v>21.46</v>
      </c>
      <c r="W599" s="5">
        <v>15.043846</v>
      </c>
      <c r="X599" s="5">
        <v>108.776487</v>
      </c>
      <c r="Y599" s="5">
        <v>217.71</v>
      </c>
      <c r="Z599" s="5">
        <v>15.057551999999999</v>
      </c>
      <c r="AA599" s="5">
        <v>108.777463</v>
      </c>
      <c r="AB599" s="7">
        <f t="shared" si="55"/>
        <v>3.2189999999999996E-2</v>
      </c>
      <c r="AC599" s="7">
        <f t="shared" si="56"/>
        <v>0.32656499999999999</v>
      </c>
      <c r="AD599" s="6" t="str">
        <f t="shared" si="57"/>
        <v>Nghĩa Hành</v>
      </c>
      <c r="AE599" s="6" t="str">
        <f t="shared" si="58"/>
        <v>Nghĩa Lộ</v>
      </c>
      <c r="AG599">
        <f t="shared" si="59"/>
        <v>2.146E-2</v>
      </c>
      <c r="AH599">
        <f t="shared" si="60"/>
        <v>0.21771000000000001</v>
      </c>
    </row>
    <row r="600" spans="1:34" x14ac:dyDescent="0.25">
      <c r="A600" t="s">
        <v>5658</v>
      </c>
      <c r="B600" t="s">
        <v>5276</v>
      </c>
      <c r="C600" t="s">
        <v>5277</v>
      </c>
      <c r="D600" t="s">
        <v>5659</v>
      </c>
      <c r="E600" t="s">
        <v>5660</v>
      </c>
      <c r="F600" t="s">
        <v>5661</v>
      </c>
      <c r="G600" t="s">
        <v>15979</v>
      </c>
      <c r="H600" t="s">
        <v>15980</v>
      </c>
      <c r="I600" t="s">
        <v>16416</v>
      </c>
      <c r="J600" t="s">
        <v>23</v>
      </c>
      <c r="L600" t="s">
        <v>5586</v>
      </c>
      <c r="M600" t="s">
        <v>5662</v>
      </c>
      <c r="N600" t="s">
        <v>5591</v>
      </c>
      <c r="O600" t="s">
        <v>5592</v>
      </c>
      <c r="P600" t="s">
        <v>5593</v>
      </c>
      <c r="Q600" t="s">
        <v>5663</v>
      </c>
      <c r="R600" t="s">
        <v>5664</v>
      </c>
      <c r="S600" t="s">
        <v>5665</v>
      </c>
      <c r="T600" t="s">
        <v>5594</v>
      </c>
      <c r="U600" s="5">
        <v>1301.5899999999999</v>
      </c>
      <c r="V600" s="5">
        <v>21.46</v>
      </c>
      <c r="W600" s="5">
        <v>15.043846</v>
      </c>
      <c r="X600" s="5">
        <v>108.776487</v>
      </c>
      <c r="Y600" s="5">
        <v>1280.1300000000001</v>
      </c>
      <c r="Z600" s="5">
        <v>15.044572000000001</v>
      </c>
      <c r="AA600" s="5">
        <v>108.77494799999999</v>
      </c>
      <c r="AB600" s="7">
        <f t="shared" si="55"/>
        <v>3.2189999999999996E-2</v>
      </c>
      <c r="AC600" s="7">
        <f t="shared" si="56"/>
        <v>1.9201950000000001</v>
      </c>
      <c r="AD600" s="6" t="str">
        <f t="shared" si="57"/>
        <v>Nghĩa Hành</v>
      </c>
      <c r="AE600" s="6" t="str">
        <f t="shared" si="58"/>
        <v>Nghĩa Lộ</v>
      </c>
      <c r="AG600">
        <f t="shared" si="59"/>
        <v>2.146E-2</v>
      </c>
      <c r="AH600">
        <f t="shared" si="60"/>
        <v>1.2801300000000002</v>
      </c>
    </row>
    <row r="601" spans="1:34" x14ac:dyDescent="0.25">
      <c r="A601" t="s">
        <v>5666</v>
      </c>
      <c r="B601" t="s">
        <v>5667</v>
      </c>
      <c r="C601" t="s">
        <v>5668</v>
      </c>
      <c r="D601" t="s">
        <v>5669</v>
      </c>
      <c r="E601" t="s">
        <v>5670</v>
      </c>
      <c r="F601" t="s">
        <v>5671</v>
      </c>
      <c r="G601" t="s">
        <v>15827</v>
      </c>
      <c r="H601" t="s">
        <v>15831</v>
      </c>
      <c r="I601" t="s">
        <v>16417</v>
      </c>
      <c r="J601" t="s">
        <v>23</v>
      </c>
      <c r="L601" t="s">
        <v>5672</v>
      </c>
      <c r="M601" t="s">
        <v>5673</v>
      </c>
      <c r="N601" t="s">
        <v>5674</v>
      </c>
      <c r="O601" t="s">
        <v>5675</v>
      </c>
      <c r="P601" t="s">
        <v>5676</v>
      </c>
      <c r="Q601" t="s">
        <v>5677</v>
      </c>
      <c r="R601" t="s">
        <v>5678</v>
      </c>
      <c r="S601" t="s">
        <v>5679</v>
      </c>
      <c r="T601" t="s">
        <v>5680</v>
      </c>
      <c r="U601" s="5">
        <v>2839.2</v>
      </c>
      <c r="V601" s="5">
        <v>47.26</v>
      </c>
      <c r="W601" s="5">
        <v>15.297487</v>
      </c>
      <c r="X601" s="5">
        <v>108.761878</v>
      </c>
      <c r="Y601" s="5">
        <v>2791.94</v>
      </c>
      <c r="Z601" s="5">
        <v>15.324786</v>
      </c>
      <c r="AA601" s="5">
        <v>108.813141</v>
      </c>
      <c r="AB601" s="7">
        <f t="shared" si="55"/>
        <v>7.0889999999999995E-2</v>
      </c>
      <c r="AC601" s="7">
        <f t="shared" si="56"/>
        <v>4.1879099999999996</v>
      </c>
      <c r="AD601" s="6" t="str">
        <f t="shared" si="57"/>
        <v>Quảng Ngãi</v>
      </c>
      <c r="AE601" s="6" t="str">
        <f t="shared" si="58"/>
        <v>Ring 1_CAH Bình Sơn - Vạn Tường</v>
      </c>
      <c r="AG601">
        <f t="shared" si="59"/>
        <v>4.7259999999999996E-2</v>
      </c>
      <c r="AH601">
        <f t="shared" si="60"/>
        <v>2.7919399999999999</v>
      </c>
    </row>
    <row r="602" spans="1:34" x14ac:dyDescent="0.25">
      <c r="A602" t="s">
        <v>5681</v>
      </c>
      <c r="B602" t="s">
        <v>5667</v>
      </c>
      <c r="C602" t="s">
        <v>5668</v>
      </c>
      <c r="D602" t="s">
        <v>5682</v>
      </c>
      <c r="E602" t="s">
        <v>5683</v>
      </c>
      <c r="F602" t="s">
        <v>5684</v>
      </c>
      <c r="G602" t="s">
        <v>15827</v>
      </c>
      <c r="H602" t="s">
        <v>15831</v>
      </c>
      <c r="I602" t="s">
        <v>16418</v>
      </c>
      <c r="J602" t="s">
        <v>23</v>
      </c>
      <c r="L602" t="s">
        <v>5672</v>
      </c>
      <c r="M602" t="s">
        <v>5685</v>
      </c>
      <c r="N602" t="s">
        <v>5674</v>
      </c>
      <c r="O602" t="s">
        <v>5675</v>
      </c>
      <c r="P602" t="s">
        <v>5676</v>
      </c>
      <c r="Q602" t="s">
        <v>5686</v>
      </c>
      <c r="R602" t="s">
        <v>5687</v>
      </c>
      <c r="S602" t="s">
        <v>5688</v>
      </c>
      <c r="T602" t="s">
        <v>5680</v>
      </c>
      <c r="U602" s="5">
        <v>2217.81</v>
      </c>
      <c r="V602" s="5">
        <v>47.26</v>
      </c>
      <c r="W602" s="5">
        <v>15.297487</v>
      </c>
      <c r="X602" s="5">
        <v>108.761878</v>
      </c>
      <c r="Y602" s="5">
        <v>2170.5500000000002</v>
      </c>
      <c r="Z602" s="5">
        <v>15.306986</v>
      </c>
      <c r="AA602" s="5">
        <v>108.7803</v>
      </c>
      <c r="AB602" s="7">
        <f t="shared" si="55"/>
        <v>7.0889999999999995E-2</v>
      </c>
      <c r="AC602" s="7">
        <f t="shared" si="56"/>
        <v>3.2558250000000002</v>
      </c>
      <c r="AD602" s="6" t="str">
        <f t="shared" si="57"/>
        <v>Quảng Ngãi</v>
      </c>
      <c r="AE602" s="6" t="str">
        <f t="shared" si="58"/>
        <v>Ring 1_CAH Bình Sơn - Vạn Tường</v>
      </c>
      <c r="AG602">
        <f t="shared" si="59"/>
        <v>4.7259999999999996E-2</v>
      </c>
      <c r="AH602">
        <f t="shared" si="60"/>
        <v>2.17055</v>
      </c>
    </row>
    <row r="603" spans="1:34" x14ac:dyDescent="0.25">
      <c r="A603" t="s">
        <v>5689</v>
      </c>
      <c r="B603" t="s">
        <v>5667</v>
      </c>
      <c r="C603" t="s">
        <v>5668</v>
      </c>
      <c r="D603" t="s">
        <v>5690</v>
      </c>
      <c r="E603" t="s">
        <v>5691</v>
      </c>
      <c r="F603" t="s">
        <v>5692</v>
      </c>
      <c r="G603" t="s">
        <v>15827</v>
      </c>
      <c r="H603" t="s">
        <v>15831</v>
      </c>
      <c r="I603" t="s">
        <v>16419</v>
      </c>
      <c r="J603" t="s">
        <v>23</v>
      </c>
      <c r="L603" t="s">
        <v>5672</v>
      </c>
      <c r="M603" t="s">
        <v>5693</v>
      </c>
      <c r="N603" t="s">
        <v>5674</v>
      </c>
      <c r="O603" t="s">
        <v>5675</v>
      </c>
      <c r="P603" t="s">
        <v>5676</v>
      </c>
      <c r="Q603" t="s">
        <v>5694</v>
      </c>
      <c r="R603" t="s">
        <v>5695</v>
      </c>
      <c r="S603" t="s">
        <v>5696</v>
      </c>
      <c r="T603" t="s">
        <v>5680</v>
      </c>
      <c r="U603" s="5">
        <v>2344.83</v>
      </c>
      <c r="V603" s="5">
        <v>47.26</v>
      </c>
      <c r="W603" s="5">
        <v>15.297487</v>
      </c>
      <c r="X603" s="5">
        <v>108.761878</v>
      </c>
      <c r="Y603" s="5">
        <v>2297.5700000000002</v>
      </c>
      <c r="Z603" s="5">
        <v>15.309248</v>
      </c>
      <c r="AA603" s="5">
        <v>108.785146</v>
      </c>
      <c r="AB603" s="7">
        <f t="shared" si="55"/>
        <v>7.0889999999999995E-2</v>
      </c>
      <c r="AC603" s="7">
        <f t="shared" si="56"/>
        <v>3.4463550000000005</v>
      </c>
      <c r="AD603" s="6" t="str">
        <f t="shared" si="57"/>
        <v>Quảng Ngãi</v>
      </c>
      <c r="AE603" s="6" t="str">
        <f t="shared" si="58"/>
        <v>Ring 1_CAH Bình Sơn - Vạn Tường</v>
      </c>
      <c r="AG603">
        <f t="shared" si="59"/>
        <v>4.7259999999999996E-2</v>
      </c>
      <c r="AH603">
        <f t="shared" si="60"/>
        <v>2.2975700000000003</v>
      </c>
    </row>
    <row r="604" spans="1:34" x14ac:dyDescent="0.25">
      <c r="A604" t="s">
        <v>5697</v>
      </c>
      <c r="B604" t="s">
        <v>5667</v>
      </c>
      <c r="C604" t="s">
        <v>5668</v>
      </c>
      <c r="D604" t="s">
        <v>5698</v>
      </c>
      <c r="E604" t="s">
        <v>5699</v>
      </c>
      <c r="F604" t="s">
        <v>5700</v>
      </c>
      <c r="G604" t="s">
        <v>15827</v>
      </c>
      <c r="H604" t="s">
        <v>15831</v>
      </c>
      <c r="I604" t="s">
        <v>16420</v>
      </c>
      <c r="J604" t="s">
        <v>23</v>
      </c>
      <c r="L604" t="s">
        <v>5701</v>
      </c>
      <c r="M604" t="s">
        <v>5702</v>
      </c>
      <c r="N604" t="s">
        <v>5703</v>
      </c>
      <c r="O604" t="s">
        <v>5704</v>
      </c>
      <c r="P604" t="s">
        <v>5705</v>
      </c>
      <c r="Q604" t="s">
        <v>5706</v>
      </c>
      <c r="R604" t="s">
        <v>5707</v>
      </c>
      <c r="S604" t="s">
        <v>5708</v>
      </c>
      <c r="T604" t="s">
        <v>5709</v>
      </c>
      <c r="U604" s="5">
        <v>1201.71</v>
      </c>
      <c r="V604" s="5">
        <v>61.38</v>
      </c>
      <c r="W604" s="5">
        <v>15.297667000000001</v>
      </c>
      <c r="X604" s="5">
        <v>108.762175</v>
      </c>
      <c r="Y604" s="5">
        <v>1140.3399999999999</v>
      </c>
      <c r="Z604" s="5">
        <v>15.301570999999999</v>
      </c>
      <c r="AA604" s="5">
        <v>108.75758500000001</v>
      </c>
      <c r="AB604" s="7">
        <f t="shared" si="55"/>
        <v>9.2070000000000013E-2</v>
      </c>
      <c r="AC604" s="7">
        <f t="shared" si="56"/>
        <v>1.7105099999999998</v>
      </c>
      <c r="AD604" s="6" t="str">
        <f t="shared" si="57"/>
        <v>TTCMKV Bình Sơn</v>
      </c>
      <c r="AE604" s="6" t="str">
        <f t="shared" si="58"/>
        <v>Bình Sơn</v>
      </c>
      <c r="AG604">
        <f t="shared" si="59"/>
        <v>6.1380000000000004E-2</v>
      </c>
      <c r="AH604">
        <f t="shared" si="60"/>
        <v>1.1403399999999999</v>
      </c>
    </row>
    <row r="605" spans="1:34" x14ac:dyDescent="0.25">
      <c r="A605" t="s">
        <v>5710</v>
      </c>
      <c r="B605" t="s">
        <v>5667</v>
      </c>
      <c r="C605" t="s">
        <v>5668</v>
      </c>
      <c r="D605" t="s">
        <v>5711</v>
      </c>
      <c r="E605" t="s">
        <v>5712</v>
      </c>
      <c r="F605" t="s">
        <v>5713</v>
      </c>
      <c r="G605" t="s">
        <v>15827</v>
      </c>
      <c r="H605" t="s">
        <v>15831</v>
      </c>
      <c r="I605" t="s">
        <v>16421</v>
      </c>
      <c r="J605" t="s">
        <v>23</v>
      </c>
      <c r="L605" t="s">
        <v>5701</v>
      </c>
      <c r="M605" t="s">
        <v>5714</v>
      </c>
      <c r="N605" t="s">
        <v>5703</v>
      </c>
      <c r="O605" t="s">
        <v>5704</v>
      </c>
      <c r="P605" t="s">
        <v>5705</v>
      </c>
      <c r="Q605" t="s">
        <v>5715</v>
      </c>
      <c r="R605" t="s">
        <v>5707</v>
      </c>
      <c r="S605" t="s">
        <v>5708</v>
      </c>
      <c r="T605" t="s">
        <v>5709</v>
      </c>
      <c r="U605" s="5">
        <v>657.54</v>
      </c>
      <c r="V605" s="5">
        <v>61.38</v>
      </c>
      <c r="W605" s="5">
        <v>15.297667000000001</v>
      </c>
      <c r="X605" s="5">
        <v>108.762175</v>
      </c>
      <c r="Y605" s="5">
        <v>596.16</v>
      </c>
      <c r="Z605" s="5">
        <v>15.301570999999999</v>
      </c>
      <c r="AA605" s="5">
        <v>108.75758500000001</v>
      </c>
      <c r="AB605" s="7">
        <f t="shared" si="55"/>
        <v>9.2070000000000013E-2</v>
      </c>
      <c r="AC605" s="7">
        <f t="shared" si="56"/>
        <v>0.89424000000000003</v>
      </c>
      <c r="AD605" s="6" t="str">
        <f t="shared" si="57"/>
        <v>TTCMKV Bình Sơn</v>
      </c>
      <c r="AE605" s="6" t="str">
        <f t="shared" si="58"/>
        <v>Bình Sơn</v>
      </c>
      <c r="AG605">
        <f t="shared" si="59"/>
        <v>6.1380000000000004E-2</v>
      </c>
      <c r="AH605">
        <f t="shared" si="60"/>
        <v>0.59616000000000002</v>
      </c>
    </row>
    <row r="606" spans="1:34" x14ac:dyDescent="0.25">
      <c r="A606" t="s">
        <v>5716</v>
      </c>
      <c r="B606" t="s">
        <v>5667</v>
      </c>
      <c r="C606" t="s">
        <v>5668</v>
      </c>
      <c r="D606" t="s">
        <v>5717</v>
      </c>
      <c r="E606" t="s">
        <v>5718</v>
      </c>
      <c r="F606" t="s">
        <v>5719</v>
      </c>
      <c r="G606" t="s">
        <v>15827</v>
      </c>
      <c r="H606" t="s">
        <v>15831</v>
      </c>
      <c r="I606" t="s">
        <v>16422</v>
      </c>
      <c r="J606" t="s">
        <v>23</v>
      </c>
      <c r="L606" t="s">
        <v>5672</v>
      </c>
      <c r="M606" t="s">
        <v>5720</v>
      </c>
      <c r="N606" t="s">
        <v>5674</v>
      </c>
      <c r="O606" t="s">
        <v>5675</v>
      </c>
      <c r="P606" t="s">
        <v>5676</v>
      </c>
      <c r="Q606" t="s">
        <v>3386</v>
      </c>
      <c r="R606" t="s">
        <v>5721</v>
      </c>
      <c r="S606" t="s">
        <v>5722</v>
      </c>
      <c r="T606" t="s">
        <v>5680</v>
      </c>
      <c r="U606" s="5">
        <v>62.36</v>
      </c>
      <c r="V606" s="5">
        <v>47.26</v>
      </c>
      <c r="W606" s="5">
        <v>15.297487</v>
      </c>
      <c r="X606" s="5">
        <v>108.761878</v>
      </c>
      <c r="Y606" s="5">
        <v>15.1</v>
      </c>
      <c r="Z606" s="5">
        <v>15.3362</v>
      </c>
      <c r="AA606" s="5">
        <v>108.841576</v>
      </c>
      <c r="AB606" s="7">
        <f t="shared" si="55"/>
        <v>7.0889999999999995E-2</v>
      </c>
      <c r="AC606" s="7">
        <f t="shared" si="56"/>
        <v>2.265E-2</v>
      </c>
      <c r="AD606" s="6" t="str">
        <f t="shared" si="57"/>
        <v>Quảng Ngãi</v>
      </c>
      <c r="AE606" s="6" t="str">
        <f t="shared" si="58"/>
        <v>Ring 1_CAH Bình Sơn - Vạn Tường</v>
      </c>
      <c r="AG606">
        <f t="shared" si="59"/>
        <v>4.7259999999999996E-2</v>
      </c>
      <c r="AH606">
        <f t="shared" si="60"/>
        <v>1.5099999999999999E-2</v>
      </c>
    </row>
    <row r="607" spans="1:34" x14ac:dyDescent="0.25">
      <c r="A607" t="s">
        <v>5666</v>
      </c>
      <c r="B607" t="s">
        <v>5667</v>
      </c>
      <c r="C607" t="s">
        <v>5668</v>
      </c>
      <c r="D607" t="s">
        <v>5669</v>
      </c>
      <c r="E607" t="s">
        <v>5670</v>
      </c>
      <c r="F607" t="s">
        <v>5723</v>
      </c>
      <c r="G607" t="s">
        <v>15827</v>
      </c>
      <c r="H607" t="s">
        <v>16398</v>
      </c>
      <c r="I607" t="s">
        <v>16417</v>
      </c>
      <c r="J607" t="s">
        <v>23</v>
      </c>
      <c r="L607" t="s">
        <v>5672</v>
      </c>
      <c r="M607" t="s">
        <v>5673</v>
      </c>
      <c r="N607" t="s">
        <v>5674</v>
      </c>
      <c r="O607" t="s">
        <v>5675</v>
      </c>
      <c r="P607" t="s">
        <v>5676</v>
      </c>
      <c r="Q607" t="s">
        <v>5677</v>
      </c>
      <c r="R607" t="s">
        <v>5678</v>
      </c>
      <c r="S607" t="s">
        <v>5679</v>
      </c>
      <c r="T607" t="s">
        <v>5680</v>
      </c>
      <c r="U607" s="5">
        <v>2839.2</v>
      </c>
      <c r="V607" s="5">
        <v>47.26</v>
      </c>
      <c r="W607" s="5">
        <v>15.297487</v>
      </c>
      <c r="X607" s="5">
        <v>108.761878</v>
      </c>
      <c r="Y607" s="5">
        <v>2791.94</v>
      </c>
      <c r="Z607" s="5">
        <v>15.324786</v>
      </c>
      <c r="AA607" s="5">
        <v>108.813141</v>
      </c>
      <c r="AB607" s="7">
        <f t="shared" si="55"/>
        <v>7.0889999999999995E-2</v>
      </c>
      <c r="AC607" s="7">
        <f t="shared" si="56"/>
        <v>4.1879099999999996</v>
      </c>
      <c r="AD607" s="6" t="str">
        <f t="shared" si="57"/>
        <v>Quảng Ngãi</v>
      </c>
      <c r="AE607" s="6" t="str">
        <f t="shared" si="58"/>
        <v>Ring 1_CAH Bình Sơn - Vạn Tường</v>
      </c>
      <c r="AG607">
        <f t="shared" si="59"/>
        <v>4.7259999999999996E-2</v>
      </c>
      <c r="AH607">
        <f t="shared" si="60"/>
        <v>2.7919399999999999</v>
      </c>
    </row>
    <row r="608" spans="1:34" x14ac:dyDescent="0.25">
      <c r="A608" t="s">
        <v>5724</v>
      </c>
      <c r="B608" t="s">
        <v>5315</v>
      </c>
      <c r="C608" t="s">
        <v>5316</v>
      </c>
      <c r="D608" t="s">
        <v>5667</v>
      </c>
      <c r="E608" t="s">
        <v>5668</v>
      </c>
      <c r="F608" t="s">
        <v>5725</v>
      </c>
      <c r="G608" t="s">
        <v>15827</v>
      </c>
      <c r="H608" t="s">
        <v>15831</v>
      </c>
      <c r="I608" t="s">
        <v>16423</v>
      </c>
      <c r="J608" t="s">
        <v>23</v>
      </c>
      <c r="L608" t="s">
        <v>5726</v>
      </c>
      <c r="M608" t="s">
        <v>5727</v>
      </c>
      <c r="N608" t="s">
        <v>5728</v>
      </c>
      <c r="O608" t="s">
        <v>5729</v>
      </c>
      <c r="P608" t="s">
        <v>5730</v>
      </c>
      <c r="Q608" t="s">
        <v>5731</v>
      </c>
      <c r="R608" t="s">
        <v>5732</v>
      </c>
      <c r="S608" t="s">
        <v>5733</v>
      </c>
      <c r="T608" t="s">
        <v>5734</v>
      </c>
      <c r="U608" s="5">
        <v>2455.37</v>
      </c>
      <c r="V608" s="5">
        <v>2075.35</v>
      </c>
      <c r="W608" s="5">
        <v>15.21908</v>
      </c>
      <c r="X608" s="5">
        <v>108.787367</v>
      </c>
      <c r="Y608" s="5">
        <v>380.02</v>
      </c>
      <c r="Z608" s="5">
        <v>15.29429</v>
      </c>
      <c r="AA608" s="5">
        <v>108.76408600000001</v>
      </c>
      <c r="AB608" s="7">
        <f t="shared" si="55"/>
        <v>3.1130249999999995</v>
      </c>
      <c r="AC608" s="7">
        <f t="shared" si="56"/>
        <v>0.57002999999999993</v>
      </c>
      <c r="AD608" s="6" t="str">
        <f t="shared" si="57"/>
        <v>Bình Sơn</v>
      </c>
      <c r="AE608" s="6" t="str">
        <f t="shared" si="58"/>
        <v>TT1 Quảng Ngãi</v>
      </c>
      <c r="AG608">
        <f t="shared" si="59"/>
        <v>2.0753499999999998</v>
      </c>
      <c r="AH608">
        <f t="shared" si="60"/>
        <v>0.38001999999999997</v>
      </c>
    </row>
    <row r="609" spans="1:34" x14ac:dyDescent="0.25">
      <c r="A609" t="s">
        <v>5735</v>
      </c>
      <c r="B609" t="s">
        <v>5736</v>
      </c>
      <c r="C609" t="s">
        <v>5737</v>
      </c>
      <c r="D609" t="s">
        <v>5667</v>
      </c>
      <c r="E609" t="s">
        <v>5668</v>
      </c>
      <c r="F609" t="s">
        <v>5738</v>
      </c>
      <c r="G609" t="s">
        <v>15827</v>
      </c>
      <c r="H609" t="s">
        <v>15831</v>
      </c>
      <c r="I609" t="s">
        <v>16424</v>
      </c>
      <c r="J609" t="s">
        <v>23</v>
      </c>
      <c r="L609" t="s">
        <v>5739</v>
      </c>
      <c r="M609" t="s">
        <v>5740</v>
      </c>
      <c r="N609" t="s">
        <v>5741</v>
      </c>
      <c r="O609" t="s">
        <v>5742</v>
      </c>
      <c r="P609" t="s">
        <v>5743</v>
      </c>
      <c r="Q609" t="s">
        <v>5744</v>
      </c>
      <c r="R609" t="s">
        <v>5745</v>
      </c>
      <c r="S609" t="s">
        <v>5746</v>
      </c>
      <c r="T609" t="s">
        <v>5747</v>
      </c>
      <c r="U609" s="5">
        <v>259.83999999999997</v>
      </c>
      <c r="V609" s="5">
        <v>216.3</v>
      </c>
      <c r="W609" s="5">
        <v>15.274777</v>
      </c>
      <c r="X609" s="5">
        <v>108.720617</v>
      </c>
      <c r="Y609" s="5">
        <v>43.54</v>
      </c>
      <c r="Z609" s="5">
        <v>15.297447999999999</v>
      </c>
      <c r="AA609" s="5">
        <v>108.76187899999999</v>
      </c>
      <c r="AB609" s="7">
        <f t="shared" si="55"/>
        <v>0.32445000000000007</v>
      </c>
      <c r="AC609" s="7">
        <f t="shared" si="56"/>
        <v>6.5310000000000007E-2</v>
      </c>
      <c r="AD609" s="6" t="str">
        <f t="shared" si="57"/>
        <v>Trà Bồng</v>
      </c>
      <c r="AE609" s="6" t="str">
        <f t="shared" si="58"/>
        <v>Bình Sơn</v>
      </c>
      <c r="AG609">
        <f t="shared" si="59"/>
        <v>0.21630000000000002</v>
      </c>
      <c r="AH609">
        <f t="shared" si="60"/>
        <v>4.3540000000000002E-2</v>
      </c>
    </row>
    <row r="610" spans="1:34" x14ac:dyDescent="0.25">
      <c r="A610" t="s">
        <v>5748</v>
      </c>
      <c r="B610" t="s">
        <v>5749</v>
      </c>
      <c r="C610" t="s">
        <v>5750</v>
      </c>
      <c r="D610" t="s">
        <v>5667</v>
      </c>
      <c r="E610" t="s">
        <v>5668</v>
      </c>
      <c r="F610" t="s">
        <v>5751</v>
      </c>
      <c r="G610" t="s">
        <v>15827</v>
      </c>
      <c r="H610" t="s">
        <v>15831</v>
      </c>
      <c r="I610" t="s">
        <v>16425</v>
      </c>
      <c r="J610" t="s">
        <v>23</v>
      </c>
      <c r="L610" t="s">
        <v>5739</v>
      </c>
      <c r="M610" t="s">
        <v>5752</v>
      </c>
      <c r="N610" t="s">
        <v>5753</v>
      </c>
      <c r="O610" t="s">
        <v>5754</v>
      </c>
      <c r="P610" t="s">
        <v>5755</v>
      </c>
      <c r="Q610" t="s">
        <v>5744</v>
      </c>
      <c r="R610" t="s">
        <v>5745</v>
      </c>
      <c r="S610" t="s">
        <v>5746</v>
      </c>
      <c r="T610" t="s">
        <v>5747</v>
      </c>
      <c r="U610" s="5">
        <v>419.88</v>
      </c>
      <c r="V610" s="5">
        <v>376.34</v>
      </c>
      <c r="W610" s="5">
        <v>15.281186</v>
      </c>
      <c r="X610" s="5">
        <v>108.739684</v>
      </c>
      <c r="Y610" s="5">
        <v>43.54</v>
      </c>
      <c r="Z610" s="5">
        <v>15.297447999999999</v>
      </c>
      <c r="AA610" s="5">
        <v>108.76187899999999</v>
      </c>
      <c r="AB610" s="7">
        <f t="shared" si="55"/>
        <v>0.56450999999999996</v>
      </c>
      <c r="AC610" s="7">
        <f t="shared" si="56"/>
        <v>6.5310000000000007E-2</v>
      </c>
      <c r="AD610" s="6" t="str">
        <f t="shared" si="57"/>
        <v>Trà Bồng</v>
      </c>
      <c r="AE610" s="6" t="str">
        <f t="shared" si="58"/>
        <v>Bình Sơn</v>
      </c>
      <c r="AG610">
        <f t="shared" si="59"/>
        <v>0.37633999999999995</v>
      </c>
      <c r="AH610">
        <f t="shared" si="60"/>
        <v>4.3540000000000002E-2</v>
      </c>
    </row>
    <row r="611" spans="1:34" x14ac:dyDescent="0.25">
      <c r="A611" t="s">
        <v>5756</v>
      </c>
      <c r="B611" t="s">
        <v>5757</v>
      </c>
      <c r="C611" t="s">
        <v>5758</v>
      </c>
      <c r="D611" t="s">
        <v>5667</v>
      </c>
      <c r="E611" t="s">
        <v>5668</v>
      </c>
      <c r="F611" t="s">
        <v>5759</v>
      </c>
      <c r="G611" t="s">
        <v>15827</v>
      </c>
      <c r="H611" t="s">
        <v>15831</v>
      </c>
      <c r="I611" t="s">
        <v>16426</v>
      </c>
      <c r="J611" t="s">
        <v>23</v>
      </c>
      <c r="L611" t="s">
        <v>5760</v>
      </c>
      <c r="M611" t="s">
        <v>5761</v>
      </c>
      <c r="N611" t="s">
        <v>5762</v>
      </c>
      <c r="O611" t="s">
        <v>5763</v>
      </c>
      <c r="P611" t="s">
        <v>5764</v>
      </c>
      <c r="Q611" t="s">
        <v>5765</v>
      </c>
      <c r="R611" t="s">
        <v>5766</v>
      </c>
      <c r="S611" t="s">
        <v>5767</v>
      </c>
      <c r="T611" t="s">
        <v>5768</v>
      </c>
      <c r="U611" s="5">
        <v>676.53</v>
      </c>
      <c r="V611" s="5">
        <v>337.48</v>
      </c>
      <c r="W611" s="5">
        <v>15.275721000000001</v>
      </c>
      <c r="X611" s="5">
        <v>108.773759</v>
      </c>
      <c r="Y611" s="5">
        <v>339.06</v>
      </c>
      <c r="Z611" s="5">
        <v>15.294822999999999</v>
      </c>
      <c r="AA611" s="5">
        <v>108.76002099999999</v>
      </c>
      <c r="AB611" s="7">
        <f t="shared" si="55"/>
        <v>0.50622</v>
      </c>
      <c r="AC611" s="7">
        <f t="shared" si="56"/>
        <v>0.50858999999999999</v>
      </c>
      <c r="AD611" s="6" t="str">
        <f t="shared" si="57"/>
        <v>Bình Sơn</v>
      </c>
      <c r="AE611" s="6" t="str">
        <f t="shared" si="58"/>
        <v>Thọ Phong</v>
      </c>
      <c r="AG611">
        <f t="shared" si="59"/>
        <v>0.33748</v>
      </c>
      <c r="AH611">
        <f t="shared" si="60"/>
        <v>0.33906000000000003</v>
      </c>
    </row>
    <row r="612" spans="1:34" x14ac:dyDescent="0.25">
      <c r="A612" t="s">
        <v>5769</v>
      </c>
      <c r="B612" t="s">
        <v>5770</v>
      </c>
      <c r="C612" t="s">
        <v>5771</v>
      </c>
      <c r="D612" t="s">
        <v>5667</v>
      </c>
      <c r="E612" t="s">
        <v>5668</v>
      </c>
      <c r="F612" t="s">
        <v>5772</v>
      </c>
      <c r="G612" t="s">
        <v>15827</v>
      </c>
      <c r="H612" t="s">
        <v>15831</v>
      </c>
      <c r="I612" t="s">
        <v>16427</v>
      </c>
      <c r="J612" t="s">
        <v>23</v>
      </c>
      <c r="L612" t="s">
        <v>5739</v>
      </c>
      <c r="M612" t="s">
        <v>5773</v>
      </c>
      <c r="N612" t="s">
        <v>5774</v>
      </c>
      <c r="O612" t="s">
        <v>5775</v>
      </c>
      <c r="P612" t="s">
        <v>5776</v>
      </c>
      <c r="Q612" t="s">
        <v>5744</v>
      </c>
      <c r="R612" t="s">
        <v>5745</v>
      </c>
      <c r="S612" t="s">
        <v>5746</v>
      </c>
      <c r="T612" t="s">
        <v>5747</v>
      </c>
      <c r="U612" s="5">
        <v>565.66</v>
      </c>
      <c r="V612" s="5">
        <v>522.11</v>
      </c>
      <c r="W612" s="5">
        <v>15.298811000000001</v>
      </c>
      <c r="X612" s="5">
        <v>108.76312799999999</v>
      </c>
      <c r="Y612" s="5">
        <v>43.54</v>
      </c>
      <c r="Z612" s="5">
        <v>15.297447999999999</v>
      </c>
      <c r="AA612" s="5">
        <v>108.76187899999999</v>
      </c>
      <c r="AB612" s="7">
        <f t="shared" si="55"/>
        <v>0.783165</v>
      </c>
      <c r="AC612" s="7">
        <f t="shared" si="56"/>
        <v>6.5310000000000007E-2</v>
      </c>
      <c r="AD612" s="6" t="str">
        <f t="shared" si="57"/>
        <v>Trà Bồng</v>
      </c>
      <c r="AE612" s="6" t="str">
        <f t="shared" si="58"/>
        <v>Bình Sơn</v>
      </c>
      <c r="AG612">
        <f t="shared" si="59"/>
        <v>0.52210999999999996</v>
      </c>
      <c r="AH612">
        <f t="shared" si="60"/>
        <v>4.3540000000000002E-2</v>
      </c>
    </row>
    <row r="613" spans="1:34" x14ac:dyDescent="0.25">
      <c r="A613" t="s">
        <v>5777</v>
      </c>
      <c r="B613" t="s">
        <v>5778</v>
      </c>
      <c r="C613" t="s">
        <v>5779</v>
      </c>
      <c r="D613" t="s">
        <v>5667</v>
      </c>
      <c r="E613" t="s">
        <v>5668</v>
      </c>
      <c r="F613" t="s">
        <v>5780</v>
      </c>
      <c r="G613" t="s">
        <v>15979</v>
      </c>
      <c r="H613" t="s">
        <v>15980</v>
      </c>
      <c r="I613" t="s">
        <v>16428</v>
      </c>
      <c r="J613" t="s">
        <v>23</v>
      </c>
      <c r="L613" t="s">
        <v>5739</v>
      </c>
      <c r="M613" t="s">
        <v>5781</v>
      </c>
      <c r="N613" t="s">
        <v>5782</v>
      </c>
      <c r="O613" t="s">
        <v>5783</v>
      </c>
      <c r="P613" t="s">
        <v>5784</v>
      </c>
      <c r="Q613" t="s">
        <v>5744</v>
      </c>
      <c r="R613" t="s">
        <v>5745</v>
      </c>
      <c r="S613" t="s">
        <v>5746</v>
      </c>
      <c r="T613" t="s">
        <v>5747</v>
      </c>
      <c r="U613" s="5">
        <v>214.98</v>
      </c>
      <c r="V613" s="5">
        <v>171.44</v>
      </c>
      <c r="W613" s="5">
        <v>15.291643000000001</v>
      </c>
      <c r="X613" s="5">
        <v>108.757813</v>
      </c>
      <c r="Y613" s="5">
        <v>43.54</v>
      </c>
      <c r="Z613" s="5">
        <v>15.297447999999999</v>
      </c>
      <c r="AA613" s="5">
        <v>108.76187899999999</v>
      </c>
      <c r="AB613" s="7">
        <f t="shared" si="55"/>
        <v>0.25715999999999994</v>
      </c>
      <c r="AC613" s="7">
        <f t="shared" si="56"/>
        <v>6.5310000000000007E-2</v>
      </c>
      <c r="AD613" s="6" t="str">
        <f t="shared" si="57"/>
        <v>Trà Bồng</v>
      </c>
      <c r="AE613" s="6" t="str">
        <f t="shared" si="58"/>
        <v>Bình Sơn</v>
      </c>
      <c r="AG613">
        <f t="shared" si="59"/>
        <v>0.17144000000000001</v>
      </c>
      <c r="AH613">
        <f t="shared" si="60"/>
        <v>4.3540000000000002E-2</v>
      </c>
    </row>
    <row r="614" spans="1:34" x14ac:dyDescent="0.25">
      <c r="A614" t="s">
        <v>5785</v>
      </c>
      <c r="B614" t="s">
        <v>5786</v>
      </c>
      <c r="C614" t="s">
        <v>5787</v>
      </c>
      <c r="D614" t="s">
        <v>5788</v>
      </c>
      <c r="E614" t="s">
        <v>5789</v>
      </c>
      <c r="F614" t="s">
        <v>5790</v>
      </c>
      <c r="G614" t="s">
        <v>15827</v>
      </c>
      <c r="H614" t="s">
        <v>16377</v>
      </c>
      <c r="I614" t="s">
        <v>16429</v>
      </c>
      <c r="J614" t="s">
        <v>23</v>
      </c>
      <c r="L614" t="s">
        <v>5437</v>
      </c>
      <c r="M614" t="s">
        <v>5791</v>
      </c>
      <c r="N614" t="s">
        <v>5792</v>
      </c>
      <c r="O614" t="s">
        <v>5793</v>
      </c>
      <c r="P614" t="s">
        <v>5794</v>
      </c>
      <c r="Q614" t="s">
        <v>5795</v>
      </c>
      <c r="R614" t="s">
        <v>5796</v>
      </c>
      <c r="S614" t="s">
        <v>5797</v>
      </c>
      <c r="T614" t="s">
        <v>5798</v>
      </c>
      <c r="U614" s="5">
        <v>2588.46</v>
      </c>
      <c r="V614" s="5">
        <v>2242.4899999999998</v>
      </c>
      <c r="W614" s="5">
        <v>15.117129</v>
      </c>
      <c r="X614" s="5">
        <v>108.82477299999999</v>
      </c>
      <c r="Y614" s="5">
        <v>345.97</v>
      </c>
      <c r="Z614" s="5">
        <v>15.084956</v>
      </c>
      <c r="AA614" s="5">
        <v>108.829359</v>
      </c>
      <c r="AB614" s="7">
        <f t="shared" si="55"/>
        <v>3.3637349999999997</v>
      </c>
      <c r="AC614" s="7">
        <f t="shared" si="56"/>
        <v>0.51895500000000006</v>
      </c>
      <c r="AD614" s="6" t="str">
        <f t="shared" si="57"/>
        <v>Đức Phổ</v>
      </c>
      <c r="AE614" s="6" t="str">
        <f t="shared" si="58"/>
        <v>TT1 Quảng Ngãi mới</v>
      </c>
      <c r="AG614">
        <f t="shared" si="59"/>
        <v>2.2424899999999997</v>
      </c>
      <c r="AH614">
        <f t="shared" si="60"/>
        <v>0.34597</v>
      </c>
    </row>
    <row r="615" spans="1:34" x14ac:dyDescent="0.25">
      <c r="A615" t="s">
        <v>5799</v>
      </c>
      <c r="B615" t="s">
        <v>5800</v>
      </c>
      <c r="C615" t="s">
        <v>5801</v>
      </c>
      <c r="D615" t="s">
        <v>5788</v>
      </c>
      <c r="E615" t="s">
        <v>5789</v>
      </c>
      <c r="F615" t="s">
        <v>5802</v>
      </c>
      <c r="G615" t="s">
        <v>15827</v>
      </c>
      <c r="H615" t="s">
        <v>16377</v>
      </c>
      <c r="I615" t="s">
        <v>16430</v>
      </c>
      <c r="J615" t="s">
        <v>23</v>
      </c>
      <c r="L615" t="s">
        <v>5803</v>
      </c>
      <c r="M615" t="s">
        <v>5804</v>
      </c>
      <c r="N615" t="s">
        <v>5805</v>
      </c>
      <c r="O615" t="s">
        <v>5806</v>
      </c>
      <c r="P615" t="s">
        <v>5807</v>
      </c>
      <c r="Q615" t="s">
        <v>5808</v>
      </c>
      <c r="R615" t="s">
        <v>5809</v>
      </c>
      <c r="S615" t="s">
        <v>5810</v>
      </c>
      <c r="T615" t="s">
        <v>5811</v>
      </c>
      <c r="U615" s="5">
        <v>537.49</v>
      </c>
      <c r="V615" s="5">
        <v>192.46</v>
      </c>
      <c r="W615" s="5">
        <v>15.078923</v>
      </c>
      <c r="X615" s="5">
        <v>108.83280999999999</v>
      </c>
      <c r="Y615" s="5">
        <v>345.03</v>
      </c>
      <c r="Z615" s="5">
        <v>15.085029</v>
      </c>
      <c r="AA615" s="5">
        <v>108.829308</v>
      </c>
      <c r="AB615" s="7">
        <f t="shared" si="55"/>
        <v>0.28869</v>
      </c>
      <c r="AC615" s="7">
        <f t="shared" si="56"/>
        <v>0.51754499999999992</v>
      </c>
      <c r="AD615" s="6" t="str">
        <f t="shared" si="57"/>
        <v>Vệ Giang</v>
      </c>
      <c r="AE615" s="6" t="str">
        <f t="shared" si="58"/>
        <v>Cẩm Thành</v>
      </c>
      <c r="AG615">
        <f t="shared" si="59"/>
        <v>0.19246000000000002</v>
      </c>
      <c r="AH615">
        <f t="shared" si="60"/>
        <v>0.34502999999999995</v>
      </c>
    </row>
    <row r="616" spans="1:34" x14ac:dyDescent="0.25">
      <c r="A616" t="s">
        <v>5812</v>
      </c>
      <c r="B616" t="s">
        <v>5813</v>
      </c>
      <c r="C616" t="s">
        <v>5814</v>
      </c>
      <c r="D616" t="s">
        <v>5788</v>
      </c>
      <c r="E616" t="s">
        <v>5789</v>
      </c>
      <c r="F616" t="s">
        <v>5815</v>
      </c>
      <c r="G616" t="s">
        <v>15827</v>
      </c>
      <c r="H616" t="s">
        <v>16377</v>
      </c>
      <c r="I616" t="s">
        <v>16431</v>
      </c>
      <c r="J616" t="s">
        <v>23</v>
      </c>
      <c r="L616" t="s">
        <v>5816</v>
      </c>
      <c r="M616" t="s">
        <v>5817</v>
      </c>
      <c r="N616" t="s">
        <v>5818</v>
      </c>
      <c r="O616" t="s">
        <v>5819</v>
      </c>
      <c r="P616" t="s">
        <v>5820</v>
      </c>
      <c r="Q616" t="s">
        <v>5821</v>
      </c>
      <c r="R616" t="s">
        <v>5822</v>
      </c>
      <c r="S616" t="s">
        <v>5823</v>
      </c>
      <c r="T616" t="s">
        <v>5824</v>
      </c>
      <c r="U616" s="5">
        <v>369.01</v>
      </c>
      <c r="V616" s="5">
        <v>321.62</v>
      </c>
      <c r="W616" s="5">
        <v>15.088100000000001</v>
      </c>
      <c r="X616" s="5">
        <v>108.821113</v>
      </c>
      <c r="Y616" s="5">
        <v>47.39</v>
      </c>
      <c r="Z616" s="5">
        <v>15.08394</v>
      </c>
      <c r="AA616" s="5">
        <v>108.82642800000001</v>
      </c>
      <c r="AB616" s="7">
        <f t="shared" si="55"/>
        <v>0.48243000000000003</v>
      </c>
      <c r="AC616" s="7">
        <f t="shared" si="56"/>
        <v>7.1085000000000009E-2</v>
      </c>
      <c r="AD616" s="6" t="str">
        <f t="shared" si="57"/>
        <v>Cơ sở cai nghiện (X. Nghĩa Kỳ, H. Tư Nghĩa)</v>
      </c>
      <c r="AE616" s="6" t="str">
        <f t="shared" si="58"/>
        <v>TTCMKV Tư Nghĩa</v>
      </c>
      <c r="AG616">
        <f t="shared" si="59"/>
        <v>0.32162000000000002</v>
      </c>
      <c r="AH616">
        <f t="shared" si="60"/>
        <v>4.7390000000000002E-2</v>
      </c>
    </row>
    <row r="617" spans="1:34" x14ac:dyDescent="0.25">
      <c r="A617" t="s">
        <v>5825</v>
      </c>
      <c r="B617" t="s">
        <v>5434</v>
      </c>
      <c r="C617" t="s">
        <v>5435</v>
      </c>
      <c r="D617" t="s">
        <v>5788</v>
      </c>
      <c r="E617" t="s">
        <v>5789</v>
      </c>
      <c r="F617" t="s">
        <v>5826</v>
      </c>
      <c r="G617" t="s">
        <v>15979</v>
      </c>
      <c r="H617" t="s">
        <v>15980</v>
      </c>
      <c r="I617" t="s">
        <v>16432</v>
      </c>
      <c r="J617" t="s">
        <v>23</v>
      </c>
      <c r="L617" t="s">
        <v>5827</v>
      </c>
      <c r="M617" t="s">
        <v>5828</v>
      </c>
      <c r="N617" t="s">
        <v>5829</v>
      </c>
      <c r="O617" t="s">
        <v>5830</v>
      </c>
      <c r="P617" t="s">
        <v>5831</v>
      </c>
      <c r="Q617" t="s">
        <v>5832</v>
      </c>
      <c r="R617" t="s">
        <v>5833</v>
      </c>
      <c r="S617" t="s">
        <v>5834</v>
      </c>
      <c r="T617" t="s">
        <v>5835</v>
      </c>
      <c r="U617" s="5">
        <v>380.61</v>
      </c>
      <c r="V617" s="5">
        <v>104.88</v>
      </c>
      <c r="W617" s="5">
        <v>15.058427999999999</v>
      </c>
      <c r="X617" s="5">
        <v>108.842528</v>
      </c>
      <c r="Y617" s="5">
        <v>275.73</v>
      </c>
      <c r="Z617" s="5">
        <v>15.081044</v>
      </c>
      <c r="AA617" s="5">
        <v>108.826357</v>
      </c>
      <c r="AB617" s="7">
        <f t="shared" si="55"/>
        <v>0.15731999999999999</v>
      </c>
      <c r="AC617" s="7">
        <f t="shared" si="56"/>
        <v>0.41359500000000005</v>
      </c>
      <c r="AD617" s="6" t="str">
        <f t="shared" si="57"/>
        <v>Long Phụng</v>
      </c>
      <c r="AE617" s="6" t="str">
        <f t="shared" si="58"/>
        <v>Tư Nghĩa</v>
      </c>
      <c r="AG617">
        <f t="shared" si="59"/>
        <v>0.10488</v>
      </c>
      <c r="AH617">
        <f t="shared" si="60"/>
        <v>0.27573000000000003</v>
      </c>
    </row>
    <row r="618" spans="1:34" x14ac:dyDescent="0.25">
      <c r="A618" t="s">
        <v>5836</v>
      </c>
      <c r="B618" t="s">
        <v>5788</v>
      </c>
      <c r="C618" t="s">
        <v>5789</v>
      </c>
      <c r="D618" t="s">
        <v>5403</v>
      </c>
      <c r="E618" t="s">
        <v>5404</v>
      </c>
      <c r="F618" t="s">
        <v>5837</v>
      </c>
      <c r="G618" t="s">
        <v>15979</v>
      </c>
      <c r="H618" t="s">
        <v>15980</v>
      </c>
      <c r="I618" t="s">
        <v>16433</v>
      </c>
      <c r="J618" t="s">
        <v>23</v>
      </c>
      <c r="L618" t="s">
        <v>5816</v>
      </c>
      <c r="M618" t="s">
        <v>5838</v>
      </c>
      <c r="N618" t="s">
        <v>5821</v>
      </c>
      <c r="O618" t="s">
        <v>5822</v>
      </c>
      <c r="P618" t="s">
        <v>5823</v>
      </c>
      <c r="Q618" t="s">
        <v>5839</v>
      </c>
      <c r="R618" t="s">
        <v>5840</v>
      </c>
      <c r="S618" t="s">
        <v>5841</v>
      </c>
      <c r="T618" t="s">
        <v>5824</v>
      </c>
      <c r="U618" s="5">
        <v>2770.12</v>
      </c>
      <c r="V618" s="5">
        <v>47.39</v>
      </c>
      <c r="W618" s="5">
        <v>15.08394</v>
      </c>
      <c r="X618" s="5">
        <v>108.82642800000001</v>
      </c>
      <c r="Y618" s="5">
        <v>2722.73</v>
      </c>
      <c r="Z618" s="5">
        <v>15.109165000000001</v>
      </c>
      <c r="AA618" s="5">
        <v>108.78915000000001</v>
      </c>
      <c r="AB618" s="7">
        <f t="shared" si="55"/>
        <v>7.1085000000000009E-2</v>
      </c>
      <c r="AC618" s="7">
        <f t="shared" si="56"/>
        <v>4.0840950000000005</v>
      </c>
      <c r="AD618" s="6" t="str">
        <f t="shared" si="57"/>
        <v>Cơ sở cai nghiện (X. Nghĩa Kỳ, H. Tư Nghĩa)</v>
      </c>
      <c r="AE618" s="6" t="str">
        <f t="shared" si="58"/>
        <v>TTCMKV Tư Nghĩa</v>
      </c>
      <c r="AG618">
        <f t="shared" si="59"/>
        <v>4.7390000000000002E-2</v>
      </c>
      <c r="AH618">
        <f t="shared" si="60"/>
        <v>2.7227299999999999</v>
      </c>
    </row>
    <row r="619" spans="1:34" x14ac:dyDescent="0.25">
      <c r="A619" t="s">
        <v>5842</v>
      </c>
      <c r="B619" t="s">
        <v>5717</v>
      </c>
      <c r="C619" t="s">
        <v>5718</v>
      </c>
      <c r="D619" t="s">
        <v>5843</v>
      </c>
      <c r="E619" t="s">
        <v>5844</v>
      </c>
      <c r="F619" t="s">
        <v>5845</v>
      </c>
      <c r="G619" t="s">
        <v>15827</v>
      </c>
      <c r="H619" t="s">
        <v>15831</v>
      </c>
      <c r="I619" t="s">
        <v>16434</v>
      </c>
      <c r="J619" t="s">
        <v>23</v>
      </c>
      <c r="L619" t="s">
        <v>5846</v>
      </c>
      <c r="M619" t="s">
        <v>5847</v>
      </c>
      <c r="N619" t="s">
        <v>5848</v>
      </c>
      <c r="O619" t="s">
        <v>5849</v>
      </c>
      <c r="P619" t="s">
        <v>5850</v>
      </c>
      <c r="Q619" t="s">
        <v>5851</v>
      </c>
      <c r="R619" t="s">
        <v>5852</v>
      </c>
      <c r="S619" t="s">
        <v>5853</v>
      </c>
      <c r="T619" t="s">
        <v>5854</v>
      </c>
      <c r="U619" s="5">
        <v>312.98</v>
      </c>
      <c r="V619" s="5">
        <v>78.48</v>
      </c>
      <c r="W619" s="5">
        <v>15.336315000000001</v>
      </c>
      <c r="X619" s="5">
        <v>108.84218</v>
      </c>
      <c r="Y619" s="5">
        <v>234.5</v>
      </c>
      <c r="Z619" s="5">
        <v>15.32572</v>
      </c>
      <c r="AA619" s="5">
        <v>108.859756</v>
      </c>
      <c r="AB619" s="7">
        <f t="shared" si="55"/>
        <v>0.11772000000000001</v>
      </c>
      <c r="AC619" s="7">
        <f t="shared" si="56"/>
        <v>0.35175000000000001</v>
      </c>
      <c r="AD619" s="6" t="str">
        <f t="shared" si="57"/>
        <v>Quảng Ngãi</v>
      </c>
      <c r="AE619" s="6" t="str">
        <f t="shared" si="58"/>
        <v>Ring 1_Vạn Tường - Đông Sơn</v>
      </c>
      <c r="AG619">
        <f t="shared" si="59"/>
        <v>7.8480000000000008E-2</v>
      </c>
      <c r="AH619">
        <f t="shared" si="60"/>
        <v>0.23449999999999999</v>
      </c>
    </row>
    <row r="620" spans="1:34" x14ac:dyDescent="0.25">
      <c r="A620" t="s">
        <v>5855</v>
      </c>
      <c r="B620" t="s">
        <v>5856</v>
      </c>
      <c r="C620" t="s">
        <v>5857</v>
      </c>
      <c r="D620" t="s">
        <v>5717</v>
      </c>
      <c r="E620" t="s">
        <v>5718</v>
      </c>
      <c r="F620" t="s">
        <v>5858</v>
      </c>
      <c r="G620" t="s">
        <v>15827</v>
      </c>
      <c r="H620" t="s">
        <v>15831</v>
      </c>
      <c r="I620" t="s">
        <v>16435</v>
      </c>
      <c r="J620" t="s">
        <v>23</v>
      </c>
      <c r="L620" t="s">
        <v>5859</v>
      </c>
      <c r="M620" t="s">
        <v>5860</v>
      </c>
      <c r="N620" t="s">
        <v>5861</v>
      </c>
      <c r="O620" t="s">
        <v>5862</v>
      </c>
      <c r="P620" t="s">
        <v>5863</v>
      </c>
      <c r="Q620" t="s">
        <v>5864</v>
      </c>
      <c r="R620" t="s">
        <v>5862</v>
      </c>
      <c r="S620" t="s">
        <v>5863</v>
      </c>
      <c r="T620" t="s">
        <v>5865</v>
      </c>
      <c r="U620" s="5">
        <v>66.650000000000006</v>
      </c>
      <c r="V620" s="5">
        <v>41.49</v>
      </c>
      <c r="W620" s="5">
        <v>15.336204</v>
      </c>
      <c r="X620" s="5">
        <v>108.841223</v>
      </c>
      <c r="Y620" s="5">
        <v>25.16</v>
      </c>
      <c r="Z620" s="5">
        <v>15.336204</v>
      </c>
      <c r="AA620" s="5">
        <v>108.841223</v>
      </c>
      <c r="AB620" s="7">
        <f t="shared" si="55"/>
        <v>6.2234999999999999E-2</v>
      </c>
      <c r="AC620" s="7">
        <f t="shared" si="56"/>
        <v>3.7740000000000003E-2</v>
      </c>
      <c r="AD620" s="6" t="e">
        <f t="shared" si="57"/>
        <v>#VALUE!</v>
      </c>
      <c r="AE620" s="6" t="e">
        <f t="shared" si="58"/>
        <v>#VALUE!</v>
      </c>
      <c r="AG620">
        <f t="shared" si="59"/>
        <v>4.1489999999999999E-2</v>
      </c>
      <c r="AH620">
        <f t="shared" si="60"/>
        <v>2.5160000000000002E-2</v>
      </c>
    </row>
    <row r="621" spans="1:34" x14ac:dyDescent="0.25">
      <c r="A621" t="s">
        <v>5866</v>
      </c>
      <c r="B621" t="s">
        <v>5867</v>
      </c>
      <c r="C621" t="s">
        <v>5868</v>
      </c>
      <c r="D621" t="s">
        <v>5717</v>
      </c>
      <c r="E621" t="s">
        <v>5718</v>
      </c>
      <c r="F621" t="s">
        <v>5869</v>
      </c>
      <c r="G621" t="s">
        <v>15827</v>
      </c>
      <c r="H621" t="s">
        <v>15831</v>
      </c>
      <c r="I621" t="s">
        <v>16436</v>
      </c>
      <c r="J621" t="s">
        <v>23</v>
      </c>
      <c r="L621" t="s">
        <v>5859</v>
      </c>
      <c r="M621" t="s">
        <v>5870</v>
      </c>
      <c r="N621" t="s">
        <v>5871</v>
      </c>
      <c r="O621" t="s">
        <v>5872</v>
      </c>
      <c r="P621" t="s">
        <v>5873</v>
      </c>
      <c r="Q621" t="s">
        <v>5864</v>
      </c>
      <c r="R621" t="s">
        <v>5862</v>
      </c>
      <c r="S621" t="s">
        <v>5863</v>
      </c>
      <c r="T621" t="s">
        <v>5865</v>
      </c>
      <c r="U621" s="5">
        <v>950.54</v>
      </c>
      <c r="V621" s="5">
        <v>925.38</v>
      </c>
      <c r="W621" s="5">
        <v>15.336482</v>
      </c>
      <c r="X621" s="5">
        <v>108.84339199999999</v>
      </c>
      <c r="Y621" s="5">
        <v>25.16</v>
      </c>
      <c r="Z621" s="5">
        <v>15.336204</v>
      </c>
      <c r="AA621" s="5">
        <v>108.841223</v>
      </c>
      <c r="AB621" s="7">
        <f t="shared" si="55"/>
        <v>1.3880699999999999</v>
      </c>
      <c r="AC621" s="7">
        <f t="shared" si="56"/>
        <v>3.7740000000000003E-2</v>
      </c>
      <c r="AD621" s="6" t="e">
        <f t="shared" si="57"/>
        <v>#VALUE!</v>
      </c>
      <c r="AE621" s="6" t="e">
        <f t="shared" si="58"/>
        <v>#VALUE!</v>
      </c>
      <c r="AG621">
        <f t="shared" si="59"/>
        <v>0.92537999999999998</v>
      </c>
      <c r="AH621">
        <f t="shared" si="60"/>
        <v>2.5160000000000002E-2</v>
      </c>
    </row>
    <row r="622" spans="1:34" x14ac:dyDescent="0.25">
      <c r="A622" t="s">
        <v>5874</v>
      </c>
      <c r="B622" t="s">
        <v>5875</v>
      </c>
      <c r="C622" t="s">
        <v>5876</v>
      </c>
      <c r="D622" t="s">
        <v>5717</v>
      </c>
      <c r="E622" t="s">
        <v>5718</v>
      </c>
      <c r="F622" t="s">
        <v>5877</v>
      </c>
      <c r="G622" t="s">
        <v>15827</v>
      </c>
      <c r="H622" t="s">
        <v>15831</v>
      </c>
      <c r="I622" t="s">
        <v>16437</v>
      </c>
      <c r="J622" t="s">
        <v>23</v>
      </c>
      <c r="L622" t="s">
        <v>5846</v>
      </c>
      <c r="M622" t="s">
        <v>5878</v>
      </c>
      <c r="N622" t="s">
        <v>5879</v>
      </c>
      <c r="O622" t="s">
        <v>5880</v>
      </c>
      <c r="P622" t="s">
        <v>5881</v>
      </c>
      <c r="Q622" t="s">
        <v>5848</v>
      </c>
      <c r="R622" t="s">
        <v>5849</v>
      </c>
      <c r="S622" t="s">
        <v>5850</v>
      </c>
      <c r="T622" t="s">
        <v>5854</v>
      </c>
      <c r="U622" s="5">
        <v>747</v>
      </c>
      <c r="V622" s="5">
        <v>668.52</v>
      </c>
      <c r="W622" s="5">
        <v>15.334077000000001</v>
      </c>
      <c r="X622" s="5">
        <v>108.862662</v>
      </c>
      <c r="Y622" s="5">
        <v>78.48</v>
      </c>
      <c r="Z622" s="5">
        <v>15.336315000000001</v>
      </c>
      <c r="AA622" s="5">
        <v>108.84218</v>
      </c>
      <c r="AB622" s="7">
        <f t="shared" si="55"/>
        <v>1.00278</v>
      </c>
      <c r="AC622" s="7">
        <f t="shared" si="56"/>
        <v>0.11772000000000001</v>
      </c>
      <c r="AD622" s="6" t="str">
        <f t="shared" si="57"/>
        <v>Quảng Ngãi</v>
      </c>
      <c r="AE622" s="6" t="str">
        <f t="shared" si="58"/>
        <v>Ring 1_Vạn Tường - Đông Sơn</v>
      </c>
      <c r="AG622">
        <f t="shared" si="59"/>
        <v>0.66852</v>
      </c>
      <c r="AH622">
        <f t="shared" si="60"/>
        <v>7.8480000000000008E-2</v>
      </c>
    </row>
    <row r="623" spans="1:34" x14ac:dyDescent="0.25">
      <c r="A623" t="s">
        <v>5882</v>
      </c>
      <c r="B623" t="s">
        <v>5883</v>
      </c>
      <c r="C623" t="s">
        <v>5884</v>
      </c>
      <c r="D623" t="s">
        <v>5885</v>
      </c>
      <c r="E623" t="s">
        <v>5886</v>
      </c>
      <c r="F623" t="s">
        <v>5887</v>
      </c>
      <c r="G623" t="s">
        <v>15827</v>
      </c>
      <c r="H623" t="s">
        <v>15831</v>
      </c>
      <c r="I623" t="s">
        <v>16438</v>
      </c>
      <c r="J623" t="s">
        <v>23</v>
      </c>
      <c r="L623" t="s">
        <v>5846</v>
      </c>
      <c r="M623" t="s">
        <v>5888</v>
      </c>
      <c r="N623" t="s">
        <v>5889</v>
      </c>
      <c r="O623" t="s">
        <v>5890</v>
      </c>
      <c r="P623" t="s">
        <v>5891</v>
      </c>
      <c r="Q623" t="s">
        <v>5892</v>
      </c>
      <c r="R623" t="s">
        <v>5893</v>
      </c>
      <c r="S623" t="s">
        <v>5894</v>
      </c>
      <c r="T623" t="s">
        <v>5854</v>
      </c>
      <c r="U623" s="5">
        <v>4050.85</v>
      </c>
      <c r="V623" s="5">
        <v>127.84</v>
      </c>
      <c r="W623" s="5">
        <v>15.228389999999999</v>
      </c>
      <c r="X623" s="5">
        <v>108.84766</v>
      </c>
      <c r="Y623" s="5">
        <v>3923.01</v>
      </c>
      <c r="Z623" s="5">
        <v>15.243731</v>
      </c>
      <c r="AA623" s="5">
        <v>108.864482</v>
      </c>
      <c r="AB623" s="7">
        <f t="shared" si="55"/>
        <v>0.19175999999999999</v>
      </c>
      <c r="AC623" s="7">
        <f t="shared" si="56"/>
        <v>5.8845150000000004</v>
      </c>
      <c r="AD623" s="6" t="str">
        <f t="shared" si="57"/>
        <v>Quảng Ngãi</v>
      </c>
      <c r="AE623" s="6" t="str">
        <f t="shared" si="58"/>
        <v>Ring 1_Vạn Tường - Đông Sơn</v>
      </c>
      <c r="AG623">
        <f t="shared" si="59"/>
        <v>0.12784000000000001</v>
      </c>
      <c r="AH623">
        <f t="shared" si="60"/>
        <v>3.9230100000000001</v>
      </c>
    </row>
    <row r="624" spans="1:34" x14ac:dyDescent="0.25">
      <c r="A624" t="s">
        <v>5895</v>
      </c>
      <c r="B624" t="s">
        <v>5315</v>
      </c>
      <c r="C624" t="s">
        <v>5316</v>
      </c>
      <c r="D624" t="s">
        <v>5883</v>
      </c>
      <c r="E624" t="s">
        <v>5884</v>
      </c>
      <c r="F624" t="s">
        <v>5896</v>
      </c>
      <c r="G624" t="s">
        <v>15827</v>
      </c>
      <c r="H624" t="s">
        <v>15831</v>
      </c>
      <c r="I624" t="s">
        <v>16439</v>
      </c>
      <c r="J624" t="s">
        <v>23</v>
      </c>
      <c r="L624" t="s">
        <v>5897</v>
      </c>
      <c r="M624" t="s">
        <v>5898</v>
      </c>
      <c r="N624" t="s">
        <v>5899</v>
      </c>
      <c r="O624" t="s">
        <v>5900</v>
      </c>
      <c r="P624" t="s">
        <v>5901</v>
      </c>
      <c r="Q624" t="s">
        <v>5902</v>
      </c>
      <c r="R624" t="s">
        <v>5903</v>
      </c>
      <c r="S624" t="s">
        <v>5904</v>
      </c>
      <c r="T624" t="s">
        <v>5905</v>
      </c>
      <c r="U624" s="5">
        <v>4855.92</v>
      </c>
      <c r="V624" s="5">
        <v>4770.16</v>
      </c>
      <c r="W624" s="5">
        <v>15.197279999999999</v>
      </c>
      <c r="X624" s="5">
        <v>108.83486499999999</v>
      </c>
      <c r="Y624" s="5">
        <v>85.76</v>
      </c>
      <c r="Z624" s="5">
        <v>15.227816000000001</v>
      </c>
      <c r="AA624" s="5">
        <v>108.846234</v>
      </c>
      <c r="AB624" s="7">
        <f t="shared" si="55"/>
        <v>7.15524</v>
      </c>
      <c r="AC624" s="7">
        <f t="shared" si="56"/>
        <v>0.12864</v>
      </c>
      <c r="AD624" s="6" t="str">
        <f t="shared" si="57"/>
        <v>Quảng Ngãi</v>
      </c>
      <c r="AE624" s="6" t="str">
        <f t="shared" si="58"/>
        <v>Ring 1_Đông Sơn - Tịnh Khê</v>
      </c>
      <c r="AG624">
        <f t="shared" si="59"/>
        <v>4.7701599999999997</v>
      </c>
      <c r="AH624">
        <f t="shared" si="60"/>
        <v>8.5760000000000003E-2</v>
      </c>
    </row>
    <row r="625" spans="1:34" x14ac:dyDescent="0.25">
      <c r="A625" t="s">
        <v>5906</v>
      </c>
      <c r="B625" t="s">
        <v>5907</v>
      </c>
      <c r="C625" t="s">
        <v>5908</v>
      </c>
      <c r="D625" t="s">
        <v>5883</v>
      </c>
      <c r="E625" t="s">
        <v>5884</v>
      </c>
      <c r="F625" t="s">
        <v>5909</v>
      </c>
      <c r="G625" t="s">
        <v>15827</v>
      </c>
      <c r="H625" t="s">
        <v>15831</v>
      </c>
      <c r="I625" t="s">
        <v>16440</v>
      </c>
      <c r="J625" t="s">
        <v>23</v>
      </c>
      <c r="L625" t="s">
        <v>5846</v>
      </c>
      <c r="M625" t="s">
        <v>5910</v>
      </c>
      <c r="N625" t="s">
        <v>5911</v>
      </c>
      <c r="O625" t="s">
        <v>5912</v>
      </c>
      <c r="P625" t="s">
        <v>5913</v>
      </c>
      <c r="Q625" t="s">
        <v>5889</v>
      </c>
      <c r="R625" t="s">
        <v>5890</v>
      </c>
      <c r="S625" t="s">
        <v>5891</v>
      </c>
      <c r="T625" t="s">
        <v>5854</v>
      </c>
      <c r="U625" s="5">
        <v>1218.79</v>
      </c>
      <c r="V625" s="5">
        <v>1090.95</v>
      </c>
      <c r="W625" s="5">
        <v>15.239502</v>
      </c>
      <c r="X625" s="5">
        <v>108.85723900000001</v>
      </c>
      <c r="Y625" s="5">
        <v>127.84</v>
      </c>
      <c r="Z625" s="5">
        <v>15.228389999999999</v>
      </c>
      <c r="AA625" s="5">
        <v>108.84766</v>
      </c>
      <c r="AB625" s="7">
        <f t="shared" si="55"/>
        <v>1.6364250000000002</v>
      </c>
      <c r="AC625" s="7">
        <f t="shared" si="56"/>
        <v>0.19175999999999999</v>
      </c>
      <c r="AD625" s="6" t="str">
        <f t="shared" si="57"/>
        <v>Quảng Ngãi</v>
      </c>
      <c r="AE625" s="6" t="str">
        <f t="shared" si="58"/>
        <v>Ring 1_Vạn Tường - Đông Sơn</v>
      </c>
      <c r="AG625">
        <f t="shared" si="59"/>
        <v>1.0909500000000001</v>
      </c>
      <c r="AH625">
        <f t="shared" si="60"/>
        <v>0.12784000000000001</v>
      </c>
    </row>
    <row r="626" spans="1:34" x14ac:dyDescent="0.25">
      <c r="A626" t="s">
        <v>5914</v>
      </c>
      <c r="B626" t="s">
        <v>5915</v>
      </c>
      <c r="C626" t="s">
        <v>5916</v>
      </c>
      <c r="D626" t="s">
        <v>5883</v>
      </c>
      <c r="E626" t="s">
        <v>5884</v>
      </c>
      <c r="F626" t="s">
        <v>5917</v>
      </c>
      <c r="G626" t="s">
        <v>15827</v>
      </c>
      <c r="H626" t="s">
        <v>15831</v>
      </c>
      <c r="I626" t="s">
        <v>16441</v>
      </c>
      <c r="J626" t="s">
        <v>23</v>
      </c>
      <c r="L626" t="s">
        <v>5846</v>
      </c>
      <c r="M626" t="s">
        <v>5918</v>
      </c>
      <c r="N626" t="s">
        <v>5919</v>
      </c>
      <c r="O626" t="s">
        <v>5920</v>
      </c>
      <c r="P626" t="s">
        <v>5921</v>
      </c>
      <c r="Q626" t="s">
        <v>5889</v>
      </c>
      <c r="R626" t="s">
        <v>5890</v>
      </c>
      <c r="S626" t="s">
        <v>5891</v>
      </c>
      <c r="T626" t="s">
        <v>5854</v>
      </c>
      <c r="U626" s="5">
        <v>2025.51</v>
      </c>
      <c r="V626" s="5">
        <v>1897.68</v>
      </c>
      <c r="W626" s="5">
        <v>15.239879</v>
      </c>
      <c r="X626" s="5">
        <v>108.858002</v>
      </c>
      <c r="Y626" s="5">
        <v>127.84</v>
      </c>
      <c r="Z626" s="5">
        <v>15.228389999999999</v>
      </c>
      <c r="AA626" s="5">
        <v>108.84766</v>
      </c>
      <c r="AB626" s="7">
        <f t="shared" si="55"/>
        <v>2.8465199999999999</v>
      </c>
      <c r="AC626" s="7">
        <f t="shared" si="56"/>
        <v>0.19175999999999999</v>
      </c>
      <c r="AD626" s="6" t="str">
        <f t="shared" si="57"/>
        <v>Quảng Ngãi</v>
      </c>
      <c r="AE626" s="6" t="str">
        <f t="shared" si="58"/>
        <v>Ring 1_Vạn Tường - Đông Sơn</v>
      </c>
      <c r="AG626">
        <f t="shared" si="59"/>
        <v>1.89768</v>
      </c>
      <c r="AH626">
        <f t="shared" si="60"/>
        <v>0.12784000000000001</v>
      </c>
    </row>
    <row r="627" spans="1:34" x14ac:dyDescent="0.25">
      <c r="A627" t="s">
        <v>5922</v>
      </c>
      <c r="B627" t="s">
        <v>5923</v>
      </c>
      <c r="C627" t="s">
        <v>5924</v>
      </c>
      <c r="D627" t="s">
        <v>5925</v>
      </c>
      <c r="E627" t="s">
        <v>5926</v>
      </c>
      <c r="F627" t="s">
        <v>5927</v>
      </c>
      <c r="G627" t="s">
        <v>15827</v>
      </c>
      <c r="H627" t="s">
        <v>15831</v>
      </c>
      <c r="I627" t="s">
        <v>16442</v>
      </c>
      <c r="J627" t="s">
        <v>23</v>
      </c>
      <c r="L627" t="s">
        <v>5859</v>
      </c>
      <c r="M627" t="s">
        <v>5928</v>
      </c>
      <c r="N627" t="s">
        <v>5929</v>
      </c>
      <c r="O627" t="s">
        <v>5930</v>
      </c>
      <c r="P627" t="s">
        <v>5931</v>
      </c>
      <c r="Q627" t="s">
        <v>5932</v>
      </c>
      <c r="R627" t="s">
        <v>5933</v>
      </c>
      <c r="S627" t="s">
        <v>5934</v>
      </c>
      <c r="T627" t="s">
        <v>5865</v>
      </c>
      <c r="U627" s="5">
        <v>104.25</v>
      </c>
      <c r="V627" s="5">
        <v>91.23</v>
      </c>
      <c r="W627" s="5">
        <v>15.259275000000001</v>
      </c>
      <c r="X627" s="5">
        <v>108.87460799999999</v>
      </c>
      <c r="Y627" s="5">
        <v>13.03</v>
      </c>
      <c r="Z627" s="5">
        <v>15.220718</v>
      </c>
      <c r="AA627" s="5">
        <v>108.912846</v>
      </c>
      <c r="AB627" s="7">
        <f t="shared" si="55"/>
        <v>0.13684499999999999</v>
      </c>
      <c r="AC627" s="7">
        <f t="shared" si="56"/>
        <v>1.9545E-2</v>
      </c>
      <c r="AD627" s="6" t="e">
        <f t="shared" si="57"/>
        <v>#VALUE!</v>
      </c>
      <c r="AE627" s="6" t="e">
        <f t="shared" si="58"/>
        <v>#VALUE!</v>
      </c>
      <c r="AG627">
        <f t="shared" si="59"/>
        <v>9.1230000000000006E-2</v>
      </c>
      <c r="AH627">
        <f t="shared" si="60"/>
        <v>1.303E-2</v>
      </c>
    </row>
    <row r="628" spans="1:34" x14ac:dyDescent="0.25">
      <c r="A628" t="s">
        <v>5935</v>
      </c>
      <c r="B628" t="s">
        <v>5925</v>
      </c>
      <c r="C628" t="s">
        <v>5926</v>
      </c>
      <c r="D628" t="s">
        <v>5936</v>
      </c>
      <c r="E628" t="s">
        <v>5937</v>
      </c>
      <c r="F628" t="s">
        <v>5938</v>
      </c>
      <c r="G628" t="s">
        <v>15827</v>
      </c>
      <c r="H628" t="s">
        <v>15831</v>
      </c>
      <c r="I628" t="s">
        <v>16443</v>
      </c>
      <c r="J628" t="s">
        <v>23</v>
      </c>
      <c r="L628" t="s">
        <v>5939</v>
      </c>
      <c r="M628" t="s">
        <v>5940</v>
      </c>
      <c r="N628" t="s">
        <v>5941</v>
      </c>
      <c r="O628" t="s">
        <v>5942</v>
      </c>
      <c r="P628" t="s">
        <v>5943</v>
      </c>
      <c r="Q628" t="s">
        <v>5944</v>
      </c>
      <c r="R628" t="s">
        <v>5945</v>
      </c>
      <c r="S628" t="s">
        <v>5946</v>
      </c>
      <c r="T628" t="s">
        <v>5947</v>
      </c>
      <c r="U628" s="5">
        <v>1734.08</v>
      </c>
      <c r="V628" s="5">
        <v>12.87</v>
      </c>
      <c r="W628" s="5">
        <v>15.220719000000001</v>
      </c>
      <c r="X628" s="5">
        <v>108.912841</v>
      </c>
      <c r="Y628" s="5">
        <v>1721.22</v>
      </c>
      <c r="Z628" s="5">
        <v>15.189964</v>
      </c>
      <c r="AA628" s="5">
        <v>108.869676</v>
      </c>
      <c r="AB628" s="7">
        <f t="shared" si="55"/>
        <v>1.9304999999999999E-2</v>
      </c>
      <c r="AC628" s="7">
        <f t="shared" si="56"/>
        <v>2.5818300000000001</v>
      </c>
      <c r="AD628" s="6" t="str">
        <f t="shared" si="57"/>
        <v>Đội CSGT Đường Thuỷ</v>
      </c>
      <c r="AE628" s="6" t="str">
        <f t="shared" si="58"/>
        <v>PC08</v>
      </c>
      <c r="AG628">
        <f t="shared" si="59"/>
        <v>1.2869999999999999E-2</v>
      </c>
      <c r="AH628">
        <f t="shared" si="60"/>
        <v>1.72122</v>
      </c>
    </row>
    <row r="629" spans="1:34" x14ac:dyDescent="0.25">
      <c r="A629" t="s">
        <v>5948</v>
      </c>
      <c r="B629" t="s">
        <v>5949</v>
      </c>
      <c r="C629" t="s">
        <v>5950</v>
      </c>
      <c r="D629" t="s">
        <v>5925</v>
      </c>
      <c r="E629" t="s">
        <v>5926</v>
      </c>
      <c r="F629" t="s">
        <v>5951</v>
      </c>
      <c r="G629" t="s">
        <v>15827</v>
      </c>
      <c r="H629" t="s">
        <v>15831</v>
      </c>
      <c r="I629" t="s">
        <v>16444</v>
      </c>
      <c r="J629" t="s">
        <v>23</v>
      </c>
      <c r="L629" t="s">
        <v>5859</v>
      </c>
      <c r="M629" t="s">
        <v>5952</v>
      </c>
      <c r="N629" t="s">
        <v>5953</v>
      </c>
      <c r="O629" t="s">
        <v>5954</v>
      </c>
      <c r="P629" t="s">
        <v>5955</v>
      </c>
      <c r="Q629" t="s">
        <v>5932</v>
      </c>
      <c r="R629" t="s">
        <v>5933</v>
      </c>
      <c r="S629" t="s">
        <v>5934</v>
      </c>
      <c r="T629" t="s">
        <v>5865</v>
      </c>
      <c r="U629" s="5">
        <v>333.34</v>
      </c>
      <c r="V629" s="5">
        <v>320.32</v>
      </c>
      <c r="W629" s="5">
        <v>15.241512</v>
      </c>
      <c r="X629" s="5">
        <v>108.90012400000001</v>
      </c>
      <c r="Y629" s="5">
        <v>13.03</v>
      </c>
      <c r="Z629" s="5">
        <v>15.220718</v>
      </c>
      <c r="AA629" s="5">
        <v>108.912846</v>
      </c>
      <c r="AB629" s="7">
        <f t="shared" si="55"/>
        <v>0.48048000000000002</v>
      </c>
      <c r="AC629" s="7">
        <f t="shared" si="56"/>
        <v>1.9545E-2</v>
      </c>
      <c r="AD629" s="6" t="e">
        <f t="shared" si="57"/>
        <v>#VALUE!</v>
      </c>
      <c r="AE629" s="6" t="e">
        <f t="shared" si="58"/>
        <v>#VALUE!</v>
      </c>
      <c r="AG629">
        <f t="shared" si="59"/>
        <v>0.32031999999999999</v>
      </c>
      <c r="AH629">
        <f t="shared" si="60"/>
        <v>1.303E-2</v>
      </c>
    </row>
    <row r="630" spans="1:34" x14ac:dyDescent="0.25">
      <c r="A630" t="s">
        <v>5956</v>
      </c>
      <c r="B630" t="s">
        <v>5957</v>
      </c>
      <c r="C630" t="s">
        <v>5958</v>
      </c>
      <c r="D630" t="s">
        <v>5925</v>
      </c>
      <c r="E630" t="s">
        <v>5926</v>
      </c>
      <c r="F630" t="s">
        <v>5959</v>
      </c>
      <c r="G630" t="s">
        <v>15827</v>
      </c>
      <c r="H630" t="s">
        <v>15831</v>
      </c>
      <c r="I630" t="s">
        <v>16445</v>
      </c>
      <c r="J630" t="s">
        <v>23</v>
      </c>
      <c r="L630" t="s">
        <v>5939</v>
      </c>
      <c r="M630" t="s">
        <v>5960</v>
      </c>
      <c r="N630" t="s">
        <v>5961</v>
      </c>
      <c r="O630" t="s">
        <v>5962</v>
      </c>
      <c r="P630" t="s">
        <v>5963</v>
      </c>
      <c r="Q630" t="s">
        <v>5941</v>
      </c>
      <c r="R630" t="s">
        <v>5942</v>
      </c>
      <c r="S630" t="s">
        <v>5943</v>
      </c>
      <c r="T630" t="s">
        <v>5947</v>
      </c>
      <c r="U630" s="5">
        <v>70.31</v>
      </c>
      <c r="V630" s="5">
        <v>57.44</v>
      </c>
      <c r="W630" s="5">
        <v>15.219685</v>
      </c>
      <c r="X630" s="5">
        <v>108.899153</v>
      </c>
      <c r="Y630" s="5">
        <v>12.87</v>
      </c>
      <c r="Z630" s="5">
        <v>15.220719000000001</v>
      </c>
      <c r="AA630" s="5">
        <v>108.912841</v>
      </c>
      <c r="AB630" s="7">
        <f t="shared" si="55"/>
        <v>8.616E-2</v>
      </c>
      <c r="AC630" s="7">
        <f t="shared" si="56"/>
        <v>1.9304999999999999E-2</v>
      </c>
      <c r="AD630" s="6" t="str">
        <f t="shared" si="57"/>
        <v>Đội CSGT Đường Thuỷ</v>
      </c>
      <c r="AE630" s="6" t="str">
        <f t="shared" si="58"/>
        <v>PC08</v>
      </c>
      <c r="AG630">
        <f t="shared" si="59"/>
        <v>5.7439999999999998E-2</v>
      </c>
      <c r="AH630">
        <f t="shared" si="60"/>
        <v>1.2869999999999999E-2</v>
      </c>
    </row>
    <row r="631" spans="1:34" x14ac:dyDescent="0.25">
      <c r="A631" t="s">
        <v>5964</v>
      </c>
      <c r="B631" t="s">
        <v>5965</v>
      </c>
      <c r="C631" t="s">
        <v>5966</v>
      </c>
      <c r="D631" t="s">
        <v>5925</v>
      </c>
      <c r="E631" t="s">
        <v>5926</v>
      </c>
      <c r="F631" t="s">
        <v>5967</v>
      </c>
      <c r="G631" t="s">
        <v>15827</v>
      </c>
      <c r="H631" t="s">
        <v>15831</v>
      </c>
      <c r="I631" t="s">
        <v>16446</v>
      </c>
      <c r="J631" t="s">
        <v>23</v>
      </c>
      <c r="L631" t="s">
        <v>5859</v>
      </c>
      <c r="M631" t="s">
        <v>5968</v>
      </c>
      <c r="N631" t="s">
        <v>5969</v>
      </c>
      <c r="O631" t="s">
        <v>5970</v>
      </c>
      <c r="P631" t="s">
        <v>5971</v>
      </c>
      <c r="Q631" t="s">
        <v>5932</v>
      </c>
      <c r="R631" t="s">
        <v>5933</v>
      </c>
      <c r="S631" t="s">
        <v>5934</v>
      </c>
      <c r="T631" t="s">
        <v>5865</v>
      </c>
      <c r="U631" s="5">
        <v>1132.93</v>
      </c>
      <c r="V631" s="5">
        <v>1119.9100000000001</v>
      </c>
      <c r="W631" s="5">
        <v>15.232543</v>
      </c>
      <c r="X631" s="5">
        <v>108.92016599999999</v>
      </c>
      <c r="Y631" s="5">
        <v>13.03</v>
      </c>
      <c r="Z631" s="5">
        <v>15.220718</v>
      </c>
      <c r="AA631" s="5">
        <v>108.912846</v>
      </c>
      <c r="AB631" s="7">
        <f t="shared" si="55"/>
        <v>1.6798650000000002</v>
      </c>
      <c r="AC631" s="7">
        <f t="shared" si="56"/>
        <v>1.9545E-2</v>
      </c>
      <c r="AD631" s="6" t="e">
        <f t="shared" si="57"/>
        <v>#VALUE!</v>
      </c>
      <c r="AE631" s="6" t="e">
        <f t="shared" si="58"/>
        <v>#VALUE!</v>
      </c>
      <c r="AG631">
        <f t="shared" si="59"/>
        <v>1.1199100000000002</v>
      </c>
      <c r="AH631">
        <f t="shared" si="60"/>
        <v>1.303E-2</v>
      </c>
    </row>
    <row r="632" spans="1:34" x14ac:dyDescent="0.25">
      <c r="A632" t="s">
        <v>5972</v>
      </c>
      <c r="B632" t="s">
        <v>5973</v>
      </c>
      <c r="C632" t="s">
        <v>5974</v>
      </c>
      <c r="D632" t="s">
        <v>5925</v>
      </c>
      <c r="E632" t="s">
        <v>5926</v>
      </c>
      <c r="F632" t="s">
        <v>5975</v>
      </c>
      <c r="G632" t="s">
        <v>15827</v>
      </c>
      <c r="H632" t="s">
        <v>15831</v>
      </c>
      <c r="I632" t="s">
        <v>16447</v>
      </c>
      <c r="J632" t="s">
        <v>23</v>
      </c>
      <c r="L632" t="s">
        <v>5859</v>
      </c>
      <c r="M632" t="s">
        <v>5976</v>
      </c>
      <c r="N632" t="s">
        <v>5977</v>
      </c>
      <c r="O632" t="s">
        <v>5978</v>
      </c>
      <c r="P632" t="s">
        <v>5979</v>
      </c>
      <c r="Q632" t="s">
        <v>5932</v>
      </c>
      <c r="R632" t="s">
        <v>5933</v>
      </c>
      <c r="S632" t="s">
        <v>5934</v>
      </c>
      <c r="T632" t="s">
        <v>5865</v>
      </c>
      <c r="U632" s="5">
        <v>1028.31</v>
      </c>
      <c r="V632" s="5">
        <v>1015.28</v>
      </c>
      <c r="W632" s="5">
        <v>15.23096</v>
      </c>
      <c r="X632" s="5">
        <v>108.924206</v>
      </c>
      <c r="Y632" s="5">
        <v>13.03</v>
      </c>
      <c r="Z632" s="5">
        <v>15.220718</v>
      </c>
      <c r="AA632" s="5">
        <v>108.912846</v>
      </c>
      <c r="AB632" s="7">
        <f t="shared" si="55"/>
        <v>1.5229200000000001</v>
      </c>
      <c r="AC632" s="7">
        <f t="shared" si="56"/>
        <v>1.9545E-2</v>
      </c>
      <c r="AD632" s="6" t="e">
        <f t="shared" si="57"/>
        <v>#VALUE!</v>
      </c>
      <c r="AE632" s="6" t="e">
        <f t="shared" si="58"/>
        <v>#VALUE!</v>
      </c>
      <c r="AG632">
        <f t="shared" si="59"/>
        <v>1.01528</v>
      </c>
      <c r="AH632">
        <f t="shared" si="60"/>
        <v>1.303E-2</v>
      </c>
    </row>
    <row r="633" spans="1:34" x14ac:dyDescent="0.25">
      <c r="A633" t="s">
        <v>5980</v>
      </c>
      <c r="B633" t="s">
        <v>5925</v>
      </c>
      <c r="C633" t="s">
        <v>5926</v>
      </c>
      <c r="D633" t="s">
        <v>5981</v>
      </c>
      <c r="E633" t="s">
        <v>5982</v>
      </c>
      <c r="F633" t="s">
        <v>5983</v>
      </c>
      <c r="G633" t="s">
        <v>15979</v>
      </c>
      <c r="H633" t="s">
        <v>15980</v>
      </c>
      <c r="I633" t="s">
        <v>16448</v>
      </c>
      <c r="J633" t="s">
        <v>23</v>
      </c>
      <c r="L633" t="s">
        <v>5859</v>
      </c>
      <c r="M633" t="s">
        <v>5984</v>
      </c>
      <c r="N633" t="s">
        <v>5932</v>
      </c>
      <c r="O633" t="s">
        <v>5933</v>
      </c>
      <c r="P633" t="s">
        <v>5934</v>
      </c>
      <c r="Q633" t="s">
        <v>5985</v>
      </c>
      <c r="R633" t="s">
        <v>5986</v>
      </c>
      <c r="S633" t="s">
        <v>5987</v>
      </c>
      <c r="T633" t="s">
        <v>5865</v>
      </c>
      <c r="U633" s="5">
        <v>235.23</v>
      </c>
      <c r="V633" s="5">
        <v>13.03</v>
      </c>
      <c r="W633" s="5">
        <v>15.220718</v>
      </c>
      <c r="X633" s="5">
        <v>108.912846</v>
      </c>
      <c r="Y633" s="5">
        <v>222.2</v>
      </c>
      <c r="Z633" s="5">
        <v>15.219538</v>
      </c>
      <c r="AA633" s="5">
        <v>108.915858</v>
      </c>
      <c r="AB633" s="7">
        <f t="shared" si="55"/>
        <v>1.9545E-2</v>
      </c>
      <c r="AC633" s="7">
        <f t="shared" si="56"/>
        <v>0.33329999999999993</v>
      </c>
      <c r="AD633" s="6" t="e">
        <f t="shared" si="57"/>
        <v>#VALUE!</v>
      </c>
      <c r="AE633" s="6" t="e">
        <f t="shared" si="58"/>
        <v>#VALUE!</v>
      </c>
      <c r="AG633">
        <f t="shared" si="59"/>
        <v>1.303E-2</v>
      </c>
      <c r="AH633">
        <f t="shared" si="60"/>
        <v>0.22219999999999998</v>
      </c>
    </row>
    <row r="634" spans="1:34" x14ac:dyDescent="0.25">
      <c r="A634" t="s">
        <v>5988</v>
      </c>
      <c r="B634" t="s">
        <v>5989</v>
      </c>
      <c r="C634" t="s">
        <v>5990</v>
      </c>
      <c r="D634" t="s">
        <v>5736</v>
      </c>
      <c r="E634" t="s">
        <v>5737</v>
      </c>
      <c r="F634" t="s">
        <v>5991</v>
      </c>
      <c r="G634" t="s">
        <v>15827</v>
      </c>
      <c r="H634" t="s">
        <v>15831</v>
      </c>
      <c r="I634" t="s">
        <v>16449</v>
      </c>
      <c r="J634" t="s">
        <v>23</v>
      </c>
      <c r="L634" t="s">
        <v>5992</v>
      </c>
      <c r="M634" t="s">
        <v>5993</v>
      </c>
      <c r="N634" t="s">
        <v>5994</v>
      </c>
      <c r="O634" t="s">
        <v>5995</v>
      </c>
      <c r="P634" t="s">
        <v>5996</v>
      </c>
      <c r="Q634" t="s">
        <v>5997</v>
      </c>
      <c r="R634" t="s">
        <v>5998</v>
      </c>
      <c r="S634" t="s">
        <v>5999</v>
      </c>
      <c r="T634" t="s">
        <v>6000</v>
      </c>
      <c r="U634" s="5">
        <v>480.51</v>
      </c>
      <c r="V634" s="5">
        <v>274.22000000000003</v>
      </c>
      <c r="W634" s="5">
        <v>15.260039000000001</v>
      </c>
      <c r="X634" s="5">
        <v>108.676447</v>
      </c>
      <c r="Y634" s="5">
        <v>206.29</v>
      </c>
      <c r="Z634" s="5">
        <v>15.274649999999999</v>
      </c>
      <c r="AA634" s="5">
        <v>108.720556</v>
      </c>
      <c r="AB634" s="7">
        <f t="shared" si="55"/>
        <v>0.41133000000000003</v>
      </c>
      <c r="AC634" s="7">
        <f t="shared" si="56"/>
        <v>0.30943500000000002</v>
      </c>
      <c r="AD634" s="6" t="str">
        <f t="shared" si="57"/>
        <v>TTCMKV Bình Sơn</v>
      </c>
      <c r="AE634" s="6" t="str">
        <f t="shared" si="58"/>
        <v>Đông Trà Bồng</v>
      </c>
      <c r="AG634">
        <f t="shared" si="59"/>
        <v>0.27422000000000002</v>
      </c>
      <c r="AH634">
        <f t="shared" si="60"/>
        <v>0.20629</v>
      </c>
    </row>
    <row r="635" spans="1:34" x14ac:dyDescent="0.25">
      <c r="A635" t="s">
        <v>6001</v>
      </c>
      <c r="B635" t="s">
        <v>6002</v>
      </c>
      <c r="C635" t="s">
        <v>6003</v>
      </c>
      <c r="D635" t="s">
        <v>5736</v>
      </c>
      <c r="E635" t="s">
        <v>5737</v>
      </c>
      <c r="F635" t="s">
        <v>6004</v>
      </c>
      <c r="G635" t="s">
        <v>15827</v>
      </c>
      <c r="H635" t="s">
        <v>15831</v>
      </c>
      <c r="I635" t="s">
        <v>16450</v>
      </c>
      <c r="J635" t="s">
        <v>23</v>
      </c>
      <c r="L635" t="s">
        <v>6005</v>
      </c>
      <c r="M635" t="s">
        <v>6006</v>
      </c>
      <c r="N635" t="s">
        <v>6007</v>
      </c>
      <c r="O635" t="s">
        <v>6008</v>
      </c>
      <c r="P635" t="s">
        <v>6009</v>
      </c>
      <c r="Q635" t="s">
        <v>6010</v>
      </c>
      <c r="R635" t="s">
        <v>6011</v>
      </c>
      <c r="S635" t="s">
        <v>6012</v>
      </c>
      <c r="T635" t="s">
        <v>6013</v>
      </c>
      <c r="U635" s="5">
        <v>264.32</v>
      </c>
      <c r="V635" s="5">
        <v>256.81</v>
      </c>
      <c r="W635" s="5">
        <v>15.273688</v>
      </c>
      <c r="X635" s="5">
        <v>108.72424100000001</v>
      </c>
      <c r="Y635" s="5">
        <v>7.51</v>
      </c>
      <c r="Z635" s="5">
        <v>15.272957999999999</v>
      </c>
      <c r="AA635" s="5">
        <v>108.72147200000001</v>
      </c>
      <c r="AB635" s="7">
        <f t="shared" si="55"/>
        <v>0.38521500000000003</v>
      </c>
      <c r="AC635" s="7">
        <f t="shared" si="56"/>
        <v>1.1265000000000001E-2</v>
      </c>
      <c r="AD635" s="6" t="str">
        <f t="shared" si="57"/>
        <v>Bình Minh</v>
      </c>
      <c r="AE635" s="6" t="str">
        <f t="shared" si="58"/>
        <v>Bình Chương</v>
      </c>
      <c r="AG635">
        <f t="shared" si="59"/>
        <v>0.25680999999999998</v>
      </c>
      <c r="AH635">
        <f t="shared" si="60"/>
        <v>7.5100000000000002E-3</v>
      </c>
    </row>
    <row r="636" spans="1:34" x14ac:dyDescent="0.25">
      <c r="A636" t="s">
        <v>6014</v>
      </c>
      <c r="B636" t="s">
        <v>6015</v>
      </c>
      <c r="C636" t="s">
        <v>6016</v>
      </c>
      <c r="D636" t="s">
        <v>5736</v>
      </c>
      <c r="E636" t="s">
        <v>5737</v>
      </c>
      <c r="F636" t="s">
        <v>6017</v>
      </c>
      <c r="G636" t="s">
        <v>15827</v>
      </c>
      <c r="H636" t="s">
        <v>15831</v>
      </c>
      <c r="I636" t="s">
        <v>16451</v>
      </c>
      <c r="J636" t="s">
        <v>23</v>
      </c>
      <c r="L636" t="s">
        <v>6018</v>
      </c>
      <c r="M636" t="s">
        <v>6019</v>
      </c>
      <c r="N636" t="s">
        <v>6020</v>
      </c>
      <c r="O636" t="s">
        <v>6021</v>
      </c>
      <c r="P636" t="s">
        <v>6022</v>
      </c>
      <c r="Q636" t="s">
        <v>6023</v>
      </c>
      <c r="R636" t="s">
        <v>6024</v>
      </c>
      <c r="S636" t="s">
        <v>6025</v>
      </c>
      <c r="T636" t="s">
        <v>6026</v>
      </c>
      <c r="U636" s="5">
        <v>406.43</v>
      </c>
      <c r="V636" s="5">
        <v>373.56</v>
      </c>
      <c r="W636" s="5">
        <v>15.254826</v>
      </c>
      <c r="X636" s="5">
        <v>108.700857</v>
      </c>
      <c r="Y636" s="5">
        <v>32.869999999999997</v>
      </c>
      <c r="Z636" s="5">
        <v>15.27328</v>
      </c>
      <c r="AA636" s="5">
        <v>108.72145999999999</v>
      </c>
      <c r="AB636" s="7">
        <f t="shared" si="55"/>
        <v>0.56034000000000006</v>
      </c>
      <c r="AC636" s="7">
        <f t="shared" si="56"/>
        <v>4.9304999999999995E-2</v>
      </c>
      <c r="AD636" s="6" t="str">
        <f t="shared" si="57"/>
        <v>Bình Chương</v>
      </c>
      <c r="AE636" s="6" t="str">
        <f t="shared" si="58"/>
        <v>Sơn Tịnh</v>
      </c>
      <c r="AG636">
        <f t="shared" si="59"/>
        <v>0.37356</v>
      </c>
      <c r="AH636">
        <f t="shared" si="60"/>
        <v>3.2869999999999996E-2</v>
      </c>
    </row>
    <row r="637" spans="1:34" x14ac:dyDescent="0.25">
      <c r="A637" t="s">
        <v>6027</v>
      </c>
      <c r="B637" t="s">
        <v>6028</v>
      </c>
      <c r="C637" t="s">
        <v>6029</v>
      </c>
      <c r="D637" t="s">
        <v>6030</v>
      </c>
      <c r="E637" t="s">
        <v>6031</v>
      </c>
      <c r="F637" t="s">
        <v>6032</v>
      </c>
      <c r="G637" t="s">
        <v>15827</v>
      </c>
      <c r="H637" t="s">
        <v>15831</v>
      </c>
      <c r="I637" t="s">
        <v>16452</v>
      </c>
      <c r="J637" t="s">
        <v>23</v>
      </c>
      <c r="L637" t="s">
        <v>6033</v>
      </c>
      <c r="M637" t="s">
        <v>6034</v>
      </c>
      <c r="N637" t="s">
        <v>6035</v>
      </c>
      <c r="O637" t="s">
        <v>6036</v>
      </c>
      <c r="P637" t="s">
        <v>6037</v>
      </c>
      <c r="Q637" t="s">
        <v>6038</v>
      </c>
      <c r="R637" t="s">
        <v>6039</v>
      </c>
      <c r="S637" t="s">
        <v>6040</v>
      </c>
      <c r="T637" t="s">
        <v>6041</v>
      </c>
      <c r="U637" s="5">
        <v>390.45</v>
      </c>
      <c r="V637" s="5">
        <v>368.97</v>
      </c>
      <c r="W637" s="5">
        <v>14.815465</v>
      </c>
      <c r="X637" s="5">
        <v>108.95955600000001</v>
      </c>
      <c r="Y637" s="5">
        <v>21.47</v>
      </c>
      <c r="Z637" s="5">
        <v>14.808831</v>
      </c>
      <c r="AA637" s="5">
        <v>108.95704600000001</v>
      </c>
      <c r="AB637" s="7">
        <f t="shared" si="55"/>
        <v>0.55345500000000003</v>
      </c>
      <c r="AC637" s="7">
        <f t="shared" si="56"/>
        <v>3.2204999999999998E-2</v>
      </c>
      <c r="AD637" s="6" t="str">
        <f t="shared" si="57"/>
        <v>Đức Phổ</v>
      </c>
      <c r="AE637" s="6" t="str">
        <f t="shared" si="58"/>
        <v>Trà Câu</v>
      </c>
      <c r="AG637">
        <f t="shared" si="59"/>
        <v>0.36897000000000002</v>
      </c>
      <c r="AH637">
        <f t="shared" si="60"/>
        <v>2.147E-2</v>
      </c>
    </row>
    <row r="638" spans="1:34" x14ac:dyDescent="0.25">
      <c r="A638" t="s">
        <v>6042</v>
      </c>
      <c r="B638" t="s">
        <v>6043</v>
      </c>
      <c r="C638" t="s">
        <v>6044</v>
      </c>
      <c r="D638" t="s">
        <v>6030</v>
      </c>
      <c r="E638" t="s">
        <v>6031</v>
      </c>
      <c r="F638" t="s">
        <v>6045</v>
      </c>
      <c r="G638" t="s">
        <v>15827</v>
      </c>
      <c r="H638" t="s">
        <v>15831</v>
      </c>
      <c r="I638" t="s">
        <v>16453</v>
      </c>
      <c r="J638" t="s">
        <v>23</v>
      </c>
      <c r="L638" t="s">
        <v>6046</v>
      </c>
      <c r="M638" t="s">
        <v>6047</v>
      </c>
      <c r="N638" t="s">
        <v>6048</v>
      </c>
      <c r="O638" t="s">
        <v>6049</v>
      </c>
      <c r="P638" t="s">
        <v>6050</v>
      </c>
      <c r="Q638" t="s">
        <v>3454</v>
      </c>
      <c r="R638" t="s">
        <v>6051</v>
      </c>
      <c r="S638" t="s">
        <v>6052</v>
      </c>
      <c r="T638" t="s">
        <v>6053</v>
      </c>
      <c r="U638" s="5">
        <v>482.6</v>
      </c>
      <c r="V638" s="5">
        <v>136.83000000000001</v>
      </c>
      <c r="W638" s="5">
        <v>14.789778999999999</v>
      </c>
      <c r="X638" s="5">
        <v>108.967879</v>
      </c>
      <c r="Y638" s="5">
        <v>345.78</v>
      </c>
      <c r="Z638" s="5">
        <v>14.808942</v>
      </c>
      <c r="AA638" s="5">
        <v>108.960066</v>
      </c>
      <c r="AB638" s="7">
        <f t="shared" si="55"/>
        <v>0.20524500000000001</v>
      </c>
      <c r="AC638" s="7">
        <f t="shared" si="56"/>
        <v>0.51866999999999996</v>
      </c>
      <c r="AD638" s="6" t="str">
        <f t="shared" si="57"/>
        <v>Trạm csgt Đức Phổ, PC08</v>
      </c>
      <c r="AE638" s="6" t="str">
        <f t="shared" si="58"/>
        <v>TTCMKV TX Đức Phổ</v>
      </c>
      <c r="AG638">
        <f t="shared" si="59"/>
        <v>0.13683000000000001</v>
      </c>
      <c r="AH638">
        <f t="shared" si="60"/>
        <v>0.34577999999999998</v>
      </c>
    </row>
    <row r="639" spans="1:34" x14ac:dyDescent="0.25">
      <c r="A639" t="s">
        <v>6054</v>
      </c>
      <c r="B639" t="s">
        <v>6030</v>
      </c>
      <c r="C639" t="s">
        <v>6031</v>
      </c>
      <c r="D639" t="s">
        <v>6055</v>
      </c>
      <c r="E639" t="s">
        <v>6056</v>
      </c>
      <c r="F639" t="s">
        <v>6057</v>
      </c>
      <c r="G639" t="s">
        <v>15827</v>
      </c>
      <c r="H639" t="s">
        <v>15831</v>
      </c>
      <c r="I639" t="s">
        <v>16454</v>
      </c>
      <c r="J639" t="s">
        <v>23</v>
      </c>
      <c r="L639" t="s">
        <v>5437</v>
      </c>
      <c r="M639" t="s">
        <v>6058</v>
      </c>
      <c r="N639" t="s">
        <v>6059</v>
      </c>
      <c r="O639" t="s">
        <v>6060</v>
      </c>
      <c r="P639" t="s">
        <v>6061</v>
      </c>
      <c r="Q639" t="s">
        <v>5741</v>
      </c>
      <c r="R639" t="s">
        <v>6062</v>
      </c>
      <c r="S639" t="s">
        <v>6063</v>
      </c>
      <c r="T639" t="s">
        <v>5445</v>
      </c>
      <c r="U639" s="5">
        <v>603.61</v>
      </c>
      <c r="V639" s="5">
        <v>387.32</v>
      </c>
      <c r="W639" s="5">
        <v>14.811940999999999</v>
      </c>
      <c r="X639" s="5">
        <v>108.95855</v>
      </c>
      <c r="Y639" s="5">
        <v>216.3</v>
      </c>
      <c r="Z639" s="5">
        <v>14.824783999999999</v>
      </c>
      <c r="AA639" s="5">
        <v>108.95034800000001</v>
      </c>
      <c r="AB639" s="7">
        <f t="shared" si="55"/>
        <v>0.58098000000000005</v>
      </c>
      <c r="AC639" s="7">
        <f t="shared" si="56"/>
        <v>0.32445000000000007</v>
      </c>
      <c r="AD639" s="6" t="str">
        <f t="shared" si="57"/>
        <v>Đức Phổ</v>
      </c>
      <c r="AE639" s="6" t="str">
        <f t="shared" si="58"/>
        <v>TT1 Quảng Ngãi mới</v>
      </c>
      <c r="AG639">
        <f t="shared" si="59"/>
        <v>0.38732</v>
      </c>
      <c r="AH639">
        <f t="shared" si="60"/>
        <v>0.21630000000000002</v>
      </c>
    </row>
    <row r="640" spans="1:34" x14ac:dyDescent="0.25">
      <c r="A640" t="s">
        <v>6064</v>
      </c>
      <c r="B640" t="s">
        <v>6065</v>
      </c>
      <c r="C640" t="s">
        <v>6066</v>
      </c>
      <c r="D640" t="s">
        <v>6030</v>
      </c>
      <c r="E640" t="s">
        <v>6031</v>
      </c>
      <c r="F640" t="s">
        <v>6067</v>
      </c>
      <c r="G640" t="s">
        <v>15827</v>
      </c>
      <c r="H640" t="s">
        <v>15831</v>
      </c>
      <c r="I640" t="s">
        <v>16455</v>
      </c>
      <c r="J640" t="s">
        <v>23</v>
      </c>
      <c r="L640" t="s">
        <v>6068</v>
      </c>
      <c r="M640" t="s">
        <v>6069</v>
      </c>
      <c r="N640" t="s">
        <v>6070</v>
      </c>
      <c r="O640" t="s">
        <v>6071</v>
      </c>
      <c r="P640" t="s">
        <v>6072</v>
      </c>
      <c r="Q640" t="s">
        <v>6073</v>
      </c>
      <c r="R640" t="s">
        <v>6074</v>
      </c>
      <c r="S640" t="s">
        <v>6075</v>
      </c>
      <c r="T640" t="s">
        <v>6076</v>
      </c>
      <c r="U640" s="5">
        <v>349.87</v>
      </c>
      <c r="V640" s="5">
        <v>244.04</v>
      </c>
      <c r="W640" s="5">
        <v>14.808242</v>
      </c>
      <c r="X640" s="5">
        <v>108.960386</v>
      </c>
      <c r="Y640" s="5">
        <v>105.84</v>
      </c>
      <c r="Z640" s="5">
        <v>14.808667</v>
      </c>
      <c r="AA640" s="5">
        <v>108.957812</v>
      </c>
      <c r="AB640" s="7">
        <f t="shared" si="55"/>
        <v>0.36606</v>
      </c>
      <c r="AC640" s="7">
        <f t="shared" si="56"/>
        <v>0.15875999999999998</v>
      </c>
      <c r="AD640" s="6" t="str">
        <f t="shared" si="57"/>
        <v>TTCMKV TX Đức Phổ</v>
      </c>
      <c r="AE640" s="6" t="str">
        <f t="shared" si="58"/>
        <v>Đức Phổ</v>
      </c>
      <c r="AG640">
        <f t="shared" si="59"/>
        <v>0.24403999999999998</v>
      </c>
      <c r="AH640">
        <f t="shared" si="60"/>
        <v>0.10584</v>
      </c>
    </row>
    <row r="641" spans="1:34" x14ac:dyDescent="0.25">
      <c r="A641" t="s">
        <v>6077</v>
      </c>
      <c r="B641" t="s">
        <v>6030</v>
      </c>
      <c r="C641" t="s">
        <v>6031</v>
      </c>
      <c r="D641" t="s">
        <v>6078</v>
      </c>
      <c r="E641" t="s">
        <v>6079</v>
      </c>
      <c r="F641" t="s">
        <v>6080</v>
      </c>
      <c r="G641" t="s">
        <v>15827</v>
      </c>
      <c r="H641" t="s">
        <v>16398</v>
      </c>
      <c r="I641" t="s">
        <v>16456</v>
      </c>
      <c r="J641" t="s">
        <v>23</v>
      </c>
      <c r="L641" t="s">
        <v>6081</v>
      </c>
      <c r="M641" t="s">
        <v>6082</v>
      </c>
      <c r="N641" t="s">
        <v>6083</v>
      </c>
      <c r="O641" t="s">
        <v>6084</v>
      </c>
      <c r="P641" t="s">
        <v>6085</v>
      </c>
      <c r="Q641" t="s">
        <v>6086</v>
      </c>
      <c r="R641" t="s">
        <v>6087</v>
      </c>
      <c r="S641" t="s">
        <v>6088</v>
      </c>
      <c r="T641" t="s">
        <v>6089</v>
      </c>
      <c r="U641" s="5">
        <v>891.13</v>
      </c>
      <c r="V641" s="5">
        <v>787.13</v>
      </c>
      <c r="W641" s="5">
        <v>14.815448</v>
      </c>
      <c r="X641" s="5">
        <v>108.95955499999999</v>
      </c>
      <c r="Y641" s="5">
        <v>104</v>
      </c>
      <c r="Z641" s="5">
        <v>14.822528</v>
      </c>
      <c r="AA641" s="5">
        <v>108.962878</v>
      </c>
      <c r="AB641" s="7">
        <f t="shared" si="55"/>
        <v>1.1806949999999998</v>
      </c>
      <c r="AC641" s="7">
        <f t="shared" si="56"/>
        <v>0.156</v>
      </c>
      <c r="AD641" s="6" t="str">
        <f t="shared" si="57"/>
        <v>TTCMKV TX Đức Phổ</v>
      </c>
      <c r="AE641" s="6" t="str">
        <f t="shared" si="58"/>
        <v>Lân Phong</v>
      </c>
      <c r="AG641">
        <f t="shared" si="59"/>
        <v>0.78713</v>
      </c>
      <c r="AH641">
        <f t="shared" si="60"/>
        <v>0.104</v>
      </c>
    </row>
    <row r="642" spans="1:34" x14ac:dyDescent="0.25">
      <c r="A642" t="s">
        <v>6090</v>
      </c>
      <c r="B642" t="s">
        <v>6091</v>
      </c>
      <c r="C642" t="s">
        <v>6092</v>
      </c>
      <c r="D642" t="s">
        <v>6030</v>
      </c>
      <c r="E642" t="s">
        <v>6031</v>
      </c>
      <c r="F642" t="s">
        <v>6093</v>
      </c>
      <c r="G642" t="s">
        <v>15979</v>
      </c>
      <c r="H642" t="s">
        <v>15980</v>
      </c>
      <c r="I642" t="s">
        <v>16457</v>
      </c>
      <c r="J642" t="s">
        <v>23</v>
      </c>
      <c r="L642" t="s">
        <v>6094</v>
      </c>
      <c r="M642" t="s">
        <v>6095</v>
      </c>
      <c r="N642" t="s">
        <v>6096</v>
      </c>
      <c r="O642" t="s">
        <v>6097</v>
      </c>
      <c r="P642" t="s">
        <v>6098</v>
      </c>
      <c r="Q642" t="s">
        <v>6099</v>
      </c>
      <c r="R642" t="s">
        <v>6100</v>
      </c>
      <c r="S642" t="s">
        <v>6101</v>
      </c>
      <c r="T642" t="s">
        <v>6102</v>
      </c>
      <c r="U642" s="5">
        <v>651.57000000000005</v>
      </c>
      <c r="V642" s="5">
        <v>333.13</v>
      </c>
      <c r="W642" s="5">
        <v>14.811826</v>
      </c>
      <c r="X642" s="5">
        <v>108.943702</v>
      </c>
      <c r="Y642" s="5">
        <v>318.45</v>
      </c>
      <c r="Z642" s="5">
        <v>14.811582</v>
      </c>
      <c r="AA642" s="5">
        <v>108.955898</v>
      </c>
      <c r="AB642" s="7">
        <f t="shared" si="55"/>
        <v>0.499695</v>
      </c>
      <c r="AC642" s="7">
        <f t="shared" si="56"/>
        <v>0.47767499999999996</v>
      </c>
      <c r="AD642" s="6" t="str">
        <f t="shared" si="57"/>
        <v>Ba Tơ</v>
      </c>
      <c r="AE642" s="6" t="str">
        <f t="shared" si="58"/>
        <v>Đức Phổ</v>
      </c>
      <c r="AG642">
        <f t="shared" si="59"/>
        <v>0.33312999999999998</v>
      </c>
      <c r="AH642">
        <f t="shared" si="60"/>
        <v>0.31845000000000001</v>
      </c>
    </row>
    <row r="643" spans="1:34" x14ac:dyDescent="0.25">
      <c r="A643" t="s">
        <v>6103</v>
      </c>
      <c r="B643" t="s">
        <v>5481</v>
      </c>
      <c r="C643" t="s">
        <v>5482</v>
      </c>
      <c r="D643" t="s">
        <v>6104</v>
      </c>
      <c r="E643" t="s">
        <v>6105</v>
      </c>
      <c r="F643" t="s">
        <v>6106</v>
      </c>
      <c r="G643" t="s">
        <v>15827</v>
      </c>
      <c r="H643" t="s">
        <v>15831</v>
      </c>
      <c r="I643" t="s">
        <v>16458</v>
      </c>
      <c r="J643" t="s">
        <v>23</v>
      </c>
      <c r="L643" t="s">
        <v>6103</v>
      </c>
      <c r="M643" t="s">
        <v>6107</v>
      </c>
      <c r="N643" t="s">
        <v>6108</v>
      </c>
      <c r="O643" t="s">
        <v>6109</v>
      </c>
      <c r="P643" t="s">
        <v>6110</v>
      </c>
      <c r="Q643" t="s">
        <v>6111</v>
      </c>
      <c r="R643" t="s">
        <v>6112</v>
      </c>
      <c r="S643" t="s">
        <v>6113</v>
      </c>
      <c r="T643" t="s">
        <v>6114</v>
      </c>
      <c r="U643" s="5">
        <v>3599.6</v>
      </c>
      <c r="V643" s="5">
        <v>3594.73</v>
      </c>
      <c r="W643" s="5">
        <v>14.959303</v>
      </c>
      <c r="X643" s="5">
        <v>108.924539</v>
      </c>
      <c r="Y643" s="5">
        <v>4.87</v>
      </c>
      <c r="Z643" s="5">
        <v>14.98549</v>
      </c>
      <c r="AA643" s="5">
        <v>108.91275400000001</v>
      </c>
      <c r="AB643" s="7">
        <f t="shared" ref="AB643:AB706" si="61">V643*1.5/1000</f>
        <v>5.3920950000000003</v>
      </c>
      <c r="AC643" s="7">
        <f t="shared" ref="AC643:AC706" si="62">Y643*1.5/1000</f>
        <v>7.3049999999999999E-3</v>
      </c>
      <c r="AD643" s="6" t="str">
        <f t="shared" ref="AD643:AD706" si="63">TRIM(LEFT(L643,FIND("-",L643)-1))</f>
        <v>Lân Phong</v>
      </c>
      <c r="AE643" s="6" t="str">
        <f t="shared" ref="AE643:AE706" si="64">TRIM(RIGHT(L643, LEN(L643) - FIND("-", L643)))</f>
        <v>Mỏ Cày</v>
      </c>
      <c r="AG643">
        <f t="shared" ref="AG643:AG706" si="65">V643/1000</f>
        <v>3.5947300000000002</v>
      </c>
      <c r="AH643">
        <f t="shared" ref="AH643:AH706" si="66">Y643/1000</f>
        <v>4.8700000000000002E-3</v>
      </c>
    </row>
    <row r="644" spans="1:34" x14ac:dyDescent="0.25">
      <c r="A644" t="s">
        <v>6115</v>
      </c>
      <c r="B644" t="s">
        <v>6104</v>
      </c>
      <c r="C644" t="s">
        <v>6105</v>
      </c>
      <c r="D644" t="s">
        <v>6116</v>
      </c>
      <c r="E644" t="s">
        <v>6117</v>
      </c>
      <c r="F644" t="s">
        <v>6118</v>
      </c>
      <c r="G644" t="s">
        <v>15827</v>
      </c>
      <c r="H644" t="s">
        <v>15831</v>
      </c>
      <c r="I644" t="s">
        <v>16459</v>
      </c>
      <c r="J644" t="s">
        <v>23</v>
      </c>
      <c r="L644" t="s">
        <v>6119</v>
      </c>
      <c r="M644" t="s">
        <v>6120</v>
      </c>
      <c r="N644" t="s">
        <v>6121</v>
      </c>
      <c r="O644" t="s">
        <v>6122</v>
      </c>
      <c r="P644" t="s">
        <v>6113</v>
      </c>
      <c r="Q644" t="s">
        <v>6123</v>
      </c>
      <c r="R644" t="s">
        <v>6124</v>
      </c>
      <c r="S644" t="s">
        <v>6125</v>
      </c>
      <c r="T644" t="s">
        <v>6126</v>
      </c>
      <c r="U644" s="5">
        <v>2417.92</v>
      </c>
      <c r="V644" s="5">
        <v>4.8600000000000003</v>
      </c>
      <c r="W644" s="5">
        <v>14.985491</v>
      </c>
      <c r="X644" s="5">
        <v>108.91275400000001</v>
      </c>
      <c r="Y644" s="5">
        <v>2413.06</v>
      </c>
      <c r="Z644" s="5">
        <v>15.001199</v>
      </c>
      <c r="AA644" s="5">
        <v>108.90942099999999</v>
      </c>
      <c r="AB644" s="7">
        <f t="shared" si="61"/>
        <v>7.2900000000000013E-3</v>
      </c>
      <c r="AC644" s="7">
        <f t="shared" si="62"/>
        <v>3.6195900000000001</v>
      </c>
      <c r="AD644" s="6" t="str">
        <f t="shared" si="63"/>
        <v>Mỏ Cày</v>
      </c>
      <c r="AE644" s="6" t="str">
        <f t="shared" si="64"/>
        <v>Long Phụng</v>
      </c>
      <c r="AG644">
        <f t="shared" si="65"/>
        <v>4.8600000000000006E-3</v>
      </c>
      <c r="AH644">
        <f t="shared" si="66"/>
        <v>2.4130599999999998</v>
      </c>
    </row>
    <row r="645" spans="1:34" x14ac:dyDescent="0.25">
      <c r="A645" t="s">
        <v>6127</v>
      </c>
      <c r="B645" t="s">
        <v>6128</v>
      </c>
      <c r="C645" t="s">
        <v>6129</v>
      </c>
      <c r="D645" t="s">
        <v>6104</v>
      </c>
      <c r="E645" t="s">
        <v>6105</v>
      </c>
      <c r="F645" t="s">
        <v>6130</v>
      </c>
      <c r="G645" t="s">
        <v>15827</v>
      </c>
      <c r="H645" t="s">
        <v>15831</v>
      </c>
      <c r="I645" t="s">
        <v>16460</v>
      </c>
      <c r="J645" t="s">
        <v>23</v>
      </c>
      <c r="L645" t="s">
        <v>6119</v>
      </c>
      <c r="M645" t="s">
        <v>6131</v>
      </c>
      <c r="N645" t="s">
        <v>6132</v>
      </c>
      <c r="O645" t="s">
        <v>6133</v>
      </c>
      <c r="P645" t="s">
        <v>6134</v>
      </c>
      <c r="Q645" t="s">
        <v>6121</v>
      </c>
      <c r="R645" t="s">
        <v>6122</v>
      </c>
      <c r="S645" t="s">
        <v>6113</v>
      </c>
      <c r="T645" t="s">
        <v>6126</v>
      </c>
      <c r="U645" s="5">
        <v>1920.32</v>
      </c>
      <c r="V645" s="5">
        <v>1915.46</v>
      </c>
      <c r="W645" s="5">
        <v>14.989229999999999</v>
      </c>
      <c r="X645" s="5">
        <v>108.911379</v>
      </c>
      <c r="Y645" s="5">
        <v>4.8600000000000003</v>
      </c>
      <c r="Z645" s="5">
        <v>14.985491</v>
      </c>
      <c r="AA645" s="5">
        <v>108.91275400000001</v>
      </c>
      <c r="AB645" s="7">
        <f t="shared" si="61"/>
        <v>2.8731900000000001</v>
      </c>
      <c r="AC645" s="7">
        <f t="shared" si="62"/>
        <v>7.2900000000000013E-3</v>
      </c>
      <c r="AD645" s="6" t="str">
        <f t="shared" si="63"/>
        <v>Mỏ Cày</v>
      </c>
      <c r="AE645" s="6" t="str">
        <f t="shared" si="64"/>
        <v>Long Phụng</v>
      </c>
      <c r="AG645">
        <f t="shared" si="65"/>
        <v>1.9154599999999999</v>
      </c>
      <c r="AH645">
        <f t="shared" si="66"/>
        <v>4.8600000000000006E-3</v>
      </c>
    </row>
    <row r="646" spans="1:34" x14ac:dyDescent="0.25">
      <c r="A646" t="s">
        <v>6135</v>
      </c>
      <c r="B646" t="s">
        <v>6136</v>
      </c>
      <c r="C646" t="s">
        <v>6137</v>
      </c>
      <c r="D646" t="s">
        <v>6104</v>
      </c>
      <c r="E646" t="s">
        <v>6105</v>
      </c>
      <c r="F646" t="s">
        <v>6138</v>
      </c>
      <c r="G646" t="s">
        <v>15827</v>
      </c>
      <c r="H646" t="s">
        <v>15831</v>
      </c>
      <c r="I646" t="s">
        <v>16461</v>
      </c>
      <c r="J646" t="s">
        <v>23</v>
      </c>
      <c r="L646" t="s">
        <v>6103</v>
      </c>
      <c r="M646" t="s">
        <v>6139</v>
      </c>
      <c r="N646" t="s">
        <v>6140</v>
      </c>
      <c r="O646" t="s">
        <v>6141</v>
      </c>
      <c r="P646" t="s">
        <v>6142</v>
      </c>
      <c r="Q646" t="s">
        <v>6111</v>
      </c>
      <c r="R646" t="s">
        <v>6112</v>
      </c>
      <c r="S646" t="s">
        <v>6113</v>
      </c>
      <c r="T646" t="s">
        <v>6114</v>
      </c>
      <c r="U646" s="5">
        <v>1540.45</v>
      </c>
      <c r="V646" s="5">
        <v>1535.58</v>
      </c>
      <c r="W646" s="5">
        <v>14.973222</v>
      </c>
      <c r="X646" s="5">
        <v>108.91775199999999</v>
      </c>
      <c r="Y646" s="5">
        <v>4.87</v>
      </c>
      <c r="Z646" s="5">
        <v>14.98549</v>
      </c>
      <c r="AA646" s="5">
        <v>108.91275400000001</v>
      </c>
      <c r="AB646" s="7">
        <f t="shared" si="61"/>
        <v>2.3033699999999997</v>
      </c>
      <c r="AC646" s="7">
        <f t="shared" si="62"/>
        <v>7.3049999999999999E-3</v>
      </c>
      <c r="AD646" s="6" t="str">
        <f t="shared" si="63"/>
        <v>Lân Phong</v>
      </c>
      <c r="AE646" s="6" t="str">
        <f t="shared" si="64"/>
        <v>Mỏ Cày</v>
      </c>
      <c r="AG646">
        <f t="shared" si="65"/>
        <v>1.5355799999999999</v>
      </c>
      <c r="AH646">
        <f t="shared" si="66"/>
        <v>4.8700000000000002E-3</v>
      </c>
    </row>
    <row r="647" spans="1:34" x14ac:dyDescent="0.25">
      <c r="A647" t="s">
        <v>6143</v>
      </c>
      <c r="B647" t="s">
        <v>6116</v>
      </c>
      <c r="C647" t="s">
        <v>6117</v>
      </c>
      <c r="D647" t="s">
        <v>6144</v>
      </c>
      <c r="E647" t="s">
        <v>6145</v>
      </c>
      <c r="F647" t="s">
        <v>6146</v>
      </c>
      <c r="G647" t="s">
        <v>15827</v>
      </c>
      <c r="H647" t="s">
        <v>15831</v>
      </c>
      <c r="I647" t="s">
        <v>16462</v>
      </c>
      <c r="J647" t="s">
        <v>23</v>
      </c>
      <c r="L647" t="s">
        <v>6119</v>
      </c>
      <c r="M647" t="s">
        <v>6147</v>
      </c>
      <c r="N647" t="s">
        <v>6148</v>
      </c>
      <c r="O647" t="s">
        <v>6149</v>
      </c>
      <c r="P647" t="s">
        <v>6150</v>
      </c>
      <c r="Q647" t="s">
        <v>6151</v>
      </c>
      <c r="R647" t="s">
        <v>6152</v>
      </c>
      <c r="S647" t="s">
        <v>6153</v>
      </c>
      <c r="T647" t="s">
        <v>6154</v>
      </c>
      <c r="U647" s="5">
        <v>351.61</v>
      </c>
      <c r="V647" s="5">
        <v>75.63</v>
      </c>
      <c r="W647" s="5">
        <v>15.021850000000001</v>
      </c>
      <c r="X647" s="5">
        <v>108.90312400000001</v>
      </c>
      <c r="Y647" s="5">
        <v>275.98</v>
      </c>
      <c r="Z647" s="5">
        <v>15.040077999999999</v>
      </c>
      <c r="AA647" s="5">
        <v>108.86617200000001</v>
      </c>
      <c r="AB647" s="7">
        <f t="shared" si="61"/>
        <v>0.11344499999999999</v>
      </c>
      <c r="AC647" s="7">
        <f t="shared" si="62"/>
        <v>0.41397</v>
      </c>
      <c r="AD647" s="6" t="str">
        <f t="shared" si="63"/>
        <v>Mỏ Cày</v>
      </c>
      <c r="AE647" s="6" t="str">
        <f t="shared" si="64"/>
        <v>Long Phụng</v>
      </c>
      <c r="AG647">
        <f t="shared" si="65"/>
        <v>7.5629999999999989E-2</v>
      </c>
      <c r="AH647">
        <f t="shared" si="66"/>
        <v>0.27598</v>
      </c>
    </row>
    <row r="648" spans="1:34" x14ac:dyDescent="0.25">
      <c r="A648" t="s">
        <v>6155</v>
      </c>
      <c r="B648" t="s">
        <v>6144</v>
      </c>
      <c r="C648" t="s">
        <v>6145</v>
      </c>
      <c r="D648" t="s">
        <v>5434</v>
      </c>
      <c r="E648" t="s">
        <v>5435</v>
      </c>
      <c r="F648" t="s">
        <v>6156</v>
      </c>
      <c r="G648" t="s">
        <v>15827</v>
      </c>
      <c r="H648" t="s">
        <v>15831</v>
      </c>
      <c r="I648" t="s">
        <v>16463</v>
      </c>
      <c r="J648" t="s">
        <v>23</v>
      </c>
      <c r="L648" t="s">
        <v>5827</v>
      </c>
      <c r="M648" t="s">
        <v>6157</v>
      </c>
      <c r="N648" t="s">
        <v>6158</v>
      </c>
      <c r="O648" t="s">
        <v>6159</v>
      </c>
      <c r="P648" t="s">
        <v>6160</v>
      </c>
      <c r="Q648" t="s">
        <v>5829</v>
      </c>
      <c r="R648" t="s">
        <v>5830</v>
      </c>
      <c r="S648" t="s">
        <v>5831</v>
      </c>
      <c r="T648" t="s">
        <v>5835</v>
      </c>
      <c r="U648" s="5">
        <v>1673.65</v>
      </c>
      <c r="V648" s="5">
        <v>1568.77</v>
      </c>
      <c r="W648" s="5">
        <v>15.043934</v>
      </c>
      <c r="X648" s="5">
        <v>108.84978</v>
      </c>
      <c r="Y648" s="5">
        <v>104.88</v>
      </c>
      <c r="Z648" s="5">
        <v>15.058427999999999</v>
      </c>
      <c r="AA648" s="5">
        <v>108.842528</v>
      </c>
      <c r="AB648" s="7">
        <f t="shared" si="61"/>
        <v>2.3531549999999997</v>
      </c>
      <c r="AC648" s="7">
        <f t="shared" si="62"/>
        <v>0.15731999999999999</v>
      </c>
      <c r="AD648" s="6" t="str">
        <f t="shared" si="63"/>
        <v>Long Phụng</v>
      </c>
      <c r="AE648" s="6" t="str">
        <f t="shared" si="64"/>
        <v>Tư Nghĩa</v>
      </c>
      <c r="AG648">
        <f t="shared" si="65"/>
        <v>1.56877</v>
      </c>
      <c r="AH648">
        <f t="shared" si="66"/>
        <v>0.10488</v>
      </c>
    </row>
    <row r="649" spans="1:34" x14ac:dyDescent="0.25">
      <c r="A649" t="s">
        <v>6161</v>
      </c>
      <c r="B649" t="s">
        <v>6162</v>
      </c>
      <c r="C649" t="s">
        <v>6163</v>
      </c>
      <c r="D649" t="s">
        <v>6144</v>
      </c>
      <c r="E649" t="s">
        <v>6145</v>
      </c>
      <c r="F649" t="s">
        <v>6164</v>
      </c>
      <c r="G649" t="s">
        <v>15827</v>
      </c>
      <c r="H649" t="s">
        <v>16377</v>
      </c>
      <c r="I649" t="s">
        <v>16464</v>
      </c>
      <c r="J649" t="s">
        <v>23</v>
      </c>
      <c r="L649" t="s">
        <v>6119</v>
      </c>
      <c r="M649" t="s">
        <v>6165</v>
      </c>
      <c r="N649" t="s">
        <v>6166</v>
      </c>
      <c r="O649" t="s">
        <v>6167</v>
      </c>
      <c r="P649" t="s">
        <v>6168</v>
      </c>
      <c r="Q649" t="s">
        <v>6151</v>
      </c>
      <c r="R649" t="s">
        <v>6152</v>
      </c>
      <c r="S649" t="s">
        <v>6153</v>
      </c>
      <c r="T649" t="s">
        <v>6154</v>
      </c>
      <c r="U649" s="5">
        <v>649.64</v>
      </c>
      <c r="V649" s="5">
        <v>373.66</v>
      </c>
      <c r="W649" s="5">
        <v>15.035769999999999</v>
      </c>
      <c r="X649" s="5">
        <v>108.87860999999999</v>
      </c>
      <c r="Y649" s="5">
        <v>275.98</v>
      </c>
      <c r="Z649" s="5">
        <v>15.040077999999999</v>
      </c>
      <c r="AA649" s="5">
        <v>108.86617200000001</v>
      </c>
      <c r="AB649" s="7">
        <f t="shared" si="61"/>
        <v>0.56049000000000004</v>
      </c>
      <c r="AC649" s="7">
        <f t="shared" si="62"/>
        <v>0.41397</v>
      </c>
      <c r="AD649" s="6" t="str">
        <f t="shared" si="63"/>
        <v>Mỏ Cày</v>
      </c>
      <c r="AE649" s="6" t="str">
        <f t="shared" si="64"/>
        <v>Long Phụng</v>
      </c>
      <c r="AG649">
        <f t="shared" si="65"/>
        <v>0.37366000000000005</v>
      </c>
      <c r="AH649">
        <f t="shared" si="66"/>
        <v>0.27598</v>
      </c>
    </row>
    <row r="650" spans="1:34" x14ac:dyDescent="0.25">
      <c r="A650" t="s">
        <v>6169</v>
      </c>
      <c r="B650" t="s">
        <v>6144</v>
      </c>
      <c r="C650" t="s">
        <v>6145</v>
      </c>
      <c r="D650" t="s">
        <v>6170</v>
      </c>
      <c r="E650" t="s">
        <v>6171</v>
      </c>
      <c r="F650" t="s">
        <v>6172</v>
      </c>
      <c r="G650" t="s">
        <v>15979</v>
      </c>
      <c r="H650" t="s">
        <v>15980</v>
      </c>
      <c r="I650" t="s">
        <v>16465</v>
      </c>
      <c r="J650" t="s">
        <v>23</v>
      </c>
      <c r="L650" t="s">
        <v>5827</v>
      </c>
      <c r="M650" t="s">
        <v>6173</v>
      </c>
      <c r="N650" t="s">
        <v>6174</v>
      </c>
      <c r="O650" t="s">
        <v>6175</v>
      </c>
      <c r="P650" t="s">
        <v>6176</v>
      </c>
      <c r="Q650" t="s">
        <v>6177</v>
      </c>
      <c r="R650" t="s">
        <v>6178</v>
      </c>
      <c r="S650" t="s">
        <v>6179</v>
      </c>
      <c r="T650" t="s">
        <v>6180</v>
      </c>
      <c r="U650" s="5">
        <v>581.88</v>
      </c>
      <c r="V650" s="5">
        <v>216.52</v>
      </c>
      <c r="W650" s="5">
        <v>15.040836000000001</v>
      </c>
      <c r="X650" s="5">
        <v>108.86237800000001</v>
      </c>
      <c r="Y650" s="5">
        <v>365.36</v>
      </c>
      <c r="Z650" s="5">
        <v>15.030893000000001</v>
      </c>
      <c r="AA650" s="5">
        <v>108.86153400000001</v>
      </c>
      <c r="AB650" s="7">
        <f t="shared" si="61"/>
        <v>0.32478000000000001</v>
      </c>
      <c r="AC650" s="7">
        <f t="shared" si="62"/>
        <v>0.54803999999999997</v>
      </c>
      <c r="AD650" s="6" t="str">
        <f t="shared" si="63"/>
        <v>Long Phụng</v>
      </c>
      <c r="AE650" s="6" t="str">
        <f t="shared" si="64"/>
        <v>Tư Nghĩa</v>
      </c>
      <c r="AG650">
        <f t="shared" si="65"/>
        <v>0.21652000000000002</v>
      </c>
      <c r="AH650">
        <f t="shared" si="66"/>
        <v>0.36536000000000002</v>
      </c>
    </row>
    <row r="651" spans="1:34" x14ac:dyDescent="0.25">
      <c r="A651" t="s">
        <v>6181</v>
      </c>
      <c r="B651" t="s">
        <v>5548</v>
      </c>
      <c r="C651" t="s">
        <v>5549</v>
      </c>
      <c r="D651" t="s">
        <v>6182</v>
      </c>
      <c r="E651" t="s">
        <v>6183</v>
      </c>
      <c r="F651" t="s">
        <v>6184</v>
      </c>
      <c r="G651" t="s">
        <v>15827</v>
      </c>
      <c r="H651" t="s">
        <v>15831</v>
      </c>
      <c r="I651" t="s">
        <v>16466</v>
      </c>
      <c r="J651" t="s">
        <v>23</v>
      </c>
      <c r="L651" t="s">
        <v>6185</v>
      </c>
      <c r="M651" t="s">
        <v>6186</v>
      </c>
      <c r="N651" t="s">
        <v>6187</v>
      </c>
      <c r="O651" t="s">
        <v>6188</v>
      </c>
      <c r="P651" t="s">
        <v>6189</v>
      </c>
      <c r="Q651" t="s">
        <v>6190</v>
      </c>
      <c r="R651" t="s">
        <v>6191</v>
      </c>
      <c r="S651" t="s">
        <v>6192</v>
      </c>
      <c r="T651" t="s">
        <v>6193</v>
      </c>
      <c r="U651" s="5">
        <v>630.79999999999995</v>
      </c>
      <c r="V651" s="5">
        <v>347.8</v>
      </c>
      <c r="W651" s="5">
        <v>15.042566000000001</v>
      </c>
      <c r="X651" s="5">
        <v>108.742581</v>
      </c>
      <c r="Y651" s="5">
        <v>283</v>
      </c>
      <c r="Z651" s="5">
        <v>15.006114999999999</v>
      </c>
      <c r="AA651" s="5">
        <v>108.719311</v>
      </c>
      <c r="AB651" s="7">
        <f t="shared" si="61"/>
        <v>0.52170000000000005</v>
      </c>
      <c r="AC651" s="7">
        <f t="shared" si="62"/>
        <v>0.42449999999999999</v>
      </c>
      <c r="AD651" s="6" t="str">
        <f t="shared" si="63"/>
        <v>Sơn Mai</v>
      </c>
      <c r="AE651" s="6" t="str">
        <f t="shared" si="64"/>
        <v>Phước Giang</v>
      </c>
      <c r="AG651">
        <f t="shared" si="65"/>
        <v>0.3478</v>
      </c>
      <c r="AH651">
        <f t="shared" si="66"/>
        <v>0.28299999999999997</v>
      </c>
    </row>
    <row r="652" spans="1:34" x14ac:dyDescent="0.25">
      <c r="A652" t="s">
        <v>6194</v>
      </c>
      <c r="B652" t="s">
        <v>6195</v>
      </c>
      <c r="C652" t="s">
        <v>6196</v>
      </c>
      <c r="D652" t="s">
        <v>5548</v>
      </c>
      <c r="E652" t="s">
        <v>5549</v>
      </c>
      <c r="F652" t="s">
        <v>6197</v>
      </c>
      <c r="G652" t="s">
        <v>15827</v>
      </c>
      <c r="H652" t="s">
        <v>16377</v>
      </c>
      <c r="I652" t="s">
        <v>16467</v>
      </c>
      <c r="J652" t="s">
        <v>23</v>
      </c>
      <c r="L652" t="s">
        <v>6185</v>
      </c>
      <c r="M652" t="s">
        <v>6198</v>
      </c>
      <c r="N652" t="s">
        <v>6199</v>
      </c>
      <c r="O652" t="s">
        <v>6200</v>
      </c>
      <c r="P652" t="s">
        <v>6201</v>
      </c>
      <c r="Q652" t="s">
        <v>6187</v>
      </c>
      <c r="R652" t="s">
        <v>6188</v>
      </c>
      <c r="S652" t="s">
        <v>6189</v>
      </c>
      <c r="T652" t="s">
        <v>6193</v>
      </c>
      <c r="U652" s="5">
        <v>1084.01</v>
      </c>
      <c r="V652" s="5">
        <v>736.21</v>
      </c>
      <c r="W652" s="5">
        <v>15.031617000000001</v>
      </c>
      <c r="X652" s="5">
        <v>108.733498</v>
      </c>
      <c r="Y652" s="5">
        <v>347.8</v>
      </c>
      <c r="Z652" s="5">
        <v>15.042566000000001</v>
      </c>
      <c r="AA652" s="5">
        <v>108.742581</v>
      </c>
      <c r="AB652" s="7">
        <f t="shared" si="61"/>
        <v>1.1043150000000002</v>
      </c>
      <c r="AC652" s="7">
        <f t="shared" si="62"/>
        <v>0.52170000000000005</v>
      </c>
      <c r="AD652" s="6" t="str">
        <f t="shared" si="63"/>
        <v>Sơn Mai</v>
      </c>
      <c r="AE652" s="6" t="str">
        <f t="shared" si="64"/>
        <v>Phước Giang</v>
      </c>
      <c r="AG652">
        <f t="shared" si="65"/>
        <v>0.73621000000000003</v>
      </c>
      <c r="AH652">
        <f t="shared" si="66"/>
        <v>0.3478</v>
      </c>
    </row>
    <row r="653" spans="1:34" x14ac:dyDescent="0.25">
      <c r="A653" t="s">
        <v>6202</v>
      </c>
      <c r="B653" t="s">
        <v>5659</v>
      </c>
      <c r="C653" t="s">
        <v>5660</v>
      </c>
      <c r="D653" t="s">
        <v>5548</v>
      </c>
      <c r="E653" t="s">
        <v>5549</v>
      </c>
      <c r="F653" t="s">
        <v>6203</v>
      </c>
      <c r="G653" t="s">
        <v>15979</v>
      </c>
      <c r="H653" t="s">
        <v>15980</v>
      </c>
      <c r="I653" t="s">
        <v>16468</v>
      </c>
      <c r="J653" t="s">
        <v>23</v>
      </c>
      <c r="L653" t="s">
        <v>5551</v>
      </c>
      <c r="M653" t="s">
        <v>6204</v>
      </c>
      <c r="N653" t="s">
        <v>6205</v>
      </c>
      <c r="O653" t="s">
        <v>6206</v>
      </c>
      <c r="P653" t="s">
        <v>6207</v>
      </c>
      <c r="Q653" t="s">
        <v>5556</v>
      </c>
      <c r="R653" t="s">
        <v>5557</v>
      </c>
      <c r="S653" t="s">
        <v>5558</v>
      </c>
      <c r="T653" t="s">
        <v>5559</v>
      </c>
      <c r="U653" s="5">
        <v>1977.81</v>
      </c>
      <c r="V653" s="5">
        <v>1641.22</v>
      </c>
      <c r="W653" s="5">
        <v>15.047103999999999</v>
      </c>
      <c r="X653" s="5">
        <v>108.747927</v>
      </c>
      <c r="Y653" s="5">
        <v>336.59</v>
      </c>
      <c r="Z653" s="5">
        <v>15.045444</v>
      </c>
      <c r="AA653" s="5">
        <v>108.745306</v>
      </c>
      <c r="AB653" s="7">
        <f t="shared" si="61"/>
        <v>2.46183</v>
      </c>
      <c r="AC653" s="7">
        <f t="shared" si="62"/>
        <v>0.50488500000000003</v>
      </c>
      <c r="AD653" s="6" t="str">
        <f t="shared" si="63"/>
        <v>Phước Giang</v>
      </c>
      <c r="AE653" s="6" t="str">
        <f t="shared" si="64"/>
        <v>Trà Giang</v>
      </c>
      <c r="AG653">
        <f t="shared" si="65"/>
        <v>1.6412200000000001</v>
      </c>
      <c r="AH653">
        <f t="shared" si="66"/>
        <v>0.33659</v>
      </c>
    </row>
    <row r="654" spans="1:34" x14ac:dyDescent="0.25">
      <c r="A654" t="s">
        <v>6208</v>
      </c>
      <c r="B654" t="s">
        <v>5548</v>
      </c>
      <c r="C654" t="s">
        <v>5549</v>
      </c>
      <c r="D654" t="s">
        <v>6209</v>
      </c>
      <c r="E654" t="s">
        <v>6210</v>
      </c>
      <c r="F654" t="s">
        <v>6211</v>
      </c>
      <c r="G654" t="s">
        <v>15979</v>
      </c>
      <c r="H654" t="s">
        <v>15980</v>
      </c>
      <c r="I654" t="s">
        <v>16469</v>
      </c>
      <c r="J654" t="s">
        <v>23</v>
      </c>
      <c r="L654" t="s">
        <v>5551</v>
      </c>
      <c r="M654" t="s">
        <v>6212</v>
      </c>
      <c r="N654" t="s">
        <v>5556</v>
      </c>
      <c r="O654" t="s">
        <v>5557</v>
      </c>
      <c r="P654" t="s">
        <v>5558</v>
      </c>
      <c r="Q654" t="s">
        <v>6213</v>
      </c>
      <c r="R654" t="s">
        <v>6214</v>
      </c>
      <c r="S654" t="s">
        <v>6215</v>
      </c>
      <c r="T654" t="s">
        <v>5559</v>
      </c>
      <c r="U654" s="5">
        <v>480.75</v>
      </c>
      <c r="V654" s="5">
        <v>336.59</v>
      </c>
      <c r="W654" s="5">
        <v>15.045444</v>
      </c>
      <c r="X654" s="5">
        <v>108.745306</v>
      </c>
      <c r="Y654" s="5">
        <v>144.16</v>
      </c>
      <c r="Z654" s="5">
        <v>15.066254000000001</v>
      </c>
      <c r="AA654" s="5">
        <v>108.750563</v>
      </c>
      <c r="AB654" s="7">
        <f t="shared" si="61"/>
        <v>0.50488500000000003</v>
      </c>
      <c r="AC654" s="7">
        <f t="shared" si="62"/>
        <v>0.21624000000000002</v>
      </c>
      <c r="AD654" s="6" t="str">
        <f t="shared" si="63"/>
        <v>Phước Giang</v>
      </c>
      <c r="AE654" s="6" t="str">
        <f t="shared" si="64"/>
        <v>Trà Giang</v>
      </c>
      <c r="AG654">
        <f t="shared" si="65"/>
        <v>0.33659</v>
      </c>
      <c r="AH654">
        <f t="shared" si="66"/>
        <v>0.14416000000000001</v>
      </c>
    </row>
    <row r="655" spans="1:34" x14ac:dyDescent="0.25">
      <c r="A655" t="s">
        <v>6216</v>
      </c>
      <c r="B655" t="s">
        <v>6217</v>
      </c>
      <c r="C655" t="s">
        <v>6218</v>
      </c>
      <c r="D655" t="s">
        <v>6219</v>
      </c>
      <c r="E655" t="s">
        <v>6220</v>
      </c>
      <c r="F655" t="s">
        <v>6221</v>
      </c>
      <c r="G655" t="s">
        <v>15827</v>
      </c>
      <c r="H655" t="s">
        <v>15831</v>
      </c>
      <c r="I655" t="s">
        <v>16470</v>
      </c>
      <c r="J655" t="s">
        <v>23</v>
      </c>
      <c r="L655" t="s">
        <v>5279</v>
      </c>
      <c r="M655" t="s">
        <v>6222</v>
      </c>
      <c r="N655" t="s">
        <v>6223</v>
      </c>
      <c r="O655" t="s">
        <v>6224</v>
      </c>
      <c r="P655" t="s">
        <v>6225</v>
      </c>
      <c r="Q655" t="s">
        <v>6226</v>
      </c>
      <c r="R655" t="s">
        <v>6227</v>
      </c>
      <c r="S655" t="s">
        <v>6228</v>
      </c>
      <c r="T655" t="s">
        <v>6229</v>
      </c>
      <c r="U655" s="5">
        <v>3533.33</v>
      </c>
      <c r="V655" s="5">
        <v>3228.48</v>
      </c>
      <c r="W655" s="5">
        <v>15.007661000000001</v>
      </c>
      <c r="X655" s="5">
        <v>108.81334699999999</v>
      </c>
      <c r="Y655" s="5">
        <v>304.83999999999997</v>
      </c>
      <c r="Z655" s="5">
        <v>14.956894</v>
      </c>
      <c r="AA655" s="5">
        <v>108.777917</v>
      </c>
      <c r="AB655" s="7">
        <f t="shared" si="61"/>
        <v>4.8427199999999999</v>
      </c>
      <c r="AC655" s="7">
        <f t="shared" si="62"/>
        <v>0.45726</v>
      </c>
      <c r="AD655" s="6" t="str">
        <f t="shared" si="63"/>
        <v>TT1 Quảng Ngãi</v>
      </c>
      <c r="AE655" s="6" t="str">
        <f t="shared" si="64"/>
        <v>Minh Long</v>
      </c>
      <c r="AG655">
        <f t="shared" si="65"/>
        <v>3.2284800000000002</v>
      </c>
      <c r="AH655">
        <f t="shared" si="66"/>
        <v>0.30484</v>
      </c>
    </row>
    <row r="656" spans="1:34" x14ac:dyDescent="0.25">
      <c r="A656" t="s">
        <v>6230</v>
      </c>
      <c r="B656" t="s">
        <v>6219</v>
      </c>
      <c r="C656" t="s">
        <v>6220</v>
      </c>
      <c r="D656" t="s">
        <v>6231</v>
      </c>
      <c r="E656" t="s">
        <v>6232</v>
      </c>
      <c r="F656" t="s">
        <v>6233</v>
      </c>
      <c r="G656" t="s">
        <v>15827</v>
      </c>
      <c r="H656" t="s">
        <v>15831</v>
      </c>
      <c r="I656" t="s">
        <v>16471</v>
      </c>
      <c r="J656" t="s">
        <v>23</v>
      </c>
      <c r="L656" t="s">
        <v>6234</v>
      </c>
      <c r="M656" t="s">
        <v>6235</v>
      </c>
      <c r="N656" t="s">
        <v>6236</v>
      </c>
      <c r="O656" t="s">
        <v>6237</v>
      </c>
      <c r="P656" t="s">
        <v>6238</v>
      </c>
      <c r="Q656" t="s">
        <v>6239</v>
      </c>
      <c r="R656" t="s">
        <v>6240</v>
      </c>
      <c r="S656" t="s">
        <v>6241</v>
      </c>
      <c r="T656" t="s">
        <v>6242</v>
      </c>
      <c r="U656" s="5">
        <v>5553.4</v>
      </c>
      <c r="V656" s="5">
        <v>248.44</v>
      </c>
      <c r="W656" s="5">
        <v>14.958562000000001</v>
      </c>
      <c r="X656" s="5">
        <v>108.776166</v>
      </c>
      <c r="Y656" s="5">
        <v>5304.96</v>
      </c>
      <c r="Z656" s="5">
        <v>14.982704999999999</v>
      </c>
      <c r="AA656" s="5">
        <v>108.80611399999999</v>
      </c>
      <c r="AB656" s="7">
        <f t="shared" si="61"/>
        <v>0.37265999999999999</v>
      </c>
      <c r="AC656" s="7">
        <f t="shared" si="62"/>
        <v>7.9574400000000001</v>
      </c>
      <c r="AD656" s="6" t="str">
        <f t="shared" si="63"/>
        <v>TTCMKV Minh Long</v>
      </c>
      <c r="AE656" s="6" t="str">
        <f t="shared" si="64"/>
        <v>Đình Cương</v>
      </c>
      <c r="AG656">
        <f t="shared" si="65"/>
        <v>0.24843999999999999</v>
      </c>
      <c r="AH656">
        <f t="shared" si="66"/>
        <v>5.3049600000000003</v>
      </c>
    </row>
    <row r="657" spans="1:34" x14ac:dyDescent="0.25">
      <c r="A657" t="s">
        <v>6243</v>
      </c>
      <c r="B657" t="s">
        <v>6244</v>
      </c>
      <c r="C657" t="s">
        <v>6245</v>
      </c>
      <c r="D657" t="s">
        <v>6219</v>
      </c>
      <c r="E657" t="s">
        <v>6220</v>
      </c>
      <c r="F657" t="s">
        <v>6246</v>
      </c>
      <c r="G657" t="s">
        <v>15827</v>
      </c>
      <c r="H657" t="s">
        <v>15831</v>
      </c>
      <c r="I657" t="s">
        <v>16472</v>
      </c>
      <c r="J657" t="s">
        <v>23</v>
      </c>
      <c r="L657" t="s">
        <v>6247</v>
      </c>
      <c r="M657" t="s">
        <v>6248</v>
      </c>
      <c r="N657" t="s">
        <v>6249</v>
      </c>
      <c r="O657" t="s">
        <v>6250</v>
      </c>
      <c r="P657" t="s">
        <v>6251</v>
      </c>
      <c r="Q657" t="s">
        <v>6252</v>
      </c>
      <c r="R657" t="s">
        <v>6253</v>
      </c>
      <c r="S657" t="s">
        <v>6254</v>
      </c>
      <c r="T657" t="s">
        <v>6255</v>
      </c>
      <c r="U657" s="5">
        <v>268.14999999999998</v>
      </c>
      <c r="V657" s="5">
        <v>157.22999999999999</v>
      </c>
      <c r="W657" s="5">
        <v>14.91952</v>
      </c>
      <c r="X657" s="5">
        <v>108.772904</v>
      </c>
      <c r="Y657" s="5">
        <v>110.92</v>
      </c>
      <c r="Z657" s="5">
        <v>14.955847</v>
      </c>
      <c r="AA657" s="5">
        <v>108.77439699999999</v>
      </c>
      <c r="AB657" s="7">
        <f t="shared" si="61"/>
        <v>0.23584499999999997</v>
      </c>
      <c r="AC657" s="7">
        <f t="shared" si="62"/>
        <v>0.16638</v>
      </c>
      <c r="AD657" s="6" t="str">
        <f t="shared" si="63"/>
        <v>Ba Động</v>
      </c>
      <c r="AE657" s="6" t="str">
        <f t="shared" si="64"/>
        <v>Thiện Tín</v>
      </c>
      <c r="AG657">
        <f t="shared" si="65"/>
        <v>0.15722999999999998</v>
      </c>
      <c r="AH657">
        <f t="shared" si="66"/>
        <v>0.11092</v>
      </c>
    </row>
    <row r="658" spans="1:34" x14ac:dyDescent="0.25">
      <c r="A658" t="s">
        <v>6256</v>
      </c>
      <c r="B658" t="s">
        <v>6257</v>
      </c>
      <c r="C658" t="s">
        <v>6258</v>
      </c>
      <c r="D658" t="s">
        <v>6219</v>
      </c>
      <c r="E658" t="s">
        <v>6220</v>
      </c>
      <c r="F658" t="s">
        <v>6259</v>
      </c>
      <c r="G658" t="s">
        <v>15979</v>
      </c>
      <c r="H658" t="s">
        <v>15980</v>
      </c>
      <c r="I658" t="s">
        <v>16473</v>
      </c>
      <c r="J658" t="s">
        <v>23</v>
      </c>
      <c r="L658" t="s">
        <v>6260</v>
      </c>
      <c r="M658" t="s">
        <v>6261</v>
      </c>
      <c r="N658" t="s">
        <v>6262</v>
      </c>
      <c r="O658" t="s">
        <v>6263</v>
      </c>
      <c r="P658" t="s">
        <v>6264</v>
      </c>
      <c r="Q658" t="s">
        <v>6265</v>
      </c>
      <c r="R658" t="s">
        <v>6266</v>
      </c>
      <c r="S658" t="s">
        <v>6267</v>
      </c>
      <c r="T658" t="s">
        <v>6268</v>
      </c>
      <c r="U658" s="5">
        <v>154.85</v>
      </c>
      <c r="V658" s="5">
        <v>25.27</v>
      </c>
      <c r="W658" s="5">
        <v>14.962543</v>
      </c>
      <c r="X658" s="5">
        <v>108.738855</v>
      </c>
      <c r="Y658" s="5">
        <v>129.58000000000001</v>
      </c>
      <c r="Z658" s="5">
        <v>14.957691000000001</v>
      </c>
      <c r="AA658" s="5">
        <v>108.774734</v>
      </c>
      <c r="AB658" s="7">
        <f t="shared" si="61"/>
        <v>3.7905000000000001E-2</v>
      </c>
      <c r="AC658" s="7">
        <f t="shared" si="62"/>
        <v>0.19437000000000001</v>
      </c>
      <c r="AD658" s="6" t="str">
        <f t="shared" si="63"/>
        <v>Thiện Tín</v>
      </c>
      <c r="AE658" s="6" t="str">
        <f t="shared" si="64"/>
        <v>TTCMKV Minh Long</v>
      </c>
      <c r="AG658">
        <f t="shared" si="65"/>
        <v>2.5270000000000001E-2</v>
      </c>
      <c r="AH658">
        <f t="shared" si="66"/>
        <v>0.12958</v>
      </c>
    </row>
    <row r="659" spans="1:34" x14ac:dyDescent="0.25">
      <c r="A659" t="s">
        <v>6269</v>
      </c>
      <c r="B659" t="s">
        <v>5570</v>
      </c>
      <c r="C659" t="s">
        <v>5571</v>
      </c>
      <c r="D659" t="s">
        <v>6270</v>
      </c>
      <c r="E659" t="s">
        <v>6271</v>
      </c>
      <c r="F659" t="s">
        <v>6272</v>
      </c>
      <c r="G659" t="s">
        <v>15827</v>
      </c>
      <c r="H659" t="s">
        <v>15831</v>
      </c>
      <c r="I659" t="s">
        <v>16474</v>
      </c>
      <c r="J659" t="s">
        <v>23</v>
      </c>
      <c r="L659" t="s">
        <v>5573</v>
      </c>
      <c r="M659" t="s">
        <v>6273</v>
      </c>
      <c r="N659" t="s">
        <v>5578</v>
      </c>
      <c r="O659" t="s">
        <v>5579</v>
      </c>
      <c r="P659" t="s">
        <v>5580</v>
      </c>
      <c r="Q659" t="s">
        <v>6274</v>
      </c>
      <c r="R659" t="s">
        <v>5629</v>
      </c>
      <c r="S659" t="s">
        <v>6275</v>
      </c>
      <c r="T659" t="s">
        <v>5581</v>
      </c>
      <c r="U659" s="5">
        <v>1809.87</v>
      </c>
      <c r="V659" s="5">
        <v>221.48</v>
      </c>
      <c r="W659" s="5">
        <v>15.04072</v>
      </c>
      <c r="X659" s="5">
        <v>108.795241</v>
      </c>
      <c r="Y659" s="5">
        <v>1588.4</v>
      </c>
      <c r="Z659" s="5">
        <v>15.023047999999999</v>
      </c>
      <c r="AA659" s="5">
        <v>108.80918800000001</v>
      </c>
      <c r="AB659" s="7">
        <f t="shared" si="61"/>
        <v>0.33221999999999996</v>
      </c>
      <c r="AC659" s="7">
        <f t="shared" si="62"/>
        <v>2.3826000000000005</v>
      </c>
      <c r="AD659" s="6" t="str">
        <f t="shared" si="63"/>
        <v>Đình Cương</v>
      </c>
      <c r="AE659" s="6" t="str">
        <f t="shared" si="64"/>
        <v>Nghĩa Hành</v>
      </c>
      <c r="AG659">
        <f t="shared" si="65"/>
        <v>0.22147999999999998</v>
      </c>
      <c r="AH659">
        <f t="shared" si="66"/>
        <v>1.5884</v>
      </c>
    </row>
    <row r="660" spans="1:34" x14ac:dyDescent="0.25">
      <c r="A660" t="s">
        <v>6276</v>
      </c>
      <c r="B660" t="s">
        <v>6270</v>
      </c>
      <c r="C660" t="s">
        <v>6271</v>
      </c>
      <c r="D660" t="s">
        <v>6277</v>
      </c>
      <c r="E660" t="s">
        <v>6278</v>
      </c>
      <c r="F660" t="s">
        <v>6279</v>
      </c>
      <c r="G660" t="s">
        <v>15827</v>
      </c>
      <c r="H660" t="s">
        <v>15831</v>
      </c>
      <c r="I660" t="s">
        <v>16475</v>
      </c>
      <c r="J660" t="s">
        <v>23</v>
      </c>
      <c r="L660" t="s">
        <v>5573</v>
      </c>
      <c r="M660" t="s">
        <v>6280</v>
      </c>
      <c r="N660" t="s">
        <v>6281</v>
      </c>
      <c r="O660" t="s">
        <v>6282</v>
      </c>
      <c r="P660" t="s">
        <v>6283</v>
      </c>
      <c r="Q660" t="s">
        <v>6284</v>
      </c>
      <c r="R660" t="s">
        <v>6285</v>
      </c>
      <c r="S660" t="s">
        <v>6286</v>
      </c>
      <c r="T660" t="s">
        <v>6287</v>
      </c>
      <c r="U660" s="5">
        <v>2000.25</v>
      </c>
      <c r="V660" s="5">
        <v>25.4</v>
      </c>
      <c r="W660" s="5">
        <v>15.015248</v>
      </c>
      <c r="X660" s="5">
        <v>108.821816</v>
      </c>
      <c r="Y660" s="5">
        <v>1974.86</v>
      </c>
      <c r="Z660" s="5">
        <v>15.021352</v>
      </c>
      <c r="AA660" s="5">
        <v>108.814167</v>
      </c>
      <c r="AB660" s="7">
        <f t="shared" si="61"/>
        <v>3.8099999999999995E-2</v>
      </c>
      <c r="AC660" s="7">
        <f t="shared" si="62"/>
        <v>2.9622899999999999</v>
      </c>
      <c r="AD660" s="6" t="str">
        <f t="shared" si="63"/>
        <v>Đình Cương</v>
      </c>
      <c r="AE660" s="6" t="str">
        <f t="shared" si="64"/>
        <v>Nghĩa Hành</v>
      </c>
      <c r="AG660">
        <f t="shared" si="65"/>
        <v>2.5399999999999999E-2</v>
      </c>
      <c r="AH660">
        <f t="shared" si="66"/>
        <v>1.9748599999999998</v>
      </c>
    </row>
    <row r="661" spans="1:34" x14ac:dyDescent="0.25">
      <c r="A661" t="s">
        <v>6288</v>
      </c>
      <c r="B661" t="s">
        <v>6289</v>
      </c>
      <c r="C661" t="s">
        <v>6290</v>
      </c>
      <c r="D661" t="s">
        <v>6270</v>
      </c>
      <c r="E661" t="s">
        <v>6271</v>
      </c>
      <c r="F661" t="s">
        <v>6291</v>
      </c>
      <c r="G661" t="s">
        <v>15827</v>
      </c>
      <c r="H661" t="s">
        <v>16377</v>
      </c>
      <c r="I661" t="s">
        <v>16476</v>
      </c>
      <c r="J661" t="s">
        <v>23</v>
      </c>
      <c r="L661" t="s">
        <v>6234</v>
      </c>
      <c r="M661" t="s">
        <v>6292</v>
      </c>
      <c r="N661" t="s">
        <v>6293</v>
      </c>
      <c r="O661" t="s">
        <v>6294</v>
      </c>
      <c r="P661" t="s">
        <v>6295</v>
      </c>
      <c r="Q661" t="s">
        <v>6296</v>
      </c>
      <c r="R661" t="s">
        <v>6297</v>
      </c>
      <c r="S661" t="s">
        <v>6298</v>
      </c>
      <c r="T661" t="s">
        <v>6242</v>
      </c>
      <c r="U661" s="5">
        <v>492.08</v>
      </c>
      <c r="V661" s="5">
        <v>466.45</v>
      </c>
      <c r="W661" s="5">
        <v>15.013532</v>
      </c>
      <c r="X661" s="5">
        <v>108.821697</v>
      </c>
      <c r="Y661" s="5">
        <v>25.63</v>
      </c>
      <c r="Z661" s="5">
        <v>15.015243</v>
      </c>
      <c r="AA661" s="5">
        <v>108.821819</v>
      </c>
      <c r="AB661" s="7">
        <f t="shared" si="61"/>
        <v>0.69967499999999994</v>
      </c>
      <c r="AC661" s="7">
        <f t="shared" si="62"/>
        <v>3.8445E-2</v>
      </c>
      <c r="AD661" s="6" t="str">
        <f t="shared" si="63"/>
        <v>TTCMKV Minh Long</v>
      </c>
      <c r="AE661" s="6" t="str">
        <f t="shared" si="64"/>
        <v>Đình Cương</v>
      </c>
      <c r="AG661">
        <f t="shared" si="65"/>
        <v>0.46644999999999998</v>
      </c>
      <c r="AH661">
        <f t="shared" si="66"/>
        <v>2.563E-2</v>
      </c>
    </row>
    <row r="662" spans="1:34" x14ac:dyDescent="0.25">
      <c r="A662" t="s">
        <v>6299</v>
      </c>
      <c r="B662" t="s">
        <v>6300</v>
      </c>
      <c r="C662" t="s">
        <v>6301</v>
      </c>
      <c r="D662" t="s">
        <v>6270</v>
      </c>
      <c r="E662" t="s">
        <v>6271</v>
      </c>
      <c r="F662" t="s">
        <v>6302</v>
      </c>
      <c r="G662" t="s">
        <v>15827</v>
      </c>
      <c r="H662" t="s">
        <v>16377</v>
      </c>
      <c r="I662" t="s">
        <v>16477</v>
      </c>
      <c r="J662" t="s">
        <v>23</v>
      </c>
      <c r="L662" t="s">
        <v>5573</v>
      </c>
      <c r="M662" t="s">
        <v>6303</v>
      </c>
      <c r="N662" t="s">
        <v>6304</v>
      </c>
      <c r="O662" t="s">
        <v>6305</v>
      </c>
      <c r="P662" t="s">
        <v>6306</v>
      </c>
      <c r="Q662" t="s">
        <v>6281</v>
      </c>
      <c r="R662" t="s">
        <v>6282</v>
      </c>
      <c r="S662" t="s">
        <v>6283</v>
      </c>
      <c r="T662" t="s">
        <v>6287</v>
      </c>
      <c r="U662" s="5">
        <v>1414.49</v>
      </c>
      <c r="V662" s="5">
        <v>1389.1</v>
      </c>
      <c r="W662" s="5">
        <v>15.02305</v>
      </c>
      <c r="X662" s="5">
        <v>108.809184</v>
      </c>
      <c r="Y662" s="5">
        <v>25.4</v>
      </c>
      <c r="Z662" s="5">
        <v>15.015248</v>
      </c>
      <c r="AA662" s="5">
        <v>108.821816</v>
      </c>
      <c r="AB662" s="7">
        <f t="shared" si="61"/>
        <v>2.0836499999999996</v>
      </c>
      <c r="AC662" s="7">
        <f t="shared" si="62"/>
        <v>3.8099999999999995E-2</v>
      </c>
      <c r="AD662" s="6" t="str">
        <f t="shared" si="63"/>
        <v>Đình Cương</v>
      </c>
      <c r="AE662" s="6" t="str">
        <f t="shared" si="64"/>
        <v>Nghĩa Hành</v>
      </c>
      <c r="AG662">
        <f t="shared" si="65"/>
        <v>1.3891</v>
      </c>
      <c r="AH662">
        <f t="shared" si="66"/>
        <v>2.5399999999999999E-2</v>
      </c>
    </row>
    <row r="663" spans="1:34" x14ac:dyDescent="0.25">
      <c r="A663" t="s">
        <v>6307</v>
      </c>
      <c r="B663" t="s">
        <v>5643</v>
      </c>
      <c r="C663" t="s">
        <v>5644</v>
      </c>
      <c r="D663" t="s">
        <v>6270</v>
      </c>
      <c r="E663" t="s">
        <v>6271</v>
      </c>
      <c r="F663" t="s">
        <v>6308</v>
      </c>
      <c r="G663" t="s">
        <v>15979</v>
      </c>
      <c r="H663" t="s">
        <v>15980</v>
      </c>
      <c r="I663" t="s">
        <v>16478</v>
      </c>
      <c r="J663" t="s">
        <v>23</v>
      </c>
      <c r="L663" t="s">
        <v>5573</v>
      </c>
      <c r="M663" t="s">
        <v>6309</v>
      </c>
      <c r="N663" t="s">
        <v>6310</v>
      </c>
      <c r="O663" t="s">
        <v>6305</v>
      </c>
      <c r="P663" t="s">
        <v>6306</v>
      </c>
      <c r="Q663" t="s">
        <v>6281</v>
      </c>
      <c r="R663" t="s">
        <v>6282</v>
      </c>
      <c r="S663" t="s">
        <v>6283</v>
      </c>
      <c r="T663" t="s">
        <v>6287</v>
      </c>
      <c r="U663" s="5">
        <v>2418.92</v>
      </c>
      <c r="V663" s="5">
        <v>2393.52</v>
      </c>
      <c r="W663" s="5">
        <v>15.02305</v>
      </c>
      <c r="X663" s="5">
        <v>108.809184</v>
      </c>
      <c r="Y663" s="5">
        <v>25.4</v>
      </c>
      <c r="Z663" s="5">
        <v>15.015248</v>
      </c>
      <c r="AA663" s="5">
        <v>108.821816</v>
      </c>
      <c r="AB663" s="7">
        <f t="shared" si="61"/>
        <v>3.5902799999999999</v>
      </c>
      <c r="AC663" s="7">
        <f t="shared" si="62"/>
        <v>3.8099999999999995E-2</v>
      </c>
      <c r="AD663" s="6" t="str">
        <f t="shared" si="63"/>
        <v>Đình Cương</v>
      </c>
      <c r="AE663" s="6" t="str">
        <f t="shared" si="64"/>
        <v>Nghĩa Hành</v>
      </c>
      <c r="AG663">
        <f t="shared" si="65"/>
        <v>2.3935200000000001</v>
      </c>
      <c r="AH663">
        <f t="shared" si="66"/>
        <v>2.5399999999999999E-2</v>
      </c>
    </row>
    <row r="664" spans="1:34" x14ac:dyDescent="0.25">
      <c r="A664" t="s">
        <v>6311</v>
      </c>
      <c r="B664" t="s">
        <v>6270</v>
      </c>
      <c r="C664" t="s">
        <v>6271</v>
      </c>
      <c r="D664" t="s">
        <v>6312</v>
      </c>
      <c r="E664" t="s">
        <v>6313</v>
      </c>
      <c r="F664" t="s">
        <v>6314</v>
      </c>
      <c r="G664" t="s">
        <v>15979</v>
      </c>
      <c r="H664" t="s">
        <v>15980</v>
      </c>
      <c r="I664" t="s">
        <v>16479</v>
      </c>
      <c r="J664" t="s">
        <v>23</v>
      </c>
      <c r="L664" t="s">
        <v>6234</v>
      </c>
      <c r="M664" t="s">
        <v>6315</v>
      </c>
      <c r="N664" t="s">
        <v>6316</v>
      </c>
      <c r="O664" t="s">
        <v>6317</v>
      </c>
      <c r="P664" t="s">
        <v>6318</v>
      </c>
      <c r="Q664" t="s">
        <v>6319</v>
      </c>
      <c r="R664" t="s">
        <v>6320</v>
      </c>
      <c r="S664" t="s">
        <v>6321</v>
      </c>
      <c r="T664" t="s">
        <v>6322</v>
      </c>
      <c r="U664" s="5">
        <v>1179.57</v>
      </c>
      <c r="V664" s="5">
        <v>0.38</v>
      </c>
      <c r="W664" s="5">
        <v>15.015252</v>
      </c>
      <c r="X664" s="5">
        <v>108.821583</v>
      </c>
      <c r="Y664" s="5">
        <v>1179.19</v>
      </c>
      <c r="Z664" s="5">
        <v>15.015311000000001</v>
      </c>
      <c r="AA664" s="5">
        <v>108.821809</v>
      </c>
      <c r="AB664" s="7">
        <f t="shared" si="61"/>
        <v>5.7000000000000009E-4</v>
      </c>
      <c r="AC664" s="7">
        <f t="shared" si="62"/>
        <v>1.7687850000000001</v>
      </c>
      <c r="AD664" s="6" t="str">
        <f t="shared" si="63"/>
        <v>TTCMKV Minh Long</v>
      </c>
      <c r="AE664" s="6" t="str">
        <f t="shared" si="64"/>
        <v>Đình Cương</v>
      </c>
      <c r="AG664">
        <f t="shared" si="65"/>
        <v>3.8000000000000002E-4</v>
      </c>
      <c r="AH664">
        <f t="shared" si="66"/>
        <v>1.17919</v>
      </c>
    </row>
    <row r="665" spans="1:34" x14ac:dyDescent="0.25">
      <c r="A665" t="s">
        <v>6323</v>
      </c>
      <c r="B665" t="s">
        <v>6182</v>
      </c>
      <c r="C665" t="s">
        <v>6183</v>
      </c>
      <c r="D665" t="s">
        <v>6217</v>
      </c>
      <c r="E665" t="s">
        <v>6218</v>
      </c>
      <c r="F665" t="s">
        <v>6324</v>
      </c>
      <c r="G665" t="s">
        <v>15827</v>
      </c>
      <c r="H665" t="s">
        <v>15831</v>
      </c>
      <c r="I665" t="s">
        <v>16480</v>
      </c>
      <c r="J665" t="s">
        <v>23</v>
      </c>
      <c r="L665" t="s">
        <v>6185</v>
      </c>
      <c r="M665" t="s">
        <v>6325</v>
      </c>
      <c r="N665" t="s">
        <v>6190</v>
      </c>
      <c r="O665" t="s">
        <v>6191</v>
      </c>
      <c r="P665" t="s">
        <v>6192</v>
      </c>
      <c r="Q665" t="s">
        <v>6326</v>
      </c>
      <c r="R665" t="s">
        <v>6327</v>
      </c>
      <c r="S665" t="s">
        <v>6328</v>
      </c>
      <c r="T665" t="s">
        <v>6193</v>
      </c>
      <c r="U665" s="5">
        <v>5538.8</v>
      </c>
      <c r="V665" s="5">
        <v>283</v>
      </c>
      <c r="W665" s="5">
        <v>15.006114999999999</v>
      </c>
      <c r="X665" s="5">
        <v>108.719311</v>
      </c>
      <c r="Y665" s="5">
        <v>5255.8</v>
      </c>
      <c r="Z665" s="5">
        <v>15.041461999999999</v>
      </c>
      <c r="AA665" s="5">
        <v>108.74701399999999</v>
      </c>
      <c r="AB665" s="7">
        <f t="shared" si="61"/>
        <v>0.42449999999999999</v>
      </c>
      <c r="AC665" s="7">
        <f t="shared" si="62"/>
        <v>7.883700000000001</v>
      </c>
      <c r="AD665" s="6" t="str">
        <f t="shared" si="63"/>
        <v>Sơn Mai</v>
      </c>
      <c r="AE665" s="6" t="str">
        <f t="shared" si="64"/>
        <v>Phước Giang</v>
      </c>
      <c r="AG665">
        <f t="shared" si="65"/>
        <v>0.28299999999999997</v>
      </c>
      <c r="AH665">
        <f t="shared" si="66"/>
        <v>5.2557999999999998</v>
      </c>
    </row>
    <row r="666" spans="1:34" x14ac:dyDescent="0.25">
      <c r="A666" t="s">
        <v>6329</v>
      </c>
      <c r="B666" t="s">
        <v>6330</v>
      </c>
      <c r="C666" t="s">
        <v>6331</v>
      </c>
      <c r="D666" t="s">
        <v>6182</v>
      </c>
      <c r="E666" t="s">
        <v>6183</v>
      </c>
      <c r="F666" t="s">
        <v>6332</v>
      </c>
      <c r="G666" t="s">
        <v>15827</v>
      </c>
      <c r="H666" t="s">
        <v>15831</v>
      </c>
      <c r="I666" t="s">
        <v>16481</v>
      </c>
      <c r="J666" t="s">
        <v>23</v>
      </c>
      <c r="L666" t="s">
        <v>6333</v>
      </c>
      <c r="M666" t="s">
        <v>6334</v>
      </c>
      <c r="N666" t="s">
        <v>6335</v>
      </c>
      <c r="O666" t="s">
        <v>6336</v>
      </c>
      <c r="P666" t="s">
        <v>6337</v>
      </c>
      <c r="Q666" t="s">
        <v>6338</v>
      </c>
      <c r="R666" t="s">
        <v>6339</v>
      </c>
      <c r="S666" t="s">
        <v>6340</v>
      </c>
      <c r="T666" t="s">
        <v>6341</v>
      </c>
      <c r="U666" s="5">
        <v>256.44</v>
      </c>
      <c r="V666" s="5">
        <v>235.36</v>
      </c>
      <c r="W666" s="5">
        <v>15.003126</v>
      </c>
      <c r="X666" s="5">
        <v>108.718464</v>
      </c>
      <c r="Y666" s="5">
        <v>21.07</v>
      </c>
      <c r="Z666" s="5">
        <v>15.003926</v>
      </c>
      <c r="AA666" s="5">
        <v>108.71825699999999</v>
      </c>
      <c r="AB666" s="7">
        <f t="shared" si="61"/>
        <v>0.35304000000000002</v>
      </c>
      <c r="AC666" s="7">
        <f t="shared" si="62"/>
        <v>3.1605000000000001E-2</v>
      </c>
      <c r="AD666" s="6" t="str">
        <f t="shared" si="63"/>
        <v>TTCMKV Minh Long</v>
      </c>
      <c r="AE666" s="6" t="str">
        <f t="shared" si="64"/>
        <v>Sơn Mai</v>
      </c>
      <c r="AG666">
        <f t="shared" si="65"/>
        <v>0.23536000000000001</v>
      </c>
      <c r="AH666">
        <f t="shared" si="66"/>
        <v>2.1070000000000002E-2</v>
      </c>
    </row>
    <row r="667" spans="1:34" x14ac:dyDescent="0.25">
      <c r="A667" t="s">
        <v>6342</v>
      </c>
      <c r="B667" t="s">
        <v>6343</v>
      </c>
      <c r="C667" t="s">
        <v>6344</v>
      </c>
      <c r="D667" t="s">
        <v>6182</v>
      </c>
      <c r="E667" t="s">
        <v>6183</v>
      </c>
      <c r="F667" t="s">
        <v>6345</v>
      </c>
      <c r="G667" t="s">
        <v>15979</v>
      </c>
      <c r="H667" t="s">
        <v>15980</v>
      </c>
      <c r="I667" t="s">
        <v>16482</v>
      </c>
      <c r="J667" t="s">
        <v>23</v>
      </c>
      <c r="L667" t="s">
        <v>6185</v>
      </c>
      <c r="M667" t="s">
        <v>6346</v>
      </c>
      <c r="N667" t="s">
        <v>6347</v>
      </c>
      <c r="O667" t="s">
        <v>6348</v>
      </c>
      <c r="P667" t="s">
        <v>6349</v>
      </c>
      <c r="Q667" t="s">
        <v>6190</v>
      </c>
      <c r="R667" t="s">
        <v>6191</v>
      </c>
      <c r="S667" t="s">
        <v>6192</v>
      </c>
      <c r="T667" t="s">
        <v>6193</v>
      </c>
      <c r="U667" s="5">
        <v>929.87</v>
      </c>
      <c r="V667" s="5">
        <v>646.87</v>
      </c>
      <c r="W667" s="5">
        <v>15.038031</v>
      </c>
      <c r="X667" s="5">
        <v>108.74312399999999</v>
      </c>
      <c r="Y667" s="5">
        <v>283</v>
      </c>
      <c r="Z667" s="5">
        <v>15.006114999999999</v>
      </c>
      <c r="AA667" s="5">
        <v>108.719311</v>
      </c>
      <c r="AB667" s="7">
        <f t="shared" si="61"/>
        <v>0.97030500000000008</v>
      </c>
      <c r="AC667" s="7">
        <f t="shared" si="62"/>
        <v>0.42449999999999999</v>
      </c>
      <c r="AD667" s="6" t="str">
        <f t="shared" si="63"/>
        <v>Sơn Mai</v>
      </c>
      <c r="AE667" s="6" t="str">
        <f t="shared" si="64"/>
        <v>Phước Giang</v>
      </c>
      <c r="AG667">
        <f t="shared" si="65"/>
        <v>0.64687000000000006</v>
      </c>
      <c r="AH667">
        <f t="shared" si="66"/>
        <v>0.28299999999999997</v>
      </c>
    </row>
    <row r="668" spans="1:34" x14ac:dyDescent="0.25">
      <c r="A668" t="s">
        <v>6350</v>
      </c>
      <c r="B668" t="s">
        <v>6351</v>
      </c>
      <c r="C668" t="s">
        <v>6352</v>
      </c>
      <c r="D668" t="s">
        <v>6353</v>
      </c>
      <c r="E668" t="s">
        <v>6354</v>
      </c>
      <c r="F668" t="s">
        <v>6355</v>
      </c>
      <c r="G668" t="s">
        <v>15827</v>
      </c>
      <c r="H668" t="s">
        <v>15831</v>
      </c>
      <c r="I668" t="s">
        <v>16483</v>
      </c>
      <c r="J668" t="s">
        <v>23</v>
      </c>
      <c r="L668" t="s">
        <v>6356</v>
      </c>
      <c r="M668" t="s">
        <v>6357</v>
      </c>
      <c r="N668" t="s">
        <v>6358</v>
      </c>
      <c r="O668" t="s">
        <v>6359</v>
      </c>
      <c r="P668" t="s">
        <v>6360</v>
      </c>
      <c r="Q668" t="s">
        <v>6361</v>
      </c>
      <c r="R668" t="s">
        <v>6362</v>
      </c>
      <c r="S668" t="s">
        <v>6363</v>
      </c>
      <c r="T668" t="s">
        <v>6364</v>
      </c>
      <c r="U668" s="5">
        <v>634.07000000000005</v>
      </c>
      <c r="V668" s="5">
        <v>28.63</v>
      </c>
      <c r="W668" s="5">
        <v>15.118627</v>
      </c>
      <c r="X668" s="5">
        <v>108.806135</v>
      </c>
      <c r="Y668" s="5">
        <v>605.44000000000005</v>
      </c>
      <c r="Z668" s="5">
        <v>15.11905</v>
      </c>
      <c r="AA668" s="5">
        <v>108.804942</v>
      </c>
      <c r="AB668" s="7">
        <f t="shared" si="61"/>
        <v>4.2944999999999997E-2</v>
      </c>
      <c r="AC668" s="7">
        <f t="shared" si="62"/>
        <v>0.90816000000000008</v>
      </c>
      <c r="AD668" s="6" t="str">
        <f t="shared" si="63"/>
        <v>PC01</v>
      </c>
      <c r="AE668" s="6" t="str">
        <f t="shared" si="64"/>
        <v>CS113_TRỤ HT_TRỤ III</v>
      </c>
      <c r="AG668">
        <f t="shared" si="65"/>
        <v>2.8629999999999999E-2</v>
      </c>
      <c r="AH668">
        <f t="shared" si="66"/>
        <v>0.60544000000000009</v>
      </c>
    </row>
    <row r="669" spans="1:34" x14ac:dyDescent="0.25">
      <c r="A669" t="s">
        <v>6365</v>
      </c>
      <c r="B669" t="s">
        <v>6366</v>
      </c>
      <c r="C669" t="s">
        <v>6367</v>
      </c>
      <c r="D669" t="s">
        <v>6351</v>
      </c>
      <c r="E669" t="s">
        <v>6352</v>
      </c>
      <c r="F669" t="s">
        <v>6368</v>
      </c>
      <c r="G669" t="s">
        <v>15827</v>
      </c>
      <c r="H669" t="s">
        <v>16377</v>
      </c>
      <c r="I669" t="s">
        <v>16484</v>
      </c>
      <c r="J669" t="s">
        <v>23</v>
      </c>
      <c r="L669" t="s">
        <v>6369</v>
      </c>
      <c r="M669" t="s">
        <v>6370</v>
      </c>
      <c r="N669" t="s">
        <v>6371</v>
      </c>
      <c r="O669" t="s">
        <v>6372</v>
      </c>
      <c r="P669" t="s">
        <v>6373</v>
      </c>
      <c r="Q669" t="s">
        <v>6374</v>
      </c>
      <c r="R669" t="s">
        <v>6375</v>
      </c>
      <c r="S669" t="s">
        <v>6376</v>
      </c>
      <c r="T669" t="s">
        <v>6377</v>
      </c>
      <c r="U669" s="5">
        <v>631.58000000000004</v>
      </c>
      <c r="V669" s="5">
        <v>201.22</v>
      </c>
      <c r="W669" s="5">
        <v>15.113094</v>
      </c>
      <c r="X669" s="5">
        <v>108.803139</v>
      </c>
      <c r="Y669" s="5">
        <v>430.36</v>
      </c>
      <c r="Z669" s="5">
        <v>15.118891</v>
      </c>
      <c r="AA669" s="5">
        <v>108.802402</v>
      </c>
      <c r="AB669" s="7">
        <f t="shared" si="61"/>
        <v>0.30182999999999999</v>
      </c>
      <c r="AC669" s="7">
        <f t="shared" si="62"/>
        <v>0.64554</v>
      </c>
      <c r="AD669" s="6" t="str">
        <f t="shared" si="63"/>
        <v>Cẩm Thành</v>
      </c>
      <c r="AE669" s="6" t="str">
        <f t="shared" si="64"/>
        <v>TT1 QUẢNG NGÃI</v>
      </c>
      <c r="AG669">
        <f t="shared" si="65"/>
        <v>0.20122000000000001</v>
      </c>
      <c r="AH669">
        <f t="shared" si="66"/>
        <v>0.43036000000000002</v>
      </c>
    </row>
    <row r="670" spans="1:34" x14ac:dyDescent="0.25">
      <c r="A670" t="s">
        <v>6378</v>
      </c>
      <c r="B670" t="s">
        <v>6379</v>
      </c>
      <c r="C670" t="s">
        <v>6380</v>
      </c>
      <c r="D670" t="s">
        <v>6351</v>
      </c>
      <c r="E670" t="s">
        <v>6352</v>
      </c>
      <c r="F670" t="s">
        <v>6381</v>
      </c>
      <c r="G670" t="s">
        <v>15827</v>
      </c>
      <c r="H670" t="s">
        <v>16377</v>
      </c>
      <c r="I670" t="s">
        <v>16485</v>
      </c>
      <c r="J670" t="s">
        <v>23</v>
      </c>
      <c r="L670" t="s">
        <v>6382</v>
      </c>
      <c r="M670" t="s">
        <v>6383</v>
      </c>
      <c r="N670" t="s">
        <v>6384</v>
      </c>
      <c r="O670" t="s">
        <v>6385</v>
      </c>
      <c r="P670" t="s">
        <v>6386</v>
      </c>
      <c r="Q670" t="s">
        <v>6387</v>
      </c>
      <c r="R670" t="s">
        <v>6388</v>
      </c>
      <c r="S670" t="s">
        <v>6389</v>
      </c>
      <c r="T670" t="s">
        <v>6390</v>
      </c>
      <c r="U670" s="5">
        <v>81.260000000000005</v>
      </c>
      <c r="V670" s="5">
        <v>56.81</v>
      </c>
      <c r="W670" s="5">
        <v>15.117743000000001</v>
      </c>
      <c r="X670" s="5">
        <v>108.809515</v>
      </c>
      <c r="Y670" s="5">
        <v>24.45</v>
      </c>
      <c r="Z670" s="5">
        <v>15.118425</v>
      </c>
      <c r="AA670" s="5">
        <v>108.806263</v>
      </c>
      <c r="AB670" s="7">
        <f t="shared" si="61"/>
        <v>8.5214999999999999E-2</v>
      </c>
      <c r="AC670" s="7">
        <f t="shared" si="62"/>
        <v>3.6674999999999999E-2</v>
      </c>
      <c r="AD670" s="6" t="str">
        <f t="shared" si="63"/>
        <v>CS113</v>
      </c>
      <c r="AE670" s="6" t="str">
        <f t="shared" si="64"/>
        <v>PK02</v>
      </c>
      <c r="AG670">
        <f t="shared" si="65"/>
        <v>5.6809999999999999E-2</v>
      </c>
      <c r="AH670">
        <f t="shared" si="66"/>
        <v>2.445E-2</v>
      </c>
    </row>
    <row r="671" spans="1:34" x14ac:dyDescent="0.25">
      <c r="A671" t="s">
        <v>6391</v>
      </c>
      <c r="B671" t="s">
        <v>6392</v>
      </c>
      <c r="C671" t="s">
        <v>6393</v>
      </c>
      <c r="D671" t="s">
        <v>6351</v>
      </c>
      <c r="E671" t="s">
        <v>6352</v>
      </c>
      <c r="F671" t="s">
        <v>6394</v>
      </c>
      <c r="G671" t="s">
        <v>15979</v>
      </c>
      <c r="H671" t="s">
        <v>15980</v>
      </c>
      <c r="I671" t="s">
        <v>16486</v>
      </c>
      <c r="J671" t="s">
        <v>23</v>
      </c>
      <c r="L671" t="s">
        <v>6369</v>
      </c>
      <c r="M671" t="s">
        <v>6395</v>
      </c>
      <c r="N671" t="s">
        <v>6396</v>
      </c>
      <c r="O671" t="s">
        <v>6397</v>
      </c>
      <c r="P671" t="s">
        <v>6398</v>
      </c>
      <c r="Q671" t="s">
        <v>6374</v>
      </c>
      <c r="R671" t="s">
        <v>6375</v>
      </c>
      <c r="S671" t="s">
        <v>6376</v>
      </c>
      <c r="T671" t="s">
        <v>6377</v>
      </c>
      <c r="U671" s="5">
        <v>461.53</v>
      </c>
      <c r="V671" s="5">
        <v>31.17</v>
      </c>
      <c r="W671" s="5">
        <v>15.113121</v>
      </c>
      <c r="X671" s="5">
        <v>108.80839</v>
      </c>
      <c r="Y671" s="5">
        <v>430.36</v>
      </c>
      <c r="Z671" s="5">
        <v>15.118891</v>
      </c>
      <c r="AA671" s="5">
        <v>108.802402</v>
      </c>
      <c r="AB671" s="7">
        <f t="shared" si="61"/>
        <v>4.6755000000000005E-2</v>
      </c>
      <c r="AC671" s="7">
        <f t="shared" si="62"/>
        <v>0.64554</v>
      </c>
      <c r="AD671" s="6" t="str">
        <f t="shared" si="63"/>
        <v>Cẩm Thành</v>
      </c>
      <c r="AE671" s="6" t="str">
        <f t="shared" si="64"/>
        <v>TT1 QUẢNG NGÃI</v>
      </c>
      <c r="AG671">
        <f t="shared" si="65"/>
        <v>3.1170000000000003E-2</v>
      </c>
      <c r="AH671">
        <f t="shared" si="66"/>
        <v>0.43036000000000002</v>
      </c>
    </row>
    <row r="672" spans="1:34" x14ac:dyDescent="0.25">
      <c r="A672" t="s">
        <v>6399</v>
      </c>
      <c r="B672" t="s">
        <v>6351</v>
      </c>
      <c r="C672" t="s">
        <v>6352</v>
      </c>
      <c r="D672" t="s">
        <v>5403</v>
      </c>
      <c r="E672" t="s">
        <v>5404</v>
      </c>
      <c r="F672" t="s">
        <v>6400</v>
      </c>
      <c r="G672" t="s">
        <v>15979</v>
      </c>
      <c r="H672" t="s">
        <v>15980</v>
      </c>
      <c r="I672" t="s">
        <v>16487</v>
      </c>
      <c r="J672" t="s">
        <v>23</v>
      </c>
      <c r="L672" t="s">
        <v>6401</v>
      </c>
      <c r="M672" t="s">
        <v>6402</v>
      </c>
      <c r="N672" t="s">
        <v>6403</v>
      </c>
      <c r="O672" t="s">
        <v>6404</v>
      </c>
      <c r="P672" t="s">
        <v>6405</v>
      </c>
      <c r="Q672" t="s">
        <v>6406</v>
      </c>
      <c r="R672" t="s">
        <v>6407</v>
      </c>
      <c r="S672" t="s">
        <v>6408</v>
      </c>
      <c r="T672" t="s">
        <v>6409</v>
      </c>
      <c r="U672" s="5">
        <v>1647.78</v>
      </c>
      <c r="V672" s="5">
        <v>971.41</v>
      </c>
      <c r="W672" s="5">
        <v>15.126533999999999</v>
      </c>
      <c r="X672" s="5">
        <v>108.80261299999999</v>
      </c>
      <c r="Y672" s="5">
        <v>676.37</v>
      </c>
      <c r="Z672" s="5">
        <v>15.132671</v>
      </c>
      <c r="AA672" s="5">
        <v>108.801546</v>
      </c>
      <c r="AB672" s="7">
        <f t="shared" si="61"/>
        <v>1.4571149999999999</v>
      </c>
      <c r="AC672" s="7">
        <f t="shared" si="62"/>
        <v>1.0145550000000001</v>
      </c>
      <c r="AD672" s="6" t="str">
        <f t="shared" si="63"/>
        <v>Trương Quang Trọng</v>
      </c>
      <c r="AE672" s="6" t="str">
        <f t="shared" si="64"/>
        <v>TT1 QUẢNG NGÃI</v>
      </c>
      <c r="AG672">
        <f t="shared" si="65"/>
        <v>0.97141</v>
      </c>
      <c r="AH672">
        <f t="shared" si="66"/>
        <v>0.67637000000000003</v>
      </c>
    </row>
    <row r="673" spans="1:34" x14ac:dyDescent="0.25">
      <c r="A673" t="s">
        <v>6410</v>
      </c>
      <c r="B673" t="s">
        <v>6411</v>
      </c>
      <c r="C673" t="s">
        <v>6412</v>
      </c>
      <c r="D673" t="s">
        <v>6413</v>
      </c>
      <c r="E673" t="s">
        <v>6414</v>
      </c>
      <c r="F673" t="s">
        <v>6415</v>
      </c>
      <c r="G673" t="s">
        <v>15827</v>
      </c>
      <c r="H673" t="s">
        <v>16377</v>
      </c>
      <c r="I673" t="s">
        <v>16488</v>
      </c>
      <c r="J673" t="s">
        <v>23</v>
      </c>
      <c r="L673" t="s">
        <v>5859</v>
      </c>
      <c r="M673" t="s">
        <v>6416</v>
      </c>
      <c r="N673" t="s">
        <v>6417</v>
      </c>
      <c r="O673" t="s">
        <v>6418</v>
      </c>
      <c r="P673" t="s">
        <v>6419</v>
      </c>
      <c r="Q673" t="s">
        <v>6420</v>
      </c>
      <c r="R673" t="s">
        <v>6421</v>
      </c>
      <c r="S673" t="s">
        <v>6422</v>
      </c>
      <c r="T673" t="s">
        <v>6423</v>
      </c>
      <c r="U673" s="5">
        <v>1570.23</v>
      </c>
      <c r="V673" s="5">
        <v>1216.32</v>
      </c>
      <c r="W673" s="5">
        <v>15.108153</v>
      </c>
      <c r="X673" s="5">
        <v>108.81795099999999</v>
      </c>
      <c r="Y673" s="5">
        <v>353.92</v>
      </c>
      <c r="Z673" s="5">
        <v>15.122006000000001</v>
      </c>
      <c r="AA673" s="5">
        <v>108.814892</v>
      </c>
      <c r="AB673" s="7">
        <f t="shared" si="61"/>
        <v>1.8244800000000001</v>
      </c>
      <c r="AC673" s="7">
        <f t="shared" si="62"/>
        <v>0.53088000000000002</v>
      </c>
      <c r="AD673" s="6" t="e">
        <f t="shared" si="63"/>
        <v>#VALUE!</v>
      </c>
      <c r="AE673" s="6" t="e">
        <f t="shared" si="64"/>
        <v>#VALUE!</v>
      </c>
      <c r="AG673">
        <f t="shared" si="65"/>
        <v>1.2163199999999998</v>
      </c>
      <c r="AH673">
        <f t="shared" si="66"/>
        <v>0.35392000000000001</v>
      </c>
    </row>
    <row r="674" spans="1:34" x14ac:dyDescent="0.25">
      <c r="A674" t="s">
        <v>6424</v>
      </c>
      <c r="B674" t="s">
        <v>6425</v>
      </c>
      <c r="C674" t="s">
        <v>6426</v>
      </c>
      <c r="D674" t="s">
        <v>6413</v>
      </c>
      <c r="E674" t="s">
        <v>6414</v>
      </c>
      <c r="F674" t="s">
        <v>6427</v>
      </c>
      <c r="G674" t="s">
        <v>15979</v>
      </c>
      <c r="H674" t="s">
        <v>15980</v>
      </c>
      <c r="I674" t="s">
        <v>16489</v>
      </c>
      <c r="J674" t="s">
        <v>23</v>
      </c>
      <c r="L674" t="s">
        <v>6428</v>
      </c>
      <c r="M674" t="s">
        <v>6429</v>
      </c>
      <c r="N674" t="s">
        <v>6430</v>
      </c>
      <c r="O674" t="s">
        <v>6431</v>
      </c>
      <c r="P674" t="s">
        <v>6432</v>
      </c>
      <c r="Q674" t="s">
        <v>6433</v>
      </c>
      <c r="R674" t="s">
        <v>6434</v>
      </c>
      <c r="S674" t="s">
        <v>6435</v>
      </c>
      <c r="T674" t="s">
        <v>6436</v>
      </c>
      <c r="U674" s="5">
        <v>514.13</v>
      </c>
      <c r="V674" s="5">
        <v>135.80000000000001</v>
      </c>
      <c r="W674" s="5">
        <v>15.122529</v>
      </c>
      <c r="X674" s="5">
        <v>108.82444099999999</v>
      </c>
      <c r="Y674" s="5">
        <v>378.33</v>
      </c>
      <c r="Z674" s="5">
        <v>15.120934999999999</v>
      </c>
      <c r="AA674" s="5">
        <v>108.82108700000001</v>
      </c>
      <c r="AB674" s="7">
        <f t="shared" si="61"/>
        <v>0.20370000000000002</v>
      </c>
      <c r="AC674" s="7">
        <f t="shared" si="62"/>
        <v>0.56749499999999997</v>
      </c>
      <c r="AD674" s="6" t="str">
        <f t="shared" si="63"/>
        <v>TT1 Quảng Ngãi mới</v>
      </c>
      <c r="AE674" s="6" t="str">
        <f t="shared" si="64"/>
        <v>TT1 Quảng Ngãi</v>
      </c>
      <c r="AG674">
        <f t="shared" si="65"/>
        <v>0.1358</v>
      </c>
      <c r="AH674">
        <f t="shared" si="66"/>
        <v>0.37833</v>
      </c>
    </row>
    <row r="675" spans="1:34" x14ac:dyDescent="0.25">
      <c r="A675" t="s">
        <v>6437</v>
      </c>
      <c r="B675" t="s">
        <v>6413</v>
      </c>
      <c r="C675" t="s">
        <v>6414</v>
      </c>
      <c r="D675" t="s">
        <v>5403</v>
      </c>
      <c r="E675" t="s">
        <v>5404</v>
      </c>
      <c r="F675" t="s">
        <v>6438</v>
      </c>
      <c r="G675" t="s">
        <v>15979</v>
      </c>
      <c r="H675" t="s">
        <v>15980</v>
      </c>
      <c r="I675" t="s">
        <v>16490</v>
      </c>
      <c r="J675" t="s">
        <v>23</v>
      </c>
      <c r="L675" t="s">
        <v>6439</v>
      </c>
      <c r="M675" t="s">
        <v>6440</v>
      </c>
      <c r="N675" t="s">
        <v>6441</v>
      </c>
      <c r="O675" t="s">
        <v>6442</v>
      </c>
      <c r="P675" t="s">
        <v>6443</v>
      </c>
      <c r="Q675" t="s">
        <v>6444</v>
      </c>
      <c r="R675" t="s">
        <v>6445</v>
      </c>
      <c r="S675" t="s">
        <v>6446</v>
      </c>
      <c r="T675" t="s">
        <v>6447</v>
      </c>
      <c r="U675" s="5">
        <v>1061.82</v>
      </c>
      <c r="V675" s="5">
        <v>383.51</v>
      </c>
      <c r="W675" s="5">
        <v>15.124038000000001</v>
      </c>
      <c r="X675" s="5">
        <v>108.81479</v>
      </c>
      <c r="Y675" s="5">
        <v>678.32</v>
      </c>
      <c r="Z675" s="5">
        <v>15.132804999999999</v>
      </c>
      <c r="AA675" s="5">
        <v>108.801569</v>
      </c>
      <c r="AB675" s="7">
        <f t="shared" si="61"/>
        <v>0.57526500000000003</v>
      </c>
      <c r="AC675" s="7">
        <f t="shared" si="62"/>
        <v>1.0174799999999999</v>
      </c>
      <c r="AD675" s="6" t="str">
        <f t="shared" si="63"/>
        <v>PC03</v>
      </c>
      <c r="AE675" s="6" t="str">
        <f t="shared" si="64"/>
        <v>PC10</v>
      </c>
      <c r="AG675">
        <f t="shared" si="65"/>
        <v>0.38351000000000002</v>
      </c>
      <c r="AH675">
        <f t="shared" si="66"/>
        <v>0.67832000000000003</v>
      </c>
    </row>
    <row r="676" spans="1:34" x14ac:dyDescent="0.25">
      <c r="A676" t="s">
        <v>6448</v>
      </c>
      <c r="B676" t="s">
        <v>6449</v>
      </c>
      <c r="C676" t="s">
        <v>6450</v>
      </c>
      <c r="D676" t="s">
        <v>6451</v>
      </c>
      <c r="E676" t="s">
        <v>6452</v>
      </c>
      <c r="F676" t="s">
        <v>6453</v>
      </c>
      <c r="G676" t="s">
        <v>15827</v>
      </c>
      <c r="H676" t="s">
        <v>15831</v>
      </c>
      <c r="I676" t="s">
        <v>16491</v>
      </c>
      <c r="J676" t="s">
        <v>23</v>
      </c>
      <c r="L676" t="s">
        <v>6454</v>
      </c>
      <c r="M676" t="s">
        <v>6455</v>
      </c>
      <c r="N676" t="s">
        <v>6456</v>
      </c>
      <c r="O676" t="s">
        <v>6457</v>
      </c>
      <c r="P676" t="s">
        <v>6458</v>
      </c>
      <c r="Q676" t="s">
        <v>6459</v>
      </c>
      <c r="R676" t="s">
        <v>6460</v>
      </c>
      <c r="S676" t="s">
        <v>6461</v>
      </c>
      <c r="T676" t="s">
        <v>6462</v>
      </c>
      <c r="U676" s="5">
        <v>52.84</v>
      </c>
      <c r="V676" s="5">
        <v>7.72</v>
      </c>
      <c r="W676" s="5">
        <v>15.120787999999999</v>
      </c>
      <c r="X676" s="5">
        <v>108.786946</v>
      </c>
      <c r="Y676" s="5">
        <v>45.11</v>
      </c>
      <c r="Z676" s="5">
        <v>15.128276</v>
      </c>
      <c r="AA676" s="5">
        <v>108.787037</v>
      </c>
      <c r="AB676" s="7">
        <f t="shared" si="61"/>
        <v>1.158E-2</v>
      </c>
      <c r="AC676" s="7">
        <f t="shared" si="62"/>
        <v>6.7664999999999989E-2</v>
      </c>
      <c r="AD676" s="6" t="str">
        <f t="shared" si="63"/>
        <v>TT1 Quảng Ngãi</v>
      </c>
      <c r="AE676" s="6" t="str">
        <f t="shared" si="64"/>
        <v>PC07</v>
      </c>
      <c r="AG676">
        <f t="shared" si="65"/>
        <v>7.7199999999999994E-3</v>
      </c>
      <c r="AH676">
        <f t="shared" si="66"/>
        <v>4.5109999999999997E-2</v>
      </c>
    </row>
    <row r="677" spans="1:34" x14ac:dyDescent="0.25">
      <c r="A677" t="s">
        <v>6463</v>
      </c>
      <c r="B677" t="s">
        <v>6451</v>
      </c>
      <c r="C677" t="s">
        <v>6452</v>
      </c>
      <c r="D677" t="s">
        <v>6464</v>
      </c>
      <c r="E677" t="s">
        <v>6465</v>
      </c>
      <c r="F677" t="s">
        <v>6466</v>
      </c>
      <c r="G677" t="s">
        <v>15827</v>
      </c>
      <c r="H677" t="s">
        <v>15831</v>
      </c>
      <c r="I677" t="s">
        <v>16492</v>
      </c>
      <c r="J677" t="s">
        <v>23</v>
      </c>
      <c r="L677" t="s">
        <v>5292</v>
      </c>
      <c r="M677" t="s">
        <v>6467</v>
      </c>
      <c r="N677" t="s">
        <v>6468</v>
      </c>
      <c r="O677" t="s">
        <v>6469</v>
      </c>
      <c r="P677" t="s">
        <v>6470</v>
      </c>
      <c r="Q677" t="s">
        <v>6471</v>
      </c>
      <c r="R677" t="s">
        <v>6472</v>
      </c>
      <c r="S677" t="s">
        <v>6473</v>
      </c>
      <c r="T677" t="s">
        <v>6474</v>
      </c>
      <c r="U677" s="5">
        <v>631.67999999999995</v>
      </c>
      <c r="V677" s="5">
        <v>46.45</v>
      </c>
      <c r="W677" s="5">
        <v>15.12837</v>
      </c>
      <c r="X677" s="5">
        <v>108.787385</v>
      </c>
      <c r="Y677" s="5">
        <v>585.24</v>
      </c>
      <c r="Z677" s="5">
        <v>15.129201</v>
      </c>
      <c r="AA677" s="5">
        <v>108.79018600000001</v>
      </c>
      <c r="AB677" s="7">
        <f t="shared" si="61"/>
        <v>6.9675000000000015E-2</v>
      </c>
      <c r="AC677" s="7">
        <f t="shared" si="62"/>
        <v>0.87785999999999997</v>
      </c>
      <c r="AD677" s="6" t="str">
        <f t="shared" si="63"/>
        <v>PC07</v>
      </c>
      <c r="AE677" s="6" t="str">
        <f t="shared" si="64"/>
        <v>Sơn Tịnh</v>
      </c>
      <c r="AG677">
        <f t="shared" si="65"/>
        <v>4.6450000000000005E-2</v>
      </c>
      <c r="AH677">
        <f t="shared" si="66"/>
        <v>0.58523999999999998</v>
      </c>
    </row>
    <row r="678" spans="1:34" x14ac:dyDescent="0.25">
      <c r="A678" t="s">
        <v>6475</v>
      </c>
      <c r="B678" t="s">
        <v>6451</v>
      </c>
      <c r="C678" t="s">
        <v>6452</v>
      </c>
      <c r="D678" t="s">
        <v>6476</v>
      </c>
      <c r="E678" t="s">
        <v>6477</v>
      </c>
      <c r="F678" t="s">
        <v>6478</v>
      </c>
      <c r="G678" t="s">
        <v>15827</v>
      </c>
      <c r="H678" t="s">
        <v>15831</v>
      </c>
      <c r="I678" t="s">
        <v>16493</v>
      </c>
      <c r="J678" t="s">
        <v>23</v>
      </c>
      <c r="L678" t="s">
        <v>6479</v>
      </c>
      <c r="M678" t="s">
        <v>6480</v>
      </c>
      <c r="N678" t="s">
        <v>6481</v>
      </c>
      <c r="O678" t="s">
        <v>6482</v>
      </c>
      <c r="P678" t="s">
        <v>6483</v>
      </c>
      <c r="Q678" t="s">
        <v>6484</v>
      </c>
      <c r="R678" t="s">
        <v>6485</v>
      </c>
      <c r="S678" t="s">
        <v>6486</v>
      </c>
      <c r="T678" t="s">
        <v>6487</v>
      </c>
      <c r="U678" s="5">
        <v>954.07</v>
      </c>
      <c r="V678" s="5">
        <v>443.79</v>
      </c>
      <c r="W678" s="5">
        <v>15.131817</v>
      </c>
      <c r="X678" s="5">
        <v>108.78836200000001</v>
      </c>
      <c r="Y678" s="5">
        <v>510.28</v>
      </c>
      <c r="Z678" s="5">
        <v>15.139509</v>
      </c>
      <c r="AA678" s="5">
        <v>108.784069</v>
      </c>
      <c r="AB678" s="7">
        <f t="shared" si="61"/>
        <v>0.66568500000000008</v>
      </c>
      <c r="AC678" s="7">
        <f t="shared" si="62"/>
        <v>0.76541999999999999</v>
      </c>
      <c r="AD678" s="6" t="str">
        <f t="shared" si="63"/>
        <v>TT1 Quảng Ngãi</v>
      </c>
      <c r="AE678" s="6" t="str">
        <f t="shared" si="64"/>
        <v>Sơn hà</v>
      </c>
      <c r="AG678">
        <f t="shared" si="65"/>
        <v>0.44379000000000002</v>
      </c>
      <c r="AH678">
        <f t="shared" si="66"/>
        <v>0.51027999999999996</v>
      </c>
    </row>
    <row r="679" spans="1:34" x14ac:dyDescent="0.25">
      <c r="A679" t="s">
        <v>6488</v>
      </c>
      <c r="B679" t="s">
        <v>6489</v>
      </c>
      <c r="C679" t="s">
        <v>6490</v>
      </c>
      <c r="D679" t="s">
        <v>6491</v>
      </c>
      <c r="E679" t="s">
        <v>6492</v>
      </c>
      <c r="F679" t="s">
        <v>6493</v>
      </c>
      <c r="G679" t="s">
        <v>15827</v>
      </c>
      <c r="H679" t="s">
        <v>16377</v>
      </c>
      <c r="I679" t="s">
        <v>16494</v>
      </c>
      <c r="J679" t="s">
        <v>23</v>
      </c>
      <c r="L679" t="s">
        <v>5279</v>
      </c>
      <c r="M679" t="s">
        <v>6494</v>
      </c>
      <c r="N679" t="s">
        <v>6495</v>
      </c>
      <c r="O679" t="s">
        <v>5282</v>
      </c>
      <c r="P679" t="s">
        <v>5283</v>
      </c>
      <c r="Q679" t="s">
        <v>6496</v>
      </c>
      <c r="R679" t="s">
        <v>6497</v>
      </c>
      <c r="S679" t="s">
        <v>6498</v>
      </c>
      <c r="T679" t="s">
        <v>5287</v>
      </c>
      <c r="U679" s="5">
        <v>999.69</v>
      </c>
      <c r="V679" s="5">
        <v>864.68</v>
      </c>
      <c r="W679" s="5">
        <v>15.113571</v>
      </c>
      <c r="X679" s="5">
        <v>108.78981899999999</v>
      </c>
      <c r="Y679" s="5">
        <v>135.01</v>
      </c>
      <c r="Z679" s="5">
        <v>15.094535</v>
      </c>
      <c r="AA679" s="5">
        <v>108.782274</v>
      </c>
      <c r="AB679" s="7">
        <f t="shared" si="61"/>
        <v>1.2970200000000001</v>
      </c>
      <c r="AC679" s="7">
        <f t="shared" si="62"/>
        <v>0.20251499999999997</v>
      </c>
      <c r="AD679" s="6" t="str">
        <f t="shared" si="63"/>
        <v>TT1 Quảng Ngãi</v>
      </c>
      <c r="AE679" s="6" t="str">
        <f t="shared" si="64"/>
        <v>Minh Long</v>
      </c>
      <c r="AG679">
        <f t="shared" si="65"/>
        <v>0.86468</v>
      </c>
      <c r="AH679">
        <f t="shared" si="66"/>
        <v>0.13500999999999999</v>
      </c>
    </row>
    <row r="680" spans="1:34" x14ac:dyDescent="0.25">
      <c r="A680" t="s">
        <v>6499</v>
      </c>
      <c r="B680" t="s">
        <v>6500</v>
      </c>
      <c r="C680" t="s">
        <v>5691</v>
      </c>
      <c r="D680" t="s">
        <v>6491</v>
      </c>
      <c r="E680" t="s">
        <v>6492</v>
      </c>
      <c r="F680" t="s">
        <v>6501</v>
      </c>
      <c r="G680" t="s">
        <v>15979</v>
      </c>
      <c r="H680" t="s">
        <v>15980</v>
      </c>
      <c r="I680" t="s">
        <v>16495</v>
      </c>
      <c r="J680" t="s">
        <v>23</v>
      </c>
      <c r="L680" t="s">
        <v>5586</v>
      </c>
      <c r="M680" t="s">
        <v>6502</v>
      </c>
      <c r="N680" t="s">
        <v>6503</v>
      </c>
      <c r="O680" t="s">
        <v>6504</v>
      </c>
      <c r="P680" t="s">
        <v>6505</v>
      </c>
      <c r="Q680" t="s">
        <v>6506</v>
      </c>
      <c r="R680" t="s">
        <v>6507</v>
      </c>
      <c r="S680" t="s">
        <v>6508</v>
      </c>
      <c r="T680" t="s">
        <v>5594</v>
      </c>
      <c r="U680" s="5">
        <v>1247.8399999999999</v>
      </c>
      <c r="V680" s="5">
        <v>1115.8900000000001</v>
      </c>
      <c r="W680" s="5">
        <v>15.089324</v>
      </c>
      <c r="X680" s="5">
        <v>108.785945</v>
      </c>
      <c r="Y680" s="5">
        <v>131.94999999999999</v>
      </c>
      <c r="Z680" s="5">
        <v>15.094568000000001</v>
      </c>
      <c r="AA680" s="5">
        <v>108.78225500000001</v>
      </c>
      <c r="AB680" s="7">
        <f t="shared" si="61"/>
        <v>1.673835</v>
      </c>
      <c r="AC680" s="7">
        <f t="shared" si="62"/>
        <v>0.19792499999999999</v>
      </c>
      <c r="AD680" s="6" t="str">
        <f t="shared" si="63"/>
        <v>Nghĩa Hành</v>
      </c>
      <c r="AE680" s="6" t="str">
        <f t="shared" si="64"/>
        <v>Nghĩa Lộ</v>
      </c>
      <c r="AG680">
        <f t="shared" si="65"/>
        <v>1.11589</v>
      </c>
      <c r="AH680">
        <f t="shared" si="66"/>
        <v>0.13194999999999998</v>
      </c>
    </row>
    <row r="681" spans="1:34" x14ac:dyDescent="0.25">
      <c r="A681" t="s">
        <v>6509</v>
      </c>
      <c r="B681" t="s">
        <v>6491</v>
      </c>
      <c r="C681" t="s">
        <v>6492</v>
      </c>
      <c r="D681" t="s">
        <v>5403</v>
      </c>
      <c r="E681" t="s">
        <v>5404</v>
      </c>
      <c r="F681" t="s">
        <v>6510</v>
      </c>
      <c r="G681" t="s">
        <v>15979</v>
      </c>
      <c r="H681" t="s">
        <v>15980</v>
      </c>
      <c r="I681" t="s">
        <v>16496</v>
      </c>
      <c r="J681" t="s">
        <v>23</v>
      </c>
      <c r="L681" t="s">
        <v>6511</v>
      </c>
      <c r="M681" t="s">
        <v>6512</v>
      </c>
      <c r="N681" t="s">
        <v>6513</v>
      </c>
      <c r="O681" t="s">
        <v>6514</v>
      </c>
      <c r="P681" t="s">
        <v>6515</v>
      </c>
      <c r="Q681" t="s">
        <v>6516</v>
      </c>
      <c r="R681" t="s">
        <v>6517</v>
      </c>
      <c r="S681" t="s">
        <v>6518</v>
      </c>
      <c r="T681" t="s">
        <v>6519</v>
      </c>
      <c r="U681" s="5">
        <v>2066.14</v>
      </c>
      <c r="V681" s="5">
        <v>693.13</v>
      </c>
      <c r="W681" s="5">
        <v>15.098264</v>
      </c>
      <c r="X681" s="5">
        <v>108.788479</v>
      </c>
      <c r="Y681" s="5">
        <v>1373.01</v>
      </c>
      <c r="Z681" s="5">
        <v>15.120972999999999</v>
      </c>
      <c r="AA681" s="5">
        <v>108.792068</v>
      </c>
      <c r="AB681" s="7">
        <f t="shared" si="61"/>
        <v>1.039695</v>
      </c>
      <c r="AC681" s="7">
        <f t="shared" si="62"/>
        <v>2.0595149999999998</v>
      </c>
      <c r="AD681" s="6" t="str">
        <f t="shared" si="63"/>
        <v>Nghĩa Giang</v>
      </c>
      <c r="AE681" s="6" t="str">
        <f t="shared" si="64"/>
        <v>TT1 QUẢNG NGÃI</v>
      </c>
      <c r="AG681">
        <f t="shared" si="65"/>
        <v>0.69313000000000002</v>
      </c>
      <c r="AH681">
        <f t="shared" si="66"/>
        <v>1.3730100000000001</v>
      </c>
    </row>
    <row r="682" spans="1:34" x14ac:dyDescent="0.25">
      <c r="A682" t="s">
        <v>6520</v>
      </c>
      <c r="B682" t="s">
        <v>5357</v>
      </c>
      <c r="C682" t="s">
        <v>5358</v>
      </c>
      <c r="D682" t="s">
        <v>6449</v>
      </c>
      <c r="E682" t="s">
        <v>6450</v>
      </c>
      <c r="F682" t="s">
        <v>6521</v>
      </c>
      <c r="G682" t="s">
        <v>15827</v>
      </c>
      <c r="H682" t="s">
        <v>15831</v>
      </c>
      <c r="I682" t="s">
        <v>16497</v>
      </c>
      <c r="J682" t="s">
        <v>23</v>
      </c>
      <c r="L682" t="s">
        <v>5331</v>
      </c>
      <c r="M682" t="s">
        <v>6522</v>
      </c>
      <c r="N682" t="s">
        <v>5361</v>
      </c>
      <c r="O682" t="s">
        <v>5362</v>
      </c>
      <c r="P682" t="s">
        <v>5363</v>
      </c>
      <c r="Q682" t="s">
        <v>6523</v>
      </c>
      <c r="R682" t="s">
        <v>6524</v>
      </c>
      <c r="S682" t="s">
        <v>6525</v>
      </c>
      <c r="T682" t="s">
        <v>5339</v>
      </c>
      <c r="U682" s="5">
        <v>285.2</v>
      </c>
      <c r="V682" s="5">
        <v>268.31</v>
      </c>
      <c r="W682" s="5">
        <v>15.126120999999999</v>
      </c>
      <c r="X682" s="5">
        <v>108.779673</v>
      </c>
      <c r="Y682" s="5">
        <v>16.89</v>
      </c>
      <c r="Z682" s="5">
        <v>15.120799999999999</v>
      </c>
      <c r="AA682" s="5">
        <v>108.786826</v>
      </c>
      <c r="AB682" s="7">
        <f t="shared" si="61"/>
        <v>0.40246500000000002</v>
      </c>
      <c r="AC682" s="7">
        <f t="shared" si="62"/>
        <v>2.5335E-2</v>
      </c>
      <c r="AD682" s="6" t="str">
        <f t="shared" si="63"/>
        <v>Ba Gia</v>
      </c>
      <c r="AE682" s="6" t="str">
        <f t="shared" si="64"/>
        <v>TT1 QUẢNG NGÃI</v>
      </c>
      <c r="AG682">
        <f t="shared" si="65"/>
        <v>0.26830999999999999</v>
      </c>
      <c r="AH682">
        <f t="shared" si="66"/>
        <v>1.6890000000000002E-2</v>
      </c>
    </row>
    <row r="683" spans="1:34" x14ac:dyDescent="0.25">
      <c r="A683" t="s">
        <v>6526</v>
      </c>
      <c r="B683" t="s">
        <v>6449</v>
      </c>
      <c r="C683" t="s">
        <v>6450</v>
      </c>
      <c r="D683" t="s">
        <v>6527</v>
      </c>
      <c r="E683" t="s">
        <v>6528</v>
      </c>
      <c r="F683" t="s">
        <v>6529</v>
      </c>
      <c r="G683" t="s">
        <v>15827</v>
      </c>
      <c r="H683" t="s">
        <v>15831</v>
      </c>
      <c r="I683" t="s">
        <v>16498</v>
      </c>
      <c r="J683" t="s">
        <v>23</v>
      </c>
      <c r="L683" t="s">
        <v>5331</v>
      </c>
      <c r="M683" t="s">
        <v>6530</v>
      </c>
      <c r="N683" t="s">
        <v>6523</v>
      </c>
      <c r="O683" t="s">
        <v>6524</v>
      </c>
      <c r="P683" t="s">
        <v>6525</v>
      </c>
      <c r="Q683" t="s">
        <v>6531</v>
      </c>
      <c r="R683" t="s">
        <v>6532</v>
      </c>
      <c r="S683" t="s">
        <v>6533</v>
      </c>
      <c r="T683" t="s">
        <v>5339</v>
      </c>
      <c r="U683" s="5">
        <v>212.76</v>
      </c>
      <c r="V683" s="5">
        <v>16.89</v>
      </c>
      <c r="W683" s="5">
        <v>15.120799999999999</v>
      </c>
      <c r="X683" s="5">
        <v>108.786826</v>
      </c>
      <c r="Y683" s="5">
        <v>195.87</v>
      </c>
      <c r="Z683" s="5">
        <v>15.125795</v>
      </c>
      <c r="AA683" s="5">
        <v>108.78645</v>
      </c>
      <c r="AB683" s="7">
        <f t="shared" si="61"/>
        <v>2.5335E-2</v>
      </c>
      <c r="AC683" s="7">
        <f t="shared" si="62"/>
        <v>0.29380499999999998</v>
      </c>
      <c r="AD683" s="6" t="str">
        <f t="shared" si="63"/>
        <v>Ba Gia</v>
      </c>
      <c r="AE683" s="6" t="str">
        <f t="shared" si="64"/>
        <v>TT1 QUẢNG NGÃI</v>
      </c>
      <c r="AG683">
        <f t="shared" si="65"/>
        <v>1.6890000000000002E-2</v>
      </c>
      <c r="AH683">
        <f t="shared" si="66"/>
        <v>0.19587000000000002</v>
      </c>
    </row>
    <row r="684" spans="1:34" x14ac:dyDescent="0.25">
      <c r="A684" t="s">
        <v>6534</v>
      </c>
      <c r="B684" t="s">
        <v>5419</v>
      </c>
      <c r="C684" t="s">
        <v>5420</v>
      </c>
      <c r="D684" t="s">
        <v>6535</v>
      </c>
      <c r="E684" t="s">
        <v>6536</v>
      </c>
      <c r="F684" t="s">
        <v>6537</v>
      </c>
      <c r="G684" t="s">
        <v>15827</v>
      </c>
      <c r="H684" t="s">
        <v>15831</v>
      </c>
      <c r="I684" t="s">
        <v>16499</v>
      </c>
      <c r="J684" t="s">
        <v>23</v>
      </c>
      <c r="L684" t="s">
        <v>5422</v>
      </c>
      <c r="M684" t="s">
        <v>6538</v>
      </c>
      <c r="N684" t="s">
        <v>5427</v>
      </c>
      <c r="O684" t="s">
        <v>5428</v>
      </c>
      <c r="P684" t="s">
        <v>5429</v>
      </c>
      <c r="Q684" t="s">
        <v>6539</v>
      </c>
      <c r="R684" t="s">
        <v>6540</v>
      </c>
      <c r="S684" t="s">
        <v>6541</v>
      </c>
      <c r="T684" t="s">
        <v>5430</v>
      </c>
      <c r="U684" s="5">
        <v>16.579999999999998</v>
      </c>
      <c r="V684" s="5">
        <v>11.68</v>
      </c>
      <c r="W684" s="5">
        <v>15.113891000000001</v>
      </c>
      <c r="X684" s="5">
        <v>108.79631999999999</v>
      </c>
      <c r="Y684" s="5">
        <v>4.9000000000000004</v>
      </c>
      <c r="Z684" s="5">
        <v>15.114583</v>
      </c>
      <c r="AA684" s="5">
        <v>108.796239</v>
      </c>
      <c r="AB684" s="7">
        <f t="shared" si="61"/>
        <v>1.7520000000000001E-2</v>
      </c>
      <c r="AC684" s="7">
        <f t="shared" si="62"/>
        <v>7.3500000000000006E-3</v>
      </c>
      <c r="AD684" s="6" t="str">
        <f t="shared" si="63"/>
        <v>Khối Phòng PA08_PA05</v>
      </c>
      <c r="AE684" s="6" t="str">
        <f t="shared" si="64"/>
        <v>TT1 Quảng Ngãi</v>
      </c>
      <c r="AG684">
        <f t="shared" si="65"/>
        <v>1.1679999999999999E-2</v>
      </c>
      <c r="AH684">
        <f t="shared" si="66"/>
        <v>4.9000000000000007E-3</v>
      </c>
    </row>
    <row r="685" spans="1:34" x14ac:dyDescent="0.25">
      <c r="A685" t="s">
        <v>6542</v>
      </c>
      <c r="B685" t="s">
        <v>5419</v>
      </c>
      <c r="C685" t="s">
        <v>5420</v>
      </c>
      <c r="D685" t="s">
        <v>6543</v>
      </c>
      <c r="E685" t="s">
        <v>6544</v>
      </c>
      <c r="F685" t="s">
        <v>6545</v>
      </c>
      <c r="G685" t="s">
        <v>15827</v>
      </c>
      <c r="H685" t="s">
        <v>15831</v>
      </c>
      <c r="I685" t="s">
        <v>16500</v>
      </c>
      <c r="J685" t="s">
        <v>23</v>
      </c>
      <c r="L685" t="s">
        <v>5422</v>
      </c>
      <c r="M685" t="s">
        <v>6546</v>
      </c>
      <c r="N685" t="s">
        <v>5427</v>
      </c>
      <c r="O685" t="s">
        <v>5428</v>
      </c>
      <c r="P685" t="s">
        <v>5429</v>
      </c>
      <c r="Q685" t="s">
        <v>6547</v>
      </c>
      <c r="R685" t="s">
        <v>6548</v>
      </c>
      <c r="S685" t="s">
        <v>6541</v>
      </c>
      <c r="T685" t="s">
        <v>5430</v>
      </c>
      <c r="U685" s="5">
        <v>311.37</v>
      </c>
      <c r="V685" s="5">
        <v>11.68</v>
      </c>
      <c r="W685" s="5">
        <v>15.113891000000001</v>
      </c>
      <c r="X685" s="5">
        <v>108.79631999999999</v>
      </c>
      <c r="Y685" s="5">
        <v>299.69</v>
      </c>
      <c r="Z685" s="5">
        <v>15.118803</v>
      </c>
      <c r="AA685" s="5">
        <v>108.796239</v>
      </c>
      <c r="AB685" s="7">
        <f t="shared" si="61"/>
        <v>1.7520000000000001E-2</v>
      </c>
      <c r="AC685" s="7">
        <f t="shared" si="62"/>
        <v>0.44953499999999996</v>
      </c>
      <c r="AD685" s="6" t="str">
        <f t="shared" si="63"/>
        <v>Khối Phòng PA08_PA05</v>
      </c>
      <c r="AE685" s="6" t="str">
        <f t="shared" si="64"/>
        <v>TT1 Quảng Ngãi</v>
      </c>
      <c r="AG685">
        <f t="shared" si="65"/>
        <v>1.1679999999999999E-2</v>
      </c>
      <c r="AH685">
        <f t="shared" si="66"/>
        <v>0.29969000000000001</v>
      </c>
    </row>
    <row r="686" spans="1:34" x14ac:dyDescent="0.25">
      <c r="A686" t="s">
        <v>6549</v>
      </c>
      <c r="B686" t="s">
        <v>5419</v>
      </c>
      <c r="C686" t="s">
        <v>5420</v>
      </c>
      <c r="D686" t="s">
        <v>6550</v>
      </c>
      <c r="E686" t="s">
        <v>6551</v>
      </c>
      <c r="F686" t="s">
        <v>6552</v>
      </c>
      <c r="G686" t="s">
        <v>15827</v>
      </c>
      <c r="H686" t="s">
        <v>15831</v>
      </c>
      <c r="I686" t="s">
        <v>16501</v>
      </c>
      <c r="J686" t="s">
        <v>23</v>
      </c>
      <c r="L686" t="s">
        <v>6553</v>
      </c>
      <c r="M686" t="s">
        <v>6554</v>
      </c>
      <c r="N686" t="s">
        <v>6555</v>
      </c>
      <c r="O686" t="s">
        <v>6556</v>
      </c>
      <c r="P686" t="s">
        <v>6557</v>
      </c>
      <c r="Q686" t="s">
        <v>6558</v>
      </c>
      <c r="R686" t="s">
        <v>6559</v>
      </c>
      <c r="S686" t="s">
        <v>6560</v>
      </c>
      <c r="T686" t="s">
        <v>6561</v>
      </c>
      <c r="U686" s="5">
        <v>600.64</v>
      </c>
      <c r="V686" s="5">
        <v>309.87</v>
      </c>
      <c r="W686" s="5">
        <v>15.112746</v>
      </c>
      <c r="X686" s="5">
        <v>108.79373699999999</v>
      </c>
      <c r="Y686" s="5">
        <v>290.77</v>
      </c>
      <c r="Z686" s="5">
        <v>15.107789</v>
      </c>
      <c r="AA686" s="5">
        <v>108.790053</v>
      </c>
      <c r="AB686" s="7">
        <f t="shared" si="61"/>
        <v>0.46480500000000002</v>
      </c>
      <c r="AC686" s="7">
        <f t="shared" si="62"/>
        <v>0.43615499999999996</v>
      </c>
      <c r="AD686" s="6" t="str">
        <f t="shared" si="63"/>
        <v>Tư Nghĩa</v>
      </c>
      <c r="AE686" s="6" t="str">
        <f t="shared" si="64"/>
        <v>TT1 QUẢNG NGÃI</v>
      </c>
      <c r="AG686">
        <f t="shared" si="65"/>
        <v>0.30986999999999998</v>
      </c>
      <c r="AH686">
        <f t="shared" si="66"/>
        <v>0.29076999999999997</v>
      </c>
    </row>
    <row r="687" spans="1:34" x14ac:dyDescent="0.25">
      <c r="A687" t="s">
        <v>6562</v>
      </c>
      <c r="B687" t="s">
        <v>6563</v>
      </c>
      <c r="C687" t="s">
        <v>6564</v>
      </c>
      <c r="D687" t="s">
        <v>5419</v>
      </c>
      <c r="E687" t="s">
        <v>5420</v>
      </c>
      <c r="F687" t="s">
        <v>6565</v>
      </c>
      <c r="G687" t="s">
        <v>15827</v>
      </c>
      <c r="H687" t="s">
        <v>16377</v>
      </c>
      <c r="I687" t="s">
        <v>16502</v>
      </c>
      <c r="J687" t="s">
        <v>23</v>
      </c>
      <c r="L687" t="s">
        <v>5422</v>
      </c>
      <c r="M687" t="s">
        <v>6566</v>
      </c>
      <c r="N687" t="s">
        <v>6567</v>
      </c>
      <c r="O687" t="s">
        <v>6568</v>
      </c>
      <c r="P687" t="s">
        <v>6569</v>
      </c>
      <c r="Q687" t="s">
        <v>5427</v>
      </c>
      <c r="R687" t="s">
        <v>5428</v>
      </c>
      <c r="S687" t="s">
        <v>5429</v>
      </c>
      <c r="T687" t="s">
        <v>5430</v>
      </c>
      <c r="U687" s="5">
        <v>121.29</v>
      </c>
      <c r="V687" s="5">
        <v>109.61</v>
      </c>
      <c r="W687" s="5">
        <v>15.118824999999999</v>
      </c>
      <c r="X687" s="5">
        <v>108.798416</v>
      </c>
      <c r="Y687" s="5">
        <v>11.68</v>
      </c>
      <c r="Z687" s="5">
        <v>15.113891000000001</v>
      </c>
      <c r="AA687" s="5">
        <v>108.79631999999999</v>
      </c>
      <c r="AB687" s="7">
        <f t="shared" si="61"/>
        <v>0.16441500000000001</v>
      </c>
      <c r="AC687" s="7">
        <f t="shared" si="62"/>
        <v>1.7520000000000001E-2</v>
      </c>
      <c r="AD687" s="6" t="str">
        <f t="shared" si="63"/>
        <v>Khối Phòng PA08_PA05</v>
      </c>
      <c r="AE687" s="6" t="str">
        <f t="shared" si="64"/>
        <v>TT1 Quảng Ngãi</v>
      </c>
      <c r="AG687">
        <f t="shared" si="65"/>
        <v>0.10961</v>
      </c>
      <c r="AH687">
        <f t="shared" si="66"/>
        <v>1.1679999999999999E-2</v>
      </c>
    </row>
    <row r="688" spans="1:34" x14ac:dyDescent="0.25">
      <c r="A688" t="s">
        <v>6570</v>
      </c>
      <c r="B688" t="s">
        <v>5419</v>
      </c>
      <c r="C688" t="s">
        <v>5420</v>
      </c>
      <c r="D688" t="s">
        <v>6571</v>
      </c>
      <c r="E688" t="s">
        <v>6572</v>
      </c>
      <c r="F688" t="s">
        <v>6573</v>
      </c>
      <c r="G688" t="s">
        <v>15979</v>
      </c>
      <c r="H688" t="s">
        <v>15980</v>
      </c>
      <c r="I688" t="s">
        <v>16503</v>
      </c>
      <c r="J688" t="s">
        <v>23</v>
      </c>
      <c r="L688" t="s">
        <v>5422</v>
      </c>
      <c r="M688" t="s">
        <v>6574</v>
      </c>
      <c r="N688" t="s">
        <v>5427</v>
      </c>
      <c r="O688" t="s">
        <v>5428</v>
      </c>
      <c r="P688" t="s">
        <v>5429</v>
      </c>
      <c r="Q688" t="s">
        <v>6575</v>
      </c>
      <c r="R688" t="s">
        <v>6576</v>
      </c>
      <c r="S688" t="s">
        <v>6577</v>
      </c>
      <c r="T688" t="s">
        <v>5430</v>
      </c>
      <c r="U688" s="5">
        <v>229.16</v>
      </c>
      <c r="V688" s="5">
        <v>11.68</v>
      </c>
      <c r="W688" s="5">
        <v>15.113891000000001</v>
      </c>
      <c r="X688" s="5">
        <v>108.79631999999999</v>
      </c>
      <c r="Y688" s="5">
        <v>217.48</v>
      </c>
      <c r="Z688" s="5">
        <v>15.118926999999999</v>
      </c>
      <c r="AA688" s="5">
        <v>108.79814</v>
      </c>
      <c r="AB688" s="7">
        <f t="shared" si="61"/>
        <v>1.7520000000000001E-2</v>
      </c>
      <c r="AC688" s="7">
        <f t="shared" si="62"/>
        <v>0.32621999999999995</v>
      </c>
      <c r="AD688" s="6" t="str">
        <f t="shared" si="63"/>
        <v>Khối Phòng PA08_PA05</v>
      </c>
      <c r="AE688" s="6" t="str">
        <f t="shared" si="64"/>
        <v>TT1 Quảng Ngãi</v>
      </c>
      <c r="AG688">
        <f t="shared" si="65"/>
        <v>1.1679999999999999E-2</v>
      </c>
      <c r="AH688">
        <f t="shared" si="66"/>
        <v>0.21747999999999998</v>
      </c>
    </row>
    <row r="689" spans="1:34" x14ac:dyDescent="0.25">
      <c r="A689" t="s">
        <v>6578</v>
      </c>
      <c r="B689" t="s">
        <v>6579</v>
      </c>
      <c r="C689" t="s">
        <v>6580</v>
      </c>
      <c r="D689" t="s">
        <v>6581</v>
      </c>
      <c r="E689" t="s">
        <v>6582</v>
      </c>
      <c r="F689" t="s">
        <v>6583</v>
      </c>
      <c r="G689" t="s">
        <v>15979</v>
      </c>
      <c r="H689" t="s">
        <v>15980</v>
      </c>
      <c r="I689" t="s">
        <v>16504</v>
      </c>
      <c r="J689" t="s">
        <v>23</v>
      </c>
      <c r="L689" t="s">
        <v>5859</v>
      </c>
      <c r="M689" t="s">
        <v>6584</v>
      </c>
      <c r="N689" t="s">
        <v>6585</v>
      </c>
      <c r="O689" t="s">
        <v>6421</v>
      </c>
      <c r="P689" t="s">
        <v>6422</v>
      </c>
      <c r="Q689" t="s">
        <v>6586</v>
      </c>
      <c r="R689" t="s">
        <v>6587</v>
      </c>
      <c r="S689" t="s">
        <v>6588</v>
      </c>
      <c r="T689" t="s">
        <v>6423</v>
      </c>
      <c r="U689" s="5">
        <v>560.87</v>
      </c>
      <c r="V689" s="5">
        <v>226.41</v>
      </c>
      <c r="W689" s="5">
        <v>15.122006000000001</v>
      </c>
      <c r="X689" s="5">
        <v>108.814892</v>
      </c>
      <c r="Y689" s="5">
        <v>334.46</v>
      </c>
      <c r="Z689" s="5">
        <v>15.115344</v>
      </c>
      <c r="AA689" s="5">
        <v>108.816458</v>
      </c>
      <c r="AB689" s="7">
        <f t="shared" si="61"/>
        <v>0.339615</v>
      </c>
      <c r="AC689" s="7">
        <f t="shared" si="62"/>
        <v>0.50168999999999997</v>
      </c>
      <c r="AD689" s="6" t="e">
        <f t="shared" si="63"/>
        <v>#VALUE!</v>
      </c>
      <c r="AE689" s="6" t="e">
        <f t="shared" si="64"/>
        <v>#VALUE!</v>
      </c>
      <c r="AG689">
        <f t="shared" si="65"/>
        <v>0.22641</v>
      </c>
      <c r="AH689">
        <f t="shared" si="66"/>
        <v>0.33445999999999998</v>
      </c>
    </row>
    <row r="690" spans="1:34" x14ac:dyDescent="0.25">
      <c r="A690" t="s">
        <v>6589</v>
      </c>
      <c r="B690" t="s">
        <v>6581</v>
      </c>
      <c r="C690" t="s">
        <v>6582</v>
      </c>
      <c r="D690" t="s">
        <v>6590</v>
      </c>
      <c r="E690" t="s">
        <v>6591</v>
      </c>
      <c r="F690" t="s">
        <v>6592</v>
      </c>
      <c r="G690" t="s">
        <v>15979</v>
      </c>
      <c r="H690" t="s">
        <v>15980</v>
      </c>
      <c r="I690" t="s">
        <v>16505</v>
      </c>
      <c r="J690" t="s">
        <v>23</v>
      </c>
      <c r="L690" t="s">
        <v>5859</v>
      </c>
      <c r="M690" t="s">
        <v>6593</v>
      </c>
      <c r="N690" t="s">
        <v>6586</v>
      </c>
      <c r="O690" t="s">
        <v>6587</v>
      </c>
      <c r="P690" t="s">
        <v>6588</v>
      </c>
      <c r="Q690" t="s">
        <v>6594</v>
      </c>
      <c r="R690" t="s">
        <v>6595</v>
      </c>
      <c r="S690" t="s">
        <v>6596</v>
      </c>
      <c r="T690" t="s">
        <v>6423</v>
      </c>
      <c r="U690" s="5">
        <v>351.74</v>
      </c>
      <c r="V690" s="5">
        <v>334.46</v>
      </c>
      <c r="W690" s="5">
        <v>15.115344</v>
      </c>
      <c r="X690" s="5">
        <v>108.816458</v>
      </c>
      <c r="Y690" s="5">
        <v>17.29</v>
      </c>
      <c r="Z690" s="5">
        <v>15.131022</v>
      </c>
      <c r="AA690" s="5">
        <v>108.806347</v>
      </c>
      <c r="AB690" s="7">
        <f t="shared" si="61"/>
        <v>0.50168999999999997</v>
      </c>
      <c r="AC690" s="7">
        <f t="shared" si="62"/>
        <v>2.5935E-2</v>
      </c>
      <c r="AD690" s="6" t="e">
        <f t="shared" si="63"/>
        <v>#VALUE!</v>
      </c>
      <c r="AE690" s="6" t="e">
        <f t="shared" si="64"/>
        <v>#VALUE!</v>
      </c>
      <c r="AG690">
        <f t="shared" si="65"/>
        <v>0.33445999999999998</v>
      </c>
      <c r="AH690">
        <f t="shared" si="66"/>
        <v>1.729E-2</v>
      </c>
    </row>
    <row r="691" spans="1:34" x14ac:dyDescent="0.25">
      <c r="A691" t="s">
        <v>6597</v>
      </c>
      <c r="B691" t="s">
        <v>6598</v>
      </c>
      <c r="C691" t="s">
        <v>6599</v>
      </c>
      <c r="D691" t="s">
        <v>6600</v>
      </c>
      <c r="E691" t="s">
        <v>6601</v>
      </c>
      <c r="F691" t="s">
        <v>6602</v>
      </c>
      <c r="G691" t="s">
        <v>15827</v>
      </c>
      <c r="H691" t="s">
        <v>16377</v>
      </c>
      <c r="I691" t="s">
        <v>16506</v>
      </c>
      <c r="J691" t="s">
        <v>23</v>
      </c>
      <c r="L691" t="s">
        <v>6603</v>
      </c>
      <c r="M691" t="s">
        <v>6604</v>
      </c>
      <c r="N691" t="s">
        <v>6605</v>
      </c>
      <c r="O691" t="s">
        <v>6606</v>
      </c>
      <c r="P691" t="s">
        <v>6607</v>
      </c>
      <c r="Q691" t="s">
        <v>6608</v>
      </c>
      <c r="R691" t="s">
        <v>6609</v>
      </c>
      <c r="S691" t="s">
        <v>6610</v>
      </c>
      <c r="T691" t="s">
        <v>6611</v>
      </c>
      <c r="U691" s="5">
        <v>3533.57</v>
      </c>
      <c r="V691" s="5">
        <v>3521.99</v>
      </c>
      <c r="W691" s="5">
        <v>15.126675000000001</v>
      </c>
      <c r="X691" s="5">
        <v>108.88433499999999</v>
      </c>
      <c r="Y691" s="5">
        <v>11.58</v>
      </c>
      <c r="Z691" s="5">
        <v>15.126735999999999</v>
      </c>
      <c r="AA691" s="5">
        <v>108.88436299999999</v>
      </c>
      <c r="AB691" s="7">
        <f t="shared" si="61"/>
        <v>5.282985</v>
      </c>
      <c r="AC691" s="7">
        <f t="shared" si="62"/>
        <v>1.737E-2</v>
      </c>
      <c r="AD691" s="6" t="str">
        <f t="shared" si="63"/>
        <v>Quảng Ngãi</v>
      </c>
      <c r="AE691" s="6" t="str">
        <f t="shared" si="64"/>
        <v>Ring 1_An Phú-CAT Quảng Ngãi</v>
      </c>
      <c r="AG691">
        <f t="shared" si="65"/>
        <v>3.5219899999999997</v>
      </c>
      <c r="AH691">
        <f t="shared" si="66"/>
        <v>1.158E-2</v>
      </c>
    </row>
    <row r="692" spans="1:34" x14ac:dyDescent="0.25">
      <c r="A692" t="s">
        <v>6612</v>
      </c>
      <c r="B692" t="s">
        <v>6600</v>
      </c>
      <c r="C692" t="s">
        <v>6601</v>
      </c>
      <c r="D692" t="s">
        <v>5786</v>
      </c>
      <c r="E692" t="s">
        <v>5787</v>
      </c>
      <c r="F692" t="s">
        <v>6613</v>
      </c>
      <c r="G692" t="s">
        <v>15827</v>
      </c>
      <c r="H692" t="s">
        <v>16377</v>
      </c>
      <c r="I692" t="s">
        <v>16507</v>
      </c>
      <c r="J692" t="s">
        <v>23</v>
      </c>
      <c r="L692" t="s">
        <v>6603</v>
      </c>
      <c r="M692" t="s">
        <v>6614</v>
      </c>
      <c r="N692" t="s">
        <v>6608</v>
      </c>
      <c r="O692" t="s">
        <v>6609</v>
      </c>
      <c r="P692" t="s">
        <v>6610</v>
      </c>
      <c r="Q692" t="s">
        <v>6615</v>
      </c>
      <c r="R692" t="s">
        <v>6616</v>
      </c>
      <c r="S692" t="s">
        <v>6617</v>
      </c>
      <c r="T692" t="s">
        <v>6611</v>
      </c>
      <c r="U692" s="5">
        <v>1642.3</v>
      </c>
      <c r="V692" s="5">
        <v>11.58</v>
      </c>
      <c r="W692" s="5">
        <v>15.126735999999999</v>
      </c>
      <c r="X692" s="5">
        <v>108.88436299999999</v>
      </c>
      <c r="Y692" s="5">
        <v>1630.72</v>
      </c>
      <c r="Z692" s="5">
        <v>15.124923000000001</v>
      </c>
      <c r="AA692" s="5">
        <v>108.845949</v>
      </c>
      <c r="AB692" s="7">
        <f t="shared" si="61"/>
        <v>1.737E-2</v>
      </c>
      <c r="AC692" s="7">
        <f t="shared" si="62"/>
        <v>2.4460799999999998</v>
      </c>
      <c r="AD692" s="6" t="str">
        <f t="shared" si="63"/>
        <v>Quảng Ngãi</v>
      </c>
      <c r="AE692" s="6" t="str">
        <f t="shared" si="64"/>
        <v>Ring 1_An Phú-CAT Quảng Ngãi</v>
      </c>
      <c r="AG692">
        <f t="shared" si="65"/>
        <v>1.158E-2</v>
      </c>
      <c r="AH692">
        <f t="shared" si="66"/>
        <v>1.6307199999999999</v>
      </c>
    </row>
    <row r="693" spans="1:34" x14ac:dyDescent="0.25">
      <c r="A693" t="s">
        <v>6618</v>
      </c>
      <c r="B693" t="s">
        <v>6619</v>
      </c>
      <c r="C693" t="s">
        <v>6620</v>
      </c>
      <c r="D693" t="s">
        <v>6600</v>
      </c>
      <c r="E693" t="s">
        <v>6601</v>
      </c>
      <c r="F693" t="s">
        <v>6621</v>
      </c>
      <c r="G693" t="s">
        <v>15827</v>
      </c>
      <c r="H693" t="s">
        <v>16377</v>
      </c>
      <c r="I693" t="s">
        <v>16508</v>
      </c>
      <c r="J693" t="s">
        <v>23</v>
      </c>
      <c r="L693" t="s">
        <v>6622</v>
      </c>
      <c r="M693" t="s">
        <v>6623</v>
      </c>
      <c r="N693" t="s">
        <v>6624</v>
      </c>
      <c r="O693" t="s">
        <v>6625</v>
      </c>
      <c r="P693" t="s">
        <v>6626</v>
      </c>
      <c r="Q693" t="s">
        <v>6627</v>
      </c>
      <c r="R693" t="s">
        <v>6628</v>
      </c>
      <c r="S693" t="s">
        <v>6629</v>
      </c>
      <c r="T693" t="s">
        <v>6630</v>
      </c>
      <c r="U693" s="5">
        <v>504.66</v>
      </c>
      <c r="V693" s="5">
        <v>469.96</v>
      </c>
      <c r="W693" s="5">
        <v>15.132929000000001</v>
      </c>
      <c r="X693" s="5">
        <v>108.876476</v>
      </c>
      <c r="Y693" s="5">
        <v>34.700000000000003</v>
      </c>
      <c r="Z693" s="5">
        <v>15.12703</v>
      </c>
      <c r="AA693" s="5">
        <v>108.884162</v>
      </c>
      <c r="AB693" s="7">
        <f t="shared" si="61"/>
        <v>0.7049399999999999</v>
      </c>
      <c r="AC693" s="7">
        <f t="shared" si="62"/>
        <v>5.2050000000000006E-2</v>
      </c>
      <c r="AD693" s="6" t="str">
        <f t="shared" si="63"/>
        <v>Quảng Ngãi</v>
      </c>
      <c r="AE693" s="6" t="str">
        <f t="shared" si="64"/>
        <v>Ring 1_Tịnh Khê - An Phú</v>
      </c>
      <c r="AG693">
        <f t="shared" si="65"/>
        <v>0.46995999999999999</v>
      </c>
      <c r="AH693">
        <f t="shared" si="66"/>
        <v>3.4700000000000002E-2</v>
      </c>
    </row>
    <row r="694" spans="1:34" x14ac:dyDescent="0.25">
      <c r="A694" t="s">
        <v>6631</v>
      </c>
      <c r="B694" t="s">
        <v>6632</v>
      </c>
      <c r="C694" t="s">
        <v>6633</v>
      </c>
      <c r="D694" t="s">
        <v>6600</v>
      </c>
      <c r="E694" t="s">
        <v>6601</v>
      </c>
      <c r="F694" t="s">
        <v>6634</v>
      </c>
      <c r="G694" t="s">
        <v>15827</v>
      </c>
      <c r="H694" t="s">
        <v>16377</v>
      </c>
      <c r="I694" t="s">
        <v>16509</v>
      </c>
      <c r="J694" t="s">
        <v>23</v>
      </c>
      <c r="L694" t="s">
        <v>6603</v>
      </c>
      <c r="M694" t="s">
        <v>6635</v>
      </c>
      <c r="N694" t="s">
        <v>6636</v>
      </c>
      <c r="O694" t="s">
        <v>6637</v>
      </c>
      <c r="P694" t="s">
        <v>6638</v>
      </c>
      <c r="Q694" t="s">
        <v>6608</v>
      </c>
      <c r="R694" t="s">
        <v>6609</v>
      </c>
      <c r="S694" t="s">
        <v>6610</v>
      </c>
      <c r="T694" t="s">
        <v>6611</v>
      </c>
      <c r="U694" s="5">
        <v>293.08</v>
      </c>
      <c r="V694" s="5">
        <v>281.5</v>
      </c>
      <c r="W694" s="5">
        <v>15.128410000000001</v>
      </c>
      <c r="X694" s="5">
        <v>108.88037</v>
      </c>
      <c r="Y694" s="5">
        <v>11.58</v>
      </c>
      <c r="Z694" s="5">
        <v>15.126735999999999</v>
      </c>
      <c r="AA694" s="5">
        <v>108.88436299999999</v>
      </c>
      <c r="AB694" s="7">
        <f t="shared" si="61"/>
        <v>0.42225000000000001</v>
      </c>
      <c r="AC694" s="7">
        <f t="shared" si="62"/>
        <v>1.737E-2</v>
      </c>
      <c r="AD694" s="6" t="str">
        <f t="shared" si="63"/>
        <v>Quảng Ngãi</v>
      </c>
      <c r="AE694" s="6" t="str">
        <f t="shared" si="64"/>
        <v>Ring 1_An Phú-CAT Quảng Ngãi</v>
      </c>
      <c r="AG694">
        <f t="shared" si="65"/>
        <v>0.28149999999999997</v>
      </c>
      <c r="AH694">
        <f t="shared" si="66"/>
        <v>1.158E-2</v>
      </c>
    </row>
    <row r="695" spans="1:34" x14ac:dyDescent="0.25">
      <c r="A695" t="s">
        <v>6639</v>
      </c>
      <c r="B695" t="s">
        <v>6640</v>
      </c>
      <c r="C695" t="s">
        <v>6641</v>
      </c>
      <c r="D695" t="s">
        <v>6600</v>
      </c>
      <c r="E695" t="s">
        <v>6601</v>
      </c>
      <c r="F695" t="s">
        <v>6642</v>
      </c>
      <c r="G695" t="s">
        <v>15827</v>
      </c>
      <c r="H695" t="s">
        <v>16377</v>
      </c>
      <c r="I695" t="s">
        <v>16510</v>
      </c>
      <c r="J695" t="s">
        <v>23</v>
      </c>
      <c r="L695" t="s">
        <v>6603</v>
      </c>
      <c r="M695" t="s">
        <v>6643</v>
      </c>
      <c r="N695" t="s">
        <v>6644</v>
      </c>
      <c r="O695" t="s">
        <v>6645</v>
      </c>
      <c r="P695" t="s">
        <v>6646</v>
      </c>
      <c r="Q695" t="s">
        <v>6608</v>
      </c>
      <c r="R695" t="s">
        <v>6609</v>
      </c>
      <c r="S695" t="s">
        <v>6610</v>
      </c>
      <c r="T695" t="s">
        <v>6611</v>
      </c>
      <c r="U695" s="5">
        <v>197.17</v>
      </c>
      <c r="V695" s="5">
        <v>185.59</v>
      </c>
      <c r="W695" s="5">
        <v>15.124615</v>
      </c>
      <c r="X695" s="5">
        <v>108.860423</v>
      </c>
      <c r="Y695" s="5">
        <v>11.58</v>
      </c>
      <c r="Z695" s="5">
        <v>15.126735999999999</v>
      </c>
      <c r="AA695" s="5">
        <v>108.88436299999999</v>
      </c>
      <c r="AB695" s="7">
        <f t="shared" si="61"/>
        <v>0.27838499999999999</v>
      </c>
      <c r="AC695" s="7">
        <f t="shared" si="62"/>
        <v>1.737E-2</v>
      </c>
      <c r="AD695" s="6" t="str">
        <f t="shared" si="63"/>
        <v>Quảng Ngãi</v>
      </c>
      <c r="AE695" s="6" t="str">
        <f t="shared" si="64"/>
        <v>Ring 1_An Phú-CAT Quảng Ngãi</v>
      </c>
      <c r="AG695">
        <f t="shared" si="65"/>
        <v>0.18559</v>
      </c>
      <c r="AH695">
        <f t="shared" si="66"/>
        <v>1.158E-2</v>
      </c>
    </row>
    <row r="696" spans="1:34" x14ac:dyDescent="0.25">
      <c r="A696" t="s">
        <v>6647</v>
      </c>
      <c r="B696" t="s">
        <v>6648</v>
      </c>
      <c r="C696" t="s">
        <v>6649</v>
      </c>
      <c r="D696" t="s">
        <v>6600</v>
      </c>
      <c r="E696" t="s">
        <v>6601</v>
      </c>
      <c r="F696" t="s">
        <v>6650</v>
      </c>
      <c r="G696" t="s">
        <v>15827</v>
      </c>
      <c r="H696" t="s">
        <v>16377</v>
      </c>
      <c r="I696" t="s">
        <v>16511</v>
      </c>
      <c r="J696" t="s">
        <v>23</v>
      </c>
      <c r="L696" t="s">
        <v>6603</v>
      </c>
      <c r="M696" t="s">
        <v>6651</v>
      </c>
      <c r="N696" t="s">
        <v>6652</v>
      </c>
      <c r="O696" t="s">
        <v>6653</v>
      </c>
      <c r="P696" t="s">
        <v>6654</v>
      </c>
      <c r="Q696" t="s">
        <v>6608</v>
      </c>
      <c r="R696" t="s">
        <v>6609</v>
      </c>
      <c r="S696" t="s">
        <v>6610</v>
      </c>
      <c r="T696" t="s">
        <v>6611</v>
      </c>
      <c r="U696" s="5">
        <v>338.94</v>
      </c>
      <c r="V696" s="5">
        <v>327.36</v>
      </c>
      <c r="W696" s="5">
        <v>15.127604</v>
      </c>
      <c r="X696" s="5">
        <v>108.869018</v>
      </c>
      <c r="Y696" s="5">
        <v>11.58</v>
      </c>
      <c r="Z696" s="5">
        <v>15.126735999999999</v>
      </c>
      <c r="AA696" s="5">
        <v>108.88436299999999</v>
      </c>
      <c r="AB696" s="7">
        <f t="shared" si="61"/>
        <v>0.49104000000000003</v>
      </c>
      <c r="AC696" s="7">
        <f t="shared" si="62"/>
        <v>1.737E-2</v>
      </c>
      <c r="AD696" s="6" t="str">
        <f t="shared" si="63"/>
        <v>Quảng Ngãi</v>
      </c>
      <c r="AE696" s="6" t="str">
        <f t="shared" si="64"/>
        <v>Ring 1_An Phú-CAT Quảng Ngãi</v>
      </c>
      <c r="AG696">
        <f t="shared" si="65"/>
        <v>0.32736000000000004</v>
      </c>
      <c r="AH696">
        <f t="shared" si="66"/>
        <v>1.158E-2</v>
      </c>
    </row>
    <row r="697" spans="1:34" x14ac:dyDescent="0.25">
      <c r="A697" t="s">
        <v>6655</v>
      </c>
      <c r="B697" t="s">
        <v>6656</v>
      </c>
      <c r="C697" t="s">
        <v>6657</v>
      </c>
      <c r="D697" t="s">
        <v>6658</v>
      </c>
      <c r="E697" t="s">
        <v>6659</v>
      </c>
      <c r="F697" t="s">
        <v>6660</v>
      </c>
      <c r="G697" t="s">
        <v>15827</v>
      </c>
      <c r="H697" t="s">
        <v>16377</v>
      </c>
      <c r="I697" t="s">
        <v>16512</v>
      </c>
      <c r="J697" t="s">
        <v>23</v>
      </c>
      <c r="L697" t="s">
        <v>5859</v>
      </c>
      <c r="M697" t="s">
        <v>6661</v>
      </c>
      <c r="N697" t="s">
        <v>6662</v>
      </c>
      <c r="O697" t="s">
        <v>6663</v>
      </c>
      <c r="P697" t="s">
        <v>6664</v>
      </c>
      <c r="Q697" t="s">
        <v>6665</v>
      </c>
      <c r="R697" t="s">
        <v>6666</v>
      </c>
      <c r="S697" t="s">
        <v>6667</v>
      </c>
      <c r="T697" t="s">
        <v>6423</v>
      </c>
      <c r="U697" s="5">
        <v>483.19</v>
      </c>
      <c r="V697" s="5">
        <v>443.89</v>
      </c>
      <c r="W697" s="5">
        <v>15.104867</v>
      </c>
      <c r="X697" s="5">
        <v>108.81532</v>
      </c>
      <c r="Y697" s="5">
        <v>39.299999999999997</v>
      </c>
      <c r="Z697" s="5">
        <v>15.099724</v>
      </c>
      <c r="AA697" s="5">
        <v>108.80691299999999</v>
      </c>
      <c r="AB697" s="7">
        <f t="shared" si="61"/>
        <v>0.66583500000000007</v>
      </c>
      <c r="AC697" s="7">
        <f t="shared" si="62"/>
        <v>5.8949999999999995E-2</v>
      </c>
      <c r="AD697" s="6" t="e">
        <f t="shared" si="63"/>
        <v>#VALUE!</v>
      </c>
      <c r="AE697" s="6" t="e">
        <f t="shared" si="64"/>
        <v>#VALUE!</v>
      </c>
      <c r="AG697">
        <f t="shared" si="65"/>
        <v>0.44389000000000001</v>
      </c>
      <c r="AH697">
        <f t="shared" si="66"/>
        <v>3.9299999999999995E-2</v>
      </c>
    </row>
    <row r="698" spans="1:34" x14ac:dyDescent="0.25">
      <c r="A698" t="s">
        <v>6668</v>
      </c>
      <c r="B698" t="s">
        <v>5788</v>
      </c>
      <c r="C698" t="s">
        <v>5789</v>
      </c>
      <c r="D698" t="s">
        <v>6658</v>
      </c>
      <c r="E698" t="s">
        <v>6659</v>
      </c>
      <c r="F698" t="s">
        <v>6669</v>
      </c>
      <c r="G698" t="s">
        <v>15979</v>
      </c>
      <c r="H698" t="s">
        <v>15980</v>
      </c>
      <c r="I698" t="s">
        <v>16513</v>
      </c>
      <c r="J698" t="s">
        <v>23</v>
      </c>
      <c r="L698" t="s">
        <v>5816</v>
      </c>
      <c r="M698" t="s">
        <v>6670</v>
      </c>
      <c r="N698" t="s">
        <v>5821</v>
      </c>
      <c r="O698" t="s">
        <v>5822</v>
      </c>
      <c r="P698" t="s">
        <v>5823</v>
      </c>
      <c r="Q698" t="s">
        <v>6671</v>
      </c>
      <c r="R698" t="s">
        <v>6672</v>
      </c>
      <c r="S698" t="s">
        <v>6673</v>
      </c>
      <c r="T698" t="s">
        <v>5824</v>
      </c>
      <c r="U698" s="5">
        <v>515.21</v>
      </c>
      <c r="V698" s="5">
        <v>47.39</v>
      </c>
      <c r="W698" s="5">
        <v>15.08394</v>
      </c>
      <c r="X698" s="5">
        <v>108.82642800000001</v>
      </c>
      <c r="Y698" s="5">
        <v>467.82</v>
      </c>
      <c r="Z698" s="5">
        <v>15.104257</v>
      </c>
      <c r="AA698" s="5">
        <v>108.807107</v>
      </c>
      <c r="AB698" s="7">
        <f t="shared" si="61"/>
        <v>7.1085000000000009E-2</v>
      </c>
      <c r="AC698" s="7">
        <f t="shared" si="62"/>
        <v>0.70172999999999996</v>
      </c>
      <c r="AD698" s="6" t="str">
        <f t="shared" si="63"/>
        <v>Cơ sở cai nghiện (X. Nghĩa Kỳ, H. Tư Nghĩa)</v>
      </c>
      <c r="AE698" s="6" t="str">
        <f t="shared" si="64"/>
        <v>TTCMKV Tư Nghĩa</v>
      </c>
      <c r="AG698">
        <f t="shared" si="65"/>
        <v>4.7390000000000002E-2</v>
      </c>
      <c r="AH698">
        <f t="shared" si="66"/>
        <v>0.46782000000000001</v>
      </c>
    </row>
    <row r="699" spans="1:34" x14ac:dyDescent="0.25">
      <c r="A699" t="s">
        <v>6674</v>
      </c>
      <c r="B699" t="s">
        <v>6658</v>
      </c>
      <c r="C699" t="s">
        <v>6659</v>
      </c>
      <c r="D699" t="s">
        <v>6392</v>
      </c>
      <c r="E699" t="s">
        <v>6393</v>
      </c>
      <c r="F699" t="s">
        <v>6675</v>
      </c>
      <c r="G699" t="s">
        <v>15979</v>
      </c>
      <c r="H699" t="s">
        <v>15980</v>
      </c>
      <c r="I699" t="s">
        <v>16514</v>
      </c>
      <c r="J699" t="s">
        <v>23</v>
      </c>
      <c r="L699" t="s">
        <v>6676</v>
      </c>
      <c r="M699" t="s">
        <v>6677</v>
      </c>
      <c r="N699" t="s">
        <v>6678</v>
      </c>
      <c r="O699" t="s">
        <v>6679</v>
      </c>
      <c r="P699" t="s">
        <v>6680</v>
      </c>
      <c r="Q699" t="s">
        <v>6681</v>
      </c>
      <c r="R699" t="s">
        <v>6682</v>
      </c>
      <c r="S699" t="s">
        <v>6683</v>
      </c>
      <c r="T699" t="s">
        <v>6684</v>
      </c>
      <c r="U699" s="5">
        <v>581.97</v>
      </c>
      <c r="V699" s="5">
        <v>49.13</v>
      </c>
      <c r="W699" s="5">
        <v>15.100458</v>
      </c>
      <c r="X699" s="5">
        <v>108.806602</v>
      </c>
      <c r="Y699" s="5">
        <v>532.84</v>
      </c>
      <c r="Z699" s="5">
        <v>15.113075</v>
      </c>
      <c r="AA699" s="5">
        <v>108.80313700000001</v>
      </c>
      <c r="AB699" s="7">
        <f t="shared" si="61"/>
        <v>7.369500000000001E-2</v>
      </c>
      <c r="AC699" s="7">
        <f t="shared" si="62"/>
        <v>0.79925999999999997</v>
      </c>
      <c r="AD699" s="6" t="str">
        <f t="shared" si="63"/>
        <v>PC08</v>
      </c>
      <c r="AE699" s="6" t="str">
        <f t="shared" si="64"/>
        <v>Khối Phòng PA08_PA05</v>
      </c>
      <c r="AG699">
        <f t="shared" si="65"/>
        <v>4.913E-2</v>
      </c>
      <c r="AH699">
        <f t="shared" si="66"/>
        <v>0.53283999999999998</v>
      </c>
    </row>
    <row r="700" spans="1:34" x14ac:dyDescent="0.25">
      <c r="A700" t="s">
        <v>6685</v>
      </c>
      <c r="B700" t="s">
        <v>6658</v>
      </c>
      <c r="C700" t="s">
        <v>6659</v>
      </c>
      <c r="D700" t="s">
        <v>6686</v>
      </c>
      <c r="E700" t="s">
        <v>6687</v>
      </c>
      <c r="F700" t="s">
        <v>6688</v>
      </c>
      <c r="G700" t="s">
        <v>15979</v>
      </c>
      <c r="H700" t="s">
        <v>15980</v>
      </c>
      <c r="I700" t="s">
        <v>16515</v>
      </c>
      <c r="J700" t="s">
        <v>23</v>
      </c>
      <c r="L700" t="s">
        <v>6676</v>
      </c>
      <c r="M700" t="s">
        <v>6689</v>
      </c>
      <c r="N700" t="s">
        <v>6678</v>
      </c>
      <c r="O700" t="s">
        <v>6679</v>
      </c>
      <c r="P700" t="s">
        <v>6680</v>
      </c>
      <c r="Q700" t="s">
        <v>6690</v>
      </c>
      <c r="R700" t="s">
        <v>6691</v>
      </c>
      <c r="S700" t="s">
        <v>6692</v>
      </c>
      <c r="T700" t="s">
        <v>6684</v>
      </c>
      <c r="U700" s="5">
        <v>90.92</v>
      </c>
      <c r="V700" s="5">
        <v>49.13</v>
      </c>
      <c r="W700" s="5">
        <v>15.100458</v>
      </c>
      <c r="X700" s="5">
        <v>108.806602</v>
      </c>
      <c r="Y700" s="5">
        <v>41.79</v>
      </c>
      <c r="Z700" s="5">
        <v>15.107366000000001</v>
      </c>
      <c r="AA700" s="5">
        <v>108.803161</v>
      </c>
      <c r="AB700" s="7">
        <f t="shared" si="61"/>
        <v>7.369500000000001E-2</v>
      </c>
      <c r="AC700" s="7">
        <f t="shared" si="62"/>
        <v>6.2685000000000005E-2</v>
      </c>
      <c r="AD700" s="6" t="str">
        <f t="shared" si="63"/>
        <v>PC08</v>
      </c>
      <c r="AE700" s="6" t="str">
        <f t="shared" si="64"/>
        <v>Khối Phòng PA08_PA05</v>
      </c>
      <c r="AG700">
        <f t="shared" si="65"/>
        <v>4.913E-2</v>
      </c>
      <c r="AH700">
        <f t="shared" si="66"/>
        <v>4.1790000000000001E-2</v>
      </c>
    </row>
    <row r="701" spans="1:34" x14ac:dyDescent="0.25">
      <c r="A701" t="s">
        <v>6693</v>
      </c>
      <c r="B701" t="s">
        <v>6425</v>
      </c>
      <c r="C701" t="s">
        <v>6426</v>
      </c>
      <c r="D701" t="s">
        <v>6694</v>
      </c>
      <c r="E701" t="s">
        <v>6695</v>
      </c>
      <c r="F701" t="s">
        <v>6696</v>
      </c>
      <c r="G701" t="s">
        <v>15827</v>
      </c>
      <c r="H701" t="s">
        <v>15831</v>
      </c>
      <c r="I701" t="s">
        <v>16516</v>
      </c>
      <c r="J701" t="s">
        <v>23</v>
      </c>
      <c r="L701" t="s">
        <v>6622</v>
      </c>
      <c r="M701" t="s">
        <v>3803</v>
      </c>
      <c r="N701" t="s">
        <v>6697</v>
      </c>
      <c r="O701" t="s">
        <v>6698</v>
      </c>
      <c r="P701" t="s">
        <v>6699</v>
      </c>
      <c r="Q701" t="s">
        <v>6700</v>
      </c>
      <c r="R701" t="s">
        <v>6701</v>
      </c>
      <c r="S701" t="s">
        <v>6702</v>
      </c>
      <c r="T701" t="s">
        <v>6703</v>
      </c>
      <c r="U701" s="5">
        <v>799.29</v>
      </c>
      <c r="V701" s="5">
        <v>443.88</v>
      </c>
      <c r="W701" s="5">
        <v>15.119071</v>
      </c>
      <c r="X701" s="5">
        <v>108.82515100000001</v>
      </c>
      <c r="Y701" s="5">
        <v>355.41</v>
      </c>
      <c r="Z701" s="5">
        <v>15.12162</v>
      </c>
      <c r="AA701" s="5">
        <v>108.83467400000001</v>
      </c>
      <c r="AB701" s="7">
        <f t="shared" si="61"/>
        <v>0.66581999999999997</v>
      </c>
      <c r="AC701" s="7">
        <f t="shared" si="62"/>
        <v>0.53311500000000001</v>
      </c>
      <c r="AD701" s="6" t="str">
        <f t="shared" si="63"/>
        <v>Quảng Ngãi</v>
      </c>
      <c r="AE701" s="6" t="str">
        <f t="shared" si="64"/>
        <v>Ring 1_Tịnh Khê - An Phú</v>
      </c>
      <c r="AG701">
        <f t="shared" si="65"/>
        <v>0.44388</v>
      </c>
      <c r="AH701">
        <f t="shared" si="66"/>
        <v>0.35541</v>
      </c>
    </row>
    <row r="702" spans="1:34" x14ac:dyDescent="0.25">
      <c r="A702" t="s">
        <v>6704</v>
      </c>
      <c r="B702" t="s">
        <v>6705</v>
      </c>
      <c r="C702" t="s">
        <v>6706</v>
      </c>
      <c r="D702" t="s">
        <v>6425</v>
      </c>
      <c r="E702" t="s">
        <v>6426</v>
      </c>
      <c r="F702" t="s">
        <v>6707</v>
      </c>
      <c r="G702" t="s">
        <v>15979</v>
      </c>
      <c r="H702" t="s">
        <v>15980</v>
      </c>
      <c r="I702" t="s">
        <v>16517</v>
      </c>
      <c r="J702" t="s">
        <v>23</v>
      </c>
      <c r="L702" t="s">
        <v>6622</v>
      </c>
      <c r="M702" t="s">
        <v>6708</v>
      </c>
      <c r="N702" t="s">
        <v>6709</v>
      </c>
      <c r="O702" t="s">
        <v>6710</v>
      </c>
      <c r="P702" t="s">
        <v>6711</v>
      </c>
      <c r="Q702" t="s">
        <v>6697</v>
      </c>
      <c r="R702" t="s">
        <v>6698</v>
      </c>
      <c r="S702" t="s">
        <v>6699</v>
      </c>
      <c r="T702" t="s">
        <v>6703</v>
      </c>
      <c r="U702" s="5">
        <v>589.25</v>
      </c>
      <c r="V702" s="5">
        <v>145.37</v>
      </c>
      <c r="W702" s="5">
        <v>15.132324000000001</v>
      </c>
      <c r="X702" s="5">
        <v>108.842215</v>
      </c>
      <c r="Y702" s="5">
        <v>443.88</v>
      </c>
      <c r="Z702" s="5">
        <v>15.119071</v>
      </c>
      <c r="AA702" s="5">
        <v>108.82515100000001</v>
      </c>
      <c r="AB702" s="7">
        <f t="shared" si="61"/>
        <v>0.218055</v>
      </c>
      <c r="AC702" s="7">
        <f t="shared" si="62"/>
        <v>0.66581999999999997</v>
      </c>
      <c r="AD702" s="6" t="str">
        <f t="shared" si="63"/>
        <v>Quảng Ngãi</v>
      </c>
      <c r="AE702" s="6" t="str">
        <f t="shared" si="64"/>
        <v>Ring 1_Tịnh Khê - An Phú</v>
      </c>
      <c r="AG702">
        <f t="shared" si="65"/>
        <v>0.14537</v>
      </c>
      <c r="AH702">
        <f t="shared" si="66"/>
        <v>0.44388</v>
      </c>
    </row>
    <row r="703" spans="1:34" x14ac:dyDescent="0.25">
      <c r="A703" t="s">
        <v>6712</v>
      </c>
      <c r="B703" t="s">
        <v>6713</v>
      </c>
      <c r="C703" t="s">
        <v>6714</v>
      </c>
      <c r="D703" t="s">
        <v>6571</v>
      </c>
      <c r="E703" t="s">
        <v>6572</v>
      </c>
      <c r="F703" t="s">
        <v>6715</v>
      </c>
      <c r="G703" t="s">
        <v>15827</v>
      </c>
      <c r="H703" t="s">
        <v>16377</v>
      </c>
      <c r="I703" t="s">
        <v>16518</v>
      </c>
      <c r="J703" t="s">
        <v>23</v>
      </c>
      <c r="L703" t="s">
        <v>6716</v>
      </c>
      <c r="M703" t="s">
        <v>6717</v>
      </c>
      <c r="N703" t="s">
        <v>6718</v>
      </c>
      <c r="O703" t="s">
        <v>6719</v>
      </c>
      <c r="P703" t="s">
        <v>6720</v>
      </c>
      <c r="Q703" t="s">
        <v>6721</v>
      </c>
      <c r="R703" t="s">
        <v>6722</v>
      </c>
      <c r="S703" t="s">
        <v>6723</v>
      </c>
      <c r="T703" t="s">
        <v>6724</v>
      </c>
      <c r="U703" s="5">
        <v>78.84</v>
      </c>
      <c r="V703" s="5">
        <v>65.989999999999995</v>
      </c>
      <c r="W703" s="5">
        <v>15.12265</v>
      </c>
      <c r="X703" s="5">
        <v>108.800957</v>
      </c>
      <c r="Y703" s="5">
        <v>12.86</v>
      </c>
      <c r="Z703" s="5">
        <v>15.120733</v>
      </c>
      <c r="AA703" s="5">
        <v>108.79877999999999</v>
      </c>
      <c r="AB703" s="7">
        <f t="shared" si="61"/>
        <v>9.898499999999999E-2</v>
      </c>
      <c r="AC703" s="7">
        <f t="shared" si="62"/>
        <v>1.9289999999999998E-2</v>
      </c>
      <c r="AD703" s="6" t="str">
        <f t="shared" si="63"/>
        <v>PA03</v>
      </c>
      <c r="AE703" s="6" t="str">
        <f t="shared" si="64"/>
        <v>PC03</v>
      </c>
      <c r="AG703">
        <f t="shared" si="65"/>
        <v>6.5989999999999993E-2</v>
      </c>
      <c r="AH703">
        <f t="shared" si="66"/>
        <v>1.286E-2</v>
      </c>
    </row>
    <row r="704" spans="1:34" x14ac:dyDescent="0.25">
      <c r="A704" t="s">
        <v>6725</v>
      </c>
      <c r="B704" t="s">
        <v>6571</v>
      </c>
      <c r="C704" t="s">
        <v>6572</v>
      </c>
      <c r="D704" t="s">
        <v>5403</v>
      </c>
      <c r="E704" t="s">
        <v>5404</v>
      </c>
      <c r="F704" t="s">
        <v>6726</v>
      </c>
      <c r="G704" t="s">
        <v>15979</v>
      </c>
      <c r="H704" t="s">
        <v>15980</v>
      </c>
      <c r="I704" t="s">
        <v>16519</v>
      </c>
      <c r="J704" t="s">
        <v>23</v>
      </c>
      <c r="L704" t="s">
        <v>5318</v>
      </c>
      <c r="M704" t="s">
        <v>6727</v>
      </c>
      <c r="N704" t="s">
        <v>6728</v>
      </c>
      <c r="O704" t="s">
        <v>6729</v>
      </c>
      <c r="P704" t="s">
        <v>6730</v>
      </c>
      <c r="Q704" t="s">
        <v>6731</v>
      </c>
      <c r="R704" t="s">
        <v>6732</v>
      </c>
      <c r="S704" t="s">
        <v>6733</v>
      </c>
      <c r="T704" t="s">
        <v>6734</v>
      </c>
      <c r="U704" s="5">
        <v>1026.17</v>
      </c>
      <c r="V704" s="5">
        <v>926.76</v>
      </c>
      <c r="W704" s="5">
        <v>15.128491</v>
      </c>
      <c r="X704" s="5">
        <v>108.795727</v>
      </c>
      <c r="Y704" s="5">
        <v>99.41</v>
      </c>
      <c r="Z704" s="5">
        <v>15.132609</v>
      </c>
      <c r="AA704" s="5">
        <v>108.796115</v>
      </c>
      <c r="AB704" s="7">
        <f t="shared" si="61"/>
        <v>1.3901399999999999</v>
      </c>
      <c r="AC704" s="7">
        <f t="shared" si="62"/>
        <v>0.149115</v>
      </c>
      <c r="AD704" s="6" t="e">
        <f t="shared" si="63"/>
        <v>#VALUE!</v>
      </c>
      <c r="AE704" s="6" t="e">
        <f t="shared" si="64"/>
        <v>#VALUE!</v>
      </c>
      <c r="AG704">
        <f t="shared" si="65"/>
        <v>0.92676000000000003</v>
      </c>
      <c r="AH704">
        <f t="shared" si="66"/>
        <v>9.9409999999999998E-2</v>
      </c>
    </row>
    <row r="705" spans="1:34" x14ac:dyDescent="0.25">
      <c r="A705" t="s">
        <v>6735</v>
      </c>
      <c r="B705" t="s">
        <v>5419</v>
      </c>
      <c r="C705" t="s">
        <v>6736</v>
      </c>
      <c r="D705" t="s">
        <v>6579</v>
      </c>
      <c r="E705" t="s">
        <v>6580</v>
      </c>
      <c r="F705" t="s">
        <v>6737</v>
      </c>
      <c r="G705" t="s">
        <v>15827</v>
      </c>
      <c r="H705" t="s">
        <v>16377</v>
      </c>
      <c r="I705" t="s">
        <v>16520</v>
      </c>
      <c r="J705" t="s">
        <v>23</v>
      </c>
      <c r="L705" t="s">
        <v>5859</v>
      </c>
      <c r="M705" t="s">
        <v>6738</v>
      </c>
      <c r="N705" t="s">
        <v>6739</v>
      </c>
      <c r="O705" t="s">
        <v>6740</v>
      </c>
      <c r="P705" t="s">
        <v>6741</v>
      </c>
      <c r="Q705" t="s">
        <v>6585</v>
      </c>
      <c r="R705" t="s">
        <v>6421</v>
      </c>
      <c r="S705" t="s">
        <v>6422</v>
      </c>
      <c r="T705" t="s">
        <v>6423</v>
      </c>
      <c r="U705" s="5">
        <v>587.94000000000005</v>
      </c>
      <c r="V705" s="5">
        <v>361.53</v>
      </c>
      <c r="W705" s="5">
        <v>15.112512000000001</v>
      </c>
      <c r="X705" s="5">
        <v>108.817047</v>
      </c>
      <c r="Y705" s="5">
        <v>226.41</v>
      </c>
      <c r="Z705" s="5">
        <v>15.122006000000001</v>
      </c>
      <c r="AA705" s="5">
        <v>108.814892</v>
      </c>
      <c r="AB705" s="7">
        <f t="shared" si="61"/>
        <v>0.54229499999999997</v>
      </c>
      <c r="AC705" s="7">
        <f t="shared" si="62"/>
        <v>0.339615</v>
      </c>
      <c r="AD705" s="6" t="e">
        <f t="shared" si="63"/>
        <v>#VALUE!</v>
      </c>
      <c r="AE705" s="6" t="e">
        <f t="shared" si="64"/>
        <v>#VALUE!</v>
      </c>
      <c r="AG705">
        <f t="shared" si="65"/>
        <v>0.36152999999999996</v>
      </c>
      <c r="AH705">
        <f t="shared" si="66"/>
        <v>0.22641</v>
      </c>
    </row>
    <row r="706" spans="1:34" x14ac:dyDescent="0.25">
      <c r="A706" t="s">
        <v>6742</v>
      </c>
      <c r="B706" t="s">
        <v>5788</v>
      </c>
      <c r="C706" t="s">
        <v>5789</v>
      </c>
      <c r="D706" t="s">
        <v>6579</v>
      </c>
      <c r="E706" t="s">
        <v>6580</v>
      </c>
      <c r="F706" t="s">
        <v>6743</v>
      </c>
      <c r="G706" t="s">
        <v>15979</v>
      </c>
      <c r="H706" t="s">
        <v>15980</v>
      </c>
      <c r="I706" t="s">
        <v>16521</v>
      </c>
      <c r="J706" t="s">
        <v>23</v>
      </c>
      <c r="L706" t="s">
        <v>5803</v>
      </c>
      <c r="M706" t="s">
        <v>6744</v>
      </c>
      <c r="N706" t="s">
        <v>5808</v>
      </c>
      <c r="O706" t="s">
        <v>5809</v>
      </c>
      <c r="P706" t="s">
        <v>5810</v>
      </c>
      <c r="Q706" t="s">
        <v>6745</v>
      </c>
      <c r="R706" t="s">
        <v>6746</v>
      </c>
      <c r="S706" t="s">
        <v>6747</v>
      </c>
      <c r="T706" t="s">
        <v>5811</v>
      </c>
      <c r="U706" s="5">
        <v>971.37</v>
      </c>
      <c r="V706" s="5">
        <v>345.03</v>
      </c>
      <c r="W706" s="5">
        <v>15.085029</v>
      </c>
      <c r="X706" s="5">
        <v>108.829308</v>
      </c>
      <c r="Y706" s="5">
        <v>626.34</v>
      </c>
      <c r="Z706" s="5">
        <v>15.116374</v>
      </c>
      <c r="AA706" s="5">
        <v>108.816103</v>
      </c>
      <c r="AB706" s="7">
        <f t="shared" si="61"/>
        <v>0.51754499999999992</v>
      </c>
      <c r="AC706" s="7">
        <f t="shared" si="62"/>
        <v>0.93950999999999996</v>
      </c>
      <c r="AD706" s="6" t="str">
        <f t="shared" si="63"/>
        <v>Vệ Giang</v>
      </c>
      <c r="AE706" s="6" t="str">
        <f t="shared" si="64"/>
        <v>Cẩm Thành</v>
      </c>
      <c r="AG706">
        <f t="shared" si="65"/>
        <v>0.34502999999999995</v>
      </c>
      <c r="AH706">
        <f t="shared" si="66"/>
        <v>0.62634000000000001</v>
      </c>
    </row>
    <row r="707" spans="1:34" x14ac:dyDescent="0.25">
      <c r="A707" t="s">
        <v>6748</v>
      </c>
      <c r="B707" t="s">
        <v>6464</v>
      </c>
      <c r="C707" t="s">
        <v>6465</v>
      </c>
      <c r="D707" t="s">
        <v>5403</v>
      </c>
      <c r="E707" t="s">
        <v>5404</v>
      </c>
      <c r="F707" t="s">
        <v>6749</v>
      </c>
      <c r="G707" t="s">
        <v>15827</v>
      </c>
      <c r="H707" t="s">
        <v>15831</v>
      </c>
      <c r="I707" t="s">
        <v>16522</v>
      </c>
      <c r="J707" t="s">
        <v>23</v>
      </c>
      <c r="L707" t="s">
        <v>5318</v>
      </c>
      <c r="M707" t="s">
        <v>6750</v>
      </c>
      <c r="N707" t="s">
        <v>6751</v>
      </c>
      <c r="O707" t="s">
        <v>6729</v>
      </c>
      <c r="P707" t="s">
        <v>6730</v>
      </c>
      <c r="Q707" t="s">
        <v>6731</v>
      </c>
      <c r="R707" t="s">
        <v>6732</v>
      </c>
      <c r="S707" t="s">
        <v>6733</v>
      </c>
      <c r="T707" t="s">
        <v>6734</v>
      </c>
      <c r="U707" s="5">
        <v>147.31</v>
      </c>
      <c r="V707" s="5">
        <v>47.91</v>
      </c>
      <c r="W707" s="5">
        <v>15.128491</v>
      </c>
      <c r="X707" s="5">
        <v>108.795727</v>
      </c>
      <c r="Y707" s="5">
        <v>99.41</v>
      </c>
      <c r="Z707" s="5">
        <v>15.132609</v>
      </c>
      <c r="AA707" s="5">
        <v>108.796115</v>
      </c>
      <c r="AB707" s="7">
        <f t="shared" ref="AB707:AB770" si="67">V707*1.5/1000</f>
        <v>7.1864999999999998E-2</v>
      </c>
      <c r="AC707" s="7">
        <f t="shared" ref="AC707:AC770" si="68">Y707*1.5/1000</f>
        <v>0.149115</v>
      </c>
      <c r="AD707" s="6" t="e">
        <f t="shared" ref="AD707:AD770" si="69">TRIM(LEFT(L707,FIND("-",L707)-1))</f>
        <v>#VALUE!</v>
      </c>
      <c r="AE707" s="6" t="e">
        <f t="shared" ref="AE707:AE770" si="70">TRIM(RIGHT(L707, LEN(L707) - FIND("-", L707)))</f>
        <v>#VALUE!</v>
      </c>
      <c r="AG707">
        <f t="shared" ref="AG707:AG770" si="71">V707/1000</f>
        <v>4.7909999999999994E-2</v>
      </c>
      <c r="AH707">
        <f t="shared" ref="AH707:AH770" si="72">Y707/1000</f>
        <v>9.9409999999999998E-2</v>
      </c>
    </row>
    <row r="708" spans="1:34" x14ac:dyDescent="0.25">
      <c r="A708" t="s">
        <v>6752</v>
      </c>
      <c r="B708" t="s">
        <v>6753</v>
      </c>
      <c r="C708" t="s">
        <v>6754</v>
      </c>
      <c r="D708" t="s">
        <v>6755</v>
      </c>
      <c r="E708" t="s">
        <v>6756</v>
      </c>
      <c r="F708" t="s">
        <v>6757</v>
      </c>
      <c r="G708" t="s">
        <v>15827</v>
      </c>
      <c r="H708" t="s">
        <v>15831</v>
      </c>
      <c r="I708" t="s">
        <v>16523</v>
      </c>
      <c r="J708" t="s">
        <v>23</v>
      </c>
      <c r="L708" t="s">
        <v>5897</v>
      </c>
      <c r="M708" t="s">
        <v>6758</v>
      </c>
      <c r="N708" t="s">
        <v>6759</v>
      </c>
      <c r="O708" t="s">
        <v>6760</v>
      </c>
      <c r="P708" t="s">
        <v>6761</v>
      </c>
      <c r="Q708" t="s">
        <v>6762</v>
      </c>
      <c r="R708" t="s">
        <v>6763</v>
      </c>
      <c r="S708" t="s">
        <v>6764</v>
      </c>
      <c r="T708" t="s">
        <v>5905</v>
      </c>
      <c r="U708" s="5">
        <v>127.32</v>
      </c>
      <c r="V708" s="5">
        <v>52.8</v>
      </c>
      <c r="W708" s="5">
        <v>15.200165999999999</v>
      </c>
      <c r="X708" s="5">
        <v>108.83606</v>
      </c>
      <c r="Y708" s="5">
        <v>74.52</v>
      </c>
      <c r="Z708" s="5">
        <v>15.182302999999999</v>
      </c>
      <c r="AA708" s="5">
        <v>108.85267899999999</v>
      </c>
      <c r="AB708" s="7">
        <f t="shared" si="67"/>
        <v>7.9199999999999993E-2</v>
      </c>
      <c r="AC708" s="7">
        <f t="shared" si="68"/>
        <v>0.11178</v>
      </c>
      <c r="AD708" s="6" t="str">
        <f t="shared" si="69"/>
        <v>Quảng Ngãi</v>
      </c>
      <c r="AE708" s="6" t="str">
        <f t="shared" si="70"/>
        <v>Ring 1_Đông Sơn - Tịnh Khê</v>
      </c>
      <c r="AG708">
        <f t="shared" si="71"/>
        <v>5.28E-2</v>
      </c>
      <c r="AH708">
        <f t="shared" si="72"/>
        <v>7.4520000000000003E-2</v>
      </c>
    </row>
    <row r="709" spans="1:34" x14ac:dyDescent="0.25">
      <c r="A709" t="s">
        <v>6765</v>
      </c>
      <c r="B709" t="s">
        <v>6755</v>
      </c>
      <c r="C709" t="s">
        <v>6756</v>
      </c>
      <c r="D709" t="s">
        <v>5936</v>
      </c>
      <c r="E709" t="s">
        <v>5937</v>
      </c>
      <c r="F709" t="s">
        <v>6766</v>
      </c>
      <c r="G709" t="s">
        <v>15827</v>
      </c>
      <c r="H709" t="s">
        <v>15831</v>
      </c>
      <c r="I709" t="s">
        <v>16524</v>
      </c>
      <c r="J709" t="s">
        <v>23</v>
      </c>
      <c r="L709" t="s">
        <v>5939</v>
      </c>
      <c r="M709" t="s">
        <v>6767</v>
      </c>
      <c r="N709" t="s">
        <v>6768</v>
      </c>
      <c r="O709" t="s">
        <v>6769</v>
      </c>
      <c r="P709" t="s">
        <v>6770</v>
      </c>
      <c r="Q709" t="s">
        <v>5944</v>
      </c>
      <c r="R709" t="s">
        <v>5945</v>
      </c>
      <c r="S709" t="s">
        <v>5946</v>
      </c>
      <c r="T709" t="s">
        <v>5947</v>
      </c>
      <c r="U709" s="5">
        <v>1869.73</v>
      </c>
      <c r="V709" s="5">
        <v>148.51</v>
      </c>
      <c r="W709" s="5">
        <v>15.181642999999999</v>
      </c>
      <c r="X709" s="5">
        <v>108.852451</v>
      </c>
      <c r="Y709" s="5">
        <v>1721.22</v>
      </c>
      <c r="Z709" s="5">
        <v>15.189964</v>
      </c>
      <c r="AA709" s="5">
        <v>108.869676</v>
      </c>
      <c r="AB709" s="7">
        <f t="shared" si="67"/>
        <v>0.22276499999999999</v>
      </c>
      <c r="AC709" s="7">
        <f t="shared" si="68"/>
        <v>2.5818300000000001</v>
      </c>
      <c r="AD709" s="6" t="str">
        <f t="shared" si="69"/>
        <v>Đội CSGT Đường Thuỷ</v>
      </c>
      <c r="AE709" s="6" t="str">
        <f t="shared" si="70"/>
        <v>PC08</v>
      </c>
      <c r="AG709">
        <f t="shared" si="71"/>
        <v>0.14851</v>
      </c>
      <c r="AH709">
        <f t="shared" si="72"/>
        <v>1.72122</v>
      </c>
    </row>
    <row r="710" spans="1:34" x14ac:dyDescent="0.25">
      <c r="A710" t="s">
        <v>6771</v>
      </c>
      <c r="B710" t="s">
        <v>6772</v>
      </c>
      <c r="C710" t="s">
        <v>6773</v>
      </c>
      <c r="D710" t="s">
        <v>6755</v>
      </c>
      <c r="E710" t="s">
        <v>6756</v>
      </c>
      <c r="F710" t="s">
        <v>6774</v>
      </c>
      <c r="G710" t="s">
        <v>15979</v>
      </c>
      <c r="H710" t="s">
        <v>15980</v>
      </c>
      <c r="I710" t="s">
        <v>16525</v>
      </c>
      <c r="J710" t="s">
        <v>23</v>
      </c>
      <c r="L710" t="s">
        <v>5897</v>
      </c>
      <c r="M710" t="s">
        <v>6775</v>
      </c>
      <c r="N710" t="s">
        <v>6776</v>
      </c>
      <c r="O710" t="s">
        <v>6777</v>
      </c>
      <c r="P710" t="s">
        <v>6778</v>
      </c>
      <c r="Q710" t="s">
        <v>6762</v>
      </c>
      <c r="R710" t="s">
        <v>6763</v>
      </c>
      <c r="S710" t="s">
        <v>6764</v>
      </c>
      <c r="T710" t="s">
        <v>5905</v>
      </c>
      <c r="U710" s="5">
        <v>918.81</v>
      </c>
      <c r="V710" s="5">
        <v>844.29</v>
      </c>
      <c r="W710" s="5">
        <v>15.19181</v>
      </c>
      <c r="X710" s="5">
        <v>108.841418</v>
      </c>
      <c r="Y710" s="5">
        <v>74.52</v>
      </c>
      <c r="Z710" s="5">
        <v>15.182302999999999</v>
      </c>
      <c r="AA710" s="5">
        <v>108.85267899999999</v>
      </c>
      <c r="AB710" s="7">
        <f t="shared" si="67"/>
        <v>1.266435</v>
      </c>
      <c r="AC710" s="7">
        <f t="shared" si="68"/>
        <v>0.11178</v>
      </c>
      <c r="AD710" s="6" t="str">
        <f t="shared" si="69"/>
        <v>Quảng Ngãi</v>
      </c>
      <c r="AE710" s="6" t="str">
        <f t="shared" si="70"/>
        <v>Ring 1_Đông Sơn - Tịnh Khê</v>
      </c>
      <c r="AG710">
        <f t="shared" si="71"/>
        <v>0.84428999999999998</v>
      </c>
      <c r="AH710">
        <f t="shared" si="72"/>
        <v>7.4520000000000003E-2</v>
      </c>
    </row>
    <row r="711" spans="1:34" x14ac:dyDescent="0.25">
      <c r="A711" t="s">
        <v>6779</v>
      </c>
      <c r="B711" t="s">
        <v>6780</v>
      </c>
      <c r="C711" t="s">
        <v>6781</v>
      </c>
      <c r="D711" t="s">
        <v>6782</v>
      </c>
      <c r="E711" t="s">
        <v>6783</v>
      </c>
      <c r="F711" t="s">
        <v>6784</v>
      </c>
      <c r="G711" t="s">
        <v>15827</v>
      </c>
      <c r="H711" t="s">
        <v>15831</v>
      </c>
      <c r="I711" t="s">
        <v>16526</v>
      </c>
      <c r="J711" t="s">
        <v>23</v>
      </c>
      <c r="L711" t="s">
        <v>6785</v>
      </c>
      <c r="M711" t="s">
        <v>6786</v>
      </c>
      <c r="N711" t="s">
        <v>6787</v>
      </c>
      <c r="O711" t="s">
        <v>6788</v>
      </c>
      <c r="P711" t="s">
        <v>6789</v>
      </c>
      <c r="Q711" t="s">
        <v>6790</v>
      </c>
      <c r="R711" t="s">
        <v>6791</v>
      </c>
      <c r="S711" t="s">
        <v>6792</v>
      </c>
      <c r="T711" t="s">
        <v>6793</v>
      </c>
      <c r="U711" s="5">
        <v>721.72</v>
      </c>
      <c r="V711" s="5">
        <v>192.61</v>
      </c>
      <c r="W711" s="5">
        <v>15.151139000000001</v>
      </c>
      <c r="X711" s="5">
        <v>108.787036</v>
      </c>
      <c r="Y711" s="5">
        <v>529.11</v>
      </c>
      <c r="Z711" s="5">
        <v>15.150714000000001</v>
      </c>
      <c r="AA711" s="5">
        <v>108.79671999999999</v>
      </c>
      <c r="AB711" s="7">
        <f t="shared" si="67"/>
        <v>0.28891500000000003</v>
      </c>
      <c r="AC711" s="7">
        <f t="shared" si="68"/>
        <v>0.79366499999999995</v>
      </c>
      <c r="AD711" s="6" t="str">
        <f t="shared" si="69"/>
        <v>PC10</v>
      </c>
      <c r="AE711" s="6" t="str">
        <f t="shared" si="70"/>
        <v>PA06</v>
      </c>
      <c r="AG711">
        <f t="shared" si="71"/>
        <v>0.19261</v>
      </c>
      <c r="AH711">
        <f t="shared" si="72"/>
        <v>0.52910999999999997</v>
      </c>
    </row>
    <row r="712" spans="1:34" x14ac:dyDescent="0.25">
      <c r="A712" t="s">
        <v>6794</v>
      </c>
      <c r="B712" t="s">
        <v>6782</v>
      </c>
      <c r="C712" t="s">
        <v>6783</v>
      </c>
      <c r="D712" t="s">
        <v>5315</v>
      </c>
      <c r="E712" t="s">
        <v>5316</v>
      </c>
      <c r="F712" t="s">
        <v>6795</v>
      </c>
      <c r="G712" t="s">
        <v>15827</v>
      </c>
      <c r="H712" t="s">
        <v>15831</v>
      </c>
      <c r="I712" t="s">
        <v>16527</v>
      </c>
      <c r="J712" t="s">
        <v>23</v>
      </c>
      <c r="L712" t="s">
        <v>5726</v>
      </c>
      <c r="M712" t="s">
        <v>6796</v>
      </c>
      <c r="N712" t="s">
        <v>6797</v>
      </c>
      <c r="O712" t="s">
        <v>6798</v>
      </c>
      <c r="P712" t="s">
        <v>6799</v>
      </c>
      <c r="Q712" t="s">
        <v>5323</v>
      </c>
      <c r="R712" t="s">
        <v>5324</v>
      </c>
      <c r="S712" t="s">
        <v>5325</v>
      </c>
      <c r="T712" t="s">
        <v>6800</v>
      </c>
      <c r="U712" s="5">
        <v>209.25</v>
      </c>
      <c r="V712" s="5">
        <v>98.68</v>
      </c>
      <c r="W712" s="5">
        <v>15.156207999999999</v>
      </c>
      <c r="X712" s="5">
        <v>108.7974</v>
      </c>
      <c r="Y712" s="5">
        <v>110.57</v>
      </c>
      <c r="Z712" s="5">
        <v>15.201007000000001</v>
      </c>
      <c r="AA712" s="5">
        <v>108.78958</v>
      </c>
      <c r="AB712" s="7">
        <f t="shared" si="67"/>
        <v>0.14802000000000001</v>
      </c>
      <c r="AC712" s="7">
        <f t="shared" si="68"/>
        <v>0.165855</v>
      </c>
      <c r="AD712" s="6" t="str">
        <f t="shared" si="69"/>
        <v>Bình Sơn</v>
      </c>
      <c r="AE712" s="6" t="str">
        <f t="shared" si="70"/>
        <v>TT1 Quảng Ngãi</v>
      </c>
      <c r="AG712">
        <f t="shared" si="71"/>
        <v>9.8680000000000004E-2</v>
      </c>
      <c r="AH712">
        <f t="shared" si="72"/>
        <v>0.11056999999999999</v>
      </c>
    </row>
    <row r="713" spans="1:34" x14ac:dyDescent="0.25">
      <c r="A713" t="s">
        <v>6801</v>
      </c>
      <c r="B713" t="s">
        <v>5341</v>
      </c>
      <c r="C713" t="s">
        <v>5342</v>
      </c>
      <c r="D713" t="s">
        <v>6802</v>
      </c>
      <c r="E713" t="s">
        <v>6803</v>
      </c>
      <c r="F713" t="s">
        <v>6804</v>
      </c>
      <c r="G713" t="s">
        <v>15827</v>
      </c>
      <c r="H713" t="s">
        <v>15831</v>
      </c>
      <c r="I713" t="s">
        <v>16528</v>
      </c>
      <c r="J713" t="s">
        <v>23</v>
      </c>
      <c r="L713" t="s">
        <v>6785</v>
      </c>
      <c r="M713" t="s">
        <v>6805</v>
      </c>
      <c r="N713" t="s">
        <v>6806</v>
      </c>
      <c r="O713" t="s">
        <v>6807</v>
      </c>
      <c r="P713" t="s">
        <v>6808</v>
      </c>
      <c r="Q713" t="s">
        <v>6809</v>
      </c>
      <c r="R713" t="s">
        <v>6810</v>
      </c>
      <c r="S713" t="s">
        <v>6811</v>
      </c>
      <c r="T713" t="s">
        <v>6793</v>
      </c>
      <c r="U713" s="5">
        <v>1549.89</v>
      </c>
      <c r="V713" s="5">
        <v>1518.7</v>
      </c>
      <c r="W713" s="5">
        <v>15.151586</v>
      </c>
      <c r="X713" s="5">
        <v>108.77870900000001</v>
      </c>
      <c r="Y713" s="5">
        <v>31.19</v>
      </c>
      <c r="Z713" s="5">
        <v>15.148739000000001</v>
      </c>
      <c r="AA713" s="5">
        <v>108.797346</v>
      </c>
      <c r="AB713" s="7">
        <f t="shared" si="67"/>
        <v>2.2780500000000004</v>
      </c>
      <c r="AC713" s="7">
        <f t="shared" si="68"/>
        <v>4.6785000000000007E-2</v>
      </c>
      <c r="AD713" s="6" t="str">
        <f t="shared" si="69"/>
        <v>PC10</v>
      </c>
      <c r="AE713" s="6" t="str">
        <f t="shared" si="70"/>
        <v>PA06</v>
      </c>
      <c r="AG713">
        <f t="shared" si="71"/>
        <v>1.5186999999999999</v>
      </c>
      <c r="AH713">
        <f t="shared" si="72"/>
        <v>3.1190000000000002E-2</v>
      </c>
    </row>
    <row r="714" spans="1:34" x14ac:dyDescent="0.25">
      <c r="A714" t="s">
        <v>6812</v>
      </c>
      <c r="B714" t="s">
        <v>6802</v>
      </c>
      <c r="C714" t="s">
        <v>6803</v>
      </c>
      <c r="D714" t="s">
        <v>6813</v>
      </c>
      <c r="E714" t="s">
        <v>6814</v>
      </c>
      <c r="F714" t="s">
        <v>6815</v>
      </c>
      <c r="G714" t="s">
        <v>15827</v>
      </c>
      <c r="H714" t="s">
        <v>15831</v>
      </c>
      <c r="I714" t="s">
        <v>16529</v>
      </c>
      <c r="J714" t="s">
        <v>23</v>
      </c>
      <c r="L714" t="s">
        <v>5726</v>
      </c>
      <c r="M714" t="s">
        <v>6816</v>
      </c>
      <c r="N714" t="s">
        <v>6817</v>
      </c>
      <c r="O714" t="s">
        <v>6818</v>
      </c>
      <c r="P714" t="s">
        <v>6819</v>
      </c>
      <c r="Q714" t="s">
        <v>6820</v>
      </c>
      <c r="R714" t="s">
        <v>6821</v>
      </c>
      <c r="S714" t="s">
        <v>6822</v>
      </c>
      <c r="T714" t="s">
        <v>6800</v>
      </c>
      <c r="U714" s="5">
        <v>871.29</v>
      </c>
      <c r="V714" s="5">
        <v>244.9</v>
      </c>
      <c r="W714" s="5">
        <v>15.146458000000001</v>
      </c>
      <c r="X714" s="5">
        <v>108.797673</v>
      </c>
      <c r="Y714" s="5">
        <v>626.39</v>
      </c>
      <c r="Z714" s="5">
        <v>15.17798</v>
      </c>
      <c r="AA714" s="5">
        <v>108.797039</v>
      </c>
      <c r="AB714" s="7">
        <f t="shared" si="67"/>
        <v>0.36735000000000001</v>
      </c>
      <c r="AC714" s="7">
        <f t="shared" si="68"/>
        <v>0.939585</v>
      </c>
      <c r="AD714" s="6" t="str">
        <f t="shared" si="69"/>
        <v>Bình Sơn</v>
      </c>
      <c r="AE714" s="6" t="str">
        <f t="shared" si="70"/>
        <v>TT1 Quảng Ngãi</v>
      </c>
      <c r="AG714">
        <f t="shared" si="71"/>
        <v>0.24490000000000001</v>
      </c>
      <c r="AH714">
        <f t="shared" si="72"/>
        <v>0.62639</v>
      </c>
    </row>
    <row r="715" spans="1:34" x14ac:dyDescent="0.25">
      <c r="A715" t="s">
        <v>6823</v>
      </c>
      <c r="B715" t="s">
        <v>5315</v>
      </c>
      <c r="C715" t="s">
        <v>5316</v>
      </c>
      <c r="D715" t="s">
        <v>6824</v>
      </c>
      <c r="E715" t="s">
        <v>6825</v>
      </c>
      <c r="F715" t="s">
        <v>6826</v>
      </c>
      <c r="G715" t="s">
        <v>15827</v>
      </c>
      <c r="H715" t="s">
        <v>15831</v>
      </c>
      <c r="I715" t="s">
        <v>16530</v>
      </c>
      <c r="J715" t="s">
        <v>23</v>
      </c>
      <c r="L715" t="s">
        <v>6827</v>
      </c>
      <c r="M715" t="s">
        <v>6828</v>
      </c>
      <c r="N715" t="s">
        <v>6829</v>
      </c>
      <c r="O715" t="s">
        <v>6830</v>
      </c>
      <c r="P715" t="s">
        <v>6831</v>
      </c>
      <c r="Q715" t="s">
        <v>6832</v>
      </c>
      <c r="R715" t="s">
        <v>6833</v>
      </c>
      <c r="S715" t="s">
        <v>6834</v>
      </c>
      <c r="T715" t="s">
        <v>6835</v>
      </c>
      <c r="U715" s="5">
        <v>427.25</v>
      </c>
      <c r="V715" s="5">
        <v>365.07</v>
      </c>
      <c r="W715" s="5">
        <v>15.197609</v>
      </c>
      <c r="X715" s="5">
        <v>108.78932</v>
      </c>
      <c r="Y715" s="5">
        <v>62.18</v>
      </c>
      <c r="Z715" s="5">
        <v>15.216231000000001</v>
      </c>
      <c r="AA715" s="5">
        <v>108.76206500000001</v>
      </c>
      <c r="AB715" s="7">
        <f t="shared" si="67"/>
        <v>0.54760500000000001</v>
      </c>
      <c r="AC715" s="7">
        <f t="shared" si="68"/>
        <v>9.3269999999999992E-2</v>
      </c>
      <c r="AD715" s="6" t="str">
        <f t="shared" si="69"/>
        <v>Thọ Phong</v>
      </c>
      <c r="AE715" s="6" t="str">
        <f t="shared" si="70"/>
        <v>Trương Quang Trọng</v>
      </c>
      <c r="AG715">
        <f t="shared" si="71"/>
        <v>0.36507000000000001</v>
      </c>
      <c r="AH715">
        <f t="shared" si="72"/>
        <v>6.2179999999999999E-2</v>
      </c>
    </row>
    <row r="716" spans="1:34" x14ac:dyDescent="0.25">
      <c r="A716" t="s">
        <v>6836</v>
      </c>
      <c r="B716" t="s">
        <v>6824</v>
      </c>
      <c r="C716" t="s">
        <v>6825</v>
      </c>
      <c r="D716" t="s">
        <v>6837</v>
      </c>
      <c r="E716" t="s">
        <v>6838</v>
      </c>
      <c r="F716" t="s">
        <v>6839</v>
      </c>
      <c r="G716" t="s">
        <v>15827</v>
      </c>
      <c r="H716" t="s">
        <v>15831</v>
      </c>
      <c r="I716" t="s">
        <v>16531</v>
      </c>
      <c r="J716" t="s">
        <v>23</v>
      </c>
      <c r="L716" t="s">
        <v>5760</v>
      </c>
      <c r="M716" t="s">
        <v>6840</v>
      </c>
      <c r="N716" t="s">
        <v>6841</v>
      </c>
      <c r="O716" t="s">
        <v>6842</v>
      </c>
      <c r="P716" t="s">
        <v>6843</v>
      </c>
      <c r="Q716" t="s">
        <v>6844</v>
      </c>
      <c r="R716" t="s">
        <v>6845</v>
      </c>
      <c r="S716" t="s">
        <v>6846</v>
      </c>
      <c r="T716" t="s">
        <v>6847</v>
      </c>
      <c r="U716" s="5">
        <v>1405.98</v>
      </c>
      <c r="V716" s="5">
        <v>61.7</v>
      </c>
      <c r="W716" s="5">
        <v>15.216234</v>
      </c>
      <c r="X716" s="5">
        <v>108.762061</v>
      </c>
      <c r="Y716" s="5">
        <v>1344.28</v>
      </c>
      <c r="Z716" s="5">
        <v>15.239758999999999</v>
      </c>
      <c r="AA716" s="5">
        <v>108.759897</v>
      </c>
      <c r="AB716" s="7">
        <f t="shared" si="67"/>
        <v>9.2550000000000007E-2</v>
      </c>
      <c r="AC716" s="7">
        <f t="shared" si="68"/>
        <v>2.0164200000000001</v>
      </c>
      <c r="AD716" s="6" t="str">
        <f t="shared" si="69"/>
        <v>Bình Sơn</v>
      </c>
      <c r="AE716" s="6" t="str">
        <f t="shared" si="70"/>
        <v>Thọ Phong</v>
      </c>
      <c r="AG716">
        <f t="shared" si="71"/>
        <v>6.1700000000000005E-2</v>
      </c>
      <c r="AH716">
        <f t="shared" si="72"/>
        <v>1.3442799999999999</v>
      </c>
    </row>
    <row r="717" spans="1:34" x14ac:dyDescent="0.25">
      <c r="A717" t="s">
        <v>6848</v>
      </c>
      <c r="B717" t="s">
        <v>6849</v>
      </c>
      <c r="C717" t="s">
        <v>6850</v>
      </c>
      <c r="D717" t="s">
        <v>6824</v>
      </c>
      <c r="E717" t="s">
        <v>6825</v>
      </c>
      <c r="F717" t="s">
        <v>6851</v>
      </c>
      <c r="G717" t="s">
        <v>15827</v>
      </c>
      <c r="H717" t="s">
        <v>15831</v>
      </c>
      <c r="I717" t="s">
        <v>16532</v>
      </c>
      <c r="J717" t="s">
        <v>23</v>
      </c>
      <c r="L717" t="s">
        <v>5760</v>
      </c>
      <c r="M717" t="s">
        <v>6852</v>
      </c>
      <c r="N717" t="s">
        <v>6853</v>
      </c>
      <c r="O717" t="s">
        <v>6854</v>
      </c>
      <c r="P717" t="s">
        <v>6855</v>
      </c>
      <c r="Q717" t="s">
        <v>6841</v>
      </c>
      <c r="R717" t="s">
        <v>6842</v>
      </c>
      <c r="S717" t="s">
        <v>6843</v>
      </c>
      <c r="T717" t="s">
        <v>6847</v>
      </c>
      <c r="U717" s="5">
        <v>117.83</v>
      </c>
      <c r="V717" s="5">
        <v>56.14</v>
      </c>
      <c r="W717" s="5">
        <v>15.240517000000001</v>
      </c>
      <c r="X717" s="5">
        <v>108.763161</v>
      </c>
      <c r="Y717" s="5">
        <v>61.7</v>
      </c>
      <c r="Z717" s="5">
        <v>15.216234</v>
      </c>
      <c r="AA717" s="5">
        <v>108.762061</v>
      </c>
      <c r="AB717" s="7">
        <f t="shared" si="67"/>
        <v>8.4210000000000007E-2</v>
      </c>
      <c r="AC717" s="7">
        <f t="shared" si="68"/>
        <v>9.2550000000000007E-2</v>
      </c>
      <c r="AD717" s="6" t="str">
        <f t="shared" si="69"/>
        <v>Bình Sơn</v>
      </c>
      <c r="AE717" s="6" t="str">
        <f t="shared" si="70"/>
        <v>Thọ Phong</v>
      </c>
      <c r="AG717">
        <f t="shared" si="71"/>
        <v>5.6140000000000002E-2</v>
      </c>
      <c r="AH717">
        <f t="shared" si="72"/>
        <v>6.1700000000000005E-2</v>
      </c>
    </row>
    <row r="718" spans="1:34" x14ac:dyDescent="0.25">
      <c r="A718" t="s">
        <v>6856</v>
      </c>
      <c r="B718" t="s">
        <v>6837</v>
      </c>
      <c r="C718" t="s">
        <v>6838</v>
      </c>
      <c r="D718" t="s">
        <v>6824</v>
      </c>
      <c r="E718" t="s">
        <v>6825</v>
      </c>
      <c r="F718" t="s">
        <v>6857</v>
      </c>
      <c r="G718" t="s">
        <v>15827</v>
      </c>
      <c r="H718" t="s">
        <v>16398</v>
      </c>
      <c r="I718" t="s">
        <v>16533</v>
      </c>
      <c r="J718" t="s">
        <v>23</v>
      </c>
      <c r="L718" t="s">
        <v>5760</v>
      </c>
      <c r="M718" t="s">
        <v>6840</v>
      </c>
      <c r="N718" t="s">
        <v>6844</v>
      </c>
      <c r="O718" t="s">
        <v>6845</v>
      </c>
      <c r="P718" t="s">
        <v>6846</v>
      </c>
      <c r="Q718" t="s">
        <v>6841</v>
      </c>
      <c r="R718" t="s">
        <v>6842</v>
      </c>
      <c r="S718" t="s">
        <v>6843</v>
      </c>
      <c r="T718" t="s">
        <v>6847</v>
      </c>
      <c r="U718" s="5">
        <v>1405.98</v>
      </c>
      <c r="V718" s="5">
        <v>1344.28</v>
      </c>
      <c r="W718" s="5">
        <v>15.239758999999999</v>
      </c>
      <c r="X718" s="5">
        <v>108.759897</v>
      </c>
      <c r="Y718" s="5">
        <v>61.7</v>
      </c>
      <c r="Z718" s="5">
        <v>15.216234</v>
      </c>
      <c r="AA718" s="5">
        <v>108.762061</v>
      </c>
      <c r="AB718" s="7">
        <f t="shared" si="67"/>
        <v>2.0164200000000001</v>
      </c>
      <c r="AC718" s="7">
        <f t="shared" si="68"/>
        <v>9.2550000000000007E-2</v>
      </c>
      <c r="AD718" s="6" t="str">
        <f t="shared" si="69"/>
        <v>Bình Sơn</v>
      </c>
      <c r="AE718" s="6" t="str">
        <f t="shared" si="70"/>
        <v>Thọ Phong</v>
      </c>
      <c r="AG718">
        <f t="shared" si="71"/>
        <v>1.3442799999999999</v>
      </c>
      <c r="AH718">
        <f t="shared" si="72"/>
        <v>6.1700000000000005E-2</v>
      </c>
    </row>
    <row r="719" spans="1:34" x14ac:dyDescent="0.25">
      <c r="A719" t="s">
        <v>6858</v>
      </c>
      <c r="B719" t="s">
        <v>5289</v>
      </c>
      <c r="C719" t="s">
        <v>5290</v>
      </c>
      <c r="D719" t="s">
        <v>6859</v>
      </c>
      <c r="E719" t="s">
        <v>6860</v>
      </c>
      <c r="F719" t="s">
        <v>6861</v>
      </c>
      <c r="G719" t="s">
        <v>15827</v>
      </c>
      <c r="H719" t="s">
        <v>15831</v>
      </c>
      <c r="I719" t="s">
        <v>16534</v>
      </c>
      <c r="J719" t="s">
        <v>23</v>
      </c>
      <c r="L719" t="s">
        <v>6018</v>
      </c>
      <c r="M719" t="s">
        <v>6862</v>
      </c>
      <c r="N719" t="s">
        <v>6863</v>
      </c>
      <c r="O719" t="s">
        <v>6864</v>
      </c>
      <c r="P719" t="s">
        <v>6865</v>
      </c>
      <c r="Q719" t="s">
        <v>6866</v>
      </c>
      <c r="R719" t="s">
        <v>6867</v>
      </c>
      <c r="S719" t="s">
        <v>6868</v>
      </c>
      <c r="T719" t="s">
        <v>6869</v>
      </c>
      <c r="U719" s="5">
        <v>4295.74</v>
      </c>
      <c r="V719" s="5">
        <v>78.06</v>
      </c>
      <c r="W719" s="5">
        <v>15.155013</v>
      </c>
      <c r="X719" s="5">
        <v>108.73597100000001</v>
      </c>
      <c r="Y719" s="5">
        <v>4217.68</v>
      </c>
      <c r="Z719" s="5">
        <v>15.190061</v>
      </c>
      <c r="AA719" s="5">
        <v>108.724847</v>
      </c>
      <c r="AB719" s="7">
        <f t="shared" si="67"/>
        <v>0.11709</v>
      </c>
      <c r="AC719" s="7">
        <f t="shared" si="68"/>
        <v>6.3265200000000004</v>
      </c>
      <c r="AD719" s="6" t="str">
        <f t="shared" si="69"/>
        <v>Bình Chương</v>
      </c>
      <c r="AE719" s="6" t="str">
        <f t="shared" si="70"/>
        <v>Sơn Tịnh</v>
      </c>
      <c r="AG719">
        <f t="shared" si="71"/>
        <v>7.8060000000000004E-2</v>
      </c>
      <c r="AH719">
        <f t="shared" si="72"/>
        <v>4.2176800000000005</v>
      </c>
    </row>
    <row r="720" spans="1:34" x14ac:dyDescent="0.25">
      <c r="A720" t="s">
        <v>6870</v>
      </c>
      <c r="B720" t="s">
        <v>6871</v>
      </c>
      <c r="C720" t="s">
        <v>6872</v>
      </c>
      <c r="D720" t="s">
        <v>5289</v>
      </c>
      <c r="E720" t="s">
        <v>5290</v>
      </c>
      <c r="F720" t="s">
        <v>6873</v>
      </c>
      <c r="G720" t="s">
        <v>15827</v>
      </c>
      <c r="H720" t="s">
        <v>15831</v>
      </c>
      <c r="I720" t="s">
        <v>16535</v>
      </c>
      <c r="J720" t="s">
        <v>23</v>
      </c>
      <c r="L720" t="s">
        <v>5292</v>
      </c>
      <c r="M720" t="s">
        <v>6874</v>
      </c>
      <c r="N720" t="s">
        <v>6875</v>
      </c>
      <c r="O720" t="s">
        <v>6876</v>
      </c>
      <c r="P720" t="s">
        <v>6877</v>
      </c>
      <c r="Q720" t="s">
        <v>5297</v>
      </c>
      <c r="R720" t="s">
        <v>5298</v>
      </c>
      <c r="S720" t="s">
        <v>5299</v>
      </c>
      <c r="T720" t="s">
        <v>5300</v>
      </c>
      <c r="U720" s="5">
        <v>907.42</v>
      </c>
      <c r="V720" s="5">
        <v>790.8</v>
      </c>
      <c r="W720" s="5">
        <v>15.151778</v>
      </c>
      <c r="X720" s="5">
        <v>108.773307</v>
      </c>
      <c r="Y720" s="5">
        <v>116.62</v>
      </c>
      <c r="Z720" s="5">
        <v>15.155536</v>
      </c>
      <c r="AA720" s="5">
        <v>108.736003</v>
      </c>
      <c r="AB720" s="7">
        <f t="shared" si="67"/>
        <v>1.1861999999999999</v>
      </c>
      <c r="AC720" s="7">
        <f t="shared" si="68"/>
        <v>0.17493</v>
      </c>
      <c r="AD720" s="6" t="str">
        <f t="shared" si="69"/>
        <v>PC07</v>
      </c>
      <c r="AE720" s="6" t="str">
        <f t="shared" si="70"/>
        <v>Sơn Tịnh</v>
      </c>
      <c r="AG720">
        <f t="shared" si="71"/>
        <v>0.79079999999999995</v>
      </c>
      <c r="AH720">
        <f t="shared" si="72"/>
        <v>0.11662</v>
      </c>
    </row>
    <row r="721" spans="1:34" x14ac:dyDescent="0.25">
      <c r="A721" t="s">
        <v>6878</v>
      </c>
      <c r="B721" t="s">
        <v>5302</v>
      </c>
      <c r="C721" t="s">
        <v>5303</v>
      </c>
      <c r="D721" t="s">
        <v>6879</v>
      </c>
      <c r="E721" t="s">
        <v>6880</v>
      </c>
      <c r="F721" t="s">
        <v>6881</v>
      </c>
      <c r="G721" t="s">
        <v>15827</v>
      </c>
      <c r="H721" t="s">
        <v>16377</v>
      </c>
      <c r="I721" t="s">
        <v>16536</v>
      </c>
      <c r="J721" t="s">
        <v>23</v>
      </c>
      <c r="L721" t="s">
        <v>6882</v>
      </c>
      <c r="M721" t="s">
        <v>6883</v>
      </c>
      <c r="N721" t="s">
        <v>6884</v>
      </c>
      <c r="O721" t="s">
        <v>6885</v>
      </c>
      <c r="P721" t="s">
        <v>6886</v>
      </c>
      <c r="Q721" t="s">
        <v>6887</v>
      </c>
      <c r="R721" t="s">
        <v>6888</v>
      </c>
      <c r="S721" t="s">
        <v>6889</v>
      </c>
      <c r="T721" t="s">
        <v>6890</v>
      </c>
      <c r="U721" s="5">
        <v>2326.13</v>
      </c>
      <c r="V721" s="5">
        <v>1.62</v>
      </c>
      <c r="W721" s="5">
        <v>15.132306</v>
      </c>
      <c r="X721" s="5">
        <v>108.712856</v>
      </c>
      <c r="Y721" s="5">
        <v>2324.52</v>
      </c>
      <c r="Z721" s="5">
        <v>15.132866</v>
      </c>
      <c r="AA721" s="5">
        <v>108.712329</v>
      </c>
      <c r="AB721" s="7">
        <f t="shared" si="67"/>
        <v>2.4300000000000003E-3</v>
      </c>
      <c r="AC721" s="7">
        <f t="shared" si="68"/>
        <v>3.4867799999999995</v>
      </c>
      <c r="AD721" s="6" t="str">
        <f t="shared" si="69"/>
        <v>Trà Giang</v>
      </c>
      <c r="AE721" s="6" t="str">
        <f t="shared" si="70"/>
        <v>Nghĩa Giang</v>
      </c>
      <c r="AG721">
        <f t="shared" si="71"/>
        <v>1.6200000000000001E-3</v>
      </c>
      <c r="AH721">
        <f t="shared" si="72"/>
        <v>2.3245200000000001</v>
      </c>
    </row>
    <row r="722" spans="1:34" x14ac:dyDescent="0.25">
      <c r="A722" t="s">
        <v>6891</v>
      </c>
      <c r="B722" t="s">
        <v>6892</v>
      </c>
      <c r="C722" t="s">
        <v>6893</v>
      </c>
      <c r="D722" t="s">
        <v>5302</v>
      </c>
      <c r="E722" t="s">
        <v>5303</v>
      </c>
      <c r="F722" t="s">
        <v>6894</v>
      </c>
      <c r="G722" t="s">
        <v>15827</v>
      </c>
      <c r="H722" t="s">
        <v>16377</v>
      </c>
      <c r="I722" t="s">
        <v>16537</v>
      </c>
      <c r="J722" t="s">
        <v>23</v>
      </c>
      <c r="L722" t="s">
        <v>5551</v>
      </c>
      <c r="M722" t="s">
        <v>6895</v>
      </c>
      <c r="N722" t="s">
        <v>6896</v>
      </c>
      <c r="O722" t="s">
        <v>6897</v>
      </c>
      <c r="P722" t="s">
        <v>6898</v>
      </c>
      <c r="Q722" t="s">
        <v>6899</v>
      </c>
      <c r="R722" t="s">
        <v>6900</v>
      </c>
      <c r="S722" t="s">
        <v>6901</v>
      </c>
      <c r="T722" t="s">
        <v>6902</v>
      </c>
      <c r="U722" s="5">
        <v>749.14</v>
      </c>
      <c r="V722" s="5">
        <v>682.8</v>
      </c>
      <c r="W722" s="5">
        <v>15.129135</v>
      </c>
      <c r="X722" s="5">
        <v>108.711259</v>
      </c>
      <c r="Y722" s="5">
        <v>66.34</v>
      </c>
      <c r="Z722" s="5">
        <v>15.132633999999999</v>
      </c>
      <c r="AA722" s="5">
        <v>108.71235799999999</v>
      </c>
      <c r="AB722" s="7">
        <f t="shared" si="67"/>
        <v>1.0241999999999998</v>
      </c>
      <c r="AC722" s="7">
        <f t="shared" si="68"/>
        <v>9.9510000000000001E-2</v>
      </c>
      <c r="AD722" s="6" t="str">
        <f t="shared" si="69"/>
        <v>Phước Giang</v>
      </c>
      <c r="AE722" s="6" t="str">
        <f t="shared" si="70"/>
        <v>Trà Giang</v>
      </c>
      <c r="AG722">
        <f t="shared" si="71"/>
        <v>0.68279999999999996</v>
      </c>
      <c r="AH722">
        <f t="shared" si="72"/>
        <v>6.634000000000001E-2</v>
      </c>
    </row>
    <row r="723" spans="1:34" x14ac:dyDescent="0.25">
      <c r="A723" t="s">
        <v>6903</v>
      </c>
      <c r="B723" t="s">
        <v>6904</v>
      </c>
      <c r="C723" t="s">
        <v>6905</v>
      </c>
      <c r="D723" t="s">
        <v>5302</v>
      </c>
      <c r="E723" t="s">
        <v>5303</v>
      </c>
      <c r="F723" t="s">
        <v>6906</v>
      </c>
      <c r="G723" t="s">
        <v>15827</v>
      </c>
      <c r="H723" t="s">
        <v>16377</v>
      </c>
      <c r="I723" t="s">
        <v>16538</v>
      </c>
      <c r="J723" t="s">
        <v>23</v>
      </c>
      <c r="L723" t="s">
        <v>6882</v>
      </c>
      <c r="M723" t="s">
        <v>6907</v>
      </c>
      <c r="N723" t="s">
        <v>6908</v>
      </c>
      <c r="O723" t="s">
        <v>6909</v>
      </c>
      <c r="P723" t="s">
        <v>6910</v>
      </c>
      <c r="Q723" t="s">
        <v>6911</v>
      </c>
      <c r="R723" t="s">
        <v>6912</v>
      </c>
      <c r="S723" t="s">
        <v>6913</v>
      </c>
      <c r="T723" t="s">
        <v>6914</v>
      </c>
      <c r="U723" s="5">
        <v>1664.54</v>
      </c>
      <c r="V723" s="5">
        <v>1579.29</v>
      </c>
      <c r="W723" s="5">
        <v>15.132004</v>
      </c>
      <c r="X723" s="5">
        <v>108.72138</v>
      </c>
      <c r="Y723" s="5">
        <v>85.26</v>
      </c>
      <c r="Z723" s="5">
        <v>15.132866999999999</v>
      </c>
      <c r="AA723" s="5">
        <v>108.71233599999999</v>
      </c>
      <c r="AB723" s="7">
        <f t="shared" si="67"/>
        <v>2.368935</v>
      </c>
      <c r="AC723" s="7">
        <f t="shared" si="68"/>
        <v>0.12789</v>
      </c>
      <c r="AD723" s="6" t="str">
        <f t="shared" si="69"/>
        <v>Trà Giang</v>
      </c>
      <c r="AE723" s="6" t="str">
        <f t="shared" si="70"/>
        <v>Nghĩa Giang</v>
      </c>
      <c r="AG723">
        <f t="shared" si="71"/>
        <v>1.5792899999999999</v>
      </c>
      <c r="AH723">
        <f t="shared" si="72"/>
        <v>8.5260000000000002E-2</v>
      </c>
    </row>
    <row r="724" spans="1:34" x14ac:dyDescent="0.25">
      <c r="A724" t="s">
        <v>6915</v>
      </c>
      <c r="B724" t="s">
        <v>6916</v>
      </c>
      <c r="C724" t="s">
        <v>6917</v>
      </c>
      <c r="D724" t="s">
        <v>5302</v>
      </c>
      <c r="E724" t="s">
        <v>5303</v>
      </c>
      <c r="F724" t="s">
        <v>6918</v>
      </c>
      <c r="G724" t="s">
        <v>15979</v>
      </c>
      <c r="H724" t="s">
        <v>15980</v>
      </c>
      <c r="I724" t="s">
        <v>16539</v>
      </c>
      <c r="J724" t="s">
        <v>23</v>
      </c>
      <c r="L724" t="s">
        <v>6882</v>
      </c>
      <c r="M724" t="s">
        <v>6919</v>
      </c>
      <c r="N724" t="s">
        <v>6920</v>
      </c>
      <c r="O724" t="s">
        <v>6921</v>
      </c>
      <c r="P724" t="s">
        <v>6922</v>
      </c>
      <c r="Q724" t="s">
        <v>6911</v>
      </c>
      <c r="R724" t="s">
        <v>6912</v>
      </c>
      <c r="S724" t="s">
        <v>6913</v>
      </c>
      <c r="T724" t="s">
        <v>6914</v>
      </c>
      <c r="U724" s="5">
        <v>376.76</v>
      </c>
      <c r="V724" s="5">
        <v>291.51</v>
      </c>
      <c r="W724" s="5">
        <v>15.119567999999999</v>
      </c>
      <c r="X724" s="5">
        <v>108.74714400000001</v>
      </c>
      <c r="Y724" s="5">
        <v>85.26</v>
      </c>
      <c r="Z724" s="5">
        <v>15.132866999999999</v>
      </c>
      <c r="AA724" s="5">
        <v>108.71233599999999</v>
      </c>
      <c r="AB724" s="7">
        <f t="shared" si="67"/>
        <v>0.43726499999999996</v>
      </c>
      <c r="AC724" s="7">
        <f t="shared" si="68"/>
        <v>0.12789</v>
      </c>
      <c r="AD724" s="6" t="str">
        <f t="shared" si="69"/>
        <v>Trà Giang</v>
      </c>
      <c r="AE724" s="6" t="str">
        <f t="shared" si="70"/>
        <v>Nghĩa Giang</v>
      </c>
      <c r="AG724">
        <f t="shared" si="71"/>
        <v>0.29150999999999999</v>
      </c>
      <c r="AH724">
        <f t="shared" si="72"/>
        <v>8.5260000000000002E-2</v>
      </c>
    </row>
    <row r="725" spans="1:34" x14ac:dyDescent="0.25">
      <c r="A725" t="s">
        <v>6923</v>
      </c>
      <c r="B725" t="s">
        <v>6924</v>
      </c>
      <c r="C725" t="s">
        <v>6925</v>
      </c>
      <c r="D725" t="s">
        <v>6926</v>
      </c>
      <c r="E725" t="s">
        <v>6927</v>
      </c>
      <c r="F725" t="s">
        <v>6928</v>
      </c>
      <c r="G725" t="s">
        <v>15979</v>
      </c>
      <c r="H725" t="s">
        <v>15980</v>
      </c>
      <c r="I725" t="s">
        <v>16540</v>
      </c>
      <c r="J725" t="s">
        <v>23</v>
      </c>
      <c r="L725" t="s">
        <v>5463</v>
      </c>
      <c r="M725" t="s">
        <v>6929</v>
      </c>
      <c r="N725" t="s">
        <v>6930</v>
      </c>
      <c r="O725" t="s">
        <v>6931</v>
      </c>
      <c r="P725" t="s">
        <v>6932</v>
      </c>
      <c r="Q725" t="s">
        <v>6933</v>
      </c>
      <c r="R725" t="s">
        <v>6934</v>
      </c>
      <c r="S725" t="s">
        <v>6935</v>
      </c>
      <c r="T725" t="s">
        <v>6936</v>
      </c>
      <c r="U725" s="5">
        <v>358</v>
      </c>
      <c r="V725" s="5">
        <v>62.5</v>
      </c>
      <c r="W725" s="5">
        <v>15.030848000000001</v>
      </c>
      <c r="X725" s="5">
        <v>108.83918799999999</v>
      </c>
      <c r="Y725" s="5">
        <v>295.5</v>
      </c>
      <c r="Z725" s="5">
        <v>15.047159000000001</v>
      </c>
      <c r="AA725" s="5">
        <v>108.847313</v>
      </c>
      <c r="AB725" s="7">
        <f t="shared" si="67"/>
        <v>9.375E-2</v>
      </c>
      <c r="AC725" s="7">
        <f t="shared" si="68"/>
        <v>0.44324999999999998</v>
      </c>
      <c r="AD725" s="6" t="str">
        <f t="shared" si="69"/>
        <v>Mộ Đức</v>
      </c>
      <c r="AE725" s="6" t="str">
        <f t="shared" si="70"/>
        <v>Vệ Giang</v>
      </c>
      <c r="AG725">
        <f t="shared" si="71"/>
        <v>6.25E-2</v>
      </c>
      <c r="AH725">
        <f t="shared" si="72"/>
        <v>0.29549999999999998</v>
      </c>
    </row>
    <row r="726" spans="1:34" x14ac:dyDescent="0.25">
      <c r="A726" t="s">
        <v>6937</v>
      </c>
      <c r="B726" t="s">
        <v>6926</v>
      </c>
      <c r="C726" t="s">
        <v>6927</v>
      </c>
      <c r="D726" t="s">
        <v>5434</v>
      </c>
      <c r="E726" t="s">
        <v>5435</v>
      </c>
      <c r="F726" t="s">
        <v>6938</v>
      </c>
      <c r="G726" t="s">
        <v>15979</v>
      </c>
      <c r="H726" t="s">
        <v>15980</v>
      </c>
      <c r="I726" t="s">
        <v>16541</v>
      </c>
      <c r="J726" t="s">
        <v>23</v>
      </c>
      <c r="L726" t="s">
        <v>5827</v>
      </c>
      <c r="M726" t="s">
        <v>6939</v>
      </c>
      <c r="N726" t="s">
        <v>6940</v>
      </c>
      <c r="O726" t="s">
        <v>6941</v>
      </c>
      <c r="P726" t="s">
        <v>6942</v>
      </c>
      <c r="Q726" t="s">
        <v>5829</v>
      </c>
      <c r="R726" t="s">
        <v>5830</v>
      </c>
      <c r="S726" t="s">
        <v>5831</v>
      </c>
      <c r="T726" t="s">
        <v>5835</v>
      </c>
      <c r="U726" s="5">
        <v>220.25</v>
      </c>
      <c r="V726" s="5">
        <v>115.37</v>
      </c>
      <c r="W726" s="5">
        <v>15.048643999999999</v>
      </c>
      <c r="X726" s="5">
        <v>108.84818</v>
      </c>
      <c r="Y726" s="5">
        <v>104.88</v>
      </c>
      <c r="Z726" s="5">
        <v>15.058427999999999</v>
      </c>
      <c r="AA726" s="5">
        <v>108.842528</v>
      </c>
      <c r="AB726" s="7">
        <f t="shared" si="67"/>
        <v>0.17305500000000001</v>
      </c>
      <c r="AC726" s="7">
        <f t="shared" si="68"/>
        <v>0.15731999999999999</v>
      </c>
      <c r="AD726" s="6" t="str">
        <f t="shared" si="69"/>
        <v>Long Phụng</v>
      </c>
      <c r="AE726" s="6" t="str">
        <f t="shared" si="70"/>
        <v>Tư Nghĩa</v>
      </c>
      <c r="AG726">
        <f t="shared" si="71"/>
        <v>0.11537</v>
      </c>
      <c r="AH726">
        <f t="shared" si="72"/>
        <v>0.10488</v>
      </c>
    </row>
    <row r="727" spans="1:34" x14ac:dyDescent="0.25">
      <c r="A727" t="s">
        <v>6943</v>
      </c>
      <c r="B727" t="s">
        <v>6170</v>
      </c>
      <c r="C727" t="s">
        <v>6171</v>
      </c>
      <c r="D727" t="s">
        <v>6926</v>
      </c>
      <c r="E727" t="s">
        <v>6927</v>
      </c>
      <c r="F727" t="s">
        <v>6944</v>
      </c>
      <c r="G727" t="s">
        <v>15979</v>
      </c>
      <c r="H727" t="s">
        <v>15980</v>
      </c>
      <c r="I727" t="s">
        <v>16542</v>
      </c>
      <c r="J727" t="s">
        <v>23</v>
      </c>
      <c r="L727" t="s">
        <v>5827</v>
      </c>
      <c r="M727" t="s">
        <v>6945</v>
      </c>
      <c r="N727" t="s">
        <v>6177</v>
      </c>
      <c r="O727" t="s">
        <v>6178</v>
      </c>
      <c r="P727" t="s">
        <v>6179</v>
      </c>
      <c r="Q727" t="s">
        <v>6946</v>
      </c>
      <c r="R727" t="s">
        <v>6947</v>
      </c>
      <c r="S727" t="s">
        <v>6948</v>
      </c>
      <c r="T727" t="s">
        <v>6180</v>
      </c>
      <c r="U727" s="5">
        <v>1566.8</v>
      </c>
      <c r="V727" s="5">
        <v>365.36</v>
      </c>
      <c r="W727" s="5">
        <v>15.030893000000001</v>
      </c>
      <c r="X727" s="5">
        <v>108.86153400000001</v>
      </c>
      <c r="Y727" s="5">
        <v>1201.45</v>
      </c>
      <c r="Z727" s="5">
        <v>15.038814</v>
      </c>
      <c r="AA727" s="5">
        <v>108.852256</v>
      </c>
      <c r="AB727" s="7">
        <f t="shared" si="67"/>
        <v>0.54803999999999997</v>
      </c>
      <c r="AC727" s="7">
        <f t="shared" si="68"/>
        <v>1.8021750000000001</v>
      </c>
      <c r="AD727" s="6" t="str">
        <f t="shared" si="69"/>
        <v>Long Phụng</v>
      </c>
      <c r="AE727" s="6" t="str">
        <f t="shared" si="70"/>
        <v>Tư Nghĩa</v>
      </c>
      <c r="AG727">
        <f t="shared" si="71"/>
        <v>0.36536000000000002</v>
      </c>
      <c r="AH727">
        <f t="shared" si="72"/>
        <v>1.2014500000000001</v>
      </c>
    </row>
    <row r="728" spans="1:34" x14ac:dyDescent="0.25">
      <c r="A728" t="s">
        <v>6949</v>
      </c>
      <c r="B728" t="s">
        <v>6950</v>
      </c>
      <c r="C728" t="s">
        <v>6951</v>
      </c>
      <c r="D728" t="s">
        <v>6916</v>
      </c>
      <c r="E728" t="s">
        <v>6917</v>
      </c>
      <c r="F728" t="s">
        <v>6952</v>
      </c>
      <c r="G728" t="s">
        <v>15827</v>
      </c>
      <c r="H728" t="s">
        <v>16377</v>
      </c>
      <c r="I728" t="s">
        <v>16543</v>
      </c>
      <c r="J728" t="s">
        <v>23</v>
      </c>
      <c r="L728" t="s">
        <v>5551</v>
      </c>
      <c r="M728" t="s">
        <v>6953</v>
      </c>
      <c r="N728" t="s">
        <v>6954</v>
      </c>
      <c r="O728" t="s">
        <v>6955</v>
      </c>
      <c r="P728" t="s">
        <v>6956</v>
      </c>
      <c r="Q728" t="s">
        <v>6957</v>
      </c>
      <c r="R728" t="s">
        <v>6958</v>
      </c>
      <c r="S728" t="s">
        <v>6959</v>
      </c>
      <c r="T728" t="s">
        <v>6902</v>
      </c>
      <c r="U728" s="5">
        <v>598.44000000000005</v>
      </c>
      <c r="V728" s="5">
        <v>100.68</v>
      </c>
      <c r="W728" s="5">
        <v>15.111948</v>
      </c>
      <c r="X728" s="5">
        <v>108.734939</v>
      </c>
      <c r="Y728" s="5">
        <v>497.76</v>
      </c>
      <c r="Z728" s="5">
        <v>15.112887000000001</v>
      </c>
      <c r="AA728" s="5">
        <v>108.74466099999999</v>
      </c>
      <c r="AB728" s="7">
        <f t="shared" si="67"/>
        <v>0.15102000000000002</v>
      </c>
      <c r="AC728" s="7">
        <f t="shared" si="68"/>
        <v>0.74663999999999997</v>
      </c>
      <c r="AD728" s="6" t="str">
        <f t="shared" si="69"/>
        <v>Phước Giang</v>
      </c>
      <c r="AE728" s="6" t="str">
        <f t="shared" si="70"/>
        <v>Trà Giang</v>
      </c>
      <c r="AG728">
        <f t="shared" si="71"/>
        <v>0.10068000000000001</v>
      </c>
      <c r="AH728">
        <f t="shared" si="72"/>
        <v>0.49775999999999998</v>
      </c>
    </row>
    <row r="729" spans="1:34" x14ac:dyDescent="0.25">
      <c r="A729" t="s">
        <v>6960</v>
      </c>
      <c r="B729" t="s">
        <v>5387</v>
      </c>
      <c r="C729" t="s">
        <v>5388</v>
      </c>
      <c r="D729" t="s">
        <v>6916</v>
      </c>
      <c r="E729" t="s">
        <v>6917</v>
      </c>
      <c r="F729" t="s">
        <v>6961</v>
      </c>
      <c r="G729" t="s">
        <v>15827</v>
      </c>
      <c r="H729" t="s">
        <v>16377</v>
      </c>
      <c r="I729" t="s">
        <v>16544</v>
      </c>
      <c r="J729" t="s">
        <v>23</v>
      </c>
      <c r="L729" t="s">
        <v>6962</v>
      </c>
      <c r="M729" t="s">
        <v>6963</v>
      </c>
      <c r="N729" t="s">
        <v>6964</v>
      </c>
      <c r="O729" t="s">
        <v>6965</v>
      </c>
      <c r="P729" t="s">
        <v>6966</v>
      </c>
      <c r="Q729" t="s">
        <v>6967</v>
      </c>
      <c r="R729" t="s">
        <v>6968</v>
      </c>
      <c r="S729" t="s">
        <v>6969</v>
      </c>
      <c r="T729" t="s">
        <v>6970</v>
      </c>
      <c r="U729" s="5">
        <v>303.81</v>
      </c>
      <c r="V729" s="5">
        <v>97.22</v>
      </c>
      <c r="W729" s="5">
        <v>15.116405</v>
      </c>
      <c r="X729" s="5">
        <v>108.754485</v>
      </c>
      <c r="Y729" s="5">
        <v>206.6</v>
      </c>
      <c r="Z729" s="5">
        <v>15.118936</v>
      </c>
      <c r="AA729" s="5">
        <v>108.74655799999999</v>
      </c>
      <c r="AB729" s="7">
        <f t="shared" si="67"/>
        <v>0.14582999999999999</v>
      </c>
      <c r="AC729" s="7">
        <f t="shared" si="68"/>
        <v>0.30989999999999995</v>
      </c>
      <c r="AD729" s="6" t="str">
        <f t="shared" si="69"/>
        <v>Trường Giang</v>
      </c>
      <c r="AE729" s="6" t="str">
        <f t="shared" si="70"/>
        <v>TT1 QUẢNG NGÃI</v>
      </c>
      <c r="AG729">
        <f t="shared" si="71"/>
        <v>9.7220000000000001E-2</v>
      </c>
      <c r="AH729">
        <f t="shared" si="72"/>
        <v>0.20660000000000001</v>
      </c>
    </row>
    <row r="730" spans="1:34" x14ac:dyDescent="0.25">
      <c r="A730" t="s">
        <v>6971</v>
      </c>
      <c r="B730" t="s">
        <v>6916</v>
      </c>
      <c r="C730" t="s">
        <v>6917</v>
      </c>
      <c r="D730" t="s">
        <v>5596</v>
      </c>
      <c r="E730" t="s">
        <v>5597</v>
      </c>
      <c r="F730" t="s">
        <v>6972</v>
      </c>
      <c r="G730" t="s">
        <v>15827</v>
      </c>
      <c r="H730" t="s">
        <v>16377</v>
      </c>
      <c r="I730" t="s">
        <v>16545</v>
      </c>
      <c r="J730" t="s">
        <v>23</v>
      </c>
      <c r="L730" t="s">
        <v>5551</v>
      </c>
      <c r="M730" t="s">
        <v>6973</v>
      </c>
      <c r="N730" t="s">
        <v>6957</v>
      </c>
      <c r="O730" t="s">
        <v>6958</v>
      </c>
      <c r="P730" t="s">
        <v>6959</v>
      </c>
      <c r="Q730" t="s">
        <v>6974</v>
      </c>
      <c r="R730" t="s">
        <v>6975</v>
      </c>
      <c r="S730" t="s">
        <v>6976</v>
      </c>
      <c r="T730" t="s">
        <v>6902</v>
      </c>
      <c r="U730" s="5">
        <v>564.6</v>
      </c>
      <c r="V730" s="5">
        <v>497.76</v>
      </c>
      <c r="W730" s="5">
        <v>15.112887000000001</v>
      </c>
      <c r="X730" s="5">
        <v>108.74466099999999</v>
      </c>
      <c r="Y730" s="5">
        <v>66.83</v>
      </c>
      <c r="Z730" s="5">
        <v>15.0936</v>
      </c>
      <c r="AA730" s="5">
        <v>108.75017</v>
      </c>
      <c r="AB730" s="7">
        <f t="shared" si="67"/>
        <v>0.74663999999999997</v>
      </c>
      <c r="AC730" s="7">
        <f t="shared" si="68"/>
        <v>0.100245</v>
      </c>
      <c r="AD730" s="6" t="str">
        <f t="shared" si="69"/>
        <v>Phước Giang</v>
      </c>
      <c r="AE730" s="6" t="str">
        <f t="shared" si="70"/>
        <v>Trà Giang</v>
      </c>
      <c r="AG730">
        <f t="shared" si="71"/>
        <v>0.49775999999999998</v>
      </c>
      <c r="AH730">
        <f t="shared" si="72"/>
        <v>6.6830000000000001E-2</v>
      </c>
    </row>
    <row r="731" spans="1:34" x14ac:dyDescent="0.25">
      <c r="A731" t="s">
        <v>6977</v>
      </c>
      <c r="B731" t="s">
        <v>6978</v>
      </c>
      <c r="C731" t="s">
        <v>6979</v>
      </c>
      <c r="D731" t="s">
        <v>5813</v>
      </c>
      <c r="E731" t="s">
        <v>5814</v>
      </c>
      <c r="F731" t="s">
        <v>6980</v>
      </c>
      <c r="G731" t="s">
        <v>15827</v>
      </c>
      <c r="H731" t="s">
        <v>16377</v>
      </c>
      <c r="I731" t="s">
        <v>16546</v>
      </c>
      <c r="J731" t="s">
        <v>23</v>
      </c>
      <c r="L731" t="s">
        <v>6603</v>
      </c>
      <c r="M731" t="s">
        <v>6981</v>
      </c>
      <c r="N731" t="s">
        <v>6982</v>
      </c>
      <c r="O731" t="s">
        <v>6645</v>
      </c>
      <c r="P731" t="s">
        <v>6646</v>
      </c>
      <c r="Q731" t="s">
        <v>6983</v>
      </c>
      <c r="R731" t="s">
        <v>6984</v>
      </c>
      <c r="S731" t="s">
        <v>6985</v>
      </c>
      <c r="T731" t="s">
        <v>6611</v>
      </c>
      <c r="U731" s="5">
        <v>4454.04</v>
      </c>
      <c r="V731" s="5">
        <v>1296.06</v>
      </c>
      <c r="W731" s="5">
        <v>15.124615</v>
      </c>
      <c r="X731" s="5">
        <v>108.860423</v>
      </c>
      <c r="Y731" s="5">
        <v>3157.98</v>
      </c>
      <c r="Z731" s="5">
        <v>15.11913</v>
      </c>
      <c r="AA731" s="5">
        <v>108.82518</v>
      </c>
      <c r="AB731" s="7">
        <f t="shared" si="67"/>
        <v>1.9440899999999999</v>
      </c>
      <c r="AC731" s="7">
        <f t="shared" si="68"/>
        <v>4.7369700000000003</v>
      </c>
      <c r="AD731" s="6" t="str">
        <f t="shared" si="69"/>
        <v>Quảng Ngãi</v>
      </c>
      <c r="AE731" s="6" t="str">
        <f t="shared" si="70"/>
        <v>Ring 1_An Phú-CAT Quảng Ngãi</v>
      </c>
      <c r="AG731">
        <f t="shared" si="71"/>
        <v>1.29606</v>
      </c>
      <c r="AH731">
        <f t="shared" si="72"/>
        <v>3.1579800000000002</v>
      </c>
    </row>
    <row r="732" spans="1:34" x14ac:dyDescent="0.25">
      <c r="A732" t="s">
        <v>6986</v>
      </c>
      <c r="B732" t="s">
        <v>6987</v>
      </c>
      <c r="C732" t="s">
        <v>6988</v>
      </c>
      <c r="D732" t="s">
        <v>5813</v>
      </c>
      <c r="E732" t="s">
        <v>5814</v>
      </c>
      <c r="F732" t="s">
        <v>6989</v>
      </c>
      <c r="G732" t="s">
        <v>15827</v>
      </c>
      <c r="H732" t="s">
        <v>16377</v>
      </c>
      <c r="I732" t="s">
        <v>16547</v>
      </c>
      <c r="J732" t="s">
        <v>23</v>
      </c>
      <c r="L732" t="s">
        <v>5803</v>
      </c>
      <c r="M732" t="s">
        <v>6990</v>
      </c>
      <c r="N732" t="s">
        <v>6991</v>
      </c>
      <c r="O732" t="s">
        <v>6992</v>
      </c>
      <c r="P732" t="s">
        <v>6993</v>
      </c>
      <c r="Q732" t="s">
        <v>6994</v>
      </c>
      <c r="R732" t="s">
        <v>6995</v>
      </c>
      <c r="S732" t="s">
        <v>6996</v>
      </c>
      <c r="T732" t="s">
        <v>5811</v>
      </c>
      <c r="U732" s="5">
        <v>2723.56</v>
      </c>
      <c r="V732" s="5">
        <v>2001.09</v>
      </c>
      <c r="W732" s="5">
        <v>15.08996</v>
      </c>
      <c r="X732" s="5">
        <v>108.830865</v>
      </c>
      <c r="Y732" s="5">
        <v>722.47</v>
      </c>
      <c r="Z732" s="5">
        <v>15.093292999999999</v>
      </c>
      <c r="AA732" s="5">
        <v>108.82804400000001</v>
      </c>
      <c r="AB732" s="7">
        <f t="shared" si="67"/>
        <v>3.0016349999999998</v>
      </c>
      <c r="AC732" s="7">
        <f t="shared" si="68"/>
        <v>1.0837049999999999</v>
      </c>
      <c r="AD732" s="6" t="str">
        <f t="shared" si="69"/>
        <v>Vệ Giang</v>
      </c>
      <c r="AE732" s="6" t="str">
        <f t="shared" si="70"/>
        <v>Cẩm Thành</v>
      </c>
      <c r="AG732">
        <f t="shared" si="71"/>
        <v>2.00109</v>
      </c>
      <c r="AH732">
        <f t="shared" si="72"/>
        <v>0.72247000000000006</v>
      </c>
    </row>
    <row r="733" spans="1:34" x14ac:dyDescent="0.25">
      <c r="A733" t="s">
        <v>6997</v>
      </c>
      <c r="B733" t="s">
        <v>6998</v>
      </c>
      <c r="C733" t="s">
        <v>6999</v>
      </c>
      <c r="D733" t="s">
        <v>7000</v>
      </c>
      <c r="E733" t="s">
        <v>7001</v>
      </c>
      <c r="F733" t="s">
        <v>7002</v>
      </c>
      <c r="G733" t="s">
        <v>15979</v>
      </c>
      <c r="H733" t="s">
        <v>15980</v>
      </c>
      <c r="I733" t="s">
        <v>16548</v>
      </c>
      <c r="J733" t="s">
        <v>23</v>
      </c>
      <c r="L733" t="s">
        <v>7003</v>
      </c>
      <c r="M733" t="s">
        <v>7004</v>
      </c>
      <c r="N733" t="s">
        <v>7005</v>
      </c>
      <c r="O733" t="s">
        <v>7006</v>
      </c>
      <c r="P733" t="s">
        <v>7007</v>
      </c>
      <c r="Q733" t="s">
        <v>7008</v>
      </c>
      <c r="R733" t="s">
        <v>7009</v>
      </c>
      <c r="S733" t="s">
        <v>7010</v>
      </c>
      <c r="T733" t="s">
        <v>7011</v>
      </c>
      <c r="U733" s="5">
        <v>3507.62</v>
      </c>
      <c r="V733" s="5">
        <v>1903.66</v>
      </c>
      <c r="W733" s="5">
        <v>16.493866000000001</v>
      </c>
      <c r="X733" s="5">
        <v>107.622596</v>
      </c>
      <c r="Y733" s="5">
        <v>1603.95</v>
      </c>
      <c r="Z733" s="5">
        <v>16.534875</v>
      </c>
      <c r="AA733" s="5">
        <v>107.629738</v>
      </c>
      <c r="AB733" s="7">
        <f t="shared" si="67"/>
        <v>2.8554900000000001</v>
      </c>
      <c r="AC733" s="7">
        <f t="shared" si="68"/>
        <v>2.4059250000000003</v>
      </c>
      <c r="AD733" s="6" t="str">
        <f t="shared" si="69"/>
        <v>Ring 7 Hóa Châu</v>
      </c>
      <c r="AE733" s="6" t="str">
        <f t="shared" si="70"/>
        <v>Mỹ Thượng</v>
      </c>
      <c r="AG733">
        <f t="shared" si="71"/>
        <v>1.9036600000000001</v>
      </c>
      <c r="AH733">
        <f t="shared" si="72"/>
        <v>1.60395</v>
      </c>
    </row>
    <row r="734" spans="1:34" x14ac:dyDescent="0.25">
      <c r="A734" t="s">
        <v>7012</v>
      </c>
      <c r="B734" t="s">
        <v>7013</v>
      </c>
      <c r="C734" t="s">
        <v>7014</v>
      </c>
      <c r="D734" t="s">
        <v>7015</v>
      </c>
      <c r="E734" t="s">
        <v>7016</v>
      </c>
      <c r="F734" t="s">
        <v>7017</v>
      </c>
      <c r="G734" t="s">
        <v>15979</v>
      </c>
      <c r="H734" t="s">
        <v>15980</v>
      </c>
      <c r="I734" t="s">
        <v>16549</v>
      </c>
      <c r="J734" t="s">
        <v>23</v>
      </c>
      <c r="L734" t="s">
        <v>7018</v>
      </c>
      <c r="M734" t="s">
        <v>7019</v>
      </c>
      <c r="N734" t="s">
        <v>7020</v>
      </c>
      <c r="O734" t="s">
        <v>7021</v>
      </c>
      <c r="P734" t="s">
        <v>7022</v>
      </c>
      <c r="Q734" t="s">
        <v>7023</v>
      </c>
      <c r="R734" t="s">
        <v>7024</v>
      </c>
      <c r="S734" t="s">
        <v>7025</v>
      </c>
      <c r="T734" t="s">
        <v>7026</v>
      </c>
      <c r="U734" s="5">
        <v>14876.49</v>
      </c>
      <c r="V734" s="5">
        <v>6451.64</v>
      </c>
      <c r="W734" s="5">
        <v>16.432220999999998</v>
      </c>
      <c r="X734" s="5">
        <v>107.776447</v>
      </c>
      <c r="Y734" s="5">
        <v>8424.86</v>
      </c>
      <c r="Z734" s="5">
        <v>16.345566000000002</v>
      </c>
      <c r="AA734" s="5">
        <v>107.89903099999999</v>
      </c>
      <c r="AB734" s="7">
        <f t="shared" si="67"/>
        <v>9.6774600000000017</v>
      </c>
      <c r="AC734" s="7">
        <f t="shared" si="68"/>
        <v>12.63729</v>
      </c>
      <c r="AD734" s="6" t="str">
        <f t="shared" si="69"/>
        <v>TTCMKV_Ring 1_Phú Vang</v>
      </c>
      <c r="AE734" s="6" t="str">
        <f t="shared" si="70"/>
        <v>Phú Lộc</v>
      </c>
      <c r="AG734">
        <f t="shared" si="71"/>
        <v>6.4516400000000003</v>
      </c>
      <c r="AH734">
        <f t="shared" si="72"/>
        <v>8.4248600000000007</v>
      </c>
    </row>
    <row r="735" spans="1:34" x14ac:dyDescent="0.25">
      <c r="A735" t="s">
        <v>7027</v>
      </c>
      <c r="B735" t="s">
        <v>7028</v>
      </c>
      <c r="C735" t="s">
        <v>7029</v>
      </c>
      <c r="D735" t="s">
        <v>7030</v>
      </c>
      <c r="E735" t="s">
        <v>7031</v>
      </c>
      <c r="F735" t="s">
        <v>7032</v>
      </c>
      <c r="G735" t="s">
        <v>15979</v>
      </c>
      <c r="H735" t="s">
        <v>15980</v>
      </c>
      <c r="I735" t="s">
        <v>16550</v>
      </c>
      <c r="J735" t="s">
        <v>23</v>
      </c>
      <c r="L735" t="s">
        <v>7033</v>
      </c>
      <c r="M735" t="s">
        <v>7034</v>
      </c>
      <c r="N735" t="s">
        <v>7035</v>
      </c>
      <c r="O735" t="s">
        <v>7036</v>
      </c>
      <c r="P735" t="s">
        <v>7037</v>
      </c>
      <c r="Q735" t="s">
        <v>7038</v>
      </c>
      <c r="R735" t="s">
        <v>7039</v>
      </c>
      <c r="S735" t="s">
        <v>7040</v>
      </c>
      <c r="T735" t="s">
        <v>7041</v>
      </c>
      <c r="U735" s="5">
        <v>4467.6899999999996</v>
      </c>
      <c r="V735" s="5">
        <v>710.67</v>
      </c>
      <c r="W735" s="5">
        <v>16.282229999999998</v>
      </c>
      <c r="X735" s="5">
        <v>107.858773</v>
      </c>
      <c r="Y735" s="5">
        <v>3757.02</v>
      </c>
      <c r="Z735" s="5">
        <v>16.321273000000001</v>
      </c>
      <c r="AA735" s="5">
        <v>107.773392</v>
      </c>
      <c r="AB735" s="7">
        <f t="shared" si="67"/>
        <v>1.0660049999999999</v>
      </c>
      <c r="AC735" s="7">
        <f t="shared" si="68"/>
        <v>5.6355300000000002</v>
      </c>
      <c r="AD735" s="6" t="str">
        <f t="shared" si="69"/>
        <v>Ring 13_Hương Phú</v>
      </c>
      <c r="AE735" s="6" t="str">
        <f t="shared" si="70"/>
        <v>TTCMKV Phú Lộc</v>
      </c>
      <c r="AG735">
        <f t="shared" si="71"/>
        <v>0.71066999999999991</v>
      </c>
      <c r="AH735">
        <f t="shared" si="72"/>
        <v>3.7570199999999998</v>
      </c>
    </row>
    <row r="736" spans="1:34" x14ac:dyDescent="0.25">
      <c r="A736" t="s">
        <v>7042</v>
      </c>
      <c r="B736" t="s">
        <v>7043</v>
      </c>
      <c r="C736" t="s">
        <v>7044</v>
      </c>
      <c r="D736" t="s">
        <v>7045</v>
      </c>
      <c r="E736" t="s">
        <v>7046</v>
      </c>
      <c r="F736" t="s">
        <v>7047</v>
      </c>
      <c r="G736" t="s">
        <v>15979</v>
      </c>
      <c r="H736" t="s">
        <v>15980</v>
      </c>
      <c r="I736" t="s">
        <v>16551</v>
      </c>
      <c r="J736" t="s">
        <v>23</v>
      </c>
      <c r="L736" t="s">
        <v>7048</v>
      </c>
      <c r="M736" t="s">
        <v>7049</v>
      </c>
      <c r="N736" t="s">
        <v>7050</v>
      </c>
      <c r="O736" t="s">
        <v>7051</v>
      </c>
      <c r="P736" t="s">
        <v>7052</v>
      </c>
      <c r="Q736" t="s">
        <v>7053</v>
      </c>
      <c r="R736" t="s">
        <v>7054</v>
      </c>
      <c r="S736" t="s">
        <v>7055</v>
      </c>
      <c r="T736" t="s">
        <v>7056</v>
      </c>
      <c r="U736" s="5">
        <v>5362.34</v>
      </c>
      <c r="V736" s="5">
        <v>281.25</v>
      </c>
      <c r="W736" s="5">
        <v>16.410368999999999</v>
      </c>
      <c r="X736" s="5">
        <v>107.679062</v>
      </c>
      <c r="Y736" s="5">
        <v>5081.09</v>
      </c>
      <c r="Z736" s="5">
        <v>16.449480999999999</v>
      </c>
      <c r="AA736" s="5">
        <v>107.62788500000001</v>
      </c>
      <c r="AB736" s="7">
        <f t="shared" si="67"/>
        <v>0.421875</v>
      </c>
      <c r="AC736" s="7">
        <f t="shared" si="68"/>
        <v>7.6216350000000004</v>
      </c>
      <c r="AD736" s="6" t="str">
        <f t="shared" si="69"/>
        <v>TTCMKV_Ring 1_Hương Thủy</v>
      </c>
      <c r="AE736" s="6" t="str">
        <f t="shared" si="70"/>
        <v>CAT Huế mới</v>
      </c>
      <c r="AG736">
        <f t="shared" si="71"/>
        <v>0.28125</v>
      </c>
      <c r="AH736">
        <f t="shared" si="72"/>
        <v>5.0810900000000006</v>
      </c>
    </row>
    <row r="737" spans="1:34" x14ac:dyDescent="0.25">
      <c r="A737" t="s">
        <v>7057</v>
      </c>
      <c r="B737" t="s">
        <v>7058</v>
      </c>
      <c r="C737" t="s">
        <v>7059</v>
      </c>
      <c r="D737" t="s">
        <v>7058</v>
      </c>
      <c r="E737" t="s">
        <v>7059</v>
      </c>
      <c r="F737" t="s">
        <v>7060</v>
      </c>
      <c r="G737" t="s">
        <v>15979</v>
      </c>
      <c r="H737" t="s">
        <v>15980</v>
      </c>
      <c r="I737" t="s">
        <v>16552</v>
      </c>
      <c r="J737" t="s">
        <v>23</v>
      </c>
      <c r="L737" t="s">
        <v>7061</v>
      </c>
      <c r="M737" t="s">
        <v>7062</v>
      </c>
      <c r="N737" t="s">
        <v>7063</v>
      </c>
      <c r="O737" t="s">
        <v>7064</v>
      </c>
      <c r="P737" t="s">
        <v>7065</v>
      </c>
      <c r="Q737" t="s">
        <v>7063</v>
      </c>
      <c r="R737" t="s">
        <v>7064</v>
      </c>
      <c r="S737" t="s">
        <v>7065</v>
      </c>
      <c r="T737" t="s">
        <v>7066</v>
      </c>
      <c r="U737" s="5">
        <v>3050.43</v>
      </c>
      <c r="V737" s="5">
        <v>1525.21</v>
      </c>
      <c r="W737" s="5">
        <v>16.496891000000002</v>
      </c>
      <c r="X737" s="5">
        <v>107.507471</v>
      </c>
      <c r="Y737" s="5">
        <v>1525.21</v>
      </c>
      <c r="Z737" s="5">
        <v>16.496891000000002</v>
      </c>
      <c r="AA737" s="5">
        <v>107.507471</v>
      </c>
      <c r="AB737" s="7">
        <f t="shared" si="67"/>
        <v>2.2878150000000002</v>
      </c>
      <c r="AC737" s="7">
        <f t="shared" si="68"/>
        <v>2.2878150000000002</v>
      </c>
      <c r="AD737" s="6" t="str">
        <f t="shared" si="69"/>
        <v>Ring 6 TTCMKV Quảng Điền</v>
      </c>
      <c r="AE737" s="6" t="str">
        <f t="shared" si="70"/>
        <v>Kim Trà</v>
      </c>
      <c r="AG737">
        <f t="shared" si="71"/>
        <v>1.52521</v>
      </c>
      <c r="AH737">
        <f t="shared" si="72"/>
        <v>1.52521</v>
      </c>
    </row>
    <row r="738" spans="1:34" x14ac:dyDescent="0.25">
      <c r="A738" t="s">
        <v>7067</v>
      </c>
      <c r="B738" t="s">
        <v>7068</v>
      </c>
      <c r="C738" t="s">
        <v>7069</v>
      </c>
      <c r="D738" t="s">
        <v>7070</v>
      </c>
      <c r="E738" t="s">
        <v>7071</v>
      </c>
      <c r="F738" t="s">
        <v>7072</v>
      </c>
      <c r="G738" t="s">
        <v>15979</v>
      </c>
      <c r="H738" t="s">
        <v>15980</v>
      </c>
      <c r="I738" t="s">
        <v>7067</v>
      </c>
      <c r="J738" t="s">
        <v>23</v>
      </c>
      <c r="L738" t="s">
        <v>7073</v>
      </c>
      <c r="M738" t="s">
        <v>7074</v>
      </c>
      <c r="N738" t="s">
        <v>7075</v>
      </c>
      <c r="O738" t="s">
        <v>7076</v>
      </c>
      <c r="P738" t="s">
        <v>7077</v>
      </c>
      <c r="Q738" t="s">
        <v>7078</v>
      </c>
      <c r="R738" t="s">
        <v>7079</v>
      </c>
      <c r="S738" t="s">
        <v>7080</v>
      </c>
      <c r="T738" t="s">
        <v>7081</v>
      </c>
      <c r="U738" s="5">
        <v>1763.15</v>
      </c>
      <c r="V738" s="5">
        <v>504.24</v>
      </c>
      <c r="W738" s="5">
        <v>16.568887</v>
      </c>
      <c r="X738" s="5">
        <v>107.386796</v>
      </c>
      <c r="Y738" s="5">
        <v>1258.9000000000001</v>
      </c>
      <c r="Z738" s="5">
        <v>16.58006</v>
      </c>
      <c r="AA738" s="5">
        <v>107.513435</v>
      </c>
      <c r="AB738" s="7">
        <f t="shared" si="67"/>
        <v>0.75636000000000003</v>
      </c>
      <c r="AC738" s="7">
        <f t="shared" si="68"/>
        <v>1.8883500000000002</v>
      </c>
      <c r="AD738" s="6" t="str">
        <f t="shared" si="69"/>
        <v>TTCMKV_Ring 2_Quảng Điền</v>
      </c>
      <c r="AE738" s="6" t="str">
        <f t="shared" si="70"/>
        <v>Phong Điền</v>
      </c>
      <c r="AG738">
        <f t="shared" si="71"/>
        <v>0.50424000000000002</v>
      </c>
      <c r="AH738">
        <f t="shared" si="72"/>
        <v>1.2589000000000001</v>
      </c>
    </row>
    <row r="739" spans="1:34" x14ac:dyDescent="0.25">
      <c r="A739" t="s">
        <v>7082</v>
      </c>
      <c r="B739" t="s">
        <v>7083</v>
      </c>
      <c r="C739" t="s">
        <v>7084</v>
      </c>
      <c r="D739" t="s">
        <v>7085</v>
      </c>
      <c r="E739" t="s">
        <v>7086</v>
      </c>
      <c r="F739" t="s">
        <v>7087</v>
      </c>
      <c r="G739" t="s">
        <v>15827</v>
      </c>
      <c r="H739" t="s">
        <v>16230</v>
      </c>
      <c r="I739" t="s">
        <v>16553</v>
      </c>
      <c r="J739" t="s">
        <v>23</v>
      </c>
      <c r="L739" t="s">
        <v>7088</v>
      </c>
      <c r="M739" t="s">
        <v>7089</v>
      </c>
      <c r="N739" t="s">
        <v>7090</v>
      </c>
      <c r="O739" t="s">
        <v>7091</v>
      </c>
      <c r="P739" t="s">
        <v>7092</v>
      </c>
      <c r="Q739" t="s">
        <v>7093</v>
      </c>
      <c r="R739" t="s">
        <v>7094</v>
      </c>
      <c r="S739" t="s">
        <v>7095</v>
      </c>
      <c r="T739" t="s">
        <v>7096</v>
      </c>
      <c r="U739" s="5">
        <v>116.41</v>
      </c>
      <c r="V739" s="5">
        <v>24.59</v>
      </c>
      <c r="W739" s="5">
        <v>16.465112999999999</v>
      </c>
      <c r="X739" s="5">
        <v>107.595674</v>
      </c>
      <c r="Y739" s="5">
        <v>91.82</v>
      </c>
      <c r="Z739" s="5">
        <v>16.463172</v>
      </c>
      <c r="AA739" s="5">
        <v>107.594795</v>
      </c>
      <c r="AB739" s="7">
        <f t="shared" si="67"/>
        <v>3.6885000000000001E-2</v>
      </c>
      <c r="AC739" s="7">
        <f t="shared" si="68"/>
        <v>0.13772999999999999</v>
      </c>
      <c r="AD739" s="6" t="str">
        <f t="shared" si="69"/>
        <v>Ring 1 CA TP Huế</v>
      </c>
      <c r="AE739" s="6" t="str">
        <f t="shared" si="70"/>
        <v>PK02</v>
      </c>
      <c r="AG739">
        <f t="shared" si="71"/>
        <v>2.4590000000000001E-2</v>
      </c>
      <c r="AH739">
        <f t="shared" si="72"/>
        <v>9.1819999999999999E-2</v>
      </c>
    </row>
    <row r="740" spans="1:34" x14ac:dyDescent="0.25">
      <c r="A740" t="s">
        <v>7097</v>
      </c>
      <c r="B740" t="s">
        <v>7098</v>
      </c>
      <c r="C740" t="s">
        <v>7099</v>
      </c>
      <c r="D740" t="s">
        <v>7100</v>
      </c>
      <c r="E740" t="s">
        <v>7101</v>
      </c>
      <c r="F740" t="s">
        <v>7102</v>
      </c>
      <c r="G740" t="s">
        <v>15827</v>
      </c>
      <c r="H740" t="s">
        <v>16230</v>
      </c>
      <c r="I740" t="s">
        <v>16554</v>
      </c>
      <c r="J740" t="s">
        <v>23</v>
      </c>
      <c r="L740" t="s">
        <v>7103</v>
      </c>
      <c r="M740" t="s">
        <v>7104</v>
      </c>
      <c r="N740" t="s">
        <v>7105</v>
      </c>
      <c r="O740" t="s">
        <v>7106</v>
      </c>
      <c r="P740" t="s">
        <v>7107</v>
      </c>
      <c r="Q740" t="s">
        <v>7108</v>
      </c>
      <c r="R740" t="s">
        <v>7109</v>
      </c>
      <c r="S740" t="s">
        <v>7110</v>
      </c>
      <c r="T740" t="s">
        <v>7111</v>
      </c>
      <c r="U740" s="5">
        <v>40.65</v>
      </c>
      <c r="V740" s="5">
        <v>23.03</v>
      </c>
      <c r="W740" s="5">
        <v>16.487348999999998</v>
      </c>
      <c r="X740" s="5">
        <v>107.58749</v>
      </c>
      <c r="Y740" s="5">
        <v>17.61</v>
      </c>
      <c r="Z740" s="5">
        <v>16.482997999999998</v>
      </c>
      <c r="AA740" s="5">
        <v>107.58643600000001</v>
      </c>
      <c r="AB740" s="7">
        <f t="shared" si="67"/>
        <v>3.4544999999999999E-2</v>
      </c>
      <c r="AC740" s="7">
        <f t="shared" si="68"/>
        <v>2.6414999999999998E-2</v>
      </c>
      <c r="AD740" s="6" t="str">
        <f t="shared" si="69"/>
        <v>Ring 1 Nguyễn Thái Học</v>
      </c>
      <c r="AE740" s="6" t="str">
        <f t="shared" si="70"/>
        <v>Phú Xuân</v>
      </c>
      <c r="AG740">
        <f t="shared" si="71"/>
        <v>2.3030000000000002E-2</v>
      </c>
      <c r="AH740">
        <f t="shared" si="72"/>
        <v>1.7610000000000001E-2</v>
      </c>
    </row>
    <row r="741" spans="1:34" x14ac:dyDescent="0.25">
      <c r="A741" t="s">
        <v>7112</v>
      </c>
      <c r="B741" t="s">
        <v>7113</v>
      </c>
      <c r="C741" t="s">
        <v>7114</v>
      </c>
      <c r="D741" t="s">
        <v>7045</v>
      </c>
      <c r="E741" t="s">
        <v>7046</v>
      </c>
      <c r="F741" t="s">
        <v>7115</v>
      </c>
      <c r="G741" t="s">
        <v>15827</v>
      </c>
      <c r="H741" t="s">
        <v>16230</v>
      </c>
      <c r="I741" t="s">
        <v>16555</v>
      </c>
      <c r="J741" t="s">
        <v>23</v>
      </c>
      <c r="L741" t="s">
        <v>7116</v>
      </c>
      <c r="M741" t="s">
        <v>7117</v>
      </c>
      <c r="N741" t="s">
        <v>7118</v>
      </c>
      <c r="O741" t="s">
        <v>7119</v>
      </c>
      <c r="P741" t="s">
        <v>7120</v>
      </c>
      <c r="Q741" t="s">
        <v>7121</v>
      </c>
      <c r="R741" t="s">
        <v>7122</v>
      </c>
      <c r="S741" t="s">
        <v>7123</v>
      </c>
      <c r="T741" t="s">
        <v>7124</v>
      </c>
      <c r="U741" s="5">
        <v>772.53</v>
      </c>
      <c r="V741" s="5">
        <v>18.86</v>
      </c>
      <c r="W741" s="5">
        <v>16.495902000000001</v>
      </c>
      <c r="X741" s="5">
        <v>107.598653</v>
      </c>
      <c r="Y741" s="5">
        <v>753.68</v>
      </c>
      <c r="Z741" s="5">
        <v>16.493953999999999</v>
      </c>
      <c r="AA741" s="5">
        <v>107.622204</v>
      </c>
      <c r="AB741" s="7">
        <f t="shared" si="67"/>
        <v>2.8289999999999999E-2</v>
      </c>
      <c r="AC741" s="7">
        <f t="shared" si="68"/>
        <v>1.13052</v>
      </c>
      <c r="AD741" s="6" t="str">
        <f t="shared" si="69"/>
        <v>Ring 3 CAT TT Huế</v>
      </c>
      <c r="AE741" s="6" t="str">
        <f t="shared" si="70"/>
        <v>PA07</v>
      </c>
      <c r="AG741">
        <f t="shared" si="71"/>
        <v>1.8859999999999998E-2</v>
      </c>
      <c r="AH741">
        <f t="shared" si="72"/>
        <v>0.75367999999999991</v>
      </c>
    </row>
    <row r="742" spans="1:34" x14ac:dyDescent="0.25">
      <c r="A742" t="s">
        <v>7125</v>
      </c>
      <c r="B742" t="s">
        <v>7126</v>
      </c>
      <c r="C742" t="s">
        <v>7127</v>
      </c>
      <c r="D742" t="s">
        <v>7128</v>
      </c>
      <c r="E742" t="s">
        <v>7129</v>
      </c>
      <c r="F742" t="s">
        <v>7130</v>
      </c>
      <c r="G742" t="s">
        <v>15827</v>
      </c>
      <c r="H742" t="s">
        <v>16230</v>
      </c>
      <c r="I742" t="s">
        <v>16556</v>
      </c>
      <c r="J742" t="s">
        <v>23</v>
      </c>
      <c r="L742" t="s">
        <v>7131</v>
      </c>
      <c r="M742" t="s">
        <v>7132</v>
      </c>
      <c r="N742" t="s">
        <v>7133</v>
      </c>
      <c r="O742" t="s">
        <v>7134</v>
      </c>
      <c r="P742" t="s">
        <v>7135</v>
      </c>
      <c r="Q742" t="s">
        <v>7136</v>
      </c>
      <c r="R742" t="s">
        <v>7137</v>
      </c>
      <c r="S742" t="s">
        <v>7138</v>
      </c>
      <c r="T742" t="s">
        <v>7139</v>
      </c>
      <c r="U742" s="5">
        <v>346.19</v>
      </c>
      <c r="V742" s="5">
        <v>13.97</v>
      </c>
      <c r="W742" s="5">
        <v>16.475570999999999</v>
      </c>
      <c r="X742" s="5">
        <v>107.60319</v>
      </c>
      <c r="Y742" s="5">
        <v>332.22</v>
      </c>
      <c r="Z742" s="5">
        <v>16.475852</v>
      </c>
      <c r="AA742" s="5">
        <v>107.603185</v>
      </c>
      <c r="AB742" s="7">
        <f t="shared" si="67"/>
        <v>2.0955000000000001E-2</v>
      </c>
      <c r="AC742" s="7">
        <f t="shared" si="68"/>
        <v>0.49833000000000005</v>
      </c>
      <c r="AD742" s="6" t="str">
        <f t="shared" si="69"/>
        <v>Ring 3 PA07</v>
      </c>
      <c r="AE742" s="6" t="str">
        <f t="shared" si="70"/>
        <v>PC01</v>
      </c>
      <c r="AG742">
        <f t="shared" si="71"/>
        <v>1.397E-2</v>
      </c>
      <c r="AH742">
        <f t="shared" si="72"/>
        <v>0.33222000000000002</v>
      </c>
    </row>
    <row r="743" spans="1:34" x14ac:dyDescent="0.25">
      <c r="A743" t="s">
        <v>7140</v>
      </c>
      <c r="B743" t="s">
        <v>7141</v>
      </c>
      <c r="C743" t="s">
        <v>7142</v>
      </c>
      <c r="D743" t="s">
        <v>7143</v>
      </c>
      <c r="E743" t="s">
        <v>7144</v>
      </c>
      <c r="F743" t="s">
        <v>7145</v>
      </c>
      <c r="G743" t="s">
        <v>15827</v>
      </c>
      <c r="H743" t="s">
        <v>16230</v>
      </c>
      <c r="I743" t="s">
        <v>16557</v>
      </c>
      <c r="J743" t="s">
        <v>23</v>
      </c>
      <c r="L743" t="s">
        <v>7146</v>
      </c>
      <c r="M743" t="s">
        <v>7147</v>
      </c>
      <c r="N743" t="s">
        <v>7148</v>
      </c>
      <c r="O743" t="s">
        <v>7149</v>
      </c>
      <c r="P743" t="s">
        <v>7150</v>
      </c>
      <c r="Q743" t="s">
        <v>7151</v>
      </c>
      <c r="R743" t="s">
        <v>7152</v>
      </c>
      <c r="S743" t="s">
        <v>7153</v>
      </c>
      <c r="T743" t="s">
        <v>7154</v>
      </c>
      <c r="U743" s="5">
        <v>493.3</v>
      </c>
      <c r="V743" s="5">
        <v>111.91</v>
      </c>
      <c r="W743" s="5">
        <v>16.452242999999999</v>
      </c>
      <c r="X743" s="5">
        <v>107.613004</v>
      </c>
      <c r="Y743" s="5">
        <v>381.39</v>
      </c>
      <c r="Z743" s="5">
        <v>16.457075</v>
      </c>
      <c r="AA743" s="5">
        <v>107.600076</v>
      </c>
      <c r="AB743" s="7">
        <f t="shared" si="67"/>
        <v>0.16786500000000001</v>
      </c>
      <c r="AC743" s="7">
        <f t="shared" si="68"/>
        <v>0.57208500000000007</v>
      </c>
      <c r="AD743" s="6" t="str">
        <f t="shared" si="69"/>
        <v>TTCMKV_Ring 2_Phong Điền</v>
      </c>
      <c r="AE743" s="6" t="str">
        <f t="shared" si="70"/>
        <v>CAT Huế mới</v>
      </c>
      <c r="AG743">
        <f t="shared" si="71"/>
        <v>0.11191</v>
      </c>
      <c r="AH743">
        <f t="shared" si="72"/>
        <v>0.38139000000000001</v>
      </c>
    </row>
    <row r="744" spans="1:34" x14ac:dyDescent="0.25">
      <c r="A744" t="s">
        <v>7155</v>
      </c>
      <c r="B744" t="s">
        <v>7156</v>
      </c>
      <c r="C744" t="s">
        <v>7157</v>
      </c>
      <c r="D744" t="s">
        <v>7158</v>
      </c>
      <c r="E744" t="s">
        <v>7159</v>
      </c>
      <c r="F744" t="s">
        <v>7160</v>
      </c>
      <c r="G744" t="s">
        <v>15827</v>
      </c>
      <c r="H744" t="s">
        <v>16230</v>
      </c>
      <c r="I744" t="s">
        <v>16558</v>
      </c>
      <c r="J744" t="s">
        <v>23</v>
      </c>
      <c r="L744" t="s">
        <v>7088</v>
      </c>
      <c r="M744" t="s">
        <v>7161</v>
      </c>
      <c r="N744" t="s">
        <v>7162</v>
      </c>
      <c r="O744" t="s">
        <v>7163</v>
      </c>
      <c r="P744" t="s">
        <v>7164</v>
      </c>
      <c r="Q744" t="s">
        <v>7165</v>
      </c>
      <c r="R744" t="s">
        <v>7166</v>
      </c>
      <c r="S744" t="s">
        <v>7167</v>
      </c>
      <c r="T744" t="s">
        <v>7096</v>
      </c>
      <c r="U744" s="5">
        <v>684.71</v>
      </c>
      <c r="V744" s="5">
        <v>143.93</v>
      </c>
      <c r="W744" s="5">
        <v>16.463031999999998</v>
      </c>
      <c r="X744" s="5">
        <v>107.595343</v>
      </c>
      <c r="Y744" s="5">
        <v>540.78</v>
      </c>
      <c r="Z744" s="5">
        <v>16.464182999999998</v>
      </c>
      <c r="AA744" s="5">
        <v>107.59474299999999</v>
      </c>
      <c r="AB744" s="7">
        <f t="shared" si="67"/>
        <v>0.215895</v>
      </c>
      <c r="AC744" s="7">
        <f t="shared" si="68"/>
        <v>0.81116999999999995</v>
      </c>
      <c r="AD744" s="6" t="str">
        <f t="shared" si="69"/>
        <v>Ring 1 CA TP Huế</v>
      </c>
      <c r="AE744" s="6" t="str">
        <f t="shared" si="70"/>
        <v>PK02</v>
      </c>
      <c r="AG744">
        <f t="shared" si="71"/>
        <v>0.14393</v>
      </c>
      <c r="AH744">
        <f t="shared" si="72"/>
        <v>0.54077999999999993</v>
      </c>
    </row>
    <row r="745" spans="1:34" x14ac:dyDescent="0.25">
      <c r="A745" t="s">
        <v>7168</v>
      </c>
      <c r="B745" t="s">
        <v>7169</v>
      </c>
      <c r="C745" t="s">
        <v>7170</v>
      </c>
      <c r="D745" t="s">
        <v>7171</v>
      </c>
      <c r="E745" t="s">
        <v>7172</v>
      </c>
      <c r="F745" t="s">
        <v>7173</v>
      </c>
      <c r="G745" t="s">
        <v>15827</v>
      </c>
      <c r="H745" t="s">
        <v>16230</v>
      </c>
      <c r="I745" t="s">
        <v>16559</v>
      </c>
      <c r="J745" t="s">
        <v>23</v>
      </c>
      <c r="L745" t="s">
        <v>7174</v>
      </c>
      <c r="M745" t="s">
        <v>7175</v>
      </c>
      <c r="N745" t="s">
        <v>7176</v>
      </c>
      <c r="O745" t="s">
        <v>7177</v>
      </c>
      <c r="P745" t="s">
        <v>7178</v>
      </c>
      <c r="Q745" t="s">
        <v>7179</v>
      </c>
      <c r="R745" t="s">
        <v>7180</v>
      </c>
      <c r="S745" t="s">
        <v>7181</v>
      </c>
      <c r="T745" t="s">
        <v>7182</v>
      </c>
      <c r="U745" s="5">
        <v>6284.57</v>
      </c>
      <c r="V745" s="5">
        <v>3752.34</v>
      </c>
      <c r="W745" s="5">
        <v>16.397697000000001</v>
      </c>
      <c r="X745" s="5">
        <v>107.59733199999999</v>
      </c>
      <c r="Y745" s="5">
        <v>2532.23</v>
      </c>
      <c r="Z745" s="5">
        <v>16.393180000000001</v>
      </c>
      <c r="AA745" s="5">
        <v>107.577963</v>
      </c>
      <c r="AB745" s="7">
        <f t="shared" si="67"/>
        <v>5.6285100000000003</v>
      </c>
      <c r="AC745" s="7">
        <f t="shared" si="68"/>
        <v>3.7983450000000003</v>
      </c>
      <c r="AD745" s="6" t="str">
        <f t="shared" si="69"/>
        <v>Ring 12_Bình Điền</v>
      </c>
      <c r="AE745" s="6" t="str">
        <f t="shared" si="70"/>
        <v>TTCMKV Hương Thủy</v>
      </c>
      <c r="AG745">
        <f t="shared" si="71"/>
        <v>3.7523400000000002</v>
      </c>
      <c r="AH745">
        <f t="shared" si="72"/>
        <v>2.5322300000000002</v>
      </c>
    </row>
    <row r="746" spans="1:34" x14ac:dyDescent="0.25">
      <c r="A746" t="s">
        <v>7183</v>
      </c>
      <c r="B746" t="s">
        <v>7184</v>
      </c>
      <c r="C746" t="s">
        <v>7185</v>
      </c>
      <c r="D746" t="s">
        <v>7186</v>
      </c>
      <c r="E746" t="s">
        <v>7187</v>
      </c>
      <c r="F746" t="s">
        <v>7188</v>
      </c>
      <c r="G746" t="s">
        <v>15827</v>
      </c>
      <c r="H746" t="s">
        <v>16230</v>
      </c>
      <c r="I746" t="s">
        <v>16560</v>
      </c>
      <c r="J746" t="s">
        <v>23</v>
      </c>
      <c r="L746" t="s">
        <v>7146</v>
      </c>
      <c r="M746" t="s">
        <v>7189</v>
      </c>
      <c r="N746" t="s">
        <v>7190</v>
      </c>
      <c r="O746" t="s">
        <v>7191</v>
      </c>
      <c r="P746" t="s">
        <v>7192</v>
      </c>
      <c r="Q746" t="s">
        <v>1790</v>
      </c>
      <c r="R746" t="s">
        <v>7193</v>
      </c>
      <c r="S746" t="s">
        <v>7194</v>
      </c>
      <c r="T746" t="s">
        <v>7195</v>
      </c>
      <c r="U746" s="5">
        <v>7974.8</v>
      </c>
      <c r="V746" s="5">
        <v>7414.04</v>
      </c>
      <c r="W746" s="5">
        <v>16.483526000000001</v>
      </c>
      <c r="X746" s="5">
        <v>107.549825</v>
      </c>
      <c r="Y746" s="5">
        <v>560.76</v>
      </c>
      <c r="Z746" s="5">
        <v>16.523812</v>
      </c>
      <c r="AA746" s="5">
        <v>107.480937</v>
      </c>
      <c r="AB746" s="7">
        <f t="shared" si="67"/>
        <v>11.12106</v>
      </c>
      <c r="AC746" s="7">
        <f t="shared" si="68"/>
        <v>0.84114</v>
      </c>
      <c r="AD746" s="6" t="str">
        <f t="shared" si="69"/>
        <v>TTCMKV_Ring 2_Phong Điền</v>
      </c>
      <c r="AE746" s="6" t="str">
        <f t="shared" si="70"/>
        <v>CAT Huế mới</v>
      </c>
      <c r="AG746">
        <f t="shared" si="71"/>
        <v>7.41404</v>
      </c>
      <c r="AH746">
        <f t="shared" si="72"/>
        <v>0.56076000000000004</v>
      </c>
    </row>
    <row r="747" spans="1:34" x14ac:dyDescent="0.25">
      <c r="A747" t="s">
        <v>7196</v>
      </c>
      <c r="B747" t="s">
        <v>7197</v>
      </c>
      <c r="C747" t="s">
        <v>7198</v>
      </c>
      <c r="D747" t="s">
        <v>7085</v>
      </c>
      <c r="E747" t="s">
        <v>7086</v>
      </c>
      <c r="F747" t="s">
        <v>7199</v>
      </c>
      <c r="G747" t="s">
        <v>15827</v>
      </c>
      <c r="H747" t="s">
        <v>16230</v>
      </c>
      <c r="I747" t="s">
        <v>16561</v>
      </c>
      <c r="J747" t="s">
        <v>23</v>
      </c>
      <c r="L747" t="s">
        <v>7200</v>
      </c>
      <c r="M747" t="s">
        <v>2927</v>
      </c>
      <c r="N747" t="s">
        <v>1397</v>
      </c>
      <c r="O747" t="s">
        <v>7201</v>
      </c>
      <c r="P747" t="s">
        <v>7202</v>
      </c>
      <c r="Q747" t="s">
        <v>7203</v>
      </c>
      <c r="R747" t="s">
        <v>7201</v>
      </c>
      <c r="S747" t="s">
        <v>7202</v>
      </c>
      <c r="T747" t="s">
        <v>7204</v>
      </c>
      <c r="U747" s="5">
        <v>73.959999999999994</v>
      </c>
      <c r="V747" s="5">
        <v>13.09</v>
      </c>
      <c r="W747" s="5">
        <v>16.462486999999999</v>
      </c>
      <c r="X747" s="5">
        <v>107.594978</v>
      </c>
      <c r="Y747" s="5">
        <v>60.87</v>
      </c>
      <c r="Z747" s="5">
        <v>16.462486999999999</v>
      </c>
      <c r="AA747" s="5">
        <v>107.594978</v>
      </c>
      <c r="AB747" s="7">
        <f t="shared" si="67"/>
        <v>1.9635E-2</v>
      </c>
      <c r="AC747" s="7">
        <f t="shared" si="68"/>
        <v>9.1304999999999997E-2</v>
      </c>
      <c r="AD747" s="6" t="str">
        <f t="shared" si="69"/>
        <v>PC07 (52 Hùng Vương)</v>
      </c>
      <c r="AE747" s="6" t="str">
        <f t="shared" si="70"/>
        <v>TT Huế</v>
      </c>
      <c r="AG747">
        <f t="shared" si="71"/>
        <v>1.3089999999999999E-2</v>
      </c>
      <c r="AH747">
        <f t="shared" si="72"/>
        <v>6.087E-2</v>
      </c>
    </row>
    <row r="748" spans="1:34" x14ac:dyDescent="0.25">
      <c r="A748" t="s">
        <v>7205</v>
      </c>
      <c r="B748" t="s">
        <v>7206</v>
      </c>
      <c r="C748" t="s">
        <v>7207</v>
      </c>
      <c r="D748" t="s">
        <v>7208</v>
      </c>
      <c r="E748" t="s">
        <v>7209</v>
      </c>
      <c r="F748" t="s">
        <v>7210</v>
      </c>
      <c r="G748" t="s">
        <v>15827</v>
      </c>
      <c r="H748" t="s">
        <v>16230</v>
      </c>
      <c r="I748" t="s">
        <v>16562</v>
      </c>
      <c r="J748" t="s">
        <v>23</v>
      </c>
      <c r="L748" t="s">
        <v>7174</v>
      </c>
      <c r="M748" t="s">
        <v>7211</v>
      </c>
      <c r="N748" t="s">
        <v>7212</v>
      </c>
      <c r="O748" t="s">
        <v>7213</v>
      </c>
      <c r="P748" t="s">
        <v>7214</v>
      </c>
      <c r="Q748" t="s">
        <v>7215</v>
      </c>
      <c r="R748" t="s">
        <v>7216</v>
      </c>
      <c r="S748" t="s">
        <v>7217</v>
      </c>
      <c r="T748" t="s">
        <v>7182</v>
      </c>
      <c r="U748" s="5">
        <v>4055.05</v>
      </c>
      <c r="V748" s="5">
        <v>3002.96</v>
      </c>
      <c r="W748" s="5">
        <v>16.410385999999999</v>
      </c>
      <c r="X748" s="5">
        <v>107.679068</v>
      </c>
      <c r="Y748" s="5">
        <v>1052.0899999999999</v>
      </c>
      <c r="Z748" s="5">
        <v>16.398534999999999</v>
      </c>
      <c r="AA748" s="5">
        <v>107.617428</v>
      </c>
      <c r="AB748" s="7">
        <f t="shared" si="67"/>
        <v>4.5044400000000007</v>
      </c>
      <c r="AC748" s="7">
        <f t="shared" si="68"/>
        <v>1.5781349999999998</v>
      </c>
      <c r="AD748" s="6" t="str">
        <f t="shared" si="69"/>
        <v>Ring 12_Bình Điền</v>
      </c>
      <c r="AE748" s="6" t="str">
        <f t="shared" si="70"/>
        <v>TTCMKV Hương Thủy</v>
      </c>
      <c r="AG748">
        <f t="shared" si="71"/>
        <v>3.0029599999999999</v>
      </c>
      <c r="AH748">
        <f t="shared" si="72"/>
        <v>1.05209</v>
      </c>
    </row>
    <row r="749" spans="1:34" x14ac:dyDescent="0.25">
      <c r="A749" t="s">
        <v>7218</v>
      </c>
      <c r="B749" t="s">
        <v>7219</v>
      </c>
      <c r="C749" t="s">
        <v>7220</v>
      </c>
      <c r="D749" t="s">
        <v>7085</v>
      </c>
      <c r="E749" t="s">
        <v>7086</v>
      </c>
      <c r="F749" t="s">
        <v>7221</v>
      </c>
      <c r="G749" t="s">
        <v>15827</v>
      </c>
      <c r="H749" t="s">
        <v>16230</v>
      </c>
      <c r="I749" t="s">
        <v>16563</v>
      </c>
      <c r="J749" t="s">
        <v>23</v>
      </c>
      <c r="L749" t="s">
        <v>7222</v>
      </c>
      <c r="M749" t="s">
        <v>7223</v>
      </c>
      <c r="N749" t="s">
        <v>7224</v>
      </c>
      <c r="O749" t="s">
        <v>7225</v>
      </c>
      <c r="P749" t="s">
        <v>7226</v>
      </c>
      <c r="Q749" t="s">
        <v>7227</v>
      </c>
      <c r="R749" t="s">
        <v>7228</v>
      </c>
      <c r="S749" t="s">
        <v>7229</v>
      </c>
      <c r="T749" t="s">
        <v>7230</v>
      </c>
      <c r="U749" s="5">
        <v>338.8</v>
      </c>
      <c r="V749" s="5">
        <v>21.06</v>
      </c>
      <c r="W749" s="5">
        <v>16.467756000000001</v>
      </c>
      <c r="X749" s="5">
        <v>107.595181</v>
      </c>
      <c r="Y749" s="5">
        <v>317.75</v>
      </c>
      <c r="Z749" s="5">
        <v>16.465074000000001</v>
      </c>
      <c r="AA749" s="5">
        <v>107.595547</v>
      </c>
      <c r="AB749" s="7">
        <f t="shared" si="67"/>
        <v>3.1589999999999993E-2</v>
      </c>
      <c r="AC749" s="7">
        <f t="shared" si="68"/>
        <v>0.47662500000000002</v>
      </c>
      <c r="AD749" s="6" t="str">
        <f t="shared" si="69"/>
        <v>Ring 1 PK02</v>
      </c>
      <c r="AE749" s="6" t="str">
        <f t="shared" si="70"/>
        <v>Nguyễn Thái Học</v>
      </c>
      <c r="AG749">
        <f t="shared" si="71"/>
        <v>2.1059999999999999E-2</v>
      </c>
      <c r="AH749">
        <f t="shared" si="72"/>
        <v>0.31774999999999998</v>
      </c>
    </row>
    <row r="750" spans="1:34" x14ac:dyDescent="0.25">
      <c r="A750" t="s">
        <v>7231</v>
      </c>
      <c r="B750" t="s">
        <v>7232</v>
      </c>
      <c r="C750" t="s">
        <v>7233</v>
      </c>
      <c r="D750" t="s">
        <v>7234</v>
      </c>
      <c r="E750" t="s">
        <v>7235</v>
      </c>
      <c r="F750" t="s">
        <v>7236</v>
      </c>
      <c r="G750" t="s">
        <v>15827</v>
      </c>
      <c r="H750" t="s">
        <v>16230</v>
      </c>
      <c r="I750" t="s">
        <v>16564</v>
      </c>
      <c r="J750" t="s">
        <v>23</v>
      </c>
      <c r="L750" t="s">
        <v>7237</v>
      </c>
      <c r="M750" t="s">
        <v>7238</v>
      </c>
      <c r="N750" t="s">
        <v>7239</v>
      </c>
      <c r="O750" t="s">
        <v>7240</v>
      </c>
      <c r="P750" t="s">
        <v>7241</v>
      </c>
      <c r="Q750" t="s">
        <v>7242</v>
      </c>
      <c r="R750" t="s">
        <v>7243</v>
      </c>
      <c r="S750" t="s">
        <v>7244</v>
      </c>
      <c r="T750" t="s">
        <v>7245</v>
      </c>
      <c r="U750" s="5">
        <v>146.69</v>
      </c>
      <c r="V750" s="5">
        <v>81.430000000000007</v>
      </c>
      <c r="W750" s="5">
        <v>16.668635999999999</v>
      </c>
      <c r="X750" s="5">
        <v>107.478525</v>
      </c>
      <c r="Y750" s="5">
        <v>65.260000000000005</v>
      </c>
      <c r="Z750" s="5">
        <v>16.595822999999999</v>
      </c>
      <c r="AA750" s="5">
        <v>107.575176</v>
      </c>
      <c r="AB750" s="7">
        <f t="shared" si="67"/>
        <v>0.122145</v>
      </c>
      <c r="AC750" s="7">
        <f t="shared" si="68"/>
        <v>9.7890000000000019E-2</v>
      </c>
      <c r="AD750" s="6" t="str">
        <f t="shared" si="69"/>
        <v>Ring 4 Phong Quảng</v>
      </c>
      <c r="AE750" s="6" t="str">
        <f t="shared" si="70"/>
        <v>TTCMKV Quảng
Điền</v>
      </c>
      <c r="AG750">
        <f t="shared" si="71"/>
        <v>8.1430000000000002E-2</v>
      </c>
      <c r="AH750">
        <f t="shared" si="72"/>
        <v>6.5259999999999999E-2</v>
      </c>
    </row>
    <row r="751" spans="1:34" x14ac:dyDescent="0.25">
      <c r="A751" t="s">
        <v>7246</v>
      </c>
      <c r="B751" t="s">
        <v>7247</v>
      </c>
      <c r="C751" t="s">
        <v>7248</v>
      </c>
      <c r="D751" t="s">
        <v>7249</v>
      </c>
      <c r="E751" t="s">
        <v>7250</v>
      </c>
      <c r="F751" t="s">
        <v>7251</v>
      </c>
      <c r="G751" t="s">
        <v>15827</v>
      </c>
      <c r="H751" t="s">
        <v>16230</v>
      </c>
      <c r="I751" t="s">
        <v>16565</v>
      </c>
      <c r="J751" t="s">
        <v>23</v>
      </c>
      <c r="L751" t="s">
        <v>7252</v>
      </c>
      <c r="M751" t="s">
        <v>7253</v>
      </c>
      <c r="N751" t="s">
        <v>7254</v>
      </c>
      <c r="O751" t="s">
        <v>7255</v>
      </c>
      <c r="P751" t="s">
        <v>7256</v>
      </c>
      <c r="Q751" t="s">
        <v>7257</v>
      </c>
      <c r="R751" t="s">
        <v>7258</v>
      </c>
      <c r="S751" t="s">
        <v>7259</v>
      </c>
      <c r="T751" t="s">
        <v>7260</v>
      </c>
      <c r="U751" s="5">
        <v>3949.23</v>
      </c>
      <c r="V751" s="5">
        <v>75.87</v>
      </c>
      <c r="W751" s="5">
        <v>16.523371000000001</v>
      </c>
      <c r="X751" s="5">
        <v>107.47460100000001</v>
      </c>
      <c r="Y751" s="5">
        <v>3873.36</v>
      </c>
      <c r="Z751" s="5">
        <v>16.525274</v>
      </c>
      <c r="AA751" s="5">
        <v>107.469005</v>
      </c>
      <c r="AB751" s="7">
        <f t="shared" si="67"/>
        <v>0.113805</v>
      </c>
      <c r="AC751" s="7">
        <f t="shared" si="68"/>
        <v>5.8100399999999999</v>
      </c>
      <c r="AD751" s="6" t="str">
        <f t="shared" si="69"/>
        <v>Ring 5 Phong Thái</v>
      </c>
      <c r="AE751" s="6" t="str">
        <f t="shared" si="70"/>
        <v>Hương Trà</v>
      </c>
      <c r="AG751">
        <f t="shared" si="71"/>
        <v>7.5870000000000007E-2</v>
      </c>
      <c r="AH751">
        <f t="shared" si="72"/>
        <v>3.8733599999999999</v>
      </c>
    </row>
    <row r="752" spans="1:34" x14ac:dyDescent="0.25">
      <c r="A752" t="s">
        <v>7261</v>
      </c>
      <c r="B752" t="s">
        <v>7262</v>
      </c>
      <c r="C752" t="s">
        <v>7263</v>
      </c>
      <c r="D752" t="s">
        <v>7186</v>
      </c>
      <c r="E752" t="s">
        <v>7187</v>
      </c>
      <c r="F752" t="s">
        <v>7264</v>
      </c>
      <c r="G752" t="s">
        <v>15827</v>
      </c>
      <c r="H752" t="s">
        <v>16230</v>
      </c>
      <c r="I752" t="s">
        <v>16566</v>
      </c>
      <c r="J752" t="s">
        <v>23</v>
      </c>
      <c r="L752" t="s">
        <v>7265</v>
      </c>
      <c r="M752" t="s">
        <v>7266</v>
      </c>
      <c r="N752" t="s">
        <v>7267</v>
      </c>
      <c r="O752" t="s">
        <v>7268</v>
      </c>
      <c r="P752" t="s">
        <v>7269</v>
      </c>
      <c r="Q752" t="s">
        <v>7270</v>
      </c>
      <c r="R752" t="s">
        <v>7271</v>
      </c>
      <c r="S752" t="s">
        <v>7272</v>
      </c>
      <c r="T752" t="s">
        <v>7273</v>
      </c>
      <c r="U752" s="5">
        <v>926.13</v>
      </c>
      <c r="V752" s="5">
        <v>362.13</v>
      </c>
      <c r="W752" s="5">
        <v>16.528243</v>
      </c>
      <c r="X752" s="5">
        <v>107.49378900000001</v>
      </c>
      <c r="Y752" s="5">
        <v>564</v>
      </c>
      <c r="Z752" s="5">
        <v>16.52338</v>
      </c>
      <c r="AA752" s="5">
        <v>107.480818</v>
      </c>
      <c r="AB752" s="7">
        <f t="shared" si="67"/>
        <v>0.54319499999999998</v>
      </c>
      <c r="AC752" s="7">
        <f t="shared" si="68"/>
        <v>0.84599999999999997</v>
      </c>
      <c r="AD752" s="6" t="str">
        <f t="shared" si="69"/>
        <v>Ring 5 Hương Trà</v>
      </c>
      <c r="AE752" s="6" t="str">
        <f t="shared" si="70"/>
        <v>Đan Điền</v>
      </c>
      <c r="AG752">
        <f t="shared" si="71"/>
        <v>0.36213000000000001</v>
      </c>
      <c r="AH752">
        <f t="shared" si="72"/>
        <v>0.56399999999999995</v>
      </c>
    </row>
    <row r="753" spans="1:34" x14ac:dyDescent="0.25">
      <c r="A753" t="s">
        <v>7274</v>
      </c>
      <c r="B753" t="s">
        <v>7275</v>
      </c>
      <c r="C753" t="s">
        <v>7276</v>
      </c>
      <c r="D753" t="s">
        <v>7277</v>
      </c>
      <c r="E753" t="s">
        <v>7278</v>
      </c>
      <c r="F753" t="s">
        <v>7279</v>
      </c>
      <c r="G753" t="s">
        <v>15827</v>
      </c>
      <c r="H753" t="s">
        <v>16230</v>
      </c>
      <c r="I753" t="s">
        <v>16567</v>
      </c>
      <c r="J753" t="s">
        <v>23</v>
      </c>
      <c r="L753" t="s">
        <v>7061</v>
      </c>
      <c r="M753" t="s">
        <v>7280</v>
      </c>
      <c r="N753" t="s">
        <v>7281</v>
      </c>
      <c r="O753" t="s">
        <v>7282</v>
      </c>
      <c r="P753" t="s">
        <v>7283</v>
      </c>
      <c r="Q753" t="s">
        <v>7284</v>
      </c>
      <c r="R753" t="s">
        <v>7285</v>
      </c>
      <c r="S753" t="s">
        <v>7286</v>
      </c>
      <c r="T753" t="s">
        <v>7066</v>
      </c>
      <c r="U753" s="5">
        <v>115.09</v>
      </c>
      <c r="V753" s="5">
        <v>32.299999999999997</v>
      </c>
      <c r="W753" s="5">
        <v>16.491365999999999</v>
      </c>
      <c r="X753" s="5">
        <v>107.521095</v>
      </c>
      <c r="Y753" s="5">
        <v>82.79</v>
      </c>
      <c r="Z753" s="5">
        <v>16.503764</v>
      </c>
      <c r="AA753" s="5">
        <v>107.513632</v>
      </c>
      <c r="AB753" s="7">
        <f t="shared" si="67"/>
        <v>4.8449999999999993E-2</v>
      </c>
      <c r="AC753" s="7">
        <f t="shared" si="68"/>
        <v>0.124185</v>
      </c>
      <c r="AD753" s="6" t="str">
        <f t="shared" si="69"/>
        <v>Ring 6 TTCMKV Quảng Điền</v>
      </c>
      <c r="AE753" s="6" t="str">
        <f t="shared" si="70"/>
        <v>Kim Trà</v>
      </c>
      <c r="AG753">
        <f t="shared" si="71"/>
        <v>3.2299999999999995E-2</v>
      </c>
      <c r="AH753">
        <f t="shared" si="72"/>
        <v>8.2790000000000002E-2</v>
      </c>
    </row>
    <row r="754" spans="1:34" x14ac:dyDescent="0.25">
      <c r="A754" t="s">
        <v>7287</v>
      </c>
      <c r="B754" t="s">
        <v>7288</v>
      </c>
      <c r="C754" t="s">
        <v>7289</v>
      </c>
      <c r="D754" t="s">
        <v>7290</v>
      </c>
      <c r="E754" t="s">
        <v>7291</v>
      </c>
      <c r="F754" t="s">
        <v>7292</v>
      </c>
      <c r="G754" t="s">
        <v>15827</v>
      </c>
      <c r="H754" t="s">
        <v>16230</v>
      </c>
      <c r="I754" t="s">
        <v>16568</v>
      </c>
      <c r="J754" t="s">
        <v>23</v>
      </c>
      <c r="L754" t="s">
        <v>7293</v>
      </c>
      <c r="M754" t="s">
        <v>7294</v>
      </c>
      <c r="N754" t="s">
        <v>7295</v>
      </c>
      <c r="O754" t="s">
        <v>7296</v>
      </c>
      <c r="P754" t="s">
        <v>7297</v>
      </c>
      <c r="Q754" t="s">
        <v>7298</v>
      </c>
      <c r="R754" t="s">
        <v>7299</v>
      </c>
      <c r="S754" t="s">
        <v>7300</v>
      </c>
      <c r="T754" t="s">
        <v>7301</v>
      </c>
      <c r="U754" s="5">
        <v>190.84</v>
      </c>
      <c r="V754" s="5">
        <v>59.18</v>
      </c>
      <c r="W754" s="5">
        <v>16.468192999999999</v>
      </c>
      <c r="X754" s="5">
        <v>107.524468</v>
      </c>
      <c r="Y754" s="5">
        <v>131.65</v>
      </c>
      <c r="Z754" s="5">
        <v>16.487960000000001</v>
      </c>
      <c r="AA754" s="5">
        <v>107.52082299999999</v>
      </c>
      <c r="AB754" s="7">
        <f t="shared" si="67"/>
        <v>8.8770000000000002E-2</v>
      </c>
      <c r="AC754" s="7">
        <f t="shared" si="68"/>
        <v>0.19747500000000001</v>
      </c>
      <c r="AD754" s="6" t="str">
        <f t="shared" si="69"/>
        <v>Ring 6 Kim Trà</v>
      </c>
      <c r="AE754" s="6" t="str">
        <f t="shared" si="70"/>
        <v>Hương An</v>
      </c>
      <c r="AG754">
        <f t="shared" si="71"/>
        <v>5.9179999999999996E-2</v>
      </c>
      <c r="AH754">
        <f t="shared" si="72"/>
        <v>0.13165000000000002</v>
      </c>
    </row>
    <row r="755" spans="1:34" x14ac:dyDescent="0.25">
      <c r="A755" t="s">
        <v>7302</v>
      </c>
      <c r="B755" t="s">
        <v>7303</v>
      </c>
      <c r="C755" t="s">
        <v>7304</v>
      </c>
      <c r="D755" t="s">
        <v>7305</v>
      </c>
      <c r="E755" t="s">
        <v>7306</v>
      </c>
      <c r="F755" t="s">
        <v>7307</v>
      </c>
      <c r="G755" t="s">
        <v>15827</v>
      </c>
      <c r="H755" t="s">
        <v>16230</v>
      </c>
      <c r="I755" t="s">
        <v>16569</v>
      </c>
      <c r="J755" t="s">
        <v>23</v>
      </c>
      <c r="L755" t="s">
        <v>7308</v>
      </c>
      <c r="M755" t="s">
        <v>7309</v>
      </c>
      <c r="N755" t="s">
        <v>7310</v>
      </c>
      <c r="O755" t="s">
        <v>7311</v>
      </c>
      <c r="P755" t="s">
        <v>7312</v>
      </c>
      <c r="Q755" t="s">
        <v>7313</v>
      </c>
      <c r="R755" t="s">
        <v>7314</v>
      </c>
      <c r="S755" t="s">
        <v>7315</v>
      </c>
      <c r="T755" t="s">
        <v>7316</v>
      </c>
      <c r="U755" s="5">
        <v>129.84</v>
      </c>
      <c r="V755" s="5">
        <v>66.180000000000007</v>
      </c>
      <c r="W755" s="5">
        <v>16.439848000000001</v>
      </c>
      <c r="X755" s="5">
        <v>107.52389700000001</v>
      </c>
      <c r="Y755" s="5">
        <v>63.66</v>
      </c>
      <c r="Z755" s="5">
        <v>16.458561</v>
      </c>
      <c r="AA755" s="5">
        <v>107.5205</v>
      </c>
      <c r="AB755" s="7">
        <f t="shared" si="67"/>
        <v>9.9270000000000011E-2</v>
      </c>
      <c r="AC755" s="7">
        <f t="shared" si="68"/>
        <v>9.5489999999999992E-2</v>
      </c>
      <c r="AD755" s="6" t="str">
        <f t="shared" si="69"/>
        <v>Ring 6 Hương An</v>
      </c>
      <c r="AE755" s="6" t="str">
        <f t="shared" si="70"/>
        <v>Kim Long</v>
      </c>
      <c r="AG755">
        <f t="shared" si="71"/>
        <v>6.6180000000000003E-2</v>
      </c>
      <c r="AH755">
        <f t="shared" si="72"/>
        <v>6.3659999999999994E-2</v>
      </c>
    </row>
    <row r="756" spans="1:34" x14ac:dyDescent="0.25">
      <c r="A756" t="s">
        <v>7317</v>
      </c>
      <c r="B756" t="s">
        <v>7318</v>
      </c>
      <c r="C756" t="s">
        <v>7319</v>
      </c>
      <c r="D756" t="s">
        <v>7000</v>
      </c>
      <c r="E756" t="s">
        <v>7001</v>
      </c>
      <c r="F756" t="s">
        <v>7320</v>
      </c>
      <c r="G756" t="s">
        <v>15827</v>
      </c>
      <c r="H756" t="s">
        <v>16230</v>
      </c>
      <c r="I756" t="s">
        <v>16570</v>
      </c>
      <c r="J756" t="s">
        <v>23</v>
      </c>
      <c r="L756" t="s">
        <v>7003</v>
      </c>
      <c r="M756" t="s">
        <v>7321</v>
      </c>
      <c r="N756" t="s">
        <v>7322</v>
      </c>
      <c r="O756" t="s">
        <v>7323</v>
      </c>
      <c r="P756" t="s">
        <v>7324</v>
      </c>
      <c r="Q756" t="s">
        <v>7325</v>
      </c>
      <c r="R756" t="s">
        <v>7326</v>
      </c>
      <c r="S756" t="s">
        <v>7327</v>
      </c>
      <c r="T756" t="s">
        <v>7328</v>
      </c>
      <c r="U756" s="5">
        <v>2241.2199999999998</v>
      </c>
      <c r="V756" s="5">
        <v>36.64</v>
      </c>
      <c r="W756" s="5">
        <v>16.554606</v>
      </c>
      <c r="X756" s="5">
        <v>107.580668</v>
      </c>
      <c r="Y756" s="5">
        <v>2204.58</v>
      </c>
      <c r="Z756" s="5">
        <v>16.549901999999999</v>
      </c>
      <c r="AA756" s="5">
        <v>107.617518</v>
      </c>
      <c r="AB756" s="7">
        <f t="shared" si="67"/>
        <v>5.4960000000000002E-2</v>
      </c>
      <c r="AC756" s="7">
        <f t="shared" si="68"/>
        <v>3.30687</v>
      </c>
      <c r="AD756" s="6" t="str">
        <f t="shared" si="69"/>
        <v>Ring 7 Hóa Châu</v>
      </c>
      <c r="AE756" s="6" t="str">
        <f t="shared" si="70"/>
        <v>Mỹ Thượng</v>
      </c>
      <c r="AG756">
        <f t="shared" si="71"/>
        <v>3.6639999999999999E-2</v>
      </c>
      <c r="AH756">
        <f t="shared" si="72"/>
        <v>2.20458</v>
      </c>
    </row>
    <row r="757" spans="1:34" x14ac:dyDescent="0.25">
      <c r="A757" t="s">
        <v>7329</v>
      </c>
      <c r="B757" t="s">
        <v>7330</v>
      </c>
      <c r="C757" t="s">
        <v>7331</v>
      </c>
      <c r="D757" t="s">
        <v>7332</v>
      </c>
      <c r="E757" t="s">
        <v>7333</v>
      </c>
      <c r="F757" t="s">
        <v>7334</v>
      </c>
      <c r="G757" t="s">
        <v>15827</v>
      </c>
      <c r="H757" t="s">
        <v>16230</v>
      </c>
      <c r="I757" t="s">
        <v>16548</v>
      </c>
      <c r="J757" t="s">
        <v>23</v>
      </c>
      <c r="L757" t="s">
        <v>7335</v>
      </c>
      <c r="M757" t="s">
        <v>7336</v>
      </c>
      <c r="N757" t="s">
        <v>7337</v>
      </c>
      <c r="O757" t="s">
        <v>7338</v>
      </c>
      <c r="P757" t="s">
        <v>7339</v>
      </c>
      <c r="Q757" t="s">
        <v>7340</v>
      </c>
      <c r="R757" t="s">
        <v>7341</v>
      </c>
      <c r="S757" t="s">
        <v>7342</v>
      </c>
      <c r="T757" t="s">
        <v>7343</v>
      </c>
      <c r="U757" s="5">
        <v>2918.39</v>
      </c>
      <c r="V757" s="5">
        <v>2714.13</v>
      </c>
      <c r="W757" s="5">
        <v>16.487857999999999</v>
      </c>
      <c r="X757" s="5">
        <v>107.644924</v>
      </c>
      <c r="Y757" s="5">
        <v>204.26</v>
      </c>
      <c r="Z757" s="5">
        <v>16.480132999999999</v>
      </c>
      <c r="AA757" s="5">
        <v>107.682886</v>
      </c>
      <c r="AB757" s="7">
        <f t="shared" si="67"/>
        <v>4.0711950000000003</v>
      </c>
      <c r="AC757" s="7">
        <f t="shared" si="68"/>
        <v>0.30639</v>
      </c>
      <c r="AD757" s="6" t="str">
        <f t="shared" si="69"/>
        <v>TTCMKV_Ring 1_CAT Huế mới</v>
      </c>
      <c r="AE757" s="6" t="str">
        <f t="shared" si="70"/>
        <v>Phú Vang</v>
      </c>
      <c r="AG757">
        <f t="shared" si="71"/>
        <v>2.7141299999999999</v>
      </c>
      <c r="AH757">
        <f t="shared" si="72"/>
        <v>0.20426</v>
      </c>
    </row>
    <row r="758" spans="1:34" x14ac:dyDescent="0.25">
      <c r="A758" t="s">
        <v>7344</v>
      </c>
      <c r="B758" t="s">
        <v>7345</v>
      </c>
      <c r="C758" t="s">
        <v>7346</v>
      </c>
      <c r="D758" t="s">
        <v>7347</v>
      </c>
      <c r="E758" t="s">
        <v>7348</v>
      </c>
      <c r="F758" t="s">
        <v>7349</v>
      </c>
      <c r="G758" t="s">
        <v>15827</v>
      </c>
      <c r="H758" t="s">
        <v>16230</v>
      </c>
      <c r="I758" t="s">
        <v>16571</v>
      </c>
      <c r="J758" t="s">
        <v>23</v>
      </c>
      <c r="L758" t="s">
        <v>7350</v>
      </c>
      <c r="M758" t="s">
        <v>7351</v>
      </c>
      <c r="N758" t="s">
        <v>7352</v>
      </c>
      <c r="O758" t="s">
        <v>7353</v>
      </c>
      <c r="P758" t="s">
        <v>7354</v>
      </c>
      <c r="Q758" t="s">
        <v>7355</v>
      </c>
      <c r="R758" t="s">
        <v>7356</v>
      </c>
      <c r="S758" t="s">
        <v>7357</v>
      </c>
      <c r="T758" t="s">
        <v>7358</v>
      </c>
      <c r="U758" s="5">
        <v>2010.03</v>
      </c>
      <c r="V758" s="5">
        <v>14.74</v>
      </c>
      <c r="W758" s="5">
        <v>16.512826</v>
      </c>
      <c r="X758" s="5">
        <v>107.59974200000001</v>
      </c>
      <c r="Y758" s="5">
        <v>1995.28</v>
      </c>
      <c r="Z758" s="5">
        <v>16.529236999999998</v>
      </c>
      <c r="AA758" s="5">
        <v>107.616541</v>
      </c>
      <c r="AB758" s="7">
        <f t="shared" si="67"/>
        <v>2.2109999999999998E-2</v>
      </c>
      <c r="AC758" s="7">
        <f t="shared" si="68"/>
        <v>2.9929200000000002</v>
      </c>
      <c r="AD758" s="6" t="str">
        <f t="shared" si="69"/>
        <v>Ring 8 Dương Nỗ</v>
      </c>
      <c r="AE758" s="6" t="str">
        <f t="shared" si="70"/>
        <v>Thuận An</v>
      </c>
      <c r="AG758">
        <f t="shared" si="71"/>
        <v>1.474E-2</v>
      </c>
      <c r="AH758">
        <f t="shared" si="72"/>
        <v>1.9952799999999999</v>
      </c>
    </row>
    <row r="759" spans="1:34" x14ac:dyDescent="0.25">
      <c r="A759" t="s">
        <v>7359</v>
      </c>
      <c r="B759" t="s">
        <v>7360</v>
      </c>
      <c r="C759" t="s">
        <v>7361</v>
      </c>
      <c r="D759" t="s">
        <v>7362</v>
      </c>
      <c r="E759" t="s">
        <v>7363</v>
      </c>
      <c r="F759" t="s">
        <v>7364</v>
      </c>
      <c r="G759" t="s">
        <v>15827</v>
      </c>
      <c r="H759" t="s">
        <v>16230</v>
      </c>
      <c r="I759" t="s">
        <v>16572</v>
      </c>
      <c r="J759" t="s">
        <v>23</v>
      </c>
      <c r="L759" t="s">
        <v>7350</v>
      </c>
      <c r="M759" t="s">
        <v>7365</v>
      </c>
      <c r="N759" t="s">
        <v>1351</v>
      </c>
      <c r="O759" t="s">
        <v>7366</v>
      </c>
      <c r="P759" t="s">
        <v>7367</v>
      </c>
      <c r="Q759" t="s">
        <v>7368</v>
      </c>
      <c r="R759" t="s">
        <v>7369</v>
      </c>
      <c r="S759" t="s">
        <v>7370</v>
      </c>
      <c r="T759" t="s">
        <v>7358</v>
      </c>
      <c r="U759" s="5">
        <v>521.73</v>
      </c>
      <c r="V759" s="5">
        <v>12.56</v>
      </c>
      <c r="W759" s="5">
        <v>16.543879</v>
      </c>
      <c r="X759" s="5">
        <v>107.636127</v>
      </c>
      <c r="Y759" s="5">
        <v>509.17</v>
      </c>
      <c r="Z759" s="5">
        <v>16.530933000000001</v>
      </c>
      <c r="AA759" s="5">
        <v>107.61888399999999</v>
      </c>
      <c r="AB759" s="7">
        <f t="shared" si="67"/>
        <v>1.8839999999999999E-2</v>
      </c>
      <c r="AC759" s="7">
        <f t="shared" si="68"/>
        <v>0.76375499999999996</v>
      </c>
      <c r="AD759" s="6" t="str">
        <f t="shared" si="69"/>
        <v>Ring 8 Dương Nỗ</v>
      </c>
      <c r="AE759" s="6" t="str">
        <f t="shared" si="70"/>
        <v>Thuận An</v>
      </c>
      <c r="AG759">
        <f t="shared" si="71"/>
        <v>1.256E-2</v>
      </c>
      <c r="AH759">
        <f t="shared" si="72"/>
        <v>0.50917000000000001</v>
      </c>
    </row>
    <row r="760" spans="1:34" x14ac:dyDescent="0.25">
      <c r="A760" t="s">
        <v>7371</v>
      </c>
      <c r="B760" t="s">
        <v>7372</v>
      </c>
      <c r="C760" t="s">
        <v>7373</v>
      </c>
      <c r="D760" t="s">
        <v>7374</v>
      </c>
      <c r="E760" t="s">
        <v>7375</v>
      </c>
      <c r="F760" t="s">
        <v>7376</v>
      </c>
      <c r="G760" t="s">
        <v>15827</v>
      </c>
      <c r="H760" t="s">
        <v>16230</v>
      </c>
      <c r="I760" t="s">
        <v>16573</v>
      </c>
      <c r="J760" t="s">
        <v>23</v>
      </c>
      <c r="L760" t="s">
        <v>7088</v>
      </c>
      <c r="M760" t="s">
        <v>7377</v>
      </c>
      <c r="N760" t="s">
        <v>7378</v>
      </c>
      <c r="O760" t="s">
        <v>7379</v>
      </c>
      <c r="P760" t="s">
        <v>7380</v>
      </c>
      <c r="Q760" t="s">
        <v>7381</v>
      </c>
      <c r="R760" t="s">
        <v>7382</v>
      </c>
      <c r="S760" t="s">
        <v>7383</v>
      </c>
      <c r="T760" t="s">
        <v>7384</v>
      </c>
      <c r="U760" s="5">
        <v>150.99</v>
      </c>
      <c r="V760" s="5">
        <v>144.19</v>
      </c>
      <c r="W760" s="5">
        <v>16.459177</v>
      </c>
      <c r="X760" s="5">
        <v>107.607506</v>
      </c>
      <c r="Y760" s="5">
        <v>6.8</v>
      </c>
      <c r="Z760" s="5">
        <v>16.462240999999999</v>
      </c>
      <c r="AA760" s="5">
        <v>107.60086</v>
      </c>
      <c r="AB760" s="7">
        <f t="shared" si="67"/>
        <v>0.21628500000000001</v>
      </c>
      <c r="AC760" s="7">
        <f t="shared" si="68"/>
        <v>1.0199999999999999E-2</v>
      </c>
      <c r="AD760" s="6" t="str">
        <f t="shared" si="69"/>
        <v>Ring 1 CA TP Huế</v>
      </c>
      <c r="AE760" s="6" t="str">
        <f t="shared" si="70"/>
        <v>PK02</v>
      </c>
      <c r="AG760">
        <f t="shared" si="71"/>
        <v>0.14418999999999998</v>
      </c>
      <c r="AH760">
        <f t="shared" si="72"/>
        <v>6.7999999999999996E-3</v>
      </c>
    </row>
    <row r="761" spans="1:34" x14ac:dyDescent="0.25">
      <c r="A761" t="s">
        <v>7385</v>
      </c>
      <c r="B761" t="s">
        <v>7386</v>
      </c>
      <c r="C761" t="s">
        <v>7387</v>
      </c>
      <c r="D761" t="s">
        <v>7388</v>
      </c>
      <c r="E761" t="s">
        <v>7389</v>
      </c>
      <c r="F761" t="s">
        <v>7390</v>
      </c>
      <c r="G761" t="s">
        <v>15827</v>
      </c>
      <c r="H761" t="s">
        <v>16230</v>
      </c>
      <c r="I761" t="s">
        <v>16574</v>
      </c>
      <c r="J761" t="s">
        <v>23</v>
      </c>
      <c r="L761" t="s">
        <v>7391</v>
      </c>
      <c r="M761" t="s">
        <v>7392</v>
      </c>
      <c r="N761" t="s">
        <v>7393</v>
      </c>
      <c r="O761" t="s">
        <v>7394</v>
      </c>
      <c r="P761" t="s">
        <v>7395</v>
      </c>
      <c r="Q761" t="s">
        <v>7396</v>
      </c>
      <c r="R761" t="s">
        <v>7397</v>
      </c>
      <c r="S761" t="s">
        <v>7398</v>
      </c>
      <c r="T761" t="s">
        <v>7399</v>
      </c>
      <c r="U761" s="5">
        <v>1947.88</v>
      </c>
      <c r="V761" s="5">
        <v>16.07</v>
      </c>
      <c r="W761" s="5">
        <v>16.454187000000001</v>
      </c>
      <c r="X761" s="5">
        <v>107.680341</v>
      </c>
      <c r="Y761" s="5">
        <v>1931.81</v>
      </c>
      <c r="Z761" s="5">
        <v>16.443624</v>
      </c>
      <c r="AA761" s="5">
        <v>107.66766699999999</v>
      </c>
      <c r="AB761" s="7">
        <f t="shared" si="67"/>
        <v>2.4105000000000001E-2</v>
      </c>
      <c r="AC761" s="7">
        <f t="shared" si="68"/>
        <v>2.8977150000000003</v>
      </c>
      <c r="AD761" s="6" t="str">
        <f t="shared" si="69"/>
        <v>Ring 9 An Cựu</v>
      </c>
      <c r="AE761" s="6" t="str">
        <f t="shared" si="70"/>
        <v>Phú Hồ</v>
      </c>
      <c r="AG761">
        <f t="shared" si="71"/>
        <v>1.6070000000000001E-2</v>
      </c>
      <c r="AH761">
        <f t="shared" si="72"/>
        <v>1.93181</v>
      </c>
    </row>
    <row r="762" spans="1:34" x14ac:dyDescent="0.25">
      <c r="A762" t="s">
        <v>7400</v>
      </c>
      <c r="B762" t="s">
        <v>7401</v>
      </c>
      <c r="C762" t="s">
        <v>7402</v>
      </c>
      <c r="D762" t="s">
        <v>7403</v>
      </c>
      <c r="E762" t="s">
        <v>7404</v>
      </c>
      <c r="F762" t="s">
        <v>7405</v>
      </c>
      <c r="G762" t="s">
        <v>15827</v>
      </c>
      <c r="H762" t="s">
        <v>16230</v>
      </c>
      <c r="I762" t="s">
        <v>16575</v>
      </c>
      <c r="J762" t="s">
        <v>23</v>
      </c>
      <c r="L762" t="s">
        <v>7200</v>
      </c>
      <c r="M762" t="s">
        <v>7406</v>
      </c>
      <c r="N762" t="s">
        <v>7407</v>
      </c>
      <c r="O762" t="s">
        <v>7408</v>
      </c>
      <c r="P762" t="s">
        <v>7409</v>
      </c>
      <c r="Q762" t="s">
        <v>7410</v>
      </c>
      <c r="R762" t="s">
        <v>7411</v>
      </c>
      <c r="S762" t="s">
        <v>7412</v>
      </c>
      <c r="T762" t="s">
        <v>7413</v>
      </c>
      <c r="U762" s="5">
        <v>491</v>
      </c>
      <c r="V762" s="5">
        <v>314.14999999999998</v>
      </c>
      <c r="W762" s="5">
        <v>16.479894999999999</v>
      </c>
      <c r="X762" s="5">
        <v>107.601732</v>
      </c>
      <c r="Y762" s="5">
        <v>176.85</v>
      </c>
      <c r="Z762" s="5">
        <v>16.471789000000001</v>
      </c>
      <c r="AA762" s="5">
        <v>107.600525</v>
      </c>
      <c r="AB762" s="7">
        <f t="shared" si="67"/>
        <v>0.47122499999999995</v>
      </c>
      <c r="AC762" s="7">
        <f t="shared" si="68"/>
        <v>0.26527499999999998</v>
      </c>
      <c r="AD762" s="6" t="str">
        <f t="shared" si="69"/>
        <v>PC07 (52 Hùng Vương)</v>
      </c>
      <c r="AE762" s="6" t="str">
        <f t="shared" si="70"/>
        <v>TT Huế</v>
      </c>
      <c r="AG762">
        <f t="shared" si="71"/>
        <v>0.31414999999999998</v>
      </c>
      <c r="AH762">
        <f t="shared" si="72"/>
        <v>0.17685000000000001</v>
      </c>
    </row>
    <row r="763" spans="1:34" x14ac:dyDescent="0.25">
      <c r="A763" t="s">
        <v>7414</v>
      </c>
      <c r="B763" t="s">
        <v>7415</v>
      </c>
      <c r="C763" t="s">
        <v>7416</v>
      </c>
      <c r="D763" t="s">
        <v>7417</v>
      </c>
      <c r="E763" t="s">
        <v>7418</v>
      </c>
      <c r="F763" t="s">
        <v>7419</v>
      </c>
      <c r="G763" t="s">
        <v>15827</v>
      </c>
      <c r="H763" t="s">
        <v>16230</v>
      </c>
      <c r="I763" t="s">
        <v>16576</v>
      </c>
      <c r="J763" t="s">
        <v>23</v>
      </c>
      <c r="L763" t="s">
        <v>7146</v>
      </c>
      <c r="M763" t="s">
        <v>7420</v>
      </c>
      <c r="N763" t="s">
        <v>7421</v>
      </c>
      <c r="O763" t="s">
        <v>7422</v>
      </c>
      <c r="P763" t="s">
        <v>7423</v>
      </c>
      <c r="Q763" t="s">
        <v>7424</v>
      </c>
      <c r="R763" t="s">
        <v>7425</v>
      </c>
      <c r="S763" t="s">
        <v>7426</v>
      </c>
      <c r="T763" t="s">
        <v>7154</v>
      </c>
      <c r="U763" s="5">
        <v>1256.68</v>
      </c>
      <c r="V763" s="5">
        <v>814.52</v>
      </c>
      <c r="W763" s="5">
        <v>16.450233000000001</v>
      </c>
      <c r="X763" s="5">
        <v>107.61814</v>
      </c>
      <c r="Y763" s="5">
        <v>442.16</v>
      </c>
      <c r="Z763" s="5">
        <v>16.460460999999999</v>
      </c>
      <c r="AA763" s="5">
        <v>107.624076</v>
      </c>
      <c r="AB763" s="7">
        <f t="shared" si="67"/>
        <v>1.2217799999999999</v>
      </c>
      <c r="AC763" s="7">
        <f t="shared" si="68"/>
        <v>0.66324000000000005</v>
      </c>
      <c r="AD763" s="6" t="str">
        <f t="shared" si="69"/>
        <v>TTCMKV_Ring 2_Phong Điền</v>
      </c>
      <c r="AE763" s="6" t="str">
        <f t="shared" si="70"/>
        <v>CAT Huế mới</v>
      </c>
      <c r="AG763">
        <f t="shared" si="71"/>
        <v>0.81452000000000002</v>
      </c>
      <c r="AH763">
        <f t="shared" si="72"/>
        <v>0.44216</v>
      </c>
    </row>
    <row r="764" spans="1:34" x14ac:dyDescent="0.25">
      <c r="A764" t="s">
        <v>7427</v>
      </c>
      <c r="B764" t="s">
        <v>7043</v>
      </c>
      <c r="C764" t="s">
        <v>7044</v>
      </c>
      <c r="D764" t="s">
        <v>7428</v>
      </c>
      <c r="E764" t="s">
        <v>7429</v>
      </c>
      <c r="F764" t="s">
        <v>7430</v>
      </c>
      <c r="G764" t="s">
        <v>15827</v>
      </c>
      <c r="H764" t="s">
        <v>16230</v>
      </c>
      <c r="I764" t="s">
        <v>16577</v>
      </c>
      <c r="J764" t="s">
        <v>23</v>
      </c>
      <c r="L764" t="s">
        <v>7431</v>
      </c>
      <c r="M764" t="s">
        <v>7432</v>
      </c>
      <c r="N764" t="s">
        <v>7433</v>
      </c>
      <c r="O764" t="s">
        <v>7434</v>
      </c>
      <c r="P764" t="s">
        <v>7435</v>
      </c>
      <c r="Q764" t="s">
        <v>7436</v>
      </c>
      <c r="R764" t="s">
        <v>7437</v>
      </c>
      <c r="S764" t="s">
        <v>7438</v>
      </c>
      <c r="T764" t="s">
        <v>7439</v>
      </c>
      <c r="U764" s="5">
        <v>669.52</v>
      </c>
      <c r="V764" s="5">
        <v>68.680000000000007</v>
      </c>
      <c r="W764" s="5">
        <v>16.408670999999998</v>
      </c>
      <c r="X764" s="5">
        <v>107.681068</v>
      </c>
      <c r="Y764" s="5">
        <v>600.84</v>
      </c>
      <c r="Z764" s="5">
        <v>16.434963</v>
      </c>
      <c r="AA764" s="5">
        <v>107.611178</v>
      </c>
      <c r="AB764" s="7">
        <f t="shared" si="67"/>
        <v>0.10302000000000001</v>
      </c>
      <c r="AC764" s="7">
        <f t="shared" si="68"/>
        <v>0.90125999999999995</v>
      </c>
      <c r="AD764" s="6" t="str">
        <f t="shared" si="69"/>
        <v>Ring 11 "Thủy Xuân</v>
      </c>
      <c r="AE764" s="6" t="str">
        <f t="shared" si="70"/>
        <v>TTCMKV TX Hương
Thủy"</v>
      </c>
      <c r="AG764">
        <f t="shared" si="71"/>
        <v>6.8680000000000005E-2</v>
      </c>
      <c r="AH764">
        <f t="shared" si="72"/>
        <v>0.60084000000000004</v>
      </c>
    </row>
    <row r="765" spans="1:34" x14ac:dyDescent="0.25">
      <c r="A765" t="s">
        <v>7440</v>
      </c>
      <c r="B765" t="s">
        <v>7441</v>
      </c>
      <c r="C765" t="s">
        <v>7442</v>
      </c>
      <c r="D765" t="s">
        <v>7085</v>
      </c>
      <c r="E765" t="s">
        <v>7086</v>
      </c>
      <c r="F765" t="s">
        <v>7443</v>
      </c>
      <c r="G765" t="s">
        <v>15827</v>
      </c>
      <c r="H765" t="s">
        <v>16230</v>
      </c>
      <c r="I765" t="s">
        <v>16578</v>
      </c>
      <c r="J765" t="s">
        <v>23</v>
      </c>
      <c r="L765" t="s">
        <v>7444</v>
      </c>
      <c r="M765" t="s">
        <v>7445</v>
      </c>
      <c r="N765" t="s">
        <v>7446</v>
      </c>
      <c r="O765" t="s">
        <v>7447</v>
      </c>
      <c r="P765" t="s">
        <v>7448</v>
      </c>
      <c r="Q765" t="s">
        <v>7449</v>
      </c>
      <c r="R765" t="s">
        <v>7450</v>
      </c>
      <c r="S765" t="s">
        <v>7451</v>
      </c>
      <c r="T765" t="s">
        <v>7452</v>
      </c>
      <c r="U765" s="5">
        <v>3150.34</v>
      </c>
      <c r="V765" s="5">
        <v>459.56</v>
      </c>
      <c r="W765" s="5">
        <v>16.442993000000001</v>
      </c>
      <c r="X765" s="5">
        <v>107.540175</v>
      </c>
      <c r="Y765" s="5">
        <v>2690.77</v>
      </c>
      <c r="Z765" s="5">
        <v>16.439699999999998</v>
      </c>
      <c r="AA765" s="5">
        <v>107.58576100000001</v>
      </c>
      <c r="AB765" s="7">
        <f t="shared" si="67"/>
        <v>0.68934000000000006</v>
      </c>
      <c r="AC765" s="7">
        <f t="shared" si="68"/>
        <v>4.0361549999999999</v>
      </c>
      <c r="AD765" s="6" t="str">
        <f t="shared" si="69"/>
        <v>Ring 11 CAT Thừa Thiên Huế</v>
      </c>
      <c r="AE765" s="6" t="str">
        <f t="shared" si="70"/>
        <v>Thủy Xuân</v>
      </c>
      <c r="AG765">
        <f t="shared" si="71"/>
        <v>0.45956000000000002</v>
      </c>
      <c r="AH765">
        <f t="shared" si="72"/>
        <v>2.6907700000000001</v>
      </c>
    </row>
    <row r="766" spans="1:34" x14ac:dyDescent="0.25">
      <c r="A766" t="s">
        <v>7453</v>
      </c>
      <c r="B766" t="s">
        <v>7454</v>
      </c>
      <c r="C766" t="s">
        <v>7455</v>
      </c>
      <c r="D766" t="s">
        <v>7456</v>
      </c>
      <c r="E766" t="s">
        <v>7457</v>
      </c>
      <c r="F766" t="s">
        <v>7458</v>
      </c>
      <c r="G766" t="s">
        <v>15827</v>
      </c>
      <c r="H766" t="s">
        <v>16230</v>
      </c>
      <c r="I766" t="s">
        <v>16579</v>
      </c>
      <c r="J766" t="s">
        <v>23</v>
      </c>
      <c r="L766" t="s">
        <v>7459</v>
      </c>
      <c r="M766" t="s">
        <v>7460</v>
      </c>
      <c r="N766" t="s">
        <v>7461</v>
      </c>
      <c r="O766" t="s">
        <v>7462</v>
      </c>
      <c r="P766" t="s">
        <v>7463</v>
      </c>
      <c r="Q766" t="s">
        <v>7464</v>
      </c>
      <c r="R766" t="s">
        <v>7465</v>
      </c>
      <c r="S766" t="s">
        <v>7466</v>
      </c>
      <c r="T766" t="s">
        <v>7467</v>
      </c>
      <c r="U766" s="5">
        <v>6002.95</v>
      </c>
      <c r="V766" s="5">
        <v>53.04</v>
      </c>
      <c r="W766" s="5">
        <v>16.349126999999999</v>
      </c>
      <c r="X766" s="5">
        <v>107.504623</v>
      </c>
      <c r="Y766" s="5">
        <v>5949.91</v>
      </c>
      <c r="Z766" s="5">
        <v>16.396788000000001</v>
      </c>
      <c r="AA766" s="5">
        <v>107.56425400000001</v>
      </c>
      <c r="AB766" s="7">
        <f t="shared" si="67"/>
        <v>7.9560000000000006E-2</v>
      </c>
      <c r="AC766" s="7">
        <f t="shared" si="68"/>
        <v>8.9248650000000005</v>
      </c>
      <c r="AD766" s="6" t="str">
        <f t="shared" si="69"/>
        <v>Ring 12_CAT Huế mới</v>
      </c>
      <c r="AE766" s="6" t="str">
        <f t="shared" si="70"/>
        <v>Bình Điền</v>
      </c>
      <c r="AG766">
        <f t="shared" si="71"/>
        <v>5.3039999999999997E-2</v>
      </c>
      <c r="AH766">
        <f t="shared" si="72"/>
        <v>5.94991</v>
      </c>
    </row>
    <row r="767" spans="1:34" x14ac:dyDescent="0.25">
      <c r="A767" t="s">
        <v>7468</v>
      </c>
      <c r="B767" t="s">
        <v>7469</v>
      </c>
      <c r="C767" t="s">
        <v>7470</v>
      </c>
      <c r="D767" t="s">
        <v>7471</v>
      </c>
      <c r="E767" t="s">
        <v>7472</v>
      </c>
      <c r="F767" t="s">
        <v>7473</v>
      </c>
      <c r="G767" t="s">
        <v>15827</v>
      </c>
      <c r="H767" t="s">
        <v>16230</v>
      </c>
      <c r="I767" t="s">
        <v>16580</v>
      </c>
      <c r="J767" t="s">
        <v>23</v>
      </c>
      <c r="L767" t="s">
        <v>7474</v>
      </c>
      <c r="M767" t="s">
        <v>7475</v>
      </c>
      <c r="N767" t="s">
        <v>7476</v>
      </c>
      <c r="O767" t="s">
        <v>7477</v>
      </c>
      <c r="P767" t="s">
        <v>7478</v>
      </c>
      <c r="Q767" t="s">
        <v>7479</v>
      </c>
      <c r="R767" t="s">
        <v>7480</v>
      </c>
      <c r="S767" t="s">
        <v>7481</v>
      </c>
      <c r="T767" t="s">
        <v>7482</v>
      </c>
      <c r="U767" s="5">
        <v>172.6</v>
      </c>
      <c r="V767" s="5">
        <v>117.37</v>
      </c>
      <c r="W767" s="5">
        <v>16.444255999999999</v>
      </c>
      <c r="X767" s="5">
        <v>107.620498</v>
      </c>
      <c r="Y767" s="5">
        <v>55.23</v>
      </c>
      <c r="Z767" s="5">
        <v>16.449210999999998</v>
      </c>
      <c r="AA767" s="5">
        <v>107.607276</v>
      </c>
      <c r="AB767" s="7">
        <f t="shared" si="67"/>
        <v>0.17605500000000002</v>
      </c>
      <c r="AC767" s="7">
        <f t="shared" si="68"/>
        <v>8.2845000000000002E-2</v>
      </c>
      <c r="AD767" s="6" t="str">
        <f t="shared" si="69"/>
        <v>Ring 2 Phú Xuân</v>
      </c>
      <c r="AE767" s="6" t="str">
        <f t="shared" si="70"/>
        <v>Hương Thủy</v>
      </c>
      <c r="AG767">
        <f t="shared" si="71"/>
        <v>0.11737</v>
      </c>
      <c r="AH767">
        <f t="shared" si="72"/>
        <v>5.5229999999999994E-2</v>
      </c>
    </row>
    <row r="768" spans="1:34" x14ac:dyDescent="0.25">
      <c r="A768" t="s">
        <v>7483</v>
      </c>
      <c r="B768" t="s">
        <v>7484</v>
      </c>
      <c r="C768" t="s">
        <v>7485</v>
      </c>
      <c r="D768" t="s">
        <v>6998</v>
      </c>
      <c r="E768" t="s">
        <v>6999</v>
      </c>
      <c r="F768" t="s">
        <v>7486</v>
      </c>
      <c r="G768" t="s">
        <v>15827</v>
      </c>
      <c r="H768" t="s">
        <v>16230</v>
      </c>
      <c r="I768" t="s">
        <v>16581</v>
      </c>
      <c r="J768" t="s">
        <v>23</v>
      </c>
      <c r="L768" t="s">
        <v>7487</v>
      </c>
      <c r="M768" t="s">
        <v>7488</v>
      </c>
      <c r="N768" t="s">
        <v>7489</v>
      </c>
      <c r="O768" t="s">
        <v>7490</v>
      </c>
      <c r="P768" t="s">
        <v>7491</v>
      </c>
      <c r="Q768" t="s">
        <v>7492</v>
      </c>
      <c r="R768" t="s">
        <v>7493</v>
      </c>
      <c r="S768" t="s">
        <v>7494</v>
      </c>
      <c r="T768" t="s">
        <v>7495</v>
      </c>
      <c r="U768" s="5">
        <v>3057.31</v>
      </c>
      <c r="V768" s="5">
        <v>2854.68</v>
      </c>
      <c r="W768" s="5">
        <v>16.493091</v>
      </c>
      <c r="X768" s="5">
        <v>107.594409</v>
      </c>
      <c r="Y768" s="5">
        <v>202.64</v>
      </c>
      <c r="Z768" s="5">
        <v>16.478172000000001</v>
      </c>
      <c r="AA768" s="5">
        <v>107.624154</v>
      </c>
      <c r="AB768" s="7">
        <f t="shared" si="67"/>
        <v>4.2820199999999993</v>
      </c>
      <c r="AC768" s="7">
        <f t="shared" si="68"/>
        <v>0.30395999999999995</v>
      </c>
      <c r="AD768" s="6" t="str">
        <f t="shared" si="69"/>
        <v>Ring 1 Phú Xuân</v>
      </c>
      <c r="AE768" s="6" t="str">
        <f t="shared" si="70"/>
        <v>CAT TT Huế</v>
      </c>
      <c r="AG768">
        <f t="shared" si="71"/>
        <v>2.8546799999999997</v>
      </c>
      <c r="AH768">
        <f t="shared" si="72"/>
        <v>0.20263999999999999</v>
      </c>
    </row>
    <row r="769" spans="1:34" x14ac:dyDescent="0.25">
      <c r="A769" t="s">
        <v>7496</v>
      </c>
      <c r="B769" t="s">
        <v>7497</v>
      </c>
      <c r="C769" t="s">
        <v>7498</v>
      </c>
      <c r="D769" t="s">
        <v>7318</v>
      </c>
      <c r="E769" t="s">
        <v>7319</v>
      </c>
      <c r="F769" t="s">
        <v>7499</v>
      </c>
      <c r="G769" t="s">
        <v>15827</v>
      </c>
      <c r="H769" t="s">
        <v>16230</v>
      </c>
      <c r="I769" t="s">
        <v>16582</v>
      </c>
      <c r="J769" t="s">
        <v>23</v>
      </c>
      <c r="L769" t="s">
        <v>7500</v>
      </c>
      <c r="M769" t="s">
        <v>7501</v>
      </c>
      <c r="N769" t="s">
        <v>7502</v>
      </c>
      <c r="O769" t="s">
        <v>7503</v>
      </c>
      <c r="P769" t="s">
        <v>7504</v>
      </c>
      <c r="Q769" t="s">
        <v>7505</v>
      </c>
      <c r="R769" t="s">
        <v>7506</v>
      </c>
      <c r="S769" t="s">
        <v>7507</v>
      </c>
      <c r="T769" t="s">
        <v>7508</v>
      </c>
      <c r="U769" s="5">
        <v>6923.49</v>
      </c>
      <c r="V769" s="5">
        <v>6905.29</v>
      </c>
      <c r="W769" s="5">
        <v>16.537220000000001</v>
      </c>
      <c r="X769" s="5">
        <v>107.56147900000001</v>
      </c>
      <c r="Y769" s="5">
        <v>18.2</v>
      </c>
      <c r="Z769" s="5">
        <v>16.554478</v>
      </c>
      <c r="AA769" s="5">
        <v>107.58055</v>
      </c>
      <c r="AB769" s="7">
        <f t="shared" si="67"/>
        <v>10.357934999999999</v>
      </c>
      <c r="AC769" s="7">
        <f t="shared" si="68"/>
        <v>2.7299999999999998E-2</v>
      </c>
      <c r="AD769" s="6" t="str">
        <f t="shared" si="69"/>
        <v>Ring 7 TTCMKV Quảng Điền</v>
      </c>
      <c r="AE769" s="6" t="str">
        <f t="shared" si="70"/>
        <v>Hóa Châu</v>
      </c>
      <c r="AG769">
        <f t="shared" si="71"/>
        <v>6.9052899999999999</v>
      </c>
      <c r="AH769">
        <f t="shared" si="72"/>
        <v>1.8200000000000001E-2</v>
      </c>
    </row>
    <row r="770" spans="1:34" x14ac:dyDescent="0.25">
      <c r="A770" t="s">
        <v>7509</v>
      </c>
      <c r="B770" t="s">
        <v>7128</v>
      </c>
      <c r="C770" t="s">
        <v>7129</v>
      </c>
      <c r="D770" t="s">
        <v>7126</v>
      </c>
      <c r="E770" t="s">
        <v>7127</v>
      </c>
      <c r="F770" t="s">
        <v>7510</v>
      </c>
      <c r="G770" t="s">
        <v>15827</v>
      </c>
      <c r="H770" t="s">
        <v>16230</v>
      </c>
      <c r="I770" t="s">
        <v>16583</v>
      </c>
      <c r="J770" t="s">
        <v>23</v>
      </c>
      <c r="L770" t="s">
        <v>7131</v>
      </c>
      <c r="M770" t="s">
        <v>7132</v>
      </c>
      <c r="N770" t="s">
        <v>7136</v>
      </c>
      <c r="O770" t="s">
        <v>7137</v>
      </c>
      <c r="P770" t="s">
        <v>7138</v>
      </c>
      <c r="Q770" t="s">
        <v>7133</v>
      </c>
      <c r="R770" t="s">
        <v>7134</v>
      </c>
      <c r="S770" t="s">
        <v>7135</v>
      </c>
      <c r="T770" t="s">
        <v>7139</v>
      </c>
      <c r="U770" s="5">
        <v>346.19</v>
      </c>
      <c r="V770" s="5">
        <v>332.22</v>
      </c>
      <c r="W770" s="5">
        <v>16.475852</v>
      </c>
      <c r="X770" s="5">
        <v>107.603185</v>
      </c>
      <c r="Y770" s="5">
        <v>13.97</v>
      </c>
      <c r="Z770" s="5">
        <v>16.475570999999999</v>
      </c>
      <c r="AA770" s="5">
        <v>107.60319</v>
      </c>
      <c r="AB770" s="7">
        <f t="shared" si="67"/>
        <v>0.49833000000000005</v>
      </c>
      <c r="AC770" s="7">
        <f t="shared" si="68"/>
        <v>2.0955000000000001E-2</v>
      </c>
      <c r="AD770" s="6" t="str">
        <f t="shared" si="69"/>
        <v>Ring 3 PA07</v>
      </c>
      <c r="AE770" s="6" t="str">
        <f t="shared" si="70"/>
        <v>PC01</v>
      </c>
      <c r="AG770">
        <f t="shared" si="71"/>
        <v>0.33222000000000002</v>
      </c>
      <c r="AH770">
        <f t="shared" si="72"/>
        <v>1.397E-2</v>
      </c>
    </row>
    <row r="771" spans="1:34" x14ac:dyDescent="0.25">
      <c r="A771" t="s">
        <v>7509</v>
      </c>
      <c r="B771" t="s">
        <v>7128</v>
      </c>
      <c r="C771" t="s">
        <v>7129</v>
      </c>
      <c r="D771" t="s">
        <v>7126</v>
      </c>
      <c r="E771" t="s">
        <v>7127</v>
      </c>
      <c r="F771" t="s">
        <v>7511</v>
      </c>
      <c r="G771" t="s">
        <v>15827</v>
      </c>
      <c r="H771" t="s">
        <v>16230</v>
      </c>
      <c r="I771" t="s">
        <v>16584</v>
      </c>
      <c r="J771" t="s">
        <v>23</v>
      </c>
      <c r="L771" t="s">
        <v>7131</v>
      </c>
      <c r="M771" t="s">
        <v>7132</v>
      </c>
      <c r="N771" t="s">
        <v>7136</v>
      </c>
      <c r="O771" t="s">
        <v>7137</v>
      </c>
      <c r="P771" t="s">
        <v>7138</v>
      </c>
      <c r="Q771" t="s">
        <v>7133</v>
      </c>
      <c r="R771" t="s">
        <v>7134</v>
      </c>
      <c r="S771" t="s">
        <v>7135</v>
      </c>
      <c r="T771" t="s">
        <v>7139</v>
      </c>
      <c r="U771" s="5">
        <v>346.19</v>
      </c>
      <c r="V771" s="5">
        <v>332.22</v>
      </c>
      <c r="W771" s="5">
        <v>16.475852</v>
      </c>
      <c r="X771" s="5">
        <v>107.603185</v>
      </c>
      <c r="Y771" s="5">
        <v>13.97</v>
      </c>
      <c r="Z771" s="5">
        <v>16.475570999999999</v>
      </c>
      <c r="AA771" s="5">
        <v>107.60319</v>
      </c>
      <c r="AB771" s="7">
        <f t="shared" ref="AB771:AB834" si="73">V771*1.5/1000</f>
        <v>0.49833000000000005</v>
      </c>
      <c r="AC771" s="7">
        <f t="shared" ref="AC771:AC834" si="74">Y771*1.5/1000</f>
        <v>2.0955000000000001E-2</v>
      </c>
      <c r="AD771" s="6" t="str">
        <f t="shared" ref="AD771:AD834" si="75">TRIM(LEFT(L771,FIND("-",L771)-1))</f>
        <v>Ring 3 PA07</v>
      </c>
      <c r="AE771" s="6" t="str">
        <f t="shared" ref="AE771:AE834" si="76">TRIM(RIGHT(L771, LEN(L771) - FIND("-", L771)))</f>
        <v>PC01</v>
      </c>
      <c r="AG771">
        <f t="shared" ref="AG771:AG834" si="77">V771/1000</f>
        <v>0.33222000000000002</v>
      </c>
      <c r="AH771">
        <f t="shared" ref="AH771:AH834" si="78">Y771/1000</f>
        <v>1.397E-2</v>
      </c>
    </row>
    <row r="772" spans="1:34" x14ac:dyDescent="0.25">
      <c r="A772" t="s">
        <v>7512</v>
      </c>
      <c r="B772" t="s">
        <v>7456</v>
      </c>
      <c r="C772" t="s">
        <v>7457</v>
      </c>
      <c r="D772" t="s">
        <v>7441</v>
      </c>
      <c r="E772" t="s">
        <v>7442</v>
      </c>
      <c r="F772" t="s">
        <v>7513</v>
      </c>
      <c r="G772" t="s">
        <v>15827</v>
      </c>
      <c r="H772" t="s">
        <v>16230</v>
      </c>
      <c r="I772" t="s">
        <v>16585</v>
      </c>
      <c r="J772" t="s">
        <v>23</v>
      </c>
      <c r="L772" t="s">
        <v>7444</v>
      </c>
      <c r="M772" t="s">
        <v>7514</v>
      </c>
      <c r="N772" t="s">
        <v>7515</v>
      </c>
      <c r="O772" t="s">
        <v>7516</v>
      </c>
      <c r="P772" t="s">
        <v>7517</v>
      </c>
      <c r="Q772" t="s">
        <v>7446</v>
      </c>
      <c r="R772" t="s">
        <v>7447</v>
      </c>
      <c r="S772" t="s">
        <v>7448</v>
      </c>
      <c r="T772" t="s">
        <v>7452</v>
      </c>
      <c r="U772" s="5">
        <v>827.83</v>
      </c>
      <c r="V772" s="5">
        <v>368.27</v>
      </c>
      <c r="W772" s="5">
        <v>16.435271</v>
      </c>
      <c r="X772" s="5">
        <v>107.600075</v>
      </c>
      <c r="Y772" s="5">
        <v>459.56</v>
      </c>
      <c r="Z772" s="5">
        <v>16.442993000000001</v>
      </c>
      <c r="AA772" s="5">
        <v>107.540175</v>
      </c>
      <c r="AB772" s="7">
        <f t="shared" si="73"/>
        <v>0.55240499999999992</v>
      </c>
      <c r="AC772" s="7">
        <f t="shared" si="74"/>
        <v>0.68934000000000006</v>
      </c>
      <c r="AD772" s="6" t="str">
        <f t="shared" si="75"/>
        <v>Ring 11 CAT Thừa Thiên Huế</v>
      </c>
      <c r="AE772" s="6" t="str">
        <f t="shared" si="76"/>
        <v>Thủy Xuân</v>
      </c>
      <c r="AG772">
        <f t="shared" si="77"/>
        <v>0.36826999999999999</v>
      </c>
      <c r="AH772">
        <f t="shared" si="78"/>
        <v>0.45956000000000002</v>
      </c>
    </row>
    <row r="773" spans="1:34" x14ac:dyDescent="0.25">
      <c r="A773" t="s">
        <v>7518</v>
      </c>
      <c r="B773" t="s">
        <v>7519</v>
      </c>
      <c r="C773" t="s">
        <v>7520</v>
      </c>
      <c r="D773" t="s">
        <v>6998</v>
      </c>
      <c r="E773" t="s">
        <v>6999</v>
      </c>
      <c r="F773" t="s">
        <v>7521</v>
      </c>
      <c r="G773" t="s">
        <v>15827</v>
      </c>
      <c r="H773" t="s">
        <v>16230</v>
      </c>
      <c r="I773" t="s">
        <v>16586</v>
      </c>
      <c r="J773" t="s">
        <v>23</v>
      </c>
      <c r="L773" t="s">
        <v>7146</v>
      </c>
      <c r="M773" t="s">
        <v>7522</v>
      </c>
      <c r="N773" t="s">
        <v>7523</v>
      </c>
      <c r="O773" t="s">
        <v>7524</v>
      </c>
      <c r="P773" t="s">
        <v>7525</v>
      </c>
      <c r="Q773" t="s">
        <v>7526</v>
      </c>
      <c r="R773" t="s">
        <v>7527</v>
      </c>
      <c r="S773" t="s">
        <v>7528</v>
      </c>
      <c r="T773" t="s">
        <v>7154</v>
      </c>
      <c r="U773" s="5">
        <v>2170.08</v>
      </c>
      <c r="V773" s="5">
        <v>345.85</v>
      </c>
      <c r="W773" s="5">
        <v>16.456904999999999</v>
      </c>
      <c r="X773" s="5">
        <v>107.606543</v>
      </c>
      <c r="Y773" s="5">
        <v>1824.23</v>
      </c>
      <c r="Z773" s="5">
        <v>16.460649</v>
      </c>
      <c r="AA773" s="5">
        <v>107.624078</v>
      </c>
      <c r="AB773" s="7">
        <f t="shared" si="73"/>
        <v>0.5187750000000001</v>
      </c>
      <c r="AC773" s="7">
        <f t="shared" si="74"/>
        <v>2.7363450000000005</v>
      </c>
      <c r="AD773" s="6" t="str">
        <f t="shared" si="75"/>
        <v>TTCMKV_Ring 2_Phong Điền</v>
      </c>
      <c r="AE773" s="6" t="str">
        <f t="shared" si="76"/>
        <v>CAT Huế mới</v>
      </c>
      <c r="AG773">
        <f t="shared" si="77"/>
        <v>0.34585000000000005</v>
      </c>
      <c r="AH773">
        <f t="shared" si="78"/>
        <v>1.82423</v>
      </c>
    </row>
    <row r="774" spans="1:34" x14ac:dyDescent="0.25">
      <c r="A774" t="s">
        <v>7529</v>
      </c>
      <c r="B774" t="s">
        <v>7530</v>
      </c>
      <c r="C774" t="s">
        <v>7531</v>
      </c>
      <c r="D774" t="s">
        <v>7530</v>
      </c>
      <c r="E774" t="s">
        <v>7531</v>
      </c>
      <c r="F774" t="s">
        <v>7532</v>
      </c>
      <c r="G774" t="s">
        <v>15827</v>
      </c>
      <c r="H774" t="s">
        <v>16230</v>
      </c>
      <c r="I774" t="s">
        <v>16587</v>
      </c>
      <c r="J774" t="s">
        <v>23</v>
      </c>
      <c r="L774" t="s">
        <v>7533</v>
      </c>
      <c r="M774" t="s">
        <v>7534</v>
      </c>
      <c r="N774" t="s">
        <v>1005</v>
      </c>
      <c r="O774" t="s">
        <v>7535</v>
      </c>
      <c r="P774" t="s">
        <v>7536</v>
      </c>
      <c r="Q774" t="s">
        <v>1005</v>
      </c>
      <c r="R774" t="s">
        <v>7535</v>
      </c>
      <c r="S774" t="s">
        <v>7536</v>
      </c>
      <c r="T774" t="s">
        <v>7537</v>
      </c>
      <c r="U774" s="5">
        <v>39.700000000000003</v>
      </c>
      <c r="V774" s="5">
        <v>19.850000000000001</v>
      </c>
      <c r="W774" s="5">
        <v>16.423393999999998</v>
      </c>
      <c r="X774" s="5">
        <v>107.588523</v>
      </c>
      <c r="Y774" s="5">
        <v>19.850000000000001</v>
      </c>
      <c r="Z774" s="5">
        <v>16.423393999999998</v>
      </c>
      <c r="AA774" s="5">
        <v>107.588523</v>
      </c>
      <c r="AB774" s="7">
        <f t="shared" si="73"/>
        <v>2.9775000000000003E-2</v>
      </c>
      <c r="AC774" s="7">
        <f t="shared" si="74"/>
        <v>2.9775000000000003E-2</v>
      </c>
      <c r="AD774" s="6" t="str">
        <f t="shared" si="75"/>
        <v>Ring 3 PC10</v>
      </c>
      <c r="AE774" s="6" t="str">
        <f t="shared" si="76"/>
        <v>PC11</v>
      </c>
      <c r="AG774">
        <f t="shared" si="77"/>
        <v>1.9850000000000003E-2</v>
      </c>
      <c r="AH774">
        <f t="shared" si="78"/>
        <v>1.9850000000000003E-2</v>
      </c>
    </row>
    <row r="775" spans="1:34" x14ac:dyDescent="0.25">
      <c r="A775" t="s">
        <v>7538</v>
      </c>
      <c r="B775" t="s">
        <v>7070</v>
      </c>
      <c r="C775" t="s">
        <v>7071</v>
      </c>
      <c r="D775" t="s">
        <v>7234</v>
      </c>
      <c r="E775" t="s">
        <v>7235</v>
      </c>
      <c r="F775" t="s">
        <v>7236</v>
      </c>
      <c r="G775" t="s">
        <v>15827</v>
      </c>
      <c r="H775" t="s">
        <v>16230</v>
      </c>
      <c r="I775" t="s">
        <v>16564</v>
      </c>
      <c r="J775" t="s">
        <v>23</v>
      </c>
      <c r="L775" t="s">
        <v>7237</v>
      </c>
      <c r="M775" t="s">
        <v>7539</v>
      </c>
      <c r="N775" t="s">
        <v>7540</v>
      </c>
      <c r="O775" t="s">
        <v>7541</v>
      </c>
      <c r="P775" t="s">
        <v>7542</v>
      </c>
      <c r="Q775" t="s">
        <v>7543</v>
      </c>
      <c r="R775" t="s">
        <v>7544</v>
      </c>
      <c r="S775" t="s">
        <v>7545</v>
      </c>
      <c r="T775" t="s">
        <v>7546</v>
      </c>
      <c r="U775" s="5">
        <v>2328.67</v>
      </c>
      <c r="V775" s="5">
        <v>126.69</v>
      </c>
      <c r="W775" s="5">
        <v>16.569879</v>
      </c>
      <c r="X775" s="5">
        <v>107.513603</v>
      </c>
      <c r="Y775" s="5">
        <v>2201.98</v>
      </c>
      <c r="Z775" s="5">
        <v>16.579502999999999</v>
      </c>
      <c r="AA775" s="5">
        <v>107.587335</v>
      </c>
      <c r="AB775" s="7">
        <f t="shared" si="73"/>
        <v>0.19003500000000001</v>
      </c>
      <c r="AC775" s="7">
        <f t="shared" si="74"/>
        <v>3.3029700000000002</v>
      </c>
      <c r="AD775" s="6" t="str">
        <f t="shared" si="75"/>
        <v>Ring 4 Phong Quảng</v>
      </c>
      <c r="AE775" s="6" t="str">
        <f t="shared" si="76"/>
        <v>TTCMKV Quảng
Điền</v>
      </c>
      <c r="AG775">
        <f t="shared" si="77"/>
        <v>0.12669</v>
      </c>
      <c r="AH775">
        <f t="shared" si="78"/>
        <v>2.2019799999999998</v>
      </c>
    </row>
    <row r="776" spans="1:34" x14ac:dyDescent="0.25">
      <c r="A776" t="s">
        <v>7547</v>
      </c>
      <c r="B776" t="s">
        <v>7441</v>
      </c>
      <c r="C776" t="s">
        <v>7442</v>
      </c>
      <c r="D776" t="s">
        <v>7548</v>
      </c>
      <c r="E776" t="s">
        <v>7549</v>
      </c>
      <c r="F776" t="s">
        <v>7550</v>
      </c>
      <c r="G776" t="s">
        <v>15827</v>
      </c>
      <c r="H776" t="s">
        <v>16230</v>
      </c>
      <c r="I776" t="s">
        <v>16588</v>
      </c>
      <c r="J776" t="s">
        <v>23</v>
      </c>
      <c r="L776" t="s">
        <v>7444</v>
      </c>
      <c r="M776" t="s">
        <v>7551</v>
      </c>
      <c r="N776" t="s">
        <v>7446</v>
      </c>
      <c r="O776" t="s">
        <v>7447</v>
      </c>
      <c r="P776" t="s">
        <v>7448</v>
      </c>
      <c r="Q776" t="s">
        <v>7552</v>
      </c>
      <c r="R776" t="s">
        <v>7553</v>
      </c>
      <c r="S776" t="s">
        <v>7554</v>
      </c>
      <c r="T776" t="s">
        <v>7452</v>
      </c>
      <c r="U776" s="5">
        <v>560.17999999999995</v>
      </c>
      <c r="V776" s="5">
        <v>459.56</v>
      </c>
      <c r="W776" s="5">
        <v>16.442993000000001</v>
      </c>
      <c r="X776" s="5">
        <v>107.540175</v>
      </c>
      <c r="Y776" s="5">
        <v>100.62</v>
      </c>
      <c r="Z776" s="5">
        <v>16.434708000000001</v>
      </c>
      <c r="AA776" s="5">
        <v>107.565218</v>
      </c>
      <c r="AB776" s="7">
        <f t="shared" si="73"/>
        <v>0.68934000000000006</v>
      </c>
      <c r="AC776" s="7">
        <f t="shared" si="74"/>
        <v>0.15093000000000001</v>
      </c>
      <c r="AD776" s="6" t="str">
        <f t="shared" si="75"/>
        <v>Ring 11 CAT Thừa Thiên Huế</v>
      </c>
      <c r="AE776" s="6" t="str">
        <f t="shared" si="76"/>
        <v>Thủy Xuân</v>
      </c>
      <c r="AG776">
        <f t="shared" si="77"/>
        <v>0.45956000000000002</v>
      </c>
      <c r="AH776">
        <f t="shared" si="78"/>
        <v>0.10062</v>
      </c>
    </row>
    <row r="777" spans="1:34" x14ac:dyDescent="0.25">
      <c r="A777" t="s">
        <v>7555</v>
      </c>
      <c r="B777" t="s">
        <v>6998</v>
      </c>
      <c r="C777" t="s">
        <v>6999</v>
      </c>
      <c r="D777" t="s">
        <v>7556</v>
      </c>
      <c r="E777" t="s">
        <v>7557</v>
      </c>
      <c r="F777" t="s">
        <v>7558</v>
      </c>
      <c r="G777" t="s">
        <v>15827</v>
      </c>
      <c r="H777" t="s">
        <v>16230</v>
      </c>
      <c r="I777" t="s">
        <v>16589</v>
      </c>
      <c r="J777" t="s">
        <v>23</v>
      </c>
      <c r="L777" t="s">
        <v>7559</v>
      </c>
      <c r="M777" t="s">
        <v>7560</v>
      </c>
      <c r="N777" t="s">
        <v>7561</v>
      </c>
      <c r="O777" t="s">
        <v>7562</v>
      </c>
      <c r="P777" t="s">
        <v>7563</v>
      </c>
      <c r="Q777" t="s">
        <v>7564</v>
      </c>
      <c r="R777" t="s">
        <v>7565</v>
      </c>
      <c r="S777" t="s">
        <v>7566</v>
      </c>
      <c r="T777" t="s">
        <v>7567</v>
      </c>
      <c r="U777" s="5">
        <v>4689.78</v>
      </c>
      <c r="V777" s="5">
        <v>3828.14</v>
      </c>
      <c r="W777" s="5">
        <v>16.478936999999998</v>
      </c>
      <c r="X777" s="5">
        <v>107.58975599999999</v>
      </c>
      <c r="Y777" s="5">
        <v>861.64</v>
      </c>
      <c r="Z777" s="5">
        <v>16.460554999999999</v>
      </c>
      <c r="AA777" s="5">
        <v>107.569109</v>
      </c>
      <c r="AB777" s="7">
        <f t="shared" si="73"/>
        <v>5.74221</v>
      </c>
      <c r="AC777" s="7">
        <f t="shared" si="74"/>
        <v>1.2924599999999999</v>
      </c>
      <c r="AD777" s="6" t="str">
        <f t="shared" si="75"/>
        <v>PC04 (trung tâm cái nghiện)</v>
      </c>
      <c r="AE777" s="6" t="str">
        <f t="shared" si="76"/>
        <v>Phú Xuân</v>
      </c>
      <c r="AG777">
        <f t="shared" si="77"/>
        <v>3.8281399999999999</v>
      </c>
      <c r="AH777">
        <f t="shared" si="78"/>
        <v>0.86163999999999996</v>
      </c>
    </row>
    <row r="778" spans="1:34" x14ac:dyDescent="0.25">
      <c r="A778" t="s">
        <v>7568</v>
      </c>
      <c r="B778" t="s">
        <v>6998</v>
      </c>
      <c r="C778" t="s">
        <v>6999</v>
      </c>
      <c r="D778" t="s">
        <v>7569</v>
      </c>
      <c r="E778" t="s">
        <v>7570</v>
      </c>
      <c r="F778" t="s">
        <v>7571</v>
      </c>
      <c r="G778" t="s">
        <v>15827</v>
      </c>
      <c r="H778" t="s">
        <v>16230</v>
      </c>
      <c r="I778" t="s">
        <v>16590</v>
      </c>
      <c r="J778" t="s">
        <v>23</v>
      </c>
      <c r="L778" t="s">
        <v>7487</v>
      </c>
      <c r="M778" t="s">
        <v>7572</v>
      </c>
      <c r="N778" t="s">
        <v>7492</v>
      </c>
      <c r="O778" t="s">
        <v>7493</v>
      </c>
      <c r="P778" t="s">
        <v>7494</v>
      </c>
      <c r="Q778" t="s">
        <v>7573</v>
      </c>
      <c r="R778" t="s">
        <v>7490</v>
      </c>
      <c r="S778" t="s">
        <v>7491</v>
      </c>
      <c r="T778" t="s">
        <v>7495</v>
      </c>
      <c r="U778" s="5">
        <v>3845.7</v>
      </c>
      <c r="V778" s="5">
        <v>202.64</v>
      </c>
      <c r="W778" s="5">
        <v>16.478172000000001</v>
      </c>
      <c r="X778" s="5">
        <v>107.624154</v>
      </c>
      <c r="Y778" s="5">
        <v>3643.07</v>
      </c>
      <c r="Z778" s="5">
        <v>16.493091</v>
      </c>
      <c r="AA778" s="5">
        <v>107.594409</v>
      </c>
      <c r="AB778" s="7">
        <f t="shared" si="73"/>
        <v>0.30395999999999995</v>
      </c>
      <c r="AC778" s="7">
        <f t="shared" si="74"/>
        <v>5.4646050000000006</v>
      </c>
      <c r="AD778" s="6" t="str">
        <f t="shared" si="75"/>
        <v>Ring 1 Phú Xuân</v>
      </c>
      <c r="AE778" s="6" t="str">
        <f t="shared" si="76"/>
        <v>CAT TT Huế</v>
      </c>
      <c r="AG778">
        <f t="shared" si="77"/>
        <v>0.20263999999999999</v>
      </c>
      <c r="AH778">
        <f t="shared" si="78"/>
        <v>3.6430700000000003</v>
      </c>
    </row>
    <row r="779" spans="1:34" x14ac:dyDescent="0.25">
      <c r="A779" t="s">
        <v>7574</v>
      </c>
      <c r="B779" t="s">
        <v>7098</v>
      </c>
      <c r="C779" t="s">
        <v>7099</v>
      </c>
      <c r="D779" t="s">
        <v>7575</v>
      </c>
      <c r="E779" t="s">
        <v>7576</v>
      </c>
      <c r="F779" t="s">
        <v>7577</v>
      </c>
      <c r="G779" t="s">
        <v>15827</v>
      </c>
      <c r="H779" t="s">
        <v>16230</v>
      </c>
      <c r="I779" t="s">
        <v>16591</v>
      </c>
      <c r="J779" t="s">
        <v>23</v>
      </c>
      <c r="L779" t="s">
        <v>7559</v>
      </c>
      <c r="M779" t="s">
        <v>7578</v>
      </c>
      <c r="N779" t="s">
        <v>7579</v>
      </c>
      <c r="O779" t="s">
        <v>7580</v>
      </c>
      <c r="P779" t="s">
        <v>7581</v>
      </c>
      <c r="Q779" t="s">
        <v>7582</v>
      </c>
      <c r="R779" t="s">
        <v>7583</v>
      </c>
      <c r="S779" t="s">
        <v>7584</v>
      </c>
      <c r="T779" t="s">
        <v>7585</v>
      </c>
      <c r="U779" s="5">
        <v>812.4</v>
      </c>
      <c r="V779" s="5">
        <v>21.39</v>
      </c>
      <c r="W779" s="5">
        <v>16.487358</v>
      </c>
      <c r="X779" s="5">
        <v>107.587509</v>
      </c>
      <c r="Y779" s="5">
        <v>791.01</v>
      </c>
      <c r="Z779" s="5">
        <v>16.479980000000001</v>
      </c>
      <c r="AA779" s="5">
        <v>107.585702</v>
      </c>
      <c r="AB779" s="7">
        <f t="shared" si="73"/>
        <v>3.2085000000000002E-2</v>
      </c>
      <c r="AC779" s="7">
        <f t="shared" si="74"/>
        <v>1.1865149999999998</v>
      </c>
      <c r="AD779" s="6" t="str">
        <f t="shared" si="75"/>
        <v>PC04 (trung tâm cái nghiện)</v>
      </c>
      <c r="AE779" s="6" t="str">
        <f t="shared" si="76"/>
        <v>Phú Xuân</v>
      </c>
      <c r="AG779">
        <f t="shared" si="77"/>
        <v>2.1389999999999999E-2</v>
      </c>
      <c r="AH779">
        <f t="shared" si="78"/>
        <v>0.79100999999999999</v>
      </c>
    </row>
    <row r="780" spans="1:34" x14ac:dyDescent="0.25">
      <c r="A780" t="s">
        <v>7586</v>
      </c>
      <c r="B780" t="s">
        <v>7587</v>
      </c>
      <c r="C780" t="s">
        <v>7588</v>
      </c>
      <c r="D780" t="s">
        <v>7070</v>
      </c>
      <c r="E780" t="s">
        <v>7071</v>
      </c>
      <c r="F780" t="s">
        <v>7589</v>
      </c>
      <c r="G780" t="s">
        <v>15827</v>
      </c>
      <c r="H780" t="s">
        <v>16230</v>
      </c>
      <c r="I780" t="s">
        <v>16592</v>
      </c>
      <c r="J780" t="s">
        <v>23</v>
      </c>
      <c r="L780" t="s">
        <v>7590</v>
      </c>
      <c r="M780" t="s">
        <v>7591</v>
      </c>
      <c r="N780" t="s">
        <v>7592</v>
      </c>
      <c r="O780" t="s">
        <v>7593</v>
      </c>
      <c r="P780" t="s">
        <v>7594</v>
      </c>
      <c r="Q780" t="s">
        <v>7595</v>
      </c>
      <c r="R780" t="s">
        <v>7596</v>
      </c>
      <c r="S780" t="s">
        <v>7597</v>
      </c>
      <c r="T780" t="s">
        <v>7598</v>
      </c>
      <c r="U780" s="5">
        <v>5064.17</v>
      </c>
      <c r="V780" s="5">
        <v>5010.4399999999996</v>
      </c>
      <c r="W780" s="5">
        <v>16.579530999999999</v>
      </c>
      <c r="X780" s="5">
        <v>107.513243</v>
      </c>
      <c r="Y780" s="5">
        <v>53.73</v>
      </c>
      <c r="Z780" s="5">
        <v>16.569082999999999</v>
      </c>
      <c r="AA780" s="5">
        <v>107.513955</v>
      </c>
      <c r="AB780" s="7">
        <f t="shared" si="73"/>
        <v>7.5156599999999996</v>
      </c>
      <c r="AC780" s="7">
        <f t="shared" si="74"/>
        <v>8.0595E-2</v>
      </c>
      <c r="AD780" s="6" t="str">
        <f t="shared" si="75"/>
        <v>Ring 3_Phong Dinh</v>
      </c>
      <c r="AE780" s="6" t="str">
        <f t="shared" si="76"/>
        <v>TTCMKV Quảng Điền</v>
      </c>
      <c r="AG780">
        <f t="shared" si="77"/>
        <v>5.01044</v>
      </c>
      <c r="AH780">
        <f t="shared" si="78"/>
        <v>5.373E-2</v>
      </c>
    </row>
    <row r="781" spans="1:34" x14ac:dyDescent="0.25">
      <c r="A781" t="s">
        <v>7599</v>
      </c>
      <c r="B781" t="s">
        <v>7600</v>
      </c>
      <c r="C781" t="s">
        <v>7601</v>
      </c>
      <c r="D781" t="s">
        <v>7602</v>
      </c>
      <c r="E781" t="s">
        <v>7603</v>
      </c>
      <c r="F781" t="s">
        <v>7604</v>
      </c>
      <c r="G781" t="s">
        <v>15827</v>
      </c>
      <c r="H781" t="s">
        <v>16230</v>
      </c>
      <c r="I781" t="s">
        <v>16593</v>
      </c>
      <c r="J781" t="s">
        <v>23</v>
      </c>
      <c r="L781" t="s">
        <v>7605</v>
      </c>
      <c r="M781" t="s">
        <v>7606</v>
      </c>
      <c r="N781" t="s">
        <v>7607</v>
      </c>
      <c r="O781" t="s">
        <v>7608</v>
      </c>
      <c r="P781" t="s">
        <v>7609</v>
      </c>
      <c r="Q781" t="s">
        <v>7610</v>
      </c>
      <c r="R781" t="s">
        <v>7611</v>
      </c>
      <c r="S781" t="s">
        <v>7612</v>
      </c>
      <c r="T781" t="s">
        <v>7613</v>
      </c>
      <c r="U781" s="5">
        <v>190.52</v>
      </c>
      <c r="V781" s="5">
        <v>157.80000000000001</v>
      </c>
      <c r="W781" s="5">
        <v>16.452960999999998</v>
      </c>
      <c r="X781" s="5">
        <v>107.592315</v>
      </c>
      <c r="Y781" s="5">
        <v>32.72</v>
      </c>
      <c r="Z781" s="5">
        <v>16.45111</v>
      </c>
      <c r="AA781" s="5">
        <v>107.589151</v>
      </c>
      <c r="AB781" s="7">
        <f t="shared" si="73"/>
        <v>0.23670000000000002</v>
      </c>
      <c r="AC781" s="7">
        <f t="shared" si="74"/>
        <v>4.9079999999999999E-2</v>
      </c>
      <c r="AD781" s="6" t="str">
        <f t="shared" si="75"/>
        <v>Ring 9 CAT Thừa Thiên Huế</v>
      </c>
      <c r="AE781" s="6" t="str">
        <f t="shared" si="76"/>
        <v>Thuận Hóa</v>
      </c>
      <c r="AG781">
        <f t="shared" si="77"/>
        <v>0.15780000000000002</v>
      </c>
      <c r="AH781">
        <f t="shared" si="78"/>
        <v>3.2719999999999999E-2</v>
      </c>
    </row>
    <row r="782" spans="1:34" x14ac:dyDescent="0.25">
      <c r="A782" t="s">
        <v>7512</v>
      </c>
      <c r="B782" t="s">
        <v>7456</v>
      </c>
      <c r="C782" t="s">
        <v>7457</v>
      </c>
      <c r="D782" t="s">
        <v>7441</v>
      </c>
      <c r="E782" t="s">
        <v>7442</v>
      </c>
      <c r="F782" t="s">
        <v>7614</v>
      </c>
      <c r="G782" t="s">
        <v>15827</v>
      </c>
      <c r="H782" t="s">
        <v>16230</v>
      </c>
      <c r="I782" t="s">
        <v>16594</v>
      </c>
      <c r="J782" t="s">
        <v>23</v>
      </c>
      <c r="L782" t="s">
        <v>7444</v>
      </c>
      <c r="M782" t="s">
        <v>7514</v>
      </c>
      <c r="N782" t="s">
        <v>7515</v>
      </c>
      <c r="O782" t="s">
        <v>7516</v>
      </c>
      <c r="P782" t="s">
        <v>7517</v>
      </c>
      <c r="Q782" t="s">
        <v>7446</v>
      </c>
      <c r="R782" t="s">
        <v>7447</v>
      </c>
      <c r="S782" t="s">
        <v>7448</v>
      </c>
      <c r="T782" t="s">
        <v>7452</v>
      </c>
      <c r="U782" s="5">
        <v>827.83</v>
      </c>
      <c r="V782" s="5">
        <v>368.27</v>
      </c>
      <c r="W782" s="5">
        <v>16.435271</v>
      </c>
      <c r="X782" s="5">
        <v>107.600075</v>
      </c>
      <c r="Y782" s="5">
        <v>459.56</v>
      </c>
      <c r="Z782" s="5">
        <v>16.442993000000001</v>
      </c>
      <c r="AA782" s="5">
        <v>107.540175</v>
      </c>
      <c r="AB782" s="7">
        <f t="shared" si="73"/>
        <v>0.55240499999999992</v>
      </c>
      <c r="AC782" s="7">
        <f t="shared" si="74"/>
        <v>0.68934000000000006</v>
      </c>
      <c r="AD782" s="6" t="str">
        <f t="shared" si="75"/>
        <v>Ring 11 CAT Thừa Thiên Huế</v>
      </c>
      <c r="AE782" s="6" t="str">
        <f t="shared" si="76"/>
        <v>Thủy Xuân</v>
      </c>
      <c r="AG782">
        <f t="shared" si="77"/>
        <v>0.36826999999999999</v>
      </c>
      <c r="AH782">
        <f t="shared" si="78"/>
        <v>0.45956000000000002</v>
      </c>
    </row>
    <row r="783" spans="1:34" x14ac:dyDescent="0.25">
      <c r="A783" t="s">
        <v>7615</v>
      </c>
      <c r="B783" t="s">
        <v>7616</v>
      </c>
      <c r="C783" t="s">
        <v>7617</v>
      </c>
      <c r="D783" t="s">
        <v>7530</v>
      </c>
      <c r="E783" t="s">
        <v>7531</v>
      </c>
      <c r="F783" t="s">
        <v>7618</v>
      </c>
      <c r="G783" t="s">
        <v>15827</v>
      </c>
      <c r="H783" t="s">
        <v>16230</v>
      </c>
      <c r="I783" t="s">
        <v>16595</v>
      </c>
      <c r="J783" t="s">
        <v>23</v>
      </c>
      <c r="L783" t="s">
        <v>7533</v>
      </c>
      <c r="M783" t="s">
        <v>7619</v>
      </c>
      <c r="N783" t="s">
        <v>7620</v>
      </c>
      <c r="O783" t="s">
        <v>7621</v>
      </c>
      <c r="P783" t="s">
        <v>7622</v>
      </c>
      <c r="Q783" t="s">
        <v>7623</v>
      </c>
      <c r="R783" t="s">
        <v>7624</v>
      </c>
      <c r="S783" t="s">
        <v>7625</v>
      </c>
      <c r="T783" t="s">
        <v>7626</v>
      </c>
      <c r="U783" s="5">
        <v>2596.1</v>
      </c>
      <c r="V783" s="5">
        <v>1787.78</v>
      </c>
      <c r="W783" s="5">
        <v>16.451485000000002</v>
      </c>
      <c r="X783" s="5">
        <v>107.57438</v>
      </c>
      <c r="Y783" s="5">
        <v>808.32</v>
      </c>
      <c r="Z783" s="5">
        <v>16.430464000000001</v>
      </c>
      <c r="AA783" s="5">
        <v>107.58719000000001</v>
      </c>
      <c r="AB783" s="7">
        <f t="shared" si="73"/>
        <v>2.68167</v>
      </c>
      <c r="AC783" s="7">
        <f t="shared" si="74"/>
        <v>1.21248</v>
      </c>
      <c r="AD783" s="6" t="str">
        <f t="shared" si="75"/>
        <v>Ring 3 PC10</v>
      </c>
      <c r="AE783" s="6" t="str">
        <f t="shared" si="76"/>
        <v>PC11</v>
      </c>
      <c r="AG783">
        <f t="shared" si="77"/>
        <v>1.7877799999999999</v>
      </c>
      <c r="AH783">
        <f t="shared" si="78"/>
        <v>0.80832000000000004</v>
      </c>
    </row>
    <row r="784" spans="1:34" x14ac:dyDescent="0.25">
      <c r="A784" t="s">
        <v>7627</v>
      </c>
      <c r="B784" t="s">
        <v>7548</v>
      </c>
      <c r="C784" t="s">
        <v>7549</v>
      </c>
      <c r="D784" t="s">
        <v>7441</v>
      </c>
      <c r="E784" t="s">
        <v>7442</v>
      </c>
      <c r="F784" t="s">
        <v>7628</v>
      </c>
      <c r="G784" t="s">
        <v>15827</v>
      </c>
      <c r="H784" t="s">
        <v>16230</v>
      </c>
      <c r="I784" t="s">
        <v>16596</v>
      </c>
      <c r="J784" t="s">
        <v>23</v>
      </c>
      <c r="L784" t="s">
        <v>7444</v>
      </c>
      <c r="M784" t="s">
        <v>7551</v>
      </c>
      <c r="N784" t="s">
        <v>7552</v>
      </c>
      <c r="O784" t="s">
        <v>7553</v>
      </c>
      <c r="P784" t="s">
        <v>7554</v>
      </c>
      <c r="Q784" t="s">
        <v>7446</v>
      </c>
      <c r="R784" t="s">
        <v>7447</v>
      </c>
      <c r="S784" t="s">
        <v>7448</v>
      </c>
      <c r="T784" t="s">
        <v>7452</v>
      </c>
      <c r="U784" s="5">
        <v>560.17999999999995</v>
      </c>
      <c r="V784" s="5">
        <v>100.62</v>
      </c>
      <c r="W784" s="5">
        <v>16.434708000000001</v>
      </c>
      <c r="X784" s="5">
        <v>107.565218</v>
      </c>
      <c r="Y784" s="5">
        <v>459.56</v>
      </c>
      <c r="Z784" s="5">
        <v>16.442993000000001</v>
      </c>
      <c r="AA784" s="5">
        <v>107.540175</v>
      </c>
      <c r="AB784" s="7">
        <f t="shared" si="73"/>
        <v>0.15093000000000001</v>
      </c>
      <c r="AC784" s="7">
        <f t="shared" si="74"/>
        <v>0.68934000000000006</v>
      </c>
      <c r="AD784" s="6" t="str">
        <f t="shared" si="75"/>
        <v>Ring 11 CAT Thừa Thiên Huế</v>
      </c>
      <c r="AE784" s="6" t="str">
        <f t="shared" si="76"/>
        <v>Thủy Xuân</v>
      </c>
      <c r="AG784">
        <f t="shared" si="77"/>
        <v>0.10062</v>
      </c>
      <c r="AH784">
        <f t="shared" si="78"/>
        <v>0.45956000000000002</v>
      </c>
    </row>
    <row r="785" spans="1:34" x14ac:dyDescent="0.25">
      <c r="A785" t="s">
        <v>7483</v>
      </c>
      <c r="B785" t="s">
        <v>7497</v>
      </c>
      <c r="C785" t="s">
        <v>7498</v>
      </c>
      <c r="D785" t="s">
        <v>6998</v>
      </c>
      <c r="E785" t="s">
        <v>6999</v>
      </c>
      <c r="F785" t="s">
        <v>7629</v>
      </c>
      <c r="G785" t="s">
        <v>15827</v>
      </c>
      <c r="H785" t="s">
        <v>16230</v>
      </c>
      <c r="I785" t="s">
        <v>16597</v>
      </c>
      <c r="J785" t="s">
        <v>23</v>
      </c>
      <c r="L785" t="s">
        <v>7487</v>
      </c>
      <c r="M785" t="s">
        <v>7630</v>
      </c>
      <c r="N785" t="s">
        <v>7631</v>
      </c>
      <c r="O785" t="s">
        <v>7490</v>
      </c>
      <c r="P785" t="s">
        <v>7491</v>
      </c>
      <c r="Q785" t="s">
        <v>7492</v>
      </c>
      <c r="R785" t="s">
        <v>7493</v>
      </c>
      <c r="S785" t="s">
        <v>7494</v>
      </c>
      <c r="T785" t="s">
        <v>7495</v>
      </c>
      <c r="U785" s="5">
        <v>4278.71</v>
      </c>
      <c r="V785" s="5">
        <v>4076.07</v>
      </c>
      <c r="W785" s="5">
        <v>16.493091</v>
      </c>
      <c r="X785" s="5">
        <v>107.594409</v>
      </c>
      <c r="Y785" s="5">
        <v>202.64</v>
      </c>
      <c r="Z785" s="5">
        <v>16.478172000000001</v>
      </c>
      <c r="AA785" s="5">
        <v>107.624154</v>
      </c>
      <c r="AB785" s="7">
        <f t="shared" si="73"/>
        <v>6.1141050000000003</v>
      </c>
      <c r="AC785" s="7">
        <f t="shared" si="74"/>
        <v>0.30395999999999995</v>
      </c>
      <c r="AD785" s="6" t="str">
        <f t="shared" si="75"/>
        <v>Ring 1 Phú Xuân</v>
      </c>
      <c r="AE785" s="6" t="str">
        <f t="shared" si="76"/>
        <v>CAT TT Huế</v>
      </c>
      <c r="AG785">
        <f t="shared" si="77"/>
        <v>4.0760700000000005</v>
      </c>
      <c r="AH785">
        <f t="shared" si="78"/>
        <v>0.20263999999999999</v>
      </c>
    </row>
    <row r="786" spans="1:34" x14ac:dyDescent="0.25">
      <c r="A786" t="s">
        <v>7632</v>
      </c>
      <c r="B786" t="s">
        <v>7633</v>
      </c>
      <c r="C786" t="s">
        <v>7634</v>
      </c>
      <c r="D786" t="s">
        <v>7530</v>
      </c>
      <c r="E786" t="s">
        <v>7531</v>
      </c>
      <c r="F786" t="s">
        <v>7635</v>
      </c>
      <c r="G786" t="s">
        <v>15827</v>
      </c>
      <c r="H786" t="s">
        <v>16230</v>
      </c>
      <c r="I786" t="s">
        <v>16598</v>
      </c>
      <c r="J786" t="s">
        <v>23</v>
      </c>
      <c r="L786" t="s">
        <v>7533</v>
      </c>
      <c r="M786" t="s">
        <v>7636</v>
      </c>
      <c r="N786" t="s">
        <v>7637</v>
      </c>
      <c r="O786" t="s">
        <v>7621</v>
      </c>
      <c r="P786" t="s">
        <v>7622</v>
      </c>
      <c r="Q786" t="s">
        <v>7623</v>
      </c>
      <c r="R786" t="s">
        <v>7624</v>
      </c>
      <c r="S786" t="s">
        <v>7625</v>
      </c>
      <c r="T786" t="s">
        <v>7626</v>
      </c>
      <c r="U786" s="5">
        <v>1195.21</v>
      </c>
      <c r="V786" s="5">
        <v>386.89</v>
      </c>
      <c r="W786" s="5">
        <v>16.451485000000002</v>
      </c>
      <c r="X786" s="5">
        <v>107.57438</v>
      </c>
      <c r="Y786" s="5">
        <v>808.32</v>
      </c>
      <c r="Z786" s="5">
        <v>16.430464000000001</v>
      </c>
      <c r="AA786" s="5">
        <v>107.58719000000001</v>
      </c>
      <c r="AB786" s="7">
        <f t="shared" si="73"/>
        <v>0.58033500000000005</v>
      </c>
      <c r="AC786" s="7">
        <f t="shared" si="74"/>
        <v>1.21248</v>
      </c>
      <c r="AD786" s="6" t="str">
        <f t="shared" si="75"/>
        <v>Ring 3 PC10</v>
      </c>
      <c r="AE786" s="6" t="str">
        <f t="shared" si="76"/>
        <v>PC11</v>
      </c>
      <c r="AG786">
        <f t="shared" si="77"/>
        <v>0.38689000000000001</v>
      </c>
      <c r="AH786">
        <f t="shared" si="78"/>
        <v>0.80832000000000004</v>
      </c>
    </row>
    <row r="787" spans="1:34" x14ac:dyDescent="0.25">
      <c r="A787" t="s">
        <v>7638</v>
      </c>
      <c r="B787" t="s">
        <v>7639</v>
      </c>
      <c r="C787" t="s">
        <v>7485</v>
      </c>
      <c r="D787" t="s">
        <v>6998</v>
      </c>
      <c r="E787" t="s">
        <v>6999</v>
      </c>
      <c r="F787" t="s">
        <v>7640</v>
      </c>
      <c r="G787" t="s">
        <v>15827</v>
      </c>
      <c r="H787" t="s">
        <v>16230</v>
      </c>
      <c r="I787" t="s">
        <v>16599</v>
      </c>
      <c r="J787" t="s">
        <v>23</v>
      </c>
      <c r="L787" t="s">
        <v>7487</v>
      </c>
      <c r="M787" t="s">
        <v>7641</v>
      </c>
      <c r="N787" t="s">
        <v>7642</v>
      </c>
      <c r="O787" t="s">
        <v>7490</v>
      </c>
      <c r="P787" t="s">
        <v>7491</v>
      </c>
      <c r="Q787" t="s">
        <v>7492</v>
      </c>
      <c r="R787" t="s">
        <v>7493</v>
      </c>
      <c r="S787" t="s">
        <v>7494</v>
      </c>
      <c r="T787" t="s">
        <v>7495</v>
      </c>
      <c r="U787" s="5">
        <v>4315.8500000000004</v>
      </c>
      <c r="V787" s="5">
        <v>4113.21</v>
      </c>
      <c r="W787" s="5">
        <v>16.493091</v>
      </c>
      <c r="X787" s="5">
        <v>107.594409</v>
      </c>
      <c r="Y787" s="5">
        <v>202.64</v>
      </c>
      <c r="Z787" s="5">
        <v>16.478172000000001</v>
      </c>
      <c r="AA787" s="5">
        <v>107.624154</v>
      </c>
      <c r="AB787" s="7">
        <f t="shared" si="73"/>
        <v>6.1698150000000007</v>
      </c>
      <c r="AC787" s="7">
        <f t="shared" si="74"/>
        <v>0.30395999999999995</v>
      </c>
      <c r="AD787" s="6" t="str">
        <f t="shared" si="75"/>
        <v>Ring 1 Phú Xuân</v>
      </c>
      <c r="AE787" s="6" t="str">
        <f t="shared" si="76"/>
        <v>CAT TT Huế</v>
      </c>
      <c r="AG787">
        <f t="shared" si="77"/>
        <v>4.1132100000000005</v>
      </c>
      <c r="AH787">
        <f t="shared" si="78"/>
        <v>0.20263999999999999</v>
      </c>
    </row>
    <row r="788" spans="1:34" x14ac:dyDescent="0.25">
      <c r="A788" t="s">
        <v>7643</v>
      </c>
      <c r="B788" t="s">
        <v>7484</v>
      </c>
      <c r="C788" t="s">
        <v>7485</v>
      </c>
      <c r="D788" t="s">
        <v>7070</v>
      </c>
      <c r="E788" t="s">
        <v>7071</v>
      </c>
      <c r="F788" t="s">
        <v>7644</v>
      </c>
      <c r="G788" t="s">
        <v>15827</v>
      </c>
      <c r="H788" t="s">
        <v>16230</v>
      </c>
      <c r="I788" t="s">
        <v>16600</v>
      </c>
      <c r="J788" t="s">
        <v>23</v>
      </c>
      <c r="L788" t="s">
        <v>7061</v>
      </c>
      <c r="M788" t="s">
        <v>7645</v>
      </c>
      <c r="N788" t="s">
        <v>7646</v>
      </c>
      <c r="O788" t="s">
        <v>7282</v>
      </c>
      <c r="P788" t="s">
        <v>7283</v>
      </c>
      <c r="Q788" t="s">
        <v>7647</v>
      </c>
      <c r="R788" t="s">
        <v>7648</v>
      </c>
      <c r="S788" t="s">
        <v>7649</v>
      </c>
      <c r="T788" t="s">
        <v>7066</v>
      </c>
      <c r="U788" s="5">
        <v>5227.7</v>
      </c>
      <c r="V788" s="5">
        <v>5158.09</v>
      </c>
      <c r="W788" s="5">
        <v>16.491365999999999</v>
      </c>
      <c r="X788" s="5">
        <v>107.521095</v>
      </c>
      <c r="Y788" s="5">
        <v>69.61</v>
      </c>
      <c r="Z788" s="5">
        <v>16.568549999999998</v>
      </c>
      <c r="AA788" s="5">
        <v>107.514222</v>
      </c>
      <c r="AB788" s="7">
        <f t="shared" si="73"/>
        <v>7.7371350000000003</v>
      </c>
      <c r="AC788" s="7">
        <f t="shared" si="74"/>
        <v>0.10441499999999999</v>
      </c>
      <c r="AD788" s="6" t="str">
        <f t="shared" si="75"/>
        <v>Ring 6 TTCMKV Quảng Điền</v>
      </c>
      <c r="AE788" s="6" t="str">
        <f t="shared" si="76"/>
        <v>Kim Trà</v>
      </c>
      <c r="AG788">
        <f t="shared" si="77"/>
        <v>5.1580900000000005</v>
      </c>
      <c r="AH788">
        <f t="shared" si="78"/>
        <v>6.9610000000000005E-2</v>
      </c>
    </row>
    <row r="789" spans="1:34" x14ac:dyDescent="0.25">
      <c r="A789" t="s">
        <v>7483</v>
      </c>
      <c r="B789" t="s">
        <v>7497</v>
      </c>
      <c r="C789" t="s">
        <v>7498</v>
      </c>
      <c r="D789" t="s">
        <v>6998</v>
      </c>
      <c r="E789" t="s">
        <v>6999</v>
      </c>
      <c r="F789" t="s">
        <v>7650</v>
      </c>
      <c r="G789" t="s">
        <v>15827</v>
      </c>
      <c r="H789" t="s">
        <v>16230</v>
      </c>
      <c r="I789" t="s">
        <v>16601</v>
      </c>
      <c r="J789" t="s">
        <v>23</v>
      </c>
      <c r="L789" t="s">
        <v>7487</v>
      </c>
      <c r="M789" t="s">
        <v>7630</v>
      </c>
      <c r="N789" t="s">
        <v>7631</v>
      </c>
      <c r="O789" t="s">
        <v>7490</v>
      </c>
      <c r="P789" t="s">
        <v>7491</v>
      </c>
      <c r="Q789" t="s">
        <v>7492</v>
      </c>
      <c r="R789" t="s">
        <v>7493</v>
      </c>
      <c r="S789" t="s">
        <v>7494</v>
      </c>
      <c r="T789" t="s">
        <v>7495</v>
      </c>
      <c r="U789" s="5">
        <v>4278.71</v>
      </c>
      <c r="V789" s="5">
        <v>4076.07</v>
      </c>
      <c r="W789" s="5">
        <v>16.493091</v>
      </c>
      <c r="X789" s="5">
        <v>107.594409</v>
      </c>
      <c r="Y789" s="5">
        <v>202.64</v>
      </c>
      <c r="Z789" s="5">
        <v>16.478172000000001</v>
      </c>
      <c r="AA789" s="5">
        <v>107.624154</v>
      </c>
      <c r="AB789" s="7">
        <f t="shared" si="73"/>
        <v>6.1141050000000003</v>
      </c>
      <c r="AC789" s="7">
        <f t="shared" si="74"/>
        <v>0.30395999999999995</v>
      </c>
      <c r="AD789" s="6" t="str">
        <f t="shared" si="75"/>
        <v>Ring 1 Phú Xuân</v>
      </c>
      <c r="AE789" s="6" t="str">
        <f t="shared" si="76"/>
        <v>CAT TT Huế</v>
      </c>
      <c r="AG789">
        <f t="shared" si="77"/>
        <v>4.0760700000000005</v>
      </c>
      <c r="AH789">
        <f t="shared" si="78"/>
        <v>0.20263999999999999</v>
      </c>
    </row>
    <row r="790" spans="1:34" x14ac:dyDescent="0.25">
      <c r="A790" t="s">
        <v>7651</v>
      </c>
      <c r="B790" t="s">
        <v>7070</v>
      </c>
      <c r="C790" t="s">
        <v>7071</v>
      </c>
      <c r="D790" t="s">
        <v>7652</v>
      </c>
      <c r="E790" t="s">
        <v>7653</v>
      </c>
      <c r="F790" t="s">
        <v>7654</v>
      </c>
      <c r="G790" t="s">
        <v>15827</v>
      </c>
      <c r="H790" t="s">
        <v>16230</v>
      </c>
      <c r="I790" t="s">
        <v>16602</v>
      </c>
      <c r="J790" t="s">
        <v>23</v>
      </c>
      <c r="L790" t="s">
        <v>7500</v>
      </c>
      <c r="M790" t="s">
        <v>7655</v>
      </c>
      <c r="N790" t="s">
        <v>7656</v>
      </c>
      <c r="O790" t="s">
        <v>7657</v>
      </c>
      <c r="P790" t="s">
        <v>7658</v>
      </c>
      <c r="Q790" t="s">
        <v>7659</v>
      </c>
      <c r="R790" t="s">
        <v>7503</v>
      </c>
      <c r="S790" t="s">
        <v>7504</v>
      </c>
      <c r="T790" t="s">
        <v>7508</v>
      </c>
      <c r="U790" s="5">
        <v>4485.49</v>
      </c>
      <c r="V790" s="5">
        <v>65.89</v>
      </c>
      <c r="W790" s="5">
        <v>16.568567999999999</v>
      </c>
      <c r="X790" s="5">
        <v>107.51419199999999</v>
      </c>
      <c r="Y790" s="5">
        <v>4419.6000000000004</v>
      </c>
      <c r="Z790" s="5">
        <v>16.537220000000001</v>
      </c>
      <c r="AA790" s="5">
        <v>107.56147900000001</v>
      </c>
      <c r="AB790" s="7">
        <f t="shared" si="73"/>
        <v>9.8835000000000006E-2</v>
      </c>
      <c r="AC790" s="7">
        <f t="shared" si="74"/>
        <v>6.6294000000000004</v>
      </c>
      <c r="AD790" s="6" t="str">
        <f t="shared" si="75"/>
        <v>Ring 7 TTCMKV Quảng Điền</v>
      </c>
      <c r="AE790" s="6" t="str">
        <f t="shared" si="76"/>
        <v>Hóa Châu</v>
      </c>
      <c r="AG790">
        <f t="shared" si="77"/>
        <v>6.5890000000000004E-2</v>
      </c>
      <c r="AH790">
        <f t="shared" si="78"/>
        <v>4.4196</v>
      </c>
    </row>
    <row r="791" spans="1:34" x14ac:dyDescent="0.25">
      <c r="A791" t="s">
        <v>7660</v>
      </c>
      <c r="B791" t="s">
        <v>7232</v>
      </c>
      <c r="C791" t="s">
        <v>7233</v>
      </c>
      <c r="D791" t="s">
        <v>7661</v>
      </c>
      <c r="E791" t="s">
        <v>7662</v>
      </c>
      <c r="F791" t="s">
        <v>7663</v>
      </c>
      <c r="G791" t="s">
        <v>15827</v>
      </c>
      <c r="H791" t="s">
        <v>16230</v>
      </c>
      <c r="I791" t="s">
        <v>16603</v>
      </c>
      <c r="J791" t="s">
        <v>23</v>
      </c>
      <c r="L791" t="s">
        <v>7664</v>
      </c>
      <c r="M791" t="s">
        <v>7665</v>
      </c>
      <c r="N791" t="s">
        <v>7666</v>
      </c>
      <c r="O791" t="s">
        <v>7667</v>
      </c>
      <c r="P791" t="s">
        <v>7668</v>
      </c>
      <c r="Q791" t="s">
        <v>7669</v>
      </c>
      <c r="R791" t="s">
        <v>7670</v>
      </c>
      <c r="S791" t="s">
        <v>7671</v>
      </c>
      <c r="T791" t="s">
        <v>7672</v>
      </c>
      <c r="U791" s="5">
        <v>253.75</v>
      </c>
      <c r="V791" s="5">
        <v>67.099999999999994</v>
      </c>
      <c r="W791" s="5">
        <v>16.668462999999999</v>
      </c>
      <c r="X791" s="5">
        <v>107.478875</v>
      </c>
      <c r="Y791" s="5">
        <v>186.65</v>
      </c>
      <c r="Z791" s="5">
        <v>16.684887</v>
      </c>
      <c r="AA791" s="5">
        <v>107.41278200000001</v>
      </c>
      <c r="AB791" s="7">
        <f t="shared" si="73"/>
        <v>0.10064999999999999</v>
      </c>
      <c r="AC791" s="7">
        <f t="shared" si="74"/>
        <v>0.27997500000000003</v>
      </c>
      <c r="AD791" s="6" t="str">
        <f t="shared" si="75"/>
        <v>Ring 4 Phong Phú</v>
      </c>
      <c r="AE791" s="6" t="str">
        <f t="shared" si="76"/>
        <v>Phong Quảng</v>
      </c>
      <c r="AG791">
        <f t="shared" si="77"/>
        <v>6.7099999999999993E-2</v>
      </c>
      <c r="AH791">
        <f t="shared" si="78"/>
        <v>0.18665000000000001</v>
      </c>
    </row>
    <row r="792" spans="1:34" x14ac:dyDescent="0.25">
      <c r="A792" t="s">
        <v>7673</v>
      </c>
      <c r="B792" t="s">
        <v>7070</v>
      </c>
      <c r="C792" t="s">
        <v>7071</v>
      </c>
      <c r="D792" t="s">
        <v>7674</v>
      </c>
      <c r="E792" t="s">
        <v>7675</v>
      </c>
      <c r="F792" t="s">
        <v>7676</v>
      </c>
      <c r="G792" t="s">
        <v>15827</v>
      </c>
      <c r="H792" t="s">
        <v>16230</v>
      </c>
      <c r="I792" t="s">
        <v>16604</v>
      </c>
      <c r="J792" t="s">
        <v>23</v>
      </c>
      <c r="L792" t="s">
        <v>7677</v>
      </c>
      <c r="M792" t="s">
        <v>7678</v>
      </c>
      <c r="N792" t="s">
        <v>7679</v>
      </c>
      <c r="O792" t="s">
        <v>7680</v>
      </c>
      <c r="P792" t="s">
        <v>7681</v>
      </c>
      <c r="Q792" t="s">
        <v>7682</v>
      </c>
      <c r="R792" t="s">
        <v>7683</v>
      </c>
      <c r="S792" t="s">
        <v>7684</v>
      </c>
      <c r="T792" t="s">
        <v>7685</v>
      </c>
      <c r="U792" s="5">
        <v>1022.75</v>
      </c>
      <c r="V792" s="5">
        <v>93.33</v>
      </c>
      <c r="W792" s="5">
        <v>16.569545999999999</v>
      </c>
      <c r="X792" s="5">
        <v>107.513842</v>
      </c>
      <c r="Y792" s="5">
        <v>929.42</v>
      </c>
      <c r="Z792" s="5">
        <v>16.544543999999998</v>
      </c>
      <c r="AA792" s="5">
        <v>107.49599600000001</v>
      </c>
      <c r="AB792" s="7">
        <f t="shared" si="73"/>
        <v>0.13999500000000001</v>
      </c>
      <c r="AC792" s="7">
        <f t="shared" si="74"/>
        <v>1.3941299999999999</v>
      </c>
      <c r="AD792" s="6" t="str">
        <f t="shared" si="75"/>
        <v>Ring 5 Đan Điền</v>
      </c>
      <c r="AE792" s="6" t="str">
        <f t="shared" si="76"/>
        <v>Quảng Điền</v>
      </c>
      <c r="AG792">
        <f t="shared" si="77"/>
        <v>9.3329999999999996E-2</v>
      </c>
      <c r="AH792">
        <f t="shared" si="78"/>
        <v>0.92941999999999991</v>
      </c>
    </row>
    <row r="793" spans="1:34" x14ac:dyDescent="0.25">
      <c r="A793" t="s">
        <v>7686</v>
      </c>
      <c r="B793" t="s">
        <v>7070</v>
      </c>
      <c r="C793" t="s">
        <v>7071</v>
      </c>
      <c r="D793" t="s">
        <v>7687</v>
      </c>
      <c r="E793" t="s">
        <v>7688</v>
      </c>
      <c r="F793" t="s">
        <v>7689</v>
      </c>
      <c r="G793" t="s">
        <v>15827</v>
      </c>
      <c r="H793" t="s">
        <v>16230</v>
      </c>
      <c r="I793" t="s">
        <v>16605</v>
      </c>
      <c r="J793" t="s">
        <v>23</v>
      </c>
      <c r="L793" t="s">
        <v>7677</v>
      </c>
      <c r="M793" t="s">
        <v>7690</v>
      </c>
      <c r="N793" t="s">
        <v>7679</v>
      </c>
      <c r="O793" t="s">
        <v>7680</v>
      </c>
      <c r="P793" t="s">
        <v>7681</v>
      </c>
      <c r="Q793" t="s">
        <v>7691</v>
      </c>
      <c r="R793" t="s">
        <v>7692</v>
      </c>
      <c r="S793" t="s">
        <v>7693</v>
      </c>
      <c r="T793" t="s">
        <v>7685</v>
      </c>
      <c r="U793" s="5">
        <v>566.15</v>
      </c>
      <c r="V793" s="5">
        <v>93.33</v>
      </c>
      <c r="W793" s="5">
        <v>16.569545999999999</v>
      </c>
      <c r="X793" s="5">
        <v>107.513842</v>
      </c>
      <c r="Y793" s="5">
        <v>472.82</v>
      </c>
      <c r="Z793" s="5">
        <v>16.542021999999999</v>
      </c>
      <c r="AA793" s="5">
        <v>107.497739</v>
      </c>
      <c r="AB793" s="7">
        <f t="shared" si="73"/>
        <v>0.13999500000000001</v>
      </c>
      <c r="AC793" s="7">
        <f t="shared" si="74"/>
        <v>0.70923000000000003</v>
      </c>
      <c r="AD793" s="6" t="str">
        <f t="shared" si="75"/>
        <v>Ring 5 Đan Điền</v>
      </c>
      <c r="AE793" s="6" t="str">
        <f t="shared" si="76"/>
        <v>Quảng Điền</v>
      </c>
      <c r="AG793">
        <f t="shared" si="77"/>
        <v>9.3329999999999996E-2</v>
      </c>
      <c r="AH793">
        <f t="shared" si="78"/>
        <v>0.47282000000000002</v>
      </c>
    </row>
    <row r="794" spans="1:34" x14ac:dyDescent="0.25">
      <c r="A794" t="s">
        <v>7694</v>
      </c>
      <c r="B794" t="s">
        <v>7043</v>
      </c>
      <c r="C794" t="s">
        <v>7044</v>
      </c>
      <c r="D794" t="s">
        <v>7695</v>
      </c>
      <c r="E794" t="s">
        <v>7696</v>
      </c>
      <c r="F794" t="s">
        <v>7697</v>
      </c>
      <c r="G794" t="s">
        <v>15827</v>
      </c>
      <c r="H794" t="s">
        <v>16230</v>
      </c>
      <c r="I794" t="s">
        <v>16606</v>
      </c>
      <c r="J794" t="s">
        <v>23</v>
      </c>
      <c r="L794" t="s">
        <v>7174</v>
      </c>
      <c r="M794" t="s">
        <v>7698</v>
      </c>
      <c r="N794" t="s">
        <v>7699</v>
      </c>
      <c r="O794" t="s">
        <v>7213</v>
      </c>
      <c r="P794" t="s">
        <v>7214</v>
      </c>
      <c r="Q794" t="s">
        <v>7700</v>
      </c>
      <c r="R794" t="s">
        <v>7701</v>
      </c>
      <c r="S794" t="s">
        <v>7702</v>
      </c>
      <c r="T794" t="s">
        <v>7182</v>
      </c>
      <c r="U794" s="5">
        <v>967.32</v>
      </c>
      <c r="V794" s="5">
        <v>281.56</v>
      </c>
      <c r="W794" s="5">
        <v>16.410385999999999</v>
      </c>
      <c r="X794" s="5">
        <v>107.679068</v>
      </c>
      <c r="Y794" s="5">
        <v>685.77</v>
      </c>
      <c r="Z794" s="5">
        <v>16.400524000000001</v>
      </c>
      <c r="AA794" s="5">
        <v>107.620839</v>
      </c>
      <c r="AB794" s="7">
        <f t="shared" si="73"/>
        <v>0.42234000000000005</v>
      </c>
      <c r="AC794" s="7">
        <f t="shared" si="74"/>
        <v>1.0286549999999999</v>
      </c>
      <c r="AD794" s="6" t="str">
        <f t="shared" si="75"/>
        <v>Ring 12_Bình Điền</v>
      </c>
      <c r="AE794" s="6" t="str">
        <f t="shared" si="76"/>
        <v>TTCMKV Hương Thủy</v>
      </c>
      <c r="AG794">
        <f t="shared" si="77"/>
        <v>0.28155999999999998</v>
      </c>
      <c r="AH794">
        <f t="shared" si="78"/>
        <v>0.68576999999999999</v>
      </c>
    </row>
    <row r="795" spans="1:34" x14ac:dyDescent="0.25">
      <c r="A795" t="s">
        <v>7703</v>
      </c>
      <c r="B795" t="s">
        <v>7704</v>
      </c>
      <c r="C795" t="s">
        <v>7705</v>
      </c>
      <c r="D795" t="s">
        <v>7098</v>
      </c>
      <c r="E795" t="s">
        <v>7099</v>
      </c>
      <c r="F795" t="s">
        <v>7706</v>
      </c>
      <c r="G795" t="s">
        <v>15827</v>
      </c>
      <c r="H795" t="s">
        <v>16230</v>
      </c>
      <c r="I795" t="s">
        <v>16607</v>
      </c>
      <c r="J795" t="s">
        <v>23</v>
      </c>
      <c r="L795" t="s">
        <v>7559</v>
      </c>
      <c r="M795" t="s">
        <v>7707</v>
      </c>
      <c r="N795" t="s">
        <v>7708</v>
      </c>
      <c r="O795" t="s">
        <v>7565</v>
      </c>
      <c r="P795" t="s">
        <v>7566</v>
      </c>
      <c r="Q795" t="s">
        <v>7709</v>
      </c>
      <c r="R795" t="s">
        <v>7562</v>
      </c>
      <c r="S795" t="s">
        <v>7563</v>
      </c>
      <c r="T795" t="s">
        <v>7567</v>
      </c>
      <c r="U795" s="5">
        <v>2290.84</v>
      </c>
      <c r="V795" s="5">
        <v>1335.43</v>
      </c>
      <c r="W795" s="5">
        <v>16.460554999999999</v>
      </c>
      <c r="X795" s="5">
        <v>107.569109</v>
      </c>
      <c r="Y795" s="5">
        <v>955.41</v>
      </c>
      <c r="Z795" s="5">
        <v>16.478936999999998</v>
      </c>
      <c r="AA795" s="5">
        <v>107.58975599999999</v>
      </c>
      <c r="AB795" s="7">
        <f t="shared" si="73"/>
        <v>2.003145</v>
      </c>
      <c r="AC795" s="7">
        <f t="shared" si="74"/>
        <v>1.4331149999999999</v>
      </c>
      <c r="AD795" s="6" t="str">
        <f t="shared" si="75"/>
        <v>PC04 (trung tâm cái nghiện)</v>
      </c>
      <c r="AE795" s="6" t="str">
        <f t="shared" si="76"/>
        <v>Phú Xuân</v>
      </c>
      <c r="AG795">
        <f t="shared" si="77"/>
        <v>1.3354300000000001</v>
      </c>
      <c r="AH795">
        <f t="shared" si="78"/>
        <v>0.95540999999999998</v>
      </c>
    </row>
    <row r="796" spans="1:34" x14ac:dyDescent="0.25">
      <c r="A796" t="s">
        <v>7710</v>
      </c>
      <c r="B796" t="s">
        <v>6998</v>
      </c>
      <c r="C796" t="s">
        <v>6999</v>
      </c>
      <c r="D796" t="s">
        <v>7711</v>
      </c>
      <c r="E796" t="s">
        <v>7712</v>
      </c>
      <c r="F796" t="s">
        <v>7713</v>
      </c>
      <c r="G796" t="s">
        <v>15827</v>
      </c>
      <c r="H796" t="s">
        <v>16230</v>
      </c>
      <c r="I796" t="s">
        <v>16608</v>
      </c>
      <c r="J796" t="s">
        <v>23</v>
      </c>
      <c r="L796" t="s">
        <v>7487</v>
      </c>
      <c r="M796" t="s">
        <v>7714</v>
      </c>
      <c r="N796" t="s">
        <v>7492</v>
      </c>
      <c r="O796" t="s">
        <v>7493</v>
      </c>
      <c r="P796" t="s">
        <v>7494</v>
      </c>
      <c r="Q796" t="s">
        <v>7715</v>
      </c>
      <c r="R796" t="s">
        <v>7490</v>
      </c>
      <c r="S796" t="s">
        <v>7491</v>
      </c>
      <c r="T796" t="s">
        <v>7495</v>
      </c>
      <c r="U796" s="5">
        <v>3916.26</v>
      </c>
      <c r="V796" s="5">
        <v>202.64</v>
      </c>
      <c r="W796" s="5">
        <v>16.478172000000001</v>
      </c>
      <c r="X796" s="5">
        <v>107.624154</v>
      </c>
      <c r="Y796" s="5">
        <v>3713.62</v>
      </c>
      <c r="Z796" s="5">
        <v>16.493091</v>
      </c>
      <c r="AA796" s="5">
        <v>107.594409</v>
      </c>
      <c r="AB796" s="7">
        <f t="shared" si="73"/>
        <v>0.30395999999999995</v>
      </c>
      <c r="AC796" s="7">
        <f t="shared" si="74"/>
        <v>5.57043</v>
      </c>
      <c r="AD796" s="6" t="str">
        <f t="shared" si="75"/>
        <v>Ring 1 Phú Xuân</v>
      </c>
      <c r="AE796" s="6" t="str">
        <f t="shared" si="76"/>
        <v>CAT TT Huế</v>
      </c>
      <c r="AG796">
        <f t="shared" si="77"/>
        <v>0.20263999999999999</v>
      </c>
      <c r="AH796">
        <f t="shared" si="78"/>
        <v>3.7136199999999997</v>
      </c>
    </row>
    <row r="797" spans="1:34" x14ac:dyDescent="0.25">
      <c r="A797" t="s">
        <v>7716</v>
      </c>
      <c r="B797" t="s">
        <v>6998</v>
      </c>
      <c r="C797" t="s">
        <v>6999</v>
      </c>
      <c r="D797" t="s">
        <v>7717</v>
      </c>
      <c r="E797" t="s">
        <v>7718</v>
      </c>
      <c r="F797" t="s">
        <v>7719</v>
      </c>
      <c r="G797" t="s">
        <v>15827</v>
      </c>
      <c r="H797" t="s">
        <v>16230</v>
      </c>
      <c r="I797" t="s">
        <v>16609</v>
      </c>
      <c r="J797" t="s">
        <v>23</v>
      </c>
      <c r="L797" t="s">
        <v>7487</v>
      </c>
      <c r="M797" t="s">
        <v>7720</v>
      </c>
      <c r="N797" t="s">
        <v>7492</v>
      </c>
      <c r="O797" t="s">
        <v>7493</v>
      </c>
      <c r="P797" t="s">
        <v>7494</v>
      </c>
      <c r="Q797" t="s">
        <v>7721</v>
      </c>
      <c r="R797" t="s">
        <v>7490</v>
      </c>
      <c r="S797" t="s">
        <v>7491</v>
      </c>
      <c r="T797" t="s">
        <v>7495</v>
      </c>
      <c r="U797" s="5">
        <v>3529.71</v>
      </c>
      <c r="V797" s="5">
        <v>202.64</v>
      </c>
      <c r="W797" s="5">
        <v>16.478172000000001</v>
      </c>
      <c r="X797" s="5">
        <v>107.624154</v>
      </c>
      <c r="Y797" s="5">
        <v>3327.08</v>
      </c>
      <c r="Z797" s="5">
        <v>16.493091</v>
      </c>
      <c r="AA797" s="5">
        <v>107.594409</v>
      </c>
      <c r="AB797" s="7">
        <f t="shared" si="73"/>
        <v>0.30395999999999995</v>
      </c>
      <c r="AC797" s="7">
        <f t="shared" si="74"/>
        <v>4.9906199999999998</v>
      </c>
      <c r="AD797" s="6" t="str">
        <f t="shared" si="75"/>
        <v>Ring 1 Phú Xuân</v>
      </c>
      <c r="AE797" s="6" t="str">
        <f t="shared" si="76"/>
        <v>CAT TT Huế</v>
      </c>
      <c r="AG797">
        <f t="shared" si="77"/>
        <v>0.20263999999999999</v>
      </c>
      <c r="AH797">
        <f t="shared" si="78"/>
        <v>3.32708</v>
      </c>
    </row>
    <row r="798" spans="1:34" x14ac:dyDescent="0.25">
      <c r="A798" t="s">
        <v>7722</v>
      </c>
      <c r="B798" t="s">
        <v>6998</v>
      </c>
      <c r="C798" t="s">
        <v>6999</v>
      </c>
      <c r="D798" t="s">
        <v>7723</v>
      </c>
      <c r="E798" t="s">
        <v>7724</v>
      </c>
      <c r="F798" t="s">
        <v>7725</v>
      </c>
      <c r="G798" t="s">
        <v>15827</v>
      </c>
      <c r="H798" t="s">
        <v>16230</v>
      </c>
      <c r="I798" t="s">
        <v>16610</v>
      </c>
      <c r="J798" t="s">
        <v>23</v>
      </c>
      <c r="L798" t="s">
        <v>7487</v>
      </c>
      <c r="M798" t="s">
        <v>7726</v>
      </c>
      <c r="N798" t="s">
        <v>7492</v>
      </c>
      <c r="O798" t="s">
        <v>7493</v>
      </c>
      <c r="P798" t="s">
        <v>7494</v>
      </c>
      <c r="Q798" t="s">
        <v>7727</v>
      </c>
      <c r="R798" t="s">
        <v>7490</v>
      </c>
      <c r="S798" t="s">
        <v>7491</v>
      </c>
      <c r="T798" t="s">
        <v>7495</v>
      </c>
      <c r="U798" s="5">
        <v>3558.91</v>
      </c>
      <c r="V798" s="5">
        <v>202.64</v>
      </c>
      <c r="W798" s="5">
        <v>16.478172000000001</v>
      </c>
      <c r="X798" s="5">
        <v>107.624154</v>
      </c>
      <c r="Y798" s="5">
        <v>3356.28</v>
      </c>
      <c r="Z798" s="5">
        <v>16.493091</v>
      </c>
      <c r="AA798" s="5">
        <v>107.594409</v>
      </c>
      <c r="AB798" s="7">
        <f t="shared" si="73"/>
        <v>0.30395999999999995</v>
      </c>
      <c r="AC798" s="7">
        <f t="shared" si="74"/>
        <v>5.0344199999999999</v>
      </c>
      <c r="AD798" s="6" t="str">
        <f t="shared" si="75"/>
        <v>Ring 1 Phú Xuân</v>
      </c>
      <c r="AE798" s="6" t="str">
        <f t="shared" si="76"/>
        <v>CAT TT Huế</v>
      </c>
      <c r="AG798">
        <f t="shared" si="77"/>
        <v>0.20263999999999999</v>
      </c>
      <c r="AH798">
        <f t="shared" si="78"/>
        <v>3.3562800000000004</v>
      </c>
    </row>
    <row r="799" spans="1:34" x14ac:dyDescent="0.25">
      <c r="A799" t="s">
        <v>7728</v>
      </c>
      <c r="B799" t="s">
        <v>7723</v>
      </c>
      <c r="C799" t="s">
        <v>7724</v>
      </c>
      <c r="D799" t="s">
        <v>6998</v>
      </c>
      <c r="E799" t="s">
        <v>6999</v>
      </c>
      <c r="F799" t="s">
        <v>7729</v>
      </c>
      <c r="G799" t="s">
        <v>15827</v>
      </c>
      <c r="H799" t="s">
        <v>16230</v>
      </c>
      <c r="I799" t="s">
        <v>16611</v>
      </c>
      <c r="J799" t="s">
        <v>23</v>
      </c>
      <c r="L799" t="s">
        <v>7487</v>
      </c>
      <c r="M799" t="s">
        <v>7726</v>
      </c>
      <c r="N799" t="s">
        <v>7727</v>
      </c>
      <c r="O799" t="s">
        <v>7490</v>
      </c>
      <c r="P799" t="s">
        <v>7491</v>
      </c>
      <c r="Q799" t="s">
        <v>7492</v>
      </c>
      <c r="R799" t="s">
        <v>7493</v>
      </c>
      <c r="S799" t="s">
        <v>7494</v>
      </c>
      <c r="T799" t="s">
        <v>7495</v>
      </c>
      <c r="U799" s="5">
        <v>3558.91</v>
      </c>
      <c r="V799" s="5">
        <v>3356.28</v>
      </c>
      <c r="W799" s="5">
        <v>16.493091</v>
      </c>
      <c r="X799" s="5">
        <v>107.594409</v>
      </c>
      <c r="Y799" s="5">
        <v>202.64</v>
      </c>
      <c r="Z799" s="5">
        <v>16.478172000000001</v>
      </c>
      <c r="AA799" s="5">
        <v>107.624154</v>
      </c>
      <c r="AB799" s="7">
        <f t="shared" si="73"/>
        <v>5.0344199999999999</v>
      </c>
      <c r="AC799" s="7">
        <f t="shared" si="74"/>
        <v>0.30395999999999995</v>
      </c>
      <c r="AD799" s="6" t="str">
        <f t="shared" si="75"/>
        <v>Ring 1 Phú Xuân</v>
      </c>
      <c r="AE799" s="6" t="str">
        <f t="shared" si="76"/>
        <v>CAT TT Huế</v>
      </c>
      <c r="AG799">
        <f t="shared" si="77"/>
        <v>3.3562800000000004</v>
      </c>
      <c r="AH799">
        <f t="shared" si="78"/>
        <v>0.20263999999999999</v>
      </c>
    </row>
    <row r="800" spans="1:34" x14ac:dyDescent="0.25">
      <c r="A800" t="s">
        <v>7730</v>
      </c>
      <c r="B800" t="s">
        <v>7731</v>
      </c>
      <c r="C800" t="s">
        <v>7732</v>
      </c>
      <c r="D800" t="s">
        <v>6998</v>
      </c>
      <c r="E800" t="s">
        <v>6999</v>
      </c>
      <c r="F800" t="s">
        <v>7733</v>
      </c>
      <c r="G800" t="s">
        <v>15827</v>
      </c>
      <c r="H800" t="s">
        <v>16230</v>
      </c>
      <c r="I800" t="s">
        <v>16612</v>
      </c>
      <c r="J800" t="s">
        <v>23</v>
      </c>
      <c r="L800" t="s">
        <v>7487</v>
      </c>
      <c r="M800" t="s">
        <v>7734</v>
      </c>
      <c r="N800" t="s">
        <v>7735</v>
      </c>
      <c r="O800" t="s">
        <v>7490</v>
      </c>
      <c r="P800" t="s">
        <v>7491</v>
      </c>
      <c r="Q800" t="s">
        <v>7492</v>
      </c>
      <c r="R800" t="s">
        <v>7493</v>
      </c>
      <c r="S800" t="s">
        <v>7494</v>
      </c>
      <c r="T800" t="s">
        <v>7495</v>
      </c>
      <c r="U800" s="5">
        <v>4023.15</v>
      </c>
      <c r="V800" s="5">
        <v>3820.51</v>
      </c>
      <c r="W800" s="5">
        <v>16.493091</v>
      </c>
      <c r="X800" s="5">
        <v>107.594409</v>
      </c>
      <c r="Y800" s="5">
        <v>202.64</v>
      </c>
      <c r="Z800" s="5">
        <v>16.478172000000001</v>
      </c>
      <c r="AA800" s="5">
        <v>107.624154</v>
      </c>
      <c r="AB800" s="7">
        <f t="shared" si="73"/>
        <v>5.7307649999999999</v>
      </c>
      <c r="AC800" s="7">
        <f t="shared" si="74"/>
        <v>0.30395999999999995</v>
      </c>
      <c r="AD800" s="6" t="str">
        <f t="shared" si="75"/>
        <v>Ring 1 Phú Xuân</v>
      </c>
      <c r="AE800" s="6" t="str">
        <f t="shared" si="76"/>
        <v>CAT TT Huế</v>
      </c>
      <c r="AG800">
        <f t="shared" si="77"/>
        <v>3.8205100000000001</v>
      </c>
      <c r="AH800">
        <f t="shared" si="78"/>
        <v>0.20263999999999999</v>
      </c>
    </row>
    <row r="801" spans="1:34" x14ac:dyDescent="0.25">
      <c r="A801" t="s">
        <v>7736</v>
      </c>
      <c r="B801" t="s">
        <v>7737</v>
      </c>
      <c r="C801" t="s">
        <v>7738</v>
      </c>
      <c r="D801" t="s">
        <v>7098</v>
      </c>
      <c r="E801" t="s">
        <v>7099</v>
      </c>
      <c r="F801" t="s">
        <v>7739</v>
      </c>
      <c r="G801" t="s">
        <v>15827</v>
      </c>
      <c r="H801" t="s">
        <v>16230</v>
      </c>
      <c r="I801" t="s">
        <v>16613</v>
      </c>
      <c r="J801" t="s">
        <v>23</v>
      </c>
      <c r="L801" t="s">
        <v>7740</v>
      </c>
      <c r="M801" t="s">
        <v>7741</v>
      </c>
      <c r="N801" t="s">
        <v>7742</v>
      </c>
      <c r="O801" t="s">
        <v>7743</v>
      </c>
      <c r="P801" t="s">
        <v>7744</v>
      </c>
      <c r="Q801" t="s">
        <v>7745</v>
      </c>
      <c r="R801" t="s">
        <v>7746</v>
      </c>
      <c r="S801" t="s">
        <v>7747</v>
      </c>
      <c r="T801" t="s">
        <v>7748</v>
      </c>
      <c r="U801" s="5">
        <v>6264.39</v>
      </c>
      <c r="V801" s="5">
        <v>4904.6099999999997</v>
      </c>
      <c r="W801" s="5">
        <v>16.512765000000002</v>
      </c>
      <c r="X801" s="5">
        <v>107.53493</v>
      </c>
      <c r="Y801" s="5">
        <v>1359.78</v>
      </c>
      <c r="Z801" s="5">
        <v>16.494384</v>
      </c>
      <c r="AA801" s="5">
        <v>107.577304</v>
      </c>
      <c r="AB801" s="7">
        <f t="shared" si="73"/>
        <v>7.356914999999999</v>
      </c>
      <c r="AC801" s="7">
        <f t="shared" si="74"/>
        <v>2.0396700000000001</v>
      </c>
      <c r="AD801" s="6" t="str">
        <f t="shared" si="75"/>
        <v>TTCMKV_Ring 2_CAT Huế mới</v>
      </c>
      <c r="AE801" s="6" t="str">
        <f t="shared" si="76"/>
        <v>Quảng Điền</v>
      </c>
      <c r="AG801">
        <f t="shared" si="77"/>
        <v>4.9046099999999999</v>
      </c>
      <c r="AH801">
        <f t="shared" si="78"/>
        <v>1.35978</v>
      </c>
    </row>
    <row r="802" spans="1:34" x14ac:dyDescent="0.25">
      <c r="A802" t="s">
        <v>7749</v>
      </c>
      <c r="B802" t="s">
        <v>7750</v>
      </c>
      <c r="C802" t="s">
        <v>7751</v>
      </c>
      <c r="D802" t="s">
        <v>7318</v>
      </c>
      <c r="E802" t="s">
        <v>7319</v>
      </c>
      <c r="F802" t="s">
        <v>7752</v>
      </c>
      <c r="G802" t="s">
        <v>15827</v>
      </c>
      <c r="H802" t="s">
        <v>16230</v>
      </c>
      <c r="I802" t="s">
        <v>16614</v>
      </c>
      <c r="J802" t="s">
        <v>23</v>
      </c>
      <c r="L802" t="s">
        <v>7753</v>
      </c>
      <c r="M802" t="s">
        <v>7754</v>
      </c>
      <c r="N802" t="s">
        <v>7755</v>
      </c>
      <c r="O802" t="s">
        <v>7756</v>
      </c>
      <c r="P802" t="s">
        <v>7757</v>
      </c>
      <c r="Q802" t="s">
        <v>7758</v>
      </c>
      <c r="R802" t="s">
        <v>7759</v>
      </c>
      <c r="S802" t="s">
        <v>7760</v>
      </c>
      <c r="T802" t="s">
        <v>7761</v>
      </c>
      <c r="U802" s="5">
        <v>18685.63</v>
      </c>
      <c r="V802" s="5">
        <v>11240.1</v>
      </c>
      <c r="W802" s="5">
        <v>16.432162999999999</v>
      </c>
      <c r="X802" s="5">
        <v>107.776574</v>
      </c>
      <c r="Y802" s="5">
        <v>7445.52</v>
      </c>
      <c r="Z802" s="5">
        <v>16.556287999999999</v>
      </c>
      <c r="AA802" s="5">
        <v>107.650227</v>
      </c>
      <c r="AB802" s="7">
        <f t="shared" si="73"/>
        <v>16.860150000000001</v>
      </c>
      <c r="AC802" s="7">
        <f t="shared" si="74"/>
        <v>11.168280000000001</v>
      </c>
      <c r="AD802" s="6" t="str">
        <f t="shared" si="75"/>
        <v>Ring 8 Thuận An</v>
      </c>
      <c r="AE802" s="6" t="str">
        <f t="shared" si="76"/>
        <v>TTCMKV Phú Vang</v>
      </c>
      <c r="AG802">
        <f t="shared" si="77"/>
        <v>11.2401</v>
      </c>
      <c r="AH802">
        <f t="shared" si="78"/>
        <v>7.4455200000000001</v>
      </c>
    </row>
    <row r="803" spans="1:34" x14ac:dyDescent="0.25">
      <c r="A803" t="s">
        <v>7762</v>
      </c>
      <c r="B803" t="s">
        <v>7763</v>
      </c>
      <c r="C803" t="s">
        <v>7764</v>
      </c>
      <c r="D803" t="s">
        <v>7028</v>
      </c>
      <c r="E803" t="s">
        <v>7029</v>
      </c>
      <c r="F803" t="s">
        <v>7765</v>
      </c>
      <c r="G803" t="s">
        <v>15827</v>
      </c>
      <c r="H803" t="s">
        <v>16230</v>
      </c>
      <c r="I803" t="s">
        <v>16615</v>
      </c>
      <c r="J803" t="s">
        <v>23</v>
      </c>
      <c r="L803" t="s">
        <v>7018</v>
      </c>
      <c r="M803" t="s">
        <v>7766</v>
      </c>
      <c r="N803" t="s">
        <v>7767</v>
      </c>
      <c r="O803" t="s">
        <v>7768</v>
      </c>
      <c r="P803" t="s">
        <v>7769</v>
      </c>
      <c r="Q803" t="s">
        <v>7770</v>
      </c>
      <c r="R803" t="s">
        <v>7771</v>
      </c>
      <c r="S803" t="s">
        <v>7772</v>
      </c>
      <c r="T803" t="s">
        <v>7026</v>
      </c>
      <c r="U803" s="5">
        <v>5426.63</v>
      </c>
      <c r="V803" s="5">
        <v>2372.0100000000002</v>
      </c>
      <c r="W803" s="5">
        <v>16.349119999999999</v>
      </c>
      <c r="X803" s="5">
        <v>107.918336</v>
      </c>
      <c r="Y803" s="5">
        <v>3054.62</v>
      </c>
      <c r="Z803" s="5">
        <v>16.263999999999999</v>
      </c>
      <c r="AA803" s="5">
        <v>107.88781</v>
      </c>
      <c r="AB803" s="7">
        <f t="shared" si="73"/>
        <v>3.5580150000000001</v>
      </c>
      <c r="AC803" s="7">
        <f t="shared" si="74"/>
        <v>4.5819300000000007</v>
      </c>
      <c r="AD803" s="6" t="str">
        <f t="shared" si="75"/>
        <v>TTCMKV_Ring 1_Phú Vang</v>
      </c>
      <c r="AE803" s="6" t="str">
        <f t="shared" si="76"/>
        <v>Phú Lộc</v>
      </c>
      <c r="AG803">
        <f t="shared" si="77"/>
        <v>2.3720100000000004</v>
      </c>
      <c r="AH803">
        <f t="shared" si="78"/>
        <v>3.0546199999999999</v>
      </c>
    </row>
    <row r="804" spans="1:34" x14ac:dyDescent="0.25">
      <c r="A804" t="s">
        <v>7773</v>
      </c>
      <c r="B804" t="s">
        <v>7774</v>
      </c>
      <c r="C804" t="s">
        <v>7775</v>
      </c>
      <c r="D804" t="s">
        <v>7028</v>
      </c>
      <c r="E804" t="s">
        <v>7029</v>
      </c>
      <c r="F804" t="s">
        <v>7776</v>
      </c>
      <c r="G804" t="s">
        <v>15827</v>
      </c>
      <c r="H804" t="s">
        <v>16230</v>
      </c>
      <c r="I804" t="s">
        <v>16616</v>
      </c>
      <c r="J804" t="s">
        <v>23</v>
      </c>
      <c r="L804" t="s">
        <v>7753</v>
      </c>
      <c r="M804" t="s">
        <v>7777</v>
      </c>
      <c r="N804" t="s">
        <v>7778</v>
      </c>
      <c r="O804" t="s">
        <v>7759</v>
      </c>
      <c r="P804" t="s">
        <v>7760</v>
      </c>
      <c r="Q804" t="s">
        <v>7779</v>
      </c>
      <c r="R804" t="s">
        <v>7756</v>
      </c>
      <c r="S804" t="s">
        <v>7757</v>
      </c>
      <c r="T804" t="s">
        <v>7761</v>
      </c>
      <c r="U804" s="5">
        <v>29450.85</v>
      </c>
      <c r="V804" s="5">
        <v>9907.93</v>
      </c>
      <c r="W804" s="5">
        <v>16.556287999999999</v>
      </c>
      <c r="X804" s="5">
        <v>107.650227</v>
      </c>
      <c r="Y804" s="5">
        <v>19542.919999999998</v>
      </c>
      <c r="Z804" s="5">
        <v>16.432162999999999</v>
      </c>
      <c r="AA804" s="5">
        <v>107.776574</v>
      </c>
      <c r="AB804" s="7">
        <f t="shared" si="73"/>
        <v>14.861895000000001</v>
      </c>
      <c r="AC804" s="7">
        <f t="shared" si="74"/>
        <v>29.314379999999996</v>
      </c>
      <c r="AD804" s="6" t="str">
        <f t="shared" si="75"/>
        <v>Ring 8 Thuận An</v>
      </c>
      <c r="AE804" s="6" t="str">
        <f t="shared" si="76"/>
        <v>TTCMKV Phú Vang</v>
      </c>
      <c r="AG804">
        <f t="shared" si="77"/>
        <v>9.9079300000000003</v>
      </c>
      <c r="AH804">
        <f t="shared" si="78"/>
        <v>19.542919999999999</v>
      </c>
    </row>
    <row r="805" spans="1:34" x14ac:dyDescent="0.25">
      <c r="A805" t="s">
        <v>7780</v>
      </c>
      <c r="B805" t="s">
        <v>7070</v>
      </c>
      <c r="C805" t="s">
        <v>7071</v>
      </c>
      <c r="D805" t="s">
        <v>7070</v>
      </c>
      <c r="E805" t="s">
        <v>7071</v>
      </c>
      <c r="F805" t="s">
        <v>7781</v>
      </c>
      <c r="G805" t="s">
        <v>15827</v>
      </c>
      <c r="H805" t="s">
        <v>16230</v>
      </c>
      <c r="I805" t="s">
        <v>16617</v>
      </c>
      <c r="J805" t="s">
        <v>23</v>
      </c>
      <c r="L805" t="s">
        <v>7677</v>
      </c>
      <c r="M805" t="s">
        <v>7782</v>
      </c>
      <c r="N805" t="s">
        <v>7783</v>
      </c>
      <c r="O805" t="s">
        <v>7784</v>
      </c>
      <c r="P805" t="s">
        <v>7785</v>
      </c>
      <c r="Q805" t="s">
        <v>7783</v>
      </c>
      <c r="R805" t="s">
        <v>7784</v>
      </c>
      <c r="S805" t="s">
        <v>7785</v>
      </c>
      <c r="T805" t="s">
        <v>7786</v>
      </c>
      <c r="U805" s="5">
        <v>67.459999999999994</v>
      </c>
      <c r="V805" s="5">
        <v>33.729999999999997</v>
      </c>
      <c r="W805" s="5">
        <v>16.568541</v>
      </c>
      <c r="X805" s="5">
        <v>107.513361</v>
      </c>
      <c r="Y805" s="5">
        <v>33.729999999999997</v>
      </c>
      <c r="Z805" s="5">
        <v>16.568541</v>
      </c>
      <c r="AA805" s="5">
        <v>107.513361</v>
      </c>
      <c r="AB805" s="7">
        <f t="shared" si="73"/>
        <v>5.0595000000000001E-2</v>
      </c>
      <c r="AC805" s="7">
        <f t="shared" si="74"/>
        <v>5.0595000000000001E-2</v>
      </c>
      <c r="AD805" s="6" t="str">
        <f t="shared" si="75"/>
        <v>Ring 5 Đan Điền</v>
      </c>
      <c r="AE805" s="6" t="str">
        <f t="shared" si="76"/>
        <v>Quảng Điền</v>
      </c>
      <c r="AG805">
        <f t="shared" si="77"/>
        <v>3.3729999999999996E-2</v>
      </c>
      <c r="AH805">
        <f t="shared" si="78"/>
        <v>3.3729999999999996E-2</v>
      </c>
    </row>
    <row r="806" spans="1:34" x14ac:dyDescent="0.25">
      <c r="A806" t="s">
        <v>7787</v>
      </c>
      <c r="B806" t="s">
        <v>7275</v>
      </c>
      <c r="C806" t="s">
        <v>7276</v>
      </c>
      <c r="D806" t="s">
        <v>7058</v>
      </c>
      <c r="E806" t="s">
        <v>7059</v>
      </c>
      <c r="F806" t="s">
        <v>7788</v>
      </c>
      <c r="G806" t="s">
        <v>15827</v>
      </c>
      <c r="H806" t="s">
        <v>16230</v>
      </c>
      <c r="I806" t="s">
        <v>16618</v>
      </c>
      <c r="J806" t="s">
        <v>23</v>
      </c>
      <c r="L806" t="s">
        <v>7061</v>
      </c>
      <c r="M806" t="s">
        <v>7789</v>
      </c>
      <c r="N806" t="s">
        <v>7281</v>
      </c>
      <c r="O806" t="s">
        <v>7282</v>
      </c>
      <c r="P806" t="s">
        <v>7283</v>
      </c>
      <c r="Q806" t="s">
        <v>7063</v>
      </c>
      <c r="R806" t="s">
        <v>7064</v>
      </c>
      <c r="S806" t="s">
        <v>7065</v>
      </c>
      <c r="T806" t="s">
        <v>7066</v>
      </c>
      <c r="U806" s="5">
        <v>1557.52</v>
      </c>
      <c r="V806" s="5">
        <v>32.299999999999997</v>
      </c>
      <c r="W806" s="5">
        <v>16.491365999999999</v>
      </c>
      <c r="X806" s="5">
        <v>107.521095</v>
      </c>
      <c r="Y806" s="5">
        <v>1525.21</v>
      </c>
      <c r="Z806" s="5">
        <v>16.496891000000002</v>
      </c>
      <c r="AA806" s="5">
        <v>107.507471</v>
      </c>
      <c r="AB806" s="7">
        <f t="shared" si="73"/>
        <v>4.8449999999999993E-2</v>
      </c>
      <c r="AC806" s="7">
        <f t="shared" si="74"/>
        <v>2.2878150000000002</v>
      </c>
      <c r="AD806" s="6" t="str">
        <f t="shared" si="75"/>
        <v>Ring 6 TTCMKV Quảng Điền</v>
      </c>
      <c r="AE806" s="6" t="str">
        <f t="shared" si="76"/>
        <v>Kim Trà</v>
      </c>
      <c r="AG806">
        <f t="shared" si="77"/>
        <v>3.2299999999999995E-2</v>
      </c>
      <c r="AH806">
        <f t="shared" si="78"/>
        <v>1.52521</v>
      </c>
    </row>
    <row r="807" spans="1:34" x14ac:dyDescent="0.25">
      <c r="A807" t="s">
        <v>7790</v>
      </c>
      <c r="B807" t="s">
        <v>7484</v>
      </c>
      <c r="C807" t="s">
        <v>7485</v>
      </c>
      <c r="D807" t="s">
        <v>7484</v>
      </c>
      <c r="E807" t="s">
        <v>7485</v>
      </c>
      <c r="F807" t="s">
        <v>7791</v>
      </c>
      <c r="G807" t="s">
        <v>15827</v>
      </c>
      <c r="H807" t="s">
        <v>16230</v>
      </c>
      <c r="I807" t="s">
        <v>16619</v>
      </c>
      <c r="J807" t="s">
        <v>23</v>
      </c>
      <c r="L807" t="s">
        <v>7740</v>
      </c>
      <c r="M807" t="s">
        <v>7792</v>
      </c>
      <c r="N807" t="s">
        <v>7793</v>
      </c>
      <c r="O807" t="s">
        <v>7794</v>
      </c>
      <c r="P807" t="s">
        <v>7795</v>
      </c>
      <c r="Q807" t="s">
        <v>7793</v>
      </c>
      <c r="R807" t="s">
        <v>7794</v>
      </c>
      <c r="S807" t="s">
        <v>7795</v>
      </c>
      <c r="T807" t="s">
        <v>7748</v>
      </c>
      <c r="U807" s="5">
        <v>887.99</v>
      </c>
      <c r="V807" s="5">
        <v>444</v>
      </c>
      <c r="W807" s="5">
        <v>16.488939999999999</v>
      </c>
      <c r="X807" s="5">
        <v>107.569457</v>
      </c>
      <c r="Y807" s="5">
        <v>444</v>
      </c>
      <c r="Z807" s="5">
        <v>16.488939999999999</v>
      </c>
      <c r="AA807" s="5">
        <v>107.569457</v>
      </c>
      <c r="AB807" s="7">
        <f t="shared" si="73"/>
        <v>0.66600000000000004</v>
      </c>
      <c r="AC807" s="7">
        <f t="shared" si="74"/>
        <v>0.66600000000000004</v>
      </c>
      <c r="AD807" s="6" t="str">
        <f t="shared" si="75"/>
        <v>TTCMKV_Ring 2_CAT Huế mới</v>
      </c>
      <c r="AE807" s="6" t="str">
        <f t="shared" si="76"/>
        <v>Quảng Điền</v>
      </c>
      <c r="AG807">
        <f t="shared" si="77"/>
        <v>0.44400000000000001</v>
      </c>
      <c r="AH807">
        <f t="shared" si="78"/>
        <v>0.44400000000000001</v>
      </c>
    </row>
    <row r="808" spans="1:34" x14ac:dyDescent="0.25">
      <c r="A808" t="s">
        <v>7796</v>
      </c>
      <c r="B808" t="s">
        <v>7797</v>
      </c>
      <c r="C808" t="s">
        <v>7798</v>
      </c>
      <c r="D808" t="s">
        <v>7797</v>
      </c>
      <c r="E808" t="s">
        <v>7798</v>
      </c>
      <c r="F808" t="s">
        <v>7799</v>
      </c>
      <c r="G808" t="s">
        <v>15827</v>
      </c>
      <c r="H808" t="s">
        <v>16230</v>
      </c>
      <c r="I808" t="s">
        <v>16620</v>
      </c>
      <c r="J808" t="s">
        <v>23</v>
      </c>
      <c r="L808" t="s">
        <v>7533</v>
      </c>
      <c r="M808" t="s">
        <v>7800</v>
      </c>
      <c r="N808" t="s">
        <v>7801</v>
      </c>
      <c r="O808" t="s">
        <v>7802</v>
      </c>
      <c r="P808" t="s">
        <v>7803</v>
      </c>
      <c r="Q808" t="s">
        <v>7801</v>
      </c>
      <c r="R808" t="s">
        <v>7802</v>
      </c>
      <c r="S808" t="s">
        <v>7803</v>
      </c>
      <c r="T808" t="s">
        <v>7626</v>
      </c>
      <c r="U808" s="5">
        <v>439.21</v>
      </c>
      <c r="V808" s="5">
        <v>219.61</v>
      </c>
      <c r="W808" s="5">
        <v>16.443131000000001</v>
      </c>
      <c r="X808" s="5">
        <v>107.579831</v>
      </c>
      <c r="Y808" s="5">
        <v>219.61</v>
      </c>
      <c r="Z808" s="5">
        <v>16.443131000000001</v>
      </c>
      <c r="AA808" s="5">
        <v>107.579831</v>
      </c>
      <c r="AB808" s="7">
        <f t="shared" si="73"/>
        <v>0.32941500000000001</v>
      </c>
      <c r="AC808" s="7">
        <f t="shared" si="74"/>
        <v>0.32941500000000001</v>
      </c>
      <c r="AD808" s="6" t="str">
        <f t="shared" si="75"/>
        <v>Ring 3 PC10</v>
      </c>
      <c r="AE808" s="6" t="str">
        <f t="shared" si="76"/>
        <v>PC11</v>
      </c>
      <c r="AG808">
        <f t="shared" si="77"/>
        <v>0.21961000000000003</v>
      </c>
      <c r="AH808">
        <f t="shared" si="78"/>
        <v>0.21961000000000003</v>
      </c>
    </row>
    <row r="809" spans="1:34" x14ac:dyDescent="0.25">
      <c r="A809" t="s">
        <v>7804</v>
      </c>
      <c r="B809" t="s">
        <v>7805</v>
      </c>
      <c r="C809" t="s">
        <v>7806</v>
      </c>
      <c r="D809" t="s">
        <v>7805</v>
      </c>
      <c r="E809" t="s">
        <v>7806</v>
      </c>
      <c r="F809" t="s">
        <v>7807</v>
      </c>
      <c r="G809" t="s">
        <v>15827</v>
      </c>
      <c r="H809" t="s">
        <v>16230</v>
      </c>
      <c r="I809" t="s">
        <v>16621</v>
      </c>
      <c r="J809" t="s">
        <v>23</v>
      </c>
      <c r="L809" t="s">
        <v>7131</v>
      </c>
      <c r="M809" t="s">
        <v>7808</v>
      </c>
      <c r="N809" t="s">
        <v>7809</v>
      </c>
      <c r="O809" t="s">
        <v>7810</v>
      </c>
      <c r="P809" t="s">
        <v>7811</v>
      </c>
      <c r="Q809" t="s">
        <v>7809</v>
      </c>
      <c r="R809" t="s">
        <v>7810</v>
      </c>
      <c r="S809" t="s">
        <v>7811</v>
      </c>
      <c r="T809" t="s">
        <v>7139</v>
      </c>
      <c r="U809" s="5">
        <v>412.51</v>
      </c>
      <c r="V809" s="5">
        <v>206.26</v>
      </c>
      <c r="W809" s="5">
        <v>16.478684000000001</v>
      </c>
      <c r="X809" s="5">
        <v>107.598051</v>
      </c>
      <c r="Y809" s="5">
        <v>206.26</v>
      </c>
      <c r="Z809" s="5">
        <v>16.478684000000001</v>
      </c>
      <c r="AA809" s="5">
        <v>107.598051</v>
      </c>
      <c r="AB809" s="7">
        <f t="shared" si="73"/>
        <v>0.30939</v>
      </c>
      <c r="AC809" s="7">
        <f t="shared" si="74"/>
        <v>0.30939</v>
      </c>
      <c r="AD809" s="6" t="str">
        <f t="shared" si="75"/>
        <v>Ring 3 PA07</v>
      </c>
      <c r="AE809" s="6" t="str">
        <f t="shared" si="76"/>
        <v>PC01</v>
      </c>
      <c r="AG809">
        <f t="shared" si="77"/>
        <v>0.20626</v>
      </c>
      <c r="AH809">
        <f t="shared" si="78"/>
        <v>0.20626</v>
      </c>
    </row>
    <row r="810" spans="1:34" x14ac:dyDescent="0.25">
      <c r="A810" t="s">
        <v>7812</v>
      </c>
      <c r="B810" t="s">
        <v>7813</v>
      </c>
      <c r="C810" t="s">
        <v>7814</v>
      </c>
      <c r="D810" t="s">
        <v>7813</v>
      </c>
      <c r="E810" t="s">
        <v>7814</v>
      </c>
      <c r="F810" t="s">
        <v>7815</v>
      </c>
      <c r="G810" t="s">
        <v>15827</v>
      </c>
      <c r="H810" t="s">
        <v>16230</v>
      </c>
      <c r="I810" t="s">
        <v>16622</v>
      </c>
      <c r="J810" t="s">
        <v>23</v>
      </c>
      <c r="L810" t="s">
        <v>7146</v>
      </c>
      <c r="M810" t="s">
        <v>7816</v>
      </c>
      <c r="N810" t="s">
        <v>7817</v>
      </c>
      <c r="O810" t="s">
        <v>7818</v>
      </c>
      <c r="P810" t="s">
        <v>7819</v>
      </c>
      <c r="Q810" t="s">
        <v>7817</v>
      </c>
      <c r="R810" t="s">
        <v>7818</v>
      </c>
      <c r="S810" t="s">
        <v>7819</v>
      </c>
      <c r="T810" t="s">
        <v>7195</v>
      </c>
      <c r="U810" s="5">
        <v>22.42</v>
      </c>
      <c r="V810" s="5">
        <v>11.21</v>
      </c>
      <c r="W810" s="5">
        <v>16.481582</v>
      </c>
      <c r="X810" s="5">
        <v>107.555908</v>
      </c>
      <c r="Y810" s="5">
        <v>11.21</v>
      </c>
      <c r="Z810" s="5">
        <v>16.481582</v>
      </c>
      <c r="AA810" s="5">
        <v>107.555908</v>
      </c>
      <c r="AB810" s="7">
        <f t="shared" si="73"/>
        <v>1.6815E-2</v>
      </c>
      <c r="AC810" s="7">
        <f t="shared" si="74"/>
        <v>1.6815E-2</v>
      </c>
      <c r="AD810" s="6" t="str">
        <f t="shared" si="75"/>
        <v>TTCMKV_Ring 2_Phong Điền</v>
      </c>
      <c r="AE810" s="6" t="str">
        <f t="shared" si="76"/>
        <v>CAT Huế mới</v>
      </c>
      <c r="AG810">
        <f t="shared" si="77"/>
        <v>1.1210000000000001E-2</v>
      </c>
      <c r="AH810">
        <f t="shared" si="78"/>
        <v>1.1210000000000001E-2</v>
      </c>
    </row>
    <row r="811" spans="1:34" x14ac:dyDescent="0.25">
      <c r="A811" t="s">
        <v>7820</v>
      </c>
      <c r="B811" t="s">
        <v>7616</v>
      </c>
      <c r="C811" t="s">
        <v>7617</v>
      </c>
      <c r="D811" t="s">
        <v>7616</v>
      </c>
      <c r="E811" t="s">
        <v>7617</v>
      </c>
      <c r="F811" t="s">
        <v>7821</v>
      </c>
      <c r="G811" t="s">
        <v>15827</v>
      </c>
      <c r="H811" t="s">
        <v>16230</v>
      </c>
      <c r="I811" t="s">
        <v>16623</v>
      </c>
      <c r="J811" t="s">
        <v>23</v>
      </c>
      <c r="L811" t="s">
        <v>7533</v>
      </c>
      <c r="M811" t="s">
        <v>7822</v>
      </c>
      <c r="N811" t="s">
        <v>7823</v>
      </c>
      <c r="O811" t="s">
        <v>7824</v>
      </c>
      <c r="P811" t="s">
        <v>7825</v>
      </c>
      <c r="Q811" t="s">
        <v>7823</v>
      </c>
      <c r="R811" t="s">
        <v>7824</v>
      </c>
      <c r="S811" t="s">
        <v>7825</v>
      </c>
      <c r="T811" t="s">
        <v>7826</v>
      </c>
      <c r="U811" s="5">
        <v>816.87</v>
      </c>
      <c r="V811" s="5">
        <v>408.43</v>
      </c>
      <c r="W811" s="5">
        <v>16.463816999999999</v>
      </c>
      <c r="X811" s="5">
        <v>107.586459</v>
      </c>
      <c r="Y811" s="5">
        <v>408.43</v>
      </c>
      <c r="Z811" s="5">
        <v>16.463816999999999</v>
      </c>
      <c r="AA811" s="5">
        <v>107.586459</v>
      </c>
      <c r="AB811" s="7">
        <f t="shared" si="73"/>
        <v>0.612645</v>
      </c>
      <c r="AC811" s="7">
        <f t="shared" si="74"/>
        <v>0.612645</v>
      </c>
      <c r="AD811" s="6" t="str">
        <f t="shared" si="75"/>
        <v>Ring 3 PC10</v>
      </c>
      <c r="AE811" s="6" t="str">
        <f t="shared" si="76"/>
        <v>PC11</v>
      </c>
      <c r="AG811">
        <f t="shared" si="77"/>
        <v>0.40843000000000002</v>
      </c>
      <c r="AH811">
        <f t="shared" si="78"/>
        <v>0.40843000000000002</v>
      </c>
    </row>
    <row r="812" spans="1:34" x14ac:dyDescent="0.25">
      <c r="A812" t="s">
        <v>7827</v>
      </c>
      <c r="B812" t="s">
        <v>7519</v>
      </c>
      <c r="C812" t="s">
        <v>7520</v>
      </c>
      <c r="D812" t="s">
        <v>7519</v>
      </c>
      <c r="E812" t="s">
        <v>7520</v>
      </c>
      <c r="F812" t="s">
        <v>7828</v>
      </c>
      <c r="G812" t="s">
        <v>15827</v>
      </c>
      <c r="H812" t="s">
        <v>16230</v>
      </c>
      <c r="I812" t="s">
        <v>16624</v>
      </c>
      <c r="J812" t="s">
        <v>23</v>
      </c>
      <c r="L812" t="s">
        <v>7829</v>
      </c>
      <c r="M812" t="s">
        <v>7830</v>
      </c>
      <c r="N812" t="s">
        <v>7831</v>
      </c>
      <c r="O812" t="s">
        <v>7832</v>
      </c>
      <c r="P812" t="s">
        <v>7833</v>
      </c>
      <c r="Q812" t="s">
        <v>7831</v>
      </c>
      <c r="R812" t="s">
        <v>7832</v>
      </c>
      <c r="S812" t="s">
        <v>7833</v>
      </c>
      <c r="T812" t="s">
        <v>7834</v>
      </c>
      <c r="U812" s="5">
        <v>35.35</v>
      </c>
      <c r="V812" s="5">
        <v>17.670000000000002</v>
      </c>
      <c r="W812" s="5">
        <v>16.459883999999999</v>
      </c>
      <c r="X812" s="5">
        <v>107.605284</v>
      </c>
      <c r="Y812" s="5">
        <v>17.670000000000002</v>
      </c>
      <c r="Z812" s="5">
        <v>16.459883999999999</v>
      </c>
      <c r="AA812" s="5">
        <v>107.605284</v>
      </c>
      <c r="AB812" s="7">
        <f t="shared" si="73"/>
        <v>2.6505000000000004E-2</v>
      </c>
      <c r="AC812" s="7">
        <f t="shared" si="74"/>
        <v>2.6505000000000004E-2</v>
      </c>
      <c r="AD812" s="6" t="str">
        <f t="shared" si="75"/>
        <v>PC06 (54 Hùng Vương)</v>
      </c>
      <c r="AE812" s="6" t="str">
        <f t="shared" si="76"/>
        <v>TT Huế</v>
      </c>
      <c r="AG812">
        <f t="shared" si="77"/>
        <v>1.7670000000000002E-2</v>
      </c>
      <c r="AH812">
        <f t="shared" si="78"/>
        <v>1.7670000000000002E-2</v>
      </c>
    </row>
    <row r="813" spans="1:34" x14ac:dyDescent="0.25">
      <c r="A813" t="s">
        <v>7835</v>
      </c>
      <c r="B813" t="s">
        <v>7836</v>
      </c>
      <c r="C813" t="s">
        <v>7837</v>
      </c>
      <c r="D813" t="s">
        <v>7098</v>
      </c>
      <c r="E813" t="s">
        <v>7099</v>
      </c>
      <c r="F813" t="s">
        <v>7838</v>
      </c>
      <c r="G813" t="s">
        <v>15827</v>
      </c>
      <c r="H813" t="s">
        <v>16230</v>
      </c>
      <c r="I813" t="s">
        <v>16625</v>
      </c>
      <c r="J813" t="s">
        <v>23</v>
      </c>
      <c r="L813" t="s">
        <v>7103</v>
      </c>
      <c r="M813" t="s">
        <v>7839</v>
      </c>
      <c r="N813" t="s">
        <v>7840</v>
      </c>
      <c r="O813" t="s">
        <v>7841</v>
      </c>
      <c r="P813" t="s">
        <v>7842</v>
      </c>
      <c r="Q813" t="s">
        <v>7843</v>
      </c>
      <c r="R813" t="s">
        <v>7844</v>
      </c>
      <c r="S813" t="s">
        <v>7845</v>
      </c>
      <c r="T813" t="s">
        <v>7846</v>
      </c>
      <c r="U813" s="5">
        <v>743.01</v>
      </c>
      <c r="V813" s="5">
        <v>92.14</v>
      </c>
      <c r="W813" s="5">
        <v>16.470611999999999</v>
      </c>
      <c r="X813" s="5">
        <v>107.587018</v>
      </c>
      <c r="Y813" s="5">
        <v>650.87</v>
      </c>
      <c r="Z813" s="5">
        <v>16.481928</v>
      </c>
      <c r="AA813" s="5">
        <v>107.590125</v>
      </c>
      <c r="AB813" s="7">
        <f t="shared" si="73"/>
        <v>0.13821</v>
      </c>
      <c r="AC813" s="7">
        <f t="shared" si="74"/>
        <v>0.97630500000000009</v>
      </c>
      <c r="AD813" s="6" t="str">
        <f t="shared" si="75"/>
        <v>Ring 1 Nguyễn Thái Học</v>
      </c>
      <c r="AE813" s="6" t="str">
        <f t="shared" si="76"/>
        <v>Phú Xuân</v>
      </c>
      <c r="AG813">
        <f t="shared" si="77"/>
        <v>9.214E-2</v>
      </c>
      <c r="AH813">
        <f t="shared" si="78"/>
        <v>0.65087000000000006</v>
      </c>
    </row>
    <row r="814" spans="1:34" x14ac:dyDescent="0.25">
      <c r="A814" t="s">
        <v>7847</v>
      </c>
      <c r="B814" t="s">
        <v>7848</v>
      </c>
      <c r="C814" t="s">
        <v>7849</v>
      </c>
      <c r="D814" t="s">
        <v>7850</v>
      </c>
      <c r="E814" t="s">
        <v>7851</v>
      </c>
      <c r="F814" t="s">
        <v>7852</v>
      </c>
      <c r="G814" t="s">
        <v>15827</v>
      </c>
      <c r="H814" t="s">
        <v>16230</v>
      </c>
      <c r="I814" t="s">
        <v>16626</v>
      </c>
      <c r="J814" t="s">
        <v>23</v>
      </c>
      <c r="L814" t="s">
        <v>7853</v>
      </c>
      <c r="M814" t="s">
        <v>7854</v>
      </c>
      <c r="N814" t="s">
        <v>7855</v>
      </c>
      <c r="O814" t="s">
        <v>7856</v>
      </c>
      <c r="P814" t="s">
        <v>7857</v>
      </c>
      <c r="Q814" t="s">
        <v>7858</v>
      </c>
      <c r="R814" t="s">
        <v>7859</v>
      </c>
      <c r="S814" t="s">
        <v>7860</v>
      </c>
      <c r="T814" t="s">
        <v>7861</v>
      </c>
      <c r="U814" s="5">
        <v>1322.43</v>
      </c>
      <c r="V814" s="5">
        <v>1095.6500000000001</v>
      </c>
      <c r="W814" s="5">
        <v>16.272387999999999</v>
      </c>
      <c r="X814" s="5">
        <v>107.972993</v>
      </c>
      <c r="Y814" s="5">
        <v>226.78</v>
      </c>
      <c r="Z814" s="5">
        <v>16.242723999999999</v>
      </c>
      <c r="AA814" s="5">
        <v>108.077697</v>
      </c>
      <c r="AB814" s="7">
        <f t="shared" si="73"/>
        <v>1.6434750000000002</v>
      </c>
      <c r="AC814" s="7">
        <f t="shared" si="74"/>
        <v>0.34017000000000003</v>
      </c>
      <c r="AD814" s="6" t="str">
        <f t="shared" si="75"/>
        <v>Ring 1 Vinh Lộc</v>
      </c>
      <c r="AE814" s="6" t="str">
        <f t="shared" si="76"/>
        <v>Chân Mây_Lăng Cô</v>
      </c>
      <c r="AG814">
        <f t="shared" si="77"/>
        <v>1.09565</v>
      </c>
      <c r="AH814">
        <f t="shared" si="78"/>
        <v>0.22678000000000001</v>
      </c>
    </row>
    <row r="815" spans="1:34" x14ac:dyDescent="0.25">
      <c r="A815" t="s">
        <v>7862</v>
      </c>
      <c r="B815" t="s">
        <v>7863</v>
      </c>
      <c r="C815" t="s">
        <v>7864</v>
      </c>
      <c r="D815" t="s">
        <v>7360</v>
      </c>
      <c r="E815" t="s">
        <v>7361</v>
      </c>
      <c r="F815" t="s">
        <v>7865</v>
      </c>
      <c r="G815" t="s">
        <v>15827</v>
      </c>
      <c r="H815" t="s">
        <v>16230</v>
      </c>
      <c r="I815" t="s">
        <v>16627</v>
      </c>
      <c r="J815" t="s">
        <v>23</v>
      </c>
      <c r="L815" t="s">
        <v>7350</v>
      </c>
      <c r="M815" t="s">
        <v>7866</v>
      </c>
      <c r="N815" t="s">
        <v>7867</v>
      </c>
      <c r="O815" t="s">
        <v>7353</v>
      </c>
      <c r="P815" t="s">
        <v>7354</v>
      </c>
      <c r="Q815" t="s">
        <v>1351</v>
      </c>
      <c r="R815" t="s">
        <v>7366</v>
      </c>
      <c r="S815" t="s">
        <v>7367</v>
      </c>
      <c r="T815" t="s">
        <v>7358</v>
      </c>
      <c r="U815" s="5">
        <v>975.75</v>
      </c>
      <c r="V815" s="5">
        <v>963.19</v>
      </c>
      <c r="W815" s="5">
        <v>16.512826</v>
      </c>
      <c r="X815" s="5">
        <v>107.59974200000001</v>
      </c>
      <c r="Y815" s="5">
        <v>12.56</v>
      </c>
      <c r="Z815" s="5">
        <v>16.543879</v>
      </c>
      <c r="AA815" s="5">
        <v>107.636127</v>
      </c>
      <c r="AB815" s="7">
        <f t="shared" si="73"/>
        <v>1.444785</v>
      </c>
      <c r="AC815" s="7">
        <f t="shared" si="74"/>
        <v>1.8839999999999999E-2</v>
      </c>
      <c r="AD815" s="6" t="str">
        <f t="shared" si="75"/>
        <v>Ring 8 Dương Nỗ</v>
      </c>
      <c r="AE815" s="6" t="str">
        <f t="shared" si="76"/>
        <v>Thuận An</v>
      </c>
      <c r="AG815">
        <f t="shared" si="77"/>
        <v>0.9631900000000001</v>
      </c>
      <c r="AH815">
        <f t="shared" si="78"/>
        <v>1.256E-2</v>
      </c>
    </row>
    <row r="816" spans="1:34" x14ac:dyDescent="0.25">
      <c r="A816" t="s">
        <v>7868</v>
      </c>
      <c r="B816" t="s">
        <v>7869</v>
      </c>
      <c r="C816" t="s">
        <v>7870</v>
      </c>
      <c r="D816" t="s">
        <v>7013</v>
      </c>
      <c r="E816" t="s">
        <v>7014</v>
      </c>
      <c r="F816" t="s">
        <v>7871</v>
      </c>
      <c r="G816" t="s">
        <v>15827</v>
      </c>
      <c r="H816" t="s">
        <v>16230</v>
      </c>
      <c r="I816" t="s">
        <v>16628</v>
      </c>
      <c r="J816" t="s">
        <v>23</v>
      </c>
      <c r="L816" t="s">
        <v>7335</v>
      </c>
      <c r="M816" t="s">
        <v>7872</v>
      </c>
      <c r="N816" t="s">
        <v>7873</v>
      </c>
      <c r="O816" t="s">
        <v>7338</v>
      </c>
      <c r="P816" t="s">
        <v>7339</v>
      </c>
      <c r="Q816" t="s">
        <v>7874</v>
      </c>
      <c r="R816" t="s">
        <v>7875</v>
      </c>
      <c r="S816" t="s">
        <v>7876</v>
      </c>
      <c r="T816" t="s">
        <v>7343</v>
      </c>
      <c r="U816" s="5">
        <v>783.8</v>
      </c>
      <c r="V816" s="5">
        <v>726.09</v>
      </c>
      <c r="W816" s="5">
        <v>16.487857999999999</v>
      </c>
      <c r="X816" s="5">
        <v>107.644924</v>
      </c>
      <c r="Y816" s="5">
        <v>57.71</v>
      </c>
      <c r="Z816" s="5">
        <v>16.439834000000001</v>
      </c>
      <c r="AA816" s="5">
        <v>107.715987</v>
      </c>
      <c r="AB816" s="7">
        <f t="shared" si="73"/>
        <v>1.089135</v>
      </c>
      <c r="AC816" s="7">
        <f t="shared" si="74"/>
        <v>8.6565000000000003E-2</v>
      </c>
      <c r="AD816" s="6" t="str">
        <f t="shared" si="75"/>
        <v>TTCMKV_Ring 1_CAT Huế mới</v>
      </c>
      <c r="AE816" s="6" t="str">
        <f t="shared" si="76"/>
        <v>Phú Vang</v>
      </c>
      <c r="AG816">
        <f t="shared" si="77"/>
        <v>0.72609000000000001</v>
      </c>
      <c r="AH816">
        <f t="shared" si="78"/>
        <v>5.7709999999999997E-2</v>
      </c>
    </row>
    <row r="817" spans="1:34" x14ac:dyDescent="0.25">
      <c r="A817" t="s">
        <v>7877</v>
      </c>
      <c r="B817" t="s">
        <v>7878</v>
      </c>
      <c r="C817" t="s">
        <v>7879</v>
      </c>
      <c r="D817" t="s">
        <v>7070</v>
      </c>
      <c r="E817" t="s">
        <v>7071</v>
      </c>
      <c r="F817" t="s">
        <v>7880</v>
      </c>
      <c r="G817" t="s">
        <v>15827</v>
      </c>
      <c r="H817" t="s">
        <v>16230</v>
      </c>
      <c r="I817" t="s">
        <v>16629</v>
      </c>
      <c r="J817" t="s">
        <v>23</v>
      </c>
      <c r="L817" t="s">
        <v>7677</v>
      </c>
      <c r="M817" t="s">
        <v>7881</v>
      </c>
      <c r="N817" t="s">
        <v>7882</v>
      </c>
      <c r="O817" t="s">
        <v>7883</v>
      </c>
      <c r="P817" t="s">
        <v>7884</v>
      </c>
      <c r="Q817" t="s">
        <v>7679</v>
      </c>
      <c r="R817" t="s">
        <v>7680</v>
      </c>
      <c r="S817" t="s">
        <v>7681</v>
      </c>
      <c r="T817" t="s">
        <v>7685</v>
      </c>
      <c r="U817" s="5">
        <v>478.44</v>
      </c>
      <c r="V817" s="5">
        <v>385.11</v>
      </c>
      <c r="W817" s="5">
        <v>16.566452999999999</v>
      </c>
      <c r="X817" s="5">
        <v>107.498831</v>
      </c>
      <c r="Y817" s="5">
        <v>93.33</v>
      </c>
      <c r="Z817" s="5">
        <v>16.569545999999999</v>
      </c>
      <c r="AA817" s="5">
        <v>107.513842</v>
      </c>
      <c r="AB817" s="7">
        <f t="shared" si="73"/>
        <v>0.57766499999999998</v>
      </c>
      <c r="AC817" s="7">
        <f t="shared" si="74"/>
        <v>0.13999500000000001</v>
      </c>
      <c r="AD817" s="6" t="str">
        <f t="shared" si="75"/>
        <v>Ring 5 Đan Điền</v>
      </c>
      <c r="AE817" s="6" t="str">
        <f t="shared" si="76"/>
        <v>Quảng Điền</v>
      </c>
      <c r="AG817">
        <f t="shared" si="77"/>
        <v>0.38511000000000001</v>
      </c>
      <c r="AH817">
        <f t="shared" si="78"/>
        <v>9.3329999999999996E-2</v>
      </c>
    </row>
    <row r="818" spans="1:34" x14ac:dyDescent="0.25">
      <c r="A818" t="s">
        <v>7885</v>
      </c>
      <c r="B818" t="s">
        <v>7886</v>
      </c>
      <c r="C818" t="s">
        <v>7887</v>
      </c>
      <c r="D818" t="s">
        <v>7070</v>
      </c>
      <c r="E818" t="s">
        <v>7071</v>
      </c>
      <c r="F818" t="s">
        <v>7888</v>
      </c>
      <c r="G818" t="s">
        <v>15827</v>
      </c>
      <c r="H818" t="s">
        <v>16230</v>
      </c>
      <c r="I818" t="s">
        <v>16630</v>
      </c>
      <c r="J818" t="s">
        <v>23</v>
      </c>
      <c r="L818" t="s">
        <v>7590</v>
      </c>
      <c r="M818" t="s">
        <v>7889</v>
      </c>
      <c r="N818" t="s">
        <v>7890</v>
      </c>
      <c r="O818" t="s">
        <v>7891</v>
      </c>
      <c r="P818" t="s">
        <v>7892</v>
      </c>
      <c r="Q818" t="s">
        <v>7893</v>
      </c>
      <c r="R818" t="s">
        <v>7894</v>
      </c>
      <c r="S818" t="s">
        <v>7895</v>
      </c>
      <c r="T818" t="s">
        <v>7598</v>
      </c>
      <c r="U818" s="5">
        <v>6198.63</v>
      </c>
      <c r="V818" s="5">
        <v>4938.2299999999996</v>
      </c>
      <c r="W818" s="5">
        <v>16.596872999999999</v>
      </c>
      <c r="X818" s="5">
        <v>107.50172499999999</v>
      </c>
      <c r="Y818" s="5">
        <v>1260.4000000000001</v>
      </c>
      <c r="Z818" s="5">
        <v>16.580074</v>
      </c>
      <c r="AA818" s="5">
        <v>107.513431</v>
      </c>
      <c r="AB818" s="7">
        <f t="shared" si="73"/>
        <v>7.4073449999999994</v>
      </c>
      <c r="AC818" s="7">
        <f t="shared" si="74"/>
        <v>1.8906000000000001</v>
      </c>
      <c r="AD818" s="6" t="str">
        <f t="shared" si="75"/>
        <v>Ring 3_Phong Dinh</v>
      </c>
      <c r="AE818" s="6" t="str">
        <f t="shared" si="76"/>
        <v>TTCMKV Quảng Điền</v>
      </c>
      <c r="AG818">
        <f t="shared" si="77"/>
        <v>4.9382299999999999</v>
      </c>
      <c r="AH818">
        <f t="shared" si="78"/>
        <v>1.2604000000000002</v>
      </c>
    </row>
    <row r="819" spans="1:34" x14ac:dyDescent="0.25">
      <c r="A819" t="s">
        <v>7896</v>
      </c>
      <c r="B819" t="s">
        <v>7897</v>
      </c>
      <c r="C819" t="s">
        <v>7898</v>
      </c>
      <c r="D819" t="s">
        <v>7098</v>
      </c>
      <c r="E819" t="s">
        <v>7099</v>
      </c>
      <c r="F819" t="s">
        <v>7899</v>
      </c>
      <c r="G819" t="s">
        <v>15827</v>
      </c>
      <c r="H819" t="s">
        <v>16230</v>
      </c>
      <c r="I819" t="s">
        <v>16631</v>
      </c>
      <c r="J819" t="s">
        <v>23</v>
      </c>
      <c r="L819" t="s">
        <v>7559</v>
      </c>
      <c r="M819" t="s">
        <v>7900</v>
      </c>
      <c r="N819" t="s">
        <v>7901</v>
      </c>
      <c r="O819" t="s">
        <v>7565</v>
      </c>
      <c r="P819" t="s">
        <v>7566</v>
      </c>
      <c r="Q819" t="s">
        <v>7709</v>
      </c>
      <c r="R819" t="s">
        <v>7562</v>
      </c>
      <c r="S819" t="s">
        <v>7563</v>
      </c>
      <c r="T819" t="s">
        <v>7567</v>
      </c>
      <c r="U819" s="5">
        <v>1854.24</v>
      </c>
      <c r="V819" s="5">
        <v>898.82</v>
      </c>
      <c r="W819" s="5">
        <v>16.460554999999999</v>
      </c>
      <c r="X819" s="5">
        <v>107.569109</v>
      </c>
      <c r="Y819" s="5">
        <v>955.41</v>
      </c>
      <c r="Z819" s="5">
        <v>16.478936999999998</v>
      </c>
      <c r="AA819" s="5">
        <v>107.58975599999999</v>
      </c>
      <c r="AB819" s="7">
        <f t="shared" si="73"/>
        <v>1.34823</v>
      </c>
      <c r="AC819" s="7">
        <f t="shared" si="74"/>
        <v>1.4331149999999999</v>
      </c>
      <c r="AD819" s="6" t="str">
        <f t="shared" si="75"/>
        <v>PC04 (trung tâm cái nghiện)</v>
      </c>
      <c r="AE819" s="6" t="str">
        <f t="shared" si="76"/>
        <v>Phú Xuân</v>
      </c>
      <c r="AG819">
        <f t="shared" si="77"/>
        <v>0.89882000000000006</v>
      </c>
      <c r="AH819">
        <f t="shared" si="78"/>
        <v>0.95540999999999998</v>
      </c>
    </row>
    <row r="820" spans="1:34" x14ac:dyDescent="0.25">
      <c r="A820" t="s">
        <v>7902</v>
      </c>
      <c r="B820" t="s">
        <v>7903</v>
      </c>
      <c r="C820" t="s">
        <v>7904</v>
      </c>
      <c r="D820" t="s">
        <v>7530</v>
      </c>
      <c r="E820" t="s">
        <v>7531</v>
      </c>
      <c r="F820" t="s">
        <v>7905</v>
      </c>
      <c r="G820" t="s">
        <v>15827</v>
      </c>
      <c r="H820" t="s">
        <v>16230</v>
      </c>
      <c r="I820" t="s">
        <v>16632</v>
      </c>
      <c r="J820" t="s">
        <v>23</v>
      </c>
      <c r="L820" t="s">
        <v>7533</v>
      </c>
      <c r="M820" t="s">
        <v>7906</v>
      </c>
      <c r="N820" t="s">
        <v>7907</v>
      </c>
      <c r="O820" t="s">
        <v>7621</v>
      </c>
      <c r="P820" t="s">
        <v>7622</v>
      </c>
      <c r="Q820" t="s">
        <v>7623</v>
      </c>
      <c r="R820" t="s">
        <v>7624</v>
      </c>
      <c r="S820" t="s">
        <v>7625</v>
      </c>
      <c r="T820" t="s">
        <v>7626</v>
      </c>
      <c r="U820" s="5">
        <v>2594.86</v>
      </c>
      <c r="V820" s="5">
        <v>1786.54</v>
      </c>
      <c r="W820" s="5">
        <v>16.451485000000002</v>
      </c>
      <c r="X820" s="5">
        <v>107.57438</v>
      </c>
      <c r="Y820" s="5">
        <v>808.32</v>
      </c>
      <c r="Z820" s="5">
        <v>16.430464000000001</v>
      </c>
      <c r="AA820" s="5">
        <v>107.58719000000001</v>
      </c>
      <c r="AB820" s="7">
        <f t="shared" si="73"/>
        <v>2.6798099999999998</v>
      </c>
      <c r="AC820" s="7">
        <f t="shared" si="74"/>
        <v>1.21248</v>
      </c>
      <c r="AD820" s="6" t="str">
        <f t="shared" si="75"/>
        <v>Ring 3 PC10</v>
      </c>
      <c r="AE820" s="6" t="str">
        <f t="shared" si="76"/>
        <v>PC11</v>
      </c>
      <c r="AG820">
        <f t="shared" si="77"/>
        <v>1.78654</v>
      </c>
      <c r="AH820">
        <f t="shared" si="78"/>
        <v>0.80832000000000004</v>
      </c>
    </row>
    <row r="821" spans="1:34" x14ac:dyDescent="0.25">
      <c r="A821" t="s">
        <v>7586</v>
      </c>
      <c r="B821" t="s">
        <v>7587</v>
      </c>
      <c r="C821" t="s">
        <v>7588</v>
      </c>
      <c r="D821" t="s">
        <v>7070</v>
      </c>
      <c r="E821" t="s">
        <v>7071</v>
      </c>
      <c r="F821" t="s">
        <v>7908</v>
      </c>
      <c r="G821" t="s">
        <v>15827</v>
      </c>
      <c r="H821" t="s">
        <v>16230</v>
      </c>
      <c r="I821" t="s">
        <v>16633</v>
      </c>
      <c r="J821" t="s">
        <v>23</v>
      </c>
      <c r="L821" t="s">
        <v>7590</v>
      </c>
      <c r="M821" t="s">
        <v>7591</v>
      </c>
      <c r="N821" t="s">
        <v>7592</v>
      </c>
      <c r="O821" t="s">
        <v>7593</v>
      </c>
      <c r="P821" t="s">
        <v>7594</v>
      </c>
      <c r="Q821" t="s">
        <v>7595</v>
      </c>
      <c r="R821" t="s">
        <v>7596</v>
      </c>
      <c r="S821" t="s">
        <v>7597</v>
      </c>
      <c r="T821" t="s">
        <v>7598</v>
      </c>
      <c r="U821" s="5">
        <v>5064.17</v>
      </c>
      <c r="V821" s="5">
        <v>5010.4399999999996</v>
      </c>
      <c r="W821" s="5">
        <v>16.579530999999999</v>
      </c>
      <c r="X821" s="5">
        <v>107.513243</v>
      </c>
      <c r="Y821" s="5">
        <v>53.73</v>
      </c>
      <c r="Z821" s="5">
        <v>16.569082999999999</v>
      </c>
      <c r="AA821" s="5">
        <v>107.513955</v>
      </c>
      <c r="AB821" s="7">
        <f t="shared" si="73"/>
        <v>7.5156599999999996</v>
      </c>
      <c r="AC821" s="7">
        <f t="shared" si="74"/>
        <v>8.0595E-2</v>
      </c>
      <c r="AD821" s="6" t="str">
        <f t="shared" si="75"/>
        <v>Ring 3_Phong Dinh</v>
      </c>
      <c r="AE821" s="6" t="str">
        <f t="shared" si="76"/>
        <v>TTCMKV Quảng Điền</v>
      </c>
      <c r="AG821">
        <f t="shared" si="77"/>
        <v>5.01044</v>
      </c>
      <c r="AH821">
        <f t="shared" si="78"/>
        <v>5.373E-2</v>
      </c>
    </row>
    <row r="822" spans="1:34" x14ac:dyDescent="0.25">
      <c r="A822" t="s">
        <v>7909</v>
      </c>
      <c r="B822" t="s">
        <v>7910</v>
      </c>
      <c r="C822" t="s">
        <v>7911</v>
      </c>
      <c r="D822" t="s">
        <v>7043</v>
      </c>
      <c r="E822" t="s">
        <v>7044</v>
      </c>
      <c r="F822" t="s">
        <v>7912</v>
      </c>
      <c r="G822" t="s">
        <v>15827</v>
      </c>
      <c r="H822" t="s">
        <v>16230</v>
      </c>
      <c r="I822" t="s">
        <v>16634</v>
      </c>
      <c r="J822" t="s">
        <v>23</v>
      </c>
      <c r="L822" t="s">
        <v>7174</v>
      </c>
      <c r="M822" t="s">
        <v>7913</v>
      </c>
      <c r="N822" t="s">
        <v>7914</v>
      </c>
      <c r="O822" t="s">
        <v>7216</v>
      </c>
      <c r="P822" t="s">
        <v>7217</v>
      </c>
      <c r="Q822" t="s">
        <v>7699</v>
      </c>
      <c r="R822" t="s">
        <v>7213</v>
      </c>
      <c r="S822" t="s">
        <v>7214</v>
      </c>
      <c r="T822" t="s">
        <v>7182</v>
      </c>
      <c r="U822" s="5">
        <v>3946.6</v>
      </c>
      <c r="V822" s="5">
        <v>3665.05</v>
      </c>
      <c r="W822" s="5">
        <v>16.398534999999999</v>
      </c>
      <c r="X822" s="5">
        <v>107.617428</v>
      </c>
      <c r="Y822" s="5">
        <v>281.56</v>
      </c>
      <c r="Z822" s="5">
        <v>16.410385999999999</v>
      </c>
      <c r="AA822" s="5">
        <v>107.679068</v>
      </c>
      <c r="AB822" s="7">
        <f t="shared" si="73"/>
        <v>5.4975750000000003</v>
      </c>
      <c r="AC822" s="7">
        <f t="shared" si="74"/>
        <v>0.42234000000000005</v>
      </c>
      <c r="AD822" s="6" t="str">
        <f t="shared" si="75"/>
        <v>Ring 12_Bình Điền</v>
      </c>
      <c r="AE822" s="6" t="str">
        <f t="shared" si="76"/>
        <v>TTCMKV Hương Thủy</v>
      </c>
      <c r="AG822">
        <f t="shared" si="77"/>
        <v>3.6650500000000004</v>
      </c>
      <c r="AH822">
        <f t="shared" si="78"/>
        <v>0.28155999999999998</v>
      </c>
    </row>
    <row r="823" spans="1:34" x14ac:dyDescent="0.25">
      <c r="A823" t="s">
        <v>7915</v>
      </c>
      <c r="B823" t="s">
        <v>7916</v>
      </c>
      <c r="C823" t="s">
        <v>7917</v>
      </c>
      <c r="D823" t="s">
        <v>7098</v>
      </c>
      <c r="E823" t="s">
        <v>7099</v>
      </c>
      <c r="F823" t="s">
        <v>7918</v>
      </c>
      <c r="G823" t="s">
        <v>15827</v>
      </c>
      <c r="H823" t="s">
        <v>16230</v>
      </c>
      <c r="I823" t="s">
        <v>16635</v>
      </c>
      <c r="J823" t="s">
        <v>23</v>
      </c>
      <c r="L823" t="s">
        <v>7559</v>
      </c>
      <c r="M823" t="s">
        <v>7919</v>
      </c>
      <c r="N823" t="s">
        <v>7920</v>
      </c>
      <c r="O823" t="s">
        <v>7583</v>
      </c>
      <c r="P823" t="s">
        <v>7584</v>
      </c>
      <c r="Q823" t="s">
        <v>7579</v>
      </c>
      <c r="R823" t="s">
        <v>7580</v>
      </c>
      <c r="S823" t="s">
        <v>7581</v>
      </c>
      <c r="T823" t="s">
        <v>7585</v>
      </c>
      <c r="U823" s="5">
        <v>1134.9000000000001</v>
      </c>
      <c r="V823" s="5">
        <v>1113.51</v>
      </c>
      <c r="W823" s="5">
        <v>16.479980000000001</v>
      </c>
      <c r="X823" s="5">
        <v>107.585702</v>
      </c>
      <c r="Y823" s="5">
        <v>21.39</v>
      </c>
      <c r="Z823" s="5">
        <v>16.487358</v>
      </c>
      <c r="AA823" s="5">
        <v>107.587509</v>
      </c>
      <c r="AB823" s="7">
        <f t="shared" si="73"/>
        <v>1.6702649999999999</v>
      </c>
      <c r="AC823" s="7">
        <f t="shared" si="74"/>
        <v>3.2085000000000002E-2</v>
      </c>
      <c r="AD823" s="6" t="str">
        <f t="shared" si="75"/>
        <v>PC04 (trung tâm cái nghiện)</v>
      </c>
      <c r="AE823" s="6" t="str">
        <f t="shared" si="76"/>
        <v>Phú Xuân</v>
      </c>
      <c r="AG823">
        <f t="shared" si="77"/>
        <v>1.11351</v>
      </c>
      <c r="AH823">
        <f t="shared" si="78"/>
        <v>2.1389999999999999E-2</v>
      </c>
    </row>
    <row r="824" spans="1:34" x14ac:dyDescent="0.25">
      <c r="A824" t="s">
        <v>7921</v>
      </c>
      <c r="B824" t="s">
        <v>7922</v>
      </c>
      <c r="C824" t="s">
        <v>7923</v>
      </c>
      <c r="D824" t="s">
        <v>7070</v>
      </c>
      <c r="E824" t="s">
        <v>7071</v>
      </c>
      <c r="F824" t="s">
        <v>7924</v>
      </c>
      <c r="G824" t="s">
        <v>15827</v>
      </c>
      <c r="H824" t="s">
        <v>16230</v>
      </c>
      <c r="I824" t="s">
        <v>16636</v>
      </c>
      <c r="J824" t="s">
        <v>23</v>
      </c>
      <c r="L824" t="s">
        <v>7590</v>
      </c>
      <c r="M824" t="s">
        <v>7925</v>
      </c>
      <c r="N824" t="s">
        <v>7926</v>
      </c>
      <c r="O824" t="s">
        <v>7927</v>
      </c>
      <c r="P824" t="s">
        <v>7928</v>
      </c>
      <c r="Q824" t="s">
        <v>7893</v>
      </c>
      <c r="R824" t="s">
        <v>7894</v>
      </c>
      <c r="S824" t="s">
        <v>7895</v>
      </c>
      <c r="T824" t="s">
        <v>7598</v>
      </c>
      <c r="U824" s="5">
        <v>1446.38</v>
      </c>
      <c r="V824" s="5">
        <v>185.98</v>
      </c>
      <c r="W824" s="5">
        <v>16.612981000000001</v>
      </c>
      <c r="X824" s="5">
        <v>107.465622</v>
      </c>
      <c r="Y824" s="5">
        <v>1260.4000000000001</v>
      </c>
      <c r="Z824" s="5">
        <v>16.580074</v>
      </c>
      <c r="AA824" s="5">
        <v>107.513431</v>
      </c>
      <c r="AB824" s="7">
        <f t="shared" si="73"/>
        <v>0.27897</v>
      </c>
      <c r="AC824" s="7">
        <f t="shared" si="74"/>
        <v>1.8906000000000001</v>
      </c>
      <c r="AD824" s="6" t="str">
        <f t="shared" si="75"/>
        <v>Ring 3_Phong Dinh</v>
      </c>
      <c r="AE824" s="6" t="str">
        <f t="shared" si="76"/>
        <v>TTCMKV Quảng Điền</v>
      </c>
      <c r="AG824">
        <f t="shared" si="77"/>
        <v>0.18597999999999998</v>
      </c>
      <c r="AH824">
        <f t="shared" si="78"/>
        <v>1.2604000000000002</v>
      </c>
    </row>
    <row r="825" spans="1:34" x14ac:dyDescent="0.25">
      <c r="A825" t="s">
        <v>7929</v>
      </c>
      <c r="B825" t="s">
        <v>7930</v>
      </c>
      <c r="C825" t="s">
        <v>7931</v>
      </c>
      <c r="D825" t="s">
        <v>7247</v>
      </c>
      <c r="E825" t="s">
        <v>7248</v>
      </c>
      <c r="F825" t="s">
        <v>7932</v>
      </c>
      <c r="G825" t="s">
        <v>15827</v>
      </c>
      <c r="H825" t="s">
        <v>16230</v>
      </c>
      <c r="I825" t="s">
        <v>16637</v>
      </c>
      <c r="J825" t="s">
        <v>23</v>
      </c>
      <c r="L825" t="s">
        <v>7252</v>
      </c>
      <c r="M825" t="s">
        <v>7933</v>
      </c>
      <c r="N825" t="s">
        <v>7934</v>
      </c>
      <c r="O825" t="s">
        <v>7935</v>
      </c>
      <c r="P825" t="s">
        <v>7936</v>
      </c>
      <c r="Q825" t="s">
        <v>7254</v>
      </c>
      <c r="R825" t="s">
        <v>7255</v>
      </c>
      <c r="S825" t="s">
        <v>7256</v>
      </c>
      <c r="T825" t="s">
        <v>7260</v>
      </c>
      <c r="U825" s="5">
        <v>2398.4299999999998</v>
      </c>
      <c r="V825" s="5">
        <v>2322.56</v>
      </c>
      <c r="W825" s="5">
        <v>16.527670000000001</v>
      </c>
      <c r="X825" s="5">
        <v>107.465991</v>
      </c>
      <c r="Y825" s="5">
        <v>75.87</v>
      </c>
      <c r="Z825" s="5">
        <v>16.523371000000001</v>
      </c>
      <c r="AA825" s="5">
        <v>107.47460100000001</v>
      </c>
      <c r="AB825" s="7">
        <f t="shared" si="73"/>
        <v>3.4838400000000003</v>
      </c>
      <c r="AC825" s="7">
        <f t="shared" si="74"/>
        <v>0.113805</v>
      </c>
      <c r="AD825" s="6" t="str">
        <f t="shared" si="75"/>
        <v>Ring 5 Phong Thái</v>
      </c>
      <c r="AE825" s="6" t="str">
        <f t="shared" si="76"/>
        <v>Hương Trà</v>
      </c>
      <c r="AG825">
        <f t="shared" si="77"/>
        <v>2.3225599999999997</v>
      </c>
      <c r="AH825">
        <f t="shared" si="78"/>
        <v>7.5870000000000007E-2</v>
      </c>
    </row>
    <row r="826" spans="1:34" x14ac:dyDescent="0.25">
      <c r="A826" t="s">
        <v>7937</v>
      </c>
      <c r="B826" t="s">
        <v>7938</v>
      </c>
      <c r="C826" t="s">
        <v>7939</v>
      </c>
      <c r="D826" t="s">
        <v>7441</v>
      </c>
      <c r="E826" t="s">
        <v>7442</v>
      </c>
      <c r="F826" t="s">
        <v>7940</v>
      </c>
      <c r="G826" t="s">
        <v>15827</v>
      </c>
      <c r="H826" t="s">
        <v>16230</v>
      </c>
      <c r="I826" t="s">
        <v>16638</v>
      </c>
      <c r="J826" t="s">
        <v>23</v>
      </c>
      <c r="L826" t="s">
        <v>7444</v>
      </c>
      <c r="M826" t="s">
        <v>7941</v>
      </c>
      <c r="N826" t="s">
        <v>7942</v>
      </c>
      <c r="O826" t="s">
        <v>7943</v>
      </c>
      <c r="P826" t="s">
        <v>7944</v>
      </c>
      <c r="Q826" t="s">
        <v>7446</v>
      </c>
      <c r="R826" t="s">
        <v>7447</v>
      </c>
      <c r="S826" t="s">
        <v>7448</v>
      </c>
      <c r="T826" t="s">
        <v>7452</v>
      </c>
      <c r="U826" s="5">
        <v>1649.43</v>
      </c>
      <c r="V826" s="5">
        <v>1189.8699999999999</v>
      </c>
      <c r="W826" s="5">
        <v>16.433596999999999</v>
      </c>
      <c r="X826" s="5">
        <v>107.57081700000001</v>
      </c>
      <c r="Y826" s="5">
        <v>459.56</v>
      </c>
      <c r="Z826" s="5">
        <v>16.442993000000001</v>
      </c>
      <c r="AA826" s="5">
        <v>107.540175</v>
      </c>
      <c r="AB826" s="7">
        <f t="shared" si="73"/>
        <v>1.7848049999999998</v>
      </c>
      <c r="AC826" s="7">
        <f t="shared" si="74"/>
        <v>0.68934000000000006</v>
      </c>
      <c r="AD826" s="6" t="str">
        <f t="shared" si="75"/>
        <v>Ring 11 CAT Thừa Thiên Huế</v>
      </c>
      <c r="AE826" s="6" t="str">
        <f t="shared" si="76"/>
        <v>Thủy Xuân</v>
      </c>
      <c r="AG826">
        <f t="shared" si="77"/>
        <v>1.18987</v>
      </c>
      <c r="AH826">
        <f t="shared" si="78"/>
        <v>0.45956000000000002</v>
      </c>
    </row>
    <row r="827" spans="1:34" x14ac:dyDescent="0.25">
      <c r="A827" t="s">
        <v>7945</v>
      </c>
      <c r="B827" t="s">
        <v>7946</v>
      </c>
      <c r="C827" t="s">
        <v>7947</v>
      </c>
      <c r="D827" t="s">
        <v>7070</v>
      </c>
      <c r="E827" t="s">
        <v>7071</v>
      </c>
      <c r="F827" t="s">
        <v>7948</v>
      </c>
      <c r="G827" t="s">
        <v>15827</v>
      </c>
      <c r="H827" t="s">
        <v>16230</v>
      </c>
      <c r="I827" t="s">
        <v>16639</v>
      </c>
      <c r="J827" t="s">
        <v>23</v>
      </c>
      <c r="L827" t="s">
        <v>7061</v>
      </c>
      <c r="M827" t="s">
        <v>7949</v>
      </c>
      <c r="N827" t="s">
        <v>7950</v>
      </c>
      <c r="O827" t="s">
        <v>7282</v>
      </c>
      <c r="P827" t="s">
        <v>7283</v>
      </c>
      <c r="Q827" t="s">
        <v>7647</v>
      </c>
      <c r="R827" t="s">
        <v>7648</v>
      </c>
      <c r="S827" t="s">
        <v>7649</v>
      </c>
      <c r="T827" t="s">
        <v>7066</v>
      </c>
      <c r="U827" s="5">
        <v>5727.86</v>
      </c>
      <c r="V827" s="5">
        <v>5658.25</v>
      </c>
      <c r="W827" s="5">
        <v>16.491365999999999</v>
      </c>
      <c r="X827" s="5">
        <v>107.521095</v>
      </c>
      <c r="Y827" s="5">
        <v>69.61</v>
      </c>
      <c r="Z827" s="5">
        <v>16.568549999999998</v>
      </c>
      <c r="AA827" s="5">
        <v>107.514222</v>
      </c>
      <c r="AB827" s="7">
        <f t="shared" si="73"/>
        <v>8.4873750000000001</v>
      </c>
      <c r="AC827" s="7">
        <f t="shared" si="74"/>
        <v>0.10441499999999999</v>
      </c>
      <c r="AD827" s="6" t="str">
        <f t="shared" si="75"/>
        <v>Ring 6 TTCMKV Quảng Điền</v>
      </c>
      <c r="AE827" s="6" t="str">
        <f t="shared" si="76"/>
        <v>Kim Trà</v>
      </c>
      <c r="AG827">
        <f t="shared" si="77"/>
        <v>5.6582499999999998</v>
      </c>
      <c r="AH827">
        <f t="shared" si="78"/>
        <v>6.9610000000000005E-2</v>
      </c>
    </row>
    <row r="828" spans="1:34" x14ac:dyDescent="0.25">
      <c r="A828" t="s">
        <v>7951</v>
      </c>
      <c r="B828" t="s">
        <v>7952</v>
      </c>
      <c r="C828" t="s">
        <v>7953</v>
      </c>
      <c r="D828" t="s">
        <v>7043</v>
      </c>
      <c r="E828" t="s">
        <v>7044</v>
      </c>
      <c r="F828" t="s">
        <v>7954</v>
      </c>
      <c r="G828" t="s">
        <v>15827</v>
      </c>
      <c r="H828" t="s">
        <v>16230</v>
      </c>
      <c r="I828" t="s">
        <v>16640</v>
      </c>
      <c r="J828" t="s">
        <v>23</v>
      </c>
      <c r="L828" t="s">
        <v>7431</v>
      </c>
      <c r="M828" t="s">
        <v>7955</v>
      </c>
      <c r="N828" t="s">
        <v>7956</v>
      </c>
      <c r="O828" t="s">
        <v>7957</v>
      </c>
      <c r="P828" t="s">
        <v>7958</v>
      </c>
      <c r="Q828" t="s">
        <v>7433</v>
      </c>
      <c r="R828" t="s">
        <v>7434</v>
      </c>
      <c r="S828" t="s">
        <v>7435</v>
      </c>
      <c r="T828" t="s">
        <v>7439</v>
      </c>
      <c r="U828" s="5">
        <v>1843.49</v>
      </c>
      <c r="V828" s="5">
        <v>1774.82</v>
      </c>
      <c r="W828" s="5">
        <v>16.436325</v>
      </c>
      <c r="X828" s="5">
        <v>107.608712</v>
      </c>
      <c r="Y828" s="5">
        <v>68.680000000000007</v>
      </c>
      <c r="Z828" s="5">
        <v>16.408670999999998</v>
      </c>
      <c r="AA828" s="5">
        <v>107.681068</v>
      </c>
      <c r="AB828" s="7">
        <f t="shared" si="73"/>
        <v>2.6622300000000001</v>
      </c>
      <c r="AC828" s="7">
        <f t="shared" si="74"/>
        <v>0.10302000000000001</v>
      </c>
      <c r="AD828" s="6" t="str">
        <f t="shared" si="75"/>
        <v>Ring 11 "Thủy Xuân</v>
      </c>
      <c r="AE828" s="6" t="str">
        <f t="shared" si="76"/>
        <v>TTCMKV TX Hương
Thủy"</v>
      </c>
      <c r="AG828">
        <f t="shared" si="77"/>
        <v>1.7748199999999998</v>
      </c>
      <c r="AH828">
        <f t="shared" si="78"/>
        <v>6.8680000000000005E-2</v>
      </c>
    </row>
    <row r="829" spans="1:34" x14ac:dyDescent="0.25">
      <c r="A829" t="s">
        <v>7959</v>
      </c>
      <c r="B829" t="s">
        <v>7960</v>
      </c>
      <c r="C829" t="s">
        <v>7961</v>
      </c>
      <c r="D829" t="s">
        <v>7070</v>
      </c>
      <c r="E829" t="s">
        <v>7071</v>
      </c>
      <c r="F829" t="s">
        <v>7962</v>
      </c>
      <c r="G829" t="s">
        <v>15827</v>
      </c>
      <c r="H829" t="s">
        <v>16230</v>
      </c>
      <c r="I829" t="s">
        <v>16641</v>
      </c>
      <c r="J829" t="s">
        <v>23</v>
      </c>
      <c r="L829" t="s">
        <v>7061</v>
      </c>
      <c r="M829" t="s">
        <v>7963</v>
      </c>
      <c r="N829" t="s">
        <v>7964</v>
      </c>
      <c r="O829" t="s">
        <v>7282</v>
      </c>
      <c r="P829" t="s">
        <v>7283</v>
      </c>
      <c r="Q829" t="s">
        <v>7647</v>
      </c>
      <c r="R829" t="s">
        <v>7648</v>
      </c>
      <c r="S829" t="s">
        <v>7649</v>
      </c>
      <c r="T829" t="s">
        <v>7066</v>
      </c>
      <c r="U829" s="5">
        <v>5398.5</v>
      </c>
      <c r="V829" s="5">
        <v>5328.89</v>
      </c>
      <c r="W829" s="5">
        <v>16.491365999999999</v>
      </c>
      <c r="X829" s="5">
        <v>107.521095</v>
      </c>
      <c r="Y829" s="5">
        <v>69.61</v>
      </c>
      <c r="Z829" s="5">
        <v>16.568549999999998</v>
      </c>
      <c r="AA829" s="5">
        <v>107.514222</v>
      </c>
      <c r="AB829" s="7">
        <f t="shared" si="73"/>
        <v>7.993335000000001</v>
      </c>
      <c r="AC829" s="7">
        <f t="shared" si="74"/>
        <v>0.10441499999999999</v>
      </c>
      <c r="AD829" s="6" t="str">
        <f t="shared" si="75"/>
        <v>Ring 6 TTCMKV Quảng Điền</v>
      </c>
      <c r="AE829" s="6" t="str">
        <f t="shared" si="76"/>
        <v>Kim Trà</v>
      </c>
      <c r="AG829">
        <f t="shared" si="77"/>
        <v>5.3288900000000003</v>
      </c>
      <c r="AH829">
        <f t="shared" si="78"/>
        <v>6.9610000000000005E-2</v>
      </c>
    </row>
    <row r="830" spans="1:34" x14ac:dyDescent="0.25">
      <c r="A830" t="s">
        <v>7965</v>
      </c>
      <c r="B830" t="s">
        <v>7966</v>
      </c>
      <c r="C830" t="s">
        <v>7967</v>
      </c>
      <c r="D830" t="s">
        <v>7126</v>
      </c>
      <c r="E830" t="s">
        <v>7127</v>
      </c>
      <c r="F830" t="s">
        <v>7968</v>
      </c>
      <c r="G830" t="s">
        <v>15827</v>
      </c>
      <c r="H830" t="s">
        <v>16230</v>
      </c>
      <c r="I830" t="s">
        <v>16642</v>
      </c>
      <c r="J830" t="s">
        <v>23</v>
      </c>
      <c r="L830" t="s">
        <v>7131</v>
      </c>
      <c r="M830" t="s">
        <v>7969</v>
      </c>
      <c r="N830" t="s">
        <v>7970</v>
      </c>
      <c r="O830" t="s">
        <v>7971</v>
      </c>
      <c r="P830" t="s">
        <v>7972</v>
      </c>
      <c r="Q830" t="s">
        <v>7133</v>
      </c>
      <c r="R830" t="s">
        <v>7134</v>
      </c>
      <c r="S830" t="s">
        <v>7135</v>
      </c>
      <c r="T830" t="s">
        <v>7139</v>
      </c>
      <c r="U830" s="5">
        <v>146.82</v>
      </c>
      <c r="V830" s="5">
        <v>132.85</v>
      </c>
      <c r="W830" s="5">
        <v>16.481052999999999</v>
      </c>
      <c r="X830" s="5">
        <v>107.598243</v>
      </c>
      <c r="Y830" s="5">
        <v>13.97</v>
      </c>
      <c r="Z830" s="5">
        <v>16.475570999999999</v>
      </c>
      <c r="AA830" s="5">
        <v>107.60319</v>
      </c>
      <c r="AB830" s="7">
        <f t="shared" si="73"/>
        <v>0.19927499999999998</v>
      </c>
      <c r="AC830" s="7">
        <f t="shared" si="74"/>
        <v>2.0955000000000001E-2</v>
      </c>
      <c r="AD830" s="6" t="str">
        <f t="shared" si="75"/>
        <v>Ring 3 PA07</v>
      </c>
      <c r="AE830" s="6" t="str">
        <f t="shared" si="76"/>
        <v>PC01</v>
      </c>
      <c r="AG830">
        <f t="shared" si="77"/>
        <v>0.13285</v>
      </c>
      <c r="AH830">
        <f t="shared" si="78"/>
        <v>1.397E-2</v>
      </c>
    </row>
    <row r="831" spans="1:34" x14ac:dyDescent="0.25">
      <c r="A831" t="s">
        <v>7973</v>
      </c>
      <c r="B831" t="s">
        <v>7974</v>
      </c>
      <c r="C831" t="s">
        <v>7975</v>
      </c>
      <c r="D831" t="s">
        <v>6998</v>
      </c>
      <c r="E831" t="s">
        <v>6999</v>
      </c>
      <c r="F831" t="s">
        <v>7976</v>
      </c>
      <c r="G831" t="s">
        <v>15827</v>
      </c>
      <c r="H831" t="s">
        <v>16230</v>
      </c>
      <c r="I831" t="s">
        <v>16643</v>
      </c>
      <c r="J831" t="s">
        <v>23</v>
      </c>
      <c r="L831" t="s">
        <v>7146</v>
      </c>
      <c r="M831" t="s">
        <v>7977</v>
      </c>
      <c r="N831" t="s">
        <v>7978</v>
      </c>
      <c r="O831" t="s">
        <v>7152</v>
      </c>
      <c r="P831" t="s">
        <v>7153</v>
      </c>
      <c r="Q831" t="s">
        <v>7526</v>
      </c>
      <c r="R831" t="s">
        <v>7527</v>
      </c>
      <c r="S831" t="s">
        <v>7528</v>
      </c>
      <c r="T831" t="s">
        <v>7154</v>
      </c>
      <c r="U831" s="5">
        <v>2614.8200000000002</v>
      </c>
      <c r="V831" s="5">
        <v>790.6</v>
      </c>
      <c r="W831" s="5">
        <v>16.457075</v>
      </c>
      <c r="X831" s="5">
        <v>107.600076</v>
      </c>
      <c r="Y831" s="5">
        <v>1824.23</v>
      </c>
      <c r="Z831" s="5">
        <v>16.460649</v>
      </c>
      <c r="AA831" s="5">
        <v>107.624078</v>
      </c>
      <c r="AB831" s="7">
        <f t="shared" si="73"/>
        <v>1.1859000000000002</v>
      </c>
      <c r="AC831" s="7">
        <f t="shared" si="74"/>
        <v>2.7363450000000005</v>
      </c>
      <c r="AD831" s="6" t="str">
        <f t="shared" si="75"/>
        <v>TTCMKV_Ring 2_Phong Điền</v>
      </c>
      <c r="AE831" s="6" t="str">
        <f t="shared" si="76"/>
        <v>CAT Huế mới</v>
      </c>
      <c r="AG831">
        <f t="shared" si="77"/>
        <v>0.79059999999999997</v>
      </c>
      <c r="AH831">
        <f t="shared" si="78"/>
        <v>1.82423</v>
      </c>
    </row>
    <row r="832" spans="1:34" x14ac:dyDescent="0.25">
      <c r="A832" t="s">
        <v>7979</v>
      </c>
      <c r="B832" t="s">
        <v>7980</v>
      </c>
      <c r="C832" t="s">
        <v>7981</v>
      </c>
      <c r="D832" t="s">
        <v>7126</v>
      </c>
      <c r="E832" t="s">
        <v>7127</v>
      </c>
      <c r="F832" t="s">
        <v>7982</v>
      </c>
      <c r="G832" t="s">
        <v>15827</v>
      </c>
      <c r="H832" t="s">
        <v>16230</v>
      </c>
      <c r="I832" t="s">
        <v>16644</v>
      </c>
      <c r="J832" t="s">
        <v>23</v>
      </c>
      <c r="L832" t="s">
        <v>7131</v>
      </c>
      <c r="M832" t="s">
        <v>7983</v>
      </c>
      <c r="N832" t="s">
        <v>7984</v>
      </c>
      <c r="O832" t="s">
        <v>7810</v>
      </c>
      <c r="P832" t="s">
        <v>7811</v>
      </c>
      <c r="Q832" t="s">
        <v>7133</v>
      </c>
      <c r="R832" t="s">
        <v>7134</v>
      </c>
      <c r="S832" t="s">
        <v>7135</v>
      </c>
      <c r="T832" t="s">
        <v>7139</v>
      </c>
      <c r="U832" s="5">
        <v>436.6</v>
      </c>
      <c r="V832" s="5">
        <v>422.63</v>
      </c>
      <c r="W832" s="5">
        <v>16.478684000000001</v>
      </c>
      <c r="X832" s="5">
        <v>107.598051</v>
      </c>
      <c r="Y832" s="5">
        <v>13.97</v>
      </c>
      <c r="Z832" s="5">
        <v>16.475570999999999</v>
      </c>
      <c r="AA832" s="5">
        <v>107.60319</v>
      </c>
      <c r="AB832" s="7">
        <f t="shared" si="73"/>
        <v>0.63394499999999998</v>
      </c>
      <c r="AC832" s="7">
        <f t="shared" si="74"/>
        <v>2.0955000000000001E-2</v>
      </c>
      <c r="AD832" s="6" t="str">
        <f t="shared" si="75"/>
        <v>Ring 3 PA07</v>
      </c>
      <c r="AE832" s="6" t="str">
        <f t="shared" si="76"/>
        <v>PC01</v>
      </c>
      <c r="AG832">
        <f t="shared" si="77"/>
        <v>0.42263000000000001</v>
      </c>
      <c r="AH832">
        <f t="shared" si="78"/>
        <v>1.397E-2</v>
      </c>
    </row>
    <row r="833" spans="1:34" x14ac:dyDescent="0.25">
      <c r="A833" t="s">
        <v>7985</v>
      </c>
      <c r="B833" t="s">
        <v>7986</v>
      </c>
      <c r="C833" t="s">
        <v>7987</v>
      </c>
      <c r="D833" t="s">
        <v>7043</v>
      </c>
      <c r="E833" t="s">
        <v>7044</v>
      </c>
      <c r="F833" t="s">
        <v>7988</v>
      </c>
      <c r="G833" t="s">
        <v>15827</v>
      </c>
      <c r="H833" t="s">
        <v>16230</v>
      </c>
      <c r="I833" t="s">
        <v>16645</v>
      </c>
      <c r="J833" t="s">
        <v>23</v>
      </c>
      <c r="L833" t="s">
        <v>7989</v>
      </c>
      <c r="M833" t="s">
        <v>7990</v>
      </c>
      <c r="N833" t="s">
        <v>7991</v>
      </c>
      <c r="O833" t="s">
        <v>7992</v>
      </c>
      <c r="P833" t="s">
        <v>7993</v>
      </c>
      <c r="Q833" t="s">
        <v>7994</v>
      </c>
      <c r="R833" t="s">
        <v>7995</v>
      </c>
      <c r="S833" t="s">
        <v>7996</v>
      </c>
      <c r="T833" t="s">
        <v>7997</v>
      </c>
      <c r="U833" s="5">
        <v>5061.25</v>
      </c>
      <c r="V833" s="5">
        <v>5002</v>
      </c>
      <c r="W833" s="5">
        <v>16.335578000000002</v>
      </c>
      <c r="X833" s="5">
        <v>107.73928100000001</v>
      </c>
      <c r="Y833" s="5">
        <v>59.25</v>
      </c>
      <c r="Z833" s="5">
        <v>16.408867000000001</v>
      </c>
      <c r="AA833" s="5">
        <v>107.680966</v>
      </c>
      <c r="AB833" s="7">
        <f t="shared" si="73"/>
        <v>7.5030000000000001</v>
      </c>
      <c r="AC833" s="7">
        <f t="shared" si="74"/>
        <v>8.8874999999999996E-2</v>
      </c>
      <c r="AD833" s="6" t="e">
        <f t="shared" si="75"/>
        <v>#VALUE!</v>
      </c>
      <c r="AE833" s="6" t="e">
        <f t="shared" si="76"/>
        <v>#VALUE!</v>
      </c>
      <c r="AG833">
        <f t="shared" si="77"/>
        <v>5.0019999999999998</v>
      </c>
      <c r="AH833">
        <f t="shared" si="78"/>
        <v>5.9249999999999997E-2</v>
      </c>
    </row>
    <row r="834" spans="1:34" x14ac:dyDescent="0.25">
      <c r="A834" t="s">
        <v>7998</v>
      </c>
      <c r="B834" t="s">
        <v>7999</v>
      </c>
      <c r="C834" t="s">
        <v>8000</v>
      </c>
      <c r="D834" t="s">
        <v>7028</v>
      </c>
      <c r="E834" t="s">
        <v>7029</v>
      </c>
      <c r="F834" t="s">
        <v>8001</v>
      </c>
      <c r="G834" t="s">
        <v>15827</v>
      </c>
      <c r="H834" t="s">
        <v>16230</v>
      </c>
      <c r="I834" t="s">
        <v>16646</v>
      </c>
      <c r="J834" t="s">
        <v>23</v>
      </c>
      <c r="L834" t="s">
        <v>7018</v>
      </c>
      <c r="M834" t="s">
        <v>8002</v>
      </c>
      <c r="N834" t="s">
        <v>8003</v>
      </c>
      <c r="O834" t="s">
        <v>8004</v>
      </c>
      <c r="P834" t="s">
        <v>8005</v>
      </c>
      <c r="Q834" t="s">
        <v>8006</v>
      </c>
      <c r="R834" t="s">
        <v>8007</v>
      </c>
      <c r="S834" t="s">
        <v>8008</v>
      </c>
      <c r="T834" t="s">
        <v>7026</v>
      </c>
      <c r="U834" s="5">
        <v>10224.049999999999</v>
      </c>
      <c r="V834" s="5">
        <v>1722.27</v>
      </c>
      <c r="W834" s="5">
        <v>16.387333000000002</v>
      </c>
      <c r="X834" s="5">
        <v>107.835729</v>
      </c>
      <c r="Y834" s="5">
        <v>8501.7800000000007</v>
      </c>
      <c r="Z834" s="5">
        <v>16.346129000000001</v>
      </c>
      <c r="AA834" s="5">
        <v>107.896635</v>
      </c>
      <c r="AB834" s="7">
        <f t="shared" si="73"/>
        <v>2.583405</v>
      </c>
      <c r="AC834" s="7">
        <f t="shared" si="74"/>
        <v>12.752670000000002</v>
      </c>
      <c r="AD834" s="6" t="str">
        <f t="shared" si="75"/>
        <v>TTCMKV_Ring 1_Phú Vang</v>
      </c>
      <c r="AE834" s="6" t="str">
        <f t="shared" si="76"/>
        <v>Phú Lộc</v>
      </c>
      <c r="AG834">
        <f t="shared" si="77"/>
        <v>1.72227</v>
      </c>
      <c r="AH834">
        <f t="shared" si="78"/>
        <v>8.5017800000000001</v>
      </c>
    </row>
    <row r="835" spans="1:34" x14ac:dyDescent="0.25">
      <c r="A835" t="s">
        <v>8009</v>
      </c>
      <c r="B835" t="s">
        <v>8010</v>
      </c>
      <c r="C835" t="s">
        <v>8011</v>
      </c>
      <c r="D835" t="s">
        <v>7013</v>
      </c>
      <c r="E835" t="s">
        <v>7014</v>
      </c>
      <c r="F835" t="s">
        <v>8012</v>
      </c>
      <c r="G835" t="s">
        <v>15827</v>
      </c>
      <c r="H835" t="s">
        <v>16230</v>
      </c>
      <c r="I835" t="s">
        <v>16647</v>
      </c>
      <c r="J835" t="s">
        <v>23</v>
      </c>
      <c r="L835" t="s">
        <v>7335</v>
      </c>
      <c r="M835" t="s">
        <v>8013</v>
      </c>
      <c r="N835" t="s">
        <v>8014</v>
      </c>
      <c r="O835" t="s">
        <v>8015</v>
      </c>
      <c r="P835" t="s">
        <v>8016</v>
      </c>
      <c r="Q835" t="s">
        <v>7874</v>
      </c>
      <c r="R835" t="s">
        <v>7875</v>
      </c>
      <c r="S835" t="s">
        <v>7876</v>
      </c>
      <c r="T835" t="s">
        <v>7343</v>
      </c>
      <c r="U835" s="5">
        <v>80.319999999999993</v>
      </c>
      <c r="V835" s="5">
        <v>22.61</v>
      </c>
      <c r="W835" s="5">
        <v>16.484102</v>
      </c>
      <c r="X835" s="5">
        <v>107.668222</v>
      </c>
      <c r="Y835" s="5">
        <v>57.71</v>
      </c>
      <c r="Z835" s="5">
        <v>16.439834000000001</v>
      </c>
      <c r="AA835" s="5">
        <v>107.715987</v>
      </c>
      <c r="AB835" s="7">
        <f t="shared" ref="AB835:AB898" si="79">V835*1.5/1000</f>
        <v>3.3915000000000001E-2</v>
      </c>
      <c r="AC835" s="7">
        <f t="shared" ref="AC835:AC898" si="80">Y835*1.5/1000</f>
        <v>8.6565000000000003E-2</v>
      </c>
      <c r="AD835" s="6" t="str">
        <f t="shared" ref="AD835:AD898" si="81">TRIM(LEFT(L835,FIND("-",L835)-1))</f>
        <v>TTCMKV_Ring 1_CAT Huế mới</v>
      </c>
      <c r="AE835" s="6" t="str">
        <f t="shared" ref="AE835:AE898" si="82">TRIM(RIGHT(L835, LEN(L835) - FIND("-", L835)))</f>
        <v>Phú Vang</v>
      </c>
      <c r="AG835">
        <f t="shared" ref="AG835:AG898" si="83">V835/1000</f>
        <v>2.2609999999999998E-2</v>
      </c>
      <c r="AH835">
        <f t="shared" ref="AH835:AH898" si="84">Y835/1000</f>
        <v>5.7709999999999997E-2</v>
      </c>
    </row>
    <row r="836" spans="1:34" x14ac:dyDescent="0.25">
      <c r="A836" t="s">
        <v>8017</v>
      </c>
      <c r="B836" t="s">
        <v>8018</v>
      </c>
      <c r="C836" t="s">
        <v>8019</v>
      </c>
      <c r="D836" t="s">
        <v>7070</v>
      </c>
      <c r="E836" t="s">
        <v>7071</v>
      </c>
      <c r="F836" t="s">
        <v>8020</v>
      </c>
      <c r="G836" t="s">
        <v>15827</v>
      </c>
      <c r="H836" t="s">
        <v>16230</v>
      </c>
      <c r="I836" t="s">
        <v>16648</v>
      </c>
      <c r="J836" t="s">
        <v>23</v>
      </c>
      <c r="L836" t="s">
        <v>7590</v>
      </c>
      <c r="M836" t="s">
        <v>8021</v>
      </c>
      <c r="N836" t="s">
        <v>8022</v>
      </c>
      <c r="O836" t="s">
        <v>7593</v>
      </c>
      <c r="P836" t="s">
        <v>7594</v>
      </c>
      <c r="Q836" t="s">
        <v>7595</v>
      </c>
      <c r="R836" t="s">
        <v>7596</v>
      </c>
      <c r="S836" t="s">
        <v>7597</v>
      </c>
      <c r="T836" t="s">
        <v>7598</v>
      </c>
      <c r="U836" s="5">
        <v>5041.82</v>
      </c>
      <c r="V836" s="5">
        <v>4988.09</v>
      </c>
      <c r="W836" s="5">
        <v>16.579530999999999</v>
      </c>
      <c r="X836" s="5">
        <v>107.513243</v>
      </c>
      <c r="Y836" s="5">
        <v>53.73</v>
      </c>
      <c r="Z836" s="5">
        <v>16.569082999999999</v>
      </c>
      <c r="AA836" s="5">
        <v>107.513955</v>
      </c>
      <c r="AB836" s="7">
        <f t="shared" si="79"/>
        <v>7.4821350000000004</v>
      </c>
      <c r="AC836" s="7">
        <f t="shared" si="80"/>
        <v>8.0595E-2</v>
      </c>
      <c r="AD836" s="6" t="str">
        <f t="shared" si="81"/>
        <v>Ring 3_Phong Dinh</v>
      </c>
      <c r="AE836" s="6" t="str">
        <f t="shared" si="82"/>
        <v>TTCMKV Quảng Điền</v>
      </c>
      <c r="AG836">
        <f t="shared" si="83"/>
        <v>4.9880900000000006</v>
      </c>
      <c r="AH836">
        <f t="shared" si="84"/>
        <v>5.373E-2</v>
      </c>
    </row>
    <row r="837" spans="1:34" x14ac:dyDescent="0.25">
      <c r="A837" t="s">
        <v>8023</v>
      </c>
      <c r="B837" t="s">
        <v>8024</v>
      </c>
      <c r="C837" t="s">
        <v>8025</v>
      </c>
      <c r="D837" t="s">
        <v>7070</v>
      </c>
      <c r="E837" t="s">
        <v>7071</v>
      </c>
      <c r="F837" t="s">
        <v>8026</v>
      </c>
      <c r="G837" t="s">
        <v>15827</v>
      </c>
      <c r="H837" t="s">
        <v>16230</v>
      </c>
      <c r="I837" t="s">
        <v>16649</v>
      </c>
      <c r="J837" t="s">
        <v>23</v>
      </c>
      <c r="L837" t="s">
        <v>7590</v>
      </c>
      <c r="M837" t="s">
        <v>8027</v>
      </c>
      <c r="N837" t="s">
        <v>8028</v>
      </c>
      <c r="O837" t="s">
        <v>7891</v>
      </c>
      <c r="P837" t="s">
        <v>7892</v>
      </c>
      <c r="Q837" t="s">
        <v>7893</v>
      </c>
      <c r="R837" t="s">
        <v>7894</v>
      </c>
      <c r="S837" t="s">
        <v>7895</v>
      </c>
      <c r="T837" t="s">
        <v>7598</v>
      </c>
      <c r="U837" s="5">
        <v>5586.14</v>
      </c>
      <c r="V837" s="5">
        <v>4325.74</v>
      </c>
      <c r="W837" s="5">
        <v>16.596872999999999</v>
      </c>
      <c r="X837" s="5">
        <v>107.50172499999999</v>
      </c>
      <c r="Y837" s="5">
        <v>1260.4000000000001</v>
      </c>
      <c r="Z837" s="5">
        <v>16.580074</v>
      </c>
      <c r="AA837" s="5">
        <v>107.513431</v>
      </c>
      <c r="AB837" s="7">
        <f t="shared" si="79"/>
        <v>6.4886099999999995</v>
      </c>
      <c r="AC837" s="7">
        <f t="shared" si="80"/>
        <v>1.8906000000000001</v>
      </c>
      <c r="AD837" s="6" t="str">
        <f t="shared" si="81"/>
        <v>Ring 3_Phong Dinh</v>
      </c>
      <c r="AE837" s="6" t="str">
        <f t="shared" si="82"/>
        <v>TTCMKV Quảng Điền</v>
      </c>
      <c r="AG837">
        <f t="shared" si="83"/>
        <v>4.3257399999999997</v>
      </c>
      <c r="AH837">
        <f t="shared" si="84"/>
        <v>1.2604000000000002</v>
      </c>
    </row>
    <row r="838" spans="1:34" x14ac:dyDescent="0.25">
      <c r="A838" t="s">
        <v>8029</v>
      </c>
      <c r="B838" t="s">
        <v>8030</v>
      </c>
      <c r="C838" t="s">
        <v>8031</v>
      </c>
      <c r="D838" t="s">
        <v>8032</v>
      </c>
      <c r="E838" t="s">
        <v>8033</v>
      </c>
      <c r="F838" t="s">
        <v>8034</v>
      </c>
      <c r="G838" t="s">
        <v>15827</v>
      </c>
      <c r="H838" t="s">
        <v>16230</v>
      </c>
      <c r="I838" t="s">
        <v>16650</v>
      </c>
      <c r="J838" t="s">
        <v>23</v>
      </c>
      <c r="L838" t="s">
        <v>8035</v>
      </c>
      <c r="M838" t="s">
        <v>8036</v>
      </c>
      <c r="N838" t="s">
        <v>8037</v>
      </c>
      <c r="O838" t="s">
        <v>8038</v>
      </c>
      <c r="P838" t="s">
        <v>8039</v>
      </c>
      <c r="Q838" t="s">
        <v>8040</v>
      </c>
      <c r="R838" t="s">
        <v>8041</v>
      </c>
      <c r="S838" t="s">
        <v>8042</v>
      </c>
      <c r="T838" t="s">
        <v>8043</v>
      </c>
      <c r="U838" s="5">
        <v>2697.99</v>
      </c>
      <c r="V838" s="5">
        <v>2498.12</v>
      </c>
      <c r="W838" s="5">
        <v>16.595790000000001</v>
      </c>
      <c r="X838" s="5">
        <v>107.357463</v>
      </c>
      <c r="Y838" s="5">
        <v>199.86</v>
      </c>
      <c r="Z838" s="5">
        <v>16.661760000000001</v>
      </c>
      <c r="AA838" s="5">
        <v>107.381658</v>
      </c>
      <c r="AB838" s="7">
        <f t="shared" si="79"/>
        <v>3.7471799999999997</v>
      </c>
      <c r="AC838" s="7">
        <f t="shared" si="80"/>
        <v>0.29979</v>
      </c>
      <c r="AD838" s="6" t="str">
        <f t="shared" si="81"/>
        <v>Ring 4 TTCMKV Phong Điền</v>
      </c>
      <c r="AE838" s="6" t="str">
        <f t="shared" si="82"/>
        <v>Phong Phú</v>
      </c>
      <c r="AG838">
        <f t="shared" si="83"/>
        <v>2.4981199999999997</v>
      </c>
      <c r="AH838">
        <f t="shared" si="84"/>
        <v>0.19986000000000001</v>
      </c>
    </row>
    <row r="839" spans="1:34" x14ac:dyDescent="0.25">
      <c r="A839" t="s">
        <v>8044</v>
      </c>
      <c r="B839" t="s">
        <v>8045</v>
      </c>
      <c r="C839" t="s">
        <v>8046</v>
      </c>
      <c r="D839" t="s">
        <v>7070</v>
      </c>
      <c r="E839" t="s">
        <v>7071</v>
      </c>
      <c r="F839" t="s">
        <v>8047</v>
      </c>
      <c r="G839" t="s">
        <v>15827</v>
      </c>
      <c r="H839" t="s">
        <v>16230</v>
      </c>
      <c r="I839" t="s">
        <v>16651</v>
      </c>
      <c r="J839" t="s">
        <v>23</v>
      </c>
      <c r="L839" t="s">
        <v>7500</v>
      </c>
      <c r="M839" t="s">
        <v>8048</v>
      </c>
      <c r="N839" t="s">
        <v>8049</v>
      </c>
      <c r="O839" t="s">
        <v>8050</v>
      </c>
      <c r="P839" t="s">
        <v>8051</v>
      </c>
      <c r="Q839" t="s">
        <v>7656</v>
      </c>
      <c r="R839" t="s">
        <v>7657</v>
      </c>
      <c r="S839" t="s">
        <v>7658</v>
      </c>
      <c r="T839" t="s">
        <v>7508</v>
      </c>
      <c r="U839" s="5">
        <v>4815.21</v>
      </c>
      <c r="V839" s="5">
        <v>4749.32</v>
      </c>
      <c r="W839" s="5">
        <v>16.537596000000001</v>
      </c>
      <c r="X839" s="5">
        <v>107.563883</v>
      </c>
      <c r="Y839" s="5">
        <v>65.89</v>
      </c>
      <c r="Z839" s="5">
        <v>16.568567999999999</v>
      </c>
      <c r="AA839" s="5">
        <v>107.51419199999999</v>
      </c>
      <c r="AB839" s="7">
        <f t="shared" si="79"/>
        <v>7.1239799999999995</v>
      </c>
      <c r="AC839" s="7">
        <f t="shared" si="80"/>
        <v>9.8835000000000006E-2</v>
      </c>
      <c r="AD839" s="6" t="str">
        <f t="shared" si="81"/>
        <v>Ring 7 TTCMKV Quảng Điền</v>
      </c>
      <c r="AE839" s="6" t="str">
        <f t="shared" si="82"/>
        <v>Hóa Châu</v>
      </c>
      <c r="AG839">
        <f t="shared" si="83"/>
        <v>4.74932</v>
      </c>
      <c r="AH839">
        <f t="shared" si="84"/>
        <v>6.5890000000000004E-2</v>
      </c>
    </row>
    <row r="840" spans="1:34" x14ac:dyDescent="0.25">
      <c r="A840" t="s">
        <v>8052</v>
      </c>
      <c r="B840" t="s">
        <v>8053</v>
      </c>
      <c r="C840" t="s">
        <v>8054</v>
      </c>
      <c r="D840" t="s">
        <v>7028</v>
      </c>
      <c r="E840" t="s">
        <v>7029</v>
      </c>
      <c r="F840" t="s">
        <v>8055</v>
      </c>
      <c r="G840" t="s">
        <v>15827</v>
      </c>
      <c r="H840" t="s">
        <v>16230</v>
      </c>
      <c r="I840" t="s">
        <v>16652</v>
      </c>
      <c r="J840" t="s">
        <v>23</v>
      </c>
      <c r="L840" t="s">
        <v>7018</v>
      </c>
      <c r="M840" t="s">
        <v>8056</v>
      </c>
      <c r="N840" t="s">
        <v>8057</v>
      </c>
      <c r="O840" t="s">
        <v>8058</v>
      </c>
      <c r="P840" t="s">
        <v>8059</v>
      </c>
      <c r="Q840" t="s">
        <v>8006</v>
      </c>
      <c r="R840" t="s">
        <v>8007</v>
      </c>
      <c r="S840" t="s">
        <v>8008</v>
      </c>
      <c r="T840" t="s">
        <v>7026</v>
      </c>
      <c r="U840" s="5">
        <v>8845.82</v>
      </c>
      <c r="V840" s="5">
        <v>344.04</v>
      </c>
      <c r="W840" s="5">
        <v>16.378900999999999</v>
      </c>
      <c r="X840" s="5">
        <v>107.851676</v>
      </c>
      <c r="Y840" s="5">
        <v>8501.7800000000007</v>
      </c>
      <c r="Z840" s="5">
        <v>16.346129000000001</v>
      </c>
      <c r="AA840" s="5">
        <v>107.896635</v>
      </c>
      <c r="AB840" s="7">
        <f t="shared" si="79"/>
        <v>0.51606000000000007</v>
      </c>
      <c r="AC840" s="7">
        <f t="shared" si="80"/>
        <v>12.752670000000002</v>
      </c>
      <c r="AD840" s="6" t="str">
        <f t="shared" si="81"/>
        <v>TTCMKV_Ring 1_Phú Vang</v>
      </c>
      <c r="AE840" s="6" t="str">
        <f t="shared" si="82"/>
        <v>Phú Lộc</v>
      </c>
      <c r="AG840">
        <f t="shared" si="83"/>
        <v>0.34404000000000001</v>
      </c>
      <c r="AH840">
        <f t="shared" si="84"/>
        <v>8.5017800000000001</v>
      </c>
    </row>
    <row r="841" spans="1:34" x14ac:dyDescent="0.25">
      <c r="A841" t="s">
        <v>8060</v>
      </c>
      <c r="B841" t="s">
        <v>8061</v>
      </c>
      <c r="C841" t="s">
        <v>8062</v>
      </c>
      <c r="D841" t="s">
        <v>8032</v>
      </c>
      <c r="E841" t="s">
        <v>8033</v>
      </c>
      <c r="F841" t="s">
        <v>8063</v>
      </c>
      <c r="G841" t="s">
        <v>15827</v>
      </c>
      <c r="H841" t="s">
        <v>16230</v>
      </c>
      <c r="I841" t="s">
        <v>16653</v>
      </c>
      <c r="J841" t="s">
        <v>23</v>
      </c>
      <c r="L841" t="s">
        <v>8035</v>
      </c>
      <c r="M841" t="s">
        <v>8064</v>
      </c>
      <c r="N841" t="s">
        <v>8065</v>
      </c>
      <c r="O841" t="s">
        <v>8066</v>
      </c>
      <c r="P841" t="s">
        <v>8067</v>
      </c>
      <c r="Q841" t="s">
        <v>8040</v>
      </c>
      <c r="R841" t="s">
        <v>8041</v>
      </c>
      <c r="S841" t="s">
        <v>8042</v>
      </c>
      <c r="T841" t="s">
        <v>8043</v>
      </c>
      <c r="U841" s="5">
        <v>3937.89</v>
      </c>
      <c r="V841" s="5">
        <v>3738.03</v>
      </c>
      <c r="W841" s="5">
        <v>16.597567000000002</v>
      </c>
      <c r="X841" s="5">
        <v>107.360275</v>
      </c>
      <c r="Y841" s="5">
        <v>199.86</v>
      </c>
      <c r="Z841" s="5">
        <v>16.661760000000001</v>
      </c>
      <c r="AA841" s="5">
        <v>107.381658</v>
      </c>
      <c r="AB841" s="7">
        <f t="shared" si="79"/>
        <v>5.6070450000000003</v>
      </c>
      <c r="AC841" s="7">
        <f t="shared" si="80"/>
        <v>0.29979</v>
      </c>
      <c r="AD841" s="6" t="str">
        <f t="shared" si="81"/>
        <v>Ring 4 TTCMKV Phong Điền</v>
      </c>
      <c r="AE841" s="6" t="str">
        <f t="shared" si="82"/>
        <v>Phong Phú</v>
      </c>
      <c r="AG841">
        <f t="shared" si="83"/>
        <v>3.7380300000000002</v>
      </c>
      <c r="AH841">
        <f t="shared" si="84"/>
        <v>0.19986000000000001</v>
      </c>
    </row>
    <row r="842" spans="1:34" x14ac:dyDescent="0.25">
      <c r="A842" t="s">
        <v>8068</v>
      </c>
      <c r="B842" t="s">
        <v>8069</v>
      </c>
      <c r="C842" t="s">
        <v>8070</v>
      </c>
      <c r="D842" t="s">
        <v>6998</v>
      </c>
      <c r="E842" t="s">
        <v>6999</v>
      </c>
      <c r="F842" t="s">
        <v>8071</v>
      </c>
      <c r="G842" t="s">
        <v>15827</v>
      </c>
      <c r="H842" t="s">
        <v>16230</v>
      </c>
      <c r="I842" t="s">
        <v>16654</v>
      </c>
      <c r="J842" t="s">
        <v>23</v>
      </c>
      <c r="L842" t="s">
        <v>7487</v>
      </c>
      <c r="M842" t="s">
        <v>8072</v>
      </c>
      <c r="N842" t="s">
        <v>8073</v>
      </c>
      <c r="O842" t="s">
        <v>7490</v>
      </c>
      <c r="P842" t="s">
        <v>7491</v>
      </c>
      <c r="Q842" t="s">
        <v>7492</v>
      </c>
      <c r="R842" t="s">
        <v>7493</v>
      </c>
      <c r="S842" t="s">
        <v>7494</v>
      </c>
      <c r="T842" t="s">
        <v>7495</v>
      </c>
      <c r="U842" s="5">
        <v>3443.02</v>
      </c>
      <c r="V842" s="5">
        <v>3240.38</v>
      </c>
      <c r="W842" s="5">
        <v>16.493091</v>
      </c>
      <c r="X842" s="5">
        <v>107.594409</v>
      </c>
      <c r="Y842" s="5">
        <v>202.64</v>
      </c>
      <c r="Z842" s="5">
        <v>16.478172000000001</v>
      </c>
      <c r="AA842" s="5">
        <v>107.624154</v>
      </c>
      <c r="AB842" s="7">
        <f t="shared" si="79"/>
        <v>4.8605700000000001</v>
      </c>
      <c r="AC842" s="7">
        <f t="shared" si="80"/>
        <v>0.30395999999999995</v>
      </c>
      <c r="AD842" s="6" t="str">
        <f t="shared" si="81"/>
        <v>Ring 1 Phú Xuân</v>
      </c>
      <c r="AE842" s="6" t="str">
        <f t="shared" si="82"/>
        <v>CAT TT Huế</v>
      </c>
      <c r="AG842">
        <f t="shared" si="83"/>
        <v>3.24038</v>
      </c>
      <c r="AH842">
        <f t="shared" si="84"/>
        <v>0.20263999999999999</v>
      </c>
    </row>
    <row r="843" spans="1:34" x14ac:dyDescent="0.25">
      <c r="A843" t="s">
        <v>8074</v>
      </c>
      <c r="B843" t="s">
        <v>7186</v>
      </c>
      <c r="C843" t="s">
        <v>7187</v>
      </c>
      <c r="D843" t="s">
        <v>6998</v>
      </c>
      <c r="E843" t="s">
        <v>6999</v>
      </c>
      <c r="F843" t="s">
        <v>8075</v>
      </c>
      <c r="G843" t="s">
        <v>15827</v>
      </c>
      <c r="H843" t="s">
        <v>16230</v>
      </c>
      <c r="I843" t="s">
        <v>16655</v>
      </c>
      <c r="J843" t="s">
        <v>23</v>
      </c>
      <c r="L843" t="s">
        <v>7146</v>
      </c>
      <c r="M843" t="s">
        <v>8076</v>
      </c>
      <c r="N843" t="s">
        <v>1790</v>
      </c>
      <c r="O843" t="s">
        <v>7193</v>
      </c>
      <c r="P843" t="s">
        <v>7194</v>
      </c>
      <c r="Q843" t="s">
        <v>8077</v>
      </c>
      <c r="R843" t="s">
        <v>8078</v>
      </c>
      <c r="S843" t="s">
        <v>8079</v>
      </c>
      <c r="T843" t="s">
        <v>7195</v>
      </c>
      <c r="U843" s="5">
        <v>7950.65</v>
      </c>
      <c r="V843" s="5">
        <v>560.76</v>
      </c>
      <c r="W843" s="5">
        <v>16.523812</v>
      </c>
      <c r="X843" s="5">
        <v>107.480937</v>
      </c>
      <c r="Y843" s="5">
        <v>7389.89</v>
      </c>
      <c r="Z843" s="5">
        <v>16.479613000000001</v>
      </c>
      <c r="AA843" s="5">
        <v>107.556349</v>
      </c>
      <c r="AB843" s="7">
        <f t="shared" si="79"/>
        <v>0.84114</v>
      </c>
      <c r="AC843" s="7">
        <f t="shared" si="80"/>
        <v>11.084835000000002</v>
      </c>
      <c r="AD843" s="6" t="str">
        <f t="shared" si="81"/>
        <v>TTCMKV_Ring 2_Phong Điền</v>
      </c>
      <c r="AE843" s="6" t="str">
        <f t="shared" si="82"/>
        <v>CAT Huế mới</v>
      </c>
      <c r="AG843">
        <f t="shared" si="83"/>
        <v>0.56076000000000004</v>
      </c>
      <c r="AH843">
        <f t="shared" si="84"/>
        <v>7.3898900000000003</v>
      </c>
    </row>
    <row r="844" spans="1:34" x14ac:dyDescent="0.25">
      <c r="A844" t="s">
        <v>8080</v>
      </c>
      <c r="B844" t="s">
        <v>8081</v>
      </c>
      <c r="C844" t="s">
        <v>8082</v>
      </c>
      <c r="D844" t="s">
        <v>7303</v>
      </c>
      <c r="E844" t="s">
        <v>7304</v>
      </c>
      <c r="F844" t="s">
        <v>8083</v>
      </c>
      <c r="G844" t="s">
        <v>15827</v>
      </c>
      <c r="H844" t="s">
        <v>16230</v>
      </c>
      <c r="I844" t="s">
        <v>16656</v>
      </c>
      <c r="J844" t="s">
        <v>23</v>
      </c>
      <c r="L844" t="s">
        <v>7308</v>
      </c>
      <c r="M844" t="s">
        <v>8084</v>
      </c>
      <c r="N844" t="s">
        <v>8085</v>
      </c>
      <c r="O844" t="s">
        <v>7608</v>
      </c>
      <c r="P844" t="s">
        <v>8086</v>
      </c>
      <c r="Q844" t="s">
        <v>7310</v>
      </c>
      <c r="R844" t="s">
        <v>7311</v>
      </c>
      <c r="S844" t="s">
        <v>7312</v>
      </c>
      <c r="T844" t="s">
        <v>7316</v>
      </c>
      <c r="U844" s="5">
        <v>248.1</v>
      </c>
      <c r="V844" s="5">
        <v>181.92</v>
      </c>
      <c r="W844" s="5">
        <v>16.452960999999998</v>
      </c>
      <c r="X844" s="5">
        <v>107.52951899999999</v>
      </c>
      <c r="Y844" s="5">
        <v>66.180000000000007</v>
      </c>
      <c r="Z844" s="5">
        <v>16.439848000000001</v>
      </c>
      <c r="AA844" s="5">
        <v>107.52389700000001</v>
      </c>
      <c r="AB844" s="7">
        <f t="shared" si="79"/>
        <v>0.27288000000000001</v>
      </c>
      <c r="AC844" s="7">
        <f t="shared" si="80"/>
        <v>9.9270000000000011E-2</v>
      </c>
      <c r="AD844" s="6" t="str">
        <f t="shared" si="81"/>
        <v>Ring 6 Hương An</v>
      </c>
      <c r="AE844" s="6" t="str">
        <f t="shared" si="82"/>
        <v>Kim Long</v>
      </c>
      <c r="AG844">
        <f t="shared" si="83"/>
        <v>0.18192</v>
      </c>
      <c r="AH844">
        <f t="shared" si="84"/>
        <v>6.6180000000000003E-2</v>
      </c>
    </row>
    <row r="845" spans="1:34" x14ac:dyDescent="0.25">
      <c r="A845" t="s">
        <v>8087</v>
      </c>
      <c r="B845" t="s">
        <v>8088</v>
      </c>
      <c r="C845" t="s">
        <v>8089</v>
      </c>
      <c r="D845" t="s">
        <v>6998</v>
      </c>
      <c r="E845" t="s">
        <v>6999</v>
      </c>
      <c r="F845" t="s">
        <v>8090</v>
      </c>
      <c r="G845" t="s">
        <v>15827</v>
      </c>
      <c r="H845" t="s">
        <v>16230</v>
      </c>
      <c r="I845" t="s">
        <v>16657</v>
      </c>
      <c r="J845" t="s">
        <v>23</v>
      </c>
      <c r="L845" t="s">
        <v>7048</v>
      </c>
      <c r="M845" t="s">
        <v>8091</v>
      </c>
      <c r="N845" t="s">
        <v>8092</v>
      </c>
      <c r="O845" t="s">
        <v>8093</v>
      </c>
      <c r="P845" t="s">
        <v>8094</v>
      </c>
      <c r="Q845" t="s">
        <v>8095</v>
      </c>
      <c r="R845" t="s">
        <v>7054</v>
      </c>
      <c r="S845" t="s">
        <v>7055</v>
      </c>
      <c r="T845" t="s">
        <v>7056</v>
      </c>
      <c r="U845" s="5">
        <v>3373.19</v>
      </c>
      <c r="V845" s="5">
        <v>304.64</v>
      </c>
      <c r="W845" s="5">
        <v>16.426506</v>
      </c>
      <c r="X845" s="5">
        <v>107.65190800000001</v>
      </c>
      <c r="Y845" s="5">
        <v>3068.55</v>
      </c>
      <c r="Z845" s="5">
        <v>16.449480999999999</v>
      </c>
      <c r="AA845" s="5">
        <v>107.62788500000001</v>
      </c>
      <c r="AB845" s="7">
        <f t="shared" si="79"/>
        <v>0.45695999999999998</v>
      </c>
      <c r="AC845" s="7">
        <f t="shared" si="80"/>
        <v>4.6028250000000011</v>
      </c>
      <c r="AD845" s="6" t="str">
        <f t="shared" si="81"/>
        <v>TTCMKV_Ring 1_Hương Thủy</v>
      </c>
      <c r="AE845" s="6" t="str">
        <f t="shared" si="82"/>
        <v>CAT Huế mới</v>
      </c>
      <c r="AG845">
        <f t="shared" si="83"/>
        <v>0.30463999999999997</v>
      </c>
      <c r="AH845">
        <f t="shared" si="84"/>
        <v>3.0685500000000001</v>
      </c>
    </row>
    <row r="846" spans="1:34" x14ac:dyDescent="0.25">
      <c r="A846" t="s">
        <v>8096</v>
      </c>
      <c r="B846" t="s">
        <v>8097</v>
      </c>
      <c r="C846" t="s">
        <v>8098</v>
      </c>
      <c r="D846" t="s">
        <v>7043</v>
      </c>
      <c r="E846" t="s">
        <v>7044</v>
      </c>
      <c r="F846" t="s">
        <v>8099</v>
      </c>
      <c r="G846" t="s">
        <v>15827</v>
      </c>
      <c r="H846" t="s">
        <v>16230</v>
      </c>
      <c r="I846" t="s">
        <v>16658</v>
      </c>
      <c r="J846" t="s">
        <v>23</v>
      </c>
      <c r="L846" t="s">
        <v>7474</v>
      </c>
      <c r="M846" t="s">
        <v>8100</v>
      </c>
      <c r="N846" t="s">
        <v>8101</v>
      </c>
      <c r="O846" t="s">
        <v>8102</v>
      </c>
      <c r="P846" t="s">
        <v>8103</v>
      </c>
      <c r="Q846" t="s">
        <v>8104</v>
      </c>
      <c r="R846" t="s">
        <v>8105</v>
      </c>
      <c r="S846" t="s">
        <v>8106</v>
      </c>
      <c r="T846" t="s">
        <v>8107</v>
      </c>
      <c r="U846" s="5">
        <v>207.23</v>
      </c>
      <c r="V846" s="5">
        <v>132.15</v>
      </c>
      <c r="W846" s="5">
        <v>16.412330000000001</v>
      </c>
      <c r="X846" s="5">
        <v>107.673615</v>
      </c>
      <c r="Y846" s="5">
        <v>75.08</v>
      </c>
      <c r="Z846" s="5">
        <v>16.408631</v>
      </c>
      <c r="AA846" s="5">
        <v>107.68102</v>
      </c>
      <c r="AB846" s="7">
        <f t="shared" si="79"/>
        <v>0.19822500000000001</v>
      </c>
      <c r="AC846" s="7">
        <f t="shared" si="80"/>
        <v>0.11262</v>
      </c>
      <c r="AD846" s="6" t="str">
        <f t="shared" si="81"/>
        <v>Ring 2 Phú Xuân</v>
      </c>
      <c r="AE846" s="6" t="str">
        <f t="shared" si="82"/>
        <v>Hương Thủy</v>
      </c>
      <c r="AG846">
        <f t="shared" si="83"/>
        <v>0.13215000000000002</v>
      </c>
      <c r="AH846">
        <f t="shared" si="84"/>
        <v>7.5079999999999994E-2</v>
      </c>
    </row>
    <row r="847" spans="1:34" x14ac:dyDescent="0.25">
      <c r="A847" t="s">
        <v>8108</v>
      </c>
      <c r="B847" t="s">
        <v>8109</v>
      </c>
      <c r="C847" t="s">
        <v>8110</v>
      </c>
      <c r="D847" t="s">
        <v>7013</v>
      </c>
      <c r="E847" t="s">
        <v>7014</v>
      </c>
      <c r="F847" t="s">
        <v>8111</v>
      </c>
      <c r="G847" t="s">
        <v>15827</v>
      </c>
      <c r="H847" t="s">
        <v>16230</v>
      </c>
      <c r="I847" t="s">
        <v>16659</v>
      </c>
      <c r="J847" t="s">
        <v>23</v>
      </c>
      <c r="L847" t="s">
        <v>7753</v>
      </c>
      <c r="M847" t="s">
        <v>8112</v>
      </c>
      <c r="N847" t="s">
        <v>8113</v>
      </c>
      <c r="O847" t="s">
        <v>8114</v>
      </c>
      <c r="P847" t="s">
        <v>8115</v>
      </c>
      <c r="Q847" t="s">
        <v>8116</v>
      </c>
      <c r="R847" t="s">
        <v>8117</v>
      </c>
      <c r="S847" t="s">
        <v>8118</v>
      </c>
      <c r="T847" t="s">
        <v>7761</v>
      </c>
      <c r="U847" s="5">
        <v>5198.95</v>
      </c>
      <c r="V847" s="5">
        <v>53.01</v>
      </c>
      <c r="W847" s="5">
        <v>16.526153999999998</v>
      </c>
      <c r="X847" s="5">
        <v>107.702167</v>
      </c>
      <c r="Y847" s="5">
        <v>5145.9399999999996</v>
      </c>
      <c r="Z847" s="5">
        <v>16.471926</v>
      </c>
      <c r="AA847" s="5">
        <v>107.751434</v>
      </c>
      <c r="AB847" s="7">
        <f t="shared" si="79"/>
        <v>7.9515000000000002E-2</v>
      </c>
      <c r="AC847" s="7">
        <f t="shared" si="80"/>
        <v>7.7189100000000002</v>
      </c>
      <c r="AD847" s="6" t="str">
        <f t="shared" si="81"/>
        <v>Ring 8 Thuận An</v>
      </c>
      <c r="AE847" s="6" t="str">
        <f t="shared" si="82"/>
        <v>TTCMKV Phú Vang</v>
      </c>
      <c r="AG847">
        <f t="shared" si="83"/>
        <v>5.3009999999999995E-2</v>
      </c>
      <c r="AH847">
        <f t="shared" si="84"/>
        <v>5.1459399999999995</v>
      </c>
    </row>
    <row r="848" spans="1:34" x14ac:dyDescent="0.25">
      <c r="A848" t="s">
        <v>8119</v>
      </c>
      <c r="B848" t="s">
        <v>8120</v>
      </c>
      <c r="C848" t="s">
        <v>8121</v>
      </c>
      <c r="D848" t="s">
        <v>7345</v>
      </c>
      <c r="E848" t="s">
        <v>7346</v>
      </c>
      <c r="F848" t="s">
        <v>8122</v>
      </c>
      <c r="G848" t="s">
        <v>15827</v>
      </c>
      <c r="H848" t="s">
        <v>16230</v>
      </c>
      <c r="I848" t="s">
        <v>16660</v>
      </c>
      <c r="J848" t="s">
        <v>23</v>
      </c>
      <c r="L848" t="s">
        <v>8123</v>
      </c>
      <c r="M848" t="s">
        <v>8124</v>
      </c>
      <c r="N848" t="s">
        <v>8125</v>
      </c>
      <c r="O848" t="s">
        <v>8126</v>
      </c>
      <c r="P848" t="s">
        <v>8127</v>
      </c>
      <c r="Q848" t="s">
        <v>8128</v>
      </c>
      <c r="R848" t="s">
        <v>8129</v>
      </c>
      <c r="S848" t="s">
        <v>8130</v>
      </c>
      <c r="T848" t="s">
        <v>8131</v>
      </c>
      <c r="U848" s="5">
        <v>108.71</v>
      </c>
      <c r="V848" s="5">
        <v>94.82</v>
      </c>
      <c r="W848" s="5">
        <v>16.492583</v>
      </c>
      <c r="X848" s="5">
        <v>107.6056</v>
      </c>
      <c r="Y848" s="5">
        <v>13.89</v>
      </c>
      <c r="Z848" s="5">
        <v>16.512819</v>
      </c>
      <c r="AA848" s="5">
        <v>107.599738</v>
      </c>
      <c r="AB848" s="7">
        <f t="shared" si="79"/>
        <v>0.14223</v>
      </c>
      <c r="AC848" s="7">
        <f t="shared" si="80"/>
        <v>2.0834999999999999E-2</v>
      </c>
      <c r="AD848" s="6" t="str">
        <f t="shared" si="81"/>
        <v>Ring 8 CAT Thừa Thiên Huế</v>
      </c>
      <c r="AE848" s="6" t="str">
        <f t="shared" si="82"/>
        <v>Dương Nỗ</v>
      </c>
      <c r="AG848">
        <f t="shared" si="83"/>
        <v>9.4819999999999988E-2</v>
      </c>
      <c r="AH848">
        <f t="shared" si="84"/>
        <v>1.3890000000000001E-2</v>
      </c>
    </row>
    <row r="849" spans="1:34" x14ac:dyDescent="0.25">
      <c r="A849" t="s">
        <v>8132</v>
      </c>
      <c r="B849" t="s">
        <v>8133</v>
      </c>
      <c r="C849" t="s">
        <v>8134</v>
      </c>
      <c r="D849" t="s">
        <v>7318</v>
      </c>
      <c r="E849" t="s">
        <v>7319</v>
      </c>
      <c r="F849" t="s">
        <v>8135</v>
      </c>
      <c r="G849" t="s">
        <v>15827</v>
      </c>
      <c r="H849" t="s">
        <v>16230</v>
      </c>
      <c r="I849" t="s">
        <v>16661</v>
      </c>
      <c r="J849" t="s">
        <v>23</v>
      </c>
      <c r="L849" t="s">
        <v>7500</v>
      </c>
      <c r="M849" t="s">
        <v>8136</v>
      </c>
      <c r="N849" t="s">
        <v>8137</v>
      </c>
      <c r="O849" t="s">
        <v>8138</v>
      </c>
      <c r="P849" t="s">
        <v>8139</v>
      </c>
      <c r="Q849" t="s">
        <v>7505</v>
      </c>
      <c r="R849" t="s">
        <v>7506</v>
      </c>
      <c r="S849" t="s">
        <v>7507</v>
      </c>
      <c r="T849" t="s">
        <v>7508</v>
      </c>
      <c r="U849" s="5">
        <v>97.13</v>
      </c>
      <c r="V849" s="5">
        <v>78.92</v>
      </c>
      <c r="W849" s="5">
        <v>16.558935999999999</v>
      </c>
      <c r="X849" s="5">
        <v>107.529976</v>
      </c>
      <c r="Y849" s="5">
        <v>18.2</v>
      </c>
      <c r="Z849" s="5">
        <v>16.554478</v>
      </c>
      <c r="AA849" s="5">
        <v>107.58055</v>
      </c>
      <c r="AB849" s="7">
        <f t="shared" si="79"/>
        <v>0.11838</v>
      </c>
      <c r="AC849" s="7">
        <f t="shared" si="80"/>
        <v>2.7299999999999998E-2</v>
      </c>
      <c r="AD849" s="6" t="str">
        <f t="shared" si="81"/>
        <v>Ring 7 TTCMKV Quảng Điền</v>
      </c>
      <c r="AE849" s="6" t="str">
        <f t="shared" si="82"/>
        <v>Hóa Châu</v>
      </c>
      <c r="AG849">
        <f t="shared" si="83"/>
        <v>7.8920000000000004E-2</v>
      </c>
      <c r="AH849">
        <f t="shared" si="84"/>
        <v>1.8200000000000001E-2</v>
      </c>
    </row>
    <row r="850" spans="1:34" x14ac:dyDescent="0.25">
      <c r="A850" t="s">
        <v>8140</v>
      </c>
      <c r="B850" t="s">
        <v>8141</v>
      </c>
      <c r="C850" t="s">
        <v>8142</v>
      </c>
      <c r="D850" t="s">
        <v>8143</v>
      </c>
      <c r="E850" t="s">
        <v>8144</v>
      </c>
      <c r="F850" t="s">
        <v>8145</v>
      </c>
      <c r="G850" t="s">
        <v>15827</v>
      </c>
      <c r="H850" t="s">
        <v>15828</v>
      </c>
      <c r="I850" t="s">
        <v>16662</v>
      </c>
      <c r="J850" t="s">
        <v>23</v>
      </c>
      <c r="L850" t="s">
        <v>8146</v>
      </c>
      <c r="M850" t="s">
        <v>8147</v>
      </c>
      <c r="N850" t="s">
        <v>8148</v>
      </c>
      <c r="O850" t="s">
        <v>8149</v>
      </c>
      <c r="P850" t="s">
        <v>8150</v>
      </c>
      <c r="Q850" t="s">
        <v>8151</v>
      </c>
      <c r="R850" t="s">
        <v>8152</v>
      </c>
      <c r="S850" t="s">
        <v>8153</v>
      </c>
      <c r="T850" t="s">
        <v>8154</v>
      </c>
      <c r="U850" s="5">
        <v>2472.34</v>
      </c>
      <c r="V850" s="5">
        <v>2321.14</v>
      </c>
      <c r="W850" s="5">
        <v>13.021641000000001</v>
      </c>
      <c r="X850" s="5">
        <v>109.280637</v>
      </c>
      <c r="Y850" s="5">
        <v>151.21</v>
      </c>
      <c r="Z850" s="5">
        <v>12.983107</v>
      </c>
      <c r="AA850" s="5">
        <v>109.095792</v>
      </c>
      <c r="AB850" s="7">
        <f t="shared" si="79"/>
        <v>3.4817100000000001</v>
      </c>
      <c r="AC850" s="7">
        <f t="shared" si="80"/>
        <v>0.22681499999999999</v>
      </c>
      <c r="AD850" s="6" t="str">
        <f t="shared" si="81"/>
        <v>ILA Sơn Thành</v>
      </c>
      <c r="AE850" s="6" t="str">
        <f t="shared" si="82"/>
        <v>TT2 Đăk Lăk (Tuy Hòa)</v>
      </c>
      <c r="AG850">
        <f t="shared" si="83"/>
        <v>2.3211399999999998</v>
      </c>
      <c r="AH850">
        <f t="shared" si="84"/>
        <v>0.15121000000000001</v>
      </c>
    </row>
    <row r="851" spans="1:34" x14ac:dyDescent="0.25">
      <c r="A851" t="s">
        <v>8155</v>
      </c>
      <c r="B851" t="s">
        <v>8143</v>
      </c>
      <c r="C851" t="s">
        <v>8144</v>
      </c>
      <c r="D851" t="s">
        <v>8156</v>
      </c>
      <c r="E851" t="s">
        <v>8157</v>
      </c>
      <c r="F851" t="s">
        <v>8158</v>
      </c>
      <c r="G851" t="s">
        <v>15827</v>
      </c>
      <c r="H851" t="s">
        <v>15828</v>
      </c>
      <c r="I851" t="s">
        <v>16663</v>
      </c>
      <c r="J851" t="s">
        <v>23</v>
      </c>
      <c r="L851" t="s">
        <v>8146</v>
      </c>
      <c r="M851" t="s">
        <v>8159</v>
      </c>
      <c r="N851" t="s">
        <v>8151</v>
      </c>
      <c r="O851" t="s">
        <v>8152</v>
      </c>
      <c r="P851" t="s">
        <v>8153</v>
      </c>
      <c r="Q851" t="s">
        <v>8160</v>
      </c>
      <c r="R851" t="s">
        <v>8149</v>
      </c>
      <c r="S851" t="s">
        <v>8150</v>
      </c>
      <c r="T851" t="s">
        <v>8154</v>
      </c>
      <c r="U851" s="5">
        <v>8389.08</v>
      </c>
      <c r="V851" s="5">
        <v>151.21</v>
      </c>
      <c r="W851" s="5">
        <v>12.983107</v>
      </c>
      <c r="X851" s="5">
        <v>109.095792</v>
      </c>
      <c r="Y851" s="5">
        <v>8237.8700000000008</v>
      </c>
      <c r="Z851" s="5">
        <v>13.021641000000001</v>
      </c>
      <c r="AA851" s="5">
        <v>109.280637</v>
      </c>
      <c r="AB851" s="7">
        <f t="shared" si="79"/>
        <v>0.22681499999999999</v>
      </c>
      <c r="AC851" s="7">
        <f t="shared" si="80"/>
        <v>12.356805</v>
      </c>
      <c r="AD851" s="6" t="str">
        <f t="shared" si="81"/>
        <v>ILA Sơn Thành</v>
      </c>
      <c r="AE851" s="6" t="str">
        <f t="shared" si="82"/>
        <v>TT2 Đăk Lăk (Tuy Hòa)</v>
      </c>
      <c r="AG851">
        <f t="shared" si="83"/>
        <v>0.15121000000000001</v>
      </c>
      <c r="AH851">
        <f t="shared" si="84"/>
        <v>8.2378700000000009</v>
      </c>
    </row>
    <row r="852" spans="1:34" x14ac:dyDescent="0.25">
      <c r="A852" t="s">
        <v>8161</v>
      </c>
      <c r="B852" t="s">
        <v>8162</v>
      </c>
      <c r="C852" t="s">
        <v>8163</v>
      </c>
      <c r="D852" t="s">
        <v>8164</v>
      </c>
      <c r="E852" t="s">
        <v>8165</v>
      </c>
      <c r="F852" t="s">
        <v>8166</v>
      </c>
      <c r="G852" t="s">
        <v>15827</v>
      </c>
      <c r="H852" t="s">
        <v>15828</v>
      </c>
      <c r="I852" t="s">
        <v>16664</v>
      </c>
      <c r="J852" t="s">
        <v>23</v>
      </c>
      <c r="L852" t="s">
        <v>8167</v>
      </c>
      <c r="M852" t="s">
        <v>8168</v>
      </c>
      <c r="N852" t="s">
        <v>8169</v>
      </c>
      <c r="O852" t="s">
        <v>8170</v>
      </c>
      <c r="P852" t="s">
        <v>8171</v>
      </c>
      <c r="Q852" t="s">
        <v>8172</v>
      </c>
      <c r="R852" t="s">
        <v>8173</v>
      </c>
      <c r="S852" t="s">
        <v>8174</v>
      </c>
      <c r="T852" t="s">
        <v>8175</v>
      </c>
      <c r="U852" s="5">
        <v>1023.35</v>
      </c>
      <c r="V852" s="5">
        <v>196.77</v>
      </c>
      <c r="W852" s="5">
        <v>13.064997</v>
      </c>
      <c r="X852" s="5">
        <v>109.02645800000001</v>
      </c>
      <c r="Y852" s="5">
        <v>826.58</v>
      </c>
      <c r="Z852" s="5">
        <v>13.017182999999999</v>
      </c>
      <c r="AA852" s="5">
        <v>109.202381</v>
      </c>
      <c r="AB852" s="7">
        <f t="shared" si="79"/>
        <v>0.29515500000000006</v>
      </c>
      <c r="AC852" s="7">
        <f t="shared" si="80"/>
        <v>1.23987</v>
      </c>
      <c r="AD852" s="6" t="str">
        <f t="shared" si="81"/>
        <v>ILA Sông Hinh</v>
      </c>
      <c r="AE852" s="6" t="str">
        <f t="shared" si="82"/>
        <v>TT2 Đăk Lăk (Tuy Hòa)</v>
      </c>
      <c r="AG852">
        <f t="shared" si="83"/>
        <v>0.19677</v>
      </c>
      <c r="AH852">
        <f t="shared" si="84"/>
        <v>0.82658000000000009</v>
      </c>
    </row>
    <row r="853" spans="1:34" x14ac:dyDescent="0.25">
      <c r="A853" t="s">
        <v>8176</v>
      </c>
      <c r="B853" t="s">
        <v>8164</v>
      </c>
      <c r="C853" t="s">
        <v>8165</v>
      </c>
      <c r="D853" t="s">
        <v>8156</v>
      </c>
      <c r="E853" t="s">
        <v>8157</v>
      </c>
      <c r="F853" t="s">
        <v>8177</v>
      </c>
      <c r="G853" t="s">
        <v>15827</v>
      </c>
      <c r="H853" t="s">
        <v>15828</v>
      </c>
      <c r="I853" t="s">
        <v>16665</v>
      </c>
      <c r="J853" t="s">
        <v>23</v>
      </c>
      <c r="L853" t="s">
        <v>8178</v>
      </c>
      <c r="M853" t="s">
        <v>8179</v>
      </c>
      <c r="N853" t="s">
        <v>8180</v>
      </c>
      <c r="O853" t="s">
        <v>8181</v>
      </c>
      <c r="P853" t="s">
        <v>8182</v>
      </c>
      <c r="Q853" t="s">
        <v>8183</v>
      </c>
      <c r="R853" t="s">
        <v>8184</v>
      </c>
      <c r="S853" t="s">
        <v>8185</v>
      </c>
      <c r="T853" t="s">
        <v>8186</v>
      </c>
      <c r="U853" s="5">
        <v>5411.44</v>
      </c>
      <c r="V853" s="5">
        <v>533.28</v>
      </c>
      <c r="W853" s="5">
        <v>13.018408000000001</v>
      </c>
      <c r="X853" s="5">
        <v>109.20801899999999</v>
      </c>
      <c r="Y853" s="5">
        <v>4878.16</v>
      </c>
      <c r="Z853" s="5">
        <v>13.063355</v>
      </c>
      <c r="AA853" s="5">
        <v>109.26153100000001</v>
      </c>
      <c r="AB853" s="7">
        <f t="shared" si="79"/>
        <v>0.79991999999999996</v>
      </c>
      <c r="AC853" s="7">
        <f t="shared" si="80"/>
        <v>7.31724</v>
      </c>
      <c r="AD853" s="6" t="str">
        <f t="shared" si="81"/>
        <v>Tuy Hòa</v>
      </c>
      <c r="AE853" s="6" t="str">
        <f t="shared" si="82"/>
        <v>Sơn Hòa</v>
      </c>
      <c r="AG853">
        <f t="shared" si="83"/>
        <v>0.53327999999999998</v>
      </c>
      <c r="AH853">
        <f t="shared" si="84"/>
        <v>4.8781600000000003</v>
      </c>
    </row>
    <row r="854" spans="1:34" x14ac:dyDescent="0.25">
      <c r="A854" t="s">
        <v>8187</v>
      </c>
      <c r="B854" t="s">
        <v>8188</v>
      </c>
      <c r="C854" t="s">
        <v>8189</v>
      </c>
      <c r="D854" t="s">
        <v>8190</v>
      </c>
      <c r="E854" t="s">
        <v>8191</v>
      </c>
      <c r="F854" t="s">
        <v>8192</v>
      </c>
      <c r="G854" t="s">
        <v>15827</v>
      </c>
      <c r="H854" t="s">
        <v>15828</v>
      </c>
      <c r="I854" t="s">
        <v>16666</v>
      </c>
      <c r="J854" t="s">
        <v>23</v>
      </c>
      <c r="L854" t="s">
        <v>8193</v>
      </c>
      <c r="M854" t="s">
        <v>8194</v>
      </c>
      <c r="N854" t="s">
        <v>8195</v>
      </c>
      <c r="O854" t="s">
        <v>8196</v>
      </c>
      <c r="P854" t="s">
        <v>8197</v>
      </c>
      <c r="Q854" t="s">
        <v>8198</v>
      </c>
      <c r="R854" t="s">
        <v>8199</v>
      </c>
      <c r="S854" t="s">
        <v>8200</v>
      </c>
      <c r="T854" t="s">
        <v>8201</v>
      </c>
      <c r="U854" s="5">
        <v>367.94</v>
      </c>
      <c r="V854" s="5">
        <v>234.35</v>
      </c>
      <c r="W854" s="5">
        <v>13.203866</v>
      </c>
      <c r="X854" s="5">
        <v>109.269097</v>
      </c>
      <c r="Y854" s="5">
        <v>133.6</v>
      </c>
      <c r="Z854" s="5">
        <v>13.308895</v>
      </c>
      <c r="AA854" s="5">
        <v>109.214591</v>
      </c>
      <c r="AB854" s="7">
        <f t="shared" si="79"/>
        <v>0.35152499999999998</v>
      </c>
      <c r="AC854" s="7">
        <f t="shared" si="80"/>
        <v>0.20039999999999997</v>
      </c>
      <c r="AD854" s="6" t="str">
        <f t="shared" si="81"/>
        <v>Sông Cầu</v>
      </c>
      <c r="AE854" s="6" t="str">
        <f t="shared" si="82"/>
        <v>TT2 Tuy Hòa</v>
      </c>
      <c r="AG854">
        <f t="shared" si="83"/>
        <v>0.23435</v>
      </c>
      <c r="AH854">
        <f t="shared" si="84"/>
        <v>0.1336</v>
      </c>
    </row>
    <row r="855" spans="1:34" x14ac:dyDescent="0.25">
      <c r="A855" t="s">
        <v>8202</v>
      </c>
      <c r="B855" t="s">
        <v>8190</v>
      </c>
      <c r="C855" t="s">
        <v>8191</v>
      </c>
      <c r="D855" t="s">
        <v>8203</v>
      </c>
      <c r="E855" t="s">
        <v>8204</v>
      </c>
      <c r="F855" t="s">
        <v>8205</v>
      </c>
      <c r="G855" t="s">
        <v>15827</v>
      </c>
      <c r="H855" t="s">
        <v>15828</v>
      </c>
      <c r="I855" t="s">
        <v>16667</v>
      </c>
      <c r="J855" t="s">
        <v>23</v>
      </c>
      <c r="L855" t="s">
        <v>8206</v>
      </c>
      <c r="M855" t="s">
        <v>8207</v>
      </c>
      <c r="N855" t="s">
        <v>8208</v>
      </c>
      <c r="O855" t="s">
        <v>8209</v>
      </c>
      <c r="P855" t="s">
        <v>8210</v>
      </c>
      <c r="Q855" t="s">
        <v>8211</v>
      </c>
      <c r="R855" t="s">
        <v>8212</v>
      </c>
      <c r="S855" t="s">
        <v>8213</v>
      </c>
      <c r="T855" t="s">
        <v>8214</v>
      </c>
      <c r="U855" s="5">
        <v>3838.71</v>
      </c>
      <c r="V855" s="5">
        <v>61.31</v>
      </c>
      <c r="W855" s="5">
        <v>13.307845</v>
      </c>
      <c r="X855" s="5">
        <v>109.215296</v>
      </c>
      <c r="Y855" s="5">
        <v>3777.4</v>
      </c>
      <c r="Z855" s="5">
        <v>13.366142</v>
      </c>
      <c r="AA855" s="5">
        <v>109.14108</v>
      </c>
      <c r="AB855" s="7">
        <f t="shared" si="79"/>
        <v>9.1965000000000005E-2</v>
      </c>
      <c r="AC855" s="7">
        <f t="shared" si="80"/>
        <v>5.6661000000000001</v>
      </c>
      <c r="AD855" s="6" t="str">
        <f t="shared" si="81"/>
        <v>Xuân Đài</v>
      </c>
      <c r="AE855" s="6" t="str">
        <f t="shared" si="82"/>
        <v>Tuy An Bắc</v>
      </c>
      <c r="AG855">
        <f t="shared" si="83"/>
        <v>6.1310000000000003E-2</v>
      </c>
      <c r="AH855">
        <f t="shared" si="84"/>
        <v>3.7774000000000001</v>
      </c>
    </row>
    <row r="856" spans="1:34" x14ac:dyDescent="0.25">
      <c r="A856" t="s">
        <v>8215</v>
      </c>
      <c r="B856" t="s">
        <v>8203</v>
      </c>
      <c r="C856" t="s">
        <v>8204</v>
      </c>
      <c r="D856" t="s">
        <v>8216</v>
      </c>
      <c r="E856" t="s">
        <v>8217</v>
      </c>
      <c r="F856" t="s">
        <v>8218</v>
      </c>
      <c r="G856" t="s">
        <v>15827</v>
      </c>
      <c r="H856" t="s">
        <v>15828</v>
      </c>
      <c r="I856" t="s">
        <v>16668</v>
      </c>
      <c r="J856" t="s">
        <v>23</v>
      </c>
      <c r="L856" t="s">
        <v>8219</v>
      </c>
      <c r="M856" t="s">
        <v>8220</v>
      </c>
      <c r="N856" t="s">
        <v>8221</v>
      </c>
      <c r="O856" t="s">
        <v>8222</v>
      </c>
      <c r="P856" t="s">
        <v>8223</v>
      </c>
      <c r="Q856" t="s">
        <v>8224</v>
      </c>
      <c r="R856" t="s">
        <v>8225</v>
      </c>
      <c r="S856" t="s">
        <v>8226</v>
      </c>
      <c r="T856" t="s">
        <v>8227</v>
      </c>
      <c r="U856" s="5">
        <v>12956.23</v>
      </c>
      <c r="V856" s="5">
        <v>2136.63</v>
      </c>
      <c r="W856" s="5">
        <v>13.361313000000001</v>
      </c>
      <c r="X856" s="5">
        <v>109.097143</v>
      </c>
      <c r="Y856" s="5">
        <v>10819.6</v>
      </c>
      <c r="Z856" s="5">
        <v>13.301634999999999</v>
      </c>
      <c r="AA856" s="5">
        <v>109.07319</v>
      </c>
      <c r="AB856" s="7">
        <f t="shared" si="79"/>
        <v>3.2049450000000004</v>
      </c>
      <c r="AC856" s="7">
        <f t="shared" si="80"/>
        <v>16.229400000000002</v>
      </c>
      <c r="AD856" s="6" t="str">
        <f t="shared" si="81"/>
        <v>CAX Sơn Định (Sơn Hòa)</v>
      </c>
      <c r="AE856" s="6" t="str">
        <f t="shared" si="82"/>
        <v>Đồng Xuân</v>
      </c>
      <c r="AG856">
        <f t="shared" si="83"/>
        <v>2.1366300000000003</v>
      </c>
      <c r="AH856">
        <f t="shared" si="84"/>
        <v>10.819600000000001</v>
      </c>
    </row>
    <row r="857" spans="1:34" x14ac:dyDescent="0.25">
      <c r="A857" t="s">
        <v>8228</v>
      </c>
      <c r="B857" t="s">
        <v>8216</v>
      </c>
      <c r="C857" t="s">
        <v>8217</v>
      </c>
      <c r="D857" t="s">
        <v>8156</v>
      </c>
      <c r="E857" t="s">
        <v>8157</v>
      </c>
      <c r="F857" t="s">
        <v>8229</v>
      </c>
      <c r="G857" t="s">
        <v>15827</v>
      </c>
      <c r="H857" t="s">
        <v>15828</v>
      </c>
      <c r="I857" t="s">
        <v>16669</v>
      </c>
      <c r="J857" t="s">
        <v>23</v>
      </c>
      <c r="L857" t="s">
        <v>8230</v>
      </c>
      <c r="M857" t="s">
        <v>8231</v>
      </c>
      <c r="N857" t="s">
        <v>8232</v>
      </c>
      <c r="O857" t="s">
        <v>8233</v>
      </c>
      <c r="P857" t="s">
        <v>8234</v>
      </c>
      <c r="Q857" t="s">
        <v>8235</v>
      </c>
      <c r="R857" t="s">
        <v>8236</v>
      </c>
      <c r="S857" t="s">
        <v>8237</v>
      </c>
      <c r="T857" t="s">
        <v>8238</v>
      </c>
      <c r="U857" s="5">
        <v>19263.05</v>
      </c>
      <c r="V857" s="5">
        <v>98.5</v>
      </c>
      <c r="W857" s="5">
        <v>13.20501</v>
      </c>
      <c r="X857" s="5">
        <v>109.064284</v>
      </c>
      <c r="Y857" s="5">
        <v>19164.55</v>
      </c>
      <c r="Z857" s="5">
        <v>13.163214</v>
      </c>
      <c r="AA857" s="5">
        <v>109.13059</v>
      </c>
      <c r="AB857" s="7">
        <f t="shared" si="79"/>
        <v>0.14774999999999999</v>
      </c>
      <c r="AC857" s="7">
        <f t="shared" si="80"/>
        <v>28.746824999999998</v>
      </c>
      <c r="AD857" s="6" t="str">
        <f t="shared" si="81"/>
        <v>Xuân Phước</v>
      </c>
      <c r="AE857" s="6" t="str">
        <f t="shared" si="82"/>
        <v>Vân Hòa</v>
      </c>
      <c r="AG857">
        <f t="shared" si="83"/>
        <v>9.8500000000000004E-2</v>
      </c>
      <c r="AH857">
        <f t="shared" si="84"/>
        <v>19.164549999999998</v>
      </c>
    </row>
    <row r="858" spans="1:34" x14ac:dyDescent="0.25">
      <c r="A858" t="s">
        <v>8239</v>
      </c>
      <c r="B858" t="s">
        <v>8240</v>
      </c>
      <c r="C858" t="s">
        <v>8241</v>
      </c>
      <c r="D858" t="s">
        <v>8242</v>
      </c>
      <c r="E858" t="s">
        <v>8243</v>
      </c>
      <c r="F858" t="s">
        <v>8244</v>
      </c>
      <c r="G858" t="s">
        <v>15827</v>
      </c>
      <c r="H858" t="s">
        <v>15828</v>
      </c>
      <c r="I858" t="s">
        <v>16670</v>
      </c>
      <c r="J858" t="s">
        <v>23</v>
      </c>
      <c r="L858" t="s">
        <v>8245</v>
      </c>
      <c r="M858" t="s">
        <v>8246</v>
      </c>
      <c r="N858" t="s">
        <v>8247</v>
      </c>
      <c r="O858" t="s">
        <v>8248</v>
      </c>
      <c r="P858" t="s">
        <v>8249</v>
      </c>
      <c r="Q858" t="s">
        <v>8250</v>
      </c>
      <c r="R858" t="s">
        <v>8251</v>
      </c>
      <c r="S858" t="s">
        <v>8252</v>
      </c>
      <c r="T858" t="s">
        <v>8253</v>
      </c>
      <c r="U858" s="5">
        <v>322.97000000000003</v>
      </c>
      <c r="V858" s="5">
        <v>220.97</v>
      </c>
      <c r="W858" s="5">
        <v>12.976203999999999</v>
      </c>
      <c r="X858" s="5">
        <v>108.24108099999999</v>
      </c>
      <c r="Y858" s="5">
        <v>102</v>
      </c>
      <c r="Z858" s="5">
        <v>12.970822</v>
      </c>
      <c r="AA858" s="5">
        <v>108.244495</v>
      </c>
      <c r="AB858" s="7">
        <f t="shared" si="79"/>
        <v>0.331455</v>
      </c>
      <c r="AC858" s="7">
        <f t="shared" si="80"/>
        <v>0.153</v>
      </c>
      <c r="AD858" s="6" t="str">
        <f t="shared" si="81"/>
        <v>Buôn Hồ</v>
      </c>
      <c r="AE858" s="6" t="str">
        <f t="shared" si="82"/>
        <v>Ea H'Leo</v>
      </c>
      <c r="AG858">
        <f t="shared" si="83"/>
        <v>0.22097</v>
      </c>
      <c r="AH858">
        <f t="shared" si="84"/>
        <v>0.10199999999999999</v>
      </c>
    </row>
    <row r="859" spans="1:34" x14ac:dyDescent="0.25">
      <c r="A859" t="s">
        <v>8254</v>
      </c>
      <c r="B859" t="s">
        <v>8255</v>
      </c>
      <c r="C859" t="s">
        <v>8256</v>
      </c>
      <c r="D859" t="s">
        <v>8257</v>
      </c>
      <c r="E859" t="s">
        <v>8258</v>
      </c>
      <c r="F859" t="s">
        <v>8259</v>
      </c>
      <c r="G859" t="s">
        <v>15827</v>
      </c>
      <c r="H859" t="s">
        <v>15828</v>
      </c>
      <c r="I859" t="s">
        <v>16671</v>
      </c>
      <c r="J859" t="s">
        <v>23</v>
      </c>
      <c r="L859" t="s">
        <v>8260</v>
      </c>
      <c r="M859" t="s">
        <v>8261</v>
      </c>
      <c r="N859" t="s">
        <v>8262</v>
      </c>
      <c r="O859" t="s">
        <v>8263</v>
      </c>
      <c r="P859" t="s">
        <v>8264</v>
      </c>
      <c r="Q859" t="s">
        <v>8265</v>
      </c>
      <c r="R859" t="s">
        <v>8266</v>
      </c>
      <c r="S859" t="s">
        <v>8267</v>
      </c>
      <c r="T859" t="s">
        <v>8268</v>
      </c>
      <c r="U859" s="5">
        <v>2602.67</v>
      </c>
      <c r="V859" s="5">
        <v>2478.59</v>
      </c>
      <c r="W859" s="5">
        <v>12.651996</v>
      </c>
      <c r="X859" s="5">
        <v>108.101606</v>
      </c>
      <c r="Y859" s="5">
        <v>124.09</v>
      </c>
      <c r="Z859" s="5">
        <v>12.653543000000001</v>
      </c>
      <c r="AA859" s="5">
        <v>108.107871</v>
      </c>
      <c r="AB859" s="7">
        <f t="shared" si="79"/>
        <v>3.7178850000000003</v>
      </c>
      <c r="AC859" s="7">
        <f t="shared" si="80"/>
        <v>0.18613499999999999</v>
      </c>
      <c r="AD859" s="6" t="str">
        <f t="shared" si="81"/>
        <v>CAT Đắk Lắk</v>
      </c>
      <c r="AE859" s="6" t="str">
        <f t="shared" si="82"/>
        <v>Tân Lập</v>
      </c>
      <c r="AG859">
        <f t="shared" si="83"/>
        <v>2.4785900000000001</v>
      </c>
      <c r="AH859">
        <f t="shared" si="84"/>
        <v>0.12409000000000001</v>
      </c>
    </row>
    <row r="860" spans="1:34" x14ac:dyDescent="0.25">
      <c r="A860" t="s">
        <v>8269</v>
      </c>
      <c r="B860" t="s">
        <v>8270</v>
      </c>
      <c r="C860" t="s">
        <v>8271</v>
      </c>
      <c r="D860" t="s">
        <v>8272</v>
      </c>
      <c r="E860" t="s">
        <v>8273</v>
      </c>
      <c r="F860" t="s">
        <v>8274</v>
      </c>
      <c r="G860" t="s">
        <v>15827</v>
      </c>
      <c r="H860" t="s">
        <v>15828</v>
      </c>
      <c r="I860" t="s">
        <v>16672</v>
      </c>
      <c r="J860" t="s">
        <v>23</v>
      </c>
      <c r="L860" t="s">
        <v>8275</v>
      </c>
      <c r="M860" t="s">
        <v>8276</v>
      </c>
      <c r="N860" t="s">
        <v>8277</v>
      </c>
      <c r="O860" t="s">
        <v>8278</v>
      </c>
      <c r="P860" t="s">
        <v>8279</v>
      </c>
      <c r="Q860" t="s">
        <v>8280</v>
      </c>
      <c r="R860" t="s">
        <v>8281</v>
      </c>
      <c r="S860" t="s">
        <v>8282</v>
      </c>
      <c r="T860" t="s">
        <v>8283</v>
      </c>
      <c r="U860" s="5">
        <v>41.73</v>
      </c>
      <c r="V860" s="5">
        <v>20.57</v>
      </c>
      <c r="W860" s="5">
        <v>12.697198999999999</v>
      </c>
      <c r="X860" s="5">
        <v>108.072289</v>
      </c>
      <c r="Y860" s="5">
        <v>21.17</v>
      </c>
      <c r="Z860" s="5">
        <v>12.696991000000001</v>
      </c>
      <c r="AA860" s="5">
        <v>108.072281</v>
      </c>
      <c r="AB860" s="7">
        <f t="shared" si="79"/>
        <v>3.0855E-2</v>
      </c>
      <c r="AC860" s="7">
        <f t="shared" si="80"/>
        <v>3.1755000000000005E-2</v>
      </c>
      <c r="AD860" s="6" t="str">
        <f t="shared" si="81"/>
        <v>Tân An</v>
      </c>
      <c r="AE860" s="6" t="str">
        <f t="shared" si="82"/>
        <v>Cuôr Đăng</v>
      </c>
      <c r="AG860">
        <f t="shared" si="83"/>
        <v>2.0570000000000001E-2</v>
      </c>
      <c r="AH860">
        <f t="shared" si="84"/>
        <v>2.1170000000000001E-2</v>
      </c>
    </row>
    <row r="861" spans="1:34" x14ac:dyDescent="0.25">
      <c r="A861" t="s">
        <v>8284</v>
      </c>
      <c r="B861" t="s">
        <v>8285</v>
      </c>
      <c r="C861" t="s">
        <v>8286</v>
      </c>
      <c r="D861" t="s">
        <v>8257</v>
      </c>
      <c r="E861" t="s">
        <v>8258</v>
      </c>
      <c r="F861" t="s">
        <v>8287</v>
      </c>
      <c r="G861" t="s">
        <v>15827</v>
      </c>
      <c r="H861" t="s">
        <v>15828</v>
      </c>
      <c r="I861" t="s">
        <v>16673</v>
      </c>
      <c r="J861" t="s">
        <v>23</v>
      </c>
      <c r="L861" t="s">
        <v>8288</v>
      </c>
      <c r="M861" t="s">
        <v>8289</v>
      </c>
      <c r="N861" t="s">
        <v>8290</v>
      </c>
      <c r="O861" t="s">
        <v>8291</v>
      </c>
      <c r="P861" t="s">
        <v>8292</v>
      </c>
      <c r="Q861" t="s">
        <v>8293</v>
      </c>
      <c r="R861" t="s">
        <v>8294</v>
      </c>
      <c r="S861" t="s">
        <v>8295</v>
      </c>
      <c r="T861" t="s">
        <v>8296</v>
      </c>
      <c r="U861" s="5">
        <v>446.98</v>
      </c>
      <c r="V861" s="5">
        <v>328</v>
      </c>
      <c r="W861" s="5">
        <v>12.668918</v>
      </c>
      <c r="X861" s="5">
        <v>108.097835</v>
      </c>
      <c r="Y861" s="5">
        <v>118.99</v>
      </c>
      <c r="Z861" s="5">
        <v>12.655568000000001</v>
      </c>
      <c r="AA861" s="5">
        <v>108.107465</v>
      </c>
      <c r="AB861" s="7">
        <f t="shared" si="79"/>
        <v>0.49199999999999999</v>
      </c>
      <c r="AC861" s="7">
        <f t="shared" si="80"/>
        <v>0.17848499999999998</v>
      </c>
      <c r="AD861" s="6" t="str">
        <f t="shared" si="81"/>
        <v>Tân Lập</v>
      </c>
      <c r="AE861" s="6" t="str">
        <f t="shared" si="82"/>
        <v>Ea Knuec</v>
      </c>
      <c r="AG861">
        <f t="shared" si="83"/>
        <v>0.32800000000000001</v>
      </c>
      <c r="AH861">
        <f t="shared" si="84"/>
        <v>0.11899</v>
      </c>
    </row>
    <row r="862" spans="1:34" x14ac:dyDescent="0.25">
      <c r="A862" t="s">
        <v>8297</v>
      </c>
      <c r="B862" t="s">
        <v>8298</v>
      </c>
      <c r="C862" t="s">
        <v>8299</v>
      </c>
      <c r="D862" t="s">
        <v>8300</v>
      </c>
      <c r="E862" t="s">
        <v>8301</v>
      </c>
      <c r="F862" t="s">
        <v>8302</v>
      </c>
      <c r="G862" t="s">
        <v>15827</v>
      </c>
      <c r="H862" t="s">
        <v>15828</v>
      </c>
      <c r="I862" t="s">
        <v>16674</v>
      </c>
      <c r="J862" t="s">
        <v>23</v>
      </c>
      <c r="L862" t="s">
        <v>8303</v>
      </c>
      <c r="M862" t="s">
        <v>8304</v>
      </c>
      <c r="N862" t="s">
        <v>8305</v>
      </c>
      <c r="O862" t="s">
        <v>8306</v>
      </c>
      <c r="P862" t="s">
        <v>8307</v>
      </c>
      <c r="Q862" t="s">
        <v>8308</v>
      </c>
      <c r="R862" t="s">
        <v>8309</v>
      </c>
      <c r="S862" t="s">
        <v>8310</v>
      </c>
      <c r="T862" t="s">
        <v>8311</v>
      </c>
      <c r="U862" s="5">
        <v>2604.9299999999998</v>
      </c>
      <c r="V862" s="5">
        <v>2332.11</v>
      </c>
      <c r="W862" s="5">
        <v>13.132066</v>
      </c>
      <c r="X862" s="5">
        <v>108.325123</v>
      </c>
      <c r="Y862" s="5">
        <v>272.81</v>
      </c>
      <c r="Z862" s="5">
        <v>13.118876999999999</v>
      </c>
      <c r="AA862" s="5">
        <v>108.329477</v>
      </c>
      <c r="AB862" s="7">
        <f t="shared" si="79"/>
        <v>3.4981649999999997</v>
      </c>
      <c r="AC862" s="7">
        <f t="shared" si="80"/>
        <v>0.40921500000000005</v>
      </c>
      <c r="AD862" s="6" t="e">
        <f t="shared" si="81"/>
        <v>#VALUE!</v>
      </c>
      <c r="AE862" s="6" t="e">
        <f t="shared" si="82"/>
        <v>#VALUE!</v>
      </c>
      <c r="AG862">
        <f t="shared" si="83"/>
        <v>2.3321100000000001</v>
      </c>
      <c r="AH862">
        <f t="shared" si="84"/>
        <v>0.27281</v>
      </c>
    </row>
    <row r="863" spans="1:34" x14ac:dyDescent="0.25">
      <c r="A863" t="s">
        <v>8312</v>
      </c>
      <c r="B863" t="s">
        <v>8313</v>
      </c>
      <c r="C863" t="s">
        <v>8314</v>
      </c>
      <c r="D863" t="s">
        <v>8315</v>
      </c>
      <c r="E863" t="s">
        <v>8316</v>
      </c>
      <c r="F863" t="s">
        <v>8317</v>
      </c>
      <c r="G863" t="s">
        <v>15827</v>
      </c>
      <c r="H863" t="s">
        <v>15828</v>
      </c>
      <c r="I863" t="s">
        <v>16675</v>
      </c>
      <c r="J863" t="s">
        <v>23</v>
      </c>
      <c r="L863" t="s">
        <v>8318</v>
      </c>
      <c r="M863" t="s">
        <v>8319</v>
      </c>
      <c r="N863" t="s">
        <v>8320</v>
      </c>
      <c r="O863" t="s">
        <v>8321</v>
      </c>
      <c r="P863" t="s">
        <v>8322</v>
      </c>
      <c r="Q863" t="s">
        <v>8323</v>
      </c>
      <c r="R863" t="s">
        <v>8324</v>
      </c>
      <c r="S863" t="s">
        <v>8325</v>
      </c>
      <c r="T863" t="s">
        <v>8326</v>
      </c>
      <c r="U863" s="5">
        <v>865.89</v>
      </c>
      <c r="V863" s="5">
        <v>39.79</v>
      </c>
      <c r="W863" s="5">
        <v>13.043096</v>
      </c>
      <c r="X863" s="5">
        <v>108.193259</v>
      </c>
      <c r="Y863" s="5">
        <v>826.1</v>
      </c>
      <c r="Z863" s="5">
        <v>13.043447</v>
      </c>
      <c r="AA863" s="5">
        <v>108.212785</v>
      </c>
      <c r="AB863" s="7">
        <f t="shared" si="79"/>
        <v>5.9685000000000002E-2</v>
      </c>
      <c r="AC863" s="7">
        <f t="shared" si="80"/>
        <v>1.2391500000000002</v>
      </c>
      <c r="AD863" s="6" t="e">
        <f t="shared" si="81"/>
        <v>#VALUE!</v>
      </c>
      <c r="AE863" s="6" t="e">
        <f t="shared" si="82"/>
        <v>#VALUE!</v>
      </c>
      <c r="AG863">
        <f t="shared" si="83"/>
        <v>3.9789999999999999E-2</v>
      </c>
      <c r="AH863">
        <f t="shared" si="84"/>
        <v>0.82610000000000006</v>
      </c>
    </row>
    <row r="864" spans="1:34" x14ac:dyDescent="0.25">
      <c r="A864" t="s">
        <v>8327</v>
      </c>
      <c r="B864" t="s">
        <v>8328</v>
      </c>
      <c r="C864" t="s">
        <v>8329</v>
      </c>
      <c r="D864" t="s">
        <v>8257</v>
      </c>
      <c r="E864" t="s">
        <v>8258</v>
      </c>
      <c r="F864" t="s">
        <v>8330</v>
      </c>
      <c r="G864" t="s">
        <v>15827</v>
      </c>
      <c r="H864" t="s">
        <v>15828</v>
      </c>
      <c r="I864" t="s">
        <v>16676</v>
      </c>
      <c r="J864" t="s">
        <v>23</v>
      </c>
      <c r="L864" t="s">
        <v>8260</v>
      </c>
      <c r="M864" t="s">
        <v>8331</v>
      </c>
      <c r="N864" t="s">
        <v>8332</v>
      </c>
      <c r="O864" t="s">
        <v>8333</v>
      </c>
      <c r="P864" t="s">
        <v>8334</v>
      </c>
      <c r="Q864" t="s">
        <v>8335</v>
      </c>
      <c r="R864" t="s">
        <v>8336</v>
      </c>
      <c r="S864" t="s">
        <v>8337</v>
      </c>
      <c r="T864" t="s">
        <v>8338</v>
      </c>
      <c r="U864" s="5">
        <v>1653.43</v>
      </c>
      <c r="V864" s="5">
        <v>1644.17</v>
      </c>
      <c r="W864" s="5">
        <v>12.654529</v>
      </c>
      <c r="X864" s="5">
        <v>108.10768899999999</v>
      </c>
      <c r="Y864" s="5">
        <v>9.25</v>
      </c>
      <c r="Z864" s="5">
        <v>12.654432999999999</v>
      </c>
      <c r="AA864" s="5">
        <v>108.107332</v>
      </c>
      <c r="AB864" s="7">
        <f t="shared" si="79"/>
        <v>2.4662550000000003</v>
      </c>
      <c r="AC864" s="7">
        <f t="shared" si="80"/>
        <v>1.3875E-2</v>
      </c>
      <c r="AD864" s="6" t="str">
        <f t="shared" si="81"/>
        <v>CAT Đắk Lắk</v>
      </c>
      <c r="AE864" s="6" t="str">
        <f t="shared" si="82"/>
        <v>Tân Lập</v>
      </c>
      <c r="AG864">
        <f t="shared" si="83"/>
        <v>1.6441700000000001</v>
      </c>
      <c r="AH864">
        <f t="shared" si="84"/>
        <v>9.2499999999999995E-3</v>
      </c>
    </row>
    <row r="865" spans="1:34" x14ac:dyDescent="0.25">
      <c r="A865" t="s">
        <v>8339</v>
      </c>
      <c r="B865" t="s">
        <v>8340</v>
      </c>
      <c r="C865" t="s">
        <v>8341</v>
      </c>
      <c r="D865" t="s">
        <v>8342</v>
      </c>
      <c r="E865" t="s">
        <v>8343</v>
      </c>
      <c r="F865" t="s">
        <v>8344</v>
      </c>
      <c r="G865" t="s">
        <v>15827</v>
      </c>
      <c r="H865" t="s">
        <v>15828</v>
      </c>
      <c r="I865" t="s">
        <v>16677</v>
      </c>
      <c r="J865" t="s">
        <v>23</v>
      </c>
      <c r="L865" t="s">
        <v>8345</v>
      </c>
      <c r="M865" t="s">
        <v>8346</v>
      </c>
      <c r="N865" t="s">
        <v>8347</v>
      </c>
      <c r="O865" t="s">
        <v>8348</v>
      </c>
      <c r="P865" t="s">
        <v>8349</v>
      </c>
      <c r="Q865" t="s">
        <v>8350</v>
      </c>
      <c r="R865" t="s">
        <v>8351</v>
      </c>
      <c r="S865" t="s">
        <v>8352</v>
      </c>
      <c r="T865" t="s">
        <v>8353</v>
      </c>
      <c r="U865" s="5">
        <v>118.57</v>
      </c>
      <c r="V865" s="5">
        <v>82.58</v>
      </c>
      <c r="W865" s="5">
        <v>12.951738000000001</v>
      </c>
      <c r="X865" s="5">
        <v>108.34278399999999</v>
      </c>
      <c r="Y865" s="5">
        <v>35.99</v>
      </c>
      <c r="Z865" s="5">
        <v>12.951675</v>
      </c>
      <c r="AA865" s="5">
        <v>108.344356</v>
      </c>
      <c r="AB865" s="7">
        <f t="shared" si="79"/>
        <v>0.12387000000000001</v>
      </c>
      <c r="AC865" s="7">
        <f t="shared" si="80"/>
        <v>5.3984999999999998E-2</v>
      </c>
      <c r="AD865" s="6" t="e">
        <f t="shared" si="81"/>
        <v>#VALUE!</v>
      </c>
      <c r="AE865" s="6" t="e">
        <f t="shared" si="82"/>
        <v>#VALUE!</v>
      </c>
      <c r="AG865">
        <f t="shared" si="83"/>
        <v>8.2580000000000001E-2</v>
      </c>
      <c r="AH865">
        <f t="shared" si="84"/>
        <v>3.5990000000000001E-2</v>
      </c>
    </row>
    <row r="866" spans="1:34" x14ac:dyDescent="0.25">
      <c r="A866" t="s">
        <v>8354</v>
      </c>
      <c r="B866" t="s">
        <v>8355</v>
      </c>
      <c r="C866" t="s">
        <v>8356</v>
      </c>
      <c r="D866" t="s">
        <v>8357</v>
      </c>
      <c r="E866" t="s">
        <v>8358</v>
      </c>
      <c r="F866" t="s">
        <v>8359</v>
      </c>
      <c r="G866" t="s">
        <v>15827</v>
      </c>
      <c r="H866" t="s">
        <v>15828</v>
      </c>
      <c r="I866" t="s">
        <v>16678</v>
      </c>
      <c r="J866" t="s">
        <v>23</v>
      </c>
      <c r="L866" t="s">
        <v>8360</v>
      </c>
      <c r="M866" t="s">
        <v>8361</v>
      </c>
      <c r="N866" t="s">
        <v>8362</v>
      </c>
      <c r="O866" t="s">
        <v>8363</v>
      </c>
      <c r="P866" t="s">
        <v>8364</v>
      </c>
      <c r="Q866" t="s">
        <v>8365</v>
      </c>
      <c r="R866" t="s">
        <v>8366</v>
      </c>
      <c r="S866" t="s">
        <v>8367</v>
      </c>
      <c r="T866" t="s">
        <v>8368</v>
      </c>
      <c r="U866" s="5">
        <v>3053.22</v>
      </c>
      <c r="V866" s="5">
        <v>2975.67</v>
      </c>
      <c r="W866" s="5">
        <v>12.858968000000001</v>
      </c>
      <c r="X866" s="5">
        <v>107.96449200000001</v>
      </c>
      <c r="Y866" s="5">
        <v>77.55</v>
      </c>
      <c r="Z866" s="5">
        <v>12.860792</v>
      </c>
      <c r="AA866" s="5">
        <v>107.964518</v>
      </c>
      <c r="AB866" s="7">
        <f t="shared" si="79"/>
        <v>4.4635050000000005</v>
      </c>
      <c r="AC866" s="7">
        <f t="shared" si="80"/>
        <v>0.11632499999999998</v>
      </c>
      <c r="AD866" s="6" t="str">
        <f t="shared" si="81"/>
        <v>Quảng Phú</v>
      </c>
      <c r="AE866" s="6" t="str">
        <f t="shared" si="82"/>
        <v>Ea M’Droh</v>
      </c>
      <c r="AG866">
        <f t="shared" si="83"/>
        <v>2.97567</v>
      </c>
      <c r="AH866">
        <f t="shared" si="84"/>
        <v>7.7549999999999994E-2</v>
      </c>
    </row>
    <row r="867" spans="1:34" x14ac:dyDescent="0.25">
      <c r="A867" t="s">
        <v>8369</v>
      </c>
      <c r="B867" t="s">
        <v>8370</v>
      </c>
      <c r="C867" t="s">
        <v>8371</v>
      </c>
      <c r="D867" t="s">
        <v>8372</v>
      </c>
      <c r="E867" t="s">
        <v>8373</v>
      </c>
      <c r="F867" t="s">
        <v>8374</v>
      </c>
      <c r="G867" t="s">
        <v>15827</v>
      </c>
      <c r="H867" t="s">
        <v>15828</v>
      </c>
      <c r="I867" t="s">
        <v>16679</v>
      </c>
      <c r="J867" t="s">
        <v>23</v>
      </c>
      <c r="L867" t="s">
        <v>8375</v>
      </c>
      <c r="M867" t="s">
        <v>8376</v>
      </c>
      <c r="N867" t="s">
        <v>8377</v>
      </c>
      <c r="O867" t="s">
        <v>8378</v>
      </c>
      <c r="P867" t="s">
        <v>8379</v>
      </c>
      <c r="Q867" t="s">
        <v>8380</v>
      </c>
      <c r="R867" t="s">
        <v>8381</v>
      </c>
      <c r="S867" t="s">
        <v>8382</v>
      </c>
      <c r="T867" t="s">
        <v>8383</v>
      </c>
      <c r="U867" s="5">
        <v>1733.38</v>
      </c>
      <c r="V867" s="5">
        <v>1616.38</v>
      </c>
      <c r="W867" s="5">
        <v>12.861891999999999</v>
      </c>
      <c r="X867" s="5">
        <v>108.106399</v>
      </c>
      <c r="Y867" s="5">
        <v>117.01</v>
      </c>
      <c r="Z867" s="5">
        <v>12.853419000000001</v>
      </c>
      <c r="AA867" s="5">
        <v>108.10435699999999</v>
      </c>
      <c r="AB867" s="7">
        <f t="shared" si="79"/>
        <v>2.4245700000000001</v>
      </c>
      <c r="AC867" s="7">
        <f t="shared" si="80"/>
        <v>0.175515</v>
      </c>
      <c r="AD867" s="6" t="str">
        <f t="shared" si="81"/>
        <v>Cư M'ga</v>
      </c>
      <c r="AE867" s="6" t="str">
        <f t="shared" si="82"/>
        <v>Buôn Hồ</v>
      </c>
      <c r="AG867">
        <f t="shared" si="83"/>
        <v>1.6163800000000001</v>
      </c>
      <c r="AH867">
        <f t="shared" si="84"/>
        <v>0.11701</v>
      </c>
    </row>
    <row r="868" spans="1:34" x14ac:dyDescent="0.25">
      <c r="A868" t="s">
        <v>8384</v>
      </c>
      <c r="B868" t="s">
        <v>8385</v>
      </c>
      <c r="C868" t="s">
        <v>8386</v>
      </c>
      <c r="D868" t="s">
        <v>8387</v>
      </c>
      <c r="E868" t="s">
        <v>8388</v>
      </c>
      <c r="F868" t="s">
        <v>8389</v>
      </c>
      <c r="G868" t="s">
        <v>15827</v>
      </c>
      <c r="H868" t="s">
        <v>15828</v>
      </c>
      <c r="I868" t="s">
        <v>16680</v>
      </c>
      <c r="J868" t="s">
        <v>23</v>
      </c>
      <c r="L868" t="s">
        <v>8390</v>
      </c>
      <c r="M868" t="s">
        <v>8391</v>
      </c>
      <c r="N868" t="s">
        <v>8392</v>
      </c>
      <c r="O868" t="s">
        <v>8393</v>
      </c>
      <c r="P868" t="s">
        <v>8394</v>
      </c>
      <c r="Q868" t="s">
        <v>8395</v>
      </c>
      <c r="R868" t="s">
        <v>8396</v>
      </c>
      <c r="S868" t="s">
        <v>8397</v>
      </c>
      <c r="T868" t="s">
        <v>8398</v>
      </c>
      <c r="U868" s="5">
        <v>1016.45</v>
      </c>
      <c r="V868" s="5">
        <v>965.45</v>
      </c>
      <c r="W868" s="5">
        <v>13.245972999999999</v>
      </c>
      <c r="X868" s="5">
        <v>108.29644500000001</v>
      </c>
      <c r="Y868" s="5">
        <v>51</v>
      </c>
      <c r="Z868" s="5">
        <v>13.266173</v>
      </c>
      <c r="AA868" s="5">
        <v>108.28749500000001</v>
      </c>
      <c r="AB868" s="7">
        <f t="shared" si="79"/>
        <v>1.4481750000000002</v>
      </c>
      <c r="AC868" s="7">
        <f t="shared" si="80"/>
        <v>7.6499999999999999E-2</v>
      </c>
      <c r="AD868" s="6" t="e">
        <f t="shared" si="81"/>
        <v>#VALUE!</v>
      </c>
      <c r="AE868" s="6" t="e">
        <f t="shared" si="82"/>
        <v>#VALUE!</v>
      </c>
      <c r="AG868">
        <f t="shared" si="83"/>
        <v>0.96545000000000003</v>
      </c>
      <c r="AH868">
        <f t="shared" si="84"/>
        <v>5.0999999999999997E-2</v>
      </c>
    </row>
    <row r="869" spans="1:34" x14ac:dyDescent="0.25">
      <c r="A869" t="s">
        <v>8399</v>
      </c>
      <c r="B869" t="s">
        <v>8400</v>
      </c>
      <c r="C869" t="s">
        <v>8401</v>
      </c>
      <c r="D869" t="s">
        <v>8357</v>
      </c>
      <c r="E869" t="s">
        <v>8358</v>
      </c>
      <c r="F869" t="s">
        <v>8402</v>
      </c>
      <c r="G869" t="s">
        <v>15827</v>
      </c>
      <c r="H869" t="s">
        <v>15828</v>
      </c>
      <c r="I869" t="s">
        <v>16681</v>
      </c>
      <c r="J869" t="s">
        <v>23</v>
      </c>
      <c r="L869" t="s">
        <v>8360</v>
      </c>
      <c r="M869" t="s">
        <v>8403</v>
      </c>
      <c r="N869" t="s">
        <v>8404</v>
      </c>
      <c r="O869" t="s">
        <v>8405</v>
      </c>
      <c r="P869" t="s">
        <v>8406</v>
      </c>
      <c r="Q869" t="s">
        <v>8407</v>
      </c>
      <c r="R869" t="s">
        <v>8408</v>
      </c>
      <c r="S869" t="s">
        <v>8409</v>
      </c>
      <c r="T869" t="s">
        <v>8410</v>
      </c>
      <c r="U869" s="5">
        <v>4539.8599999999997</v>
      </c>
      <c r="V869" s="5">
        <v>4491</v>
      </c>
      <c r="W869" s="5">
        <v>12.861238</v>
      </c>
      <c r="X869" s="5">
        <v>107.964528</v>
      </c>
      <c r="Y869" s="5">
        <v>48.86</v>
      </c>
      <c r="Z869" s="5">
        <v>12.861019000000001</v>
      </c>
      <c r="AA869" s="5">
        <v>107.96522299999999</v>
      </c>
      <c r="AB869" s="7">
        <f t="shared" si="79"/>
        <v>6.7365000000000004</v>
      </c>
      <c r="AC869" s="7">
        <f t="shared" si="80"/>
        <v>7.3289999999999994E-2</v>
      </c>
      <c r="AD869" s="6" t="str">
        <f t="shared" si="81"/>
        <v>Quảng Phú</v>
      </c>
      <c r="AE869" s="6" t="str">
        <f t="shared" si="82"/>
        <v>Ea M’Droh</v>
      </c>
      <c r="AG869">
        <f t="shared" si="83"/>
        <v>4.4909999999999997</v>
      </c>
      <c r="AH869">
        <f t="shared" si="84"/>
        <v>4.8860000000000001E-2</v>
      </c>
    </row>
    <row r="870" spans="1:34" x14ac:dyDescent="0.25">
      <c r="A870" t="s">
        <v>8411</v>
      </c>
      <c r="B870" t="s">
        <v>8412</v>
      </c>
      <c r="C870" t="s">
        <v>8413</v>
      </c>
      <c r="D870" t="s">
        <v>8414</v>
      </c>
      <c r="E870" t="s">
        <v>8415</v>
      </c>
      <c r="F870" t="s">
        <v>8416</v>
      </c>
      <c r="G870" t="s">
        <v>15827</v>
      </c>
      <c r="H870" t="s">
        <v>15828</v>
      </c>
      <c r="I870" t="s">
        <v>16682</v>
      </c>
      <c r="J870" t="s">
        <v>23</v>
      </c>
      <c r="L870" t="s">
        <v>8417</v>
      </c>
      <c r="M870" t="s">
        <v>8418</v>
      </c>
      <c r="N870" t="s">
        <v>8419</v>
      </c>
      <c r="O870" t="s">
        <v>8420</v>
      </c>
      <c r="P870" t="s">
        <v>8421</v>
      </c>
      <c r="Q870" t="s">
        <v>8422</v>
      </c>
      <c r="R870" t="s">
        <v>8423</v>
      </c>
      <c r="S870" t="s">
        <v>8424</v>
      </c>
      <c r="T870" t="s">
        <v>8425</v>
      </c>
      <c r="U870" s="5">
        <v>211.52</v>
      </c>
      <c r="V870" s="5">
        <v>153.57</v>
      </c>
      <c r="W870" s="5">
        <v>12.909005000000001</v>
      </c>
      <c r="X870" s="5">
        <v>108.266229</v>
      </c>
      <c r="Y870" s="5">
        <v>57.95</v>
      </c>
      <c r="Z870" s="5">
        <v>12.916482999999999</v>
      </c>
      <c r="AA870" s="5">
        <v>108.26607</v>
      </c>
      <c r="AB870" s="7">
        <f t="shared" si="79"/>
        <v>0.23035499999999998</v>
      </c>
      <c r="AC870" s="7">
        <f t="shared" si="80"/>
        <v>8.6925000000000016E-2</v>
      </c>
      <c r="AD870" s="6" t="e">
        <f t="shared" si="81"/>
        <v>#VALUE!</v>
      </c>
      <c r="AE870" s="6" t="e">
        <f t="shared" si="82"/>
        <v>#VALUE!</v>
      </c>
      <c r="AG870">
        <f t="shared" si="83"/>
        <v>0.15356999999999998</v>
      </c>
      <c r="AH870">
        <f t="shared" si="84"/>
        <v>5.7950000000000002E-2</v>
      </c>
    </row>
    <row r="871" spans="1:34" x14ac:dyDescent="0.25">
      <c r="A871" t="s">
        <v>8426</v>
      </c>
      <c r="B871" t="s">
        <v>8427</v>
      </c>
      <c r="C871" t="s">
        <v>8428</v>
      </c>
      <c r="D871" t="s">
        <v>8429</v>
      </c>
      <c r="E871" t="s">
        <v>8430</v>
      </c>
      <c r="F871" t="s">
        <v>8431</v>
      </c>
      <c r="G871" t="s">
        <v>15827</v>
      </c>
      <c r="H871" t="s">
        <v>15828</v>
      </c>
      <c r="I871" t="s">
        <v>16683</v>
      </c>
      <c r="J871" t="s">
        <v>23</v>
      </c>
      <c r="L871" t="s">
        <v>8432</v>
      </c>
      <c r="M871" t="s">
        <v>8433</v>
      </c>
      <c r="N871" t="s">
        <v>8434</v>
      </c>
      <c r="O871" t="s">
        <v>8435</v>
      </c>
      <c r="P871" t="s">
        <v>8436</v>
      </c>
      <c r="Q871" t="s">
        <v>8437</v>
      </c>
      <c r="R871" t="s">
        <v>8438</v>
      </c>
      <c r="S871" t="s">
        <v>8439</v>
      </c>
      <c r="T871" t="s">
        <v>8440</v>
      </c>
      <c r="U871" s="5">
        <v>91981.11</v>
      </c>
      <c r="V871" s="5">
        <v>1359.62</v>
      </c>
      <c r="W871" s="5">
        <v>12.690893000000001</v>
      </c>
      <c r="X871" s="5">
        <v>108.06744999999999</v>
      </c>
      <c r="Y871" s="5">
        <v>90621.49</v>
      </c>
      <c r="Z871" s="5">
        <v>12.811565999999999</v>
      </c>
      <c r="AA871" s="5">
        <v>108.483311</v>
      </c>
      <c r="AB871" s="7">
        <f t="shared" si="79"/>
        <v>2.0394299999999999</v>
      </c>
      <c r="AC871" s="7">
        <f t="shared" si="80"/>
        <v>135.93223500000002</v>
      </c>
      <c r="AD871" s="6" t="str">
        <f t="shared" si="81"/>
        <v>TT1 Đăk Lăk</v>
      </c>
      <c r="AE871" s="6" t="str">
        <f t="shared" si="82"/>
        <v>ILA Ea Kar</v>
      </c>
      <c r="AG871">
        <f t="shared" si="83"/>
        <v>1.3596199999999998</v>
      </c>
      <c r="AH871">
        <f t="shared" si="84"/>
        <v>90.621490000000009</v>
      </c>
    </row>
    <row r="872" spans="1:34" x14ac:dyDescent="0.25">
      <c r="A872" t="s">
        <v>8441</v>
      </c>
      <c r="B872" t="s">
        <v>8442</v>
      </c>
      <c r="C872" t="s">
        <v>8443</v>
      </c>
      <c r="D872" t="s">
        <v>8444</v>
      </c>
      <c r="E872" t="s">
        <v>8445</v>
      </c>
      <c r="F872" t="s">
        <v>8446</v>
      </c>
      <c r="G872" t="s">
        <v>15827</v>
      </c>
      <c r="H872" t="s">
        <v>15828</v>
      </c>
      <c r="I872" t="s">
        <v>16684</v>
      </c>
      <c r="J872" t="s">
        <v>23</v>
      </c>
      <c r="L872" t="s">
        <v>8447</v>
      </c>
      <c r="M872" t="s">
        <v>8448</v>
      </c>
      <c r="N872" t="s">
        <v>8449</v>
      </c>
      <c r="O872" t="s">
        <v>8450</v>
      </c>
      <c r="P872" t="s">
        <v>8451</v>
      </c>
      <c r="Q872" t="s">
        <v>8452</v>
      </c>
      <c r="R872" t="s">
        <v>8453</v>
      </c>
      <c r="S872" t="s">
        <v>8454</v>
      </c>
      <c r="T872" t="s">
        <v>8455</v>
      </c>
      <c r="U872" s="5">
        <v>844.35</v>
      </c>
      <c r="V872" s="5">
        <v>775.9</v>
      </c>
      <c r="W872" s="5">
        <v>12.682520999999999</v>
      </c>
      <c r="X872" s="5">
        <v>108.01187</v>
      </c>
      <c r="Y872" s="5">
        <v>68.45</v>
      </c>
      <c r="Z872" s="5">
        <v>12.682445</v>
      </c>
      <c r="AA872" s="5">
        <v>108.016256</v>
      </c>
      <c r="AB872" s="7">
        <f t="shared" si="79"/>
        <v>1.1638499999999998</v>
      </c>
      <c r="AC872" s="7">
        <f t="shared" si="80"/>
        <v>0.10267500000000002</v>
      </c>
      <c r="AD872" s="6" t="str">
        <f t="shared" si="81"/>
        <v>Thành Nhất</v>
      </c>
      <c r="AE872" s="6" t="str">
        <f t="shared" si="82"/>
        <v>Ea Nuôl</v>
      </c>
      <c r="AG872">
        <f t="shared" si="83"/>
        <v>0.77589999999999992</v>
      </c>
      <c r="AH872">
        <f t="shared" si="84"/>
        <v>6.8449999999999997E-2</v>
      </c>
    </row>
    <row r="873" spans="1:34" x14ac:dyDescent="0.25">
      <c r="A873" t="s">
        <v>8456</v>
      </c>
      <c r="B873" t="s">
        <v>8457</v>
      </c>
      <c r="C873" t="s">
        <v>8458</v>
      </c>
      <c r="D873" t="s">
        <v>8459</v>
      </c>
      <c r="E873" t="s">
        <v>8460</v>
      </c>
      <c r="F873" t="s">
        <v>8461</v>
      </c>
      <c r="G873" t="s">
        <v>15827</v>
      </c>
      <c r="H873" t="s">
        <v>15828</v>
      </c>
      <c r="I873" t="s">
        <v>16685</v>
      </c>
      <c r="J873" t="s">
        <v>23</v>
      </c>
      <c r="L873" t="s">
        <v>8432</v>
      </c>
      <c r="M873" t="s">
        <v>8462</v>
      </c>
      <c r="N873" t="s">
        <v>8463</v>
      </c>
      <c r="O873" t="s">
        <v>8435</v>
      </c>
      <c r="P873" t="s">
        <v>8436</v>
      </c>
      <c r="Q873" t="s">
        <v>8464</v>
      </c>
      <c r="R873" t="s">
        <v>8438</v>
      </c>
      <c r="S873" t="s">
        <v>8439</v>
      </c>
      <c r="T873" t="s">
        <v>8440</v>
      </c>
      <c r="U873" s="5">
        <v>97510.54</v>
      </c>
      <c r="V873" s="5">
        <v>3004.72</v>
      </c>
      <c r="W873" s="5">
        <v>12.690893000000001</v>
      </c>
      <c r="X873" s="5">
        <v>108.06744999999999</v>
      </c>
      <c r="Y873" s="5">
        <v>94505.82</v>
      </c>
      <c r="Z873" s="5">
        <v>12.811565999999999</v>
      </c>
      <c r="AA873" s="5">
        <v>108.483311</v>
      </c>
      <c r="AB873" s="7">
        <f t="shared" si="79"/>
        <v>4.5070800000000002</v>
      </c>
      <c r="AC873" s="7">
        <f t="shared" si="80"/>
        <v>141.75873000000001</v>
      </c>
      <c r="AD873" s="6" t="str">
        <f t="shared" si="81"/>
        <v>TT1 Đăk Lăk</v>
      </c>
      <c r="AE873" s="6" t="str">
        <f t="shared" si="82"/>
        <v>ILA Ea Kar</v>
      </c>
      <c r="AG873">
        <f t="shared" si="83"/>
        <v>3.0047199999999998</v>
      </c>
      <c r="AH873">
        <f t="shared" si="84"/>
        <v>94.50582</v>
      </c>
    </row>
    <row r="874" spans="1:34" x14ac:dyDescent="0.25">
      <c r="A874" t="s">
        <v>8465</v>
      </c>
      <c r="B874" t="s">
        <v>8466</v>
      </c>
      <c r="C874" t="s">
        <v>8467</v>
      </c>
      <c r="D874" t="s">
        <v>8272</v>
      </c>
      <c r="E874" t="s">
        <v>8273</v>
      </c>
      <c r="F874" t="s">
        <v>8468</v>
      </c>
      <c r="G874" t="s">
        <v>15827</v>
      </c>
      <c r="H874" t="s">
        <v>15828</v>
      </c>
      <c r="I874" t="s">
        <v>16686</v>
      </c>
      <c r="J874" t="s">
        <v>23</v>
      </c>
      <c r="L874" t="s">
        <v>8432</v>
      </c>
      <c r="M874" t="s">
        <v>8469</v>
      </c>
      <c r="N874" t="s">
        <v>8470</v>
      </c>
      <c r="O874" t="s">
        <v>8471</v>
      </c>
      <c r="P874" t="s">
        <v>8472</v>
      </c>
      <c r="Q874" t="s">
        <v>8473</v>
      </c>
      <c r="R874" t="s">
        <v>8474</v>
      </c>
      <c r="S874" t="s">
        <v>8475</v>
      </c>
      <c r="T874" t="s">
        <v>8440</v>
      </c>
      <c r="U874" s="5">
        <v>277.89</v>
      </c>
      <c r="V874" s="5">
        <v>244.3</v>
      </c>
      <c r="W874" s="5">
        <v>12.706446</v>
      </c>
      <c r="X874" s="5">
        <v>108.080821</v>
      </c>
      <c r="Y874" s="5">
        <v>33.590000000000003</v>
      </c>
      <c r="Z874" s="5">
        <v>12.697137</v>
      </c>
      <c r="AA874" s="5">
        <v>108.07234200000001</v>
      </c>
      <c r="AB874" s="7">
        <f t="shared" si="79"/>
        <v>0.36645000000000005</v>
      </c>
      <c r="AC874" s="7">
        <f t="shared" si="80"/>
        <v>5.0385000000000006E-2</v>
      </c>
      <c r="AD874" s="6" t="str">
        <f t="shared" si="81"/>
        <v>TT1 Đăk Lăk</v>
      </c>
      <c r="AE874" s="6" t="str">
        <f t="shared" si="82"/>
        <v>ILA Ea Kar</v>
      </c>
      <c r="AG874">
        <f t="shared" si="83"/>
        <v>0.24430000000000002</v>
      </c>
      <c r="AH874">
        <f t="shared" si="84"/>
        <v>3.3590000000000002E-2</v>
      </c>
    </row>
    <row r="875" spans="1:34" x14ac:dyDescent="0.25">
      <c r="A875" t="s">
        <v>8476</v>
      </c>
      <c r="B875" t="s">
        <v>8477</v>
      </c>
      <c r="C875" t="s">
        <v>8478</v>
      </c>
      <c r="D875" t="s">
        <v>8372</v>
      </c>
      <c r="E875" t="s">
        <v>8373</v>
      </c>
      <c r="F875" t="s">
        <v>8479</v>
      </c>
      <c r="G875" t="s">
        <v>15827</v>
      </c>
      <c r="H875" t="s">
        <v>15828</v>
      </c>
      <c r="I875" t="s">
        <v>16687</v>
      </c>
      <c r="J875" t="s">
        <v>23</v>
      </c>
      <c r="L875" t="s">
        <v>8375</v>
      </c>
      <c r="M875" t="s">
        <v>8480</v>
      </c>
      <c r="N875" t="s">
        <v>8481</v>
      </c>
      <c r="O875" t="s">
        <v>8482</v>
      </c>
      <c r="P875" t="s">
        <v>8483</v>
      </c>
      <c r="Q875" t="s">
        <v>8484</v>
      </c>
      <c r="R875" t="s">
        <v>8485</v>
      </c>
      <c r="S875" t="s">
        <v>8486</v>
      </c>
      <c r="T875" t="s">
        <v>8487</v>
      </c>
      <c r="U875" s="5">
        <v>176.16</v>
      </c>
      <c r="V875" s="5">
        <v>58.6</v>
      </c>
      <c r="W875" s="5">
        <v>12.836508</v>
      </c>
      <c r="X875" s="5">
        <v>108.089682</v>
      </c>
      <c r="Y875" s="5">
        <v>117.56</v>
      </c>
      <c r="Z875" s="5">
        <v>12.853426000000001</v>
      </c>
      <c r="AA875" s="5">
        <v>108.104358</v>
      </c>
      <c r="AB875" s="7">
        <f t="shared" si="79"/>
        <v>8.7900000000000006E-2</v>
      </c>
      <c r="AC875" s="7">
        <f t="shared" si="80"/>
        <v>0.17634</v>
      </c>
      <c r="AD875" s="6" t="str">
        <f t="shared" si="81"/>
        <v>Cư M'ga</v>
      </c>
      <c r="AE875" s="6" t="str">
        <f t="shared" si="82"/>
        <v>Buôn Hồ</v>
      </c>
      <c r="AG875">
        <f t="shared" si="83"/>
        <v>5.8599999999999999E-2</v>
      </c>
      <c r="AH875">
        <f t="shared" si="84"/>
        <v>0.11756</v>
      </c>
    </row>
    <row r="876" spans="1:34" x14ac:dyDescent="0.25">
      <c r="A876" t="s">
        <v>8488</v>
      </c>
      <c r="B876" t="s">
        <v>8489</v>
      </c>
      <c r="C876" t="s">
        <v>8490</v>
      </c>
      <c r="D876" t="s">
        <v>8387</v>
      </c>
      <c r="E876" t="s">
        <v>8388</v>
      </c>
      <c r="F876" t="s">
        <v>8491</v>
      </c>
      <c r="G876" t="s">
        <v>15827</v>
      </c>
      <c r="H876" t="s">
        <v>15828</v>
      </c>
      <c r="I876" t="s">
        <v>16688</v>
      </c>
      <c r="J876" t="s">
        <v>23</v>
      </c>
      <c r="L876" t="s">
        <v>8492</v>
      </c>
      <c r="M876" t="s">
        <v>8493</v>
      </c>
      <c r="N876" t="s">
        <v>8494</v>
      </c>
      <c r="O876" t="s">
        <v>8495</v>
      </c>
      <c r="P876" t="s">
        <v>8496</v>
      </c>
      <c r="Q876" t="s">
        <v>8497</v>
      </c>
      <c r="R876" t="s">
        <v>8498</v>
      </c>
      <c r="S876" t="s">
        <v>8499</v>
      </c>
      <c r="T876" t="s">
        <v>8500</v>
      </c>
      <c r="U876" s="5">
        <v>105.32</v>
      </c>
      <c r="V876" s="5">
        <v>61.08</v>
      </c>
      <c r="W876" s="5">
        <v>13.262589999999999</v>
      </c>
      <c r="X876" s="5">
        <v>108.276438</v>
      </c>
      <c r="Y876" s="5">
        <v>44.24</v>
      </c>
      <c r="Z876" s="5">
        <v>13.266166999999999</v>
      </c>
      <c r="AA876" s="5">
        <v>108.287032</v>
      </c>
      <c r="AB876" s="7">
        <f t="shared" si="79"/>
        <v>9.1620000000000007E-2</v>
      </c>
      <c r="AC876" s="7">
        <f t="shared" si="80"/>
        <v>6.6360000000000002E-2</v>
      </c>
      <c r="AD876" s="6" t="e">
        <f t="shared" si="81"/>
        <v>#VALUE!</v>
      </c>
      <c r="AE876" s="6" t="e">
        <f t="shared" si="82"/>
        <v>#VALUE!</v>
      </c>
      <c r="AG876">
        <f t="shared" si="83"/>
        <v>6.1079999999999995E-2</v>
      </c>
      <c r="AH876">
        <f t="shared" si="84"/>
        <v>4.4240000000000002E-2</v>
      </c>
    </row>
    <row r="877" spans="1:34" x14ac:dyDescent="0.25">
      <c r="A877" t="s">
        <v>8501</v>
      </c>
      <c r="B877" t="s">
        <v>8502</v>
      </c>
      <c r="C877" t="s">
        <v>8503</v>
      </c>
      <c r="D877" t="s">
        <v>8357</v>
      </c>
      <c r="E877" t="s">
        <v>8358</v>
      </c>
      <c r="F877" t="s">
        <v>8504</v>
      </c>
      <c r="G877" t="s">
        <v>15827</v>
      </c>
      <c r="H877" t="s">
        <v>15828</v>
      </c>
      <c r="I877" t="s">
        <v>16689</v>
      </c>
      <c r="J877" t="s">
        <v>23</v>
      </c>
      <c r="L877" t="s">
        <v>8505</v>
      </c>
      <c r="M877" t="s">
        <v>8506</v>
      </c>
      <c r="N877" t="s">
        <v>8507</v>
      </c>
      <c r="O877" t="s">
        <v>8508</v>
      </c>
      <c r="P877" t="s">
        <v>8509</v>
      </c>
      <c r="Q877" t="s">
        <v>8510</v>
      </c>
      <c r="R877" t="s">
        <v>8511</v>
      </c>
      <c r="S877" t="s">
        <v>8512</v>
      </c>
      <c r="T877" t="s">
        <v>8513</v>
      </c>
      <c r="U877" s="5">
        <v>404.88</v>
      </c>
      <c r="V877" s="5">
        <v>76.319999999999993</v>
      </c>
      <c r="W877" s="5">
        <v>12.874235000000001</v>
      </c>
      <c r="X877" s="5">
        <v>107.98837</v>
      </c>
      <c r="Y877" s="5">
        <v>328.56</v>
      </c>
      <c r="Z877" s="5">
        <v>12.861001</v>
      </c>
      <c r="AA877" s="5">
        <v>107.9682</v>
      </c>
      <c r="AB877" s="7">
        <f t="shared" si="79"/>
        <v>0.11447999999999998</v>
      </c>
      <c r="AC877" s="7">
        <f t="shared" si="80"/>
        <v>0.49284000000000006</v>
      </c>
      <c r="AD877" s="6" t="str">
        <f t="shared" si="81"/>
        <v>Ea M’Droh</v>
      </c>
      <c r="AE877" s="6" t="str">
        <f t="shared" si="82"/>
        <v>Ea Kiết</v>
      </c>
      <c r="AG877">
        <f t="shared" si="83"/>
        <v>7.6319999999999999E-2</v>
      </c>
      <c r="AH877">
        <f t="shared" si="84"/>
        <v>0.32856000000000002</v>
      </c>
    </row>
    <row r="878" spans="1:34" x14ac:dyDescent="0.25">
      <c r="A878" t="s">
        <v>8514</v>
      </c>
      <c r="B878" t="s">
        <v>8515</v>
      </c>
      <c r="C878" t="s">
        <v>8516</v>
      </c>
      <c r="D878" t="s">
        <v>8357</v>
      </c>
      <c r="E878" t="s">
        <v>8358</v>
      </c>
      <c r="F878" t="s">
        <v>8517</v>
      </c>
      <c r="G878" t="s">
        <v>15827</v>
      </c>
      <c r="H878" t="s">
        <v>15828</v>
      </c>
      <c r="I878" t="s">
        <v>16690</v>
      </c>
      <c r="J878" t="s">
        <v>23</v>
      </c>
      <c r="L878" t="s">
        <v>8360</v>
      </c>
      <c r="M878" t="s">
        <v>8518</v>
      </c>
      <c r="N878" t="s">
        <v>8519</v>
      </c>
      <c r="O878" t="s">
        <v>8520</v>
      </c>
      <c r="P878" t="s">
        <v>8521</v>
      </c>
      <c r="Q878" t="s">
        <v>8365</v>
      </c>
      <c r="R878" t="s">
        <v>8366</v>
      </c>
      <c r="S878" t="s">
        <v>8367</v>
      </c>
      <c r="T878" t="s">
        <v>8368</v>
      </c>
      <c r="U878" s="5">
        <v>343.09</v>
      </c>
      <c r="V878" s="5">
        <v>265.54000000000002</v>
      </c>
      <c r="W878" s="5">
        <v>12.840204</v>
      </c>
      <c r="X878" s="5">
        <v>107.98505900000001</v>
      </c>
      <c r="Y878" s="5">
        <v>77.55</v>
      </c>
      <c r="Z878" s="5">
        <v>12.860792</v>
      </c>
      <c r="AA878" s="5">
        <v>107.964518</v>
      </c>
      <c r="AB878" s="7">
        <f t="shared" si="79"/>
        <v>0.39831000000000005</v>
      </c>
      <c r="AC878" s="7">
        <f t="shared" si="80"/>
        <v>0.11632499999999998</v>
      </c>
      <c r="AD878" s="6" t="str">
        <f t="shared" si="81"/>
        <v>Quảng Phú</v>
      </c>
      <c r="AE878" s="6" t="str">
        <f t="shared" si="82"/>
        <v>Ea M’Droh</v>
      </c>
      <c r="AG878">
        <f t="shared" si="83"/>
        <v>0.26554</v>
      </c>
      <c r="AH878">
        <f t="shared" si="84"/>
        <v>7.7549999999999994E-2</v>
      </c>
    </row>
    <row r="879" spans="1:34" x14ac:dyDescent="0.25">
      <c r="A879" t="s">
        <v>8522</v>
      </c>
      <c r="B879" t="s">
        <v>2033</v>
      </c>
      <c r="C879" t="s">
        <v>8523</v>
      </c>
      <c r="D879" t="s">
        <v>8524</v>
      </c>
      <c r="E879" t="s">
        <v>8525</v>
      </c>
      <c r="F879" t="s">
        <v>8526</v>
      </c>
      <c r="G879" t="s">
        <v>15827</v>
      </c>
      <c r="H879" t="s">
        <v>15828</v>
      </c>
      <c r="I879" t="s">
        <v>16691</v>
      </c>
      <c r="J879" t="s">
        <v>23</v>
      </c>
      <c r="L879" t="s">
        <v>8527</v>
      </c>
      <c r="M879" t="s">
        <v>8528</v>
      </c>
      <c r="N879" t="s">
        <v>8529</v>
      </c>
      <c r="O879" t="s">
        <v>8530</v>
      </c>
      <c r="P879" t="s">
        <v>8531</v>
      </c>
      <c r="Q879" t="s">
        <v>8532</v>
      </c>
      <c r="R879" t="s">
        <v>8533</v>
      </c>
      <c r="S879" t="s">
        <v>8534</v>
      </c>
      <c r="T879" t="s">
        <v>8535</v>
      </c>
      <c r="U879" s="5">
        <v>1086.22</v>
      </c>
      <c r="V879" s="5">
        <v>528.9</v>
      </c>
      <c r="W879" s="5">
        <v>12.553849</v>
      </c>
      <c r="X879" s="5">
        <v>108.180274</v>
      </c>
      <c r="Y879" s="5">
        <v>557.32000000000005</v>
      </c>
      <c r="Z879" s="5">
        <v>12.561992</v>
      </c>
      <c r="AA879" s="5">
        <v>108.168603</v>
      </c>
      <c r="AB879" s="7">
        <f t="shared" si="79"/>
        <v>0.79334999999999989</v>
      </c>
      <c r="AC879" s="7">
        <f t="shared" si="80"/>
        <v>0.83598000000000006</v>
      </c>
      <c r="AD879" s="6" t="str">
        <f t="shared" si="81"/>
        <v>TTCMKV Cư Kuin</v>
      </c>
      <c r="AE879" s="6" t="str">
        <f t="shared" si="82"/>
        <v>Dang Kang</v>
      </c>
      <c r="AG879">
        <f t="shared" si="83"/>
        <v>0.52889999999999993</v>
      </c>
      <c r="AH879">
        <f t="shared" si="84"/>
        <v>0.55732000000000004</v>
      </c>
    </row>
    <row r="880" spans="1:34" x14ac:dyDescent="0.25">
      <c r="A880" t="s">
        <v>8536</v>
      </c>
      <c r="B880" t="s">
        <v>8537</v>
      </c>
      <c r="C880" t="s">
        <v>8538</v>
      </c>
      <c r="D880" t="s">
        <v>8524</v>
      </c>
      <c r="E880" t="s">
        <v>8525</v>
      </c>
      <c r="F880" t="s">
        <v>8539</v>
      </c>
      <c r="G880" t="s">
        <v>15827</v>
      </c>
      <c r="H880" t="s">
        <v>15828</v>
      </c>
      <c r="I880" t="s">
        <v>16692</v>
      </c>
      <c r="J880" t="s">
        <v>23</v>
      </c>
      <c r="L880" t="s">
        <v>8540</v>
      </c>
      <c r="M880" t="s">
        <v>8541</v>
      </c>
      <c r="N880" t="s">
        <v>8542</v>
      </c>
      <c r="O880" t="s">
        <v>8543</v>
      </c>
      <c r="P880" t="s">
        <v>8544</v>
      </c>
      <c r="Q880" t="s">
        <v>8545</v>
      </c>
      <c r="R880" t="s">
        <v>8546</v>
      </c>
      <c r="S880" t="s">
        <v>8547</v>
      </c>
      <c r="T880" t="s">
        <v>8548</v>
      </c>
      <c r="U880" s="5">
        <v>1010.67</v>
      </c>
      <c r="V880" s="5">
        <v>452.05</v>
      </c>
      <c r="W880" s="5">
        <v>12.573183</v>
      </c>
      <c r="X880" s="5">
        <v>108.164991</v>
      </c>
      <c r="Y880" s="5">
        <v>558.62</v>
      </c>
      <c r="Z880" s="5">
        <v>12.561987</v>
      </c>
      <c r="AA880" s="5">
        <v>108.16861900000001</v>
      </c>
      <c r="AB880" s="7">
        <f t="shared" si="79"/>
        <v>0.67807500000000009</v>
      </c>
      <c r="AC880" s="7">
        <f t="shared" si="80"/>
        <v>0.83793000000000006</v>
      </c>
      <c r="AD880" s="6" t="str">
        <f t="shared" si="81"/>
        <v>Ea Ning</v>
      </c>
      <c r="AE880" s="6" t="str">
        <f t="shared" si="82"/>
        <v>TTCMKV Cư Kuin</v>
      </c>
      <c r="AG880">
        <f t="shared" si="83"/>
        <v>0.45205000000000001</v>
      </c>
      <c r="AH880">
        <f t="shared" si="84"/>
        <v>0.55862000000000001</v>
      </c>
    </row>
    <row r="881" spans="1:34" x14ac:dyDescent="0.25">
      <c r="A881" t="s">
        <v>8549</v>
      </c>
      <c r="B881" t="s">
        <v>8550</v>
      </c>
      <c r="C881" t="s">
        <v>8551</v>
      </c>
      <c r="D881" t="s">
        <v>8552</v>
      </c>
      <c r="E881" t="s">
        <v>8553</v>
      </c>
      <c r="F881" t="s">
        <v>8554</v>
      </c>
      <c r="G881" t="s">
        <v>15827</v>
      </c>
      <c r="H881" t="s">
        <v>15828</v>
      </c>
      <c r="I881" t="s">
        <v>16693</v>
      </c>
      <c r="J881" t="s">
        <v>23</v>
      </c>
      <c r="L881" t="s">
        <v>8432</v>
      </c>
      <c r="M881" t="s">
        <v>8555</v>
      </c>
      <c r="N881" t="s">
        <v>8556</v>
      </c>
      <c r="O881" t="s">
        <v>8557</v>
      </c>
      <c r="P881" t="s">
        <v>8558</v>
      </c>
      <c r="Q881" t="s">
        <v>8559</v>
      </c>
      <c r="R881" t="s">
        <v>8438</v>
      </c>
      <c r="S881" t="s">
        <v>8439</v>
      </c>
      <c r="T881" t="s">
        <v>8440</v>
      </c>
      <c r="U881" s="5">
        <v>161.05000000000001</v>
      </c>
      <c r="V881" s="5">
        <v>91.81</v>
      </c>
      <c r="W881" s="5">
        <v>12.807167</v>
      </c>
      <c r="X881" s="5">
        <v>108.433002</v>
      </c>
      <c r="Y881" s="5">
        <v>69.25</v>
      </c>
      <c r="Z881" s="5">
        <v>12.811565999999999</v>
      </c>
      <c r="AA881" s="5">
        <v>108.483311</v>
      </c>
      <c r="AB881" s="7">
        <f t="shared" si="79"/>
        <v>0.137715</v>
      </c>
      <c r="AC881" s="7">
        <f t="shared" si="80"/>
        <v>0.103875</v>
      </c>
      <c r="AD881" s="6" t="str">
        <f t="shared" si="81"/>
        <v>TT1 Đăk Lăk</v>
      </c>
      <c r="AE881" s="6" t="str">
        <f t="shared" si="82"/>
        <v>ILA Ea Kar</v>
      </c>
      <c r="AG881">
        <f t="shared" si="83"/>
        <v>9.1810000000000003E-2</v>
      </c>
      <c r="AH881">
        <f t="shared" si="84"/>
        <v>6.9250000000000006E-2</v>
      </c>
    </row>
    <row r="882" spans="1:34" x14ac:dyDescent="0.25">
      <c r="A882" t="s">
        <v>8560</v>
      </c>
      <c r="B882" t="s">
        <v>8561</v>
      </c>
      <c r="C882" t="s">
        <v>8562</v>
      </c>
      <c r="D882" t="s">
        <v>8342</v>
      </c>
      <c r="E882" t="s">
        <v>8343</v>
      </c>
      <c r="F882" t="s">
        <v>8563</v>
      </c>
      <c r="G882" t="s">
        <v>15827</v>
      </c>
      <c r="H882" t="s">
        <v>15828</v>
      </c>
      <c r="I882" t="s">
        <v>16694</v>
      </c>
      <c r="J882" t="s">
        <v>23</v>
      </c>
      <c r="L882" t="s">
        <v>8345</v>
      </c>
      <c r="M882" t="s">
        <v>8564</v>
      </c>
      <c r="N882" t="s">
        <v>8565</v>
      </c>
      <c r="O882" t="s">
        <v>8566</v>
      </c>
      <c r="P882" t="s">
        <v>8567</v>
      </c>
      <c r="Q882" t="s">
        <v>8350</v>
      </c>
      <c r="R882" t="s">
        <v>8351</v>
      </c>
      <c r="S882" t="s">
        <v>8352</v>
      </c>
      <c r="T882" t="s">
        <v>8353</v>
      </c>
      <c r="U882" s="5">
        <v>315.25</v>
      </c>
      <c r="V882" s="5">
        <v>279.26</v>
      </c>
      <c r="W882" s="5">
        <v>12.954124999999999</v>
      </c>
      <c r="X882" s="5">
        <v>108.33299100000001</v>
      </c>
      <c r="Y882" s="5">
        <v>35.99</v>
      </c>
      <c r="Z882" s="5">
        <v>12.951675</v>
      </c>
      <c r="AA882" s="5">
        <v>108.344356</v>
      </c>
      <c r="AB882" s="7">
        <f t="shared" si="79"/>
        <v>0.41888999999999998</v>
      </c>
      <c r="AC882" s="7">
        <f t="shared" si="80"/>
        <v>5.3984999999999998E-2</v>
      </c>
      <c r="AD882" s="6" t="e">
        <f t="shared" si="81"/>
        <v>#VALUE!</v>
      </c>
      <c r="AE882" s="6" t="e">
        <f t="shared" si="82"/>
        <v>#VALUE!</v>
      </c>
      <c r="AG882">
        <f t="shared" si="83"/>
        <v>0.27926000000000001</v>
      </c>
      <c r="AH882">
        <f t="shared" si="84"/>
        <v>3.5990000000000001E-2</v>
      </c>
    </row>
    <row r="883" spans="1:34" x14ac:dyDescent="0.25">
      <c r="A883" t="s">
        <v>8568</v>
      </c>
      <c r="B883" t="s">
        <v>8569</v>
      </c>
      <c r="C883" t="s">
        <v>8570</v>
      </c>
      <c r="D883" t="s">
        <v>8300</v>
      </c>
      <c r="E883" t="s">
        <v>8301</v>
      </c>
      <c r="F883" t="s">
        <v>8571</v>
      </c>
      <c r="G883" t="s">
        <v>15827</v>
      </c>
      <c r="H883" t="s">
        <v>15828</v>
      </c>
      <c r="I883" t="s">
        <v>16695</v>
      </c>
      <c r="J883" t="s">
        <v>23</v>
      </c>
      <c r="L883" t="s">
        <v>8303</v>
      </c>
      <c r="M883" t="s">
        <v>8572</v>
      </c>
      <c r="N883" t="s">
        <v>8573</v>
      </c>
      <c r="O883" t="s">
        <v>8574</v>
      </c>
      <c r="P883" t="s">
        <v>8575</v>
      </c>
      <c r="Q883" t="s">
        <v>8308</v>
      </c>
      <c r="R883" t="s">
        <v>8309</v>
      </c>
      <c r="S883" t="s">
        <v>8310</v>
      </c>
      <c r="T883" t="s">
        <v>8311</v>
      </c>
      <c r="U883" s="5">
        <v>565.14</v>
      </c>
      <c r="V883" s="5">
        <v>292.32</v>
      </c>
      <c r="W883" s="5">
        <v>13.136281</v>
      </c>
      <c r="X883" s="5">
        <v>108.327502</v>
      </c>
      <c r="Y883" s="5">
        <v>272.81</v>
      </c>
      <c r="Z883" s="5">
        <v>13.118876999999999</v>
      </c>
      <c r="AA883" s="5">
        <v>108.329477</v>
      </c>
      <c r="AB883" s="7">
        <f t="shared" si="79"/>
        <v>0.43848000000000004</v>
      </c>
      <c r="AC883" s="7">
        <f t="shared" si="80"/>
        <v>0.40921500000000005</v>
      </c>
      <c r="AD883" s="6" t="e">
        <f t="shared" si="81"/>
        <v>#VALUE!</v>
      </c>
      <c r="AE883" s="6" t="e">
        <f t="shared" si="82"/>
        <v>#VALUE!</v>
      </c>
      <c r="AG883">
        <f t="shared" si="83"/>
        <v>0.29231999999999997</v>
      </c>
      <c r="AH883">
        <f t="shared" si="84"/>
        <v>0.27281</v>
      </c>
    </row>
    <row r="884" spans="1:34" x14ac:dyDescent="0.25">
      <c r="A884" t="s">
        <v>8576</v>
      </c>
      <c r="B884" t="s">
        <v>8577</v>
      </c>
      <c r="C884" t="s">
        <v>8578</v>
      </c>
      <c r="D884" t="s">
        <v>8300</v>
      </c>
      <c r="E884" t="s">
        <v>8301</v>
      </c>
      <c r="F884" t="s">
        <v>8579</v>
      </c>
      <c r="G884" t="s">
        <v>15827</v>
      </c>
      <c r="H884" t="s">
        <v>15828</v>
      </c>
      <c r="I884" t="s">
        <v>16696</v>
      </c>
      <c r="J884" t="s">
        <v>23</v>
      </c>
      <c r="L884" t="s">
        <v>8580</v>
      </c>
      <c r="M884" t="s">
        <v>8581</v>
      </c>
      <c r="N884" t="s">
        <v>8582</v>
      </c>
      <c r="O884" t="s">
        <v>8583</v>
      </c>
      <c r="P884" t="s">
        <v>8584</v>
      </c>
      <c r="Q884" t="s">
        <v>8585</v>
      </c>
      <c r="R884" t="s">
        <v>8586</v>
      </c>
      <c r="S884" t="s">
        <v>8587</v>
      </c>
      <c r="T884" t="s">
        <v>8588</v>
      </c>
      <c r="U884" s="5">
        <v>315.45</v>
      </c>
      <c r="V884" s="5">
        <v>132.01</v>
      </c>
      <c r="W884" s="5">
        <v>13.092209</v>
      </c>
      <c r="X884" s="5">
        <v>108.340898</v>
      </c>
      <c r="Y884" s="5">
        <v>183.44</v>
      </c>
      <c r="Z884" s="5">
        <v>13.114953</v>
      </c>
      <c r="AA884" s="5">
        <v>108.330055</v>
      </c>
      <c r="AB884" s="7">
        <f t="shared" si="79"/>
        <v>0.198015</v>
      </c>
      <c r="AC884" s="7">
        <f t="shared" si="80"/>
        <v>0.27515999999999996</v>
      </c>
      <c r="AD884" s="6" t="str">
        <f t="shared" si="81"/>
        <v>TTCMKV Buôn Hồ</v>
      </c>
      <c r="AE884" s="6" t="str">
        <f t="shared" si="82"/>
        <v>Dliê Ya</v>
      </c>
      <c r="AG884">
        <f t="shared" si="83"/>
        <v>0.13200999999999999</v>
      </c>
      <c r="AH884">
        <f t="shared" si="84"/>
        <v>0.18343999999999999</v>
      </c>
    </row>
    <row r="885" spans="1:34" x14ac:dyDescent="0.25">
      <c r="A885" t="s">
        <v>8589</v>
      </c>
      <c r="B885" t="s">
        <v>8590</v>
      </c>
      <c r="C885" t="s">
        <v>8591</v>
      </c>
      <c r="D885" t="s">
        <v>8592</v>
      </c>
      <c r="E885" t="s">
        <v>8593</v>
      </c>
      <c r="F885" t="s">
        <v>8594</v>
      </c>
      <c r="G885" t="s">
        <v>15827</v>
      </c>
      <c r="H885" t="s">
        <v>15828</v>
      </c>
      <c r="I885" t="s">
        <v>16697</v>
      </c>
      <c r="J885" t="s">
        <v>23</v>
      </c>
      <c r="L885" t="s">
        <v>8595</v>
      </c>
      <c r="M885" t="s">
        <v>8596</v>
      </c>
      <c r="N885" t="s">
        <v>8597</v>
      </c>
      <c r="O885" t="s">
        <v>8598</v>
      </c>
      <c r="P885" t="s">
        <v>8599</v>
      </c>
      <c r="Q885" t="s">
        <v>8600</v>
      </c>
      <c r="R885" t="s">
        <v>8601</v>
      </c>
      <c r="S885" t="s">
        <v>8602</v>
      </c>
      <c r="T885" t="s">
        <v>8603</v>
      </c>
      <c r="U885" s="5">
        <v>159.72999999999999</v>
      </c>
      <c r="V885" s="5">
        <v>90.58</v>
      </c>
      <c r="W885" s="5">
        <v>12.674484</v>
      </c>
      <c r="X885" s="5">
        <v>108.341233</v>
      </c>
      <c r="Y885" s="5">
        <v>69.150000000000006</v>
      </c>
      <c r="Z885" s="5">
        <v>12.655666999999999</v>
      </c>
      <c r="AA885" s="5">
        <v>108.343625</v>
      </c>
      <c r="AB885" s="7">
        <f t="shared" si="79"/>
        <v>0.13586999999999999</v>
      </c>
      <c r="AC885" s="7">
        <f t="shared" si="80"/>
        <v>0.10372500000000001</v>
      </c>
      <c r="AD885" s="6" t="str">
        <f t="shared" si="81"/>
        <v>Cơ sở cai nghiện (X. Tân Tiến, H. Kron Pắc)</v>
      </c>
      <c r="AE885" s="6" t="str">
        <f t="shared" si="82"/>
        <v>TTCMKV Krong Pắc</v>
      </c>
      <c r="AG885">
        <f t="shared" si="83"/>
        <v>9.0579999999999994E-2</v>
      </c>
      <c r="AH885">
        <f t="shared" si="84"/>
        <v>6.9150000000000003E-2</v>
      </c>
    </row>
    <row r="886" spans="1:34" x14ac:dyDescent="0.25">
      <c r="A886" t="s">
        <v>8604</v>
      </c>
      <c r="B886" t="s">
        <v>8605</v>
      </c>
      <c r="C886" t="s">
        <v>8606</v>
      </c>
      <c r="D886" t="s">
        <v>8372</v>
      </c>
      <c r="E886" t="s">
        <v>8373</v>
      </c>
      <c r="F886" t="s">
        <v>8607</v>
      </c>
      <c r="G886" t="s">
        <v>15827</v>
      </c>
      <c r="H886" t="s">
        <v>15828</v>
      </c>
      <c r="I886" t="s">
        <v>16698</v>
      </c>
      <c r="J886" t="s">
        <v>23</v>
      </c>
      <c r="L886" t="s">
        <v>8375</v>
      </c>
      <c r="M886" t="s">
        <v>8608</v>
      </c>
      <c r="N886" t="s">
        <v>8609</v>
      </c>
      <c r="O886" t="s">
        <v>8610</v>
      </c>
      <c r="P886" t="s">
        <v>8611</v>
      </c>
      <c r="Q886" t="s">
        <v>8380</v>
      </c>
      <c r="R886" t="s">
        <v>8381</v>
      </c>
      <c r="S886" t="s">
        <v>8382</v>
      </c>
      <c r="T886" t="s">
        <v>8383</v>
      </c>
      <c r="U886" s="5">
        <v>324.75</v>
      </c>
      <c r="V886" s="5">
        <v>207.75</v>
      </c>
      <c r="W886" s="5">
        <v>12.887229</v>
      </c>
      <c r="X886" s="5">
        <v>108.11076</v>
      </c>
      <c r="Y886" s="5">
        <v>117.01</v>
      </c>
      <c r="Z886" s="5">
        <v>12.853419000000001</v>
      </c>
      <c r="AA886" s="5">
        <v>108.10435699999999</v>
      </c>
      <c r="AB886" s="7">
        <f t="shared" si="79"/>
        <v>0.31162499999999999</v>
      </c>
      <c r="AC886" s="7">
        <f t="shared" si="80"/>
        <v>0.175515</v>
      </c>
      <c r="AD886" s="6" t="str">
        <f t="shared" si="81"/>
        <v>Cư M'ga</v>
      </c>
      <c r="AE886" s="6" t="str">
        <f t="shared" si="82"/>
        <v>Buôn Hồ</v>
      </c>
      <c r="AG886">
        <f t="shared" si="83"/>
        <v>0.20774999999999999</v>
      </c>
      <c r="AH886">
        <f t="shared" si="84"/>
        <v>0.11701</v>
      </c>
    </row>
    <row r="887" spans="1:34" x14ac:dyDescent="0.25">
      <c r="A887" t="s">
        <v>8612</v>
      </c>
      <c r="B887" t="s">
        <v>8613</v>
      </c>
      <c r="C887" t="s">
        <v>8614</v>
      </c>
      <c r="D887" t="s">
        <v>8315</v>
      </c>
      <c r="E887" t="s">
        <v>8316</v>
      </c>
      <c r="F887" t="s">
        <v>8615</v>
      </c>
      <c r="G887" t="s">
        <v>15827</v>
      </c>
      <c r="H887" t="s">
        <v>15828</v>
      </c>
      <c r="I887" t="s">
        <v>16699</v>
      </c>
      <c r="J887" t="s">
        <v>23</v>
      </c>
      <c r="L887" t="s">
        <v>8616</v>
      </c>
      <c r="M887" t="s">
        <v>8617</v>
      </c>
      <c r="N887" t="s">
        <v>8618</v>
      </c>
      <c r="O887" t="s">
        <v>8619</v>
      </c>
      <c r="P887" t="s">
        <v>8620</v>
      </c>
      <c r="Q887" t="s">
        <v>8621</v>
      </c>
      <c r="R887" t="s">
        <v>8622</v>
      </c>
      <c r="S887" t="s">
        <v>8623</v>
      </c>
      <c r="T887" t="s">
        <v>8624</v>
      </c>
      <c r="U887" s="5">
        <v>1073.3399999999999</v>
      </c>
      <c r="V887" s="5">
        <v>847.69</v>
      </c>
      <c r="W887" s="5">
        <v>13.059899</v>
      </c>
      <c r="X887" s="5">
        <v>108.227368</v>
      </c>
      <c r="Y887" s="5">
        <v>225.65</v>
      </c>
      <c r="Z887" s="5">
        <v>13.038637</v>
      </c>
      <c r="AA887" s="5">
        <v>108.22068299999999</v>
      </c>
      <c r="AB887" s="7">
        <f t="shared" si="79"/>
        <v>1.2715350000000001</v>
      </c>
      <c r="AC887" s="7">
        <f t="shared" si="80"/>
        <v>0.33847500000000003</v>
      </c>
      <c r="AD887" s="6" t="str">
        <f t="shared" si="81"/>
        <v>Krông Búk</v>
      </c>
      <c r="AE887" s="6" t="str">
        <f t="shared" si="82"/>
        <v>Ea Khăl</v>
      </c>
      <c r="AG887">
        <f t="shared" si="83"/>
        <v>0.84769000000000005</v>
      </c>
      <c r="AH887">
        <f t="shared" si="84"/>
        <v>0.22565000000000002</v>
      </c>
    </row>
    <row r="888" spans="1:34" x14ac:dyDescent="0.25">
      <c r="A888" t="s">
        <v>8625</v>
      </c>
      <c r="B888" t="s">
        <v>8626</v>
      </c>
      <c r="C888" t="s">
        <v>8627</v>
      </c>
      <c r="D888" t="s">
        <v>8414</v>
      </c>
      <c r="E888" t="s">
        <v>8415</v>
      </c>
      <c r="F888" t="s">
        <v>8628</v>
      </c>
      <c r="G888" t="s">
        <v>15827</v>
      </c>
      <c r="H888" t="s">
        <v>15828</v>
      </c>
      <c r="I888" t="s">
        <v>16700</v>
      </c>
      <c r="J888" t="s">
        <v>23</v>
      </c>
      <c r="L888" t="s">
        <v>8417</v>
      </c>
      <c r="M888" t="s">
        <v>8629</v>
      </c>
      <c r="N888" t="s">
        <v>8630</v>
      </c>
      <c r="O888" t="s">
        <v>8631</v>
      </c>
      <c r="P888" t="s">
        <v>8632</v>
      </c>
      <c r="Q888" t="s">
        <v>8422</v>
      </c>
      <c r="R888" t="s">
        <v>8423</v>
      </c>
      <c r="S888" t="s">
        <v>8424</v>
      </c>
      <c r="T888" t="s">
        <v>8425</v>
      </c>
      <c r="U888" s="5">
        <v>381.06</v>
      </c>
      <c r="V888" s="5">
        <v>323.11</v>
      </c>
      <c r="W888" s="5">
        <v>12.904659000000001</v>
      </c>
      <c r="X888" s="5">
        <v>108.265595</v>
      </c>
      <c r="Y888" s="5">
        <v>57.95</v>
      </c>
      <c r="Z888" s="5">
        <v>12.916482999999999</v>
      </c>
      <c r="AA888" s="5">
        <v>108.26607</v>
      </c>
      <c r="AB888" s="7">
        <f t="shared" si="79"/>
        <v>0.48466500000000001</v>
      </c>
      <c r="AC888" s="7">
        <f t="shared" si="80"/>
        <v>8.6925000000000016E-2</v>
      </c>
      <c r="AD888" s="6" t="e">
        <f t="shared" si="81"/>
        <v>#VALUE!</v>
      </c>
      <c r="AE888" s="6" t="e">
        <f t="shared" si="82"/>
        <v>#VALUE!</v>
      </c>
      <c r="AG888">
        <f t="shared" si="83"/>
        <v>0.32311000000000001</v>
      </c>
      <c r="AH888">
        <f t="shared" si="84"/>
        <v>5.7950000000000002E-2</v>
      </c>
    </row>
    <row r="889" spans="1:34" x14ac:dyDescent="0.25">
      <c r="A889" t="s">
        <v>8633</v>
      </c>
      <c r="B889" t="s">
        <v>8634</v>
      </c>
      <c r="C889" t="s">
        <v>8635</v>
      </c>
      <c r="D889" t="s">
        <v>8636</v>
      </c>
      <c r="E889" t="s">
        <v>8637</v>
      </c>
      <c r="F889" t="s">
        <v>8638</v>
      </c>
      <c r="G889" t="s">
        <v>15827</v>
      </c>
      <c r="H889" t="s">
        <v>15831</v>
      </c>
      <c r="I889" t="s">
        <v>16701</v>
      </c>
      <c r="J889" t="s">
        <v>23</v>
      </c>
      <c r="L889" t="s">
        <v>8639</v>
      </c>
      <c r="M889" t="s">
        <v>8640</v>
      </c>
      <c r="N889" t="s">
        <v>8641</v>
      </c>
      <c r="O889" t="s">
        <v>8642</v>
      </c>
      <c r="P889" t="s">
        <v>8643</v>
      </c>
      <c r="Q889" t="s">
        <v>8644</v>
      </c>
      <c r="R889" t="s">
        <v>8645</v>
      </c>
      <c r="S889" t="s">
        <v>8646</v>
      </c>
      <c r="T889" t="s">
        <v>8647</v>
      </c>
      <c r="U889" s="5">
        <v>531.51</v>
      </c>
      <c r="V889" s="5">
        <v>458.29</v>
      </c>
      <c r="W889" s="5">
        <v>12.681184</v>
      </c>
      <c r="X889" s="5">
        <v>108.04718</v>
      </c>
      <c r="Y889" s="5">
        <v>73.209999999999994</v>
      </c>
      <c r="Z889" s="5">
        <v>12.68474</v>
      </c>
      <c r="AA889" s="5">
        <v>108.05229799999999</v>
      </c>
      <c r="AB889" s="7">
        <f t="shared" si="79"/>
        <v>0.68743500000000002</v>
      </c>
      <c r="AC889" s="7">
        <f t="shared" si="80"/>
        <v>0.109815</v>
      </c>
      <c r="AD889" s="6" t="str">
        <f t="shared" si="81"/>
        <v>TT1 Đăk Lăk</v>
      </c>
      <c r="AE889" s="6" t="str">
        <f t="shared" si="82"/>
        <v>KRông Ana</v>
      </c>
      <c r="AG889">
        <f t="shared" si="83"/>
        <v>0.45829000000000003</v>
      </c>
      <c r="AH889">
        <f t="shared" si="84"/>
        <v>7.3209999999999997E-2</v>
      </c>
    </row>
    <row r="890" spans="1:34" x14ac:dyDescent="0.25">
      <c r="A890" t="s">
        <v>8648</v>
      </c>
      <c r="B890" t="s">
        <v>8649</v>
      </c>
      <c r="C890" t="s">
        <v>8650</v>
      </c>
      <c r="D890" t="s">
        <v>8651</v>
      </c>
      <c r="E890" t="s">
        <v>8652</v>
      </c>
      <c r="F890" t="s">
        <v>8653</v>
      </c>
      <c r="G890" t="s">
        <v>15827</v>
      </c>
      <c r="H890" t="s">
        <v>15831</v>
      </c>
      <c r="I890" t="s">
        <v>16702</v>
      </c>
      <c r="J890" t="s">
        <v>23</v>
      </c>
      <c r="L890" t="s">
        <v>8654</v>
      </c>
      <c r="M890" t="s">
        <v>8655</v>
      </c>
      <c r="N890" t="s">
        <v>8656</v>
      </c>
      <c r="O890" t="s">
        <v>8657</v>
      </c>
      <c r="P890" t="s">
        <v>8658</v>
      </c>
      <c r="Q890" t="s">
        <v>8659</v>
      </c>
      <c r="R890" t="s">
        <v>8660</v>
      </c>
      <c r="S890" t="s">
        <v>8661</v>
      </c>
      <c r="T890" t="s">
        <v>8662</v>
      </c>
      <c r="U890" s="5">
        <v>1548.06</v>
      </c>
      <c r="V890" s="5">
        <v>1247.22</v>
      </c>
      <c r="W890" s="5">
        <v>12.685477000000001</v>
      </c>
      <c r="X890" s="5">
        <v>108.0461</v>
      </c>
      <c r="Y890" s="5">
        <v>300.83999999999997</v>
      </c>
      <c r="Z890" s="5">
        <v>12.710324999999999</v>
      </c>
      <c r="AA890" s="5">
        <v>108.068253</v>
      </c>
      <c r="AB890" s="7">
        <f t="shared" si="79"/>
        <v>1.87083</v>
      </c>
      <c r="AC890" s="7">
        <f t="shared" si="80"/>
        <v>0.45125999999999999</v>
      </c>
      <c r="AD890" s="6" t="str">
        <f t="shared" si="81"/>
        <v>CAT Đắk Lắk</v>
      </c>
      <c r="AE890" s="6" t="str">
        <f t="shared" si="82"/>
        <v>Buôn Ma Thuột</v>
      </c>
      <c r="AG890">
        <f t="shared" si="83"/>
        <v>1.24722</v>
      </c>
      <c r="AH890">
        <f t="shared" si="84"/>
        <v>0.30084</v>
      </c>
    </row>
    <row r="891" spans="1:34" x14ac:dyDescent="0.25">
      <c r="A891" t="s">
        <v>8663</v>
      </c>
      <c r="B891" t="s">
        <v>8651</v>
      </c>
      <c r="C891" t="s">
        <v>8652</v>
      </c>
      <c r="D891" t="s">
        <v>8429</v>
      </c>
      <c r="E891" t="s">
        <v>8430</v>
      </c>
      <c r="F891" t="s">
        <v>8664</v>
      </c>
      <c r="G891" t="s">
        <v>15827</v>
      </c>
      <c r="H891" t="s">
        <v>15831</v>
      </c>
      <c r="I891" t="s">
        <v>16703</v>
      </c>
      <c r="J891" t="s">
        <v>23</v>
      </c>
      <c r="L891" t="s">
        <v>8432</v>
      </c>
      <c r="M891" t="s">
        <v>8665</v>
      </c>
      <c r="N891" t="s">
        <v>8666</v>
      </c>
      <c r="O891" t="s">
        <v>8667</v>
      </c>
      <c r="P891" t="s">
        <v>8668</v>
      </c>
      <c r="Q891" t="s">
        <v>8437</v>
      </c>
      <c r="R891" t="s">
        <v>8438</v>
      </c>
      <c r="S891" t="s">
        <v>8439</v>
      </c>
      <c r="T891" t="s">
        <v>8440</v>
      </c>
      <c r="U891" s="5">
        <v>92205.65</v>
      </c>
      <c r="V891" s="5">
        <v>1584.15</v>
      </c>
      <c r="W891" s="5">
        <v>12.701527</v>
      </c>
      <c r="X891" s="5">
        <v>108.07596700000001</v>
      </c>
      <c r="Y891" s="5">
        <v>90621.49</v>
      </c>
      <c r="Z891" s="5">
        <v>12.811565999999999</v>
      </c>
      <c r="AA891" s="5">
        <v>108.483311</v>
      </c>
      <c r="AB891" s="7">
        <f t="shared" si="79"/>
        <v>2.3762250000000003</v>
      </c>
      <c r="AC891" s="7">
        <f t="shared" si="80"/>
        <v>135.93223500000002</v>
      </c>
      <c r="AD891" s="6" t="str">
        <f t="shared" si="81"/>
        <v>TT1 Đăk Lăk</v>
      </c>
      <c r="AE891" s="6" t="str">
        <f t="shared" si="82"/>
        <v>ILA Ea Kar</v>
      </c>
      <c r="AG891">
        <f t="shared" si="83"/>
        <v>1.5841500000000002</v>
      </c>
      <c r="AH891">
        <f t="shared" si="84"/>
        <v>90.621490000000009</v>
      </c>
    </row>
    <row r="892" spans="1:34" x14ac:dyDescent="0.25">
      <c r="A892" t="s">
        <v>8669</v>
      </c>
      <c r="B892" t="s">
        <v>8429</v>
      </c>
      <c r="C892" t="s">
        <v>8430</v>
      </c>
      <c r="D892" t="s">
        <v>8636</v>
      </c>
      <c r="E892" t="s">
        <v>8637</v>
      </c>
      <c r="F892" t="s">
        <v>8670</v>
      </c>
      <c r="G892" t="s">
        <v>15827</v>
      </c>
      <c r="H892" t="s">
        <v>15831</v>
      </c>
      <c r="I892" t="s">
        <v>16704</v>
      </c>
      <c r="J892" t="s">
        <v>23</v>
      </c>
      <c r="L892" t="s">
        <v>8432</v>
      </c>
      <c r="M892" t="s">
        <v>8671</v>
      </c>
      <c r="N892" t="s">
        <v>8437</v>
      </c>
      <c r="O892" t="s">
        <v>8438</v>
      </c>
      <c r="P892" t="s">
        <v>8439</v>
      </c>
      <c r="Q892" t="s">
        <v>8672</v>
      </c>
      <c r="R892" t="s">
        <v>8435</v>
      </c>
      <c r="S892" t="s">
        <v>8436</v>
      </c>
      <c r="T892" t="s">
        <v>8440</v>
      </c>
      <c r="U892" s="5">
        <v>92371.6</v>
      </c>
      <c r="V892" s="5">
        <v>90621.49</v>
      </c>
      <c r="W892" s="5">
        <v>12.811565999999999</v>
      </c>
      <c r="X892" s="5">
        <v>108.483311</v>
      </c>
      <c r="Y892" s="5">
        <v>1750.11</v>
      </c>
      <c r="Z892" s="5">
        <v>12.690893000000001</v>
      </c>
      <c r="AA892" s="5">
        <v>108.06744999999999</v>
      </c>
      <c r="AB892" s="7">
        <f t="shared" si="79"/>
        <v>135.93223500000002</v>
      </c>
      <c r="AC892" s="7">
        <f t="shared" si="80"/>
        <v>2.625165</v>
      </c>
      <c r="AD892" s="6" t="str">
        <f t="shared" si="81"/>
        <v>TT1 Đăk Lăk</v>
      </c>
      <c r="AE892" s="6" t="str">
        <f t="shared" si="82"/>
        <v>ILA Ea Kar</v>
      </c>
      <c r="AG892">
        <f t="shared" si="83"/>
        <v>90.621490000000009</v>
      </c>
      <c r="AH892">
        <f t="shared" si="84"/>
        <v>1.7501099999999998</v>
      </c>
    </row>
    <row r="893" spans="1:34" x14ac:dyDescent="0.25">
      <c r="A893" t="s">
        <v>8673</v>
      </c>
      <c r="B893" t="s">
        <v>8636</v>
      </c>
      <c r="C893" t="s">
        <v>8637</v>
      </c>
      <c r="D893" t="s">
        <v>8674</v>
      </c>
      <c r="E893" t="s">
        <v>8675</v>
      </c>
      <c r="F893" t="s">
        <v>8676</v>
      </c>
      <c r="G893" t="s">
        <v>15827</v>
      </c>
      <c r="H893" t="s">
        <v>15831</v>
      </c>
      <c r="I893" t="s">
        <v>16705</v>
      </c>
      <c r="J893" t="s">
        <v>23</v>
      </c>
      <c r="L893" t="s">
        <v>8639</v>
      </c>
      <c r="M893" t="s">
        <v>8677</v>
      </c>
      <c r="N893" t="s">
        <v>8678</v>
      </c>
      <c r="O893" t="s">
        <v>8679</v>
      </c>
      <c r="P893" t="s">
        <v>8680</v>
      </c>
      <c r="Q893" t="s">
        <v>8681</v>
      </c>
      <c r="R893" t="s">
        <v>8682</v>
      </c>
      <c r="S893" t="s">
        <v>8683</v>
      </c>
      <c r="T893" t="s">
        <v>8684</v>
      </c>
      <c r="U893" s="5">
        <v>1974.77</v>
      </c>
      <c r="V893" s="5">
        <v>699.16</v>
      </c>
      <c r="W893" s="5">
        <v>12.681206</v>
      </c>
      <c r="X893" s="5">
        <v>108.047189</v>
      </c>
      <c r="Y893" s="5">
        <v>1275.6099999999999</v>
      </c>
      <c r="Z893" s="5">
        <v>12.668706999999999</v>
      </c>
      <c r="AA893" s="5">
        <v>108.04349000000001</v>
      </c>
      <c r="AB893" s="7">
        <f t="shared" si="79"/>
        <v>1.04874</v>
      </c>
      <c r="AC893" s="7">
        <f t="shared" si="80"/>
        <v>1.9134149999999999</v>
      </c>
      <c r="AD893" s="6" t="str">
        <f t="shared" si="81"/>
        <v>TT1 Đăk Lăk</v>
      </c>
      <c r="AE893" s="6" t="str">
        <f t="shared" si="82"/>
        <v>KRông Ana</v>
      </c>
      <c r="AG893">
        <f t="shared" si="83"/>
        <v>0.69916</v>
      </c>
      <c r="AH893">
        <f t="shared" si="84"/>
        <v>1.2756099999999999</v>
      </c>
    </row>
    <row r="894" spans="1:34" x14ac:dyDescent="0.25">
      <c r="A894" t="s">
        <v>8685</v>
      </c>
      <c r="B894" t="s">
        <v>8636</v>
      </c>
      <c r="C894" t="s">
        <v>8637</v>
      </c>
      <c r="D894" t="s">
        <v>8686</v>
      </c>
      <c r="E894" t="s">
        <v>8687</v>
      </c>
      <c r="F894" t="s">
        <v>8688</v>
      </c>
      <c r="G894" t="s">
        <v>15827</v>
      </c>
      <c r="H894" t="s">
        <v>15831</v>
      </c>
      <c r="I894" t="s">
        <v>16706</v>
      </c>
      <c r="J894" t="s">
        <v>23</v>
      </c>
      <c r="L894" t="s">
        <v>8689</v>
      </c>
      <c r="M894" t="s">
        <v>8690</v>
      </c>
      <c r="N894" t="s">
        <v>8691</v>
      </c>
      <c r="O894" t="s">
        <v>8692</v>
      </c>
      <c r="P894" t="s">
        <v>8693</v>
      </c>
      <c r="Q894" t="s">
        <v>8694</v>
      </c>
      <c r="R894" t="s">
        <v>8695</v>
      </c>
      <c r="S894" t="s">
        <v>8696</v>
      </c>
      <c r="T894" t="s">
        <v>8697</v>
      </c>
      <c r="U894" s="5">
        <v>4391.47</v>
      </c>
      <c r="V894" s="5">
        <v>4070.81</v>
      </c>
      <c r="W894" s="5">
        <v>12.656803999999999</v>
      </c>
      <c r="X894" s="5">
        <v>108.028026</v>
      </c>
      <c r="Y894" s="5">
        <v>320.66000000000003</v>
      </c>
      <c r="Z894" s="5">
        <v>12.63283</v>
      </c>
      <c r="AA894" s="5">
        <v>108.030221</v>
      </c>
      <c r="AB894" s="7">
        <f t="shared" si="79"/>
        <v>6.1062149999999997</v>
      </c>
      <c r="AC894" s="7">
        <f t="shared" si="80"/>
        <v>0.48099000000000003</v>
      </c>
      <c r="AD894" s="6" t="str">
        <f t="shared" si="81"/>
        <v>Ea Kao</v>
      </c>
      <c r="AE894" s="6" t="str">
        <f t="shared" si="82"/>
        <v>Ea Ktur</v>
      </c>
      <c r="AG894">
        <f t="shared" si="83"/>
        <v>4.0708099999999998</v>
      </c>
      <c r="AH894">
        <f t="shared" si="84"/>
        <v>0.32066</v>
      </c>
    </row>
    <row r="895" spans="1:34" x14ac:dyDescent="0.25">
      <c r="A895" t="s">
        <v>8698</v>
      </c>
      <c r="B895" t="s">
        <v>8699</v>
      </c>
      <c r="C895" t="s">
        <v>8700</v>
      </c>
      <c r="D895" t="s">
        <v>8636</v>
      </c>
      <c r="E895" t="s">
        <v>8637</v>
      </c>
      <c r="F895" t="s">
        <v>8701</v>
      </c>
      <c r="G895" t="s">
        <v>15827</v>
      </c>
      <c r="H895" t="s">
        <v>15831</v>
      </c>
      <c r="I895" t="s">
        <v>16707</v>
      </c>
      <c r="J895" t="s">
        <v>23</v>
      </c>
      <c r="L895" t="s">
        <v>8702</v>
      </c>
      <c r="M895" t="s">
        <v>8703</v>
      </c>
      <c r="N895" t="s">
        <v>8704</v>
      </c>
      <c r="O895" t="s">
        <v>8705</v>
      </c>
      <c r="P895" t="s">
        <v>8706</v>
      </c>
      <c r="Q895" t="s">
        <v>8707</v>
      </c>
      <c r="R895" t="s">
        <v>8708</v>
      </c>
      <c r="S895" t="s">
        <v>8709</v>
      </c>
      <c r="T895" t="s">
        <v>8710</v>
      </c>
      <c r="U895" s="5">
        <v>362.98</v>
      </c>
      <c r="V895" s="5">
        <v>284.67</v>
      </c>
      <c r="W895" s="5">
        <v>12.692307</v>
      </c>
      <c r="X895" s="5">
        <v>108.064505</v>
      </c>
      <c r="Y895" s="5">
        <v>78.31</v>
      </c>
      <c r="Z895" s="5">
        <v>12.684723999999999</v>
      </c>
      <c r="AA895" s="5">
        <v>108.052223</v>
      </c>
      <c r="AB895" s="7">
        <f t="shared" si="79"/>
        <v>0.42700499999999997</v>
      </c>
      <c r="AC895" s="7">
        <f t="shared" si="80"/>
        <v>0.117465</v>
      </c>
      <c r="AD895" s="6" t="str">
        <f t="shared" si="81"/>
        <v>CAT Đắk Lắk</v>
      </c>
      <c r="AE895" s="6" t="str">
        <f t="shared" si="82"/>
        <v>Tân An</v>
      </c>
      <c r="AG895">
        <f t="shared" si="83"/>
        <v>0.28467000000000003</v>
      </c>
      <c r="AH895">
        <f t="shared" si="84"/>
        <v>7.8310000000000005E-2</v>
      </c>
    </row>
    <row r="896" spans="1:34" x14ac:dyDescent="0.25">
      <c r="A896" t="s">
        <v>8711</v>
      </c>
      <c r="B896" t="s">
        <v>8712</v>
      </c>
      <c r="C896" t="s">
        <v>8713</v>
      </c>
      <c r="D896" t="s">
        <v>8342</v>
      </c>
      <c r="E896" t="s">
        <v>8343</v>
      </c>
      <c r="F896" t="s">
        <v>8714</v>
      </c>
      <c r="G896" t="s">
        <v>15827</v>
      </c>
      <c r="H896" t="s">
        <v>15831</v>
      </c>
      <c r="I896" t="s">
        <v>16708</v>
      </c>
      <c r="J896" t="s">
        <v>23</v>
      </c>
      <c r="L896" t="s">
        <v>8715</v>
      </c>
      <c r="M896" t="s">
        <v>8716</v>
      </c>
      <c r="N896" t="s">
        <v>8717</v>
      </c>
      <c r="O896" t="s">
        <v>8718</v>
      </c>
      <c r="P896" t="s">
        <v>8719</v>
      </c>
      <c r="Q896" t="s">
        <v>8720</v>
      </c>
      <c r="R896" t="s">
        <v>8721</v>
      </c>
      <c r="S896" t="s">
        <v>8722</v>
      </c>
      <c r="T896" t="s">
        <v>8723</v>
      </c>
      <c r="U896" s="5">
        <v>813.21</v>
      </c>
      <c r="V896" s="5">
        <v>784.6</v>
      </c>
      <c r="W896" s="5">
        <v>12.984244</v>
      </c>
      <c r="X896" s="5">
        <v>108.42770400000001</v>
      </c>
      <c r="Y896" s="5">
        <v>28.61</v>
      </c>
      <c r="Z896" s="5">
        <v>12.951983999999999</v>
      </c>
      <c r="AA896" s="5">
        <v>108.344781</v>
      </c>
      <c r="AB896" s="7">
        <f t="shared" si="79"/>
        <v>1.1769000000000001</v>
      </c>
      <c r="AC896" s="7">
        <f t="shared" si="80"/>
        <v>4.2915000000000002E-2</v>
      </c>
      <c r="AD896" s="6" t="str">
        <f t="shared" si="81"/>
        <v>TTCMKV Krông Năng</v>
      </c>
      <c r="AE896" s="6" t="str">
        <f t="shared" si="82"/>
        <v>Tam Giang</v>
      </c>
      <c r="AG896">
        <f t="shared" si="83"/>
        <v>0.78460000000000008</v>
      </c>
      <c r="AH896">
        <f t="shared" si="84"/>
        <v>2.861E-2</v>
      </c>
    </row>
    <row r="897" spans="1:34" x14ac:dyDescent="0.25">
      <c r="A897" t="s">
        <v>8724</v>
      </c>
      <c r="B897" t="s">
        <v>8725</v>
      </c>
      <c r="C897" t="s">
        <v>8726</v>
      </c>
      <c r="D897" t="s">
        <v>8727</v>
      </c>
      <c r="E897" t="s">
        <v>8728</v>
      </c>
      <c r="F897" t="s">
        <v>8729</v>
      </c>
      <c r="G897" t="s">
        <v>15827</v>
      </c>
      <c r="H897" t="s">
        <v>15831</v>
      </c>
      <c r="I897" t="s">
        <v>16709</v>
      </c>
      <c r="J897" t="s">
        <v>23</v>
      </c>
      <c r="L897" t="s">
        <v>8245</v>
      </c>
      <c r="M897" t="s">
        <v>8730</v>
      </c>
      <c r="N897" t="s">
        <v>8731</v>
      </c>
      <c r="O897" t="s">
        <v>8732</v>
      </c>
      <c r="P897" t="s">
        <v>8733</v>
      </c>
      <c r="Q897" t="s">
        <v>8734</v>
      </c>
      <c r="R897" t="s">
        <v>8735</v>
      </c>
      <c r="S897" t="s">
        <v>8736</v>
      </c>
      <c r="T897" t="s">
        <v>8253</v>
      </c>
      <c r="U897" s="5">
        <v>17290.89</v>
      </c>
      <c r="V897" s="5">
        <v>7793.81</v>
      </c>
      <c r="W897" s="5">
        <v>12.951309</v>
      </c>
      <c r="X897" s="5">
        <v>108.24881499999999</v>
      </c>
      <c r="Y897" s="5">
        <v>9497.08</v>
      </c>
      <c r="Z897" s="5">
        <v>13.192185</v>
      </c>
      <c r="AA897" s="5">
        <v>108.203992</v>
      </c>
      <c r="AB897" s="7">
        <f t="shared" si="79"/>
        <v>11.690715000000001</v>
      </c>
      <c r="AC897" s="7">
        <f t="shared" si="80"/>
        <v>14.245619999999999</v>
      </c>
      <c r="AD897" s="6" t="str">
        <f t="shared" si="81"/>
        <v>Buôn Hồ</v>
      </c>
      <c r="AE897" s="6" t="str">
        <f t="shared" si="82"/>
        <v>Ea H'Leo</v>
      </c>
      <c r="AG897">
        <f t="shared" si="83"/>
        <v>7.7938100000000006</v>
      </c>
      <c r="AH897">
        <f t="shared" si="84"/>
        <v>9.4970800000000004</v>
      </c>
    </row>
    <row r="898" spans="1:34" x14ac:dyDescent="0.25">
      <c r="A898" t="s">
        <v>8737</v>
      </c>
      <c r="B898" t="s">
        <v>8414</v>
      </c>
      <c r="C898" t="s">
        <v>8415</v>
      </c>
      <c r="D898" t="s">
        <v>8738</v>
      </c>
      <c r="E898" t="s">
        <v>8739</v>
      </c>
      <c r="F898" t="s">
        <v>8740</v>
      </c>
      <c r="G898" t="s">
        <v>15827</v>
      </c>
      <c r="H898" t="s">
        <v>15831</v>
      </c>
      <c r="I898" t="s">
        <v>16710</v>
      </c>
      <c r="J898" t="s">
        <v>23</v>
      </c>
      <c r="L898" t="s">
        <v>8741</v>
      </c>
      <c r="M898" t="s">
        <v>8742</v>
      </c>
      <c r="N898" t="s">
        <v>8743</v>
      </c>
      <c r="O898" t="s">
        <v>8744</v>
      </c>
      <c r="P898" t="s">
        <v>8745</v>
      </c>
      <c r="Q898" t="s">
        <v>8746</v>
      </c>
      <c r="R898" t="s">
        <v>8747</v>
      </c>
      <c r="S898" t="s">
        <v>8748</v>
      </c>
      <c r="T898" t="s">
        <v>8749</v>
      </c>
      <c r="U898" s="5">
        <v>93.35</v>
      </c>
      <c r="V898" s="5">
        <v>56.69</v>
      </c>
      <c r="W898" s="5">
        <v>12.916477</v>
      </c>
      <c r="X898" s="5">
        <v>108.266079</v>
      </c>
      <c r="Y898" s="5">
        <v>36.659999999999997</v>
      </c>
      <c r="Z898" s="5">
        <v>12.920686999999999</v>
      </c>
      <c r="AA898" s="5">
        <v>108.264589</v>
      </c>
      <c r="AB898" s="7">
        <f t="shared" si="79"/>
        <v>8.5034999999999999E-2</v>
      </c>
      <c r="AC898" s="7">
        <f t="shared" si="80"/>
        <v>5.4989999999999997E-2</v>
      </c>
      <c r="AD898" s="6" t="e">
        <f t="shared" si="81"/>
        <v>#VALUE!</v>
      </c>
      <c r="AE898" s="6" t="e">
        <f t="shared" si="82"/>
        <v>#VALUE!</v>
      </c>
      <c r="AG898">
        <f t="shared" si="83"/>
        <v>5.6689999999999997E-2</v>
      </c>
      <c r="AH898">
        <f t="shared" si="84"/>
        <v>3.6659999999999998E-2</v>
      </c>
    </row>
    <row r="899" spans="1:34" x14ac:dyDescent="0.25">
      <c r="A899" t="s">
        <v>8750</v>
      </c>
      <c r="B899" t="s">
        <v>8429</v>
      </c>
      <c r="C899" t="s">
        <v>8430</v>
      </c>
      <c r="D899" t="s">
        <v>8751</v>
      </c>
      <c r="E899" t="s">
        <v>8752</v>
      </c>
      <c r="F899" t="s">
        <v>8753</v>
      </c>
      <c r="G899" t="s">
        <v>15827</v>
      </c>
      <c r="H899" t="s">
        <v>15831</v>
      </c>
      <c r="I899" t="s">
        <v>16711</v>
      </c>
      <c r="J899" t="s">
        <v>23</v>
      </c>
      <c r="L899" t="s">
        <v>8432</v>
      </c>
      <c r="M899" t="s">
        <v>8754</v>
      </c>
      <c r="N899" t="s">
        <v>8437</v>
      </c>
      <c r="O899" t="s">
        <v>8438</v>
      </c>
      <c r="P899" t="s">
        <v>8439</v>
      </c>
      <c r="Q899" t="s">
        <v>8755</v>
      </c>
      <c r="R899" t="s">
        <v>8435</v>
      </c>
      <c r="S899" t="s">
        <v>8436</v>
      </c>
      <c r="T899" t="s">
        <v>8440</v>
      </c>
      <c r="U899" s="5">
        <v>92569</v>
      </c>
      <c r="V899" s="5">
        <v>90621.49</v>
      </c>
      <c r="W899" s="5">
        <v>12.811565999999999</v>
      </c>
      <c r="X899" s="5">
        <v>108.483311</v>
      </c>
      <c r="Y899" s="5">
        <v>1947.51</v>
      </c>
      <c r="Z899" s="5">
        <v>12.690893000000001</v>
      </c>
      <c r="AA899" s="5">
        <v>108.06744999999999</v>
      </c>
      <c r="AB899" s="7">
        <f t="shared" ref="AB899:AB962" si="85">V899*1.5/1000</f>
        <v>135.93223500000002</v>
      </c>
      <c r="AC899" s="7">
        <f t="shared" ref="AC899:AC962" si="86">Y899*1.5/1000</f>
        <v>2.921265</v>
      </c>
      <c r="AD899" s="6" t="str">
        <f t="shared" ref="AD899:AD962" si="87">TRIM(LEFT(L899,FIND("-",L899)-1))</f>
        <v>TT1 Đăk Lăk</v>
      </c>
      <c r="AE899" s="6" t="str">
        <f t="shared" ref="AE899:AE962" si="88">TRIM(RIGHT(L899, LEN(L899) - FIND("-", L899)))</f>
        <v>ILA Ea Kar</v>
      </c>
      <c r="AG899">
        <f t="shared" ref="AG899:AG962" si="89">V899/1000</f>
        <v>90.621490000000009</v>
      </c>
      <c r="AH899">
        <f t="shared" ref="AH899:AH962" si="90">Y899/1000</f>
        <v>1.9475100000000001</v>
      </c>
    </row>
    <row r="900" spans="1:34" x14ac:dyDescent="0.25">
      <c r="A900" t="s">
        <v>8756</v>
      </c>
      <c r="B900" t="s">
        <v>8757</v>
      </c>
      <c r="C900" t="s">
        <v>8758</v>
      </c>
      <c r="D900" t="s">
        <v>8759</v>
      </c>
      <c r="E900" t="s">
        <v>8760</v>
      </c>
      <c r="F900" t="s">
        <v>8761</v>
      </c>
      <c r="G900" t="s">
        <v>15827</v>
      </c>
      <c r="H900" t="s">
        <v>15831</v>
      </c>
      <c r="I900" t="s">
        <v>16712</v>
      </c>
      <c r="J900" t="s">
        <v>23</v>
      </c>
      <c r="L900" t="s">
        <v>8762</v>
      </c>
      <c r="M900" t="s">
        <v>8763</v>
      </c>
      <c r="N900" t="s">
        <v>8764</v>
      </c>
      <c r="O900" t="s">
        <v>8765</v>
      </c>
      <c r="P900" t="s">
        <v>8766</v>
      </c>
      <c r="Q900" t="s">
        <v>8767</v>
      </c>
      <c r="R900" t="s">
        <v>8768</v>
      </c>
      <c r="S900" t="s">
        <v>8769</v>
      </c>
      <c r="T900" t="s">
        <v>8770</v>
      </c>
      <c r="U900" s="5">
        <v>260.27</v>
      </c>
      <c r="V900" s="5">
        <v>75.59</v>
      </c>
      <c r="W900" s="5">
        <v>12.712070000000001</v>
      </c>
      <c r="X900" s="5">
        <v>108.069571</v>
      </c>
      <c r="Y900" s="5">
        <v>184.68</v>
      </c>
      <c r="Z900" s="5">
        <v>12.733822</v>
      </c>
      <c r="AA900" s="5">
        <v>108.07914700000001</v>
      </c>
      <c r="AB900" s="7">
        <f t="shared" si="85"/>
        <v>0.113385</v>
      </c>
      <c r="AC900" s="7">
        <f t="shared" si="86"/>
        <v>0.27701999999999999</v>
      </c>
      <c r="AD900" s="6" t="str">
        <f t="shared" si="87"/>
        <v>"Buôn Ma Thuột</v>
      </c>
      <c r="AE900" s="6" t="str">
        <f t="shared" si="88"/>
        <v>TTCMKV Cư
M'gar"</v>
      </c>
      <c r="AG900">
        <f t="shared" si="89"/>
        <v>7.5590000000000004E-2</v>
      </c>
      <c r="AH900">
        <f t="shared" si="90"/>
        <v>0.18468000000000001</v>
      </c>
    </row>
    <row r="901" spans="1:34" x14ac:dyDescent="0.25">
      <c r="A901" t="s">
        <v>8771</v>
      </c>
      <c r="B901" t="s">
        <v>8315</v>
      </c>
      <c r="C901" t="s">
        <v>8316</v>
      </c>
      <c r="D901" t="s">
        <v>8772</v>
      </c>
      <c r="E901" t="s">
        <v>8773</v>
      </c>
      <c r="F901" t="s">
        <v>8774</v>
      </c>
      <c r="G901" t="s">
        <v>15827</v>
      </c>
      <c r="H901" t="s">
        <v>15831</v>
      </c>
      <c r="I901" t="s">
        <v>16713</v>
      </c>
      <c r="J901" t="s">
        <v>23</v>
      </c>
      <c r="L901" t="s">
        <v>8775</v>
      </c>
      <c r="M901" t="s">
        <v>8776</v>
      </c>
      <c r="N901" t="s">
        <v>8777</v>
      </c>
      <c r="O901" t="s">
        <v>8778</v>
      </c>
      <c r="P901" t="s">
        <v>8779</v>
      </c>
      <c r="Q901" t="s">
        <v>8780</v>
      </c>
      <c r="R901" t="s">
        <v>8781</v>
      </c>
      <c r="S901" t="s">
        <v>8782</v>
      </c>
      <c r="T901" t="s">
        <v>8783</v>
      </c>
      <c r="U901" s="5">
        <v>1015.69</v>
      </c>
      <c r="V901" s="5">
        <v>115.74</v>
      </c>
      <c r="W901" s="5">
        <v>13.038183999999999</v>
      </c>
      <c r="X901" s="5">
        <v>108.21764</v>
      </c>
      <c r="Y901" s="5">
        <v>899.95</v>
      </c>
      <c r="Z901" s="5">
        <v>13.043448</v>
      </c>
      <c r="AA901" s="5">
        <v>108.21302799999999</v>
      </c>
      <c r="AB901" s="7">
        <f t="shared" si="85"/>
        <v>0.17360999999999999</v>
      </c>
      <c r="AC901" s="7">
        <f t="shared" si="86"/>
        <v>1.3499250000000003</v>
      </c>
      <c r="AD901" s="6" t="str">
        <f t="shared" si="87"/>
        <v>Cư Pơng</v>
      </c>
      <c r="AE901" s="6" t="str">
        <f t="shared" si="88"/>
        <v>Krông Búk</v>
      </c>
      <c r="AG901">
        <f t="shared" si="89"/>
        <v>0.11574</v>
      </c>
      <c r="AH901">
        <f t="shared" si="90"/>
        <v>0.89995000000000003</v>
      </c>
    </row>
    <row r="902" spans="1:34" x14ac:dyDescent="0.25">
      <c r="A902" t="s">
        <v>8784</v>
      </c>
      <c r="B902" t="s">
        <v>8242</v>
      </c>
      <c r="C902" t="s">
        <v>8243</v>
      </c>
      <c r="D902" t="s">
        <v>8785</v>
      </c>
      <c r="E902" t="s">
        <v>8786</v>
      </c>
      <c r="F902" t="s">
        <v>8787</v>
      </c>
      <c r="G902" t="s">
        <v>15827</v>
      </c>
      <c r="H902" t="s">
        <v>15831</v>
      </c>
      <c r="I902" t="s">
        <v>16714</v>
      </c>
      <c r="J902" t="s">
        <v>23</v>
      </c>
      <c r="L902" t="s">
        <v>8245</v>
      </c>
      <c r="M902" t="s">
        <v>8788</v>
      </c>
      <c r="N902" t="s">
        <v>8250</v>
      </c>
      <c r="O902" t="s">
        <v>8251</v>
      </c>
      <c r="P902" t="s">
        <v>8252</v>
      </c>
      <c r="Q902" t="s">
        <v>8789</v>
      </c>
      <c r="R902" t="s">
        <v>8790</v>
      </c>
      <c r="S902" t="s">
        <v>8791</v>
      </c>
      <c r="T902" t="s">
        <v>8253</v>
      </c>
      <c r="U902" s="5">
        <v>288.27</v>
      </c>
      <c r="V902" s="5">
        <v>102</v>
      </c>
      <c r="W902" s="5">
        <v>12.970822</v>
      </c>
      <c r="X902" s="5">
        <v>108.244495</v>
      </c>
      <c r="Y902" s="5">
        <v>186.28</v>
      </c>
      <c r="Z902" s="5">
        <v>12.947990000000001</v>
      </c>
      <c r="AA902" s="5">
        <v>108.25184</v>
      </c>
      <c r="AB902" s="7">
        <f t="shared" si="85"/>
        <v>0.153</v>
      </c>
      <c r="AC902" s="7">
        <f t="shared" si="86"/>
        <v>0.27942</v>
      </c>
      <c r="AD902" s="6" t="str">
        <f t="shared" si="87"/>
        <v>Buôn Hồ</v>
      </c>
      <c r="AE902" s="6" t="str">
        <f t="shared" si="88"/>
        <v>Ea H'Leo</v>
      </c>
      <c r="AG902">
        <f t="shared" si="89"/>
        <v>0.10199999999999999</v>
      </c>
      <c r="AH902">
        <f t="shared" si="90"/>
        <v>0.18628</v>
      </c>
    </row>
    <row r="903" spans="1:34" x14ac:dyDescent="0.25">
      <c r="A903" t="s">
        <v>8792</v>
      </c>
      <c r="B903" t="s">
        <v>8315</v>
      </c>
      <c r="C903" t="s">
        <v>8316</v>
      </c>
      <c r="D903" t="s">
        <v>8793</v>
      </c>
      <c r="E903" t="s">
        <v>8794</v>
      </c>
      <c r="F903" t="s">
        <v>8795</v>
      </c>
      <c r="G903" t="s">
        <v>15827</v>
      </c>
      <c r="H903" t="s">
        <v>15831</v>
      </c>
      <c r="I903" t="s">
        <v>16715</v>
      </c>
      <c r="J903" t="s">
        <v>23</v>
      </c>
      <c r="L903" t="s">
        <v>8318</v>
      </c>
      <c r="M903" t="s">
        <v>8796</v>
      </c>
      <c r="N903" t="s">
        <v>8323</v>
      </c>
      <c r="O903" t="s">
        <v>8324</v>
      </c>
      <c r="P903" t="s">
        <v>8325</v>
      </c>
      <c r="Q903" t="s">
        <v>8797</v>
      </c>
      <c r="R903" t="s">
        <v>8798</v>
      </c>
      <c r="S903" t="s">
        <v>8799</v>
      </c>
      <c r="T903" t="s">
        <v>8326</v>
      </c>
      <c r="U903" s="5">
        <v>938.27</v>
      </c>
      <c r="V903" s="5">
        <v>826.1</v>
      </c>
      <c r="W903" s="5">
        <v>13.043447</v>
      </c>
      <c r="X903" s="5">
        <v>108.212785</v>
      </c>
      <c r="Y903" s="5">
        <v>112.17</v>
      </c>
      <c r="Z903" s="5">
        <v>13.008883000000001</v>
      </c>
      <c r="AA903" s="5">
        <v>108.150448</v>
      </c>
      <c r="AB903" s="7">
        <f t="shared" si="85"/>
        <v>1.2391500000000002</v>
      </c>
      <c r="AC903" s="7">
        <f t="shared" si="86"/>
        <v>0.16825499999999999</v>
      </c>
      <c r="AD903" s="6" t="e">
        <f t="shared" si="87"/>
        <v>#VALUE!</v>
      </c>
      <c r="AE903" s="6" t="e">
        <f t="shared" si="88"/>
        <v>#VALUE!</v>
      </c>
      <c r="AG903">
        <f t="shared" si="89"/>
        <v>0.82610000000000006</v>
      </c>
      <c r="AH903">
        <f t="shared" si="90"/>
        <v>0.11217000000000001</v>
      </c>
    </row>
    <row r="904" spans="1:34" x14ac:dyDescent="0.25">
      <c r="A904" t="s">
        <v>8800</v>
      </c>
      <c r="B904" t="s">
        <v>8242</v>
      </c>
      <c r="C904" t="s">
        <v>8243</v>
      </c>
      <c r="D904" t="s">
        <v>8315</v>
      </c>
      <c r="E904" t="s">
        <v>8316</v>
      </c>
      <c r="F904" t="s">
        <v>8801</v>
      </c>
      <c r="G904" t="s">
        <v>15827</v>
      </c>
      <c r="H904" t="s">
        <v>15831</v>
      </c>
      <c r="I904" t="s">
        <v>16716</v>
      </c>
      <c r="J904" t="s">
        <v>23</v>
      </c>
      <c r="L904" t="s">
        <v>8245</v>
      </c>
      <c r="M904" t="s">
        <v>8802</v>
      </c>
      <c r="N904" t="s">
        <v>8250</v>
      </c>
      <c r="O904" t="s">
        <v>8251</v>
      </c>
      <c r="P904" t="s">
        <v>8252</v>
      </c>
      <c r="Q904" t="s">
        <v>8803</v>
      </c>
      <c r="R904" t="s">
        <v>8804</v>
      </c>
      <c r="S904" t="s">
        <v>8805</v>
      </c>
      <c r="T904" t="s">
        <v>8253</v>
      </c>
      <c r="U904" s="5">
        <v>821.95</v>
      </c>
      <c r="V904" s="5">
        <v>102</v>
      </c>
      <c r="W904" s="5">
        <v>12.970822</v>
      </c>
      <c r="X904" s="5">
        <v>108.244495</v>
      </c>
      <c r="Y904" s="5">
        <v>719.96</v>
      </c>
      <c r="Z904" s="5">
        <v>13.039524999999999</v>
      </c>
      <c r="AA904" s="5">
        <v>108.225184</v>
      </c>
      <c r="AB904" s="7">
        <f t="shared" si="85"/>
        <v>0.153</v>
      </c>
      <c r="AC904" s="7">
        <f t="shared" si="86"/>
        <v>1.0799400000000001</v>
      </c>
      <c r="AD904" s="6" t="str">
        <f t="shared" si="87"/>
        <v>Buôn Hồ</v>
      </c>
      <c r="AE904" s="6" t="str">
        <f t="shared" si="88"/>
        <v>Ea H'Leo</v>
      </c>
      <c r="AG904">
        <f t="shared" si="89"/>
        <v>0.10199999999999999</v>
      </c>
      <c r="AH904">
        <f t="shared" si="90"/>
        <v>0.71996000000000004</v>
      </c>
    </row>
    <row r="905" spans="1:34" x14ac:dyDescent="0.25">
      <c r="A905" t="s">
        <v>8806</v>
      </c>
      <c r="B905" t="s">
        <v>8807</v>
      </c>
      <c r="C905" t="s">
        <v>8808</v>
      </c>
      <c r="D905" t="s">
        <v>8242</v>
      </c>
      <c r="E905" t="s">
        <v>8243</v>
      </c>
      <c r="F905" t="s">
        <v>8809</v>
      </c>
      <c r="G905" t="s">
        <v>15827</v>
      </c>
      <c r="H905" t="s">
        <v>15831</v>
      </c>
      <c r="I905" t="s">
        <v>16717</v>
      </c>
      <c r="J905" t="s">
        <v>23</v>
      </c>
      <c r="L905" t="s">
        <v>8810</v>
      </c>
      <c r="M905" t="s">
        <v>8811</v>
      </c>
      <c r="N905" t="s">
        <v>8812</v>
      </c>
      <c r="O905" t="s">
        <v>8813</v>
      </c>
      <c r="P905" t="s">
        <v>8814</v>
      </c>
      <c r="Q905" t="s">
        <v>8815</v>
      </c>
      <c r="R905" t="s">
        <v>8816</v>
      </c>
      <c r="S905" t="s">
        <v>8817</v>
      </c>
      <c r="T905" t="s">
        <v>8818</v>
      </c>
      <c r="U905" s="5">
        <v>1917.7</v>
      </c>
      <c r="V905" s="5">
        <v>126.75</v>
      </c>
      <c r="W905" s="5">
        <v>12.939247</v>
      </c>
      <c r="X905" s="5">
        <v>108.23107299999999</v>
      </c>
      <c r="Y905" s="5">
        <v>1790.95</v>
      </c>
      <c r="Z905" s="5">
        <v>12.954533</v>
      </c>
      <c r="AA905" s="5">
        <v>108.246934</v>
      </c>
      <c r="AB905" s="7">
        <f t="shared" si="85"/>
        <v>0.19012499999999999</v>
      </c>
      <c r="AC905" s="7">
        <f t="shared" si="86"/>
        <v>2.6864250000000003</v>
      </c>
      <c r="AD905" s="6" t="str">
        <f t="shared" si="87"/>
        <v>Ea Tul</v>
      </c>
      <c r="AE905" s="6" t="str">
        <f t="shared" si="88"/>
        <v>Buôn Hồ</v>
      </c>
      <c r="AG905">
        <f t="shared" si="89"/>
        <v>0.12675</v>
      </c>
      <c r="AH905">
        <f t="shared" si="90"/>
        <v>1.79095</v>
      </c>
    </row>
    <row r="906" spans="1:34" x14ac:dyDescent="0.25">
      <c r="A906" t="s">
        <v>8819</v>
      </c>
      <c r="B906" t="s">
        <v>8820</v>
      </c>
      <c r="C906" t="s">
        <v>8821</v>
      </c>
      <c r="D906" t="s">
        <v>8342</v>
      </c>
      <c r="E906" t="s">
        <v>8343</v>
      </c>
      <c r="F906" t="s">
        <v>8822</v>
      </c>
      <c r="G906" t="s">
        <v>15827</v>
      </c>
      <c r="H906" t="s">
        <v>15831</v>
      </c>
      <c r="I906" t="s">
        <v>16718</v>
      </c>
      <c r="J906" t="s">
        <v>23</v>
      </c>
      <c r="L906" t="s">
        <v>8345</v>
      </c>
      <c r="M906" t="s">
        <v>8823</v>
      </c>
      <c r="N906" t="s">
        <v>8824</v>
      </c>
      <c r="O906" t="s">
        <v>8825</v>
      </c>
      <c r="P906" t="s">
        <v>8826</v>
      </c>
      <c r="Q906" t="s">
        <v>8350</v>
      </c>
      <c r="R906" t="s">
        <v>8351</v>
      </c>
      <c r="S906" t="s">
        <v>8352</v>
      </c>
      <c r="T906" t="s">
        <v>8353</v>
      </c>
      <c r="U906" s="5">
        <v>121.03</v>
      </c>
      <c r="V906" s="5">
        <v>85.03</v>
      </c>
      <c r="W906" s="5">
        <v>13.041829</v>
      </c>
      <c r="X906" s="5">
        <v>108.332318</v>
      </c>
      <c r="Y906" s="5">
        <v>35.99</v>
      </c>
      <c r="Z906" s="5">
        <v>12.951675</v>
      </c>
      <c r="AA906" s="5">
        <v>108.344356</v>
      </c>
      <c r="AB906" s="7">
        <f t="shared" si="85"/>
        <v>0.12754499999999999</v>
      </c>
      <c r="AC906" s="7">
        <f t="shared" si="86"/>
        <v>5.3984999999999998E-2</v>
      </c>
      <c r="AD906" s="6" t="e">
        <f t="shared" si="87"/>
        <v>#VALUE!</v>
      </c>
      <c r="AE906" s="6" t="e">
        <f t="shared" si="88"/>
        <v>#VALUE!</v>
      </c>
      <c r="AG906">
        <f t="shared" si="89"/>
        <v>8.5029999999999994E-2</v>
      </c>
      <c r="AH906">
        <f t="shared" si="90"/>
        <v>3.5990000000000001E-2</v>
      </c>
    </row>
    <row r="907" spans="1:34" x14ac:dyDescent="0.25">
      <c r="A907" t="s">
        <v>8827</v>
      </c>
      <c r="B907" t="s">
        <v>8414</v>
      </c>
      <c r="C907" t="s">
        <v>8415</v>
      </c>
      <c r="D907" t="s">
        <v>8828</v>
      </c>
      <c r="E907" t="s">
        <v>8829</v>
      </c>
      <c r="F907" t="s">
        <v>8830</v>
      </c>
      <c r="G907" t="s">
        <v>15827</v>
      </c>
      <c r="H907" t="s">
        <v>15831</v>
      </c>
      <c r="I907" t="s">
        <v>16719</v>
      </c>
      <c r="J907" t="s">
        <v>23</v>
      </c>
      <c r="L907" t="s">
        <v>8245</v>
      </c>
      <c r="M907" t="s">
        <v>8831</v>
      </c>
      <c r="N907" t="s">
        <v>8832</v>
      </c>
      <c r="O907" t="s">
        <v>8833</v>
      </c>
      <c r="P907" t="s">
        <v>8834</v>
      </c>
      <c r="Q907" t="s">
        <v>8835</v>
      </c>
      <c r="R907" t="s">
        <v>8836</v>
      </c>
      <c r="S907" t="s">
        <v>8837</v>
      </c>
      <c r="T907" t="s">
        <v>8253</v>
      </c>
      <c r="U907" s="5">
        <v>150.19999999999999</v>
      </c>
      <c r="V907" s="5">
        <v>58.27</v>
      </c>
      <c r="W907" s="5">
        <v>12.916486000000001</v>
      </c>
      <c r="X907" s="5">
        <v>108.266068</v>
      </c>
      <c r="Y907" s="5">
        <v>91.93</v>
      </c>
      <c r="Z907" s="5">
        <v>13.175210999999999</v>
      </c>
      <c r="AA907" s="5">
        <v>108.21837600000001</v>
      </c>
      <c r="AB907" s="7">
        <f t="shared" si="85"/>
        <v>8.7404999999999997E-2</v>
      </c>
      <c r="AC907" s="7">
        <f t="shared" si="86"/>
        <v>0.13789500000000002</v>
      </c>
      <c r="AD907" s="6" t="str">
        <f t="shared" si="87"/>
        <v>Buôn Hồ</v>
      </c>
      <c r="AE907" s="6" t="str">
        <f t="shared" si="88"/>
        <v>Ea H'Leo</v>
      </c>
      <c r="AG907">
        <f t="shared" si="89"/>
        <v>5.8270000000000002E-2</v>
      </c>
      <c r="AH907">
        <f t="shared" si="90"/>
        <v>9.1930000000000012E-2</v>
      </c>
    </row>
    <row r="908" spans="1:34" x14ac:dyDescent="0.25">
      <c r="A908" t="s">
        <v>8838</v>
      </c>
      <c r="B908" t="s">
        <v>8839</v>
      </c>
      <c r="C908" t="s">
        <v>8840</v>
      </c>
      <c r="D908" t="s">
        <v>8342</v>
      </c>
      <c r="E908" t="s">
        <v>8343</v>
      </c>
      <c r="F908" t="s">
        <v>8841</v>
      </c>
      <c r="G908" t="s">
        <v>15827</v>
      </c>
      <c r="H908" t="s">
        <v>15831</v>
      </c>
      <c r="I908" t="s">
        <v>16720</v>
      </c>
      <c r="J908" t="s">
        <v>23</v>
      </c>
      <c r="L908" t="s">
        <v>8842</v>
      </c>
      <c r="M908" t="s">
        <v>8843</v>
      </c>
      <c r="N908" t="s">
        <v>8844</v>
      </c>
      <c r="O908" t="s">
        <v>8845</v>
      </c>
      <c r="P908" t="s">
        <v>8846</v>
      </c>
      <c r="Q908" t="s">
        <v>8847</v>
      </c>
      <c r="R908" t="s">
        <v>8848</v>
      </c>
      <c r="S908" t="s">
        <v>8849</v>
      </c>
      <c r="T908" t="s">
        <v>8850</v>
      </c>
      <c r="U908" s="5">
        <v>196.5</v>
      </c>
      <c r="V908" s="5">
        <v>165.63</v>
      </c>
      <c r="W908" s="5">
        <v>12.951854000000001</v>
      </c>
      <c r="X908" s="5">
        <v>108.305722</v>
      </c>
      <c r="Y908" s="5">
        <v>30.87</v>
      </c>
      <c r="Z908" s="5">
        <v>12.951995999999999</v>
      </c>
      <c r="AA908" s="5">
        <v>108.344803</v>
      </c>
      <c r="AB908" s="7">
        <f t="shared" si="85"/>
        <v>0.248445</v>
      </c>
      <c r="AC908" s="7">
        <f t="shared" si="86"/>
        <v>4.6304999999999999E-2</v>
      </c>
      <c r="AD908" s="6" t="e">
        <f t="shared" si="87"/>
        <v>#VALUE!</v>
      </c>
      <c r="AE908" s="6" t="e">
        <f t="shared" si="88"/>
        <v>#VALUE!</v>
      </c>
      <c r="AG908">
        <f t="shared" si="89"/>
        <v>0.16563</v>
      </c>
      <c r="AH908">
        <f t="shared" si="90"/>
        <v>3.0870000000000002E-2</v>
      </c>
    </row>
    <row r="909" spans="1:34" x14ac:dyDescent="0.25">
      <c r="A909" t="s">
        <v>8851</v>
      </c>
      <c r="B909" t="s">
        <v>8414</v>
      </c>
      <c r="C909" t="s">
        <v>8415</v>
      </c>
      <c r="D909" t="s">
        <v>8839</v>
      </c>
      <c r="E909" t="s">
        <v>8840</v>
      </c>
      <c r="F909" t="s">
        <v>8852</v>
      </c>
      <c r="G909" t="s">
        <v>15827</v>
      </c>
      <c r="H909" t="s">
        <v>15831</v>
      </c>
      <c r="I909" t="s">
        <v>16721</v>
      </c>
      <c r="J909" t="s">
        <v>23</v>
      </c>
      <c r="L909" t="s">
        <v>8580</v>
      </c>
      <c r="M909" t="s">
        <v>8853</v>
      </c>
      <c r="N909" t="s">
        <v>8854</v>
      </c>
      <c r="O909" t="s">
        <v>8855</v>
      </c>
      <c r="P909" t="s">
        <v>8856</v>
      </c>
      <c r="Q909" t="s">
        <v>8857</v>
      </c>
      <c r="R909" t="s">
        <v>8858</v>
      </c>
      <c r="S909" t="s">
        <v>8859</v>
      </c>
      <c r="T909" t="s">
        <v>8588</v>
      </c>
      <c r="U909" s="5">
        <v>223.08</v>
      </c>
      <c r="V909" s="5">
        <v>58</v>
      </c>
      <c r="W909" s="5">
        <v>12.916520999999999</v>
      </c>
      <c r="X909" s="5">
        <v>108.266099</v>
      </c>
      <c r="Y909" s="5">
        <v>165.08</v>
      </c>
      <c r="Z909" s="5">
        <v>12.951841999999999</v>
      </c>
      <c r="AA909" s="5">
        <v>108.305711</v>
      </c>
      <c r="AB909" s="7">
        <f t="shared" si="85"/>
        <v>8.6999999999999994E-2</v>
      </c>
      <c r="AC909" s="7">
        <f t="shared" si="86"/>
        <v>0.24762000000000001</v>
      </c>
      <c r="AD909" s="6" t="str">
        <f t="shared" si="87"/>
        <v>TTCMKV Buôn Hồ</v>
      </c>
      <c r="AE909" s="6" t="str">
        <f t="shared" si="88"/>
        <v>Dliê Ya</v>
      </c>
      <c r="AG909">
        <f t="shared" si="89"/>
        <v>5.8000000000000003E-2</v>
      </c>
      <c r="AH909">
        <f t="shared" si="90"/>
        <v>0.16508</v>
      </c>
    </row>
    <row r="910" spans="1:34" x14ac:dyDescent="0.25">
      <c r="A910" t="s">
        <v>8860</v>
      </c>
      <c r="B910" t="s">
        <v>8300</v>
      </c>
      <c r="C910" t="s">
        <v>8301</v>
      </c>
      <c r="D910" t="s">
        <v>8342</v>
      </c>
      <c r="E910" t="s">
        <v>8343</v>
      </c>
      <c r="F910" t="s">
        <v>8861</v>
      </c>
      <c r="G910" t="s">
        <v>15827</v>
      </c>
      <c r="H910" t="s">
        <v>15831</v>
      </c>
      <c r="I910" t="s">
        <v>16722</v>
      </c>
      <c r="J910" t="s">
        <v>23</v>
      </c>
      <c r="L910" t="s">
        <v>8580</v>
      </c>
      <c r="M910" t="s">
        <v>8862</v>
      </c>
      <c r="N910" t="s">
        <v>8585</v>
      </c>
      <c r="O910" t="s">
        <v>8586</v>
      </c>
      <c r="P910" t="s">
        <v>8587</v>
      </c>
      <c r="Q910" t="s">
        <v>8863</v>
      </c>
      <c r="R910" t="s">
        <v>8864</v>
      </c>
      <c r="S910" t="s">
        <v>8865</v>
      </c>
      <c r="T910" t="s">
        <v>8588</v>
      </c>
      <c r="U910" s="5">
        <v>4309.1099999999997</v>
      </c>
      <c r="V910" s="5">
        <v>183.44</v>
      </c>
      <c r="W910" s="5">
        <v>13.114953</v>
      </c>
      <c r="X910" s="5">
        <v>108.330055</v>
      </c>
      <c r="Y910" s="5">
        <v>4125.67</v>
      </c>
      <c r="Z910" s="5">
        <v>12.959835</v>
      </c>
      <c r="AA910" s="5">
        <v>108.307524</v>
      </c>
      <c r="AB910" s="7">
        <f t="shared" si="85"/>
        <v>0.27515999999999996</v>
      </c>
      <c r="AC910" s="7">
        <f t="shared" si="86"/>
        <v>6.1885050000000001</v>
      </c>
      <c r="AD910" s="6" t="str">
        <f t="shared" si="87"/>
        <v>TTCMKV Buôn Hồ</v>
      </c>
      <c r="AE910" s="6" t="str">
        <f t="shared" si="88"/>
        <v>Dliê Ya</v>
      </c>
      <c r="AG910">
        <f t="shared" si="89"/>
        <v>0.18343999999999999</v>
      </c>
      <c r="AH910">
        <f t="shared" si="90"/>
        <v>4.1256700000000004</v>
      </c>
    </row>
    <row r="911" spans="1:34" x14ac:dyDescent="0.25">
      <c r="A911" t="s">
        <v>8866</v>
      </c>
      <c r="B911" t="s">
        <v>8387</v>
      </c>
      <c r="C911" t="s">
        <v>8388</v>
      </c>
      <c r="D911" t="s">
        <v>8300</v>
      </c>
      <c r="E911" t="s">
        <v>8301</v>
      </c>
      <c r="F911" t="s">
        <v>8867</v>
      </c>
      <c r="G911" t="s">
        <v>15827</v>
      </c>
      <c r="H911" t="s">
        <v>15831</v>
      </c>
      <c r="I911" t="s">
        <v>16723</v>
      </c>
      <c r="J911" t="s">
        <v>23</v>
      </c>
      <c r="L911" t="s">
        <v>8868</v>
      </c>
      <c r="M911" t="s">
        <v>8869</v>
      </c>
      <c r="N911" t="s">
        <v>8870</v>
      </c>
      <c r="O911" t="s">
        <v>8871</v>
      </c>
      <c r="P911" t="s">
        <v>8872</v>
      </c>
      <c r="Q911" t="s">
        <v>8873</v>
      </c>
      <c r="R911" t="s">
        <v>8874</v>
      </c>
      <c r="S911" t="s">
        <v>8875</v>
      </c>
      <c r="T911" t="s">
        <v>8876</v>
      </c>
      <c r="U911" s="5">
        <v>8933.98</v>
      </c>
      <c r="V911" s="5">
        <v>4630.83</v>
      </c>
      <c r="W911" s="5">
        <v>13.225431</v>
      </c>
      <c r="X911" s="5">
        <v>108.29411399999999</v>
      </c>
      <c r="Y911" s="5">
        <v>4303.16</v>
      </c>
      <c r="Z911" s="5">
        <v>13.154978</v>
      </c>
      <c r="AA911" s="5">
        <v>108.325789</v>
      </c>
      <c r="AB911" s="7">
        <f t="shared" si="85"/>
        <v>6.9462450000000002</v>
      </c>
      <c r="AC911" s="7">
        <f t="shared" si="86"/>
        <v>6.4547400000000001</v>
      </c>
      <c r="AD911" s="6" t="e">
        <f t="shared" si="87"/>
        <v>#VALUE!</v>
      </c>
      <c r="AE911" s="6" t="e">
        <f t="shared" si="88"/>
        <v>#VALUE!</v>
      </c>
      <c r="AG911">
        <f t="shared" si="89"/>
        <v>4.6308299999999996</v>
      </c>
      <c r="AH911">
        <f t="shared" si="90"/>
        <v>4.3031600000000001</v>
      </c>
    </row>
    <row r="912" spans="1:34" x14ac:dyDescent="0.25">
      <c r="A912" t="s">
        <v>8877</v>
      </c>
      <c r="B912" t="s">
        <v>8878</v>
      </c>
      <c r="C912" t="s">
        <v>8879</v>
      </c>
      <c r="D912" t="s">
        <v>8387</v>
      </c>
      <c r="E912" t="s">
        <v>8388</v>
      </c>
      <c r="F912" t="s">
        <v>8880</v>
      </c>
      <c r="G912" t="s">
        <v>15827</v>
      </c>
      <c r="H912" t="s">
        <v>15831</v>
      </c>
      <c r="I912" t="s">
        <v>16724</v>
      </c>
      <c r="J912" t="s">
        <v>23</v>
      </c>
      <c r="L912" t="s">
        <v>8492</v>
      </c>
      <c r="M912" t="s">
        <v>8881</v>
      </c>
      <c r="N912" t="s">
        <v>8882</v>
      </c>
      <c r="O912" t="s">
        <v>8883</v>
      </c>
      <c r="P912" t="s">
        <v>8884</v>
      </c>
      <c r="Q912" t="s">
        <v>8497</v>
      </c>
      <c r="R912" t="s">
        <v>8498</v>
      </c>
      <c r="S912" t="s">
        <v>8499</v>
      </c>
      <c r="T912" t="s">
        <v>8500</v>
      </c>
      <c r="U912" s="5">
        <v>153.88</v>
      </c>
      <c r="V912" s="5">
        <v>109.64</v>
      </c>
      <c r="W912" s="5">
        <v>13.201871000000001</v>
      </c>
      <c r="X912" s="5">
        <v>108.214752</v>
      </c>
      <c r="Y912" s="5">
        <v>44.24</v>
      </c>
      <c r="Z912" s="5">
        <v>13.266166999999999</v>
      </c>
      <c r="AA912" s="5">
        <v>108.287032</v>
      </c>
      <c r="AB912" s="7">
        <f t="shared" si="85"/>
        <v>0.16446</v>
      </c>
      <c r="AC912" s="7">
        <f t="shared" si="86"/>
        <v>6.6360000000000002E-2</v>
      </c>
      <c r="AD912" s="6" t="e">
        <f t="shared" si="87"/>
        <v>#VALUE!</v>
      </c>
      <c r="AE912" s="6" t="e">
        <f t="shared" si="88"/>
        <v>#VALUE!</v>
      </c>
      <c r="AG912">
        <f t="shared" si="89"/>
        <v>0.10964</v>
      </c>
      <c r="AH912">
        <f t="shared" si="90"/>
        <v>4.4240000000000002E-2</v>
      </c>
    </row>
    <row r="913" spans="1:34" x14ac:dyDescent="0.25">
      <c r="A913" t="s">
        <v>8885</v>
      </c>
      <c r="B913" t="s">
        <v>8414</v>
      </c>
      <c r="C913" t="s">
        <v>8415</v>
      </c>
      <c r="D913" t="s">
        <v>8878</v>
      </c>
      <c r="E913" t="s">
        <v>8879</v>
      </c>
      <c r="F913" t="s">
        <v>8886</v>
      </c>
      <c r="G913" t="s">
        <v>15827</v>
      </c>
      <c r="H913" t="s">
        <v>15831</v>
      </c>
      <c r="I913" t="s">
        <v>16725</v>
      </c>
      <c r="J913" t="s">
        <v>23</v>
      </c>
      <c r="L913" t="s">
        <v>8245</v>
      </c>
      <c r="M913" t="s">
        <v>8887</v>
      </c>
      <c r="N913" t="s">
        <v>8832</v>
      </c>
      <c r="O913" t="s">
        <v>8833</v>
      </c>
      <c r="P913" t="s">
        <v>8834</v>
      </c>
      <c r="Q913" t="s">
        <v>8888</v>
      </c>
      <c r="R913" t="s">
        <v>8889</v>
      </c>
      <c r="S913" t="s">
        <v>8890</v>
      </c>
      <c r="T913" t="s">
        <v>8253</v>
      </c>
      <c r="U913" s="5">
        <v>1026.28</v>
      </c>
      <c r="V913" s="5">
        <v>58.27</v>
      </c>
      <c r="W913" s="5">
        <v>12.916486000000001</v>
      </c>
      <c r="X913" s="5">
        <v>108.266068</v>
      </c>
      <c r="Y913" s="5">
        <v>968.01</v>
      </c>
      <c r="Z913" s="5">
        <v>13.204205999999999</v>
      </c>
      <c r="AA913" s="5">
        <v>108.207145</v>
      </c>
      <c r="AB913" s="7">
        <f t="shared" si="85"/>
        <v>8.7404999999999997E-2</v>
      </c>
      <c r="AC913" s="7">
        <f t="shared" si="86"/>
        <v>1.4520149999999998</v>
      </c>
      <c r="AD913" s="6" t="str">
        <f t="shared" si="87"/>
        <v>Buôn Hồ</v>
      </c>
      <c r="AE913" s="6" t="str">
        <f t="shared" si="88"/>
        <v>Ea H'Leo</v>
      </c>
      <c r="AG913">
        <f t="shared" si="89"/>
        <v>5.8270000000000002E-2</v>
      </c>
      <c r="AH913">
        <f t="shared" si="90"/>
        <v>0.96801000000000004</v>
      </c>
    </row>
    <row r="914" spans="1:34" x14ac:dyDescent="0.25">
      <c r="A914" t="s">
        <v>8891</v>
      </c>
      <c r="B914" t="s">
        <v>8414</v>
      </c>
      <c r="C914" t="s">
        <v>8415</v>
      </c>
      <c r="D914" t="s">
        <v>8892</v>
      </c>
      <c r="E914" t="s">
        <v>8893</v>
      </c>
      <c r="F914" t="s">
        <v>8894</v>
      </c>
      <c r="G914" t="s">
        <v>15827</v>
      </c>
      <c r="H914" t="s">
        <v>15831</v>
      </c>
      <c r="I914" t="s">
        <v>16726</v>
      </c>
      <c r="J914" t="s">
        <v>23</v>
      </c>
      <c r="L914" t="s">
        <v>8895</v>
      </c>
      <c r="M914" t="s">
        <v>8896</v>
      </c>
      <c r="N914" t="s">
        <v>8897</v>
      </c>
      <c r="O914" t="s">
        <v>8898</v>
      </c>
      <c r="P914" t="s">
        <v>8899</v>
      </c>
      <c r="Q914" t="s">
        <v>8900</v>
      </c>
      <c r="R914" t="s">
        <v>8901</v>
      </c>
      <c r="S914" t="s">
        <v>8902</v>
      </c>
      <c r="T914" t="s">
        <v>8903</v>
      </c>
      <c r="U914" s="5">
        <v>9422.7900000000009</v>
      </c>
      <c r="V914" s="5">
        <v>9287.61</v>
      </c>
      <c r="W914" s="5">
        <v>12.924609999999999</v>
      </c>
      <c r="X914" s="5">
        <v>108.35176800000001</v>
      </c>
      <c r="Y914" s="5">
        <v>135.18</v>
      </c>
      <c r="Z914" s="5">
        <v>12.88081</v>
      </c>
      <c r="AA914" s="5">
        <v>108.38649100000001</v>
      </c>
      <c r="AB914" s="7">
        <f t="shared" si="85"/>
        <v>13.931415000000001</v>
      </c>
      <c r="AC914" s="7">
        <f t="shared" si="86"/>
        <v>0.20277000000000001</v>
      </c>
      <c r="AD914" s="6" t="str">
        <f t="shared" si="87"/>
        <v>Ea Kar</v>
      </c>
      <c r="AE914" s="6" t="str">
        <f t="shared" si="88"/>
        <v>KRông Năng</v>
      </c>
      <c r="AG914">
        <f t="shared" si="89"/>
        <v>9.2876100000000008</v>
      </c>
      <c r="AH914">
        <f t="shared" si="90"/>
        <v>0.13517999999999999</v>
      </c>
    </row>
    <row r="915" spans="1:34" x14ac:dyDescent="0.25">
      <c r="A915" t="s">
        <v>8904</v>
      </c>
      <c r="B915" t="s">
        <v>8757</v>
      </c>
      <c r="C915" t="s">
        <v>8758</v>
      </c>
      <c r="D915" t="s">
        <v>8905</v>
      </c>
      <c r="E915" t="s">
        <v>8906</v>
      </c>
      <c r="F915" t="s">
        <v>8907</v>
      </c>
      <c r="G915" t="s">
        <v>15827</v>
      </c>
      <c r="H915" t="s">
        <v>15831</v>
      </c>
      <c r="I915" t="s">
        <v>16727</v>
      </c>
      <c r="J915" t="s">
        <v>23</v>
      </c>
      <c r="L915" t="s">
        <v>8654</v>
      </c>
      <c r="M915" t="s">
        <v>8908</v>
      </c>
      <c r="N915" t="s">
        <v>8909</v>
      </c>
      <c r="O915" t="s">
        <v>8910</v>
      </c>
      <c r="P915" t="s">
        <v>8911</v>
      </c>
      <c r="Q915" t="s">
        <v>8912</v>
      </c>
      <c r="R915" t="s">
        <v>8913</v>
      </c>
      <c r="S915" t="s">
        <v>8914</v>
      </c>
      <c r="T915" t="s">
        <v>8662</v>
      </c>
      <c r="U915" s="5">
        <v>2274.6</v>
      </c>
      <c r="V915" s="5">
        <v>76.38</v>
      </c>
      <c r="W915" s="5">
        <v>12.711752000000001</v>
      </c>
      <c r="X915" s="5">
        <v>108.069326</v>
      </c>
      <c r="Y915" s="5">
        <v>2198.21</v>
      </c>
      <c r="Z915" s="5">
        <v>12.687671999999999</v>
      </c>
      <c r="AA915" s="5">
        <v>108.046783</v>
      </c>
      <c r="AB915" s="7">
        <f t="shared" si="85"/>
        <v>0.11456999999999999</v>
      </c>
      <c r="AC915" s="7">
        <f t="shared" si="86"/>
        <v>3.2973150000000002</v>
      </c>
      <c r="AD915" s="6" t="str">
        <f t="shared" si="87"/>
        <v>CAT Đắk Lắk</v>
      </c>
      <c r="AE915" s="6" t="str">
        <f t="shared" si="88"/>
        <v>Buôn Ma Thuột</v>
      </c>
      <c r="AG915">
        <f t="shared" si="89"/>
        <v>7.637999999999999E-2</v>
      </c>
      <c r="AH915">
        <f t="shared" si="90"/>
        <v>2.19821</v>
      </c>
    </row>
    <row r="916" spans="1:34" x14ac:dyDescent="0.25">
      <c r="A916" t="s">
        <v>8915</v>
      </c>
      <c r="B916" t="s">
        <v>8916</v>
      </c>
      <c r="C916" t="s">
        <v>8917</v>
      </c>
      <c r="D916" t="s">
        <v>8757</v>
      </c>
      <c r="E916" t="s">
        <v>8758</v>
      </c>
      <c r="F916" t="s">
        <v>8918</v>
      </c>
      <c r="G916" t="s">
        <v>15827</v>
      </c>
      <c r="H916" t="s">
        <v>15831</v>
      </c>
      <c r="I916" t="s">
        <v>16728</v>
      </c>
      <c r="J916" t="s">
        <v>23</v>
      </c>
      <c r="L916" t="s">
        <v>8654</v>
      </c>
      <c r="M916" t="s">
        <v>8919</v>
      </c>
      <c r="N916" t="s">
        <v>8920</v>
      </c>
      <c r="O916" t="s">
        <v>8921</v>
      </c>
      <c r="P916" t="s">
        <v>8922</v>
      </c>
      <c r="Q916" t="s">
        <v>8909</v>
      </c>
      <c r="R916" t="s">
        <v>8910</v>
      </c>
      <c r="S916" t="s">
        <v>8911</v>
      </c>
      <c r="T916" t="s">
        <v>8662</v>
      </c>
      <c r="U916" s="5">
        <v>137.86000000000001</v>
      </c>
      <c r="V916" s="5">
        <v>61.48</v>
      </c>
      <c r="W916" s="5">
        <v>12.688961000000001</v>
      </c>
      <c r="X916" s="5">
        <v>108.047808</v>
      </c>
      <c r="Y916" s="5">
        <v>76.38</v>
      </c>
      <c r="Z916" s="5">
        <v>12.711752000000001</v>
      </c>
      <c r="AA916" s="5">
        <v>108.069326</v>
      </c>
      <c r="AB916" s="7">
        <f t="shared" si="85"/>
        <v>9.2219999999999996E-2</v>
      </c>
      <c r="AC916" s="7">
        <f t="shared" si="86"/>
        <v>0.11456999999999999</v>
      </c>
      <c r="AD916" s="6" t="str">
        <f t="shared" si="87"/>
        <v>CAT Đắk Lắk</v>
      </c>
      <c r="AE916" s="6" t="str">
        <f t="shared" si="88"/>
        <v>Buôn Ma Thuột</v>
      </c>
      <c r="AG916">
        <f t="shared" si="89"/>
        <v>6.148E-2</v>
      </c>
      <c r="AH916">
        <f t="shared" si="90"/>
        <v>7.637999999999999E-2</v>
      </c>
    </row>
    <row r="917" spans="1:34" x14ac:dyDescent="0.25">
      <c r="A917" t="s">
        <v>8923</v>
      </c>
      <c r="B917" t="s">
        <v>8636</v>
      </c>
      <c r="C917" t="s">
        <v>8637</v>
      </c>
      <c r="D917" t="s">
        <v>8924</v>
      </c>
      <c r="E917" t="s">
        <v>8925</v>
      </c>
      <c r="F917" t="s">
        <v>8926</v>
      </c>
      <c r="G917" t="s">
        <v>15827</v>
      </c>
      <c r="H917" t="s">
        <v>15831</v>
      </c>
      <c r="I917" t="s">
        <v>16729</v>
      </c>
      <c r="J917" t="s">
        <v>23</v>
      </c>
      <c r="L917" t="s">
        <v>8432</v>
      </c>
      <c r="M917" t="s">
        <v>8927</v>
      </c>
      <c r="N917" t="s">
        <v>8672</v>
      </c>
      <c r="O917" t="s">
        <v>8435</v>
      </c>
      <c r="P917" t="s">
        <v>8436</v>
      </c>
      <c r="Q917" t="s">
        <v>8928</v>
      </c>
      <c r="R917" t="s">
        <v>8929</v>
      </c>
      <c r="S917" t="s">
        <v>8930</v>
      </c>
      <c r="T917" t="s">
        <v>8440</v>
      </c>
      <c r="U917" s="5">
        <v>1899.34</v>
      </c>
      <c r="V917" s="5">
        <v>1750.11</v>
      </c>
      <c r="W917" s="5">
        <v>12.690893000000001</v>
      </c>
      <c r="X917" s="5">
        <v>108.06744999999999</v>
      </c>
      <c r="Y917" s="5">
        <v>149.24</v>
      </c>
      <c r="Z917" s="5">
        <v>12.721553</v>
      </c>
      <c r="AA917" s="5">
        <v>108.093073</v>
      </c>
      <c r="AB917" s="7">
        <f t="shared" si="85"/>
        <v>2.625165</v>
      </c>
      <c r="AC917" s="7">
        <f t="shared" si="86"/>
        <v>0.22386</v>
      </c>
      <c r="AD917" s="6" t="str">
        <f t="shared" si="87"/>
        <v>TT1 Đăk Lăk</v>
      </c>
      <c r="AE917" s="6" t="str">
        <f t="shared" si="88"/>
        <v>ILA Ea Kar</v>
      </c>
      <c r="AG917">
        <f t="shared" si="89"/>
        <v>1.7501099999999998</v>
      </c>
      <c r="AH917">
        <f t="shared" si="90"/>
        <v>0.14924000000000001</v>
      </c>
    </row>
    <row r="918" spans="1:34" x14ac:dyDescent="0.25">
      <c r="A918" t="s">
        <v>8931</v>
      </c>
      <c r="B918" t="s">
        <v>8932</v>
      </c>
      <c r="C918" t="s">
        <v>8933</v>
      </c>
      <c r="D918" t="s">
        <v>8725</v>
      </c>
      <c r="E918" t="s">
        <v>8726</v>
      </c>
      <c r="F918" t="s">
        <v>8934</v>
      </c>
      <c r="G918" t="s">
        <v>15827</v>
      </c>
      <c r="H918" t="s">
        <v>15831</v>
      </c>
      <c r="I918" t="s">
        <v>16730</v>
      </c>
      <c r="J918" t="s">
        <v>23</v>
      </c>
      <c r="L918" t="s">
        <v>8375</v>
      </c>
      <c r="M918" t="s">
        <v>8935</v>
      </c>
      <c r="N918" t="s">
        <v>8936</v>
      </c>
      <c r="O918" t="s">
        <v>8937</v>
      </c>
      <c r="P918" t="s">
        <v>8938</v>
      </c>
      <c r="Q918" t="s">
        <v>8939</v>
      </c>
      <c r="R918" t="s">
        <v>8940</v>
      </c>
      <c r="S918" t="s">
        <v>8941</v>
      </c>
      <c r="T918" t="s">
        <v>8383</v>
      </c>
      <c r="U918" s="5">
        <v>7353.97</v>
      </c>
      <c r="V918" s="5">
        <v>7309.52</v>
      </c>
      <c r="W918" s="5">
        <v>12.899435</v>
      </c>
      <c r="X918" s="5">
        <v>108.116934</v>
      </c>
      <c r="Y918" s="5">
        <v>44.45</v>
      </c>
      <c r="Z918" s="5">
        <v>12.910539</v>
      </c>
      <c r="AA918" s="5">
        <v>108.190575</v>
      </c>
      <c r="AB918" s="7">
        <f t="shared" si="85"/>
        <v>10.96428</v>
      </c>
      <c r="AC918" s="7">
        <f t="shared" si="86"/>
        <v>6.6675000000000012E-2</v>
      </c>
      <c r="AD918" s="6" t="str">
        <f t="shared" si="87"/>
        <v>Cư M'ga</v>
      </c>
      <c r="AE918" s="6" t="str">
        <f t="shared" si="88"/>
        <v>Buôn Hồ</v>
      </c>
      <c r="AG918">
        <f t="shared" si="89"/>
        <v>7.30952</v>
      </c>
      <c r="AH918">
        <f t="shared" si="90"/>
        <v>4.4450000000000003E-2</v>
      </c>
    </row>
    <row r="919" spans="1:34" x14ac:dyDescent="0.25">
      <c r="A919" t="s">
        <v>8942</v>
      </c>
      <c r="B919" t="s">
        <v>8793</v>
      </c>
      <c r="C919" t="s">
        <v>8794</v>
      </c>
      <c r="D919" t="s">
        <v>8932</v>
      </c>
      <c r="E919" t="s">
        <v>8933</v>
      </c>
      <c r="F919" t="s">
        <v>8943</v>
      </c>
      <c r="G919" t="s">
        <v>15827</v>
      </c>
      <c r="H919" t="s">
        <v>15831</v>
      </c>
      <c r="I919" t="s">
        <v>16731</v>
      </c>
      <c r="J919" t="s">
        <v>23</v>
      </c>
      <c r="L919" t="s">
        <v>8318</v>
      </c>
      <c r="M919" t="s">
        <v>8944</v>
      </c>
      <c r="N919" t="s">
        <v>8797</v>
      </c>
      <c r="O919" t="s">
        <v>8798</v>
      </c>
      <c r="P919" t="s">
        <v>8799</v>
      </c>
      <c r="Q919" t="s">
        <v>8945</v>
      </c>
      <c r="R919" t="s">
        <v>8946</v>
      </c>
      <c r="S919" t="s">
        <v>8947</v>
      </c>
      <c r="T919" t="s">
        <v>8326</v>
      </c>
      <c r="U919" s="5">
        <v>8547.33</v>
      </c>
      <c r="V919" s="5">
        <v>112.17</v>
      </c>
      <c r="W919" s="5">
        <v>13.008883000000001</v>
      </c>
      <c r="X919" s="5">
        <v>108.150448</v>
      </c>
      <c r="Y919" s="5">
        <v>8435.16</v>
      </c>
      <c r="Z919" s="5">
        <v>13.010324000000001</v>
      </c>
      <c r="AA919" s="5">
        <v>108.147325</v>
      </c>
      <c r="AB919" s="7">
        <f t="shared" si="85"/>
        <v>0.16825499999999999</v>
      </c>
      <c r="AC919" s="7">
        <f t="shared" si="86"/>
        <v>12.65274</v>
      </c>
      <c r="AD919" s="6" t="e">
        <f t="shared" si="87"/>
        <v>#VALUE!</v>
      </c>
      <c r="AE919" s="6" t="e">
        <f t="shared" si="88"/>
        <v>#VALUE!</v>
      </c>
      <c r="AG919">
        <f t="shared" si="89"/>
        <v>0.11217000000000001</v>
      </c>
      <c r="AH919">
        <f t="shared" si="90"/>
        <v>8.4351599999999998</v>
      </c>
    </row>
    <row r="920" spans="1:34" x14ac:dyDescent="0.25">
      <c r="A920" t="s">
        <v>8948</v>
      </c>
      <c r="B920" t="s">
        <v>8414</v>
      </c>
      <c r="C920" t="s">
        <v>8415</v>
      </c>
      <c r="D920" t="s">
        <v>8949</v>
      </c>
      <c r="E920" t="s">
        <v>8950</v>
      </c>
      <c r="F920" t="s">
        <v>8951</v>
      </c>
      <c r="G920" t="s">
        <v>15827</v>
      </c>
      <c r="H920" t="s">
        <v>15831</v>
      </c>
      <c r="I920" t="s">
        <v>16732</v>
      </c>
      <c r="J920" t="s">
        <v>23</v>
      </c>
      <c r="L920" t="s">
        <v>8810</v>
      </c>
      <c r="M920" t="s">
        <v>8952</v>
      </c>
      <c r="N920" t="s">
        <v>8953</v>
      </c>
      <c r="O920" t="s">
        <v>8954</v>
      </c>
      <c r="P920" t="s">
        <v>8955</v>
      </c>
      <c r="Q920" t="s">
        <v>8956</v>
      </c>
      <c r="R920" t="s">
        <v>8957</v>
      </c>
      <c r="S920" t="s">
        <v>8958</v>
      </c>
      <c r="T920" t="s">
        <v>8818</v>
      </c>
      <c r="U920" s="5">
        <v>259.18</v>
      </c>
      <c r="V920" s="5">
        <v>55.16</v>
      </c>
      <c r="W920" s="5">
        <v>12.916409</v>
      </c>
      <c r="X920" s="5">
        <v>108.26605499999999</v>
      </c>
      <c r="Y920" s="5">
        <v>204.02</v>
      </c>
      <c r="Z920" s="5">
        <v>12.930183</v>
      </c>
      <c r="AA920" s="5">
        <v>108.26278600000001</v>
      </c>
      <c r="AB920" s="7">
        <f t="shared" si="85"/>
        <v>8.2739999999999994E-2</v>
      </c>
      <c r="AC920" s="7">
        <f t="shared" si="86"/>
        <v>0.30603000000000002</v>
      </c>
      <c r="AD920" s="6" t="str">
        <f t="shared" si="87"/>
        <v>Ea Tul</v>
      </c>
      <c r="AE920" s="6" t="str">
        <f t="shared" si="88"/>
        <v>Buôn Hồ</v>
      </c>
      <c r="AG920">
        <f t="shared" si="89"/>
        <v>5.5159999999999994E-2</v>
      </c>
      <c r="AH920">
        <f t="shared" si="90"/>
        <v>0.20402000000000001</v>
      </c>
    </row>
    <row r="921" spans="1:34" x14ac:dyDescent="0.25">
      <c r="A921" t="s">
        <v>8959</v>
      </c>
      <c r="B921" t="s">
        <v>8372</v>
      </c>
      <c r="C921" t="s">
        <v>8373</v>
      </c>
      <c r="D921" t="s">
        <v>8960</v>
      </c>
      <c r="E921" t="s">
        <v>8961</v>
      </c>
      <c r="F921" t="s">
        <v>8962</v>
      </c>
      <c r="G921" t="s">
        <v>15827</v>
      </c>
      <c r="H921" t="s">
        <v>15831</v>
      </c>
      <c r="I921" t="s">
        <v>16733</v>
      </c>
      <c r="J921" t="s">
        <v>23</v>
      </c>
      <c r="L921" t="s">
        <v>8375</v>
      </c>
      <c r="M921" t="s">
        <v>8963</v>
      </c>
      <c r="N921" t="s">
        <v>8484</v>
      </c>
      <c r="O921" t="s">
        <v>8485</v>
      </c>
      <c r="P921" t="s">
        <v>8486</v>
      </c>
      <c r="Q921" t="s">
        <v>8964</v>
      </c>
      <c r="R921" t="s">
        <v>8965</v>
      </c>
      <c r="S921" t="s">
        <v>8966</v>
      </c>
      <c r="T921" t="s">
        <v>8487</v>
      </c>
      <c r="U921" s="5">
        <v>1172.31</v>
      </c>
      <c r="V921" s="5">
        <v>117.56</v>
      </c>
      <c r="W921" s="5">
        <v>12.853426000000001</v>
      </c>
      <c r="X921" s="5">
        <v>108.104358</v>
      </c>
      <c r="Y921" s="5">
        <v>1054.75</v>
      </c>
      <c r="Z921" s="5">
        <v>12.823486000000001</v>
      </c>
      <c r="AA921" s="5">
        <v>108.077691</v>
      </c>
      <c r="AB921" s="7">
        <f t="shared" si="85"/>
        <v>0.17634</v>
      </c>
      <c r="AC921" s="7">
        <f t="shared" si="86"/>
        <v>1.582125</v>
      </c>
      <c r="AD921" s="6" t="str">
        <f t="shared" si="87"/>
        <v>Cư M'ga</v>
      </c>
      <c r="AE921" s="6" t="str">
        <f t="shared" si="88"/>
        <v>Buôn Hồ</v>
      </c>
      <c r="AG921">
        <f t="shared" si="89"/>
        <v>0.11756</v>
      </c>
      <c r="AH921">
        <f t="shared" si="90"/>
        <v>1.0547500000000001</v>
      </c>
    </row>
    <row r="922" spans="1:34" x14ac:dyDescent="0.25">
      <c r="A922" t="s">
        <v>8967</v>
      </c>
      <c r="B922" t="s">
        <v>8968</v>
      </c>
      <c r="C922" t="s">
        <v>8969</v>
      </c>
      <c r="D922" t="s">
        <v>8372</v>
      </c>
      <c r="E922" t="s">
        <v>8373</v>
      </c>
      <c r="F922" t="s">
        <v>8970</v>
      </c>
      <c r="G922" t="s">
        <v>15827</v>
      </c>
      <c r="H922" t="s">
        <v>15831</v>
      </c>
      <c r="I922" t="s">
        <v>16734</v>
      </c>
      <c r="J922" t="s">
        <v>23</v>
      </c>
      <c r="L922" t="s">
        <v>8375</v>
      </c>
      <c r="M922" t="s">
        <v>8971</v>
      </c>
      <c r="N922" t="s">
        <v>8972</v>
      </c>
      <c r="O922" t="s">
        <v>8973</v>
      </c>
      <c r="P922" t="s">
        <v>8974</v>
      </c>
      <c r="Q922" t="s">
        <v>8380</v>
      </c>
      <c r="R922" t="s">
        <v>8381</v>
      </c>
      <c r="S922" t="s">
        <v>8382</v>
      </c>
      <c r="T922" t="s">
        <v>8383</v>
      </c>
      <c r="U922" s="5">
        <v>235.06</v>
      </c>
      <c r="V922" s="5">
        <v>118.05</v>
      </c>
      <c r="W922" s="5">
        <v>12.892032</v>
      </c>
      <c r="X922" s="5">
        <v>108.181015</v>
      </c>
      <c r="Y922" s="5">
        <v>117.01</v>
      </c>
      <c r="Z922" s="5">
        <v>12.853419000000001</v>
      </c>
      <c r="AA922" s="5">
        <v>108.10435699999999</v>
      </c>
      <c r="AB922" s="7">
        <f t="shared" si="85"/>
        <v>0.17707499999999998</v>
      </c>
      <c r="AC922" s="7">
        <f t="shared" si="86"/>
        <v>0.175515</v>
      </c>
      <c r="AD922" s="6" t="str">
        <f t="shared" si="87"/>
        <v>Cư M'ga</v>
      </c>
      <c r="AE922" s="6" t="str">
        <f t="shared" si="88"/>
        <v>Buôn Hồ</v>
      </c>
      <c r="AG922">
        <f t="shared" si="89"/>
        <v>0.11805</v>
      </c>
      <c r="AH922">
        <f t="shared" si="90"/>
        <v>0.11701</v>
      </c>
    </row>
    <row r="923" spans="1:34" x14ac:dyDescent="0.25">
      <c r="A923" t="s">
        <v>8975</v>
      </c>
      <c r="B923" t="s">
        <v>8357</v>
      </c>
      <c r="C923" t="s">
        <v>8358</v>
      </c>
      <c r="D923" t="s">
        <v>8976</v>
      </c>
      <c r="E923" t="s">
        <v>8977</v>
      </c>
      <c r="F923" t="s">
        <v>8978</v>
      </c>
      <c r="G923" t="s">
        <v>15827</v>
      </c>
      <c r="H923" t="s">
        <v>15831</v>
      </c>
      <c r="I923" t="s">
        <v>16735</v>
      </c>
      <c r="J923" t="s">
        <v>23</v>
      </c>
      <c r="L923" t="s">
        <v>8360</v>
      </c>
      <c r="M923" t="s">
        <v>8979</v>
      </c>
      <c r="N923" t="s">
        <v>8365</v>
      </c>
      <c r="O923" t="s">
        <v>8366</v>
      </c>
      <c r="P923" t="s">
        <v>8367</v>
      </c>
      <c r="Q923" t="s">
        <v>8980</v>
      </c>
      <c r="R923" t="s">
        <v>8981</v>
      </c>
      <c r="S923" t="s">
        <v>8982</v>
      </c>
      <c r="T923" t="s">
        <v>8368</v>
      </c>
      <c r="U923" s="5">
        <v>141.74</v>
      </c>
      <c r="V923" s="5">
        <v>77.55</v>
      </c>
      <c r="W923" s="5">
        <v>12.860792</v>
      </c>
      <c r="X923" s="5">
        <v>107.964518</v>
      </c>
      <c r="Y923" s="5">
        <v>64.19</v>
      </c>
      <c r="Z923" s="5">
        <v>12.831251</v>
      </c>
      <c r="AA923" s="5">
        <v>108.03356100000001</v>
      </c>
      <c r="AB923" s="7">
        <f t="shared" si="85"/>
        <v>0.11632499999999998</v>
      </c>
      <c r="AC923" s="7">
        <f t="shared" si="86"/>
        <v>9.6284999999999996E-2</v>
      </c>
      <c r="AD923" s="6" t="str">
        <f t="shared" si="87"/>
        <v>Quảng Phú</v>
      </c>
      <c r="AE923" s="6" t="str">
        <f t="shared" si="88"/>
        <v>Ea M’Droh</v>
      </c>
      <c r="AG923">
        <f t="shared" si="89"/>
        <v>7.7549999999999994E-2</v>
      </c>
      <c r="AH923">
        <f t="shared" si="90"/>
        <v>6.4189999999999997E-2</v>
      </c>
    </row>
    <row r="924" spans="1:34" x14ac:dyDescent="0.25">
      <c r="A924" t="s">
        <v>8983</v>
      </c>
      <c r="B924" t="s">
        <v>8984</v>
      </c>
      <c r="C924" t="s">
        <v>8985</v>
      </c>
      <c r="D924" t="s">
        <v>8357</v>
      </c>
      <c r="E924" t="s">
        <v>8358</v>
      </c>
      <c r="F924" t="s">
        <v>8986</v>
      </c>
      <c r="G924" t="s">
        <v>15827</v>
      </c>
      <c r="H924" t="s">
        <v>15831</v>
      </c>
      <c r="I924" t="s">
        <v>16736</v>
      </c>
      <c r="J924" t="s">
        <v>23</v>
      </c>
      <c r="L924" t="s">
        <v>8360</v>
      </c>
      <c r="M924" t="s">
        <v>8987</v>
      </c>
      <c r="N924" t="s">
        <v>8988</v>
      </c>
      <c r="O924" t="s">
        <v>8989</v>
      </c>
      <c r="P924" t="s">
        <v>8990</v>
      </c>
      <c r="Q924" t="s">
        <v>8365</v>
      </c>
      <c r="R924" t="s">
        <v>8366</v>
      </c>
      <c r="S924" t="s">
        <v>8367</v>
      </c>
      <c r="T924" t="s">
        <v>8368</v>
      </c>
      <c r="U924" s="5">
        <v>7409.13</v>
      </c>
      <c r="V924" s="5">
        <v>7331.58</v>
      </c>
      <c r="W924" s="5">
        <v>12.831721999999999</v>
      </c>
      <c r="X924" s="5">
        <v>108.050026</v>
      </c>
      <c r="Y924" s="5">
        <v>77.55</v>
      </c>
      <c r="Z924" s="5">
        <v>12.860792</v>
      </c>
      <c r="AA924" s="5">
        <v>107.964518</v>
      </c>
      <c r="AB924" s="7">
        <f t="shared" si="85"/>
        <v>10.997369999999998</v>
      </c>
      <c r="AC924" s="7">
        <f t="shared" si="86"/>
        <v>0.11632499999999998</v>
      </c>
      <c r="AD924" s="6" t="str">
        <f t="shared" si="87"/>
        <v>Quảng Phú</v>
      </c>
      <c r="AE924" s="6" t="str">
        <f t="shared" si="88"/>
        <v>Ea M’Droh</v>
      </c>
      <c r="AG924">
        <f t="shared" si="89"/>
        <v>7.3315799999999998</v>
      </c>
      <c r="AH924">
        <f t="shared" si="90"/>
        <v>7.7549999999999994E-2</v>
      </c>
    </row>
    <row r="925" spans="1:34" x14ac:dyDescent="0.25">
      <c r="A925" t="s">
        <v>8991</v>
      </c>
      <c r="B925" t="s">
        <v>8725</v>
      </c>
      <c r="C925" t="s">
        <v>8726</v>
      </c>
      <c r="D925" t="s">
        <v>8984</v>
      </c>
      <c r="E925" t="s">
        <v>8985</v>
      </c>
      <c r="F925" t="s">
        <v>8992</v>
      </c>
      <c r="G925" t="s">
        <v>15827</v>
      </c>
      <c r="H925" t="s">
        <v>15831</v>
      </c>
      <c r="I925" t="s">
        <v>16737</v>
      </c>
      <c r="J925" t="s">
        <v>23</v>
      </c>
      <c r="L925" t="s">
        <v>8375</v>
      </c>
      <c r="M925" t="s">
        <v>8993</v>
      </c>
      <c r="N925" t="s">
        <v>8939</v>
      </c>
      <c r="O925" t="s">
        <v>8940</v>
      </c>
      <c r="P925" t="s">
        <v>8941</v>
      </c>
      <c r="Q925" t="s">
        <v>8994</v>
      </c>
      <c r="R925" t="s">
        <v>8610</v>
      </c>
      <c r="S925" t="s">
        <v>8611</v>
      </c>
      <c r="T925" t="s">
        <v>8383</v>
      </c>
      <c r="U925" s="5">
        <v>4978.63</v>
      </c>
      <c r="V925" s="5">
        <v>44.45</v>
      </c>
      <c r="W925" s="5">
        <v>12.910539</v>
      </c>
      <c r="X925" s="5">
        <v>108.190575</v>
      </c>
      <c r="Y925" s="5">
        <v>4934.18</v>
      </c>
      <c r="Z925" s="5">
        <v>12.887229</v>
      </c>
      <c r="AA925" s="5">
        <v>108.11076</v>
      </c>
      <c r="AB925" s="7">
        <f t="shared" si="85"/>
        <v>6.6675000000000012E-2</v>
      </c>
      <c r="AC925" s="7">
        <f t="shared" si="86"/>
        <v>7.4012700000000002</v>
      </c>
      <c r="AD925" s="6" t="str">
        <f t="shared" si="87"/>
        <v>Cư M'ga</v>
      </c>
      <c r="AE925" s="6" t="str">
        <f t="shared" si="88"/>
        <v>Buôn Hồ</v>
      </c>
      <c r="AG925">
        <f t="shared" si="89"/>
        <v>4.4450000000000003E-2</v>
      </c>
      <c r="AH925">
        <f t="shared" si="90"/>
        <v>4.9341800000000005</v>
      </c>
    </row>
    <row r="926" spans="1:34" x14ac:dyDescent="0.25">
      <c r="A926" t="s">
        <v>8995</v>
      </c>
      <c r="B926" t="s">
        <v>8996</v>
      </c>
      <c r="C926" t="s">
        <v>8997</v>
      </c>
      <c r="D926" t="s">
        <v>8725</v>
      </c>
      <c r="E926" t="s">
        <v>8726</v>
      </c>
      <c r="F926" t="s">
        <v>8998</v>
      </c>
      <c r="G926" t="s">
        <v>15827</v>
      </c>
      <c r="H926" t="s">
        <v>15831</v>
      </c>
      <c r="I926" t="s">
        <v>16738</v>
      </c>
      <c r="J926" t="s">
        <v>23</v>
      </c>
      <c r="L926" t="s">
        <v>8810</v>
      </c>
      <c r="M926" t="s">
        <v>8999</v>
      </c>
      <c r="N926" t="s">
        <v>9000</v>
      </c>
      <c r="O926" t="s">
        <v>8954</v>
      </c>
      <c r="P926" t="s">
        <v>8955</v>
      </c>
      <c r="Q926" t="s">
        <v>9001</v>
      </c>
      <c r="R926" t="s">
        <v>9002</v>
      </c>
      <c r="S926" t="s">
        <v>9003</v>
      </c>
      <c r="T926" t="s">
        <v>8818</v>
      </c>
      <c r="U926" s="5">
        <v>6231.31</v>
      </c>
      <c r="V926" s="5">
        <v>6175.76</v>
      </c>
      <c r="W926" s="5">
        <v>12.916409</v>
      </c>
      <c r="X926" s="5">
        <v>108.26605499999999</v>
      </c>
      <c r="Y926" s="5">
        <v>55.55</v>
      </c>
      <c r="Z926" s="5">
        <v>12.910633000000001</v>
      </c>
      <c r="AA926" s="5">
        <v>108.190708</v>
      </c>
      <c r="AB926" s="7">
        <f t="shared" si="85"/>
        <v>9.2636399999999988</v>
      </c>
      <c r="AC926" s="7">
        <f t="shared" si="86"/>
        <v>8.3324999999999982E-2</v>
      </c>
      <c r="AD926" s="6" t="str">
        <f t="shared" si="87"/>
        <v>Ea Tul</v>
      </c>
      <c r="AE926" s="6" t="str">
        <f t="shared" si="88"/>
        <v>Buôn Hồ</v>
      </c>
      <c r="AG926">
        <f t="shared" si="89"/>
        <v>6.1757600000000004</v>
      </c>
      <c r="AH926">
        <f t="shared" si="90"/>
        <v>5.5549999999999995E-2</v>
      </c>
    </row>
    <row r="927" spans="1:34" x14ac:dyDescent="0.25">
      <c r="A927" t="s">
        <v>9004</v>
      </c>
      <c r="B927" t="s">
        <v>9005</v>
      </c>
      <c r="C927" t="s">
        <v>9006</v>
      </c>
      <c r="D927" t="s">
        <v>8156</v>
      </c>
      <c r="E927" t="s">
        <v>8157</v>
      </c>
      <c r="F927" t="s">
        <v>9007</v>
      </c>
      <c r="G927" t="s">
        <v>15827</v>
      </c>
      <c r="H927" t="s">
        <v>15831</v>
      </c>
      <c r="I927" t="s">
        <v>16739</v>
      </c>
      <c r="J927" t="s">
        <v>23</v>
      </c>
      <c r="L927" t="s">
        <v>9008</v>
      </c>
      <c r="M927" t="s">
        <v>9009</v>
      </c>
      <c r="N927" t="s">
        <v>9010</v>
      </c>
      <c r="O927" t="s">
        <v>9011</v>
      </c>
      <c r="P927" t="s">
        <v>9012</v>
      </c>
      <c r="Q927" t="s">
        <v>9013</v>
      </c>
      <c r="R927" t="s">
        <v>9014</v>
      </c>
      <c r="S927" t="s">
        <v>9015</v>
      </c>
      <c r="T927" t="s">
        <v>9016</v>
      </c>
      <c r="U927" s="5">
        <v>108.78</v>
      </c>
      <c r="V927" s="5">
        <v>102.57</v>
      </c>
      <c r="W927" s="5">
        <v>13.091844</v>
      </c>
      <c r="X927" s="5">
        <v>109.294985</v>
      </c>
      <c r="Y927" s="5">
        <v>6.2</v>
      </c>
      <c r="Z927" s="5">
        <v>13.094789</v>
      </c>
      <c r="AA927" s="5">
        <v>109.292973</v>
      </c>
      <c r="AB927" s="7">
        <f t="shared" si="85"/>
        <v>0.15385499999999999</v>
      </c>
      <c r="AC927" s="7">
        <f t="shared" si="86"/>
        <v>9.300000000000001E-3</v>
      </c>
      <c r="AD927" s="6" t="str">
        <f t="shared" si="87"/>
        <v>TT2 Đăk Lăk (Tuy Hòa)</v>
      </c>
      <c r="AE927" s="6" t="str">
        <f t="shared" si="88"/>
        <v>Cơ quan điều tra
 Tuy Hòa</v>
      </c>
      <c r="AG927">
        <f t="shared" si="89"/>
        <v>0.10256999999999999</v>
      </c>
      <c r="AH927">
        <f t="shared" si="90"/>
        <v>6.1999999999999998E-3</v>
      </c>
    </row>
    <row r="928" spans="1:34" x14ac:dyDescent="0.25">
      <c r="A928" t="s">
        <v>9017</v>
      </c>
      <c r="B928" t="s">
        <v>9018</v>
      </c>
      <c r="C928" t="s">
        <v>9019</v>
      </c>
      <c r="D928" t="s">
        <v>9020</v>
      </c>
      <c r="E928" t="s">
        <v>9021</v>
      </c>
      <c r="F928" t="s">
        <v>9022</v>
      </c>
      <c r="G928" t="s">
        <v>15827</v>
      </c>
      <c r="H928" t="s">
        <v>15831</v>
      </c>
      <c r="I928" t="s">
        <v>16740</v>
      </c>
      <c r="J928" t="s">
        <v>23</v>
      </c>
      <c r="L928" t="s">
        <v>9023</v>
      </c>
      <c r="M928" t="s">
        <v>9024</v>
      </c>
      <c r="N928" t="s">
        <v>2468</v>
      </c>
      <c r="O928" t="s">
        <v>9025</v>
      </c>
      <c r="P928" t="s">
        <v>9026</v>
      </c>
      <c r="Q928" t="s">
        <v>9027</v>
      </c>
      <c r="R928" t="s">
        <v>9028</v>
      </c>
      <c r="S928" t="s">
        <v>9029</v>
      </c>
      <c r="T928" t="s">
        <v>9030</v>
      </c>
      <c r="U928" s="5">
        <v>2358.9299999999998</v>
      </c>
      <c r="V928" s="5">
        <v>1.67</v>
      </c>
      <c r="W928" s="5">
        <v>13.052982</v>
      </c>
      <c r="X928" s="5">
        <v>109.310524</v>
      </c>
      <c r="Y928" s="5">
        <v>2357.2600000000002</v>
      </c>
      <c r="Z928" s="5">
        <v>13.045337</v>
      </c>
      <c r="AA928" s="5">
        <v>109.30177399999999</v>
      </c>
      <c r="AB928" s="7">
        <f t="shared" si="85"/>
        <v>2.5049999999999998E-3</v>
      </c>
      <c r="AC928" s="7">
        <f t="shared" si="86"/>
        <v>3.5358900000000002</v>
      </c>
      <c r="AD928" s="6" t="str">
        <f t="shared" si="87"/>
        <v>Phú Hòa 2</v>
      </c>
      <c r="AE928" s="6" t="str">
        <f t="shared" si="88"/>
        <v>Phú Yên</v>
      </c>
      <c r="AG928">
        <f t="shared" si="89"/>
        <v>1.6699999999999998E-3</v>
      </c>
      <c r="AH928">
        <f t="shared" si="90"/>
        <v>2.3572600000000001</v>
      </c>
    </row>
    <row r="929" spans="1:34" x14ac:dyDescent="0.25">
      <c r="A929" t="s">
        <v>9031</v>
      </c>
      <c r="B929" t="s">
        <v>9032</v>
      </c>
      <c r="C929" t="s">
        <v>9033</v>
      </c>
      <c r="D929" t="s">
        <v>8414</v>
      </c>
      <c r="E929" t="s">
        <v>8415</v>
      </c>
      <c r="F929" t="s">
        <v>9034</v>
      </c>
      <c r="G929" t="s">
        <v>15827</v>
      </c>
      <c r="H929" t="s">
        <v>15831</v>
      </c>
      <c r="I929" t="s">
        <v>16741</v>
      </c>
      <c r="J929" t="s">
        <v>23</v>
      </c>
      <c r="L929" t="s">
        <v>9035</v>
      </c>
      <c r="M929" t="s">
        <v>9036</v>
      </c>
      <c r="N929" t="s">
        <v>9037</v>
      </c>
      <c r="O929" t="s">
        <v>9038</v>
      </c>
      <c r="P929" t="s">
        <v>9039</v>
      </c>
      <c r="Q929" t="s">
        <v>9040</v>
      </c>
      <c r="R929" t="s">
        <v>9041</v>
      </c>
      <c r="S929" t="s">
        <v>9042</v>
      </c>
      <c r="T929" t="s">
        <v>9043</v>
      </c>
      <c r="U929" s="5">
        <v>7373.48</v>
      </c>
      <c r="V929" s="5">
        <v>6845.67</v>
      </c>
      <c r="W929" s="5">
        <v>12.841982</v>
      </c>
      <c r="X929" s="5">
        <v>108.24921500000001</v>
      </c>
      <c r="Y929" s="5">
        <v>527.80999999999995</v>
      </c>
      <c r="Z929" s="5">
        <v>12.911440000000001</v>
      </c>
      <c r="AA929" s="5">
        <v>108.26655</v>
      </c>
      <c r="AB929" s="7">
        <f t="shared" si="85"/>
        <v>10.268505000000001</v>
      </c>
      <c r="AC929" s="7">
        <f t="shared" si="86"/>
        <v>0.79171499999999995</v>
      </c>
      <c r="AD929" s="6" t="str">
        <f t="shared" si="87"/>
        <v>Cư Bao</v>
      </c>
      <c r="AE929" s="6" t="str">
        <f t="shared" si="88"/>
        <v>Ea Drông</v>
      </c>
      <c r="AG929">
        <f t="shared" si="89"/>
        <v>6.8456700000000001</v>
      </c>
      <c r="AH929">
        <f t="shared" si="90"/>
        <v>0.52780999999999989</v>
      </c>
    </row>
    <row r="930" spans="1:34" x14ac:dyDescent="0.25">
      <c r="A930" t="s">
        <v>9044</v>
      </c>
      <c r="B930" t="s">
        <v>8636</v>
      </c>
      <c r="C930" t="s">
        <v>8637</v>
      </c>
      <c r="D930" t="s">
        <v>9032</v>
      </c>
      <c r="E930" t="s">
        <v>9033</v>
      </c>
      <c r="F930" t="s">
        <v>9045</v>
      </c>
      <c r="G930" t="s">
        <v>15827</v>
      </c>
      <c r="H930" t="s">
        <v>15831</v>
      </c>
      <c r="I930" t="s">
        <v>16742</v>
      </c>
      <c r="J930" t="s">
        <v>23</v>
      </c>
      <c r="L930" t="s">
        <v>8432</v>
      </c>
      <c r="M930" t="s">
        <v>9046</v>
      </c>
      <c r="N930" t="s">
        <v>8672</v>
      </c>
      <c r="O930" t="s">
        <v>8435</v>
      </c>
      <c r="P930" t="s">
        <v>8436</v>
      </c>
      <c r="Q930" t="s">
        <v>9047</v>
      </c>
      <c r="R930" t="s">
        <v>9048</v>
      </c>
      <c r="S930" t="s">
        <v>9049</v>
      </c>
      <c r="T930" t="s">
        <v>8440</v>
      </c>
      <c r="U930" s="5">
        <v>1807.41</v>
      </c>
      <c r="V930" s="5">
        <v>1750.11</v>
      </c>
      <c r="W930" s="5">
        <v>12.690893000000001</v>
      </c>
      <c r="X930" s="5">
        <v>108.06744999999999</v>
      </c>
      <c r="Y930" s="5">
        <v>57.3</v>
      </c>
      <c r="Z930" s="5">
        <v>12.789365</v>
      </c>
      <c r="AA930" s="5">
        <v>108.217463</v>
      </c>
      <c r="AB930" s="7">
        <f t="shared" si="85"/>
        <v>2.625165</v>
      </c>
      <c r="AC930" s="7">
        <f t="shared" si="86"/>
        <v>8.5949999999999985E-2</v>
      </c>
      <c r="AD930" s="6" t="str">
        <f t="shared" si="87"/>
        <v>TT1 Đăk Lăk</v>
      </c>
      <c r="AE930" s="6" t="str">
        <f t="shared" si="88"/>
        <v>ILA Ea Kar</v>
      </c>
      <c r="AG930">
        <f t="shared" si="89"/>
        <v>1.7501099999999998</v>
      </c>
      <c r="AH930">
        <f t="shared" si="90"/>
        <v>5.7299999999999997E-2</v>
      </c>
    </row>
    <row r="931" spans="1:34" x14ac:dyDescent="0.25">
      <c r="A931" t="s">
        <v>9050</v>
      </c>
      <c r="B931" t="s">
        <v>8414</v>
      </c>
      <c r="C931" t="s">
        <v>8415</v>
      </c>
      <c r="D931" t="s">
        <v>8725</v>
      </c>
      <c r="E931" t="s">
        <v>8726</v>
      </c>
      <c r="F931" t="s">
        <v>9051</v>
      </c>
      <c r="G931" t="s">
        <v>15827</v>
      </c>
      <c r="H931" t="s">
        <v>15831</v>
      </c>
      <c r="I931" t="s">
        <v>16743</v>
      </c>
      <c r="J931" t="s">
        <v>23</v>
      </c>
      <c r="L931" t="s">
        <v>8810</v>
      </c>
      <c r="M931" t="s">
        <v>9052</v>
      </c>
      <c r="N931" t="s">
        <v>8953</v>
      </c>
      <c r="O931" t="s">
        <v>8954</v>
      </c>
      <c r="P931" t="s">
        <v>8955</v>
      </c>
      <c r="Q931" t="s">
        <v>9001</v>
      </c>
      <c r="R931" t="s">
        <v>9002</v>
      </c>
      <c r="S931" t="s">
        <v>9003</v>
      </c>
      <c r="T931" t="s">
        <v>8818</v>
      </c>
      <c r="U931" s="5">
        <v>110.7</v>
      </c>
      <c r="V931" s="5">
        <v>55.16</v>
      </c>
      <c r="W931" s="5">
        <v>12.916409</v>
      </c>
      <c r="X931" s="5">
        <v>108.26605499999999</v>
      </c>
      <c r="Y931" s="5">
        <v>55.55</v>
      </c>
      <c r="Z931" s="5">
        <v>12.910633000000001</v>
      </c>
      <c r="AA931" s="5">
        <v>108.190708</v>
      </c>
      <c r="AB931" s="7">
        <f t="shared" si="85"/>
        <v>8.2739999999999994E-2</v>
      </c>
      <c r="AC931" s="7">
        <f t="shared" si="86"/>
        <v>8.3324999999999982E-2</v>
      </c>
      <c r="AD931" s="6" t="str">
        <f t="shared" si="87"/>
        <v>Ea Tul</v>
      </c>
      <c r="AE931" s="6" t="str">
        <f t="shared" si="88"/>
        <v>Buôn Hồ</v>
      </c>
      <c r="AG931">
        <f t="shared" si="89"/>
        <v>5.5159999999999994E-2</v>
      </c>
      <c r="AH931">
        <f t="shared" si="90"/>
        <v>5.5549999999999995E-2</v>
      </c>
    </row>
    <row r="932" spans="1:34" x14ac:dyDescent="0.25">
      <c r="A932" t="s">
        <v>9031</v>
      </c>
      <c r="B932" t="s">
        <v>9032</v>
      </c>
      <c r="C932" t="s">
        <v>9033</v>
      </c>
      <c r="D932" t="s">
        <v>8414</v>
      </c>
      <c r="E932" t="s">
        <v>8415</v>
      </c>
      <c r="F932" t="s">
        <v>9034</v>
      </c>
      <c r="G932" t="s">
        <v>15827</v>
      </c>
      <c r="H932" t="s">
        <v>15831</v>
      </c>
      <c r="I932" t="s">
        <v>16741</v>
      </c>
      <c r="J932" t="s">
        <v>23</v>
      </c>
      <c r="L932" t="s">
        <v>9035</v>
      </c>
      <c r="M932" t="s">
        <v>9036</v>
      </c>
      <c r="N932" t="s">
        <v>9037</v>
      </c>
      <c r="O932" t="s">
        <v>9038</v>
      </c>
      <c r="P932" t="s">
        <v>9039</v>
      </c>
      <c r="Q932" t="s">
        <v>9040</v>
      </c>
      <c r="R932" t="s">
        <v>9041</v>
      </c>
      <c r="S932" t="s">
        <v>9042</v>
      </c>
      <c r="T932" t="s">
        <v>9043</v>
      </c>
      <c r="U932" s="5">
        <v>7373.48</v>
      </c>
      <c r="V932" s="5">
        <v>6845.67</v>
      </c>
      <c r="W932" s="5">
        <v>12.841982</v>
      </c>
      <c r="X932" s="5">
        <v>108.24921500000001</v>
      </c>
      <c r="Y932" s="5">
        <v>527.80999999999995</v>
      </c>
      <c r="Z932" s="5">
        <v>12.911440000000001</v>
      </c>
      <c r="AA932" s="5">
        <v>108.26655</v>
      </c>
      <c r="AB932" s="7">
        <f t="shared" si="85"/>
        <v>10.268505000000001</v>
      </c>
      <c r="AC932" s="7">
        <f t="shared" si="86"/>
        <v>0.79171499999999995</v>
      </c>
      <c r="AD932" s="6" t="str">
        <f t="shared" si="87"/>
        <v>Cư Bao</v>
      </c>
      <c r="AE932" s="6" t="str">
        <f t="shared" si="88"/>
        <v>Ea Drông</v>
      </c>
      <c r="AG932">
        <f t="shared" si="89"/>
        <v>6.8456700000000001</v>
      </c>
      <c r="AH932">
        <f t="shared" si="90"/>
        <v>0.52780999999999989</v>
      </c>
    </row>
    <row r="933" spans="1:34" x14ac:dyDescent="0.25">
      <c r="A933" t="s">
        <v>9050</v>
      </c>
      <c r="B933" t="s">
        <v>8414</v>
      </c>
      <c r="C933" t="s">
        <v>8415</v>
      </c>
      <c r="D933" t="s">
        <v>8725</v>
      </c>
      <c r="E933" t="s">
        <v>8726</v>
      </c>
      <c r="F933" t="s">
        <v>9051</v>
      </c>
      <c r="G933" t="s">
        <v>15827</v>
      </c>
      <c r="H933" t="s">
        <v>15831</v>
      </c>
      <c r="I933" t="s">
        <v>16743</v>
      </c>
      <c r="J933" t="s">
        <v>23</v>
      </c>
      <c r="L933" t="s">
        <v>8810</v>
      </c>
      <c r="M933" t="s">
        <v>9052</v>
      </c>
      <c r="N933" t="s">
        <v>8953</v>
      </c>
      <c r="O933" t="s">
        <v>8954</v>
      </c>
      <c r="P933" t="s">
        <v>8955</v>
      </c>
      <c r="Q933" t="s">
        <v>9001</v>
      </c>
      <c r="R933" t="s">
        <v>9002</v>
      </c>
      <c r="S933" t="s">
        <v>9003</v>
      </c>
      <c r="T933" t="s">
        <v>8818</v>
      </c>
      <c r="U933" s="5">
        <v>110.7</v>
      </c>
      <c r="V933" s="5">
        <v>55.16</v>
      </c>
      <c r="W933" s="5">
        <v>12.916409</v>
      </c>
      <c r="X933" s="5">
        <v>108.26605499999999</v>
      </c>
      <c r="Y933" s="5">
        <v>55.55</v>
      </c>
      <c r="Z933" s="5">
        <v>12.910633000000001</v>
      </c>
      <c r="AA933" s="5">
        <v>108.190708</v>
      </c>
      <c r="AB933" s="7">
        <f t="shared" si="85"/>
        <v>8.2739999999999994E-2</v>
      </c>
      <c r="AC933" s="7">
        <f t="shared" si="86"/>
        <v>8.3324999999999982E-2</v>
      </c>
      <c r="AD933" s="6" t="str">
        <f t="shared" si="87"/>
        <v>Ea Tul</v>
      </c>
      <c r="AE933" s="6" t="str">
        <f t="shared" si="88"/>
        <v>Buôn Hồ</v>
      </c>
      <c r="AG933">
        <f t="shared" si="89"/>
        <v>5.5159999999999994E-2</v>
      </c>
      <c r="AH933">
        <f t="shared" si="90"/>
        <v>5.5549999999999995E-2</v>
      </c>
    </row>
    <row r="934" spans="1:34" x14ac:dyDescent="0.25">
      <c r="A934" t="s">
        <v>9053</v>
      </c>
      <c r="B934" t="s">
        <v>8342</v>
      </c>
      <c r="C934" t="s">
        <v>8343</v>
      </c>
      <c r="D934" t="s">
        <v>8414</v>
      </c>
      <c r="E934" t="s">
        <v>8415</v>
      </c>
      <c r="F934" t="s">
        <v>9054</v>
      </c>
      <c r="G934" t="s">
        <v>15827</v>
      </c>
      <c r="H934" t="s">
        <v>15831</v>
      </c>
      <c r="I934" t="s">
        <v>16744</v>
      </c>
      <c r="J934" t="s">
        <v>23</v>
      </c>
      <c r="L934" t="s">
        <v>8842</v>
      </c>
      <c r="M934" t="s">
        <v>9055</v>
      </c>
      <c r="N934" t="s">
        <v>8847</v>
      </c>
      <c r="O934" t="s">
        <v>8848</v>
      </c>
      <c r="P934" t="s">
        <v>8849</v>
      </c>
      <c r="Q934" t="s">
        <v>9056</v>
      </c>
      <c r="R934" t="s">
        <v>9057</v>
      </c>
      <c r="S934" t="s">
        <v>9058</v>
      </c>
      <c r="T934" t="s">
        <v>8850</v>
      </c>
      <c r="U934" s="5">
        <v>3821.65</v>
      </c>
      <c r="V934" s="5">
        <v>30.87</v>
      </c>
      <c r="W934" s="5">
        <v>12.951995999999999</v>
      </c>
      <c r="X934" s="5">
        <v>108.344803</v>
      </c>
      <c r="Y934" s="5">
        <v>3790.77</v>
      </c>
      <c r="Z934" s="5">
        <v>12.941435999999999</v>
      </c>
      <c r="AA934" s="5">
        <v>108.290012</v>
      </c>
      <c r="AB934" s="7">
        <f t="shared" si="85"/>
        <v>4.6304999999999999E-2</v>
      </c>
      <c r="AC934" s="7">
        <f t="shared" si="86"/>
        <v>5.6861549999999994</v>
      </c>
      <c r="AD934" s="6" t="e">
        <f t="shared" si="87"/>
        <v>#VALUE!</v>
      </c>
      <c r="AE934" s="6" t="e">
        <f t="shared" si="88"/>
        <v>#VALUE!</v>
      </c>
      <c r="AG934">
        <f t="shared" si="89"/>
        <v>3.0870000000000002E-2</v>
      </c>
      <c r="AH934">
        <f t="shared" si="90"/>
        <v>3.7907700000000002</v>
      </c>
    </row>
    <row r="935" spans="1:34" x14ac:dyDescent="0.25">
      <c r="A935" t="s">
        <v>9059</v>
      </c>
      <c r="B935" t="s">
        <v>9060</v>
      </c>
      <c r="C935" t="s">
        <v>9061</v>
      </c>
      <c r="D935" t="s">
        <v>9062</v>
      </c>
      <c r="E935" t="s">
        <v>9063</v>
      </c>
      <c r="F935" t="s">
        <v>9064</v>
      </c>
      <c r="G935" t="s">
        <v>15827</v>
      </c>
      <c r="H935" t="s">
        <v>15831</v>
      </c>
      <c r="I935" t="s">
        <v>16745</v>
      </c>
      <c r="J935" t="s">
        <v>23</v>
      </c>
      <c r="L935" t="s">
        <v>9065</v>
      </c>
      <c r="M935" t="s">
        <v>9066</v>
      </c>
      <c r="N935" t="s">
        <v>9067</v>
      </c>
      <c r="O935" t="s">
        <v>9068</v>
      </c>
      <c r="P935" t="s">
        <v>9069</v>
      </c>
      <c r="Q935" t="s">
        <v>9070</v>
      </c>
      <c r="R935" t="s">
        <v>9071</v>
      </c>
      <c r="S935" t="s">
        <v>9072</v>
      </c>
      <c r="T935" t="s">
        <v>9073</v>
      </c>
      <c r="U935" s="5">
        <v>557.95000000000005</v>
      </c>
      <c r="V935" s="5">
        <v>527.65</v>
      </c>
      <c r="W935" s="5">
        <v>12.618945</v>
      </c>
      <c r="X935" s="5">
        <v>107.94655</v>
      </c>
      <c r="Y935" s="5">
        <v>30.3</v>
      </c>
      <c r="Z935" s="5">
        <v>12.617361000000001</v>
      </c>
      <c r="AA935" s="5">
        <v>107.94005799999999</v>
      </c>
      <c r="AB935" s="7">
        <f t="shared" si="85"/>
        <v>0.79147499999999993</v>
      </c>
      <c r="AC935" s="7">
        <f t="shared" si="86"/>
        <v>4.5450000000000004E-2</v>
      </c>
      <c r="AD935" s="6" t="str">
        <f t="shared" si="87"/>
        <v>Hòa Phú</v>
      </c>
      <c r="AE935" s="6" t="str">
        <f t="shared" si="88"/>
        <v>Ea Na</v>
      </c>
      <c r="AG935">
        <f t="shared" si="89"/>
        <v>0.52764999999999995</v>
      </c>
      <c r="AH935">
        <f t="shared" si="90"/>
        <v>3.0300000000000001E-2</v>
      </c>
    </row>
    <row r="936" spans="1:34" x14ac:dyDescent="0.25">
      <c r="A936" t="s">
        <v>9074</v>
      </c>
      <c r="B936" t="s">
        <v>8636</v>
      </c>
      <c r="C936" t="s">
        <v>8637</v>
      </c>
      <c r="D936" t="s">
        <v>9075</v>
      </c>
      <c r="E936" t="s">
        <v>9076</v>
      </c>
      <c r="F936" t="s">
        <v>9077</v>
      </c>
      <c r="G936" t="s">
        <v>15827</v>
      </c>
      <c r="H936" t="s">
        <v>15831</v>
      </c>
      <c r="I936" t="s">
        <v>16746</v>
      </c>
      <c r="J936" t="s">
        <v>23</v>
      </c>
      <c r="L936" t="s">
        <v>9078</v>
      </c>
      <c r="M936" t="s">
        <v>9079</v>
      </c>
      <c r="N936" t="s">
        <v>9080</v>
      </c>
      <c r="O936" t="s">
        <v>9081</v>
      </c>
      <c r="P936" t="s">
        <v>9082</v>
      </c>
      <c r="Q936" t="s">
        <v>9083</v>
      </c>
      <c r="R936" t="s">
        <v>9084</v>
      </c>
      <c r="S936" t="s">
        <v>9085</v>
      </c>
      <c r="T936" t="s">
        <v>9086</v>
      </c>
      <c r="U936" s="5">
        <v>355.97</v>
      </c>
      <c r="V936" s="5">
        <v>72.489999999999995</v>
      </c>
      <c r="W936" s="5">
        <v>12.684661999999999</v>
      </c>
      <c r="X936" s="5">
        <v>108.052244</v>
      </c>
      <c r="Y936" s="5">
        <v>283.47000000000003</v>
      </c>
      <c r="Z936" s="5">
        <v>12.689913000000001</v>
      </c>
      <c r="AA936" s="5">
        <v>108.059804</v>
      </c>
      <c r="AB936" s="7">
        <f t="shared" si="85"/>
        <v>0.10873499999999998</v>
      </c>
      <c r="AC936" s="7">
        <f t="shared" si="86"/>
        <v>0.42520500000000006</v>
      </c>
      <c r="AD936" s="6" t="str">
        <f t="shared" si="87"/>
        <v>TT1 Đak Lak</v>
      </c>
      <c r="AE936" s="6" t="str">
        <f t="shared" si="88"/>
        <v>Krong Pak</v>
      </c>
      <c r="AG936">
        <f t="shared" si="89"/>
        <v>7.2489999999999999E-2</v>
      </c>
      <c r="AH936">
        <f t="shared" si="90"/>
        <v>0.28347</v>
      </c>
    </row>
    <row r="937" spans="1:34" x14ac:dyDescent="0.25">
      <c r="A937" t="s">
        <v>9087</v>
      </c>
      <c r="B937" t="s">
        <v>8699</v>
      </c>
      <c r="C937" t="s">
        <v>8700</v>
      </c>
      <c r="D937" t="s">
        <v>8272</v>
      </c>
      <c r="E937" t="s">
        <v>8273</v>
      </c>
      <c r="F937" t="s">
        <v>9088</v>
      </c>
      <c r="G937" t="s">
        <v>15827</v>
      </c>
      <c r="H937" t="s">
        <v>15831</v>
      </c>
      <c r="I937" t="s">
        <v>16747</v>
      </c>
      <c r="J937" t="s">
        <v>23</v>
      </c>
      <c r="L937" t="s">
        <v>8432</v>
      </c>
      <c r="M937" t="s">
        <v>9089</v>
      </c>
      <c r="N937" t="s">
        <v>9090</v>
      </c>
      <c r="O937" t="s">
        <v>8435</v>
      </c>
      <c r="P937" t="s">
        <v>8436</v>
      </c>
      <c r="Q937" t="s">
        <v>8473</v>
      </c>
      <c r="R937" t="s">
        <v>8474</v>
      </c>
      <c r="S937" t="s">
        <v>8475</v>
      </c>
      <c r="T937" t="s">
        <v>8440</v>
      </c>
      <c r="U937" s="5">
        <v>125.55</v>
      </c>
      <c r="V937" s="5">
        <v>91.96</v>
      </c>
      <c r="W937" s="5">
        <v>12.690893000000001</v>
      </c>
      <c r="X937" s="5">
        <v>108.06744999999999</v>
      </c>
      <c r="Y937" s="5">
        <v>33.590000000000003</v>
      </c>
      <c r="Z937" s="5">
        <v>12.697137</v>
      </c>
      <c r="AA937" s="5">
        <v>108.07234200000001</v>
      </c>
      <c r="AB937" s="7">
        <f t="shared" si="85"/>
        <v>0.13794000000000001</v>
      </c>
      <c r="AC937" s="7">
        <f t="shared" si="86"/>
        <v>5.0385000000000006E-2</v>
      </c>
      <c r="AD937" s="6" t="str">
        <f t="shared" si="87"/>
        <v>TT1 Đăk Lăk</v>
      </c>
      <c r="AE937" s="6" t="str">
        <f t="shared" si="88"/>
        <v>ILA Ea Kar</v>
      </c>
      <c r="AG937">
        <f t="shared" si="89"/>
        <v>9.196E-2</v>
      </c>
      <c r="AH937">
        <f t="shared" si="90"/>
        <v>3.3590000000000002E-2</v>
      </c>
    </row>
    <row r="938" spans="1:34" x14ac:dyDescent="0.25">
      <c r="A938" t="s">
        <v>9091</v>
      </c>
      <c r="B938" t="s">
        <v>8429</v>
      </c>
      <c r="C938" t="s">
        <v>8430</v>
      </c>
      <c r="D938" t="s">
        <v>8459</v>
      </c>
      <c r="E938" t="s">
        <v>8460</v>
      </c>
      <c r="F938" t="s">
        <v>9092</v>
      </c>
      <c r="G938" t="s">
        <v>15827</v>
      </c>
      <c r="H938" t="s">
        <v>15831</v>
      </c>
      <c r="I938" t="s">
        <v>16748</v>
      </c>
      <c r="J938" t="s">
        <v>23</v>
      </c>
      <c r="L938" t="s">
        <v>8193</v>
      </c>
      <c r="M938" t="s">
        <v>9093</v>
      </c>
      <c r="N938" t="s">
        <v>9094</v>
      </c>
      <c r="O938" t="s">
        <v>9095</v>
      </c>
      <c r="P938" t="s">
        <v>9096</v>
      </c>
      <c r="Q938" t="s">
        <v>9097</v>
      </c>
      <c r="R938" t="s">
        <v>9098</v>
      </c>
      <c r="S938" t="s">
        <v>9099</v>
      </c>
      <c r="T938" t="s">
        <v>8201</v>
      </c>
      <c r="U938" s="5">
        <v>3136.08</v>
      </c>
      <c r="V938" s="5">
        <v>2642.09</v>
      </c>
      <c r="W938" s="5">
        <v>13.091364</v>
      </c>
      <c r="X938" s="5">
        <v>109.28920599999999</v>
      </c>
      <c r="Y938" s="5">
        <v>493.99</v>
      </c>
      <c r="Z938" s="5">
        <v>13.147905</v>
      </c>
      <c r="AA938" s="5">
        <v>109.280089</v>
      </c>
      <c r="AB938" s="7">
        <f t="shared" si="85"/>
        <v>3.9631350000000003</v>
      </c>
      <c r="AC938" s="7">
        <f t="shared" si="86"/>
        <v>0.740985</v>
      </c>
      <c r="AD938" s="6" t="str">
        <f t="shared" si="87"/>
        <v>Sông Cầu</v>
      </c>
      <c r="AE938" s="6" t="str">
        <f t="shared" si="88"/>
        <v>TT2 Tuy Hòa</v>
      </c>
      <c r="AG938">
        <f t="shared" si="89"/>
        <v>2.64209</v>
      </c>
      <c r="AH938">
        <f t="shared" si="90"/>
        <v>0.49398999999999998</v>
      </c>
    </row>
    <row r="939" spans="1:34" x14ac:dyDescent="0.25">
      <c r="A939" t="s">
        <v>9100</v>
      </c>
      <c r="B939" t="s">
        <v>8686</v>
      </c>
      <c r="C939" t="s">
        <v>8687</v>
      </c>
      <c r="D939" t="s">
        <v>9101</v>
      </c>
      <c r="E939" t="s">
        <v>9102</v>
      </c>
      <c r="F939" t="s">
        <v>9103</v>
      </c>
      <c r="G939" t="s">
        <v>15827</v>
      </c>
      <c r="H939" t="s">
        <v>15831</v>
      </c>
      <c r="I939" t="s">
        <v>16749</v>
      </c>
      <c r="J939" t="s">
        <v>23</v>
      </c>
      <c r="L939" t="s">
        <v>8432</v>
      </c>
      <c r="M939" t="s">
        <v>9104</v>
      </c>
      <c r="N939" t="s">
        <v>9105</v>
      </c>
      <c r="O939" t="s">
        <v>8435</v>
      </c>
      <c r="P939" t="s">
        <v>8436</v>
      </c>
      <c r="Q939" t="s">
        <v>9106</v>
      </c>
      <c r="R939" t="s">
        <v>8438</v>
      </c>
      <c r="S939" t="s">
        <v>8439</v>
      </c>
      <c r="T939" t="s">
        <v>8440</v>
      </c>
      <c r="U939" s="5">
        <v>100845.75</v>
      </c>
      <c r="V939" s="5">
        <v>7844.66</v>
      </c>
      <c r="W939" s="5">
        <v>12.690893000000001</v>
      </c>
      <c r="X939" s="5">
        <v>108.06744999999999</v>
      </c>
      <c r="Y939" s="5">
        <v>93001.1</v>
      </c>
      <c r="Z939" s="5">
        <v>12.811565999999999</v>
      </c>
      <c r="AA939" s="5">
        <v>108.483311</v>
      </c>
      <c r="AB939" s="7">
        <f t="shared" si="85"/>
        <v>11.76699</v>
      </c>
      <c r="AC939" s="7">
        <f t="shared" si="86"/>
        <v>139.50165000000001</v>
      </c>
      <c r="AD939" s="6" t="str">
        <f t="shared" si="87"/>
        <v>TT1 Đăk Lăk</v>
      </c>
      <c r="AE939" s="6" t="str">
        <f t="shared" si="88"/>
        <v>ILA Ea Kar</v>
      </c>
      <c r="AG939">
        <f t="shared" si="89"/>
        <v>7.8446600000000002</v>
      </c>
      <c r="AH939">
        <f t="shared" si="90"/>
        <v>93.001100000000008</v>
      </c>
    </row>
    <row r="940" spans="1:34" x14ac:dyDescent="0.25">
      <c r="A940" t="s">
        <v>9107</v>
      </c>
      <c r="B940" t="s">
        <v>9108</v>
      </c>
      <c r="C940" t="s">
        <v>9109</v>
      </c>
      <c r="D940" t="s">
        <v>9110</v>
      </c>
      <c r="E940" t="s">
        <v>9111</v>
      </c>
      <c r="F940" t="s">
        <v>9112</v>
      </c>
      <c r="G940" t="s">
        <v>15827</v>
      </c>
      <c r="H940" t="s">
        <v>15831</v>
      </c>
      <c r="I940" t="s">
        <v>16750</v>
      </c>
      <c r="J940" t="s">
        <v>23</v>
      </c>
      <c r="L940" t="s">
        <v>9113</v>
      </c>
      <c r="M940" t="s">
        <v>9114</v>
      </c>
      <c r="N940" t="s">
        <v>9115</v>
      </c>
      <c r="O940" t="s">
        <v>9116</v>
      </c>
      <c r="P940" t="s">
        <v>9117</v>
      </c>
      <c r="Q940" t="s">
        <v>9118</v>
      </c>
      <c r="R940" t="s">
        <v>9119</v>
      </c>
      <c r="S940" t="s">
        <v>9120</v>
      </c>
      <c r="T940" t="s">
        <v>9121</v>
      </c>
      <c r="U940" s="5">
        <v>870.47</v>
      </c>
      <c r="V940" s="5">
        <v>867.07</v>
      </c>
      <c r="W940" s="5">
        <v>12.673182000000001</v>
      </c>
      <c r="X940" s="5">
        <v>108.03377500000001</v>
      </c>
      <c r="Y940" s="5">
        <v>3.41</v>
      </c>
      <c r="Z940" s="5">
        <v>12.673265000000001</v>
      </c>
      <c r="AA940" s="5">
        <v>108.03362799999999</v>
      </c>
      <c r="AB940" s="7">
        <f t="shared" si="85"/>
        <v>1.300605</v>
      </c>
      <c r="AC940" s="7">
        <f t="shared" si="86"/>
        <v>5.1150000000000006E-3</v>
      </c>
      <c r="AD940" s="6" t="str">
        <f t="shared" si="87"/>
        <v>Trung tâm huấn luyện PX01</v>
      </c>
      <c r="AE940" s="6" t="str">
        <f t="shared" si="88"/>
        <v>TT1 Đăk Lăk</v>
      </c>
      <c r="AG940">
        <f t="shared" si="89"/>
        <v>0.86707000000000001</v>
      </c>
      <c r="AH940">
        <f t="shared" si="90"/>
        <v>3.4100000000000003E-3</v>
      </c>
    </row>
    <row r="941" spans="1:34" x14ac:dyDescent="0.25">
      <c r="A941" t="s">
        <v>9122</v>
      </c>
      <c r="B941" t="s">
        <v>8636</v>
      </c>
      <c r="C941" t="s">
        <v>8637</v>
      </c>
      <c r="D941" t="s">
        <v>9123</v>
      </c>
      <c r="E941" t="s">
        <v>9124</v>
      </c>
      <c r="F941" t="s">
        <v>9125</v>
      </c>
      <c r="G941" t="s">
        <v>15827</v>
      </c>
      <c r="H941" t="s">
        <v>15831</v>
      </c>
      <c r="I941" t="s">
        <v>16751</v>
      </c>
      <c r="J941" t="s">
        <v>23</v>
      </c>
      <c r="L941" t="s">
        <v>9126</v>
      </c>
      <c r="M941" t="s">
        <v>9127</v>
      </c>
      <c r="N941" t="s">
        <v>9128</v>
      </c>
      <c r="O941" t="s">
        <v>9129</v>
      </c>
      <c r="P941" t="s">
        <v>9130</v>
      </c>
      <c r="Q941" t="s">
        <v>9131</v>
      </c>
      <c r="R941" t="s">
        <v>9132</v>
      </c>
      <c r="S941" t="s">
        <v>9133</v>
      </c>
      <c r="T941" t="s">
        <v>9134</v>
      </c>
      <c r="U941" s="5">
        <v>278.42</v>
      </c>
      <c r="V941" s="5">
        <v>225.88</v>
      </c>
      <c r="W941" s="5">
        <v>12.683052999999999</v>
      </c>
      <c r="X941" s="5">
        <v>108.05115600000001</v>
      </c>
      <c r="Y941" s="5">
        <v>52.55</v>
      </c>
      <c r="Z941" s="5">
        <v>12.683980999999999</v>
      </c>
      <c r="AA941" s="5">
        <v>108.059354</v>
      </c>
      <c r="AB941" s="7">
        <f t="shared" si="85"/>
        <v>0.33882000000000001</v>
      </c>
      <c r="AC941" s="7">
        <f t="shared" si="86"/>
        <v>7.8824999999999992E-2</v>
      </c>
      <c r="AD941" s="6" t="str">
        <f t="shared" si="87"/>
        <v>TT1 Đăk Lăk</v>
      </c>
      <c r="AE941" s="6" t="str">
        <f t="shared" si="88"/>
        <v>ILA Ea Pal</v>
      </c>
      <c r="AG941">
        <f t="shared" si="89"/>
        <v>0.22588</v>
      </c>
      <c r="AH941">
        <f t="shared" si="90"/>
        <v>5.2549999999999999E-2</v>
      </c>
    </row>
    <row r="942" spans="1:34" x14ac:dyDescent="0.25">
      <c r="A942" t="s">
        <v>9135</v>
      </c>
      <c r="B942" t="s">
        <v>9108</v>
      </c>
      <c r="C942" t="s">
        <v>9109</v>
      </c>
      <c r="D942" t="s">
        <v>9136</v>
      </c>
      <c r="E942" t="s">
        <v>9137</v>
      </c>
      <c r="F942" t="s">
        <v>9138</v>
      </c>
      <c r="G942" t="s">
        <v>15827</v>
      </c>
      <c r="H942" t="s">
        <v>15831</v>
      </c>
      <c r="I942" t="s">
        <v>16752</v>
      </c>
      <c r="J942" t="s">
        <v>23</v>
      </c>
      <c r="L942" t="s">
        <v>9139</v>
      </c>
      <c r="M942" t="s">
        <v>9140</v>
      </c>
      <c r="N942" t="s">
        <v>9141</v>
      </c>
      <c r="O942" t="s">
        <v>9142</v>
      </c>
      <c r="P942" t="s">
        <v>9143</v>
      </c>
      <c r="Q942" t="s">
        <v>9144</v>
      </c>
      <c r="R942" t="s">
        <v>9145</v>
      </c>
      <c r="S942" t="s">
        <v>9146</v>
      </c>
      <c r="T942" t="s">
        <v>9147</v>
      </c>
      <c r="U942" s="5">
        <v>560.96</v>
      </c>
      <c r="V942" s="5">
        <v>471.01</v>
      </c>
      <c r="W942" s="5">
        <v>12.662886</v>
      </c>
      <c r="X942" s="5">
        <v>108.03439</v>
      </c>
      <c r="Y942" s="5">
        <v>89.95</v>
      </c>
      <c r="Z942" s="5">
        <v>12.660361</v>
      </c>
      <c r="AA942" s="5">
        <v>108.031069</v>
      </c>
      <c r="AB942" s="7">
        <f t="shared" si="85"/>
        <v>0.706515</v>
      </c>
      <c r="AC942" s="7">
        <f t="shared" si="86"/>
        <v>0.13492500000000002</v>
      </c>
      <c r="AD942" s="6" t="str">
        <f t="shared" si="87"/>
        <v>CAT Đắk Lắk</v>
      </c>
      <c r="AE942" s="6" t="str">
        <f t="shared" si="88"/>
        <v>Ea Kao</v>
      </c>
      <c r="AG942">
        <f t="shared" si="89"/>
        <v>0.47100999999999998</v>
      </c>
      <c r="AH942">
        <f t="shared" si="90"/>
        <v>8.9950000000000002E-2</v>
      </c>
    </row>
    <row r="943" spans="1:34" x14ac:dyDescent="0.25">
      <c r="A943" t="s">
        <v>9148</v>
      </c>
      <c r="B943" t="s">
        <v>9149</v>
      </c>
      <c r="C943" t="s">
        <v>9150</v>
      </c>
      <c r="D943" t="s">
        <v>8257</v>
      </c>
      <c r="E943" t="s">
        <v>8258</v>
      </c>
      <c r="F943" t="s">
        <v>9151</v>
      </c>
      <c r="G943" t="s">
        <v>15827</v>
      </c>
      <c r="H943" t="s">
        <v>15831</v>
      </c>
      <c r="I943" t="s">
        <v>16753</v>
      </c>
      <c r="J943" t="s">
        <v>23</v>
      </c>
      <c r="L943" t="s">
        <v>8288</v>
      </c>
      <c r="M943" t="s">
        <v>9152</v>
      </c>
      <c r="N943" t="s">
        <v>9153</v>
      </c>
      <c r="O943" t="s">
        <v>9154</v>
      </c>
      <c r="P943" t="s">
        <v>9155</v>
      </c>
      <c r="Q943" t="s">
        <v>8293</v>
      </c>
      <c r="R943" t="s">
        <v>8294</v>
      </c>
      <c r="S943" t="s">
        <v>8295</v>
      </c>
      <c r="T943" t="s">
        <v>8296</v>
      </c>
      <c r="U943" s="5">
        <v>1300.24</v>
      </c>
      <c r="V943" s="5">
        <v>1181.25</v>
      </c>
      <c r="W943" s="5">
        <v>12.679326</v>
      </c>
      <c r="X943" s="5">
        <v>108.087198</v>
      </c>
      <c r="Y943" s="5">
        <v>118.99</v>
      </c>
      <c r="Z943" s="5">
        <v>12.655568000000001</v>
      </c>
      <c r="AA943" s="5">
        <v>108.107465</v>
      </c>
      <c r="AB943" s="7">
        <f t="shared" si="85"/>
        <v>1.7718750000000001</v>
      </c>
      <c r="AC943" s="7">
        <f t="shared" si="86"/>
        <v>0.17848499999999998</v>
      </c>
      <c r="AD943" s="6" t="str">
        <f t="shared" si="87"/>
        <v>Tân Lập</v>
      </c>
      <c r="AE943" s="6" t="str">
        <f t="shared" si="88"/>
        <v>Ea Knuec</v>
      </c>
      <c r="AG943">
        <f t="shared" si="89"/>
        <v>1.1812499999999999</v>
      </c>
      <c r="AH943">
        <f t="shared" si="90"/>
        <v>0.11899</v>
      </c>
    </row>
    <row r="944" spans="1:34" x14ac:dyDescent="0.25">
      <c r="A944" t="s">
        <v>9156</v>
      </c>
      <c r="B944" t="s">
        <v>9157</v>
      </c>
      <c r="C944" t="s">
        <v>9158</v>
      </c>
      <c r="D944" t="s">
        <v>8444</v>
      </c>
      <c r="E944" t="s">
        <v>8445</v>
      </c>
      <c r="F944" t="s">
        <v>9159</v>
      </c>
      <c r="G944" t="s">
        <v>15827</v>
      </c>
      <c r="H944" t="s">
        <v>15831</v>
      </c>
      <c r="I944" t="s">
        <v>16754</v>
      </c>
      <c r="J944" t="s">
        <v>23</v>
      </c>
      <c r="L944" t="s">
        <v>8447</v>
      </c>
      <c r="M944" t="s">
        <v>9160</v>
      </c>
      <c r="N944" t="s">
        <v>9161</v>
      </c>
      <c r="O944" t="s">
        <v>9162</v>
      </c>
      <c r="P944" t="s">
        <v>9163</v>
      </c>
      <c r="Q944" t="s">
        <v>9164</v>
      </c>
      <c r="R944" t="s">
        <v>9165</v>
      </c>
      <c r="S944" t="s">
        <v>9166</v>
      </c>
      <c r="T944" t="s">
        <v>9167</v>
      </c>
      <c r="U944" s="5">
        <v>434.7</v>
      </c>
      <c r="V944" s="5">
        <v>22.72</v>
      </c>
      <c r="W944" s="5">
        <v>12.676812999999999</v>
      </c>
      <c r="X944" s="5">
        <v>107.99398100000001</v>
      </c>
      <c r="Y944" s="5">
        <v>411.98</v>
      </c>
      <c r="Z944" s="5">
        <v>12.682619000000001</v>
      </c>
      <c r="AA944" s="5">
        <v>108.012011</v>
      </c>
      <c r="AB944" s="7">
        <f t="shared" si="85"/>
        <v>3.4079999999999999E-2</v>
      </c>
      <c r="AC944" s="7">
        <f t="shared" si="86"/>
        <v>0.61797000000000002</v>
      </c>
      <c r="AD944" s="6" t="str">
        <f t="shared" si="87"/>
        <v>Thành Nhất</v>
      </c>
      <c r="AE944" s="6" t="str">
        <f t="shared" si="88"/>
        <v>Ea Nuôl</v>
      </c>
      <c r="AG944">
        <f t="shared" si="89"/>
        <v>2.2719999999999997E-2</v>
      </c>
      <c r="AH944">
        <f t="shared" si="90"/>
        <v>0.41198000000000001</v>
      </c>
    </row>
    <row r="945" spans="1:34" x14ac:dyDescent="0.25">
      <c r="A945" t="s">
        <v>9168</v>
      </c>
      <c r="B945" t="s">
        <v>8651</v>
      </c>
      <c r="C945" t="s">
        <v>8652</v>
      </c>
      <c r="D945" t="s">
        <v>9169</v>
      </c>
      <c r="E945" t="s">
        <v>9170</v>
      </c>
      <c r="F945" t="s">
        <v>9171</v>
      </c>
      <c r="G945" t="s">
        <v>15827</v>
      </c>
      <c r="H945" t="s">
        <v>15831</v>
      </c>
      <c r="I945" t="s">
        <v>16755</v>
      </c>
      <c r="J945" t="s">
        <v>23</v>
      </c>
      <c r="L945" t="s">
        <v>9172</v>
      </c>
      <c r="M945" t="s">
        <v>9173</v>
      </c>
      <c r="N945" t="s">
        <v>9174</v>
      </c>
      <c r="O945" t="s">
        <v>9175</v>
      </c>
      <c r="P945" t="s">
        <v>9176</v>
      </c>
      <c r="Q945" t="s">
        <v>9177</v>
      </c>
      <c r="R945" t="s">
        <v>9178</v>
      </c>
      <c r="S945" t="s">
        <v>9179</v>
      </c>
      <c r="T945" t="s">
        <v>9180</v>
      </c>
      <c r="U945" s="5">
        <v>2288.04</v>
      </c>
      <c r="V945" s="5">
        <v>37.880000000000003</v>
      </c>
      <c r="W945" s="5">
        <v>12.711841</v>
      </c>
      <c r="X945" s="5">
        <v>108.066391</v>
      </c>
      <c r="Y945" s="5">
        <v>2250.16</v>
      </c>
      <c r="Z945" s="5">
        <v>12.712285</v>
      </c>
      <c r="AA945" s="5">
        <v>108.066721</v>
      </c>
      <c r="AB945" s="7">
        <f t="shared" si="85"/>
        <v>5.6820000000000009E-2</v>
      </c>
      <c r="AC945" s="7">
        <f t="shared" si="86"/>
        <v>3.3752399999999998</v>
      </c>
      <c r="AD945" s="6" t="str">
        <f t="shared" si="87"/>
        <v>Trại tạm giam Buôn Mê Thuột</v>
      </c>
      <c r="AE945" s="6" t="str">
        <f t="shared" si="88"/>
        <v>TT1 Đăk Lăk</v>
      </c>
      <c r="AG945">
        <f t="shared" si="89"/>
        <v>3.7880000000000004E-2</v>
      </c>
      <c r="AH945">
        <f t="shared" si="90"/>
        <v>2.2501599999999997</v>
      </c>
    </row>
    <row r="946" spans="1:34" x14ac:dyDescent="0.25">
      <c r="A946" t="s">
        <v>9181</v>
      </c>
      <c r="B946" t="s">
        <v>9182</v>
      </c>
      <c r="C946" t="s">
        <v>9183</v>
      </c>
      <c r="D946" t="s">
        <v>9184</v>
      </c>
      <c r="E946" t="s">
        <v>9185</v>
      </c>
      <c r="F946" t="s">
        <v>9186</v>
      </c>
      <c r="G946" t="s">
        <v>15827</v>
      </c>
      <c r="H946" t="s">
        <v>15831</v>
      </c>
      <c r="I946" t="s">
        <v>16756</v>
      </c>
      <c r="J946" t="s">
        <v>23</v>
      </c>
      <c r="L946" t="s">
        <v>8432</v>
      </c>
      <c r="M946" t="s">
        <v>9187</v>
      </c>
      <c r="N946" t="s">
        <v>9188</v>
      </c>
      <c r="O946" t="s">
        <v>9189</v>
      </c>
      <c r="P946" t="s">
        <v>9190</v>
      </c>
      <c r="Q946" t="s">
        <v>9191</v>
      </c>
      <c r="R946" t="s">
        <v>9192</v>
      </c>
      <c r="S946" t="s">
        <v>9193</v>
      </c>
      <c r="T946" t="s">
        <v>8440</v>
      </c>
      <c r="U946" s="5">
        <v>190.27</v>
      </c>
      <c r="V946" s="5">
        <v>88.89</v>
      </c>
      <c r="W946" s="5">
        <v>12.736509</v>
      </c>
      <c r="X946" s="5">
        <v>108.14225</v>
      </c>
      <c r="Y946" s="5">
        <v>101.38</v>
      </c>
      <c r="Z946" s="5">
        <v>12.753318999999999</v>
      </c>
      <c r="AA946" s="5">
        <v>108.169235</v>
      </c>
      <c r="AB946" s="7">
        <f t="shared" si="85"/>
        <v>0.13333500000000001</v>
      </c>
      <c r="AC946" s="7">
        <f t="shared" si="86"/>
        <v>0.15206999999999998</v>
      </c>
      <c r="AD946" s="6" t="str">
        <f t="shared" si="87"/>
        <v>TT1 Đăk Lăk</v>
      </c>
      <c r="AE946" s="6" t="str">
        <f t="shared" si="88"/>
        <v>ILA Ea Kar</v>
      </c>
      <c r="AG946">
        <f t="shared" si="89"/>
        <v>8.8889999999999997E-2</v>
      </c>
      <c r="AH946">
        <f t="shared" si="90"/>
        <v>0.10138</v>
      </c>
    </row>
    <row r="947" spans="1:34" x14ac:dyDescent="0.25">
      <c r="A947" t="s">
        <v>9194</v>
      </c>
      <c r="B947" t="s">
        <v>8414</v>
      </c>
      <c r="C947" t="s">
        <v>8415</v>
      </c>
      <c r="D947" t="s">
        <v>9195</v>
      </c>
      <c r="E947" t="s">
        <v>9196</v>
      </c>
      <c r="F947" t="s">
        <v>9197</v>
      </c>
      <c r="G947" t="s">
        <v>15827</v>
      </c>
      <c r="H947" t="s">
        <v>15831</v>
      </c>
      <c r="I947" t="s">
        <v>16757</v>
      </c>
      <c r="J947" t="s">
        <v>23</v>
      </c>
      <c r="L947" t="s">
        <v>8417</v>
      </c>
      <c r="M947" t="s">
        <v>9198</v>
      </c>
      <c r="N947" t="s">
        <v>8422</v>
      </c>
      <c r="O947" t="s">
        <v>8423</v>
      </c>
      <c r="P947" t="s">
        <v>8424</v>
      </c>
      <c r="Q947" t="s">
        <v>9199</v>
      </c>
      <c r="R947" t="s">
        <v>9200</v>
      </c>
      <c r="S947" t="s">
        <v>9201</v>
      </c>
      <c r="T947" t="s">
        <v>8425</v>
      </c>
      <c r="U947" s="5">
        <v>547.86</v>
      </c>
      <c r="V947" s="5">
        <v>57.95</v>
      </c>
      <c r="W947" s="5">
        <v>12.916482999999999</v>
      </c>
      <c r="X947" s="5">
        <v>108.26607</v>
      </c>
      <c r="Y947" s="5">
        <v>489.91</v>
      </c>
      <c r="Z947" s="5">
        <v>12.911094</v>
      </c>
      <c r="AA947" s="5">
        <v>108.266525</v>
      </c>
      <c r="AB947" s="7">
        <f t="shared" si="85"/>
        <v>8.6925000000000016E-2</v>
      </c>
      <c r="AC947" s="7">
        <f t="shared" si="86"/>
        <v>0.73486499999999999</v>
      </c>
      <c r="AD947" s="6" t="e">
        <f t="shared" si="87"/>
        <v>#VALUE!</v>
      </c>
      <c r="AE947" s="6" t="e">
        <f t="shared" si="88"/>
        <v>#VALUE!</v>
      </c>
      <c r="AG947">
        <f t="shared" si="89"/>
        <v>5.7950000000000002E-2</v>
      </c>
      <c r="AH947">
        <f t="shared" si="90"/>
        <v>0.48991000000000001</v>
      </c>
    </row>
    <row r="948" spans="1:34" x14ac:dyDescent="0.25">
      <c r="A948" t="s">
        <v>9202</v>
      </c>
      <c r="B948" t="s">
        <v>9203</v>
      </c>
      <c r="C948" t="s">
        <v>9204</v>
      </c>
      <c r="D948" t="s">
        <v>9018</v>
      </c>
      <c r="E948" t="s">
        <v>9019</v>
      </c>
      <c r="F948" t="s">
        <v>9205</v>
      </c>
      <c r="G948" t="s">
        <v>15827</v>
      </c>
      <c r="H948" t="s">
        <v>15828</v>
      </c>
      <c r="I948" t="s">
        <v>16758</v>
      </c>
      <c r="J948" t="s">
        <v>23</v>
      </c>
      <c r="L948" t="s">
        <v>9023</v>
      </c>
      <c r="M948" t="s">
        <v>9206</v>
      </c>
      <c r="N948" t="s">
        <v>9207</v>
      </c>
      <c r="O948" t="s">
        <v>9208</v>
      </c>
      <c r="P948" t="s">
        <v>9209</v>
      </c>
      <c r="Q948" t="s">
        <v>2468</v>
      </c>
      <c r="R948" t="s">
        <v>9025</v>
      </c>
      <c r="S948" t="s">
        <v>9026</v>
      </c>
      <c r="T948" t="s">
        <v>9030</v>
      </c>
      <c r="U948" s="5">
        <v>602.63</v>
      </c>
      <c r="V948" s="5">
        <v>600.95000000000005</v>
      </c>
      <c r="W948" s="5">
        <v>13.044897000000001</v>
      </c>
      <c r="X948" s="5">
        <v>109.304889</v>
      </c>
      <c r="Y948" s="5">
        <v>1.67</v>
      </c>
      <c r="Z948" s="5">
        <v>13.052982</v>
      </c>
      <c r="AA948" s="5">
        <v>109.310524</v>
      </c>
      <c r="AB948" s="7">
        <f t="shared" si="85"/>
        <v>0.90142500000000003</v>
      </c>
      <c r="AC948" s="7">
        <f t="shared" si="86"/>
        <v>2.5049999999999998E-3</v>
      </c>
      <c r="AD948" s="6" t="str">
        <f t="shared" si="87"/>
        <v>Phú Hòa 2</v>
      </c>
      <c r="AE948" s="6" t="str">
        <f t="shared" si="88"/>
        <v>Phú Yên</v>
      </c>
      <c r="AG948">
        <f t="shared" si="89"/>
        <v>0.6009500000000001</v>
      </c>
      <c r="AH948">
        <f t="shared" si="90"/>
        <v>1.6699999999999998E-3</v>
      </c>
    </row>
    <row r="949" spans="1:34" x14ac:dyDescent="0.25">
      <c r="A949" t="s">
        <v>9210</v>
      </c>
      <c r="B949" t="s">
        <v>8141</v>
      </c>
      <c r="C949" t="s">
        <v>8142</v>
      </c>
      <c r="D949" t="s">
        <v>9018</v>
      </c>
      <c r="E949" t="s">
        <v>9019</v>
      </c>
      <c r="F949" t="s">
        <v>9211</v>
      </c>
      <c r="G949" t="s">
        <v>15827</v>
      </c>
      <c r="H949" t="s">
        <v>15828</v>
      </c>
      <c r="I949" t="s">
        <v>16759</v>
      </c>
      <c r="J949" t="s">
        <v>23</v>
      </c>
      <c r="L949" t="s">
        <v>9023</v>
      </c>
      <c r="M949" t="s">
        <v>9212</v>
      </c>
      <c r="N949" t="s">
        <v>9213</v>
      </c>
      <c r="O949" t="s">
        <v>9028</v>
      </c>
      <c r="P949" t="s">
        <v>9029</v>
      </c>
      <c r="Q949" t="s">
        <v>2468</v>
      </c>
      <c r="R949" t="s">
        <v>9025</v>
      </c>
      <c r="S949" t="s">
        <v>9026</v>
      </c>
      <c r="T949" t="s">
        <v>9030</v>
      </c>
      <c r="U949" s="5">
        <v>1303.29</v>
      </c>
      <c r="V949" s="5">
        <v>1301.6199999999999</v>
      </c>
      <c r="W949" s="5">
        <v>13.045337</v>
      </c>
      <c r="X949" s="5">
        <v>109.30177399999999</v>
      </c>
      <c r="Y949" s="5">
        <v>1.67</v>
      </c>
      <c r="Z949" s="5">
        <v>13.052982</v>
      </c>
      <c r="AA949" s="5">
        <v>109.310524</v>
      </c>
      <c r="AB949" s="7">
        <f t="shared" si="85"/>
        <v>1.9524299999999999</v>
      </c>
      <c r="AC949" s="7">
        <f t="shared" si="86"/>
        <v>2.5049999999999998E-3</v>
      </c>
      <c r="AD949" s="6" t="str">
        <f t="shared" si="87"/>
        <v>Phú Hòa 2</v>
      </c>
      <c r="AE949" s="6" t="str">
        <f t="shared" si="88"/>
        <v>Phú Yên</v>
      </c>
      <c r="AG949">
        <f t="shared" si="89"/>
        <v>1.30162</v>
      </c>
      <c r="AH949">
        <f t="shared" si="90"/>
        <v>1.6699999999999998E-3</v>
      </c>
    </row>
    <row r="950" spans="1:34" x14ac:dyDescent="0.25">
      <c r="A950" t="s">
        <v>9214</v>
      </c>
      <c r="B950" t="s">
        <v>9018</v>
      </c>
      <c r="C950" t="s">
        <v>9019</v>
      </c>
      <c r="D950" t="s">
        <v>9215</v>
      </c>
      <c r="E950" t="s">
        <v>9216</v>
      </c>
      <c r="F950" t="s">
        <v>9217</v>
      </c>
      <c r="G950" t="s">
        <v>15827</v>
      </c>
      <c r="H950" t="s">
        <v>15828</v>
      </c>
      <c r="I950" t="s">
        <v>16760</v>
      </c>
      <c r="J950" t="s">
        <v>23</v>
      </c>
      <c r="L950" t="s">
        <v>9218</v>
      </c>
      <c r="M950" t="s">
        <v>9219</v>
      </c>
      <c r="N950" t="s">
        <v>9220</v>
      </c>
      <c r="O950" t="s">
        <v>9221</v>
      </c>
      <c r="P950" t="s">
        <v>9222</v>
      </c>
      <c r="Q950" t="s">
        <v>9223</v>
      </c>
      <c r="R950" t="s">
        <v>9224</v>
      </c>
      <c r="S950" t="s">
        <v>9225</v>
      </c>
      <c r="T950" t="s">
        <v>9226</v>
      </c>
      <c r="U950" s="5">
        <v>3368.71</v>
      </c>
      <c r="V950" s="5">
        <v>1421.45</v>
      </c>
      <c r="W950" s="5">
        <v>13.052277999999999</v>
      </c>
      <c r="X950" s="5">
        <v>109.32362500000001</v>
      </c>
      <c r="Y950" s="5">
        <v>1947.25</v>
      </c>
      <c r="Z950" s="5">
        <v>13.033217</v>
      </c>
      <c r="AA950" s="5">
        <v>109.323196</v>
      </c>
      <c r="AB950" s="7">
        <f t="shared" si="85"/>
        <v>2.1321750000000002</v>
      </c>
      <c r="AC950" s="7">
        <f t="shared" si="86"/>
        <v>2.9208750000000001</v>
      </c>
      <c r="AD950" s="6" t="str">
        <f t="shared" si="87"/>
        <v>CAT PHÚ YÊN</v>
      </c>
      <c r="AE950" s="6" t="str">
        <f t="shared" si="88"/>
        <v>Cảng hàng không Tuy Hòa</v>
      </c>
      <c r="AG950">
        <f t="shared" si="89"/>
        <v>1.4214500000000001</v>
      </c>
      <c r="AH950">
        <f t="shared" si="90"/>
        <v>1.9472499999999999</v>
      </c>
    </row>
    <row r="951" spans="1:34" x14ac:dyDescent="0.25">
      <c r="A951" t="s">
        <v>9227</v>
      </c>
      <c r="B951" t="s">
        <v>9228</v>
      </c>
      <c r="C951" t="s">
        <v>9229</v>
      </c>
      <c r="D951" t="s">
        <v>9230</v>
      </c>
      <c r="E951" t="s">
        <v>9231</v>
      </c>
      <c r="F951" t="s">
        <v>9232</v>
      </c>
      <c r="G951" t="s">
        <v>15827</v>
      </c>
      <c r="H951" t="s">
        <v>15828</v>
      </c>
      <c r="I951" t="s">
        <v>16761</v>
      </c>
      <c r="J951" t="s">
        <v>23</v>
      </c>
      <c r="L951" t="s">
        <v>9233</v>
      </c>
      <c r="M951" t="s">
        <v>9234</v>
      </c>
      <c r="N951" t="s">
        <v>9235</v>
      </c>
      <c r="O951" t="s">
        <v>9236</v>
      </c>
      <c r="P951" t="s">
        <v>9237</v>
      </c>
      <c r="Q951" t="s">
        <v>9238</v>
      </c>
      <c r="R951" t="s">
        <v>9239</v>
      </c>
      <c r="S951" t="s">
        <v>9240</v>
      </c>
      <c r="T951" t="s">
        <v>9241</v>
      </c>
      <c r="U951" s="5">
        <v>3778.71</v>
      </c>
      <c r="V951" s="5">
        <v>3773.93</v>
      </c>
      <c r="W951" s="5">
        <v>12.953796000000001</v>
      </c>
      <c r="X951" s="5">
        <v>109.353542</v>
      </c>
      <c r="Y951" s="5">
        <v>4.7699999999999996</v>
      </c>
      <c r="Z951" s="5">
        <v>12.908752</v>
      </c>
      <c r="AA951" s="5">
        <v>109.369775</v>
      </c>
      <c r="AB951" s="7">
        <f t="shared" si="85"/>
        <v>5.6608949999999991</v>
      </c>
      <c r="AC951" s="7">
        <f t="shared" si="86"/>
        <v>7.154999999999999E-3</v>
      </c>
      <c r="AD951" s="6" t="str">
        <f t="shared" si="87"/>
        <v>Đông Hòa</v>
      </c>
      <c r="AE951" s="6" t="str">
        <f t="shared" si="88"/>
        <v>Hòa Xuân</v>
      </c>
      <c r="AG951">
        <f t="shared" si="89"/>
        <v>3.77393</v>
      </c>
      <c r="AH951">
        <f t="shared" si="90"/>
        <v>4.7699999999999999E-3</v>
      </c>
    </row>
    <row r="952" spans="1:34" x14ac:dyDescent="0.25">
      <c r="A952" t="s">
        <v>9242</v>
      </c>
      <c r="B952" t="s">
        <v>9230</v>
      </c>
      <c r="C952" t="s">
        <v>9231</v>
      </c>
      <c r="D952" t="s">
        <v>9243</v>
      </c>
      <c r="E952" t="s">
        <v>9244</v>
      </c>
      <c r="F952" t="s">
        <v>9245</v>
      </c>
      <c r="G952" t="s">
        <v>15827</v>
      </c>
      <c r="H952" t="s">
        <v>15828</v>
      </c>
      <c r="I952" t="s">
        <v>16762</v>
      </c>
      <c r="J952" t="s">
        <v>23</v>
      </c>
      <c r="L952" t="s">
        <v>9233</v>
      </c>
      <c r="M952" t="s">
        <v>9246</v>
      </c>
      <c r="N952" t="s">
        <v>9238</v>
      </c>
      <c r="O952" t="s">
        <v>9239</v>
      </c>
      <c r="P952" t="s">
        <v>9240</v>
      </c>
      <c r="Q952" t="s">
        <v>9247</v>
      </c>
      <c r="R952" t="s">
        <v>9248</v>
      </c>
      <c r="S952" t="s">
        <v>9249</v>
      </c>
      <c r="T952" t="s">
        <v>9241</v>
      </c>
      <c r="U952" s="5">
        <v>4854.8900000000003</v>
      </c>
      <c r="V952" s="5">
        <v>4.7699999999999996</v>
      </c>
      <c r="W952" s="5">
        <v>12.908752</v>
      </c>
      <c r="X952" s="5">
        <v>109.369775</v>
      </c>
      <c r="Y952" s="5">
        <v>4850.12</v>
      </c>
      <c r="Z952" s="5">
        <v>12.948195</v>
      </c>
      <c r="AA952" s="5">
        <v>109.35910800000001</v>
      </c>
      <c r="AB952" s="7">
        <f t="shared" si="85"/>
        <v>7.154999999999999E-3</v>
      </c>
      <c r="AC952" s="7">
        <f t="shared" si="86"/>
        <v>7.2751800000000006</v>
      </c>
      <c r="AD952" s="6" t="str">
        <f t="shared" si="87"/>
        <v>Đông Hòa</v>
      </c>
      <c r="AE952" s="6" t="str">
        <f t="shared" si="88"/>
        <v>Hòa Xuân</v>
      </c>
      <c r="AG952">
        <f t="shared" si="89"/>
        <v>4.7699999999999999E-3</v>
      </c>
      <c r="AH952">
        <f t="shared" si="90"/>
        <v>4.8501199999999995</v>
      </c>
    </row>
    <row r="953" spans="1:34" x14ac:dyDescent="0.25">
      <c r="A953" t="s">
        <v>9250</v>
      </c>
      <c r="B953" t="s">
        <v>8141</v>
      </c>
      <c r="C953" t="s">
        <v>8142</v>
      </c>
      <c r="D953" t="s">
        <v>9251</v>
      </c>
      <c r="E953" t="s">
        <v>9252</v>
      </c>
      <c r="F953" t="s">
        <v>9253</v>
      </c>
      <c r="G953" t="s">
        <v>15827</v>
      </c>
      <c r="H953" t="s">
        <v>15828</v>
      </c>
      <c r="I953" t="s">
        <v>16763</v>
      </c>
      <c r="J953" t="s">
        <v>23</v>
      </c>
      <c r="L953" t="s">
        <v>9254</v>
      </c>
      <c r="M953" t="s">
        <v>9255</v>
      </c>
      <c r="N953" t="s">
        <v>9256</v>
      </c>
      <c r="O953" t="s">
        <v>9257</v>
      </c>
      <c r="P953" t="s">
        <v>9258</v>
      </c>
      <c r="Q953" t="s">
        <v>6829</v>
      </c>
      <c r="R953" t="s">
        <v>9259</v>
      </c>
      <c r="S953" t="s">
        <v>9260</v>
      </c>
      <c r="T953" t="s">
        <v>9261</v>
      </c>
      <c r="U953" s="5">
        <v>4456.05</v>
      </c>
      <c r="V953" s="5">
        <v>4090.97</v>
      </c>
      <c r="W953" s="5">
        <v>12.998060000000001</v>
      </c>
      <c r="X953" s="5">
        <v>109.303864</v>
      </c>
      <c r="Y953" s="5">
        <v>365.07</v>
      </c>
      <c r="Z953" s="5">
        <v>12.993864</v>
      </c>
      <c r="AA953" s="5">
        <v>109.330805</v>
      </c>
      <c r="AB953" s="7">
        <f t="shared" si="85"/>
        <v>6.1364549999999998</v>
      </c>
      <c r="AC953" s="7">
        <f t="shared" si="86"/>
        <v>0.54760500000000001</v>
      </c>
      <c r="AD953" s="6" t="str">
        <f t="shared" si="87"/>
        <v>TTCMKV Tây Hòa</v>
      </c>
      <c r="AE953" s="6" t="str">
        <f t="shared" si="88"/>
        <v>Đông Hòa</v>
      </c>
      <c r="AG953">
        <f t="shared" si="89"/>
        <v>4.0909699999999996</v>
      </c>
      <c r="AH953">
        <f t="shared" si="90"/>
        <v>0.36507000000000001</v>
      </c>
    </row>
    <row r="954" spans="1:34" x14ac:dyDescent="0.25">
      <c r="A954" t="s">
        <v>9262</v>
      </c>
      <c r="B954" t="s">
        <v>9251</v>
      </c>
      <c r="C954" t="s">
        <v>9252</v>
      </c>
      <c r="D954" t="s">
        <v>9263</v>
      </c>
      <c r="E954" t="s">
        <v>9264</v>
      </c>
      <c r="F954" t="s">
        <v>9265</v>
      </c>
      <c r="G954" t="s">
        <v>15827</v>
      </c>
      <c r="H954" t="s">
        <v>15828</v>
      </c>
      <c r="I954" t="s">
        <v>16764</v>
      </c>
      <c r="J954" t="s">
        <v>23</v>
      </c>
      <c r="L954" t="s">
        <v>9233</v>
      </c>
      <c r="M954" t="s">
        <v>9266</v>
      </c>
      <c r="N954" t="s">
        <v>9267</v>
      </c>
      <c r="O954" t="s">
        <v>9268</v>
      </c>
      <c r="P954" t="s">
        <v>9269</v>
      </c>
      <c r="Q954" t="s">
        <v>9270</v>
      </c>
      <c r="R954" t="s">
        <v>9271</v>
      </c>
      <c r="S954" t="s">
        <v>9272</v>
      </c>
      <c r="T954" t="s">
        <v>9241</v>
      </c>
      <c r="U954" s="5">
        <v>3130.16</v>
      </c>
      <c r="V954" s="5">
        <v>34.04</v>
      </c>
      <c r="W954" s="5">
        <v>12.990997999999999</v>
      </c>
      <c r="X954" s="5">
        <v>109.331638</v>
      </c>
      <c r="Y954" s="5">
        <v>3096.11</v>
      </c>
      <c r="Z954" s="5">
        <v>12.973879</v>
      </c>
      <c r="AA954" s="5">
        <v>109.337135</v>
      </c>
      <c r="AB954" s="7">
        <f t="shared" si="85"/>
        <v>5.1060000000000001E-2</v>
      </c>
      <c r="AC954" s="7">
        <f t="shared" si="86"/>
        <v>4.6441650000000001</v>
      </c>
      <c r="AD954" s="6" t="str">
        <f t="shared" si="87"/>
        <v>Đông Hòa</v>
      </c>
      <c r="AE954" s="6" t="str">
        <f t="shared" si="88"/>
        <v>Hòa Xuân</v>
      </c>
      <c r="AG954">
        <f t="shared" si="89"/>
        <v>3.4040000000000001E-2</v>
      </c>
      <c r="AH954">
        <f t="shared" si="90"/>
        <v>3.0961099999999999</v>
      </c>
    </row>
    <row r="955" spans="1:34" x14ac:dyDescent="0.25">
      <c r="A955" t="s">
        <v>9273</v>
      </c>
      <c r="B955" t="s">
        <v>9274</v>
      </c>
      <c r="C955" t="s">
        <v>9275</v>
      </c>
      <c r="D955" t="s">
        <v>9276</v>
      </c>
      <c r="E955" t="s">
        <v>9277</v>
      </c>
      <c r="F955" t="s">
        <v>9278</v>
      </c>
      <c r="G955" t="s">
        <v>15827</v>
      </c>
      <c r="H955" t="s">
        <v>15828</v>
      </c>
      <c r="I955" t="s">
        <v>16765</v>
      </c>
      <c r="J955" t="s">
        <v>23</v>
      </c>
      <c r="L955" t="s">
        <v>9279</v>
      </c>
      <c r="M955" t="s">
        <v>9280</v>
      </c>
      <c r="N955" t="s">
        <v>9281</v>
      </c>
      <c r="O955" t="s">
        <v>9282</v>
      </c>
      <c r="P955" t="s">
        <v>9283</v>
      </c>
      <c r="Q955" t="s">
        <v>2877</v>
      </c>
      <c r="R955" t="s">
        <v>9284</v>
      </c>
      <c r="S955" t="s">
        <v>9285</v>
      </c>
      <c r="T955" t="s">
        <v>9286</v>
      </c>
      <c r="U955" s="5">
        <v>172.82</v>
      </c>
      <c r="V955" s="5">
        <v>142.46</v>
      </c>
      <c r="W955" s="5">
        <v>12.997871999999999</v>
      </c>
      <c r="X955" s="5">
        <v>109.36313800000001</v>
      </c>
      <c r="Y955" s="5">
        <v>30.35</v>
      </c>
      <c r="Z955" s="5">
        <v>12.997567</v>
      </c>
      <c r="AA955" s="5">
        <v>109.370097</v>
      </c>
      <c r="AB955" s="7">
        <f t="shared" si="85"/>
        <v>0.21368999999999999</v>
      </c>
      <c r="AC955" s="7">
        <f t="shared" si="86"/>
        <v>4.5525000000000003E-2</v>
      </c>
      <c r="AD955" s="6" t="str">
        <f t="shared" si="87"/>
        <v>Hòa Hiệp</v>
      </c>
      <c r="AE955" s="6" t="str">
        <f t="shared" si="88"/>
        <v>Hòa Hiệp CS2</v>
      </c>
      <c r="AG955">
        <f t="shared" si="89"/>
        <v>0.14246</v>
      </c>
      <c r="AH955">
        <f t="shared" si="90"/>
        <v>3.0350000000000002E-2</v>
      </c>
    </row>
    <row r="956" spans="1:34" x14ac:dyDescent="0.25">
      <c r="A956" t="s">
        <v>9287</v>
      </c>
      <c r="B956" t="s">
        <v>9276</v>
      </c>
      <c r="C956" t="s">
        <v>9277</v>
      </c>
      <c r="D956" t="s">
        <v>9288</v>
      </c>
      <c r="E956" t="s">
        <v>9289</v>
      </c>
      <c r="F956" t="s">
        <v>9290</v>
      </c>
      <c r="G956" t="s">
        <v>15827</v>
      </c>
      <c r="H956" t="s">
        <v>15828</v>
      </c>
      <c r="I956" t="s">
        <v>16766</v>
      </c>
      <c r="J956" t="s">
        <v>23</v>
      </c>
      <c r="L956" t="s">
        <v>9291</v>
      </c>
      <c r="M956" t="s">
        <v>9292</v>
      </c>
      <c r="N956" t="s">
        <v>9293</v>
      </c>
      <c r="O956" t="s">
        <v>9294</v>
      </c>
      <c r="P956" t="s">
        <v>9295</v>
      </c>
      <c r="Q956" t="s">
        <v>9296</v>
      </c>
      <c r="R956" t="s">
        <v>9297</v>
      </c>
      <c r="S956" t="s">
        <v>9298</v>
      </c>
      <c r="T956" t="s">
        <v>9299</v>
      </c>
      <c r="U956" s="5">
        <v>3338.19</v>
      </c>
      <c r="V956" s="5">
        <v>769.43</v>
      </c>
      <c r="W956" s="5">
        <v>12.998116</v>
      </c>
      <c r="X956" s="5">
        <v>109.363004</v>
      </c>
      <c r="Y956" s="5">
        <v>2568.7600000000002</v>
      </c>
      <c r="Z956" s="5">
        <v>13.050817</v>
      </c>
      <c r="AA956" s="5">
        <v>109.347016</v>
      </c>
      <c r="AB956" s="7">
        <f t="shared" si="85"/>
        <v>1.154145</v>
      </c>
      <c r="AC956" s="7">
        <f t="shared" si="86"/>
        <v>3.8531400000000002</v>
      </c>
      <c r="AD956" s="6" t="str">
        <f t="shared" si="87"/>
        <v>Cảng hàng không Tuy Hòa</v>
      </c>
      <c r="AE956" s="6" t="str">
        <f t="shared" si="88"/>
        <v>TTCMKV Đông
 Hòa</v>
      </c>
      <c r="AG956">
        <f t="shared" si="89"/>
        <v>0.76942999999999995</v>
      </c>
      <c r="AH956">
        <f t="shared" si="90"/>
        <v>2.5687600000000002</v>
      </c>
    </row>
    <row r="957" spans="1:34" x14ac:dyDescent="0.25">
      <c r="A957" t="s">
        <v>9300</v>
      </c>
      <c r="B957" t="s">
        <v>9301</v>
      </c>
      <c r="C957" t="s">
        <v>9302</v>
      </c>
      <c r="D957" t="s">
        <v>8156</v>
      </c>
      <c r="E957" t="s">
        <v>8157</v>
      </c>
      <c r="F957" t="s">
        <v>9303</v>
      </c>
      <c r="G957" t="s">
        <v>15827</v>
      </c>
      <c r="H957" t="s">
        <v>15828</v>
      </c>
      <c r="I957" t="s">
        <v>16767</v>
      </c>
      <c r="J957" t="s">
        <v>23</v>
      </c>
      <c r="L957" t="s">
        <v>9218</v>
      </c>
      <c r="M957" t="s">
        <v>9304</v>
      </c>
      <c r="N957" t="s">
        <v>9305</v>
      </c>
      <c r="O957" t="s">
        <v>9306</v>
      </c>
      <c r="P957" t="s">
        <v>9307</v>
      </c>
      <c r="Q957" t="s">
        <v>9308</v>
      </c>
      <c r="R957" t="s">
        <v>9309</v>
      </c>
      <c r="S957" t="s">
        <v>9310</v>
      </c>
      <c r="T957" t="s">
        <v>9311</v>
      </c>
      <c r="U957" s="5">
        <v>2396.39</v>
      </c>
      <c r="V957" s="5">
        <v>475.78</v>
      </c>
      <c r="W957" s="5">
        <v>13.065352000000001</v>
      </c>
      <c r="X957" s="5">
        <v>109.331435</v>
      </c>
      <c r="Y957" s="5">
        <v>1920.62</v>
      </c>
      <c r="Z957" s="5">
        <v>13.087066999999999</v>
      </c>
      <c r="AA957" s="5">
        <v>109.308887</v>
      </c>
      <c r="AB957" s="7">
        <f t="shared" si="85"/>
        <v>0.71366999999999992</v>
      </c>
      <c r="AC957" s="7">
        <f t="shared" si="86"/>
        <v>2.8809299999999998</v>
      </c>
      <c r="AD957" s="6" t="str">
        <f t="shared" si="87"/>
        <v>CAT PHÚ YÊN</v>
      </c>
      <c r="AE957" s="6" t="str">
        <f t="shared" si="88"/>
        <v>Cảng hàng không Tuy Hòa</v>
      </c>
      <c r="AG957">
        <f t="shared" si="89"/>
        <v>0.47577999999999998</v>
      </c>
      <c r="AH957">
        <f t="shared" si="90"/>
        <v>1.92062</v>
      </c>
    </row>
    <row r="958" spans="1:34" x14ac:dyDescent="0.25">
      <c r="A958" t="s">
        <v>9312</v>
      </c>
      <c r="B958" t="s">
        <v>9313</v>
      </c>
      <c r="C958" t="s">
        <v>9314</v>
      </c>
      <c r="D958" t="s">
        <v>8143</v>
      </c>
      <c r="E958" t="s">
        <v>8144</v>
      </c>
      <c r="F958" t="s">
        <v>9315</v>
      </c>
      <c r="G958" t="s">
        <v>15827</v>
      </c>
      <c r="H958" t="s">
        <v>15828</v>
      </c>
      <c r="I958" t="s">
        <v>16768</v>
      </c>
      <c r="J958" t="s">
        <v>23</v>
      </c>
      <c r="L958" t="s">
        <v>9316</v>
      </c>
      <c r="M958" t="s">
        <v>9317</v>
      </c>
      <c r="N958" t="s">
        <v>9318</v>
      </c>
      <c r="O958" t="s">
        <v>9319</v>
      </c>
      <c r="P958" t="s">
        <v>9320</v>
      </c>
      <c r="Q958" t="s">
        <v>9321</v>
      </c>
      <c r="R958" t="s">
        <v>9322</v>
      </c>
      <c r="S958" t="s">
        <v>9323</v>
      </c>
      <c r="T958" t="s">
        <v>9324</v>
      </c>
      <c r="U958" s="5">
        <v>387.99</v>
      </c>
      <c r="V958" s="5">
        <v>235.18</v>
      </c>
      <c r="W958" s="5">
        <v>12.990932000000001</v>
      </c>
      <c r="X958" s="5">
        <v>109.129245</v>
      </c>
      <c r="Y958" s="5">
        <v>152.82</v>
      </c>
      <c r="Z958" s="5">
        <v>12.983090000000001</v>
      </c>
      <c r="AA958" s="5">
        <v>109.095788</v>
      </c>
      <c r="AB958" s="7">
        <f t="shared" si="85"/>
        <v>0.35276999999999997</v>
      </c>
      <c r="AC958" s="7">
        <f t="shared" si="86"/>
        <v>0.22922999999999999</v>
      </c>
      <c r="AD958" s="6" t="str">
        <f t="shared" si="87"/>
        <v>Sơn Thành</v>
      </c>
      <c r="AE958" s="6" t="str">
        <f t="shared" si="88"/>
        <v>Hòa Mỹ</v>
      </c>
      <c r="AG958">
        <f t="shared" si="89"/>
        <v>0.23518</v>
      </c>
      <c r="AH958">
        <f t="shared" si="90"/>
        <v>0.15281999999999998</v>
      </c>
    </row>
    <row r="959" spans="1:34" x14ac:dyDescent="0.25">
      <c r="A959" t="s">
        <v>9325</v>
      </c>
      <c r="B959" t="s">
        <v>9326</v>
      </c>
      <c r="C959" t="s">
        <v>9327</v>
      </c>
      <c r="D959" t="s">
        <v>9328</v>
      </c>
      <c r="E959" t="s">
        <v>9329</v>
      </c>
      <c r="F959" t="s">
        <v>9330</v>
      </c>
      <c r="G959" t="s">
        <v>15827</v>
      </c>
      <c r="H959" t="s">
        <v>15828</v>
      </c>
      <c r="I959" t="s">
        <v>16769</v>
      </c>
      <c r="J959" t="s">
        <v>23</v>
      </c>
      <c r="L959" t="s">
        <v>9331</v>
      </c>
      <c r="M959" t="s">
        <v>9332</v>
      </c>
      <c r="N959" t="s">
        <v>9333</v>
      </c>
      <c r="O959" t="s">
        <v>9334</v>
      </c>
      <c r="P959" t="s">
        <v>9335</v>
      </c>
      <c r="Q959" t="s">
        <v>9336</v>
      </c>
      <c r="R959" t="s">
        <v>9337</v>
      </c>
      <c r="S959" t="s">
        <v>9338</v>
      </c>
      <c r="T959" t="s">
        <v>9339</v>
      </c>
      <c r="U959" s="5">
        <v>5803.89</v>
      </c>
      <c r="V959" s="5">
        <v>2824.82</v>
      </c>
      <c r="W959" s="5">
        <v>12.997173999999999</v>
      </c>
      <c r="X959" s="5">
        <v>109.25207399999999</v>
      </c>
      <c r="Y959" s="5">
        <v>2979.08</v>
      </c>
      <c r="Z959" s="5">
        <v>12.957407999999999</v>
      </c>
      <c r="AA959" s="5">
        <v>109.22835600000001</v>
      </c>
      <c r="AB959" s="7">
        <f t="shared" si="85"/>
        <v>4.2372300000000003</v>
      </c>
      <c r="AC959" s="7">
        <f t="shared" si="86"/>
        <v>4.4686199999999996</v>
      </c>
      <c r="AD959" s="6" t="str">
        <f t="shared" si="87"/>
        <v>Hòa Thịnh</v>
      </c>
      <c r="AE959" s="6" t="str">
        <f t="shared" si="88"/>
        <v>TTCMKV Tây Hòa</v>
      </c>
      <c r="AG959">
        <f t="shared" si="89"/>
        <v>2.8248200000000003</v>
      </c>
      <c r="AH959">
        <f t="shared" si="90"/>
        <v>2.9790799999999997</v>
      </c>
    </row>
    <row r="960" spans="1:34" x14ac:dyDescent="0.25">
      <c r="A960" t="s">
        <v>9340</v>
      </c>
      <c r="B960" t="s">
        <v>9328</v>
      </c>
      <c r="C960" t="s">
        <v>9329</v>
      </c>
      <c r="D960" t="s">
        <v>9341</v>
      </c>
      <c r="E960" t="s">
        <v>9342</v>
      </c>
      <c r="F960" t="s">
        <v>9343</v>
      </c>
      <c r="G960" t="s">
        <v>15827</v>
      </c>
      <c r="H960" t="s">
        <v>15828</v>
      </c>
      <c r="I960" t="s">
        <v>16770</v>
      </c>
      <c r="J960" t="s">
        <v>23</v>
      </c>
      <c r="L960" t="s">
        <v>9344</v>
      </c>
      <c r="M960" t="s">
        <v>9345</v>
      </c>
      <c r="N960" t="s">
        <v>9346</v>
      </c>
      <c r="O960" t="s">
        <v>9347</v>
      </c>
      <c r="P960" t="s">
        <v>9348</v>
      </c>
      <c r="Q960" t="s">
        <v>9349</v>
      </c>
      <c r="R960" t="s">
        <v>9350</v>
      </c>
      <c r="S960" t="s">
        <v>9351</v>
      </c>
      <c r="T960" t="s">
        <v>9352</v>
      </c>
      <c r="U960" s="5">
        <v>1229.79</v>
      </c>
      <c r="V960" s="5">
        <v>1217.93</v>
      </c>
      <c r="W960" s="5">
        <v>12.936411</v>
      </c>
      <c r="X960" s="5">
        <v>109.22854100000001</v>
      </c>
      <c r="Y960" s="5">
        <v>11.86</v>
      </c>
      <c r="Z960" s="5">
        <v>12.964506</v>
      </c>
      <c r="AA960" s="5">
        <v>109.18393500000001</v>
      </c>
      <c r="AB960" s="7">
        <f t="shared" si="85"/>
        <v>1.8268949999999999</v>
      </c>
      <c r="AC960" s="7">
        <f t="shared" si="86"/>
        <v>1.779E-2</v>
      </c>
      <c r="AD960" s="6" t="str">
        <f t="shared" si="87"/>
        <v>Hòa Mỹ</v>
      </c>
      <c r="AE960" s="6" t="str">
        <f t="shared" si="88"/>
        <v>Hòa Thịnh</v>
      </c>
      <c r="AG960">
        <f t="shared" si="89"/>
        <v>1.21793</v>
      </c>
      <c r="AH960">
        <f t="shared" si="90"/>
        <v>1.1859999999999999E-2</v>
      </c>
    </row>
    <row r="961" spans="1:34" x14ac:dyDescent="0.25">
      <c r="A961" t="s">
        <v>9353</v>
      </c>
      <c r="B961" t="s">
        <v>9341</v>
      </c>
      <c r="C961" t="s">
        <v>9342</v>
      </c>
      <c r="D961" t="s">
        <v>8143</v>
      </c>
      <c r="E961" t="s">
        <v>8144</v>
      </c>
      <c r="F961" t="s">
        <v>9354</v>
      </c>
      <c r="G961" t="s">
        <v>15827</v>
      </c>
      <c r="H961" t="s">
        <v>15828</v>
      </c>
      <c r="I961" t="s">
        <v>16771</v>
      </c>
      <c r="J961" t="s">
        <v>23</v>
      </c>
      <c r="L961" t="s">
        <v>8146</v>
      </c>
      <c r="M961" t="s">
        <v>9355</v>
      </c>
      <c r="N961" t="s">
        <v>9356</v>
      </c>
      <c r="O961" t="s">
        <v>9357</v>
      </c>
      <c r="P961" t="s">
        <v>9358</v>
      </c>
      <c r="Q961" t="s">
        <v>8151</v>
      </c>
      <c r="R961" t="s">
        <v>8152</v>
      </c>
      <c r="S961" t="s">
        <v>8153</v>
      </c>
      <c r="T961" t="s">
        <v>8154</v>
      </c>
      <c r="U961" s="5">
        <v>2614.81</v>
      </c>
      <c r="V961" s="5">
        <v>2463.61</v>
      </c>
      <c r="W961" s="5">
        <v>12.979671</v>
      </c>
      <c r="X961" s="5">
        <v>109.167378</v>
      </c>
      <c r="Y961" s="5">
        <v>151.21</v>
      </c>
      <c r="Z961" s="5">
        <v>12.983107</v>
      </c>
      <c r="AA961" s="5">
        <v>109.095792</v>
      </c>
      <c r="AB961" s="7">
        <f t="shared" si="85"/>
        <v>3.6954150000000001</v>
      </c>
      <c r="AC961" s="7">
        <f t="shared" si="86"/>
        <v>0.22681499999999999</v>
      </c>
      <c r="AD961" s="6" t="str">
        <f t="shared" si="87"/>
        <v>ILA Sơn Thành</v>
      </c>
      <c r="AE961" s="6" t="str">
        <f t="shared" si="88"/>
        <v>TT2 Đăk Lăk (Tuy Hòa)</v>
      </c>
      <c r="AG961">
        <f t="shared" si="89"/>
        <v>2.4636100000000001</v>
      </c>
      <c r="AH961">
        <f t="shared" si="90"/>
        <v>0.15121000000000001</v>
      </c>
    </row>
    <row r="962" spans="1:34" x14ac:dyDescent="0.25">
      <c r="A962" t="s">
        <v>9359</v>
      </c>
      <c r="B962" t="s">
        <v>9360</v>
      </c>
      <c r="C962" t="s">
        <v>9361</v>
      </c>
      <c r="D962" t="s">
        <v>8143</v>
      </c>
      <c r="E962" t="s">
        <v>8144</v>
      </c>
      <c r="F962" t="s">
        <v>9362</v>
      </c>
      <c r="G962" t="s">
        <v>15827</v>
      </c>
      <c r="H962" t="s">
        <v>15828</v>
      </c>
      <c r="I962" t="s">
        <v>16772</v>
      </c>
      <c r="J962" t="s">
        <v>23</v>
      </c>
      <c r="L962" t="s">
        <v>8146</v>
      </c>
      <c r="M962" t="s">
        <v>9363</v>
      </c>
      <c r="N962" t="s">
        <v>9364</v>
      </c>
      <c r="O962" t="s">
        <v>9365</v>
      </c>
      <c r="P962" t="s">
        <v>9366</v>
      </c>
      <c r="Q962" t="s">
        <v>8151</v>
      </c>
      <c r="R962" t="s">
        <v>8152</v>
      </c>
      <c r="S962" t="s">
        <v>8153</v>
      </c>
      <c r="T962" t="s">
        <v>8154</v>
      </c>
      <c r="U962" s="5">
        <v>4957.51</v>
      </c>
      <c r="V962" s="5">
        <v>4806.3</v>
      </c>
      <c r="W962" s="5">
        <v>12.975726</v>
      </c>
      <c r="X962" s="5">
        <v>109.157507</v>
      </c>
      <c r="Y962" s="5">
        <v>151.21</v>
      </c>
      <c r="Z962" s="5">
        <v>12.983107</v>
      </c>
      <c r="AA962" s="5">
        <v>109.095792</v>
      </c>
      <c r="AB962" s="7">
        <f t="shared" si="85"/>
        <v>7.2094500000000004</v>
      </c>
      <c r="AC962" s="7">
        <f t="shared" si="86"/>
        <v>0.22681499999999999</v>
      </c>
      <c r="AD962" s="6" t="str">
        <f t="shared" si="87"/>
        <v>ILA Sơn Thành</v>
      </c>
      <c r="AE962" s="6" t="str">
        <f t="shared" si="88"/>
        <v>TT2 Đăk Lăk (Tuy Hòa)</v>
      </c>
      <c r="AG962">
        <f t="shared" si="89"/>
        <v>4.8063000000000002</v>
      </c>
      <c r="AH962">
        <f t="shared" si="90"/>
        <v>0.15121000000000001</v>
      </c>
    </row>
    <row r="963" spans="1:34" x14ac:dyDescent="0.25">
      <c r="A963" t="s">
        <v>9367</v>
      </c>
      <c r="B963" t="s">
        <v>8143</v>
      </c>
      <c r="C963" t="s">
        <v>8144</v>
      </c>
      <c r="D963" t="s">
        <v>9368</v>
      </c>
      <c r="E963" t="s">
        <v>9369</v>
      </c>
      <c r="F963" t="s">
        <v>9370</v>
      </c>
      <c r="G963" t="s">
        <v>15827</v>
      </c>
      <c r="H963" t="s">
        <v>15828</v>
      </c>
      <c r="I963" t="s">
        <v>16773</v>
      </c>
      <c r="J963" t="s">
        <v>23</v>
      </c>
      <c r="L963" t="s">
        <v>9371</v>
      </c>
      <c r="M963" t="s">
        <v>9372</v>
      </c>
      <c r="N963" t="s">
        <v>9373</v>
      </c>
      <c r="O963" t="s">
        <v>9374</v>
      </c>
      <c r="P963" t="s">
        <v>9375</v>
      </c>
      <c r="Q963" t="s">
        <v>9376</v>
      </c>
      <c r="R963" t="s">
        <v>9377</v>
      </c>
      <c r="S963" t="s">
        <v>9378</v>
      </c>
      <c r="T963" t="s">
        <v>9379</v>
      </c>
      <c r="U963" s="5">
        <v>155.02000000000001</v>
      </c>
      <c r="V963" s="5">
        <v>109.65</v>
      </c>
      <c r="W963" s="5">
        <v>12.984125000000001</v>
      </c>
      <c r="X963" s="5">
        <v>109.09434</v>
      </c>
      <c r="Y963" s="5">
        <v>45.37</v>
      </c>
      <c r="Z963" s="5">
        <v>12.963513000000001</v>
      </c>
      <c r="AA963" s="5">
        <v>109.054197</v>
      </c>
      <c r="AB963" s="7">
        <f t="shared" ref="AB963:AB1026" si="91">V963*1.5/1000</f>
        <v>0.16447500000000001</v>
      </c>
      <c r="AC963" s="7">
        <f t="shared" ref="AC963:AC1026" si="92">Y963*1.5/1000</f>
        <v>6.8054999999999991E-2</v>
      </c>
      <c r="AD963" s="6" t="str">
        <f t="shared" ref="AD963:AD1026" si="93">TRIM(LEFT(L963,FIND("-",L963)-1))</f>
        <v>Đức Bình</v>
      </c>
      <c r="AE963" s="6" t="str">
        <f t="shared" ref="AE963:AE1026" si="94">TRIM(RIGHT(L963, LEN(L963) - FIND("-", L963)))</f>
        <v>Sơn Thành</v>
      </c>
      <c r="AG963">
        <f t="shared" ref="AG963:AG1026" si="95">V963/1000</f>
        <v>0.10965000000000001</v>
      </c>
      <c r="AH963">
        <f t="shared" ref="AH963:AH1026" si="96">Y963/1000</f>
        <v>4.5370000000000001E-2</v>
      </c>
    </row>
    <row r="964" spans="1:34" x14ac:dyDescent="0.25">
      <c r="A964" t="s">
        <v>9380</v>
      </c>
      <c r="B964" t="s">
        <v>9368</v>
      </c>
      <c r="C964" t="s">
        <v>9369</v>
      </c>
      <c r="D964" t="s">
        <v>8143</v>
      </c>
      <c r="E964" t="s">
        <v>8144</v>
      </c>
      <c r="F964" t="s">
        <v>9381</v>
      </c>
      <c r="G964" t="s">
        <v>15827</v>
      </c>
      <c r="H964" t="s">
        <v>15828</v>
      </c>
      <c r="I964" t="s">
        <v>16774</v>
      </c>
      <c r="J964" t="s">
        <v>23</v>
      </c>
      <c r="L964" t="s">
        <v>9371</v>
      </c>
      <c r="M964" t="s">
        <v>9372</v>
      </c>
      <c r="N964" t="s">
        <v>9376</v>
      </c>
      <c r="O964" t="s">
        <v>9377</v>
      </c>
      <c r="P964" t="s">
        <v>9378</v>
      </c>
      <c r="Q964" t="s">
        <v>9373</v>
      </c>
      <c r="R964" t="s">
        <v>9374</v>
      </c>
      <c r="S964" t="s">
        <v>9375</v>
      </c>
      <c r="T964" t="s">
        <v>9379</v>
      </c>
      <c r="U964" s="5">
        <v>155.02000000000001</v>
      </c>
      <c r="V964" s="5">
        <v>45.37</v>
      </c>
      <c r="W964" s="5">
        <v>12.963513000000001</v>
      </c>
      <c r="X964" s="5">
        <v>109.054197</v>
      </c>
      <c r="Y964" s="5">
        <v>109.65</v>
      </c>
      <c r="Z964" s="5">
        <v>12.984125000000001</v>
      </c>
      <c r="AA964" s="5">
        <v>109.09434</v>
      </c>
      <c r="AB964" s="7">
        <f t="shared" si="91"/>
        <v>6.8054999999999991E-2</v>
      </c>
      <c r="AC964" s="7">
        <f t="shared" si="92"/>
        <v>0.16447500000000001</v>
      </c>
      <c r="AD964" s="6" t="str">
        <f t="shared" si="93"/>
        <v>Đức Bình</v>
      </c>
      <c r="AE964" s="6" t="str">
        <f t="shared" si="94"/>
        <v>Sơn Thành</v>
      </c>
      <c r="AG964">
        <f t="shared" si="95"/>
        <v>4.5370000000000001E-2</v>
      </c>
      <c r="AH964">
        <f t="shared" si="96"/>
        <v>0.10965000000000001</v>
      </c>
    </row>
    <row r="965" spans="1:34" x14ac:dyDescent="0.25">
      <c r="A965" t="s">
        <v>9382</v>
      </c>
      <c r="B965" t="s">
        <v>9383</v>
      </c>
      <c r="C965" t="s">
        <v>9384</v>
      </c>
      <c r="D965" t="s">
        <v>9385</v>
      </c>
      <c r="E965" t="s">
        <v>9386</v>
      </c>
      <c r="F965" t="s">
        <v>9387</v>
      </c>
      <c r="G965" t="s">
        <v>15827</v>
      </c>
      <c r="H965" t="s">
        <v>15828</v>
      </c>
      <c r="I965" t="s">
        <v>16775</v>
      </c>
      <c r="J965" t="s">
        <v>23</v>
      </c>
      <c r="L965" t="s">
        <v>9388</v>
      </c>
      <c r="M965" t="s">
        <v>9389</v>
      </c>
      <c r="N965" t="s">
        <v>9390</v>
      </c>
      <c r="O965" t="s">
        <v>9391</v>
      </c>
      <c r="P965" t="s">
        <v>9392</v>
      </c>
      <c r="Q965" t="s">
        <v>9393</v>
      </c>
      <c r="R965" t="s">
        <v>9394</v>
      </c>
      <c r="S965" t="s">
        <v>9395</v>
      </c>
      <c r="T965" t="s">
        <v>9396</v>
      </c>
      <c r="U965" s="5">
        <v>131.52000000000001</v>
      </c>
      <c r="V965" s="5">
        <v>104.16</v>
      </c>
      <c r="W965" s="5">
        <v>13.085635</v>
      </c>
      <c r="X965" s="5">
        <v>108.955135</v>
      </c>
      <c r="Y965" s="5">
        <v>27.36</v>
      </c>
      <c r="Z965" s="5">
        <v>13.049846000000001</v>
      </c>
      <c r="AA965" s="5">
        <v>108.978668</v>
      </c>
      <c r="AB965" s="7">
        <f t="shared" si="91"/>
        <v>0.15624000000000002</v>
      </c>
      <c r="AC965" s="7">
        <f t="shared" si="92"/>
        <v>4.104E-2</v>
      </c>
      <c r="AD965" s="6" t="str">
        <f t="shared" si="93"/>
        <v>Suối Trai</v>
      </c>
      <c r="AE965" s="6" t="str">
        <f t="shared" si="94"/>
        <v>Sơn Hòa</v>
      </c>
      <c r="AG965">
        <f t="shared" si="95"/>
        <v>0.10416</v>
      </c>
      <c r="AH965">
        <f t="shared" si="96"/>
        <v>2.7359999999999999E-2</v>
      </c>
    </row>
    <row r="966" spans="1:34" x14ac:dyDescent="0.25">
      <c r="A966" t="s">
        <v>9397</v>
      </c>
      <c r="B966" t="s">
        <v>9385</v>
      </c>
      <c r="C966" t="s">
        <v>9386</v>
      </c>
      <c r="D966" t="s">
        <v>8162</v>
      </c>
      <c r="E966" t="s">
        <v>8163</v>
      </c>
      <c r="F966" t="s">
        <v>9398</v>
      </c>
      <c r="G966" t="s">
        <v>15827</v>
      </c>
      <c r="H966" t="s">
        <v>15828</v>
      </c>
      <c r="I966" t="s">
        <v>16776</v>
      </c>
      <c r="J966" t="s">
        <v>23</v>
      </c>
      <c r="L966" t="s">
        <v>9399</v>
      </c>
      <c r="M966" t="s">
        <v>9400</v>
      </c>
      <c r="N966" t="s">
        <v>9401</v>
      </c>
      <c r="O966" t="s">
        <v>9402</v>
      </c>
      <c r="P966" t="s">
        <v>9403</v>
      </c>
      <c r="Q966" t="s">
        <v>9404</v>
      </c>
      <c r="R966" t="s">
        <v>9405</v>
      </c>
      <c r="S966" t="s">
        <v>9406</v>
      </c>
      <c r="T966" t="s">
        <v>9407</v>
      </c>
      <c r="U966" s="5">
        <v>244.22</v>
      </c>
      <c r="V966" s="5">
        <v>26.55</v>
      </c>
      <c r="W966" s="5">
        <v>13.049868999999999</v>
      </c>
      <c r="X966" s="5">
        <v>108.97868800000001</v>
      </c>
      <c r="Y966" s="5">
        <v>217.67</v>
      </c>
      <c r="Z966" s="5">
        <v>13.065547</v>
      </c>
      <c r="AA966" s="5">
        <v>109.024782</v>
      </c>
      <c r="AB966" s="7">
        <f t="shared" si="91"/>
        <v>3.9825000000000006E-2</v>
      </c>
      <c r="AC966" s="7">
        <f t="shared" si="92"/>
        <v>0.32650499999999999</v>
      </c>
      <c r="AD966" s="6" t="str">
        <f t="shared" si="93"/>
        <v>Sơn Hòa</v>
      </c>
      <c r="AE966" s="6" t="str">
        <f t="shared" si="94"/>
        <v>CAX Sơn Định (Sơn Hòa)</v>
      </c>
      <c r="AG966">
        <f t="shared" si="95"/>
        <v>2.6550000000000001E-2</v>
      </c>
      <c r="AH966">
        <f t="shared" si="96"/>
        <v>0.21766999999999997</v>
      </c>
    </row>
    <row r="967" spans="1:34" x14ac:dyDescent="0.25">
      <c r="A967" t="s">
        <v>9408</v>
      </c>
      <c r="B967" t="s">
        <v>9409</v>
      </c>
      <c r="C967" t="s">
        <v>9410</v>
      </c>
      <c r="D967" t="s">
        <v>8164</v>
      </c>
      <c r="E967" t="s">
        <v>8165</v>
      </c>
      <c r="F967" t="s">
        <v>9411</v>
      </c>
      <c r="G967" t="s">
        <v>15827</v>
      </c>
      <c r="H967" t="s">
        <v>15828</v>
      </c>
      <c r="I967" t="s">
        <v>16777</v>
      </c>
      <c r="J967" t="s">
        <v>23</v>
      </c>
      <c r="L967" t="s">
        <v>8178</v>
      </c>
      <c r="M967" t="s">
        <v>9412</v>
      </c>
      <c r="N967" t="s">
        <v>9413</v>
      </c>
      <c r="O967" t="s">
        <v>9414</v>
      </c>
      <c r="P967" t="s">
        <v>9415</v>
      </c>
      <c r="Q967" t="s">
        <v>8180</v>
      </c>
      <c r="R967" t="s">
        <v>8181</v>
      </c>
      <c r="S967" t="s">
        <v>8182</v>
      </c>
      <c r="T967" t="s">
        <v>8186</v>
      </c>
      <c r="U967" s="5">
        <v>677.65</v>
      </c>
      <c r="V967" s="5">
        <v>144.37</v>
      </c>
      <c r="W967" s="5">
        <v>13.011044999999999</v>
      </c>
      <c r="X967" s="5">
        <v>109.162729</v>
      </c>
      <c r="Y967" s="5">
        <v>533.28</v>
      </c>
      <c r="Z967" s="5">
        <v>13.018408000000001</v>
      </c>
      <c r="AA967" s="5">
        <v>109.20801899999999</v>
      </c>
      <c r="AB967" s="7">
        <f t="shared" si="91"/>
        <v>0.216555</v>
      </c>
      <c r="AC967" s="7">
        <f t="shared" si="92"/>
        <v>0.79991999999999996</v>
      </c>
      <c r="AD967" s="6" t="str">
        <f t="shared" si="93"/>
        <v>Tuy Hòa</v>
      </c>
      <c r="AE967" s="6" t="str">
        <f t="shared" si="94"/>
        <v>Sơn Hòa</v>
      </c>
      <c r="AG967">
        <f t="shared" si="95"/>
        <v>0.14437</v>
      </c>
      <c r="AH967">
        <f t="shared" si="96"/>
        <v>0.53327999999999998</v>
      </c>
    </row>
    <row r="968" spans="1:34" x14ac:dyDescent="0.25">
      <c r="A968" t="s">
        <v>9416</v>
      </c>
      <c r="B968" t="s">
        <v>8164</v>
      </c>
      <c r="C968" t="s">
        <v>8165</v>
      </c>
      <c r="D968" t="s">
        <v>9417</v>
      </c>
      <c r="E968" t="s">
        <v>9418</v>
      </c>
      <c r="F968" t="s">
        <v>9419</v>
      </c>
      <c r="G968" t="s">
        <v>15827</v>
      </c>
      <c r="H968" t="s">
        <v>15828</v>
      </c>
      <c r="I968" t="s">
        <v>16778</v>
      </c>
      <c r="J968" t="s">
        <v>23</v>
      </c>
      <c r="L968" t="s">
        <v>9420</v>
      </c>
      <c r="M968" t="s">
        <v>9421</v>
      </c>
      <c r="N968" t="s">
        <v>9422</v>
      </c>
      <c r="O968" t="s">
        <v>9423</v>
      </c>
      <c r="P968" t="s">
        <v>9424</v>
      </c>
      <c r="Q968" t="s">
        <v>9425</v>
      </c>
      <c r="R968" t="s">
        <v>9426</v>
      </c>
      <c r="S968" t="s">
        <v>9427</v>
      </c>
      <c r="T968" t="s">
        <v>9428</v>
      </c>
      <c r="U968" s="5">
        <v>3389.35</v>
      </c>
      <c r="V968" s="5">
        <v>147.21</v>
      </c>
      <c r="W968" s="5">
        <v>13.023840999999999</v>
      </c>
      <c r="X968" s="5">
        <v>109.20587399999999</v>
      </c>
      <c r="Y968" s="5">
        <v>3242.14</v>
      </c>
      <c r="Z968" s="5">
        <v>13.028377000000001</v>
      </c>
      <c r="AA968" s="5">
        <v>109.20417</v>
      </c>
      <c r="AB968" s="7">
        <f t="shared" si="91"/>
        <v>0.22081500000000001</v>
      </c>
      <c r="AC968" s="7">
        <f t="shared" si="92"/>
        <v>4.8632100000000005</v>
      </c>
      <c r="AD968" s="6" t="str">
        <f t="shared" si="93"/>
        <v>TTCMKV Phú Hòa</v>
      </c>
      <c r="AE968" s="6" t="str">
        <f t="shared" si="94"/>
        <v>Phú Hòa 2</v>
      </c>
      <c r="AG968">
        <f t="shared" si="95"/>
        <v>0.14721000000000001</v>
      </c>
      <c r="AH968">
        <f t="shared" si="96"/>
        <v>3.24214</v>
      </c>
    </row>
    <row r="969" spans="1:34" x14ac:dyDescent="0.25">
      <c r="A969" t="s">
        <v>9429</v>
      </c>
      <c r="B969" t="s">
        <v>9430</v>
      </c>
      <c r="C969" t="s">
        <v>9431</v>
      </c>
      <c r="D969" t="s">
        <v>8156</v>
      </c>
      <c r="E969" t="s">
        <v>8157</v>
      </c>
      <c r="F969" t="s">
        <v>9432</v>
      </c>
      <c r="G969" t="s">
        <v>15827</v>
      </c>
      <c r="H969" t="s">
        <v>15828</v>
      </c>
      <c r="I969" t="s">
        <v>16779</v>
      </c>
      <c r="J969" t="s">
        <v>23</v>
      </c>
      <c r="L969" t="s">
        <v>8167</v>
      </c>
      <c r="M969" t="s">
        <v>9433</v>
      </c>
      <c r="N969" t="s">
        <v>9434</v>
      </c>
      <c r="O969" t="s">
        <v>9435</v>
      </c>
      <c r="P969" t="s">
        <v>9436</v>
      </c>
      <c r="Q969" t="s">
        <v>931</v>
      </c>
      <c r="R969" t="s">
        <v>9437</v>
      </c>
      <c r="S969" t="s">
        <v>9438</v>
      </c>
      <c r="T969" t="s">
        <v>8175</v>
      </c>
      <c r="U969" s="5">
        <v>862.52</v>
      </c>
      <c r="V969" s="5">
        <v>857.2</v>
      </c>
      <c r="W969" s="5">
        <v>13.081011999999999</v>
      </c>
      <c r="X969" s="5">
        <v>109.28247</v>
      </c>
      <c r="Y969" s="5">
        <v>5.32</v>
      </c>
      <c r="Z969" s="5">
        <v>13.094754999999999</v>
      </c>
      <c r="AA969" s="5">
        <v>109.292953</v>
      </c>
      <c r="AB969" s="7">
        <f t="shared" si="91"/>
        <v>1.2858000000000003</v>
      </c>
      <c r="AC969" s="7">
        <f t="shared" si="92"/>
        <v>7.980000000000001E-3</v>
      </c>
      <c r="AD969" s="6" t="str">
        <f t="shared" si="93"/>
        <v>ILA Sông Hinh</v>
      </c>
      <c r="AE969" s="6" t="str">
        <f t="shared" si="94"/>
        <v>TT2 Đăk Lăk (Tuy Hòa)</v>
      </c>
      <c r="AG969">
        <f t="shared" si="95"/>
        <v>0.85720000000000007</v>
      </c>
      <c r="AH969">
        <f t="shared" si="96"/>
        <v>5.3200000000000001E-3</v>
      </c>
    </row>
    <row r="970" spans="1:34" x14ac:dyDescent="0.25">
      <c r="A970" t="s">
        <v>9439</v>
      </c>
      <c r="B970" t="s">
        <v>9440</v>
      </c>
      <c r="C970" t="s">
        <v>2122</v>
      </c>
      <c r="D970" t="s">
        <v>8164</v>
      </c>
      <c r="E970" t="s">
        <v>8165</v>
      </c>
      <c r="F970" t="s">
        <v>9441</v>
      </c>
      <c r="G970" t="s">
        <v>15827</v>
      </c>
      <c r="H970" t="s">
        <v>15828</v>
      </c>
      <c r="I970" t="s">
        <v>16780</v>
      </c>
      <c r="J970" t="s">
        <v>23</v>
      </c>
      <c r="L970" t="s">
        <v>8178</v>
      </c>
      <c r="M970" t="s">
        <v>9442</v>
      </c>
      <c r="N970" t="s">
        <v>9443</v>
      </c>
      <c r="O970" t="s">
        <v>9444</v>
      </c>
      <c r="P970" t="s">
        <v>9445</v>
      </c>
      <c r="Q970" t="s">
        <v>8180</v>
      </c>
      <c r="R970" t="s">
        <v>8181</v>
      </c>
      <c r="S970" t="s">
        <v>8182</v>
      </c>
      <c r="T970" t="s">
        <v>8186</v>
      </c>
      <c r="U970" s="5">
        <v>584.05999999999995</v>
      </c>
      <c r="V970" s="5">
        <v>50.78</v>
      </c>
      <c r="W970" s="5">
        <v>13.014644000000001</v>
      </c>
      <c r="X970" s="5">
        <v>109.19495999999999</v>
      </c>
      <c r="Y970" s="5">
        <v>533.28</v>
      </c>
      <c r="Z970" s="5">
        <v>13.018408000000001</v>
      </c>
      <c r="AA970" s="5">
        <v>109.20801899999999</v>
      </c>
      <c r="AB970" s="7">
        <f t="shared" si="91"/>
        <v>7.6170000000000002E-2</v>
      </c>
      <c r="AC970" s="7">
        <f t="shared" si="92"/>
        <v>0.79991999999999996</v>
      </c>
      <c r="AD970" s="6" t="str">
        <f t="shared" si="93"/>
        <v>Tuy Hòa</v>
      </c>
      <c r="AE970" s="6" t="str">
        <f t="shared" si="94"/>
        <v>Sơn Hòa</v>
      </c>
      <c r="AG970">
        <f t="shared" si="95"/>
        <v>5.0779999999999999E-2</v>
      </c>
      <c r="AH970">
        <f t="shared" si="96"/>
        <v>0.53327999999999998</v>
      </c>
    </row>
    <row r="971" spans="1:34" x14ac:dyDescent="0.25">
      <c r="A971" t="s">
        <v>9446</v>
      </c>
      <c r="B971" t="s">
        <v>9447</v>
      </c>
      <c r="C971" t="s">
        <v>9448</v>
      </c>
      <c r="D971" t="s">
        <v>9449</v>
      </c>
      <c r="E971" t="s">
        <v>9450</v>
      </c>
      <c r="F971" t="s">
        <v>9451</v>
      </c>
      <c r="G971" t="s">
        <v>15827</v>
      </c>
      <c r="H971" t="s">
        <v>15828</v>
      </c>
      <c r="I971" t="s">
        <v>16781</v>
      </c>
      <c r="J971" t="s">
        <v>23</v>
      </c>
      <c r="L971" t="s">
        <v>9023</v>
      </c>
      <c r="M971" t="s">
        <v>9452</v>
      </c>
      <c r="N971" t="s">
        <v>9453</v>
      </c>
      <c r="O971" t="s">
        <v>9454</v>
      </c>
      <c r="P971" t="s">
        <v>9455</v>
      </c>
      <c r="Q971" t="s">
        <v>9456</v>
      </c>
      <c r="R971" t="s">
        <v>9457</v>
      </c>
      <c r="S971" t="s">
        <v>9458</v>
      </c>
      <c r="T971" t="s">
        <v>9459</v>
      </c>
      <c r="U971" s="5">
        <v>3413.53</v>
      </c>
      <c r="V971" s="5">
        <v>2620.96</v>
      </c>
      <c r="W971" s="5">
        <v>13.078117000000001</v>
      </c>
      <c r="X971" s="5">
        <v>109.240162</v>
      </c>
      <c r="Y971" s="5">
        <v>792.57</v>
      </c>
      <c r="Z971" s="5">
        <v>13.075571999999999</v>
      </c>
      <c r="AA971" s="5">
        <v>109.253478</v>
      </c>
      <c r="AB971" s="7">
        <f t="shared" si="91"/>
        <v>3.9314400000000003</v>
      </c>
      <c r="AC971" s="7">
        <f t="shared" si="92"/>
        <v>1.188855</v>
      </c>
      <c r="AD971" s="6" t="str">
        <f t="shared" si="93"/>
        <v>Phú Hòa 2</v>
      </c>
      <c r="AE971" s="6" t="str">
        <f t="shared" si="94"/>
        <v>Phú Yên</v>
      </c>
      <c r="AG971">
        <f t="shared" si="95"/>
        <v>2.6209600000000002</v>
      </c>
      <c r="AH971">
        <f t="shared" si="96"/>
        <v>0.79257</v>
      </c>
    </row>
    <row r="972" spans="1:34" x14ac:dyDescent="0.25">
      <c r="A972" t="s">
        <v>9460</v>
      </c>
      <c r="B972" t="s">
        <v>9461</v>
      </c>
      <c r="C972" t="s">
        <v>9462</v>
      </c>
      <c r="D972" t="s">
        <v>8156</v>
      </c>
      <c r="E972" t="s">
        <v>8157</v>
      </c>
      <c r="F972" t="s">
        <v>9463</v>
      </c>
      <c r="G972" t="s">
        <v>15827</v>
      </c>
      <c r="H972" t="s">
        <v>15828</v>
      </c>
      <c r="I972" t="s">
        <v>16782</v>
      </c>
      <c r="J972" t="s">
        <v>23</v>
      </c>
      <c r="L972" t="s">
        <v>9464</v>
      </c>
      <c r="M972" t="s">
        <v>9465</v>
      </c>
      <c r="N972" t="s">
        <v>9466</v>
      </c>
      <c r="O972" t="s">
        <v>9467</v>
      </c>
      <c r="P972" t="s">
        <v>9468</v>
      </c>
      <c r="Q972" t="s">
        <v>9469</v>
      </c>
      <c r="R972" t="s">
        <v>9470</v>
      </c>
      <c r="S972" t="s">
        <v>9471</v>
      </c>
      <c r="T972" t="s">
        <v>9472</v>
      </c>
      <c r="U972" s="5">
        <v>379.27</v>
      </c>
      <c r="V972" s="5">
        <v>373.33</v>
      </c>
      <c r="W972" s="5">
        <v>13.081462999999999</v>
      </c>
      <c r="X972" s="5">
        <v>109.292321</v>
      </c>
      <c r="Y972" s="5">
        <v>5.94</v>
      </c>
      <c r="Z972" s="5">
        <v>13.094739000000001</v>
      </c>
      <c r="AA972" s="5">
        <v>109.292945</v>
      </c>
      <c r="AB972" s="7">
        <f t="shared" si="91"/>
        <v>0.55999500000000002</v>
      </c>
      <c r="AC972" s="7">
        <f t="shared" si="92"/>
        <v>8.9099999999999995E-3</v>
      </c>
      <c r="AD972" s="6" t="str">
        <f t="shared" si="93"/>
        <v>Tây Hòa</v>
      </c>
      <c r="AE972" s="6" t="str">
        <f t="shared" si="94"/>
        <v>TT2 Tuy Hòa</v>
      </c>
      <c r="AG972">
        <f t="shared" si="95"/>
        <v>0.37333</v>
      </c>
      <c r="AH972">
        <f t="shared" si="96"/>
        <v>5.94E-3</v>
      </c>
    </row>
    <row r="973" spans="1:34" x14ac:dyDescent="0.25">
      <c r="A973" t="s">
        <v>9473</v>
      </c>
      <c r="B973" t="s">
        <v>8164</v>
      </c>
      <c r="C973" t="s">
        <v>8165</v>
      </c>
      <c r="D973" t="s">
        <v>9447</v>
      </c>
      <c r="E973" t="s">
        <v>9448</v>
      </c>
      <c r="F973" t="s">
        <v>9474</v>
      </c>
      <c r="G973" t="s">
        <v>15827</v>
      </c>
      <c r="H973" t="s">
        <v>15828</v>
      </c>
      <c r="I973" t="s">
        <v>16783</v>
      </c>
      <c r="J973" t="s">
        <v>23</v>
      </c>
      <c r="L973" t="s">
        <v>9475</v>
      </c>
      <c r="M973" t="s">
        <v>9476</v>
      </c>
      <c r="N973" t="s">
        <v>9477</v>
      </c>
      <c r="O973" t="s">
        <v>9478</v>
      </c>
      <c r="P973" t="s">
        <v>9479</v>
      </c>
      <c r="Q973" t="s">
        <v>9480</v>
      </c>
      <c r="R973" t="s">
        <v>9481</v>
      </c>
      <c r="S973" t="s">
        <v>9482</v>
      </c>
      <c r="T973" t="s">
        <v>9483</v>
      </c>
      <c r="U973" s="5">
        <v>5360.61</v>
      </c>
      <c r="V973" s="5">
        <v>11.26</v>
      </c>
      <c r="W973" s="5">
        <v>13.023192999999999</v>
      </c>
      <c r="X973" s="5">
        <v>109.206958</v>
      </c>
      <c r="Y973" s="5">
        <v>5349.35</v>
      </c>
      <c r="Z973" s="5">
        <v>13.045888</v>
      </c>
      <c r="AA973" s="5">
        <v>109.248909</v>
      </c>
      <c r="AB973" s="7">
        <f t="shared" si="91"/>
        <v>1.6890000000000002E-2</v>
      </c>
      <c r="AC973" s="7">
        <f t="shared" si="92"/>
        <v>8.024025</v>
      </c>
      <c r="AD973" s="6" t="str">
        <f t="shared" si="93"/>
        <v>TT2 Tuy Hòa</v>
      </c>
      <c r="AE973" s="6" t="str">
        <f t="shared" si="94"/>
        <v>Phú Hòa</v>
      </c>
      <c r="AG973">
        <f t="shared" si="95"/>
        <v>1.1259999999999999E-2</v>
      </c>
      <c r="AH973">
        <f t="shared" si="96"/>
        <v>5.3493500000000003</v>
      </c>
    </row>
    <row r="974" spans="1:34" x14ac:dyDescent="0.25">
      <c r="A974" t="s">
        <v>9484</v>
      </c>
      <c r="B974" t="s">
        <v>8164</v>
      </c>
      <c r="C974" t="s">
        <v>8165</v>
      </c>
      <c r="D974" t="s">
        <v>9485</v>
      </c>
      <c r="E974" t="s">
        <v>9486</v>
      </c>
      <c r="F974" t="s">
        <v>9487</v>
      </c>
      <c r="G974" t="s">
        <v>15827</v>
      </c>
      <c r="H974" t="s">
        <v>15828</v>
      </c>
      <c r="I974" t="s">
        <v>16784</v>
      </c>
      <c r="J974" t="s">
        <v>23</v>
      </c>
      <c r="L974" t="s">
        <v>9475</v>
      </c>
      <c r="M974" t="s">
        <v>9488</v>
      </c>
      <c r="N974" t="s">
        <v>9477</v>
      </c>
      <c r="O974" t="s">
        <v>9478</v>
      </c>
      <c r="P974" t="s">
        <v>9479</v>
      </c>
      <c r="Q974" t="s">
        <v>9489</v>
      </c>
      <c r="R974" t="s">
        <v>9490</v>
      </c>
      <c r="S974" t="s">
        <v>9491</v>
      </c>
      <c r="T974" t="s">
        <v>9483</v>
      </c>
      <c r="U974" s="5">
        <v>1203.5899999999999</v>
      </c>
      <c r="V974" s="5">
        <v>11.26</v>
      </c>
      <c r="W974" s="5">
        <v>13.023192999999999</v>
      </c>
      <c r="X974" s="5">
        <v>109.206958</v>
      </c>
      <c r="Y974" s="5">
        <v>1192.33</v>
      </c>
      <c r="Z974" s="5">
        <v>13.046706</v>
      </c>
      <c r="AA974" s="5">
        <v>109.250027</v>
      </c>
      <c r="AB974" s="7">
        <f t="shared" si="91"/>
        <v>1.6890000000000002E-2</v>
      </c>
      <c r="AC974" s="7">
        <f t="shared" si="92"/>
        <v>1.7884949999999999</v>
      </c>
      <c r="AD974" s="6" t="str">
        <f t="shared" si="93"/>
        <v>TT2 Tuy Hòa</v>
      </c>
      <c r="AE974" s="6" t="str">
        <f t="shared" si="94"/>
        <v>Phú Hòa</v>
      </c>
      <c r="AG974">
        <f t="shared" si="95"/>
        <v>1.1259999999999999E-2</v>
      </c>
      <c r="AH974">
        <f t="shared" si="96"/>
        <v>1.1923299999999999</v>
      </c>
    </row>
    <row r="975" spans="1:34" x14ac:dyDescent="0.25">
      <c r="A975" t="s">
        <v>9492</v>
      </c>
      <c r="B975" t="s">
        <v>9493</v>
      </c>
      <c r="C975" t="s">
        <v>9494</v>
      </c>
      <c r="D975" t="s">
        <v>8156</v>
      </c>
      <c r="E975" t="s">
        <v>8157</v>
      </c>
      <c r="F975" t="s">
        <v>9495</v>
      </c>
      <c r="G975" t="s">
        <v>15827</v>
      </c>
      <c r="H975" t="s">
        <v>15828</v>
      </c>
      <c r="I975" t="s">
        <v>16785</v>
      </c>
      <c r="J975" t="s">
        <v>23</v>
      </c>
      <c r="L975" t="s">
        <v>9475</v>
      </c>
      <c r="M975" t="s">
        <v>1550</v>
      </c>
      <c r="N975" t="s">
        <v>9496</v>
      </c>
      <c r="O975" t="s">
        <v>9497</v>
      </c>
      <c r="P975" t="s">
        <v>9498</v>
      </c>
      <c r="Q975" t="s">
        <v>9499</v>
      </c>
      <c r="R975" t="s">
        <v>9500</v>
      </c>
      <c r="S975" t="s">
        <v>9501</v>
      </c>
      <c r="T975" t="s">
        <v>9483</v>
      </c>
      <c r="U975" s="5">
        <v>568.54999999999995</v>
      </c>
      <c r="V975" s="5">
        <v>556.29</v>
      </c>
      <c r="W975" s="5">
        <v>13.055089000000001</v>
      </c>
      <c r="X975" s="5">
        <v>109.268252</v>
      </c>
      <c r="Y975" s="5">
        <v>12.26</v>
      </c>
      <c r="Z975" s="5">
        <v>13.094692999999999</v>
      </c>
      <c r="AA975" s="5">
        <v>109.292897</v>
      </c>
      <c r="AB975" s="7">
        <f t="shared" si="91"/>
        <v>0.83443499999999993</v>
      </c>
      <c r="AC975" s="7">
        <f t="shared" si="92"/>
        <v>1.839E-2</v>
      </c>
      <c r="AD975" s="6" t="str">
        <f t="shared" si="93"/>
        <v>TT2 Tuy Hòa</v>
      </c>
      <c r="AE975" s="6" t="str">
        <f t="shared" si="94"/>
        <v>Phú Hòa</v>
      </c>
      <c r="AG975">
        <f t="shared" si="95"/>
        <v>0.55628999999999995</v>
      </c>
      <c r="AH975">
        <f t="shared" si="96"/>
        <v>1.226E-2</v>
      </c>
    </row>
    <row r="976" spans="1:34" x14ac:dyDescent="0.25">
      <c r="A976" t="s">
        <v>9502</v>
      </c>
      <c r="B976" t="s">
        <v>8164</v>
      </c>
      <c r="C976" t="s">
        <v>8165</v>
      </c>
      <c r="D976" t="s">
        <v>9503</v>
      </c>
      <c r="E976" t="s">
        <v>9504</v>
      </c>
      <c r="F976" t="s">
        <v>9505</v>
      </c>
      <c r="G976" t="s">
        <v>15827</v>
      </c>
      <c r="H976" t="s">
        <v>15828</v>
      </c>
      <c r="I976" t="s">
        <v>16786</v>
      </c>
      <c r="J976" t="s">
        <v>23</v>
      </c>
      <c r="L976" t="s">
        <v>9475</v>
      </c>
      <c r="M976" t="s">
        <v>9506</v>
      </c>
      <c r="N976" t="s">
        <v>9477</v>
      </c>
      <c r="O976" t="s">
        <v>9478</v>
      </c>
      <c r="P976" t="s">
        <v>9479</v>
      </c>
      <c r="Q976" t="s">
        <v>9507</v>
      </c>
      <c r="R976" t="s">
        <v>9508</v>
      </c>
      <c r="S976" t="s">
        <v>9509</v>
      </c>
      <c r="T976" t="s">
        <v>9483</v>
      </c>
      <c r="U976" s="5">
        <v>98.77</v>
      </c>
      <c r="V976" s="5">
        <v>11.26</v>
      </c>
      <c r="W976" s="5">
        <v>13.023192999999999</v>
      </c>
      <c r="X976" s="5">
        <v>109.206958</v>
      </c>
      <c r="Y976" s="5">
        <v>87.51</v>
      </c>
      <c r="Z976" s="5">
        <v>13.024115</v>
      </c>
      <c r="AA976" s="5">
        <v>109.219852</v>
      </c>
      <c r="AB976" s="7">
        <f t="shared" si="91"/>
        <v>1.6890000000000002E-2</v>
      </c>
      <c r="AC976" s="7">
        <f t="shared" si="92"/>
        <v>0.13126500000000002</v>
      </c>
      <c r="AD976" s="6" t="str">
        <f t="shared" si="93"/>
        <v>TT2 Tuy Hòa</v>
      </c>
      <c r="AE976" s="6" t="str">
        <f t="shared" si="94"/>
        <v>Phú Hòa</v>
      </c>
      <c r="AG976">
        <f t="shared" si="95"/>
        <v>1.1259999999999999E-2</v>
      </c>
      <c r="AH976">
        <f t="shared" si="96"/>
        <v>8.7510000000000004E-2</v>
      </c>
    </row>
    <row r="977" spans="1:34" x14ac:dyDescent="0.25">
      <c r="A977" t="s">
        <v>9510</v>
      </c>
      <c r="B977" t="s">
        <v>9511</v>
      </c>
      <c r="C977" t="s">
        <v>9512</v>
      </c>
      <c r="D977" t="s">
        <v>8429</v>
      </c>
      <c r="E977" t="s">
        <v>8430</v>
      </c>
      <c r="F977" t="s">
        <v>9513</v>
      </c>
      <c r="G977" t="s">
        <v>15827</v>
      </c>
      <c r="H977" t="s">
        <v>15828</v>
      </c>
      <c r="I977" t="s">
        <v>16787</v>
      </c>
      <c r="J977" t="s">
        <v>23</v>
      </c>
      <c r="L977" t="s">
        <v>9091</v>
      </c>
      <c r="M977" t="s">
        <v>9514</v>
      </c>
      <c r="N977" t="s">
        <v>9515</v>
      </c>
      <c r="O977" t="s">
        <v>9516</v>
      </c>
      <c r="P977" t="s">
        <v>9517</v>
      </c>
      <c r="Q977" t="s">
        <v>9518</v>
      </c>
      <c r="R977" t="s">
        <v>9519</v>
      </c>
      <c r="S977" t="s">
        <v>9520</v>
      </c>
      <c r="T977" t="s">
        <v>9521</v>
      </c>
      <c r="U977" s="5">
        <v>1531.8</v>
      </c>
      <c r="V977" s="5">
        <v>1526</v>
      </c>
      <c r="W977" s="5">
        <v>13.051769</v>
      </c>
      <c r="X977" s="5">
        <v>109.257884</v>
      </c>
      <c r="Y977" s="5">
        <v>5.8</v>
      </c>
      <c r="Z977" s="5">
        <v>13.07142</v>
      </c>
      <c r="AA977" s="5">
        <v>109.275852</v>
      </c>
      <c r="AB977" s="7">
        <f t="shared" si="91"/>
        <v>2.2890000000000001</v>
      </c>
      <c r="AC977" s="7">
        <f t="shared" si="92"/>
        <v>8.6999999999999994E-3</v>
      </c>
      <c r="AD977" s="6" t="str">
        <f t="shared" si="93"/>
        <v>PC08</v>
      </c>
      <c r="AE977" s="6" t="str">
        <f t="shared" si="94"/>
        <v>PK02</v>
      </c>
      <c r="AG977">
        <f t="shared" si="95"/>
        <v>1.526</v>
      </c>
      <c r="AH977">
        <f t="shared" si="96"/>
        <v>5.7999999999999996E-3</v>
      </c>
    </row>
    <row r="978" spans="1:34" x14ac:dyDescent="0.25">
      <c r="A978" t="s">
        <v>9522</v>
      </c>
      <c r="B978" t="s">
        <v>8429</v>
      </c>
      <c r="C978" t="s">
        <v>8430</v>
      </c>
      <c r="D978" t="s">
        <v>8156</v>
      </c>
      <c r="E978" t="s">
        <v>8157</v>
      </c>
      <c r="F978" t="s">
        <v>9523</v>
      </c>
      <c r="G978" t="s">
        <v>15827</v>
      </c>
      <c r="H978" t="s">
        <v>15828</v>
      </c>
      <c r="I978" t="s">
        <v>16788</v>
      </c>
      <c r="J978" t="s">
        <v>23</v>
      </c>
      <c r="L978" t="s">
        <v>9524</v>
      </c>
      <c r="M978" t="s">
        <v>9525</v>
      </c>
      <c r="N978" t="s">
        <v>9526</v>
      </c>
      <c r="O978" t="s">
        <v>9527</v>
      </c>
      <c r="P978" t="s">
        <v>9528</v>
      </c>
      <c r="Q978" t="s">
        <v>9529</v>
      </c>
      <c r="R978" t="s">
        <v>9530</v>
      </c>
      <c r="S978" t="s">
        <v>9531</v>
      </c>
      <c r="T978" t="s">
        <v>9532</v>
      </c>
      <c r="U978" s="5">
        <v>97.72</v>
      </c>
      <c r="V978" s="5">
        <v>15.88</v>
      </c>
      <c r="W978" s="5">
        <v>13.071588</v>
      </c>
      <c r="X978" s="5">
        <v>109.275789</v>
      </c>
      <c r="Y978" s="5">
        <v>81.84</v>
      </c>
      <c r="Z978" s="5">
        <v>13.094094999999999</v>
      </c>
      <c r="AA978" s="5">
        <v>109.292637</v>
      </c>
      <c r="AB978" s="7">
        <f t="shared" si="91"/>
        <v>2.3820000000000001E-2</v>
      </c>
      <c r="AC978" s="7">
        <f t="shared" si="92"/>
        <v>0.12276000000000001</v>
      </c>
      <c r="AD978" s="6" t="str">
        <f t="shared" si="93"/>
        <v>PC11</v>
      </c>
      <c r="AE978" s="6" t="str">
        <f t="shared" si="94"/>
        <v>PC08</v>
      </c>
      <c r="AG978">
        <f t="shared" si="95"/>
        <v>1.5880000000000002E-2</v>
      </c>
      <c r="AH978">
        <f t="shared" si="96"/>
        <v>8.184000000000001E-2</v>
      </c>
    </row>
    <row r="979" spans="1:34" x14ac:dyDescent="0.25">
      <c r="A979" t="s">
        <v>9533</v>
      </c>
      <c r="B979" t="s">
        <v>9534</v>
      </c>
      <c r="C979" t="s">
        <v>9535</v>
      </c>
      <c r="D979" t="s">
        <v>9536</v>
      </c>
      <c r="E979" t="s">
        <v>9537</v>
      </c>
      <c r="F979" t="s">
        <v>9538</v>
      </c>
      <c r="G979" t="s">
        <v>15827</v>
      </c>
      <c r="H979" t="s">
        <v>15828</v>
      </c>
      <c r="I979" t="s">
        <v>16789</v>
      </c>
      <c r="J979" t="s">
        <v>23</v>
      </c>
      <c r="L979" t="s">
        <v>9539</v>
      </c>
      <c r="M979" t="s">
        <v>9540</v>
      </c>
      <c r="N979" t="s">
        <v>9541</v>
      </c>
      <c r="O979" t="s">
        <v>9542</v>
      </c>
      <c r="P979" t="s">
        <v>9543</v>
      </c>
      <c r="Q979" t="s">
        <v>9544</v>
      </c>
      <c r="R979" t="s">
        <v>9536</v>
      </c>
      <c r="S979" t="s">
        <v>9545</v>
      </c>
      <c r="T979" t="s">
        <v>9546</v>
      </c>
      <c r="U979" s="5">
        <v>413.21</v>
      </c>
      <c r="V979" s="5">
        <v>412.87</v>
      </c>
      <c r="W979" s="5">
        <v>13.164842</v>
      </c>
      <c r="X979" s="5">
        <v>109.28851</v>
      </c>
      <c r="Y979" s="5">
        <v>0.34</v>
      </c>
      <c r="Z979" s="5">
        <v>13.181704</v>
      </c>
      <c r="AA979" s="5">
        <v>109.287283</v>
      </c>
      <c r="AB979" s="7">
        <f t="shared" si="91"/>
        <v>0.61930500000000011</v>
      </c>
      <c r="AC979" s="7">
        <f t="shared" si="92"/>
        <v>5.1000000000000004E-4</v>
      </c>
      <c r="AD979" s="6" t="str">
        <f t="shared" si="93"/>
        <v>CAT Phú Yên</v>
      </c>
      <c r="AE979" s="6" t="str">
        <f t="shared" si="94"/>
        <v>Tuy An Nam</v>
      </c>
      <c r="AG979">
        <f t="shared" si="95"/>
        <v>0.41287000000000001</v>
      </c>
      <c r="AH979">
        <f t="shared" si="96"/>
        <v>3.4000000000000002E-4</v>
      </c>
    </row>
    <row r="980" spans="1:34" x14ac:dyDescent="0.25">
      <c r="A980" t="s">
        <v>9547</v>
      </c>
      <c r="B980" t="s">
        <v>9536</v>
      </c>
      <c r="C980" t="s">
        <v>9537</v>
      </c>
      <c r="D980" t="s">
        <v>9548</v>
      </c>
      <c r="E980" t="s">
        <v>9549</v>
      </c>
      <c r="F980" t="s">
        <v>9550</v>
      </c>
      <c r="G980" t="s">
        <v>15827</v>
      </c>
      <c r="H980" t="s">
        <v>15828</v>
      </c>
      <c r="I980" t="s">
        <v>16790</v>
      </c>
      <c r="J980" t="s">
        <v>23</v>
      </c>
      <c r="L980" t="s">
        <v>9551</v>
      </c>
      <c r="M980" t="s">
        <v>9552</v>
      </c>
      <c r="N980" t="s">
        <v>9553</v>
      </c>
      <c r="O980" t="s">
        <v>9554</v>
      </c>
      <c r="P980" t="s">
        <v>9555</v>
      </c>
      <c r="Q980" t="s">
        <v>9556</v>
      </c>
      <c r="R980" t="s">
        <v>9557</v>
      </c>
      <c r="S980" t="s">
        <v>9558</v>
      </c>
      <c r="T980" t="s">
        <v>9559</v>
      </c>
      <c r="U980" s="5">
        <v>222.54</v>
      </c>
      <c r="V980" s="5">
        <v>175.83</v>
      </c>
      <c r="W980" s="5">
        <v>13.183259</v>
      </c>
      <c r="X980" s="5">
        <v>109.28698300000001</v>
      </c>
      <c r="Y980" s="5">
        <v>46.71</v>
      </c>
      <c r="Z980" s="5">
        <v>13.201929</v>
      </c>
      <c r="AA980" s="5">
        <v>109.276332</v>
      </c>
      <c r="AB980" s="7">
        <f t="shared" si="91"/>
        <v>0.26374500000000001</v>
      </c>
      <c r="AC980" s="7">
        <f t="shared" si="92"/>
        <v>7.0065000000000002E-2</v>
      </c>
      <c r="AD980" s="6" t="str">
        <f t="shared" si="93"/>
        <v>Tuy An Nam</v>
      </c>
      <c r="AE980" s="6" t="str">
        <f t="shared" si="94"/>
        <v>Ô Loan</v>
      </c>
      <c r="AG980">
        <f t="shared" si="95"/>
        <v>0.17583000000000001</v>
      </c>
      <c r="AH980">
        <f t="shared" si="96"/>
        <v>4.6710000000000002E-2</v>
      </c>
    </row>
    <row r="981" spans="1:34" x14ac:dyDescent="0.25">
      <c r="A981" t="s">
        <v>9560</v>
      </c>
      <c r="B981" t="s">
        <v>9561</v>
      </c>
      <c r="C981" t="s">
        <v>9562</v>
      </c>
      <c r="D981" t="s">
        <v>9563</v>
      </c>
      <c r="E981" t="s">
        <v>9564</v>
      </c>
      <c r="F981" t="s">
        <v>9565</v>
      </c>
      <c r="G981" t="s">
        <v>15827</v>
      </c>
      <c r="H981" t="s">
        <v>15828</v>
      </c>
      <c r="I981" t="s">
        <v>16791</v>
      </c>
      <c r="J981" t="s">
        <v>23</v>
      </c>
      <c r="L981" t="s">
        <v>9566</v>
      </c>
      <c r="M981" t="s">
        <v>9567</v>
      </c>
      <c r="N981" t="s">
        <v>9568</v>
      </c>
      <c r="O981" t="s">
        <v>9569</v>
      </c>
      <c r="P981" t="s">
        <v>9570</v>
      </c>
      <c r="Q981" t="s">
        <v>9571</v>
      </c>
      <c r="R981" t="s">
        <v>9572</v>
      </c>
      <c r="S981" t="s">
        <v>9573</v>
      </c>
      <c r="T981" t="s">
        <v>9574</v>
      </c>
      <c r="U981" s="5">
        <v>1135.25</v>
      </c>
      <c r="V981" s="5">
        <v>1102.79</v>
      </c>
      <c r="W981" s="5">
        <v>13.342204000000001</v>
      </c>
      <c r="X981" s="5">
        <v>109.247726</v>
      </c>
      <c r="Y981" s="5">
        <v>32.46</v>
      </c>
      <c r="Z981" s="5">
        <v>13.340761000000001</v>
      </c>
      <c r="AA981" s="5">
        <v>109.254114</v>
      </c>
      <c r="AB981" s="7">
        <f t="shared" si="91"/>
        <v>1.654185</v>
      </c>
      <c r="AC981" s="7">
        <f t="shared" si="92"/>
        <v>4.8689999999999997E-2</v>
      </c>
      <c r="AD981" s="6" t="str">
        <f t="shared" si="93"/>
        <v>Tuy An Đông</v>
      </c>
      <c r="AE981" s="6" t="str">
        <f t="shared" si="94"/>
        <v>TTCMKV TX Sông Cầu</v>
      </c>
      <c r="AG981">
        <f t="shared" si="95"/>
        <v>1.1027899999999999</v>
      </c>
      <c r="AH981">
        <f t="shared" si="96"/>
        <v>3.2460000000000003E-2</v>
      </c>
    </row>
    <row r="982" spans="1:34" x14ac:dyDescent="0.25">
      <c r="A982" t="s">
        <v>9575</v>
      </c>
      <c r="B982" t="s">
        <v>9563</v>
      </c>
      <c r="C982" t="s">
        <v>9564</v>
      </c>
      <c r="D982" t="s">
        <v>8190</v>
      </c>
      <c r="E982" t="s">
        <v>8191</v>
      </c>
      <c r="F982" t="s">
        <v>9576</v>
      </c>
      <c r="G982" t="s">
        <v>15827</v>
      </c>
      <c r="H982" t="s">
        <v>15828</v>
      </c>
      <c r="I982" t="s">
        <v>16792</v>
      </c>
      <c r="J982" t="s">
        <v>23</v>
      </c>
      <c r="L982" t="s">
        <v>9566</v>
      </c>
      <c r="M982" t="s">
        <v>9577</v>
      </c>
      <c r="N982" t="s">
        <v>9571</v>
      </c>
      <c r="O982" t="s">
        <v>9572</v>
      </c>
      <c r="P982" t="s">
        <v>9573</v>
      </c>
      <c r="Q982" t="s">
        <v>9578</v>
      </c>
      <c r="R982" t="s">
        <v>9579</v>
      </c>
      <c r="S982" t="s">
        <v>9580</v>
      </c>
      <c r="T982" t="s">
        <v>9574</v>
      </c>
      <c r="U982" s="5">
        <v>2601.3200000000002</v>
      </c>
      <c r="V982" s="5">
        <v>32.46</v>
      </c>
      <c r="W982" s="5">
        <v>13.340761000000001</v>
      </c>
      <c r="X982" s="5">
        <v>109.254114</v>
      </c>
      <c r="Y982" s="5">
        <v>2568.86</v>
      </c>
      <c r="Z982" s="5">
        <v>13.331121</v>
      </c>
      <c r="AA982" s="5">
        <v>109.21918100000001</v>
      </c>
      <c r="AB982" s="7">
        <f t="shared" si="91"/>
        <v>4.8689999999999997E-2</v>
      </c>
      <c r="AC982" s="7">
        <f t="shared" si="92"/>
        <v>3.8532899999999999</v>
      </c>
      <c r="AD982" s="6" t="str">
        <f t="shared" si="93"/>
        <v>Tuy An Đông</v>
      </c>
      <c r="AE982" s="6" t="str">
        <f t="shared" si="94"/>
        <v>TTCMKV TX Sông Cầu</v>
      </c>
      <c r="AG982">
        <f t="shared" si="95"/>
        <v>3.2460000000000003E-2</v>
      </c>
      <c r="AH982">
        <f t="shared" si="96"/>
        <v>2.5688599999999999</v>
      </c>
    </row>
    <row r="983" spans="1:34" x14ac:dyDescent="0.25">
      <c r="A983" t="s">
        <v>9581</v>
      </c>
      <c r="B983" t="s">
        <v>8188</v>
      </c>
      <c r="C983" t="s">
        <v>8189</v>
      </c>
      <c r="D983" t="s">
        <v>9582</v>
      </c>
      <c r="E983" t="s">
        <v>9583</v>
      </c>
      <c r="F983" t="s">
        <v>9584</v>
      </c>
      <c r="G983" t="s">
        <v>15827</v>
      </c>
      <c r="H983" t="s">
        <v>15828</v>
      </c>
      <c r="I983" t="s">
        <v>16793</v>
      </c>
      <c r="J983" t="s">
        <v>23</v>
      </c>
      <c r="L983" t="s">
        <v>8193</v>
      </c>
      <c r="M983" t="s">
        <v>9585</v>
      </c>
      <c r="N983" t="s">
        <v>8195</v>
      </c>
      <c r="O983" t="s">
        <v>8196</v>
      </c>
      <c r="P983" t="s">
        <v>8197</v>
      </c>
      <c r="Q983" t="s">
        <v>9586</v>
      </c>
      <c r="R983" t="s">
        <v>9587</v>
      </c>
      <c r="S983" t="s">
        <v>9588</v>
      </c>
      <c r="T983" t="s">
        <v>8201</v>
      </c>
      <c r="U983" s="5">
        <v>491.83</v>
      </c>
      <c r="V983" s="5">
        <v>234.35</v>
      </c>
      <c r="W983" s="5">
        <v>13.203866</v>
      </c>
      <c r="X983" s="5">
        <v>109.269097</v>
      </c>
      <c r="Y983" s="5">
        <v>257.48</v>
      </c>
      <c r="Z983" s="5">
        <v>13.240807</v>
      </c>
      <c r="AA983" s="5">
        <v>109.255388</v>
      </c>
      <c r="AB983" s="7">
        <f t="shared" si="91"/>
        <v>0.35152499999999998</v>
      </c>
      <c r="AC983" s="7">
        <f t="shared" si="92"/>
        <v>0.38622000000000001</v>
      </c>
      <c r="AD983" s="6" t="str">
        <f t="shared" si="93"/>
        <v>Sông Cầu</v>
      </c>
      <c r="AE983" s="6" t="str">
        <f t="shared" si="94"/>
        <v>TT2 Tuy Hòa</v>
      </c>
      <c r="AG983">
        <f t="shared" si="95"/>
        <v>0.23435</v>
      </c>
      <c r="AH983">
        <f t="shared" si="96"/>
        <v>0.25748000000000004</v>
      </c>
    </row>
    <row r="984" spans="1:34" x14ac:dyDescent="0.25">
      <c r="A984" t="s">
        <v>9589</v>
      </c>
      <c r="B984" t="s">
        <v>9582</v>
      </c>
      <c r="C984" t="s">
        <v>9583</v>
      </c>
      <c r="D984" t="s">
        <v>9590</v>
      </c>
      <c r="E984" t="s">
        <v>9591</v>
      </c>
      <c r="F984" t="s">
        <v>9592</v>
      </c>
      <c r="G984" t="s">
        <v>15827</v>
      </c>
      <c r="H984" t="s">
        <v>15828</v>
      </c>
      <c r="I984" t="s">
        <v>16794</v>
      </c>
      <c r="J984" t="s">
        <v>23</v>
      </c>
      <c r="L984" t="s">
        <v>8193</v>
      </c>
      <c r="M984" t="s">
        <v>9593</v>
      </c>
      <c r="N984" t="s">
        <v>9586</v>
      </c>
      <c r="O984" t="s">
        <v>9587</v>
      </c>
      <c r="P984" t="s">
        <v>9588</v>
      </c>
      <c r="Q984" t="s">
        <v>9594</v>
      </c>
      <c r="R984" t="s">
        <v>9595</v>
      </c>
      <c r="S984" t="s">
        <v>9596</v>
      </c>
      <c r="T984" t="s">
        <v>8201</v>
      </c>
      <c r="U984" s="5">
        <v>472.31</v>
      </c>
      <c r="V984" s="5">
        <v>257.48</v>
      </c>
      <c r="W984" s="5">
        <v>13.240807</v>
      </c>
      <c r="X984" s="5">
        <v>109.255388</v>
      </c>
      <c r="Y984" s="5">
        <v>214.83</v>
      </c>
      <c r="Z984" s="5">
        <v>13.262245999999999</v>
      </c>
      <c r="AA984" s="5">
        <v>109.250433</v>
      </c>
      <c r="AB984" s="7">
        <f t="shared" si="91"/>
        <v>0.38622000000000001</v>
      </c>
      <c r="AC984" s="7">
        <f t="shared" si="92"/>
        <v>0.322245</v>
      </c>
      <c r="AD984" s="6" t="str">
        <f t="shared" si="93"/>
        <v>Sông Cầu</v>
      </c>
      <c r="AE984" s="6" t="str">
        <f t="shared" si="94"/>
        <v>TT2 Tuy Hòa</v>
      </c>
      <c r="AG984">
        <f t="shared" si="95"/>
        <v>0.25748000000000004</v>
      </c>
      <c r="AH984">
        <f t="shared" si="96"/>
        <v>0.21483000000000002</v>
      </c>
    </row>
    <row r="985" spans="1:34" x14ac:dyDescent="0.25">
      <c r="A985" t="s">
        <v>9597</v>
      </c>
      <c r="B985" t="s">
        <v>9598</v>
      </c>
      <c r="C985" t="s">
        <v>9599</v>
      </c>
      <c r="D985" t="s">
        <v>8190</v>
      </c>
      <c r="E985" t="s">
        <v>8191</v>
      </c>
      <c r="F985" t="s">
        <v>9600</v>
      </c>
      <c r="G985" t="s">
        <v>15827</v>
      </c>
      <c r="H985" t="s">
        <v>15828</v>
      </c>
      <c r="I985" t="s">
        <v>16795</v>
      </c>
      <c r="J985" t="s">
        <v>23</v>
      </c>
      <c r="L985" t="s">
        <v>8193</v>
      </c>
      <c r="M985" t="s">
        <v>9601</v>
      </c>
      <c r="N985" t="s">
        <v>6940</v>
      </c>
      <c r="O985" t="s">
        <v>9602</v>
      </c>
      <c r="P985" t="s">
        <v>9603</v>
      </c>
      <c r="Q985" t="s">
        <v>8198</v>
      </c>
      <c r="R985" t="s">
        <v>8199</v>
      </c>
      <c r="S985" t="s">
        <v>8200</v>
      </c>
      <c r="T985" t="s">
        <v>8201</v>
      </c>
      <c r="U985" s="5">
        <v>248.97</v>
      </c>
      <c r="V985" s="5">
        <v>115.37</v>
      </c>
      <c r="W985" s="5">
        <v>13.295128</v>
      </c>
      <c r="X985" s="5">
        <v>109.234527</v>
      </c>
      <c r="Y985" s="5">
        <v>133.6</v>
      </c>
      <c r="Z985" s="5">
        <v>13.308895</v>
      </c>
      <c r="AA985" s="5">
        <v>109.214591</v>
      </c>
      <c r="AB985" s="7">
        <f t="shared" si="91"/>
        <v>0.17305500000000001</v>
      </c>
      <c r="AC985" s="7">
        <f t="shared" si="92"/>
        <v>0.20039999999999997</v>
      </c>
      <c r="AD985" s="6" t="str">
        <f t="shared" si="93"/>
        <v>Sông Cầu</v>
      </c>
      <c r="AE985" s="6" t="str">
        <f t="shared" si="94"/>
        <v>TT2 Tuy Hòa</v>
      </c>
      <c r="AG985">
        <f t="shared" si="95"/>
        <v>0.11537</v>
      </c>
      <c r="AH985">
        <f t="shared" si="96"/>
        <v>0.1336</v>
      </c>
    </row>
    <row r="986" spans="1:34" x14ac:dyDescent="0.25">
      <c r="A986" t="s">
        <v>9604</v>
      </c>
      <c r="B986" t="s">
        <v>9605</v>
      </c>
      <c r="C986" t="s">
        <v>9606</v>
      </c>
      <c r="D986" t="s">
        <v>8190</v>
      </c>
      <c r="E986" t="s">
        <v>8191</v>
      </c>
      <c r="F986" t="s">
        <v>9607</v>
      </c>
      <c r="G986" t="s">
        <v>15827</v>
      </c>
      <c r="H986" t="s">
        <v>15828</v>
      </c>
      <c r="I986" t="s">
        <v>16796</v>
      </c>
      <c r="J986" t="s">
        <v>23</v>
      </c>
      <c r="L986" t="s">
        <v>8193</v>
      </c>
      <c r="M986" t="s">
        <v>9608</v>
      </c>
      <c r="N986" t="s">
        <v>9609</v>
      </c>
      <c r="O986" t="s">
        <v>9610</v>
      </c>
      <c r="P986" t="s">
        <v>9611</v>
      </c>
      <c r="Q986" t="s">
        <v>8198</v>
      </c>
      <c r="R986" t="s">
        <v>8199</v>
      </c>
      <c r="S986" t="s">
        <v>8200</v>
      </c>
      <c r="T986" t="s">
        <v>8201</v>
      </c>
      <c r="U986" s="5">
        <v>376.04</v>
      </c>
      <c r="V986" s="5">
        <v>242.45</v>
      </c>
      <c r="W986" s="5">
        <v>13.32213</v>
      </c>
      <c r="X986" s="5">
        <v>109.21287100000001</v>
      </c>
      <c r="Y986" s="5">
        <v>133.6</v>
      </c>
      <c r="Z986" s="5">
        <v>13.308895</v>
      </c>
      <c r="AA986" s="5">
        <v>109.214591</v>
      </c>
      <c r="AB986" s="7">
        <f t="shared" si="91"/>
        <v>0.36367499999999997</v>
      </c>
      <c r="AC986" s="7">
        <f t="shared" si="92"/>
        <v>0.20039999999999997</v>
      </c>
      <c r="AD986" s="6" t="str">
        <f t="shared" si="93"/>
        <v>Sông Cầu</v>
      </c>
      <c r="AE986" s="6" t="str">
        <f t="shared" si="94"/>
        <v>TT2 Tuy Hòa</v>
      </c>
      <c r="AG986">
        <f t="shared" si="95"/>
        <v>0.24245</v>
      </c>
      <c r="AH986">
        <f t="shared" si="96"/>
        <v>0.1336</v>
      </c>
    </row>
    <row r="987" spans="1:34" x14ac:dyDescent="0.25">
      <c r="A987" t="s">
        <v>9612</v>
      </c>
      <c r="B987" t="s">
        <v>8190</v>
      </c>
      <c r="C987" t="s">
        <v>8191</v>
      </c>
      <c r="D987" t="s">
        <v>9613</v>
      </c>
      <c r="E987" t="s">
        <v>9614</v>
      </c>
      <c r="F987" t="s">
        <v>9615</v>
      </c>
      <c r="G987" t="s">
        <v>15827</v>
      </c>
      <c r="H987" t="s">
        <v>15828</v>
      </c>
      <c r="I987" t="s">
        <v>16797</v>
      </c>
      <c r="J987" t="s">
        <v>23</v>
      </c>
      <c r="L987" t="s">
        <v>8206</v>
      </c>
      <c r="M987" t="s">
        <v>9616</v>
      </c>
      <c r="N987" t="s">
        <v>8208</v>
      </c>
      <c r="O987" t="s">
        <v>8209</v>
      </c>
      <c r="P987" t="s">
        <v>8210</v>
      </c>
      <c r="Q987" t="s">
        <v>9617</v>
      </c>
      <c r="R987" t="s">
        <v>9618</v>
      </c>
      <c r="S987" t="s">
        <v>9619</v>
      </c>
      <c r="T987" t="s">
        <v>8214</v>
      </c>
      <c r="U987" s="5">
        <v>776.74</v>
      </c>
      <c r="V987" s="5">
        <v>61.31</v>
      </c>
      <c r="W987" s="5">
        <v>13.307845</v>
      </c>
      <c r="X987" s="5">
        <v>109.215296</v>
      </c>
      <c r="Y987" s="5">
        <v>715.43</v>
      </c>
      <c r="Z987" s="5">
        <v>13.33548</v>
      </c>
      <c r="AA987" s="5">
        <v>109.165701</v>
      </c>
      <c r="AB987" s="7">
        <f t="shared" si="91"/>
        <v>9.1965000000000005E-2</v>
      </c>
      <c r="AC987" s="7">
        <f t="shared" si="92"/>
        <v>1.073145</v>
      </c>
      <c r="AD987" s="6" t="str">
        <f t="shared" si="93"/>
        <v>Xuân Đài</v>
      </c>
      <c r="AE987" s="6" t="str">
        <f t="shared" si="94"/>
        <v>Tuy An Bắc</v>
      </c>
      <c r="AG987">
        <f t="shared" si="95"/>
        <v>6.1310000000000003E-2</v>
      </c>
      <c r="AH987">
        <f t="shared" si="96"/>
        <v>0.7154299999999999</v>
      </c>
    </row>
    <row r="988" spans="1:34" x14ac:dyDescent="0.25">
      <c r="A988" t="s">
        <v>9620</v>
      </c>
      <c r="B988" t="s">
        <v>9621</v>
      </c>
      <c r="C988" t="s">
        <v>9622</v>
      </c>
      <c r="D988" t="s">
        <v>8203</v>
      </c>
      <c r="E988" t="s">
        <v>8204</v>
      </c>
      <c r="F988" t="s">
        <v>9623</v>
      </c>
      <c r="G988" t="s">
        <v>15827</v>
      </c>
      <c r="H988" t="s">
        <v>15828</v>
      </c>
      <c r="I988" t="s">
        <v>16798</v>
      </c>
      <c r="J988" t="s">
        <v>23</v>
      </c>
      <c r="L988" t="s">
        <v>9624</v>
      </c>
      <c r="M988" t="s">
        <v>9625</v>
      </c>
      <c r="N988" t="s">
        <v>9626</v>
      </c>
      <c r="O988" t="s">
        <v>9627</v>
      </c>
      <c r="P988" t="s">
        <v>9628</v>
      </c>
      <c r="Q988" t="s">
        <v>9629</v>
      </c>
      <c r="R988" t="s">
        <v>9630</v>
      </c>
      <c r="S988" t="s">
        <v>9631</v>
      </c>
      <c r="T988" t="s">
        <v>9632</v>
      </c>
      <c r="U988" s="5">
        <v>120.95</v>
      </c>
      <c r="V988" s="5">
        <v>106.03</v>
      </c>
      <c r="W988" s="5">
        <v>13.398467</v>
      </c>
      <c r="X988" s="5">
        <v>109.104494</v>
      </c>
      <c r="Y988" s="5">
        <v>14.92</v>
      </c>
      <c r="Z988" s="5">
        <v>13.377414999999999</v>
      </c>
      <c r="AA988" s="5">
        <v>109.108029</v>
      </c>
      <c r="AB988" s="7">
        <f t="shared" si="91"/>
        <v>0.15904500000000002</v>
      </c>
      <c r="AC988" s="7">
        <f t="shared" si="92"/>
        <v>2.2380000000000001E-2</v>
      </c>
      <c r="AD988" s="6" t="str">
        <f t="shared" si="93"/>
        <v>Xuân Lãnh</v>
      </c>
      <c r="AE988" s="6" t="str">
        <f t="shared" si="94"/>
        <v>Đồng Xuân</v>
      </c>
      <c r="AG988">
        <f t="shared" si="95"/>
        <v>0.10603</v>
      </c>
      <c r="AH988">
        <f t="shared" si="96"/>
        <v>1.4919999999999999E-2</v>
      </c>
    </row>
    <row r="989" spans="1:34" x14ac:dyDescent="0.25">
      <c r="A989" t="s">
        <v>9633</v>
      </c>
      <c r="B989" t="s">
        <v>8190</v>
      </c>
      <c r="C989" t="s">
        <v>8191</v>
      </c>
      <c r="D989" t="s">
        <v>9634</v>
      </c>
      <c r="E989" t="s">
        <v>9635</v>
      </c>
      <c r="F989" t="s">
        <v>9636</v>
      </c>
      <c r="G989" t="s">
        <v>15827</v>
      </c>
      <c r="H989" t="s">
        <v>15828</v>
      </c>
      <c r="I989" t="s">
        <v>16799</v>
      </c>
      <c r="J989" t="s">
        <v>23</v>
      </c>
      <c r="L989" t="s">
        <v>8206</v>
      </c>
      <c r="M989" t="s">
        <v>9637</v>
      </c>
      <c r="N989" t="s">
        <v>8208</v>
      </c>
      <c r="O989" t="s">
        <v>8209</v>
      </c>
      <c r="P989" t="s">
        <v>8210</v>
      </c>
      <c r="Q989" t="s">
        <v>9638</v>
      </c>
      <c r="R989" t="s">
        <v>9639</v>
      </c>
      <c r="S989" t="s">
        <v>9640</v>
      </c>
      <c r="T989" t="s">
        <v>8214</v>
      </c>
      <c r="U989" s="5">
        <v>227.93</v>
      </c>
      <c r="V989" s="5">
        <v>61.31</v>
      </c>
      <c r="W989" s="5">
        <v>13.307845</v>
      </c>
      <c r="X989" s="5">
        <v>109.215296</v>
      </c>
      <c r="Y989" s="5">
        <v>166.62</v>
      </c>
      <c r="Z989" s="5">
        <v>13.318313</v>
      </c>
      <c r="AA989" s="5">
        <v>109.18471099999999</v>
      </c>
      <c r="AB989" s="7">
        <f t="shared" si="91"/>
        <v>9.1965000000000005E-2</v>
      </c>
      <c r="AC989" s="7">
        <f t="shared" si="92"/>
        <v>0.24993000000000001</v>
      </c>
      <c r="AD989" s="6" t="str">
        <f t="shared" si="93"/>
        <v>Xuân Đài</v>
      </c>
      <c r="AE989" s="6" t="str">
        <f t="shared" si="94"/>
        <v>Tuy An Bắc</v>
      </c>
      <c r="AG989">
        <f t="shared" si="95"/>
        <v>6.1310000000000003E-2</v>
      </c>
      <c r="AH989">
        <f t="shared" si="96"/>
        <v>0.16662000000000002</v>
      </c>
    </row>
    <row r="990" spans="1:34" x14ac:dyDescent="0.25">
      <c r="A990" t="s">
        <v>9641</v>
      </c>
      <c r="B990" t="s">
        <v>9642</v>
      </c>
      <c r="C990" t="s">
        <v>9643</v>
      </c>
      <c r="D990" t="s">
        <v>8203</v>
      </c>
      <c r="E990" t="s">
        <v>8204</v>
      </c>
      <c r="F990" t="s">
        <v>9644</v>
      </c>
      <c r="G990" t="s">
        <v>15827</v>
      </c>
      <c r="H990" t="s">
        <v>15828</v>
      </c>
      <c r="I990" t="s">
        <v>16800</v>
      </c>
      <c r="J990" t="s">
        <v>23</v>
      </c>
      <c r="L990" t="s">
        <v>9645</v>
      </c>
      <c r="M990" t="s">
        <v>9646</v>
      </c>
      <c r="N990" t="s">
        <v>9647</v>
      </c>
      <c r="O990" t="s">
        <v>9648</v>
      </c>
      <c r="P990" t="s">
        <v>9649</v>
      </c>
      <c r="Q990" t="s">
        <v>9650</v>
      </c>
      <c r="R990" t="s">
        <v>9651</v>
      </c>
      <c r="S990" t="s">
        <v>9652</v>
      </c>
      <c r="T990" t="s">
        <v>9653</v>
      </c>
      <c r="U990" s="5">
        <v>1147.72</v>
      </c>
      <c r="V990" s="5">
        <v>57.21</v>
      </c>
      <c r="W990" s="5">
        <v>13.364934999999999</v>
      </c>
      <c r="X990" s="5">
        <v>109.125821</v>
      </c>
      <c r="Y990" s="5">
        <v>1090.51</v>
      </c>
      <c r="Z990" s="5">
        <v>13.369785</v>
      </c>
      <c r="AA990" s="5">
        <v>109.114576</v>
      </c>
      <c r="AB990" s="7">
        <f t="shared" si="91"/>
        <v>8.5815000000000002E-2</v>
      </c>
      <c r="AC990" s="7">
        <f t="shared" si="92"/>
        <v>1.6357649999999999</v>
      </c>
      <c r="AD990" s="6" t="str">
        <f t="shared" si="93"/>
        <v>Tuy An Tây</v>
      </c>
      <c r="AE990" s="6" t="str">
        <f t="shared" si="94"/>
        <v>TTCMKV Đồng
 Xuân</v>
      </c>
      <c r="AG990">
        <f t="shared" si="95"/>
        <v>5.7210000000000004E-2</v>
      </c>
      <c r="AH990">
        <f t="shared" si="96"/>
        <v>1.0905100000000001</v>
      </c>
    </row>
    <row r="991" spans="1:34" x14ac:dyDescent="0.25">
      <c r="A991" t="s">
        <v>9654</v>
      </c>
      <c r="B991" t="s">
        <v>8190</v>
      </c>
      <c r="C991" t="s">
        <v>8191</v>
      </c>
      <c r="D991" t="s">
        <v>9655</v>
      </c>
      <c r="E991" t="s">
        <v>9656</v>
      </c>
      <c r="F991" t="s">
        <v>9657</v>
      </c>
      <c r="G991" t="s">
        <v>15827</v>
      </c>
      <c r="H991" t="s">
        <v>15828</v>
      </c>
      <c r="I991" t="s">
        <v>16801</v>
      </c>
      <c r="J991" t="s">
        <v>23</v>
      </c>
      <c r="L991" t="s">
        <v>8206</v>
      </c>
      <c r="M991" t="s">
        <v>9658</v>
      </c>
      <c r="N991" t="s">
        <v>8208</v>
      </c>
      <c r="O991" t="s">
        <v>8209</v>
      </c>
      <c r="P991" t="s">
        <v>8210</v>
      </c>
      <c r="Q991" t="s">
        <v>9659</v>
      </c>
      <c r="R991" t="s">
        <v>9660</v>
      </c>
      <c r="S991" t="s">
        <v>9661</v>
      </c>
      <c r="T991" t="s">
        <v>8214</v>
      </c>
      <c r="U991" s="5">
        <v>4426.9799999999996</v>
      </c>
      <c r="V991" s="5">
        <v>61.31</v>
      </c>
      <c r="W991" s="5">
        <v>13.307845</v>
      </c>
      <c r="X991" s="5">
        <v>109.215296</v>
      </c>
      <c r="Y991" s="5">
        <v>4365.67</v>
      </c>
      <c r="Z991" s="5">
        <v>13.322787</v>
      </c>
      <c r="AA991" s="5">
        <v>109.175021</v>
      </c>
      <c r="AB991" s="7">
        <f t="shared" si="91"/>
        <v>9.1965000000000005E-2</v>
      </c>
      <c r="AC991" s="7">
        <f t="shared" si="92"/>
        <v>6.5485050000000005</v>
      </c>
      <c r="AD991" s="6" t="str">
        <f t="shared" si="93"/>
        <v>Xuân Đài</v>
      </c>
      <c r="AE991" s="6" t="str">
        <f t="shared" si="94"/>
        <v>Tuy An Bắc</v>
      </c>
      <c r="AG991">
        <f t="shared" si="95"/>
        <v>6.1310000000000003E-2</v>
      </c>
      <c r="AH991">
        <f t="shared" si="96"/>
        <v>4.3656699999999997</v>
      </c>
    </row>
    <row r="992" spans="1:34" x14ac:dyDescent="0.25">
      <c r="A992" t="s">
        <v>9662</v>
      </c>
      <c r="B992" t="s">
        <v>9663</v>
      </c>
      <c r="C992" t="s">
        <v>9664</v>
      </c>
      <c r="D992" t="s">
        <v>8203</v>
      </c>
      <c r="E992" t="s">
        <v>8204</v>
      </c>
      <c r="F992" t="s">
        <v>9665</v>
      </c>
      <c r="G992" t="s">
        <v>15827</v>
      </c>
      <c r="H992" t="s">
        <v>15828</v>
      </c>
      <c r="I992" t="s">
        <v>16802</v>
      </c>
      <c r="J992" t="s">
        <v>23</v>
      </c>
      <c r="L992" t="s">
        <v>9645</v>
      </c>
      <c r="M992" t="s">
        <v>9666</v>
      </c>
      <c r="N992" t="s">
        <v>9667</v>
      </c>
      <c r="O992" t="s">
        <v>9668</v>
      </c>
      <c r="P992" t="s">
        <v>9669</v>
      </c>
      <c r="Q992" t="s">
        <v>9650</v>
      </c>
      <c r="R992" t="s">
        <v>9651</v>
      </c>
      <c r="S992" t="s">
        <v>9652</v>
      </c>
      <c r="T992" t="s">
        <v>9653</v>
      </c>
      <c r="U992" s="5">
        <v>6852.7</v>
      </c>
      <c r="V992" s="5">
        <v>5762.19</v>
      </c>
      <c r="W992" s="5">
        <v>13.256083</v>
      </c>
      <c r="X992" s="5">
        <v>109.17153999999999</v>
      </c>
      <c r="Y992" s="5">
        <v>1090.51</v>
      </c>
      <c r="Z992" s="5">
        <v>13.369785</v>
      </c>
      <c r="AA992" s="5">
        <v>109.114576</v>
      </c>
      <c r="AB992" s="7">
        <f t="shared" si="91"/>
        <v>8.6432850000000006</v>
      </c>
      <c r="AC992" s="7">
        <f t="shared" si="92"/>
        <v>1.6357649999999999</v>
      </c>
      <c r="AD992" s="6" t="str">
        <f t="shared" si="93"/>
        <v>Tuy An Tây</v>
      </c>
      <c r="AE992" s="6" t="str">
        <f t="shared" si="94"/>
        <v>TTCMKV Đồng
 Xuân</v>
      </c>
      <c r="AG992">
        <f t="shared" si="95"/>
        <v>5.7621899999999995</v>
      </c>
      <c r="AH992">
        <f t="shared" si="96"/>
        <v>1.0905100000000001</v>
      </c>
    </row>
    <row r="993" spans="1:34" x14ac:dyDescent="0.25">
      <c r="A993" t="s">
        <v>9670</v>
      </c>
      <c r="B993" t="s">
        <v>8203</v>
      </c>
      <c r="C993" t="s">
        <v>8204</v>
      </c>
      <c r="D993" t="s">
        <v>9671</v>
      </c>
      <c r="E993" t="s">
        <v>9672</v>
      </c>
      <c r="F993" t="s">
        <v>9673</v>
      </c>
      <c r="G993" t="s">
        <v>15827</v>
      </c>
      <c r="H993" t="s">
        <v>15828</v>
      </c>
      <c r="I993" t="s">
        <v>16803</v>
      </c>
      <c r="J993" t="s">
        <v>23</v>
      </c>
      <c r="L993" t="s">
        <v>9674</v>
      </c>
      <c r="M993" t="s">
        <v>9675</v>
      </c>
      <c r="N993" t="s">
        <v>9676</v>
      </c>
      <c r="O993" t="s">
        <v>9677</v>
      </c>
      <c r="P993" t="s">
        <v>9678</v>
      </c>
      <c r="Q993" t="s">
        <v>9679</v>
      </c>
      <c r="R993" t="s">
        <v>9680</v>
      </c>
      <c r="S993" t="s">
        <v>9681</v>
      </c>
      <c r="T993" t="s">
        <v>9682</v>
      </c>
      <c r="U993" s="5">
        <v>1483.39</v>
      </c>
      <c r="V993" s="5">
        <v>276.61</v>
      </c>
      <c r="W993" s="5">
        <v>13.378349</v>
      </c>
      <c r="X993" s="5">
        <v>109.110418</v>
      </c>
      <c r="Y993" s="5">
        <v>1206.78</v>
      </c>
      <c r="Z993" s="5">
        <v>13.36351</v>
      </c>
      <c r="AA993" s="5">
        <v>109.092275</v>
      </c>
      <c r="AB993" s="7">
        <f t="shared" si="91"/>
        <v>0.41491500000000003</v>
      </c>
      <c r="AC993" s="7">
        <f t="shared" si="92"/>
        <v>1.8101700000000001</v>
      </c>
      <c r="AD993" s="6" t="str">
        <f t="shared" si="93"/>
        <v>Trại giam Xuân Phước (C10)</v>
      </c>
      <c r="AE993" s="6" t="str">
        <f t="shared" si="94"/>
        <v>TTCMKV Đồng Xuân</v>
      </c>
      <c r="AG993">
        <f t="shared" si="95"/>
        <v>0.27661000000000002</v>
      </c>
      <c r="AH993">
        <f t="shared" si="96"/>
        <v>1.20678</v>
      </c>
    </row>
    <row r="994" spans="1:34" x14ac:dyDescent="0.25">
      <c r="A994" t="s">
        <v>9683</v>
      </c>
      <c r="B994" t="s">
        <v>9684</v>
      </c>
      <c r="C994" t="s">
        <v>9685</v>
      </c>
      <c r="D994" t="s">
        <v>9686</v>
      </c>
      <c r="E994" t="s">
        <v>9687</v>
      </c>
      <c r="F994" t="s">
        <v>9688</v>
      </c>
      <c r="G994" t="s">
        <v>15827</v>
      </c>
      <c r="H994" t="s">
        <v>15828</v>
      </c>
      <c r="I994" t="s">
        <v>16804</v>
      </c>
      <c r="J994" t="s">
        <v>23</v>
      </c>
      <c r="L994" t="s">
        <v>8219</v>
      </c>
      <c r="M994" t="s">
        <v>9689</v>
      </c>
      <c r="N994" t="s">
        <v>9690</v>
      </c>
      <c r="O994" t="s">
        <v>9691</v>
      </c>
      <c r="P994" t="s">
        <v>9692</v>
      </c>
      <c r="Q994" t="s">
        <v>9693</v>
      </c>
      <c r="R994" t="s">
        <v>9694</v>
      </c>
      <c r="S994" t="s">
        <v>9695</v>
      </c>
      <c r="T994" t="s">
        <v>8227</v>
      </c>
      <c r="U994" s="5">
        <v>944.4</v>
      </c>
      <c r="V994" s="5">
        <v>98.12</v>
      </c>
      <c r="W994" s="5">
        <v>13.322913</v>
      </c>
      <c r="X994" s="5">
        <v>109.079144</v>
      </c>
      <c r="Y994" s="5">
        <v>846.29</v>
      </c>
      <c r="Z994" s="5">
        <v>13.301697000000001</v>
      </c>
      <c r="AA994" s="5">
        <v>109.07306699999999</v>
      </c>
      <c r="AB994" s="7">
        <f t="shared" si="91"/>
        <v>0.14718000000000001</v>
      </c>
      <c r="AC994" s="7">
        <f t="shared" si="92"/>
        <v>1.2694349999999999</v>
      </c>
      <c r="AD994" s="6" t="str">
        <f t="shared" si="93"/>
        <v>CAX Sơn Định (Sơn Hòa)</v>
      </c>
      <c r="AE994" s="6" t="str">
        <f t="shared" si="94"/>
        <v>Đồng Xuân</v>
      </c>
      <c r="AG994">
        <f t="shared" si="95"/>
        <v>9.8119999999999999E-2</v>
      </c>
      <c r="AH994">
        <f t="shared" si="96"/>
        <v>0.84628999999999999</v>
      </c>
    </row>
    <row r="995" spans="1:34" x14ac:dyDescent="0.25">
      <c r="A995" t="s">
        <v>9696</v>
      </c>
      <c r="B995" t="s">
        <v>9686</v>
      </c>
      <c r="C995" t="s">
        <v>9687</v>
      </c>
      <c r="D995" t="s">
        <v>8216</v>
      </c>
      <c r="E995" t="s">
        <v>8217</v>
      </c>
      <c r="F995" t="s">
        <v>9697</v>
      </c>
      <c r="G995" t="s">
        <v>15827</v>
      </c>
      <c r="H995" t="s">
        <v>15828</v>
      </c>
      <c r="I995" t="s">
        <v>16805</v>
      </c>
      <c r="J995" t="s">
        <v>23</v>
      </c>
      <c r="L995" t="s">
        <v>8230</v>
      </c>
      <c r="M995" t="s">
        <v>9698</v>
      </c>
      <c r="N995" t="s">
        <v>9699</v>
      </c>
      <c r="O995" t="s">
        <v>9700</v>
      </c>
      <c r="P995" t="s">
        <v>9701</v>
      </c>
      <c r="Q995" t="s">
        <v>9702</v>
      </c>
      <c r="R995" t="s">
        <v>9703</v>
      </c>
      <c r="S995" t="s">
        <v>9704</v>
      </c>
      <c r="T995" t="s">
        <v>8238</v>
      </c>
      <c r="U995" s="5">
        <v>7155.68</v>
      </c>
      <c r="V995" s="5">
        <v>125.14</v>
      </c>
      <c r="W995" s="5">
        <v>13.29852</v>
      </c>
      <c r="X995" s="5">
        <v>109.064847</v>
      </c>
      <c r="Y995" s="5">
        <v>7030.55</v>
      </c>
      <c r="Z995" s="5">
        <v>13.266185</v>
      </c>
      <c r="AA995" s="5">
        <v>109.047833</v>
      </c>
      <c r="AB995" s="7">
        <f t="shared" si="91"/>
        <v>0.18771000000000002</v>
      </c>
      <c r="AC995" s="7">
        <f t="shared" si="92"/>
        <v>10.545825000000001</v>
      </c>
      <c r="AD995" s="6" t="str">
        <f t="shared" si="93"/>
        <v>Xuân Phước</v>
      </c>
      <c r="AE995" s="6" t="str">
        <f t="shared" si="94"/>
        <v>Vân Hòa</v>
      </c>
      <c r="AG995">
        <f t="shared" si="95"/>
        <v>0.12514</v>
      </c>
      <c r="AH995">
        <f t="shared" si="96"/>
        <v>7.0305499999999999</v>
      </c>
    </row>
    <row r="996" spans="1:34" x14ac:dyDescent="0.25">
      <c r="A996" t="s">
        <v>9705</v>
      </c>
      <c r="B996" t="s">
        <v>9706</v>
      </c>
      <c r="C996" t="s">
        <v>9707</v>
      </c>
      <c r="D996" t="s">
        <v>9230</v>
      </c>
      <c r="E996" t="s">
        <v>9231</v>
      </c>
      <c r="F996" t="s">
        <v>9708</v>
      </c>
      <c r="G996" t="s">
        <v>15827</v>
      </c>
      <c r="H996" t="s">
        <v>15828</v>
      </c>
      <c r="I996" t="s">
        <v>16806</v>
      </c>
      <c r="J996" t="s">
        <v>23</v>
      </c>
      <c r="L996" t="s">
        <v>9709</v>
      </c>
      <c r="M996" t="s">
        <v>9710</v>
      </c>
      <c r="N996" t="s">
        <v>9711</v>
      </c>
      <c r="O996" t="s">
        <v>9712</v>
      </c>
      <c r="P996" t="s">
        <v>9713</v>
      </c>
      <c r="Q996" t="s">
        <v>9714</v>
      </c>
      <c r="R996" t="s">
        <v>9712</v>
      </c>
      <c r="S996" t="s">
        <v>9713</v>
      </c>
      <c r="T996" t="s">
        <v>9715</v>
      </c>
      <c r="U996" s="5">
        <v>2829.47</v>
      </c>
      <c r="V996" s="5">
        <v>2821.78</v>
      </c>
      <c r="W996" s="5">
        <v>12.908676</v>
      </c>
      <c r="X996" s="5">
        <v>109.369789</v>
      </c>
      <c r="Y996" s="5">
        <v>7.69</v>
      </c>
      <c r="Z996" s="5">
        <v>12.908676</v>
      </c>
      <c r="AA996" s="5">
        <v>109.369789</v>
      </c>
      <c r="AB996" s="7">
        <f t="shared" si="91"/>
        <v>4.2326699999999997</v>
      </c>
      <c r="AC996" s="7">
        <f t="shared" si="92"/>
        <v>1.1535E-2</v>
      </c>
      <c r="AD996" s="6" t="str">
        <f t="shared" si="93"/>
        <v>Hòa Xuân</v>
      </c>
      <c r="AE996" s="6" t="str">
        <f t="shared" si="94"/>
        <v>Hòa Hiệp</v>
      </c>
      <c r="AG996">
        <f t="shared" si="95"/>
        <v>2.8217800000000004</v>
      </c>
      <c r="AH996">
        <f t="shared" si="96"/>
        <v>7.6900000000000007E-3</v>
      </c>
    </row>
    <row r="997" spans="1:34" x14ac:dyDescent="0.25">
      <c r="A997" t="s">
        <v>9716</v>
      </c>
      <c r="B997" t="s">
        <v>9717</v>
      </c>
      <c r="C997" t="s">
        <v>9718</v>
      </c>
      <c r="D997" t="s">
        <v>9230</v>
      </c>
      <c r="E997" t="s">
        <v>9231</v>
      </c>
      <c r="F997" t="s">
        <v>9719</v>
      </c>
      <c r="G997" t="s">
        <v>15827</v>
      </c>
      <c r="H997" t="s">
        <v>15828</v>
      </c>
      <c r="I997" t="s">
        <v>16807</v>
      </c>
      <c r="J997" t="s">
        <v>23</v>
      </c>
      <c r="L997" t="s">
        <v>9233</v>
      </c>
      <c r="M997" t="s">
        <v>9720</v>
      </c>
      <c r="N997" t="s">
        <v>9721</v>
      </c>
      <c r="O997" t="s">
        <v>9722</v>
      </c>
      <c r="P997" t="s">
        <v>9723</v>
      </c>
      <c r="Q997" t="s">
        <v>9238</v>
      </c>
      <c r="R997" t="s">
        <v>9239</v>
      </c>
      <c r="S997" t="s">
        <v>9240</v>
      </c>
      <c r="T997" t="s">
        <v>9241</v>
      </c>
      <c r="U997" s="5">
        <v>469.73</v>
      </c>
      <c r="V997" s="5">
        <v>464.96</v>
      </c>
      <c r="W997" s="5">
        <v>12.946676999999999</v>
      </c>
      <c r="X997" s="5">
        <v>109.35947899999999</v>
      </c>
      <c r="Y997" s="5">
        <v>4.7699999999999996</v>
      </c>
      <c r="Z997" s="5">
        <v>12.908752</v>
      </c>
      <c r="AA997" s="5">
        <v>109.369775</v>
      </c>
      <c r="AB997" s="7">
        <f t="shared" si="91"/>
        <v>0.69743999999999995</v>
      </c>
      <c r="AC997" s="7">
        <f t="shared" si="92"/>
        <v>7.154999999999999E-3</v>
      </c>
      <c r="AD997" s="6" t="str">
        <f t="shared" si="93"/>
        <v>Đông Hòa</v>
      </c>
      <c r="AE997" s="6" t="str">
        <f t="shared" si="94"/>
        <v>Hòa Xuân</v>
      </c>
      <c r="AG997">
        <f t="shared" si="95"/>
        <v>0.46495999999999998</v>
      </c>
      <c r="AH997">
        <f t="shared" si="96"/>
        <v>4.7699999999999999E-3</v>
      </c>
    </row>
    <row r="998" spans="1:34" x14ac:dyDescent="0.25">
      <c r="A998" t="s">
        <v>9724</v>
      </c>
      <c r="B998" t="s">
        <v>9725</v>
      </c>
      <c r="C998" t="s">
        <v>9726</v>
      </c>
      <c r="D998" t="s">
        <v>9276</v>
      </c>
      <c r="E998" t="s">
        <v>9277</v>
      </c>
      <c r="F998" t="s">
        <v>9727</v>
      </c>
      <c r="G998" t="s">
        <v>15827</v>
      </c>
      <c r="H998" t="s">
        <v>15828</v>
      </c>
      <c r="I998" t="s">
        <v>16808</v>
      </c>
      <c r="J998" t="s">
        <v>23</v>
      </c>
      <c r="L998" t="s">
        <v>9728</v>
      </c>
      <c r="M998" t="s">
        <v>9729</v>
      </c>
      <c r="N998" t="s">
        <v>9730</v>
      </c>
      <c r="O998" t="s">
        <v>9731</v>
      </c>
      <c r="P998" t="s">
        <v>9732</v>
      </c>
      <c r="Q998" t="s">
        <v>9733</v>
      </c>
      <c r="R998" t="s">
        <v>9734</v>
      </c>
      <c r="S998" t="s">
        <v>9735</v>
      </c>
      <c r="T998" t="s">
        <v>9736</v>
      </c>
      <c r="U998" s="5">
        <v>1461.24</v>
      </c>
      <c r="V998" s="5">
        <v>1431.52</v>
      </c>
      <c r="W998" s="5">
        <v>12.999019000000001</v>
      </c>
      <c r="X998" s="5">
        <v>109.374774</v>
      </c>
      <c r="Y998" s="5">
        <v>29.72</v>
      </c>
      <c r="Z998" s="5">
        <v>12.997832000000001</v>
      </c>
      <c r="AA998" s="5">
        <v>109.370374</v>
      </c>
      <c r="AB998" s="7">
        <f t="shared" si="91"/>
        <v>2.1472799999999999</v>
      </c>
      <c r="AC998" s="7">
        <f t="shared" si="92"/>
        <v>4.4580000000000002E-2</v>
      </c>
      <c r="AD998" s="6" t="str">
        <f t="shared" si="93"/>
        <v>Hòa Hiệp CS2</v>
      </c>
      <c r="AE998" s="6" t="str">
        <f t="shared" si="94"/>
        <v>CAT Phú Yên</v>
      </c>
      <c r="AG998">
        <f t="shared" si="95"/>
        <v>1.4315199999999999</v>
      </c>
      <c r="AH998">
        <f t="shared" si="96"/>
        <v>2.972E-2</v>
      </c>
    </row>
    <row r="999" spans="1:34" x14ac:dyDescent="0.25">
      <c r="A999" t="s">
        <v>9737</v>
      </c>
      <c r="B999" t="s">
        <v>9738</v>
      </c>
      <c r="C999" t="s">
        <v>9739</v>
      </c>
      <c r="D999" t="s">
        <v>9740</v>
      </c>
      <c r="E999" t="s">
        <v>9741</v>
      </c>
      <c r="F999" t="s">
        <v>9742</v>
      </c>
      <c r="G999" t="s">
        <v>15827</v>
      </c>
      <c r="H999" t="s">
        <v>15828</v>
      </c>
      <c r="I999" t="s">
        <v>16809</v>
      </c>
      <c r="J999" t="s">
        <v>23</v>
      </c>
      <c r="L999" t="s">
        <v>9743</v>
      </c>
      <c r="M999" t="s">
        <v>9744</v>
      </c>
      <c r="N999" t="s">
        <v>9745</v>
      </c>
      <c r="O999" t="s">
        <v>9746</v>
      </c>
      <c r="P999" t="s">
        <v>9747</v>
      </c>
      <c r="Q999" t="s">
        <v>9748</v>
      </c>
      <c r="R999" t="s">
        <v>9749</v>
      </c>
      <c r="S999" t="s">
        <v>9750</v>
      </c>
      <c r="T999" t="s">
        <v>9751</v>
      </c>
      <c r="U999" s="5">
        <v>263.62</v>
      </c>
      <c r="V999" s="5">
        <v>215.09</v>
      </c>
      <c r="W999" s="5">
        <v>13.099017</v>
      </c>
      <c r="X999" s="5">
        <v>109.289473</v>
      </c>
      <c r="Y999" s="5">
        <v>48.53</v>
      </c>
      <c r="Z999" s="5">
        <v>13.095419</v>
      </c>
      <c r="AA999" s="5">
        <v>109.29175499999999</v>
      </c>
      <c r="AB999" s="7">
        <f t="shared" si="91"/>
        <v>0.32263500000000001</v>
      </c>
      <c r="AC999" s="7">
        <f t="shared" si="92"/>
        <v>7.2794999999999999E-2</v>
      </c>
      <c r="AD999" s="6" t="str">
        <f t="shared" si="93"/>
        <v>PA06</v>
      </c>
      <c r="AE999" s="6" t="str">
        <f t="shared" si="94"/>
        <v>TT2 Đắk Lắk (Tuy Hòa)</v>
      </c>
      <c r="AG999">
        <f t="shared" si="95"/>
        <v>0.21509</v>
      </c>
      <c r="AH999">
        <f t="shared" si="96"/>
        <v>4.8530000000000004E-2</v>
      </c>
    </row>
    <row r="1000" spans="1:34" x14ac:dyDescent="0.25">
      <c r="A1000" t="s">
        <v>9752</v>
      </c>
      <c r="B1000" t="s">
        <v>9753</v>
      </c>
      <c r="C1000" t="s">
        <v>9754</v>
      </c>
      <c r="D1000" t="s">
        <v>9563</v>
      </c>
      <c r="E1000" t="s">
        <v>9564</v>
      </c>
      <c r="F1000" t="s">
        <v>9755</v>
      </c>
      <c r="G1000" t="s">
        <v>15827</v>
      </c>
      <c r="H1000" t="s">
        <v>15828</v>
      </c>
      <c r="I1000" t="s">
        <v>16810</v>
      </c>
      <c r="J1000" t="s">
        <v>23</v>
      </c>
      <c r="L1000" t="s">
        <v>9756</v>
      </c>
      <c r="M1000" t="s">
        <v>9757</v>
      </c>
      <c r="N1000" t="s">
        <v>9758</v>
      </c>
      <c r="O1000" t="s">
        <v>9759</v>
      </c>
      <c r="P1000" t="s">
        <v>9760</v>
      </c>
      <c r="Q1000" t="s">
        <v>9761</v>
      </c>
      <c r="R1000" t="s">
        <v>9762</v>
      </c>
      <c r="S1000" t="s">
        <v>9763</v>
      </c>
      <c r="T1000" t="s">
        <v>9764</v>
      </c>
      <c r="U1000" s="5">
        <v>248.59</v>
      </c>
      <c r="V1000" s="5">
        <v>212.95</v>
      </c>
      <c r="W1000" s="5">
        <v>13.341809</v>
      </c>
      <c r="X1000" s="5">
        <v>109.254057</v>
      </c>
      <c r="Y1000" s="5">
        <v>35.630000000000003</v>
      </c>
      <c r="Z1000" s="5">
        <v>13.340781</v>
      </c>
      <c r="AA1000" s="5">
        <v>109.254279</v>
      </c>
      <c r="AB1000" s="7">
        <f t="shared" si="91"/>
        <v>0.31942499999999996</v>
      </c>
      <c r="AC1000" s="7">
        <f t="shared" si="92"/>
        <v>5.3445000000000006E-2</v>
      </c>
      <c r="AD1000" s="6" t="str">
        <f t="shared" si="93"/>
        <v>Ô Loan</v>
      </c>
      <c r="AE1000" s="6" t="str">
        <f t="shared" si="94"/>
        <v>Tuy An Đông</v>
      </c>
      <c r="AG1000">
        <f t="shared" si="95"/>
        <v>0.21295</v>
      </c>
      <c r="AH1000">
        <f t="shared" si="96"/>
        <v>3.5630000000000002E-2</v>
      </c>
    </row>
    <row r="1001" spans="1:34" x14ac:dyDescent="0.25">
      <c r="A1001" t="s">
        <v>9765</v>
      </c>
      <c r="B1001" t="s">
        <v>9766</v>
      </c>
      <c r="C1001" t="s">
        <v>9767</v>
      </c>
      <c r="D1001" t="s">
        <v>9582</v>
      </c>
      <c r="E1001" t="s">
        <v>9583</v>
      </c>
      <c r="F1001" t="s">
        <v>9768</v>
      </c>
      <c r="G1001" t="s">
        <v>15827</v>
      </c>
      <c r="H1001" t="s">
        <v>15828</v>
      </c>
      <c r="I1001" t="s">
        <v>16811</v>
      </c>
      <c r="J1001" t="s">
        <v>23</v>
      </c>
      <c r="L1001" t="s">
        <v>8193</v>
      </c>
      <c r="M1001" t="s">
        <v>9769</v>
      </c>
      <c r="N1001" t="s">
        <v>9770</v>
      </c>
      <c r="O1001" t="s">
        <v>9771</v>
      </c>
      <c r="P1001" t="s">
        <v>9772</v>
      </c>
      <c r="Q1001" t="s">
        <v>9586</v>
      </c>
      <c r="R1001" t="s">
        <v>9587</v>
      </c>
      <c r="S1001" t="s">
        <v>9588</v>
      </c>
      <c r="T1001" t="s">
        <v>8201</v>
      </c>
      <c r="U1001" s="5">
        <v>1451.42</v>
      </c>
      <c r="V1001" s="5">
        <v>1193.94</v>
      </c>
      <c r="W1001" s="5">
        <v>13.251925</v>
      </c>
      <c r="X1001" s="5">
        <v>109.251918</v>
      </c>
      <c r="Y1001" s="5">
        <v>257.48</v>
      </c>
      <c r="Z1001" s="5">
        <v>13.240807</v>
      </c>
      <c r="AA1001" s="5">
        <v>109.255388</v>
      </c>
      <c r="AB1001" s="7">
        <f t="shared" si="91"/>
        <v>1.79091</v>
      </c>
      <c r="AC1001" s="7">
        <f t="shared" si="92"/>
        <v>0.38622000000000001</v>
      </c>
      <c r="AD1001" s="6" t="str">
        <f t="shared" si="93"/>
        <v>Sông Cầu</v>
      </c>
      <c r="AE1001" s="6" t="str">
        <f t="shared" si="94"/>
        <v>TT2 Tuy Hòa</v>
      </c>
      <c r="AG1001">
        <f t="shared" si="95"/>
        <v>1.19394</v>
      </c>
      <c r="AH1001">
        <f t="shared" si="96"/>
        <v>0.25748000000000004</v>
      </c>
    </row>
    <row r="1002" spans="1:34" x14ac:dyDescent="0.25">
      <c r="A1002" t="s">
        <v>9773</v>
      </c>
      <c r="B1002" t="s">
        <v>9774</v>
      </c>
      <c r="C1002" t="s">
        <v>9775</v>
      </c>
      <c r="D1002" t="s">
        <v>9582</v>
      </c>
      <c r="E1002" t="s">
        <v>9583</v>
      </c>
      <c r="F1002" t="s">
        <v>9776</v>
      </c>
      <c r="G1002" t="s">
        <v>15827</v>
      </c>
      <c r="H1002" t="s">
        <v>15828</v>
      </c>
      <c r="I1002" t="s">
        <v>16812</v>
      </c>
      <c r="J1002" t="s">
        <v>23</v>
      </c>
      <c r="L1002" t="s">
        <v>8193</v>
      </c>
      <c r="M1002" t="s">
        <v>9777</v>
      </c>
      <c r="N1002" t="s">
        <v>9778</v>
      </c>
      <c r="O1002" t="s">
        <v>9779</v>
      </c>
      <c r="P1002" t="s">
        <v>9780</v>
      </c>
      <c r="Q1002" t="s">
        <v>9586</v>
      </c>
      <c r="R1002" t="s">
        <v>9587</v>
      </c>
      <c r="S1002" t="s">
        <v>9588</v>
      </c>
      <c r="T1002" t="s">
        <v>8201</v>
      </c>
      <c r="U1002" s="5">
        <v>2584.96</v>
      </c>
      <c r="V1002" s="5">
        <v>2327.48</v>
      </c>
      <c r="W1002" s="5">
        <v>13.246874999999999</v>
      </c>
      <c r="X1002" s="5">
        <v>109.25350400000001</v>
      </c>
      <c r="Y1002" s="5">
        <v>257.48</v>
      </c>
      <c r="Z1002" s="5">
        <v>13.240807</v>
      </c>
      <c r="AA1002" s="5">
        <v>109.255388</v>
      </c>
      <c r="AB1002" s="7">
        <f t="shared" si="91"/>
        <v>3.4912200000000002</v>
      </c>
      <c r="AC1002" s="7">
        <f t="shared" si="92"/>
        <v>0.38622000000000001</v>
      </c>
      <c r="AD1002" s="6" t="str">
        <f t="shared" si="93"/>
        <v>Sông Cầu</v>
      </c>
      <c r="AE1002" s="6" t="str">
        <f t="shared" si="94"/>
        <v>TT2 Tuy Hòa</v>
      </c>
      <c r="AG1002">
        <f t="shared" si="95"/>
        <v>2.32748</v>
      </c>
      <c r="AH1002">
        <f t="shared" si="96"/>
        <v>0.25748000000000004</v>
      </c>
    </row>
    <row r="1003" spans="1:34" x14ac:dyDescent="0.25">
      <c r="A1003" t="s">
        <v>9781</v>
      </c>
      <c r="B1003" t="s">
        <v>9782</v>
      </c>
      <c r="C1003" t="s">
        <v>9783</v>
      </c>
      <c r="D1003" t="s">
        <v>8203</v>
      </c>
      <c r="E1003" t="s">
        <v>8204</v>
      </c>
      <c r="F1003" t="s">
        <v>9784</v>
      </c>
      <c r="G1003" t="s">
        <v>15827</v>
      </c>
      <c r="H1003" t="s">
        <v>15828</v>
      </c>
      <c r="I1003" t="s">
        <v>16813</v>
      </c>
      <c r="J1003" t="s">
        <v>23</v>
      </c>
      <c r="L1003" t="s">
        <v>9674</v>
      </c>
      <c r="M1003" t="s">
        <v>9785</v>
      </c>
      <c r="N1003" t="s">
        <v>9786</v>
      </c>
      <c r="O1003" t="s">
        <v>9787</v>
      </c>
      <c r="P1003" t="s">
        <v>9788</v>
      </c>
      <c r="Q1003" t="s">
        <v>9676</v>
      </c>
      <c r="R1003" t="s">
        <v>9677</v>
      </c>
      <c r="S1003" t="s">
        <v>9678</v>
      </c>
      <c r="T1003" t="s">
        <v>9682</v>
      </c>
      <c r="U1003" s="5">
        <v>692.49</v>
      </c>
      <c r="V1003" s="5">
        <v>415.89</v>
      </c>
      <c r="W1003" s="5">
        <v>13.364877999999999</v>
      </c>
      <c r="X1003" s="5">
        <v>109.098874</v>
      </c>
      <c r="Y1003" s="5">
        <v>276.61</v>
      </c>
      <c r="Z1003" s="5">
        <v>13.378349</v>
      </c>
      <c r="AA1003" s="5">
        <v>109.110418</v>
      </c>
      <c r="AB1003" s="7">
        <f t="shared" si="91"/>
        <v>0.62383500000000003</v>
      </c>
      <c r="AC1003" s="7">
        <f t="shared" si="92"/>
        <v>0.41491500000000003</v>
      </c>
      <c r="AD1003" s="6" t="str">
        <f t="shared" si="93"/>
        <v>Trại giam Xuân Phước (C10)</v>
      </c>
      <c r="AE1003" s="6" t="str">
        <f t="shared" si="94"/>
        <v>TTCMKV Đồng Xuân</v>
      </c>
      <c r="AG1003">
        <f t="shared" si="95"/>
        <v>0.41588999999999998</v>
      </c>
      <c r="AH1003">
        <f t="shared" si="96"/>
        <v>0.27661000000000002</v>
      </c>
    </row>
    <row r="1004" spans="1:34" x14ac:dyDescent="0.25">
      <c r="A1004" t="s">
        <v>9789</v>
      </c>
      <c r="B1004" t="s">
        <v>9790</v>
      </c>
      <c r="C1004" t="s">
        <v>9791</v>
      </c>
      <c r="D1004" t="s">
        <v>9341</v>
      </c>
      <c r="E1004" t="s">
        <v>9342</v>
      </c>
      <c r="F1004" t="s">
        <v>9792</v>
      </c>
      <c r="G1004" t="s">
        <v>15827</v>
      </c>
      <c r="H1004" t="s">
        <v>15828</v>
      </c>
      <c r="I1004" t="s">
        <v>16814</v>
      </c>
      <c r="J1004" t="s">
        <v>23</v>
      </c>
      <c r="L1004" t="s">
        <v>9316</v>
      </c>
      <c r="M1004" t="s">
        <v>9793</v>
      </c>
      <c r="N1004" t="s">
        <v>9794</v>
      </c>
      <c r="O1004" t="s">
        <v>9795</v>
      </c>
      <c r="P1004" t="s">
        <v>9796</v>
      </c>
      <c r="Q1004" t="s">
        <v>9797</v>
      </c>
      <c r="R1004" t="s">
        <v>9798</v>
      </c>
      <c r="S1004" t="s">
        <v>9799</v>
      </c>
      <c r="T1004" t="s">
        <v>9324</v>
      </c>
      <c r="U1004" s="5">
        <v>151.4</v>
      </c>
      <c r="V1004" s="5">
        <v>130.26</v>
      </c>
      <c r="W1004" s="5">
        <v>12.964807</v>
      </c>
      <c r="X1004" s="5">
        <v>109.181684</v>
      </c>
      <c r="Y1004" s="5">
        <v>21.14</v>
      </c>
      <c r="Z1004" s="5">
        <v>12.964556999999999</v>
      </c>
      <c r="AA1004" s="5">
        <v>109.183734</v>
      </c>
      <c r="AB1004" s="7">
        <f t="shared" si="91"/>
        <v>0.19538999999999998</v>
      </c>
      <c r="AC1004" s="7">
        <f t="shared" si="92"/>
        <v>3.1710000000000002E-2</v>
      </c>
      <c r="AD1004" s="6" t="str">
        <f t="shared" si="93"/>
        <v>Sơn Thành</v>
      </c>
      <c r="AE1004" s="6" t="str">
        <f t="shared" si="94"/>
        <v>Hòa Mỹ</v>
      </c>
      <c r="AG1004">
        <f t="shared" si="95"/>
        <v>0.13025999999999999</v>
      </c>
      <c r="AH1004">
        <f t="shared" si="96"/>
        <v>2.1139999999999999E-2</v>
      </c>
    </row>
    <row r="1005" spans="1:34" x14ac:dyDescent="0.25">
      <c r="A1005" t="s">
        <v>9800</v>
      </c>
      <c r="B1005" t="s">
        <v>9801</v>
      </c>
      <c r="C1005" t="s">
        <v>9802</v>
      </c>
      <c r="D1005" t="s">
        <v>9341</v>
      </c>
      <c r="E1005" t="s">
        <v>9342</v>
      </c>
      <c r="F1005" t="s">
        <v>9803</v>
      </c>
      <c r="G1005" t="s">
        <v>15827</v>
      </c>
      <c r="H1005" t="s">
        <v>15828</v>
      </c>
      <c r="I1005" t="s">
        <v>16815</v>
      </c>
      <c r="J1005" t="s">
        <v>23</v>
      </c>
      <c r="L1005" t="s">
        <v>9344</v>
      </c>
      <c r="M1005" t="s">
        <v>9804</v>
      </c>
      <c r="N1005" t="s">
        <v>9805</v>
      </c>
      <c r="O1005" t="s">
        <v>9806</v>
      </c>
      <c r="P1005" t="s">
        <v>9807</v>
      </c>
      <c r="Q1005" t="s">
        <v>9349</v>
      </c>
      <c r="R1005" t="s">
        <v>9350</v>
      </c>
      <c r="S1005" t="s">
        <v>9351</v>
      </c>
      <c r="T1005" t="s">
        <v>9352</v>
      </c>
      <c r="U1005" s="5">
        <v>677.37</v>
      </c>
      <c r="V1005" s="5">
        <v>665.51</v>
      </c>
      <c r="W1005" s="5">
        <v>12.943085</v>
      </c>
      <c r="X1005" s="5">
        <v>109.207543</v>
      </c>
      <c r="Y1005" s="5">
        <v>11.86</v>
      </c>
      <c r="Z1005" s="5">
        <v>12.964506</v>
      </c>
      <c r="AA1005" s="5">
        <v>109.18393500000001</v>
      </c>
      <c r="AB1005" s="7">
        <f t="shared" si="91"/>
        <v>0.99826499999999996</v>
      </c>
      <c r="AC1005" s="7">
        <f t="shared" si="92"/>
        <v>1.779E-2</v>
      </c>
      <c r="AD1005" s="6" t="str">
        <f t="shared" si="93"/>
        <v>Hòa Mỹ</v>
      </c>
      <c r="AE1005" s="6" t="str">
        <f t="shared" si="94"/>
        <v>Hòa Thịnh</v>
      </c>
      <c r="AG1005">
        <f t="shared" si="95"/>
        <v>0.66551000000000005</v>
      </c>
      <c r="AH1005">
        <f t="shared" si="96"/>
        <v>1.1859999999999999E-2</v>
      </c>
    </row>
    <row r="1006" spans="1:34" x14ac:dyDescent="0.25">
      <c r="A1006" t="s">
        <v>9808</v>
      </c>
      <c r="B1006" t="s">
        <v>9328</v>
      </c>
      <c r="C1006" t="s">
        <v>9329</v>
      </c>
      <c r="D1006" t="s">
        <v>9809</v>
      </c>
      <c r="E1006" t="s">
        <v>9810</v>
      </c>
      <c r="F1006" t="s">
        <v>9811</v>
      </c>
      <c r="G1006" t="s">
        <v>15827</v>
      </c>
      <c r="H1006" t="s">
        <v>15828</v>
      </c>
      <c r="I1006" t="s">
        <v>16816</v>
      </c>
      <c r="J1006" t="s">
        <v>23</v>
      </c>
      <c r="L1006" t="s">
        <v>9331</v>
      </c>
      <c r="M1006" t="s">
        <v>9812</v>
      </c>
      <c r="N1006" t="s">
        <v>9813</v>
      </c>
      <c r="O1006" t="s">
        <v>9814</v>
      </c>
      <c r="P1006" t="s">
        <v>9815</v>
      </c>
      <c r="Q1006" t="s">
        <v>9816</v>
      </c>
      <c r="R1006" t="s">
        <v>9817</v>
      </c>
      <c r="S1006" t="s">
        <v>9818</v>
      </c>
      <c r="T1006" t="s">
        <v>9339</v>
      </c>
      <c r="U1006" s="5">
        <v>2798.35</v>
      </c>
      <c r="V1006" s="5">
        <v>3.63</v>
      </c>
      <c r="W1006" s="5">
        <v>12.932778000000001</v>
      </c>
      <c r="X1006" s="5">
        <v>109.23916800000001</v>
      </c>
      <c r="Y1006" s="5">
        <v>2794.71</v>
      </c>
      <c r="Z1006" s="5">
        <v>12.939657</v>
      </c>
      <c r="AA1006" s="5">
        <v>109.238243</v>
      </c>
      <c r="AB1006" s="7">
        <f t="shared" si="91"/>
        <v>5.4450000000000002E-3</v>
      </c>
      <c r="AC1006" s="7">
        <f t="shared" si="92"/>
        <v>4.1920650000000004</v>
      </c>
      <c r="AD1006" s="6" t="str">
        <f t="shared" si="93"/>
        <v>Hòa Thịnh</v>
      </c>
      <c r="AE1006" s="6" t="str">
        <f t="shared" si="94"/>
        <v>TTCMKV Tây Hòa</v>
      </c>
      <c r="AG1006">
        <f t="shared" si="95"/>
        <v>3.63E-3</v>
      </c>
      <c r="AH1006">
        <f t="shared" si="96"/>
        <v>2.7947100000000002</v>
      </c>
    </row>
    <row r="1007" spans="1:34" x14ac:dyDescent="0.25">
      <c r="A1007" t="s">
        <v>9819</v>
      </c>
      <c r="B1007" t="s">
        <v>9820</v>
      </c>
      <c r="C1007" t="s">
        <v>9821</v>
      </c>
      <c r="D1007" t="s">
        <v>9385</v>
      </c>
      <c r="E1007" t="s">
        <v>9386</v>
      </c>
      <c r="F1007" t="s">
        <v>9822</v>
      </c>
      <c r="G1007" t="s">
        <v>15827</v>
      </c>
      <c r="H1007" t="s">
        <v>15828</v>
      </c>
      <c r="I1007" t="s">
        <v>16817</v>
      </c>
      <c r="J1007" t="s">
        <v>23</v>
      </c>
      <c r="L1007" t="s">
        <v>9399</v>
      </c>
      <c r="M1007" t="s">
        <v>9823</v>
      </c>
      <c r="N1007" t="s">
        <v>9824</v>
      </c>
      <c r="O1007" t="s">
        <v>9825</v>
      </c>
      <c r="P1007" t="s">
        <v>9826</v>
      </c>
      <c r="Q1007" t="s">
        <v>9401</v>
      </c>
      <c r="R1007" t="s">
        <v>9402</v>
      </c>
      <c r="S1007" t="s">
        <v>9403</v>
      </c>
      <c r="T1007" t="s">
        <v>9407</v>
      </c>
      <c r="U1007" s="5">
        <v>54.42</v>
      </c>
      <c r="V1007" s="5">
        <v>27.87</v>
      </c>
      <c r="W1007" s="5">
        <v>13.049759</v>
      </c>
      <c r="X1007" s="5">
        <v>108.97462400000001</v>
      </c>
      <c r="Y1007" s="5">
        <v>26.55</v>
      </c>
      <c r="Z1007" s="5">
        <v>13.049868999999999</v>
      </c>
      <c r="AA1007" s="5">
        <v>108.97868800000001</v>
      </c>
      <c r="AB1007" s="7">
        <f t="shared" si="91"/>
        <v>4.1805000000000002E-2</v>
      </c>
      <c r="AC1007" s="7">
        <f t="shared" si="92"/>
        <v>3.9825000000000006E-2</v>
      </c>
      <c r="AD1007" s="6" t="str">
        <f t="shared" si="93"/>
        <v>Sơn Hòa</v>
      </c>
      <c r="AE1007" s="6" t="str">
        <f t="shared" si="94"/>
        <v>CAX Sơn Định (Sơn Hòa)</v>
      </c>
      <c r="AG1007">
        <f t="shared" si="95"/>
        <v>2.7870000000000002E-2</v>
      </c>
      <c r="AH1007">
        <f t="shared" si="96"/>
        <v>2.6550000000000001E-2</v>
      </c>
    </row>
    <row r="1008" spans="1:34" x14ac:dyDescent="0.25">
      <c r="A1008" t="s">
        <v>9827</v>
      </c>
      <c r="B1008" t="s">
        <v>9828</v>
      </c>
      <c r="C1008" t="s">
        <v>9829</v>
      </c>
      <c r="D1008" t="s">
        <v>9447</v>
      </c>
      <c r="E1008" t="s">
        <v>9448</v>
      </c>
      <c r="F1008" t="s">
        <v>9830</v>
      </c>
      <c r="G1008" t="s">
        <v>15827</v>
      </c>
      <c r="H1008" t="s">
        <v>15828</v>
      </c>
      <c r="I1008" t="s">
        <v>16818</v>
      </c>
      <c r="J1008" t="s">
        <v>23</v>
      </c>
      <c r="L1008" t="s">
        <v>9420</v>
      </c>
      <c r="M1008" t="s">
        <v>9831</v>
      </c>
      <c r="N1008" t="s">
        <v>9832</v>
      </c>
      <c r="O1008" t="s">
        <v>9833</v>
      </c>
      <c r="P1008" t="s">
        <v>9834</v>
      </c>
      <c r="Q1008" t="s">
        <v>9835</v>
      </c>
      <c r="R1008" t="s">
        <v>9836</v>
      </c>
      <c r="S1008" t="s">
        <v>9837</v>
      </c>
      <c r="T1008" t="s">
        <v>9428</v>
      </c>
      <c r="U1008" s="5">
        <v>796.65</v>
      </c>
      <c r="V1008" s="5">
        <v>785.41</v>
      </c>
      <c r="W1008" s="5">
        <v>13.078198</v>
      </c>
      <c r="X1008" s="5">
        <v>109.219561</v>
      </c>
      <c r="Y1008" s="5">
        <v>11.24</v>
      </c>
      <c r="Z1008" s="5">
        <v>13.081939</v>
      </c>
      <c r="AA1008" s="5">
        <v>109.216229</v>
      </c>
      <c r="AB1008" s="7">
        <f t="shared" si="91"/>
        <v>1.178115</v>
      </c>
      <c r="AC1008" s="7">
        <f t="shared" si="92"/>
        <v>1.686E-2</v>
      </c>
      <c r="AD1008" s="6" t="str">
        <f t="shared" si="93"/>
        <v>TTCMKV Phú Hòa</v>
      </c>
      <c r="AE1008" s="6" t="str">
        <f t="shared" si="94"/>
        <v>Phú Hòa 2</v>
      </c>
      <c r="AG1008">
        <f t="shared" si="95"/>
        <v>0.78540999999999994</v>
      </c>
      <c r="AH1008">
        <f t="shared" si="96"/>
        <v>1.124E-2</v>
      </c>
    </row>
    <row r="1009" spans="1:34" x14ac:dyDescent="0.25">
      <c r="A1009" t="s">
        <v>9560</v>
      </c>
      <c r="B1009" t="s">
        <v>9561</v>
      </c>
      <c r="C1009" t="s">
        <v>9562</v>
      </c>
      <c r="D1009" t="s">
        <v>9563</v>
      </c>
      <c r="E1009" t="s">
        <v>9564</v>
      </c>
      <c r="F1009" t="s">
        <v>9565</v>
      </c>
      <c r="G1009" t="s">
        <v>15827</v>
      </c>
      <c r="H1009" t="s">
        <v>15828</v>
      </c>
      <c r="I1009" t="s">
        <v>16791</v>
      </c>
      <c r="J1009" t="s">
        <v>23</v>
      </c>
      <c r="L1009" t="s">
        <v>9566</v>
      </c>
      <c r="M1009" t="s">
        <v>9567</v>
      </c>
      <c r="N1009" t="s">
        <v>9568</v>
      </c>
      <c r="O1009" t="s">
        <v>9569</v>
      </c>
      <c r="P1009" t="s">
        <v>9570</v>
      </c>
      <c r="Q1009" t="s">
        <v>9571</v>
      </c>
      <c r="R1009" t="s">
        <v>9572</v>
      </c>
      <c r="S1009" t="s">
        <v>9573</v>
      </c>
      <c r="T1009" t="s">
        <v>9574</v>
      </c>
      <c r="U1009" s="5">
        <v>1135.25</v>
      </c>
      <c r="V1009" s="5">
        <v>1102.79</v>
      </c>
      <c r="W1009" s="5">
        <v>13.342204000000001</v>
      </c>
      <c r="X1009" s="5">
        <v>109.247726</v>
      </c>
      <c r="Y1009" s="5">
        <v>32.46</v>
      </c>
      <c r="Z1009" s="5">
        <v>13.340761000000001</v>
      </c>
      <c r="AA1009" s="5">
        <v>109.254114</v>
      </c>
      <c r="AB1009" s="7">
        <f t="shared" si="91"/>
        <v>1.654185</v>
      </c>
      <c r="AC1009" s="7">
        <f t="shared" si="92"/>
        <v>4.8689999999999997E-2</v>
      </c>
      <c r="AD1009" s="6" t="str">
        <f t="shared" si="93"/>
        <v>Tuy An Đông</v>
      </c>
      <c r="AE1009" s="6" t="str">
        <f t="shared" si="94"/>
        <v>TTCMKV TX Sông Cầu</v>
      </c>
      <c r="AG1009">
        <f t="shared" si="95"/>
        <v>1.1027899999999999</v>
      </c>
      <c r="AH1009">
        <f t="shared" si="96"/>
        <v>3.2460000000000003E-2</v>
      </c>
    </row>
    <row r="1010" spans="1:34" x14ac:dyDescent="0.25">
      <c r="A1010" t="s">
        <v>9838</v>
      </c>
      <c r="B1010" t="s">
        <v>9839</v>
      </c>
      <c r="C1010" t="s">
        <v>9840</v>
      </c>
      <c r="D1010" t="s">
        <v>9563</v>
      </c>
      <c r="E1010" t="s">
        <v>9564</v>
      </c>
      <c r="F1010" t="s">
        <v>9841</v>
      </c>
      <c r="G1010" t="s">
        <v>15827</v>
      </c>
      <c r="H1010" t="s">
        <v>15828</v>
      </c>
      <c r="I1010" t="s">
        <v>16819</v>
      </c>
      <c r="J1010" t="s">
        <v>23</v>
      </c>
      <c r="L1010" t="s">
        <v>9566</v>
      </c>
      <c r="M1010" t="s">
        <v>9842</v>
      </c>
      <c r="N1010" t="s">
        <v>9843</v>
      </c>
      <c r="O1010" t="s">
        <v>9844</v>
      </c>
      <c r="P1010" t="s">
        <v>9845</v>
      </c>
      <c r="Q1010" t="s">
        <v>9571</v>
      </c>
      <c r="R1010" t="s">
        <v>9572</v>
      </c>
      <c r="S1010" t="s">
        <v>9573</v>
      </c>
      <c r="T1010" t="s">
        <v>9574</v>
      </c>
      <c r="U1010" s="5">
        <v>80.45</v>
      </c>
      <c r="V1010" s="5">
        <v>47.99</v>
      </c>
      <c r="W1010" s="5">
        <v>13.333803</v>
      </c>
      <c r="X1010" s="5">
        <v>109.22730300000001</v>
      </c>
      <c r="Y1010" s="5">
        <v>32.46</v>
      </c>
      <c r="Z1010" s="5">
        <v>13.340761000000001</v>
      </c>
      <c r="AA1010" s="5">
        <v>109.254114</v>
      </c>
      <c r="AB1010" s="7">
        <f t="shared" si="91"/>
        <v>7.1984999999999993E-2</v>
      </c>
      <c r="AC1010" s="7">
        <f t="shared" si="92"/>
        <v>4.8689999999999997E-2</v>
      </c>
      <c r="AD1010" s="6" t="str">
        <f t="shared" si="93"/>
        <v>Tuy An Đông</v>
      </c>
      <c r="AE1010" s="6" t="str">
        <f t="shared" si="94"/>
        <v>TTCMKV TX Sông Cầu</v>
      </c>
      <c r="AG1010">
        <f t="shared" si="95"/>
        <v>4.7990000000000005E-2</v>
      </c>
      <c r="AH1010">
        <f t="shared" si="96"/>
        <v>3.2460000000000003E-2</v>
      </c>
    </row>
    <row r="1011" spans="1:34" x14ac:dyDescent="0.25">
      <c r="A1011" t="s">
        <v>9846</v>
      </c>
      <c r="B1011" t="s">
        <v>9847</v>
      </c>
      <c r="C1011" t="s">
        <v>9848</v>
      </c>
      <c r="D1011" t="s">
        <v>9582</v>
      </c>
      <c r="E1011" t="s">
        <v>9583</v>
      </c>
      <c r="F1011" t="s">
        <v>9849</v>
      </c>
      <c r="G1011" t="s">
        <v>15827</v>
      </c>
      <c r="H1011" t="s">
        <v>15828</v>
      </c>
      <c r="I1011" t="s">
        <v>16820</v>
      </c>
      <c r="J1011" t="s">
        <v>23</v>
      </c>
      <c r="L1011" t="s">
        <v>9756</v>
      </c>
      <c r="M1011" t="s">
        <v>9850</v>
      </c>
      <c r="N1011" t="s">
        <v>9851</v>
      </c>
      <c r="O1011" t="s">
        <v>9852</v>
      </c>
      <c r="P1011" t="s">
        <v>9853</v>
      </c>
      <c r="Q1011" t="s">
        <v>9854</v>
      </c>
      <c r="R1011" t="s">
        <v>9855</v>
      </c>
      <c r="S1011" t="s">
        <v>9856</v>
      </c>
      <c r="T1011" t="s">
        <v>9857</v>
      </c>
      <c r="U1011" s="5">
        <v>365.18</v>
      </c>
      <c r="V1011" s="5">
        <v>363.62</v>
      </c>
      <c r="W1011" s="5">
        <v>13.226704</v>
      </c>
      <c r="X1011" s="5">
        <v>109.263869</v>
      </c>
      <c r="Y1011" s="5">
        <v>1.57</v>
      </c>
      <c r="Z1011" s="5">
        <v>13.240076999999999</v>
      </c>
      <c r="AA1011" s="5">
        <v>109.25763000000001</v>
      </c>
      <c r="AB1011" s="7">
        <f t="shared" si="91"/>
        <v>0.54543000000000008</v>
      </c>
      <c r="AC1011" s="7">
        <f t="shared" si="92"/>
        <v>2.3549999999999999E-3</v>
      </c>
      <c r="AD1011" s="6" t="str">
        <f t="shared" si="93"/>
        <v>Ô Loan</v>
      </c>
      <c r="AE1011" s="6" t="str">
        <f t="shared" si="94"/>
        <v>Tuy An Đông</v>
      </c>
      <c r="AG1011">
        <f t="shared" si="95"/>
        <v>0.36362</v>
      </c>
      <c r="AH1011">
        <f t="shared" si="96"/>
        <v>1.57E-3</v>
      </c>
    </row>
    <row r="1012" spans="1:34" x14ac:dyDescent="0.25">
      <c r="A1012" t="s">
        <v>9858</v>
      </c>
      <c r="B1012" t="s">
        <v>9859</v>
      </c>
      <c r="C1012" t="s">
        <v>9860</v>
      </c>
      <c r="D1012" t="s">
        <v>9536</v>
      </c>
      <c r="E1012" t="s">
        <v>9537</v>
      </c>
      <c r="F1012" t="s">
        <v>9861</v>
      </c>
      <c r="G1012" t="s">
        <v>15827</v>
      </c>
      <c r="H1012" t="s">
        <v>15828</v>
      </c>
      <c r="I1012" t="s">
        <v>16821</v>
      </c>
      <c r="J1012" t="s">
        <v>23</v>
      </c>
      <c r="L1012" t="s">
        <v>9539</v>
      </c>
      <c r="M1012" t="s">
        <v>9862</v>
      </c>
      <c r="N1012" t="s">
        <v>9863</v>
      </c>
      <c r="O1012" t="s">
        <v>9864</v>
      </c>
      <c r="P1012" t="s">
        <v>9865</v>
      </c>
      <c r="Q1012" t="s">
        <v>9544</v>
      </c>
      <c r="R1012" t="s">
        <v>9536</v>
      </c>
      <c r="S1012" t="s">
        <v>9545</v>
      </c>
      <c r="T1012" t="s">
        <v>9546</v>
      </c>
      <c r="U1012" s="5">
        <v>78.67</v>
      </c>
      <c r="V1012" s="5">
        <v>78.33</v>
      </c>
      <c r="W1012" s="5">
        <v>13.174818999999999</v>
      </c>
      <c r="X1012" s="5">
        <v>109.29135599999999</v>
      </c>
      <c r="Y1012" s="5">
        <v>0.34</v>
      </c>
      <c r="Z1012" s="5">
        <v>13.181704</v>
      </c>
      <c r="AA1012" s="5">
        <v>109.287283</v>
      </c>
      <c r="AB1012" s="7">
        <f t="shared" si="91"/>
        <v>0.117495</v>
      </c>
      <c r="AC1012" s="7">
        <f t="shared" si="92"/>
        <v>5.1000000000000004E-4</v>
      </c>
      <c r="AD1012" s="6" t="str">
        <f t="shared" si="93"/>
        <v>CAT Phú Yên</v>
      </c>
      <c r="AE1012" s="6" t="str">
        <f t="shared" si="94"/>
        <v>Tuy An Nam</v>
      </c>
      <c r="AG1012">
        <f t="shared" si="95"/>
        <v>7.8329999999999997E-2</v>
      </c>
      <c r="AH1012">
        <f t="shared" si="96"/>
        <v>3.4000000000000002E-4</v>
      </c>
    </row>
    <row r="1013" spans="1:34" x14ac:dyDescent="0.25">
      <c r="A1013" t="s">
        <v>9866</v>
      </c>
      <c r="B1013" t="s">
        <v>9867</v>
      </c>
      <c r="C1013" t="s">
        <v>9868</v>
      </c>
      <c r="D1013" t="s">
        <v>9686</v>
      </c>
      <c r="E1013" t="s">
        <v>9687</v>
      </c>
      <c r="F1013" t="s">
        <v>9869</v>
      </c>
      <c r="G1013" t="s">
        <v>15827</v>
      </c>
      <c r="H1013" t="s">
        <v>15828</v>
      </c>
      <c r="I1013" t="s">
        <v>16822</v>
      </c>
      <c r="J1013" t="s">
        <v>23</v>
      </c>
      <c r="L1013" t="s">
        <v>9870</v>
      </c>
      <c r="M1013" t="s">
        <v>9871</v>
      </c>
      <c r="N1013" t="s">
        <v>9872</v>
      </c>
      <c r="O1013" t="s">
        <v>9873</v>
      </c>
      <c r="P1013" t="s">
        <v>9874</v>
      </c>
      <c r="Q1013" t="s">
        <v>9875</v>
      </c>
      <c r="R1013" t="s">
        <v>9876</v>
      </c>
      <c r="S1013" t="s">
        <v>9877</v>
      </c>
      <c r="T1013" t="s">
        <v>9878</v>
      </c>
      <c r="U1013" s="5">
        <v>172.66</v>
      </c>
      <c r="V1013" s="5">
        <v>118.95</v>
      </c>
      <c r="W1013" s="5">
        <v>13.311693</v>
      </c>
      <c r="X1013" s="5">
        <v>109.046639</v>
      </c>
      <c r="Y1013" s="5">
        <v>53.71</v>
      </c>
      <c r="Z1013" s="5">
        <v>13.298667</v>
      </c>
      <c r="AA1013" s="5">
        <v>109.065563</v>
      </c>
      <c r="AB1013" s="7">
        <f t="shared" si="91"/>
        <v>0.178425</v>
      </c>
      <c r="AC1013" s="7">
        <f t="shared" si="92"/>
        <v>8.0564999999999998E-2</v>
      </c>
      <c r="AD1013" s="6" t="str">
        <f t="shared" si="93"/>
        <v>Phú Mỡ</v>
      </c>
      <c r="AE1013" s="6" t="str">
        <f t="shared" si="94"/>
        <v>Xuân Phước</v>
      </c>
      <c r="AG1013">
        <f t="shared" si="95"/>
        <v>0.11895</v>
      </c>
      <c r="AH1013">
        <f t="shared" si="96"/>
        <v>5.3710000000000001E-2</v>
      </c>
    </row>
    <row r="1014" spans="1:34" x14ac:dyDescent="0.25">
      <c r="A1014" t="s">
        <v>9879</v>
      </c>
      <c r="B1014" t="s">
        <v>9880</v>
      </c>
      <c r="C1014" t="s">
        <v>9881</v>
      </c>
      <c r="D1014" t="s">
        <v>9686</v>
      </c>
      <c r="E1014" t="s">
        <v>9687</v>
      </c>
      <c r="F1014" t="s">
        <v>9882</v>
      </c>
      <c r="G1014" t="s">
        <v>15827</v>
      </c>
      <c r="H1014" t="s">
        <v>15828</v>
      </c>
      <c r="I1014" t="s">
        <v>16823</v>
      </c>
      <c r="J1014" t="s">
        <v>23</v>
      </c>
      <c r="L1014" t="s">
        <v>8230</v>
      </c>
      <c r="M1014" t="s">
        <v>9883</v>
      </c>
      <c r="N1014" t="s">
        <v>9884</v>
      </c>
      <c r="O1014" t="s">
        <v>9885</v>
      </c>
      <c r="P1014" t="s">
        <v>9886</v>
      </c>
      <c r="Q1014" t="s">
        <v>9699</v>
      </c>
      <c r="R1014" t="s">
        <v>9700</v>
      </c>
      <c r="S1014" t="s">
        <v>9701</v>
      </c>
      <c r="T1014" t="s">
        <v>8238</v>
      </c>
      <c r="U1014" s="5">
        <v>727.92</v>
      </c>
      <c r="V1014" s="5">
        <v>602.78</v>
      </c>
      <c r="W1014" s="5">
        <v>13.27576</v>
      </c>
      <c r="X1014" s="5">
        <v>109.06242399999999</v>
      </c>
      <c r="Y1014" s="5">
        <v>125.14</v>
      </c>
      <c r="Z1014" s="5">
        <v>13.29852</v>
      </c>
      <c r="AA1014" s="5">
        <v>109.064847</v>
      </c>
      <c r="AB1014" s="7">
        <f t="shared" si="91"/>
        <v>0.90416999999999992</v>
      </c>
      <c r="AC1014" s="7">
        <f t="shared" si="92"/>
        <v>0.18771000000000002</v>
      </c>
      <c r="AD1014" s="6" t="str">
        <f t="shared" si="93"/>
        <v>Xuân Phước</v>
      </c>
      <c r="AE1014" s="6" t="str">
        <f t="shared" si="94"/>
        <v>Vân Hòa</v>
      </c>
      <c r="AG1014">
        <f t="shared" si="95"/>
        <v>0.60277999999999998</v>
      </c>
      <c r="AH1014">
        <f t="shared" si="96"/>
        <v>0.12514</v>
      </c>
    </row>
    <row r="1015" spans="1:34" x14ac:dyDescent="0.25">
      <c r="A1015" t="s">
        <v>9887</v>
      </c>
      <c r="B1015" t="s">
        <v>9888</v>
      </c>
      <c r="C1015" t="s">
        <v>9889</v>
      </c>
      <c r="D1015" t="s">
        <v>8300</v>
      </c>
      <c r="E1015" t="s">
        <v>8301</v>
      </c>
      <c r="F1015" t="s">
        <v>9890</v>
      </c>
      <c r="G1015" t="s">
        <v>15827</v>
      </c>
      <c r="H1015" t="s">
        <v>15828</v>
      </c>
      <c r="I1015" t="s">
        <v>16824</v>
      </c>
      <c r="J1015" t="s">
        <v>23</v>
      </c>
      <c r="L1015" t="s">
        <v>8303</v>
      </c>
      <c r="M1015" t="s">
        <v>9891</v>
      </c>
      <c r="N1015" t="s">
        <v>9892</v>
      </c>
      <c r="O1015" t="s">
        <v>9893</v>
      </c>
      <c r="P1015" t="s">
        <v>9894</v>
      </c>
      <c r="Q1015" t="s">
        <v>8308</v>
      </c>
      <c r="R1015" t="s">
        <v>8309</v>
      </c>
      <c r="S1015" t="s">
        <v>8310</v>
      </c>
      <c r="T1015" t="s">
        <v>8311</v>
      </c>
      <c r="U1015" s="5">
        <v>2927.54</v>
      </c>
      <c r="V1015" s="5">
        <v>2654.73</v>
      </c>
      <c r="W1015" s="5">
        <v>13.128857</v>
      </c>
      <c r="X1015" s="5">
        <v>108.32411</v>
      </c>
      <c r="Y1015" s="5">
        <v>272.81</v>
      </c>
      <c r="Z1015" s="5">
        <v>13.118876999999999</v>
      </c>
      <c r="AA1015" s="5">
        <v>108.329477</v>
      </c>
      <c r="AB1015" s="7">
        <f t="shared" si="91"/>
        <v>3.9820950000000002</v>
      </c>
      <c r="AC1015" s="7">
        <f t="shared" si="92"/>
        <v>0.40921500000000005</v>
      </c>
      <c r="AD1015" s="6" t="e">
        <f t="shared" si="93"/>
        <v>#VALUE!</v>
      </c>
      <c r="AE1015" s="6" t="e">
        <f t="shared" si="94"/>
        <v>#VALUE!</v>
      </c>
      <c r="AG1015">
        <f t="shared" si="95"/>
        <v>2.6547299999999998</v>
      </c>
      <c r="AH1015">
        <f t="shared" si="96"/>
        <v>0.27281</v>
      </c>
    </row>
    <row r="1016" spans="1:34" x14ac:dyDescent="0.25">
      <c r="A1016" t="s">
        <v>9895</v>
      </c>
      <c r="B1016" t="s">
        <v>9896</v>
      </c>
      <c r="C1016" t="s">
        <v>9897</v>
      </c>
      <c r="D1016" t="s">
        <v>9184</v>
      </c>
      <c r="E1016" t="s">
        <v>9185</v>
      </c>
      <c r="F1016" t="s">
        <v>9898</v>
      </c>
      <c r="G1016" t="s">
        <v>15827</v>
      </c>
      <c r="H1016" t="s">
        <v>15828</v>
      </c>
      <c r="I1016" t="s">
        <v>16825</v>
      </c>
      <c r="J1016" t="s">
        <v>23</v>
      </c>
      <c r="L1016" t="s">
        <v>8432</v>
      </c>
      <c r="M1016" t="s">
        <v>9899</v>
      </c>
      <c r="N1016" t="s">
        <v>9900</v>
      </c>
      <c r="O1016" t="s">
        <v>9901</v>
      </c>
      <c r="P1016" t="s">
        <v>9902</v>
      </c>
      <c r="Q1016" t="s">
        <v>9191</v>
      </c>
      <c r="R1016" t="s">
        <v>9192</v>
      </c>
      <c r="S1016" t="s">
        <v>9193</v>
      </c>
      <c r="T1016" t="s">
        <v>8440</v>
      </c>
      <c r="U1016" s="5">
        <v>193.16</v>
      </c>
      <c r="V1016" s="5">
        <v>91.78</v>
      </c>
      <c r="W1016" s="5">
        <v>12.750474000000001</v>
      </c>
      <c r="X1016" s="5">
        <v>108.16580399999999</v>
      </c>
      <c r="Y1016" s="5">
        <v>101.38</v>
      </c>
      <c r="Z1016" s="5">
        <v>12.753318999999999</v>
      </c>
      <c r="AA1016" s="5">
        <v>108.169235</v>
      </c>
      <c r="AB1016" s="7">
        <f t="shared" si="91"/>
        <v>0.13767000000000001</v>
      </c>
      <c r="AC1016" s="7">
        <f t="shared" si="92"/>
        <v>0.15206999999999998</v>
      </c>
      <c r="AD1016" s="6" t="str">
        <f t="shared" si="93"/>
        <v>TT1 Đăk Lăk</v>
      </c>
      <c r="AE1016" s="6" t="str">
        <f t="shared" si="94"/>
        <v>ILA Ea Kar</v>
      </c>
      <c r="AG1016">
        <f t="shared" si="95"/>
        <v>9.178E-2</v>
      </c>
      <c r="AH1016">
        <f t="shared" si="96"/>
        <v>0.10138</v>
      </c>
    </row>
    <row r="1017" spans="1:34" x14ac:dyDescent="0.25">
      <c r="A1017" t="s">
        <v>9903</v>
      </c>
      <c r="B1017" t="s">
        <v>9904</v>
      </c>
      <c r="C1017" t="s">
        <v>9905</v>
      </c>
      <c r="D1017" t="s">
        <v>8414</v>
      </c>
      <c r="E1017" t="s">
        <v>8415</v>
      </c>
      <c r="F1017" t="s">
        <v>9906</v>
      </c>
      <c r="G1017" t="s">
        <v>15827</v>
      </c>
      <c r="H1017" t="s">
        <v>15828</v>
      </c>
      <c r="I1017" t="s">
        <v>16826</v>
      </c>
      <c r="J1017" t="s">
        <v>23</v>
      </c>
      <c r="L1017" t="s">
        <v>9907</v>
      </c>
      <c r="M1017" t="s">
        <v>9908</v>
      </c>
      <c r="N1017" t="s">
        <v>9909</v>
      </c>
      <c r="O1017" t="s">
        <v>9910</v>
      </c>
      <c r="P1017" t="s">
        <v>9911</v>
      </c>
      <c r="Q1017" t="s">
        <v>9912</v>
      </c>
      <c r="R1017" t="s">
        <v>9913</v>
      </c>
      <c r="S1017" t="s">
        <v>9914</v>
      </c>
      <c r="T1017" t="s">
        <v>9915</v>
      </c>
      <c r="U1017" s="5">
        <v>64.790000000000006</v>
      </c>
      <c r="V1017" s="5">
        <v>53.24</v>
      </c>
      <c r="W1017" s="5">
        <v>12.916411</v>
      </c>
      <c r="X1017" s="5">
        <v>108.26605000000001</v>
      </c>
      <c r="Y1017" s="5">
        <v>11.55</v>
      </c>
      <c r="Z1017" s="5">
        <v>12.916282000000001</v>
      </c>
      <c r="AA1017" s="5">
        <v>108.266552</v>
      </c>
      <c r="AB1017" s="7">
        <f t="shared" si="91"/>
        <v>7.986E-2</v>
      </c>
      <c r="AC1017" s="7">
        <f t="shared" si="92"/>
        <v>1.7325000000000004E-2</v>
      </c>
      <c r="AD1017" s="6" t="str">
        <f t="shared" si="93"/>
        <v>Ea Drông</v>
      </c>
      <c r="AE1017" s="6" t="str">
        <f t="shared" si="94"/>
        <v>TTCMKV Thị xã Buôn
Hồ"</v>
      </c>
      <c r="AG1017">
        <f t="shared" si="95"/>
        <v>5.3240000000000003E-2</v>
      </c>
      <c r="AH1017">
        <f t="shared" si="96"/>
        <v>1.1550000000000001E-2</v>
      </c>
    </row>
    <row r="1018" spans="1:34" x14ac:dyDescent="0.25">
      <c r="A1018" t="s">
        <v>9916</v>
      </c>
      <c r="B1018" t="s">
        <v>9917</v>
      </c>
      <c r="C1018" t="s">
        <v>9918</v>
      </c>
      <c r="D1018" t="s">
        <v>8651</v>
      </c>
      <c r="E1018" t="s">
        <v>8652</v>
      </c>
      <c r="F1018" t="s">
        <v>9919</v>
      </c>
      <c r="G1018" t="s">
        <v>15827</v>
      </c>
      <c r="H1018" t="s">
        <v>15828</v>
      </c>
      <c r="I1018" t="s">
        <v>16827</v>
      </c>
      <c r="J1018" t="s">
        <v>23</v>
      </c>
      <c r="L1018" t="s">
        <v>9172</v>
      </c>
      <c r="M1018" t="s">
        <v>9920</v>
      </c>
      <c r="N1018" t="s">
        <v>9921</v>
      </c>
      <c r="O1018" t="s">
        <v>9922</v>
      </c>
      <c r="P1018" t="s">
        <v>9923</v>
      </c>
      <c r="Q1018" t="s">
        <v>9924</v>
      </c>
      <c r="R1018" t="s">
        <v>9925</v>
      </c>
      <c r="S1018" t="s">
        <v>9926</v>
      </c>
      <c r="T1018" t="s">
        <v>9927</v>
      </c>
      <c r="U1018" s="5">
        <v>433.61</v>
      </c>
      <c r="V1018" s="5">
        <v>360.14</v>
      </c>
      <c r="W1018" s="5">
        <v>12.703111</v>
      </c>
      <c r="X1018" s="5">
        <v>108.074478</v>
      </c>
      <c r="Y1018" s="5">
        <v>73.47</v>
      </c>
      <c r="Z1018" s="5">
        <v>12.712294999999999</v>
      </c>
      <c r="AA1018" s="5">
        <v>108.06672</v>
      </c>
      <c r="AB1018" s="7">
        <f t="shared" si="91"/>
        <v>0.54021000000000008</v>
      </c>
      <c r="AC1018" s="7">
        <f t="shared" si="92"/>
        <v>0.110205</v>
      </c>
      <c r="AD1018" s="6" t="str">
        <f t="shared" si="93"/>
        <v>Trại tạm giam Buôn Mê Thuột</v>
      </c>
      <c r="AE1018" s="6" t="str">
        <f t="shared" si="94"/>
        <v>TT1 Đăk Lăk</v>
      </c>
      <c r="AG1018">
        <f t="shared" si="95"/>
        <v>0.36013999999999996</v>
      </c>
      <c r="AH1018">
        <f t="shared" si="96"/>
        <v>7.3469999999999994E-2</v>
      </c>
    </row>
    <row r="1019" spans="1:34" x14ac:dyDescent="0.25">
      <c r="A1019" t="s">
        <v>9928</v>
      </c>
      <c r="B1019" t="s">
        <v>9929</v>
      </c>
      <c r="C1019" t="s">
        <v>9930</v>
      </c>
      <c r="D1019" t="s">
        <v>9931</v>
      </c>
      <c r="E1019" t="s">
        <v>9932</v>
      </c>
      <c r="F1019" t="s">
        <v>9933</v>
      </c>
      <c r="G1019" t="s">
        <v>15979</v>
      </c>
      <c r="H1019" t="s">
        <v>15980</v>
      </c>
      <c r="I1019" t="s">
        <v>16828</v>
      </c>
      <c r="J1019" t="s">
        <v>23</v>
      </c>
      <c r="L1019" t="s">
        <v>8193</v>
      </c>
      <c r="M1019" t="s">
        <v>9934</v>
      </c>
      <c r="N1019" t="s">
        <v>9935</v>
      </c>
      <c r="O1019" t="s">
        <v>9936</v>
      </c>
      <c r="P1019" t="s">
        <v>9937</v>
      </c>
      <c r="Q1019" t="s">
        <v>9938</v>
      </c>
      <c r="R1019" t="s">
        <v>9939</v>
      </c>
      <c r="S1019" t="s">
        <v>9940</v>
      </c>
      <c r="T1019" t="s">
        <v>8201</v>
      </c>
      <c r="U1019" s="5">
        <v>392.55</v>
      </c>
      <c r="V1019" s="5">
        <v>192.47</v>
      </c>
      <c r="W1019" s="5">
        <v>13.130394000000001</v>
      </c>
      <c r="X1019" s="5">
        <v>109.27485799999999</v>
      </c>
      <c r="Y1019" s="5">
        <v>200.08</v>
      </c>
      <c r="Z1019" s="5">
        <v>13.111753</v>
      </c>
      <c r="AA1019" s="5">
        <v>109.28274</v>
      </c>
      <c r="AB1019" s="7">
        <f t="shared" si="91"/>
        <v>0.28870499999999999</v>
      </c>
      <c r="AC1019" s="7">
        <f t="shared" si="92"/>
        <v>0.30012</v>
      </c>
      <c r="AD1019" s="6" t="str">
        <f t="shared" si="93"/>
        <v>Sông Cầu</v>
      </c>
      <c r="AE1019" s="6" t="str">
        <f t="shared" si="94"/>
        <v>TT2 Tuy Hòa</v>
      </c>
      <c r="AG1019">
        <f t="shared" si="95"/>
        <v>0.19247</v>
      </c>
      <c r="AH1019">
        <f t="shared" si="96"/>
        <v>0.20008000000000001</v>
      </c>
    </row>
    <row r="1020" spans="1:34" x14ac:dyDescent="0.25">
      <c r="A1020" t="s">
        <v>9941</v>
      </c>
      <c r="B1020" t="s">
        <v>9931</v>
      </c>
      <c r="C1020" t="s">
        <v>9932</v>
      </c>
      <c r="D1020" t="s">
        <v>9740</v>
      </c>
      <c r="E1020" t="s">
        <v>9741</v>
      </c>
      <c r="F1020" t="s">
        <v>9942</v>
      </c>
      <c r="G1020" t="s">
        <v>15979</v>
      </c>
      <c r="H1020" t="s">
        <v>15980</v>
      </c>
      <c r="I1020" t="s">
        <v>16829</v>
      </c>
      <c r="J1020" t="s">
        <v>23</v>
      </c>
      <c r="L1020" t="s">
        <v>8193</v>
      </c>
      <c r="M1020" t="s">
        <v>9943</v>
      </c>
      <c r="N1020" t="s">
        <v>9938</v>
      </c>
      <c r="O1020" t="s">
        <v>9939</v>
      </c>
      <c r="P1020" t="s">
        <v>9940</v>
      </c>
      <c r="Q1020" t="s">
        <v>9944</v>
      </c>
      <c r="R1020" t="s">
        <v>9945</v>
      </c>
      <c r="S1020" t="s">
        <v>9946</v>
      </c>
      <c r="T1020" t="s">
        <v>8201</v>
      </c>
      <c r="U1020" s="5">
        <v>347.65</v>
      </c>
      <c r="V1020" s="5">
        <v>200.08</v>
      </c>
      <c r="W1020" s="5">
        <v>13.111753</v>
      </c>
      <c r="X1020" s="5">
        <v>109.28274</v>
      </c>
      <c r="Y1020" s="5">
        <v>147.58000000000001</v>
      </c>
      <c r="Z1020" s="5">
        <v>13.094139</v>
      </c>
      <c r="AA1020" s="5">
        <v>109.29262799999999</v>
      </c>
      <c r="AB1020" s="7">
        <f t="shared" si="91"/>
        <v>0.30012</v>
      </c>
      <c r="AC1020" s="7">
        <f t="shared" si="92"/>
        <v>0.22137000000000001</v>
      </c>
      <c r="AD1020" s="6" t="str">
        <f t="shared" si="93"/>
        <v>Sông Cầu</v>
      </c>
      <c r="AE1020" s="6" t="str">
        <f t="shared" si="94"/>
        <v>TT2 Tuy Hòa</v>
      </c>
      <c r="AG1020">
        <f t="shared" si="95"/>
        <v>0.20008000000000001</v>
      </c>
      <c r="AH1020">
        <f t="shared" si="96"/>
        <v>0.14758000000000002</v>
      </c>
    </row>
    <row r="1021" spans="1:34" x14ac:dyDescent="0.25">
      <c r="A1021" t="s">
        <v>9947</v>
      </c>
      <c r="B1021" t="s">
        <v>9740</v>
      </c>
      <c r="C1021" t="s">
        <v>9741</v>
      </c>
      <c r="D1021" t="s">
        <v>9101</v>
      </c>
      <c r="E1021" t="s">
        <v>9102</v>
      </c>
      <c r="F1021" t="s">
        <v>9948</v>
      </c>
      <c r="G1021" t="s">
        <v>15979</v>
      </c>
      <c r="H1021" t="s">
        <v>15980</v>
      </c>
      <c r="I1021" t="s">
        <v>16830</v>
      </c>
      <c r="J1021" t="s">
        <v>23</v>
      </c>
      <c r="L1021" t="s">
        <v>9949</v>
      </c>
      <c r="M1021" t="s">
        <v>9950</v>
      </c>
      <c r="N1021" t="s">
        <v>9951</v>
      </c>
      <c r="O1021" t="s">
        <v>9952</v>
      </c>
      <c r="P1021" t="s">
        <v>9953</v>
      </c>
      <c r="Q1021" t="s">
        <v>9954</v>
      </c>
      <c r="R1021" t="s">
        <v>9955</v>
      </c>
      <c r="S1021" t="s">
        <v>9956</v>
      </c>
      <c r="T1021" t="s">
        <v>9957</v>
      </c>
      <c r="U1021" s="5">
        <v>18.809999999999999</v>
      </c>
      <c r="V1021" s="5">
        <v>6.02</v>
      </c>
      <c r="W1021" s="5">
        <v>13.094963</v>
      </c>
      <c r="X1021" s="5">
        <v>109.291572</v>
      </c>
      <c r="Y1021" s="5">
        <v>12.79</v>
      </c>
      <c r="Z1021" s="5">
        <v>13.093813000000001</v>
      </c>
      <c r="AA1021" s="5">
        <v>109.29109099999999</v>
      </c>
      <c r="AB1021" s="7">
        <f t="shared" si="91"/>
        <v>9.0299999999999998E-3</v>
      </c>
      <c r="AC1021" s="7">
        <f t="shared" si="92"/>
        <v>1.9184999999999997E-2</v>
      </c>
      <c r="AD1021" s="6" t="str">
        <f t="shared" si="93"/>
        <v>PC07</v>
      </c>
      <c r="AE1021" s="6" t="str">
        <f t="shared" si="94"/>
        <v>PC11</v>
      </c>
      <c r="AG1021">
        <f t="shared" si="95"/>
        <v>6.0199999999999993E-3</v>
      </c>
      <c r="AH1021">
        <f t="shared" si="96"/>
        <v>1.2789999999999999E-2</v>
      </c>
    </row>
    <row r="1022" spans="1:34" x14ac:dyDescent="0.25">
      <c r="A1022" t="s">
        <v>9958</v>
      </c>
      <c r="B1022" t="s">
        <v>9101</v>
      </c>
      <c r="C1022" t="s">
        <v>9102</v>
      </c>
      <c r="D1022" t="s">
        <v>9959</v>
      </c>
      <c r="E1022" t="s">
        <v>9960</v>
      </c>
      <c r="F1022" t="s">
        <v>9961</v>
      </c>
      <c r="G1022" t="s">
        <v>15979</v>
      </c>
      <c r="H1022" t="s">
        <v>15980</v>
      </c>
      <c r="I1022" t="s">
        <v>16831</v>
      </c>
      <c r="J1022" t="s">
        <v>23</v>
      </c>
      <c r="L1022" t="s">
        <v>9962</v>
      </c>
      <c r="M1022" t="s">
        <v>9963</v>
      </c>
      <c r="N1022" t="s">
        <v>9964</v>
      </c>
      <c r="O1022" t="s">
        <v>9965</v>
      </c>
      <c r="P1022" t="s">
        <v>9966</v>
      </c>
      <c r="Q1022" t="s">
        <v>1037</v>
      </c>
      <c r="R1022" t="s">
        <v>9967</v>
      </c>
      <c r="S1022" t="s">
        <v>9968</v>
      </c>
      <c r="T1022" t="s">
        <v>9969</v>
      </c>
      <c r="U1022" s="5">
        <v>165.06</v>
      </c>
      <c r="V1022" s="5">
        <v>161.49</v>
      </c>
      <c r="W1022" s="5">
        <v>13.094086000000001</v>
      </c>
      <c r="X1022" s="5">
        <v>109.292655</v>
      </c>
      <c r="Y1022" s="5">
        <v>3.57</v>
      </c>
      <c r="Z1022" s="5">
        <v>13.088816</v>
      </c>
      <c r="AA1022" s="5">
        <v>109.299329</v>
      </c>
      <c r="AB1022" s="7">
        <f t="shared" si="91"/>
        <v>0.24223500000000001</v>
      </c>
      <c r="AC1022" s="7">
        <f t="shared" si="92"/>
        <v>5.3549999999999995E-3</v>
      </c>
      <c r="AD1022" s="6" t="str">
        <f t="shared" si="93"/>
        <v>TT2 Đăk Lăk (Tuy Hòa)</v>
      </c>
      <c r="AE1022" s="6" t="str">
        <f t="shared" si="94"/>
        <v>PC06</v>
      </c>
      <c r="AG1022">
        <f t="shared" si="95"/>
        <v>0.16149000000000002</v>
      </c>
      <c r="AH1022">
        <f t="shared" si="96"/>
        <v>3.5699999999999998E-3</v>
      </c>
    </row>
    <row r="1023" spans="1:34" x14ac:dyDescent="0.25">
      <c r="A1023" t="s">
        <v>9970</v>
      </c>
      <c r="B1023" t="s">
        <v>9959</v>
      </c>
      <c r="C1023" t="s">
        <v>9960</v>
      </c>
      <c r="D1023" t="s">
        <v>9971</v>
      </c>
      <c r="E1023" t="s">
        <v>9972</v>
      </c>
      <c r="F1023" t="s">
        <v>9973</v>
      </c>
      <c r="G1023" t="s">
        <v>15979</v>
      </c>
      <c r="H1023" t="s">
        <v>15980</v>
      </c>
      <c r="I1023" t="s">
        <v>16832</v>
      </c>
      <c r="J1023" t="s">
        <v>23</v>
      </c>
      <c r="L1023" t="s">
        <v>9008</v>
      </c>
      <c r="M1023" t="s">
        <v>9974</v>
      </c>
      <c r="N1023" t="s">
        <v>9975</v>
      </c>
      <c r="O1023" t="s">
        <v>9976</v>
      </c>
      <c r="P1023" t="s">
        <v>9977</v>
      </c>
      <c r="Q1023" t="s">
        <v>9978</v>
      </c>
      <c r="R1023" t="s">
        <v>9979</v>
      </c>
      <c r="S1023" t="s">
        <v>9980</v>
      </c>
      <c r="T1023" t="s">
        <v>9016</v>
      </c>
      <c r="U1023" s="5">
        <v>196.33</v>
      </c>
      <c r="V1023" s="5">
        <v>43.3</v>
      </c>
      <c r="W1023" s="5">
        <v>13.089169</v>
      </c>
      <c r="X1023" s="5">
        <v>109.29942800000001</v>
      </c>
      <c r="Y1023" s="5">
        <v>153.02000000000001</v>
      </c>
      <c r="Z1023" s="5">
        <v>13.086256000000001</v>
      </c>
      <c r="AA1023" s="5">
        <v>109.30136299999999</v>
      </c>
      <c r="AB1023" s="7">
        <f t="shared" si="91"/>
        <v>6.4949999999999994E-2</v>
      </c>
      <c r="AC1023" s="7">
        <f t="shared" si="92"/>
        <v>0.22953000000000004</v>
      </c>
      <c r="AD1023" s="6" t="str">
        <f t="shared" si="93"/>
        <v>TT2 Đăk Lăk (Tuy Hòa)</v>
      </c>
      <c r="AE1023" s="6" t="str">
        <f t="shared" si="94"/>
        <v>Cơ quan điều tra
 Tuy Hòa</v>
      </c>
      <c r="AG1023">
        <f t="shared" si="95"/>
        <v>4.3299999999999998E-2</v>
      </c>
      <c r="AH1023">
        <f t="shared" si="96"/>
        <v>0.15302000000000002</v>
      </c>
    </row>
    <row r="1024" spans="1:34" x14ac:dyDescent="0.25">
      <c r="A1024" t="s">
        <v>9981</v>
      </c>
      <c r="B1024" t="s">
        <v>9982</v>
      </c>
      <c r="C1024" t="s">
        <v>9983</v>
      </c>
      <c r="D1024" t="s">
        <v>9984</v>
      </c>
      <c r="E1024" t="s">
        <v>9985</v>
      </c>
      <c r="F1024" t="s">
        <v>9986</v>
      </c>
      <c r="G1024" t="s">
        <v>15979</v>
      </c>
      <c r="H1024" t="s">
        <v>15980</v>
      </c>
      <c r="I1024" t="s">
        <v>16833</v>
      </c>
      <c r="J1024" t="s">
        <v>23</v>
      </c>
      <c r="L1024" t="s">
        <v>9987</v>
      </c>
      <c r="M1024" t="s">
        <v>9988</v>
      </c>
      <c r="N1024" t="s">
        <v>9989</v>
      </c>
      <c r="O1024" t="s">
        <v>9990</v>
      </c>
      <c r="P1024" t="s">
        <v>9991</v>
      </c>
      <c r="Q1024" t="s">
        <v>9992</v>
      </c>
      <c r="R1024" t="s">
        <v>9993</v>
      </c>
      <c r="S1024" t="s">
        <v>9994</v>
      </c>
      <c r="T1024" t="s">
        <v>9995</v>
      </c>
      <c r="U1024" s="5">
        <v>305.94</v>
      </c>
      <c r="V1024" s="5">
        <v>289.02</v>
      </c>
      <c r="W1024" s="5">
        <v>13.094658000000001</v>
      </c>
      <c r="X1024" s="5">
        <v>109.314221</v>
      </c>
      <c r="Y1024" s="5">
        <v>16.920000000000002</v>
      </c>
      <c r="Z1024" s="5">
        <v>13.089726000000001</v>
      </c>
      <c r="AA1024" s="5">
        <v>109.309629</v>
      </c>
      <c r="AB1024" s="7">
        <f t="shared" si="91"/>
        <v>0.43352999999999997</v>
      </c>
      <c r="AC1024" s="7">
        <f t="shared" si="92"/>
        <v>2.5380000000000003E-2</v>
      </c>
      <c r="AD1024" s="6" t="str">
        <f t="shared" si="93"/>
        <v>Phú Yên</v>
      </c>
      <c r="AE1024" s="6" t="str">
        <f t="shared" si="94"/>
        <v>CAT Phú Yên</v>
      </c>
      <c r="AG1024">
        <f t="shared" si="95"/>
        <v>0.28902</v>
      </c>
      <c r="AH1024">
        <f t="shared" si="96"/>
        <v>1.6920000000000001E-2</v>
      </c>
    </row>
    <row r="1025" spans="1:34" x14ac:dyDescent="0.25">
      <c r="A1025" t="s">
        <v>9996</v>
      </c>
      <c r="B1025" t="s">
        <v>9984</v>
      </c>
      <c r="C1025" t="s">
        <v>9985</v>
      </c>
      <c r="D1025" t="s">
        <v>9997</v>
      </c>
      <c r="E1025" t="s">
        <v>9998</v>
      </c>
      <c r="F1025" t="s">
        <v>9999</v>
      </c>
      <c r="G1025" t="s">
        <v>15979</v>
      </c>
      <c r="H1025" t="s">
        <v>15980</v>
      </c>
      <c r="I1025" t="s">
        <v>16834</v>
      </c>
      <c r="J1025" t="s">
        <v>23</v>
      </c>
      <c r="L1025" t="s">
        <v>9987</v>
      </c>
      <c r="M1025" t="s">
        <v>10000</v>
      </c>
      <c r="N1025" t="s">
        <v>9992</v>
      </c>
      <c r="O1025" t="s">
        <v>9993</v>
      </c>
      <c r="P1025" t="s">
        <v>9994</v>
      </c>
      <c r="Q1025" t="s">
        <v>10001</v>
      </c>
      <c r="R1025" t="s">
        <v>10002</v>
      </c>
      <c r="S1025" t="s">
        <v>10003</v>
      </c>
      <c r="T1025" t="s">
        <v>9995</v>
      </c>
      <c r="U1025" s="5">
        <v>225.82</v>
      </c>
      <c r="V1025" s="5">
        <v>16.920000000000002</v>
      </c>
      <c r="W1025" s="5">
        <v>13.089726000000001</v>
      </c>
      <c r="X1025" s="5">
        <v>109.309629</v>
      </c>
      <c r="Y1025" s="5">
        <v>208.9</v>
      </c>
      <c r="Z1025" s="5">
        <v>13.088728</v>
      </c>
      <c r="AA1025" s="5">
        <v>109.30623900000001</v>
      </c>
      <c r="AB1025" s="7">
        <f t="shared" si="91"/>
        <v>2.5380000000000003E-2</v>
      </c>
      <c r="AC1025" s="7">
        <f t="shared" si="92"/>
        <v>0.31335000000000002</v>
      </c>
      <c r="AD1025" s="6" t="str">
        <f t="shared" si="93"/>
        <v>Phú Yên</v>
      </c>
      <c r="AE1025" s="6" t="str">
        <f t="shared" si="94"/>
        <v>CAT Phú Yên</v>
      </c>
      <c r="AG1025">
        <f t="shared" si="95"/>
        <v>1.6920000000000001E-2</v>
      </c>
      <c r="AH1025">
        <f t="shared" si="96"/>
        <v>0.2089</v>
      </c>
    </row>
    <row r="1026" spans="1:34" x14ac:dyDescent="0.25">
      <c r="A1026" t="s">
        <v>10004</v>
      </c>
      <c r="B1026" t="s">
        <v>10005</v>
      </c>
      <c r="C1026" t="s">
        <v>10006</v>
      </c>
      <c r="D1026" t="s">
        <v>10007</v>
      </c>
      <c r="E1026" t="s">
        <v>10008</v>
      </c>
      <c r="F1026" t="s">
        <v>10009</v>
      </c>
      <c r="G1026" t="s">
        <v>15979</v>
      </c>
      <c r="H1026" t="s">
        <v>15980</v>
      </c>
      <c r="I1026" t="s">
        <v>16835</v>
      </c>
      <c r="J1026" t="s">
        <v>23</v>
      </c>
      <c r="L1026" t="s">
        <v>9539</v>
      </c>
      <c r="M1026" t="s">
        <v>10010</v>
      </c>
      <c r="N1026" t="s">
        <v>10011</v>
      </c>
      <c r="O1026" t="s">
        <v>10012</v>
      </c>
      <c r="P1026" t="s">
        <v>10013</v>
      </c>
      <c r="Q1026" t="s">
        <v>10014</v>
      </c>
      <c r="R1026" t="s">
        <v>10015</v>
      </c>
      <c r="S1026" t="s">
        <v>10016</v>
      </c>
      <c r="T1026" t="s">
        <v>10017</v>
      </c>
      <c r="U1026" s="5">
        <v>1502.01</v>
      </c>
      <c r="V1026" s="5">
        <v>656.9</v>
      </c>
      <c r="W1026" s="5">
        <v>13.141819999999999</v>
      </c>
      <c r="X1026" s="5">
        <v>109.28716300000001</v>
      </c>
      <c r="Y1026" s="5">
        <v>845.11</v>
      </c>
      <c r="Z1026" s="5">
        <v>13.117717000000001</v>
      </c>
      <c r="AA1026" s="5">
        <v>109.302817</v>
      </c>
      <c r="AB1026" s="7">
        <f t="shared" si="91"/>
        <v>0.98534999999999995</v>
      </c>
      <c r="AC1026" s="7">
        <f t="shared" si="92"/>
        <v>1.267665</v>
      </c>
      <c r="AD1026" s="6" t="str">
        <f t="shared" si="93"/>
        <v>CAT Phú Yên</v>
      </c>
      <c r="AE1026" s="6" t="str">
        <f t="shared" si="94"/>
        <v>Tuy An Nam</v>
      </c>
      <c r="AG1026">
        <f t="shared" si="95"/>
        <v>0.65689999999999993</v>
      </c>
      <c r="AH1026">
        <f t="shared" si="96"/>
        <v>0.84511000000000003</v>
      </c>
    </row>
    <row r="1027" spans="1:34" x14ac:dyDescent="0.25">
      <c r="A1027" t="s">
        <v>10018</v>
      </c>
      <c r="B1027" t="s">
        <v>10007</v>
      </c>
      <c r="C1027" t="s">
        <v>10008</v>
      </c>
      <c r="D1027" t="s">
        <v>10019</v>
      </c>
      <c r="E1027" t="s">
        <v>10020</v>
      </c>
      <c r="F1027" t="s">
        <v>10021</v>
      </c>
      <c r="G1027" t="s">
        <v>15979</v>
      </c>
      <c r="H1027" t="s">
        <v>15980</v>
      </c>
      <c r="I1027" t="s">
        <v>16836</v>
      </c>
      <c r="J1027" t="s">
        <v>23</v>
      </c>
      <c r="L1027" t="s">
        <v>9218</v>
      </c>
      <c r="M1027" t="s">
        <v>10022</v>
      </c>
      <c r="N1027" t="s">
        <v>10023</v>
      </c>
      <c r="O1027" t="s">
        <v>10024</v>
      </c>
      <c r="P1027" t="s">
        <v>10025</v>
      </c>
      <c r="Q1027" t="s">
        <v>10026</v>
      </c>
      <c r="R1027" t="s">
        <v>10027</v>
      </c>
      <c r="S1027" t="s">
        <v>10028</v>
      </c>
      <c r="T1027" t="s">
        <v>9226</v>
      </c>
      <c r="U1027" s="5">
        <v>1033.82</v>
      </c>
      <c r="V1027" s="5">
        <v>745.28</v>
      </c>
      <c r="W1027" s="5">
        <v>13.116629</v>
      </c>
      <c r="X1027" s="5">
        <v>109.30365399999999</v>
      </c>
      <c r="Y1027" s="5">
        <v>288.54000000000002</v>
      </c>
      <c r="Z1027" s="5">
        <v>13.108523</v>
      </c>
      <c r="AA1027" s="5">
        <v>109.304092</v>
      </c>
      <c r="AB1027" s="7">
        <f t="shared" ref="AB1027:AB1090" si="97">V1027*1.5/1000</f>
        <v>1.11792</v>
      </c>
      <c r="AC1027" s="7">
        <f t="shared" ref="AC1027:AC1090" si="98">Y1027*1.5/1000</f>
        <v>0.43281000000000008</v>
      </c>
      <c r="AD1027" s="6" t="str">
        <f t="shared" ref="AD1027:AD1090" si="99">TRIM(LEFT(L1027,FIND("-",L1027)-1))</f>
        <v>CAT PHÚ YÊN</v>
      </c>
      <c r="AE1027" s="6" t="str">
        <f t="shared" ref="AE1027:AE1090" si="100">TRIM(RIGHT(L1027, LEN(L1027) - FIND("-", L1027)))</f>
        <v>Cảng hàng không Tuy Hòa</v>
      </c>
      <c r="AG1027">
        <f t="shared" ref="AG1027:AG1090" si="101">V1027/1000</f>
        <v>0.74527999999999994</v>
      </c>
      <c r="AH1027">
        <f t="shared" ref="AH1027:AH1090" si="102">Y1027/1000</f>
        <v>0.28854000000000002</v>
      </c>
    </row>
    <row r="1028" spans="1:34" x14ac:dyDescent="0.25">
      <c r="A1028" t="s">
        <v>10029</v>
      </c>
      <c r="B1028" t="s">
        <v>10005</v>
      </c>
      <c r="C1028" t="s">
        <v>10006</v>
      </c>
      <c r="D1028" t="s">
        <v>10030</v>
      </c>
      <c r="E1028" t="s">
        <v>10031</v>
      </c>
      <c r="F1028" t="s">
        <v>10032</v>
      </c>
      <c r="G1028" t="s">
        <v>15979</v>
      </c>
      <c r="H1028" t="s">
        <v>15980</v>
      </c>
      <c r="I1028" t="s">
        <v>16837</v>
      </c>
      <c r="J1028" t="s">
        <v>23</v>
      </c>
      <c r="L1028" t="s">
        <v>8193</v>
      </c>
      <c r="M1028" t="s">
        <v>10033</v>
      </c>
      <c r="N1028" t="s">
        <v>10034</v>
      </c>
      <c r="O1028" t="s">
        <v>10035</v>
      </c>
      <c r="P1028" t="s">
        <v>10036</v>
      </c>
      <c r="Q1028" t="s">
        <v>10037</v>
      </c>
      <c r="R1028" t="s">
        <v>10038</v>
      </c>
      <c r="S1028" t="s">
        <v>10039</v>
      </c>
      <c r="T1028" t="s">
        <v>8201</v>
      </c>
      <c r="U1028" s="5">
        <v>3290.52</v>
      </c>
      <c r="V1028" s="5">
        <v>342.96</v>
      </c>
      <c r="W1028" s="5">
        <v>13.143236999999999</v>
      </c>
      <c r="X1028" s="5">
        <v>109.27804500000001</v>
      </c>
      <c r="Y1028" s="5">
        <v>2947.56</v>
      </c>
      <c r="Z1028" s="5">
        <v>13.093349999999999</v>
      </c>
      <c r="AA1028" s="5">
        <v>109.29304399999999</v>
      </c>
      <c r="AB1028" s="7">
        <f t="shared" si="97"/>
        <v>0.5144399999999999</v>
      </c>
      <c r="AC1028" s="7">
        <f t="shared" si="98"/>
        <v>4.4213399999999998</v>
      </c>
      <c r="AD1028" s="6" t="str">
        <f t="shared" si="99"/>
        <v>Sông Cầu</v>
      </c>
      <c r="AE1028" s="6" t="str">
        <f t="shared" si="100"/>
        <v>TT2 Tuy Hòa</v>
      </c>
      <c r="AG1028">
        <f t="shared" si="101"/>
        <v>0.34295999999999999</v>
      </c>
      <c r="AH1028">
        <f t="shared" si="102"/>
        <v>2.9475599999999997</v>
      </c>
    </row>
    <row r="1029" spans="1:34" x14ac:dyDescent="0.25">
      <c r="A1029" t="s">
        <v>10040</v>
      </c>
      <c r="B1029" t="s">
        <v>10030</v>
      </c>
      <c r="C1029" t="s">
        <v>10031</v>
      </c>
      <c r="D1029" t="s">
        <v>10041</v>
      </c>
      <c r="E1029" t="s">
        <v>10042</v>
      </c>
      <c r="F1029" t="s">
        <v>10043</v>
      </c>
      <c r="G1029" t="s">
        <v>15979</v>
      </c>
      <c r="H1029" t="s">
        <v>15980</v>
      </c>
      <c r="I1029" t="s">
        <v>16838</v>
      </c>
      <c r="J1029" t="s">
        <v>23</v>
      </c>
      <c r="L1029" t="s">
        <v>9008</v>
      </c>
      <c r="M1029" t="s">
        <v>10044</v>
      </c>
      <c r="N1029" t="s">
        <v>10045</v>
      </c>
      <c r="O1029" t="s">
        <v>10046</v>
      </c>
      <c r="P1029" t="s">
        <v>10047</v>
      </c>
      <c r="Q1029" t="s">
        <v>10048</v>
      </c>
      <c r="R1029" t="s">
        <v>10049</v>
      </c>
      <c r="S1029" t="s">
        <v>10050</v>
      </c>
      <c r="T1029" t="s">
        <v>10051</v>
      </c>
      <c r="U1029" s="5">
        <v>74.53</v>
      </c>
      <c r="V1029" s="5">
        <v>20.2</v>
      </c>
      <c r="W1029" s="5">
        <v>13.094965999999999</v>
      </c>
      <c r="X1029" s="5">
        <v>109.32032599999999</v>
      </c>
      <c r="Y1029" s="5">
        <v>54.33</v>
      </c>
      <c r="Z1029" s="5">
        <v>13.087904999999999</v>
      </c>
      <c r="AA1029" s="5">
        <v>109.311836</v>
      </c>
      <c r="AB1029" s="7">
        <f t="shared" si="97"/>
        <v>3.0299999999999997E-2</v>
      </c>
      <c r="AC1029" s="7">
        <f t="shared" si="98"/>
        <v>8.1494999999999998E-2</v>
      </c>
      <c r="AD1029" s="6" t="str">
        <f t="shared" si="99"/>
        <v>TT2 Đăk Lăk (Tuy Hòa)</v>
      </c>
      <c r="AE1029" s="6" t="str">
        <f t="shared" si="100"/>
        <v>Cơ quan điều tra
 Tuy Hòa</v>
      </c>
      <c r="AG1029">
        <f t="shared" si="101"/>
        <v>2.0199999999999999E-2</v>
      </c>
      <c r="AH1029">
        <f t="shared" si="102"/>
        <v>5.4329999999999996E-2</v>
      </c>
    </row>
    <row r="1030" spans="1:34" x14ac:dyDescent="0.25">
      <c r="A1030" t="s">
        <v>10052</v>
      </c>
      <c r="B1030" t="s">
        <v>10041</v>
      </c>
      <c r="C1030" t="s">
        <v>10042</v>
      </c>
      <c r="D1030" t="s">
        <v>10041</v>
      </c>
      <c r="E1030" t="s">
        <v>10042</v>
      </c>
      <c r="F1030" t="s">
        <v>10053</v>
      </c>
      <c r="G1030" t="s">
        <v>15979</v>
      </c>
      <c r="H1030" t="s">
        <v>15980</v>
      </c>
      <c r="I1030" t="s">
        <v>16839</v>
      </c>
      <c r="J1030" t="s">
        <v>23</v>
      </c>
      <c r="L1030" t="s">
        <v>10054</v>
      </c>
      <c r="M1030" t="s">
        <v>10055</v>
      </c>
      <c r="N1030" t="s">
        <v>10056</v>
      </c>
      <c r="O1030" t="s">
        <v>10057</v>
      </c>
      <c r="P1030" t="s">
        <v>10058</v>
      </c>
      <c r="Q1030" t="s">
        <v>10056</v>
      </c>
      <c r="R1030" t="s">
        <v>10057</v>
      </c>
      <c r="S1030" t="s">
        <v>10058</v>
      </c>
      <c r="T1030" t="s">
        <v>10059</v>
      </c>
      <c r="U1030" s="5">
        <v>8.68</v>
      </c>
      <c r="V1030" s="5">
        <v>4.34</v>
      </c>
      <c r="W1030" s="5">
        <v>13.088093000000001</v>
      </c>
      <c r="X1030" s="5">
        <v>109.31225999999999</v>
      </c>
      <c r="Y1030" s="5">
        <v>4.34</v>
      </c>
      <c r="Z1030" s="5">
        <v>13.088093000000001</v>
      </c>
      <c r="AA1030" s="5">
        <v>109.31225999999999</v>
      </c>
      <c r="AB1030" s="7">
        <f t="shared" si="97"/>
        <v>6.5100000000000002E-3</v>
      </c>
      <c r="AC1030" s="7">
        <f t="shared" si="98"/>
        <v>6.5100000000000002E-3</v>
      </c>
      <c r="AD1030" s="6" t="str">
        <f t="shared" si="99"/>
        <v>Cơ quan điều tra Tuy Hòa</v>
      </c>
      <c r="AE1030" s="6" t="str">
        <f t="shared" si="100"/>
        <v>PA08</v>
      </c>
      <c r="AG1030">
        <f t="shared" si="101"/>
        <v>4.3400000000000001E-3</v>
      </c>
      <c r="AH1030">
        <f t="shared" si="102"/>
        <v>4.3400000000000001E-3</v>
      </c>
    </row>
    <row r="1031" spans="1:34" x14ac:dyDescent="0.25">
      <c r="A1031" t="s">
        <v>10060</v>
      </c>
      <c r="B1031" t="s">
        <v>10041</v>
      </c>
      <c r="C1031" t="s">
        <v>10042</v>
      </c>
      <c r="D1031" t="s">
        <v>9997</v>
      </c>
      <c r="E1031" t="s">
        <v>9998</v>
      </c>
      <c r="F1031" t="s">
        <v>10061</v>
      </c>
      <c r="G1031" t="s">
        <v>15979</v>
      </c>
      <c r="H1031" t="s">
        <v>15980</v>
      </c>
      <c r="I1031" t="s">
        <v>16840</v>
      </c>
      <c r="J1031" t="s">
        <v>23</v>
      </c>
      <c r="L1031" t="s">
        <v>9218</v>
      </c>
      <c r="M1031" t="s">
        <v>10062</v>
      </c>
      <c r="N1031" t="s">
        <v>10063</v>
      </c>
      <c r="O1031" t="s">
        <v>10064</v>
      </c>
      <c r="P1031" t="s">
        <v>10065</v>
      </c>
      <c r="Q1031" t="s">
        <v>10066</v>
      </c>
      <c r="R1031" t="s">
        <v>9309</v>
      </c>
      <c r="S1031" t="s">
        <v>9310</v>
      </c>
      <c r="T1031" t="s">
        <v>9311</v>
      </c>
      <c r="U1031" s="5">
        <v>306.38</v>
      </c>
      <c r="V1031" s="5">
        <v>104.02</v>
      </c>
      <c r="W1031" s="5">
        <v>13.088291</v>
      </c>
      <c r="X1031" s="5">
        <v>109.313238</v>
      </c>
      <c r="Y1031" s="5">
        <v>202.36</v>
      </c>
      <c r="Z1031" s="5">
        <v>13.087066999999999</v>
      </c>
      <c r="AA1031" s="5">
        <v>109.308887</v>
      </c>
      <c r="AB1031" s="7">
        <f t="shared" si="97"/>
        <v>0.15603</v>
      </c>
      <c r="AC1031" s="7">
        <f t="shared" si="98"/>
        <v>0.30354000000000003</v>
      </c>
      <c r="AD1031" s="6" t="str">
        <f t="shared" si="99"/>
        <v>CAT PHÚ YÊN</v>
      </c>
      <c r="AE1031" s="6" t="str">
        <f t="shared" si="100"/>
        <v>Cảng hàng không Tuy Hòa</v>
      </c>
      <c r="AG1031">
        <f t="shared" si="101"/>
        <v>0.10402</v>
      </c>
      <c r="AH1031">
        <f t="shared" si="102"/>
        <v>0.20236000000000001</v>
      </c>
    </row>
    <row r="1032" spans="1:34" x14ac:dyDescent="0.25">
      <c r="A1032" t="s">
        <v>10067</v>
      </c>
      <c r="B1032" t="s">
        <v>10068</v>
      </c>
      <c r="C1032" t="s">
        <v>10069</v>
      </c>
      <c r="D1032" t="s">
        <v>8429</v>
      </c>
      <c r="E1032" t="s">
        <v>8430</v>
      </c>
      <c r="F1032" t="s">
        <v>10070</v>
      </c>
      <c r="G1032" t="s">
        <v>15979</v>
      </c>
      <c r="H1032" t="s">
        <v>15980</v>
      </c>
      <c r="I1032" t="s">
        <v>16841</v>
      </c>
      <c r="J1032" t="s">
        <v>23</v>
      </c>
      <c r="L1032" t="s">
        <v>9524</v>
      </c>
      <c r="M1032" t="s">
        <v>10071</v>
      </c>
      <c r="N1032" t="s">
        <v>10072</v>
      </c>
      <c r="O1032" t="s">
        <v>10073</v>
      </c>
      <c r="P1032" t="s">
        <v>10074</v>
      </c>
      <c r="Q1032" t="s">
        <v>9526</v>
      </c>
      <c r="R1032" t="s">
        <v>9527</v>
      </c>
      <c r="S1032" t="s">
        <v>9528</v>
      </c>
      <c r="T1032" t="s">
        <v>9532</v>
      </c>
      <c r="U1032" s="5">
        <v>738.12</v>
      </c>
      <c r="V1032" s="5">
        <v>722.25</v>
      </c>
      <c r="W1032" s="5">
        <v>13.074517999999999</v>
      </c>
      <c r="X1032" s="5">
        <v>109.27986900000001</v>
      </c>
      <c r="Y1032" s="5">
        <v>15.88</v>
      </c>
      <c r="Z1032" s="5">
        <v>13.071588</v>
      </c>
      <c r="AA1032" s="5">
        <v>109.275789</v>
      </c>
      <c r="AB1032" s="7">
        <f t="shared" si="97"/>
        <v>1.083375</v>
      </c>
      <c r="AC1032" s="7">
        <f t="shared" si="98"/>
        <v>2.3820000000000001E-2</v>
      </c>
      <c r="AD1032" s="6" t="str">
        <f t="shared" si="99"/>
        <v>PC11</v>
      </c>
      <c r="AE1032" s="6" t="str">
        <f t="shared" si="100"/>
        <v>PC08</v>
      </c>
      <c r="AG1032">
        <f t="shared" si="101"/>
        <v>0.72224999999999995</v>
      </c>
      <c r="AH1032">
        <f t="shared" si="102"/>
        <v>1.5880000000000002E-2</v>
      </c>
    </row>
    <row r="1033" spans="1:34" x14ac:dyDescent="0.25">
      <c r="A1033" t="s">
        <v>10075</v>
      </c>
      <c r="B1033" t="s">
        <v>10076</v>
      </c>
      <c r="C1033" t="s">
        <v>10077</v>
      </c>
      <c r="D1033" t="s">
        <v>9018</v>
      </c>
      <c r="E1033" t="s">
        <v>9019</v>
      </c>
      <c r="F1033" t="s">
        <v>10078</v>
      </c>
      <c r="G1033" t="s">
        <v>15979</v>
      </c>
      <c r="H1033" t="s">
        <v>15980</v>
      </c>
      <c r="I1033" t="s">
        <v>16842</v>
      </c>
      <c r="J1033" t="s">
        <v>23</v>
      </c>
      <c r="L1033" t="s">
        <v>9023</v>
      </c>
      <c r="M1033" t="s">
        <v>10079</v>
      </c>
      <c r="N1033" t="s">
        <v>10080</v>
      </c>
      <c r="O1033" t="s">
        <v>10081</v>
      </c>
      <c r="P1033" t="s">
        <v>10082</v>
      </c>
      <c r="Q1033" t="s">
        <v>2468</v>
      </c>
      <c r="R1033" t="s">
        <v>9025</v>
      </c>
      <c r="S1033" t="s">
        <v>9026</v>
      </c>
      <c r="T1033" t="s">
        <v>9030</v>
      </c>
      <c r="U1033" s="5">
        <v>83.3</v>
      </c>
      <c r="V1033" s="5">
        <v>81.63</v>
      </c>
      <c r="W1033" s="5">
        <v>13.049013</v>
      </c>
      <c r="X1033" s="5">
        <v>109.310469</v>
      </c>
      <c r="Y1033" s="5">
        <v>1.67</v>
      </c>
      <c r="Z1033" s="5">
        <v>13.052982</v>
      </c>
      <c r="AA1033" s="5">
        <v>109.310524</v>
      </c>
      <c r="AB1033" s="7">
        <f t="shared" si="97"/>
        <v>0.122445</v>
      </c>
      <c r="AC1033" s="7">
        <f t="shared" si="98"/>
        <v>2.5049999999999998E-3</v>
      </c>
      <c r="AD1033" s="6" t="str">
        <f t="shared" si="99"/>
        <v>Phú Hòa 2</v>
      </c>
      <c r="AE1033" s="6" t="str">
        <f t="shared" si="100"/>
        <v>Phú Yên</v>
      </c>
      <c r="AG1033">
        <f t="shared" si="101"/>
        <v>8.1629999999999994E-2</v>
      </c>
      <c r="AH1033">
        <f t="shared" si="102"/>
        <v>1.6699999999999998E-3</v>
      </c>
    </row>
    <row r="1034" spans="1:34" x14ac:dyDescent="0.25">
      <c r="A1034" t="s">
        <v>10083</v>
      </c>
      <c r="B1034" t="s">
        <v>10084</v>
      </c>
      <c r="C1034" t="s">
        <v>10085</v>
      </c>
      <c r="D1034" t="s">
        <v>8156</v>
      </c>
      <c r="E1034" t="s">
        <v>8157</v>
      </c>
      <c r="F1034" t="s">
        <v>10086</v>
      </c>
      <c r="G1034" t="s">
        <v>15979</v>
      </c>
      <c r="H1034" t="s">
        <v>15980</v>
      </c>
      <c r="I1034" t="s">
        <v>16843</v>
      </c>
      <c r="J1034" t="s">
        <v>23</v>
      </c>
      <c r="L1034" t="s">
        <v>9962</v>
      </c>
      <c r="M1034" t="s">
        <v>10087</v>
      </c>
      <c r="N1034" t="s">
        <v>10088</v>
      </c>
      <c r="O1034" t="s">
        <v>10089</v>
      </c>
      <c r="P1034" t="s">
        <v>10090</v>
      </c>
      <c r="Q1034" t="s">
        <v>10091</v>
      </c>
      <c r="R1034" t="s">
        <v>10092</v>
      </c>
      <c r="S1034" t="s">
        <v>10093</v>
      </c>
      <c r="T1034" t="s">
        <v>9969</v>
      </c>
      <c r="U1034" s="5">
        <v>482.86</v>
      </c>
      <c r="V1034" s="5">
        <v>481.9</v>
      </c>
      <c r="W1034" s="5">
        <v>13.088972</v>
      </c>
      <c r="X1034" s="5">
        <v>109.29941599999999</v>
      </c>
      <c r="Y1034" s="5">
        <v>0.95</v>
      </c>
      <c r="Z1034" s="5">
        <v>13.094738</v>
      </c>
      <c r="AA1034" s="5">
        <v>109.293009</v>
      </c>
      <c r="AB1034" s="7">
        <f t="shared" si="97"/>
        <v>0.72284999999999988</v>
      </c>
      <c r="AC1034" s="7">
        <f t="shared" si="98"/>
        <v>1.4249999999999998E-3</v>
      </c>
      <c r="AD1034" s="6" t="str">
        <f t="shared" si="99"/>
        <v>TT2 Đăk Lăk (Tuy Hòa)</v>
      </c>
      <c r="AE1034" s="6" t="str">
        <f t="shared" si="100"/>
        <v>PC06</v>
      </c>
      <c r="AG1034">
        <f t="shared" si="101"/>
        <v>0.4819</v>
      </c>
      <c r="AH1034">
        <f t="shared" si="102"/>
        <v>9.5E-4</v>
      </c>
    </row>
    <row r="1035" spans="1:34" x14ac:dyDescent="0.25">
      <c r="A1035" t="s">
        <v>10094</v>
      </c>
      <c r="B1035" t="s">
        <v>10095</v>
      </c>
      <c r="C1035" t="s">
        <v>10096</v>
      </c>
      <c r="D1035" t="s">
        <v>9931</v>
      </c>
      <c r="E1035" t="s">
        <v>9932</v>
      </c>
      <c r="F1035" t="s">
        <v>10097</v>
      </c>
      <c r="G1035" t="s">
        <v>15979</v>
      </c>
      <c r="H1035" t="s">
        <v>15980</v>
      </c>
      <c r="I1035" t="s">
        <v>16844</v>
      </c>
      <c r="J1035" t="s">
        <v>23</v>
      </c>
      <c r="L1035" t="s">
        <v>10098</v>
      </c>
      <c r="M1035" t="s">
        <v>10099</v>
      </c>
      <c r="N1035" t="s">
        <v>10100</v>
      </c>
      <c r="O1035" t="s">
        <v>10101</v>
      </c>
      <c r="P1035" t="s">
        <v>10102</v>
      </c>
      <c r="Q1035" t="s">
        <v>10103</v>
      </c>
      <c r="R1035" t="s">
        <v>10104</v>
      </c>
      <c r="S1035" t="s">
        <v>10105</v>
      </c>
      <c r="T1035" t="s">
        <v>10106</v>
      </c>
      <c r="U1035" s="5">
        <v>89.32</v>
      </c>
      <c r="V1035" s="5">
        <v>83.47</v>
      </c>
      <c r="W1035" s="5">
        <v>13.110291999999999</v>
      </c>
      <c r="X1035" s="5">
        <v>109.285296</v>
      </c>
      <c r="Y1035" s="5">
        <v>5.85</v>
      </c>
      <c r="Z1035" s="5">
        <v>13.112349</v>
      </c>
      <c r="AA1035" s="5">
        <v>109.28452</v>
      </c>
      <c r="AB1035" s="7">
        <f t="shared" si="97"/>
        <v>0.12520500000000001</v>
      </c>
      <c r="AC1035" s="7">
        <f t="shared" si="98"/>
        <v>8.7749999999999981E-3</v>
      </c>
      <c r="AD1035" s="6" t="str">
        <f t="shared" si="99"/>
        <v>Điểm đăng ký sát hạch lái xe (PC08)</v>
      </c>
      <c r="AE1035" s="6" t="str">
        <f t="shared" si="100"/>
        <v>TT2
 Đăk Lăk (Tuy Hòa)</v>
      </c>
      <c r="AG1035">
        <f t="shared" si="101"/>
        <v>8.3470000000000003E-2</v>
      </c>
      <c r="AH1035">
        <f t="shared" si="102"/>
        <v>5.8499999999999993E-3</v>
      </c>
    </row>
    <row r="1036" spans="1:34" x14ac:dyDescent="0.25">
      <c r="A1036" t="s">
        <v>10107</v>
      </c>
      <c r="B1036" t="s">
        <v>10108</v>
      </c>
      <c r="C1036" t="s">
        <v>10109</v>
      </c>
      <c r="D1036" t="s">
        <v>9328</v>
      </c>
      <c r="E1036" t="s">
        <v>9329</v>
      </c>
      <c r="F1036" t="s">
        <v>10110</v>
      </c>
      <c r="G1036" t="s">
        <v>15979</v>
      </c>
      <c r="H1036" t="s">
        <v>15980</v>
      </c>
      <c r="I1036" t="s">
        <v>16845</v>
      </c>
      <c r="J1036" t="s">
        <v>23</v>
      </c>
      <c r="L1036" t="s">
        <v>9344</v>
      </c>
      <c r="M1036" t="s">
        <v>10111</v>
      </c>
      <c r="N1036" t="s">
        <v>10112</v>
      </c>
      <c r="O1036" t="s">
        <v>10113</v>
      </c>
      <c r="P1036" t="s">
        <v>10114</v>
      </c>
      <c r="Q1036" t="s">
        <v>10115</v>
      </c>
      <c r="R1036" t="s">
        <v>10116</v>
      </c>
      <c r="S1036" t="s">
        <v>10117</v>
      </c>
      <c r="T1036" t="s">
        <v>9352</v>
      </c>
      <c r="U1036" s="5">
        <v>857.89</v>
      </c>
      <c r="V1036" s="5">
        <v>853.99</v>
      </c>
      <c r="W1036" s="5">
        <v>12.92977</v>
      </c>
      <c r="X1036" s="5">
        <v>109.239602</v>
      </c>
      <c r="Y1036" s="5">
        <v>3.9</v>
      </c>
      <c r="Z1036" s="5">
        <v>12.932771000000001</v>
      </c>
      <c r="AA1036" s="5">
        <v>109.23917299999999</v>
      </c>
      <c r="AB1036" s="7">
        <f t="shared" si="97"/>
        <v>1.280985</v>
      </c>
      <c r="AC1036" s="7">
        <f t="shared" si="98"/>
        <v>5.8499999999999993E-3</v>
      </c>
      <c r="AD1036" s="6" t="str">
        <f t="shared" si="99"/>
        <v>Hòa Mỹ</v>
      </c>
      <c r="AE1036" s="6" t="str">
        <f t="shared" si="100"/>
        <v>Hòa Thịnh</v>
      </c>
      <c r="AG1036">
        <f t="shared" si="101"/>
        <v>0.85399000000000003</v>
      </c>
      <c r="AH1036">
        <f t="shared" si="102"/>
        <v>3.8999999999999998E-3</v>
      </c>
    </row>
    <row r="1037" spans="1:34" x14ac:dyDescent="0.25">
      <c r="A1037" t="s">
        <v>10118</v>
      </c>
      <c r="B1037" t="s">
        <v>9740</v>
      </c>
      <c r="C1037" t="s">
        <v>9741</v>
      </c>
      <c r="D1037" t="s">
        <v>10119</v>
      </c>
      <c r="E1037" t="s">
        <v>10120</v>
      </c>
      <c r="F1037" t="s">
        <v>10121</v>
      </c>
      <c r="G1037" t="s">
        <v>15979</v>
      </c>
      <c r="H1037" t="s">
        <v>15980</v>
      </c>
      <c r="I1037" t="s">
        <v>16846</v>
      </c>
      <c r="J1037" t="s">
        <v>23</v>
      </c>
      <c r="L1037" t="s">
        <v>9949</v>
      </c>
      <c r="M1037" t="s">
        <v>10122</v>
      </c>
      <c r="N1037" t="s">
        <v>9951</v>
      </c>
      <c r="O1037" t="s">
        <v>9952</v>
      </c>
      <c r="P1037" t="s">
        <v>9953</v>
      </c>
      <c r="Q1037" t="s">
        <v>10123</v>
      </c>
      <c r="R1037" t="s">
        <v>10124</v>
      </c>
      <c r="S1037" t="s">
        <v>10125</v>
      </c>
      <c r="T1037" t="s">
        <v>9957</v>
      </c>
      <c r="U1037" s="5">
        <v>84.83</v>
      </c>
      <c r="V1037" s="5">
        <v>6.02</v>
      </c>
      <c r="W1037" s="5">
        <v>13.094963</v>
      </c>
      <c r="X1037" s="5">
        <v>109.291572</v>
      </c>
      <c r="Y1037" s="5">
        <v>78.81</v>
      </c>
      <c r="Z1037" s="5">
        <v>13.093843</v>
      </c>
      <c r="AA1037" s="5">
        <v>109.291611</v>
      </c>
      <c r="AB1037" s="7">
        <f t="shared" si="97"/>
        <v>9.0299999999999998E-3</v>
      </c>
      <c r="AC1037" s="7">
        <f t="shared" si="98"/>
        <v>0.118215</v>
      </c>
      <c r="AD1037" s="6" t="str">
        <f t="shared" si="99"/>
        <v>PC07</v>
      </c>
      <c r="AE1037" s="6" t="str">
        <f t="shared" si="100"/>
        <v>PC11</v>
      </c>
      <c r="AG1037">
        <f t="shared" si="101"/>
        <v>6.0199999999999993E-3</v>
      </c>
      <c r="AH1037">
        <f t="shared" si="102"/>
        <v>7.8810000000000005E-2</v>
      </c>
    </row>
    <row r="1038" spans="1:34" x14ac:dyDescent="0.25">
      <c r="A1038" t="s">
        <v>10126</v>
      </c>
      <c r="B1038" t="s">
        <v>10007</v>
      </c>
      <c r="C1038" t="s">
        <v>10008</v>
      </c>
      <c r="D1038" t="s">
        <v>10127</v>
      </c>
      <c r="E1038" t="s">
        <v>10128</v>
      </c>
      <c r="F1038" t="s">
        <v>10129</v>
      </c>
      <c r="G1038" t="s">
        <v>15979</v>
      </c>
      <c r="H1038" t="s">
        <v>15980</v>
      </c>
      <c r="I1038" t="s">
        <v>16847</v>
      </c>
      <c r="J1038" t="s">
        <v>23</v>
      </c>
      <c r="L1038" t="s">
        <v>9218</v>
      </c>
      <c r="M1038" t="s">
        <v>10130</v>
      </c>
      <c r="N1038" t="s">
        <v>10023</v>
      </c>
      <c r="O1038" t="s">
        <v>10024</v>
      </c>
      <c r="P1038" t="s">
        <v>10025</v>
      </c>
      <c r="Q1038" t="s">
        <v>10131</v>
      </c>
      <c r="R1038" t="s">
        <v>10132</v>
      </c>
      <c r="S1038" t="s">
        <v>10133</v>
      </c>
      <c r="T1038" t="s">
        <v>9226</v>
      </c>
      <c r="U1038" s="5">
        <v>1319.1</v>
      </c>
      <c r="V1038" s="5">
        <v>745.28</v>
      </c>
      <c r="W1038" s="5">
        <v>13.116629</v>
      </c>
      <c r="X1038" s="5">
        <v>109.30365399999999</v>
      </c>
      <c r="Y1038" s="5">
        <v>573.82000000000005</v>
      </c>
      <c r="Z1038" s="5">
        <v>13.115219</v>
      </c>
      <c r="AA1038" s="5">
        <v>109.29927600000001</v>
      </c>
      <c r="AB1038" s="7">
        <f t="shared" si="97"/>
        <v>1.11792</v>
      </c>
      <c r="AC1038" s="7">
        <f t="shared" si="98"/>
        <v>0.86073</v>
      </c>
      <c r="AD1038" s="6" t="str">
        <f t="shared" si="99"/>
        <v>CAT PHÚ YÊN</v>
      </c>
      <c r="AE1038" s="6" t="str">
        <f t="shared" si="100"/>
        <v>Cảng hàng không Tuy Hòa</v>
      </c>
      <c r="AG1038">
        <f t="shared" si="101"/>
        <v>0.74527999999999994</v>
      </c>
      <c r="AH1038">
        <f t="shared" si="102"/>
        <v>0.57382</v>
      </c>
    </row>
    <row r="1039" spans="1:34" x14ac:dyDescent="0.25">
      <c r="A1039" t="s">
        <v>10134</v>
      </c>
      <c r="B1039" t="s">
        <v>10007</v>
      </c>
      <c r="C1039" t="s">
        <v>10008</v>
      </c>
      <c r="D1039" t="s">
        <v>10135</v>
      </c>
      <c r="E1039" t="s">
        <v>10136</v>
      </c>
      <c r="F1039" t="s">
        <v>10137</v>
      </c>
      <c r="G1039" t="s">
        <v>15979</v>
      </c>
      <c r="H1039" t="s">
        <v>15980</v>
      </c>
      <c r="I1039" t="s">
        <v>16848</v>
      </c>
      <c r="J1039" t="s">
        <v>23</v>
      </c>
      <c r="L1039" t="s">
        <v>9218</v>
      </c>
      <c r="M1039" t="s">
        <v>10138</v>
      </c>
      <c r="N1039" t="s">
        <v>10023</v>
      </c>
      <c r="O1039" t="s">
        <v>10024</v>
      </c>
      <c r="P1039" t="s">
        <v>10025</v>
      </c>
      <c r="Q1039" t="s">
        <v>10139</v>
      </c>
      <c r="R1039" t="s">
        <v>10132</v>
      </c>
      <c r="S1039" t="s">
        <v>10133</v>
      </c>
      <c r="T1039" t="s">
        <v>9226</v>
      </c>
      <c r="U1039" s="5">
        <v>977.79</v>
      </c>
      <c r="V1039" s="5">
        <v>745.28</v>
      </c>
      <c r="W1039" s="5">
        <v>13.116629</v>
      </c>
      <c r="X1039" s="5">
        <v>109.30365399999999</v>
      </c>
      <c r="Y1039" s="5">
        <v>232.51</v>
      </c>
      <c r="Z1039" s="5">
        <v>13.115219</v>
      </c>
      <c r="AA1039" s="5">
        <v>109.29927600000001</v>
      </c>
      <c r="AB1039" s="7">
        <f t="shared" si="97"/>
        <v>1.11792</v>
      </c>
      <c r="AC1039" s="7">
        <f t="shared" si="98"/>
        <v>0.34876499999999999</v>
      </c>
      <c r="AD1039" s="6" t="str">
        <f t="shared" si="99"/>
        <v>CAT PHÚ YÊN</v>
      </c>
      <c r="AE1039" s="6" t="str">
        <f t="shared" si="100"/>
        <v>Cảng hàng không Tuy Hòa</v>
      </c>
      <c r="AG1039">
        <f t="shared" si="101"/>
        <v>0.74527999999999994</v>
      </c>
      <c r="AH1039">
        <f t="shared" si="102"/>
        <v>0.23250999999999999</v>
      </c>
    </row>
    <row r="1040" spans="1:34" x14ac:dyDescent="0.25">
      <c r="A1040" t="s">
        <v>10140</v>
      </c>
      <c r="B1040" t="s">
        <v>9740</v>
      </c>
      <c r="C1040" t="s">
        <v>9741</v>
      </c>
      <c r="D1040" t="s">
        <v>10141</v>
      </c>
      <c r="E1040" t="s">
        <v>10142</v>
      </c>
      <c r="F1040" t="s">
        <v>10143</v>
      </c>
      <c r="G1040" t="s">
        <v>15979</v>
      </c>
      <c r="H1040" t="s">
        <v>15980</v>
      </c>
      <c r="I1040" t="s">
        <v>16849</v>
      </c>
      <c r="J1040" t="s">
        <v>23</v>
      </c>
      <c r="L1040" t="s">
        <v>10144</v>
      </c>
      <c r="M1040" t="s">
        <v>10145</v>
      </c>
      <c r="N1040" t="s">
        <v>10146</v>
      </c>
      <c r="O1040" t="s">
        <v>10147</v>
      </c>
      <c r="P1040" t="s">
        <v>10148</v>
      </c>
      <c r="Q1040" t="s">
        <v>10149</v>
      </c>
      <c r="R1040" t="s">
        <v>10150</v>
      </c>
      <c r="S1040" t="s">
        <v>10151</v>
      </c>
      <c r="T1040" t="s">
        <v>10152</v>
      </c>
      <c r="U1040" s="5">
        <v>89.51</v>
      </c>
      <c r="V1040" s="5">
        <v>44</v>
      </c>
      <c r="W1040" s="5">
        <v>13.094901</v>
      </c>
      <c r="X1040" s="5">
        <v>109.291991</v>
      </c>
      <c r="Y1040" s="5">
        <v>45.51</v>
      </c>
      <c r="Z1040" s="5">
        <v>13.105964999999999</v>
      </c>
      <c r="AA1040" s="5">
        <v>109.28790600000001</v>
      </c>
      <c r="AB1040" s="7">
        <f t="shared" si="97"/>
        <v>6.6000000000000003E-2</v>
      </c>
      <c r="AC1040" s="7">
        <f t="shared" si="98"/>
        <v>6.8265000000000006E-2</v>
      </c>
      <c r="AD1040" s="6" t="str">
        <f t="shared" si="99"/>
        <v>PK02</v>
      </c>
      <c r="AE1040" s="6" t="str">
        <f t="shared" si="100"/>
        <v>TT2 Đăk Lăk (Tuy Hòa)</v>
      </c>
      <c r="AG1040">
        <f t="shared" si="101"/>
        <v>4.3999999999999997E-2</v>
      </c>
      <c r="AH1040">
        <f t="shared" si="102"/>
        <v>4.5509999999999995E-2</v>
      </c>
    </row>
    <row r="1041" spans="1:34" x14ac:dyDescent="0.25">
      <c r="A1041" t="s">
        <v>10153</v>
      </c>
      <c r="B1041" t="s">
        <v>10154</v>
      </c>
      <c r="C1041" t="s">
        <v>10155</v>
      </c>
      <c r="D1041" t="s">
        <v>8190</v>
      </c>
      <c r="E1041" t="s">
        <v>8191</v>
      </c>
      <c r="F1041" t="s">
        <v>10156</v>
      </c>
      <c r="G1041" t="s">
        <v>15979</v>
      </c>
      <c r="H1041" t="s">
        <v>15980</v>
      </c>
      <c r="I1041" t="s">
        <v>16850</v>
      </c>
      <c r="J1041" t="s">
        <v>23</v>
      </c>
      <c r="L1041" t="s">
        <v>10157</v>
      </c>
      <c r="M1041" t="s">
        <v>10158</v>
      </c>
      <c r="N1041" t="s">
        <v>10159</v>
      </c>
      <c r="O1041" t="s">
        <v>10160</v>
      </c>
      <c r="P1041" t="s">
        <v>10161</v>
      </c>
      <c r="Q1041" t="s">
        <v>10162</v>
      </c>
      <c r="R1041" t="s">
        <v>10163</v>
      </c>
      <c r="S1041" t="s">
        <v>10164</v>
      </c>
      <c r="T1041" t="s">
        <v>10165</v>
      </c>
      <c r="U1041" s="5">
        <v>342.65</v>
      </c>
      <c r="V1041" s="5">
        <v>128.97999999999999</v>
      </c>
      <c r="W1041" s="5">
        <v>13.263899</v>
      </c>
      <c r="X1041" s="5">
        <v>109.203452</v>
      </c>
      <c r="Y1041" s="5">
        <v>213.67</v>
      </c>
      <c r="Z1041" s="5">
        <v>13.306805000000001</v>
      </c>
      <c r="AA1041" s="5">
        <v>109.21437899999999</v>
      </c>
      <c r="AB1041" s="7">
        <f t="shared" si="97"/>
        <v>0.19346999999999998</v>
      </c>
      <c r="AC1041" s="7">
        <f t="shared" si="98"/>
        <v>0.32050499999999998</v>
      </c>
      <c r="AD1041" s="6" t="str">
        <f t="shared" si="99"/>
        <v>Tuy An Bắc</v>
      </c>
      <c r="AE1041" s="6" t="str">
        <f t="shared" si="100"/>
        <v>Tuy An Tây</v>
      </c>
      <c r="AG1041">
        <f t="shared" si="101"/>
        <v>0.12897999999999998</v>
      </c>
      <c r="AH1041">
        <f t="shared" si="102"/>
        <v>0.21367</v>
      </c>
    </row>
    <row r="1042" spans="1:34" x14ac:dyDescent="0.25">
      <c r="A1042" t="s">
        <v>10166</v>
      </c>
      <c r="B1042" t="s">
        <v>10167</v>
      </c>
      <c r="C1042" t="s">
        <v>10168</v>
      </c>
      <c r="D1042" t="s">
        <v>9984</v>
      </c>
      <c r="E1042" t="s">
        <v>9985</v>
      </c>
      <c r="F1042" t="s">
        <v>10169</v>
      </c>
      <c r="G1042" t="s">
        <v>15979</v>
      </c>
      <c r="H1042" t="s">
        <v>15980</v>
      </c>
      <c r="I1042" t="s">
        <v>16851</v>
      </c>
      <c r="J1042" t="s">
        <v>23</v>
      </c>
      <c r="L1042" t="s">
        <v>10054</v>
      </c>
      <c r="M1042" t="s">
        <v>10170</v>
      </c>
      <c r="N1042" t="s">
        <v>10171</v>
      </c>
      <c r="O1042" t="s">
        <v>10172</v>
      </c>
      <c r="P1042" t="s">
        <v>10173</v>
      </c>
      <c r="Q1042" t="s">
        <v>10174</v>
      </c>
      <c r="R1042" t="s">
        <v>10175</v>
      </c>
      <c r="S1042" t="s">
        <v>10176</v>
      </c>
      <c r="T1042" t="s">
        <v>10177</v>
      </c>
      <c r="U1042" s="5">
        <v>197.97</v>
      </c>
      <c r="V1042" s="5">
        <v>181.29</v>
      </c>
      <c r="W1042" s="5">
        <v>13.090185999999999</v>
      </c>
      <c r="X1042" s="5">
        <v>109.3113</v>
      </c>
      <c r="Y1042" s="5">
        <v>16.68</v>
      </c>
      <c r="Z1042" s="5">
        <v>13.089724</v>
      </c>
      <c r="AA1042" s="5">
        <v>109.309628</v>
      </c>
      <c r="AB1042" s="7">
        <f t="shared" si="97"/>
        <v>0.27193499999999998</v>
      </c>
      <c r="AC1042" s="7">
        <f t="shared" si="98"/>
        <v>2.5020000000000001E-2</v>
      </c>
      <c r="AD1042" s="6" t="str">
        <f t="shared" si="99"/>
        <v>Cơ quan điều tra Tuy Hòa</v>
      </c>
      <c r="AE1042" s="6" t="str">
        <f t="shared" si="100"/>
        <v>PA08</v>
      </c>
      <c r="AG1042">
        <f t="shared" si="101"/>
        <v>0.18128999999999998</v>
      </c>
      <c r="AH1042">
        <f t="shared" si="102"/>
        <v>1.668E-2</v>
      </c>
    </row>
    <row r="1043" spans="1:34" x14ac:dyDescent="0.25">
      <c r="A1043" t="s">
        <v>10178</v>
      </c>
      <c r="B1043" t="s">
        <v>8143</v>
      </c>
      <c r="C1043" t="s">
        <v>8144</v>
      </c>
      <c r="D1043" t="s">
        <v>8141</v>
      </c>
      <c r="E1043" t="s">
        <v>8142</v>
      </c>
      <c r="F1043" t="s">
        <v>10179</v>
      </c>
      <c r="G1043" t="s">
        <v>15979</v>
      </c>
      <c r="H1043" t="s">
        <v>15980</v>
      </c>
      <c r="I1043" t="s">
        <v>16852</v>
      </c>
      <c r="J1043" t="s">
        <v>23</v>
      </c>
      <c r="L1043" t="s">
        <v>8146</v>
      </c>
      <c r="M1043" t="s">
        <v>8147</v>
      </c>
      <c r="N1043" t="s">
        <v>8151</v>
      </c>
      <c r="O1043" t="s">
        <v>8152</v>
      </c>
      <c r="P1043" t="s">
        <v>8153</v>
      </c>
      <c r="Q1043" t="s">
        <v>8148</v>
      </c>
      <c r="R1043" t="s">
        <v>8149</v>
      </c>
      <c r="S1043" t="s">
        <v>8150</v>
      </c>
      <c r="T1043" t="s">
        <v>8154</v>
      </c>
      <c r="U1043" s="5">
        <v>2472.34</v>
      </c>
      <c r="V1043" s="5">
        <v>151.21</v>
      </c>
      <c r="W1043" s="5">
        <v>12.983107</v>
      </c>
      <c r="X1043" s="5">
        <v>109.095792</v>
      </c>
      <c r="Y1043" s="5">
        <v>2321.14</v>
      </c>
      <c r="Z1043" s="5">
        <v>13.021641000000001</v>
      </c>
      <c r="AA1043" s="5">
        <v>109.280637</v>
      </c>
      <c r="AB1043" s="7">
        <f t="shared" si="97"/>
        <v>0.22681499999999999</v>
      </c>
      <c r="AC1043" s="7">
        <f t="shared" si="98"/>
        <v>3.4817100000000001</v>
      </c>
      <c r="AD1043" s="6" t="str">
        <f t="shared" si="99"/>
        <v>ILA Sơn Thành</v>
      </c>
      <c r="AE1043" s="6" t="str">
        <f t="shared" si="100"/>
        <v>TT2 Đăk Lăk (Tuy Hòa)</v>
      </c>
      <c r="AG1043">
        <f t="shared" si="101"/>
        <v>0.15121000000000001</v>
      </c>
      <c r="AH1043">
        <f t="shared" si="102"/>
        <v>2.3211399999999998</v>
      </c>
    </row>
    <row r="1044" spans="1:34" x14ac:dyDescent="0.25">
      <c r="A1044" t="s">
        <v>10180</v>
      </c>
      <c r="B1044" t="s">
        <v>8444</v>
      </c>
      <c r="C1044" t="s">
        <v>10181</v>
      </c>
      <c r="D1044" t="s">
        <v>8636</v>
      </c>
      <c r="E1044" t="s">
        <v>8637</v>
      </c>
      <c r="F1044" t="s">
        <v>10182</v>
      </c>
      <c r="G1044" t="s">
        <v>15979</v>
      </c>
      <c r="H1044" t="s">
        <v>15980</v>
      </c>
      <c r="I1044" t="s">
        <v>16853</v>
      </c>
      <c r="J1044" t="s">
        <v>23</v>
      </c>
      <c r="L1044" t="s">
        <v>10183</v>
      </c>
      <c r="M1044" t="s">
        <v>10184</v>
      </c>
      <c r="N1044" t="s">
        <v>10185</v>
      </c>
      <c r="O1044" t="s">
        <v>10186</v>
      </c>
      <c r="P1044" t="s">
        <v>10187</v>
      </c>
      <c r="Q1044" t="s">
        <v>10188</v>
      </c>
      <c r="R1044" t="s">
        <v>10189</v>
      </c>
      <c r="S1044" t="s">
        <v>10190</v>
      </c>
      <c r="T1044" t="s">
        <v>10191</v>
      </c>
      <c r="U1044" s="5">
        <v>1284.02</v>
      </c>
      <c r="V1044" s="5">
        <v>581.76</v>
      </c>
      <c r="W1044" s="5">
        <v>12.682363</v>
      </c>
      <c r="X1044" s="5">
        <v>108.040537</v>
      </c>
      <c r="Y1044" s="5">
        <v>702.27</v>
      </c>
      <c r="Z1044" s="5">
        <v>12.681628999999999</v>
      </c>
      <c r="AA1044" s="5">
        <v>108.04693399999999</v>
      </c>
      <c r="AB1044" s="7">
        <f t="shared" si="97"/>
        <v>0.87263999999999997</v>
      </c>
      <c r="AC1044" s="7">
        <f t="shared" si="98"/>
        <v>1.0534049999999999</v>
      </c>
      <c r="AD1044" s="6" t="str">
        <f t="shared" si="99"/>
        <v>CAT Đắk Lắk</v>
      </c>
      <c r="AE1044" s="6" t="str">
        <f t="shared" si="100"/>
        <v>Thành Nhất</v>
      </c>
      <c r="AG1044">
        <f t="shared" si="101"/>
        <v>0.58175999999999994</v>
      </c>
      <c r="AH1044">
        <f t="shared" si="102"/>
        <v>0.70226999999999995</v>
      </c>
    </row>
    <row r="1045" spans="1:34" x14ac:dyDescent="0.25">
      <c r="A1045" t="s">
        <v>10180</v>
      </c>
      <c r="B1045" t="s">
        <v>8444</v>
      </c>
      <c r="C1045" t="s">
        <v>10181</v>
      </c>
      <c r="D1045" t="s">
        <v>8636</v>
      </c>
      <c r="E1045" t="s">
        <v>8637</v>
      </c>
      <c r="F1045" t="s">
        <v>10182</v>
      </c>
      <c r="G1045" t="s">
        <v>15979</v>
      </c>
      <c r="H1045" t="s">
        <v>15980</v>
      </c>
      <c r="I1045" t="s">
        <v>16853</v>
      </c>
      <c r="J1045" t="s">
        <v>23</v>
      </c>
      <c r="L1045" t="s">
        <v>10183</v>
      </c>
      <c r="M1045" t="s">
        <v>10184</v>
      </c>
      <c r="N1045" t="s">
        <v>10185</v>
      </c>
      <c r="O1045" t="s">
        <v>10186</v>
      </c>
      <c r="P1045" t="s">
        <v>10187</v>
      </c>
      <c r="Q1045" t="s">
        <v>10188</v>
      </c>
      <c r="R1045" t="s">
        <v>10189</v>
      </c>
      <c r="S1045" t="s">
        <v>10190</v>
      </c>
      <c r="T1045" t="s">
        <v>10191</v>
      </c>
      <c r="U1045" s="5">
        <v>1284.02</v>
      </c>
      <c r="V1045" s="5">
        <v>581.76</v>
      </c>
      <c r="W1045" s="5">
        <v>12.682363</v>
      </c>
      <c r="X1045" s="5">
        <v>108.040537</v>
      </c>
      <c r="Y1045" s="5">
        <v>702.27</v>
      </c>
      <c r="Z1045" s="5">
        <v>12.681628999999999</v>
      </c>
      <c r="AA1045" s="5">
        <v>108.04693399999999</v>
      </c>
      <c r="AB1045" s="7">
        <f t="shared" si="97"/>
        <v>0.87263999999999997</v>
      </c>
      <c r="AC1045" s="7">
        <f t="shared" si="98"/>
        <v>1.0534049999999999</v>
      </c>
      <c r="AD1045" s="6" t="str">
        <f t="shared" si="99"/>
        <v>CAT Đắk Lắk</v>
      </c>
      <c r="AE1045" s="6" t="str">
        <f t="shared" si="100"/>
        <v>Thành Nhất</v>
      </c>
      <c r="AG1045">
        <f t="shared" si="101"/>
        <v>0.58175999999999994</v>
      </c>
      <c r="AH1045">
        <f t="shared" si="102"/>
        <v>0.70226999999999995</v>
      </c>
    </row>
    <row r="1046" spans="1:34" x14ac:dyDescent="0.25">
      <c r="A1046" t="s">
        <v>10192</v>
      </c>
      <c r="B1046" t="s">
        <v>8636</v>
      </c>
      <c r="C1046" t="s">
        <v>8637</v>
      </c>
      <c r="D1046" t="s">
        <v>8444</v>
      </c>
      <c r="E1046" t="s">
        <v>10181</v>
      </c>
      <c r="F1046" t="s">
        <v>10193</v>
      </c>
      <c r="G1046" t="s">
        <v>15979</v>
      </c>
      <c r="H1046" t="s">
        <v>15980</v>
      </c>
      <c r="I1046" t="s">
        <v>16854</v>
      </c>
      <c r="J1046" t="s">
        <v>23</v>
      </c>
      <c r="L1046" t="s">
        <v>10183</v>
      </c>
      <c r="M1046" t="s">
        <v>10184</v>
      </c>
      <c r="N1046" t="s">
        <v>10188</v>
      </c>
      <c r="O1046" t="s">
        <v>10189</v>
      </c>
      <c r="P1046" t="s">
        <v>10190</v>
      </c>
      <c r="Q1046" t="s">
        <v>10185</v>
      </c>
      <c r="R1046" t="s">
        <v>10186</v>
      </c>
      <c r="S1046" t="s">
        <v>10187</v>
      </c>
      <c r="T1046" t="s">
        <v>10191</v>
      </c>
      <c r="U1046" s="5">
        <v>1284.02</v>
      </c>
      <c r="V1046" s="5">
        <v>702.27</v>
      </c>
      <c r="W1046" s="5">
        <v>12.681628999999999</v>
      </c>
      <c r="X1046" s="5">
        <v>108.04693399999999</v>
      </c>
      <c r="Y1046" s="5">
        <v>581.76</v>
      </c>
      <c r="Z1046" s="5">
        <v>12.682363</v>
      </c>
      <c r="AA1046" s="5">
        <v>108.040537</v>
      </c>
      <c r="AB1046" s="7">
        <f t="shared" si="97"/>
        <v>1.0534049999999999</v>
      </c>
      <c r="AC1046" s="7">
        <f t="shared" si="98"/>
        <v>0.87263999999999997</v>
      </c>
      <c r="AD1046" s="6" t="str">
        <f t="shared" si="99"/>
        <v>CAT Đắk Lắk</v>
      </c>
      <c r="AE1046" s="6" t="str">
        <f t="shared" si="100"/>
        <v>Thành Nhất</v>
      </c>
      <c r="AG1046">
        <f t="shared" si="101"/>
        <v>0.70226999999999995</v>
      </c>
      <c r="AH1046">
        <f t="shared" si="102"/>
        <v>0.58175999999999994</v>
      </c>
    </row>
    <row r="1047" spans="1:34" x14ac:dyDescent="0.25">
      <c r="A1047" t="s">
        <v>10194</v>
      </c>
      <c r="B1047" t="s">
        <v>10195</v>
      </c>
      <c r="C1047" t="s">
        <v>10196</v>
      </c>
      <c r="D1047" t="s">
        <v>8725</v>
      </c>
      <c r="E1047" t="s">
        <v>8726</v>
      </c>
      <c r="F1047" t="s">
        <v>10197</v>
      </c>
      <c r="G1047" t="s">
        <v>15979</v>
      </c>
      <c r="H1047" t="s">
        <v>15980</v>
      </c>
      <c r="I1047" t="s">
        <v>16855</v>
      </c>
      <c r="J1047" t="s">
        <v>23</v>
      </c>
      <c r="L1047" t="s">
        <v>8375</v>
      </c>
      <c r="M1047" t="s">
        <v>10198</v>
      </c>
      <c r="N1047" t="s">
        <v>10199</v>
      </c>
      <c r="O1047" t="s">
        <v>8381</v>
      </c>
      <c r="P1047" t="s">
        <v>8382</v>
      </c>
      <c r="Q1047" t="s">
        <v>8939</v>
      </c>
      <c r="R1047" t="s">
        <v>8940</v>
      </c>
      <c r="S1047" t="s">
        <v>8941</v>
      </c>
      <c r="T1047" t="s">
        <v>8383</v>
      </c>
      <c r="U1047" s="5">
        <v>8912.4699999999993</v>
      </c>
      <c r="V1047" s="5">
        <v>8868.01</v>
      </c>
      <c r="W1047" s="5">
        <v>12.853419000000001</v>
      </c>
      <c r="X1047" s="5">
        <v>108.10435699999999</v>
      </c>
      <c r="Y1047" s="5">
        <v>44.45</v>
      </c>
      <c r="Z1047" s="5">
        <v>12.910539</v>
      </c>
      <c r="AA1047" s="5">
        <v>108.190575</v>
      </c>
      <c r="AB1047" s="7">
        <f t="shared" si="97"/>
        <v>13.302014999999999</v>
      </c>
      <c r="AC1047" s="7">
        <f t="shared" si="98"/>
        <v>6.6675000000000012E-2</v>
      </c>
      <c r="AD1047" s="6" t="str">
        <f t="shared" si="99"/>
        <v>Cư M'ga</v>
      </c>
      <c r="AE1047" s="6" t="str">
        <f t="shared" si="100"/>
        <v>Buôn Hồ</v>
      </c>
      <c r="AG1047">
        <f t="shared" si="101"/>
        <v>8.8680099999999999</v>
      </c>
      <c r="AH1047">
        <f t="shared" si="102"/>
        <v>4.4450000000000003E-2</v>
      </c>
    </row>
    <row r="1048" spans="1:34" x14ac:dyDescent="0.25">
      <c r="A1048" t="s">
        <v>10200</v>
      </c>
      <c r="B1048" t="s">
        <v>10201</v>
      </c>
      <c r="C1048" t="s">
        <v>10202</v>
      </c>
      <c r="D1048" t="s">
        <v>8725</v>
      </c>
      <c r="E1048" t="s">
        <v>8726</v>
      </c>
      <c r="F1048" t="s">
        <v>10203</v>
      </c>
      <c r="G1048" t="s">
        <v>15979</v>
      </c>
      <c r="H1048" t="s">
        <v>15980</v>
      </c>
      <c r="I1048" t="s">
        <v>16856</v>
      </c>
      <c r="J1048" t="s">
        <v>23</v>
      </c>
      <c r="L1048" t="s">
        <v>10204</v>
      </c>
      <c r="M1048" t="s">
        <v>10205</v>
      </c>
      <c r="N1048" t="s">
        <v>10206</v>
      </c>
      <c r="O1048" t="s">
        <v>10207</v>
      </c>
      <c r="P1048" t="s">
        <v>10208</v>
      </c>
      <c r="Q1048" t="s">
        <v>10209</v>
      </c>
      <c r="R1048" t="s">
        <v>10210</v>
      </c>
      <c r="S1048" t="s">
        <v>10211</v>
      </c>
      <c r="T1048" t="s">
        <v>10212</v>
      </c>
      <c r="U1048" s="5">
        <v>10015.73</v>
      </c>
      <c r="V1048" s="5">
        <v>73.569999999999993</v>
      </c>
      <c r="W1048" s="5">
        <v>12.788779999999999</v>
      </c>
      <c r="X1048" s="5">
        <v>108.21725499999999</v>
      </c>
      <c r="Y1048" s="5">
        <v>9942.16</v>
      </c>
      <c r="Z1048" s="5">
        <v>12.840890999999999</v>
      </c>
      <c r="AA1048" s="5">
        <v>108.24750899999999</v>
      </c>
      <c r="AB1048" s="7">
        <f t="shared" si="97"/>
        <v>0.11035499999999999</v>
      </c>
      <c r="AC1048" s="7">
        <f t="shared" si="98"/>
        <v>14.91324</v>
      </c>
      <c r="AD1048" s="6" t="str">
        <f t="shared" si="99"/>
        <v>Cuôr Đăng</v>
      </c>
      <c r="AE1048" s="6" t="str">
        <f t="shared" si="100"/>
        <v>Cư Bao</v>
      </c>
      <c r="AG1048">
        <f t="shared" si="101"/>
        <v>7.3569999999999997E-2</v>
      </c>
      <c r="AH1048">
        <f t="shared" si="102"/>
        <v>9.9421599999999994</v>
      </c>
    </row>
    <row r="1049" spans="1:34" x14ac:dyDescent="0.25">
      <c r="A1049" t="s">
        <v>10213</v>
      </c>
      <c r="B1049" t="s">
        <v>8636</v>
      </c>
      <c r="C1049" t="s">
        <v>8637</v>
      </c>
      <c r="D1049" t="s">
        <v>10201</v>
      </c>
      <c r="E1049" t="s">
        <v>10202</v>
      </c>
      <c r="F1049" t="s">
        <v>10214</v>
      </c>
      <c r="G1049" t="s">
        <v>15979</v>
      </c>
      <c r="H1049" t="s">
        <v>15980</v>
      </c>
      <c r="I1049" t="s">
        <v>16857</v>
      </c>
      <c r="J1049" t="s">
        <v>23</v>
      </c>
      <c r="L1049" t="s">
        <v>8432</v>
      </c>
      <c r="M1049" t="s">
        <v>10215</v>
      </c>
      <c r="N1049" t="s">
        <v>8672</v>
      </c>
      <c r="O1049" t="s">
        <v>8435</v>
      </c>
      <c r="P1049" t="s">
        <v>8436</v>
      </c>
      <c r="Q1049" t="s">
        <v>10216</v>
      </c>
      <c r="R1049" t="s">
        <v>9048</v>
      </c>
      <c r="S1049" t="s">
        <v>9049</v>
      </c>
      <c r="T1049" t="s">
        <v>8440</v>
      </c>
      <c r="U1049" s="5">
        <v>1861.86</v>
      </c>
      <c r="V1049" s="5">
        <v>1750.11</v>
      </c>
      <c r="W1049" s="5">
        <v>12.690893000000001</v>
      </c>
      <c r="X1049" s="5">
        <v>108.06744999999999</v>
      </c>
      <c r="Y1049" s="5">
        <v>111.75</v>
      </c>
      <c r="Z1049" s="5">
        <v>12.789365</v>
      </c>
      <c r="AA1049" s="5">
        <v>108.217463</v>
      </c>
      <c r="AB1049" s="7">
        <f t="shared" si="97"/>
        <v>2.625165</v>
      </c>
      <c r="AC1049" s="7">
        <f t="shared" si="98"/>
        <v>0.167625</v>
      </c>
      <c r="AD1049" s="6" t="str">
        <f t="shared" si="99"/>
        <v>TT1 Đăk Lăk</v>
      </c>
      <c r="AE1049" s="6" t="str">
        <f t="shared" si="100"/>
        <v>ILA Ea Kar</v>
      </c>
      <c r="AG1049">
        <f t="shared" si="101"/>
        <v>1.7501099999999998</v>
      </c>
      <c r="AH1049">
        <f t="shared" si="102"/>
        <v>0.11175</v>
      </c>
    </row>
    <row r="1050" spans="1:34" x14ac:dyDescent="0.25">
      <c r="A1050" t="s">
        <v>10217</v>
      </c>
      <c r="B1050" t="s">
        <v>8444</v>
      </c>
      <c r="C1050" t="s">
        <v>10181</v>
      </c>
      <c r="D1050" t="s">
        <v>8725</v>
      </c>
      <c r="E1050" t="s">
        <v>8726</v>
      </c>
      <c r="F1050" t="s">
        <v>10218</v>
      </c>
      <c r="G1050" t="s">
        <v>15979</v>
      </c>
      <c r="H1050" t="s">
        <v>15980</v>
      </c>
      <c r="I1050" t="s">
        <v>16858</v>
      </c>
      <c r="J1050" t="s">
        <v>23</v>
      </c>
      <c r="L1050" t="s">
        <v>8432</v>
      </c>
      <c r="M1050" t="s">
        <v>10219</v>
      </c>
      <c r="N1050" t="s">
        <v>10220</v>
      </c>
      <c r="O1050" t="s">
        <v>8435</v>
      </c>
      <c r="P1050" t="s">
        <v>8436</v>
      </c>
      <c r="Q1050" t="s">
        <v>10221</v>
      </c>
      <c r="R1050" t="s">
        <v>10222</v>
      </c>
      <c r="S1050" t="s">
        <v>10223</v>
      </c>
      <c r="T1050" t="s">
        <v>8440</v>
      </c>
      <c r="U1050" s="5">
        <v>15390.47</v>
      </c>
      <c r="V1050" s="5">
        <v>3610.38</v>
      </c>
      <c r="W1050" s="5">
        <v>12.690893000000001</v>
      </c>
      <c r="X1050" s="5">
        <v>108.06744999999999</v>
      </c>
      <c r="Y1050" s="5">
        <v>11780.09</v>
      </c>
      <c r="Z1050" s="5">
        <v>12.813561999999999</v>
      </c>
      <c r="AA1050" s="5">
        <v>108.23357</v>
      </c>
      <c r="AB1050" s="7">
        <f t="shared" si="97"/>
        <v>5.4155699999999998</v>
      </c>
      <c r="AC1050" s="7">
        <f t="shared" si="98"/>
        <v>17.670135000000002</v>
      </c>
      <c r="AD1050" s="6" t="str">
        <f t="shared" si="99"/>
        <v>TT1 Đăk Lăk</v>
      </c>
      <c r="AE1050" s="6" t="str">
        <f t="shared" si="100"/>
        <v>ILA Ea Kar</v>
      </c>
      <c r="AG1050">
        <f t="shared" si="101"/>
        <v>3.6103800000000001</v>
      </c>
      <c r="AH1050">
        <f t="shared" si="102"/>
        <v>11.78009</v>
      </c>
    </row>
    <row r="1051" spans="1:34" x14ac:dyDescent="0.25">
      <c r="A1051" t="s">
        <v>10224</v>
      </c>
      <c r="B1051" t="s">
        <v>8725</v>
      </c>
      <c r="C1051" t="s">
        <v>8726</v>
      </c>
      <c r="D1051" t="s">
        <v>8342</v>
      </c>
      <c r="E1051" t="s">
        <v>8343</v>
      </c>
      <c r="F1051" t="s">
        <v>10225</v>
      </c>
      <c r="G1051" t="s">
        <v>15979</v>
      </c>
      <c r="H1051" t="s">
        <v>15980</v>
      </c>
      <c r="I1051" t="s">
        <v>16859</v>
      </c>
      <c r="J1051" t="s">
        <v>23</v>
      </c>
      <c r="L1051" t="s">
        <v>8810</v>
      </c>
      <c r="M1051" t="s">
        <v>10226</v>
      </c>
      <c r="N1051" t="s">
        <v>9001</v>
      </c>
      <c r="O1051" t="s">
        <v>9002</v>
      </c>
      <c r="P1051" t="s">
        <v>9003</v>
      </c>
      <c r="Q1051" t="s">
        <v>10227</v>
      </c>
      <c r="R1051" t="s">
        <v>8957</v>
      </c>
      <c r="S1051" t="s">
        <v>8958</v>
      </c>
      <c r="T1051" t="s">
        <v>8818</v>
      </c>
      <c r="U1051" s="5">
        <v>9248.6200000000008</v>
      </c>
      <c r="V1051" s="5">
        <v>55.55</v>
      </c>
      <c r="W1051" s="5">
        <v>12.910633000000001</v>
      </c>
      <c r="X1051" s="5">
        <v>108.190708</v>
      </c>
      <c r="Y1051" s="5">
        <v>9193.08</v>
      </c>
      <c r="Z1051" s="5">
        <v>12.930183</v>
      </c>
      <c r="AA1051" s="5">
        <v>108.26278600000001</v>
      </c>
      <c r="AB1051" s="7">
        <f t="shared" si="97"/>
        <v>8.3324999999999982E-2</v>
      </c>
      <c r="AC1051" s="7">
        <f t="shared" si="98"/>
        <v>13.789619999999999</v>
      </c>
      <c r="AD1051" s="6" t="str">
        <f t="shared" si="99"/>
        <v>Ea Tul</v>
      </c>
      <c r="AE1051" s="6" t="str">
        <f t="shared" si="100"/>
        <v>Buôn Hồ</v>
      </c>
      <c r="AG1051">
        <f t="shared" si="101"/>
        <v>5.5549999999999995E-2</v>
      </c>
      <c r="AH1051">
        <f t="shared" si="102"/>
        <v>9.1930800000000001</v>
      </c>
    </row>
    <row r="1052" spans="1:34" x14ac:dyDescent="0.25">
      <c r="A1052" t="s">
        <v>10228</v>
      </c>
      <c r="B1052" t="s">
        <v>8342</v>
      </c>
      <c r="C1052" t="s">
        <v>8343</v>
      </c>
      <c r="D1052" t="s">
        <v>8892</v>
      </c>
      <c r="E1052" t="s">
        <v>8893</v>
      </c>
      <c r="F1052" t="s">
        <v>10229</v>
      </c>
      <c r="G1052" t="s">
        <v>15979</v>
      </c>
      <c r="H1052" t="s">
        <v>15980</v>
      </c>
      <c r="I1052" t="s">
        <v>16860</v>
      </c>
      <c r="J1052" t="s">
        <v>23</v>
      </c>
      <c r="L1052" t="s">
        <v>8895</v>
      </c>
      <c r="M1052" t="s">
        <v>10230</v>
      </c>
      <c r="N1052" t="s">
        <v>10231</v>
      </c>
      <c r="O1052" t="s">
        <v>8898</v>
      </c>
      <c r="P1052" t="s">
        <v>8899</v>
      </c>
      <c r="Q1052" t="s">
        <v>8900</v>
      </c>
      <c r="R1052" t="s">
        <v>8901</v>
      </c>
      <c r="S1052" t="s">
        <v>8902</v>
      </c>
      <c r="T1052" t="s">
        <v>8903</v>
      </c>
      <c r="U1052" s="5">
        <v>3248.76</v>
      </c>
      <c r="V1052" s="5">
        <v>3113.58</v>
      </c>
      <c r="W1052" s="5">
        <v>12.924609999999999</v>
      </c>
      <c r="X1052" s="5">
        <v>108.35176800000001</v>
      </c>
      <c r="Y1052" s="5">
        <v>135.18</v>
      </c>
      <c r="Z1052" s="5">
        <v>12.88081</v>
      </c>
      <c r="AA1052" s="5">
        <v>108.38649100000001</v>
      </c>
      <c r="AB1052" s="7">
        <f t="shared" si="97"/>
        <v>4.6703700000000001</v>
      </c>
      <c r="AC1052" s="7">
        <f t="shared" si="98"/>
        <v>0.20277000000000001</v>
      </c>
      <c r="AD1052" s="6" t="str">
        <f t="shared" si="99"/>
        <v>Ea Kar</v>
      </c>
      <c r="AE1052" s="6" t="str">
        <f t="shared" si="100"/>
        <v>KRông Năng</v>
      </c>
      <c r="AG1052">
        <f t="shared" si="101"/>
        <v>3.1135799999999998</v>
      </c>
      <c r="AH1052">
        <f t="shared" si="102"/>
        <v>0.13517999999999999</v>
      </c>
    </row>
    <row r="1053" spans="1:34" x14ac:dyDescent="0.25">
      <c r="A1053" t="s">
        <v>10232</v>
      </c>
      <c r="B1053" t="s">
        <v>8892</v>
      </c>
      <c r="C1053" t="s">
        <v>8893</v>
      </c>
      <c r="D1053" t="s">
        <v>8414</v>
      </c>
      <c r="E1053" t="s">
        <v>8415</v>
      </c>
      <c r="F1053" t="s">
        <v>10233</v>
      </c>
      <c r="G1053" t="s">
        <v>15979</v>
      </c>
      <c r="H1053" t="s">
        <v>15980</v>
      </c>
      <c r="I1053" t="s">
        <v>16861</v>
      </c>
      <c r="J1053" t="s">
        <v>23</v>
      </c>
      <c r="L1053" t="s">
        <v>8895</v>
      </c>
      <c r="M1053" t="s">
        <v>8896</v>
      </c>
      <c r="N1053" t="s">
        <v>8900</v>
      </c>
      <c r="O1053" t="s">
        <v>8901</v>
      </c>
      <c r="P1053" t="s">
        <v>8902</v>
      </c>
      <c r="Q1053" t="s">
        <v>8897</v>
      </c>
      <c r="R1053" t="s">
        <v>8898</v>
      </c>
      <c r="S1053" t="s">
        <v>8899</v>
      </c>
      <c r="T1053" t="s">
        <v>8903</v>
      </c>
      <c r="U1053" s="5">
        <v>9422.7900000000009</v>
      </c>
      <c r="V1053" s="5">
        <v>135.18</v>
      </c>
      <c r="W1053" s="5">
        <v>12.88081</v>
      </c>
      <c r="X1053" s="5">
        <v>108.38649100000001</v>
      </c>
      <c r="Y1053" s="5">
        <v>9287.61</v>
      </c>
      <c r="Z1053" s="5">
        <v>12.924609999999999</v>
      </c>
      <c r="AA1053" s="5">
        <v>108.35176800000001</v>
      </c>
      <c r="AB1053" s="7">
        <f t="shared" si="97"/>
        <v>0.20277000000000001</v>
      </c>
      <c r="AC1053" s="7">
        <f t="shared" si="98"/>
        <v>13.931415000000001</v>
      </c>
      <c r="AD1053" s="6" t="str">
        <f t="shared" si="99"/>
        <v>Ea Kar</v>
      </c>
      <c r="AE1053" s="6" t="str">
        <f t="shared" si="100"/>
        <v>KRông Năng</v>
      </c>
      <c r="AG1053">
        <f t="shared" si="101"/>
        <v>0.13517999999999999</v>
      </c>
      <c r="AH1053">
        <f t="shared" si="102"/>
        <v>9.2876100000000008</v>
      </c>
    </row>
    <row r="1054" spans="1:34" x14ac:dyDescent="0.25">
      <c r="A1054" t="s">
        <v>10234</v>
      </c>
      <c r="B1054" t="s">
        <v>8414</v>
      </c>
      <c r="C1054" t="s">
        <v>8415</v>
      </c>
      <c r="D1054" t="s">
        <v>8636</v>
      </c>
      <c r="E1054" t="s">
        <v>8637</v>
      </c>
      <c r="F1054" t="s">
        <v>10235</v>
      </c>
      <c r="G1054" t="s">
        <v>15979</v>
      </c>
      <c r="H1054" t="s">
        <v>15980</v>
      </c>
      <c r="I1054" t="s">
        <v>16862</v>
      </c>
      <c r="J1054" t="s">
        <v>23</v>
      </c>
      <c r="L1054" t="s">
        <v>8432</v>
      </c>
      <c r="M1054" t="s">
        <v>10236</v>
      </c>
      <c r="N1054" t="s">
        <v>10237</v>
      </c>
      <c r="O1054" t="s">
        <v>10238</v>
      </c>
      <c r="P1054" t="s">
        <v>10239</v>
      </c>
      <c r="Q1054" t="s">
        <v>8672</v>
      </c>
      <c r="R1054" t="s">
        <v>8435</v>
      </c>
      <c r="S1054" t="s">
        <v>8436</v>
      </c>
      <c r="T1054" t="s">
        <v>8440</v>
      </c>
      <c r="U1054" s="5">
        <v>13265.44</v>
      </c>
      <c r="V1054" s="5">
        <v>11515.33</v>
      </c>
      <c r="W1054" s="5">
        <v>12.815362</v>
      </c>
      <c r="X1054" s="5">
        <v>108.24225800000001</v>
      </c>
      <c r="Y1054" s="5">
        <v>1750.11</v>
      </c>
      <c r="Z1054" s="5">
        <v>12.690893000000001</v>
      </c>
      <c r="AA1054" s="5">
        <v>108.06744999999999</v>
      </c>
      <c r="AB1054" s="7">
        <f t="shared" si="97"/>
        <v>17.272994999999998</v>
      </c>
      <c r="AC1054" s="7">
        <f t="shared" si="98"/>
        <v>2.625165</v>
      </c>
      <c r="AD1054" s="6" t="str">
        <f t="shared" si="99"/>
        <v>TT1 Đăk Lăk</v>
      </c>
      <c r="AE1054" s="6" t="str">
        <f t="shared" si="100"/>
        <v>ILA Ea Kar</v>
      </c>
      <c r="AG1054">
        <f t="shared" si="101"/>
        <v>11.515330000000001</v>
      </c>
      <c r="AH1054">
        <f t="shared" si="102"/>
        <v>1.7501099999999998</v>
      </c>
    </row>
    <row r="1055" spans="1:34" x14ac:dyDescent="0.25">
      <c r="A1055" t="s">
        <v>10240</v>
      </c>
      <c r="B1055" t="s">
        <v>8552</v>
      </c>
      <c r="C1055" t="s">
        <v>8553</v>
      </c>
      <c r="D1055" t="s">
        <v>8892</v>
      </c>
      <c r="E1055" t="s">
        <v>8893</v>
      </c>
      <c r="F1055" t="s">
        <v>10241</v>
      </c>
      <c r="G1055" t="s">
        <v>15979</v>
      </c>
      <c r="H1055" t="s">
        <v>15980</v>
      </c>
      <c r="I1055" t="s">
        <v>16863</v>
      </c>
      <c r="J1055" t="s">
        <v>23</v>
      </c>
      <c r="L1055" t="s">
        <v>10242</v>
      </c>
      <c r="M1055" t="s">
        <v>10243</v>
      </c>
      <c r="N1055" t="s">
        <v>10244</v>
      </c>
      <c r="O1055" t="s">
        <v>10245</v>
      </c>
      <c r="P1055" t="s">
        <v>10246</v>
      </c>
      <c r="Q1055" t="s">
        <v>10247</v>
      </c>
      <c r="R1055" t="s">
        <v>10248</v>
      </c>
      <c r="S1055" t="s">
        <v>10249</v>
      </c>
      <c r="T1055" t="s">
        <v>10250</v>
      </c>
      <c r="U1055" s="5">
        <v>5249.55</v>
      </c>
      <c r="V1055" s="5">
        <v>70.81</v>
      </c>
      <c r="W1055" s="5">
        <v>12.81155</v>
      </c>
      <c r="X1055" s="5">
        <v>108.48330900000001</v>
      </c>
      <c r="Y1055" s="5">
        <v>5178.75</v>
      </c>
      <c r="Z1055" s="5">
        <v>12.852957999999999</v>
      </c>
      <c r="AA1055" s="5">
        <v>108.423523</v>
      </c>
      <c r="AB1055" s="7">
        <f t="shared" si="97"/>
        <v>0.106215</v>
      </c>
      <c r="AC1055" s="7">
        <f t="shared" si="98"/>
        <v>7.7681250000000004</v>
      </c>
      <c r="AD1055" s="6" t="e">
        <f t="shared" si="99"/>
        <v>#VALUE!</v>
      </c>
      <c r="AE1055" s="6" t="e">
        <f t="shared" si="100"/>
        <v>#VALUE!</v>
      </c>
      <c r="AG1055">
        <f t="shared" si="101"/>
        <v>7.0809999999999998E-2</v>
      </c>
      <c r="AH1055">
        <f t="shared" si="102"/>
        <v>5.17875</v>
      </c>
    </row>
    <row r="1056" spans="1:34" x14ac:dyDescent="0.25">
      <c r="A1056" t="s">
        <v>10251</v>
      </c>
      <c r="B1056" t="s">
        <v>10252</v>
      </c>
      <c r="C1056" t="s">
        <v>10253</v>
      </c>
      <c r="D1056" t="s">
        <v>8552</v>
      </c>
      <c r="E1056" t="s">
        <v>8553</v>
      </c>
      <c r="F1056" t="s">
        <v>10254</v>
      </c>
      <c r="G1056" t="s">
        <v>15979</v>
      </c>
      <c r="H1056" t="s">
        <v>15980</v>
      </c>
      <c r="I1056" t="s">
        <v>16864</v>
      </c>
      <c r="J1056" t="s">
        <v>23</v>
      </c>
      <c r="L1056" t="s">
        <v>8432</v>
      </c>
      <c r="M1056" t="s">
        <v>10255</v>
      </c>
      <c r="N1056" t="s">
        <v>10256</v>
      </c>
      <c r="O1056" t="s">
        <v>10257</v>
      </c>
      <c r="P1056" t="s">
        <v>10258</v>
      </c>
      <c r="Q1056" t="s">
        <v>8559</v>
      </c>
      <c r="R1056" t="s">
        <v>8438</v>
      </c>
      <c r="S1056" t="s">
        <v>8439</v>
      </c>
      <c r="T1056" t="s">
        <v>8440</v>
      </c>
      <c r="U1056" s="5">
        <v>8086.6</v>
      </c>
      <c r="V1056" s="5">
        <v>8017.36</v>
      </c>
      <c r="W1056" s="5">
        <v>12.778797000000001</v>
      </c>
      <c r="X1056" s="5">
        <v>108.205924</v>
      </c>
      <c r="Y1056" s="5">
        <v>69.25</v>
      </c>
      <c r="Z1056" s="5">
        <v>12.811565999999999</v>
      </c>
      <c r="AA1056" s="5">
        <v>108.483311</v>
      </c>
      <c r="AB1056" s="7">
        <f t="shared" si="97"/>
        <v>12.026039999999998</v>
      </c>
      <c r="AC1056" s="7">
        <f t="shared" si="98"/>
        <v>0.103875</v>
      </c>
      <c r="AD1056" s="6" t="str">
        <f t="shared" si="99"/>
        <v>TT1 Đăk Lăk</v>
      </c>
      <c r="AE1056" s="6" t="str">
        <f t="shared" si="100"/>
        <v>ILA Ea Kar</v>
      </c>
      <c r="AG1056">
        <f t="shared" si="101"/>
        <v>8.01736</v>
      </c>
      <c r="AH1056">
        <f t="shared" si="102"/>
        <v>6.9250000000000006E-2</v>
      </c>
    </row>
    <row r="1057" spans="1:34" x14ac:dyDescent="0.25">
      <c r="A1057" t="s">
        <v>10259</v>
      </c>
      <c r="B1057" t="s">
        <v>8636</v>
      </c>
      <c r="C1057" t="s">
        <v>8637</v>
      </c>
      <c r="D1057" t="s">
        <v>10252</v>
      </c>
      <c r="E1057" t="s">
        <v>10253</v>
      </c>
      <c r="F1057" t="s">
        <v>10260</v>
      </c>
      <c r="G1057" t="s">
        <v>15979</v>
      </c>
      <c r="H1057" t="s">
        <v>15980</v>
      </c>
      <c r="I1057" t="s">
        <v>16865</v>
      </c>
      <c r="J1057" t="s">
        <v>23</v>
      </c>
      <c r="L1057" t="s">
        <v>9126</v>
      </c>
      <c r="M1057" t="s">
        <v>10261</v>
      </c>
      <c r="N1057" t="s">
        <v>10262</v>
      </c>
      <c r="O1057" t="s">
        <v>10263</v>
      </c>
      <c r="P1057" t="s">
        <v>10264</v>
      </c>
      <c r="Q1057" t="s">
        <v>10265</v>
      </c>
      <c r="R1057" t="s">
        <v>10266</v>
      </c>
      <c r="S1057" t="s">
        <v>10267</v>
      </c>
      <c r="T1057" t="s">
        <v>9134</v>
      </c>
      <c r="U1057" s="5">
        <v>2711.82</v>
      </c>
      <c r="V1057" s="5">
        <v>2489.64</v>
      </c>
      <c r="W1057" s="5">
        <v>12.684058</v>
      </c>
      <c r="X1057" s="5">
        <v>108.075749</v>
      </c>
      <c r="Y1057" s="5">
        <v>222.19</v>
      </c>
      <c r="Z1057" s="5">
        <v>12.716179</v>
      </c>
      <c r="AA1057" s="5">
        <v>108.23956200000001</v>
      </c>
      <c r="AB1057" s="7">
        <f t="shared" si="97"/>
        <v>3.7344599999999999</v>
      </c>
      <c r="AC1057" s="7">
        <f t="shared" si="98"/>
        <v>0.33328499999999994</v>
      </c>
      <c r="AD1057" s="6" t="str">
        <f t="shared" si="99"/>
        <v>TT1 Đăk Lăk</v>
      </c>
      <c r="AE1057" s="6" t="str">
        <f t="shared" si="100"/>
        <v>ILA Ea Pal</v>
      </c>
      <c r="AG1057">
        <f t="shared" si="101"/>
        <v>2.4896400000000001</v>
      </c>
      <c r="AH1057">
        <f t="shared" si="102"/>
        <v>0.22219</v>
      </c>
    </row>
    <row r="1058" spans="1:34" x14ac:dyDescent="0.25">
      <c r="A1058" t="s">
        <v>10268</v>
      </c>
      <c r="B1058" t="s">
        <v>10269</v>
      </c>
      <c r="C1058" t="s">
        <v>10270</v>
      </c>
      <c r="D1058" t="s">
        <v>8524</v>
      </c>
      <c r="E1058" t="s">
        <v>8525</v>
      </c>
      <c r="F1058" t="s">
        <v>10271</v>
      </c>
      <c r="G1058" t="s">
        <v>15979</v>
      </c>
      <c r="H1058" t="s">
        <v>15980</v>
      </c>
      <c r="I1058" t="s">
        <v>16866</v>
      </c>
      <c r="J1058" t="s">
        <v>23</v>
      </c>
      <c r="L1058" t="s">
        <v>10272</v>
      </c>
      <c r="M1058" t="s">
        <v>10273</v>
      </c>
      <c r="N1058" t="s">
        <v>10274</v>
      </c>
      <c r="O1058" t="s">
        <v>10275</v>
      </c>
      <c r="P1058" t="s">
        <v>10276</v>
      </c>
      <c r="Q1058" t="s">
        <v>10277</v>
      </c>
      <c r="R1058" t="s">
        <v>10278</v>
      </c>
      <c r="S1058" t="s">
        <v>10279</v>
      </c>
      <c r="T1058" t="s">
        <v>10280</v>
      </c>
      <c r="U1058" s="5">
        <v>7948.64</v>
      </c>
      <c r="V1058" s="5">
        <v>7831.89</v>
      </c>
      <c r="W1058" s="5">
        <v>12.567697000000001</v>
      </c>
      <c r="X1058" s="5">
        <v>108.120884</v>
      </c>
      <c r="Y1058" s="5">
        <v>116.75</v>
      </c>
      <c r="Z1058" s="5">
        <v>12.559718</v>
      </c>
      <c r="AA1058" s="5">
        <v>108.162858</v>
      </c>
      <c r="AB1058" s="7">
        <f t="shared" si="97"/>
        <v>11.747835</v>
      </c>
      <c r="AC1058" s="7">
        <f t="shared" si="98"/>
        <v>0.175125</v>
      </c>
      <c r="AD1058" s="6" t="str">
        <f t="shared" si="99"/>
        <v>KRông Ana</v>
      </c>
      <c r="AE1058" s="6" t="str">
        <f t="shared" si="100"/>
        <v>Cư Kuin</v>
      </c>
      <c r="AG1058">
        <f t="shared" si="101"/>
        <v>7.8318900000000005</v>
      </c>
      <c r="AH1058">
        <f t="shared" si="102"/>
        <v>0.11675000000000001</v>
      </c>
    </row>
    <row r="1059" spans="1:34" x14ac:dyDescent="0.25">
      <c r="A1059" t="s">
        <v>10281</v>
      </c>
      <c r="B1059" t="s">
        <v>8524</v>
      </c>
      <c r="C1059" t="s">
        <v>8525</v>
      </c>
      <c r="D1059" t="s">
        <v>8592</v>
      </c>
      <c r="E1059" t="s">
        <v>8593</v>
      </c>
      <c r="F1059" t="s">
        <v>10282</v>
      </c>
      <c r="G1059" t="s">
        <v>15979</v>
      </c>
      <c r="H1059" t="s">
        <v>15980</v>
      </c>
      <c r="I1059" t="s">
        <v>16867</v>
      </c>
      <c r="J1059" t="s">
        <v>23</v>
      </c>
      <c r="L1059" t="s">
        <v>9126</v>
      </c>
      <c r="M1059" t="s">
        <v>10283</v>
      </c>
      <c r="N1059" t="s">
        <v>10284</v>
      </c>
      <c r="O1059" t="s">
        <v>10285</v>
      </c>
      <c r="P1059" t="s">
        <v>10286</v>
      </c>
      <c r="Q1059" t="s">
        <v>10287</v>
      </c>
      <c r="R1059" t="s">
        <v>10288</v>
      </c>
      <c r="S1059" t="s">
        <v>10289</v>
      </c>
      <c r="T1059" t="s">
        <v>9134</v>
      </c>
      <c r="U1059" s="5">
        <v>16251.38</v>
      </c>
      <c r="V1059" s="5">
        <v>15501.01</v>
      </c>
      <c r="W1059" s="5">
        <v>12.699287</v>
      </c>
      <c r="X1059" s="5">
        <v>108.16922700000001</v>
      </c>
      <c r="Y1059" s="5">
        <v>750.37</v>
      </c>
      <c r="Z1059" s="5">
        <v>12.661210000000001</v>
      </c>
      <c r="AA1059" s="5">
        <v>108.347521</v>
      </c>
      <c r="AB1059" s="7">
        <f t="shared" si="97"/>
        <v>23.251514999999998</v>
      </c>
      <c r="AC1059" s="7">
        <f t="shared" si="98"/>
        <v>1.1255550000000001</v>
      </c>
      <c r="AD1059" s="6" t="str">
        <f t="shared" si="99"/>
        <v>TT1 Đăk Lăk</v>
      </c>
      <c r="AE1059" s="6" t="str">
        <f t="shared" si="100"/>
        <v>ILA Ea Pal</v>
      </c>
      <c r="AG1059">
        <f t="shared" si="101"/>
        <v>15.501010000000001</v>
      </c>
      <c r="AH1059">
        <f t="shared" si="102"/>
        <v>0.75036999999999998</v>
      </c>
    </row>
    <row r="1060" spans="1:34" x14ac:dyDescent="0.25">
      <c r="A1060" t="s">
        <v>10290</v>
      </c>
      <c r="B1060" t="s">
        <v>8592</v>
      </c>
      <c r="C1060" t="s">
        <v>8593</v>
      </c>
      <c r="D1060" t="s">
        <v>10252</v>
      </c>
      <c r="E1060" t="s">
        <v>10253</v>
      </c>
      <c r="F1060" t="s">
        <v>10291</v>
      </c>
      <c r="G1060" t="s">
        <v>15979</v>
      </c>
      <c r="H1060" t="s">
        <v>15980</v>
      </c>
      <c r="I1060" t="s">
        <v>16868</v>
      </c>
      <c r="J1060" t="s">
        <v>23</v>
      </c>
      <c r="L1060" t="s">
        <v>9126</v>
      </c>
      <c r="M1060" t="s">
        <v>10292</v>
      </c>
      <c r="N1060" t="s">
        <v>10287</v>
      </c>
      <c r="O1060" t="s">
        <v>10288</v>
      </c>
      <c r="P1060" t="s">
        <v>10289</v>
      </c>
      <c r="Q1060" t="s">
        <v>10265</v>
      </c>
      <c r="R1060" t="s">
        <v>10266</v>
      </c>
      <c r="S1060" t="s">
        <v>10267</v>
      </c>
      <c r="T1060" t="s">
        <v>9134</v>
      </c>
      <c r="U1060" s="5">
        <v>972.56</v>
      </c>
      <c r="V1060" s="5">
        <v>750.37</v>
      </c>
      <c r="W1060" s="5">
        <v>12.661210000000001</v>
      </c>
      <c r="X1060" s="5">
        <v>108.347521</v>
      </c>
      <c r="Y1060" s="5">
        <v>222.19</v>
      </c>
      <c r="Z1060" s="5">
        <v>12.716179</v>
      </c>
      <c r="AA1060" s="5">
        <v>108.23956200000001</v>
      </c>
      <c r="AB1060" s="7">
        <f t="shared" si="97"/>
        <v>1.1255550000000001</v>
      </c>
      <c r="AC1060" s="7">
        <f t="shared" si="98"/>
        <v>0.33328499999999994</v>
      </c>
      <c r="AD1060" s="6" t="str">
        <f t="shared" si="99"/>
        <v>TT1 Đăk Lăk</v>
      </c>
      <c r="AE1060" s="6" t="str">
        <f t="shared" si="100"/>
        <v>ILA Ea Pal</v>
      </c>
      <c r="AG1060">
        <f t="shared" si="101"/>
        <v>0.75036999999999998</v>
      </c>
      <c r="AH1060">
        <f t="shared" si="102"/>
        <v>0.22219</v>
      </c>
    </row>
    <row r="1061" spans="1:34" x14ac:dyDescent="0.25">
      <c r="A1061" t="s">
        <v>10259</v>
      </c>
      <c r="B1061" t="s">
        <v>8636</v>
      </c>
      <c r="C1061" t="s">
        <v>8637</v>
      </c>
      <c r="D1061" t="s">
        <v>10252</v>
      </c>
      <c r="E1061" t="s">
        <v>10253</v>
      </c>
      <c r="F1061" t="s">
        <v>10260</v>
      </c>
      <c r="G1061" t="s">
        <v>15979</v>
      </c>
      <c r="H1061" t="s">
        <v>15980</v>
      </c>
      <c r="I1061" t="s">
        <v>16865</v>
      </c>
      <c r="J1061" t="s">
        <v>23</v>
      </c>
      <c r="L1061" t="s">
        <v>9126</v>
      </c>
      <c r="M1061" t="s">
        <v>10261</v>
      </c>
      <c r="N1061" t="s">
        <v>10262</v>
      </c>
      <c r="O1061" t="s">
        <v>10263</v>
      </c>
      <c r="P1061" t="s">
        <v>10264</v>
      </c>
      <c r="Q1061" t="s">
        <v>10265</v>
      </c>
      <c r="R1061" t="s">
        <v>10266</v>
      </c>
      <c r="S1061" t="s">
        <v>10267</v>
      </c>
      <c r="T1061" t="s">
        <v>9134</v>
      </c>
      <c r="U1061" s="5">
        <v>2711.82</v>
      </c>
      <c r="V1061" s="5">
        <v>2489.64</v>
      </c>
      <c r="W1061" s="5">
        <v>12.684058</v>
      </c>
      <c r="X1061" s="5">
        <v>108.075749</v>
      </c>
      <c r="Y1061" s="5">
        <v>222.19</v>
      </c>
      <c r="Z1061" s="5">
        <v>12.716179</v>
      </c>
      <c r="AA1061" s="5">
        <v>108.23956200000001</v>
      </c>
      <c r="AB1061" s="7">
        <f t="shared" si="97"/>
        <v>3.7344599999999999</v>
      </c>
      <c r="AC1061" s="7">
        <f t="shared" si="98"/>
        <v>0.33328499999999994</v>
      </c>
      <c r="AD1061" s="6" t="str">
        <f t="shared" si="99"/>
        <v>TT1 Đăk Lăk</v>
      </c>
      <c r="AE1061" s="6" t="str">
        <f t="shared" si="100"/>
        <v>ILA Ea Pal</v>
      </c>
      <c r="AG1061">
        <f t="shared" si="101"/>
        <v>2.4896400000000001</v>
      </c>
      <c r="AH1061">
        <f t="shared" si="102"/>
        <v>0.22219</v>
      </c>
    </row>
    <row r="1062" spans="1:34" x14ac:dyDescent="0.25">
      <c r="A1062" t="s">
        <v>10293</v>
      </c>
      <c r="B1062" t="s">
        <v>10294</v>
      </c>
      <c r="C1062" t="s">
        <v>10295</v>
      </c>
      <c r="D1062" t="s">
        <v>10296</v>
      </c>
      <c r="E1062" t="s">
        <v>10297</v>
      </c>
      <c r="F1062" t="s">
        <v>10298</v>
      </c>
      <c r="G1062" t="s">
        <v>15979</v>
      </c>
      <c r="H1062" t="s">
        <v>15980</v>
      </c>
      <c r="I1062" t="s">
        <v>16869</v>
      </c>
      <c r="J1062" t="s">
        <v>23</v>
      </c>
      <c r="L1062" t="s">
        <v>10299</v>
      </c>
      <c r="M1062" t="s">
        <v>10300</v>
      </c>
      <c r="N1062" t="s">
        <v>10301</v>
      </c>
      <c r="O1062" t="s">
        <v>10302</v>
      </c>
      <c r="P1062" t="s">
        <v>10303</v>
      </c>
      <c r="Q1062" t="s">
        <v>10304</v>
      </c>
      <c r="R1062" t="s">
        <v>10305</v>
      </c>
      <c r="S1062" t="s">
        <v>10306</v>
      </c>
      <c r="T1062" t="s">
        <v>10307</v>
      </c>
      <c r="U1062" s="5">
        <v>119.77</v>
      </c>
      <c r="V1062" s="5">
        <v>117.93</v>
      </c>
      <c r="W1062" s="5">
        <v>12.813067</v>
      </c>
      <c r="X1062" s="5">
        <v>108.51879599999999</v>
      </c>
      <c r="Y1062" s="5">
        <v>1.84</v>
      </c>
      <c r="Z1062" s="5">
        <v>12.803341</v>
      </c>
      <c r="AA1062" s="5">
        <v>108.541213</v>
      </c>
      <c r="AB1062" s="7">
        <f t="shared" si="97"/>
        <v>0.176895</v>
      </c>
      <c r="AC1062" s="7">
        <f t="shared" si="98"/>
        <v>2.7600000000000003E-3</v>
      </c>
      <c r="AD1062" s="6" t="str">
        <f t="shared" si="99"/>
        <v>Ea Knốp</v>
      </c>
      <c r="AE1062" s="6" t="str">
        <f t="shared" si="100"/>
        <v>TTCMKV Ea Kar</v>
      </c>
      <c r="AG1062">
        <f t="shared" si="101"/>
        <v>0.11793000000000001</v>
      </c>
      <c r="AH1062">
        <f t="shared" si="102"/>
        <v>1.8400000000000001E-3</v>
      </c>
    </row>
    <row r="1063" spans="1:34" x14ac:dyDescent="0.25">
      <c r="A1063" t="s">
        <v>10308</v>
      </c>
      <c r="B1063" t="s">
        <v>10296</v>
      </c>
      <c r="C1063" t="s">
        <v>10297</v>
      </c>
      <c r="D1063" t="s">
        <v>10309</v>
      </c>
      <c r="E1063" t="s">
        <v>10310</v>
      </c>
      <c r="F1063" t="s">
        <v>10311</v>
      </c>
      <c r="G1063" t="s">
        <v>15979</v>
      </c>
      <c r="H1063" t="s">
        <v>15980</v>
      </c>
      <c r="I1063" t="s">
        <v>16870</v>
      </c>
      <c r="J1063" t="s">
        <v>23</v>
      </c>
      <c r="L1063" t="s">
        <v>10312</v>
      </c>
      <c r="M1063" t="s">
        <v>10313</v>
      </c>
      <c r="N1063" t="s">
        <v>10314</v>
      </c>
      <c r="O1063" t="s">
        <v>10315</v>
      </c>
      <c r="P1063" t="s">
        <v>10316</v>
      </c>
      <c r="Q1063" t="s">
        <v>10317</v>
      </c>
      <c r="R1063" t="s">
        <v>10318</v>
      </c>
      <c r="S1063" t="s">
        <v>10319</v>
      </c>
      <c r="T1063" t="s">
        <v>10320</v>
      </c>
      <c r="U1063" s="5">
        <v>1343.96</v>
      </c>
      <c r="V1063" s="5">
        <v>226.79</v>
      </c>
      <c r="W1063" s="5">
        <v>12.805263999999999</v>
      </c>
      <c r="X1063" s="5">
        <v>108.54186300000001</v>
      </c>
      <c r="Y1063" s="5">
        <v>1117.17</v>
      </c>
      <c r="Z1063" s="5">
        <v>12.811743999999999</v>
      </c>
      <c r="AA1063" s="5">
        <v>108.470349</v>
      </c>
      <c r="AB1063" s="7">
        <f t="shared" si="97"/>
        <v>0.34018500000000002</v>
      </c>
      <c r="AC1063" s="7">
        <f t="shared" si="98"/>
        <v>1.6757550000000001</v>
      </c>
      <c r="AD1063" s="6" t="str">
        <f t="shared" si="99"/>
        <v>Trung thế 472EKA__1</v>
      </c>
      <c r="AE1063" s="6" t="str">
        <f t="shared" si="100"/>
        <v>2-3_C5__5</v>
      </c>
      <c r="AG1063">
        <f t="shared" si="101"/>
        <v>0.22678999999999999</v>
      </c>
      <c r="AH1063">
        <f t="shared" si="102"/>
        <v>1.11717</v>
      </c>
    </row>
    <row r="1064" spans="1:34" x14ac:dyDescent="0.25">
      <c r="A1064" t="s">
        <v>10321</v>
      </c>
      <c r="B1064" t="s">
        <v>8552</v>
      </c>
      <c r="C1064" t="s">
        <v>8553</v>
      </c>
      <c r="D1064" t="s">
        <v>10309</v>
      </c>
      <c r="E1064" t="s">
        <v>10310</v>
      </c>
      <c r="F1064" t="s">
        <v>10322</v>
      </c>
      <c r="G1064" t="s">
        <v>15979</v>
      </c>
      <c r="H1064" t="s">
        <v>15980</v>
      </c>
      <c r="I1064" t="s">
        <v>16871</v>
      </c>
      <c r="J1064" t="s">
        <v>23</v>
      </c>
      <c r="L1064" t="s">
        <v>8432</v>
      </c>
      <c r="M1064" t="s">
        <v>10323</v>
      </c>
      <c r="N1064" t="s">
        <v>8559</v>
      </c>
      <c r="O1064" t="s">
        <v>8438</v>
      </c>
      <c r="P1064" t="s">
        <v>8439</v>
      </c>
      <c r="Q1064" t="s">
        <v>10324</v>
      </c>
      <c r="R1064" t="s">
        <v>10325</v>
      </c>
      <c r="S1064" t="s">
        <v>10326</v>
      </c>
      <c r="T1064" t="s">
        <v>8440</v>
      </c>
      <c r="U1064" s="5">
        <v>116.89</v>
      </c>
      <c r="V1064" s="5">
        <v>69.25</v>
      </c>
      <c r="W1064" s="5">
        <v>12.811565999999999</v>
      </c>
      <c r="X1064" s="5">
        <v>108.483311</v>
      </c>
      <c r="Y1064" s="5">
        <v>47.64</v>
      </c>
      <c r="Z1064" s="5">
        <v>12.812188000000001</v>
      </c>
      <c r="AA1064" s="5">
        <v>108.45995600000001</v>
      </c>
      <c r="AB1064" s="7">
        <f t="shared" si="97"/>
        <v>0.103875</v>
      </c>
      <c r="AC1064" s="7">
        <f t="shared" si="98"/>
        <v>7.146000000000001E-2</v>
      </c>
      <c r="AD1064" s="6" t="str">
        <f t="shared" si="99"/>
        <v>TT1 Đăk Lăk</v>
      </c>
      <c r="AE1064" s="6" t="str">
        <f t="shared" si="100"/>
        <v>ILA Ea Kar</v>
      </c>
      <c r="AG1064">
        <f t="shared" si="101"/>
        <v>6.9250000000000006E-2</v>
      </c>
      <c r="AH1064">
        <f t="shared" si="102"/>
        <v>4.7640000000000002E-2</v>
      </c>
    </row>
    <row r="1065" spans="1:34" x14ac:dyDescent="0.25">
      <c r="A1065" t="s">
        <v>10327</v>
      </c>
      <c r="B1065" t="s">
        <v>8552</v>
      </c>
      <c r="C1065" t="s">
        <v>8553</v>
      </c>
      <c r="D1065" t="s">
        <v>10328</v>
      </c>
      <c r="E1065" t="s">
        <v>10329</v>
      </c>
      <c r="F1065" t="s">
        <v>10330</v>
      </c>
      <c r="G1065" t="s">
        <v>15979</v>
      </c>
      <c r="H1065" t="s">
        <v>15980</v>
      </c>
      <c r="I1065" t="s">
        <v>16872</v>
      </c>
      <c r="J1065" t="s">
        <v>23</v>
      </c>
      <c r="L1065" t="s">
        <v>10242</v>
      </c>
      <c r="M1065" t="s">
        <v>10331</v>
      </c>
      <c r="N1065" t="s">
        <v>10244</v>
      </c>
      <c r="O1065" t="s">
        <v>10245</v>
      </c>
      <c r="P1065" t="s">
        <v>10246</v>
      </c>
      <c r="Q1065" t="s">
        <v>10332</v>
      </c>
      <c r="R1065" t="s">
        <v>10333</v>
      </c>
      <c r="S1065" t="s">
        <v>10334</v>
      </c>
      <c r="T1065" t="s">
        <v>10250</v>
      </c>
      <c r="U1065" s="5">
        <v>175.65</v>
      </c>
      <c r="V1065" s="5">
        <v>70.81</v>
      </c>
      <c r="W1065" s="5">
        <v>12.81155</v>
      </c>
      <c r="X1065" s="5">
        <v>108.48330900000001</v>
      </c>
      <c r="Y1065" s="5">
        <v>104.85</v>
      </c>
      <c r="Z1065" s="5">
        <v>12.841301</v>
      </c>
      <c r="AA1065" s="5">
        <v>108.430002</v>
      </c>
      <c r="AB1065" s="7">
        <f t="shared" si="97"/>
        <v>0.106215</v>
      </c>
      <c r="AC1065" s="7">
        <f t="shared" si="98"/>
        <v>0.15727499999999997</v>
      </c>
      <c r="AD1065" s="6" t="e">
        <f t="shared" si="99"/>
        <v>#VALUE!</v>
      </c>
      <c r="AE1065" s="6" t="e">
        <f t="shared" si="100"/>
        <v>#VALUE!</v>
      </c>
      <c r="AG1065">
        <f t="shared" si="101"/>
        <v>7.0809999999999998E-2</v>
      </c>
      <c r="AH1065">
        <f t="shared" si="102"/>
        <v>0.10485</v>
      </c>
    </row>
    <row r="1066" spans="1:34" x14ac:dyDescent="0.25">
      <c r="A1066" t="s">
        <v>10335</v>
      </c>
      <c r="B1066" t="s">
        <v>10336</v>
      </c>
      <c r="C1066" t="s">
        <v>10337</v>
      </c>
      <c r="D1066" t="s">
        <v>8552</v>
      </c>
      <c r="E1066" t="s">
        <v>8553</v>
      </c>
      <c r="F1066" t="s">
        <v>10338</v>
      </c>
      <c r="G1066" t="s">
        <v>15979</v>
      </c>
      <c r="H1066" t="s">
        <v>15980</v>
      </c>
      <c r="I1066" t="s">
        <v>16873</v>
      </c>
      <c r="J1066" t="s">
        <v>23</v>
      </c>
      <c r="L1066" t="s">
        <v>8432</v>
      </c>
      <c r="M1066" t="s">
        <v>10339</v>
      </c>
      <c r="N1066" t="s">
        <v>10340</v>
      </c>
      <c r="O1066" t="s">
        <v>10341</v>
      </c>
      <c r="P1066" t="s">
        <v>10342</v>
      </c>
      <c r="Q1066" t="s">
        <v>8559</v>
      </c>
      <c r="R1066" t="s">
        <v>8438</v>
      </c>
      <c r="S1066" t="s">
        <v>8439</v>
      </c>
      <c r="T1066" t="s">
        <v>8440</v>
      </c>
      <c r="U1066" s="5">
        <v>1380.85</v>
      </c>
      <c r="V1066" s="5">
        <v>1311.61</v>
      </c>
      <c r="W1066" s="5">
        <v>12.770509000000001</v>
      </c>
      <c r="X1066" s="5">
        <v>108.405835</v>
      </c>
      <c r="Y1066" s="5">
        <v>69.25</v>
      </c>
      <c r="Z1066" s="5">
        <v>12.811565999999999</v>
      </c>
      <c r="AA1066" s="5">
        <v>108.483311</v>
      </c>
      <c r="AB1066" s="7">
        <f t="shared" si="97"/>
        <v>1.9674149999999999</v>
      </c>
      <c r="AC1066" s="7">
        <f t="shared" si="98"/>
        <v>0.103875</v>
      </c>
      <c r="AD1066" s="6" t="str">
        <f t="shared" si="99"/>
        <v>TT1 Đăk Lăk</v>
      </c>
      <c r="AE1066" s="6" t="str">
        <f t="shared" si="100"/>
        <v>ILA Ea Kar</v>
      </c>
      <c r="AG1066">
        <f t="shared" si="101"/>
        <v>1.3116099999999999</v>
      </c>
      <c r="AH1066">
        <f t="shared" si="102"/>
        <v>6.9250000000000006E-2</v>
      </c>
    </row>
    <row r="1067" spans="1:34" x14ac:dyDescent="0.25">
      <c r="A1067" t="s">
        <v>10343</v>
      </c>
      <c r="B1067" t="s">
        <v>10344</v>
      </c>
      <c r="C1067" t="s">
        <v>10345</v>
      </c>
      <c r="D1067" t="s">
        <v>10336</v>
      </c>
      <c r="E1067" t="s">
        <v>10337</v>
      </c>
      <c r="F1067" t="s">
        <v>10346</v>
      </c>
      <c r="G1067" t="s">
        <v>15979</v>
      </c>
      <c r="H1067" t="s">
        <v>15980</v>
      </c>
      <c r="I1067" t="s">
        <v>16874</v>
      </c>
      <c r="J1067" t="s">
        <v>23</v>
      </c>
      <c r="L1067" t="s">
        <v>10347</v>
      </c>
      <c r="M1067" t="s">
        <v>10348</v>
      </c>
      <c r="N1067" t="s">
        <v>10349</v>
      </c>
      <c r="O1067" t="s">
        <v>10350</v>
      </c>
      <c r="P1067" t="s">
        <v>10351</v>
      </c>
      <c r="Q1067" t="s">
        <v>10352</v>
      </c>
      <c r="R1067" t="s">
        <v>10353</v>
      </c>
      <c r="S1067" t="s">
        <v>10354</v>
      </c>
      <c r="T1067" t="s">
        <v>10355</v>
      </c>
      <c r="U1067" s="5">
        <v>1467.87</v>
      </c>
      <c r="V1067" s="5">
        <v>85.4</v>
      </c>
      <c r="W1067" s="5">
        <v>12.727708</v>
      </c>
      <c r="X1067" s="5">
        <v>108.36395400000001</v>
      </c>
      <c r="Y1067" s="5">
        <v>1382.47</v>
      </c>
      <c r="Z1067" s="5">
        <v>12.769828</v>
      </c>
      <c r="AA1067" s="5">
        <v>108.40437</v>
      </c>
      <c r="AB1067" s="7">
        <f t="shared" si="97"/>
        <v>0.12810000000000002</v>
      </c>
      <c r="AC1067" s="7">
        <f t="shared" si="98"/>
        <v>2.0737049999999999</v>
      </c>
      <c r="AD1067" s="6" t="str">
        <f t="shared" si="99"/>
        <v>KRông Păk</v>
      </c>
      <c r="AE1067" s="6" t="str">
        <f t="shared" si="100"/>
        <v>Trại giam Đăk Tân (C10)</v>
      </c>
      <c r="AG1067">
        <f t="shared" si="101"/>
        <v>8.5400000000000004E-2</v>
      </c>
      <c r="AH1067">
        <f t="shared" si="102"/>
        <v>1.3824700000000001</v>
      </c>
    </row>
    <row r="1068" spans="1:34" x14ac:dyDescent="0.25">
      <c r="A1068" t="s">
        <v>10356</v>
      </c>
      <c r="B1068" t="s">
        <v>10252</v>
      </c>
      <c r="C1068" t="s">
        <v>10253</v>
      </c>
      <c r="D1068" t="s">
        <v>10344</v>
      </c>
      <c r="E1068" t="s">
        <v>10345</v>
      </c>
      <c r="F1068" t="s">
        <v>10357</v>
      </c>
      <c r="G1068" t="s">
        <v>15979</v>
      </c>
      <c r="H1068" t="s">
        <v>15980</v>
      </c>
      <c r="I1068" t="s">
        <v>16875</v>
      </c>
      <c r="J1068" t="s">
        <v>23</v>
      </c>
      <c r="L1068" t="s">
        <v>9126</v>
      </c>
      <c r="M1068" t="s">
        <v>10358</v>
      </c>
      <c r="N1068" t="s">
        <v>10265</v>
      </c>
      <c r="O1068" t="s">
        <v>10266</v>
      </c>
      <c r="P1068" t="s">
        <v>10267</v>
      </c>
      <c r="Q1068" t="s">
        <v>10359</v>
      </c>
      <c r="R1068" t="s">
        <v>10360</v>
      </c>
      <c r="S1068" t="s">
        <v>10361</v>
      </c>
      <c r="T1068" t="s">
        <v>9134</v>
      </c>
      <c r="U1068" s="5">
        <v>5159.71</v>
      </c>
      <c r="V1068" s="5">
        <v>222.19</v>
      </c>
      <c r="W1068" s="5">
        <v>12.716179</v>
      </c>
      <c r="X1068" s="5">
        <v>108.23956200000001</v>
      </c>
      <c r="Y1068" s="5">
        <v>4937.53</v>
      </c>
      <c r="Z1068" s="5">
        <v>12.699309</v>
      </c>
      <c r="AA1068" s="5">
        <v>108.328397</v>
      </c>
      <c r="AB1068" s="7">
        <f t="shared" si="97"/>
        <v>0.33328499999999994</v>
      </c>
      <c r="AC1068" s="7">
        <f t="shared" si="98"/>
        <v>7.4062950000000001</v>
      </c>
      <c r="AD1068" s="6" t="str">
        <f t="shared" si="99"/>
        <v>TT1 Đăk Lăk</v>
      </c>
      <c r="AE1068" s="6" t="str">
        <f t="shared" si="100"/>
        <v>ILA Ea Pal</v>
      </c>
      <c r="AG1068">
        <f t="shared" si="101"/>
        <v>0.22219</v>
      </c>
      <c r="AH1068">
        <f t="shared" si="102"/>
        <v>4.9375299999999998</v>
      </c>
    </row>
    <row r="1069" spans="1:34" x14ac:dyDescent="0.25">
      <c r="A1069" t="s">
        <v>10362</v>
      </c>
      <c r="B1069" t="s">
        <v>8552</v>
      </c>
      <c r="C1069" t="s">
        <v>8553</v>
      </c>
      <c r="D1069" t="s">
        <v>10363</v>
      </c>
      <c r="E1069" t="s">
        <v>10364</v>
      </c>
      <c r="F1069" t="s">
        <v>10365</v>
      </c>
      <c r="G1069" t="s">
        <v>15979</v>
      </c>
      <c r="H1069" t="s">
        <v>15980</v>
      </c>
      <c r="I1069" t="s">
        <v>16876</v>
      </c>
      <c r="J1069" t="s">
        <v>23</v>
      </c>
      <c r="L1069" t="s">
        <v>10366</v>
      </c>
      <c r="M1069" t="s">
        <v>10367</v>
      </c>
      <c r="N1069" t="s">
        <v>10368</v>
      </c>
      <c r="O1069" t="s">
        <v>10369</v>
      </c>
      <c r="P1069" t="s">
        <v>10370</v>
      </c>
      <c r="Q1069" t="s">
        <v>10371</v>
      </c>
      <c r="R1069" t="s">
        <v>10372</v>
      </c>
      <c r="S1069" t="s">
        <v>10373</v>
      </c>
      <c r="T1069" t="s">
        <v>10374</v>
      </c>
      <c r="U1069" s="5">
        <v>5101.38</v>
      </c>
      <c r="V1069" s="5">
        <v>70.5</v>
      </c>
      <c r="W1069" s="5">
        <v>12.811557000000001</v>
      </c>
      <c r="X1069" s="5">
        <v>108.483304</v>
      </c>
      <c r="Y1069" s="5">
        <v>5030.8900000000003</v>
      </c>
      <c r="Z1069" s="5">
        <v>12.721520999999999</v>
      </c>
      <c r="AA1069" s="5">
        <v>108.48093</v>
      </c>
      <c r="AB1069" s="7">
        <f t="shared" si="97"/>
        <v>0.10575</v>
      </c>
      <c r="AC1069" s="7">
        <f t="shared" si="98"/>
        <v>7.5463350000000009</v>
      </c>
      <c r="AD1069" s="6" t="str">
        <f t="shared" si="99"/>
        <v>Ea Ô</v>
      </c>
      <c r="AE1069" s="6" t="str">
        <f t="shared" si="100"/>
        <v>TTCMKV Ea Kar</v>
      </c>
      <c r="AG1069">
        <f t="shared" si="101"/>
        <v>7.0499999999999993E-2</v>
      </c>
      <c r="AH1069">
        <f t="shared" si="102"/>
        <v>5.0308900000000003</v>
      </c>
    </row>
    <row r="1070" spans="1:34" x14ac:dyDescent="0.25">
      <c r="A1070" t="s">
        <v>10375</v>
      </c>
      <c r="B1070" t="s">
        <v>10376</v>
      </c>
      <c r="C1070" t="s">
        <v>10377</v>
      </c>
      <c r="D1070" t="s">
        <v>10378</v>
      </c>
      <c r="E1070" t="s">
        <v>10379</v>
      </c>
      <c r="F1070" t="s">
        <v>10380</v>
      </c>
      <c r="G1070" t="s">
        <v>15979</v>
      </c>
      <c r="H1070" t="s">
        <v>15980</v>
      </c>
      <c r="I1070" t="s">
        <v>16877</v>
      </c>
      <c r="J1070" t="s">
        <v>23</v>
      </c>
      <c r="L1070" t="s">
        <v>10381</v>
      </c>
      <c r="M1070" t="s">
        <v>10382</v>
      </c>
      <c r="N1070" t="s">
        <v>10383</v>
      </c>
      <c r="O1070" t="s">
        <v>10384</v>
      </c>
      <c r="P1070" t="s">
        <v>10385</v>
      </c>
      <c r="Q1070" t="s">
        <v>10386</v>
      </c>
      <c r="R1070" t="s">
        <v>10387</v>
      </c>
      <c r="S1070" t="s">
        <v>10388</v>
      </c>
      <c r="T1070" t="s">
        <v>10389</v>
      </c>
      <c r="U1070" s="5">
        <v>7268.34</v>
      </c>
      <c r="V1070" s="5">
        <v>127.41</v>
      </c>
      <c r="W1070" s="5">
        <v>12.658647</v>
      </c>
      <c r="X1070" s="5">
        <v>108.43165500000001</v>
      </c>
      <c r="Y1070" s="5">
        <v>7140.93</v>
      </c>
      <c r="Z1070" s="5">
        <v>12.634971</v>
      </c>
      <c r="AA1070" s="5">
        <v>108.39324000000001</v>
      </c>
      <c r="AB1070" s="7">
        <f t="shared" si="97"/>
        <v>0.19111500000000001</v>
      </c>
      <c r="AC1070" s="7">
        <f t="shared" si="98"/>
        <v>10.711395</v>
      </c>
      <c r="AD1070" s="6" t="e">
        <f t="shared" si="99"/>
        <v>#VALUE!</v>
      </c>
      <c r="AE1070" s="6" t="e">
        <f t="shared" si="100"/>
        <v>#VALUE!</v>
      </c>
      <c r="AG1070">
        <f t="shared" si="101"/>
        <v>0.12741</v>
      </c>
      <c r="AH1070">
        <f t="shared" si="102"/>
        <v>7.14093</v>
      </c>
    </row>
    <row r="1071" spans="1:34" x14ac:dyDescent="0.25">
      <c r="A1071" t="s">
        <v>10390</v>
      </c>
      <c r="B1071" t="s">
        <v>10391</v>
      </c>
      <c r="C1071" t="s">
        <v>10392</v>
      </c>
      <c r="D1071" t="s">
        <v>10376</v>
      </c>
      <c r="E1071" t="s">
        <v>10377</v>
      </c>
      <c r="F1071" t="s">
        <v>10393</v>
      </c>
      <c r="G1071" t="s">
        <v>15979</v>
      </c>
      <c r="H1071" t="s">
        <v>15980</v>
      </c>
      <c r="I1071" t="s">
        <v>16878</v>
      </c>
      <c r="J1071" t="s">
        <v>23</v>
      </c>
      <c r="L1071" t="s">
        <v>9126</v>
      </c>
      <c r="M1071" t="s">
        <v>10394</v>
      </c>
      <c r="N1071" t="s">
        <v>10395</v>
      </c>
      <c r="O1071" t="s">
        <v>10396</v>
      </c>
      <c r="P1071" t="s">
        <v>10397</v>
      </c>
      <c r="Q1071" t="s">
        <v>10398</v>
      </c>
      <c r="R1071" t="s">
        <v>10399</v>
      </c>
      <c r="S1071" t="s">
        <v>10400</v>
      </c>
      <c r="T1071" t="s">
        <v>9134</v>
      </c>
      <c r="U1071" s="5">
        <v>4715.5</v>
      </c>
      <c r="V1071" s="5">
        <v>4559.54</v>
      </c>
      <c r="W1071" s="5">
        <v>12.654074</v>
      </c>
      <c r="X1071" s="5">
        <v>108.369075</v>
      </c>
      <c r="Y1071" s="5">
        <v>155.96</v>
      </c>
      <c r="Z1071" s="5">
        <v>12.658018</v>
      </c>
      <c r="AA1071" s="5">
        <v>108.431682</v>
      </c>
      <c r="AB1071" s="7">
        <f t="shared" si="97"/>
        <v>6.8393099999999993</v>
      </c>
      <c r="AC1071" s="7">
        <f t="shared" si="98"/>
        <v>0.23394000000000001</v>
      </c>
      <c r="AD1071" s="6" t="str">
        <f t="shared" si="99"/>
        <v>TT1 Đăk Lăk</v>
      </c>
      <c r="AE1071" s="6" t="str">
        <f t="shared" si="100"/>
        <v>ILA Ea Pal</v>
      </c>
      <c r="AG1071">
        <f t="shared" si="101"/>
        <v>4.5595400000000001</v>
      </c>
      <c r="AH1071">
        <f t="shared" si="102"/>
        <v>0.15596000000000002</v>
      </c>
    </row>
    <row r="1072" spans="1:34" x14ac:dyDescent="0.25">
      <c r="A1072" t="s">
        <v>10401</v>
      </c>
      <c r="B1072" t="s">
        <v>8552</v>
      </c>
      <c r="C1072" t="s">
        <v>8553</v>
      </c>
      <c r="D1072" t="s">
        <v>10402</v>
      </c>
      <c r="E1072" t="s">
        <v>10403</v>
      </c>
      <c r="F1072" t="s">
        <v>10404</v>
      </c>
      <c r="G1072" t="s">
        <v>15979</v>
      </c>
      <c r="H1072" t="s">
        <v>15980</v>
      </c>
      <c r="I1072" t="s">
        <v>16879</v>
      </c>
      <c r="J1072" t="s">
        <v>23</v>
      </c>
      <c r="L1072" t="s">
        <v>10405</v>
      </c>
      <c r="M1072" t="s">
        <v>10406</v>
      </c>
      <c r="N1072" t="s">
        <v>10407</v>
      </c>
      <c r="O1072" t="s">
        <v>10408</v>
      </c>
      <c r="P1072" t="s">
        <v>10409</v>
      </c>
      <c r="Q1072" t="s">
        <v>10410</v>
      </c>
      <c r="R1072" t="s">
        <v>10411</v>
      </c>
      <c r="S1072" t="s">
        <v>10412</v>
      </c>
      <c r="T1072" t="s">
        <v>10413</v>
      </c>
      <c r="U1072" s="5">
        <v>3730.16</v>
      </c>
      <c r="V1072" s="5">
        <v>110.23</v>
      </c>
      <c r="W1072" s="5">
        <v>12.81124</v>
      </c>
      <c r="X1072" s="5">
        <v>108.48427100000001</v>
      </c>
      <c r="Y1072" s="5">
        <v>3619.92</v>
      </c>
      <c r="Z1072" s="5">
        <v>12.749832</v>
      </c>
      <c r="AA1072" s="5">
        <v>108.542889</v>
      </c>
      <c r="AB1072" s="7">
        <f t="shared" si="97"/>
        <v>0.16534499999999999</v>
      </c>
      <c r="AC1072" s="7">
        <f t="shared" si="98"/>
        <v>5.4298799999999998</v>
      </c>
      <c r="AD1072" s="6" t="e">
        <f t="shared" si="99"/>
        <v>#VALUE!</v>
      </c>
      <c r="AE1072" s="6" t="e">
        <f t="shared" si="100"/>
        <v>#VALUE!</v>
      </c>
      <c r="AG1072">
        <f t="shared" si="101"/>
        <v>0.11023000000000001</v>
      </c>
      <c r="AH1072">
        <f t="shared" si="102"/>
        <v>3.61992</v>
      </c>
    </row>
    <row r="1073" spans="1:34" x14ac:dyDescent="0.25">
      <c r="A1073" t="s">
        <v>10414</v>
      </c>
      <c r="B1073" t="s">
        <v>10402</v>
      </c>
      <c r="C1073" t="s">
        <v>10403</v>
      </c>
      <c r="D1073" t="s">
        <v>10415</v>
      </c>
      <c r="E1073" t="s">
        <v>10416</v>
      </c>
      <c r="F1073" t="s">
        <v>10417</v>
      </c>
      <c r="G1073" t="s">
        <v>15979</v>
      </c>
      <c r="H1073" t="s">
        <v>15980</v>
      </c>
      <c r="I1073" t="s">
        <v>16880</v>
      </c>
      <c r="J1073" t="s">
        <v>23</v>
      </c>
      <c r="L1073" t="s">
        <v>10405</v>
      </c>
      <c r="M1073" t="s">
        <v>10418</v>
      </c>
      <c r="N1073" t="s">
        <v>10410</v>
      </c>
      <c r="O1073" t="s">
        <v>10411</v>
      </c>
      <c r="P1073" t="s">
        <v>10412</v>
      </c>
      <c r="Q1073" t="s">
        <v>10419</v>
      </c>
      <c r="R1073" t="s">
        <v>10420</v>
      </c>
      <c r="S1073" t="s">
        <v>10421</v>
      </c>
      <c r="T1073" t="s">
        <v>10413</v>
      </c>
      <c r="U1073" s="5">
        <v>3788.4</v>
      </c>
      <c r="V1073" s="5">
        <v>3619.92</v>
      </c>
      <c r="W1073" s="5">
        <v>12.749832</v>
      </c>
      <c r="X1073" s="5">
        <v>108.542889</v>
      </c>
      <c r="Y1073" s="5">
        <v>168.48</v>
      </c>
      <c r="Z1073" s="5">
        <v>12.726937</v>
      </c>
      <c r="AA1073" s="5">
        <v>108.554203</v>
      </c>
      <c r="AB1073" s="7">
        <f t="shared" si="97"/>
        <v>5.4298799999999998</v>
      </c>
      <c r="AC1073" s="7">
        <f t="shared" si="98"/>
        <v>0.25271999999999994</v>
      </c>
      <c r="AD1073" s="6" t="e">
        <f t="shared" si="99"/>
        <v>#VALUE!</v>
      </c>
      <c r="AE1073" s="6" t="e">
        <f t="shared" si="100"/>
        <v>#VALUE!</v>
      </c>
      <c r="AG1073">
        <f t="shared" si="101"/>
        <v>3.61992</v>
      </c>
      <c r="AH1073">
        <f t="shared" si="102"/>
        <v>0.16847999999999999</v>
      </c>
    </row>
    <row r="1074" spans="1:34" x14ac:dyDescent="0.25">
      <c r="A1074" t="s">
        <v>10422</v>
      </c>
      <c r="B1074" t="s">
        <v>10423</v>
      </c>
      <c r="C1074" t="s">
        <v>10424</v>
      </c>
      <c r="D1074" t="s">
        <v>10415</v>
      </c>
      <c r="E1074" t="s">
        <v>10416</v>
      </c>
      <c r="F1074" t="s">
        <v>10425</v>
      </c>
      <c r="G1074" t="s">
        <v>15979</v>
      </c>
      <c r="H1074" t="s">
        <v>15980</v>
      </c>
      <c r="I1074" t="s">
        <v>16881</v>
      </c>
      <c r="J1074" t="s">
        <v>23</v>
      </c>
      <c r="L1074" t="s">
        <v>9126</v>
      </c>
      <c r="M1074" t="s">
        <v>10426</v>
      </c>
      <c r="N1074" t="s">
        <v>10427</v>
      </c>
      <c r="O1074" t="s">
        <v>10428</v>
      </c>
      <c r="P1074" t="s">
        <v>10429</v>
      </c>
      <c r="Q1074" t="s">
        <v>10430</v>
      </c>
      <c r="R1074" t="s">
        <v>10431</v>
      </c>
      <c r="S1074" t="s">
        <v>10432</v>
      </c>
      <c r="T1074" t="s">
        <v>9134</v>
      </c>
      <c r="U1074" s="5">
        <v>6977.86</v>
      </c>
      <c r="V1074" s="5">
        <v>6805.83</v>
      </c>
      <c r="W1074" s="5">
        <v>12.700711</v>
      </c>
      <c r="X1074" s="5">
        <v>108.503832</v>
      </c>
      <c r="Y1074" s="5">
        <v>172.02</v>
      </c>
      <c r="Z1074" s="5">
        <v>12.726613</v>
      </c>
      <c r="AA1074" s="5">
        <v>108.55382</v>
      </c>
      <c r="AB1074" s="7">
        <f t="shared" si="97"/>
        <v>10.208744999999999</v>
      </c>
      <c r="AC1074" s="7">
        <f t="shared" si="98"/>
        <v>0.25803000000000004</v>
      </c>
      <c r="AD1074" s="6" t="str">
        <f t="shared" si="99"/>
        <v>TT1 Đăk Lăk</v>
      </c>
      <c r="AE1074" s="6" t="str">
        <f t="shared" si="100"/>
        <v>ILA Ea Pal</v>
      </c>
      <c r="AG1074">
        <f t="shared" si="101"/>
        <v>6.8058300000000003</v>
      </c>
      <c r="AH1074">
        <f t="shared" si="102"/>
        <v>0.17202000000000001</v>
      </c>
    </row>
    <row r="1075" spans="1:34" x14ac:dyDescent="0.25">
      <c r="A1075" t="s">
        <v>10433</v>
      </c>
      <c r="B1075" t="s">
        <v>8636</v>
      </c>
      <c r="C1075" t="s">
        <v>8637</v>
      </c>
      <c r="D1075" t="s">
        <v>10434</v>
      </c>
      <c r="E1075" t="s">
        <v>10435</v>
      </c>
      <c r="F1075" t="s">
        <v>10436</v>
      </c>
      <c r="G1075" t="s">
        <v>15979</v>
      </c>
      <c r="H1075" t="s">
        <v>15980</v>
      </c>
      <c r="I1075" t="s">
        <v>16882</v>
      </c>
      <c r="J1075" t="s">
        <v>23</v>
      </c>
      <c r="L1075" t="s">
        <v>10437</v>
      </c>
      <c r="M1075" t="s">
        <v>10438</v>
      </c>
      <c r="N1075" t="s">
        <v>10439</v>
      </c>
      <c r="O1075" t="s">
        <v>10440</v>
      </c>
      <c r="P1075" t="s">
        <v>10441</v>
      </c>
      <c r="Q1075" t="s">
        <v>2602</v>
      </c>
      <c r="R1075" t="s">
        <v>10442</v>
      </c>
      <c r="S1075" t="s">
        <v>10443</v>
      </c>
      <c r="T1075" t="s">
        <v>10444</v>
      </c>
      <c r="U1075" s="5">
        <v>1847.74</v>
      </c>
      <c r="V1075" s="5">
        <v>1752</v>
      </c>
      <c r="W1075" s="5">
        <v>12.690887</v>
      </c>
      <c r="X1075" s="5">
        <v>108.067472</v>
      </c>
      <c r="Y1075" s="5">
        <v>95.74</v>
      </c>
      <c r="Z1075" s="5">
        <v>12.703134</v>
      </c>
      <c r="AA1075" s="5">
        <v>108.15682200000001</v>
      </c>
      <c r="AB1075" s="7">
        <f t="shared" si="97"/>
        <v>2.6280000000000001</v>
      </c>
      <c r="AC1075" s="7">
        <f t="shared" si="98"/>
        <v>0.14360999999999999</v>
      </c>
      <c r="AD1075" s="6" t="str">
        <f t="shared" si="99"/>
        <v>KRông Bông</v>
      </c>
      <c r="AE1075" s="6" t="str">
        <f t="shared" si="100"/>
        <v>TT1 Đăk Lăk</v>
      </c>
      <c r="AG1075">
        <f t="shared" si="101"/>
        <v>1.752</v>
      </c>
      <c r="AH1075">
        <f t="shared" si="102"/>
        <v>9.5739999999999992E-2</v>
      </c>
    </row>
    <row r="1076" spans="1:34" x14ac:dyDescent="0.25">
      <c r="A1076" t="s">
        <v>10445</v>
      </c>
      <c r="B1076" t="s">
        <v>10434</v>
      </c>
      <c r="C1076" t="s">
        <v>10435</v>
      </c>
      <c r="D1076" t="s">
        <v>10446</v>
      </c>
      <c r="E1076" t="s">
        <v>10447</v>
      </c>
      <c r="F1076" t="s">
        <v>10448</v>
      </c>
      <c r="G1076" t="s">
        <v>15979</v>
      </c>
      <c r="H1076" t="s">
        <v>15980</v>
      </c>
      <c r="I1076" t="s">
        <v>16883</v>
      </c>
      <c r="J1076" t="s">
        <v>23</v>
      </c>
      <c r="L1076" t="s">
        <v>10449</v>
      </c>
      <c r="M1076" t="s">
        <v>10450</v>
      </c>
      <c r="N1076" t="s">
        <v>10451</v>
      </c>
      <c r="O1076" t="s">
        <v>10452</v>
      </c>
      <c r="P1076" t="s">
        <v>10453</v>
      </c>
      <c r="Q1076" t="s">
        <v>10454</v>
      </c>
      <c r="R1076" t="s">
        <v>10455</v>
      </c>
      <c r="S1076" t="s">
        <v>10456</v>
      </c>
      <c r="T1076" t="s">
        <v>10457</v>
      </c>
      <c r="U1076" s="5">
        <v>170.58</v>
      </c>
      <c r="V1076" s="5">
        <v>96.45</v>
      </c>
      <c r="W1076" s="5">
        <v>12.70313</v>
      </c>
      <c r="X1076" s="5">
        <v>108.156829</v>
      </c>
      <c r="Y1076" s="5">
        <v>74.14</v>
      </c>
      <c r="Z1076" s="5">
        <v>12.703072000000001</v>
      </c>
      <c r="AA1076" s="5">
        <v>108.19707200000001</v>
      </c>
      <c r="AB1076" s="7">
        <f t="shared" si="97"/>
        <v>0.144675</v>
      </c>
      <c r="AC1076" s="7">
        <f t="shared" si="98"/>
        <v>0.11121</v>
      </c>
      <c r="AD1076" s="6" t="e">
        <f t="shared" si="99"/>
        <v>#VALUE!</v>
      </c>
      <c r="AE1076" s="6" t="e">
        <f t="shared" si="100"/>
        <v>#VALUE!</v>
      </c>
      <c r="AG1076">
        <f t="shared" si="101"/>
        <v>9.6450000000000008E-2</v>
      </c>
      <c r="AH1076">
        <f t="shared" si="102"/>
        <v>7.4139999999999998E-2</v>
      </c>
    </row>
    <row r="1077" spans="1:34" x14ac:dyDescent="0.25">
      <c r="A1077" t="s">
        <v>10458</v>
      </c>
      <c r="B1077" t="s">
        <v>10459</v>
      </c>
      <c r="C1077" t="s">
        <v>10460</v>
      </c>
      <c r="D1077" t="s">
        <v>8524</v>
      </c>
      <c r="E1077" t="s">
        <v>8525</v>
      </c>
      <c r="F1077" t="s">
        <v>10461</v>
      </c>
      <c r="G1077" t="s">
        <v>15979</v>
      </c>
      <c r="H1077" t="s">
        <v>15980</v>
      </c>
      <c r="I1077" t="s">
        <v>16884</v>
      </c>
      <c r="J1077" t="s">
        <v>23</v>
      </c>
      <c r="L1077" t="s">
        <v>8540</v>
      </c>
      <c r="M1077" t="s">
        <v>10462</v>
      </c>
      <c r="N1077" t="s">
        <v>10463</v>
      </c>
      <c r="O1077" t="s">
        <v>8543</v>
      </c>
      <c r="P1077" t="s">
        <v>8544</v>
      </c>
      <c r="Q1077" t="s">
        <v>8545</v>
      </c>
      <c r="R1077" t="s">
        <v>8546</v>
      </c>
      <c r="S1077" t="s">
        <v>8547</v>
      </c>
      <c r="T1077" t="s">
        <v>8548</v>
      </c>
      <c r="U1077" s="5">
        <v>3493.74</v>
      </c>
      <c r="V1077" s="5">
        <v>2935.12</v>
      </c>
      <c r="W1077" s="5">
        <v>12.573183</v>
      </c>
      <c r="X1077" s="5">
        <v>108.164991</v>
      </c>
      <c r="Y1077" s="5">
        <v>558.62</v>
      </c>
      <c r="Z1077" s="5">
        <v>12.561987</v>
      </c>
      <c r="AA1077" s="5">
        <v>108.16861900000001</v>
      </c>
      <c r="AB1077" s="7">
        <f t="shared" si="97"/>
        <v>4.4026800000000001</v>
      </c>
      <c r="AC1077" s="7">
        <f t="shared" si="98"/>
        <v>0.83793000000000006</v>
      </c>
      <c r="AD1077" s="6" t="str">
        <f t="shared" si="99"/>
        <v>Ea Ning</v>
      </c>
      <c r="AE1077" s="6" t="str">
        <f t="shared" si="100"/>
        <v>TTCMKV Cư Kuin</v>
      </c>
      <c r="AG1077">
        <f t="shared" si="101"/>
        <v>2.93512</v>
      </c>
      <c r="AH1077">
        <f t="shared" si="102"/>
        <v>0.55862000000000001</v>
      </c>
    </row>
    <row r="1078" spans="1:34" x14ac:dyDescent="0.25">
      <c r="A1078" t="s">
        <v>10464</v>
      </c>
      <c r="B1078" t="s">
        <v>8592</v>
      </c>
      <c r="C1078" t="s">
        <v>8593</v>
      </c>
      <c r="D1078" t="s">
        <v>10465</v>
      </c>
      <c r="E1078" t="s">
        <v>10466</v>
      </c>
      <c r="F1078" t="s">
        <v>10467</v>
      </c>
      <c r="G1078" t="s">
        <v>15979</v>
      </c>
      <c r="H1078" t="s">
        <v>15980</v>
      </c>
      <c r="I1078" t="s">
        <v>16885</v>
      </c>
      <c r="J1078" t="s">
        <v>23</v>
      </c>
      <c r="L1078" t="s">
        <v>8595</v>
      </c>
      <c r="M1078" t="s">
        <v>10468</v>
      </c>
      <c r="N1078" t="s">
        <v>8600</v>
      </c>
      <c r="O1078" t="s">
        <v>8601</v>
      </c>
      <c r="P1078" t="s">
        <v>8602</v>
      </c>
      <c r="Q1078" t="s">
        <v>10469</v>
      </c>
      <c r="R1078" t="s">
        <v>10470</v>
      </c>
      <c r="S1078" t="s">
        <v>10471</v>
      </c>
      <c r="T1078" t="s">
        <v>8603</v>
      </c>
      <c r="U1078" s="5">
        <v>273.45999999999998</v>
      </c>
      <c r="V1078" s="5">
        <v>69.150000000000006</v>
      </c>
      <c r="W1078" s="5">
        <v>12.655666999999999</v>
      </c>
      <c r="X1078" s="5">
        <v>108.343625</v>
      </c>
      <c r="Y1078" s="5">
        <v>204.32</v>
      </c>
      <c r="Z1078" s="5">
        <v>12.703611</v>
      </c>
      <c r="AA1078" s="5">
        <v>108.321577</v>
      </c>
      <c r="AB1078" s="7">
        <f t="shared" si="97"/>
        <v>0.10372500000000001</v>
      </c>
      <c r="AC1078" s="7">
        <f t="shared" si="98"/>
        <v>0.30648000000000003</v>
      </c>
      <c r="AD1078" s="6" t="str">
        <f t="shared" si="99"/>
        <v>Cơ sở cai nghiện (X. Tân Tiến, H. Kron Pắc)</v>
      </c>
      <c r="AE1078" s="6" t="str">
        <f t="shared" si="100"/>
        <v>TTCMKV Krong Pắc</v>
      </c>
      <c r="AG1078">
        <f t="shared" si="101"/>
        <v>6.9150000000000003E-2</v>
      </c>
      <c r="AH1078">
        <f t="shared" si="102"/>
        <v>0.20432</v>
      </c>
    </row>
    <row r="1079" spans="1:34" x14ac:dyDescent="0.25">
      <c r="A1079" t="s">
        <v>10472</v>
      </c>
      <c r="B1079" t="s">
        <v>10473</v>
      </c>
      <c r="C1079" t="s">
        <v>10474</v>
      </c>
      <c r="D1079" t="s">
        <v>8429</v>
      </c>
      <c r="E1079" t="s">
        <v>8430</v>
      </c>
      <c r="F1079" t="s">
        <v>10475</v>
      </c>
      <c r="G1079" t="s">
        <v>15979</v>
      </c>
      <c r="H1079" t="s">
        <v>15980</v>
      </c>
      <c r="I1079" t="s">
        <v>16886</v>
      </c>
      <c r="J1079" t="s">
        <v>23</v>
      </c>
      <c r="L1079" t="s">
        <v>8432</v>
      </c>
      <c r="M1079" t="s">
        <v>10476</v>
      </c>
      <c r="N1079" t="s">
        <v>10477</v>
      </c>
      <c r="O1079" t="s">
        <v>8435</v>
      </c>
      <c r="P1079" t="s">
        <v>8436</v>
      </c>
      <c r="Q1079" t="s">
        <v>8437</v>
      </c>
      <c r="R1079" t="s">
        <v>8438</v>
      </c>
      <c r="S1079" t="s">
        <v>8439</v>
      </c>
      <c r="T1079" t="s">
        <v>8440</v>
      </c>
      <c r="U1079" s="5">
        <v>91513.71</v>
      </c>
      <c r="V1079" s="5">
        <v>892.22</v>
      </c>
      <c r="W1079" s="5">
        <v>12.690893000000001</v>
      </c>
      <c r="X1079" s="5">
        <v>108.06744999999999</v>
      </c>
      <c r="Y1079" s="5">
        <v>90621.49</v>
      </c>
      <c r="Z1079" s="5">
        <v>12.811565999999999</v>
      </c>
      <c r="AA1079" s="5">
        <v>108.483311</v>
      </c>
      <c r="AB1079" s="7">
        <f t="shared" si="97"/>
        <v>1.33833</v>
      </c>
      <c r="AC1079" s="7">
        <f t="shared" si="98"/>
        <v>135.93223500000002</v>
      </c>
      <c r="AD1079" s="6" t="str">
        <f t="shared" si="99"/>
        <v>TT1 Đăk Lăk</v>
      </c>
      <c r="AE1079" s="6" t="str">
        <f t="shared" si="100"/>
        <v>ILA Ea Kar</v>
      </c>
      <c r="AG1079">
        <f t="shared" si="101"/>
        <v>0.89222000000000001</v>
      </c>
      <c r="AH1079">
        <f t="shared" si="102"/>
        <v>90.621490000000009</v>
      </c>
    </row>
    <row r="1080" spans="1:34" x14ac:dyDescent="0.25">
      <c r="A1080" t="s">
        <v>10478</v>
      </c>
      <c r="B1080" t="s">
        <v>10479</v>
      </c>
      <c r="C1080" t="s">
        <v>10480</v>
      </c>
      <c r="D1080" t="s">
        <v>8414</v>
      </c>
      <c r="E1080" t="s">
        <v>8415</v>
      </c>
      <c r="F1080" t="s">
        <v>10481</v>
      </c>
      <c r="G1080" t="s">
        <v>15979</v>
      </c>
      <c r="H1080" t="s">
        <v>15980</v>
      </c>
      <c r="I1080" t="s">
        <v>16887</v>
      </c>
      <c r="J1080" t="s">
        <v>23</v>
      </c>
      <c r="L1080" t="s">
        <v>8245</v>
      </c>
      <c r="M1080" t="s">
        <v>10482</v>
      </c>
      <c r="N1080" t="s">
        <v>10483</v>
      </c>
      <c r="O1080" t="s">
        <v>10484</v>
      </c>
      <c r="P1080" t="s">
        <v>10485</v>
      </c>
      <c r="Q1080" t="s">
        <v>8832</v>
      </c>
      <c r="R1080" t="s">
        <v>8833</v>
      </c>
      <c r="S1080" t="s">
        <v>8834</v>
      </c>
      <c r="T1080" t="s">
        <v>8253</v>
      </c>
      <c r="U1080" s="5">
        <v>830.55</v>
      </c>
      <c r="V1080" s="5">
        <v>772.28</v>
      </c>
      <c r="W1080" s="5">
        <v>12.920681999999999</v>
      </c>
      <c r="X1080" s="5">
        <v>108.264574</v>
      </c>
      <c r="Y1080" s="5">
        <v>58.27</v>
      </c>
      <c r="Z1080" s="5">
        <v>12.916486000000001</v>
      </c>
      <c r="AA1080" s="5">
        <v>108.266068</v>
      </c>
      <c r="AB1080" s="7">
        <f t="shared" si="97"/>
        <v>1.15842</v>
      </c>
      <c r="AC1080" s="7">
        <f t="shared" si="98"/>
        <v>8.7404999999999997E-2</v>
      </c>
      <c r="AD1080" s="6" t="str">
        <f t="shared" si="99"/>
        <v>Buôn Hồ</v>
      </c>
      <c r="AE1080" s="6" t="str">
        <f t="shared" si="100"/>
        <v>Ea H'Leo</v>
      </c>
      <c r="AG1080">
        <f t="shared" si="101"/>
        <v>0.77227999999999997</v>
      </c>
      <c r="AH1080">
        <f t="shared" si="102"/>
        <v>5.8270000000000002E-2</v>
      </c>
    </row>
    <row r="1081" spans="1:34" x14ac:dyDescent="0.25">
      <c r="A1081" t="s">
        <v>10486</v>
      </c>
      <c r="B1081" t="s">
        <v>10487</v>
      </c>
      <c r="C1081" t="s">
        <v>10488</v>
      </c>
      <c r="D1081" t="s">
        <v>8300</v>
      </c>
      <c r="E1081" t="s">
        <v>8301</v>
      </c>
      <c r="F1081" t="s">
        <v>10489</v>
      </c>
      <c r="G1081" t="s">
        <v>15979</v>
      </c>
      <c r="H1081" t="s">
        <v>15980</v>
      </c>
      <c r="I1081" t="s">
        <v>16888</v>
      </c>
      <c r="J1081" t="s">
        <v>23</v>
      </c>
      <c r="L1081" t="s">
        <v>10490</v>
      </c>
      <c r="M1081" t="s">
        <v>10491</v>
      </c>
      <c r="N1081" t="s">
        <v>10492</v>
      </c>
      <c r="O1081" t="s">
        <v>10493</v>
      </c>
      <c r="P1081" t="s">
        <v>10494</v>
      </c>
      <c r="Q1081" t="s">
        <v>10495</v>
      </c>
      <c r="R1081" t="s">
        <v>10496</v>
      </c>
      <c r="S1081" t="s">
        <v>10497</v>
      </c>
      <c r="T1081" t="s">
        <v>10498</v>
      </c>
      <c r="U1081" s="5">
        <v>3378.13</v>
      </c>
      <c r="V1081" s="5">
        <v>3360.45</v>
      </c>
      <c r="W1081" s="5">
        <v>13.118842000000001</v>
      </c>
      <c r="X1081" s="5">
        <v>108.329487</v>
      </c>
      <c r="Y1081" s="5">
        <v>17.68</v>
      </c>
      <c r="Z1081" s="5">
        <v>13.116583</v>
      </c>
      <c r="AA1081" s="5">
        <v>108.329257</v>
      </c>
      <c r="AB1081" s="7">
        <f t="shared" si="97"/>
        <v>5.0406749999999994</v>
      </c>
      <c r="AC1081" s="7">
        <f t="shared" si="98"/>
        <v>2.6519999999999998E-2</v>
      </c>
      <c r="AD1081" s="6" t="e">
        <f t="shared" si="99"/>
        <v>#VALUE!</v>
      </c>
      <c r="AE1081" s="6" t="e">
        <f t="shared" si="100"/>
        <v>#VALUE!</v>
      </c>
      <c r="AG1081">
        <f t="shared" si="101"/>
        <v>3.3604499999999997</v>
      </c>
      <c r="AH1081">
        <f t="shared" si="102"/>
        <v>1.7680000000000001E-2</v>
      </c>
    </row>
    <row r="1082" spans="1:34" x14ac:dyDescent="0.25">
      <c r="A1082" t="s">
        <v>10499</v>
      </c>
      <c r="B1082" t="s">
        <v>10500</v>
      </c>
      <c r="C1082" t="s">
        <v>10501</v>
      </c>
      <c r="D1082" t="s">
        <v>8342</v>
      </c>
      <c r="E1082" t="s">
        <v>8343</v>
      </c>
      <c r="F1082" t="s">
        <v>10502</v>
      </c>
      <c r="G1082" t="s">
        <v>15979</v>
      </c>
      <c r="H1082" t="s">
        <v>15980</v>
      </c>
      <c r="I1082" t="s">
        <v>16889</v>
      </c>
      <c r="J1082" t="s">
        <v>23</v>
      </c>
      <c r="L1082" t="s">
        <v>8345</v>
      </c>
      <c r="M1082" t="s">
        <v>10503</v>
      </c>
      <c r="N1082" t="s">
        <v>10504</v>
      </c>
      <c r="O1082" t="s">
        <v>10505</v>
      </c>
      <c r="P1082" t="s">
        <v>10506</v>
      </c>
      <c r="Q1082" t="s">
        <v>8350</v>
      </c>
      <c r="R1082" t="s">
        <v>8351</v>
      </c>
      <c r="S1082" t="s">
        <v>8352</v>
      </c>
      <c r="T1082" t="s">
        <v>8353</v>
      </c>
      <c r="U1082" s="5">
        <v>2069.59</v>
      </c>
      <c r="V1082" s="5">
        <v>2033.59</v>
      </c>
      <c r="W1082" s="5">
        <v>12.989837</v>
      </c>
      <c r="X1082" s="5">
        <v>108.32131200000001</v>
      </c>
      <c r="Y1082" s="5">
        <v>35.99</v>
      </c>
      <c r="Z1082" s="5">
        <v>12.951675</v>
      </c>
      <c r="AA1082" s="5">
        <v>108.344356</v>
      </c>
      <c r="AB1082" s="7">
        <f t="shared" si="97"/>
        <v>3.0503849999999999</v>
      </c>
      <c r="AC1082" s="7">
        <f t="shared" si="98"/>
        <v>5.3984999999999998E-2</v>
      </c>
      <c r="AD1082" s="6" t="e">
        <f t="shared" si="99"/>
        <v>#VALUE!</v>
      </c>
      <c r="AE1082" s="6" t="e">
        <f t="shared" si="100"/>
        <v>#VALUE!</v>
      </c>
      <c r="AG1082">
        <f t="shared" si="101"/>
        <v>2.0335899999999998</v>
      </c>
      <c r="AH1082">
        <f t="shared" si="102"/>
        <v>3.5990000000000001E-2</v>
      </c>
    </row>
    <row r="1083" spans="1:34" x14ac:dyDescent="0.25">
      <c r="A1083" t="s">
        <v>10507</v>
      </c>
      <c r="B1083" t="s">
        <v>8725</v>
      </c>
      <c r="C1083" t="s">
        <v>8726</v>
      </c>
      <c r="D1083" t="s">
        <v>8968</v>
      </c>
      <c r="E1083" t="s">
        <v>8969</v>
      </c>
      <c r="F1083" t="s">
        <v>10508</v>
      </c>
      <c r="G1083" t="s">
        <v>15979</v>
      </c>
      <c r="H1083" t="s">
        <v>15980</v>
      </c>
      <c r="I1083" t="s">
        <v>16890</v>
      </c>
      <c r="J1083" t="s">
        <v>23</v>
      </c>
      <c r="L1083" t="s">
        <v>8375</v>
      </c>
      <c r="M1083" t="s">
        <v>10509</v>
      </c>
      <c r="N1083" t="s">
        <v>8939</v>
      </c>
      <c r="O1083" t="s">
        <v>8940</v>
      </c>
      <c r="P1083" t="s">
        <v>8941</v>
      </c>
      <c r="Q1083" t="s">
        <v>8972</v>
      </c>
      <c r="R1083" t="s">
        <v>8973</v>
      </c>
      <c r="S1083" t="s">
        <v>8974</v>
      </c>
      <c r="T1083" t="s">
        <v>8383</v>
      </c>
      <c r="U1083" s="5">
        <v>162.51</v>
      </c>
      <c r="V1083" s="5">
        <v>44.45</v>
      </c>
      <c r="W1083" s="5">
        <v>12.910539</v>
      </c>
      <c r="X1083" s="5">
        <v>108.190575</v>
      </c>
      <c r="Y1083" s="5">
        <v>118.05</v>
      </c>
      <c r="Z1083" s="5">
        <v>12.892032</v>
      </c>
      <c r="AA1083" s="5">
        <v>108.181015</v>
      </c>
      <c r="AB1083" s="7">
        <f t="shared" si="97"/>
        <v>6.6675000000000012E-2</v>
      </c>
      <c r="AC1083" s="7">
        <f t="shared" si="98"/>
        <v>0.17707499999999998</v>
      </c>
      <c r="AD1083" s="6" t="str">
        <f t="shared" si="99"/>
        <v>Cư M'ga</v>
      </c>
      <c r="AE1083" s="6" t="str">
        <f t="shared" si="100"/>
        <v>Buôn Hồ</v>
      </c>
      <c r="AG1083">
        <f t="shared" si="101"/>
        <v>4.4450000000000003E-2</v>
      </c>
      <c r="AH1083">
        <f t="shared" si="102"/>
        <v>0.11805</v>
      </c>
    </row>
    <row r="1084" spans="1:34" x14ac:dyDescent="0.25">
      <c r="A1084" t="s">
        <v>10510</v>
      </c>
      <c r="B1084" t="s">
        <v>10511</v>
      </c>
      <c r="C1084" t="s">
        <v>10512</v>
      </c>
      <c r="D1084" t="s">
        <v>8725</v>
      </c>
      <c r="E1084" t="s">
        <v>8726</v>
      </c>
      <c r="F1084" t="s">
        <v>10513</v>
      </c>
      <c r="G1084" t="s">
        <v>15979</v>
      </c>
      <c r="H1084" t="s">
        <v>15980</v>
      </c>
      <c r="I1084" t="s">
        <v>16891</v>
      </c>
      <c r="J1084" t="s">
        <v>23</v>
      </c>
      <c r="L1084" t="s">
        <v>8375</v>
      </c>
      <c r="M1084" t="s">
        <v>10514</v>
      </c>
      <c r="N1084" t="s">
        <v>10515</v>
      </c>
      <c r="O1084" t="s">
        <v>10516</v>
      </c>
      <c r="P1084" t="s">
        <v>10517</v>
      </c>
      <c r="Q1084" t="s">
        <v>8939</v>
      </c>
      <c r="R1084" t="s">
        <v>8940</v>
      </c>
      <c r="S1084" t="s">
        <v>8941</v>
      </c>
      <c r="T1084" t="s">
        <v>8383</v>
      </c>
      <c r="U1084" s="5">
        <v>1958.36</v>
      </c>
      <c r="V1084" s="5">
        <v>1913.91</v>
      </c>
      <c r="W1084" s="5">
        <v>12.906499999999999</v>
      </c>
      <c r="X1084" s="5">
        <v>108.152697</v>
      </c>
      <c r="Y1084" s="5">
        <v>44.45</v>
      </c>
      <c r="Z1084" s="5">
        <v>12.910539</v>
      </c>
      <c r="AA1084" s="5">
        <v>108.190575</v>
      </c>
      <c r="AB1084" s="7">
        <f t="shared" si="97"/>
        <v>2.8708650000000002</v>
      </c>
      <c r="AC1084" s="7">
        <f t="shared" si="98"/>
        <v>6.6675000000000012E-2</v>
      </c>
      <c r="AD1084" s="6" t="str">
        <f t="shared" si="99"/>
        <v>Cư M'ga</v>
      </c>
      <c r="AE1084" s="6" t="str">
        <f t="shared" si="100"/>
        <v>Buôn Hồ</v>
      </c>
      <c r="AG1084">
        <f t="shared" si="101"/>
        <v>1.91391</v>
      </c>
      <c r="AH1084">
        <f t="shared" si="102"/>
        <v>4.4450000000000003E-2</v>
      </c>
    </row>
    <row r="1085" spans="1:34" x14ac:dyDescent="0.25">
      <c r="A1085" t="s">
        <v>10518</v>
      </c>
      <c r="B1085" t="s">
        <v>10519</v>
      </c>
      <c r="C1085" t="s">
        <v>10520</v>
      </c>
      <c r="D1085" t="s">
        <v>9062</v>
      </c>
      <c r="E1085" t="s">
        <v>9063</v>
      </c>
      <c r="F1085" t="s">
        <v>10521</v>
      </c>
      <c r="G1085" t="s">
        <v>15979</v>
      </c>
      <c r="H1085" t="s">
        <v>15980</v>
      </c>
      <c r="I1085" t="s">
        <v>16892</v>
      </c>
      <c r="J1085" t="s">
        <v>23</v>
      </c>
      <c r="L1085" t="s">
        <v>9065</v>
      </c>
      <c r="M1085" t="s">
        <v>10522</v>
      </c>
      <c r="N1085" t="s">
        <v>10523</v>
      </c>
      <c r="O1085" t="s">
        <v>10524</v>
      </c>
      <c r="P1085" t="s">
        <v>10525</v>
      </c>
      <c r="Q1085" t="s">
        <v>10526</v>
      </c>
      <c r="R1085" t="s">
        <v>10527</v>
      </c>
      <c r="S1085" t="s">
        <v>10528</v>
      </c>
      <c r="T1085" t="s">
        <v>10529</v>
      </c>
      <c r="U1085" s="5">
        <v>3377.85</v>
      </c>
      <c r="V1085" s="5">
        <v>2662.74</v>
      </c>
      <c r="W1085" s="5">
        <v>12.600441</v>
      </c>
      <c r="X1085" s="5">
        <v>107.950039</v>
      </c>
      <c r="Y1085" s="5">
        <v>715.11</v>
      </c>
      <c r="Z1085" s="5">
        <v>12.618955</v>
      </c>
      <c r="AA1085" s="5">
        <v>107.946549</v>
      </c>
      <c r="AB1085" s="7">
        <f t="shared" si="97"/>
        <v>3.9941099999999996</v>
      </c>
      <c r="AC1085" s="7">
        <f t="shared" si="98"/>
        <v>1.072665</v>
      </c>
      <c r="AD1085" s="6" t="str">
        <f t="shared" si="99"/>
        <v>Hòa Phú</v>
      </c>
      <c r="AE1085" s="6" t="str">
        <f t="shared" si="100"/>
        <v>Ea Na</v>
      </c>
      <c r="AG1085">
        <f t="shared" si="101"/>
        <v>2.6627399999999999</v>
      </c>
      <c r="AH1085">
        <f t="shared" si="102"/>
        <v>0.71511000000000002</v>
      </c>
    </row>
    <row r="1086" spans="1:34" x14ac:dyDescent="0.25">
      <c r="A1086" t="s">
        <v>10530</v>
      </c>
      <c r="B1086" t="s">
        <v>10531</v>
      </c>
      <c r="C1086" t="s">
        <v>10532</v>
      </c>
      <c r="D1086" t="s">
        <v>8242</v>
      </c>
      <c r="E1086" t="s">
        <v>8243</v>
      </c>
      <c r="F1086" t="s">
        <v>10533</v>
      </c>
      <c r="G1086" t="s">
        <v>15979</v>
      </c>
      <c r="H1086" t="s">
        <v>15980</v>
      </c>
      <c r="I1086" t="s">
        <v>16893</v>
      </c>
      <c r="J1086" t="s">
        <v>23</v>
      </c>
      <c r="L1086" t="s">
        <v>10534</v>
      </c>
      <c r="M1086" t="s">
        <v>10535</v>
      </c>
      <c r="N1086" t="s">
        <v>10536</v>
      </c>
      <c r="O1086" t="s">
        <v>10537</v>
      </c>
      <c r="P1086" t="s">
        <v>10538</v>
      </c>
      <c r="Q1086" t="s">
        <v>10539</v>
      </c>
      <c r="R1086" t="s">
        <v>10540</v>
      </c>
      <c r="S1086" t="s">
        <v>10541</v>
      </c>
      <c r="T1086" t="s">
        <v>10542</v>
      </c>
      <c r="U1086" s="5">
        <v>1286.07</v>
      </c>
      <c r="V1086" s="5">
        <v>211.3</v>
      </c>
      <c r="W1086" s="5">
        <v>12.955921</v>
      </c>
      <c r="X1086" s="5">
        <v>108.227239</v>
      </c>
      <c r="Y1086" s="5">
        <v>1074.77</v>
      </c>
      <c r="Z1086" s="5">
        <v>12.961758</v>
      </c>
      <c r="AA1086" s="5">
        <v>108.24132400000001</v>
      </c>
      <c r="AB1086" s="7">
        <f t="shared" si="97"/>
        <v>0.31695000000000007</v>
      </c>
      <c r="AC1086" s="7">
        <f t="shared" si="98"/>
        <v>1.612155</v>
      </c>
      <c r="AD1086" s="6" t="e">
        <f t="shared" si="99"/>
        <v>#VALUE!</v>
      </c>
      <c r="AE1086" s="6" t="e">
        <f t="shared" si="100"/>
        <v>#VALUE!</v>
      </c>
      <c r="AG1086">
        <f t="shared" si="101"/>
        <v>0.21130000000000002</v>
      </c>
      <c r="AH1086">
        <f t="shared" si="102"/>
        <v>1.07477</v>
      </c>
    </row>
    <row r="1087" spans="1:34" x14ac:dyDescent="0.25">
      <c r="A1087" t="s">
        <v>10543</v>
      </c>
      <c r="B1087" t="s">
        <v>8793</v>
      </c>
      <c r="C1087" t="s">
        <v>8794</v>
      </c>
      <c r="D1087" t="s">
        <v>10544</v>
      </c>
      <c r="E1087" t="s">
        <v>10545</v>
      </c>
      <c r="F1087" t="s">
        <v>10546</v>
      </c>
      <c r="G1087" t="s">
        <v>15979</v>
      </c>
      <c r="H1087" t="s">
        <v>15980</v>
      </c>
      <c r="I1087" t="s">
        <v>16894</v>
      </c>
      <c r="J1087" t="s">
        <v>23</v>
      </c>
      <c r="L1087" t="s">
        <v>10547</v>
      </c>
      <c r="M1087" t="s">
        <v>10548</v>
      </c>
      <c r="N1087" t="s">
        <v>10549</v>
      </c>
      <c r="O1087" t="s">
        <v>10550</v>
      </c>
      <c r="P1087" t="s">
        <v>10551</v>
      </c>
      <c r="Q1087" t="s">
        <v>10552</v>
      </c>
      <c r="R1087" t="s">
        <v>10553</v>
      </c>
      <c r="S1087" t="s">
        <v>10554</v>
      </c>
      <c r="T1087" t="s">
        <v>10555</v>
      </c>
      <c r="U1087" s="5">
        <v>2462.79</v>
      </c>
      <c r="V1087" s="5">
        <v>2013.2</v>
      </c>
      <c r="W1087" s="5">
        <v>12.994935</v>
      </c>
      <c r="X1087" s="5">
        <v>108.16152200000001</v>
      </c>
      <c r="Y1087" s="5">
        <v>449.59</v>
      </c>
      <c r="Z1087" s="5">
        <v>12.976003</v>
      </c>
      <c r="AA1087" s="5">
        <v>108.16717800000001</v>
      </c>
      <c r="AB1087" s="7">
        <f t="shared" si="97"/>
        <v>3.0198</v>
      </c>
      <c r="AC1087" s="7">
        <f t="shared" si="98"/>
        <v>0.67438500000000001</v>
      </c>
      <c r="AD1087" s="6" t="e">
        <f t="shared" si="99"/>
        <v>#VALUE!</v>
      </c>
      <c r="AE1087" s="6" t="e">
        <f t="shared" si="100"/>
        <v>#VALUE!</v>
      </c>
      <c r="AG1087">
        <f t="shared" si="101"/>
        <v>2.0131999999999999</v>
      </c>
      <c r="AH1087">
        <f t="shared" si="102"/>
        <v>0.44958999999999999</v>
      </c>
    </row>
    <row r="1088" spans="1:34" x14ac:dyDescent="0.25">
      <c r="A1088" t="s">
        <v>10556</v>
      </c>
      <c r="B1088" t="s">
        <v>8552</v>
      </c>
      <c r="C1088" t="s">
        <v>8553</v>
      </c>
      <c r="D1088" t="s">
        <v>10557</v>
      </c>
      <c r="E1088" t="s">
        <v>10558</v>
      </c>
      <c r="F1088" t="s">
        <v>10559</v>
      </c>
      <c r="G1088" t="s">
        <v>15979</v>
      </c>
      <c r="H1088" t="s">
        <v>15980</v>
      </c>
      <c r="I1088" t="s">
        <v>16895</v>
      </c>
      <c r="J1088" t="s">
        <v>23</v>
      </c>
      <c r="L1088" t="s">
        <v>8432</v>
      </c>
      <c r="M1088" t="s">
        <v>10560</v>
      </c>
      <c r="N1088" t="s">
        <v>8559</v>
      </c>
      <c r="O1088" t="s">
        <v>8438</v>
      </c>
      <c r="P1088" t="s">
        <v>8439</v>
      </c>
      <c r="Q1088" t="s">
        <v>10561</v>
      </c>
      <c r="R1088" t="s">
        <v>10562</v>
      </c>
      <c r="S1088" t="s">
        <v>10563</v>
      </c>
      <c r="T1088" t="s">
        <v>8440</v>
      </c>
      <c r="U1088" s="5">
        <v>764.99</v>
      </c>
      <c r="V1088" s="5">
        <v>69.25</v>
      </c>
      <c r="W1088" s="5">
        <v>12.811565999999999</v>
      </c>
      <c r="X1088" s="5">
        <v>108.483311</v>
      </c>
      <c r="Y1088" s="5">
        <v>695.74</v>
      </c>
      <c r="Z1088" s="5">
        <v>12.809037999999999</v>
      </c>
      <c r="AA1088" s="5">
        <v>108.447738</v>
      </c>
      <c r="AB1088" s="7">
        <f t="shared" si="97"/>
        <v>0.103875</v>
      </c>
      <c r="AC1088" s="7">
        <f t="shared" si="98"/>
        <v>1.0436100000000001</v>
      </c>
      <c r="AD1088" s="6" t="str">
        <f t="shared" si="99"/>
        <v>TT1 Đăk Lăk</v>
      </c>
      <c r="AE1088" s="6" t="str">
        <f t="shared" si="100"/>
        <v>ILA Ea Kar</v>
      </c>
      <c r="AG1088">
        <f t="shared" si="101"/>
        <v>6.9250000000000006E-2</v>
      </c>
      <c r="AH1088">
        <f t="shared" si="102"/>
        <v>0.69574000000000003</v>
      </c>
    </row>
    <row r="1089" spans="1:34" x14ac:dyDescent="0.25">
      <c r="A1089" t="s">
        <v>10564</v>
      </c>
      <c r="B1089" t="s">
        <v>10565</v>
      </c>
      <c r="C1089" t="s">
        <v>10566</v>
      </c>
      <c r="D1089" t="s">
        <v>10296</v>
      </c>
      <c r="E1089" t="s">
        <v>10297</v>
      </c>
      <c r="F1089" t="s">
        <v>10567</v>
      </c>
      <c r="G1089" t="s">
        <v>15979</v>
      </c>
      <c r="H1089" t="s">
        <v>15980</v>
      </c>
      <c r="I1089" t="s">
        <v>16896</v>
      </c>
      <c r="J1089" t="s">
        <v>23</v>
      </c>
      <c r="L1089" t="s">
        <v>10568</v>
      </c>
      <c r="M1089" t="s">
        <v>10569</v>
      </c>
      <c r="N1089" t="s">
        <v>10570</v>
      </c>
      <c r="O1089" t="s">
        <v>10571</v>
      </c>
      <c r="P1089" t="s">
        <v>10572</v>
      </c>
      <c r="Q1089" t="s">
        <v>10573</v>
      </c>
      <c r="R1089" t="s">
        <v>10574</v>
      </c>
      <c r="S1089" t="s">
        <v>10575</v>
      </c>
      <c r="T1089" t="s">
        <v>10576</v>
      </c>
      <c r="U1089" s="5">
        <v>337.09</v>
      </c>
      <c r="V1089" s="5">
        <v>107.36</v>
      </c>
      <c r="W1089" s="5">
        <v>12.80843</v>
      </c>
      <c r="X1089" s="5">
        <v>108.563661</v>
      </c>
      <c r="Y1089" s="5">
        <v>229.73</v>
      </c>
      <c r="Z1089" s="5">
        <v>12.805197</v>
      </c>
      <c r="AA1089" s="5">
        <v>108.542107</v>
      </c>
      <c r="AB1089" s="7">
        <f t="shared" si="97"/>
        <v>0.16103999999999999</v>
      </c>
      <c r="AC1089" s="7">
        <f t="shared" si="98"/>
        <v>0.34459499999999998</v>
      </c>
      <c r="AD1089" s="6" t="e">
        <f t="shared" si="99"/>
        <v>#VALUE!</v>
      </c>
      <c r="AE1089" s="6" t="e">
        <f t="shared" si="100"/>
        <v>#VALUE!</v>
      </c>
      <c r="AG1089">
        <f t="shared" si="101"/>
        <v>0.10736</v>
      </c>
      <c r="AH1089">
        <f t="shared" si="102"/>
        <v>0.22972999999999999</v>
      </c>
    </row>
    <row r="1090" spans="1:34" x14ac:dyDescent="0.25">
      <c r="A1090" t="s">
        <v>10577</v>
      </c>
      <c r="B1090" t="s">
        <v>10578</v>
      </c>
      <c r="C1090" t="s">
        <v>10579</v>
      </c>
      <c r="D1090" t="s">
        <v>10296</v>
      </c>
      <c r="E1090" t="s">
        <v>10297</v>
      </c>
      <c r="F1090" t="s">
        <v>10580</v>
      </c>
      <c r="G1090" t="s">
        <v>15979</v>
      </c>
      <c r="H1090" t="s">
        <v>15980</v>
      </c>
      <c r="I1090" t="s">
        <v>16897</v>
      </c>
      <c r="J1090" t="s">
        <v>23</v>
      </c>
      <c r="L1090" t="s">
        <v>10405</v>
      </c>
      <c r="M1090" t="s">
        <v>10581</v>
      </c>
      <c r="N1090" t="s">
        <v>10582</v>
      </c>
      <c r="O1090" t="s">
        <v>10583</v>
      </c>
      <c r="P1090" t="s">
        <v>10584</v>
      </c>
      <c r="Q1090" t="s">
        <v>10585</v>
      </c>
      <c r="R1090" t="s">
        <v>10586</v>
      </c>
      <c r="S1090" t="s">
        <v>10587</v>
      </c>
      <c r="T1090" t="s">
        <v>10413</v>
      </c>
      <c r="U1090" s="5">
        <v>411.86</v>
      </c>
      <c r="V1090" s="5">
        <v>229.9</v>
      </c>
      <c r="W1090" s="5">
        <v>12.785000999999999</v>
      </c>
      <c r="X1090" s="5">
        <v>108.543803</v>
      </c>
      <c r="Y1090" s="5">
        <v>181.96</v>
      </c>
      <c r="Z1090" s="5">
        <v>12.803478</v>
      </c>
      <c r="AA1090" s="5">
        <v>108.539529</v>
      </c>
      <c r="AB1090" s="7">
        <f t="shared" si="97"/>
        <v>0.34485000000000005</v>
      </c>
      <c r="AC1090" s="7">
        <f t="shared" si="98"/>
        <v>0.27294000000000002</v>
      </c>
      <c r="AD1090" s="6" t="e">
        <f t="shared" si="99"/>
        <v>#VALUE!</v>
      </c>
      <c r="AE1090" s="6" t="e">
        <f t="shared" si="100"/>
        <v>#VALUE!</v>
      </c>
      <c r="AG1090">
        <f t="shared" si="101"/>
        <v>0.22989999999999999</v>
      </c>
      <c r="AH1090">
        <f t="shared" si="102"/>
        <v>0.18196000000000001</v>
      </c>
    </row>
    <row r="1091" spans="1:34" x14ac:dyDescent="0.25">
      <c r="A1091" t="s">
        <v>10588</v>
      </c>
      <c r="B1091" t="s">
        <v>10589</v>
      </c>
      <c r="C1091" t="s">
        <v>10590</v>
      </c>
      <c r="D1091" t="s">
        <v>10415</v>
      </c>
      <c r="E1091" t="s">
        <v>10416</v>
      </c>
      <c r="F1091" t="s">
        <v>10591</v>
      </c>
      <c r="G1091" t="s">
        <v>15979</v>
      </c>
      <c r="H1091" t="s">
        <v>15980</v>
      </c>
      <c r="I1091" t="s">
        <v>16898</v>
      </c>
      <c r="J1091" t="s">
        <v>23</v>
      </c>
      <c r="L1091" t="s">
        <v>10592</v>
      </c>
      <c r="M1091" t="s">
        <v>10593</v>
      </c>
      <c r="N1091" t="s">
        <v>10594</v>
      </c>
      <c r="O1091" t="s">
        <v>10595</v>
      </c>
      <c r="P1091" t="s">
        <v>10596</v>
      </c>
      <c r="Q1091" t="s">
        <v>10597</v>
      </c>
      <c r="R1091" t="s">
        <v>10598</v>
      </c>
      <c r="S1091" t="s">
        <v>10599</v>
      </c>
      <c r="T1091" t="s">
        <v>10600</v>
      </c>
      <c r="U1091" s="5">
        <v>3543.63</v>
      </c>
      <c r="V1091" s="5">
        <v>3525.09</v>
      </c>
      <c r="W1091" s="5">
        <v>12.726099</v>
      </c>
      <c r="X1091" s="5">
        <v>108.55577</v>
      </c>
      <c r="Y1091" s="5">
        <v>18.55</v>
      </c>
      <c r="Z1091" s="5">
        <v>12.725866999999999</v>
      </c>
      <c r="AA1091" s="5">
        <v>108.555091</v>
      </c>
      <c r="AB1091" s="7">
        <f t="shared" ref="AB1091:AB1154" si="103">V1091*1.5/1000</f>
        <v>5.2876349999999999</v>
      </c>
      <c r="AC1091" s="7">
        <f t="shared" ref="AC1091:AC1154" si="104">Y1091*1.5/1000</f>
        <v>2.7825000000000003E-2</v>
      </c>
      <c r="AD1091" s="6" t="str">
        <f t="shared" ref="AD1091:AD1154" si="105">TRIM(LEFT(L1091,FIND("-",L1091)-1))</f>
        <v>ILA Ea Pal</v>
      </c>
      <c r="AE1091" s="6" t="str">
        <f t="shared" ref="AE1091:AE1154" si="106">TRIM(RIGHT(L1091, LEN(L1091) - FIND("-", L1091)))</f>
        <v>ILA Sơn Thành</v>
      </c>
      <c r="AG1091">
        <f t="shared" ref="AG1091:AG1154" si="107">V1091/1000</f>
        <v>3.5250900000000001</v>
      </c>
      <c r="AH1091">
        <f t="shared" ref="AH1091:AH1154" si="108">Y1091/1000</f>
        <v>1.8550000000000001E-2</v>
      </c>
    </row>
    <row r="1092" spans="1:34" x14ac:dyDescent="0.25">
      <c r="A1092" t="s">
        <v>10601</v>
      </c>
      <c r="B1092" t="s">
        <v>10602</v>
      </c>
      <c r="C1092" t="s">
        <v>10603</v>
      </c>
      <c r="D1092" t="s">
        <v>10415</v>
      </c>
      <c r="E1092" t="s">
        <v>10416</v>
      </c>
      <c r="F1092" t="s">
        <v>10604</v>
      </c>
      <c r="G1092" t="s">
        <v>15979</v>
      </c>
      <c r="H1092" t="s">
        <v>15980</v>
      </c>
      <c r="I1092" t="s">
        <v>16899</v>
      </c>
      <c r="J1092" t="s">
        <v>23</v>
      </c>
      <c r="L1092" t="s">
        <v>10592</v>
      </c>
      <c r="M1092" t="s">
        <v>10605</v>
      </c>
      <c r="N1092" t="s">
        <v>10606</v>
      </c>
      <c r="O1092" t="s">
        <v>10607</v>
      </c>
      <c r="P1092" t="s">
        <v>10608</v>
      </c>
      <c r="Q1092" t="s">
        <v>10609</v>
      </c>
      <c r="R1092" t="s">
        <v>10610</v>
      </c>
      <c r="S1092" t="s">
        <v>10611</v>
      </c>
      <c r="T1092" t="s">
        <v>10612</v>
      </c>
      <c r="U1092" s="5">
        <v>476.08</v>
      </c>
      <c r="V1092" s="5">
        <v>389.47</v>
      </c>
      <c r="W1092" s="5">
        <v>12.703554</v>
      </c>
      <c r="X1092" s="5">
        <v>108.583943</v>
      </c>
      <c r="Y1092" s="5">
        <v>86.61</v>
      </c>
      <c r="Z1092" s="5">
        <v>12.726106</v>
      </c>
      <c r="AA1092" s="5">
        <v>108.555781</v>
      </c>
      <c r="AB1092" s="7">
        <f t="shared" si="103"/>
        <v>0.58420500000000009</v>
      </c>
      <c r="AC1092" s="7">
        <f t="shared" si="104"/>
        <v>0.129915</v>
      </c>
      <c r="AD1092" s="6" t="str">
        <f t="shared" si="105"/>
        <v>ILA Ea Pal</v>
      </c>
      <c r="AE1092" s="6" t="str">
        <f t="shared" si="106"/>
        <v>ILA Sơn Thành</v>
      </c>
      <c r="AG1092">
        <f t="shared" si="107"/>
        <v>0.38947000000000004</v>
      </c>
      <c r="AH1092">
        <f t="shared" si="108"/>
        <v>8.6609999999999993E-2</v>
      </c>
    </row>
    <row r="1093" spans="1:34" x14ac:dyDescent="0.25">
      <c r="A1093" t="s">
        <v>10613</v>
      </c>
      <c r="B1093" t="s">
        <v>10614</v>
      </c>
      <c r="C1093" t="s">
        <v>10615</v>
      </c>
      <c r="D1093" t="s">
        <v>10336</v>
      </c>
      <c r="E1093" t="s">
        <v>10337</v>
      </c>
      <c r="F1093" t="s">
        <v>10616</v>
      </c>
      <c r="G1093" t="s">
        <v>15979</v>
      </c>
      <c r="H1093" t="s">
        <v>15980</v>
      </c>
      <c r="I1093" t="s">
        <v>16900</v>
      </c>
      <c r="J1093" t="s">
        <v>23</v>
      </c>
      <c r="L1093" t="s">
        <v>10617</v>
      </c>
      <c r="M1093" t="s">
        <v>10618</v>
      </c>
      <c r="N1093" t="s">
        <v>10619</v>
      </c>
      <c r="O1093" t="s">
        <v>10620</v>
      </c>
      <c r="P1093" t="s">
        <v>10621</v>
      </c>
      <c r="Q1093" t="s">
        <v>10622</v>
      </c>
      <c r="R1093" t="s">
        <v>10623</v>
      </c>
      <c r="S1093" t="s">
        <v>10624</v>
      </c>
      <c r="T1093" t="s">
        <v>10625</v>
      </c>
      <c r="U1093" s="5">
        <v>306.67</v>
      </c>
      <c r="V1093" s="5">
        <v>255.67</v>
      </c>
      <c r="W1093" s="5">
        <v>12.785982000000001</v>
      </c>
      <c r="X1093" s="5">
        <v>108.410808</v>
      </c>
      <c r="Y1093" s="5">
        <v>51.01</v>
      </c>
      <c r="Z1093" s="5">
        <v>12.762475</v>
      </c>
      <c r="AA1093" s="5">
        <v>108.41492599999999</v>
      </c>
      <c r="AB1093" s="7">
        <f t="shared" si="103"/>
        <v>0.38350499999999998</v>
      </c>
      <c r="AC1093" s="7">
        <f t="shared" si="104"/>
        <v>7.6515E-2</v>
      </c>
      <c r="AD1093" s="6" t="str">
        <f t="shared" si="105"/>
        <v>Ea Kly</v>
      </c>
      <c r="AE1093" s="6" t="str">
        <f t="shared" si="106"/>
        <v>Ea Kar</v>
      </c>
      <c r="AG1093">
        <f t="shared" si="107"/>
        <v>0.25567000000000001</v>
      </c>
      <c r="AH1093">
        <f t="shared" si="108"/>
        <v>5.101E-2</v>
      </c>
    </row>
    <row r="1094" spans="1:34" x14ac:dyDescent="0.25">
      <c r="A1094" t="s">
        <v>10626</v>
      </c>
      <c r="B1094" t="s">
        <v>10627</v>
      </c>
      <c r="C1094" t="s">
        <v>10628</v>
      </c>
      <c r="D1094" t="s">
        <v>10336</v>
      </c>
      <c r="E1094" t="s">
        <v>10337</v>
      </c>
      <c r="F1094" t="s">
        <v>10629</v>
      </c>
      <c r="G1094" t="s">
        <v>15979</v>
      </c>
      <c r="H1094" t="s">
        <v>15980</v>
      </c>
      <c r="I1094" t="s">
        <v>16901</v>
      </c>
      <c r="J1094" t="s">
        <v>23</v>
      </c>
      <c r="L1094" t="s">
        <v>8432</v>
      </c>
      <c r="M1094" t="s">
        <v>10630</v>
      </c>
      <c r="N1094" t="s">
        <v>10631</v>
      </c>
      <c r="O1094" t="s">
        <v>10632</v>
      </c>
      <c r="P1094" t="s">
        <v>10633</v>
      </c>
      <c r="Q1094" t="s">
        <v>10340</v>
      </c>
      <c r="R1094" t="s">
        <v>10341</v>
      </c>
      <c r="S1094" t="s">
        <v>10342</v>
      </c>
      <c r="T1094" t="s">
        <v>8440</v>
      </c>
      <c r="U1094" s="5">
        <v>1432.09</v>
      </c>
      <c r="V1094" s="5">
        <v>120.49</v>
      </c>
      <c r="W1094" s="5">
        <v>12.770160000000001</v>
      </c>
      <c r="X1094" s="5">
        <v>108.391271</v>
      </c>
      <c r="Y1094" s="5">
        <v>1311.61</v>
      </c>
      <c r="Z1094" s="5">
        <v>12.770509000000001</v>
      </c>
      <c r="AA1094" s="5">
        <v>108.405835</v>
      </c>
      <c r="AB1094" s="7">
        <f t="shared" si="103"/>
        <v>0.18073499999999998</v>
      </c>
      <c r="AC1094" s="7">
        <f t="shared" si="104"/>
        <v>1.9674149999999999</v>
      </c>
      <c r="AD1094" s="6" t="str">
        <f t="shared" si="105"/>
        <v>TT1 Đăk Lăk</v>
      </c>
      <c r="AE1094" s="6" t="str">
        <f t="shared" si="106"/>
        <v>ILA Ea Kar</v>
      </c>
      <c r="AG1094">
        <f t="shared" si="107"/>
        <v>0.12049</v>
      </c>
      <c r="AH1094">
        <f t="shared" si="108"/>
        <v>1.3116099999999999</v>
      </c>
    </row>
    <row r="1095" spans="1:34" x14ac:dyDescent="0.25">
      <c r="A1095" t="s">
        <v>10634</v>
      </c>
      <c r="B1095" t="s">
        <v>10635</v>
      </c>
      <c r="C1095" t="s">
        <v>10636</v>
      </c>
      <c r="D1095" t="s">
        <v>10336</v>
      </c>
      <c r="E1095" t="s">
        <v>10337</v>
      </c>
      <c r="F1095" t="s">
        <v>10637</v>
      </c>
      <c r="G1095" t="s">
        <v>15979</v>
      </c>
      <c r="H1095" t="s">
        <v>15980</v>
      </c>
      <c r="I1095" t="s">
        <v>16902</v>
      </c>
      <c r="J1095" t="s">
        <v>23</v>
      </c>
      <c r="L1095" t="s">
        <v>10638</v>
      </c>
      <c r="M1095" t="s">
        <v>10639</v>
      </c>
      <c r="N1095" t="s">
        <v>10640</v>
      </c>
      <c r="O1095" t="s">
        <v>10641</v>
      </c>
      <c r="P1095" t="s">
        <v>10642</v>
      </c>
      <c r="Q1095" t="s">
        <v>10643</v>
      </c>
      <c r="R1095" t="s">
        <v>10644</v>
      </c>
      <c r="S1095" t="s">
        <v>10645</v>
      </c>
      <c r="T1095" t="s">
        <v>10646</v>
      </c>
      <c r="U1095" s="5">
        <v>1811.48</v>
      </c>
      <c r="V1095" s="5">
        <v>1748.06</v>
      </c>
      <c r="W1095" s="5">
        <v>12.749114000000001</v>
      </c>
      <c r="X1095" s="5">
        <v>108.421342</v>
      </c>
      <c r="Y1095" s="5">
        <v>63.42</v>
      </c>
      <c r="Z1095" s="5">
        <v>12.762024</v>
      </c>
      <c r="AA1095" s="5">
        <v>108.41502199999999</v>
      </c>
      <c r="AB1095" s="7">
        <f t="shared" si="103"/>
        <v>2.62209</v>
      </c>
      <c r="AC1095" s="7">
        <f t="shared" si="104"/>
        <v>9.5129999999999992E-2</v>
      </c>
      <c r="AD1095" s="6" t="str">
        <f t="shared" si="105"/>
        <v>Ea Phê</v>
      </c>
      <c r="AE1095" s="6" t="str">
        <f t="shared" si="106"/>
        <v>Ea Kly</v>
      </c>
      <c r="AG1095">
        <f t="shared" si="107"/>
        <v>1.7480599999999999</v>
      </c>
      <c r="AH1095">
        <f t="shared" si="108"/>
        <v>6.3420000000000004E-2</v>
      </c>
    </row>
    <row r="1096" spans="1:34" x14ac:dyDescent="0.25">
      <c r="A1096" t="s">
        <v>10647</v>
      </c>
      <c r="B1096" t="s">
        <v>10648</v>
      </c>
      <c r="C1096" t="s">
        <v>10649</v>
      </c>
      <c r="D1096" t="s">
        <v>10336</v>
      </c>
      <c r="E1096" t="s">
        <v>10337</v>
      </c>
      <c r="F1096" t="s">
        <v>10650</v>
      </c>
      <c r="G1096" t="s">
        <v>15979</v>
      </c>
      <c r="H1096" t="s">
        <v>15980</v>
      </c>
      <c r="I1096" t="s">
        <v>16903</v>
      </c>
      <c r="J1096" t="s">
        <v>23</v>
      </c>
      <c r="L1096" t="s">
        <v>10638</v>
      </c>
      <c r="M1096" t="s">
        <v>10651</v>
      </c>
      <c r="N1096" t="s">
        <v>10652</v>
      </c>
      <c r="O1096" t="s">
        <v>10653</v>
      </c>
      <c r="P1096" t="s">
        <v>10654</v>
      </c>
      <c r="Q1096" t="s">
        <v>10643</v>
      </c>
      <c r="R1096" t="s">
        <v>10644</v>
      </c>
      <c r="S1096" t="s">
        <v>10645</v>
      </c>
      <c r="T1096" t="s">
        <v>10646</v>
      </c>
      <c r="U1096" s="5">
        <v>818.05</v>
      </c>
      <c r="V1096" s="5">
        <v>754.63</v>
      </c>
      <c r="W1096" s="5">
        <v>12.748787</v>
      </c>
      <c r="X1096" s="5">
        <v>108.421536</v>
      </c>
      <c r="Y1096" s="5">
        <v>63.42</v>
      </c>
      <c r="Z1096" s="5">
        <v>12.762024</v>
      </c>
      <c r="AA1096" s="5">
        <v>108.41502199999999</v>
      </c>
      <c r="AB1096" s="7">
        <f t="shared" si="103"/>
        <v>1.131945</v>
      </c>
      <c r="AC1096" s="7">
        <f t="shared" si="104"/>
        <v>9.5129999999999992E-2</v>
      </c>
      <c r="AD1096" s="6" t="str">
        <f t="shared" si="105"/>
        <v>Ea Phê</v>
      </c>
      <c r="AE1096" s="6" t="str">
        <f t="shared" si="106"/>
        <v>Ea Kly</v>
      </c>
      <c r="AG1096">
        <f t="shared" si="107"/>
        <v>0.75463000000000002</v>
      </c>
      <c r="AH1096">
        <f t="shared" si="108"/>
        <v>6.3420000000000004E-2</v>
      </c>
    </row>
    <row r="1097" spans="1:34" x14ac:dyDescent="0.25">
      <c r="A1097" t="s">
        <v>10655</v>
      </c>
      <c r="B1097" t="s">
        <v>10656</v>
      </c>
      <c r="C1097" t="s">
        <v>10657</v>
      </c>
      <c r="D1097" t="s">
        <v>10344</v>
      </c>
      <c r="E1097" t="s">
        <v>10345</v>
      </c>
      <c r="F1097" t="s">
        <v>10658</v>
      </c>
      <c r="G1097" t="s">
        <v>15979</v>
      </c>
      <c r="H1097" t="s">
        <v>15980</v>
      </c>
      <c r="I1097" t="s">
        <v>16904</v>
      </c>
      <c r="J1097" t="s">
        <v>23</v>
      </c>
      <c r="L1097" t="s">
        <v>10638</v>
      </c>
      <c r="M1097" t="s">
        <v>10659</v>
      </c>
      <c r="N1097" t="s">
        <v>10660</v>
      </c>
      <c r="O1097" t="s">
        <v>10661</v>
      </c>
      <c r="P1097" t="s">
        <v>10662</v>
      </c>
      <c r="Q1097" t="s">
        <v>10663</v>
      </c>
      <c r="R1097" t="s">
        <v>10664</v>
      </c>
      <c r="S1097" t="s">
        <v>10665</v>
      </c>
      <c r="T1097" t="s">
        <v>10666</v>
      </c>
      <c r="U1097" s="5">
        <v>407.09</v>
      </c>
      <c r="V1097" s="5">
        <v>306.63</v>
      </c>
      <c r="W1097" s="5">
        <v>12.766622</v>
      </c>
      <c r="X1097" s="5">
        <v>108.36987000000001</v>
      </c>
      <c r="Y1097" s="5">
        <v>100.46</v>
      </c>
      <c r="Z1097" s="5">
        <v>12.727857</v>
      </c>
      <c r="AA1097" s="5">
        <v>108.36412300000001</v>
      </c>
      <c r="AB1097" s="7">
        <f t="shared" si="103"/>
        <v>0.45994499999999999</v>
      </c>
      <c r="AC1097" s="7">
        <f t="shared" si="104"/>
        <v>0.15068999999999999</v>
      </c>
      <c r="AD1097" s="6" t="str">
        <f t="shared" si="105"/>
        <v>Ea Phê</v>
      </c>
      <c r="AE1097" s="6" t="str">
        <f t="shared" si="106"/>
        <v>Ea Kly</v>
      </c>
      <c r="AG1097">
        <f t="shared" si="107"/>
        <v>0.30663000000000001</v>
      </c>
      <c r="AH1097">
        <f t="shared" si="108"/>
        <v>0.10045999999999999</v>
      </c>
    </row>
    <row r="1098" spans="1:34" x14ac:dyDescent="0.25">
      <c r="A1098" t="s">
        <v>10667</v>
      </c>
      <c r="B1098" t="s">
        <v>10668</v>
      </c>
      <c r="C1098" t="s">
        <v>10669</v>
      </c>
      <c r="D1098" t="s">
        <v>10344</v>
      </c>
      <c r="E1098" t="s">
        <v>10345</v>
      </c>
      <c r="F1098" t="s">
        <v>10670</v>
      </c>
      <c r="G1098" t="s">
        <v>15979</v>
      </c>
      <c r="H1098" t="s">
        <v>15980</v>
      </c>
      <c r="I1098" t="s">
        <v>16905</v>
      </c>
      <c r="J1098" t="s">
        <v>23</v>
      </c>
      <c r="L1098" t="s">
        <v>10347</v>
      </c>
      <c r="M1098" t="s">
        <v>10671</v>
      </c>
      <c r="N1098" t="s">
        <v>10672</v>
      </c>
      <c r="O1098" t="s">
        <v>10673</v>
      </c>
      <c r="P1098" t="s">
        <v>10674</v>
      </c>
      <c r="Q1098" t="s">
        <v>10349</v>
      </c>
      <c r="R1098" t="s">
        <v>10350</v>
      </c>
      <c r="S1098" t="s">
        <v>10351</v>
      </c>
      <c r="T1098" t="s">
        <v>10355</v>
      </c>
      <c r="U1098" s="5">
        <v>2940.95</v>
      </c>
      <c r="V1098" s="5">
        <v>2855.55</v>
      </c>
      <c r="W1098" s="5">
        <v>12.760439999999999</v>
      </c>
      <c r="X1098" s="5">
        <v>108.36897999999999</v>
      </c>
      <c r="Y1098" s="5">
        <v>85.4</v>
      </c>
      <c r="Z1098" s="5">
        <v>12.727708</v>
      </c>
      <c r="AA1098" s="5">
        <v>108.36395400000001</v>
      </c>
      <c r="AB1098" s="7">
        <f t="shared" si="103"/>
        <v>4.2833250000000005</v>
      </c>
      <c r="AC1098" s="7">
        <f t="shared" si="104"/>
        <v>0.12810000000000002</v>
      </c>
      <c r="AD1098" s="6" t="str">
        <f t="shared" si="105"/>
        <v>KRông Păk</v>
      </c>
      <c r="AE1098" s="6" t="str">
        <f t="shared" si="106"/>
        <v>Trại giam Đăk Tân (C10)</v>
      </c>
      <c r="AG1098">
        <f t="shared" si="107"/>
        <v>2.85555</v>
      </c>
      <c r="AH1098">
        <f t="shared" si="108"/>
        <v>8.5400000000000004E-2</v>
      </c>
    </row>
    <row r="1099" spans="1:34" x14ac:dyDescent="0.25">
      <c r="A1099" t="s">
        <v>10675</v>
      </c>
      <c r="B1099" t="s">
        <v>10676</v>
      </c>
      <c r="C1099" t="s">
        <v>10677</v>
      </c>
      <c r="D1099" t="s">
        <v>10376</v>
      </c>
      <c r="E1099" t="s">
        <v>10377</v>
      </c>
      <c r="F1099" t="s">
        <v>10678</v>
      </c>
      <c r="G1099" t="s">
        <v>15979</v>
      </c>
      <c r="H1099" t="s">
        <v>15980</v>
      </c>
      <c r="I1099" t="s">
        <v>16906</v>
      </c>
      <c r="J1099" t="s">
        <v>23</v>
      </c>
      <c r="L1099" t="s">
        <v>10381</v>
      </c>
      <c r="M1099" t="s">
        <v>10679</v>
      </c>
      <c r="N1099" t="s">
        <v>10680</v>
      </c>
      <c r="O1099" t="s">
        <v>10681</v>
      </c>
      <c r="P1099" t="s">
        <v>10682</v>
      </c>
      <c r="Q1099" t="s">
        <v>10383</v>
      </c>
      <c r="R1099" t="s">
        <v>10384</v>
      </c>
      <c r="S1099" t="s">
        <v>10385</v>
      </c>
      <c r="T1099" t="s">
        <v>10389</v>
      </c>
      <c r="U1099" s="5">
        <v>957.88</v>
      </c>
      <c r="V1099" s="5">
        <v>830.47</v>
      </c>
      <c r="W1099" s="5">
        <v>12.650548000000001</v>
      </c>
      <c r="X1099" s="5">
        <v>108.432001</v>
      </c>
      <c r="Y1099" s="5">
        <v>127.41</v>
      </c>
      <c r="Z1099" s="5">
        <v>12.658647</v>
      </c>
      <c r="AA1099" s="5">
        <v>108.43165500000001</v>
      </c>
      <c r="AB1099" s="7">
        <f t="shared" si="103"/>
        <v>1.2457049999999998</v>
      </c>
      <c r="AC1099" s="7">
        <f t="shared" si="104"/>
        <v>0.19111500000000001</v>
      </c>
      <c r="AD1099" s="6" t="e">
        <f t="shared" si="105"/>
        <v>#VALUE!</v>
      </c>
      <c r="AE1099" s="6" t="e">
        <f t="shared" si="106"/>
        <v>#VALUE!</v>
      </c>
      <c r="AG1099">
        <f t="shared" si="107"/>
        <v>0.83047000000000004</v>
      </c>
      <c r="AH1099">
        <f t="shared" si="108"/>
        <v>0.12741</v>
      </c>
    </row>
    <row r="1100" spans="1:34" x14ac:dyDescent="0.25">
      <c r="A1100" t="s">
        <v>10683</v>
      </c>
      <c r="B1100" t="s">
        <v>10684</v>
      </c>
      <c r="C1100" t="s">
        <v>10685</v>
      </c>
      <c r="D1100" t="s">
        <v>8592</v>
      </c>
      <c r="E1100" t="s">
        <v>8593</v>
      </c>
      <c r="F1100" t="s">
        <v>10686</v>
      </c>
      <c r="G1100" t="s">
        <v>15979</v>
      </c>
      <c r="H1100" t="s">
        <v>15980</v>
      </c>
      <c r="I1100" t="s">
        <v>16907</v>
      </c>
      <c r="J1100" t="s">
        <v>23</v>
      </c>
      <c r="L1100" t="s">
        <v>9126</v>
      </c>
      <c r="M1100" t="s">
        <v>10687</v>
      </c>
      <c r="N1100" t="s">
        <v>10688</v>
      </c>
      <c r="O1100" t="s">
        <v>10689</v>
      </c>
      <c r="P1100" t="s">
        <v>10690</v>
      </c>
      <c r="Q1100" t="s">
        <v>10287</v>
      </c>
      <c r="R1100" t="s">
        <v>10288</v>
      </c>
      <c r="S1100" t="s">
        <v>10289</v>
      </c>
      <c r="T1100" t="s">
        <v>9134</v>
      </c>
      <c r="U1100" s="5">
        <v>889.08</v>
      </c>
      <c r="V1100" s="5">
        <v>138.69999999999999</v>
      </c>
      <c r="W1100" s="5">
        <v>12.651728</v>
      </c>
      <c r="X1100" s="5">
        <v>108.374584</v>
      </c>
      <c r="Y1100" s="5">
        <v>750.37</v>
      </c>
      <c r="Z1100" s="5">
        <v>12.661210000000001</v>
      </c>
      <c r="AA1100" s="5">
        <v>108.347521</v>
      </c>
      <c r="AB1100" s="7">
        <f t="shared" si="103"/>
        <v>0.20804999999999998</v>
      </c>
      <c r="AC1100" s="7">
        <f t="shared" si="104"/>
        <v>1.1255550000000001</v>
      </c>
      <c r="AD1100" s="6" t="str">
        <f t="shared" si="105"/>
        <v>TT1 Đăk Lăk</v>
      </c>
      <c r="AE1100" s="6" t="str">
        <f t="shared" si="106"/>
        <v>ILA Ea Pal</v>
      </c>
      <c r="AG1100">
        <f t="shared" si="107"/>
        <v>0.13869999999999999</v>
      </c>
      <c r="AH1100">
        <f t="shared" si="108"/>
        <v>0.75036999999999998</v>
      </c>
    </row>
    <row r="1101" spans="1:34" x14ac:dyDescent="0.25">
      <c r="A1101" t="s">
        <v>10691</v>
      </c>
      <c r="B1101" t="s">
        <v>10692</v>
      </c>
      <c r="C1101" t="s">
        <v>10693</v>
      </c>
      <c r="D1101" t="s">
        <v>8592</v>
      </c>
      <c r="E1101" t="s">
        <v>8593</v>
      </c>
      <c r="F1101" t="s">
        <v>10694</v>
      </c>
      <c r="G1101" t="s">
        <v>15979</v>
      </c>
      <c r="H1101" t="s">
        <v>15980</v>
      </c>
      <c r="I1101" t="s">
        <v>16908</v>
      </c>
      <c r="J1101" t="s">
        <v>23</v>
      </c>
      <c r="L1101" t="s">
        <v>10437</v>
      </c>
      <c r="M1101" t="s">
        <v>10695</v>
      </c>
      <c r="N1101" t="s">
        <v>10696</v>
      </c>
      <c r="O1101" t="s">
        <v>10697</v>
      </c>
      <c r="P1101" t="s">
        <v>10698</v>
      </c>
      <c r="Q1101" t="s">
        <v>10699</v>
      </c>
      <c r="R1101" t="s">
        <v>10700</v>
      </c>
      <c r="S1101" t="s">
        <v>10701</v>
      </c>
      <c r="T1101" t="s">
        <v>10702</v>
      </c>
      <c r="U1101" s="5">
        <v>750.43</v>
      </c>
      <c r="V1101" s="5">
        <v>328.86</v>
      </c>
      <c r="W1101" s="5">
        <v>12.635908000000001</v>
      </c>
      <c r="X1101" s="5">
        <v>108.340936</v>
      </c>
      <c r="Y1101" s="5">
        <v>421.57</v>
      </c>
      <c r="Z1101" s="5">
        <v>12.652396</v>
      </c>
      <c r="AA1101" s="5">
        <v>108.341959</v>
      </c>
      <c r="AB1101" s="7">
        <f t="shared" si="103"/>
        <v>0.49329000000000001</v>
      </c>
      <c r="AC1101" s="7">
        <f t="shared" si="104"/>
        <v>0.632355</v>
      </c>
      <c r="AD1101" s="6" t="str">
        <f t="shared" si="105"/>
        <v>KRông Bông</v>
      </c>
      <c r="AE1101" s="6" t="str">
        <f t="shared" si="106"/>
        <v>TT1 Đăk Lăk</v>
      </c>
      <c r="AG1101">
        <f t="shared" si="107"/>
        <v>0.32886000000000004</v>
      </c>
      <c r="AH1101">
        <f t="shared" si="108"/>
        <v>0.42157</v>
      </c>
    </row>
    <row r="1102" spans="1:34" x14ac:dyDescent="0.25">
      <c r="A1102" t="s">
        <v>10703</v>
      </c>
      <c r="B1102" t="s">
        <v>10704</v>
      </c>
      <c r="C1102" t="s">
        <v>10705</v>
      </c>
      <c r="D1102" t="s">
        <v>10434</v>
      </c>
      <c r="E1102" t="s">
        <v>10435</v>
      </c>
      <c r="F1102" t="s">
        <v>10706</v>
      </c>
      <c r="G1102" t="s">
        <v>15979</v>
      </c>
      <c r="H1102" t="s">
        <v>15980</v>
      </c>
      <c r="I1102" t="s">
        <v>16909</v>
      </c>
      <c r="J1102" t="s">
        <v>23</v>
      </c>
      <c r="L1102" t="s">
        <v>10449</v>
      </c>
      <c r="M1102" t="s">
        <v>10707</v>
      </c>
      <c r="N1102" t="s">
        <v>10708</v>
      </c>
      <c r="O1102" t="s">
        <v>10709</v>
      </c>
      <c r="P1102" t="s">
        <v>10710</v>
      </c>
      <c r="Q1102" t="s">
        <v>10451</v>
      </c>
      <c r="R1102" t="s">
        <v>10452</v>
      </c>
      <c r="S1102" t="s">
        <v>10453</v>
      </c>
      <c r="T1102" t="s">
        <v>10457</v>
      </c>
      <c r="U1102" s="5">
        <v>1709.26</v>
      </c>
      <c r="V1102" s="5">
        <v>1612.81</v>
      </c>
      <c r="W1102" s="5">
        <v>12.698812</v>
      </c>
      <c r="X1102" s="5">
        <v>108.138423</v>
      </c>
      <c r="Y1102" s="5">
        <v>96.45</v>
      </c>
      <c r="Z1102" s="5">
        <v>12.70313</v>
      </c>
      <c r="AA1102" s="5">
        <v>108.156829</v>
      </c>
      <c r="AB1102" s="7">
        <f t="shared" si="103"/>
        <v>2.4192150000000003</v>
      </c>
      <c r="AC1102" s="7">
        <f t="shared" si="104"/>
        <v>0.144675</v>
      </c>
      <c r="AD1102" s="6" t="e">
        <f t="shared" si="105"/>
        <v>#VALUE!</v>
      </c>
      <c r="AE1102" s="6" t="e">
        <f t="shared" si="106"/>
        <v>#VALUE!</v>
      </c>
      <c r="AG1102">
        <f t="shared" si="107"/>
        <v>1.6128099999999999</v>
      </c>
      <c r="AH1102">
        <f t="shared" si="108"/>
        <v>9.6450000000000008E-2</v>
      </c>
    </row>
    <row r="1103" spans="1:34" x14ac:dyDescent="0.25">
      <c r="A1103" t="s">
        <v>10711</v>
      </c>
      <c r="B1103" t="s">
        <v>10712</v>
      </c>
      <c r="C1103" t="s">
        <v>10713</v>
      </c>
      <c r="D1103" t="s">
        <v>10434</v>
      </c>
      <c r="E1103" t="s">
        <v>10435</v>
      </c>
      <c r="F1103" t="s">
        <v>10714</v>
      </c>
      <c r="G1103" t="s">
        <v>15979</v>
      </c>
      <c r="H1103" t="s">
        <v>15980</v>
      </c>
      <c r="I1103" t="s">
        <v>16910</v>
      </c>
      <c r="J1103" t="s">
        <v>23</v>
      </c>
      <c r="L1103" t="s">
        <v>10437</v>
      </c>
      <c r="M1103" t="s">
        <v>10715</v>
      </c>
      <c r="N1103" t="s">
        <v>10716</v>
      </c>
      <c r="O1103" t="s">
        <v>10717</v>
      </c>
      <c r="P1103" t="s">
        <v>10718</v>
      </c>
      <c r="Q1103" t="s">
        <v>2602</v>
      </c>
      <c r="R1103" t="s">
        <v>10442</v>
      </c>
      <c r="S1103" t="s">
        <v>10443</v>
      </c>
      <c r="T1103" t="s">
        <v>10444</v>
      </c>
      <c r="U1103" s="5">
        <v>580.85</v>
      </c>
      <c r="V1103" s="5">
        <v>485.1</v>
      </c>
      <c r="W1103" s="5">
        <v>12.699388000000001</v>
      </c>
      <c r="X1103" s="5">
        <v>108.167626</v>
      </c>
      <c r="Y1103" s="5">
        <v>95.74</v>
      </c>
      <c r="Z1103" s="5">
        <v>12.703134</v>
      </c>
      <c r="AA1103" s="5">
        <v>108.15682200000001</v>
      </c>
      <c r="AB1103" s="7">
        <f t="shared" si="103"/>
        <v>0.72765000000000013</v>
      </c>
      <c r="AC1103" s="7">
        <f t="shared" si="104"/>
        <v>0.14360999999999999</v>
      </c>
      <c r="AD1103" s="6" t="str">
        <f t="shared" si="105"/>
        <v>KRông Bông</v>
      </c>
      <c r="AE1103" s="6" t="str">
        <f t="shared" si="106"/>
        <v>TT1 Đăk Lăk</v>
      </c>
      <c r="AG1103">
        <f t="shared" si="107"/>
        <v>0.48510000000000003</v>
      </c>
      <c r="AH1103">
        <f t="shared" si="108"/>
        <v>9.5739999999999992E-2</v>
      </c>
    </row>
    <row r="1104" spans="1:34" x14ac:dyDescent="0.25">
      <c r="A1104" t="s">
        <v>10719</v>
      </c>
      <c r="B1104" t="s">
        <v>10720</v>
      </c>
      <c r="C1104" t="s">
        <v>10721</v>
      </c>
      <c r="D1104" t="s">
        <v>10434</v>
      </c>
      <c r="E1104" t="s">
        <v>10435</v>
      </c>
      <c r="F1104" t="s">
        <v>10722</v>
      </c>
      <c r="G1104" t="s">
        <v>15979</v>
      </c>
      <c r="H1104" t="s">
        <v>15980</v>
      </c>
      <c r="I1104" t="s">
        <v>16911</v>
      </c>
      <c r="J1104" t="s">
        <v>23</v>
      </c>
      <c r="L1104" t="s">
        <v>10449</v>
      </c>
      <c r="M1104" t="s">
        <v>10723</v>
      </c>
      <c r="N1104" t="s">
        <v>10724</v>
      </c>
      <c r="O1104" t="s">
        <v>10725</v>
      </c>
      <c r="P1104" t="s">
        <v>10726</v>
      </c>
      <c r="Q1104" t="s">
        <v>10451</v>
      </c>
      <c r="R1104" t="s">
        <v>10452</v>
      </c>
      <c r="S1104" t="s">
        <v>10453</v>
      </c>
      <c r="T1104" t="s">
        <v>10457</v>
      </c>
      <c r="U1104" s="5">
        <v>264.11</v>
      </c>
      <c r="V1104" s="5">
        <v>167.66</v>
      </c>
      <c r="W1104" s="5">
        <v>12.701105999999999</v>
      </c>
      <c r="X1104" s="5">
        <v>108.181884</v>
      </c>
      <c r="Y1104" s="5">
        <v>96.45</v>
      </c>
      <c r="Z1104" s="5">
        <v>12.70313</v>
      </c>
      <c r="AA1104" s="5">
        <v>108.156829</v>
      </c>
      <c r="AB1104" s="7">
        <f t="shared" si="103"/>
        <v>0.25148999999999999</v>
      </c>
      <c r="AC1104" s="7">
        <f t="shared" si="104"/>
        <v>0.144675</v>
      </c>
      <c r="AD1104" s="6" t="e">
        <f t="shared" si="105"/>
        <v>#VALUE!</v>
      </c>
      <c r="AE1104" s="6" t="e">
        <f t="shared" si="106"/>
        <v>#VALUE!</v>
      </c>
      <c r="AG1104">
        <f t="shared" si="107"/>
        <v>0.16766</v>
      </c>
      <c r="AH1104">
        <f t="shared" si="108"/>
        <v>9.6450000000000008E-2</v>
      </c>
    </row>
    <row r="1105" spans="1:34" x14ac:dyDescent="0.25">
      <c r="A1105" t="s">
        <v>10727</v>
      </c>
      <c r="B1105" t="s">
        <v>10728</v>
      </c>
      <c r="C1105" t="s">
        <v>10729</v>
      </c>
      <c r="D1105" t="s">
        <v>8524</v>
      </c>
      <c r="E1105" t="s">
        <v>8525</v>
      </c>
      <c r="F1105" t="s">
        <v>10730</v>
      </c>
      <c r="G1105" t="s">
        <v>15979</v>
      </c>
      <c r="H1105" t="s">
        <v>15980</v>
      </c>
      <c r="I1105" t="s">
        <v>16912</v>
      </c>
      <c r="J1105" t="s">
        <v>23</v>
      </c>
      <c r="L1105" t="s">
        <v>8527</v>
      </c>
      <c r="M1105" t="s">
        <v>10731</v>
      </c>
      <c r="N1105" t="s">
        <v>10732</v>
      </c>
      <c r="O1105" t="s">
        <v>10733</v>
      </c>
      <c r="P1105" t="s">
        <v>10734</v>
      </c>
      <c r="Q1105" t="s">
        <v>8532</v>
      </c>
      <c r="R1105" t="s">
        <v>8533</v>
      </c>
      <c r="S1105" t="s">
        <v>8534</v>
      </c>
      <c r="T1105" t="s">
        <v>8535</v>
      </c>
      <c r="U1105" s="5">
        <v>733.33</v>
      </c>
      <c r="V1105" s="5">
        <v>176.01</v>
      </c>
      <c r="W1105" s="5">
        <v>12.553972</v>
      </c>
      <c r="X1105" s="5">
        <v>108.203045</v>
      </c>
      <c r="Y1105" s="5">
        <v>557.32000000000005</v>
      </c>
      <c r="Z1105" s="5">
        <v>12.561992</v>
      </c>
      <c r="AA1105" s="5">
        <v>108.168603</v>
      </c>
      <c r="AB1105" s="7">
        <f t="shared" si="103"/>
        <v>0.264015</v>
      </c>
      <c r="AC1105" s="7">
        <f t="shared" si="104"/>
        <v>0.83598000000000006</v>
      </c>
      <c r="AD1105" s="6" t="str">
        <f t="shared" si="105"/>
        <v>TTCMKV Cư Kuin</v>
      </c>
      <c r="AE1105" s="6" t="str">
        <f t="shared" si="106"/>
        <v>Dang Kang</v>
      </c>
      <c r="AG1105">
        <f t="shared" si="107"/>
        <v>0.17601</v>
      </c>
      <c r="AH1105">
        <f t="shared" si="108"/>
        <v>0.55732000000000004</v>
      </c>
    </row>
    <row r="1106" spans="1:34" x14ac:dyDescent="0.25">
      <c r="A1106" t="s">
        <v>10735</v>
      </c>
      <c r="B1106" t="s">
        <v>10736</v>
      </c>
      <c r="C1106" t="s">
        <v>10737</v>
      </c>
      <c r="D1106" t="s">
        <v>10738</v>
      </c>
      <c r="E1106" t="s">
        <v>10739</v>
      </c>
      <c r="F1106" t="s">
        <v>10740</v>
      </c>
      <c r="G1106" t="s">
        <v>15979</v>
      </c>
      <c r="H1106" t="s">
        <v>15980</v>
      </c>
      <c r="I1106" t="s">
        <v>16913</v>
      </c>
      <c r="J1106" t="s">
        <v>23</v>
      </c>
      <c r="L1106" t="s">
        <v>10437</v>
      </c>
      <c r="M1106" t="s">
        <v>10741</v>
      </c>
      <c r="N1106" t="s">
        <v>10742</v>
      </c>
      <c r="O1106" t="s">
        <v>10743</v>
      </c>
      <c r="P1106" t="s">
        <v>10744</v>
      </c>
      <c r="Q1106" t="s">
        <v>10745</v>
      </c>
      <c r="R1106" t="s">
        <v>10746</v>
      </c>
      <c r="S1106" t="s">
        <v>10747</v>
      </c>
      <c r="T1106" t="s">
        <v>10748</v>
      </c>
      <c r="U1106" s="5">
        <v>208.69</v>
      </c>
      <c r="V1106" s="5">
        <v>77.94</v>
      </c>
      <c r="W1106" s="5">
        <v>12.572417</v>
      </c>
      <c r="X1106" s="5">
        <v>108.33487100000001</v>
      </c>
      <c r="Y1106" s="5">
        <v>130.75</v>
      </c>
      <c r="Z1106" s="5">
        <v>12.590354</v>
      </c>
      <c r="AA1106" s="5">
        <v>108.327568</v>
      </c>
      <c r="AB1106" s="7">
        <f t="shared" si="103"/>
        <v>0.11691</v>
      </c>
      <c r="AC1106" s="7">
        <f t="shared" si="104"/>
        <v>0.19612499999999999</v>
      </c>
      <c r="AD1106" s="6" t="str">
        <f t="shared" si="105"/>
        <v>KRông Bông</v>
      </c>
      <c r="AE1106" s="6" t="str">
        <f t="shared" si="106"/>
        <v>TT1 Đăk Lăk</v>
      </c>
      <c r="AG1106">
        <f t="shared" si="107"/>
        <v>7.7939999999999995E-2</v>
      </c>
      <c r="AH1106">
        <f t="shared" si="108"/>
        <v>0.13075000000000001</v>
      </c>
    </row>
    <row r="1107" spans="1:34" x14ac:dyDescent="0.25">
      <c r="A1107" t="s">
        <v>10749</v>
      </c>
      <c r="B1107" t="s">
        <v>10750</v>
      </c>
      <c r="C1107" t="s">
        <v>10751</v>
      </c>
      <c r="D1107" t="s">
        <v>10736</v>
      </c>
      <c r="E1107" t="s">
        <v>10737</v>
      </c>
      <c r="F1107" t="s">
        <v>10752</v>
      </c>
      <c r="G1107" t="s">
        <v>15979</v>
      </c>
      <c r="H1107" t="s">
        <v>15980</v>
      </c>
      <c r="I1107" t="s">
        <v>16914</v>
      </c>
      <c r="J1107" t="s">
        <v>23</v>
      </c>
      <c r="L1107" t="s">
        <v>10437</v>
      </c>
      <c r="M1107" t="s">
        <v>10753</v>
      </c>
      <c r="N1107" t="s">
        <v>10754</v>
      </c>
      <c r="O1107" t="s">
        <v>10755</v>
      </c>
      <c r="P1107" t="s">
        <v>10756</v>
      </c>
      <c r="Q1107" t="s">
        <v>10742</v>
      </c>
      <c r="R1107" t="s">
        <v>10743</v>
      </c>
      <c r="S1107" t="s">
        <v>10744</v>
      </c>
      <c r="T1107" t="s">
        <v>10748</v>
      </c>
      <c r="U1107" s="5">
        <v>1111.03</v>
      </c>
      <c r="V1107" s="5">
        <v>1033.0899999999999</v>
      </c>
      <c r="W1107" s="5">
        <v>12.554665999999999</v>
      </c>
      <c r="X1107" s="5">
        <v>108.32606800000001</v>
      </c>
      <c r="Y1107" s="5">
        <v>77.94</v>
      </c>
      <c r="Z1107" s="5">
        <v>12.572417</v>
      </c>
      <c r="AA1107" s="5">
        <v>108.33487100000001</v>
      </c>
      <c r="AB1107" s="7">
        <f t="shared" si="103"/>
        <v>1.5496349999999999</v>
      </c>
      <c r="AC1107" s="7">
        <f t="shared" si="104"/>
        <v>0.11691</v>
      </c>
      <c r="AD1107" s="6" t="str">
        <f t="shared" si="105"/>
        <v>KRông Bông</v>
      </c>
      <c r="AE1107" s="6" t="str">
        <f t="shared" si="106"/>
        <v>TT1 Đăk Lăk</v>
      </c>
      <c r="AG1107">
        <f t="shared" si="107"/>
        <v>1.0330899999999998</v>
      </c>
      <c r="AH1107">
        <f t="shared" si="108"/>
        <v>7.7939999999999995E-2</v>
      </c>
    </row>
    <row r="1108" spans="1:34" x14ac:dyDescent="0.25">
      <c r="A1108" t="s">
        <v>10757</v>
      </c>
      <c r="B1108" t="s">
        <v>10758</v>
      </c>
      <c r="C1108" t="s">
        <v>10759</v>
      </c>
      <c r="D1108" t="s">
        <v>8459</v>
      </c>
      <c r="E1108" t="s">
        <v>8460</v>
      </c>
      <c r="F1108" t="s">
        <v>10760</v>
      </c>
      <c r="G1108" t="s">
        <v>15979</v>
      </c>
      <c r="H1108" t="s">
        <v>15980</v>
      </c>
      <c r="I1108" t="s">
        <v>16915</v>
      </c>
      <c r="J1108" t="s">
        <v>23</v>
      </c>
      <c r="L1108" t="s">
        <v>8432</v>
      </c>
      <c r="M1108" t="s">
        <v>10761</v>
      </c>
      <c r="N1108" t="s">
        <v>10762</v>
      </c>
      <c r="O1108" t="s">
        <v>10763</v>
      </c>
      <c r="P1108" t="s">
        <v>10764</v>
      </c>
      <c r="Q1108" t="s">
        <v>8464</v>
      </c>
      <c r="R1108" t="s">
        <v>8438</v>
      </c>
      <c r="S1108" t="s">
        <v>8439</v>
      </c>
      <c r="T1108" t="s">
        <v>8440</v>
      </c>
      <c r="U1108" s="5">
        <v>95655.21</v>
      </c>
      <c r="V1108" s="5">
        <v>1149.3900000000001</v>
      </c>
      <c r="W1108" s="5">
        <v>12.697469</v>
      </c>
      <c r="X1108" s="5">
        <v>108.071369</v>
      </c>
      <c r="Y1108" s="5">
        <v>94505.82</v>
      </c>
      <c r="Z1108" s="5">
        <v>12.811565999999999</v>
      </c>
      <c r="AA1108" s="5">
        <v>108.483311</v>
      </c>
      <c r="AB1108" s="7">
        <f t="shared" si="103"/>
        <v>1.7240850000000001</v>
      </c>
      <c r="AC1108" s="7">
        <f t="shared" si="104"/>
        <v>141.75873000000001</v>
      </c>
      <c r="AD1108" s="6" t="str">
        <f t="shared" si="105"/>
        <v>TT1 Đăk Lăk</v>
      </c>
      <c r="AE1108" s="6" t="str">
        <f t="shared" si="106"/>
        <v>ILA Ea Kar</v>
      </c>
      <c r="AG1108">
        <f t="shared" si="107"/>
        <v>1.1493900000000001</v>
      </c>
      <c r="AH1108">
        <f t="shared" si="108"/>
        <v>94.50582</v>
      </c>
    </row>
    <row r="1109" spans="1:34" x14ac:dyDescent="0.25">
      <c r="A1109" t="s">
        <v>10765</v>
      </c>
      <c r="B1109" t="s">
        <v>10766</v>
      </c>
      <c r="C1109" t="s">
        <v>10767</v>
      </c>
      <c r="D1109" t="s">
        <v>8444</v>
      </c>
      <c r="E1109" t="s">
        <v>8445</v>
      </c>
      <c r="F1109" t="s">
        <v>10768</v>
      </c>
      <c r="G1109" t="s">
        <v>15979</v>
      </c>
      <c r="H1109" t="s">
        <v>15980</v>
      </c>
      <c r="I1109" t="s">
        <v>16916</v>
      </c>
      <c r="J1109" t="s">
        <v>23</v>
      </c>
      <c r="L1109" t="s">
        <v>8447</v>
      </c>
      <c r="M1109" t="s">
        <v>10769</v>
      </c>
      <c r="N1109" t="s">
        <v>10770</v>
      </c>
      <c r="O1109" t="s">
        <v>10771</v>
      </c>
      <c r="P1109" t="s">
        <v>10772</v>
      </c>
      <c r="Q1109" t="s">
        <v>9164</v>
      </c>
      <c r="R1109" t="s">
        <v>9165</v>
      </c>
      <c r="S1109" t="s">
        <v>9166</v>
      </c>
      <c r="T1109" t="s">
        <v>9167</v>
      </c>
      <c r="U1109" s="5">
        <v>1637.45</v>
      </c>
      <c r="V1109" s="5">
        <v>1225.47</v>
      </c>
      <c r="W1109" s="5">
        <v>12.682732</v>
      </c>
      <c r="X1109" s="5">
        <v>108.006702</v>
      </c>
      <c r="Y1109" s="5">
        <v>411.98</v>
      </c>
      <c r="Z1109" s="5">
        <v>12.682619000000001</v>
      </c>
      <c r="AA1109" s="5">
        <v>108.012011</v>
      </c>
      <c r="AB1109" s="7">
        <f t="shared" si="103"/>
        <v>1.8382049999999999</v>
      </c>
      <c r="AC1109" s="7">
        <f t="shared" si="104"/>
        <v>0.61797000000000002</v>
      </c>
      <c r="AD1109" s="6" t="str">
        <f t="shared" si="105"/>
        <v>Thành Nhất</v>
      </c>
      <c r="AE1109" s="6" t="str">
        <f t="shared" si="106"/>
        <v>Ea Nuôl</v>
      </c>
      <c r="AG1109">
        <f t="shared" si="107"/>
        <v>1.2254700000000001</v>
      </c>
      <c r="AH1109">
        <f t="shared" si="108"/>
        <v>0.41198000000000001</v>
      </c>
    </row>
    <row r="1110" spans="1:34" x14ac:dyDescent="0.25">
      <c r="A1110" t="s">
        <v>10773</v>
      </c>
      <c r="B1110" t="s">
        <v>10774</v>
      </c>
      <c r="C1110" t="s">
        <v>10775</v>
      </c>
      <c r="D1110" t="s">
        <v>8387</v>
      </c>
      <c r="E1110" t="s">
        <v>8388</v>
      </c>
      <c r="F1110" t="s">
        <v>10776</v>
      </c>
      <c r="G1110" t="s">
        <v>15979</v>
      </c>
      <c r="H1110" t="s">
        <v>15980</v>
      </c>
      <c r="I1110" t="s">
        <v>16917</v>
      </c>
      <c r="J1110" t="s">
        <v>23</v>
      </c>
      <c r="L1110" t="s">
        <v>8390</v>
      </c>
      <c r="M1110" t="s">
        <v>10777</v>
      </c>
      <c r="N1110" t="s">
        <v>10778</v>
      </c>
      <c r="O1110" t="s">
        <v>10779</v>
      </c>
      <c r="P1110" t="s">
        <v>10780</v>
      </c>
      <c r="Q1110" t="s">
        <v>8395</v>
      </c>
      <c r="R1110" t="s">
        <v>8396</v>
      </c>
      <c r="S1110" t="s">
        <v>8397</v>
      </c>
      <c r="T1110" t="s">
        <v>8398</v>
      </c>
      <c r="U1110" s="5">
        <v>1584.32</v>
      </c>
      <c r="V1110" s="5">
        <v>1533.33</v>
      </c>
      <c r="W1110" s="5">
        <v>13.267206</v>
      </c>
      <c r="X1110" s="5">
        <v>108.29180599999999</v>
      </c>
      <c r="Y1110" s="5">
        <v>51</v>
      </c>
      <c r="Z1110" s="5">
        <v>13.266173</v>
      </c>
      <c r="AA1110" s="5">
        <v>108.28749500000001</v>
      </c>
      <c r="AB1110" s="7">
        <f t="shared" si="103"/>
        <v>2.299995</v>
      </c>
      <c r="AC1110" s="7">
        <f t="shared" si="104"/>
        <v>7.6499999999999999E-2</v>
      </c>
      <c r="AD1110" s="6" t="e">
        <f t="shared" si="105"/>
        <v>#VALUE!</v>
      </c>
      <c r="AE1110" s="6" t="e">
        <f t="shared" si="106"/>
        <v>#VALUE!</v>
      </c>
      <c r="AG1110">
        <f t="shared" si="107"/>
        <v>1.5333299999999999</v>
      </c>
      <c r="AH1110">
        <f t="shared" si="108"/>
        <v>5.0999999999999997E-2</v>
      </c>
    </row>
    <row r="1111" spans="1:34" x14ac:dyDescent="0.25">
      <c r="A1111" t="s">
        <v>10781</v>
      </c>
      <c r="B1111" t="s">
        <v>10782</v>
      </c>
      <c r="C1111" t="s">
        <v>10783</v>
      </c>
      <c r="D1111" t="s">
        <v>8387</v>
      </c>
      <c r="E1111" t="s">
        <v>8388</v>
      </c>
      <c r="F1111" t="s">
        <v>10784</v>
      </c>
      <c r="G1111" t="s">
        <v>15979</v>
      </c>
      <c r="H1111" t="s">
        <v>15980</v>
      </c>
      <c r="I1111" t="s">
        <v>16918</v>
      </c>
      <c r="J1111" t="s">
        <v>23</v>
      </c>
      <c r="L1111" t="s">
        <v>8390</v>
      </c>
      <c r="M1111" t="s">
        <v>10785</v>
      </c>
      <c r="N1111" t="s">
        <v>10786</v>
      </c>
      <c r="O1111" t="s">
        <v>10787</v>
      </c>
      <c r="P1111" t="s">
        <v>10788</v>
      </c>
      <c r="Q1111" t="s">
        <v>8395</v>
      </c>
      <c r="R1111" t="s">
        <v>8396</v>
      </c>
      <c r="S1111" t="s">
        <v>8397</v>
      </c>
      <c r="T1111" t="s">
        <v>8398</v>
      </c>
      <c r="U1111" s="5">
        <v>967.46</v>
      </c>
      <c r="V1111" s="5">
        <v>916.47</v>
      </c>
      <c r="W1111" s="5">
        <v>13.259207999999999</v>
      </c>
      <c r="X1111" s="5">
        <v>108.29445800000001</v>
      </c>
      <c r="Y1111" s="5">
        <v>51</v>
      </c>
      <c r="Z1111" s="5">
        <v>13.266173</v>
      </c>
      <c r="AA1111" s="5">
        <v>108.28749500000001</v>
      </c>
      <c r="AB1111" s="7">
        <f t="shared" si="103"/>
        <v>1.3747049999999998</v>
      </c>
      <c r="AC1111" s="7">
        <f t="shared" si="104"/>
        <v>7.6499999999999999E-2</v>
      </c>
      <c r="AD1111" s="6" t="e">
        <f t="shared" si="105"/>
        <v>#VALUE!</v>
      </c>
      <c r="AE1111" s="6" t="e">
        <f t="shared" si="106"/>
        <v>#VALUE!</v>
      </c>
      <c r="AG1111">
        <f t="shared" si="107"/>
        <v>0.91647000000000001</v>
      </c>
      <c r="AH1111">
        <f t="shared" si="108"/>
        <v>5.0999999999999997E-2</v>
      </c>
    </row>
    <row r="1112" spans="1:34" x14ac:dyDescent="0.25">
      <c r="A1112" t="s">
        <v>10789</v>
      </c>
      <c r="B1112" t="s">
        <v>10790</v>
      </c>
      <c r="C1112" t="s">
        <v>10791</v>
      </c>
      <c r="D1112" t="s">
        <v>9110</v>
      </c>
      <c r="E1112" t="s">
        <v>9111</v>
      </c>
      <c r="F1112" t="s">
        <v>10792</v>
      </c>
      <c r="G1112" t="s">
        <v>15979</v>
      </c>
      <c r="H1112" t="s">
        <v>15980</v>
      </c>
      <c r="I1112" t="s">
        <v>16919</v>
      </c>
      <c r="J1112" t="s">
        <v>23</v>
      </c>
      <c r="L1112" t="s">
        <v>9113</v>
      </c>
      <c r="M1112" t="s">
        <v>10793</v>
      </c>
      <c r="N1112" t="s">
        <v>10794</v>
      </c>
      <c r="O1112" t="s">
        <v>9119</v>
      </c>
      <c r="P1112" t="s">
        <v>9120</v>
      </c>
      <c r="Q1112" t="s">
        <v>9118</v>
      </c>
      <c r="R1112" t="s">
        <v>9119</v>
      </c>
      <c r="S1112" t="s">
        <v>9120</v>
      </c>
      <c r="T1112" t="s">
        <v>9121</v>
      </c>
      <c r="U1112" s="5">
        <v>192.74</v>
      </c>
      <c r="V1112" s="5">
        <v>189.33</v>
      </c>
      <c r="W1112" s="5">
        <v>12.673265000000001</v>
      </c>
      <c r="X1112" s="5">
        <v>108.03362799999999</v>
      </c>
      <c r="Y1112" s="5">
        <v>3.41</v>
      </c>
      <c r="Z1112" s="5">
        <v>12.673265000000001</v>
      </c>
      <c r="AA1112" s="5">
        <v>108.03362799999999</v>
      </c>
      <c r="AB1112" s="7">
        <f t="shared" si="103"/>
        <v>0.283995</v>
      </c>
      <c r="AC1112" s="7">
        <f t="shared" si="104"/>
        <v>5.1150000000000006E-3</v>
      </c>
      <c r="AD1112" s="6" t="str">
        <f t="shared" si="105"/>
        <v>Trung tâm huấn luyện PX01</v>
      </c>
      <c r="AE1112" s="6" t="str">
        <f t="shared" si="106"/>
        <v>TT1 Đăk Lăk</v>
      </c>
      <c r="AG1112">
        <f t="shared" si="107"/>
        <v>0.18933000000000003</v>
      </c>
      <c r="AH1112">
        <f t="shared" si="108"/>
        <v>3.4100000000000003E-3</v>
      </c>
    </row>
    <row r="1113" spans="1:34" x14ac:dyDescent="0.25">
      <c r="A1113" t="s">
        <v>10795</v>
      </c>
      <c r="B1113" t="s">
        <v>10796</v>
      </c>
      <c r="C1113" t="s">
        <v>10797</v>
      </c>
      <c r="D1113" t="s">
        <v>9136</v>
      </c>
      <c r="E1113" t="s">
        <v>9137</v>
      </c>
      <c r="F1113" t="s">
        <v>10798</v>
      </c>
      <c r="G1113" t="s">
        <v>15979</v>
      </c>
      <c r="H1113" t="s">
        <v>15980</v>
      </c>
      <c r="I1113" t="s">
        <v>16920</v>
      </c>
      <c r="J1113" t="s">
        <v>23</v>
      </c>
      <c r="L1113" t="s">
        <v>9139</v>
      </c>
      <c r="M1113" t="s">
        <v>10799</v>
      </c>
      <c r="N1113" t="s">
        <v>10800</v>
      </c>
      <c r="O1113" t="s">
        <v>9142</v>
      </c>
      <c r="P1113" t="s">
        <v>9143</v>
      </c>
      <c r="Q1113" t="s">
        <v>9144</v>
      </c>
      <c r="R1113" t="s">
        <v>9145</v>
      </c>
      <c r="S1113" t="s">
        <v>9146</v>
      </c>
      <c r="T1113" t="s">
        <v>9147</v>
      </c>
      <c r="U1113" s="5">
        <v>162.19999999999999</v>
      </c>
      <c r="V1113" s="5">
        <v>72.25</v>
      </c>
      <c r="W1113" s="5">
        <v>12.662886</v>
      </c>
      <c r="X1113" s="5">
        <v>108.03439</v>
      </c>
      <c r="Y1113" s="5">
        <v>89.95</v>
      </c>
      <c r="Z1113" s="5">
        <v>12.660361</v>
      </c>
      <c r="AA1113" s="5">
        <v>108.031069</v>
      </c>
      <c r="AB1113" s="7">
        <f t="shared" si="103"/>
        <v>0.108375</v>
      </c>
      <c r="AC1113" s="7">
        <f t="shared" si="104"/>
        <v>0.13492500000000002</v>
      </c>
      <c r="AD1113" s="6" t="str">
        <f t="shared" si="105"/>
        <v>CAT Đắk Lắk</v>
      </c>
      <c r="AE1113" s="6" t="str">
        <f t="shared" si="106"/>
        <v>Ea Kao</v>
      </c>
      <c r="AG1113">
        <f t="shared" si="107"/>
        <v>7.2249999999999995E-2</v>
      </c>
      <c r="AH1113">
        <f t="shared" si="108"/>
        <v>8.9950000000000002E-2</v>
      </c>
    </row>
    <row r="1114" spans="1:34" x14ac:dyDescent="0.25">
      <c r="A1114" t="s">
        <v>10801</v>
      </c>
      <c r="B1114" t="s">
        <v>10802</v>
      </c>
      <c r="C1114" t="s">
        <v>10803</v>
      </c>
      <c r="D1114" t="s">
        <v>8636</v>
      </c>
      <c r="E1114" t="s">
        <v>8637</v>
      </c>
      <c r="F1114" t="s">
        <v>10804</v>
      </c>
      <c r="G1114" t="s">
        <v>15979</v>
      </c>
      <c r="H1114" t="s">
        <v>15980</v>
      </c>
      <c r="I1114" t="s">
        <v>16921</v>
      </c>
      <c r="J1114" t="s">
        <v>23</v>
      </c>
      <c r="L1114" t="s">
        <v>10805</v>
      </c>
      <c r="M1114" t="s">
        <v>10806</v>
      </c>
      <c r="N1114" t="s">
        <v>10807</v>
      </c>
      <c r="O1114" t="s">
        <v>10808</v>
      </c>
      <c r="P1114" t="s">
        <v>10809</v>
      </c>
      <c r="Q1114" t="s">
        <v>10810</v>
      </c>
      <c r="R1114" t="s">
        <v>10811</v>
      </c>
      <c r="S1114" t="s">
        <v>10812</v>
      </c>
      <c r="T1114" t="s">
        <v>10813</v>
      </c>
      <c r="U1114" s="5">
        <v>371.48</v>
      </c>
      <c r="V1114" s="5">
        <v>77.88</v>
      </c>
      <c r="W1114" s="5">
        <v>12.687635999999999</v>
      </c>
      <c r="X1114" s="5">
        <v>108.05217</v>
      </c>
      <c r="Y1114" s="5">
        <v>293.60000000000002</v>
      </c>
      <c r="Z1114" s="5">
        <v>12.686939000000001</v>
      </c>
      <c r="AA1114" s="5">
        <v>108.052724</v>
      </c>
      <c r="AB1114" s="7">
        <f t="shared" si="103"/>
        <v>0.11681999999999999</v>
      </c>
      <c r="AC1114" s="7">
        <f t="shared" si="104"/>
        <v>0.44040000000000001</v>
      </c>
      <c r="AD1114" s="6" t="str">
        <f t="shared" si="105"/>
        <v>TT1 Đăk Lăk</v>
      </c>
      <c r="AE1114" s="6" t="str">
        <f t="shared" si="106"/>
        <v>PA07</v>
      </c>
      <c r="AG1114">
        <f t="shared" si="107"/>
        <v>7.7879999999999991E-2</v>
      </c>
      <c r="AH1114">
        <f t="shared" si="108"/>
        <v>0.29360000000000003</v>
      </c>
    </row>
    <row r="1115" spans="1:34" x14ac:dyDescent="0.25">
      <c r="A1115" t="s">
        <v>10814</v>
      </c>
      <c r="B1115" t="s">
        <v>10815</v>
      </c>
      <c r="C1115" t="s">
        <v>10816</v>
      </c>
      <c r="D1115" t="s">
        <v>10415</v>
      </c>
      <c r="E1115" t="s">
        <v>10416</v>
      </c>
      <c r="F1115" t="s">
        <v>10817</v>
      </c>
      <c r="G1115" t="s">
        <v>15979</v>
      </c>
      <c r="H1115" t="s">
        <v>15980</v>
      </c>
      <c r="I1115" t="s">
        <v>16922</v>
      </c>
      <c r="J1115" t="s">
        <v>23</v>
      </c>
      <c r="L1115" t="s">
        <v>9126</v>
      </c>
      <c r="M1115" t="s">
        <v>10818</v>
      </c>
      <c r="N1115" t="s">
        <v>10819</v>
      </c>
      <c r="O1115" t="s">
        <v>10820</v>
      </c>
      <c r="P1115" t="s">
        <v>10821</v>
      </c>
      <c r="Q1115" t="s">
        <v>10430</v>
      </c>
      <c r="R1115" t="s">
        <v>10431</v>
      </c>
      <c r="S1115" t="s">
        <v>10432</v>
      </c>
      <c r="T1115" t="s">
        <v>9134</v>
      </c>
      <c r="U1115" s="5">
        <v>302.64999999999998</v>
      </c>
      <c r="V1115" s="5">
        <v>130.63</v>
      </c>
      <c r="W1115" s="5">
        <v>12.735424999999999</v>
      </c>
      <c r="X1115" s="5">
        <v>108.537651</v>
      </c>
      <c r="Y1115" s="5">
        <v>172.02</v>
      </c>
      <c r="Z1115" s="5">
        <v>12.726613</v>
      </c>
      <c r="AA1115" s="5">
        <v>108.55382</v>
      </c>
      <c r="AB1115" s="7">
        <f t="shared" si="103"/>
        <v>0.19594499999999998</v>
      </c>
      <c r="AC1115" s="7">
        <f t="shared" si="104"/>
        <v>0.25803000000000004</v>
      </c>
      <c r="AD1115" s="6" t="str">
        <f t="shared" si="105"/>
        <v>TT1 Đăk Lăk</v>
      </c>
      <c r="AE1115" s="6" t="str">
        <f t="shared" si="106"/>
        <v>ILA Ea Pal</v>
      </c>
      <c r="AG1115">
        <f t="shared" si="107"/>
        <v>0.13063</v>
      </c>
      <c r="AH1115">
        <f t="shared" si="108"/>
        <v>0.17202000000000001</v>
      </c>
    </row>
    <row r="1116" spans="1:34" x14ac:dyDescent="0.25">
      <c r="A1116" t="s">
        <v>10822</v>
      </c>
      <c r="B1116" t="s">
        <v>10823</v>
      </c>
      <c r="C1116" t="s">
        <v>10824</v>
      </c>
      <c r="D1116" t="s">
        <v>10415</v>
      </c>
      <c r="E1116" t="s">
        <v>10416</v>
      </c>
      <c r="F1116" t="s">
        <v>10825</v>
      </c>
      <c r="G1116" t="s">
        <v>15979</v>
      </c>
      <c r="H1116" t="s">
        <v>15980</v>
      </c>
      <c r="I1116" t="s">
        <v>16923</v>
      </c>
      <c r="J1116" t="s">
        <v>23</v>
      </c>
      <c r="L1116" t="s">
        <v>9126</v>
      </c>
      <c r="M1116" t="s">
        <v>10826</v>
      </c>
      <c r="N1116" t="s">
        <v>10827</v>
      </c>
      <c r="O1116" t="s">
        <v>10828</v>
      </c>
      <c r="P1116" t="s">
        <v>10829</v>
      </c>
      <c r="Q1116" t="s">
        <v>10430</v>
      </c>
      <c r="R1116" t="s">
        <v>10431</v>
      </c>
      <c r="S1116" t="s">
        <v>10432</v>
      </c>
      <c r="T1116" t="s">
        <v>9134</v>
      </c>
      <c r="U1116" s="5">
        <v>1558.06</v>
      </c>
      <c r="V1116" s="5">
        <v>1386.04</v>
      </c>
      <c r="W1116" s="5">
        <v>12.709548</v>
      </c>
      <c r="X1116" s="5">
        <v>108.529346</v>
      </c>
      <c r="Y1116" s="5">
        <v>172.02</v>
      </c>
      <c r="Z1116" s="5">
        <v>12.726613</v>
      </c>
      <c r="AA1116" s="5">
        <v>108.55382</v>
      </c>
      <c r="AB1116" s="7">
        <f t="shared" si="103"/>
        <v>2.0790600000000001</v>
      </c>
      <c r="AC1116" s="7">
        <f t="shared" si="104"/>
        <v>0.25803000000000004</v>
      </c>
      <c r="AD1116" s="6" t="str">
        <f t="shared" si="105"/>
        <v>TT1 Đăk Lăk</v>
      </c>
      <c r="AE1116" s="6" t="str">
        <f t="shared" si="106"/>
        <v>ILA Ea Pal</v>
      </c>
      <c r="AG1116">
        <f t="shared" si="107"/>
        <v>1.3860399999999999</v>
      </c>
      <c r="AH1116">
        <f t="shared" si="108"/>
        <v>0.17202000000000001</v>
      </c>
    </row>
    <row r="1117" spans="1:34" x14ac:dyDescent="0.25">
      <c r="A1117" t="s">
        <v>10830</v>
      </c>
      <c r="B1117" t="s">
        <v>10831</v>
      </c>
      <c r="C1117" t="s">
        <v>10832</v>
      </c>
      <c r="D1117" t="s">
        <v>10833</v>
      </c>
      <c r="E1117" t="s">
        <v>10834</v>
      </c>
      <c r="F1117" t="s">
        <v>10835</v>
      </c>
      <c r="G1117" t="s">
        <v>15979</v>
      </c>
      <c r="H1117" t="s">
        <v>15980</v>
      </c>
      <c r="I1117" t="s">
        <v>16924</v>
      </c>
      <c r="J1117" t="s">
        <v>23</v>
      </c>
      <c r="L1117" t="s">
        <v>10836</v>
      </c>
      <c r="M1117" t="s">
        <v>10837</v>
      </c>
      <c r="N1117" t="s">
        <v>10838</v>
      </c>
      <c r="O1117" t="s">
        <v>10839</v>
      </c>
      <c r="P1117" t="s">
        <v>10840</v>
      </c>
      <c r="Q1117" t="s">
        <v>10841</v>
      </c>
      <c r="R1117" t="s">
        <v>10842</v>
      </c>
      <c r="S1117" t="s">
        <v>10843</v>
      </c>
      <c r="T1117" t="s">
        <v>10844</v>
      </c>
      <c r="U1117" s="5">
        <v>250.35</v>
      </c>
      <c r="V1117" s="5">
        <v>99.57</v>
      </c>
      <c r="W1117" s="5">
        <v>12.504058000000001</v>
      </c>
      <c r="X1117" s="5">
        <v>108.230287</v>
      </c>
      <c r="Y1117" s="5">
        <v>150.79</v>
      </c>
      <c r="Z1117" s="5">
        <v>12.508934</v>
      </c>
      <c r="AA1117" s="5">
        <v>108.218582</v>
      </c>
      <c r="AB1117" s="7">
        <f t="shared" si="103"/>
        <v>0.14935499999999999</v>
      </c>
      <c r="AC1117" s="7">
        <f t="shared" si="104"/>
        <v>0.226185</v>
      </c>
      <c r="AD1117" s="6" t="str">
        <f t="shared" si="105"/>
        <v>TTCMKV Cư Kuin</v>
      </c>
      <c r="AE1117" s="6" t="str">
        <f t="shared" si="106"/>
        <v>Hòa Sơn</v>
      </c>
      <c r="AG1117">
        <f t="shared" si="107"/>
        <v>9.9569999999999992E-2</v>
      </c>
      <c r="AH1117">
        <f t="shared" si="108"/>
        <v>0.15078999999999998</v>
      </c>
    </row>
    <row r="1118" spans="1:34" x14ac:dyDescent="0.25">
      <c r="A1118" t="s">
        <v>10845</v>
      </c>
      <c r="B1118" t="s">
        <v>10846</v>
      </c>
      <c r="C1118" t="s">
        <v>10847</v>
      </c>
      <c r="D1118" t="s">
        <v>10831</v>
      </c>
      <c r="E1118" t="s">
        <v>10832</v>
      </c>
      <c r="F1118" t="s">
        <v>10848</v>
      </c>
      <c r="G1118" t="s">
        <v>15979</v>
      </c>
      <c r="H1118" t="s">
        <v>15980</v>
      </c>
      <c r="I1118" t="s">
        <v>16925</v>
      </c>
      <c r="J1118" t="s">
        <v>23</v>
      </c>
      <c r="L1118" t="s">
        <v>10849</v>
      </c>
      <c r="M1118" t="s">
        <v>10850</v>
      </c>
      <c r="N1118" t="s">
        <v>10851</v>
      </c>
      <c r="O1118" t="s">
        <v>10852</v>
      </c>
      <c r="P1118" t="s">
        <v>10853</v>
      </c>
      <c r="Q1118" t="s">
        <v>10854</v>
      </c>
      <c r="R1118" t="s">
        <v>10855</v>
      </c>
      <c r="S1118" t="s">
        <v>10856</v>
      </c>
      <c r="T1118" t="s">
        <v>10857</v>
      </c>
      <c r="U1118" s="5">
        <v>252.85</v>
      </c>
      <c r="V1118" s="5">
        <v>150.01</v>
      </c>
      <c r="W1118" s="5">
        <v>12.491547000000001</v>
      </c>
      <c r="X1118" s="5">
        <v>108.26345600000001</v>
      </c>
      <c r="Y1118" s="5">
        <v>102.84</v>
      </c>
      <c r="Z1118" s="5">
        <v>12.503901000000001</v>
      </c>
      <c r="AA1118" s="5">
        <v>108.230475</v>
      </c>
      <c r="AB1118" s="7">
        <f t="shared" si="103"/>
        <v>0.22501499999999999</v>
      </c>
      <c r="AC1118" s="7">
        <f t="shared" si="104"/>
        <v>0.15425999999999998</v>
      </c>
      <c r="AD1118" s="6" t="str">
        <f t="shared" si="105"/>
        <v>Hòa Sơn</v>
      </c>
      <c r="AE1118" s="6" t="str">
        <f t="shared" si="106"/>
        <v>Krông Bông</v>
      </c>
      <c r="AG1118">
        <f t="shared" si="107"/>
        <v>0.15001</v>
      </c>
      <c r="AH1118">
        <f t="shared" si="108"/>
        <v>0.10284</v>
      </c>
    </row>
    <row r="1119" spans="1:34" x14ac:dyDescent="0.25">
      <c r="A1119" t="s">
        <v>10858</v>
      </c>
      <c r="B1119" t="s">
        <v>10859</v>
      </c>
      <c r="C1119" t="s">
        <v>10860</v>
      </c>
      <c r="D1119" t="s">
        <v>10831</v>
      </c>
      <c r="E1119" t="s">
        <v>10832</v>
      </c>
      <c r="F1119" t="s">
        <v>10861</v>
      </c>
      <c r="G1119" t="s">
        <v>15979</v>
      </c>
      <c r="H1119" t="s">
        <v>15980</v>
      </c>
      <c r="I1119" t="s">
        <v>16926</v>
      </c>
      <c r="J1119" t="s">
        <v>23</v>
      </c>
      <c r="L1119" t="s">
        <v>10862</v>
      </c>
      <c r="M1119" t="s">
        <v>10863</v>
      </c>
      <c r="N1119" t="s">
        <v>10864</v>
      </c>
      <c r="O1119" t="s">
        <v>10865</v>
      </c>
      <c r="P1119" t="s">
        <v>10866</v>
      </c>
      <c r="Q1119" t="s">
        <v>10867</v>
      </c>
      <c r="R1119" t="s">
        <v>10868</v>
      </c>
      <c r="S1119" t="s">
        <v>10869</v>
      </c>
      <c r="T1119" t="s">
        <v>10870</v>
      </c>
      <c r="U1119" s="5">
        <v>1326.43</v>
      </c>
      <c r="V1119" s="5">
        <v>316.24</v>
      </c>
      <c r="W1119" s="5">
        <v>12.486843</v>
      </c>
      <c r="X1119" s="5">
        <v>108.231129</v>
      </c>
      <c r="Y1119" s="5">
        <v>1010.2</v>
      </c>
      <c r="Z1119" s="5">
        <v>12.494372</v>
      </c>
      <c r="AA1119" s="5">
        <v>108.228418</v>
      </c>
      <c r="AB1119" s="7">
        <f t="shared" si="103"/>
        <v>0.47436</v>
      </c>
      <c r="AC1119" s="7">
        <f t="shared" si="104"/>
        <v>1.5153000000000001</v>
      </c>
      <c r="AD1119" s="6" t="str">
        <f t="shared" si="105"/>
        <v>Lăk</v>
      </c>
      <c r="AE1119" s="6" t="str">
        <f t="shared" si="106"/>
        <v>KRông Bông</v>
      </c>
      <c r="AG1119">
        <f t="shared" si="107"/>
        <v>0.31624000000000002</v>
      </c>
      <c r="AH1119">
        <f t="shared" si="108"/>
        <v>1.0102</v>
      </c>
    </row>
    <row r="1120" spans="1:34" x14ac:dyDescent="0.25">
      <c r="A1120" t="s">
        <v>10871</v>
      </c>
      <c r="B1120" t="s">
        <v>10872</v>
      </c>
      <c r="C1120" t="s">
        <v>10873</v>
      </c>
      <c r="D1120" t="s">
        <v>10736</v>
      </c>
      <c r="E1120" t="s">
        <v>10737</v>
      </c>
      <c r="F1120" t="s">
        <v>10874</v>
      </c>
      <c r="G1120" t="s">
        <v>15979</v>
      </c>
      <c r="H1120" t="s">
        <v>15980</v>
      </c>
      <c r="I1120" t="s">
        <v>16927</v>
      </c>
      <c r="J1120" t="s">
        <v>23</v>
      </c>
      <c r="L1120" t="s">
        <v>10437</v>
      </c>
      <c r="M1120" t="s">
        <v>10875</v>
      </c>
      <c r="N1120" t="s">
        <v>10876</v>
      </c>
      <c r="O1120" t="s">
        <v>10877</v>
      </c>
      <c r="P1120" t="s">
        <v>10878</v>
      </c>
      <c r="Q1120" t="s">
        <v>10742</v>
      </c>
      <c r="R1120" t="s">
        <v>10743</v>
      </c>
      <c r="S1120" t="s">
        <v>10744</v>
      </c>
      <c r="T1120" t="s">
        <v>10748</v>
      </c>
      <c r="U1120" s="5">
        <v>1680.26</v>
      </c>
      <c r="V1120" s="5">
        <v>1602.32</v>
      </c>
      <c r="W1120" s="5">
        <v>12.547162999999999</v>
      </c>
      <c r="X1120" s="5">
        <v>108.324113</v>
      </c>
      <c r="Y1120" s="5">
        <v>77.94</v>
      </c>
      <c r="Z1120" s="5">
        <v>12.572417</v>
      </c>
      <c r="AA1120" s="5">
        <v>108.33487100000001</v>
      </c>
      <c r="AB1120" s="7">
        <f t="shared" si="103"/>
        <v>2.4034800000000001</v>
      </c>
      <c r="AC1120" s="7">
        <f t="shared" si="104"/>
        <v>0.11691</v>
      </c>
      <c r="AD1120" s="6" t="str">
        <f t="shared" si="105"/>
        <v>KRông Bông</v>
      </c>
      <c r="AE1120" s="6" t="str">
        <f t="shared" si="106"/>
        <v>TT1 Đăk Lăk</v>
      </c>
      <c r="AG1120">
        <f t="shared" si="107"/>
        <v>1.60232</v>
      </c>
      <c r="AH1120">
        <f t="shared" si="108"/>
        <v>7.7939999999999995E-2</v>
      </c>
    </row>
    <row r="1121" spans="1:34" x14ac:dyDescent="0.25">
      <c r="A1121" t="s">
        <v>10879</v>
      </c>
      <c r="B1121" t="s">
        <v>10880</v>
      </c>
      <c r="C1121" t="s">
        <v>10881</v>
      </c>
      <c r="D1121" t="s">
        <v>8257</v>
      </c>
      <c r="E1121" t="s">
        <v>8258</v>
      </c>
      <c r="F1121" t="s">
        <v>10882</v>
      </c>
      <c r="G1121" t="s">
        <v>15979</v>
      </c>
      <c r="H1121" t="s">
        <v>15980</v>
      </c>
      <c r="I1121" t="s">
        <v>16928</v>
      </c>
      <c r="J1121" t="s">
        <v>23</v>
      </c>
      <c r="L1121" t="s">
        <v>8288</v>
      </c>
      <c r="M1121" t="s">
        <v>10883</v>
      </c>
      <c r="N1121" t="s">
        <v>10884</v>
      </c>
      <c r="O1121" t="s">
        <v>10885</v>
      </c>
      <c r="P1121" t="s">
        <v>10886</v>
      </c>
      <c r="Q1121" t="s">
        <v>8293</v>
      </c>
      <c r="R1121" t="s">
        <v>8294</v>
      </c>
      <c r="S1121" t="s">
        <v>8295</v>
      </c>
      <c r="T1121" t="s">
        <v>8296</v>
      </c>
      <c r="U1121" s="5">
        <v>149.16</v>
      </c>
      <c r="V1121" s="5">
        <v>30.17</v>
      </c>
      <c r="W1121" s="5">
        <v>12.662906</v>
      </c>
      <c r="X1121" s="5">
        <v>108.103032</v>
      </c>
      <c r="Y1121" s="5">
        <v>118.99</v>
      </c>
      <c r="Z1121" s="5">
        <v>12.655568000000001</v>
      </c>
      <c r="AA1121" s="5">
        <v>108.107465</v>
      </c>
      <c r="AB1121" s="7">
        <f t="shared" si="103"/>
        <v>4.5255000000000004E-2</v>
      </c>
      <c r="AC1121" s="7">
        <f t="shared" si="104"/>
        <v>0.17848499999999998</v>
      </c>
      <c r="AD1121" s="6" t="str">
        <f t="shared" si="105"/>
        <v>Tân Lập</v>
      </c>
      <c r="AE1121" s="6" t="str">
        <f t="shared" si="106"/>
        <v>Ea Knuec</v>
      </c>
      <c r="AG1121">
        <f t="shared" si="107"/>
        <v>3.0170000000000002E-2</v>
      </c>
      <c r="AH1121">
        <f t="shared" si="108"/>
        <v>0.11899</v>
      </c>
    </row>
    <row r="1122" spans="1:34" x14ac:dyDescent="0.25">
      <c r="A1122" t="s">
        <v>10887</v>
      </c>
      <c r="B1122" t="s">
        <v>10888</v>
      </c>
      <c r="C1122" t="s">
        <v>10889</v>
      </c>
      <c r="D1122" t="s">
        <v>8342</v>
      </c>
      <c r="E1122" t="s">
        <v>8343</v>
      </c>
      <c r="F1122" t="s">
        <v>10890</v>
      </c>
      <c r="G1122" t="s">
        <v>15979</v>
      </c>
      <c r="H1122" t="s">
        <v>15980</v>
      </c>
      <c r="I1122" t="s">
        <v>16929</v>
      </c>
      <c r="J1122" t="s">
        <v>23</v>
      </c>
      <c r="L1122" t="s">
        <v>8842</v>
      </c>
      <c r="M1122" t="s">
        <v>10891</v>
      </c>
      <c r="N1122" t="s">
        <v>10892</v>
      </c>
      <c r="O1122" t="s">
        <v>10893</v>
      </c>
      <c r="P1122" t="s">
        <v>10894</v>
      </c>
      <c r="Q1122" t="s">
        <v>8847</v>
      </c>
      <c r="R1122" t="s">
        <v>8848</v>
      </c>
      <c r="S1122" t="s">
        <v>8849</v>
      </c>
      <c r="T1122" t="s">
        <v>8850</v>
      </c>
      <c r="U1122" s="5">
        <v>2466.69</v>
      </c>
      <c r="V1122" s="5">
        <v>2435.8200000000002</v>
      </c>
      <c r="W1122" s="5">
        <v>12.954212</v>
      </c>
      <c r="X1122" s="5">
        <v>108.34378700000001</v>
      </c>
      <c r="Y1122" s="5">
        <v>30.87</v>
      </c>
      <c r="Z1122" s="5">
        <v>12.951995999999999</v>
      </c>
      <c r="AA1122" s="5">
        <v>108.344803</v>
      </c>
      <c r="AB1122" s="7">
        <f t="shared" si="103"/>
        <v>3.6537300000000004</v>
      </c>
      <c r="AC1122" s="7">
        <f t="shared" si="104"/>
        <v>4.6304999999999999E-2</v>
      </c>
      <c r="AD1122" s="6" t="e">
        <f t="shared" si="105"/>
        <v>#VALUE!</v>
      </c>
      <c r="AE1122" s="6" t="e">
        <f t="shared" si="106"/>
        <v>#VALUE!</v>
      </c>
      <c r="AG1122">
        <f t="shared" si="107"/>
        <v>2.4358200000000001</v>
      </c>
      <c r="AH1122">
        <f t="shared" si="108"/>
        <v>3.0870000000000002E-2</v>
      </c>
    </row>
    <row r="1123" spans="1:34" x14ac:dyDescent="0.25">
      <c r="A1123" t="s">
        <v>10895</v>
      </c>
      <c r="B1123" t="s">
        <v>10896</v>
      </c>
      <c r="C1123" t="s">
        <v>10897</v>
      </c>
      <c r="D1123" t="s">
        <v>8342</v>
      </c>
      <c r="E1123" t="s">
        <v>8343</v>
      </c>
      <c r="F1123" t="s">
        <v>10898</v>
      </c>
      <c r="G1123" t="s">
        <v>15979</v>
      </c>
      <c r="H1123" t="s">
        <v>15980</v>
      </c>
      <c r="I1123" t="s">
        <v>16930</v>
      </c>
      <c r="J1123" t="s">
        <v>23</v>
      </c>
      <c r="L1123" t="s">
        <v>8895</v>
      </c>
      <c r="M1123" t="s">
        <v>10899</v>
      </c>
      <c r="N1123" t="s">
        <v>10900</v>
      </c>
      <c r="O1123" t="s">
        <v>10901</v>
      </c>
      <c r="P1123" t="s">
        <v>10902</v>
      </c>
      <c r="Q1123" t="s">
        <v>10903</v>
      </c>
      <c r="R1123" t="s">
        <v>10904</v>
      </c>
      <c r="S1123" t="s">
        <v>10905</v>
      </c>
      <c r="T1123" t="s">
        <v>10906</v>
      </c>
      <c r="U1123" s="5">
        <v>213.85</v>
      </c>
      <c r="V1123" s="5">
        <v>172.21</v>
      </c>
      <c r="W1123" s="5">
        <v>12.943</v>
      </c>
      <c r="X1123" s="5">
        <v>108.350148</v>
      </c>
      <c r="Y1123" s="5">
        <v>41.65</v>
      </c>
      <c r="Z1123" s="5">
        <v>12.951938999999999</v>
      </c>
      <c r="AA1123" s="5">
        <v>108.344351</v>
      </c>
      <c r="AB1123" s="7">
        <f t="shared" si="103"/>
        <v>0.25831500000000002</v>
      </c>
      <c r="AC1123" s="7">
        <f t="shared" si="104"/>
        <v>6.2474999999999996E-2</v>
      </c>
      <c r="AD1123" s="6" t="str">
        <f t="shared" si="105"/>
        <v>Ea Kar</v>
      </c>
      <c r="AE1123" s="6" t="str">
        <f t="shared" si="106"/>
        <v>KRông Năng</v>
      </c>
      <c r="AG1123">
        <f t="shared" si="107"/>
        <v>0.17221</v>
      </c>
      <c r="AH1123">
        <f t="shared" si="108"/>
        <v>4.165E-2</v>
      </c>
    </row>
    <row r="1124" spans="1:34" x14ac:dyDescent="0.25">
      <c r="A1124" t="s">
        <v>10907</v>
      </c>
      <c r="B1124" t="s">
        <v>10908</v>
      </c>
      <c r="C1124" t="s">
        <v>10909</v>
      </c>
      <c r="D1124" t="s">
        <v>8242</v>
      </c>
      <c r="E1124" t="s">
        <v>8243</v>
      </c>
      <c r="F1124" t="s">
        <v>10910</v>
      </c>
      <c r="G1124" t="s">
        <v>15979</v>
      </c>
      <c r="H1124" t="s">
        <v>15980</v>
      </c>
      <c r="I1124" t="s">
        <v>16931</v>
      </c>
      <c r="J1124" t="s">
        <v>23</v>
      </c>
      <c r="L1124" t="s">
        <v>8245</v>
      </c>
      <c r="M1124" t="s">
        <v>10911</v>
      </c>
      <c r="N1124" t="s">
        <v>10912</v>
      </c>
      <c r="O1124" t="s">
        <v>10913</v>
      </c>
      <c r="P1124" t="s">
        <v>10914</v>
      </c>
      <c r="Q1124" t="s">
        <v>8250</v>
      </c>
      <c r="R1124" t="s">
        <v>8251</v>
      </c>
      <c r="S1124" t="s">
        <v>8252</v>
      </c>
      <c r="T1124" t="s">
        <v>8253</v>
      </c>
      <c r="U1124" s="5">
        <v>430.75</v>
      </c>
      <c r="V1124" s="5">
        <v>328.76</v>
      </c>
      <c r="W1124" s="5">
        <v>12.955263</v>
      </c>
      <c r="X1124" s="5">
        <v>108.246701</v>
      </c>
      <c r="Y1124" s="5">
        <v>102</v>
      </c>
      <c r="Z1124" s="5">
        <v>12.970822</v>
      </c>
      <c r="AA1124" s="5">
        <v>108.244495</v>
      </c>
      <c r="AB1124" s="7">
        <f t="shared" si="103"/>
        <v>0.49313999999999997</v>
      </c>
      <c r="AC1124" s="7">
        <f t="shared" si="104"/>
        <v>0.153</v>
      </c>
      <c r="AD1124" s="6" t="str">
        <f t="shared" si="105"/>
        <v>Buôn Hồ</v>
      </c>
      <c r="AE1124" s="6" t="str">
        <f t="shared" si="106"/>
        <v>Ea H'Leo</v>
      </c>
      <c r="AG1124">
        <f t="shared" si="107"/>
        <v>0.32876</v>
      </c>
      <c r="AH1124">
        <f t="shared" si="108"/>
        <v>0.10199999999999999</v>
      </c>
    </row>
    <row r="1125" spans="1:34" x14ac:dyDescent="0.25">
      <c r="A1125" t="s">
        <v>10915</v>
      </c>
      <c r="B1125" t="s">
        <v>10916</v>
      </c>
      <c r="C1125" t="s">
        <v>10917</v>
      </c>
      <c r="D1125" t="s">
        <v>8552</v>
      </c>
      <c r="E1125" t="s">
        <v>8553</v>
      </c>
      <c r="F1125" t="s">
        <v>10918</v>
      </c>
      <c r="G1125" t="s">
        <v>15979</v>
      </c>
      <c r="H1125" t="s">
        <v>15980</v>
      </c>
      <c r="I1125" t="s">
        <v>16932</v>
      </c>
      <c r="J1125" t="s">
        <v>23</v>
      </c>
      <c r="L1125" t="s">
        <v>10366</v>
      </c>
      <c r="M1125" t="s">
        <v>10919</v>
      </c>
      <c r="N1125" t="s">
        <v>10920</v>
      </c>
      <c r="O1125" t="s">
        <v>10921</v>
      </c>
      <c r="P1125" t="s">
        <v>10922</v>
      </c>
      <c r="Q1125" t="s">
        <v>10368</v>
      </c>
      <c r="R1125" t="s">
        <v>10369</v>
      </c>
      <c r="S1125" t="s">
        <v>10370</v>
      </c>
      <c r="T1125" t="s">
        <v>10374</v>
      </c>
      <c r="U1125" s="5">
        <v>469.53</v>
      </c>
      <c r="V1125" s="5">
        <v>399.03</v>
      </c>
      <c r="W1125" s="5">
        <v>12.790459</v>
      </c>
      <c r="X1125" s="5">
        <v>108.462628</v>
      </c>
      <c r="Y1125" s="5">
        <v>70.5</v>
      </c>
      <c r="Z1125" s="5">
        <v>12.811557000000001</v>
      </c>
      <c r="AA1125" s="5">
        <v>108.483304</v>
      </c>
      <c r="AB1125" s="7">
        <f t="shared" si="103"/>
        <v>0.59854499999999999</v>
      </c>
      <c r="AC1125" s="7">
        <f t="shared" si="104"/>
        <v>0.10575</v>
      </c>
      <c r="AD1125" s="6" t="str">
        <f t="shared" si="105"/>
        <v>Ea Ô</v>
      </c>
      <c r="AE1125" s="6" t="str">
        <f t="shared" si="106"/>
        <v>TTCMKV Ea Kar</v>
      </c>
      <c r="AG1125">
        <f t="shared" si="107"/>
        <v>0.39903</v>
      </c>
      <c r="AH1125">
        <f t="shared" si="108"/>
        <v>7.0499999999999993E-2</v>
      </c>
    </row>
    <row r="1126" spans="1:34" x14ac:dyDescent="0.25">
      <c r="A1126" t="s">
        <v>10923</v>
      </c>
      <c r="B1126" t="s">
        <v>10924</v>
      </c>
      <c r="C1126" t="s">
        <v>10925</v>
      </c>
      <c r="D1126" t="s">
        <v>10376</v>
      </c>
      <c r="E1126" t="s">
        <v>10377</v>
      </c>
      <c r="F1126" t="s">
        <v>10926</v>
      </c>
      <c r="G1126" t="s">
        <v>15979</v>
      </c>
      <c r="H1126" t="s">
        <v>15980</v>
      </c>
      <c r="I1126" t="s">
        <v>16933</v>
      </c>
      <c r="J1126" t="s">
        <v>23</v>
      </c>
      <c r="L1126" t="s">
        <v>10381</v>
      </c>
      <c r="M1126" t="s">
        <v>10927</v>
      </c>
      <c r="N1126" t="s">
        <v>10928</v>
      </c>
      <c r="O1126" t="s">
        <v>10929</v>
      </c>
      <c r="P1126" t="s">
        <v>10930</v>
      </c>
      <c r="Q1126" t="s">
        <v>10383</v>
      </c>
      <c r="R1126" t="s">
        <v>10384</v>
      </c>
      <c r="S1126" t="s">
        <v>10385</v>
      </c>
      <c r="T1126" t="s">
        <v>10389</v>
      </c>
      <c r="U1126" s="5">
        <v>572.53</v>
      </c>
      <c r="V1126" s="5">
        <v>445.11</v>
      </c>
      <c r="W1126" s="5">
        <v>12.648235</v>
      </c>
      <c r="X1126" s="5">
        <v>108.417293</v>
      </c>
      <c r="Y1126" s="5">
        <v>127.41</v>
      </c>
      <c r="Z1126" s="5">
        <v>12.658647</v>
      </c>
      <c r="AA1126" s="5">
        <v>108.43165500000001</v>
      </c>
      <c r="AB1126" s="7">
        <f t="shared" si="103"/>
        <v>0.66766499999999995</v>
      </c>
      <c r="AC1126" s="7">
        <f t="shared" si="104"/>
        <v>0.19111500000000001</v>
      </c>
      <c r="AD1126" s="6" t="e">
        <f t="shared" si="105"/>
        <v>#VALUE!</v>
      </c>
      <c r="AE1126" s="6" t="e">
        <f t="shared" si="106"/>
        <v>#VALUE!</v>
      </c>
      <c r="AG1126">
        <f t="shared" si="107"/>
        <v>0.44511000000000001</v>
      </c>
      <c r="AH1126">
        <f t="shared" si="108"/>
        <v>0.12741</v>
      </c>
    </row>
    <row r="1127" spans="1:34" x14ac:dyDescent="0.25">
      <c r="A1127" t="s">
        <v>10931</v>
      </c>
      <c r="B1127" t="s">
        <v>10932</v>
      </c>
      <c r="C1127" t="s">
        <v>10933</v>
      </c>
      <c r="D1127" t="s">
        <v>8524</v>
      </c>
      <c r="E1127" t="s">
        <v>8525</v>
      </c>
      <c r="F1127" t="s">
        <v>10934</v>
      </c>
      <c r="G1127" t="s">
        <v>15979</v>
      </c>
      <c r="H1127" t="s">
        <v>15980</v>
      </c>
      <c r="I1127" t="s">
        <v>16934</v>
      </c>
      <c r="J1127" t="s">
        <v>23</v>
      </c>
      <c r="L1127" t="s">
        <v>10272</v>
      </c>
      <c r="M1127" t="s">
        <v>10935</v>
      </c>
      <c r="N1127" t="s">
        <v>10936</v>
      </c>
      <c r="O1127" t="s">
        <v>10937</v>
      </c>
      <c r="P1127" t="s">
        <v>10938</v>
      </c>
      <c r="Q1127" t="s">
        <v>10277</v>
      </c>
      <c r="R1127" t="s">
        <v>10278</v>
      </c>
      <c r="S1127" t="s">
        <v>10279</v>
      </c>
      <c r="T1127" t="s">
        <v>10280</v>
      </c>
      <c r="U1127" s="5">
        <v>1685.75</v>
      </c>
      <c r="V1127" s="5">
        <v>1569</v>
      </c>
      <c r="W1127" s="5">
        <v>12.563748</v>
      </c>
      <c r="X1127" s="5">
        <v>108.149928</v>
      </c>
      <c r="Y1127" s="5">
        <v>116.75</v>
      </c>
      <c r="Z1127" s="5">
        <v>12.559718</v>
      </c>
      <c r="AA1127" s="5">
        <v>108.162858</v>
      </c>
      <c r="AB1127" s="7">
        <f t="shared" si="103"/>
        <v>2.3534999999999999</v>
      </c>
      <c r="AC1127" s="7">
        <f t="shared" si="104"/>
        <v>0.175125</v>
      </c>
      <c r="AD1127" s="6" t="str">
        <f t="shared" si="105"/>
        <v>KRông Ana</v>
      </c>
      <c r="AE1127" s="6" t="str">
        <f t="shared" si="106"/>
        <v>Cư Kuin</v>
      </c>
      <c r="AG1127">
        <f t="shared" si="107"/>
        <v>1.569</v>
      </c>
      <c r="AH1127">
        <f t="shared" si="108"/>
        <v>0.11675000000000001</v>
      </c>
    </row>
    <row r="1128" spans="1:34" x14ac:dyDescent="0.25">
      <c r="A1128" t="s">
        <v>10939</v>
      </c>
      <c r="B1128" t="s">
        <v>10940</v>
      </c>
      <c r="C1128" t="s">
        <v>10941</v>
      </c>
      <c r="D1128" t="s">
        <v>8524</v>
      </c>
      <c r="E1128" t="s">
        <v>8525</v>
      </c>
      <c r="F1128" t="s">
        <v>10942</v>
      </c>
      <c r="G1128" t="s">
        <v>15979</v>
      </c>
      <c r="H1128" t="s">
        <v>15980</v>
      </c>
      <c r="I1128" t="s">
        <v>16935</v>
      </c>
      <c r="J1128" t="s">
        <v>23</v>
      </c>
      <c r="L1128" t="s">
        <v>10943</v>
      </c>
      <c r="M1128" t="s">
        <v>10944</v>
      </c>
      <c r="N1128" t="s">
        <v>10945</v>
      </c>
      <c r="O1128" t="s">
        <v>10946</v>
      </c>
      <c r="P1128" t="s">
        <v>10947</v>
      </c>
      <c r="Q1128" t="s">
        <v>10948</v>
      </c>
      <c r="R1128" t="s">
        <v>10949</v>
      </c>
      <c r="S1128" t="s">
        <v>10950</v>
      </c>
      <c r="T1128" t="s">
        <v>10951</v>
      </c>
      <c r="U1128" s="5">
        <v>632.69000000000005</v>
      </c>
      <c r="V1128" s="5">
        <v>76.459999999999994</v>
      </c>
      <c r="W1128" s="5">
        <v>12.542707999999999</v>
      </c>
      <c r="X1128" s="5">
        <v>108.171049</v>
      </c>
      <c r="Y1128" s="5">
        <v>556.22</v>
      </c>
      <c r="Z1128" s="5">
        <v>12.561978</v>
      </c>
      <c r="AA1128" s="5">
        <v>108.168598</v>
      </c>
      <c r="AB1128" s="7">
        <f t="shared" si="103"/>
        <v>0.11469</v>
      </c>
      <c r="AC1128" s="7">
        <f t="shared" si="104"/>
        <v>0.83433000000000002</v>
      </c>
      <c r="AD1128" s="6" t="str">
        <f t="shared" si="105"/>
        <v>Cư Kuin</v>
      </c>
      <c r="AE1128" s="6" t="str">
        <f t="shared" si="106"/>
        <v>Lăk</v>
      </c>
      <c r="AG1128">
        <f t="shared" si="107"/>
        <v>7.646E-2</v>
      </c>
      <c r="AH1128">
        <f t="shared" si="108"/>
        <v>0.55622000000000005</v>
      </c>
    </row>
    <row r="1129" spans="1:34" x14ac:dyDescent="0.25">
      <c r="A1129" t="s">
        <v>10952</v>
      </c>
      <c r="B1129" t="s">
        <v>10557</v>
      </c>
      <c r="C1129" t="s">
        <v>10558</v>
      </c>
      <c r="D1129" t="s">
        <v>8552</v>
      </c>
      <c r="E1129" t="s">
        <v>8553</v>
      </c>
      <c r="F1129" t="s">
        <v>10953</v>
      </c>
      <c r="G1129" t="s">
        <v>15979</v>
      </c>
      <c r="H1129" t="s">
        <v>15980</v>
      </c>
      <c r="I1129" t="s">
        <v>16936</v>
      </c>
      <c r="J1129" t="s">
        <v>23</v>
      </c>
      <c r="L1129" t="s">
        <v>8432</v>
      </c>
      <c r="M1129" t="s">
        <v>10560</v>
      </c>
      <c r="N1129" t="s">
        <v>10561</v>
      </c>
      <c r="O1129" t="s">
        <v>10562</v>
      </c>
      <c r="P1129" t="s">
        <v>10563</v>
      </c>
      <c r="Q1129" t="s">
        <v>8559</v>
      </c>
      <c r="R1129" t="s">
        <v>8438</v>
      </c>
      <c r="S1129" t="s">
        <v>8439</v>
      </c>
      <c r="T1129" t="s">
        <v>8440</v>
      </c>
      <c r="U1129" s="5">
        <v>764.99</v>
      </c>
      <c r="V1129" s="5">
        <v>695.74</v>
      </c>
      <c r="W1129" s="5">
        <v>12.809037999999999</v>
      </c>
      <c r="X1129" s="5">
        <v>108.447738</v>
      </c>
      <c r="Y1129" s="5">
        <v>69.25</v>
      </c>
      <c r="Z1129" s="5">
        <v>12.811565999999999</v>
      </c>
      <c r="AA1129" s="5">
        <v>108.483311</v>
      </c>
      <c r="AB1129" s="7">
        <f t="shared" si="103"/>
        <v>1.0436100000000001</v>
      </c>
      <c r="AC1129" s="7">
        <f t="shared" si="104"/>
        <v>0.103875</v>
      </c>
      <c r="AD1129" s="6" t="str">
        <f t="shared" si="105"/>
        <v>TT1 Đăk Lăk</v>
      </c>
      <c r="AE1129" s="6" t="str">
        <f t="shared" si="106"/>
        <v>ILA Ea Kar</v>
      </c>
      <c r="AG1129">
        <f t="shared" si="107"/>
        <v>0.69574000000000003</v>
      </c>
      <c r="AH1129">
        <f t="shared" si="108"/>
        <v>6.9250000000000006E-2</v>
      </c>
    </row>
    <row r="1130" spans="1:34" x14ac:dyDescent="0.25">
      <c r="A1130" t="s">
        <v>10954</v>
      </c>
      <c r="B1130" t="s">
        <v>10955</v>
      </c>
      <c r="C1130" t="s">
        <v>10956</v>
      </c>
      <c r="D1130" t="s">
        <v>8552</v>
      </c>
      <c r="E1130" t="s">
        <v>8553</v>
      </c>
      <c r="F1130" t="s">
        <v>10957</v>
      </c>
      <c r="G1130" t="s">
        <v>15979</v>
      </c>
      <c r="H1130" t="s">
        <v>15980</v>
      </c>
      <c r="I1130" t="s">
        <v>16937</v>
      </c>
      <c r="J1130" t="s">
        <v>23</v>
      </c>
      <c r="L1130" t="s">
        <v>8432</v>
      </c>
      <c r="M1130" t="s">
        <v>10958</v>
      </c>
      <c r="N1130" t="s">
        <v>10959</v>
      </c>
      <c r="O1130" t="s">
        <v>10960</v>
      </c>
      <c r="P1130" t="s">
        <v>10961</v>
      </c>
      <c r="Q1130" t="s">
        <v>8559</v>
      </c>
      <c r="R1130" t="s">
        <v>8438</v>
      </c>
      <c r="S1130" t="s">
        <v>8439</v>
      </c>
      <c r="T1130" t="s">
        <v>8440</v>
      </c>
      <c r="U1130" s="5">
        <v>419.66</v>
      </c>
      <c r="V1130" s="5">
        <v>350.41</v>
      </c>
      <c r="W1130" s="5">
        <v>12.802802</v>
      </c>
      <c r="X1130" s="5">
        <v>108.425128</v>
      </c>
      <c r="Y1130" s="5">
        <v>69.25</v>
      </c>
      <c r="Z1130" s="5">
        <v>12.811565999999999</v>
      </c>
      <c r="AA1130" s="5">
        <v>108.483311</v>
      </c>
      <c r="AB1130" s="7">
        <f t="shared" si="103"/>
        <v>0.52561500000000005</v>
      </c>
      <c r="AC1130" s="7">
        <f t="shared" si="104"/>
        <v>0.103875</v>
      </c>
      <c r="AD1130" s="6" t="str">
        <f t="shared" si="105"/>
        <v>TT1 Đăk Lăk</v>
      </c>
      <c r="AE1130" s="6" t="str">
        <f t="shared" si="106"/>
        <v>ILA Ea Kar</v>
      </c>
      <c r="AG1130">
        <f t="shared" si="107"/>
        <v>0.35041</v>
      </c>
      <c r="AH1130">
        <f t="shared" si="108"/>
        <v>6.9250000000000006E-2</v>
      </c>
    </row>
    <row r="1131" spans="1:34" x14ac:dyDescent="0.25">
      <c r="A1131" t="s">
        <v>10962</v>
      </c>
      <c r="B1131" t="s">
        <v>10963</v>
      </c>
      <c r="C1131" t="s">
        <v>10964</v>
      </c>
      <c r="D1131" t="s">
        <v>8414</v>
      </c>
      <c r="E1131" t="s">
        <v>8415</v>
      </c>
      <c r="F1131" t="s">
        <v>10965</v>
      </c>
      <c r="G1131" t="s">
        <v>15979</v>
      </c>
      <c r="H1131" t="s">
        <v>15980</v>
      </c>
      <c r="I1131" t="s">
        <v>16938</v>
      </c>
      <c r="J1131" t="s">
        <v>23</v>
      </c>
      <c r="L1131" t="s">
        <v>8417</v>
      </c>
      <c r="M1131" t="s">
        <v>10966</v>
      </c>
      <c r="N1131" t="s">
        <v>1497</v>
      </c>
      <c r="O1131" t="s">
        <v>10967</v>
      </c>
      <c r="P1131" t="s">
        <v>10968</v>
      </c>
      <c r="Q1131" t="s">
        <v>8422</v>
      </c>
      <c r="R1131" t="s">
        <v>8423</v>
      </c>
      <c r="S1131" t="s">
        <v>8424</v>
      </c>
      <c r="T1131" t="s">
        <v>8425</v>
      </c>
      <c r="U1131" s="5">
        <v>100.61</v>
      </c>
      <c r="V1131" s="5">
        <v>42.66</v>
      </c>
      <c r="W1131" s="5">
        <v>12.917756000000001</v>
      </c>
      <c r="X1131" s="5">
        <v>108.267475</v>
      </c>
      <c r="Y1131" s="5">
        <v>57.95</v>
      </c>
      <c r="Z1131" s="5">
        <v>12.916482999999999</v>
      </c>
      <c r="AA1131" s="5">
        <v>108.26607</v>
      </c>
      <c r="AB1131" s="7">
        <f t="shared" si="103"/>
        <v>6.3989999999999991E-2</v>
      </c>
      <c r="AC1131" s="7">
        <f t="shared" si="104"/>
        <v>8.6925000000000016E-2</v>
      </c>
      <c r="AD1131" s="6" t="e">
        <f t="shared" si="105"/>
        <v>#VALUE!</v>
      </c>
      <c r="AE1131" s="6" t="e">
        <f t="shared" si="106"/>
        <v>#VALUE!</v>
      </c>
      <c r="AG1131">
        <f t="shared" si="107"/>
        <v>4.2659999999999997E-2</v>
      </c>
      <c r="AH1131">
        <f t="shared" si="108"/>
        <v>5.7950000000000002E-2</v>
      </c>
    </row>
    <row r="1132" spans="1:34" x14ac:dyDescent="0.25">
      <c r="A1132" t="s">
        <v>10969</v>
      </c>
      <c r="B1132" t="s">
        <v>10970</v>
      </c>
      <c r="C1132" t="s">
        <v>10971</v>
      </c>
      <c r="D1132" t="s">
        <v>10831</v>
      </c>
      <c r="E1132" t="s">
        <v>10832</v>
      </c>
      <c r="F1132" t="s">
        <v>10972</v>
      </c>
      <c r="G1132" t="s">
        <v>15979</v>
      </c>
      <c r="H1132" t="s">
        <v>15980</v>
      </c>
      <c r="I1132" t="s">
        <v>16939</v>
      </c>
      <c r="J1132" t="s">
        <v>23</v>
      </c>
      <c r="L1132" t="s">
        <v>10849</v>
      </c>
      <c r="M1132" t="s">
        <v>10973</v>
      </c>
      <c r="N1132" t="s">
        <v>10974</v>
      </c>
      <c r="O1132" t="s">
        <v>10975</v>
      </c>
      <c r="P1132" t="s">
        <v>10976</v>
      </c>
      <c r="Q1132" t="s">
        <v>10854</v>
      </c>
      <c r="R1132" t="s">
        <v>10855</v>
      </c>
      <c r="S1132" t="s">
        <v>10856</v>
      </c>
      <c r="T1132" t="s">
        <v>10857</v>
      </c>
      <c r="U1132" s="5">
        <v>106.77</v>
      </c>
      <c r="V1132" s="5">
        <v>3.93</v>
      </c>
      <c r="W1132" s="5">
        <v>12.504905000000001</v>
      </c>
      <c r="X1132" s="5">
        <v>108.257575</v>
      </c>
      <c r="Y1132" s="5">
        <v>102.84</v>
      </c>
      <c r="Z1132" s="5">
        <v>12.503901000000001</v>
      </c>
      <c r="AA1132" s="5">
        <v>108.230475</v>
      </c>
      <c r="AB1132" s="7">
        <f t="shared" si="103"/>
        <v>5.8950000000000001E-3</v>
      </c>
      <c r="AC1132" s="7">
        <f t="shared" si="104"/>
        <v>0.15425999999999998</v>
      </c>
      <c r="AD1132" s="6" t="str">
        <f t="shared" si="105"/>
        <v>Hòa Sơn</v>
      </c>
      <c r="AE1132" s="6" t="str">
        <f t="shared" si="106"/>
        <v>Krông Bông</v>
      </c>
      <c r="AG1132">
        <f t="shared" si="107"/>
        <v>3.9300000000000003E-3</v>
      </c>
      <c r="AH1132">
        <f t="shared" si="108"/>
        <v>0.10284</v>
      </c>
    </row>
    <row r="1133" spans="1:34" x14ac:dyDescent="0.25">
      <c r="A1133" t="s">
        <v>10977</v>
      </c>
      <c r="B1133" t="s">
        <v>10978</v>
      </c>
      <c r="C1133" t="s">
        <v>10979</v>
      </c>
      <c r="D1133" t="s">
        <v>10344</v>
      </c>
      <c r="E1133" t="s">
        <v>10345</v>
      </c>
      <c r="F1133" t="s">
        <v>10980</v>
      </c>
      <c r="G1133" t="s">
        <v>15979</v>
      </c>
      <c r="H1133" t="s">
        <v>15980</v>
      </c>
      <c r="I1133" t="s">
        <v>16940</v>
      </c>
      <c r="J1133" t="s">
        <v>23</v>
      </c>
      <c r="L1133" t="s">
        <v>10347</v>
      </c>
      <c r="M1133" t="s">
        <v>10981</v>
      </c>
      <c r="N1133" t="s">
        <v>10982</v>
      </c>
      <c r="O1133" t="s">
        <v>10983</v>
      </c>
      <c r="P1133" t="s">
        <v>10984</v>
      </c>
      <c r="Q1133" t="s">
        <v>10349</v>
      </c>
      <c r="R1133" t="s">
        <v>10350</v>
      </c>
      <c r="S1133" t="s">
        <v>10351</v>
      </c>
      <c r="T1133" t="s">
        <v>10355</v>
      </c>
      <c r="U1133" s="5">
        <v>1443.71</v>
      </c>
      <c r="V1133" s="5">
        <v>1358.31</v>
      </c>
      <c r="W1133" s="5">
        <v>12.738009</v>
      </c>
      <c r="X1133" s="5">
        <v>108.370137</v>
      </c>
      <c r="Y1133" s="5">
        <v>85.4</v>
      </c>
      <c r="Z1133" s="5">
        <v>12.727708</v>
      </c>
      <c r="AA1133" s="5">
        <v>108.36395400000001</v>
      </c>
      <c r="AB1133" s="7">
        <f t="shared" si="103"/>
        <v>2.0374650000000001</v>
      </c>
      <c r="AC1133" s="7">
        <f t="shared" si="104"/>
        <v>0.12810000000000002</v>
      </c>
      <c r="AD1133" s="6" t="str">
        <f t="shared" si="105"/>
        <v>KRông Păk</v>
      </c>
      <c r="AE1133" s="6" t="str">
        <f t="shared" si="106"/>
        <v>Trại giam Đăk Tân (C10)</v>
      </c>
      <c r="AG1133">
        <f t="shared" si="107"/>
        <v>1.3583099999999999</v>
      </c>
      <c r="AH1133">
        <f t="shared" si="108"/>
        <v>8.5400000000000004E-2</v>
      </c>
    </row>
    <row r="1134" spans="1:34" x14ac:dyDescent="0.25">
      <c r="A1134" t="s">
        <v>10985</v>
      </c>
      <c r="B1134" t="s">
        <v>10986</v>
      </c>
      <c r="C1134" t="s">
        <v>10987</v>
      </c>
      <c r="D1134" t="s">
        <v>8257</v>
      </c>
      <c r="E1134" t="s">
        <v>8258</v>
      </c>
      <c r="F1134" t="s">
        <v>10988</v>
      </c>
      <c r="G1134" t="s">
        <v>15979</v>
      </c>
      <c r="H1134" t="s">
        <v>15980</v>
      </c>
      <c r="I1134" t="s">
        <v>16941</v>
      </c>
      <c r="J1134" t="s">
        <v>23</v>
      </c>
      <c r="L1134" t="s">
        <v>10989</v>
      </c>
      <c r="M1134" t="s">
        <v>10990</v>
      </c>
      <c r="N1134" t="s">
        <v>10991</v>
      </c>
      <c r="O1134" t="s">
        <v>10992</v>
      </c>
      <c r="P1134" t="s">
        <v>10993</v>
      </c>
      <c r="Q1134" t="s">
        <v>10994</v>
      </c>
      <c r="R1134" t="s">
        <v>10995</v>
      </c>
      <c r="S1134" t="s">
        <v>10996</v>
      </c>
      <c r="T1134" t="s">
        <v>10997</v>
      </c>
      <c r="U1134" s="5">
        <v>1183.43</v>
      </c>
      <c r="V1134" s="5">
        <v>229.7</v>
      </c>
      <c r="W1134" s="5">
        <v>12.664429</v>
      </c>
      <c r="X1134" s="5">
        <v>108.114558</v>
      </c>
      <c r="Y1134" s="5">
        <v>953.73</v>
      </c>
      <c r="Z1134" s="5">
        <v>12.662739</v>
      </c>
      <c r="AA1134" s="5">
        <v>108.10481900000001</v>
      </c>
      <c r="AB1134" s="7">
        <f t="shared" si="103"/>
        <v>0.34454999999999997</v>
      </c>
      <c r="AC1134" s="7">
        <f t="shared" si="104"/>
        <v>1.4305950000000001</v>
      </c>
      <c r="AD1134" s="6" t="str">
        <f t="shared" si="105"/>
        <v>Cảng hàng không Buôn Mê Thuột</v>
      </c>
      <c r="AE1134" s="6" t="str">
        <f t="shared" si="106"/>
        <v>TT1 Đăk
Lăk</v>
      </c>
      <c r="AG1134">
        <f t="shared" si="107"/>
        <v>0.22969999999999999</v>
      </c>
      <c r="AH1134">
        <f t="shared" si="108"/>
        <v>0.95372999999999997</v>
      </c>
    </row>
    <row r="1135" spans="1:34" x14ac:dyDescent="0.25">
      <c r="A1135" t="s">
        <v>10998</v>
      </c>
      <c r="B1135" t="s">
        <v>10999</v>
      </c>
      <c r="C1135" t="s">
        <v>11000</v>
      </c>
      <c r="D1135" t="s">
        <v>9136</v>
      </c>
      <c r="E1135" t="s">
        <v>9137</v>
      </c>
      <c r="F1135" t="s">
        <v>11001</v>
      </c>
      <c r="G1135" t="s">
        <v>15979</v>
      </c>
      <c r="H1135" t="s">
        <v>15980</v>
      </c>
      <c r="I1135" t="s">
        <v>16942</v>
      </c>
      <c r="J1135" t="s">
        <v>23</v>
      </c>
      <c r="L1135" t="s">
        <v>9139</v>
      </c>
      <c r="M1135" t="s">
        <v>11002</v>
      </c>
      <c r="N1135" t="s">
        <v>11003</v>
      </c>
      <c r="O1135" t="s">
        <v>11004</v>
      </c>
      <c r="P1135" t="s">
        <v>11005</v>
      </c>
      <c r="Q1135" t="s">
        <v>11006</v>
      </c>
      <c r="R1135" t="s">
        <v>11007</v>
      </c>
      <c r="S1135" t="s">
        <v>11008</v>
      </c>
      <c r="T1135" t="s">
        <v>11009</v>
      </c>
      <c r="U1135" s="5">
        <v>680.65</v>
      </c>
      <c r="V1135" s="5">
        <v>654.73</v>
      </c>
      <c r="W1135" s="5">
        <v>12.660380999999999</v>
      </c>
      <c r="X1135" s="5">
        <v>108.03106</v>
      </c>
      <c r="Y1135" s="5">
        <v>25.93</v>
      </c>
      <c r="Z1135" s="5">
        <v>12.659843</v>
      </c>
      <c r="AA1135" s="5">
        <v>108.030387</v>
      </c>
      <c r="AB1135" s="7">
        <f t="shared" si="103"/>
        <v>0.98209500000000005</v>
      </c>
      <c r="AC1135" s="7">
        <f t="shared" si="104"/>
        <v>3.8894999999999999E-2</v>
      </c>
      <c r="AD1135" s="6" t="str">
        <f t="shared" si="105"/>
        <v>CAT Đắk Lắk</v>
      </c>
      <c r="AE1135" s="6" t="str">
        <f t="shared" si="106"/>
        <v>Ea Kao</v>
      </c>
      <c r="AG1135">
        <f t="shared" si="107"/>
        <v>0.65473000000000003</v>
      </c>
      <c r="AH1135">
        <f t="shared" si="108"/>
        <v>2.5929999999999998E-2</v>
      </c>
    </row>
    <row r="1136" spans="1:34" x14ac:dyDescent="0.25">
      <c r="A1136" t="s">
        <v>11010</v>
      </c>
      <c r="B1136" t="s">
        <v>8459</v>
      </c>
      <c r="C1136" t="s">
        <v>8460</v>
      </c>
      <c r="D1136" t="s">
        <v>11011</v>
      </c>
      <c r="E1136" t="s">
        <v>11012</v>
      </c>
      <c r="F1136" t="s">
        <v>11013</v>
      </c>
      <c r="G1136" t="s">
        <v>15979</v>
      </c>
      <c r="H1136" t="s">
        <v>15980</v>
      </c>
      <c r="I1136" t="s">
        <v>16943</v>
      </c>
      <c r="J1136" t="s">
        <v>23</v>
      </c>
      <c r="L1136" t="s">
        <v>8432</v>
      </c>
      <c r="M1136" t="s">
        <v>11014</v>
      </c>
      <c r="N1136" t="s">
        <v>8464</v>
      </c>
      <c r="O1136" t="s">
        <v>8438</v>
      </c>
      <c r="P1136" t="s">
        <v>8439</v>
      </c>
      <c r="Q1136" t="s">
        <v>11015</v>
      </c>
      <c r="R1136" t="s">
        <v>10763</v>
      </c>
      <c r="S1136" t="s">
        <v>10764</v>
      </c>
      <c r="T1136" t="s">
        <v>8440</v>
      </c>
      <c r="U1136" s="5">
        <v>97054.24</v>
      </c>
      <c r="V1136" s="5">
        <v>94505.82</v>
      </c>
      <c r="W1136" s="5">
        <v>12.811565999999999</v>
      </c>
      <c r="X1136" s="5">
        <v>108.483311</v>
      </c>
      <c r="Y1136" s="5">
        <v>2548.42</v>
      </c>
      <c r="Z1136" s="5">
        <v>12.697469</v>
      </c>
      <c r="AA1136" s="5">
        <v>108.071369</v>
      </c>
      <c r="AB1136" s="7">
        <f t="shared" si="103"/>
        <v>141.75873000000001</v>
      </c>
      <c r="AC1136" s="7">
        <f t="shared" si="104"/>
        <v>3.8226300000000002</v>
      </c>
      <c r="AD1136" s="6" t="str">
        <f t="shared" si="105"/>
        <v>TT1 Đăk Lăk</v>
      </c>
      <c r="AE1136" s="6" t="str">
        <f t="shared" si="106"/>
        <v>ILA Ea Kar</v>
      </c>
      <c r="AG1136">
        <f t="shared" si="107"/>
        <v>94.50582</v>
      </c>
      <c r="AH1136">
        <f t="shared" si="108"/>
        <v>2.5484200000000001</v>
      </c>
    </row>
    <row r="1137" spans="1:34" x14ac:dyDescent="0.25">
      <c r="A1137" t="s">
        <v>11016</v>
      </c>
      <c r="B1137" t="s">
        <v>11017</v>
      </c>
      <c r="C1137" t="s">
        <v>11018</v>
      </c>
      <c r="D1137" t="s">
        <v>8636</v>
      </c>
      <c r="E1137" t="s">
        <v>8637</v>
      </c>
      <c r="F1137" t="s">
        <v>11019</v>
      </c>
      <c r="G1137" t="s">
        <v>15979</v>
      </c>
      <c r="H1137" t="s">
        <v>15980</v>
      </c>
      <c r="I1137" t="s">
        <v>16944</v>
      </c>
      <c r="J1137" t="s">
        <v>23</v>
      </c>
      <c r="L1137" t="s">
        <v>10183</v>
      </c>
      <c r="M1137" t="s">
        <v>11020</v>
      </c>
      <c r="N1137" t="s">
        <v>11021</v>
      </c>
      <c r="O1137" t="s">
        <v>11022</v>
      </c>
      <c r="P1137" t="s">
        <v>11023</v>
      </c>
      <c r="Q1137" t="s">
        <v>11024</v>
      </c>
      <c r="R1137" t="s">
        <v>11025</v>
      </c>
      <c r="S1137" t="s">
        <v>11026</v>
      </c>
      <c r="T1137" t="s">
        <v>11027</v>
      </c>
      <c r="U1137" s="5">
        <v>154.06</v>
      </c>
      <c r="V1137" s="5">
        <v>121.17</v>
      </c>
      <c r="W1137" s="5">
        <v>12.684739</v>
      </c>
      <c r="X1137" s="5">
        <v>108.052206</v>
      </c>
      <c r="Y1137" s="5">
        <v>32.89</v>
      </c>
      <c r="Z1137" s="5">
        <v>12.684350999999999</v>
      </c>
      <c r="AA1137" s="5">
        <v>108.05250100000001</v>
      </c>
      <c r="AB1137" s="7">
        <f t="shared" si="103"/>
        <v>0.181755</v>
      </c>
      <c r="AC1137" s="7">
        <f t="shared" si="104"/>
        <v>4.9335000000000004E-2</v>
      </c>
      <c r="AD1137" s="6" t="str">
        <f t="shared" si="105"/>
        <v>CAT Đắk Lắk</v>
      </c>
      <c r="AE1137" s="6" t="str">
        <f t="shared" si="106"/>
        <v>Thành Nhất</v>
      </c>
      <c r="AG1137">
        <f t="shared" si="107"/>
        <v>0.12117</v>
      </c>
      <c r="AH1137">
        <f t="shared" si="108"/>
        <v>3.2890000000000003E-2</v>
      </c>
    </row>
    <row r="1138" spans="1:34" x14ac:dyDescent="0.25">
      <c r="A1138" t="s">
        <v>11028</v>
      </c>
      <c r="B1138" t="s">
        <v>11029</v>
      </c>
      <c r="C1138" t="s">
        <v>11030</v>
      </c>
      <c r="D1138" t="s">
        <v>8636</v>
      </c>
      <c r="E1138" t="s">
        <v>8637</v>
      </c>
      <c r="F1138" t="s">
        <v>11031</v>
      </c>
      <c r="G1138" t="s">
        <v>15979</v>
      </c>
      <c r="H1138" t="s">
        <v>15980</v>
      </c>
      <c r="I1138" t="s">
        <v>16945</v>
      </c>
      <c r="J1138" t="s">
        <v>23</v>
      </c>
      <c r="L1138" t="s">
        <v>9126</v>
      </c>
      <c r="M1138" t="s">
        <v>11032</v>
      </c>
      <c r="N1138" t="s">
        <v>11033</v>
      </c>
      <c r="O1138" t="s">
        <v>11034</v>
      </c>
      <c r="P1138" t="s">
        <v>11035</v>
      </c>
      <c r="Q1138" t="s">
        <v>9128</v>
      </c>
      <c r="R1138" t="s">
        <v>9129</v>
      </c>
      <c r="S1138" t="s">
        <v>9130</v>
      </c>
      <c r="T1138" t="s">
        <v>9134</v>
      </c>
      <c r="U1138" s="5">
        <v>520.25</v>
      </c>
      <c r="V1138" s="5">
        <v>294.37</v>
      </c>
      <c r="W1138" s="5">
        <v>12.682585</v>
      </c>
      <c r="X1138" s="5">
        <v>108.054059</v>
      </c>
      <c r="Y1138" s="5">
        <v>225.88</v>
      </c>
      <c r="Z1138" s="5">
        <v>12.683052999999999</v>
      </c>
      <c r="AA1138" s="5">
        <v>108.05115600000001</v>
      </c>
      <c r="AB1138" s="7">
        <f t="shared" si="103"/>
        <v>0.44155500000000003</v>
      </c>
      <c r="AC1138" s="7">
        <f t="shared" si="104"/>
        <v>0.33882000000000001</v>
      </c>
      <c r="AD1138" s="6" t="str">
        <f t="shared" si="105"/>
        <v>TT1 Đăk Lăk</v>
      </c>
      <c r="AE1138" s="6" t="str">
        <f t="shared" si="106"/>
        <v>ILA Ea Pal</v>
      </c>
      <c r="AG1138">
        <f t="shared" si="107"/>
        <v>0.29437000000000002</v>
      </c>
      <c r="AH1138">
        <f t="shared" si="108"/>
        <v>0.22588</v>
      </c>
    </row>
    <row r="1139" spans="1:34" x14ac:dyDescent="0.25">
      <c r="A1139" t="s">
        <v>11036</v>
      </c>
      <c r="B1139" t="s">
        <v>9110</v>
      </c>
      <c r="C1139" t="s">
        <v>9111</v>
      </c>
      <c r="D1139" t="s">
        <v>11037</v>
      </c>
      <c r="E1139" t="s">
        <v>11038</v>
      </c>
      <c r="F1139" t="s">
        <v>11039</v>
      </c>
      <c r="G1139" t="s">
        <v>15979</v>
      </c>
      <c r="H1139" t="s">
        <v>15980</v>
      </c>
      <c r="I1139" t="s">
        <v>16946</v>
      </c>
      <c r="J1139" t="s">
        <v>23</v>
      </c>
      <c r="L1139" t="s">
        <v>9113</v>
      </c>
      <c r="M1139" t="s">
        <v>11040</v>
      </c>
      <c r="N1139" t="s">
        <v>9118</v>
      </c>
      <c r="O1139" t="s">
        <v>9119</v>
      </c>
      <c r="P1139" t="s">
        <v>9120</v>
      </c>
      <c r="Q1139" t="s">
        <v>11041</v>
      </c>
      <c r="R1139" t="s">
        <v>9119</v>
      </c>
      <c r="S1139" t="s">
        <v>9120</v>
      </c>
      <c r="T1139" t="s">
        <v>9121</v>
      </c>
      <c r="U1139" s="5">
        <v>819.03</v>
      </c>
      <c r="V1139" s="5">
        <v>3.41</v>
      </c>
      <c r="W1139" s="5">
        <v>12.673265000000001</v>
      </c>
      <c r="X1139" s="5">
        <v>108.03362799999999</v>
      </c>
      <c r="Y1139" s="5">
        <v>815.63</v>
      </c>
      <c r="Z1139" s="5">
        <v>12.673265000000001</v>
      </c>
      <c r="AA1139" s="5">
        <v>108.03362799999999</v>
      </c>
      <c r="AB1139" s="7">
        <f t="shared" si="103"/>
        <v>5.1150000000000006E-3</v>
      </c>
      <c r="AC1139" s="7">
        <f t="shared" si="104"/>
        <v>1.2234449999999999</v>
      </c>
      <c r="AD1139" s="6" t="str">
        <f t="shared" si="105"/>
        <v>Trung tâm huấn luyện PX01</v>
      </c>
      <c r="AE1139" s="6" t="str">
        <f t="shared" si="106"/>
        <v>TT1 Đăk Lăk</v>
      </c>
      <c r="AG1139">
        <f t="shared" si="107"/>
        <v>3.4100000000000003E-3</v>
      </c>
      <c r="AH1139">
        <f t="shared" si="108"/>
        <v>0.81562999999999997</v>
      </c>
    </row>
    <row r="1140" spans="1:34" x14ac:dyDescent="0.25">
      <c r="A1140" t="s">
        <v>11042</v>
      </c>
      <c r="B1140" t="s">
        <v>11043</v>
      </c>
      <c r="C1140" t="s">
        <v>11044</v>
      </c>
      <c r="D1140" t="s">
        <v>9136</v>
      </c>
      <c r="E1140" t="s">
        <v>9137</v>
      </c>
      <c r="F1140" t="s">
        <v>11045</v>
      </c>
      <c r="G1140" t="s">
        <v>15979</v>
      </c>
      <c r="H1140" t="s">
        <v>15980</v>
      </c>
      <c r="I1140" t="s">
        <v>16947</v>
      </c>
      <c r="J1140" t="s">
        <v>23</v>
      </c>
      <c r="L1140" t="s">
        <v>8639</v>
      </c>
      <c r="M1140" t="s">
        <v>11046</v>
      </c>
      <c r="N1140" t="s">
        <v>11047</v>
      </c>
      <c r="O1140" t="s">
        <v>11048</v>
      </c>
      <c r="P1140" t="s">
        <v>11049</v>
      </c>
      <c r="Q1140" t="s">
        <v>11050</v>
      </c>
      <c r="R1140" t="s">
        <v>11051</v>
      </c>
      <c r="S1140" t="s">
        <v>11052</v>
      </c>
      <c r="T1140" t="s">
        <v>11053</v>
      </c>
      <c r="U1140" s="5">
        <v>458.86</v>
      </c>
      <c r="V1140" s="5">
        <v>425.3</v>
      </c>
      <c r="W1140" s="5">
        <v>12.65441</v>
      </c>
      <c r="X1140" s="5">
        <v>108.025854</v>
      </c>
      <c r="Y1140" s="5">
        <v>33.56</v>
      </c>
      <c r="Z1140" s="5">
        <v>12.659758</v>
      </c>
      <c r="AA1140" s="5">
        <v>108.03031</v>
      </c>
      <c r="AB1140" s="7">
        <f t="shared" si="103"/>
        <v>0.63795000000000002</v>
      </c>
      <c r="AC1140" s="7">
        <f t="shared" si="104"/>
        <v>5.0340000000000003E-2</v>
      </c>
      <c r="AD1140" s="6" t="str">
        <f t="shared" si="105"/>
        <v>TT1 Đăk Lăk</v>
      </c>
      <c r="AE1140" s="6" t="str">
        <f t="shared" si="106"/>
        <v>KRông Ana</v>
      </c>
      <c r="AG1140">
        <f t="shared" si="107"/>
        <v>0.42530000000000001</v>
      </c>
      <c r="AH1140">
        <f t="shared" si="108"/>
        <v>3.356E-2</v>
      </c>
    </row>
    <row r="1141" spans="1:34" x14ac:dyDescent="0.25">
      <c r="A1141" t="s">
        <v>11054</v>
      </c>
      <c r="B1141" t="s">
        <v>8916</v>
      </c>
      <c r="C1141" t="s">
        <v>8917</v>
      </c>
      <c r="D1141" t="s">
        <v>8636</v>
      </c>
      <c r="E1141" t="s">
        <v>8637</v>
      </c>
      <c r="F1141" t="s">
        <v>11055</v>
      </c>
      <c r="G1141" t="s">
        <v>15979</v>
      </c>
      <c r="H1141" t="s">
        <v>15980</v>
      </c>
      <c r="I1141" t="s">
        <v>16948</v>
      </c>
      <c r="J1141" t="s">
        <v>23</v>
      </c>
      <c r="L1141" t="s">
        <v>10183</v>
      </c>
      <c r="M1141" t="s">
        <v>11056</v>
      </c>
      <c r="N1141" t="s">
        <v>11057</v>
      </c>
      <c r="O1141" t="s">
        <v>11022</v>
      </c>
      <c r="P1141" t="s">
        <v>11023</v>
      </c>
      <c r="Q1141" t="s">
        <v>11024</v>
      </c>
      <c r="R1141" t="s">
        <v>11025</v>
      </c>
      <c r="S1141" t="s">
        <v>11026</v>
      </c>
      <c r="T1141" t="s">
        <v>11027</v>
      </c>
      <c r="U1141" s="5">
        <v>678.26</v>
      </c>
      <c r="V1141" s="5">
        <v>645.36</v>
      </c>
      <c r="W1141" s="5">
        <v>12.684739</v>
      </c>
      <c r="X1141" s="5">
        <v>108.052206</v>
      </c>
      <c r="Y1141" s="5">
        <v>32.89</v>
      </c>
      <c r="Z1141" s="5">
        <v>12.684350999999999</v>
      </c>
      <c r="AA1141" s="5">
        <v>108.05250100000001</v>
      </c>
      <c r="AB1141" s="7">
        <f t="shared" si="103"/>
        <v>0.96804000000000001</v>
      </c>
      <c r="AC1141" s="7">
        <f t="shared" si="104"/>
        <v>4.9335000000000004E-2</v>
      </c>
      <c r="AD1141" s="6" t="str">
        <f t="shared" si="105"/>
        <v>CAT Đắk Lắk</v>
      </c>
      <c r="AE1141" s="6" t="str">
        <f t="shared" si="106"/>
        <v>Thành Nhất</v>
      </c>
      <c r="AG1141">
        <f t="shared" si="107"/>
        <v>0.64536000000000004</v>
      </c>
      <c r="AH1141">
        <f t="shared" si="108"/>
        <v>3.2890000000000003E-2</v>
      </c>
    </row>
    <row r="1142" spans="1:34" x14ac:dyDescent="0.25">
      <c r="A1142" t="s">
        <v>11058</v>
      </c>
      <c r="B1142" t="s">
        <v>11059</v>
      </c>
      <c r="C1142" t="s">
        <v>11060</v>
      </c>
      <c r="D1142" t="s">
        <v>8916</v>
      </c>
      <c r="E1142" t="s">
        <v>8917</v>
      </c>
      <c r="F1142" t="s">
        <v>11061</v>
      </c>
      <c r="G1142" t="s">
        <v>15979</v>
      </c>
      <c r="H1142" t="s">
        <v>15980</v>
      </c>
      <c r="I1142" t="s">
        <v>16949</v>
      </c>
      <c r="J1142" t="s">
        <v>23</v>
      </c>
      <c r="L1142" t="s">
        <v>8654</v>
      </c>
      <c r="M1142" t="s">
        <v>11062</v>
      </c>
      <c r="N1142" t="s">
        <v>11063</v>
      </c>
      <c r="O1142" t="s">
        <v>8657</v>
      </c>
      <c r="P1142" t="s">
        <v>8658</v>
      </c>
      <c r="Q1142" t="s">
        <v>8920</v>
      </c>
      <c r="R1142" t="s">
        <v>8921</v>
      </c>
      <c r="S1142" t="s">
        <v>8922</v>
      </c>
      <c r="T1142" t="s">
        <v>8662</v>
      </c>
      <c r="U1142" s="5">
        <v>337.19</v>
      </c>
      <c r="V1142" s="5">
        <v>275.70999999999998</v>
      </c>
      <c r="W1142" s="5">
        <v>12.685477000000001</v>
      </c>
      <c r="X1142" s="5">
        <v>108.0461</v>
      </c>
      <c r="Y1142" s="5">
        <v>61.48</v>
      </c>
      <c r="Z1142" s="5">
        <v>12.688961000000001</v>
      </c>
      <c r="AA1142" s="5">
        <v>108.047808</v>
      </c>
      <c r="AB1142" s="7">
        <f t="shared" si="103"/>
        <v>0.41356499999999996</v>
      </c>
      <c r="AC1142" s="7">
        <f t="shared" si="104"/>
        <v>9.2219999999999996E-2</v>
      </c>
      <c r="AD1142" s="6" t="str">
        <f t="shared" si="105"/>
        <v>CAT Đắk Lắk</v>
      </c>
      <c r="AE1142" s="6" t="str">
        <f t="shared" si="106"/>
        <v>Buôn Ma Thuột</v>
      </c>
      <c r="AG1142">
        <f t="shared" si="107"/>
        <v>0.27570999999999996</v>
      </c>
      <c r="AH1142">
        <f t="shared" si="108"/>
        <v>6.148E-2</v>
      </c>
    </row>
    <row r="1143" spans="1:34" x14ac:dyDescent="0.25">
      <c r="A1143" t="s">
        <v>11064</v>
      </c>
      <c r="B1143" t="s">
        <v>8444</v>
      </c>
      <c r="C1143" t="s">
        <v>10181</v>
      </c>
      <c r="D1143" t="s">
        <v>11059</v>
      </c>
      <c r="E1143" t="s">
        <v>11060</v>
      </c>
      <c r="F1143" t="s">
        <v>11065</v>
      </c>
      <c r="G1143" t="s">
        <v>15979</v>
      </c>
      <c r="H1143" t="s">
        <v>15980</v>
      </c>
      <c r="I1143" t="s">
        <v>16950</v>
      </c>
      <c r="J1143" t="s">
        <v>23</v>
      </c>
      <c r="L1143" t="s">
        <v>10183</v>
      </c>
      <c r="M1143" t="s">
        <v>11066</v>
      </c>
      <c r="N1143" t="s">
        <v>11067</v>
      </c>
      <c r="O1143" t="s">
        <v>11068</v>
      </c>
      <c r="P1143" t="s">
        <v>11069</v>
      </c>
      <c r="Q1143" t="s">
        <v>11070</v>
      </c>
      <c r="R1143" t="s">
        <v>11071</v>
      </c>
      <c r="S1143" t="s">
        <v>11072</v>
      </c>
      <c r="T1143" t="s">
        <v>11073</v>
      </c>
      <c r="U1143" s="5">
        <v>494.22</v>
      </c>
      <c r="V1143" s="5">
        <v>44.83</v>
      </c>
      <c r="W1143" s="5">
        <v>12.682617</v>
      </c>
      <c r="X1143" s="5">
        <v>108.03487800000001</v>
      </c>
      <c r="Y1143" s="5">
        <v>449.38</v>
      </c>
      <c r="Z1143" s="5">
        <v>12.682357</v>
      </c>
      <c r="AA1143" s="5">
        <v>108.040542</v>
      </c>
      <c r="AB1143" s="7">
        <f t="shared" si="103"/>
        <v>6.7244999999999999E-2</v>
      </c>
      <c r="AC1143" s="7">
        <f t="shared" si="104"/>
        <v>0.67406999999999995</v>
      </c>
      <c r="AD1143" s="6" t="str">
        <f t="shared" si="105"/>
        <v>CAT Đắk Lắk</v>
      </c>
      <c r="AE1143" s="6" t="str">
        <f t="shared" si="106"/>
        <v>Thành Nhất</v>
      </c>
      <c r="AG1143">
        <f t="shared" si="107"/>
        <v>4.4829999999999995E-2</v>
      </c>
      <c r="AH1143">
        <f t="shared" si="108"/>
        <v>0.44938</v>
      </c>
    </row>
    <row r="1144" spans="1:34" x14ac:dyDescent="0.25">
      <c r="A1144" t="s">
        <v>11074</v>
      </c>
      <c r="B1144" t="s">
        <v>11075</v>
      </c>
      <c r="C1144" t="s">
        <v>11076</v>
      </c>
      <c r="D1144" t="s">
        <v>11077</v>
      </c>
      <c r="E1144" t="s">
        <v>11078</v>
      </c>
      <c r="F1144" t="s">
        <v>11079</v>
      </c>
      <c r="G1144" t="s">
        <v>15827</v>
      </c>
      <c r="H1144" t="s">
        <v>15831</v>
      </c>
      <c r="I1144" t="s">
        <v>16951</v>
      </c>
      <c r="J1144" t="s">
        <v>23</v>
      </c>
      <c r="L1144" t="s">
        <v>11080</v>
      </c>
      <c r="M1144" t="s">
        <v>11081</v>
      </c>
      <c r="N1144" t="s">
        <v>11082</v>
      </c>
      <c r="O1144" t="s">
        <v>11083</v>
      </c>
      <c r="P1144" t="s">
        <v>11084</v>
      </c>
      <c r="Q1144" t="s">
        <v>11085</v>
      </c>
      <c r="R1144" t="s">
        <v>11086</v>
      </c>
      <c r="S1144" t="s">
        <v>11087</v>
      </c>
      <c r="T1144" t="s">
        <v>11088</v>
      </c>
      <c r="U1144" s="5">
        <v>659.88</v>
      </c>
      <c r="V1144" s="5">
        <v>44.67</v>
      </c>
      <c r="W1144" s="5">
        <v>16.016590000000001</v>
      </c>
      <c r="X1144" s="5">
        <v>108.203738</v>
      </c>
      <c r="Y1144" s="5">
        <v>615.21</v>
      </c>
      <c r="Z1144" s="5">
        <v>16.018668999999999</v>
      </c>
      <c r="AA1144" s="5">
        <v>108.197982</v>
      </c>
      <c r="AB1144" s="7">
        <f t="shared" si="103"/>
        <v>6.7004999999999995E-2</v>
      </c>
      <c r="AC1144" s="7">
        <f t="shared" si="104"/>
        <v>0.92281500000000005</v>
      </c>
      <c r="AD1144" s="6" t="str">
        <f t="shared" si="105"/>
        <v>A06 (CS1)</v>
      </c>
      <c r="AE1144" s="6" t="str">
        <f t="shared" si="106"/>
        <v>H03</v>
      </c>
      <c r="AG1144">
        <f t="shared" si="107"/>
        <v>4.4670000000000001E-2</v>
      </c>
      <c r="AH1144">
        <f t="shared" si="108"/>
        <v>0.61521000000000003</v>
      </c>
    </row>
    <row r="1145" spans="1:34" x14ac:dyDescent="0.25">
      <c r="A1145" t="s">
        <v>11089</v>
      </c>
      <c r="B1145" t="s">
        <v>11075</v>
      </c>
      <c r="C1145" t="s">
        <v>11076</v>
      </c>
      <c r="D1145" t="s">
        <v>11090</v>
      </c>
      <c r="E1145" t="s">
        <v>11091</v>
      </c>
      <c r="F1145" t="s">
        <v>11092</v>
      </c>
      <c r="G1145" t="s">
        <v>15827</v>
      </c>
      <c r="H1145" t="s">
        <v>16230</v>
      </c>
      <c r="I1145" t="s">
        <v>16952</v>
      </c>
      <c r="J1145" t="s">
        <v>23</v>
      </c>
      <c r="L1145" t="s">
        <v>11093</v>
      </c>
      <c r="M1145" t="s">
        <v>11094</v>
      </c>
      <c r="N1145" t="s">
        <v>11095</v>
      </c>
      <c r="O1145" t="s">
        <v>11096</v>
      </c>
      <c r="P1145" t="s">
        <v>11097</v>
      </c>
      <c r="Q1145" t="s">
        <v>11098</v>
      </c>
      <c r="R1145" t="s">
        <v>11099</v>
      </c>
      <c r="S1145" t="s">
        <v>11100</v>
      </c>
      <c r="T1145" t="s">
        <v>11101</v>
      </c>
      <c r="U1145" s="5">
        <v>1023.05</v>
      </c>
      <c r="V1145" s="5">
        <v>959.24</v>
      </c>
      <c r="W1145" s="5">
        <v>16.020675000000001</v>
      </c>
      <c r="X1145" s="5">
        <v>108.21158</v>
      </c>
      <c r="Y1145" s="5">
        <v>63.82</v>
      </c>
      <c r="Z1145" s="5">
        <v>16.036673</v>
      </c>
      <c r="AA1145" s="5">
        <v>108.20980400000001</v>
      </c>
      <c r="AB1145" s="7">
        <f t="shared" si="103"/>
        <v>1.43886</v>
      </c>
      <c r="AC1145" s="7">
        <f t="shared" si="104"/>
        <v>9.573000000000001E-2</v>
      </c>
      <c r="AD1145" s="6" t="str">
        <f t="shared" si="105"/>
        <v>TT1 Đà Nẵng</v>
      </c>
      <c r="AE1145" s="6" t="str">
        <f t="shared" si="106"/>
        <v>Cẩm Lệ</v>
      </c>
      <c r="AG1145">
        <f t="shared" si="107"/>
        <v>0.95923999999999998</v>
      </c>
      <c r="AH1145">
        <f t="shared" si="108"/>
        <v>6.3820000000000002E-2</v>
      </c>
    </row>
    <row r="1146" spans="1:34" x14ac:dyDescent="0.25">
      <c r="A1146" t="s">
        <v>11102</v>
      </c>
      <c r="B1146" t="s">
        <v>11075</v>
      </c>
      <c r="C1146" t="s">
        <v>11076</v>
      </c>
      <c r="D1146" t="s">
        <v>11103</v>
      </c>
      <c r="E1146" t="s">
        <v>11104</v>
      </c>
      <c r="F1146" t="s">
        <v>11105</v>
      </c>
      <c r="G1146" t="s">
        <v>15827</v>
      </c>
      <c r="H1146" t="s">
        <v>15831</v>
      </c>
      <c r="I1146" t="s">
        <v>16953</v>
      </c>
      <c r="J1146" t="s">
        <v>23</v>
      </c>
      <c r="L1146" t="s">
        <v>11106</v>
      </c>
      <c r="M1146" t="s">
        <v>11107</v>
      </c>
      <c r="N1146" t="s">
        <v>11108</v>
      </c>
      <c r="O1146" t="s">
        <v>11109</v>
      </c>
      <c r="P1146" t="s">
        <v>11110</v>
      </c>
      <c r="Q1146" t="s">
        <v>11111</v>
      </c>
      <c r="R1146" t="s">
        <v>11112</v>
      </c>
      <c r="S1146" t="s">
        <v>11113</v>
      </c>
      <c r="T1146" t="s">
        <v>11114</v>
      </c>
      <c r="U1146" s="5">
        <v>404.42</v>
      </c>
      <c r="V1146" s="5">
        <v>2.15</v>
      </c>
      <c r="W1146" s="5">
        <v>16.016921</v>
      </c>
      <c r="X1146" s="5">
        <v>108.20348</v>
      </c>
      <c r="Y1146" s="5">
        <v>402.26</v>
      </c>
      <c r="Z1146" s="5">
        <v>16.010182</v>
      </c>
      <c r="AA1146" s="5">
        <v>108.19343600000001</v>
      </c>
      <c r="AB1146" s="7">
        <f t="shared" si="103"/>
        <v>3.2249999999999996E-3</v>
      </c>
      <c r="AC1146" s="7">
        <f t="shared" si="104"/>
        <v>0.60338999999999998</v>
      </c>
      <c r="AD1146" s="6" t="str">
        <f t="shared" si="105"/>
        <v>Hòa Xuân</v>
      </c>
      <c r="AE1146" s="6" t="str">
        <f t="shared" si="106"/>
        <v>TTKV Cẩm Lệ</v>
      </c>
      <c r="AG1146">
        <f t="shared" si="107"/>
        <v>2.15E-3</v>
      </c>
      <c r="AH1146">
        <f t="shared" si="108"/>
        <v>0.40226000000000001</v>
      </c>
    </row>
    <row r="1147" spans="1:34" x14ac:dyDescent="0.25">
      <c r="A1147" t="s">
        <v>11115</v>
      </c>
      <c r="B1147" t="s">
        <v>11075</v>
      </c>
      <c r="C1147" t="s">
        <v>11076</v>
      </c>
      <c r="D1147" t="s">
        <v>11116</v>
      </c>
      <c r="E1147" t="s">
        <v>11117</v>
      </c>
      <c r="F1147" t="s">
        <v>11118</v>
      </c>
      <c r="G1147" t="s">
        <v>15827</v>
      </c>
      <c r="H1147" t="s">
        <v>15831</v>
      </c>
      <c r="I1147" t="s">
        <v>16954</v>
      </c>
      <c r="J1147" t="s">
        <v>23</v>
      </c>
      <c r="L1147" t="s">
        <v>11080</v>
      </c>
      <c r="M1147" t="s">
        <v>11119</v>
      </c>
      <c r="N1147" t="s">
        <v>11082</v>
      </c>
      <c r="O1147" t="s">
        <v>11083</v>
      </c>
      <c r="P1147" t="s">
        <v>11084</v>
      </c>
      <c r="Q1147" t="s">
        <v>11120</v>
      </c>
      <c r="R1147" t="s">
        <v>11121</v>
      </c>
      <c r="S1147" t="s">
        <v>11122</v>
      </c>
      <c r="T1147" t="s">
        <v>11088</v>
      </c>
      <c r="U1147" s="5">
        <v>318.83999999999997</v>
      </c>
      <c r="V1147" s="5">
        <v>44.67</v>
      </c>
      <c r="W1147" s="5">
        <v>16.016590000000001</v>
      </c>
      <c r="X1147" s="5">
        <v>108.203738</v>
      </c>
      <c r="Y1147" s="5">
        <v>274.17</v>
      </c>
      <c r="Z1147" s="5">
        <v>16.018421</v>
      </c>
      <c r="AA1147" s="5">
        <v>108.19808500000001</v>
      </c>
      <c r="AB1147" s="7">
        <f t="shared" si="103"/>
        <v>6.7004999999999995E-2</v>
      </c>
      <c r="AC1147" s="7">
        <f t="shared" si="104"/>
        <v>0.41125499999999998</v>
      </c>
      <c r="AD1147" s="6" t="str">
        <f t="shared" si="105"/>
        <v>A06 (CS1)</v>
      </c>
      <c r="AE1147" s="6" t="str">
        <f t="shared" si="106"/>
        <v>H03</v>
      </c>
      <c r="AG1147">
        <f t="shared" si="107"/>
        <v>4.4670000000000001E-2</v>
      </c>
      <c r="AH1147">
        <f t="shared" si="108"/>
        <v>0.27417000000000002</v>
      </c>
    </row>
    <row r="1148" spans="1:34" x14ac:dyDescent="0.25">
      <c r="A1148" t="s">
        <v>11123</v>
      </c>
      <c r="B1148" t="s">
        <v>11124</v>
      </c>
      <c r="C1148" t="s">
        <v>11125</v>
      </c>
      <c r="D1148" t="s">
        <v>11126</v>
      </c>
      <c r="E1148" t="s">
        <v>11127</v>
      </c>
      <c r="F1148" t="s">
        <v>11128</v>
      </c>
      <c r="G1148" t="s">
        <v>15827</v>
      </c>
      <c r="H1148" t="s">
        <v>15831</v>
      </c>
      <c r="I1148" t="s">
        <v>16955</v>
      </c>
      <c r="J1148" t="s">
        <v>23</v>
      </c>
      <c r="L1148" t="s">
        <v>11129</v>
      </c>
      <c r="M1148" t="s">
        <v>11130</v>
      </c>
      <c r="N1148" t="s">
        <v>11131</v>
      </c>
      <c r="O1148" t="s">
        <v>11132</v>
      </c>
      <c r="P1148" t="s">
        <v>11133</v>
      </c>
      <c r="Q1148" t="s">
        <v>11134</v>
      </c>
      <c r="R1148" t="s">
        <v>11135</v>
      </c>
      <c r="S1148" t="s">
        <v>11136</v>
      </c>
      <c r="T1148" t="s">
        <v>11137</v>
      </c>
      <c r="U1148" s="5">
        <v>43.62</v>
      </c>
      <c r="V1148" s="5">
        <v>27.45</v>
      </c>
      <c r="W1148" s="5">
        <v>16.077317000000001</v>
      </c>
      <c r="X1148" s="5">
        <v>108.21924799999999</v>
      </c>
      <c r="Y1148" s="5">
        <v>16.170000000000002</v>
      </c>
      <c r="Z1148" s="5">
        <v>16.067585999999999</v>
      </c>
      <c r="AA1148" s="5">
        <v>108.21583800000001</v>
      </c>
      <c r="AB1148" s="7">
        <f t="shared" si="103"/>
        <v>4.1174999999999996E-2</v>
      </c>
      <c r="AC1148" s="7">
        <f t="shared" si="104"/>
        <v>2.4255000000000002E-2</v>
      </c>
      <c r="AD1148" s="6" t="e">
        <f t="shared" si="105"/>
        <v>#VALUE!</v>
      </c>
      <c r="AE1148" s="6" t="e">
        <f t="shared" si="106"/>
        <v>#VALUE!</v>
      </c>
      <c r="AG1148">
        <f t="shared" si="107"/>
        <v>2.7449999999999999E-2</v>
      </c>
      <c r="AH1148">
        <f t="shared" si="108"/>
        <v>1.617E-2</v>
      </c>
    </row>
    <row r="1149" spans="1:34" x14ac:dyDescent="0.25">
      <c r="A1149" t="s">
        <v>11138</v>
      </c>
      <c r="B1149" t="s">
        <v>11124</v>
      </c>
      <c r="C1149" t="s">
        <v>11125</v>
      </c>
      <c r="D1149" t="s">
        <v>11139</v>
      </c>
      <c r="E1149" t="s">
        <v>11140</v>
      </c>
      <c r="F1149" t="s">
        <v>11141</v>
      </c>
      <c r="G1149" t="s">
        <v>15827</v>
      </c>
      <c r="H1149" t="s">
        <v>15831</v>
      </c>
      <c r="I1149" t="s">
        <v>16956</v>
      </c>
      <c r="J1149" t="s">
        <v>23</v>
      </c>
      <c r="L1149" t="s">
        <v>11142</v>
      </c>
      <c r="M1149" t="s">
        <v>11143</v>
      </c>
      <c r="N1149" t="s">
        <v>11144</v>
      </c>
      <c r="O1149" t="s">
        <v>11145</v>
      </c>
      <c r="P1149" t="s">
        <v>11146</v>
      </c>
      <c r="Q1149" t="s">
        <v>11147</v>
      </c>
      <c r="R1149" t="s">
        <v>11148</v>
      </c>
      <c r="S1149" t="s">
        <v>11149</v>
      </c>
      <c r="T1149" t="s">
        <v>11150</v>
      </c>
      <c r="U1149" s="5">
        <v>144.82</v>
      </c>
      <c r="V1149" s="5">
        <v>23.59</v>
      </c>
      <c r="W1149" s="5">
        <v>16.077625999999999</v>
      </c>
      <c r="X1149" s="5">
        <v>108.21941</v>
      </c>
      <c r="Y1149" s="5">
        <v>121.23</v>
      </c>
      <c r="Z1149" s="5">
        <v>16.081696999999998</v>
      </c>
      <c r="AA1149" s="5">
        <v>108.21949499999999</v>
      </c>
      <c r="AB1149" s="7">
        <f t="shared" si="103"/>
        <v>3.5385E-2</v>
      </c>
      <c r="AC1149" s="7">
        <f t="shared" si="104"/>
        <v>0.18184500000000001</v>
      </c>
      <c r="AD1149" s="6" t="str">
        <f t="shared" si="105"/>
        <v>Sơn Trà</v>
      </c>
      <c r="AE1149" s="6" t="str">
        <f t="shared" si="106"/>
        <v>TT1 Đà Nẵng</v>
      </c>
      <c r="AG1149">
        <f t="shared" si="107"/>
        <v>2.359E-2</v>
      </c>
      <c r="AH1149">
        <f t="shared" si="108"/>
        <v>0.12123</v>
      </c>
    </row>
    <row r="1150" spans="1:34" x14ac:dyDescent="0.25">
      <c r="A1150" t="s">
        <v>11151</v>
      </c>
      <c r="B1150" t="s">
        <v>11124</v>
      </c>
      <c r="C1150" t="s">
        <v>11125</v>
      </c>
      <c r="D1150" t="s">
        <v>11152</v>
      </c>
      <c r="E1150" t="s">
        <v>11153</v>
      </c>
      <c r="F1150" t="s">
        <v>11154</v>
      </c>
      <c r="G1150" t="s">
        <v>15827</v>
      </c>
      <c r="H1150" t="s">
        <v>15831</v>
      </c>
      <c r="I1150" t="s">
        <v>16957</v>
      </c>
      <c r="J1150" t="s">
        <v>23</v>
      </c>
      <c r="L1150" t="s">
        <v>11155</v>
      </c>
      <c r="M1150" t="s">
        <v>11156</v>
      </c>
      <c r="N1150" t="s">
        <v>11157</v>
      </c>
      <c r="O1150" t="s">
        <v>11158</v>
      </c>
      <c r="P1150" t="s">
        <v>11159</v>
      </c>
      <c r="Q1150" t="s">
        <v>11160</v>
      </c>
      <c r="R1150" t="s">
        <v>11161</v>
      </c>
      <c r="S1150" t="s">
        <v>11162</v>
      </c>
      <c r="T1150" t="s">
        <v>11163</v>
      </c>
      <c r="U1150" s="5">
        <v>241.02</v>
      </c>
      <c r="V1150" s="5">
        <v>7.02</v>
      </c>
      <c r="W1150" s="5">
        <v>16.077608000000001</v>
      </c>
      <c r="X1150" s="5">
        <v>108.21924300000001</v>
      </c>
      <c r="Y1150" s="5">
        <v>233.99</v>
      </c>
      <c r="Z1150" s="5">
        <v>16.077649000000001</v>
      </c>
      <c r="AA1150" s="5">
        <v>108.22168000000001</v>
      </c>
      <c r="AB1150" s="7">
        <f t="shared" si="103"/>
        <v>1.0529999999999999E-2</v>
      </c>
      <c r="AC1150" s="7">
        <f t="shared" si="104"/>
        <v>0.35098499999999999</v>
      </c>
      <c r="AD1150" s="6" t="str">
        <f t="shared" si="105"/>
        <v>TT1 Đà Nẵng</v>
      </c>
      <c r="AE1150" s="6" t="str">
        <f t="shared" si="106"/>
        <v>Hải Châu</v>
      </c>
      <c r="AG1150">
        <f t="shared" si="107"/>
        <v>7.0199999999999993E-3</v>
      </c>
      <c r="AH1150">
        <f t="shared" si="108"/>
        <v>0.23399</v>
      </c>
    </row>
    <row r="1151" spans="1:34" x14ac:dyDescent="0.25">
      <c r="A1151" t="s">
        <v>11164</v>
      </c>
      <c r="B1151" t="s">
        <v>11165</v>
      </c>
      <c r="C1151" t="s">
        <v>11166</v>
      </c>
      <c r="D1151" t="s">
        <v>11167</v>
      </c>
      <c r="E1151" t="s">
        <v>11168</v>
      </c>
      <c r="F1151" t="s">
        <v>11169</v>
      </c>
      <c r="G1151" t="s">
        <v>15827</v>
      </c>
      <c r="H1151" t="s">
        <v>15831</v>
      </c>
      <c r="I1151" t="s">
        <v>16958</v>
      </c>
      <c r="J1151" t="s">
        <v>23</v>
      </c>
      <c r="L1151" t="s">
        <v>11170</v>
      </c>
      <c r="M1151" t="s">
        <v>11171</v>
      </c>
      <c r="N1151" t="s">
        <v>11172</v>
      </c>
      <c r="O1151" t="s">
        <v>11173</v>
      </c>
      <c r="P1151" t="s">
        <v>11174</v>
      </c>
      <c r="Q1151" t="s">
        <v>11175</v>
      </c>
      <c r="R1151" t="s">
        <v>11176</v>
      </c>
      <c r="S1151" t="s">
        <v>11177</v>
      </c>
      <c r="T1151" t="s">
        <v>11178</v>
      </c>
      <c r="U1151" s="5">
        <v>15.25</v>
      </c>
      <c r="V1151" s="5">
        <v>3.35</v>
      </c>
      <c r="W1151" s="5">
        <v>15.988075</v>
      </c>
      <c r="X1151" s="5">
        <v>108.140218</v>
      </c>
      <c r="Y1151" s="5">
        <v>11.9</v>
      </c>
      <c r="Z1151" s="5">
        <v>15.99797</v>
      </c>
      <c r="AA1151" s="5">
        <v>108.138018</v>
      </c>
      <c r="AB1151" s="7">
        <f t="shared" si="103"/>
        <v>5.025E-3</v>
      </c>
      <c r="AC1151" s="7">
        <f t="shared" si="104"/>
        <v>1.7850000000000001E-2</v>
      </c>
      <c r="AD1151" s="6" t="str">
        <f t="shared" si="105"/>
        <v>"Cơ sở cai nghiện (X. Hòa Bắc, Hòa Vang)</v>
      </c>
      <c r="AE1151" s="6" t="str">
        <f t="shared" si="106"/>
        <v xml:space="preserve">
TTCMKV Hòa Vang"</v>
      </c>
      <c r="AG1151">
        <f t="shared" si="107"/>
        <v>3.3500000000000001E-3</v>
      </c>
      <c r="AH1151">
        <f t="shared" si="108"/>
        <v>1.1900000000000001E-2</v>
      </c>
    </row>
    <row r="1152" spans="1:34" x14ac:dyDescent="0.25">
      <c r="A1152" t="s">
        <v>11179</v>
      </c>
      <c r="B1152" t="s">
        <v>11165</v>
      </c>
      <c r="C1152" t="s">
        <v>11166</v>
      </c>
      <c r="D1152" t="s">
        <v>11180</v>
      </c>
      <c r="E1152" t="s">
        <v>11181</v>
      </c>
      <c r="F1152" t="s">
        <v>11182</v>
      </c>
      <c r="G1152" t="s">
        <v>15827</v>
      </c>
      <c r="H1152" t="s">
        <v>15831</v>
      </c>
      <c r="I1152" t="s">
        <v>16959</v>
      </c>
      <c r="J1152" t="s">
        <v>23</v>
      </c>
      <c r="L1152" t="s">
        <v>11183</v>
      </c>
      <c r="M1152" t="s">
        <v>11184</v>
      </c>
      <c r="N1152" t="s">
        <v>11185</v>
      </c>
      <c r="O1152" t="s">
        <v>11186</v>
      </c>
      <c r="P1152" t="s">
        <v>11187</v>
      </c>
      <c r="Q1152" t="s">
        <v>11188</v>
      </c>
      <c r="R1152" t="s">
        <v>11189</v>
      </c>
      <c r="S1152" t="s">
        <v>11190</v>
      </c>
      <c r="T1152" t="s">
        <v>11191</v>
      </c>
      <c r="U1152" s="5">
        <v>1343.33</v>
      </c>
      <c r="V1152" s="5">
        <v>1240.6099999999999</v>
      </c>
      <c r="W1152" s="5">
        <v>15.997909</v>
      </c>
      <c r="X1152" s="5">
        <v>108.145731</v>
      </c>
      <c r="Y1152" s="5">
        <v>102.73</v>
      </c>
      <c r="Z1152" s="5">
        <v>16.009</v>
      </c>
      <c r="AA1152" s="5">
        <v>108.154405</v>
      </c>
      <c r="AB1152" s="7">
        <f t="shared" si="103"/>
        <v>1.8609149999999999</v>
      </c>
      <c r="AC1152" s="7">
        <f t="shared" si="104"/>
        <v>0.15409500000000001</v>
      </c>
      <c r="AD1152" s="6" t="str">
        <f t="shared" si="105"/>
        <v>Hòa Vang</v>
      </c>
      <c r="AE1152" s="6" t="str">
        <f t="shared" si="106"/>
        <v>TT1 Đà Nẵng</v>
      </c>
      <c r="AG1152">
        <f t="shared" si="107"/>
        <v>1.24061</v>
      </c>
      <c r="AH1152">
        <f t="shared" si="108"/>
        <v>0.10273</v>
      </c>
    </row>
    <row r="1153" spans="1:34" x14ac:dyDescent="0.25">
      <c r="A1153" t="s">
        <v>11192</v>
      </c>
      <c r="B1153" t="s">
        <v>11165</v>
      </c>
      <c r="C1153" t="s">
        <v>11166</v>
      </c>
      <c r="D1153" t="s">
        <v>11193</v>
      </c>
      <c r="E1153" t="s">
        <v>11194</v>
      </c>
      <c r="F1153" t="s">
        <v>11195</v>
      </c>
      <c r="G1153" t="s">
        <v>15827</v>
      </c>
      <c r="H1153" t="s">
        <v>15831</v>
      </c>
      <c r="I1153" t="s">
        <v>16960</v>
      </c>
      <c r="J1153" t="s">
        <v>23</v>
      </c>
      <c r="L1153" t="s">
        <v>11196</v>
      </c>
      <c r="M1153" t="s">
        <v>11197</v>
      </c>
      <c r="N1153" t="s">
        <v>11198</v>
      </c>
      <c r="O1153" t="s">
        <v>11199</v>
      </c>
      <c r="P1153" t="s">
        <v>11200</v>
      </c>
      <c r="Q1153" t="s">
        <v>11201</v>
      </c>
      <c r="R1153" t="s">
        <v>11202</v>
      </c>
      <c r="S1153" t="s">
        <v>11203</v>
      </c>
      <c r="T1153" t="s">
        <v>11204</v>
      </c>
      <c r="U1153" s="5">
        <v>968.06</v>
      </c>
      <c r="V1153" s="5">
        <v>588.26</v>
      </c>
      <c r="W1153" s="5">
        <v>15.983065</v>
      </c>
      <c r="X1153" s="5">
        <v>108.13851099999999</v>
      </c>
      <c r="Y1153" s="5">
        <v>379.79</v>
      </c>
      <c r="Z1153" s="5">
        <v>15.980283</v>
      </c>
      <c r="AA1153" s="5">
        <v>108.127217</v>
      </c>
      <c r="AB1153" s="7">
        <f t="shared" si="103"/>
        <v>0.88239000000000001</v>
      </c>
      <c r="AC1153" s="7">
        <f t="shared" si="104"/>
        <v>0.56968500000000011</v>
      </c>
      <c r="AD1153" s="6" t="str">
        <f t="shared" si="105"/>
        <v>Sông Vàng</v>
      </c>
      <c r="AE1153" s="6" t="str">
        <f t="shared" si="106"/>
        <v>TTCMKV Đại Lộc</v>
      </c>
      <c r="AG1153">
        <f t="shared" si="107"/>
        <v>0.58826000000000001</v>
      </c>
      <c r="AH1153">
        <f t="shared" si="108"/>
        <v>0.37979000000000002</v>
      </c>
    </row>
    <row r="1154" spans="1:34" x14ac:dyDescent="0.25">
      <c r="A1154" t="s">
        <v>11205</v>
      </c>
      <c r="B1154" t="s">
        <v>11165</v>
      </c>
      <c r="C1154" t="s">
        <v>11166</v>
      </c>
      <c r="D1154" t="s">
        <v>11206</v>
      </c>
      <c r="E1154" t="s">
        <v>11207</v>
      </c>
      <c r="F1154" t="s">
        <v>11208</v>
      </c>
      <c r="G1154" t="s">
        <v>15827</v>
      </c>
      <c r="H1154" t="s">
        <v>15831</v>
      </c>
      <c r="I1154" t="s">
        <v>16961</v>
      </c>
      <c r="J1154" t="s">
        <v>23</v>
      </c>
      <c r="L1154" t="s">
        <v>11183</v>
      </c>
      <c r="M1154" t="s">
        <v>11209</v>
      </c>
      <c r="N1154" t="s">
        <v>11210</v>
      </c>
      <c r="O1154" t="s">
        <v>11211</v>
      </c>
      <c r="P1154" t="s">
        <v>11212</v>
      </c>
      <c r="Q1154" t="s">
        <v>11213</v>
      </c>
      <c r="R1154" t="s">
        <v>11214</v>
      </c>
      <c r="S1154" t="s">
        <v>11215</v>
      </c>
      <c r="T1154" t="s">
        <v>11216</v>
      </c>
      <c r="U1154" s="5">
        <v>76.8</v>
      </c>
      <c r="V1154" s="5">
        <v>10.3</v>
      </c>
      <c r="W1154" s="5">
        <v>15.988042</v>
      </c>
      <c r="X1154" s="5">
        <v>108.140275</v>
      </c>
      <c r="Y1154" s="5">
        <v>66.5</v>
      </c>
      <c r="Z1154" s="5">
        <v>15.989824</v>
      </c>
      <c r="AA1154" s="5">
        <v>108.142754</v>
      </c>
      <c r="AB1154" s="7">
        <f t="shared" si="103"/>
        <v>1.5450000000000002E-2</v>
      </c>
      <c r="AC1154" s="7">
        <f t="shared" si="104"/>
        <v>9.9750000000000005E-2</v>
      </c>
      <c r="AD1154" s="6" t="str">
        <f t="shared" si="105"/>
        <v>Hòa Vang</v>
      </c>
      <c r="AE1154" s="6" t="str">
        <f t="shared" si="106"/>
        <v>TT1 Đà Nẵng</v>
      </c>
      <c r="AG1154">
        <f t="shared" si="107"/>
        <v>1.03E-2</v>
      </c>
      <c r="AH1154">
        <f t="shared" si="108"/>
        <v>6.6500000000000004E-2</v>
      </c>
    </row>
    <row r="1155" spans="1:34" x14ac:dyDescent="0.25">
      <c r="A1155" t="s">
        <v>11217</v>
      </c>
      <c r="B1155" t="s">
        <v>11165</v>
      </c>
      <c r="C1155" t="s">
        <v>11166</v>
      </c>
      <c r="D1155" t="s">
        <v>11218</v>
      </c>
      <c r="E1155" t="s">
        <v>11219</v>
      </c>
      <c r="F1155" t="s">
        <v>11220</v>
      </c>
      <c r="G1155" t="s">
        <v>15827</v>
      </c>
      <c r="H1155" t="s">
        <v>15828</v>
      </c>
      <c r="I1155" t="s">
        <v>16962</v>
      </c>
      <c r="J1155" t="s">
        <v>23</v>
      </c>
      <c r="L1155" t="s">
        <v>11183</v>
      </c>
      <c r="M1155" t="s">
        <v>11221</v>
      </c>
      <c r="N1155" t="s">
        <v>11210</v>
      </c>
      <c r="O1155" t="s">
        <v>11211</v>
      </c>
      <c r="P1155" t="s">
        <v>11212</v>
      </c>
      <c r="Q1155" t="s">
        <v>11222</v>
      </c>
      <c r="R1155" t="s">
        <v>11223</v>
      </c>
      <c r="S1155" t="s">
        <v>11224</v>
      </c>
      <c r="T1155" t="s">
        <v>11216</v>
      </c>
      <c r="U1155" s="5">
        <v>493.67</v>
      </c>
      <c r="V1155" s="5">
        <v>10.3</v>
      </c>
      <c r="W1155" s="5">
        <v>15.988042</v>
      </c>
      <c r="X1155" s="5">
        <v>108.140275</v>
      </c>
      <c r="Y1155" s="5">
        <v>483.38</v>
      </c>
      <c r="Z1155" s="5">
        <v>15.992659</v>
      </c>
      <c r="AA1155" s="5">
        <v>108.14371300000001</v>
      </c>
      <c r="AB1155" s="7">
        <f t="shared" ref="AB1155:AB1218" si="109">V1155*1.5/1000</f>
        <v>1.5450000000000002E-2</v>
      </c>
      <c r="AC1155" s="7">
        <f t="shared" ref="AC1155:AC1218" si="110">Y1155*1.5/1000</f>
        <v>0.72506999999999988</v>
      </c>
      <c r="AD1155" s="6" t="str">
        <f t="shared" ref="AD1155:AD1218" si="111">TRIM(LEFT(L1155,FIND("-",L1155)-1))</f>
        <v>Hòa Vang</v>
      </c>
      <c r="AE1155" s="6" t="str">
        <f t="shared" ref="AE1155:AE1218" si="112">TRIM(RIGHT(L1155, LEN(L1155) - FIND("-", L1155)))</f>
        <v>TT1 Đà Nẵng</v>
      </c>
      <c r="AG1155">
        <f t="shared" ref="AG1155:AG1218" si="113">V1155/1000</f>
        <v>1.03E-2</v>
      </c>
      <c r="AH1155">
        <f t="shared" ref="AH1155:AH1218" si="114">Y1155/1000</f>
        <v>0.48337999999999998</v>
      </c>
    </row>
    <row r="1156" spans="1:34" x14ac:dyDescent="0.25">
      <c r="A1156" t="s">
        <v>11225</v>
      </c>
      <c r="B1156" t="s">
        <v>11226</v>
      </c>
      <c r="C1156" t="s">
        <v>11227</v>
      </c>
      <c r="D1156" t="s">
        <v>11228</v>
      </c>
      <c r="E1156" t="s">
        <v>11229</v>
      </c>
      <c r="F1156" t="s">
        <v>11230</v>
      </c>
      <c r="G1156" t="s">
        <v>15827</v>
      </c>
      <c r="H1156" t="s">
        <v>15828</v>
      </c>
      <c r="I1156" t="s">
        <v>16963</v>
      </c>
      <c r="J1156" t="s">
        <v>23</v>
      </c>
      <c r="L1156" t="s">
        <v>11231</v>
      </c>
      <c r="M1156" t="s">
        <v>11232</v>
      </c>
      <c r="N1156" t="s">
        <v>11233</v>
      </c>
      <c r="O1156" t="s">
        <v>11234</v>
      </c>
      <c r="P1156" t="s">
        <v>11235</v>
      </c>
      <c r="Q1156" t="s">
        <v>3223</v>
      </c>
      <c r="R1156" t="s">
        <v>11236</v>
      </c>
      <c r="S1156" t="s">
        <v>11237</v>
      </c>
      <c r="T1156" t="s">
        <v>11238</v>
      </c>
      <c r="U1156" s="5">
        <v>438.56</v>
      </c>
      <c r="V1156" s="5">
        <v>317.12</v>
      </c>
      <c r="W1156" s="5">
        <v>16.076900999999999</v>
      </c>
      <c r="X1156" s="5">
        <v>108.15944399999999</v>
      </c>
      <c r="Y1156" s="5">
        <v>121.44</v>
      </c>
      <c r="Z1156" s="5">
        <v>16.081568999999998</v>
      </c>
      <c r="AA1156" s="5">
        <v>108.160889</v>
      </c>
      <c r="AB1156" s="7">
        <f t="shared" si="109"/>
        <v>0.47567999999999999</v>
      </c>
      <c r="AC1156" s="7">
        <f t="shared" si="110"/>
        <v>0.18215999999999999</v>
      </c>
      <c r="AD1156" s="6" t="str">
        <f t="shared" si="111"/>
        <v>TT1 Đà Nẵng</v>
      </c>
      <c r="AE1156" s="6" t="str">
        <f t="shared" si="112"/>
        <v>Liên Chiểu</v>
      </c>
      <c r="AG1156">
        <f t="shared" si="113"/>
        <v>0.31712000000000001</v>
      </c>
      <c r="AH1156">
        <f t="shared" si="114"/>
        <v>0.12143999999999999</v>
      </c>
    </row>
    <row r="1157" spans="1:34" x14ac:dyDescent="0.25">
      <c r="A1157" t="s">
        <v>11239</v>
      </c>
      <c r="B1157" t="s">
        <v>11226</v>
      </c>
      <c r="C1157" t="s">
        <v>11227</v>
      </c>
      <c r="D1157" t="s">
        <v>11240</v>
      </c>
      <c r="E1157" t="s">
        <v>11241</v>
      </c>
      <c r="F1157" t="s">
        <v>11242</v>
      </c>
      <c r="G1157" t="s">
        <v>15827</v>
      </c>
      <c r="H1157" t="s">
        <v>15831</v>
      </c>
      <c r="I1157" t="s">
        <v>16964</v>
      </c>
      <c r="J1157" t="s">
        <v>23</v>
      </c>
      <c r="L1157" t="s">
        <v>11231</v>
      </c>
      <c r="M1157" t="s">
        <v>11243</v>
      </c>
      <c r="N1157" t="s">
        <v>11233</v>
      </c>
      <c r="O1157" t="s">
        <v>11234</v>
      </c>
      <c r="P1157" t="s">
        <v>11235</v>
      </c>
      <c r="Q1157" t="s">
        <v>11244</v>
      </c>
      <c r="R1157" t="s">
        <v>11245</v>
      </c>
      <c r="S1157" t="s">
        <v>11246</v>
      </c>
      <c r="T1157" t="s">
        <v>11238</v>
      </c>
      <c r="U1157" s="5">
        <v>463.93</v>
      </c>
      <c r="V1157" s="5">
        <v>317.12</v>
      </c>
      <c r="W1157" s="5">
        <v>16.076900999999999</v>
      </c>
      <c r="X1157" s="5">
        <v>108.15944399999999</v>
      </c>
      <c r="Y1157" s="5">
        <v>146.80000000000001</v>
      </c>
      <c r="Z1157" s="5">
        <v>16.080864999999999</v>
      </c>
      <c r="AA1157" s="5">
        <v>108.162509</v>
      </c>
      <c r="AB1157" s="7">
        <f t="shared" si="109"/>
        <v>0.47567999999999999</v>
      </c>
      <c r="AC1157" s="7">
        <f t="shared" si="110"/>
        <v>0.22020000000000001</v>
      </c>
      <c r="AD1157" s="6" t="str">
        <f t="shared" si="111"/>
        <v>TT1 Đà Nẵng</v>
      </c>
      <c r="AE1157" s="6" t="str">
        <f t="shared" si="112"/>
        <v>Liên Chiểu</v>
      </c>
      <c r="AG1157">
        <f t="shared" si="113"/>
        <v>0.31712000000000001</v>
      </c>
      <c r="AH1157">
        <f t="shared" si="114"/>
        <v>0.14680000000000001</v>
      </c>
    </row>
    <row r="1158" spans="1:34" x14ac:dyDescent="0.25">
      <c r="A1158" t="s">
        <v>11247</v>
      </c>
      <c r="B1158" t="s">
        <v>11226</v>
      </c>
      <c r="C1158" t="s">
        <v>11227</v>
      </c>
      <c r="D1158" t="s">
        <v>11248</v>
      </c>
      <c r="E1158" t="s">
        <v>11249</v>
      </c>
      <c r="F1158" t="s">
        <v>11250</v>
      </c>
      <c r="G1158" t="s">
        <v>15827</v>
      </c>
      <c r="H1158" t="s">
        <v>16230</v>
      </c>
      <c r="I1158" t="s">
        <v>16965</v>
      </c>
      <c r="J1158" t="s">
        <v>23</v>
      </c>
      <c r="L1158" t="s">
        <v>11251</v>
      </c>
      <c r="M1158" t="s">
        <v>11252</v>
      </c>
      <c r="N1158" t="s">
        <v>11253</v>
      </c>
      <c r="O1158" t="s">
        <v>11254</v>
      </c>
      <c r="P1158" t="s">
        <v>11255</v>
      </c>
      <c r="Q1158" t="s">
        <v>11256</v>
      </c>
      <c r="R1158" t="s">
        <v>11257</v>
      </c>
      <c r="S1158" t="s">
        <v>11258</v>
      </c>
      <c r="T1158" t="s">
        <v>11259</v>
      </c>
      <c r="U1158" s="5">
        <v>823.71</v>
      </c>
      <c r="V1158" s="5">
        <v>792.46</v>
      </c>
      <c r="W1158" s="5">
        <v>16.077791000000001</v>
      </c>
      <c r="X1158" s="5">
        <v>108.164749</v>
      </c>
      <c r="Y1158" s="5">
        <v>31.26</v>
      </c>
      <c r="Z1158" s="5">
        <v>16.073207</v>
      </c>
      <c r="AA1158" s="5">
        <v>108.177558</v>
      </c>
      <c r="AB1158" s="7">
        <f t="shared" si="109"/>
        <v>1.18869</v>
      </c>
      <c r="AC1158" s="7">
        <f t="shared" si="110"/>
        <v>4.6890000000000001E-2</v>
      </c>
      <c r="AD1158" s="6" t="str">
        <f t="shared" si="111"/>
        <v>TT1 Đà Nẵng</v>
      </c>
      <c r="AE1158" s="6" t="str">
        <f t="shared" si="112"/>
        <v>Hải Vân</v>
      </c>
      <c r="AG1158">
        <f t="shared" si="113"/>
        <v>0.79246000000000005</v>
      </c>
      <c r="AH1158">
        <f t="shared" si="114"/>
        <v>3.1260000000000003E-2</v>
      </c>
    </row>
    <row r="1159" spans="1:34" x14ac:dyDescent="0.25">
      <c r="A1159" t="s">
        <v>11260</v>
      </c>
      <c r="B1159" t="s">
        <v>11226</v>
      </c>
      <c r="C1159" t="s">
        <v>11227</v>
      </c>
      <c r="D1159" t="s">
        <v>11261</v>
      </c>
      <c r="E1159" t="s">
        <v>11262</v>
      </c>
      <c r="F1159" t="s">
        <v>11263</v>
      </c>
      <c r="H1159" t="s">
        <v>16230</v>
      </c>
      <c r="I1159" t="s">
        <v>16966</v>
      </c>
      <c r="J1159" t="s">
        <v>23</v>
      </c>
      <c r="L1159" t="s">
        <v>11264</v>
      </c>
      <c r="M1159" t="s">
        <v>11265</v>
      </c>
      <c r="N1159" t="s">
        <v>11266</v>
      </c>
      <c r="O1159" t="s">
        <v>11267</v>
      </c>
      <c r="P1159" t="s">
        <v>11268</v>
      </c>
      <c r="Q1159" t="s">
        <v>11269</v>
      </c>
      <c r="R1159" t="s">
        <v>11270</v>
      </c>
      <c r="S1159" t="s">
        <v>11271</v>
      </c>
      <c r="T1159" t="s">
        <v>11272</v>
      </c>
      <c r="U1159" s="5">
        <v>490.42</v>
      </c>
      <c r="V1159" s="5">
        <v>27.31</v>
      </c>
      <c r="W1159" s="5">
        <v>16.074273999999999</v>
      </c>
      <c r="X1159" s="5">
        <v>108.158044</v>
      </c>
      <c r="Y1159" s="5">
        <v>463.11</v>
      </c>
      <c r="Z1159" s="5">
        <v>16.074614</v>
      </c>
      <c r="AA1159" s="5">
        <v>108.14948099999999</v>
      </c>
      <c r="AB1159" s="7">
        <f t="shared" si="109"/>
        <v>4.0964999999999994E-2</v>
      </c>
      <c r="AC1159" s="7">
        <f t="shared" si="110"/>
        <v>0.69466499999999998</v>
      </c>
      <c r="AD1159" s="6" t="str">
        <f t="shared" si="111"/>
        <v>TTCMKV Liên Chiểu</v>
      </c>
      <c r="AE1159" s="6" t="str">
        <f t="shared" si="112"/>
        <v>Trạm CSGT Hòa Hiệp</v>
      </c>
      <c r="AG1159">
        <f t="shared" si="113"/>
        <v>2.7309999999999997E-2</v>
      </c>
      <c r="AH1159">
        <f t="shared" si="114"/>
        <v>0.46311000000000002</v>
      </c>
    </row>
    <row r="1160" spans="1:34" x14ac:dyDescent="0.25">
      <c r="A1160" t="s">
        <v>11273</v>
      </c>
      <c r="B1160" t="s">
        <v>11226</v>
      </c>
      <c r="C1160" t="s">
        <v>11227</v>
      </c>
      <c r="D1160" t="s">
        <v>11274</v>
      </c>
      <c r="E1160" t="s">
        <v>11275</v>
      </c>
      <c r="F1160" t="s">
        <v>11276</v>
      </c>
      <c r="G1160" t="s">
        <v>15827</v>
      </c>
      <c r="H1160" t="s">
        <v>16230</v>
      </c>
      <c r="I1160" t="s">
        <v>16967</v>
      </c>
      <c r="J1160" t="s">
        <v>23</v>
      </c>
      <c r="L1160" t="s">
        <v>11264</v>
      </c>
      <c r="M1160" t="s">
        <v>11277</v>
      </c>
      <c r="N1160" t="s">
        <v>11266</v>
      </c>
      <c r="O1160" t="s">
        <v>11267</v>
      </c>
      <c r="P1160" t="s">
        <v>11268</v>
      </c>
      <c r="Q1160" t="s">
        <v>11278</v>
      </c>
      <c r="R1160" t="s">
        <v>11279</v>
      </c>
      <c r="S1160" t="s">
        <v>11280</v>
      </c>
      <c r="T1160" t="s">
        <v>11272</v>
      </c>
      <c r="U1160" s="5">
        <v>98.86</v>
      </c>
      <c r="V1160" s="5">
        <v>27.31</v>
      </c>
      <c r="W1160" s="5">
        <v>16.074273999999999</v>
      </c>
      <c r="X1160" s="5">
        <v>108.158044</v>
      </c>
      <c r="Y1160" s="5">
        <v>71.55</v>
      </c>
      <c r="Z1160" s="5">
        <v>16.090608</v>
      </c>
      <c r="AA1160" s="5">
        <v>108.14290800000001</v>
      </c>
      <c r="AB1160" s="7">
        <f t="shared" si="109"/>
        <v>4.0964999999999994E-2</v>
      </c>
      <c r="AC1160" s="7">
        <f t="shared" si="110"/>
        <v>0.10732499999999999</v>
      </c>
      <c r="AD1160" s="6" t="str">
        <f t="shared" si="111"/>
        <v>TTCMKV Liên Chiểu</v>
      </c>
      <c r="AE1160" s="6" t="str">
        <f t="shared" si="112"/>
        <v>Trạm CSGT Hòa Hiệp</v>
      </c>
      <c r="AG1160">
        <f t="shared" si="113"/>
        <v>2.7309999999999997E-2</v>
      </c>
      <c r="AH1160">
        <f t="shared" si="114"/>
        <v>7.1550000000000002E-2</v>
      </c>
    </row>
    <row r="1161" spans="1:34" x14ac:dyDescent="0.25">
      <c r="A1161" t="s">
        <v>11281</v>
      </c>
      <c r="B1161" t="s">
        <v>11282</v>
      </c>
      <c r="C1161" t="s">
        <v>11283</v>
      </c>
      <c r="D1161" t="s">
        <v>11284</v>
      </c>
      <c r="E1161" t="s">
        <v>11285</v>
      </c>
      <c r="F1161" t="s">
        <v>11286</v>
      </c>
      <c r="G1161" t="s">
        <v>15827</v>
      </c>
      <c r="H1161" t="s">
        <v>15831</v>
      </c>
      <c r="I1161" t="s">
        <v>16968</v>
      </c>
      <c r="J1161" t="s">
        <v>23</v>
      </c>
      <c r="L1161" t="s">
        <v>11287</v>
      </c>
      <c r="M1161" t="s">
        <v>11288</v>
      </c>
      <c r="N1161" t="s">
        <v>11289</v>
      </c>
      <c r="O1161" t="s">
        <v>11290</v>
      </c>
      <c r="P1161" t="s">
        <v>11291</v>
      </c>
      <c r="Q1161" t="s">
        <v>11292</v>
      </c>
      <c r="R1161" t="s">
        <v>11293</v>
      </c>
      <c r="S1161" t="s">
        <v>11294</v>
      </c>
      <c r="T1161" t="s">
        <v>11295</v>
      </c>
      <c r="U1161" s="5">
        <v>824.18</v>
      </c>
      <c r="V1161" s="5">
        <v>14.34</v>
      </c>
      <c r="W1161" s="5">
        <v>16.015280000000001</v>
      </c>
      <c r="X1161" s="5">
        <v>108.254448</v>
      </c>
      <c r="Y1161" s="5">
        <v>809.84</v>
      </c>
      <c r="Z1161" s="5">
        <v>15.998049</v>
      </c>
      <c r="AA1161" s="5">
        <v>108.261855</v>
      </c>
      <c r="AB1161" s="7">
        <f t="shared" si="109"/>
        <v>2.1509999999999998E-2</v>
      </c>
      <c r="AC1161" s="7">
        <f t="shared" si="110"/>
        <v>1.2147600000000001</v>
      </c>
      <c r="AD1161" s="6" t="str">
        <f t="shared" si="111"/>
        <v>Hội An</v>
      </c>
      <c r="AE1161" s="6" t="str">
        <f t="shared" si="112"/>
        <v>Ngũ Hành Sơn</v>
      </c>
      <c r="AG1161">
        <f t="shared" si="113"/>
        <v>1.434E-2</v>
      </c>
      <c r="AH1161">
        <f t="shared" si="114"/>
        <v>0.80984</v>
      </c>
    </row>
    <row r="1162" spans="1:34" x14ac:dyDescent="0.25">
      <c r="A1162" t="s">
        <v>11296</v>
      </c>
      <c r="B1162" t="s">
        <v>11282</v>
      </c>
      <c r="C1162" t="s">
        <v>11283</v>
      </c>
      <c r="D1162" t="s">
        <v>11297</v>
      </c>
      <c r="E1162" t="s">
        <v>11298</v>
      </c>
      <c r="F1162" t="s">
        <v>11299</v>
      </c>
      <c r="G1162" t="s">
        <v>15827</v>
      </c>
      <c r="H1162" t="s">
        <v>15831</v>
      </c>
      <c r="I1162" t="s">
        <v>16969</v>
      </c>
      <c r="J1162" t="s">
        <v>23</v>
      </c>
      <c r="L1162" t="s">
        <v>11287</v>
      </c>
      <c r="M1162" t="s">
        <v>11300</v>
      </c>
      <c r="N1162" t="s">
        <v>11289</v>
      </c>
      <c r="O1162" t="s">
        <v>11290</v>
      </c>
      <c r="P1162" t="s">
        <v>11291</v>
      </c>
      <c r="Q1162" t="s">
        <v>11301</v>
      </c>
      <c r="R1162" t="s">
        <v>11302</v>
      </c>
      <c r="S1162" t="s">
        <v>11303</v>
      </c>
      <c r="T1162" t="s">
        <v>11295</v>
      </c>
      <c r="U1162" s="5">
        <v>714.37</v>
      </c>
      <c r="V1162" s="5">
        <v>14.34</v>
      </c>
      <c r="W1162" s="5">
        <v>16.015280000000001</v>
      </c>
      <c r="X1162" s="5">
        <v>108.254448</v>
      </c>
      <c r="Y1162" s="5">
        <v>700.04</v>
      </c>
      <c r="Z1162" s="5">
        <v>16.012157999999999</v>
      </c>
      <c r="AA1162" s="5">
        <v>108.25636299999999</v>
      </c>
      <c r="AB1162" s="7">
        <f t="shared" si="109"/>
        <v>2.1509999999999998E-2</v>
      </c>
      <c r="AC1162" s="7">
        <f t="shared" si="110"/>
        <v>1.05006</v>
      </c>
      <c r="AD1162" s="6" t="str">
        <f t="shared" si="111"/>
        <v>Hội An</v>
      </c>
      <c r="AE1162" s="6" t="str">
        <f t="shared" si="112"/>
        <v>Ngũ Hành Sơn</v>
      </c>
      <c r="AG1162">
        <f t="shared" si="113"/>
        <v>1.434E-2</v>
      </c>
      <c r="AH1162">
        <f t="shared" si="114"/>
        <v>0.70004</v>
      </c>
    </row>
    <row r="1163" spans="1:34" x14ac:dyDescent="0.25">
      <c r="A1163" t="s">
        <v>11304</v>
      </c>
      <c r="B1163" t="s">
        <v>11305</v>
      </c>
      <c r="C1163" t="s">
        <v>11306</v>
      </c>
      <c r="D1163" t="s">
        <v>11307</v>
      </c>
      <c r="E1163" t="s">
        <v>11308</v>
      </c>
      <c r="F1163" t="s">
        <v>11309</v>
      </c>
      <c r="G1163" t="s">
        <v>15827</v>
      </c>
      <c r="H1163" t="s">
        <v>16230</v>
      </c>
      <c r="I1163" t="s">
        <v>16970</v>
      </c>
      <c r="J1163" t="s">
        <v>23</v>
      </c>
      <c r="L1163" t="s">
        <v>11310</v>
      </c>
      <c r="M1163" t="s">
        <v>11311</v>
      </c>
      <c r="N1163" t="s">
        <v>11312</v>
      </c>
      <c r="O1163" t="s">
        <v>11313</v>
      </c>
      <c r="P1163" t="s">
        <v>11314</v>
      </c>
      <c r="Q1163" t="s">
        <v>11315</v>
      </c>
      <c r="R1163" t="s">
        <v>11316</v>
      </c>
      <c r="S1163" t="s">
        <v>11317</v>
      </c>
      <c r="T1163" t="s">
        <v>11318</v>
      </c>
      <c r="U1163" s="5">
        <v>674.89</v>
      </c>
      <c r="V1163" s="5">
        <v>208.25</v>
      </c>
      <c r="W1163" s="5">
        <v>16.071846000000001</v>
      </c>
      <c r="X1163" s="5">
        <v>108.23430399999999</v>
      </c>
      <c r="Y1163" s="5">
        <v>466.64</v>
      </c>
      <c r="Z1163" s="5">
        <v>16.069942000000001</v>
      </c>
      <c r="AA1163" s="5">
        <v>108.24113199999999</v>
      </c>
      <c r="AB1163" s="7">
        <f t="shared" si="109"/>
        <v>0.31237500000000001</v>
      </c>
      <c r="AC1163" s="7">
        <f t="shared" si="110"/>
        <v>0.69996000000000003</v>
      </c>
      <c r="AD1163" s="6" t="str">
        <f t="shared" si="111"/>
        <v>An Hải</v>
      </c>
      <c r="AE1163" s="6" t="str">
        <f t="shared" si="112"/>
        <v>Sơn Trà</v>
      </c>
      <c r="AG1163">
        <f t="shared" si="113"/>
        <v>0.20824999999999999</v>
      </c>
      <c r="AH1163">
        <f t="shared" si="114"/>
        <v>0.46664</v>
      </c>
    </row>
    <row r="1164" spans="1:34" x14ac:dyDescent="0.25">
      <c r="A1164" t="s">
        <v>11319</v>
      </c>
      <c r="B1164" t="s">
        <v>11305</v>
      </c>
      <c r="C1164" t="s">
        <v>11306</v>
      </c>
      <c r="D1164" t="s">
        <v>11320</v>
      </c>
      <c r="E1164" t="s">
        <v>11321</v>
      </c>
      <c r="F1164" t="s">
        <v>11322</v>
      </c>
      <c r="G1164" t="s">
        <v>15827</v>
      </c>
      <c r="H1164" t="s">
        <v>15831</v>
      </c>
      <c r="I1164" t="s">
        <v>16971</v>
      </c>
      <c r="J1164" t="s">
        <v>23</v>
      </c>
      <c r="L1164" t="s">
        <v>11310</v>
      </c>
      <c r="M1164" t="s">
        <v>11323</v>
      </c>
      <c r="N1164" t="s">
        <v>11312</v>
      </c>
      <c r="O1164" t="s">
        <v>11313</v>
      </c>
      <c r="P1164" t="s">
        <v>11314</v>
      </c>
      <c r="Q1164" t="s">
        <v>11324</v>
      </c>
      <c r="R1164" t="s">
        <v>11316</v>
      </c>
      <c r="S1164" t="s">
        <v>11317</v>
      </c>
      <c r="T1164" t="s">
        <v>11318</v>
      </c>
      <c r="U1164" s="5">
        <v>638.32000000000005</v>
      </c>
      <c r="V1164" s="5">
        <v>208.25</v>
      </c>
      <c r="W1164" s="5">
        <v>16.071846000000001</v>
      </c>
      <c r="X1164" s="5">
        <v>108.23430399999999</v>
      </c>
      <c r="Y1164" s="5">
        <v>430.07</v>
      </c>
      <c r="Z1164" s="5">
        <v>16.069942000000001</v>
      </c>
      <c r="AA1164" s="5">
        <v>108.24113199999999</v>
      </c>
      <c r="AB1164" s="7">
        <f t="shared" si="109"/>
        <v>0.31237500000000001</v>
      </c>
      <c r="AC1164" s="7">
        <f t="shared" si="110"/>
        <v>0.64510500000000004</v>
      </c>
      <c r="AD1164" s="6" t="str">
        <f t="shared" si="111"/>
        <v>An Hải</v>
      </c>
      <c r="AE1164" s="6" t="str">
        <f t="shared" si="112"/>
        <v>Sơn Trà</v>
      </c>
      <c r="AG1164">
        <f t="shared" si="113"/>
        <v>0.20824999999999999</v>
      </c>
      <c r="AH1164">
        <f t="shared" si="114"/>
        <v>0.43007000000000001</v>
      </c>
    </row>
    <row r="1165" spans="1:34" x14ac:dyDescent="0.25">
      <c r="A1165" t="s">
        <v>11325</v>
      </c>
      <c r="B1165" t="s">
        <v>11305</v>
      </c>
      <c r="C1165" t="s">
        <v>11306</v>
      </c>
      <c r="D1165" t="s">
        <v>11326</v>
      </c>
      <c r="E1165" t="s">
        <v>11327</v>
      </c>
      <c r="F1165" t="s">
        <v>11328</v>
      </c>
      <c r="G1165" t="s">
        <v>15827</v>
      </c>
      <c r="H1165" t="s">
        <v>15831</v>
      </c>
      <c r="I1165" t="s">
        <v>16972</v>
      </c>
      <c r="J1165" t="s">
        <v>23</v>
      </c>
      <c r="L1165" t="s">
        <v>11329</v>
      </c>
      <c r="M1165" t="s">
        <v>11330</v>
      </c>
      <c r="N1165" t="s">
        <v>11331</v>
      </c>
      <c r="O1165" t="s">
        <v>11332</v>
      </c>
      <c r="P1165" t="s">
        <v>11333</v>
      </c>
      <c r="Q1165" t="s">
        <v>11334</v>
      </c>
      <c r="R1165" t="s">
        <v>11335</v>
      </c>
      <c r="S1165" t="s">
        <v>11336</v>
      </c>
      <c r="T1165" t="s">
        <v>11337</v>
      </c>
      <c r="U1165" s="5">
        <v>330.3</v>
      </c>
      <c r="V1165" s="5">
        <v>231.85</v>
      </c>
      <c r="W1165" s="5">
        <v>16.068318999999999</v>
      </c>
      <c r="X1165" s="5">
        <v>108.232472</v>
      </c>
      <c r="Y1165" s="5">
        <v>98.45</v>
      </c>
      <c r="Z1165" s="5">
        <v>16.059259000000001</v>
      </c>
      <c r="AA1165" s="5">
        <v>108.234865</v>
      </c>
      <c r="AB1165" s="7">
        <f t="shared" si="109"/>
        <v>0.347775</v>
      </c>
      <c r="AC1165" s="7">
        <f t="shared" si="110"/>
        <v>0.147675</v>
      </c>
      <c r="AD1165" s="6" t="str">
        <f t="shared" si="111"/>
        <v>Ngũ Hành Sơn</v>
      </c>
      <c r="AE1165" s="6" t="str">
        <f t="shared" si="112"/>
        <v>Sơn Trà</v>
      </c>
      <c r="AG1165">
        <f t="shared" si="113"/>
        <v>0.23185</v>
      </c>
      <c r="AH1165">
        <f t="shared" si="114"/>
        <v>9.845000000000001E-2</v>
      </c>
    </row>
    <row r="1166" spans="1:34" x14ac:dyDescent="0.25">
      <c r="A1166" t="s">
        <v>11338</v>
      </c>
      <c r="B1166" t="s">
        <v>11305</v>
      </c>
      <c r="C1166" t="s">
        <v>11306</v>
      </c>
      <c r="D1166" t="s">
        <v>11339</v>
      </c>
      <c r="E1166" t="s">
        <v>11340</v>
      </c>
      <c r="F1166" t="s">
        <v>11341</v>
      </c>
      <c r="G1166" t="s">
        <v>15827</v>
      </c>
      <c r="H1166" t="s">
        <v>15831</v>
      </c>
      <c r="I1166" t="s">
        <v>16973</v>
      </c>
      <c r="J1166" t="s">
        <v>23</v>
      </c>
      <c r="L1166" t="s">
        <v>11310</v>
      </c>
      <c r="M1166" t="s">
        <v>11342</v>
      </c>
      <c r="N1166" t="s">
        <v>11312</v>
      </c>
      <c r="O1166" t="s">
        <v>11313</v>
      </c>
      <c r="P1166" t="s">
        <v>11314</v>
      </c>
      <c r="Q1166" t="s">
        <v>11343</v>
      </c>
      <c r="R1166" t="s">
        <v>11316</v>
      </c>
      <c r="S1166" t="s">
        <v>11317</v>
      </c>
      <c r="T1166" t="s">
        <v>11318</v>
      </c>
      <c r="U1166" s="5">
        <v>580.01</v>
      </c>
      <c r="V1166" s="5">
        <v>208.25</v>
      </c>
      <c r="W1166" s="5">
        <v>16.071846000000001</v>
      </c>
      <c r="X1166" s="5">
        <v>108.23430399999999</v>
      </c>
      <c r="Y1166" s="5">
        <v>371.75</v>
      </c>
      <c r="Z1166" s="5">
        <v>16.069942000000001</v>
      </c>
      <c r="AA1166" s="5">
        <v>108.24113199999999</v>
      </c>
      <c r="AB1166" s="7">
        <f t="shared" si="109"/>
        <v>0.31237500000000001</v>
      </c>
      <c r="AC1166" s="7">
        <f t="shared" si="110"/>
        <v>0.55762500000000004</v>
      </c>
      <c r="AD1166" s="6" t="str">
        <f t="shared" si="111"/>
        <v>An Hải</v>
      </c>
      <c r="AE1166" s="6" t="str">
        <f t="shared" si="112"/>
        <v>Sơn Trà</v>
      </c>
      <c r="AG1166">
        <f t="shared" si="113"/>
        <v>0.20824999999999999</v>
      </c>
      <c r="AH1166">
        <f t="shared" si="114"/>
        <v>0.37175000000000002</v>
      </c>
    </row>
    <row r="1167" spans="1:34" x14ac:dyDescent="0.25">
      <c r="A1167" t="s">
        <v>11344</v>
      </c>
      <c r="B1167" t="s">
        <v>11305</v>
      </c>
      <c r="C1167" t="s">
        <v>11306</v>
      </c>
      <c r="D1167" t="s">
        <v>11345</v>
      </c>
      <c r="E1167" t="s">
        <v>11346</v>
      </c>
      <c r="F1167" t="s">
        <v>11347</v>
      </c>
      <c r="G1167" t="s">
        <v>15827</v>
      </c>
      <c r="H1167" t="s">
        <v>15831</v>
      </c>
      <c r="I1167" t="s">
        <v>16974</v>
      </c>
      <c r="J1167" t="s">
        <v>23</v>
      </c>
      <c r="L1167" t="s">
        <v>11329</v>
      </c>
      <c r="M1167" t="s">
        <v>11348</v>
      </c>
      <c r="N1167" t="s">
        <v>11331</v>
      </c>
      <c r="O1167" t="s">
        <v>11332</v>
      </c>
      <c r="P1167" t="s">
        <v>11333</v>
      </c>
      <c r="Q1167" t="s">
        <v>11349</v>
      </c>
      <c r="R1167" t="s">
        <v>11350</v>
      </c>
      <c r="S1167" t="s">
        <v>11351</v>
      </c>
      <c r="T1167" t="s">
        <v>11337</v>
      </c>
      <c r="U1167" s="5">
        <v>358.42</v>
      </c>
      <c r="V1167" s="5">
        <v>231.85</v>
      </c>
      <c r="W1167" s="5">
        <v>16.068318999999999</v>
      </c>
      <c r="X1167" s="5">
        <v>108.232472</v>
      </c>
      <c r="Y1167" s="5">
        <v>126.58</v>
      </c>
      <c r="Z1167" s="5">
        <v>16.061031</v>
      </c>
      <c r="AA1167" s="5">
        <v>108.234295</v>
      </c>
      <c r="AB1167" s="7">
        <f t="shared" si="109"/>
        <v>0.347775</v>
      </c>
      <c r="AC1167" s="7">
        <f t="shared" si="110"/>
        <v>0.18987000000000001</v>
      </c>
      <c r="AD1167" s="6" t="str">
        <f t="shared" si="111"/>
        <v>Ngũ Hành Sơn</v>
      </c>
      <c r="AE1167" s="6" t="str">
        <f t="shared" si="112"/>
        <v>Sơn Trà</v>
      </c>
      <c r="AG1167">
        <f t="shared" si="113"/>
        <v>0.23185</v>
      </c>
      <c r="AH1167">
        <f t="shared" si="114"/>
        <v>0.12658</v>
      </c>
    </row>
    <row r="1168" spans="1:34" x14ac:dyDescent="0.25">
      <c r="A1168" t="s">
        <v>11352</v>
      </c>
      <c r="B1168" t="s">
        <v>11305</v>
      </c>
      <c r="C1168" t="s">
        <v>11306</v>
      </c>
      <c r="D1168" t="s">
        <v>11353</v>
      </c>
      <c r="E1168" t="s">
        <v>11354</v>
      </c>
      <c r="F1168" t="s">
        <v>11355</v>
      </c>
      <c r="G1168" t="s">
        <v>15827</v>
      </c>
      <c r="H1168" t="s">
        <v>15831</v>
      </c>
      <c r="I1168" t="s">
        <v>16975</v>
      </c>
      <c r="J1168" t="s">
        <v>23</v>
      </c>
      <c r="L1168" t="s">
        <v>11356</v>
      </c>
      <c r="M1168" t="s">
        <v>11357</v>
      </c>
      <c r="N1168" t="s">
        <v>11358</v>
      </c>
      <c r="O1168" t="s">
        <v>11359</v>
      </c>
      <c r="P1168" t="s">
        <v>11360</v>
      </c>
      <c r="Q1168" t="s">
        <v>11361</v>
      </c>
      <c r="R1168" t="s">
        <v>11362</v>
      </c>
      <c r="S1168" t="s">
        <v>11363</v>
      </c>
      <c r="T1168" t="s">
        <v>11364</v>
      </c>
      <c r="U1168" s="5">
        <v>730.15</v>
      </c>
      <c r="V1168" s="5">
        <v>340.44</v>
      </c>
      <c r="W1168" s="5">
        <v>16.067177999999998</v>
      </c>
      <c r="X1168" s="5">
        <v>108.23455199999999</v>
      </c>
      <c r="Y1168" s="5">
        <v>389.71</v>
      </c>
      <c r="Z1168" s="5">
        <v>16.066327000000001</v>
      </c>
      <c r="AA1168" s="5">
        <v>108.241332</v>
      </c>
      <c r="AB1168" s="7">
        <f t="shared" si="109"/>
        <v>0.51066</v>
      </c>
      <c r="AC1168" s="7">
        <f t="shared" si="110"/>
        <v>0.58456499999999989</v>
      </c>
      <c r="AD1168" s="6" t="str">
        <f t="shared" si="111"/>
        <v>TTCMKV Sơn Trà</v>
      </c>
      <c r="AE1168" s="6" t="str">
        <f t="shared" si="112"/>
        <v>An Hải</v>
      </c>
      <c r="AG1168">
        <f t="shared" si="113"/>
        <v>0.34044000000000002</v>
      </c>
      <c r="AH1168">
        <f t="shared" si="114"/>
        <v>0.38971</v>
      </c>
    </row>
    <row r="1169" spans="1:34" x14ac:dyDescent="0.25">
      <c r="A1169" t="s">
        <v>11365</v>
      </c>
      <c r="B1169" t="s">
        <v>11305</v>
      </c>
      <c r="C1169" t="s">
        <v>11306</v>
      </c>
      <c r="D1169" t="s">
        <v>11366</v>
      </c>
      <c r="E1169" t="s">
        <v>11367</v>
      </c>
      <c r="F1169" t="s">
        <v>11368</v>
      </c>
      <c r="G1169" t="s">
        <v>15827</v>
      </c>
      <c r="H1169" t="s">
        <v>16230</v>
      </c>
      <c r="I1169" t="s">
        <v>16976</v>
      </c>
      <c r="J1169" t="s">
        <v>23</v>
      </c>
      <c r="L1169" t="s">
        <v>11329</v>
      </c>
      <c r="M1169" t="s">
        <v>11369</v>
      </c>
      <c r="N1169" t="s">
        <v>11331</v>
      </c>
      <c r="O1169" t="s">
        <v>11332</v>
      </c>
      <c r="P1169" t="s">
        <v>11333</v>
      </c>
      <c r="Q1169" t="s">
        <v>11370</v>
      </c>
      <c r="R1169" t="s">
        <v>11371</v>
      </c>
      <c r="S1169" t="s">
        <v>11372</v>
      </c>
      <c r="T1169" t="s">
        <v>11337</v>
      </c>
      <c r="U1169" s="5">
        <v>806.13</v>
      </c>
      <c r="V1169" s="5">
        <v>231.85</v>
      </c>
      <c r="W1169" s="5">
        <v>16.068318999999999</v>
      </c>
      <c r="X1169" s="5">
        <v>108.232472</v>
      </c>
      <c r="Y1169" s="5">
        <v>574.28</v>
      </c>
      <c r="Z1169" s="5">
        <v>16.056984</v>
      </c>
      <c r="AA1169" s="5">
        <v>108.235525</v>
      </c>
      <c r="AB1169" s="7">
        <f t="shared" si="109"/>
        <v>0.347775</v>
      </c>
      <c r="AC1169" s="7">
        <f t="shared" si="110"/>
        <v>0.86141999999999996</v>
      </c>
      <c r="AD1169" s="6" t="str">
        <f t="shared" si="111"/>
        <v>Ngũ Hành Sơn</v>
      </c>
      <c r="AE1169" s="6" t="str">
        <f t="shared" si="112"/>
        <v>Sơn Trà</v>
      </c>
      <c r="AG1169">
        <f t="shared" si="113"/>
        <v>0.23185</v>
      </c>
      <c r="AH1169">
        <f t="shared" si="114"/>
        <v>0.57428000000000001</v>
      </c>
    </row>
    <row r="1170" spans="1:34" x14ac:dyDescent="0.25">
      <c r="A1170" t="s">
        <v>11373</v>
      </c>
      <c r="B1170" t="s">
        <v>11374</v>
      </c>
      <c r="C1170" t="s">
        <v>11375</v>
      </c>
      <c r="D1170" t="s">
        <v>11376</v>
      </c>
      <c r="E1170" t="s">
        <v>11377</v>
      </c>
      <c r="F1170" t="s">
        <v>11378</v>
      </c>
      <c r="G1170" t="s">
        <v>15827</v>
      </c>
      <c r="H1170" t="s">
        <v>15831</v>
      </c>
      <c r="I1170" t="s">
        <v>16977</v>
      </c>
      <c r="J1170" t="s">
        <v>23</v>
      </c>
      <c r="L1170" t="s">
        <v>11287</v>
      </c>
      <c r="M1170" t="s">
        <v>11379</v>
      </c>
      <c r="N1170" t="s">
        <v>11380</v>
      </c>
      <c r="O1170" t="s">
        <v>11381</v>
      </c>
      <c r="P1170" t="s">
        <v>11382</v>
      </c>
      <c r="Q1170" t="s">
        <v>11383</v>
      </c>
      <c r="R1170" t="s">
        <v>11384</v>
      </c>
      <c r="S1170" t="s">
        <v>11385</v>
      </c>
      <c r="T1170" t="s">
        <v>11386</v>
      </c>
      <c r="U1170" s="5">
        <v>1028.99</v>
      </c>
      <c r="V1170" s="5">
        <v>32.130000000000003</v>
      </c>
      <c r="W1170" s="5">
        <v>15.880691000000001</v>
      </c>
      <c r="X1170" s="5">
        <v>108.332196</v>
      </c>
      <c r="Y1170" s="5">
        <v>996.86</v>
      </c>
      <c r="Z1170" s="5">
        <v>15.881036999999999</v>
      </c>
      <c r="AA1170" s="5">
        <v>108.33668</v>
      </c>
      <c r="AB1170" s="7">
        <f t="shared" si="109"/>
        <v>4.8195000000000009E-2</v>
      </c>
      <c r="AC1170" s="7">
        <f t="shared" si="110"/>
        <v>1.49529</v>
      </c>
      <c r="AD1170" s="6" t="str">
        <f t="shared" si="111"/>
        <v>Hội An</v>
      </c>
      <c r="AE1170" s="6" t="str">
        <f t="shared" si="112"/>
        <v>Ngũ Hành Sơn</v>
      </c>
      <c r="AG1170">
        <f t="shared" si="113"/>
        <v>3.2130000000000006E-2</v>
      </c>
      <c r="AH1170">
        <f t="shared" si="114"/>
        <v>0.99685999999999997</v>
      </c>
    </row>
    <row r="1171" spans="1:34" x14ac:dyDescent="0.25">
      <c r="A1171" t="s">
        <v>11387</v>
      </c>
      <c r="B1171" t="s">
        <v>11374</v>
      </c>
      <c r="C1171" t="s">
        <v>11375</v>
      </c>
      <c r="D1171" t="s">
        <v>11388</v>
      </c>
      <c r="E1171" t="s">
        <v>11389</v>
      </c>
      <c r="F1171" t="s">
        <v>11390</v>
      </c>
      <c r="G1171" t="s">
        <v>15827</v>
      </c>
      <c r="H1171" t="s">
        <v>15831</v>
      </c>
      <c r="I1171" t="s">
        <v>16978</v>
      </c>
      <c r="J1171" t="s">
        <v>23</v>
      </c>
      <c r="L1171" t="s">
        <v>11391</v>
      </c>
      <c r="M1171" t="s">
        <v>11392</v>
      </c>
      <c r="N1171" t="s">
        <v>11393</v>
      </c>
      <c r="O1171" t="s">
        <v>11394</v>
      </c>
      <c r="P1171" t="s">
        <v>11395</v>
      </c>
      <c r="Q1171" t="s">
        <v>11396</v>
      </c>
      <c r="R1171" t="s">
        <v>11397</v>
      </c>
      <c r="S1171" t="s">
        <v>11398</v>
      </c>
      <c r="T1171" t="s">
        <v>11399</v>
      </c>
      <c r="U1171" s="5">
        <v>859.69</v>
      </c>
      <c r="V1171" s="5">
        <v>30.36</v>
      </c>
      <c r="W1171" s="5">
        <v>15.880701999999999</v>
      </c>
      <c r="X1171" s="5">
        <v>108.33218100000001</v>
      </c>
      <c r="Y1171" s="5">
        <v>829.33</v>
      </c>
      <c r="Z1171" s="5">
        <v>15.896825</v>
      </c>
      <c r="AA1171" s="5">
        <v>108.305206</v>
      </c>
      <c r="AB1171" s="7">
        <f t="shared" si="109"/>
        <v>4.5539999999999997E-2</v>
      </c>
      <c r="AC1171" s="7">
        <f t="shared" si="110"/>
        <v>1.2439950000000002</v>
      </c>
      <c r="AD1171" s="6" t="str">
        <f t="shared" si="111"/>
        <v>điện bàn</v>
      </c>
      <c r="AE1171" s="6" t="str">
        <f t="shared" si="112"/>
        <v>Hội An</v>
      </c>
      <c r="AG1171">
        <f t="shared" si="113"/>
        <v>3.0359999999999998E-2</v>
      </c>
      <c r="AH1171">
        <f t="shared" si="114"/>
        <v>0.82933000000000001</v>
      </c>
    </row>
    <row r="1172" spans="1:34" x14ac:dyDescent="0.25">
      <c r="A1172" t="s">
        <v>11400</v>
      </c>
      <c r="B1172" t="s">
        <v>11374</v>
      </c>
      <c r="C1172" t="s">
        <v>11375</v>
      </c>
      <c r="D1172" t="s">
        <v>11401</v>
      </c>
      <c r="E1172" t="s">
        <v>11402</v>
      </c>
      <c r="F1172" t="s">
        <v>11403</v>
      </c>
      <c r="G1172" t="s">
        <v>15827</v>
      </c>
      <c r="H1172" t="s">
        <v>15831</v>
      </c>
      <c r="I1172" t="s">
        <v>16979</v>
      </c>
      <c r="J1172" t="s">
        <v>23</v>
      </c>
      <c r="L1172" t="s">
        <v>11391</v>
      </c>
      <c r="M1172" t="s">
        <v>11404</v>
      </c>
      <c r="N1172" t="s">
        <v>11393</v>
      </c>
      <c r="O1172" t="s">
        <v>11394</v>
      </c>
      <c r="P1172" t="s">
        <v>11395</v>
      </c>
      <c r="Q1172" t="s">
        <v>11405</v>
      </c>
      <c r="R1172" t="s">
        <v>11406</v>
      </c>
      <c r="S1172" t="s">
        <v>11407</v>
      </c>
      <c r="T1172" t="s">
        <v>11399</v>
      </c>
      <c r="U1172" s="5">
        <v>218.75</v>
      </c>
      <c r="V1172" s="5">
        <v>30.36</v>
      </c>
      <c r="W1172" s="5">
        <v>15.880701999999999</v>
      </c>
      <c r="X1172" s="5">
        <v>108.33218100000001</v>
      </c>
      <c r="Y1172" s="5">
        <v>188.38</v>
      </c>
      <c r="Z1172" s="5">
        <v>15.883502999999999</v>
      </c>
      <c r="AA1172" s="5">
        <v>108.327519</v>
      </c>
      <c r="AB1172" s="7">
        <f t="shared" si="109"/>
        <v>4.5539999999999997E-2</v>
      </c>
      <c r="AC1172" s="7">
        <f t="shared" si="110"/>
        <v>0.28256999999999999</v>
      </c>
      <c r="AD1172" s="6" t="str">
        <f t="shared" si="111"/>
        <v>điện bàn</v>
      </c>
      <c r="AE1172" s="6" t="str">
        <f t="shared" si="112"/>
        <v>Hội An</v>
      </c>
      <c r="AG1172">
        <f t="shared" si="113"/>
        <v>3.0359999999999998E-2</v>
      </c>
      <c r="AH1172">
        <f t="shared" si="114"/>
        <v>0.18837999999999999</v>
      </c>
    </row>
    <row r="1173" spans="1:34" x14ac:dyDescent="0.25">
      <c r="A1173" t="s">
        <v>11408</v>
      </c>
      <c r="B1173" t="s">
        <v>11374</v>
      </c>
      <c r="C1173" t="s">
        <v>11375</v>
      </c>
      <c r="D1173" t="s">
        <v>11409</v>
      </c>
      <c r="E1173" t="s">
        <v>11410</v>
      </c>
      <c r="F1173" t="s">
        <v>11411</v>
      </c>
      <c r="G1173" t="s">
        <v>15827</v>
      </c>
      <c r="H1173" t="s">
        <v>15831</v>
      </c>
      <c r="I1173" t="s">
        <v>16980</v>
      </c>
      <c r="J1173" t="s">
        <v>23</v>
      </c>
      <c r="L1173" t="s">
        <v>11287</v>
      </c>
      <c r="M1173" t="s">
        <v>11412</v>
      </c>
      <c r="N1173" t="s">
        <v>11380</v>
      </c>
      <c r="O1173" t="s">
        <v>11381</v>
      </c>
      <c r="P1173" t="s">
        <v>11382</v>
      </c>
      <c r="Q1173" t="s">
        <v>11413</v>
      </c>
      <c r="R1173" t="s">
        <v>11414</v>
      </c>
      <c r="S1173" t="s">
        <v>11415</v>
      </c>
      <c r="T1173" t="s">
        <v>11386</v>
      </c>
      <c r="U1173" s="5">
        <v>221.47</v>
      </c>
      <c r="V1173" s="5">
        <v>32.130000000000003</v>
      </c>
      <c r="W1173" s="5">
        <v>15.880691000000001</v>
      </c>
      <c r="X1173" s="5">
        <v>108.332196</v>
      </c>
      <c r="Y1173" s="5">
        <v>189.34</v>
      </c>
      <c r="Z1173" s="5">
        <v>15.891702</v>
      </c>
      <c r="AA1173" s="5">
        <v>108.330015</v>
      </c>
      <c r="AB1173" s="7">
        <f t="shared" si="109"/>
        <v>4.8195000000000009E-2</v>
      </c>
      <c r="AC1173" s="7">
        <f t="shared" si="110"/>
        <v>0.28400999999999998</v>
      </c>
      <c r="AD1173" s="6" t="str">
        <f t="shared" si="111"/>
        <v>Hội An</v>
      </c>
      <c r="AE1173" s="6" t="str">
        <f t="shared" si="112"/>
        <v>Ngũ Hành Sơn</v>
      </c>
      <c r="AG1173">
        <f t="shared" si="113"/>
        <v>3.2130000000000006E-2</v>
      </c>
      <c r="AH1173">
        <f t="shared" si="114"/>
        <v>0.18934000000000001</v>
      </c>
    </row>
    <row r="1174" spans="1:34" x14ac:dyDescent="0.25">
      <c r="A1174" t="s">
        <v>11416</v>
      </c>
      <c r="B1174" t="s">
        <v>11374</v>
      </c>
      <c r="C1174" t="s">
        <v>11375</v>
      </c>
      <c r="D1174" t="s">
        <v>11417</v>
      </c>
      <c r="E1174" t="s">
        <v>11418</v>
      </c>
      <c r="F1174" t="s">
        <v>11419</v>
      </c>
      <c r="G1174" t="s">
        <v>15827</v>
      </c>
      <c r="H1174" t="s">
        <v>16230</v>
      </c>
      <c r="I1174" t="s">
        <v>16981</v>
      </c>
      <c r="J1174" t="s">
        <v>23</v>
      </c>
      <c r="L1174" t="s">
        <v>11391</v>
      </c>
      <c r="M1174" t="s">
        <v>11420</v>
      </c>
      <c r="N1174" t="s">
        <v>11393</v>
      </c>
      <c r="O1174" t="s">
        <v>11394</v>
      </c>
      <c r="P1174" t="s">
        <v>11395</v>
      </c>
      <c r="Q1174" t="s">
        <v>11421</v>
      </c>
      <c r="R1174" t="s">
        <v>11422</v>
      </c>
      <c r="S1174" t="s">
        <v>11423</v>
      </c>
      <c r="T1174" t="s">
        <v>11399</v>
      </c>
      <c r="U1174" s="5">
        <v>512.65</v>
      </c>
      <c r="V1174" s="5">
        <v>30.36</v>
      </c>
      <c r="W1174" s="5">
        <v>15.880701999999999</v>
      </c>
      <c r="X1174" s="5">
        <v>108.33218100000001</v>
      </c>
      <c r="Y1174" s="5">
        <v>482.29</v>
      </c>
      <c r="Z1174" s="5">
        <v>15.88527</v>
      </c>
      <c r="AA1174" s="5">
        <v>108.32350599999999</v>
      </c>
      <c r="AB1174" s="7">
        <f t="shared" si="109"/>
        <v>4.5539999999999997E-2</v>
      </c>
      <c r="AC1174" s="7">
        <f t="shared" si="110"/>
        <v>0.72343500000000005</v>
      </c>
      <c r="AD1174" s="6" t="str">
        <f t="shared" si="111"/>
        <v>điện bàn</v>
      </c>
      <c r="AE1174" s="6" t="str">
        <f t="shared" si="112"/>
        <v>Hội An</v>
      </c>
      <c r="AG1174">
        <f t="shared" si="113"/>
        <v>3.0359999999999998E-2</v>
      </c>
      <c r="AH1174">
        <f t="shared" si="114"/>
        <v>0.48229</v>
      </c>
    </row>
    <row r="1175" spans="1:34" x14ac:dyDescent="0.25">
      <c r="A1175" t="s">
        <v>11424</v>
      </c>
      <c r="B1175" t="s">
        <v>11425</v>
      </c>
      <c r="C1175" t="s">
        <v>11426</v>
      </c>
      <c r="D1175" t="s">
        <v>11427</v>
      </c>
      <c r="E1175" t="s">
        <v>11428</v>
      </c>
      <c r="F1175" t="s">
        <v>11429</v>
      </c>
      <c r="G1175" t="s">
        <v>15827</v>
      </c>
      <c r="H1175" t="s">
        <v>16230</v>
      </c>
      <c r="I1175" t="s">
        <v>16982</v>
      </c>
      <c r="J1175" t="s">
        <v>23</v>
      </c>
      <c r="L1175" t="s">
        <v>11430</v>
      </c>
      <c r="M1175" t="s">
        <v>11431</v>
      </c>
      <c r="N1175" t="s">
        <v>11432</v>
      </c>
      <c r="O1175" t="s">
        <v>11433</v>
      </c>
      <c r="P1175" t="s">
        <v>11434</v>
      </c>
      <c r="Q1175" t="s">
        <v>11435</v>
      </c>
      <c r="R1175" t="s">
        <v>11436</v>
      </c>
      <c r="S1175" t="s">
        <v>11437</v>
      </c>
      <c r="T1175" t="s">
        <v>11438</v>
      </c>
      <c r="U1175" s="5">
        <v>1384.24</v>
      </c>
      <c r="V1175" s="5">
        <v>3.91</v>
      </c>
      <c r="W1175" s="5">
        <v>15.433142</v>
      </c>
      <c r="X1175" s="5">
        <v>108.660472</v>
      </c>
      <c r="Y1175" s="5">
        <v>1380.33</v>
      </c>
      <c r="Z1175" s="5">
        <v>15.432864</v>
      </c>
      <c r="AA1175" s="5">
        <v>108.66029</v>
      </c>
      <c r="AB1175" s="7">
        <f t="shared" si="109"/>
        <v>5.8650000000000004E-3</v>
      </c>
      <c r="AC1175" s="7">
        <f t="shared" si="110"/>
        <v>2.0704949999999998</v>
      </c>
      <c r="AD1175" s="6" t="str">
        <f t="shared" si="111"/>
        <v>Tam Anh</v>
      </c>
      <c r="AE1175" s="6" t="str">
        <f t="shared" si="112"/>
        <v>Núi Thành</v>
      </c>
      <c r="AG1175">
        <f t="shared" si="113"/>
        <v>3.9100000000000003E-3</v>
      </c>
      <c r="AH1175">
        <f t="shared" si="114"/>
        <v>1.3803299999999998</v>
      </c>
    </row>
    <row r="1176" spans="1:34" x14ac:dyDescent="0.25">
      <c r="A1176" t="s">
        <v>11439</v>
      </c>
      <c r="B1176" t="s">
        <v>11440</v>
      </c>
      <c r="C1176" t="s">
        <v>11441</v>
      </c>
      <c r="D1176" t="s">
        <v>11442</v>
      </c>
      <c r="E1176" t="s">
        <v>11443</v>
      </c>
      <c r="F1176" t="s">
        <v>11444</v>
      </c>
      <c r="G1176" t="s">
        <v>15827</v>
      </c>
      <c r="H1176" t="s">
        <v>16230</v>
      </c>
      <c r="I1176" t="s">
        <v>16983</v>
      </c>
      <c r="J1176" t="s">
        <v>23</v>
      </c>
      <c r="L1176" t="s">
        <v>11445</v>
      </c>
      <c r="M1176" t="s">
        <v>11446</v>
      </c>
      <c r="N1176" t="s">
        <v>11447</v>
      </c>
      <c r="O1176" t="s">
        <v>11448</v>
      </c>
      <c r="P1176" t="s">
        <v>11449</v>
      </c>
      <c r="Q1176" t="s">
        <v>11450</v>
      </c>
      <c r="R1176" t="s">
        <v>11451</v>
      </c>
      <c r="S1176" t="s">
        <v>11452</v>
      </c>
      <c r="T1176" t="s">
        <v>11453</v>
      </c>
      <c r="U1176" s="5">
        <v>96.86</v>
      </c>
      <c r="V1176" s="5">
        <v>70.69</v>
      </c>
      <c r="W1176" s="5">
        <v>15.736033000000001</v>
      </c>
      <c r="X1176" s="5">
        <v>108.352322</v>
      </c>
      <c r="Y1176" s="5">
        <v>26.17</v>
      </c>
      <c r="Z1176" s="5">
        <v>15.734149</v>
      </c>
      <c r="AA1176" s="5">
        <v>108.348348</v>
      </c>
      <c r="AB1176" s="7">
        <f t="shared" si="109"/>
        <v>0.10603499999999999</v>
      </c>
      <c r="AC1176" s="7">
        <f t="shared" si="110"/>
        <v>3.9255000000000005E-2</v>
      </c>
      <c r="AD1176" s="6" t="str">
        <f t="shared" si="111"/>
        <v>Thăng Bình</v>
      </c>
      <c r="AE1176" s="6" t="str">
        <f t="shared" si="112"/>
        <v>Quế Sơn</v>
      </c>
      <c r="AG1176">
        <f t="shared" si="113"/>
        <v>7.0690000000000003E-2</v>
      </c>
      <c r="AH1176">
        <f t="shared" si="114"/>
        <v>2.6170000000000002E-2</v>
      </c>
    </row>
    <row r="1177" spans="1:34" x14ac:dyDescent="0.25">
      <c r="A1177" t="s">
        <v>11454</v>
      </c>
      <c r="B1177" t="s">
        <v>11440</v>
      </c>
      <c r="C1177" t="s">
        <v>11441</v>
      </c>
      <c r="D1177" t="s">
        <v>11455</v>
      </c>
      <c r="E1177" t="s">
        <v>11456</v>
      </c>
      <c r="F1177" t="s">
        <v>11457</v>
      </c>
      <c r="G1177" t="s">
        <v>15827</v>
      </c>
      <c r="H1177" t="s">
        <v>16230</v>
      </c>
      <c r="I1177" t="s">
        <v>16984</v>
      </c>
      <c r="J1177" t="s">
        <v>23</v>
      </c>
      <c r="L1177" t="s">
        <v>11458</v>
      </c>
      <c r="M1177" t="s">
        <v>11459</v>
      </c>
      <c r="N1177" t="s">
        <v>11460</v>
      </c>
      <c r="O1177" t="s">
        <v>11461</v>
      </c>
      <c r="P1177" t="s">
        <v>11462</v>
      </c>
      <c r="Q1177" t="s">
        <v>11463</v>
      </c>
      <c r="R1177" t="s">
        <v>11464</v>
      </c>
      <c r="S1177" t="s">
        <v>11465</v>
      </c>
      <c r="T1177" t="s">
        <v>11466</v>
      </c>
      <c r="U1177" s="5">
        <v>1254.67</v>
      </c>
      <c r="V1177" s="5">
        <v>813.22</v>
      </c>
      <c r="W1177" s="5">
        <v>15.741393</v>
      </c>
      <c r="X1177" s="5">
        <v>108.35662000000001</v>
      </c>
      <c r="Y1177" s="5">
        <v>441.44</v>
      </c>
      <c r="Z1177" s="5">
        <v>15.754937999999999</v>
      </c>
      <c r="AA1177" s="5">
        <v>108.3492</v>
      </c>
      <c r="AB1177" s="7">
        <f t="shared" si="109"/>
        <v>1.21983</v>
      </c>
      <c r="AC1177" s="7">
        <f t="shared" si="110"/>
        <v>0.66215999999999997</v>
      </c>
      <c r="AD1177" s="6" t="str">
        <f t="shared" si="111"/>
        <v>Duy Xuyên</v>
      </c>
      <c r="AE1177" s="6" t="str">
        <f t="shared" si="112"/>
        <v>TT2 Tam Kỳ</v>
      </c>
      <c r="AG1177">
        <f t="shared" si="113"/>
        <v>0.81322000000000005</v>
      </c>
      <c r="AH1177">
        <f t="shared" si="114"/>
        <v>0.44144</v>
      </c>
    </row>
    <row r="1178" spans="1:34" x14ac:dyDescent="0.25">
      <c r="A1178" t="s">
        <v>11467</v>
      </c>
      <c r="B1178" t="s">
        <v>11440</v>
      </c>
      <c r="C1178" t="s">
        <v>11441</v>
      </c>
      <c r="D1178" t="s">
        <v>11468</v>
      </c>
      <c r="E1178" t="s">
        <v>11469</v>
      </c>
      <c r="F1178" t="s">
        <v>11470</v>
      </c>
      <c r="G1178" t="s">
        <v>15827</v>
      </c>
      <c r="H1178" t="s">
        <v>16230</v>
      </c>
      <c r="I1178" t="s">
        <v>16985</v>
      </c>
      <c r="J1178" t="s">
        <v>23</v>
      </c>
      <c r="L1178" t="s">
        <v>11471</v>
      </c>
      <c r="M1178" t="s">
        <v>11472</v>
      </c>
      <c r="N1178" t="s">
        <v>11473</v>
      </c>
      <c r="O1178" t="s">
        <v>11474</v>
      </c>
      <c r="P1178" t="s">
        <v>11475</v>
      </c>
      <c r="Q1178" t="s">
        <v>11476</v>
      </c>
      <c r="R1178" t="s">
        <v>11477</v>
      </c>
      <c r="S1178" t="s">
        <v>11478</v>
      </c>
      <c r="T1178" t="s">
        <v>11479</v>
      </c>
      <c r="U1178" s="5">
        <v>2191.16</v>
      </c>
      <c r="V1178" s="5">
        <v>69.42</v>
      </c>
      <c r="W1178" s="5">
        <v>15.736057000000001</v>
      </c>
      <c r="X1178" s="5">
        <v>108.3523</v>
      </c>
      <c r="Y1178" s="5">
        <v>2121.7399999999998</v>
      </c>
      <c r="Z1178" s="5">
        <v>15.720257</v>
      </c>
      <c r="AA1178" s="5">
        <v>108.375578</v>
      </c>
      <c r="AB1178" s="7">
        <f t="shared" si="109"/>
        <v>0.10413</v>
      </c>
      <c r="AC1178" s="7">
        <f t="shared" si="110"/>
        <v>3.1826099999999995</v>
      </c>
      <c r="AD1178" s="6" t="str">
        <f t="shared" si="111"/>
        <v>Trạm CSGT Thăng Bình (X. Bình Phục, Thăng
Bình)</v>
      </c>
      <c r="AE1178" s="6" t="str">
        <f t="shared" si="112"/>
        <v>TTCMKV Thăng Bình</v>
      </c>
      <c r="AG1178">
        <f t="shared" si="113"/>
        <v>6.9419999999999996E-2</v>
      </c>
      <c r="AH1178">
        <f t="shared" si="114"/>
        <v>2.12174</v>
      </c>
    </row>
    <row r="1179" spans="1:34" x14ac:dyDescent="0.25">
      <c r="A1179" t="s">
        <v>11480</v>
      </c>
      <c r="B1179" t="s">
        <v>11440</v>
      </c>
      <c r="C1179" t="s">
        <v>11441</v>
      </c>
      <c r="D1179" t="s">
        <v>11481</v>
      </c>
      <c r="E1179" t="s">
        <v>11482</v>
      </c>
      <c r="F1179" t="s">
        <v>11483</v>
      </c>
      <c r="H1179" t="s">
        <v>15831</v>
      </c>
      <c r="I1179" t="s">
        <v>16986</v>
      </c>
      <c r="J1179" t="s">
        <v>23</v>
      </c>
      <c r="L1179" t="s">
        <v>11445</v>
      </c>
      <c r="M1179" t="s">
        <v>11484</v>
      </c>
      <c r="N1179" t="s">
        <v>11447</v>
      </c>
      <c r="O1179" t="s">
        <v>11448</v>
      </c>
      <c r="P1179" t="s">
        <v>11449</v>
      </c>
      <c r="Q1179" t="s">
        <v>11485</v>
      </c>
      <c r="R1179" t="s">
        <v>11486</v>
      </c>
      <c r="S1179" t="s">
        <v>11487</v>
      </c>
      <c r="T1179" t="s">
        <v>11453</v>
      </c>
      <c r="U1179" s="5">
        <v>3862.47</v>
      </c>
      <c r="V1179" s="5">
        <v>70.69</v>
      </c>
      <c r="W1179" s="5">
        <v>15.736033000000001</v>
      </c>
      <c r="X1179" s="5">
        <v>108.352322</v>
      </c>
      <c r="Y1179" s="5">
        <v>3791.78</v>
      </c>
      <c r="Z1179" s="5">
        <v>15.702866</v>
      </c>
      <c r="AA1179" s="5">
        <v>108.28560899999999</v>
      </c>
      <c r="AB1179" s="7">
        <f t="shared" si="109"/>
        <v>0.10603499999999999</v>
      </c>
      <c r="AC1179" s="7">
        <f t="shared" si="110"/>
        <v>5.6876699999999998</v>
      </c>
      <c r="AD1179" s="6" t="str">
        <f t="shared" si="111"/>
        <v>Thăng Bình</v>
      </c>
      <c r="AE1179" s="6" t="str">
        <f t="shared" si="112"/>
        <v>Quế Sơn</v>
      </c>
      <c r="AG1179">
        <f t="shared" si="113"/>
        <v>7.0690000000000003E-2</v>
      </c>
      <c r="AH1179">
        <f t="shared" si="114"/>
        <v>3.7917800000000002</v>
      </c>
    </row>
    <row r="1180" spans="1:34" x14ac:dyDescent="0.25">
      <c r="A1180" t="s">
        <v>11488</v>
      </c>
      <c r="B1180" t="s">
        <v>11440</v>
      </c>
      <c r="C1180" t="s">
        <v>11441</v>
      </c>
      <c r="D1180" t="s">
        <v>11489</v>
      </c>
      <c r="E1180" t="s">
        <v>11490</v>
      </c>
      <c r="F1180" t="s">
        <v>11491</v>
      </c>
      <c r="G1180" t="s">
        <v>15827</v>
      </c>
      <c r="H1180" t="s">
        <v>15831</v>
      </c>
      <c r="I1180" t="s">
        <v>16987</v>
      </c>
      <c r="J1180" t="s">
        <v>23</v>
      </c>
      <c r="L1180" t="s">
        <v>11445</v>
      </c>
      <c r="M1180" t="s">
        <v>11492</v>
      </c>
      <c r="N1180" t="s">
        <v>11447</v>
      </c>
      <c r="O1180" t="s">
        <v>11448</v>
      </c>
      <c r="P1180" t="s">
        <v>11449</v>
      </c>
      <c r="Q1180" t="s">
        <v>11493</v>
      </c>
      <c r="R1180" t="s">
        <v>11486</v>
      </c>
      <c r="S1180" t="s">
        <v>11487</v>
      </c>
      <c r="T1180" t="s">
        <v>11453</v>
      </c>
      <c r="U1180" s="5">
        <v>2243</v>
      </c>
      <c r="V1180" s="5">
        <v>70.69</v>
      </c>
      <c r="W1180" s="5">
        <v>15.736033000000001</v>
      </c>
      <c r="X1180" s="5">
        <v>108.352322</v>
      </c>
      <c r="Y1180" s="5">
        <v>2172.31</v>
      </c>
      <c r="Z1180" s="5">
        <v>15.702866</v>
      </c>
      <c r="AA1180" s="5">
        <v>108.28560899999999</v>
      </c>
      <c r="AB1180" s="7">
        <f t="shared" si="109"/>
        <v>0.10603499999999999</v>
      </c>
      <c r="AC1180" s="7">
        <f t="shared" si="110"/>
        <v>3.2584650000000002</v>
      </c>
      <c r="AD1180" s="6" t="str">
        <f t="shared" si="111"/>
        <v>Thăng Bình</v>
      </c>
      <c r="AE1180" s="6" t="str">
        <f t="shared" si="112"/>
        <v>Quế Sơn</v>
      </c>
      <c r="AG1180">
        <f t="shared" si="113"/>
        <v>7.0690000000000003E-2</v>
      </c>
      <c r="AH1180">
        <f t="shared" si="114"/>
        <v>2.17231</v>
      </c>
    </row>
    <row r="1181" spans="1:34" x14ac:dyDescent="0.25">
      <c r="A1181" t="s">
        <v>11494</v>
      </c>
      <c r="B1181" t="s">
        <v>11440</v>
      </c>
      <c r="C1181" t="s">
        <v>11441</v>
      </c>
      <c r="D1181" t="s">
        <v>11495</v>
      </c>
      <c r="E1181" t="s">
        <v>11496</v>
      </c>
      <c r="F1181" t="s">
        <v>11497</v>
      </c>
      <c r="G1181" t="s">
        <v>15827</v>
      </c>
      <c r="H1181" t="s">
        <v>15831</v>
      </c>
      <c r="I1181" t="s">
        <v>16988</v>
      </c>
      <c r="J1181" t="s">
        <v>23</v>
      </c>
      <c r="L1181" t="s">
        <v>11458</v>
      </c>
      <c r="M1181" t="s">
        <v>11498</v>
      </c>
      <c r="N1181" t="s">
        <v>11460</v>
      </c>
      <c r="O1181" t="s">
        <v>11461</v>
      </c>
      <c r="P1181" t="s">
        <v>11462</v>
      </c>
      <c r="Q1181" t="s">
        <v>11499</v>
      </c>
      <c r="R1181" t="s">
        <v>11500</v>
      </c>
      <c r="S1181" t="s">
        <v>11501</v>
      </c>
      <c r="T1181" t="s">
        <v>11466</v>
      </c>
      <c r="U1181" s="5">
        <v>1524.45</v>
      </c>
      <c r="V1181" s="5">
        <v>813.22</v>
      </c>
      <c r="W1181" s="5">
        <v>15.741393</v>
      </c>
      <c r="X1181" s="5">
        <v>108.35662000000001</v>
      </c>
      <c r="Y1181" s="5">
        <v>711.23</v>
      </c>
      <c r="Z1181" s="5">
        <v>15.772945</v>
      </c>
      <c r="AA1181" s="5">
        <v>108.33508</v>
      </c>
      <c r="AB1181" s="7">
        <f t="shared" si="109"/>
        <v>1.21983</v>
      </c>
      <c r="AC1181" s="7">
        <f t="shared" si="110"/>
        <v>1.066845</v>
      </c>
      <c r="AD1181" s="6" t="str">
        <f t="shared" si="111"/>
        <v>Duy Xuyên</v>
      </c>
      <c r="AE1181" s="6" t="str">
        <f t="shared" si="112"/>
        <v>TT2 Tam Kỳ</v>
      </c>
      <c r="AG1181">
        <f t="shared" si="113"/>
        <v>0.81322000000000005</v>
      </c>
      <c r="AH1181">
        <f t="shared" si="114"/>
        <v>0.71123000000000003</v>
      </c>
    </row>
    <row r="1182" spans="1:34" x14ac:dyDescent="0.25">
      <c r="A1182" t="s">
        <v>11502</v>
      </c>
      <c r="B1182" t="s">
        <v>11440</v>
      </c>
      <c r="C1182" t="s">
        <v>11441</v>
      </c>
      <c r="D1182" t="s">
        <v>11503</v>
      </c>
      <c r="E1182" t="s">
        <v>11504</v>
      </c>
      <c r="F1182" t="s">
        <v>11505</v>
      </c>
      <c r="G1182" t="s">
        <v>15827</v>
      </c>
      <c r="H1182" t="s">
        <v>16230</v>
      </c>
      <c r="I1182" t="s">
        <v>16989</v>
      </c>
      <c r="J1182" t="s">
        <v>23</v>
      </c>
      <c r="L1182" t="s">
        <v>11458</v>
      </c>
      <c r="M1182" t="s">
        <v>11506</v>
      </c>
      <c r="N1182" t="s">
        <v>11460</v>
      </c>
      <c r="O1182" t="s">
        <v>11461</v>
      </c>
      <c r="P1182" t="s">
        <v>11462</v>
      </c>
      <c r="Q1182" t="s">
        <v>11507</v>
      </c>
      <c r="R1182" t="s">
        <v>11508</v>
      </c>
      <c r="S1182" t="s">
        <v>11509</v>
      </c>
      <c r="T1182" t="s">
        <v>11466</v>
      </c>
      <c r="U1182" s="5">
        <v>868.63</v>
      </c>
      <c r="V1182" s="5">
        <v>813.22</v>
      </c>
      <c r="W1182" s="5">
        <v>15.741393</v>
      </c>
      <c r="X1182" s="5">
        <v>108.35662000000001</v>
      </c>
      <c r="Y1182" s="5">
        <v>55.4</v>
      </c>
      <c r="Z1182" s="5">
        <v>15.742511</v>
      </c>
      <c r="AA1182" s="5">
        <v>108.35896700000001</v>
      </c>
      <c r="AB1182" s="7">
        <f t="shared" si="109"/>
        <v>1.21983</v>
      </c>
      <c r="AC1182" s="7">
        <f t="shared" si="110"/>
        <v>8.3099999999999993E-2</v>
      </c>
      <c r="AD1182" s="6" t="str">
        <f t="shared" si="111"/>
        <v>Duy Xuyên</v>
      </c>
      <c r="AE1182" s="6" t="str">
        <f t="shared" si="112"/>
        <v>TT2 Tam Kỳ</v>
      </c>
      <c r="AG1182">
        <f t="shared" si="113"/>
        <v>0.81322000000000005</v>
      </c>
      <c r="AH1182">
        <f t="shared" si="114"/>
        <v>5.5399999999999998E-2</v>
      </c>
    </row>
    <row r="1183" spans="1:34" x14ac:dyDescent="0.25">
      <c r="A1183" t="s">
        <v>11510</v>
      </c>
      <c r="B1183" t="s">
        <v>11440</v>
      </c>
      <c r="C1183" t="s">
        <v>11441</v>
      </c>
      <c r="D1183" t="s">
        <v>11511</v>
      </c>
      <c r="E1183" t="s">
        <v>11512</v>
      </c>
      <c r="F1183" t="s">
        <v>11513</v>
      </c>
      <c r="G1183" t="s">
        <v>15827</v>
      </c>
      <c r="H1183" t="s">
        <v>16230</v>
      </c>
      <c r="I1183" t="s">
        <v>16990</v>
      </c>
      <c r="J1183" t="s">
        <v>23</v>
      </c>
      <c r="L1183" t="s">
        <v>11514</v>
      </c>
      <c r="M1183" t="s">
        <v>11515</v>
      </c>
      <c r="N1183" t="s">
        <v>11516</v>
      </c>
      <c r="O1183" t="s">
        <v>11517</v>
      </c>
      <c r="P1183" t="s">
        <v>11518</v>
      </c>
      <c r="Q1183" t="s">
        <v>11519</v>
      </c>
      <c r="R1183" t="s">
        <v>11520</v>
      </c>
      <c r="S1183" t="s">
        <v>11521</v>
      </c>
      <c r="T1183" t="s">
        <v>11522</v>
      </c>
      <c r="U1183" s="5">
        <v>1289.8900000000001</v>
      </c>
      <c r="V1183" s="5">
        <v>1063.79</v>
      </c>
      <c r="W1183" s="5">
        <v>15.742058</v>
      </c>
      <c r="X1183" s="5">
        <v>108.359236</v>
      </c>
      <c r="Y1183" s="5">
        <v>226.1</v>
      </c>
      <c r="Z1183" s="5">
        <v>15.747146000000001</v>
      </c>
      <c r="AA1183" s="5">
        <v>108.376503</v>
      </c>
      <c r="AB1183" s="7">
        <f t="shared" si="109"/>
        <v>1.595685</v>
      </c>
      <c r="AC1183" s="7">
        <f t="shared" si="110"/>
        <v>0.33914999999999995</v>
      </c>
      <c r="AD1183" s="6" t="str">
        <f t="shared" si="111"/>
        <v>E28</v>
      </c>
      <c r="AE1183" s="6" t="str">
        <f t="shared" si="112"/>
        <v>Thăng An</v>
      </c>
      <c r="AG1183">
        <f t="shared" si="113"/>
        <v>1.06379</v>
      </c>
      <c r="AH1183">
        <f t="shared" si="114"/>
        <v>0.2261</v>
      </c>
    </row>
    <row r="1184" spans="1:34" x14ac:dyDescent="0.25">
      <c r="A1184" t="s">
        <v>11523</v>
      </c>
      <c r="B1184" t="s">
        <v>11524</v>
      </c>
      <c r="C1184" t="s">
        <v>11525</v>
      </c>
      <c r="D1184" t="s">
        <v>11526</v>
      </c>
      <c r="E1184" t="s">
        <v>11527</v>
      </c>
      <c r="F1184" t="s">
        <v>11528</v>
      </c>
      <c r="G1184" t="s">
        <v>15827</v>
      </c>
      <c r="H1184" t="s">
        <v>16230</v>
      </c>
      <c r="I1184" t="s">
        <v>16991</v>
      </c>
      <c r="J1184" t="s">
        <v>23</v>
      </c>
      <c r="L1184" t="s">
        <v>11529</v>
      </c>
      <c r="M1184" t="s">
        <v>11530</v>
      </c>
      <c r="N1184" t="s">
        <v>11531</v>
      </c>
      <c r="O1184" t="s">
        <v>11532</v>
      </c>
      <c r="P1184" t="s">
        <v>11533</v>
      </c>
      <c r="Q1184" t="s">
        <v>11534</v>
      </c>
      <c r="R1184" t="s">
        <v>11535</v>
      </c>
      <c r="S1184" t="s">
        <v>11536</v>
      </c>
      <c r="T1184" t="s">
        <v>11537</v>
      </c>
      <c r="U1184" s="5">
        <v>5860.24</v>
      </c>
      <c r="V1184" s="5">
        <v>2867.84</v>
      </c>
      <c r="W1184" s="5">
        <v>15.643528999999999</v>
      </c>
      <c r="X1184" s="5">
        <v>108.51124799999999</v>
      </c>
      <c r="Y1184" s="5">
        <v>2992.4</v>
      </c>
      <c r="Z1184" s="5">
        <v>15.60615</v>
      </c>
      <c r="AA1184" s="5">
        <v>108.53691600000001</v>
      </c>
      <c r="AB1184" s="7">
        <f t="shared" si="109"/>
        <v>4.3017599999999998</v>
      </c>
      <c r="AC1184" s="7">
        <f t="shared" si="110"/>
        <v>4.4885999999999999</v>
      </c>
      <c r="AD1184" s="6" t="str">
        <f t="shared" si="111"/>
        <v>Thăng Trường</v>
      </c>
      <c r="AE1184" s="6" t="str">
        <f t="shared" si="112"/>
        <v>Quảng Phú</v>
      </c>
      <c r="AG1184">
        <f t="shared" si="113"/>
        <v>2.8678400000000002</v>
      </c>
      <c r="AH1184">
        <f t="shared" si="114"/>
        <v>2.9923999999999999</v>
      </c>
    </row>
    <row r="1185" spans="1:34" x14ac:dyDescent="0.25">
      <c r="A1185" t="s">
        <v>11538</v>
      </c>
      <c r="B1185" t="s">
        <v>11524</v>
      </c>
      <c r="C1185" t="s">
        <v>11525</v>
      </c>
      <c r="D1185" t="s">
        <v>11539</v>
      </c>
      <c r="E1185" t="s">
        <v>11540</v>
      </c>
      <c r="F1185" t="s">
        <v>11541</v>
      </c>
      <c r="G1185" t="s">
        <v>15827</v>
      </c>
      <c r="H1185" t="s">
        <v>16230</v>
      </c>
      <c r="I1185" t="s">
        <v>16992</v>
      </c>
      <c r="J1185" t="s">
        <v>23</v>
      </c>
      <c r="L1185" t="s">
        <v>11542</v>
      </c>
      <c r="M1185" t="s">
        <v>11543</v>
      </c>
      <c r="N1185" t="s">
        <v>11544</v>
      </c>
      <c r="O1185" t="s">
        <v>11545</v>
      </c>
      <c r="P1185" t="s">
        <v>11546</v>
      </c>
      <c r="Q1185" t="s">
        <v>11547</v>
      </c>
      <c r="R1185" t="s">
        <v>11548</v>
      </c>
      <c r="S1185" t="s">
        <v>11549</v>
      </c>
      <c r="T1185" t="s">
        <v>11550</v>
      </c>
      <c r="U1185" s="5">
        <v>7674.26</v>
      </c>
      <c r="V1185" s="5">
        <v>9.8000000000000007</v>
      </c>
      <c r="W1185" s="5">
        <v>15.650872</v>
      </c>
      <c r="X1185" s="5">
        <v>108.48560500000001</v>
      </c>
      <c r="Y1185" s="5">
        <v>7664.46</v>
      </c>
      <c r="Z1185" s="5">
        <v>15.649153</v>
      </c>
      <c r="AA1185" s="5">
        <v>108.467534</v>
      </c>
      <c r="AB1185" s="7">
        <f t="shared" si="109"/>
        <v>1.4700000000000001E-2</v>
      </c>
      <c r="AC1185" s="7">
        <f t="shared" si="110"/>
        <v>11.496690000000001</v>
      </c>
      <c r="AD1185" s="6" t="str">
        <f t="shared" si="111"/>
        <v>TTCMKV Thăng Bình</v>
      </c>
      <c r="AE1185" s="6" t="str">
        <f t="shared" si="112"/>
        <v>Thăng
Trường</v>
      </c>
      <c r="AG1185">
        <f t="shared" si="113"/>
        <v>9.8000000000000014E-3</v>
      </c>
      <c r="AH1185">
        <f t="shared" si="114"/>
        <v>7.6644600000000001</v>
      </c>
    </row>
    <row r="1186" spans="1:34" x14ac:dyDescent="0.25">
      <c r="A1186" t="s">
        <v>11551</v>
      </c>
      <c r="B1186" t="s">
        <v>11524</v>
      </c>
      <c r="C1186" t="s">
        <v>11525</v>
      </c>
      <c r="D1186" t="s">
        <v>11552</v>
      </c>
      <c r="E1186" t="s">
        <v>11553</v>
      </c>
      <c r="F1186" t="s">
        <v>11554</v>
      </c>
      <c r="H1186" t="s">
        <v>16230</v>
      </c>
      <c r="I1186" t="s">
        <v>16993</v>
      </c>
      <c r="J1186" t="s">
        <v>23</v>
      </c>
      <c r="L1186" t="s">
        <v>11555</v>
      </c>
      <c r="M1186" t="s">
        <v>11556</v>
      </c>
      <c r="N1186" t="s">
        <v>11557</v>
      </c>
      <c r="O1186" t="s">
        <v>11558</v>
      </c>
      <c r="P1186" t="s">
        <v>11559</v>
      </c>
      <c r="Q1186" t="s">
        <v>11560</v>
      </c>
      <c r="R1186" t="s">
        <v>11561</v>
      </c>
      <c r="S1186" t="s">
        <v>11562</v>
      </c>
      <c r="T1186" t="s">
        <v>11563</v>
      </c>
      <c r="U1186" s="5">
        <v>5601.75</v>
      </c>
      <c r="V1186" s="5">
        <v>5524.52</v>
      </c>
      <c r="W1186" s="5">
        <v>15.621184</v>
      </c>
      <c r="X1186" s="5">
        <v>108.444299</v>
      </c>
      <c r="Y1186" s="5">
        <v>77.23</v>
      </c>
      <c r="Z1186" s="5">
        <v>15.574672</v>
      </c>
      <c r="AA1186" s="5">
        <v>108.47391</v>
      </c>
      <c r="AB1186" s="7">
        <f t="shared" si="109"/>
        <v>8.2867800000000003</v>
      </c>
      <c r="AC1186" s="7">
        <f t="shared" si="110"/>
        <v>0.115845</v>
      </c>
      <c r="AD1186" s="6" t="str">
        <f t="shared" si="111"/>
        <v>TT2 Tam Kỳ</v>
      </c>
      <c r="AE1186" s="6" t="str">
        <f t="shared" si="112"/>
        <v>Thăng Bình</v>
      </c>
      <c r="AG1186">
        <f t="shared" si="113"/>
        <v>5.5245200000000008</v>
      </c>
      <c r="AH1186">
        <f t="shared" si="114"/>
        <v>7.7230000000000007E-2</v>
      </c>
    </row>
    <row r="1187" spans="1:34" x14ac:dyDescent="0.25">
      <c r="A1187" t="s">
        <v>11564</v>
      </c>
      <c r="B1187" t="s">
        <v>11524</v>
      </c>
      <c r="C1187" t="s">
        <v>11525</v>
      </c>
      <c r="D1187" t="s">
        <v>11565</v>
      </c>
      <c r="E1187" t="s">
        <v>11566</v>
      </c>
      <c r="F1187" t="s">
        <v>11567</v>
      </c>
      <c r="G1187" t="s">
        <v>15827</v>
      </c>
      <c r="H1187" t="s">
        <v>16230</v>
      </c>
      <c r="I1187" t="s">
        <v>16994</v>
      </c>
      <c r="J1187" t="s">
        <v>23</v>
      </c>
      <c r="L1187" t="s">
        <v>11542</v>
      </c>
      <c r="M1187" t="s">
        <v>11568</v>
      </c>
      <c r="N1187" t="s">
        <v>11569</v>
      </c>
      <c r="O1187" t="s">
        <v>11570</v>
      </c>
      <c r="P1187" t="s">
        <v>11571</v>
      </c>
      <c r="Q1187" t="s">
        <v>11572</v>
      </c>
      <c r="R1187" t="s">
        <v>11573</v>
      </c>
      <c r="S1187" t="s">
        <v>11574</v>
      </c>
      <c r="T1187" t="s">
        <v>11575</v>
      </c>
      <c r="U1187" s="5">
        <v>13367.54</v>
      </c>
      <c r="V1187" s="5">
        <v>2543.98</v>
      </c>
      <c r="W1187" s="5">
        <v>15.646300999999999</v>
      </c>
      <c r="X1187" s="5">
        <v>108.462339</v>
      </c>
      <c r="Y1187" s="5">
        <v>10823.56</v>
      </c>
      <c r="Z1187" s="5">
        <v>15.736029</v>
      </c>
      <c r="AA1187" s="5">
        <v>108.352341</v>
      </c>
      <c r="AB1187" s="7">
        <f t="shared" si="109"/>
        <v>3.8159700000000001</v>
      </c>
      <c r="AC1187" s="7">
        <f t="shared" si="110"/>
        <v>16.235340000000001</v>
      </c>
      <c r="AD1187" s="6" t="str">
        <f t="shared" si="111"/>
        <v>TTCMKV Thăng Bình</v>
      </c>
      <c r="AE1187" s="6" t="str">
        <f t="shared" si="112"/>
        <v>Thăng
Trường</v>
      </c>
      <c r="AG1187">
        <f t="shared" si="113"/>
        <v>2.5439799999999999</v>
      </c>
      <c r="AH1187">
        <f t="shared" si="114"/>
        <v>10.823559999999999</v>
      </c>
    </row>
    <row r="1188" spans="1:34" x14ac:dyDescent="0.25">
      <c r="A1188" t="s">
        <v>11551</v>
      </c>
      <c r="B1188" t="s">
        <v>11524</v>
      </c>
      <c r="C1188" t="s">
        <v>11525</v>
      </c>
      <c r="D1188" t="s">
        <v>11552</v>
      </c>
      <c r="E1188" t="s">
        <v>11553</v>
      </c>
      <c r="F1188" t="s">
        <v>11554</v>
      </c>
      <c r="H1188" t="s">
        <v>16230</v>
      </c>
      <c r="I1188" t="s">
        <v>16993</v>
      </c>
      <c r="J1188" t="s">
        <v>23</v>
      </c>
      <c r="L1188" t="s">
        <v>11555</v>
      </c>
      <c r="M1188" t="s">
        <v>11556</v>
      </c>
      <c r="N1188" t="s">
        <v>11557</v>
      </c>
      <c r="O1188" t="s">
        <v>11558</v>
      </c>
      <c r="P1188" t="s">
        <v>11559</v>
      </c>
      <c r="Q1188" t="s">
        <v>11560</v>
      </c>
      <c r="R1188" t="s">
        <v>11561</v>
      </c>
      <c r="S1188" t="s">
        <v>11562</v>
      </c>
      <c r="T1188" t="s">
        <v>11563</v>
      </c>
      <c r="U1188" s="5">
        <v>5601.75</v>
      </c>
      <c r="V1188" s="5">
        <v>5524.52</v>
      </c>
      <c r="W1188" s="5">
        <v>15.621184</v>
      </c>
      <c r="X1188" s="5">
        <v>108.444299</v>
      </c>
      <c r="Y1188" s="5">
        <v>77.23</v>
      </c>
      <c r="Z1188" s="5">
        <v>15.574672</v>
      </c>
      <c r="AA1188" s="5">
        <v>108.47391</v>
      </c>
      <c r="AB1188" s="7">
        <f t="shared" si="109"/>
        <v>8.2867800000000003</v>
      </c>
      <c r="AC1188" s="7">
        <f t="shared" si="110"/>
        <v>0.115845</v>
      </c>
      <c r="AD1188" s="6" t="str">
        <f t="shared" si="111"/>
        <v>TT2 Tam Kỳ</v>
      </c>
      <c r="AE1188" s="6" t="str">
        <f t="shared" si="112"/>
        <v>Thăng Bình</v>
      </c>
      <c r="AG1188">
        <f t="shared" si="113"/>
        <v>5.5245200000000008</v>
      </c>
      <c r="AH1188">
        <f t="shared" si="114"/>
        <v>7.7230000000000007E-2</v>
      </c>
    </row>
    <row r="1189" spans="1:34" x14ac:dyDescent="0.25">
      <c r="A1189" t="s">
        <v>11576</v>
      </c>
      <c r="B1189" t="s">
        <v>11524</v>
      </c>
      <c r="C1189" t="s">
        <v>11525</v>
      </c>
      <c r="D1189" t="s">
        <v>11577</v>
      </c>
      <c r="E1189" t="s">
        <v>11578</v>
      </c>
      <c r="F1189" t="s">
        <v>11579</v>
      </c>
      <c r="G1189" t="s">
        <v>15827</v>
      </c>
      <c r="H1189" t="s">
        <v>16230</v>
      </c>
      <c r="I1189" t="s">
        <v>16995</v>
      </c>
      <c r="J1189" t="s">
        <v>23</v>
      </c>
      <c r="L1189" t="s">
        <v>11542</v>
      </c>
      <c r="M1189" t="s">
        <v>11580</v>
      </c>
      <c r="N1189" t="s">
        <v>11569</v>
      </c>
      <c r="O1189" t="s">
        <v>11570</v>
      </c>
      <c r="P1189" t="s">
        <v>11571</v>
      </c>
      <c r="Q1189" t="s">
        <v>11581</v>
      </c>
      <c r="R1189" t="s">
        <v>11582</v>
      </c>
      <c r="S1189" t="s">
        <v>11583</v>
      </c>
      <c r="T1189" t="s">
        <v>11575</v>
      </c>
      <c r="U1189" s="5">
        <v>11307.44</v>
      </c>
      <c r="V1189" s="5">
        <v>2543.98</v>
      </c>
      <c r="W1189" s="5">
        <v>15.646300999999999</v>
      </c>
      <c r="X1189" s="5">
        <v>108.462339</v>
      </c>
      <c r="Y1189" s="5">
        <v>8763.4599999999991</v>
      </c>
      <c r="Z1189" s="5">
        <v>15.706669</v>
      </c>
      <c r="AA1189" s="5">
        <v>108.386088</v>
      </c>
      <c r="AB1189" s="7">
        <f t="shared" si="109"/>
        <v>3.8159700000000001</v>
      </c>
      <c r="AC1189" s="7">
        <f t="shared" si="110"/>
        <v>13.145189999999999</v>
      </c>
      <c r="AD1189" s="6" t="str">
        <f t="shared" si="111"/>
        <v>TTCMKV Thăng Bình</v>
      </c>
      <c r="AE1189" s="6" t="str">
        <f t="shared" si="112"/>
        <v>Thăng
Trường</v>
      </c>
      <c r="AG1189">
        <f t="shared" si="113"/>
        <v>2.5439799999999999</v>
      </c>
      <c r="AH1189">
        <f t="shared" si="114"/>
        <v>8.7634599999999985</v>
      </c>
    </row>
    <row r="1190" spans="1:34" x14ac:dyDescent="0.25">
      <c r="A1190" t="s">
        <v>11584</v>
      </c>
      <c r="B1190" t="s">
        <v>11585</v>
      </c>
      <c r="C1190" t="s">
        <v>11586</v>
      </c>
      <c r="D1190" t="s">
        <v>11587</v>
      </c>
      <c r="E1190" t="s">
        <v>11588</v>
      </c>
      <c r="F1190" t="s">
        <v>11589</v>
      </c>
      <c r="G1190" t="s">
        <v>15827</v>
      </c>
      <c r="H1190" t="s">
        <v>16230</v>
      </c>
      <c r="I1190" t="s">
        <v>16996</v>
      </c>
      <c r="J1190" t="s">
        <v>23</v>
      </c>
      <c r="L1190" t="s">
        <v>11555</v>
      </c>
      <c r="M1190" t="s">
        <v>11590</v>
      </c>
      <c r="N1190" t="s">
        <v>11591</v>
      </c>
      <c r="O1190" t="s">
        <v>11592</v>
      </c>
      <c r="P1190" t="s">
        <v>11593</v>
      </c>
      <c r="Q1190" t="s">
        <v>11594</v>
      </c>
      <c r="R1190" t="s">
        <v>11595</v>
      </c>
      <c r="S1190" t="s">
        <v>11596</v>
      </c>
      <c r="T1190" t="s">
        <v>11563</v>
      </c>
      <c r="U1190" s="5">
        <v>1806.64</v>
      </c>
      <c r="V1190" s="5">
        <v>569.96</v>
      </c>
      <c r="W1190" s="5">
        <v>15.6469</v>
      </c>
      <c r="X1190" s="5">
        <v>108.43017</v>
      </c>
      <c r="Y1190" s="5">
        <v>1236.69</v>
      </c>
      <c r="Z1190" s="5">
        <v>15.666873000000001</v>
      </c>
      <c r="AA1190" s="5">
        <v>108.412204</v>
      </c>
      <c r="AB1190" s="7">
        <f t="shared" si="109"/>
        <v>0.85494000000000003</v>
      </c>
      <c r="AC1190" s="7">
        <f t="shared" si="110"/>
        <v>1.855035</v>
      </c>
      <c r="AD1190" s="6" t="str">
        <f t="shared" si="111"/>
        <v>TT2 Tam Kỳ</v>
      </c>
      <c r="AE1190" s="6" t="str">
        <f t="shared" si="112"/>
        <v>Thăng Bình</v>
      </c>
      <c r="AG1190">
        <f t="shared" si="113"/>
        <v>0.56996000000000002</v>
      </c>
      <c r="AH1190">
        <f t="shared" si="114"/>
        <v>1.2366900000000001</v>
      </c>
    </row>
    <row r="1191" spans="1:34" x14ac:dyDescent="0.25">
      <c r="A1191" t="s">
        <v>11597</v>
      </c>
      <c r="B1191" t="s">
        <v>11585</v>
      </c>
      <c r="C1191" t="s">
        <v>11586</v>
      </c>
      <c r="D1191" t="s">
        <v>11598</v>
      </c>
      <c r="E1191" t="s">
        <v>11599</v>
      </c>
      <c r="F1191" t="s">
        <v>11600</v>
      </c>
      <c r="G1191" t="s">
        <v>15827</v>
      </c>
      <c r="H1191" t="s">
        <v>16230</v>
      </c>
      <c r="I1191" t="s">
        <v>16997</v>
      </c>
      <c r="J1191" t="s">
        <v>23</v>
      </c>
      <c r="L1191" t="s">
        <v>11542</v>
      </c>
      <c r="M1191" t="s">
        <v>11601</v>
      </c>
      <c r="N1191" t="s">
        <v>11602</v>
      </c>
      <c r="O1191" t="s">
        <v>11603</v>
      </c>
      <c r="P1191" t="s">
        <v>11604</v>
      </c>
      <c r="Q1191" t="s">
        <v>11605</v>
      </c>
      <c r="R1191" t="s">
        <v>11606</v>
      </c>
      <c r="S1191" t="s">
        <v>11607</v>
      </c>
      <c r="T1191" t="s">
        <v>11575</v>
      </c>
      <c r="U1191" s="5">
        <v>1333.52</v>
      </c>
      <c r="V1191" s="5">
        <v>709.57</v>
      </c>
      <c r="W1191" s="5">
        <v>15.650188</v>
      </c>
      <c r="X1191" s="5">
        <v>108.428378</v>
      </c>
      <c r="Y1191" s="5">
        <v>623.95000000000005</v>
      </c>
      <c r="Z1191" s="5">
        <v>15.647589</v>
      </c>
      <c r="AA1191" s="5">
        <v>108.43842100000001</v>
      </c>
      <c r="AB1191" s="7">
        <f t="shared" si="109"/>
        <v>1.0643549999999999</v>
      </c>
      <c r="AC1191" s="7">
        <f t="shared" si="110"/>
        <v>0.93592500000000012</v>
      </c>
      <c r="AD1191" s="6" t="str">
        <f t="shared" si="111"/>
        <v>TTCMKV Thăng Bình</v>
      </c>
      <c r="AE1191" s="6" t="str">
        <f t="shared" si="112"/>
        <v>Thăng
Trường</v>
      </c>
      <c r="AG1191">
        <f t="shared" si="113"/>
        <v>0.70957000000000003</v>
      </c>
      <c r="AH1191">
        <f t="shared" si="114"/>
        <v>0.62395</v>
      </c>
    </row>
    <row r="1192" spans="1:34" x14ac:dyDescent="0.25">
      <c r="A1192" t="s">
        <v>11608</v>
      </c>
      <c r="B1192" t="s">
        <v>11585</v>
      </c>
      <c r="C1192" t="s">
        <v>11586</v>
      </c>
      <c r="D1192" t="s">
        <v>11609</v>
      </c>
      <c r="E1192" t="s">
        <v>11610</v>
      </c>
      <c r="F1192" t="s">
        <v>11611</v>
      </c>
      <c r="H1192" t="s">
        <v>16230</v>
      </c>
      <c r="I1192" t="s">
        <v>16998</v>
      </c>
      <c r="J1192" t="s">
        <v>23</v>
      </c>
      <c r="L1192" t="s">
        <v>11458</v>
      </c>
      <c r="M1192" t="s">
        <v>11612</v>
      </c>
      <c r="N1192" t="s">
        <v>11613</v>
      </c>
      <c r="O1192" t="s">
        <v>11614</v>
      </c>
      <c r="P1192" t="s">
        <v>11615</v>
      </c>
      <c r="Q1192" t="s">
        <v>11616</v>
      </c>
      <c r="R1192" t="s">
        <v>11617</v>
      </c>
      <c r="S1192" t="s">
        <v>11618</v>
      </c>
      <c r="T1192" t="s">
        <v>11619</v>
      </c>
      <c r="U1192" s="5">
        <v>875.94</v>
      </c>
      <c r="V1192" s="5">
        <v>574.59</v>
      </c>
      <c r="W1192" s="5">
        <v>15.646917999999999</v>
      </c>
      <c r="X1192" s="5">
        <v>108.430209</v>
      </c>
      <c r="Y1192" s="5">
        <v>301.35000000000002</v>
      </c>
      <c r="Z1192" s="5">
        <v>15.717449999999999</v>
      </c>
      <c r="AA1192" s="5">
        <v>108.375263</v>
      </c>
      <c r="AB1192" s="7">
        <f t="shared" si="109"/>
        <v>0.86188500000000001</v>
      </c>
      <c r="AC1192" s="7">
        <f t="shared" si="110"/>
        <v>0.45202500000000001</v>
      </c>
      <c r="AD1192" s="6" t="str">
        <f t="shared" si="111"/>
        <v>Duy Xuyên</v>
      </c>
      <c r="AE1192" s="6" t="str">
        <f t="shared" si="112"/>
        <v>TT2 Tam Kỳ</v>
      </c>
      <c r="AG1192">
        <f t="shared" si="113"/>
        <v>0.57459000000000005</v>
      </c>
      <c r="AH1192">
        <f t="shared" si="114"/>
        <v>0.30135000000000001</v>
      </c>
    </row>
    <row r="1193" spans="1:34" x14ac:dyDescent="0.25">
      <c r="A1193" t="s">
        <v>11620</v>
      </c>
      <c r="B1193" t="s">
        <v>11585</v>
      </c>
      <c r="C1193" t="s">
        <v>11586</v>
      </c>
      <c r="D1193" t="s">
        <v>11621</v>
      </c>
      <c r="E1193" t="s">
        <v>11622</v>
      </c>
      <c r="F1193" t="s">
        <v>11623</v>
      </c>
      <c r="G1193" t="s">
        <v>15827</v>
      </c>
      <c r="H1193" t="s">
        <v>16230</v>
      </c>
      <c r="I1193" t="s">
        <v>16999</v>
      </c>
      <c r="J1193" t="s">
        <v>23</v>
      </c>
      <c r="L1193" t="s">
        <v>11555</v>
      </c>
      <c r="M1193" t="s">
        <v>11624</v>
      </c>
      <c r="N1193" t="s">
        <v>11591</v>
      </c>
      <c r="O1193" t="s">
        <v>11592</v>
      </c>
      <c r="P1193" t="s">
        <v>11593</v>
      </c>
      <c r="Q1193" t="s">
        <v>11625</v>
      </c>
      <c r="R1193" t="s">
        <v>11626</v>
      </c>
      <c r="S1193" t="s">
        <v>11627</v>
      </c>
      <c r="T1193" t="s">
        <v>11563</v>
      </c>
      <c r="U1193" s="5">
        <v>1039.18</v>
      </c>
      <c r="V1193" s="5">
        <v>569.96</v>
      </c>
      <c r="W1193" s="5">
        <v>15.6469</v>
      </c>
      <c r="X1193" s="5">
        <v>108.43017</v>
      </c>
      <c r="Y1193" s="5">
        <v>469.22</v>
      </c>
      <c r="Z1193" s="5">
        <v>15.58404</v>
      </c>
      <c r="AA1193" s="5">
        <v>108.468689</v>
      </c>
      <c r="AB1193" s="7">
        <f t="shared" si="109"/>
        <v>0.85494000000000003</v>
      </c>
      <c r="AC1193" s="7">
        <f t="shared" si="110"/>
        <v>0.70383000000000007</v>
      </c>
      <c r="AD1193" s="6" t="str">
        <f t="shared" si="111"/>
        <v>TT2 Tam Kỳ</v>
      </c>
      <c r="AE1193" s="6" t="str">
        <f t="shared" si="112"/>
        <v>Thăng Bình</v>
      </c>
      <c r="AG1193">
        <f t="shared" si="113"/>
        <v>0.56996000000000002</v>
      </c>
      <c r="AH1193">
        <f t="shared" si="114"/>
        <v>0.46922000000000003</v>
      </c>
    </row>
    <row r="1194" spans="1:34" x14ac:dyDescent="0.25">
      <c r="A1194" t="s">
        <v>11628</v>
      </c>
      <c r="B1194" t="s">
        <v>11585</v>
      </c>
      <c r="C1194" t="s">
        <v>11586</v>
      </c>
      <c r="D1194" t="s">
        <v>11629</v>
      </c>
      <c r="E1194" t="s">
        <v>11630</v>
      </c>
      <c r="F1194" t="s">
        <v>11631</v>
      </c>
      <c r="G1194" t="s">
        <v>15827</v>
      </c>
      <c r="H1194" t="s">
        <v>16230</v>
      </c>
      <c r="I1194" t="s">
        <v>17000</v>
      </c>
      <c r="J1194" t="s">
        <v>23</v>
      </c>
      <c r="L1194" t="s">
        <v>11555</v>
      </c>
      <c r="M1194" t="s">
        <v>11632</v>
      </c>
      <c r="N1194" t="s">
        <v>11591</v>
      </c>
      <c r="O1194" t="s">
        <v>11592</v>
      </c>
      <c r="P1194" t="s">
        <v>11593</v>
      </c>
      <c r="Q1194" t="s">
        <v>11633</v>
      </c>
      <c r="R1194" t="s">
        <v>11634</v>
      </c>
      <c r="S1194" t="s">
        <v>11635</v>
      </c>
      <c r="T1194" t="s">
        <v>11563</v>
      </c>
      <c r="U1194" s="5">
        <v>630.55999999999995</v>
      </c>
      <c r="V1194" s="5">
        <v>569.96</v>
      </c>
      <c r="W1194" s="5">
        <v>15.6469</v>
      </c>
      <c r="X1194" s="5">
        <v>108.43017</v>
      </c>
      <c r="Y1194" s="5">
        <v>60.61</v>
      </c>
      <c r="Z1194" s="5">
        <v>15.661580000000001</v>
      </c>
      <c r="AA1194" s="5">
        <v>108.41467900000001</v>
      </c>
      <c r="AB1194" s="7">
        <f t="shared" si="109"/>
        <v>0.85494000000000003</v>
      </c>
      <c r="AC1194" s="7">
        <f t="shared" si="110"/>
        <v>9.0914999999999996E-2</v>
      </c>
      <c r="AD1194" s="6" t="str">
        <f t="shared" si="111"/>
        <v>TT2 Tam Kỳ</v>
      </c>
      <c r="AE1194" s="6" t="str">
        <f t="shared" si="112"/>
        <v>Thăng Bình</v>
      </c>
      <c r="AG1194">
        <f t="shared" si="113"/>
        <v>0.56996000000000002</v>
      </c>
      <c r="AH1194">
        <f t="shared" si="114"/>
        <v>6.0609999999999997E-2</v>
      </c>
    </row>
    <row r="1195" spans="1:34" x14ac:dyDescent="0.25">
      <c r="A1195" t="s">
        <v>11636</v>
      </c>
      <c r="B1195" t="s">
        <v>11585</v>
      </c>
      <c r="C1195" t="s">
        <v>11586</v>
      </c>
      <c r="D1195" t="s">
        <v>11637</v>
      </c>
      <c r="E1195" t="s">
        <v>11638</v>
      </c>
      <c r="F1195" t="s">
        <v>11639</v>
      </c>
      <c r="G1195" t="s">
        <v>15827</v>
      </c>
      <c r="H1195" t="s">
        <v>15831</v>
      </c>
      <c r="I1195" t="s">
        <v>17001</v>
      </c>
      <c r="J1195" t="s">
        <v>23</v>
      </c>
      <c r="L1195" t="s">
        <v>11555</v>
      </c>
      <c r="M1195" t="s">
        <v>11640</v>
      </c>
      <c r="N1195" t="s">
        <v>11591</v>
      </c>
      <c r="O1195" t="s">
        <v>11592</v>
      </c>
      <c r="P1195" t="s">
        <v>11593</v>
      </c>
      <c r="Q1195" t="s">
        <v>11641</v>
      </c>
      <c r="R1195" t="s">
        <v>11642</v>
      </c>
      <c r="S1195" t="s">
        <v>11643</v>
      </c>
      <c r="T1195" t="s">
        <v>11563</v>
      </c>
      <c r="U1195" s="5">
        <v>7272.64</v>
      </c>
      <c r="V1195" s="5">
        <v>569.96</v>
      </c>
      <c r="W1195" s="5">
        <v>15.6469</v>
      </c>
      <c r="X1195" s="5">
        <v>108.43017</v>
      </c>
      <c r="Y1195" s="5">
        <v>6702.69</v>
      </c>
      <c r="Z1195" s="5">
        <v>15.736011</v>
      </c>
      <c r="AA1195" s="5">
        <v>108.352346</v>
      </c>
      <c r="AB1195" s="7">
        <f t="shared" si="109"/>
        <v>0.85494000000000003</v>
      </c>
      <c r="AC1195" s="7">
        <f t="shared" si="110"/>
        <v>10.054035000000001</v>
      </c>
      <c r="AD1195" s="6" t="str">
        <f t="shared" si="111"/>
        <v>TT2 Tam Kỳ</v>
      </c>
      <c r="AE1195" s="6" t="str">
        <f t="shared" si="112"/>
        <v>Thăng Bình</v>
      </c>
      <c r="AG1195">
        <f t="shared" si="113"/>
        <v>0.56996000000000002</v>
      </c>
      <c r="AH1195">
        <f t="shared" si="114"/>
        <v>6.7026899999999996</v>
      </c>
    </row>
    <row r="1196" spans="1:34" x14ac:dyDescent="0.25">
      <c r="A1196" t="s">
        <v>11644</v>
      </c>
      <c r="B1196" t="s">
        <v>11585</v>
      </c>
      <c r="C1196" t="s">
        <v>11586</v>
      </c>
      <c r="D1196" t="s">
        <v>11645</v>
      </c>
      <c r="E1196" t="s">
        <v>11646</v>
      </c>
      <c r="F1196" t="s">
        <v>11647</v>
      </c>
      <c r="G1196" t="s">
        <v>15827</v>
      </c>
      <c r="H1196" t="s">
        <v>15831</v>
      </c>
      <c r="I1196" t="s">
        <v>17002</v>
      </c>
      <c r="J1196" t="s">
        <v>23</v>
      </c>
      <c r="L1196" t="s">
        <v>11555</v>
      </c>
      <c r="M1196" t="s">
        <v>11648</v>
      </c>
      <c r="N1196" t="s">
        <v>11591</v>
      </c>
      <c r="O1196" t="s">
        <v>11592</v>
      </c>
      <c r="P1196" t="s">
        <v>11593</v>
      </c>
      <c r="Q1196" t="s">
        <v>11649</v>
      </c>
      <c r="R1196" t="s">
        <v>11650</v>
      </c>
      <c r="S1196" t="s">
        <v>11651</v>
      </c>
      <c r="T1196" t="s">
        <v>11563</v>
      </c>
      <c r="U1196" s="5">
        <v>605.12</v>
      </c>
      <c r="V1196" s="5">
        <v>569.96</v>
      </c>
      <c r="W1196" s="5">
        <v>15.6469</v>
      </c>
      <c r="X1196" s="5">
        <v>108.43017</v>
      </c>
      <c r="Y1196" s="5">
        <v>35.17</v>
      </c>
      <c r="Z1196" s="5">
        <v>15.579651999999999</v>
      </c>
      <c r="AA1196" s="5">
        <v>108.473956</v>
      </c>
      <c r="AB1196" s="7">
        <f t="shared" si="109"/>
        <v>0.85494000000000003</v>
      </c>
      <c r="AC1196" s="7">
        <f t="shared" si="110"/>
        <v>5.2755000000000003E-2</v>
      </c>
      <c r="AD1196" s="6" t="str">
        <f t="shared" si="111"/>
        <v>TT2 Tam Kỳ</v>
      </c>
      <c r="AE1196" s="6" t="str">
        <f t="shared" si="112"/>
        <v>Thăng Bình</v>
      </c>
      <c r="AG1196">
        <f t="shared" si="113"/>
        <v>0.56996000000000002</v>
      </c>
      <c r="AH1196">
        <f t="shared" si="114"/>
        <v>3.517E-2</v>
      </c>
    </row>
    <row r="1197" spans="1:34" x14ac:dyDescent="0.25">
      <c r="A1197" t="s">
        <v>11652</v>
      </c>
      <c r="B1197" t="s">
        <v>11552</v>
      </c>
      <c r="C1197" t="s">
        <v>11553</v>
      </c>
      <c r="D1197" t="s">
        <v>11653</v>
      </c>
      <c r="E1197" t="s">
        <v>11654</v>
      </c>
      <c r="F1197" t="s">
        <v>11655</v>
      </c>
      <c r="G1197" t="s">
        <v>15827</v>
      </c>
      <c r="H1197" t="s">
        <v>16230</v>
      </c>
      <c r="I1197" t="s">
        <v>17003</v>
      </c>
      <c r="J1197" t="s">
        <v>23</v>
      </c>
      <c r="L1197" t="s">
        <v>11656</v>
      </c>
      <c r="M1197" t="s">
        <v>11657</v>
      </c>
      <c r="N1197" t="s">
        <v>11658</v>
      </c>
      <c r="O1197" t="s">
        <v>11659</v>
      </c>
      <c r="P1197" t="s">
        <v>11660</v>
      </c>
      <c r="Q1197" t="s">
        <v>11661</v>
      </c>
      <c r="R1197" t="s">
        <v>11662</v>
      </c>
      <c r="S1197" t="s">
        <v>11663</v>
      </c>
      <c r="T1197" t="s">
        <v>11664</v>
      </c>
      <c r="U1197" s="5">
        <v>1749.52</v>
      </c>
      <c r="V1197" s="5">
        <v>1431.84</v>
      </c>
      <c r="W1197" s="5">
        <v>15.570171999999999</v>
      </c>
      <c r="X1197" s="5">
        <v>108.487201</v>
      </c>
      <c r="Y1197" s="5">
        <v>317.68</v>
      </c>
      <c r="Z1197" s="5">
        <v>15.553039999999999</v>
      </c>
      <c r="AA1197" s="5">
        <v>108.506078</v>
      </c>
      <c r="AB1197" s="7">
        <f t="shared" si="109"/>
        <v>2.1477599999999999</v>
      </c>
      <c r="AC1197" s="7">
        <f t="shared" si="110"/>
        <v>0.47652</v>
      </c>
      <c r="AD1197" s="6" t="str">
        <f t="shared" si="111"/>
        <v>TT2 Tam Kỳ</v>
      </c>
      <c r="AE1197" s="6" t="str">
        <f t="shared" si="112"/>
        <v>Tam Xuân</v>
      </c>
      <c r="AG1197">
        <f t="shared" si="113"/>
        <v>1.43184</v>
      </c>
      <c r="AH1197">
        <f t="shared" si="114"/>
        <v>0.31768000000000002</v>
      </c>
    </row>
    <row r="1198" spans="1:34" x14ac:dyDescent="0.25">
      <c r="A1198" t="s">
        <v>11665</v>
      </c>
      <c r="B1198" t="s">
        <v>11552</v>
      </c>
      <c r="C1198" t="s">
        <v>11553</v>
      </c>
      <c r="D1198" t="s">
        <v>11666</v>
      </c>
      <c r="E1198" t="s">
        <v>11667</v>
      </c>
      <c r="F1198" t="s">
        <v>11668</v>
      </c>
      <c r="G1198" t="s">
        <v>15827</v>
      </c>
      <c r="H1198" t="s">
        <v>16230</v>
      </c>
      <c r="I1198" t="s">
        <v>17004</v>
      </c>
      <c r="J1198" t="s">
        <v>23</v>
      </c>
      <c r="L1198" t="s">
        <v>11656</v>
      </c>
      <c r="M1198" t="s">
        <v>11669</v>
      </c>
      <c r="N1198" t="s">
        <v>11670</v>
      </c>
      <c r="O1198" t="s">
        <v>11671</v>
      </c>
      <c r="P1198" t="s">
        <v>11672</v>
      </c>
      <c r="Q1198" t="s">
        <v>11673</v>
      </c>
      <c r="R1198" t="s">
        <v>11674</v>
      </c>
      <c r="S1198" t="s">
        <v>11675</v>
      </c>
      <c r="T1198" t="s">
        <v>11664</v>
      </c>
      <c r="U1198" s="5">
        <v>621.57000000000005</v>
      </c>
      <c r="V1198" s="5">
        <v>67.819999999999993</v>
      </c>
      <c r="W1198" s="5">
        <v>15.574916</v>
      </c>
      <c r="X1198" s="5">
        <v>108.475032</v>
      </c>
      <c r="Y1198" s="5">
        <v>553.75</v>
      </c>
      <c r="Z1198" s="5">
        <v>15.57062</v>
      </c>
      <c r="AA1198" s="5">
        <v>108.486687</v>
      </c>
      <c r="AB1198" s="7">
        <f t="shared" si="109"/>
        <v>0.10172999999999999</v>
      </c>
      <c r="AC1198" s="7">
        <f t="shared" si="110"/>
        <v>0.83062499999999995</v>
      </c>
      <c r="AD1198" s="6" t="str">
        <f t="shared" si="111"/>
        <v>TT2 Tam Kỳ</v>
      </c>
      <c r="AE1198" s="6" t="str">
        <f t="shared" si="112"/>
        <v>Tam Xuân</v>
      </c>
      <c r="AG1198">
        <f t="shared" si="113"/>
        <v>6.7819999999999991E-2</v>
      </c>
      <c r="AH1198">
        <f t="shared" si="114"/>
        <v>0.55374999999999996</v>
      </c>
    </row>
    <row r="1199" spans="1:34" x14ac:dyDescent="0.25">
      <c r="A1199" t="s">
        <v>11676</v>
      </c>
      <c r="B1199" t="s">
        <v>11552</v>
      </c>
      <c r="C1199" t="s">
        <v>11553</v>
      </c>
      <c r="D1199" t="s">
        <v>11677</v>
      </c>
      <c r="E1199" t="s">
        <v>11678</v>
      </c>
      <c r="F1199" t="s">
        <v>11679</v>
      </c>
      <c r="G1199" t="s">
        <v>15827</v>
      </c>
      <c r="H1199" t="s">
        <v>16230</v>
      </c>
      <c r="I1199" t="s">
        <v>17005</v>
      </c>
      <c r="J1199" t="s">
        <v>23</v>
      </c>
      <c r="L1199" t="s">
        <v>11656</v>
      </c>
      <c r="M1199" t="s">
        <v>11680</v>
      </c>
      <c r="N1199" t="s">
        <v>11670</v>
      </c>
      <c r="O1199" t="s">
        <v>11671</v>
      </c>
      <c r="P1199" t="s">
        <v>11672</v>
      </c>
      <c r="Q1199" t="s">
        <v>11681</v>
      </c>
      <c r="R1199" t="s">
        <v>11674</v>
      </c>
      <c r="S1199" t="s">
        <v>11675</v>
      </c>
      <c r="T1199" t="s">
        <v>11664</v>
      </c>
      <c r="U1199" s="5">
        <v>1761.77</v>
      </c>
      <c r="V1199" s="5">
        <v>67.819999999999993</v>
      </c>
      <c r="W1199" s="5">
        <v>15.574916</v>
      </c>
      <c r="X1199" s="5">
        <v>108.475032</v>
      </c>
      <c r="Y1199" s="5">
        <v>1693.95</v>
      </c>
      <c r="Z1199" s="5">
        <v>15.57062</v>
      </c>
      <c r="AA1199" s="5">
        <v>108.486687</v>
      </c>
      <c r="AB1199" s="7">
        <f t="shared" si="109"/>
        <v>0.10172999999999999</v>
      </c>
      <c r="AC1199" s="7">
        <f t="shared" si="110"/>
        <v>2.5409250000000001</v>
      </c>
      <c r="AD1199" s="6" t="str">
        <f t="shared" si="111"/>
        <v>TT2 Tam Kỳ</v>
      </c>
      <c r="AE1199" s="6" t="str">
        <f t="shared" si="112"/>
        <v>Tam Xuân</v>
      </c>
      <c r="AG1199">
        <f t="shared" si="113"/>
        <v>6.7819999999999991E-2</v>
      </c>
      <c r="AH1199">
        <f t="shared" si="114"/>
        <v>1.6939500000000001</v>
      </c>
    </row>
    <row r="1200" spans="1:34" x14ac:dyDescent="0.25">
      <c r="A1200" t="s">
        <v>11682</v>
      </c>
      <c r="B1200" t="s">
        <v>11552</v>
      </c>
      <c r="C1200" t="s">
        <v>11553</v>
      </c>
      <c r="D1200" t="s">
        <v>11683</v>
      </c>
      <c r="E1200" t="s">
        <v>11684</v>
      </c>
      <c r="F1200" t="s">
        <v>11685</v>
      </c>
      <c r="G1200" t="s">
        <v>15827</v>
      </c>
      <c r="H1200" t="s">
        <v>16230</v>
      </c>
      <c r="I1200" t="s">
        <v>17006</v>
      </c>
      <c r="J1200" t="s">
        <v>23</v>
      </c>
      <c r="L1200" t="s">
        <v>11686</v>
      </c>
      <c r="M1200" t="s">
        <v>11687</v>
      </c>
      <c r="N1200" t="s">
        <v>11688</v>
      </c>
      <c r="O1200" t="s">
        <v>11689</v>
      </c>
      <c r="P1200" t="s">
        <v>11690</v>
      </c>
      <c r="Q1200" t="s">
        <v>11691</v>
      </c>
      <c r="R1200" t="s">
        <v>11692</v>
      </c>
      <c r="S1200" t="s">
        <v>11693</v>
      </c>
      <c r="T1200" t="s">
        <v>11694</v>
      </c>
      <c r="U1200" s="5">
        <v>3418.04</v>
      </c>
      <c r="V1200" s="5">
        <v>3259.01</v>
      </c>
      <c r="W1200" s="5">
        <v>15.575377</v>
      </c>
      <c r="X1200" s="5">
        <v>108.444188</v>
      </c>
      <c r="Y1200" s="5">
        <v>159.03</v>
      </c>
      <c r="Z1200" s="5">
        <v>15.563253</v>
      </c>
      <c r="AA1200" s="5">
        <v>108.371691</v>
      </c>
      <c r="AB1200" s="7">
        <f t="shared" si="109"/>
        <v>4.8885149999999999</v>
      </c>
      <c r="AC1200" s="7">
        <f t="shared" si="110"/>
        <v>0.23854500000000001</v>
      </c>
      <c r="AD1200" s="6" t="str">
        <f t="shared" si="111"/>
        <v>TT2 Tam Kỳ</v>
      </c>
      <c r="AE1200" s="6" t="str">
        <f t="shared" si="112"/>
        <v>CAX Tiên Sơn (Tiên Phước)</v>
      </c>
      <c r="AG1200">
        <f t="shared" si="113"/>
        <v>3.2590100000000004</v>
      </c>
      <c r="AH1200">
        <f t="shared" si="114"/>
        <v>0.15903</v>
      </c>
    </row>
    <row r="1201" spans="1:34" x14ac:dyDescent="0.25">
      <c r="A1201" t="s">
        <v>11695</v>
      </c>
      <c r="B1201" t="s">
        <v>11552</v>
      </c>
      <c r="C1201" t="s">
        <v>11553</v>
      </c>
      <c r="D1201" t="s">
        <v>11696</v>
      </c>
      <c r="E1201" t="s">
        <v>11697</v>
      </c>
      <c r="F1201" t="s">
        <v>11698</v>
      </c>
      <c r="G1201" t="s">
        <v>15827</v>
      </c>
      <c r="H1201" t="s">
        <v>16230</v>
      </c>
      <c r="I1201" t="s">
        <v>17007</v>
      </c>
      <c r="J1201" t="s">
        <v>23</v>
      </c>
      <c r="L1201" t="s">
        <v>11656</v>
      </c>
      <c r="M1201" t="s">
        <v>11699</v>
      </c>
      <c r="N1201" t="s">
        <v>11670</v>
      </c>
      <c r="O1201" t="s">
        <v>11671</v>
      </c>
      <c r="P1201" t="s">
        <v>11672</v>
      </c>
      <c r="Q1201" t="s">
        <v>11700</v>
      </c>
      <c r="R1201" t="s">
        <v>11674</v>
      </c>
      <c r="S1201" t="s">
        <v>11675</v>
      </c>
      <c r="T1201" t="s">
        <v>11664</v>
      </c>
      <c r="U1201" s="5">
        <v>1121.08</v>
      </c>
      <c r="V1201" s="5">
        <v>67.819999999999993</v>
      </c>
      <c r="W1201" s="5">
        <v>15.574916</v>
      </c>
      <c r="X1201" s="5">
        <v>108.475032</v>
      </c>
      <c r="Y1201" s="5">
        <v>1053.25</v>
      </c>
      <c r="Z1201" s="5">
        <v>15.57062</v>
      </c>
      <c r="AA1201" s="5">
        <v>108.486687</v>
      </c>
      <c r="AB1201" s="7">
        <f t="shared" si="109"/>
        <v>0.10172999999999999</v>
      </c>
      <c r="AC1201" s="7">
        <f t="shared" si="110"/>
        <v>1.5798749999999999</v>
      </c>
      <c r="AD1201" s="6" t="str">
        <f t="shared" si="111"/>
        <v>TT2 Tam Kỳ</v>
      </c>
      <c r="AE1201" s="6" t="str">
        <f t="shared" si="112"/>
        <v>Tam Xuân</v>
      </c>
      <c r="AG1201">
        <f t="shared" si="113"/>
        <v>6.7819999999999991E-2</v>
      </c>
      <c r="AH1201">
        <f t="shared" si="114"/>
        <v>1.05325</v>
      </c>
    </row>
    <row r="1202" spans="1:34" x14ac:dyDescent="0.25">
      <c r="A1202" t="s">
        <v>11701</v>
      </c>
      <c r="B1202" t="s">
        <v>11552</v>
      </c>
      <c r="C1202" t="s">
        <v>11553</v>
      </c>
      <c r="D1202" t="s">
        <v>11702</v>
      </c>
      <c r="E1202" t="s">
        <v>11703</v>
      </c>
      <c r="F1202" t="s">
        <v>11704</v>
      </c>
      <c r="G1202" t="s">
        <v>15827</v>
      </c>
      <c r="H1202" t="s">
        <v>16230</v>
      </c>
      <c r="I1202" t="s">
        <v>17008</v>
      </c>
      <c r="J1202" t="s">
        <v>23</v>
      </c>
      <c r="L1202" t="s">
        <v>11705</v>
      </c>
      <c r="M1202" t="s">
        <v>11706</v>
      </c>
      <c r="N1202" t="s">
        <v>11707</v>
      </c>
      <c r="O1202" t="s">
        <v>11708</v>
      </c>
      <c r="P1202" t="s">
        <v>11709</v>
      </c>
      <c r="Q1202" t="s">
        <v>11710</v>
      </c>
      <c r="R1202" t="s">
        <v>11711</v>
      </c>
      <c r="S1202" t="s">
        <v>11712</v>
      </c>
      <c r="T1202" t="s">
        <v>11713</v>
      </c>
      <c r="U1202" s="5">
        <v>1163.3800000000001</v>
      </c>
      <c r="V1202" s="5">
        <v>114</v>
      </c>
      <c r="W1202" s="5">
        <v>15.574221</v>
      </c>
      <c r="X1202" s="5">
        <v>108.473568</v>
      </c>
      <c r="Y1202" s="5">
        <v>1049.3900000000001</v>
      </c>
      <c r="Z1202" s="5">
        <v>15.565075999999999</v>
      </c>
      <c r="AA1202" s="5">
        <v>108.48103</v>
      </c>
      <c r="AB1202" s="7">
        <f t="shared" si="109"/>
        <v>0.17100000000000001</v>
      </c>
      <c r="AC1202" s="7">
        <f t="shared" si="110"/>
        <v>1.574085</v>
      </c>
      <c r="AD1202" s="6" t="str">
        <f t="shared" si="111"/>
        <v>Tam Kỳ</v>
      </c>
      <c r="AE1202" s="6" t="str">
        <f t="shared" si="112"/>
        <v>TT2 Đà Nẵng (Tam Kỳ)</v>
      </c>
      <c r="AG1202">
        <f t="shared" si="113"/>
        <v>0.114</v>
      </c>
      <c r="AH1202">
        <f t="shared" si="114"/>
        <v>1.04939</v>
      </c>
    </row>
    <row r="1203" spans="1:34" x14ac:dyDescent="0.25">
      <c r="A1203" t="s">
        <v>11714</v>
      </c>
      <c r="B1203" t="s">
        <v>11552</v>
      </c>
      <c r="C1203" t="s">
        <v>11553</v>
      </c>
      <c r="D1203" t="s">
        <v>11715</v>
      </c>
      <c r="E1203" t="s">
        <v>11716</v>
      </c>
      <c r="F1203" t="s">
        <v>11717</v>
      </c>
      <c r="G1203" t="s">
        <v>15827</v>
      </c>
      <c r="H1203" t="s">
        <v>16230</v>
      </c>
      <c r="I1203" t="s">
        <v>17009</v>
      </c>
      <c r="J1203" t="s">
        <v>23</v>
      </c>
      <c r="L1203" t="s">
        <v>11718</v>
      </c>
      <c r="M1203" t="s">
        <v>11719</v>
      </c>
      <c r="N1203" t="s">
        <v>11720</v>
      </c>
      <c r="O1203" t="s">
        <v>11721</v>
      </c>
      <c r="P1203" t="s">
        <v>11722</v>
      </c>
      <c r="Q1203" t="s">
        <v>11723</v>
      </c>
      <c r="R1203" t="s">
        <v>11724</v>
      </c>
      <c r="S1203" t="s">
        <v>11725</v>
      </c>
      <c r="T1203" t="s">
        <v>11726</v>
      </c>
      <c r="U1203" s="5">
        <v>1902.84</v>
      </c>
      <c r="V1203" s="5">
        <v>1446.78</v>
      </c>
      <c r="W1203" s="5">
        <v>15.563969</v>
      </c>
      <c r="X1203" s="5">
        <v>108.482575</v>
      </c>
      <c r="Y1203" s="5">
        <v>456.06</v>
      </c>
      <c r="Z1203" s="5">
        <v>15.546303999999999</v>
      </c>
      <c r="AA1203" s="5">
        <v>108.490387</v>
      </c>
      <c r="AB1203" s="7">
        <f t="shared" si="109"/>
        <v>2.1701700000000002</v>
      </c>
      <c r="AC1203" s="7">
        <f t="shared" si="110"/>
        <v>0.68409000000000009</v>
      </c>
      <c r="AD1203" s="6" t="str">
        <f t="shared" si="111"/>
        <v>Hương Trà</v>
      </c>
      <c r="AE1203" s="6" t="str">
        <f t="shared" si="112"/>
        <v>Tam Kỳ</v>
      </c>
      <c r="AG1203">
        <f t="shared" si="113"/>
        <v>1.44678</v>
      </c>
      <c r="AH1203">
        <f t="shared" si="114"/>
        <v>0.45606000000000002</v>
      </c>
    </row>
    <row r="1204" spans="1:34" x14ac:dyDescent="0.25">
      <c r="A1204" t="s">
        <v>11727</v>
      </c>
      <c r="B1204" t="s">
        <v>11552</v>
      </c>
      <c r="C1204" t="s">
        <v>11553</v>
      </c>
      <c r="D1204" t="s">
        <v>11728</v>
      </c>
      <c r="E1204" t="s">
        <v>11729</v>
      </c>
      <c r="F1204" t="s">
        <v>11730</v>
      </c>
      <c r="H1204" t="s">
        <v>16230</v>
      </c>
      <c r="I1204" t="s">
        <v>17010</v>
      </c>
      <c r="J1204" t="s">
        <v>23</v>
      </c>
      <c r="L1204" t="s">
        <v>11718</v>
      </c>
      <c r="M1204" t="s">
        <v>11731</v>
      </c>
      <c r="N1204" t="s">
        <v>11720</v>
      </c>
      <c r="O1204" t="s">
        <v>11721</v>
      </c>
      <c r="P1204" t="s">
        <v>11722</v>
      </c>
      <c r="Q1204" t="s">
        <v>11732</v>
      </c>
      <c r="R1204" t="s">
        <v>11733</v>
      </c>
      <c r="S1204" t="s">
        <v>11734</v>
      </c>
      <c r="T1204" t="s">
        <v>11726</v>
      </c>
      <c r="U1204" s="5">
        <v>1876.33</v>
      </c>
      <c r="V1204" s="5">
        <v>1446.78</v>
      </c>
      <c r="W1204" s="5">
        <v>15.563969</v>
      </c>
      <c r="X1204" s="5">
        <v>108.482575</v>
      </c>
      <c r="Y1204" s="5">
        <v>429.55</v>
      </c>
      <c r="Z1204" s="5">
        <v>15.544556999999999</v>
      </c>
      <c r="AA1204" s="5">
        <v>108.488028</v>
      </c>
      <c r="AB1204" s="7">
        <f t="shared" si="109"/>
        <v>2.1701700000000002</v>
      </c>
      <c r="AC1204" s="7">
        <f t="shared" si="110"/>
        <v>0.64432500000000004</v>
      </c>
      <c r="AD1204" s="6" t="str">
        <f t="shared" si="111"/>
        <v>Hương Trà</v>
      </c>
      <c r="AE1204" s="6" t="str">
        <f t="shared" si="112"/>
        <v>Tam Kỳ</v>
      </c>
      <c r="AG1204">
        <f t="shared" si="113"/>
        <v>1.44678</v>
      </c>
      <c r="AH1204">
        <f t="shared" si="114"/>
        <v>0.42954999999999999</v>
      </c>
    </row>
    <row r="1205" spans="1:34" x14ac:dyDescent="0.25">
      <c r="A1205" t="s">
        <v>11735</v>
      </c>
      <c r="B1205" t="s">
        <v>11552</v>
      </c>
      <c r="C1205" t="s">
        <v>11553</v>
      </c>
      <c r="D1205" t="s">
        <v>11524</v>
      </c>
      <c r="E1205" t="s">
        <v>11525</v>
      </c>
      <c r="F1205" t="s">
        <v>11554</v>
      </c>
      <c r="H1205" t="s">
        <v>16230</v>
      </c>
      <c r="I1205" t="s">
        <v>16993</v>
      </c>
      <c r="J1205" t="s">
        <v>23</v>
      </c>
      <c r="L1205" t="s">
        <v>11555</v>
      </c>
      <c r="M1205" t="s">
        <v>11556</v>
      </c>
      <c r="N1205" t="s">
        <v>11560</v>
      </c>
      <c r="O1205" t="s">
        <v>11561</v>
      </c>
      <c r="P1205" t="s">
        <v>11562</v>
      </c>
      <c r="Q1205" t="s">
        <v>11557</v>
      </c>
      <c r="R1205" t="s">
        <v>11558</v>
      </c>
      <c r="S1205" t="s">
        <v>11559</v>
      </c>
      <c r="T1205" t="s">
        <v>11563</v>
      </c>
      <c r="U1205" s="5">
        <v>5601.75</v>
      </c>
      <c r="V1205" s="5">
        <v>77.23</v>
      </c>
      <c r="W1205" s="5">
        <v>15.574672</v>
      </c>
      <c r="X1205" s="5">
        <v>108.47391</v>
      </c>
      <c r="Y1205" s="5">
        <v>5524.52</v>
      </c>
      <c r="Z1205" s="5">
        <v>15.621184</v>
      </c>
      <c r="AA1205" s="5">
        <v>108.444299</v>
      </c>
      <c r="AB1205" s="7">
        <f t="shared" si="109"/>
        <v>0.115845</v>
      </c>
      <c r="AC1205" s="7">
        <f t="shared" si="110"/>
        <v>8.2867800000000003</v>
      </c>
      <c r="AD1205" s="6" t="str">
        <f t="shared" si="111"/>
        <v>TT2 Tam Kỳ</v>
      </c>
      <c r="AE1205" s="6" t="str">
        <f t="shared" si="112"/>
        <v>Thăng Bình</v>
      </c>
      <c r="AG1205">
        <f t="shared" si="113"/>
        <v>7.7230000000000007E-2</v>
      </c>
      <c r="AH1205">
        <f t="shared" si="114"/>
        <v>5.5245200000000008</v>
      </c>
    </row>
    <row r="1206" spans="1:34" x14ac:dyDescent="0.25">
      <c r="A1206" t="s">
        <v>11735</v>
      </c>
      <c r="B1206" t="s">
        <v>11552</v>
      </c>
      <c r="C1206" t="s">
        <v>11553</v>
      </c>
      <c r="D1206" t="s">
        <v>11524</v>
      </c>
      <c r="E1206" t="s">
        <v>11525</v>
      </c>
      <c r="F1206" t="s">
        <v>11554</v>
      </c>
      <c r="H1206" t="s">
        <v>16230</v>
      </c>
      <c r="I1206" t="s">
        <v>16993</v>
      </c>
      <c r="J1206" t="s">
        <v>23</v>
      </c>
      <c r="L1206" t="s">
        <v>11555</v>
      </c>
      <c r="M1206" t="s">
        <v>11556</v>
      </c>
      <c r="N1206" t="s">
        <v>11560</v>
      </c>
      <c r="O1206" t="s">
        <v>11561</v>
      </c>
      <c r="P1206" t="s">
        <v>11562</v>
      </c>
      <c r="Q1206" t="s">
        <v>11557</v>
      </c>
      <c r="R1206" t="s">
        <v>11558</v>
      </c>
      <c r="S1206" t="s">
        <v>11559</v>
      </c>
      <c r="T1206" t="s">
        <v>11563</v>
      </c>
      <c r="U1206" s="5">
        <v>5601.75</v>
      </c>
      <c r="V1206" s="5">
        <v>77.23</v>
      </c>
      <c r="W1206" s="5">
        <v>15.574672</v>
      </c>
      <c r="X1206" s="5">
        <v>108.47391</v>
      </c>
      <c r="Y1206" s="5">
        <v>5524.52</v>
      </c>
      <c r="Z1206" s="5">
        <v>15.621184</v>
      </c>
      <c r="AA1206" s="5">
        <v>108.444299</v>
      </c>
      <c r="AB1206" s="7">
        <f t="shared" si="109"/>
        <v>0.115845</v>
      </c>
      <c r="AC1206" s="7">
        <f t="shared" si="110"/>
        <v>8.2867800000000003</v>
      </c>
      <c r="AD1206" s="6" t="str">
        <f t="shared" si="111"/>
        <v>TT2 Tam Kỳ</v>
      </c>
      <c r="AE1206" s="6" t="str">
        <f t="shared" si="112"/>
        <v>Thăng Bình</v>
      </c>
      <c r="AG1206">
        <f t="shared" si="113"/>
        <v>7.7230000000000007E-2</v>
      </c>
      <c r="AH1206">
        <f t="shared" si="114"/>
        <v>5.5245200000000008</v>
      </c>
    </row>
    <row r="1207" spans="1:34" x14ac:dyDescent="0.25">
      <c r="A1207" t="s">
        <v>11736</v>
      </c>
      <c r="B1207" t="s">
        <v>11737</v>
      </c>
      <c r="C1207" t="s">
        <v>11738</v>
      </c>
      <c r="D1207" t="s">
        <v>11739</v>
      </c>
      <c r="E1207" t="s">
        <v>11740</v>
      </c>
      <c r="F1207" t="s">
        <v>11741</v>
      </c>
      <c r="G1207" t="s">
        <v>15827</v>
      </c>
      <c r="H1207" t="s">
        <v>15831</v>
      </c>
      <c r="I1207" t="s">
        <v>17011</v>
      </c>
      <c r="J1207" t="s">
        <v>23</v>
      </c>
      <c r="L1207" t="s">
        <v>11742</v>
      </c>
      <c r="M1207" t="s">
        <v>11743</v>
      </c>
      <c r="N1207" t="s">
        <v>522</v>
      </c>
      <c r="O1207" t="s">
        <v>11744</v>
      </c>
      <c r="P1207" t="s">
        <v>11745</v>
      </c>
      <c r="Q1207" t="s">
        <v>11746</v>
      </c>
      <c r="R1207" t="s">
        <v>11744</v>
      </c>
      <c r="S1207" t="s">
        <v>11745</v>
      </c>
      <c r="T1207" t="s">
        <v>11747</v>
      </c>
      <c r="U1207" s="5">
        <v>251.51</v>
      </c>
      <c r="V1207" s="5">
        <v>37.74</v>
      </c>
      <c r="W1207" s="5">
        <v>16.035793000000002</v>
      </c>
      <c r="X1207" s="5">
        <v>108.212664</v>
      </c>
      <c r="Y1207" s="5">
        <v>213.77</v>
      </c>
      <c r="Z1207" s="5">
        <v>16.035793000000002</v>
      </c>
      <c r="AA1207" s="5">
        <v>108.212664</v>
      </c>
      <c r="AB1207" s="7">
        <f t="shared" si="109"/>
        <v>5.6610000000000001E-2</v>
      </c>
      <c r="AC1207" s="7">
        <f t="shared" si="110"/>
        <v>0.32065500000000002</v>
      </c>
      <c r="AD1207" s="6" t="str">
        <f t="shared" si="111"/>
        <v>PC08</v>
      </c>
      <c r="AE1207" s="6" t="str">
        <f t="shared" si="112"/>
        <v>PC07</v>
      </c>
      <c r="AG1207">
        <f t="shared" si="113"/>
        <v>3.7740000000000003E-2</v>
      </c>
      <c r="AH1207">
        <f t="shared" si="114"/>
        <v>0.21377000000000002</v>
      </c>
    </row>
    <row r="1208" spans="1:34" x14ac:dyDescent="0.25">
      <c r="A1208" t="s">
        <v>11748</v>
      </c>
      <c r="B1208" t="s">
        <v>11749</v>
      </c>
      <c r="C1208" t="s">
        <v>11750</v>
      </c>
      <c r="D1208" t="s">
        <v>11751</v>
      </c>
      <c r="E1208" t="s">
        <v>11752</v>
      </c>
      <c r="F1208" t="s">
        <v>11753</v>
      </c>
      <c r="G1208" t="s">
        <v>15827</v>
      </c>
      <c r="H1208" t="s">
        <v>15831</v>
      </c>
      <c r="I1208" t="s">
        <v>17012</v>
      </c>
      <c r="J1208" t="s">
        <v>23</v>
      </c>
      <c r="L1208" t="s">
        <v>11754</v>
      </c>
      <c r="M1208" t="s">
        <v>11755</v>
      </c>
      <c r="N1208" t="s">
        <v>11756</v>
      </c>
      <c r="O1208" t="s">
        <v>11757</v>
      </c>
      <c r="P1208" t="s">
        <v>11758</v>
      </c>
      <c r="Q1208" t="s">
        <v>11759</v>
      </c>
      <c r="R1208" t="s">
        <v>11760</v>
      </c>
      <c r="S1208" t="s">
        <v>11761</v>
      </c>
      <c r="T1208" t="s">
        <v>11762</v>
      </c>
      <c r="U1208" s="5">
        <v>512.45000000000005</v>
      </c>
      <c r="V1208" s="5">
        <v>2.19</v>
      </c>
      <c r="W1208" s="5">
        <v>16.011855000000001</v>
      </c>
      <c r="X1208" s="5">
        <v>108.19738700000001</v>
      </c>
      <c r="Y1208" s="5">
        <v>510.27</v>
      </c>
      <c r="Z1208" s="5">
        <v>16.011551999999998</v>
      </c>
      <c r="AA1208" s="5">
        <v>108.19746000000001</v>
      </c>
      <c r="AB1208" s="7">
        <f t="shared" si="109"/>
        <v>3.2850000000000002E-3</v>
      </c>
      <c r="AC1208" s="7">
        <f t="shared" si="110"/>
        <v>0.765405</v>
      </c>
      <c r="AD1208" s="6" t="str">
        <f t="shared" si="111"/>
        <v>Ngũ Hành Sơn</v>
      </c>
      <c r="AE1208" s="6" t="str">
        <f t="shared" si="112"/>
        <v>Cẩm Lệ</v>
      </c>
      <c r="AG1208">
        <f t="shared" si="113"/>
        <v>2.1900000000000001E-3</v>
      </c>
      <c r="AH1208">
        <f t="shared" si="114"/>
        <v>0.51027</v>
      </c>
    </row>
    <row r="1209" spans="1:34" x14ac:dyDescent="0.25">
      <c r="A1209" t="s">
        <v>11763</v>
      </c>
      <c r="B1209" t="s">
        <v>11749</v>
      </c>
      <c r="C1209" t="s">
        <v>11750</v>
      </c>
      <c r="D1209" t="s">
        <v>11764</v>
      </c>
      <c r="E1209" t="s">
        <v>11765</v>
      </c>
      <c r="F1209" t="s">
        <v>11766</v>
      </c>
      <c r="G1209" t="s">
        <v>15827</v>
      </c>
      <c r="H1209" t="s">
        <v>15831</v>
      </c>
      <c r="I1209" t="s">
        <v>17013</v>
      </c>
      <c r="J1209" t="s">
        <v>23</v>
      </c>
      <c r="L1209" t="s">
        <v>11106</v>
      </c>
      <c r="M1209" t="s">
        <v>11767</v>
      </c>
      <c r="N1209" t="s">
        <v>11768</v>
      </c>
      <c r="O1209" t="s">
        <v>11769</v>
      </c>
      <c r="P1209" t="s">
        <v>11770</v>
      </c>
      <c r="Q1209" t="s">
        <v>11771</v>
      </c>
      <c r="R1209" t="s">
        <v>11772</v>
      </c>
      <c r="S1209" t="s">
        <v>11773</v>
      </c>
      <c r="T1209" t="s">
        <v>11114</v>
      </c>
      <c r="U1209" s="5">
        <v>188.49</v>
      </c>
      <c r="V1209" s="5">
        <v>33.950000000000003</v>
      </c>
      <c r="W1209" s="5">
        <v>16.011571</v>
      </c>
      <c r="X1209" s="5">
        <v>108.197464</v>
      </c>
      <c r="Y1209" s="5">
        <v>154.54</v>
      </c>
      <c r="Z1209" s="5">
        <v>16.010859</v>
      </c>
      <c r="AA1209" s="5">
        <v>108.195474</v>
      </c>
      <c r="AB1209" s="7">
        <f t="shared" si="109"/>
        <v>5.0925000000000005E-2</v>
      </c>
      <c r="AC1209" s="7">
        <f t="shared" si="110"/>
        <v>0.23181000000000002</v>
      </c>
      <c r="AD1209" s="6" t="str">
        <f t="shared" si="111"/>
        <v>Hòa Xuân</v>
      </c>
      <c r="AE1209" s="6" t="str">
        <f t="shared" si="112"/>
        <v>TTKV Cẩm Lệ</v>
      </c>
      <c r="AG1209">
        <f t="shared" si="113"/>
        <v>3.3950000000000001E-2</v>
      </c>
      <c r="AH1209">
        <f t="shared" si="114"/>
        <v>0.15453999999999998</v>
      </c>
    </row>
    <row r="1210" spans="1:34" x14ac:dyDescent="0.25">
      <c r="A1210" t="s">
        <v>11774</v>
      </c>
      <c r="B1210" t="s">
        <v>11749</v>
      </c>
      <c r="C1210" t="s">
        <v>11750</v>
      </c>
      <c r="D1210" t="s">
        <v>11775</v>
      </c>
      <c r="E1210" t="s">
        <v>11776</v>
      </c>
      <c r="F1210" t="s">
        <v>11777</v>
      </c>
      <c r="G1210" t="s">
        <v>15827</v>
      </c>
      <c r="H1210" t="s">
        <v>15831</v>
      </c>
      <c r="I1210" t="s">
        <v>17014</v>
      </c>
      <c r="J1210" t="s">
        <v>23</v>
      </c>
      <c r="L1210" t="s">
        <v>11106</v>
      </c>
      <c r="M1210" t="s">
        <v>11778</v>
      </c>
      <c r="N1210" t="s">
        <v>11768</v>
      </c>
      <c r="O1210" t="s">
        <v>11769</v>
      </c>
      <c r="P1210" t="s">
        <v>11770</v>
      </c>
      <c r="Q1210" t="s">
        <v>11779</v>
      </c>
      <c r="R1210" t="s">
        <v>11780</v>
      </c>
      <c r="S1210" t="s">
        <v>11781</v>
      </c>
      <c r="T1210" t="s">
        <v>11114</v>
      </c>
      <c r="U1210" s="5">
        <v>570.08000000000004</v>
      </c>
      <c r="V1210" s="5">
        <v>33.950000000000003</v>
      </c>
      <c r="W1210" s="5">
        <v>16.011571</v>
      </c>
      <c r="X1210" s="5">
        <v>108.197464</v>
      </c>
      <c r="Y1210" s="5">
        <v>536.13</v>
      </c>
      <c r="Z1210" s="5">
        <v>16.012028000000001</v>
      </c>
      <c r="AA1210" s="5">
        <v>108.198609</v>
      </c>
      <c r="AB1210" s="7">
        <f t="shared" si="109"/>
        <v>5.0925000000000005E-2</v>
      </c>
      <c r="AC1210" s="7">
        <f t="shared" si="110"/>
        <v>0.80419499999999988</v>
      </c>
      <c r="AD1210" s="6" t="str">
        <f t="shared" si="111"/>
        <v>Hòa Xuân</v>
      </c>
      <c r="AE1210" s="6" t="str">
        <f t="shared" si="112"/>
        <v>TTKV Cẩm Lệ</v>
      </c>
      <c r="AG1210">
        <f t="shared" si="113"/>
        <v>3.3950000000000001E-2</v>
      </c>
      <c r="AH1210">
        <f t="shared" si="114"/>
        <v>0.53613</v>
      </c>
    </row>
    <row r="1211" spans="1:34" x14ac:dyDescent="0.25">
      <c r="A1211" t="s">
        <v>11782</v>
      </c>
      <c r="B1211" t="s">
        <v>4841</v>
      </c>
      <c r="C1211" t="s">
        <v>4842</v>
      </c>
      <c r="D1211" t="s">
        <v>11783</v>
      </c>
      <c r="E1211" t="s">
        <v>11784</v>
      </c>
      <c r="F1211" t="s">
        <v>11785</v>
      </c>
      <c r="G1211" t="s">
        <v>15827</v>
      </c>
      <c r="H1211" t="s">
        <v>15828</v>
      </c>
      <c r="I1211" t="s">
        <v>17015</v>
      </c>
      <c r="J1211" t="s">
        <v>23</v>
      </c>
      <c r="L1211" t="s">
        <v>11742</v>
      </c>
      <c r="M1211" t="s">
        <v>11786</v>
      </c>
      <c r="N1211" t="s">
        <v>11787</v>
      </c>
      <c r="O1211" t="s">
        <v>11788</v>
      </c>
      <c r="P1211" t="s">
        <v>11789</v>
      </c>
      <c r="Q1211" t="s">
        <v>11790</v>
      </c>
      <c r="R1211" t="s">
        <v>11791</v>
      </c>
      <c r="S1211" t="s">
        <v>11792</v>
      </c>
      <c r="T1211" t="s">
        <v>11793</v>
      </c>
      <c r="U1211" s="5">
        <v>1975.84</v>
      </c>
      <c r="V1211" s="5">
        <v>18.12</v>
      </c>
      <c r="W1211" s="5">
        <v>16.007725000000001</v>
      </c>
      <c r="X1211" s="5">
        <v>108.217546</v>
      </c>
      <c r="Y1211" s="5">
        <v>1957.72</v>
      </c>
      <c r="Z1211" s="5">
        <v>16.010805000000001</v>
      </c>
      <c r="AA1211" s="5">
        <v>108.21711500000001</v>
      </c>
      <c r="AB1211" s="7">
        <f t="shared" si="109"/>
        <v>2.7179999999999999E-2</v>
      </c>
      <c r="AC1211" s="7">
        <f t="shared" si="110"/>
        <v>2.9365799999999997</v>
      </c>
      <c r="AD1211" s="6" t="str">
        <f t="shared" si="111"/>
        <v>PC08</v>
      </c>
      <c r="AE1211" s="6" t="str">
        <f t="shared" si="112"/>
        <v>PC07</v>
      </c>
      <c r="AG1211">
        <f t="shared" si="113"/>
        <v>1.8120000000000001E-2</v>
      </c>
      <c r="AH1211">
        <f t="shared" si="114"/>
        <v>1.9577200000000001</v>
      </c>
    </row>
    <row r="1212" spans="1:34" x14ac:dyDescent="0.25">
      <c r="A1212" t="s">
        <v>11794</v>
      </c>
      <c r="B1212" t="s">
        <v>4841</v>
      </c>
      <c r="C1212" t="s">
        <v>4842</v>
      </c>
      <c r="D1212" t="s">
        <v>11795</v>
      </c>
      <c r="E1212" t="s">
        <v>11796</v>
      </c>
      <c r="F1212" t="s">
        <v>11797</v>
      </c>
      <c r="G1212" t="s">
        <v>15827</v>
      </c>
      <c r="H1212" t="s">
        <v>15831</v>
      </c>
      <c r="I1212" t="s">
        <v>17016</v>
      </c>
      <c r="J1212" t="s">
        <v>23</v>
      </c>
      <c r="L1212" t="s">
        <v>11742</v>
      </c>
      <c r="M1212" t="s">
        <v>11798</v>
      </c>
      <c r="N1212" t="s">
        <v>11787</v>
      </c>
      <c r="O1212" t="s">
        <v>11788</v>
      </c>
      <c r="P1212" t="s">
        <v>11789</v>
      </c>
      <c r="Q1212" t="s">
        <v>11799</v>
      </c>
      <c r="R1212" t="s">
        <v>11791</v>
      </c>
      <c r="S1212" t="s">
        <v>11792</v>
      </c>
      <c r="T1212" t="s">
        <v>11793</v>
      </c>
      <c r="U1212" s="5">
        <v>710.52</v>
      </c>
      <c r="V1212" s="5">
        <v>18.12</v>
      </c>
      <c r="W1212" s="5">
        <v>16.007725000000001</v>
      </c>
      <c r="X1212" s="5">
        <v>108.217546</v>
      </c>
      <c r="Y1212" s="5">
        <v>692.39</v>
      </c>
      <c r="Z1212" s="5">
        <v>16.010805000000001</v>
      </c>
      <c r="AA1212" s="5">
        <v>108.21711500000001</v>
      </c>
      <c r="AB1212" s="7">
        <f t="shared" si="109"/>
        <v>2.7179999999999999E-2</v>
      </c>
      <c r="AC1212" s="7">
        <f t="shared" si="110"/>
        <v>1.0385850000000001</v>
      </c>
      <c r="AD1212" s="6" t="str">
        <f t="shared" si="111"/>
        <v>PC08</v>
      </c>
      <c r="AE1212" s="6" t="str">
        <f t="shared" si="112"/>
        <v>PC07</v>
      </c>
      <c r="AG1212">
        <f t="shared" si="113"/>
        <v>1.8120000000000001E-2</v>
      </c>
      <c r="AH1212">
        <f t="shared" si="114"/>
        <v>0.69238999999999995</v>
      </c>
    </row>
    <row r="1213" spans="1:34" x14ac:dyDescent="0.25">
      <c r="A1213" t="s">
        <v>11800</v>
      </c>
      <c r="B1213" t="s">
        <v>4841</v>
      </c>
      <c r="C1213" t="s">
        <v>4842</v>
      </c>
      <c r="D1213" t="s">
        <v>11801</v>
      </c>
      <c r="E1213" t="s">
        <v>11802</v>
      </c>
      <c r="F1213" t="s">
        <v>11803</v>
      </c>
      <c r="G1213" t="s">
        <v>15827</v>
      </c>
      <c r="H1213" t="s">
        <v>15831</v>
      </c>
      <c r="I1213" t="s">
        <v>17017</v>
      </c>
      <c r="J1213" t="s">
        <v>23</v>
      </c>
      <c r="L1213" t="s">
        <v>11742</v>
      </c>
      <c r="M1213" t="s">
        <v>11804</v>
      </c>
      <c r="N1213" t="s">
        <v>11787</v>
      </c>
      <c r="O1213" t="s">
        <v>11788</v>
      </c>
      <c r="P1213" t="s">
        <v>11789</v>
      </c>
      <c r="Q1213" t="s">
        <v>11805</v>
      </c>
      <c r="R1213" t="s">
        <v>11806</v>
      </c>
      <c r="S1213" t="s">
        <v>11807</v>
      </c>
      <c r="T1213" t="s">
        <v>11793</v>
      </c>
      <c r="U1213" s="5">
        <v>1232.94</v>
      </c>
      <c r="V1213" s="5">
        <v>18.12</v>
      </c>
      <c r="W1213" s="5">
        <v>16.007725000000001</v>
      </c>
      <c r="X1213" s="5">
        <v>108.217546</v>
      </c>
      <c r="Y1213" s="5">
        <v>1214.82</v>
      </c>
      <c r="Z1213" s="5">
        <v>16.008358000000001</v>
      </c>
      <c r="AA1213" s="5">
        <v>108.218391</v>
      </c>
      <c r="AB1213" s="7">
        <f t="shared" si="109"/>
        <v>2.7179999999999999E-2</v>
      </c>
      <c r="AC1213" s="7">
        <f t="shared" si="110"/>
        <v>1.82223</v>
      </c>
      <c r="AD1213" s="6" t="str">
        <f t="shared" si="111"/>
        <v>PC08</v>
      </c>
      <c r="AE1213" s="6" t="str">
        <f t="shared" si="112"/>
        <v>PC07</v>
      </c>
      <c r="AG1213">
        <f t="shared" si="113"/>
        <v>1.8120000000000001E-2</v>
      </c>
      <c r="AH1213">
        <f t="shared" si="114"/>
        <v>1.21482</v>
      </c>
    </row>
    <row r="1214" spans="1:34" x14ac:dyDescent="0.25">
      <c r="A1214" t="s">
        <v>11808</v>
      </c>
      <c r="B1214" t="s">
        <v>4841</v>
      </c>
      <c r="C1214" t="s">
        <v>4842</v>
      </c>
      <c r="D1214" t="s">
        <v>11809</v>
      </c>
      <c r="E1214" t="s">
        <v>11810</v>
      </c>
      <c r="F1214" t="s">
        <v>11811</v>
      </c>
      <c r="G1214" t="s">
        <v>15827</v>
      </c>
      <c r="H1214" t="s">
        <v>15828</v>
      </c>
      <c r="I1214" t="s">
        <v>17018</v>
      </c>
      <c r="J1214" t="s">
        <v>23</v>
      </c>
      <c r="L1214" t="s">
        <v>11742</v>
      </c>
      <c r="M1214" t="s">
        <v>11812</v>
      </c>
      <c r="N1214" t="s">
        <v>11787</v>
      </c>
      <c r="O1214" t="s">
        <v>11788</v>
      </c>
      <c r="P1214" t="s">
        <v>11789</v>
      </c>
      <c r="Q1214" t="s">
        <v>11813</v>
      </c>
      <c r="R1214" t="s">
        <v>11791</v>
      </c>
      <c r="S1214" t="s">
        <v>11792</v>
      </c>
      <c r="T1214" t="s">
        <v>11793</v>
      </c>
      <c r="U1214" s="5">
        <v>1411.01</v>
      </c>
      <c r="V1214" s="5">
        <v>18.12</v>
      </c>
      <c r="W1214" s="5">
        <v>16.007725000000001</v>
      </c>
      <c r="X1214" s="5">
        <v>108.217546</v>
      </c>
      <c r="Y1214" s="5">
        <v>1392.89</v>
      </c>
      <c r="Z1214" s="5">
        <v>16.010805000000001</v>
      </c>
      <c r="AA1214" s="5">
        <v>108.21711500000001</v>
      </c>
      <c r="AB1214" s="7">
        <f t="shared" si="109"/>
        <v>2.7179999999999999E-2</v>
      </c>
      <c r="AC1214" s="7">
        <f t="shared" si="110"/>
        <v>2.0893350000000002</v>
      </c>
      <c r="AD1214" s="6" t="str">
        <f t="shared" si="111"/>
        <v>PC08</v>
      </c>
      <c r="AE1214" s="6" t="str">
        <f t="shared" si="112"/>
        <v>PC07</v>
      </c>
      <c r="AG1214">
        <f t="shared" si="113"/>
        <v>1.8120000000000001E-2</v>
      </c>
      <c r="AH1214">
        <f t="shared" si="114"/>
        <v>1.3928900000000002</v>
      </c>
    </row>
    <row r="1215" spans="1:34" x14ac:dyDescent="0.25">
      <c r="A1215" t="s">
        <v>11814</v>
      </c>
      <c r="B1215" t="s">
        <v>11815</v>
      </c>
      <c r="C1215" t="s">
        <v>11816</v>
      </c>
      <c r="D1215" t="s">
        <v>11817</v>
      </c>
      <c r="E1215" t="s">
        <v>11818</v>
      </c>
      <c r="F1215" t="s">
        <v>11819</v>
      </c>
      <c r="G1215" t="s">
        <v>15827</v>
      </c>
      <c r="H1215" t="s">
        <v>15831</v>
      </c>
      <c r="I1215" t="s">
        <v>17019</v>
      </c>
      <c r="J1215" t="s">
        <v>23</v>
      </c>
      <c r="L1215" t="s">
        <v>11820</v>
      </c>
      <c r="M1215" t="s">
        <v>11821</v>
      </c>
      <c r="N1215" t="s">
        <v>3721</v>
      </c>
      <c r="O1215" t="s">
        <v>11822</v>
      </c>
      <c r="P1215" t="s">
        <v>11823</v>
      </c>
      <c r="Q1215" t="s">
        <v>11824</v>
      </c>
      <c r="R1215" t="s">
        <v>11825</v>
      </c>
      <c r="S1215" t="s">
        <v>11826</v>
      </c>
      <c r="T1215" t="s">
        <v>11827</v>
      </c>
      <c r="U1215" s="5">
        <v>86.32</v>
      </c>
      <c r="V1215" s="5">
        <v>16.7</v>
      </c>
      <c r="W1215" s="5">
        <v>16.066120000000002</v>
      </c>
      <c r="X1215" s="5">
        <v>108.221645</v>
      </c>
      <c r="Y1215" s="5">
        <v>69.62</v>
      </c>
      <c r="Z1215" s="5">
        <v>16.066289999999999</v>
      </c>
      <c r="AA1215" s="5">
        <v>108.221667</v>
      </c>
      <c r="AB1215" s="7">
        <f t="shared" si="109"/>
        <v>2.5049999999999996E-2</v>
      </c>
      <c r="AC1215" s="7">
        <f t="shared" si="110"/>
        <v>0.10443000000000001</v>
      </c>
      <c r="AD1215" s="6" t="str">
        <f t="shared" si="111"/>
        <v>PA07</v>
      </c>
      <c r="AE1215" s="6" t="str">
        <f t="shared" si="112"/>
        <v>PA06</v>
      </c>
      <c r="AG1215">
        <f t="shared" si="113"/>
        <v>1.67E-2</v>
      </c>
      <c r="AH1215">
        <f t="shared" si="114"/>
        <v>6.9620000000000001E-2</v>
      </c>
    </row>
    <row r="1216" spans="1:34" x14ac:dyDescent="0.25">
      <c r="A1216" t="s">
        <v>11828</v>
      </c>
      <c r="B1216" t="s">
        <v>11815</v>
      </c>
      <c r="C1216" t="s">
        <v>11816</v>
      </c>
      <c r="D1216" t="s">
        <v>11829</v>
      </c>
      <c r="E1216" t="s">
        <v>11830</v>
      </c>
      <c r="F1216" t="s">
        <v>11831</v>
      </c>
      <c r="G1216" t="s">
        <v>15827</v>
      </c>
      <c r="H1216" t="s">
        <v>15831</v>
      </c>
      <c r="I1216" t="s">
        <v>17020</v>
      </c>
      <c r="J1216" t="s">
        <v>23</v>
      </c>
      <c r="L1216" t="s">
        <v>11820</v>
      </c>
      <c r="M1216" t="s">
        <v>11832</v>
      </c>
      <c r="N1216" t="s">
        <v>3721</v>
      </c>
      <c r="O1216" t="s">
        <v>11822</v>
      </c>
      <c r="P1216" t="s">
        <v>11823</v>
      </c>
      <c r="Q1216" t="s">
        <v>11833</v>
      </c>
      <c r="R1216" t="s">
        <v>11834</v>
      </c>
      <c r="S1216" t="s">
        <v>11835</v>
      </c>
      <c r="T1216" t="s">
        <v>11827</v>
      </c>
      <c r="U1216" s="5">
        <v>174.97</v>
      </c>
      <c r="V1216" s="5">
        <v>16.7</v>
      </c>
      <c r="W1216" s="5">
        <v>16.066120000000002</v>
      </c>
      <c r="X1216" s="5">
        <v>108.221645</v>
      </c>
      <c r="Y1216" s="5">
        <v>158.27000000000001</v>
      </c>
      <c r="Z1216" s="5">
        <v>16.066134000000002</v>
      </c>
      <c r="AA1216" s="5">
        <v>108.223629</v>
      </c>
      <c r="AB1216" s="7">
        <f t="shared" si="109"/>
        <v>2.5049999999999996E-2</v>
      </c>
      <c r="AC1216" s="7">
        <f t="shared" si="110"/>
        <v>0.23740500000000003</v>
      </c>
      <c r="AD1216" s="6" t="str">
        <f t="shared" si="111"/>
        <v>PA07</v>
      </c>
      <c r="AE1216" s="6" t="str">
        <f t="shared" si="112"/>
        <v>PA06</v>
      </c>
      <c r="AG1216">
        <f t="shared" si="113"/>
        <v>1.67E-2</v>
      </c>
      <c r="AH1216">
        <f t="shared" si="114"/>
        <v>0.15827000000000002</v>
      </c>
    </row>
    <row r="1217" spans="1:34" x14ac:dyDescent="0.25">
      <c r="A1217" t="s">
        <v>11836</v>
      </c>
      <c r="B1217" t="s">
        <v>11815</v>
      </c>
      <c r="C1217" t="s">
        <v>11816</v>
      </c>
      <c r="D1217" t="s">
        <v>11837</v>
      </c>
      <c r="E1217" t="s">
        <v>11838</v>
      </c>
      <c r="F1217" t="s">
        <v>11839</v>
      </c>
      <c r="G1217" t="s">
        <v>15827</v>
      </c>
      <c r="H1217" t="s">
        <v>15831</v>
      </c>
      <c r="I1217" t="s">
        <v>17021</v>
      </c>
      <c r="J1217" t="s">
        <v>23</v>
      </c>
      <c r="L1217" t="s">
        <v>11820</v>
      </c>
      <c r="M1217" t="s">
        <v>11840</v>
      </c>
      <c r="N1217" t="s">
        <v>3721</v>
      </c>
      <c r="O1217" t="s">
        <v>11822</v>
      </c>
      <c r="P1217" t="s">
        <v>11823</v>
      </c>
      <c r="Q1217" t="s">
        <v>11841</v>
      </c>
      <c r="R1217" t="s">
        <v>11834</v>
      </c>
      <c r="S1217" t="s">
        <v>11835</v>
      </c>
      <c r="T1217" t="s">
        <v>11827</v>
      </c>
      <c r="U1217" s="5">
        <v>130.54</v>
      </c>
      <c r="V1217" s="5">
        <v>16.7</v>
      </c>
      <c r="W1217" s="5">
        <v>16.066120000000002</v>
      </c>
      <c r="X1217" s="5">
        <v>108.221645</v>
      </c>
      <c r="Y1217" s="5">
        <v>113.84</v>
      </c>
      <c r="Z1217" s="5">
        <v>16.066134000000002</v>
      </c>
      <c r="AA1217" s="5">
        <v>108.223629</v>
      </c>
      <c r="AB1217" s="7">
        <f t="shared" si="109"/>
        <v>2.5049999999999996E-2</v>
      </c>
      <c r="AC1217" s="7">
        <f t="shared" si="110"/>
        <v>0.17076</v>
      </c>
      <c r="AD1217" s="6" t="str">
        <f t="shared" si="111"/>
        <v>PA07</v>
      </c>
      <c r="AE1217" s="6" t="str">
        <f t="shared" si="112"/>
        <v>PA06</v>
      </c>
      <c r="AG1217">
        <f t="shared" si="113"/>
        <v>1.67E-2</v>
      </c>
      <c r="AH1217">
        <f t="shared" si="114"/>
        <v>0.11384</v>
      </c>
    </row>
    <row r="1218" spans="1:34" x14ac:dyDescent="0.25">
      <c r="A1218" t="s">
        <v>11842</v>
      </c>
      <c r="B1218" t="s">
        <v>11815</v>
      </c>
      <c r="C1218" t="s">
        <v>11816</v>
      </c>
      <c r="D1218" t="s">
        <v>11843</v>
      </c>
      <c r="E1218" t="s">
        <v>11844</v>
      </c>
      <c r="F1218" t="s">
        <v>11845</v>
      </c>
      <c r="G1218" t="s">
        <v>15827</v>
      </c>
      <c r="H1218" t="s">
        <v>16230</v>
      </c>
      <c r="I1218" t="s">
        <v>17022</v>
      </c>
      <c r="J1218" t="s">
        <v>23</v>
      </c>
      <c r="L1218" t="s">
        <v>11846</v>
      </c>
      <c r="M1218" t="s">
        <v>11847</v>
      </c>
      <c r="N1218" t="s">
        <v>11848</v>
      </c>
      <c r="O1218" t="s">
        <v>11849</v>
      </c>
      <c r="P1218" t="s">
        <v>11850</v>
      </c>
      <c r="Q1218" t="s">
        <v>11851</v>
      </c>
      <c r="R1218" t="s">
        <v>11852</v>
      </c>
      <c r="S1218" t="s">
        <v>11853</v>
      </c>
      <c r="T1218" t="s">
        <v>11854</v>
      </c>
      <c r="U1218" s="5">
        <v>273.16000000000003</v>
      </c>
      <c r="V1218" s="5">
        <v>70.849999999999994</v>
      </c>
      <c r="W1218" s="5">
        <v>16.065805999999998</v>
      </c>
      <c r="X1218" s="5">
        <v>108.222388</v>
      </c>
      <c r="Y1218" s="5">
        <v>202.32</v>
      </c>
      <c r="Z1218" s="5">
        <v>16.062224000000001</v>
      </c>
      <c r="AA1218" s="5">
        <v>108.21966</v>
      </c>
      <c r="AB1218" s="7">
        <f t="shared" si="109"/>
        <v>0.10627499999999999</v>
      </c>
      <c r="AC1218" s="7">
        <f t="shared" si="110"/>
        <v>0.30348000000000003</v>
      </c>
      <c r="AD1218" s="6" t="str">
        <f t="shared" si="111"/>
        <v>Hải Châu</v>
      </c>
      <c r="AE1218" s="6" t="str">
        <f t="shared" si="112"/>
        <v>Hòa Cường</v>
      </c>
      <c r="AG1218">
        <f t="shared" si="113"/>
        <v>7.0849999999999996E-2</v>
      </c>
      <c r="AH1218">
        <f t="shared" si="114"/>
        <v>0.20232</v>
      </c>
    </row>
    <row r="1219" spans="1:34" x14ac:dyDescent="0.25">
      <c r="A1219" t="s">
        <v>11855</v>
      </c>
      <c r="B1219" t="s">
        <v>11815</v>
      </c>
      <c r="C1219" t="s">
        <v>11816</v>
      </c>
      <c r="D1219" t="s">
        <v>11856</v>
      </c>
      <c r="E1219" t="s">
        <v>11857</v>
      </c>
      <c r="F1219" t="s">
        <v>11858</v>
      </c>
      <c r="G1219" t="s">
        <v>15827</v>
      </c>
      <c r="H1219" t="s">
        <v>16230</v>
      </c>
      <c r="I1219" t="s">
        <v>17023</v>
      </c>
      <c r="J1219" t="s">
        <v>23</v>
      </c>
      <c r="L1219" t="s">
        <v>11846</v>
      </c>
      <c r="M1219" t="s">
        <v>11859</v>
      </c>
      <c r="N1219" t="s">
        <v>11848</v>
      </c>
      <c r="O1219" t="s">
        <v>11849</v>
      </c>
      <c r="P1219" t="s">
        <v>11850</v>
      </c>
      <c r="Q1219" t="s">
        <v>11860</v>
      </c>
      <c r="R1219" t="s">
        <v>11861</v>
      </c>
      <c r="S1219" t="s">
        <v>11862</v>
      </c>
      <c r="T1219" t="s">
        <v>11854</v>
      </c>
      <c r="U1219" s="5">
        <v>90.31</v>
      </c>
      <c r="V1219" s="5">
        <v>70.849999999999994</v>
      </c>
      <c r="W1219" s="5">
        <v>16.065805999999998</v>
      </c>
      <c r="X1219" s="5">
        <v>108.222388</v>
      </c>
      <c r="Y1219" s="5">
        <v>19.47</v>
      </c>
      <c r="Z1219" s="5">
        <v>16.071145999999999</v>
      </c>
      <c r="AA1219" s="5">
        <v>108.22106100000001</v>
      </c>
      <c r="AB1219" s="7">
        <f t="shared" ref="AB1219:AB1282" si="115">V1219*1.5/1000</f>
        <v>0.10627499999999999</v>
      </c>
      <c r="AC1219" s="7">
        <f t="shared" ref="AC1219:AC1282" si="116">Y1219*1.5/1000</f>
        <v>2.9204999999999998E-2</v>
      </c>
      <c r="AD1219" s="6" t="str">
        <f t="shared" ref="AD1219:AD1282" si="117">TRIM(LEFT(L1219,FIND("-",L1219)-1))</f>
        <v>Hải Châu</v>
      </c>
      <c r="AE1219" s="6" t="str">
        <f t="shared" ref="AE1219:AE1282" si="118">TRIM(RIGHT(L1219, LEN(L1219) - FIND("-", L1219)))</f>
        <v>Hòa Cường</v>
      </c>
      <c r="AG1219">
        <f t="shared" ref="AG1219:AG1282" si="119">V1219/1000</f>
        <v>7.0849999999999996E-2</v>
      </c>
      <c r="AH1219">
        <f t="shared" ref="AH1219:AH1282" si="120">Y1219/1000</f>
        <v>1.9469999999999998E-2</v>
      </c>
    </row>
    <row r="1220" spans="1:34" x14ac:dyDescent="0.25">
      <c r="A1220" t="s">
        <v>11863</v>
      </c>
      <c r="B1220" t="s">
        <v>11864</v>
      </c>
      <c r="C1220" t="s">
        <v>11865</v>
      </c>
      <c r="D1220" t="s">
        <v>11866</v>
      </c>
      <c r="E1220" t="s">
        <v>11867</v>
      </c>
      <c r="F1220" t="s">
        <v>11868</v>
      </c>
      <c r="H1220" t="s">
        <v>15831</v>
      </c>
      <c r="I1220" t="s">
        <v>17024</v>
      </c>
      <c r="J1220" t="s">
        <v>23</v>
      </c>
      <c r="L1220" t="s">
        <v>11846</v>
      </c>
      <c r="M1220" t="s">
        <v>11869</v>
      </c>
      <c r="N1220" t="s">
        <v>11870</v>
      </c>
      <c r="O1220" t="s">
        <v>11871</v>
      </c>
      <c r="P1220" t="s">
        <v>11872</v>
      </c>
      <c r="Q1220" t="s">
        <v>11873</v>
      </c>
      <c r="R1220" t="s">
        <v>11874</v>
      </c>
      <c r="S1220" t="s">
        <v>11875</v>
      </c>
      <c r="T1220" t="s">
        <v>11854</v>
      </c>
      <c r="U1220" s="5">
        <v>276.48</v>
      </c>
      <c r="V1220" s="5">
        <v>68.41</v>
      </c>
      <c r="W1220" s="5">
        <v>16.078868</v>
      </c>
      <c r="X1220" s="5">
        <v>108.22156699999999</v>
      </c>
      <c r="Y1220" s="5">
        <v>208.08</v>
      </c>
      <c r="Z1220" s="5">
        <v>16.073931000000002</v>
      </c>
      <c r="AA1220" s="5">
        <v>108.220707</v>
      </c>
      <c r="AB1220" s="7">
        <f t="shared" si="115"/>
        <v>0.102615</v>
      </c>
      <c r="AC1220" s="7">
        <f t="shared" si="116"/>
        <v>0.31212000000000001</v>
      </c>
      <c r="AD1220" s="6" t="str">
        <f t="shared" si="117"/>
        <v>Hải Châu</v>
      </c>
      <c r="AE1220" s="6" t="str">
        <f t="shared" si="118"/>
        <v>Hòa Cường</v>
      </c>
      <c r="AG1220">
        <f t="shared" si="119"/>
        <v>6.8409999999999999E-2</v>
      </c>
      <c r="AH1220">
        <f t="shared" si="120"/>
        <v>0.20808000000000001</v>
      </c>
    </row>
    <row r="1221" spans="1:34" x14ac:dyDescent="0.25">
      <c r="A1221" t="s">
        <v>11876</v>
      </c>
      <c r="B1221" t="s">
        <v>11877</v>
      </c>
      <c r="C1221" t="s">
        <v>11878</v>
      </c>
      <c r="D1221" t="s">
        <v>11879</v>
      </c>
      <c r="E1221" t="s">
        <v>11880</v>
      </c>
      <c r="F1221" t="s">
        <v>11881</v>
      </c>
      <c r="G1221" t="s">
        <v>15827</v>
      </c>
      <c r="H1221" t="s">
        <v>15831</v>
      </c>
      <c r="I1221" t="s">
        <v>17025</v>
      </c>
      <c r="J1221" t="s">
        <v>23</v>
      </c>
      <c r="L1221" t="s">
        <v>11882</v>
      </c>
      <c r="M1221" t="s">
        <v>11883</v>
      </c>
      <c r="N1221" t="s">
        <v>11884</v>
      </c>
      <c r="O1221" t="s">
        <v>11885</v>
      </c>
      <c r="P1221" t="s">
        <v>11886</v>
      </c>
      <c r="Q1221" t="s">
        <v>11887</v>
      </c>
      <c r="R1221" t="s">
        <v>11888</v>
      </c>
      <c r="S1221" t="s">
        <v>11889</v>
      </c>
      <c r="T1221" t="s">
        <v>11890</v>
      </c>
      <c r="U1221" s="5">
        <v>172.38</v>
      </c>
      <c r="V1221" s="5">
        <v>11.45</v>
      </c>
      <c r="W1221" s="5">
        <v>16.037827</v>
      </c>
      <c r="X1221" s="5">
        <v>108.215503</v>
      </c>
      <c r="Y1221" s="5">
        <v>160.93</v>
      </c>
      <c r="Z1221" s="5">
        <v>16.036906999999999</v>
      </c>
      <c r="AA1221" s="5">
        <v>108.216774</v>
      </c>
      <c r="AB1221" s="7">
        <f t="shared" si="115"/>
        <v>1.7174999999999996E-2</v>
      </c>
      <c r="AC1221" s="7">
        <f t="shared" si="116"/>
        <v>0.241395</v>
      </c>
      <c r="AD1221" s="6" t="str">
        <f t="shared" si="117"/>
        <v>Hòa CƯờng</v>
      </c>
      <c r="AE1221" s="6" t="str">
        <f t="shared" si="118"/>
        <v>TTKV Cẩm Lệ</v>
      </c>
      <c r="AG1221">
        <f t="shared" si="119"/>
        <v>1.145E-2</v>
      </c>
      <c r="AH1221">
        <f t="shared" si="120"/>
        <v>0.16093000000000002</v>
      </c>
    </row>
    <row r="1222" spans="1:34" x14ac:dyDescent="0.25">
      <c r="A1222" t="s">
        <v>11891</v>
      </c>
      <c r="B1222" t="s">
        <v>11877</v>
      </c>
      <c r="C1222" t="s">
        <v>11878</v>
      </c>
      <c r="D1222" t="s">
        <v>11892</v>
      </c>
      <c r="E1222" t="s">
        <v>11893</v>
      </c>
      <c r="F1222" t="s">
        <v>11894</v>
      </c>
      <c r="G1222" t="s">
        <v>15827</v>
      </c>
      <c r="H1222" t="s">
        <v>15831</v>
      </c>
      <c r="I1222" t="s">
        <v>17026</v>
      </c>
      <c r="J1222" t="s">
        <v>23</v>
      </c>
      <c r="L1222" t="s">
        <v>11846</v>
      </c>
      <c r="M1222" t="s">
        <v>11895</v>
      </c>
      <c r="N1222" t="s">
        <v>11896</v>
      </c>
      <c r="O1222" t="s">
        <v>11897</v>
      </c>
      <c r="P1222" t="s">
        <v>11898</v>
      </c>
      <c r="Q1222" t="s">
        <v>11899</v>
      </c>
      <c r="R1222" t="s">
        <v>11900</v>
      </c>
      <c r="S1222" t="s">
        <v>11901</v>
      </c>
      <c r="T1222" t="s">
        <v>11854</v>
      </c>
      <c r="U1222" s="5">
        <v>45.27</v>
      </c>
      <c r="V1222" s="5">
        <v>7.13</v>
      </c>
      <c r="W1222" s="5">
        <v>16.037737</v>
      </c>
      <c r="X1222" s="5">
        <v>108.215386</v>
      </c>
      <c r="Y1222" s="5">
        <v>38.14</v>
      </c>
      <c r="Z1222" s="5">
        <v>16.039169000000001</v>
      </c>
      <c r="AA1222" s="5">
        <v>108.215182</v>
      </c>
      <c r="AB1222" s="7">
        <f t="shared" si="115"/>
        <v>1.0695E-2</v>
      </c>
      <c r="AC1222" s="7">
        <f t="shared" si="116"/>
        <v>5.7210000000000004E-2</v>
      </c>
      <c r="AD1222" s="6" t="str">
        <f t="shared" si="117"/>
        <v>Hải Châu</v>
      </c>
      <c r="AE1222" s="6" t="str">
        <f t="shared" si="118"/>
        <v>Hòa Cường</v>
      </c>
      <c r="AG1222">
        <f t="shared" si="119"/>
        <v>7.1300000000000001E-3</v>
      </c>
      <c r="AH1222">
        <f t="shared" si="120"/>
        <v>3.814E-2</v>
      </c>
    </row>
    <row r="1223" spans="1:34" x14ac:dyDescent="0.25">
      <c r="A1223" t="s">
        <v>11902</v>
      </c>
      <c r="B1223" t="s">
        <v>11866</v>
      </c>
      <c r="C1223" t="s">
        <v>11867</v>
      </c>
      <c r="D1223" t="s">
        <v>11864</v>
      </c>
      <c r="E1223" t="s">
        <v>11865</v>
      </c>
      <c r="F1223" t="s">
        <v>11868</v>
      </c>
      <c r="H1223" t="s">
        <v>15831</v>
      </c>
      <c r="I1223" t="s">
        <v>17024</v>
      </c>
      <c r="J1223" t="s">
        <v>23</v>
      </c>
      <c r="L1223" t="s">
        <v>11846</v>
      </c>
      <c r="M1223" t="s">
        <v>11869</v>
      </c>
      <c r="N1223" t="s">
        <v>11873</v>
      </c>
      <c r="O1223" t="s">
        <v>11874</v>
      </c>
      <c r="P1223" t="s">
        <v>11875</v>
      </c>
      <c r="Q1223" t="s">
        <v>11870</v>
      </c>
      <c r="R1223" t="s">
        <v>11871</v>
      </c>
      <c r="S1223" t="s">
        <v>11872</v>
      </c>
      <c r="T1223" t="s">
        <v>11854</v>
      </c>
      <c r="U1223" s="5">
        <v>276.48</v>
      </c>
      <c r="V1223" s="5">
        <v>208.08</v>
      </c>
      <c r="W1223" s="5">
        <v>16.073931000000002</v>
      </c>
      <c r="X1223" s="5">
        <v>108.220707</v>
      </c>
      <c r="Y1223" s="5">
        <v>68.41</v>
      </c>
      <c r="Z1223" s="5">
        <v>16.078868</v>
      </c>
      <c r="AA1223" s="5">
        <v>108.22156699999999</v>
      </c>
      <c r="AB1223" s="7">
        <f t="shared" si="115"/>
        <v>0.31212000000000001</v>
      </c>
      <c r="AC1223" s="7">
        <f t="shared" si="116"/>
        <v>0.102615</v>
      </c>
      <c r="AD1223" s="6" t="str">
        <f t="shared" si="117"/>
        <v>Hải Châu</v>
      </c>
      <c r="AE1223" s="6" t="str">
        <f t="shared" si="118"/>
        <v>Hòa Cường</v>
      </c>
      <c r="AG1223">
        <f t="shared" si="119"/>
        <v>0.20808000000000001</v>
      </c>
      <c r="AH1223">
        <f t="shared" si="120"/>
        <v>6.8409999999999999E-2</v>
      </c>
    </row>
    <row r="1224" spans="1:34" x14ac:dyDescent="0.25">
      <c r="A1224" t="s">
        <v>11903</v>
      </c>
      <c r="B1224" t="s">
        <v>11904</v>
      </c>
      <c r="C1224" t="s">
        <v>11905</v>
      </c>
      <c r="D1224" t="s">
        <v>11906</v>
      </c>
      <c r="E1224" t="s">
        <v>11907</v>
      </c>
      <c r="F1224" t="s">
        <v>11908</v>
      </c>
      <c r="G1224" t="s">
        <v>15827</v>
      </c>
      <c r="H1224" t="s">
        <v>15831</v>
      </c>
      <c r="I1224" t="s">
        <v>17027</v>
      </c>
      <c r="J1224" t="s">
        <v>23</v>
      </c>
      <c r="L1224" t="s">
        <v>11129</v>
      </c>
      <c r="M1224" t="s">
        <v>11909</v>
      </c>
      <c r="N1224" t="s">
        <v>317</v>
      </c>
      <c r="O1224" t="s">
        <v>11910</v>
      </c>
      <c r="P1224" t="s">
        <v>11911</v>
      </c>
      <c r="Q1224" t="s">
        <v>11912</v>
      </c>
      <c r="R1224" t="s">
        <v>11913</v>
      </c>
      <c r="S1224" t="s">
        <v>11914</v>
      </c>
      <c r="T1224" t="s">
        <v>11915</v>
      </c>
      <c r="U1224" s="5">
        <v>50.42</v>
      </c>
      <c r="V1224" s="5">
        <v>7.22</v>
      </c>
      <c r="W1224" s="5">
        <v>16.052781</v>
      </c>
      <c r="X1224" s="5">
        <v>108.203267</v>
      </c>
      <c r="Y1224" s="5">
        <v>43.2</v>
      </c>
      <c r="Z1224" s="5">
        <v>16.051763000000001</v>
      </c>
      <c r="AA1224" s="5">
        <v>108.209971</v>
      </c>
      <c r="AB1224" s="7">
        <f t="shared" si="115"/>
        <v>1.0829999999999999E-2</v>
      </c>
      <c r="AC1224" s="7">
        <f t="shared" si="116"/>
        <v>6.480000000000001E-2</v>
      </c>
      <c r="AD1224" s="6" t="e">
        <f t="shared" si="117"/>
        <v>#VALUE!</v>
      </c>
      <c r="AE1224" s="6" t="e">
        <f t="shared" si="118"/>
        <v>#VALUE!</v>
      </c>
      <c r="AG1224">
        <f t="shared" si="119"/>
        <v>7.2199999999999999E-3</v>
      </c>
      <c r="AH1224">
        <f t="shared" si="120"/>
        <v>4.3200000000000002E-2</v>
      </c>
    </row>
    <row r="1225" spans="1:34" x14ac:dyDescent="0.25">
      <c r="A1225" t="s">
        <v>11916</v>
      </c>
      <c r="B1225" t="s">
        <v>11904</v>
      </c>
      <c r="C1225" t="s">
        <v>11905</v>
      </c>
      <c r="D1225" t="s">
        <v>11917</v>
      </c>
      <c r="E1225" t="s">
        <v>11918</v>
      </c>
      <c r="F1225" t="s">
        <v>11919</v>
      </c>
      <c r="G1225" t="s">
        <v>15827</v>
      </c>
      <c r="H1225" t="s">
        <v>15828</v>
      </c>
      <c r="I1225" t="s">
        <v>17028</v>
      </c>
      <c r="J1225" t="s">
        <v>23</v>
      </c>
      <c r="L1225" t="s">
        <v>11129</v>
      </c>
      <c r="M1225" t="s">
        <v>11920</v>
      </c>
      <c r="N1225" t="s">
        <v>317</v>
      </c>
      <c r="O1225" t="s">
        <v>11910</v>
      </c>
      <c r="P1225" t="s">
        <v>11911</v>
      </c>
      <c r="Q1225" t="s">
        <v>11921</v>
      </c>
      <c r="R1225" t="s">
        <v>11922</v>
      </c>
      <c r="S1225" t="s">
        <v>11923</v>
      </c>
      <c r="T1225" t="s">
        <v>11915</v>
      </c>
      <c r="U1225" s="5">
        <v>434.2</v>
      </c>
      <c r="V1225" s="5">
        <v>7.22</v>
      </c>
      <c r="W1225" s="5">
        <v>16.052781</v>
      </c>
      <c r="X1225" s="5">
        <v>108.203267</v>
      </c>
      <c r="Y1225" s="5">
        <v>426.99</v>
      </c>
      <c r="Z1225" s="5">
        <v>16.050820000000002</v>
      </c>
      <c r="AA1225" s="5">
        <v>108.20695000000001</v>
      </c>
      <c r="AB1225" s="7">
        <f t="shared" si="115"/>
        <v>1.0829999999999999E-2</v>
      </c>
      <c r="AC1225" s="7">
        <f t="shared" si="116"/>
        <v>0.64048499999999997</v>
      </c>
      <c r="AD1225" s="6" t="e">
        <f t="shared" si="117"/>
        <v>#VALUE!</v>
      </c>
      <c r="AE1225" s="6" t="e">
        <f t="shared" si="118"/>
        <v>#VALUE!</v>
      </c>
      <c r="AG1225">
        <f t="shared" si="119"/>
        <v>7.2199999999999999E-3</v>
      </c>
      <c r="AH1225">
        <f t="shared" si="120"/>
        <v>0.42699000000000004</v>
      </c>
    </row>
    <row r="1226" spans="1:34" x14ac:dyDescent="0.25">
      <c r="A1226" t="s">
        <v>11924</v>
      </c>
      <c r="B1226" t="s">
        <v>11925</v>
      </c>
      <c r="C1226" t="s">
        <v>11926</v>
      </c>
      <c r="D1226" t="s">
        <v>11927</v>
      </c>
      <c r="E1226" t="s">
        <v>11928</v>
      </c>
      <c r="F1226" t="s">
        <v>11929</v>
      </c>
      <c r="G1226" t="s">
        <v>15827</v>
      </c>
      <c r="H1226" t="s">
        <v>15831</v>
      </c>
      <c r="I1226" t="s">
        <v>17029</v>
      </c>
      <c r="J1226" t="s">
        <v>23</v>
      </c>
      <c r="L1226" t="s">
        <v>11930</v>
      </c>
      <c r="M1226" t="s">
        <v>11931</v>
      </c>
      <c r="N1226" t="s">
        <v>11932</v>
      </c>
      <c r="O1226" t="s">
        <v>11933</v>
      </c>
      <c r="P1226" t="s">
        <v>11934</v>
      </c>
      <c r="Q1226" t="s">
        <v>11935</v>
      </c>
      <c r="R1226" t="s">
        <v>11936</v>
      </c>
      <c r="S1226" t="s">
        <v>11937</v>
      </c>
      <c r="T1226" t="s">
        <v>11938</v>
      </c>
      <c r="U1226" s="5">
        <v>1313.57</v>
      </c>
      <c r="V1226" s="5">
        <v>878.82</v>
      </c>
      <c r="W1226" s="5">
        <v>15.981011000000001</v>
      </c>
      <c r="X1226" s="5">
        <v>108.208241</v>
      </c>
      <c r="Y1226" s="5">
        <v>434.75</v>
      </c>
      <c r="Z1226" s="5">
        <v>15.981517999999999</v>
      </c>
      <c r="AA1226" s="5">
        <v>108.21104</v>
      </c>
      <c r="AB1226" s="7">
        <f t="shared" si="115"/>
        <v>1.31823</v>
      </c>
      <c r="AC1226" s="7">
        <f t="shared" si="116"/>
        <v>0.65212499999999995</v>
      </c>
      <c r="AD1226" s="6" t="str">
        <f t="shared" si="117"/>
        <v>C09</v>
      </c>
      <c r="AE1226" s="6" t="str">
        <f t="shared" si="118"/>
        <v>A06</v>
      </c>
      <c r="AG1226">
        <f t="shared" si="119"/>
        <v>0.87882000000000005</v>
      </c>
      <c r="AH1226">
        <f t="shared" si="120"/>
        <v>0.43475000000000003</v>
      </c>
    </row>
    <row r="1227" spans="1:34" x14ac:dyDescent="0.25">
      <c r="A1227" t="s">
        <v>11939</v>
      </c>
      <c r="B1227" t="s">
        <v>11925</v>
      </c>
      <c r="C1227" t="s">
        <v>11926</v>
      </c>
      <c r="D1227" t="s">
        <v>11940</v>
      </c>
      <c r="E1227" t="s">
        <v>11941</v>
      </c>
      <c r="F1227" t="s">
        <v>11942</v>
      </c>
      <c r="G1227" t="s">
        <v>15827</v>
      </c>
      <c r="H1227" t="s">
        <v>15831</v>
      </c>
      <c r="I1227" t="s">
        <v>17030</v>
      </c>
      <c r="J1227" t="s">
        <v>23</v>
      </c>
      <c r="L1227" t="s">
        <v>11943</v>
      </c>
      <c r="M1227" t="s">
        <v>11944</v>
      </c>
      <c r="N1227" t="s">
        <v>11945</v>
      </c>
      <c r="O1227" t="s">
        <v>11946</v>
      </c>
      <c r="P1227" t="s">
        <v>11947</v>
      </c>
      <c r="Q1227" t="s">
        <v>11948</v>
      </c>
      <c r="R1227" t="s">
        <v>11949</v>
      </c>
      <c r="S1227" t="s">
        <v>11950</v>
      </c>
      <c r="T1227" t="s">
        <v>11951</v>
      </c>
      <c r="U1227" s="5">
        <v>1383.89</v>
      </c>
      <c r="V1227" s="5">
        <v>764.05</v>
      </c>
      <c r="W1227" s="5">
        <v>15.982775999999999</v>
      </c>
      <c r="X1227" s="5">
        <v>108.208083</v>
      </c>
      <c r="Y1227" s="5">
        <v>619.83000000000004</v>
      </c>
      <c r="Z1227" s="5">
        <v>15.972878</v>
      </c>
      <c r="AA1227" s="5">
        <v>108.208688</v>
      </c>
      <c r="AB1227" s="7">
        <f t="shared" si="115"/>
        <v>1.1460749999999997</v>
      </c>
      <c r="AC1227" s="7">
        <f t="shared" si="116"/>
        <v>0.92974500000000015</v>
      </c>
      <c r="AD1227" s="6" t="str">
        <f t="shared" si="117"/>
        <v>Cẩm Lệ</v>
      </c>
      <c r="AE1227" s="6" t="str">
        <f t="shared" si="118"/>
        <v>Điện Bàn</v>
      </c>
      <c r="AG1227">
        <f t="shared" si="119"/>
        <v>0.76405000000000001</v>
      </c>
      <c r="AH1227">
        <f t="shared" si="120"/>
        <v>0.61982999999999999</v>
      </c>
    </row>
    <row r="1228" spans="1:34" x14ac:dyDescent="0.25">
      <c r="A1228" t="s">
        <v>11952</v>
      </c>
      <c r="B1228" t="s">
        <v>11925</v>
      </c>
      <c r="C1228" t="s">
        <v>11926</v>
      </c>
      <c r="D1228" t="s">
        <v>11953</v>
      </c>
      <c r="E1228" t="s">
        <v>11954</v>
      </c>
      <c r="F1228" t="s">
        <v>11955</v>
      </c>
      <c r="G1228" t="s">
        <v>15827</v>
      </c>
      <c r="H1228" t="s">
        <v>15831</v>
      </c>
      <c r="I1228" t="s">
        <v>17031</v>
      </c>
      <c r="J1228" t="s">
        <v>23</v>
      </c>
      <c r="L1228" t="s">
        <v>11930</v>
      </c>
      <c r="M1228" t="s">
        <v>11956</v>
      </c>
      <c r="N1228" t="s">
        <v>11932</v>
      </c>
      <c r="O1228" t="s">
        <v>11933</v>
      </c>
      <c r="P1228" t="s">
        <v>11934</v>
      </c>
      <c r="Q1228" t="s">
        <v>11957</v>
      </c>
      <c r="R1228" t="s">
        <v>11958</v>
      </c>
      <c r="S1228" t="s">
        <v>11959</v>
      </c>
      <c r="T1228" t="s">
        <v>11938</v>
      </c>
      <c r="U1228" s="5">
        <v>970.19</v>
      </c>
      <c r="V1228" s="5">
        <v>878.82</v>
      </c>
      <c r="W1228" s="5">
        <v>15.981011000000001</v>
      </c>
      <c r="X1228" s="5">
        <v>108.208241</v>
      </c>
      <c r="Y1228" s="5">
        <v>91.37</v>
      </c>
      <c r="Z1228" s="5">
        <v>15.982246</v>
      </c>
      <c r="AA1228" s="5">
        <v>108.211079</v>
      </c>
      <c r="AB1228" s="7">
        <f t="shared" si="115"/>
        <v>1.31823</v>
      </c>
      <c r="AC1228" s="7">
        <f t="shared" si="116"/>
        <v>0.13705500000000001</v>
      </c>
      <c r="AD1228" s="6" t="str">
        <f t="shared" si="117"/>
        <v>C09</v>
      </c>
      <c r="AE1228" s="6" t="str">
        <f t="shared" si="118"/>
        <v>A06</v>
      </c>
      <c r="AG1228">
        <f t="shared" si="119"/>
        <v>0.87882000000000005</v>
      </c>
      <c r="AH1228">
        <f t="shared" si="120"/>
        <v>9.1370000000000007E-2</v>
      </c>
    </row>
    <row r="1229" spans="1:34" x14ac:dyDescent="0.25">
      <c r="A1229" t="s">
        <v>11960</v>
      </c>
      <c r="B1229" t="s">
        <v>11925</v>
      </c>
      <c r="C1229" t="s">
        <v>11926</v>
      </c>
      <c r="D1229" t="s">
        <v>11961</v>
      </c>
      <c r="E1229" t="s">
        <v>11962</v>
      </c>
      <c r="F1229" t="s">
        <v>11963</v>
      </c>
      <c r="G1229" t="s">
        <v>15827</v>
      </c>
      <c r="H1229" t="s">
        <v>15831</v>
      </c>
      <c r="I1229" t="s">
        <v>17032</v>
      </c>
      <c r="J1229" t="s">
        <v>23</v>
      </c>
      <c r="L1229" t="s">
        <v>11964</v>
      </c>
      <c r="M1229" t="s">
        <v>11965</v>
      </c>
      <c r="N1229" t="s">
        <v>11966</v>
      </c>
      <c r="O1229" t="s">
        <v>11967</v>
      </c>
      <c r="P1229" t="s">
        <v>11968</v>
      </c>
      <c r="Q1229" t="s">
        <v>11969</v>
      </c>
      <c r="R1229" t="s">
        <v>11967</v>
      </c>
      <c r="S1229" t="s">
        <v>11968</v>
      </c>
      <c r="T1229" t="s">
        <v>11970</v>
      </c>
      <c r="U1229" s="5">
        <v>71.22</v>
      </c>
      <c r="V1229" s="5">
        <v>3.69</v>
      </c>
      <c r="W1229" s="5">
        <v>15.985678999999999</v>
      </c>
      <c r="X1229" s="5">
        <v>108.201567</v>
      </c>
      <c r="Y1229" s="5">
        <v>67.53</v>
      </c>
      <c r="Z1229" s="5">
        <v>15.985678999999999</v>
      </c>
      <c r="AA1229" s="5">
        <v>108.201567</v>
      </c>
      <c r="AB1229" s="7">
        <f t="shared" si="115"/>
        <v>5.535E-3</v>
      </c>
      <c r="AC1229" s="7">
        <f t="shared" si="116"/>
        <v>0.101295</v>
      </c>
      <c r="AD1229" s="6" t="str">
        <f t="shared" si="117"/>
        <v>TTKV Ngũ Hành Sơn</v>
      </c>
      <c r="AE1229" s="6" t="str">
        <f t="shared" si="118"/>
        <v>Hòa Xuân</v>
      </c>
      <c r="AG1229">
        <f t="shared" si="119"/>
        <v>3.6900000000000001E-3</v>
      </c>
      <c r="AH1229">
        <f t="shared" si="120"/>
        <v>6.7530000000000007E-2</v>
      </c>
    </row>
    <row r="1230" spans="1:34" x14ac:dyDescent="0.25">
      <c r="A1230" t="s">
        <v>11971</v>
      </c>
      <c r="B1230" t="s">
        <v>11925</v>
      </c>
      <c r="C1230" t="s">
        <v>11926</v>
      </c>
      <c r="D1230" t="s">
        <v>11972</v>
      </c>
      <c r="E1230" t="s">
        <v>11973</v>
      </c>
      <c r="F1230" t="s">
        <v>11974</v>
      </c>
      <c r="G1230" t="s">
        <v>15827</v>
      </c>
      <c r="H1230" t="s">
        <v>15831</v>
      </c>
      <c r="I1230" t="s">
        <v>17033</v>
      </c>
      <c r="J1230" t="s">
        <v>23</v>
      </c>
      <c r="L1230" t="s">
        <v>11930</v>
      </c>
      <c r="M1230" t="s">
        <v>11975</v>
      </c>
      <c r="N1230" t="s">
        <v>11932</v>
      </c>
      <c r="O1230" t="s">
        <v>11933</v>
      </c>
      <c r="P1230" t="s">
        <v>11934</v>
      </c>
      <c r="Q1230" t="s">
        <v>11976</v>
      </c>
      <c r="R1230" t="s">
        <v>11936</v>
      </c>
      <c r="S1230" t="s">
        <v>11937</v>
      </c>
      <c r="T1230" t="s">
        <v>11938</v>
      </c>
      <c r="U1230" s="5">
        <v>1039.6600000000001</v>
      </c>
      <c r="V1230" s="5">
        <v>878.82</v>
      </c>
      <c r="W1230" s="5">
        <v>15.981011000000001</v>
      </c>
      <c r="X1230" s="5">
        <v>108.208241</v>
      </c>
      <c r="Y1230" s="5">
        <v>160.84</v>
      </c>
      <c r="Z1230" s="5">
        <v>15.981517999999999</v>
      </c>
      <c r="AA1230" s="5">
        <v>108.21104</v>
      </c>
      <c r="AB1230" s="7">
        <f t="shared" si="115"/>
        <v>1.31823</v>
      </c>
      <c r="AC1230" s="7">
        <f t="shared" si="116"/>
        <v>0.24126</v>
      </c>
      <c r="AD1230" s="6" t="str">
        <f t="shared" si="117"/>
        <v>C09</v>
      </c>
      <c r="AE1230" s="6" t="str">
        <f t="shared" si="118"/>
        <v>A06</v>
      </c>
      <c r="AG1230">
        <f t="shared" si="119"/>
        <v>0.87882000000000005</v>
      </c>
      <c r="AH1230">
        <f t="shared" si="120"/>
        <v>0.16084000000000001</v>
      </c>
    </row>
    <row r="1231" spans="1:34" x14ac:dyDescent="0.25">
      <c r="A1231" t="s">
        <v>11977</v>
      </c>
      <c r="B1231" t="s">
        <v>11925</v>
      </c>
      <c r="C1231" t="s">
        <v>11926</v>
      </c>
      <c r="D1231" t="e">
        <v>#N/A</v>
      </c>
      <c r="E1231" t="e">
        <v>#N/A</v>
      </c>
      <c r="F1231" t="s">
        <v>11978</v>
      </c>
      <c r="G1231" t="s">
        <v>15827</v>
      </c>
      <c r="H1231" t="s">
        <v>16230</v>
      </c>
      <c r="I1231" t="s">
        <v>17034</v>
      </c>
      <c r="J1231" t="s">
        <v>5239</v>
      </c>
      <c r="K1231" t="s">
        <v>11979</v>
      </c>
      <c r="AB1231" s="7">
        <f t="shared" si="115"/>
        <v>0</v>
      </c>
      <c r="AC1231" s="7">
        <f t="shared" si="116"/>
        <v>0</v>
      </c>
      <c r="AD1231" s="6" t="e">
        <f t="shared" si="117"/>
        <v>#VALUE!</v>
      </c>
      <c r="AE1231" s="6" t="e">
        <f t="shared" si="118"/>
        <v>#VALUE!</v>
      </c>
      <c r="AG1231">
        <f t="shared" si="119"/>
        <v>0</v>
      </c>
      <c r="AH1231">
        <f t="shared" si="120"/>
        <v>0</v>
      </c>
    </row>
    <row r="1232" spans="1:34" x14ac:dyDescent="0.25">
      <c r="A1232" t="s">
        <v>11980</v>
      </c>
      <c r="B1232" t="s">
        <v>11925</v>
      </c>
      <c r="C1232" t="s">
        <v>11926</v>
      </c>
      <c r="D1232" t="e">
        <v>#N/A</v>
      </c>
      <c r="E1232" t="e">
        <v>#N/A</v>
      </c>
      <c r="F1232" t="s">
        <v>11981</v>
      </c>
      <c r="G1232" t="s">
        <v>15827</v>
      </c>
      <c r="H1232" t="s">
        <v>16230</v>
      </c>
      <c r="I1232" t="s">
        <v>17035</v>
      </c>
      <c r="J1232" t="s">
        <v>5239</v>
      </c>
      <c r="K1232" t="s">
        <v>11979</v>
      </c>
      <c r="AB1232" s="7">
        <f t="shared" si="115"/>
        <v>0</v>
      </c>
      <c r="AC1232" s="7">
        <f t="shared" si="116"/>
        <v>0</v>
      </c>
      <c r="AD1232" s="6" t="e">
        <f t="shared" si="117"/>
        <v>#VALUE!</v>
      </c>
      <c r="AE1232" s="6" t="e">
        <f t="shared" si="118"/>
        <v>#VALUE!</v>
      </c>
      <c r="AG1232">
        <f t="shared" si="119"/>
        <v>0</v>
      </c>
      <c r="AH1232">
        <f t="shared" si="120"/>
        <v>0</v>
      </c>
    </row>
    <row r="1233" spans="1:34" x14ac:dyDescent="0.25">
      <c r="A1233" t="s">
        <v>11982</v>
      </c>
      <c r="B1233" t="s">
        <v>11983</v>
      </c>
      <c r="C1233" t="s">
        <v>11984</v>
      </c>
      <c r="D1233" t="s">
        <v>11985</v>
      </c>
      <c r="E1233" t="s">
        <v>11986</v>
      </c>
      <c r="F1233" t="s">
        <v>11987</v>
      </c>
      <c r="G1233" t="s">
        <v>15827</v>
      </c>
      <c r="H1233" t="s">
        <v>15831</v>
      </c>
      <c r="I1233" t="s">
        <v>17036</v>
      </c>
      <c r="J1233" t="s">
        <v>23</v>
      </c>
      <c r="L1233" t="s">
        <v>11988</v>
      </c>
      <c r="M1233" t="s">
        <v>11989</v>
      </c>
      <c r="N1233" t="s">
        <v>11990</v>
      </c>
      <c r="O1233" t="s">
        <v>11991</v>
      </c>
      <c r="P1233" t="s">
        <v>11992</v>
      </c>
      <c r="Q1233" t="s">
        <v>11993</v>
      </c>
      <c r="R1233" t="s">
        <v>11994</v>
      </c>
      <c r="S1233" t="s">
        <v>11995</v>
      </c>
      <c r="T1233" t="s">
        <v>11996</v>
      </c>
      <c r="U1233" s="5">
        <v>56.27</v>
      </c>
      <c r="V1233" s="5">
        <v>12.02</v>
      </c>
      <c r="W1233" s="5">
        <v>16.078043999999998</v>
      </c>
      <c r="X1233" s="5">
        <v>108.11501800000001</v>
      </c>
      <c r="Y1233" s="5">
        <v>44.25</v>
      </c>
      <c r="Z1233" s="5">
        <v>16.077950000000001</v>
      </c>
      <c r="AA1233" s="5">
        <v>108.11497199999999</v>
      </c>
      <c r="AB1233" s="7">
        <f t="shared" si="115"/>
        <v>1.8030000000000001E-2</v>
      </c>
      <c r="AC1233" s="7">
        <f t="shared" si="116"/>
        <v>6.6375000000000003E-2</v>
      </c>
      <c r="AD1233" s="6" t="str">
        <f t="shared" si="117"/>
        <v>Trạm CSGT Hòa Hiệp</v>
      </c>
      <c r="AE1233" s="6" t="str">
        <f t="shared" si="118"/>
        <v>Trại giam CATP</v>
      </c>
      <c r="AG1233">
        <f t="shared" si="119"/>
        <v>1.2019999999999999E-2</v>
      </c>
      <c r="AH1233">
        <f t="shared" si="120"/>
        <v>4.4249999999999998E-2</v>
      </c>
    </row>
    <row r="1234" spans="1:34" x14ac:dyDescent="0.25">
      <c r="A1234" t="s">
        <v>11997</v>
      </c>
      <c r="B1234" t="s">
        <v>11998</v>
      </c>
      <c r="C1234" t="s">
        <v>11999</v>
      </c>
      <c r="D1234" t="s">
        <v>12000</v>
      </c>
      <c r="E1234" t="s">
        <v>12001</v>
      </c>
      <c r="F1234" t="s">
        <v>12002</v>
      </c>
      <c r="G1234" t="s">
        <v>15827</v>
      </c>
      <c r="H1234" t="s">
        <v>16230</v>
      </c>
      <c r="I1234" t="s">
        <v>17037</v>
      </c>
      <c r="J1234" t="s">
        <v>23</v>
      </c>
      <c r="L1234" t="s">
        <v>12003</v>
      </c>
      <c r="M1234" t="s">
        <v>12004</v>
      </c>
      <c r="N1234" t="s">
        <v>12005</v>
      </c>
      <c r="O1234" t="s">
        <v>12006</v>
      </c>
      <c r="P1234" t="s">
        <v>12007</v>
      </c>
      <c r="Q1234" t="s">
        <v>12008</v>
      </c>
      <c r="R1234" t="s">
        <v>12009</v>
      </c>
      <c r="S1234" t="s">
        <v>12010</v>
      </c>
      <c r="T1234" t="s">
        <v>12011</v>
      </c>
      <c r="U1234" s="5">
        <v>1791</v>
      </c>
      <c r="V1234" s="5">
        <v>41.12</v>
      </c>
      <c r="W1234" s="5">
        <v>16.046609</v>
      </c>
      <c r="X1234" s="5">
        <v>108.15746300000001</v>
      </c>
      <c r="Y1234" s="5">
        <v>1749.89</v>
      </c>
      <c r="Z1234" s="5">
        <v>16.049126000000001</v>
      </c>
      <c r="AA1234" s="5">
        <v>108.160696</v>
      </c>
      <c r="AB1234" s="7">
        <f t="shared" si="115"/>
        <v>6.1679999999999992E-2</v>
      </c>
      <c r="AC1234" s="7">
        <f t="shared" si="116"/>
        <v>2.624835</v>
      </c>
      <c r="AD1234" s="6" t="str">
        <f t="shared" si="117"/>
        <v>TT1 Đà Nẵng</v>
      </c>
      <c r="AE1234" s="6" t="str">
        <f t="shared" si="118"/>
        <v>PK02</v>
      </c>
      <c r="AG1234">
        <f t="shared" si="119"/>
        <v>4.1119999999999997E-2</v>
      </c>
      <c r="AH1234">
        <f t="shared" si="120"/>
        <v>1.7498900000000002</v>
      </c>
    </row>
    <row r="1235" spans="1:34" x14ac:dyDescent="0.25">
      <c r="A1235" t="s">
        <v>12012</v>
      </c>
      <c r="B1235" t="s">
        <v>11998</v>
      </c>
      <c r="C1235" t="s">
        <v>11999</v>
      </c>
      <c r="D1235" t="s">
        <v>12013</v>
      </c>
      <c r="E1235" t="s">
        <v>12014</v>
      </c>
      <c r="F1235" t="s">
        <v>12015</v>
      </c>
      <c r="G1235" t="s">
        <v>15827</v>
      </c>
      <c r="H1235" t="s">
        <v>16230</v>
      </c>
      <c r="I1235" t="s">
        <v>17038</v>
      </c>
      <c r="J1235" t="s">
        <v>23</v>
      </c>
      <c r="L1235" t="s">
        <v>12016</v>
      </c>
      <c r="M1235" t="s">
        <v>12017</v>
      </c>
      <c r="N1235" t="s">
        <v>12018</v>
      </c>
      <c r="O1235" t="s">
        <v>12019</v>
      </c>
      <c r="P1235" t="s">
        <v>12020</v>
      </c>
      <c r="Q1235" t="s">
        <v>12021</v>
      </c>
      <c r="R1235" t="s">
        <v>12022</v>
      </c>
      <c r="S1235" t="s">
        <v>12023</v>
      </c>
      <c r="T1235" t="s">
        <v>12024</v>
      </c>
      <c r="U1235" s="5">
        <v>121.93</v>
      </c>
      <c r="V1235" s="5">
        <v>33.35</v>
      </c>
      <c r="W1235" s="5">
        <v>16.046617000000001</v>
      </c>
      <c r="X1235" s="5">
        <v>108.15738899999999</v>
      </c>
      <c r="Y1235" s="5">
        <v>88.58</v>
      </c>
      <c r="Z1235" s="5">
        <v>16.053637999999999</v>
      </c>
      <c r="AA1235" s="5">
        <v>108.157757</v>
      </c>
      <c r="AB1235" s="7">
        <f t="shared" si="115"/>
        <v>5.0025000000000007E-2</v>
      </c>
      <c r="AC1235" s="7">
        <f t="shared" si="116"/>
        <v>0.13287000000000002</v>
      </c>
      <c r="AD1235" s="6" t="str">
        <f t="shared" si="117"/>
        <v>PK02</v>
      </c>
      <c r="AE1235" s="6" t="str">
        <f t="shared" si="118"/>
        <v>TTCMKV Liên Chiểu</v>
      </c>
      <c r="AG1235">
        <f t="shared" si="119"/>
        <v>3.3350000000000005E-2</v>
      </c>
      <c r="AH1235">
        <f t="shared" si="120"/>
        <v>8.8579999999999992E-2</v>
      </c>
    </row>
    <row r="1236" spans="1:34" x14ac:dyDescent="0.25">
      <c r="A1236" t="s">
        <v>12025</v>
      </c>
      <c r="B1236" t="s">
        <v>12026</v>
      </c>
      <c r="C1236" t="s">
        <v>12027</v>
      </c>
      <c r="D1236" t="s">
        <v>12028</v>
      </c>
      <c r="E1236" t="s">
        <v>12029</v>
      </c>
      <c r="F1236" t="s">
        <v>12030</v>
      </c>
      <c r="G1236" t="s">
        <v>15827</v>
      </c>
      <c r="H1236" t="s">
        <v>15828</v>
      </c>
      <c r="I1236" t="s">
        <v>17039</v>
      </c>
      <c r="J1236" t="s">
        <v>23</v>
      </c>
      <c r="L1236" t="s">
        <v>11988</v>
      </c>
      <c r="M1236" t="s">
        <v>12031</v>
      </c>
      <c r="N1236" t="s">
        <v>12032</v>
      </c>
      <c r="O1236" t="s">
        <v>12033</v>
      </c>
      <c r="P1236" t="s">
        <v>12034</v>
      </c>
      <c r="Q1236" t="s">
        <v>12035</v>
      </c>
      <c r="R1236" t="s">
        <v>12036</v>
      </c>
      <c r="S1236" t="s">
        <v>12037</v>
      </c>
      <c r="T1236" t="s">
        <v>12038</v>
      </c>
      <c r="U1236" s="5">
        <v>1713.56</v>
      </c>
      <c r="V1236" s="5">
        <v>20.38</v>
      </c>
      <c r="W1236" s="5">
        <v>16.140616000000001</v>
      </c>
      <c r="X1236" s="5">
        <v>108.11979100000001</v>
      </c>
      <c r="Y1236" s="5">
        <v>1693.18</v>
      </c>
      <c r="Z1236" s="5">
        <v>16.128188999999999</v>
      </c>
      <c r="AA1236" s="5">
        <v>108.11491700000001</v>
      </c>
      <c r="AB1236" s="7">
        <f t="shared" si="115"/>
        <v>3.057E-2</v>
      </c>
      <c r="AC1236" s="7">
        <f t="shared" si="116"/>
        <v>2.5397699999999999</v>
      </c>
      <c r="AD1236" s="6" t="str">
        <f t="shared" si="117"/>
        <v>Trạm CSGT Hòa Hiệp</v>
      </c>
      <c r="AE1236" s="6" t="str">
        <f t="shared" si="118"/>
        <v>Trại giam CATP</v>
      </c>
      <c r="AG1236">
        <f t="shared" si="119"/>
        <v>2.0379999999999999E-2</v>
      </c>
      <c r="AH1236">
        <f t="shared" si="120"/>
        <v>1.6931800000000001</v>
      </c>
    </row>
    <row r="1237" spans="1:34" x14ac:dyDescent="0.25">
      <c r="A1237" t="s">
        <v>12039</v>
      </c>
      <c r="B1237" t="s">
        <v>12026</v>
      </c>
      <c r="C1237" t="s">
        <v>12027</v>
      </c>
      <c r="D1237" t="s">
        <v>12040</v>
      </c>
      <c r="E1237" t="s">
        <v>12041</v>
      </c>
      <c r="F1237" t="s">
        <v>12042</v>
      </c>
      <c r="G1237" t="s">
        <v>15827</v>
      </c>
      <c r="H1237" t="s">
        <v>15831</v>
      </c>
      <c r="I1237" t="s">
        <v>17040</v>
      </c>
      <c r="J1237" t="s">
        <v>23</v>
      </c>
      <c r="L1237" t="s">
        <v>11988</v>
      </c>
      <c r="M1237" t="s">
        <v>12043</v>
      </c>
      <c r="N1237" t="s">
        <v>12032</v>
      </c>
      <c r="O1237" t="s">
        <v>12033</v>
      </c>
      <c r="P1237" t="s">
        <v>12034</v>
      </c>
      <c r="Q1237" t="s">
        <v>12044</v>
      </c>
      <c r="R1237" t="s">
        <v>12045</v>
      </c>
      <c r="S1237" t="s">
        <v>12046</v>
      </c>
      <c r="T1237" t="s">
        <v>12038</v>
      </c>
      <c r="U1237" s="5">
        <v>129.5</v>
      </c>
      <c r="V1237" s="5">
        <v>20.38</v>
      </c>
      <c r="W1237" s="5">
        <v>16.140616000000001</v>
      </c>
      <c r="X1237" s="5">
        <v>108.11979100000001</v>
      </c>
      <c r="Y1237" s="5">
        <v>109.11</v>
      </c>
      <c r="Z1237" s="5">
        <v>16.125029000000001</v>
      </c>
      <c r="AA1237" s="5">
        <v>108.12010600000001</v>
      </c>
      <c r="AB1237" s="7">
        <f t="shared" si="115"/>
        <v>3.057E-2</v>
      </c>
      <c r="AC1237" s="7">
        <f t="shared" si="116"/>
        <v>0.163665</v>
      </c>
      <c r="AD1237" s="6" t="str">
        <f t="shared" si="117"/>
        <v>Trạm CSGT Hòa Hiệp</v>
      </c>
      <c r="AE1237" s="6" t="str">
        <f t="shared" si="118"/>
        <v>Trại giam CATP</v>
      </c>
      <c r="AG1237">
        <f t="shared" si="119"/>
        <v>2.0379999999999999E-2</v>
      </c>
      <c r="AH1237">
        <f t="shared" si="120"/>
        <v>0.10911</v>
      </c>
    </row>
    <row r="1238" spans="1:34" x14ac:dyDescent="0.25">
      <c r="A1238" t="s">
        <v>12047</v>
      </c>
      <c r="B1238" t="s">
        <v>12026</v>
      </c>
      <c r="C1238" t="s">
        <v>12027</v>
      </c>
      <c r="D1238" t="s">
        <v>12048</v>
      </c>
      <c r="E1238" t="s">
        <v>12049</v>
      </c>
      <c r="F1238" t="s">
        <v>12050</v>
      </c>
      <c r="G1238" t="s">
        <v>15827</v>
      </c>
      <c r="H1238" t="s">
        <v>15831</v>
      </c>
      <c r="I1238" t="s">
        <v>17041</v>
      </c>
      <c r="J1238" t="s">
        <v>23</v>
      </c>
      <c r="L1238" t="s">
        <v>11988</v>
      </c>
      <c r="M1238" t="s">
        <v>12051</v>
      </c>
      <c r="N1238" t="s">
        <v>12032</v>
      </c>
      <c r="O1238" t="s">
        <v>12033</v>
      </c>
      <c r="P1238" t="s">
        <v>12034</v>
      </c>
      <c r="Q1238" t="s">
        <v>12052</v>
      </c>
      <c r="R1238" t="s">
        <v>12036</v>
      </c>
      <c r="S1238" t="s">
        <v>12037</v>
      </c>
      <c r="T1238" t="s">
        <v>12038</v>
      </c>
      <c r="U1238" s="5">
        <v>448.73</v>
      </c>
      <c r="V1238" s="5">
        <v>20.38</v>
      </c>
      <c r="W1238" s="5">
        <v>16.140616000000001</v>
      </c>
      <c r="X1238" s="5">
        <v>108.11979100000001</v>
      </c>
      <c r="Y1238" s="5">
        <v>428.35</v>
      </c>
      <c r="Z1238" s="5">
        <v>16.128188999999999</v>
      </c>
      <c r="AA1238" s="5">
        <v>108.11491700000001</v>
      </c>
      <c r="AB1238" s="7">
        <f t="shared" si="115"/>
        <v>3.057E-2</v>
      </c>
      <c r="AC1238" s="7">
        <f t="shared" si="116"/>
        <v>0.64252500000000012</v>
      </c>
      <c r="AD1238" s="6" t="str">
        <f t="shared" si="117"/>
        <v>Trạm CSGT Hòa Hiệp</v>
      </c>
      <c r="AE1238" s="6" t="str">
        <f t="shared" si="118"/>
        <v>Trại giam CATP</v>
      </c>
      <c r="AG1238">
        <f t="shared" si="119"/>
        <v>2.0379999999999999E-2</v>
      </c>
      <c r="AH1238">
        <f t="shared" si="120"/>
        <v>0.42835000000000001</v>
      </c>
    </row>
    <row r="1239" spans="1:34" x14ac:dyDescent="0.25">
      <c r="A1239" t="s">
        <v>12053</v>
      </c>
      <c r="B1239" t="s">
        <v>12026</v>
      </c>
      <c r="C1239" t="s">
        <v>12027</v>
      </c>
      <c r="D1239" t="s">
        <v>12054</v>
      </c>
      <c r="E1239" t="s">
        <v>12055</v>
      </c>
      <c r="F1239" t="s">
        <v>12056</v>
      </c>
      <c r="G1239" t="s">
        <v>15827</v>
      </c>
      <c r="H1239" t="s">
        <v>15831</v>
      </c>
      <c r="I1239" t="s">
        <v>17042</v>
      </c>
      <c r="J1239" t="s">
        <v>23</v>
      </c>
      <c r="L1239" t="s">
        <v>11264</v>
      </c>
      <c r="M1239" t="s">
        <v>12057</v>
      </c>
      <c r="N1239" t="s">
        <v>12058</v>
      </c>
      <c r="O1239" t="s">
        <v>12033</v>
      </c>
      <c r="P1239" t="s">
        <v>12059</v>
      </c>
      <c r="Q1239" t="s">
        <v>12060</v>
      </c>
      <c r="R1239" t="s">
        <v>12061</v>
      </c>
      <c r="S1239" t="s">
        <v>12062</v>
      </c>
      <c r="T1239" t="s">
        <v>11272</v>
      </c>
      <c r="U1239" s="5">
        <v>329.95</v>
      </c>
      <c r="V1239" s="5">
        <v>16.23</v>
      </c>
      <c r="W1239" s="5">
        <v>16.140616000000001</v>
      </c>
      <c r="X1239" s="5">
        <v>108.11975200000001</v>
      </c>
      <c r="Y1239" s="5">
        <v>313.73</v>
      </c>
      <c r="Z1239" s="5">
        <v>16.127396000000001</v>
      </c>
      <c r="AA1239" s="5">
        <v>108.11936900000001</v>
      </c>
      <c r="AB1239" s="7">
        <f t="shared" si="115"/>
        <v>2.4344999999999999E-2</v>
      </c>
      <c r="AC1239" s="7">
        <f t="shared" si="116"/>
        <v>0.47059500000000004</v>
      </c>
      <c r="AD1239" s="6" t="str">
        <f t="shared" si="117"/>
        <v>TTCMKV Liên Chiểu</v>
      </c>
      <c r="AE1239" s="6" t="str">
        <f t="shared" si="118"/>
        <v>Trạm CSGT Hòa Hiệp</v>
      </c>
      <c r="AG1239">
        <f t="shared" si="119"/>
        <v>1.6230000000000001E-2</v>
      </c>
      <c r="AH1239">
        <f t="shared" si="120"/>
        <v>0.31373000000000001</v>
      </c>
    </row>
    <row r="1240" spans="1:34" x14ac:dyDescent="0.25">
      <c r="A1240" t="s">
        <v>12063</v>
      </c>
      <c r="B1240" t="s">
        <v>12026</v>
      </c>
      <c r="C1240" t="s">
        <v>12027</v>
      </c>
      <c r="D1240" t="s">
        <v>12064</v>
      </c>
      <c r="E1240" t="s">
        <v>12065</v>
      </c>
      <c r="F1240" t="s">
        <v>12066</v>
      </c>
      <c r="G1240" t="s">
        <v>15827</v>
      </c>
      <c r="H1240" t="s">
        <v>16230</v>
      </c>
      <c r="I1240" t="s">
        <v>17043</v>
      </c>
      <c r="J1240" t="s">
        <v>23</v>
      </c>
      <c r="L1240" t="s">
        <v>11988</v>
      </c>
      <c r="M1240" t="s">
        <v>12067</v>
      </c>
      <c r="N1240" t="s">
        <v>12032</v>
      </c>
      <c r="O1240" t="s">
        <v>12033</v>
      </c>
      <c r="P1240" t="s">
        <v>12034</v>
      </c>
      <c r="Q1240" t="s">
        <v>12068</v>
      </c>
      <c r="R1240" t="s">
        <v>12036</v>
      </c>
      <c r="S1240" t="s">
        <v>12037</v>
      </c>
      <c r="T1240" t="s">
        <v>12038</v>
      </c>
      <c r="U1240" s="5">
        <v>3483.25</v>
      </c>
      <c r="V1240" s="5">
        <v>20.38</v>
      </c>
      <c r="W1240" s="5">
        <v>16.140616000000001</v>
      </c>
      <c r="X1240" s="5">
        <v>108.11979100000001</v>
      </c>
      <c r="Y1240" s="5">
        <v>3462.87</v>
      </c>
      <c r="Z1240" s="5">
        <v>16.128188999999999</v>
      </c>
      <c r="AA1240" s="5">
        <v>108.11491700000001</v>
      </c>
      <c r="AB1240" s="7">
        <f t="shared" si="115"/>
        <v>3.057E-2</v>
      </c>
      <c r="AC1240" s="7">
        <f t="shared" si="116"/>
        <v>5.1943049999999999</v>
      </c>
      <c r="AD1240" s="6" t="str">
        <f t="shared" si="117"/>
        <v>Trạm CSGT Hòa Hiệp</v>
      </c>
      <c r="AE1240" s="6" t="str">
        <f t="shared" si="118"/>
        <v>Trại giam CATP</v>
      </c>
      <c r="AG1240">
        <f t="shared" si="119"/>
        <v>2.0379999999999999E-2</v>
      </c>
      <c r="AH1240">
        <f t="shared" si="120"/>
        <v>3.4628699999999997</v>
      </c>
    </row>
    <row r="1241" spans="1:34" x14ac:dyDescent="0.25">
      <c r="A1241" t="s">
        <v>12069</v>
      </c>
      <c r="B1241" t="s">
        <v>12026</v>
      </c>
      <c r="C1241" t="s">
        <v>12027</v>
      </c>
      <c r="D1241" t="s">
        <v>12070</v>
      </c>
      <c r="E1241" t="s">
        <v>12071</v>
      </c>
      <c r="F1241" t="s">
        <v>12072</v>
      </c>
      <c r="H1241" t="s">
        <v>16230</v>
      </c>
      <c r="I1241" t="s">
        <v>17044</v>
      </c>
      <c r="J1241" t="s">
        <v>23</v>
      </c>
      <c r="L1241" t="s">
        <v>11988</v>
      </c>
      <c r="M1241" t="s">
        <v>12073</v>
      </c>
      <c r="N1241" t="s">
        <v>12032</v>
      </c>
      <c r="O1241" t="s">
        <v>12033</v>
      </c>
      <c r="P1241" t="s">
        <v>12034</v>
      </c>
      <c r="Q1241" t="s">
        <v>12074</v>
      </c>
      <c r="R1241" t="s">
        <v>12075</v>
      </c>
      <c r="S1241" t="s">
        <v>12076</v>
      </c>
      <c r="T1241" t="s">
        <v>12038</v>
      </c>
      <c r="U1241" s="5">
        <v>270.02999999999997</v>
      </c>
      <c r="V1241" s="5">
        <v>20.38</v>
      </c>
      <c r="W1241" s="5">
        <v>16.140616000000001</v>
      </c>
      <c r="X1241" s="5">
        <v>108.11979100000001</v>
      </c>
      <c r="Y1241" s="5">
        <v>249.65</v>
      </c>
      <c r="Z1241" s="5">
        <v>16.107706</v>
      </c>
      <c r="AA1241" s="5">
        <v>108.128424</v>
      </c>
      <c r="AB1241" s="7">
        <f t="shared" si="115"/>
        <v>3.057E-2</v>
      </c>
      <c r="AC1241" s="7">
        <f t="shared" si="116"/>
        <v>0.374475</v>
      </c>
      <c r="AD1241" s="6" t="str">
        <f t="shared" si="117"/>
        <v>Trạm CSGT Hòa Hiệp</v>
      </c>
      <c r="AE1241" s="6" t="str">
        <f t="shared" si="118"/>
        <v>Trại giam CATP</v>
      </c>
      <c r="AG1241">
        <f t="shared" si="119"/>
        <v>2.0379999999999999E-2</v>
      </c>
      <c r="AH1241">
        <f t="shared" si="120"/>
        <v>0.24965000000000001</v>
      </c>
    </row>
    <row r="1242" spans="1:34" x14ac:dyDescent="0.25">
      <c r="A1242" t="s">
        <v>12077</v>
      </c>
      <c r="B1242" t="s">
        <v>11261</v>
      </c>
      <c r="C1242" t="s">
        <v>11262</v>
      </c>
      <c r="D1242" t="s">
        <v>12078</v>
      </c>
      <c r="E1242" t="s">
        <v>12079</v>
      </c>
      <c r="F1242" t="s">
        <v>12080</v>
      </c>
      <c r="G1242" t="s">
        <v>15827</v>
      </c>
      <c r="H1242" t="s">
        <v>16230</v>
      </c>
      <c r="I1242" t="s">
        <v>17045</v>
      </c>
      <c r="J1242" t="s">
        <v>23</v>
      </c>
      <c r="L1242" t="s">
        <v>12081</v>
      </c>
      <c r="M1242" t="s">
        <v>12082</v>
      </c>
      <c r="N1242" t="s">
        <v>12083</v>
      </c>
      <c r="O1242" t="s">
        <v>12084</v>
      </c>
      <c r="P1242" t="s">
        <v>12085</v>
      </c>
      <c r="Q1242" t="s">
        <v>7295</v>
      </c>
      <c r="R1242" t="s">
        <v>12086</v>
      </c>
      <c r="S1242" t="s">
        <v>12087</v>
      </c>
      <c r="T1242" t="s">
        <v>12088</v>
      </c>
      <c r="U1242" s="5">
        <v>734.04</v>
      </c>
      <c r="V1242" s="5">
        <v>674.86</v>
      </c>
      <c r="W1242" s="5">
        <v>16.071719999999999</v>
      </c>
      <c r="X1242" s="5">
        <v>108.142016</v>
      </c>
      <c r="Y1242" s="5">
        <v>59.18</v>
      </c>
      <c r="Z1242" s="5">
        <v>16.074543999999999</v>
      </c>
      <c r="AA1242" s="5">
        <v>108.13436400000001</v>
      </c>
      <c r="AB1242" s="7">
        <f t="shared" si="115"/>
        <v>1.0122899999999999</v>
      </c>
      <c r="AC1242" s="7">
        <f t="shared" si="116"/>
        <v>8.8770000000000002E-2</v>
      </c>
      <c r="AD1242" s="6" t="str">
        <f t="shared" si="117"/>
        <v>PK02</v>
      </c>
      <c r="AE1242" s="6" t="str">
        <f t="shared" si="118"/>
        <v>Trại giam CATP</v>
      </c>
      <c r="AG1242">
        <f t="shared" si="119"/>
        <v>0.67486000000000002</v>
      </c>
      <c r="AH1242">
        <f t="shared" si="120"/>
        <v>5.9179999999999996E-2</v>
      </c>
    </row>
    <row r="1243" spans="1:34" x14ac:dyDescent="0.25">
      <c r="A1243" t="s">
        <v>12089</v>
      </c>
      <c r="B1243" t="s">
        <v>11261</v>
      </c>
      <c r="C1243" t="s">
        <v>11262</v>
      </c>
      <c r="D1243" t="s">
        <v>11226</v>
      </c>
      <c r="E1243" t="s">
        <v>11227</v>
      </c>
      <c r="F1243" t="s">
        <v>11263</v>
      </c>
      <c r="H1243" t="s">
        <v>16230</v>
      </c>
      <c r="I1243" t="s">
        <v>16966</v>
      </c>
      <c r="J1243" t="s">
        <v>23</v>
      </c>
      <c r="L1243" t="s">
        <v>11264</v>
      </c>
      <c r="M1243" t="s">
        <v>11265</v>
      </c>
      <c r="N1243" t="s">
        <v>11269</v>
      </c>
      <c r="O1243" t="s">
        <v>11270</v>
      </c>
      <c r="P1243" t="s">
        <v>11271</v>
      </c>
      <c r="Q1243" t="s">
        <v>11266</v>
      </c>
      <c r="R1243" t="s">
        <v>11267</v>
      </c>
      <c r="S1243" t="s">
        <v>11268</v>
      </c>
      <c r="T1243" t="s">
        <v>11272</v>
      </c>
      <c r="U1243" s="5">
        <v>490.42</v>
      </c>
      <c r="V1243" s="5">
        <v>463.11</v>
      </c>
      <c r="W1243" s="5">
        <v>16.074614</v>
      </c>
      <c r="X1243" s="5">
        <v>108.14948099999999</v>
      </c>
      <c r="Y1243" s="5">
        <v>27.31</v>
      </c>
      <c r="Z1243" s="5">
        <v>16.074273999999999</v>
      </c>
      <c r="AA1243" s="5">
        <v>108.158044</v>
      </c>
      <c r="AB1243" s="7">
        <f t="shared" si="115"/>
        <v>0.69466499999999998</v>
      </c>
      <c r="AC1243" s="7">
        <f t="shared" si="116"/>
        <v>4.0964999999999994E-2</v>
      </c>
      <c r="AD1243" s="6" t="str">
        <f t="shared" si="117"/>
        <v>TTCMKV Liên Chiểu</v>
      </c>
      <c r="AE1243" s="6" t="str">
        <f t="shared" si="118"/>
        <v>Trạm CSGT Hòa Hiệp</v>
      </c>
      <c r="AG1243">
        <f t="shared" si="119"/>
        <v>0.46311000000000002</v>
      </c>
      <c r="AH1243">
        <f t="shared" si="120"/>
        <v>2.7309999999999997E-2</v>
      </c>
    </row>
    <row r="1244" spans="1:34" x14ac:dyDescent="0.25">
      <c r="A1244" t="s">
        <v>12090</v>
      </c>
      <c r="B1244" t="s">
        <v>12070</v>
      </c>
      <c r="C1244" t="s">
        <v>12071</v>
      </c>
      <c r="D1244" t="s">
        <v>12091</v>
      </c>
      <c r="E1244" t="s">
        <v>12092</v>
      </c>
      <c r="F1244" t="s">
        <v>12093</v>
      </c>
      <c r="G1244" t="s">
        <v>15827</v>
      </c>
      <c r="H1244" t="s">
        <v>15831</v>
      </c>
      <c r="I1244" t="s">
        <v>17046</v>
      </c>
      <c r="J1244" t="s">
        <v>23</v>
      </c>
      <c r="L1244" t="s">
        <v>11988</v>
      </c>
      <c r="M1244" t="s">
        <v>12094</v>
      </c>
      <c r="N1244" t="s">
        <v>12074</v>
      </c>
      <c r="O1244" t="s">
        <v>12075</v>
      </c>
      <c r="P1244" t="s">
        <v>12076</v>
      </c>
      <c r="Q1244" t="s">
        <v>12095</v>
      </c>
      <c r="R1244" t="s">
        <v>12096</v>
      </c>
      <c r="S1244" t="s">
        <v>12097</v>
      </c>
      <c r="T1244" t="s">
        <v>12038</v>
      </c>
      <c r="U1244" s="5">
        <v>365.21</v>
      </c>
      <c r="V1244" s="5">
        <v>249.65</v>
      </c>
      <c r="W1244" s="5">
        <v>16.107706</v>
      </c>
      <c r="X1244" s="5">
        <v>108.128424</v>
      </c>
      <c r="Y1244" s="5">
        <v>115.56</v>
      </c>
      <c r="Z1244" s="5">
        <v>16.114077999999999</v>
      </c>
      <c r="AA1244" s="5">
        <v>108.12735499999999</v>
      </c>
      <c r="AB1244" s="7">
        <f t="shared" si="115"/>
        <v>0.374475</v>
      </c>
      <c r="AC1244" s="7">
        <f t="shared" si="116"/>
        <v>0.17333999999999999</v>
      </c>
      <c r="AD1244" s="6" t="str">
        <f t="shared" si="117"/>
        <v>Trạm CSGT Hòa Hiệp</v>
      </c>
      <c r="AE1244" s="6" t="str">
        <f t="shared" si="118"/>
        <v>Trại giam CATP</v>
      </c>
      <c r="AG1244">
        <f t="shared" si="119"/>
        <v>0.24965000000000001</v>
      </c>
      <c r="AH1244">
        <f t="shared" si="120"/>
        <v>0.11556</v>
      </c>
    </row>
    <row r="1245" spans="1:34" x14ac:dyDescent="0.25">
      <c r="A1245" t="s">
        <v>12098</v>
      </c>
      <c r="B1245" t="s">
        <v>12070</v>
      </c>
      <c r="C1245" t="s">
        <v>12071</v>
      </c>
      <c r="D1245" t="s">
        <v>12099</v>
      </c>
      <c r="E1245" t="s">
        <v>12100</v>
      </c>
      <c r="F1245" t="s">
        <v>12101</v>
      </c>
      <c r="G1245" t="s">
        <v>15827</v>
      </c>
      <c r="H1245" t="s">
        <v>15831</v>
      </c>
      <c r="I1245" t="s">
        <v>17047</v>
      </c>
      <c r="J1245" t="s">
        <v>23</v>
      </c>
      <c r="L1245" t="s">
        <v>11988</v>
      </c>
      <c r="M1245" t="s">
        <v>12102</v>
      </c>
      <c r="N1245" t="s">
        <v>12074</v>
      </c>
      <c r="O1245" t="s">
        <v>12075</v>
      </c>
      <c r="P1245" t="s">
        <v>12076</v>
      </c>
      <c r="Q1245" t="s">
        <v>12103</v>
      </c>
      <c r="R1245" t="s">
        <v>12104</v>
      </c>
      <c r="S1245" t="s">
        <v>12105</v>
      </c>
      <c r="T1245" t="s">
        <v>12038</v>
      </c>
      <c r="U1245" s="5">
        <v>263.79000000000002</v>
      </c>
      <c r="V1245" s="5">
        <v>249.65</v>
      </c>
      <c r="W1245" s="5">
        <v>16.107706</v>
      </c>
      <c r="X1245" s="5">
        <v>108.128424</v>
      </c>
      <c r="Y1245" s="5">
        <v>14.14</v>
      </c>
      <c r="Z1245" s="5">
        <v>16.112757999999999</v>
      </c>
      <c r="AA1245" s="5">
        <v>108.128508</v>
      </c>
      <c r="AB1245" s="7">
        <f t="shared" si="115"/>
        <v>0.374475</v>
      </c>
      <c r="AC1245" s="7">
        <f t="shared" si="116"/>
        <v>2.121E-2</v>
      </c>
      <c r="AD1245" s="6" t="str">
        <f t="shared" si="117"/>
        <v>Trạm CSGT Hòa Hiệp</v>
      </c>
      <c r="AE1245" s="6" t="str">
        <f t="shared" si="118"/>
        <v>Trại giam CATP</v>
      </c>
      <c r="AG1245">
        <f t="shared" si="119"/>
        <v>0.24965000000000001</v>
      </c>
      <c r="AH1245">
        <f t="shared" si="120"/>
        <v>1.414E-2</v>
      </c>
    </row>
    <row r="1246" spans="1:34" x14ac:dyDescent="0.25">
      <c r="A1246" t="s">
        <v>12106</v>
      </c>
      <c r="B1246" t="s">
        <v>12070</v>
      </c>
      <c r="C1246" t="s">
        <v>12071</v>
      </c>
      <c r="D1246" t="s">
        <v>12107</v>
      </c>
      <c r="E1246" t="s">
        <v>12108</v>
      </c>
      <c r="F1246" t="s">
        <v>12109</v>
      </c>
      <c r="G1246" t="s">
        <v>15827</v>
      </c>
      <c r="H1246" t="s">
        <v>15831</v>
      </c>
      <c r="I1246" t="s">
        <v>17048</v>
      </c>
      <c r="J1246" t="s">
        <v>23</v>
      </c>
      <c r="L1246" t="s">
        <v>11988</v>
      </c>
      <c r="M1246" t="s">
        <v>12110</v>
      </c>
      <c r="N1246" t="s">
        <v>12074</v>
      </c>
      <c r="O1246" t="s">
        <v>12075</v>
      </c>
      <c r="P1246" t="s">
        <v>12076</v>
      </c>
      <c r="Q1246" t="s">
        <v>12111</v>
      </c>
      <c r="R1246" t="s">
        <v>12112</v>
      </c>
      <c r="S1246" t="s">
        <v>12113</v>
      </c>
      <c r="T1246" t="s">
        <v>12038</v>
      </c>
      <c r="U1246" s="5">
        <v>323.51</v>
      </c>
      <c r="V1246" s="5">
        <v>249.65</v>
      </c>
      <c r="W1246" s="5">
        <v>16.107706</v>
      </c>
      <c r="X1246" s="5">
        <v>108.128424</v>
      </c>
      <c r="Y1246" s="5">
        <v>73.849999999999994</v>
      </c>
      <c r="Z1246" s="5">
        <v>16.128005000000002</v>
      </c>
      <c r="AA1246" s="5">
        <v>108.116878</v>
      </c>
      <c r="AB1246" s="7">
        <f t="shared" si="115"/>
        <v>0.374475</v>
      </c>
      <c r="AC1246" s="7">
        <f t="shared" si="116"/>
        <v>0.11077499999999998</v>
      </c>
      <c r="AD1246" s="6" t="str">
        <f t="shared" si="117"/>
        <v>Trạm CSGT Hòa Hiệp</v>
      </c>
      <c r="AE1246" s="6" t="str">
        <f t="shared" si="118"/>
        <v>Trại giam CATP</v>
      </c>
      <c r="AG1246">
        <f t="shared" si="119"/>
        <v>0.24965000000000001</v>
      </c>
      <c r="AH1246">
        <f t="shared" si="120"/>
        <v>7.3849999999999999E-2</v>
      </c>
    </row>
    <row r="1247" spans="1:34" x14ac:dyDescent="0.25">
      <c r="A1247" t="s">
        <v>12114</v>
      </c>
      <c r="B1247" t="s">
        <v>12070</v>
      </c>
      <c r="C1247" t="s">
        <v>12071</v>
      </c>
      <c r="D1247" t="s">
        <v>12115</v>
      </c>
      <c r="E1247" t="s">
        <v>12116</v>
      </c>
      <c r="F1247" t="s">
        <v>12117</v>
      </c>
      <c r="G1247" t="s">
        <v>15827</v>
      </c>
      <c r="H1247" t="s">
        <v>15831</v>
      </c>
      <c r="I1247" t="s">
        <v>17049</v>
      </c>
      <c r="J1247" t="s">
        <v>23</v>
      </c>
      <c r="L1247" t="s">
        <v>12118</v>
      </c>
      <c r="M1247" t="s">
        <v>12119</v>
      </c>
      <c r="N1247" t="s">
        <v>12120</v>
      </c>
      <c r="O1247" t="s">
        <v>12121</v>
      </c>
      <c r="P1247" t="s">
        <v>12122</v>
      </c>
      <c r="Q1247" t="s">
        <v>12123</v>
      </c>
      <c r="R1247" t="s">
        <v>12124</v>
      </c>
      <c r="S1247" t="s">
        <v>12125</v>
      </c>
      <c r="T1247" t="s">
        <v>12126</v>
      </c>
      <c r="U1247" s="5">
        <v>212.85</v>
      </c>
      <c r="V1247" s="5">
        <v>60.02</v>
      </c>
      <c r="W1247" s="5">
        <v>16.107116000000001</v>
      </c>
      <c r="X1247" s="5">
        <v>108.125676</v>
      </c>
      <c r="Y1247" s="5">
        <v>152.83000000000001</v>
      </c>
      <c r="Z1247" s="5">
        <v>16.106024000000001</v>
      </c>
      <c r="AA1247" s="5">
        <v>108.126414</v>
      </c>
      <c r="AB1247" s="7">
        <f t="shared" si="115"/>
        <v>9.0029999999999999E-2</v>
      </c>
      <c r="AC1247" s="7">
        <f t="shared" si="116"/>
        <v>0.229245</v>
      </c>
      <c r="AD1247" s="6" t="str">
        <f t="shared" si="117"/>
        <v>Hải Vân</v>
      </c>
      <c r="AE1247" s="6" t="str">
        <f t="shared" si="118"/>
        <v>Liên Chiểu</v>
      </c>
      <c r="AG1247">
        <f t="shared" si="119"/>
        <v>6.0020000000000004E-2</v>
      </c>
      <c r="AH1247">
        <f t="shared" si="120"/>
        <v>0.15283000000000002</v>
      </c>
    </row>
    <row r="1248" spans="1:34" x14ac:dyDescent="0.25">
      <c r="A1248" t="s">
        <v>12127</v>
      </c>
      <c r="B1248" t="s">
        <v>12070</v>
      </c>
      <c r="C1248" t="s">
        <v>12071</v>
      </c>
      <c r="D1248" t="s">
        <v>12026</v>
      </c>
      <c r="E1248" t="s">
        <v>12027</v>
      </c>
      <c r="F1248" t="s">
        <v>12072</v>
      </c>
      <c r="H1248" t="s">
        <v>16230</v>
      </c>
      <c r="I1248" t="s">
        <v>17044</v>
      </c>
      <c r="J1248" t="s">
        <v>23</v>
      </c>
      <c r="L1248" t="s">
        <v>11988</v>
      </c>
      <c r="M1248" t="s">
        <v>12073</v>
      </c>
      <c r="N1248" t="s">
        <v>12074</v>
      </c>
      <c r="O1248" t="s">
        <v>12075</v>
      </c>
      <c r="P1248" t="s">
        <v>12076</v>
      </c>
      <c r="Q1248" t="s">
        <v>12032</v>
      </c>
      <c r="R1248" t="s">
        <v>12033</v>
      </c>
      <c r="S1248" t="s">
        <v>12034</v>
      </c>
      <c r="T1248" t="s">
        <v>12038</v>
      </c>
      <c r="U1248" s="5">
        <v>270.02999999999997</v>
      </c>
      <c r="V1248" s="5">
        <v>249.65</v>
      </c>
      <c r="W1248" s="5">
        <v>16.107706</v>
      </c>
      <c r="X1248" s="5">
        <v>108.128424</v>
      </c>
      <c r="Y1248" s="5">
        <v>20.38</v>
      </c>
      <c r="Z1248" s="5">
        <v>16.140616000000001</v>
      </c>
      <c r="AA1248" s="5">
        <v>108.11979100000001</v>
      </c>
      <c r="AB1248" s="7">
        <f t="shared" si="115"/>
        <v>0.374475</v>
      </c>
      <c r="AC1248" s="7">
        <f t="shared" si="116"/>
        <v>3.057E-2</v>
      </c>
      <c r="AD1248" s="6" t="str">
        <f t="shared" si="117"/>
        <v>Trạm CSGT Hòa Hiệp</v>
      </c>
      <c r="AE1248" s="6" t="str">
        <f t="shared" si="118"/>
        <v>Trại giam CATP</v>
      </c>
      <c r="AG1248">
        <f t="shared" si="119"/>
        <v>0.24965000000000001</v>
      </c>
      <c r="AH1248">
        <f t="shared" si="120"/>
        <v>2.0379999999999999E-2</v>
      </c>
    </row>
    <row r="1249" spans="1:34" x14ac:dyDescent="0.25">
      <c r="A1249" t="s">
        <v>12128</v>
      </c>
      <c r="B1249" t="s">
        <v>12070</v>
      </c>
      <c r="C1249" t="s">
        <v>12071</v>
      </c>
      <c r="D1249" t="s">
        <v>12129</v>
      </c>
      <c r="E1249" t="s">
        <v>12130</v>
      </c>
      <c r="F1249" t="s">
        <v>12131</v>
      </c>
      <c r="G1249" t="s">
        <v>15827</v>
      </c>
      <c r="H1249" t="s">
        <v>16230</v>
      </c>
      <c r="I1249" t="s">
        <v>17050</v>
      </c>
      <c r="J1249" t="s">
        <v>23</v>
      </c>
      <c r="L1249" t="s">
        <v>11251</v>
      </c>
      <c r="M1249" t="s">
        <v>12132</v>
      </c>
      <c r="N1249" t="s">
        <v>12133</v>
      </c>
      <c r="O1249" t="s">
        <v>12134</v>
      </c>
      <c r="P1249" t="s">
        <v>12135</v>
      </c>
      <c r="Q1249" t="s">
        <v>12136</v>
      </c>
      <c r="R1249" t="s">
        <v>12137</v>
      </c>
      <c r="S1249" t="s">
        <v>12138</v>
      </c>
      <c r="T1249" t="s">
        <v>12139</v>
      </c>
      <c r="U1249" s="5">
        <v>194.31</v>
      </c>
      <c r="V1249" s="5">
        <v>14.62</v>
      </c>
      <c r="W1249" s="5">
        <v>16.107544000000001</v>
      </c>
      <c r="X1249" s="5">
        <v>108.12598699999999</v>
      </c>
      <c r="Y1249" s="5">
        <v>179.69</v>
      </c>
      <c r="Z1249" s="5">
        <v>16.100843999999999</v>
      </c>
      <c r="AA1249" s="5">
        <v>108.13513399999999</v>
      </c>
      <c r="AB1249" s="7">
        <f t="shared" si="115"/>
        <v>2.1929999999999998E-2</v>
      </c>
      <c r="AC1249" s="7">
        <f t="shared" si="116"/>
        <v>0.26953499999999997</v>
      </c>
      <c r="AD1249" s="6" t="str">
        <f t="shared" si="117"/>
        <v>TT1 Đà Nẵng</v>
      </c>
      <c r="AE1249" s="6" t="str">
        <f t="shared" si="118"/>
        <v>Hải Vân</v>
      </c>
      <c r="AG1249">
        <f t="shared" si="119"/>
        <v>1.4619999999999999E-2</v>
      </c>
      <c r="AH1249">
        <f t="shared" si="120"/>
        <v>0.17968999999999999</v>
      </c>
    </row>
    <row r="1250" spans="1:34" x14ac:dyDescent="0.25">
      <c r="A1250" t="s">
        <v>12140</v>
      </c>
      <c r="B1250" t="s">
        <v>12141</v>
      </c>
      <c r="C1250" t="s">
        <v>12142</v>
      </c>
      <c r="D1250" t="s">
        <v>12143</v>
      </c>
      <c r="E1250" t="s">
        <v>12144</v>
      </c>
      <c r="F1250" t="s">
        <v>12145</v>
      </c>
      <c r="G1250" t="s">
        <v>15827</v>
      </c>
      <c r="H1250" t="s">
        <v>15831</v>
      </c>
      <c r="I1250" t="s">
        <v>17051</v>
      </c>
      <c r="J1250" t="s">
        <v>23</v>
      </c>
      <c r="L1250" t="s">
        <v>12146</v>
      </c>
      <c r="M1250" t="s">
        <v>12147</v>
      </c>
      <c r="N1250" t="s">
        <v>9281</v>
      </c>
      <c r="O1250" t="s">
        <v>12148</v>
      </c>
      <c r="P1250" t="s">
        <v>12149</v>
      </c>
      <c r="Q1250" t="s">
        <v>12150</v>
      </c>
      <c r="R1250" t="s">
        <v>12151</v>
      </c>
      <c r="S1250" t="s">
        <v>12152</v>
      </c>
      <c r="T1250" t="s">
        <v>12153</v>
      </c>
      <c r="U1250" s="5">
        <v>577.95000000000005</v>
      </c>
      <c r="V1250" s="5">
        <v>142.46</v>
      </c>
      <c r="W1250" s="5">
        <v>16.04016</v>
      </c>
      <c r="X1250" s="5">
        <v>108.24224100000001</v>
      </c>
      <c r="Y1250" s="5">
        <v>435.49</v>
      </c>
      <c r="Z1250" s="5">
        <v>16.042145000000001</v>
      </c>
      <c r="AA1250" s="5">
        <v>108.24629400000001</v>
      </c>
      <c r="AB1250" s="7">
        <f t="shared" si="115"/>
        <v>0.21368999999999999</v>
      </c>
      <c r="AC1250" s="7">
        <f t="shared" si="116"/>
        <v>0.65323500000000001</v>
      </c>
      <c r="AD1250" s="6" t="str">
        <f t="shared" si="117"/>
        <v>A01</v>
      </c>
      <c r="AE1250" s="6" t="str">
        <f t="shared" si="118"/>
        <v>A06 (CS1) -new</v>
      </c>
      <c r="AG1250">
        <f t="shared" si="119"/>
        <v>0.14246</v>
      </c>
      <c r="AH1250">
        <f t="shared" si="120"/>
        <v>0.43548999999999999</v>
      </c>
    </row>
    <row r="1251" spans="1:34" x14ac:dyDescent="0.25">
      <c r="A1251" t="s">
        <v>12154</v>
      </c>
      <c r="B1251" t="s">
        <v>12141</v>
      </c>
      <c r="C1251" t="s">
        <v>12142</v>
      </c>
      <c r="D1251" t="s">
        <v>12155</v>
      </c>
      <c r="E1251" t="s">
        <v>12156</v>
      </c>
      <c r="F1251" t="s">
        <v>12157</v>
      </c>
      <c r="G1251" t="s">
        <v>15827</v>
      </c>
      <c r="H1251" t="s">
        <v>15831</v>
      </c>
      <c r="I1251" t="s">
        <v>17052</v>
      </c>
      <c r="J1251" t="s">
        <v>23</v>
      </c>
      <c r="L1251" t="s">
        <v>12158</v>
      </c>
      <c r="M1251" t="s">
        <v>12159</v>
      </c>
      <c r="N1251" t="s">
        <v>12160</v>
      </c>
      <c r="O1251" t="s">
        <v>12161</v>
      </c>
      <c r="P1251" t="s">
        <v>12162</v>
      </c>
      <c r="Q1251" t="s">
        <v>12163</v>
      </c>
      <c r="R1251" t="s">
        <v>12164</v>
      </c>
      <c r="S1251" t="s">
        <v>12165</v>
      </c>
      <c r="T1251" t="s">
        <v>12166</v>
      </c>
      <c r="U1251" s="5">
        <v>363.23</v>
      </c>
      <c r="V1251" s="5">
        <v>50.98</v>
      </c>
      <c r="W1251" s="5">
        <v>16.038461999999999</v>
      </c>
      <c r="X1251" s="5">
        <v>108.242496</v>
      </c>
      <c r="Y1251" s="5">
        <v>312.25</v>
      </c>
      <c r="Z1251" s="5">
        <v>16.042570000000001</v>
      </c>
      <c r="AA1251" s="5">
        <v>108.245257</v>
      </c>
      <c r="AB1251" s="7">
        <f t="shared" si="115"/>
        <v>7.6469999999999996E-2</v>
      </c>
      <c r="AC1251" s="7">
        <f t="shared" si="116"/>
        <v>0.46837499999999999</v>
      </c>
      <c r="AD1251" s="6" t="str">
        <f t="shared" si="117"/>
        <v>K01</v>
      </c>
      <c r="AE1251" s="6" t="str">
        <f t="shared" si="118"/>
        <v>A01</v>
      </c>
      <c r="AG1251">
        <f t="shared" si="119"/>
        <v>5.0979999999999998E-2</v>
      </c>
      <c r="AH1251">
        <f t="shared" si="120"/>
        <v>0.31225000000000003</v>
      </c>
    </row>
    <row r="1252" spans="1:34" x14ac:dyDescent="0.25">
      <c r="A1252" t="s">
        <v>12167</v>
      </c>
      <c r="B1252" t="s">
        <v>12141</v>
      </c>
      <c r="C1252" t="s">
        <v>12142</v>
      </c>
      <c r="D1252" t="s">
        <v>12168</v>
      </c>
      <c r="E1252" t="s">
        <v>12169</v>
      </c>
      <c r="F1252" t="s">
        <v>12170</v>
      </c>
      <c r="G1252" t="s">
        <v>15827</v>
      </c>
      <c r="H1252" t="s">
        <v>15831</v>
      </c>
      <c r="I1252" t="s">
        <v>17053</v>
      </c>
      <c r="J1252" t="s">
        <v>23</v>
      </c>
      <c r="L1252" t="s">
        <v>12171</v>
      </c>
      <c r="M1252" t="s">
        <v>12172</v>
      </c>
      <c r="N1252" t="s">
        <v>12173</v>
      </c>
      <c r="O1252" t="s">
        <v>12174</v>
      </c>
      <c r="P1252" t="s">
        <v>12175</v>
      </c>
      <c r="Q1252" t="s">
        <v>12176</v>
      </c>
      <c r="R1252" t="s">
        <v>12177</v>
      </c>
      <c r="S1252" t="s">
        <v>12178</v>
      </c>
      <c r="T1252" t="s">
        <v>12179</v>
      </c>
      <c r="U1252" s="5">
        <v>676.28</v>
      </c>
      <c r="V1252" s="5">
        <v>560.01</v>
      </c>
      <c r="W1252" s="5">
        <v>16.042152000000002</v>
      </c>
      <c r="X1252" s="5">
        <v>108.246284</v>
      </c>
      <c r="Y1252" s="5">
        <v>116.27</v>
      </c>
      <c r="Z1252" s="5">
        <v>16.049909</v>
      </c>
      <c r="AA1252" s="5">
        <v>108.24767799999999</v>
      </c>
      <c r="AB1252" s="7">
        <f t="shared" si="115"/>
        <v>0.84001499999999996</v>
      </c>
      <c r="AC1252" s="7">
        <f t="shared" si="116"/>
        <v>0.174405</v>
      </c>
      <c r="AD1252" s="6" t="str">
        <f t="shared" si="117"/>
        <v>Bệnh viện 199</v>
      </c>
      <c r="AE1252" s="6" t="str">
        <f t="shared" si="118"/>
        <v>A01 - ok</v>
      </c>
      <c r="AG1252">
        <f t="shared" si="119"/>
        <v>0.56001000000000001</v>
      </c>
      <c r="AH1252">
        <f t="shared" si="120"/>
        <v>0.11627</v>
      </c>
    </row>
    <row r="1253" spans="1:34" x14ac:dyDescent="0.25">
      <c r="A1253" t="s">
        <v>12180</v>
      </c>
      <c r="B1253" t="s">
        <v>12141</v>
      </c>
      <c r="C1253" t="s">
        <v>12142</v>
      </c>
      <c r="D1253" t="e">
        <v>#N/A</v>
      </c>
      <c r="E1253" t="e">
        <v>#N/A</v>
      </c>
      <c r="F1253" t="s">
        <v>12181</v>
      </c>
      <c r="G1253" t="s">
        <v>15827</v>
      </c>
      <c r="H1253" t="s">
        <v>16230</v>
      </c>
      <c r="I1253" t="s">
        <v>17054</v>
      </c>
      <c r="J1253" t="s">
        <v>5239</v>
      </c>
      <c r="K1253" t="s">
        <v>11979</v>
      </c>
      <c r="AB1253" s="7">
        <f t="shared" si="115"/>
        <v>0</v>
      </c>
      <c r="AC1253" s="7">
        <f t="shared" si="116"/>
        <v>0</v>
      </c>
      <c r="AD1253" s="6" t="e">
        <f t="shared" si="117"/>
        <v>#VALUE!</v>
      </c>
      <c r="AE1253" s="6" t="e">
        <f t="shared" si="118"/>
        <v>#VALUE!</v>
      </c>
      <c r="AG1253">
        <f t="shared" si="119"/>
        <v>0</v>
      </c>
      <c r="AH1253">
        <f t="shared" si="120"/>
        <v>0</v>
      </c>
    </row>
    <row r="1254" spans="1:34" x14ac:dyDescent="0.25">
      <c r="A1254" t="s">
        <v>12182</v>
      </c>
      <c r="B1254" t="s">
        <v>12141</v>
      </c>
      <c r="C1254" t="s">
        <v>12142</v>
      </c>
      <c r="D1254" t="s">
        <v>12183</v>
      </c>
      <c r="E1254" t="s">
        <v>12184</v>
      </c>
      <c r="F1254" t="s">
        <v>12185</v>
      </c>
      <c r="G1254" t="s">
        <v>15827</v>
      </c>
      <c r="H1254" t="s">
        <v>15831</v>
      </c>
      <c r="I1254" t="s">
        <v>17055</v>
      </c>
      <c r="J1254" t="s">
        <v>23</v>
      </c>
      <c r="L1254" t="s">
        <v>12158</v>
      </c>
      <c r="M1254" t="s">
        <v>12186</v>
      </c>
      <c r="N1254" t="s">
        <v>12160</v>
      </c>
      <c r="O1254" t="s">
        <v>12161</v>
      </c>
      <c r="P1254" t="s">
        <v>12162</v>
      </c>
      <c r="Q1254" t="s">
        <v>12187</v>
      </c>
      <c r="R1254" t="s">
        <v>12188</v>
      </c>
      <c r="S1254" t="s">
        <v>12189</v>
      </c>
      <c r="T1254" t="s">
        <v>12166</v>
      </c>
      <c r="U1254" s="5">
        <v>142.65</v>
      </c>
      <c r="V1254" s="5">
        <v>50.98</v>
      </c>
      <c r="W1254" s="5">
        <v>16.038461999999999</v>
      </c>
      <c r="X1254" s="5">
        <v>108.242496</v>
      </c>
      <c r="Y1254" s="5">
        <v>91.67</v>
      </c>
      <c r="Z1254" s="5">
        <v>16.043057999999998</v>
      </c>
      <c r="AA1254" s="5">
        <v>108.243117</v>
      </c>
      <c r="AB1254" s="7">
        <f t="shared" si="115"/>
        <v>7.6469999999999996E-2</v>
      </c>
      <c r="AC1254" s="7">
        <f t="shared" si="116"/>
        <v>0.13750499999999999</v>
      </c>
      <c r="AD1254" s="6" t="str">
        <f t="shared" si="117"/>
        <v>K01</v>
      </c>
      <c r="AE1254" s="6" t="str">
        <f t="shared" si="118"/>
        <v>A01</v>
      </c>
      <c r="AG1254">
        <f t="shared" si="119"/>
        <v>5.0979999999999998E-2</v>
      </c>
      <c r="AH1254">
        <f t="shared" si="120"/>
        <v>9.1670000000000001E-2</v>
      </c>
    </row>
    <row r="1255" spans="1:34" x14ac:dyDescent="0.25">
      <c r="A1255" t="s">
        <v>12190</v>
      </c>
      <c r="B1255" t="s">
        <v>12141</v>
      </c>
      <c r="C1255" t="s">
        <v>12142</v>
      </c>
      <c r="D1255" t="s">
        <v>12191</v>
      </c>
      <c r="E1255" t="s">
        <v>12192</v>
      </c>
      <c r="F1255" t="s">
        <v>12193</v>
      </c>
      <c r="G1255" t="s">
        <v>15827</v>
      </c>
      <c r="H1255" t="s">
        <v>15831</v>
      </c>
      <c r="I1255" t="s">
        <v>17056</v>
      </c>
      <c r="J1255" t="s">
        <v>23</v>
      </c>
      <c r="L1255" t="s">
        <v>12171</v>
      </c>
      <c r="M1255" t="s">
        <v>12194</v>
      </c>
      <c r="N1255" t="s">
        <v>12173</v>
      </c>
      <c r="O1255" t="s">
        <v>12174</v>
      </c>
      <c r="P1255" t="s">
        <v>12175</v>
      </c>
      <c r="Q1255" t="s">
        <v>12195</v>
      </c>
      <c r="R1255" t="s">
        <v>12196</v>
      </c>
      <c r="S1255" t="s">
        <v>12197</v>
      </c>
      <c r="T1255" t="s">
        <v>12179</v>
      </c>
      <c r="U1255" s="5">
        <v>631.4</v>
      </c>
      <c r="V1255" s="5">
        <v>560.01</v>
      </c>
      <c r="W1255" s="5">
        <v>16.042152000000002</v>
      </c>
      <c r="X1255" s="5">
        <v>108.246284</v>
      </c>
      <c r="Y1255" s="5">
        <v>71.39</v>
      </c>
      <c r="Z1255" s="5">
        <v>16.048372000000001</v>
      </c>
      <c r="AA1255" s="5">
        <v>108.248048</v>
      </c>
      <c r="AB1255" s="7">
        <f t="shared" si="115"/>
        <v>0.84001499999999996</v>
      </c>
      <c r="AC1255" s="7">
        <f t="shared" si="116"/>
        <v>0.10708500000000001</v>
      </c>
      <c r="AD1255" s="6" t="str">
        <f t="shared" si="117"/>
        <v>Bệnh viện 199</v>
      </c>
      <c r="AE1255" s="6" t="str">
        <f t="shared" si="118"/>
        <v>A01 - ok</v>
      </c>
      <c r="AG1255">
        <f t="shared" si="119"/>
        <v>0.56001000000000001</v>
      </c>
      <c r="AH1255">
        <f t="shared" si="120"/>
        <v>7.1389999999999995E-2</v>
      </c>
    </row>
    <row r="1256" spans="1:34" x14ac:dyDescent="0.25">
      <c r="A1256" t="s">
        <v>12198</v>
      </c>
      <c r="B1256" t="s">
        <v>12141</v>
      </c>
      <c r="C1256" t="s">
        <v>12142</v>
      </c>
      <c r="D1256" t="s">
        <v>12199</v>
      </c>
      <c r="E1256" t="s">
        <v>12200</v>
      </c>
      <c r="F1256" t="s">
        <v>12201</v>
      </c>
      <c r="G1256" t="s">
        <v>15827</v>
      </c>
      <c r="H1256" t="s">
        <v>15831</v>
      </c>
      <c r="I1256" t="s">
        <v>17057</v>
      </c>
      <c r="J1256" t="s">
        <v>23</v>
      </c>
      <c r="L1256" t="s">
        <v>12146</v>
      </c>
      <c r="M1256" t="s">
        <v>12202</v>
      </c>
      <c r="N1256" t="s">
        <v>9281</v>
      </c>
      <c r="O1256" t="s">
        <v>12148</v>
      </c>
      <c r="P1256" t="s">
        <v>12149</v>
      </c>
      <c r="Q1256" t="s">
        <v>12203</v>
      </c>
      <c r="R1256" t="s">
        <v>12151</v>
      </c>
      <c r="S1256" t="s">
        <v>12152</v>
      </c>
      <c r="T1256" t="s">
        <v>12153</v>
      </c>
      <c r="U1256" s="5">
        <v>367.76</v>
      </c>
      <c r="V1256" s="5">
        <v>142.46</v>
      </c>
      <c r="W1256" s="5">
        <v>16.04016</v>
      </c>
      <c r="X1256" s="5">
        <v>108.24224100000001</v>
      </c>
      <c r="Y1256" s="5">
        <v>225.31</v>
      </c>
      <c r="Z1256" s="5">
        <v>16.042145000000001</v>
      </c>
      <c r="AA1256" s="5">
        <v>108.24629400000001</v>
      </c>
      <c r="AB1256" s="7">
        <f t="shared" si="115"/>
        <v>0.21368999999999999</v>
      </c>
      <c r="AC1256" s="7">
        <f t="shared" si="116"/>
        <v>0.33796500000000002</v>
      </c>
      <c r="AD1256" s="6" t="str">
        <f t="shared" si="117"/>
        <v>A01</v>
      </c>
      <c r="AE1256" s="6" t="str">
        <f t="shared" si="118"/>
        <v>A06 (CS1) -new</v>
      </c>
      <c r="AG1256">
        <f t="shared" si="119"/>
        <v>0.14246</v>
      </c>
      <c r="AH1256">
        <f t="shared" si="120"/>
        <v>0.22531000000000001</v>
      </c>
    </row>
    <row r="1257" spans="1:34" x14ac:dyDescent="0.25">
      <c r="A1257" t="s">
        <v>12204</v>
      </c>
      <c r="B1257" t="s">
        <v>12205</v>
      </c>
      <c r="C1257" t="s">
        <v>12206</v>
      </c>
      <c r="D1257" t="s">
        <v>12207</v>
      </c>
      <c r="E1257" t="s">
        <v>12208</v>
      </c>
      <c r="F1257" t="s">
        <v>12209</v>
      </c>
      <c r="G1257" t="s">
        <v>15827</v>
      </c>
      <c r="H1257" t="s">
        <v>15831</v>
      </c>
      <c r="I1257" t="s">
        <v>17058</v>
      </c>
      <c r="J1257" t="s">
        <v>23</v>
      </c>
      <c r="L1257" t="s">
        <v>12210</v>
      </c>
      <c r="M1257" t="s">
        <v>12211</v>
      </c>
      <c r="N1257" t="s">
        <v>12212</v>
      </c>
      <c r="O1257" t="s">
        <v>12213</v>
      </c>
      <c r="P1257" t="s">
        <v>12214</v>
      </c>
      <c r="Q1257" t="s">
        <v>12215</v>
      </c>
      <c r="R1257" t="s">
        <v>12216</v>
      </c>
      <c r="S1257" t="s">
        <v>12217</v>
      </c>
      <c r="T1257" t="s">
        <v>12218</v>
      </c>
      <c r="U1257" s="5">
        <v>56.62</v>
      </c>
      <c r="V1257" s="5">
        <v>6.41</v>
      </c>
      <c r="W1257" s="5">
        <v>16.057247</v>
      </c>
      <c r="X1257" s="5">
        <v>108.181504</v>
      </c>
      <c r="Y1257" s="5">
        <v>50.21</v>
      </c>
      <c r="Z1257" s="5">
        <v>16.056948999999999</v>
      </c>
      <c r="AA1257" s="5">
        <v>108.180661</v>
      </c>
      <c r="AB1257" s="7">
        <f t="shared" si="115"/>
        <v>9.6150000000000003E-3</v>
      </c>
      <c r="AC1257" s="7">
        <f t="shared" si="116"/>
        <v>7.5314999999999993E-2</v>
      </c>
      <c r="AD1257" s="6" t="str">
        <f t="shared" si="117"/>
        <v>Hòa Khánh</v>
      </c>
      <c r="AE1257" s="6" t="str">
        <f t="shared" si="118"/>
        <v>An Khê</v>
      </c>
      <c r="AG1257">
        <f t="shared" si="119"/>
        <v>6.4099999999999999E-3</v>
      </c>
      <c r="AH1257">
        <f t="shared" si="120"/>
        <v>5.0209999999999998E-2</v>
      </c>
    </row>
    <row r="1258" spans="1:34" x14ac:dyDescent="0.25">
      <c r="A1258" t="s">
        <v>12219</v>
      </c>
      <c r="B1258" t="s">
        <v>12220</v>
      </c>
      <c r="C1258" t="s">
        <v>12221</v>
      </c>
      <c r="D1258" t="s">
        <v>12222</v>
      </c>
      <c r="E1258" t="s">
        <v>12223</v>
      </c>
      <c r="F1258" t="s">
        <v>12224</v>
      </c>
      <c r="G1258" t="s">
        <v>15827</v>
      </c>
      <c r="H1258" t="s">
        <v>15831</v>
      </c>
      <c r="I1258" t="s">
        <v>17059</v>
      </c>
      <c r="J1258" t="s">
        <v>23</v>
      </c>
      <c r="L1258" t="s">
        <v>11251</v>
      </c>
      <c r="M1258" t="s">
        <v>12225</v>
      </c>
      <c r="N1258" t="s">
        <v>12226</v>
      </c>
      <c r="O1258" t="s">
        <v>12227</v>
      </c>
      <c r="P1258" t="s">
        <v>12228</v>
      </c>
      <c r="Q1258" t="s">
        <v>7105</v>
      </c>
      <c r="R1258" t="s">
        <v>12229</v>
      </c>
      <c r="S1258" t="s">
        <v>12230</v>
      </c>
      <c r="T1258" t="s">
        <v>11259</v>
      </c>
      <c r="U1258" s="5">
        <v>75.760000000000005</v>
      </c>
      <c r="V1258" s="5">
        <v>52.73</v>
      </c>
      <c r="W1258" s="5">
        <v>16.071179000000001</v>
      </c>
      <c r="X1258" s="5">
        <v>108.19215</v>
      </c>
      <c r="Y1258" s="5">
        <v>23.03</v>
      </c>
      <c r="Z1258" s="5">
        <v>16.069703000000001</v>
      </c>
      <c r="AA1258" s="5">
        <v>108.184551</v>
      </c>
      <c r="AB1258" s="7">
        <f t="shared" si="115"/>
        <v>7.9094999999999999E-2</v>
      </c>
      <c r="AC1258" s="7">
        <f t="shared" si="116"/>
        <v>3.4544999999999999E-2</v>
      </c>
      <c r="AD1258" s="6" t="str">
        <f t="shared" si="117"/>
        <v>TT1 Đà Nẵng</v>
      </c>
      <c r="AE1258" s="6" t="str">
        <f t="shared" si="118"/>
        <v>Hải Vân</v>
      </c>
      <c r="AG1258">
        <f t="shared" si="119"/>
        <v>5.2729999999999999E-2</v>
      </c>
      <c r="AH1258">
        <f t="shared" si="120"/>
        <v>2.3030000000000002E-2</v>
      </c>
    </row>
    <row r="1259" spans="1:34" x14ac:dyDescent="0.25">
      <c r="A1259" t="s">
        <v>12231</v>
      </c>
      <c r="B1259" t="s">
        <v>12220</v>
      </c>
      <c r="C1259" t="s">
        <v>12221</v>
      </c>
      <c r="D1259" t="s">
        <v>7393</v>
      </c>
      <c r="E1259" t="s">
        <v>12232</v>
      </c>
      <c r="F1259" t="s">
        <v>12233</v>
      </c>
      <c r="G1259" t="s">
        <v>15827</v>
      </c>
      <c r="H1259" t="s">
        <v>15831</v>
      </c>
      <c r="I1259" t="s">
        <v>17060</v>
      </c>
      <c r="J1259" t="s">
        <v>23</v>
      </c>
      <c r="L1259" t="s">
        <v>12234</v>
      </c>
      <c r="M1259" t="s">
        <v>12235</v>
      </c>
      <c r="N1259" t="s">
        <v>12236</v>
      </c>
      <c r="O1259" t="s">
        <v>12237</v>
      </c>
      <c r="P1259" t="s">
        <v>12238</v>
      </c>
      <c r="Q1259" t="s">
        <v>12239</v>
      </c>
      <c r="R1259" t="s">
        <v>12240</v>
      </c>
      <c r="S1259" t="s">
        <v>12241</v>
      </c>
      <c r="T1259" t="s">
        <v>12242</v>
      </c>
      <c r="U1259" s="5">
        <v>32.79</v>
      </c>
      <c r="V1259" s="5">
        <v>10.87</v>
      </c>
      <c r="W1259" s="5">
        <v>16.070730000000001</v>
      </c>
      <c r="X1259" s="5">
        <v>108.192493</v>
      </c>
      <c r="Y1259" s="5">
        <v>21.92</v>
      </c>
      <c r="Z1259" s="5">
        <v>16.070101000000001</v>
      </c>
      <c r="AA1259" s="5">
        <v>108.191766</v>
      </c>
      <c r="AB1259" s="7">
        <f t="shared" si="115"/>
        <v>1.6305E-2</v>
      </c>
      <c r="AC1259" s="7">
        <f t="shared" si="116"/>
        <v>3.288E-2</v>
      </c>
      <c r="AD1259" s="6" t="str">
        <f t="shared" si="117"/>
        <v>An Khê</v>
      </c>
      <c r="AE1259" s="6" t="str">
        <f t="shared" si="118"/>
        <v>Thanh Khê</v>
      </c>
      <c r="AG1259">
        <f t="shared" si="119"/>
        <v>1.0869999999999999E-2</v>
      </c>
      <c r="AH1259">
        <f t="shared" si="120"/>
        <v>2.1920000000000002E-2</v>
      </c>
    </row>
    <row r="1260" spans="1:34" x14ac:dyDescent="0.25">
      <c r="A1260" t="s">
        <v>12243</v>
      </c>
      <c r="B1260" t="s">
        <v>12220</v>
      </c>
      <c r="C1260" t="s">
        <v>12221</v>
      </c>
      <c r="D1260" t="s">
        <v>12244</v>
      </c>
      <c r="E1260" t="s">
        <v>12245</v>
      </c>
      <c r="F1260" t="s">
        <v>12246</v>
      </c>
      <c r="G1260" t="s">
        <v>15827</v>
      </c>
      <c r="H1260" t="s">
        <v>15831</v>
      </c>
      <c r="I1260" t="s">
        <v>17061</v>
      </c>
      <c r="J1260" t="s">
        <v>23</v>
      </c>
      <c r="L1260" t="s">
        <v>11231</v>
      </c>
      <c r="M1260" t="s">
        <v>12247</v>
      </c>
      <c r="N1260" t="s">
        <v>12248</v>
      </c>
      <c r="O1260" t="s">
        <v>12249</v>
      </c>
      <c r="P1260" t="s">
        <v>12250</v>
      </c>
      <c r="Q1260" t="s">
        <v>12251</v>
      </c>
      <c r="R1260" t="s">
        <v>12252</v>
      </c>
      <c r="S1260" t="s">
        <v>12253</v>
      </c>
      <c r="T1260" t="s">
        <v>12254</v>
      </c>
      <c r="U1260" s="5">
        <v>284.45</v>
      </c>
      <c r="V1260" s="5">
        <v>195.19</v>
      </c>
      <c r="W1260" s="5">
        <v>16.072437000000001</v>
      </c>
      <c r="X1260" s="5">
        <v>108.19182600000001</v>
      </c>
      <c r="Y1260" s="5">
        <v>89.26</v>
      </c>
      <c r="Z1260" s="5">
        <v>16.07319</v>
      </c>
      <c r="AA1260" s="5">
        <v>108.18029300000001</v>
      </c>
      <c r="AB1260" s="7">
        <f t="shared" si="115"/>
        <v>0.29278499999999996</v>
      </c>
      <c r="AC1260" s="7">
        <f t="shared" si="116"/>
        <v>0.13389000000000001</v>
      </c>
      <c r="AD1260" s="6" t="str">
        <f t="shared" si="117"/>
        <v>TT1 Đà Nẵng</v>
      </c>
      <c r="AE1260" s="6" t="str">
        <f t="shared" si="118"/>
        <v>Liên Chiểu</v>
      </c>
      <c r="AG1260">
        <f t="shared" si="119"/>
        <v>0.19519</v>
      </c>
      <c r="AH1260">
        <f t="shared" si="120"/>
        <v>8.9260000000000006E-2</v>
      </c>
    </row>
    <row r="1261" spans="1:34" x14ac:dyDescent="0.25">
      <c r="A1261" t="s">
        <v>12255</v>
      </c>
      <c r="B1261" t="s">
        <v>12220</v>
      </c>
      <c r="C1261" t="s">
        <v>12221</v>
      </c>
      <c r="D1261" t="s">
        <v>12256</v>
      </c>
      <c r="E1261" t="s">
        <v>12257</v>
      </c>
      <c r="F1261" t="s">
        <v>12258</v>
      </c>
      <c r="G1261" t="s">
        <v>15827</v>
      </c>
      <c r="H1261" t="s">
        <v>16230</v>
      </c>
      <c r="I1261" t="s">
        <v>17062</v>
      </c>
      <c r="J1261" t="s">
        <v>23</v>
      </c>
      <c r="L1261" t="s">
        <v>12259</v>
      </c>
      <c r="M1261" t="s">
        <v>12260</v>
      </c>
      <c r="N1261" t="s">
        <v>12261</v>
      </c>
      <c r="O1261" t="s">
        <v>12262</v>
      </c>
      <c r="P1261" t="s">
        <v>12263</v>
      </c>
      <c r="Q1261" t="s">
        <v>12264</v>
      </c>
      <c r="R1261" t="s">
        <v>12265</v>
      </c>
      <c r="S1261" t="s">
        <v>12266</v>
      </c>
      <c r="T1261" t="s">
        <v>12267</v>
      </c>
      <c r="U1261" s="5">
        <v>69.67</v>
      </c>
      <c r="V1261" s="5">
        <v>11.25</v>
      </c>
      <c r="W1261" s="5">
        <v>16.070743</v>
      </c>
      <c r="X1261" s="5">
        <v>108.192502</v>
      </c>
      <c r="Y1261" s="5">
        <v>58.42</v>
      </c>
      <c r="Z1261" s="5">
        <v>16.071003999999999</v>
      </c>
      <c r="AA1261" s="5">
        <v>108.200844</v>
      </c>
      <c r="AB1261" s="7">
        <f t="shared" si="115"/>
        <v>1.6875000000000001E-2</v>
      </c>
      <c r="AC1261" s="7">
        <f t="shared" si="116"/>
        <v>8.763E-2</v>
      </c>
      <c r="AD1261" s="6" t="str">
        <f t="shared" si="117"/>
        <v>Thanh Khê</v>
      </c>
      <c r="AE1261" s="6" t="str">
        <f t="shared" si="118"/>
        <v>TT1 Đà Nẵng</v>
      </c>
      <c r="AG1261">
        <f t="shared" si="119"/>
        <v>1.125E-2</v>
      </c>
      <c r="AH1261">
        <f t="shared" si="120"/>
        <v>5.842E-2</v>
      </c>
    </row>
    <row r="1262" spans="1:34" x14ac:dyDescent="0.25">
      <c r="A1262" t="s">
        <v>12268</v>
      </c>
      <c r="B1262" t="s">
        <v>12220</v>
      </c>
      <c r="C1262" t="s">
        <v>12221</v>
      </c>
      <c r="D1262" t="s">
        <v>12269</v>
      </c>
      <c r="E1262" t="s">
        <v>12270</v>
      </c>
      <c r="F1262" t="s">
        <v>12271</v>
      </c>
      <c r="G1262" t="s">
        <v>15827</v>
      </c>
      <c r="H1262" t="s">
        <v>16230</v>
      </c>
      <c r="I1262" t="s">
        <v>17063</v>
      </c>
      <c r="J1262" t="s">
        <v>23</v>
      </c>
      <c r="L1262" t="s">
        <v>12259</v>
      </c>
      <c r="M1262" t="s">
        <v>12272</v>
      </c>
      <c r="N1262" t="s">
        <v>12261</v>
      </c>
      <c r="O1262" t="s">
        <v>12262</v>
      </c>
      <c r="P1262" t="s">
        <v>12263</v>
      </c>
      <c r="Q1262" t="s">
        <v>12273</v>
      </c>
      <c r="R1262" t="s">
        <v>12265</v>
      </c>
      <c r="S1262" t="s">
        <v>12266</v>
      </c>
      <c r="T1262" t="s">
        <v>12267</v>
      </c>
      <c r="U1262" s="5">
        <v>644.79999999999995</v>
      </c>
      <c r="V1262" s="5">
        <v>11.25</v>
      </c>
      <c r="W1262" s="5">
        <v>16.070743</v>
      </c>
      <c r="X1262" s="5">
        <v>108.192502</v>
      </c>
      <c r="Y1262" s="5">
        <v>633.54</v>
      </c>
      <c r="Z1262" s="5">
        <v>16.071003999999999</v>
      </c>
      <c r="AA1262" s="5">
        <v>108.200844</v>
      </c>
      <c r="AB1262" s="7">
        <f t="shared" si="115"/>
        <v>1.6875000000000001E-2</v>
      </c>
      <c r="AC1262" s="7">
        <f t="shared" si="116"/>
        <v>0.95030999999999999</v>
      </c>
      <c r="AD1262" s="6" t="str">
        <f t="shared" si="117"/>
        <v>Thanh Khê</v>
      </c>
      <c r="AE1262" s="6" t="str">
        <f t="shared" si="118"/>
        <v>TT1 Đà Nẵng</v>
      </c>
      <c r="AG1262">
        <f t="shared" si="119"/>
        <v>1.125E-2</v>
      </c>
      <c r="AH1262">
        <f t="shared" si="120"/>
        <v>0.63353999999999999</v>
      </c>
    </row>
    <row r="1263" spans="1:34" x14ac:dyDescent="0.25">
      <c r="A1263" t="s">
        <v>12274</v>
      </c>
      <c r="B1263" t="s">
        <v>12275</v>
      </c>
      <c r="C1263" t="s">
        <v>12276</v>
      </c>
      <c r="D1263" t="s">
        <v>12277</v>
      </c>
      <c r="E1263" t="s">
        <v>12278</v>
      </c>
      <c r="F1263" t="s">
        <v>12279</v>
      </c>
      <c r="G1263" t="s">
        <v>15827</v>
      </c>
      <c r="H1263" t="s">
        <v>16230</v>
      </c>
      <c r="I1263" t="s">
        <v>17064</v>
      </c>
      <c r="J1263" t="s">
        <v>23</v>
      </c>
      <c r="L1263" t="s">
        <v>12280</v>
      </c>
      <c r="M1263" t="s">
        <v>12281</v>
      </c>
      <c r="N1263" t="s">
        <v>9950</v>
      </c>
      <c r="O1263" t="s">
        <v>12282</v>
      </c>
      <c r="P1263" t="s">
        <v>12283</v>
      </c>
      <c r="Q1263" t="s">
        <v>12284</v>
      </c>
      <c r="R1263" t="s">
        <v>12285</v>
      </c>
      <c r="S1263" t="s">
        <v>12286</v>
      </c>
      <c r="T1263" t="s">
        <v>12287</v>
      </c>
      <c r="U1263" s="5">
        <v>50.99</v>
      </c>
      <c r="V1263" s="5">
        <v>18.809999999999999</v>
      </c>
      <c r="W1263" s="5">
        <v>15.948992000000001</v>
      </c>
      <c r="X1263" s="5">
        <v>108.254724</v>
      </c>
      <c r="Y1263" s="5">
        <v>32.19</v>
      </c>
      <c r="Z1263" s="5">
        <v>15.935428999999999</v>
      </c>
      <c r="AA1263" s="5">
        <v>108.255054</v>
      </c>
      <c r="AB1263" s="7">
        <f t="shared" si="115"/>
        <v>2.8214999999999997E-2</v>
      </c>
      <c r="AC1263" s="7">
        <f t="shared" si="116"/>
        <v>4.8284999999999995E-2</v>
      </c>
      <c r="AD1263" s="6" t="str">
        <f t="shared" si="117"/>
        <v>An Thắng</v>
      </c>
      <c r="AE1263" s="6" t="str">
        <f t="shared" si="118"/>
        <v>Điện Bàn Đông</v>
      </c>
      <c r="AG1263">
        <f t="shared" si="119"/>
        <v>1.881E-2</v>
      </c>
      <c r="AH1263">
        <f t="shared" si="120"/>
        <v>3.2189999999999996E-2</v>
      </c>
    </row>
    <row r="1264" spans="1:34" x14ac:dyDescent="0.25">
      <c r="A1264" t="s">
        <v>12288</v>
      </c>
      <c r="B1264" t="s">
        <v>12275</v>
      </c>
      <c r="C1264" t="s">
        <v>12276</v>
      </c>
      <c r="D1264" t="s">
        <v>12289</v>
      </c>
      <c r="E1264" t="s">
        <v>12290</v>
      </c>
      <c r="F1264" t="s">
        <v>12291</v>
      </c>
      <c r="G1264" t="s">
        <v>15827</v>
      </c>
      <c r="H1264" t="s">
        <v>16230</v>
      </c>
      <c r="I1264" t="s">
        <v>17065</v>
      </c>
      <c r="J1264" t="s">
        <v>23</v>
      </c>
      <c r="L1264" t="s">
        <v>12292</v>
      </c>
      <c r="M1264" t="s">
        <v>12293</v>
      </c>
      <c r="N1264" t="s">
        <v>12294</v>
      </c>
      <c r="O1264" t="s">
        <v>12295</v>
      </c>
      <c r="P1264" t="s">
        <v>12283</v>
      </c>
      <c r="Q1264" t="s">
        <v>12296</v>
      </c>
      <c r="R1264" t="s">
        <v>12297</v>
      </c>
      <c r="S1264" t="s">
        <v>12298</v>
      </c>
      <c r="T1264" t="s">
        <v>12299</v>
      </c>
      <c r="U1264" s="5">
        <v>2934.09</v>
      </c>
      <c r="V1264" s="5">
        <v>18.850000000000001</v>
      </c>
      <c r="W1264" s="5">
        <v>15.948995</v>
      </c>
      <c r="X1264" s="5">
        <v>108.254724</v>
      </c>
      <c r="Y1264" s="5">
        <v>2915.24</v>
      </c>
      <c r="Z1264" s="5">
        <v>15.929613</v>
      </c>
      <c r="AA1264" s="5">
        <v>108.255984</v>
      </c>
      <c r="AB1264" s="7">
        <f t="shared" si="115"/>
        <v>2.8275000000000002E-2</v>
      </c>
      <c r="AC1264" s="7">
        <f t="shared" si="116"/>
        <v>4.3728599999999993</v>
      </c>
      <c r="AD1264" s="6" t="str">
        <f t="shared" si="117"/>
        <v>Điện Bàn Đông</v>
      </c>
      <c r="AE1264" s="6" t="str">
        <f t="shared" si="118"/>
        <v>Hội An Tây</v>
      </c>
      <c r="AG1264">
        <f t="shared" si="119"/>
        <v>1.8850000000000002E-2</v>
      </c>
      <c r="AH1264">
        <f t="shared" si="120"/>
        <v>2.9152399999999998</v>
      </c>
    </row>
    <row r="1265" spans="1:34" x14ac:dyDescent="0.25">
      <c r="A1265" t="s">
        <v>12300</v>
      </c>
      <c r="B1265" t="s">
        <v>12275</v>
      </c>
      <c r="C1265" t="s">
        <v>12276</v>
      </c>
      <c r="D1265" t="s">
        <v>12301</v>
      </c>
      <c r="E1265" t="s">
        <v>12302</v>
      </c>
      <c r="F1265" t="s">
        <v>12303</v>
      </c>
      <c r="G1265" t="s">
        <v>15827</v>
      </c>
      <c r="H1265" t="s">
        <v>16230</v>
      </c>
      <c r="I1265" t="s">
        <v>17066</v>
      </c>
      <c r="J1265" t="s">
        <v>23</v>
      </c>
      <c r="L1265" t="s">
        <v>12280</v>
      </c>
      <c r="M1265" t="s">
        <v>12304</v>
      </c>
      <c r="N1265" t="s">
        <v>9950</v>
      </c>
      <c r="O1265" t="s">
        <v>12282</v>
      </c>
      <c r="P1265" t="s">
        <v>12283</v>
      </c>
      <c r="Q1265" t="s">
        <v>12305</v>
      </c>
      <c r="R1265" t="s">
        <v>12306</v>
      </c>
      <c r="S1265" t="s">
        <v>12307</v>
      </c>
      <c r="T1265" t="s">
        <v>12287</v>
      </c>
      <c r="U1265" s="5">
        <v>1353.26</v>
      </c>
      <c r="V1265" s="5">
        <v>18.809999999999999</v>
      </c>
      <c r="W1265" s="5">
        <v>15.948992000000001</v>
      </c>
      <c r="X1265" s="5">
        <v>108.254724</v>
      </c>
      <c r="Y1265" s="5">
        <v>1334.46</v>
      </c>
      <c r="Z1265" s="5">
        <v>15.942147</v>
      </c>
      <c r="AA1265" s="5">
        <v>108.254727</v>
      </c>
      <c r="AB1265" s="7">
        <f t="shared" si="115"/>
        <v>2.8214999999999997E-2</v>
      </c>
      <c r="AC1265" s="7">
        <f t="shared" si="116"/>
        <v>2.00169</v>
      </c>
      <c r="AD1265" s="6" t="str">
        <f t="shared" si="117"/>
        <v>An Thắng</v>
      </c>
      <c r="AE1265" s="6" t="str">
        <f t="shared" si="118"/>
        <v>Điện Bàn Đông</v>
      </c>
      <c r="AG1265">
        <f t="shared" si="119"/>
        <v>1.881E-2</v>
      </c>
      <c r="AH1265">
        <f t="shared" si="120"/>
        <v>1.33446</v>
      </c>
    </row>
    <row r="1266" spans="1:34" x14ac:dyDescent="0.25">
      <c r="A1266" t="s">
        <v>12308</v>
      </c>
      <c r="B1266" t="s">
        <v>12275</v>
      </c>
      <c r="C1266" t="s">
        <v>12276</v>
      </c>
      <c r="D1266" t="s">
        <v>12309</v>
      </c>
      <c r="E1266" t="s">
        <v>12310</v>
      </c>
      <c r="F1266" t="s">
        <v>12311</v>
      </c>
      <c r="G1266" t="s">
        <v>15827</v>
      </c>
      <c r="H1266" t="s">
        <v>16230</v>
      </c>
      <c r="I1266" t="s">
        <v>17067</v>
      </c>
      <c r="J1266" t="s">
        <v>23</v>
      </c>
      <c r="L1266" t="s">
        <v>12292</v>
      </c>
      <c r="M1266" t="s">
        <v>12312</v>
      </c>
      <c r="N1266" t="s">
        <v>12313</v>
      </c>
      <c r="O1266" t="s">
        <v>12314</v>
      </c>
      <c r="P1266" t="s">
        <v>12315</v>
      </c>
      <c r="Q1266" t="s">
        <v>12316</v>
      </c>
      <c r="R1266" t="s">
        <v>12314</v>
      </c>
      <c r="S1266" t="s">
        <v>12315</v>
      </c>
      <c r="T1266" t="s">
        <v>12317</v>
      </c>
      <c r="U1266" s="5">
        <v>1475.32</v>
      </c>
      <c r="V1266" s="5">
        <v>1.42</v>
      </c>
      <c r="W1266" s="5">
        <v>15.949006000000001</v>
      </c>
      <c r="X1266" s="5">
        <v>108.254912</v>
      </c>
      <c r="Y1266" s="5">
        <v>1473.9</v>
      </c>
      <c r="Z1266" s="5">
        <v>15.949006000000001</v>
      </c>
      <c r="AA1266" s="5">
        <v>108.254912</v>
      </c>
      <c r="AB1266" s="7">
        <f t="shared" si="115"/>
        <v>2.1299999999999999E-3</v>
      </c>
      <c r="AC1266" s="7">
        <f t="shared" si="116"/>
        <v>2.2108500000000002</v>
      </c>
      <c r="AD1266" s="6" t="str">
        <f t="shared" si="117"/>
        <v>Điện Bàn Đông</v>
      </c>
      <c r="AE1266" s="6" t="str">
        <f t="shared" si="118"/>
        <v>Hội An Tây</v>
      </c>
      <c r="AG1266">
        <f t="shared" si="119"/>
        <v>1.4199999999999998E-3</v>
      </c>
      <c r="AH1266">
        <f t="shared" si="120"/>
        <v>1.4739</v>
      </c>
    </row>
    <row r="1267" spans="1:34" x14ac:dyDescent="0.25">
      <c r="A1267" t="s">
        <v>12318</v>
      </c>
      <c r="B1267" t="s">
        <v>12275</v>
      </c>
      <c r="C1267" t="s">
        <v>12276</v>
      </c>
      <c r="D1267" t="s">
        <v>12319</v>
      </c>
      <c r="E1267" t="s">
        <v>12320</v>
      </c>
      <c r="F1267" t="s">
        <v>12321</v>
      </c>
      <c r="G1267" t="s">
        <v>15827</v>
      </c>
      <c r="H1267" t="s">
        <v>15831</v>
      </c>
      <c r="I1267" t="s">
        <v>17068</v>
      </c>
      <c r="J1267" t="s">
        <v>23</v>
      </c>
      <c r="L1267" t="s">
        <v>12292</v>
      </c>
      <c r="M1267" t="s">
        <v>12322</v>
      </c>
      <c r="N1267" t="s">
        <v>12294</v>
      </c>
      <c r="O1267" t="s">
        <v>12295</v>
      </c>
      <c r="P1267" t="s">
        <v>12283</v>
      </c>
      <c r="Q1267" t="s">
        <v>12323</v>
      </c>
      <c r="R1267" t="s">
        <v>12297</v>
      </c>
      <c r="S1267" t="s">
        <v>12298</v>
      </c>
      <c r="T1267" t="s">
        <v>12299</v>
      </c>
      <c r="U1267" s="5">
        <v>524.30999999999995</v>
      </c>
      <c r="V1267" s="5">
        <v>18.850000000000001</v>
      </c>
      <c r="W1267" s="5">
        <v>15.948995</v>
      </c>
      <c r="X1267" s="5">
        <v>108.254724</v>
      </c>
      <c r="Y1267" s="5">
        <v>505.47</v>
      </c>
      <c r="Z1267" s="5">
        <v>15.929613</v>
      </c>
      <c r="AA1267" s="5">
        <v>108.255984</v>
      </c>
      <c r="AB1267" s="7">
        <f t="shared" si="115"/>
        <v>2.8275000000000002E-2</v>
      </c>
      <c r="AC1267" s="7">
        <f t="shared" si="116"/>
        <v>0.75820500000000002</v>
      </c>
      <c r="AD1267" s="6" t="str">
        <f t="shared" si="117"/>
        <v>Điện Bàn Đông</v>
      </c>
      <c r="AE1267" s="6" t="str">
        <f t="shared" si="118"/>
        <v>Hội An Tây</v>
      </c>
      <c r="AG1267">
        <f t="shared" si="119"/>
        <v>1.8850000000000002E-2</v>
      </c>
      <c r="AH1267">
        <f t="shared" si="120"/>
        <v>0.50546999999999997</v>
      </c>
    </row>
    <row r="1268" spans="1:34" x14ac:dyDescent="0.25">
      <c r="A1268" t="s">
        <v>12324</v>
      </c>
      <c r="B1268" t="s">
        <v>12275</v>
      </c>
      <c r="C1268" t="s">
        <v>12276</v>
      </c>
      <c r="D1268" t="s">
        <v>12325</v>
      </c>
      <c r="E1268" t="s">
        <v>12326</v>
      </c>
      <c r="F1268" t="s">
        <v>12327</v>
      </c>
      <c r="G1268" t="s">
        <v>15827</v>
      </c>
      <c r="H1268" t="s">
        <v>15831</v>
      </c>
      <c r="I1268" t="s">
        <v>17069</v>
      </c>
      <c r="J1268" t="s">
        <v>23</v>
      </c>
      <c r="L1268" t="s">
        <v>12280</v>
      </c>
      <c r="M1268" t="s">
        <v>12328</v>
      </c>
      <c r="N1268" t="s">
        <v>9950</v>
      </c>
      <c r="O1268" t="s">
        <v>12282</v>
      </c>
      <c r="P1268" t="s">
        <v>12283</v>
      </c>
      <c r="Q1268" t="s">
        <v>12329</v>
      </c>
      <c r="R1268" t="s">
        <v>12330</v>
      </c>
      <c r="S1268" t="s">
        <v>12331</v>
      </c>
      <c r="T1268" t="s">
        <v>12287</v>
      </c>
      <c r="U1268" s="5">
        <v>345.33</v>
      </c>
      <c r="V1268" s="5">
        <v>18.809999999999999</v>
      </c>
      <c r="W1268" s="5">
        <v>15.948992000000001</v>
      </c>
      <c r="X1268" s="5">
        <v>108.254724</v>
      </c>
      <c r="Y1268" s="5">
        <v>326.52999999999997</v>
      </c>
      <c r="Z1268" s="5">
        <v>15.935865</v>
      </c>
      <c r="AA1268" s="5">
        <v>108.229145</v>
      </c>
      <c r="AB1268" s="7">
        <f t="shared" si="115"/>
        <v>2.8214999999999997E-2</v>
      </c>
      <c r="AC1268" s="7">
        <f t="shared" si="116"/>
        <v>0.48979499999999998</v>
      </c>
      <c r="AD1268" s="6" t="str">
        <f t="shared" si="117"/>
        <v>An Thắng</v>
      </c>
      <c r="AE1268" s="6" t="str">
        <f t="shared" si="118"/>
        <v>Điện Bàn Đông</v>
      </c>
      <c r="AG1268">
        <f t="shared" si="119"/>
        <v>1.881E-2</v>
      </c>
      <c r="AH1268">
        <f t="shared" si="120"/>
        <v>0.32652999999999999</v>
      </c>
    </row>
    <row r="1269" spans="1:34" x14ac:dyDescent="0.25">
      <c r="A1269" t="s">
        <v>12332</v>
      </c>
      <c r="B1269" t="s">
        <v>12275</v>
      </c>
      <c r="C1269" t="s">
        <v>12276</v>
      </c>
      <c r="D1269" t="s">
        <v>12333</v>
      </c>
      <c r="E1269" t="s">
        <v>12334</v>
      </c>
      <c r="F1269" t="s">
        <v>12335</v>
      </c>
      <c r="G1269" t="s">
        <v>15827</v>
      </c>
      <c r="H1269" t="s">
        <v>15831</v>
      </c>
      <c r="I1269" t="s">
        <v>17070</v>
      </c>
      <c r="J1269" t="s">
        <v>23</v>
      </c>
      <c r="L1269" t="s">
        <v>12336</v>
      </c>
      <c r="M1269" t="s">
        <v>12337</v>
      </c>
      <c r="N1269" t="s">
        <v>12338</v>
      </c>
      <c r="O1269" t="s">
        <v>12339</v>
      </c>
      <c r="P1269" t="s">
        <v>12340</v>
      </c>
      <c r="Q1269" t="s">
        <v>12341</v>
      </c>
      <c r="R1269" t="s">
        <v>12342</v>
      </c>
      <c r="S1269" t="s">
        <v>12343</v>
      </c>
      <c r="T1269" t="s">
        <v>12344</v>
      </c>
      <c r="U1269" s="5">
        <v>1756.61</v>
      </c>
      <c r="V1269" s="5">
        <v>707.06</v>
      </c>
      <c r="W1269" s="5">
        <v>15.955358</v>
      </c>
      <c r="X1269" s="5">
        <v>108.254784</v>
      </c>
      <c r="Y1269" s="5">
        <v>1049.55</v>
      </c>
      <c r="Z1269" s="5">
        <v>15.956379999999999</v>
      </c>
      <c r="AA1269" s="5">
        <v>108.25491700000001</v>
      </c>
      <c r="AB1269" s="7">
        <f t="shared" si="115"/>
        <v>1.0605899999999999</v>
      </c>
      <c r="AC1269" s="7">
        <f t="shared" si="116"/>
        <v>1.5743249999999998</v>
      </c>
      <c r="AD1269" s="6" t="str">
        <f t="shared" si="117"/>
        <v>Điện Bàn Bắc</v>
      </c>
      <c r="AE1269" s="6" t="str">
        <f t="shared" si="118"/>
        <v>TTCMKV Hội An</v>
      </c>
      <c r="AG1269">
        <f t="shared" si="119"/>
        <v>0.70705999999999991</v>
      </c>
      <c r="AH1269">
        <f t="shared" si="120"/>
        <v>1.04955</v>
      </c>
    </row>
    <row r="1270" spans="1:34" x14ac:dyDescent="0.25">
      <c r="A1270" t="s">
        <v>12345</v>
      </c>
      <c r="B1270" t="s">
        <v>12275</v>
      </c>
      <c r="C1270" t="s">
        <v>12276</v>
      </c>
      <c r="D1270" t="s">
        <v>12346</v>
      </c>
      <c r="E1270" t="s">
        <v>12347</v>
      </c>
      <c r="F1270" t="s">
        <v>12348</v>
      </c>
      <c r="G1270" t="s">
        <v>15827</v>
      </c>
      <c r="H1270" t="s">
        <v>15831</v>
      </c>
      <c r="I1270" t="s">
        <v>17071</v>
      </c>
      <c r="J1270" t="s">
        <v>23</v>
      </c>
      <c r="L1270" t="s">
        <v>12336</v>
      </c>
      <c r="M1270" t="s">
        <v>12349</v>
      </c>
      <c r="N1270" t="s">
        <v>12338</v>
      </c>
      <c r="O1270" t="s">
        <v>12339</v>
      </c>
      <c r="P1270" t="s">
        <v>12340</v>
      </c>
      <c r="Q1270" t="s">
        <v>12350</v>
      </c>
      <c r="R1270" t="s">
        <v>12351</v>
      </c>
      <c r="S1270" t="s">
        <v>12352</v>
      </c>
      <c r="T1270" t="s">
        <v>12344</v>
      </c>
      <c r="U1270" s="5">
        <v>1258.81</v>
      </c>
      <c r="V1270" s="5">
        <v>707.06</v>
      </c>
      <c r="W1270" s="5">
        <v>15.955358</v>
      </c>
      <c r="X1270" s="5">
        <v>108.254784</v>
      </c>
      <c r="Y1270" s="5">
        <v>551.75</v>
      </c>
      <c r="Z1270" s="5">
        <v>15.954058</v>
      </c>
      <c r="AA1270" s="5">
        <v>108.239617</v>
      </c>
      <c r="AB1270" s="7">
        <f t="shared" si="115"/>
        <v>1.0605899999999999</v>
      </c>
      <c r="AC1270" s="7">
        <f t="shared" si="116"/>
        <v>0.82762500000000006</v>
      </c>
      <c r="AD1270" s="6" t="str">
        <f t="shared" si="117"/>
        <v>Điện Bàn Bắc</v>
      </c>
      <c r="AE1270" s="6" t="str">
        <f t="shared" si="118"/>
        <v>TTCMKV Hội An</v>
      </c>
      <c r="AG1270">
        <f t="shared" si="119"/>
        <v>0.70705999999999991</v>
      </c>
      <c r="AH1270">
        <f t="shared" si="120"/>
        <v>0.55174999999999996</v>
      </c>
    </row>
    <row r="1271" spans="1:34" x14ac:dyDescent="0.25">
      <c r="A1271" t="s">
        <v>12353</v>
      </c>
      <c r="B1271" t="s">
        <v>12275</v>
      </c>
      <c r="C1271" t="s">
        <v>12276</v>
      </c>
      <c r="D1271" t="e">
        <v>#N/A</v>
      </c>
      <c r="E1271" t="e">
        <v>#N/A</v>
      </c>
      <c r="F1271" t="s">
        <v>12354</v>
      </c>
      <c r="G1271" t="s">
        <v>15827</v>
      </c>
      <c r="H1271" t="s">
        <v>16230</v>
      </c>
      <c r="I1271" t="s">
        <v>17072</v>
      </c>
      <c r="J1271" t="s">
        <v>5239</v>
      </c>
      <c r="K1271" t="s">
        <v>11979</v>
      </c>
      <c r="AB1271" s="7">
        <f t="shared" si="115"/>
        <v>0</v>
      </c>
      <c r="AC1271" s="7">
        <f t="shared" si="116"/>
        <v>0</v>
      </c>
      <c r="AD1271" s="6" t="e">
        <f t="shared" si="117"/>
        <v>#VALUE!</v>
      </c>
      <c r="AE1271" s="6" t="e">
        <f t="shared" si="118"/>
        <v>#VALUE!</v>
      </c>
      <c r="AG1271">
        <f t="shared" si="119"/>
        <v>0</v>
      </c>
      <c r="AH1271">
        <f t="shared" si="120"/>
        <v>0</v>
      </c>
    </row>
    <row r="1272" spans="1:34" x14ac:dyDescent="0.25">
      <c r="A1272" t="s">
        <v>12355</v>
      </c>
      <c r="B1272" t="s">
        <v>12356</v>
      </c>
      <c r="C1272" t="s">
        <v>12357</v>
      </c>
      <c r="D1272" t="s">
        <v>12358</v>
      </c>
      <c r="E1272" t="s">
        <v>12359</v>
      </c>
      <c r="F1272" t="s">
        <v>12360</v>
      </c>
      <c r="G1272" t="s">
        <v>15827</v>
      </c>
      <c r="H1272" t="s">
        <v>16230</v>
      </c>
      <c r="I1272" t="s">
        <v>17073</v>
      </c>
      <c r="J1272" t="s">
        <v>23</v>
      </c>
      <c r="L1272" t="s">
        <v>12361</v>
      </c>
      <c r="M1272" t="s">
        <v>12362</v>
      </c>
      <c r="N1272" t="s">
        <v>12363</v>
      </c>
      <c r="O1272" t="s">
        <v>12364</v>
      </c>
      <c r="P1272" t="s">
        <v>12365</v>
      </c>
      <c r="Q1272" t="s">
        <v>12366</v>
      </c>
      <c r="R1272" t="s">
        <v>12367</v>
      </c>
      <c r="S1272" t="s">
        <v>12368</v>
      </c>
      <c r="T1272" t="s">
        <v>12369</v>
      </c>
      <c r="U1272" s="5">
        <v>1816.05</v>
      </c>
      <c r="V1272" s="5">
        <v>47.71</v>
      </c>
      <c r="W1272" s="5">
        <v>15.829673</v>
      </c>
      <c r="X1272" s="5">
        <v>108.124711</v>
      </c>
      <c r="Y1272" s="5">
        <v>1768.33</v>
      </c>
      <c r="Z1272" s="5">
        <v>15.828954</v>
      </c>
      <c r="AA1272" s="5">
        <v>108.123936</v>
      </c>
      <c r="AB1272" s="7">
        <f t="shared" si="115"/>
        <v>7.1565000000000004E-2</v>
      </c>
      <c r="AC1272" s="7">
        <f t="shared" si="116"/>
        <v>2.652495</v>
      </c>
      <c r="AD1272" s="6" t="str">
        <f t="shared" si="117"/>
        <v>Thu Bồn</v>
      </c>
      <c r="AE1272" s="6" t="str">
        <f t="shared" si="118"/>
        <v>Gò Nổi</v>
      </c>
      <c r="AG1272">
        <f t="shared" si="119"/>
        <v>4.7710000000000002E-2</v>
      </c>
      <c r="AH1272">
        <f t="shared" si="120"/>
        <v>1.76833</v>
      </c>
    </row>
    <row r="1273" spans="1:34" x14ac:dyDescent="0.25">
      <c r="A1273" t="s">
        <v>12370</v>
      </c>
      <c r="B1273" t="s">
        <v>12371</v>
      </c>
      <c r="C1273" t="s">
        <v>12372</v>
      </c>
      <c r="D1273" t="s">
        <v>12373</v>
      </c>
      <c r="E1273" t="s">
        <v>12374</v>
      </c>
      <c r="F1273" t="s">
        <v>12375</v>
      </c>
      <c r="G1273" t="s">
        <v>15827</v>
      </c>
      <c r="H1273" t="s">
        <v>15831</v>
      </c>
      <c r="I1273" t="s">
        <v>17074</v>
      </c>
      <c r="J1273" t="s">
        <v>23</v>
      </c>
      <c r="L1273" t="s">
        <v>12376</v>
      </c>
      <c r="M1273" t="s">
        <v>4117</v>
      </c>
      <c r="N1273" t="s">
        <v>3929</v>
      </c>
      <c r="O1273" t="s">
        <v>12377</v>
      </c>
      <c r="P1273" t="s">
        <v>12378</v>
      </c>
      <c r="Q1273" t="s">
        <v>12379</v>
      </c>
      <c r="R1273" t="s">
        <v>12380</v>
      </c>
      <c r="S1273" t="s">
        <v>12381</v>
      </c>
      <c r="T1273" t="s">
        <v>12382</v>
      </c>
      <c r="U1273" s="5">
        <v>1381.74</v>
      </c>
      <c r="V1273" s="5">
        <v>2.48</v>
      </c>
      <c r="W1273" s="5">
        <v>15.886374</v>
      </c>
      <c r="X1273" s="5">
        <v>108.36251799999999</v>
      </c>
      <c r="Y1273" s="5">
        <v>1379.26</v>
      </c>
      <c r="Z1273" s="5">
        <v>15.890886</v>
      </c>
      <c r="AA1273" s="5">
        <v>108.359292</v>
      </c>
      <c r="AB1273" s="7">
        <f t="shared" si="115"/>
        <v>3.7199999999999998E-3</v>
      </c>
      <c r="AC1273" s="7">
        <f t="shared" si="116"/>
        <v>2.0688899999999997</v>
      </c>
      <c r="AD1273" s="6" t="str">
        <f t="shared" si="117"/>
        <v>Hội An Đông</v>
      </c>
      <c r="AE1273" s="6" t="str">
        <f t="shared" si="118"/>
        <v>TTCMKV Hội An</v>
      </c>
      <c r="AG1273">
        <f t="shared" si="119"/>
        <v>2.48E-3</v>
      </c>
      <c r="AH1273">
        <f t="shared" si="120"/>
        <v>1.3792599999999999</v>
      </c>
    </row>
    <row r="1274" spans="1:34" x14ac:dyDescent="0.25">
      <c r="A1274" t="s">
        <v>12383</v>
      </c>
      <c r="B1274" t="s">
        <v>12371</v>
      </c>
      <c r="C1274" t="s">
        <v>12372</v>
      </c>
      <c r="D1274" t="s">
        <v>12384</v>
      </c>
      <c r="E1274" t="s">
        <v>12385</v>
      </c>
      <c r="F1274" t="s">
        <v>12386</v>
      </c>
      <c r="G1274" t="s">
        <v>15827</v>
      </c>
      <c r="H1274" t="s">
        <v>15831</v>
      </c>
      <c r="I1274" t="s">
        <v>17075</v>
      </c>
      <c r="J1274" t="s">
        <v>23</v>
      </c>
      <c r="L1274" t="s">
        <v>12376</v>
      </c>
      <c r="M1274" t="s">
        <v>12387</v>
      </c>
      <c r="N1274" t="s">
        <v>3929</v>
      </c>
      <c r="O1274" t="s">
        <v>12377</v>
      </c>
      <c r="P1274" t="s">
        <v>12378</v>
      </c>
      <c r="Q1274" t="s">
        <v>12388</v>
      </c>
      <c r="R1274" t="s">
        <v>12389</v>
      </c>
      <c r="S1274" t="s">
        <v>12390</v>
      </c>
      <c r="T1274" t="s">
        <v>12382</v>
      </c>
      <c r="U1274" s="5">
        <v>40.75</v>
      </c>
      <c r="V1274" s="5">
        <v>2.48</v>
      </c>
      <c r="W1274" s="5">
        <v>15.886374</v>
      </c>
      <c r="X1274" s="5">
        <v>108.36251799999999</v>
      </c>
      <c r="Y1274" s="5">
        <v>38.270000000000003</v>
      </c>
      <c r="Z1274" s="5">
        <v>15.881281</v>
      </c>
      <c r="AA1274" s="5">
        <v>108.343457</v>
      </c>
      <c r="AB1274" s="7">
        <f t="shared" si="115"/>
        <v>3.7199999999999998E-3</v>
      </c>
      <c r="AC1274" s="7">
        <f t="shared" si="116"/>
        <v>5.7404999999999998E-2</v>
      </c>
      <c r="AD1274" s="6" t="str">
        <f t="shared" si="117"/>
        <v>Hội An Đông</v>
      </c>
      <c r="AE1274" s="6" t="str">
        <f t="shared" si="118"/>
        <v>TTCMKV Hội An</v>
      </c>
      <c r="AG1274">
        <f t="shared" si="119"/>
        <v>2.48E-3</v>
      </c>
      <c r="AH1274">
        <f t="shared" si="120"/>
        <v>3.8270000000000005E-2</v>
      </c>
    </row>
    <row r="1275" spans="1:34" x14ac:dyDescent="0.25">
      <c r="A1275" t="s">
        <v>12391</v>
      </c>
      <c r="B1275" t="s">
        <v>12392</v>
      </c>
      <c r="C1275" t="s">
        <v>12393</v>
      </c>
      <c r="D1275" t="s">
        <v>12394</v>
      </c>
      <c r="E1275" t="s">
        <v>12395</v>
      </c>
      <c r="F1275" t="s">
        <v>12396</v>
      </c>
      <c r="G1275" t="s">
        <v>15827</v>
      </c>
      <c r="H1275" t="s">
        <v>15828</v>
      </c>
      <c r="I1275" t="s">
        <v>17076</v>
      </c>
      <c r="J1275" t="s">
        <v>23</v>
      </c>
      <c r="L1275" t="s">
        <v>5247</v>
      </c>
      <c r="M1275" t="s">
        <v>12397</v>
      </c>
      <c r="N1275" t="s">
        <v>12398</v>
      </c>
      <c r="O1275" t="s">
        <v>12399</v>
      </c>
      <c r="P1275" t="s">
        <v>12400</v>
      </c>
      <c r="Q1275" t="s">
        <v>12401</v>
      </c>
      <c r="R1275" t="s">
        <v>12402</v>
      </c>
      <c r="S1275" t="s">
        <v>12403</v>
      </c>
      <c r="T1275" t="s">
        <v>5255</v>
      </c>
      <c r="U1275" s="5">
        <v>239.53</v>
      </c>
      <c r="V1275" s="5">
        <v>141.94</v>
      </c>
      <c r="W1275" s="5">
        <v>15.524393</v>
      </c>
      <c r="X1275" s="5">
        <v>108.418333</v>
      </c>
      <c r="Y1275" s="5">
        <v>97.6</v>
      </c>
      <c r="Z1275" s="5">
        <v>15.518005</v>
      </c>
      <c r="AA1275" s="5">
        <v>108.40134</v>
      </c>
      <c r="AB1275" s="7">
        <f t="shared" si="115"/>
        <v>0.21290999999999999</v>
      </c>
      <c r="AC1275" s="7">
        <f t="shared" si="116"/>
        <v>0.14639999999999997</v>
      </c>
      <c r="AD1275" s="6" t="str">
        <f t="shared" si="117"/>
        <v>Bắc Trà My</v>
      </c>
      <c r="AE1275" s="6" t="str">
        <f t="shared" si="118"/>
        <v>Phú Ninh</v>
      </c>
      <c r="AG1275">
        <f t="shared" si="119"/>
        <v>0.14194000000000001</v>
      </c>
      <c r="AH1275">
        <f t="shared" si="120"/>
        <v>9.7599999999999992E-2</v>
      </c>
    </row>
    <row r="1276" spans="1:34" x14ac:dyDescent="0.25">
      <c r="A1276" t="s">
        <v>12404</v>
      </c>
      <c r="B1276" t="s">
        <v>12392</v>
      </c>
      <c r="C1276" t="s">
        <v>12393</v>
      </c>
      <c r="D1276" t="s">
        <v>12405</v>
      </c>
      <c r="E1276" t="s">
        <v>12406</v>
      </c>
      <c r="F1276" t="s">
        <v>12407</v>
      </c>
      <c r="G1276" t="s">
        <v>15827</v>
      </c>
      <c r="H1276" t="s">
        <v>16230</v>
      </c>
      <c r="I1276" t="s">
        <v>17077</v>
      </c>
      <c r="J1276" t="s">
        <v>23</v>
      </c>
      <c r="L1276" t="s">
        <v>12408</v>
      </c>
      <c r="M1276" t="s">
        <v>12409</v>
      </c>
      <c r="N1276" t="s">
        <v>12410</v>
      </c>
      <c r="O1276" t="s">
        <v>12411</v>
      </c>
      <c r="P1276" t="s">
        <v>12412</v>
      </c>
      <c r="Q1276" t="s">
        <v>12413</v>
      </c>
      <c r="R1276" t="s">
        <v>12414</v>
      </c>
      <c r="S1276" t="s">
        <v>12415</v>
      </c>
      <c r="T1276" t="s">
        <v>12416</v>
      </c>
      <c r="U1276" s="5">
        <v>512.29</v>
      </c>
      <c r="V1276" s="5">
        <v>293.67</v>
      </c>
      <c r="W1276" s="5">
        <v>15.525581000000001</v>
      </c>
      <c r="X1276" s="5">
        <v>108.421014</v>
      </c>
      <c r="Y1276" s="5">
        <v>218.61</v>
      </c>
      <c r="Z1276" s="5">
        <v>15.538947</v>
      </c>
      <c r="AA1276" s="5">
        <v>108.425337</v>
      </c>
      <c r="AB1276" s="7">
        <f t="shared" si="115"/>
        <v>0.44050499999999998</v>
      </c>
      <c r="AC1276" s="7">
        <f t="shared" si="116"/>
        <v>0.32791500000000001</v>
      </c>
      <c r="AD1276" s="6" t="str">
        <f t="shared" si="117"/>
        <v>Chiên Đàn</v>
      </c>
      <c r="AE1276" s="6" t="str">
        <f t="shared" si="118"/>
        <v>Phú Ninh</v>
      </c>
      <c r="AG1276">
        <f t="shared" si="119"/>
        <v>0.29367000000000004</v>
      </c>
      <c r="AH1276">
        <f t="shared" si="120"/>
        <v>0.21861000000000003</v>
      </c>
    </row>
    <row r="1277" spans="1:34" x14ac:dyDescent="0.25">
      <c r="A1277" t="s">
        <v>12417</v>
      </c>
      <c r="B1277" t="s">
        <v>12392</v>
      </c>
      <c r="C1277" t="s">
        <v>12393</v>
      </c>
      <c r="D1277" t="s">
        <v>12418</v>
      </c>
      <c r="E1277" t="s">
        <v>12419</v>
      </c>
      <c r="F1277" t="s">
        <v>12420</v>
      </c>
      <c r="G1277" t="s">
        <v>15827</v>
      </c>
      <c r="H1277" t="s">
        <v>16230</v>
      </c>
      <c r="I1277" t="s">
        <v>17078</v>
      </c>
      <c r="J1277" t="s">
        <v>23</v>
      </c>
      <c r="L1277" t="s">
        <v>12421</v>
      </c>
      <c r="M1277" t="s">
        <v>12422</v>
      </c>
      <c r="N1277" t="s">
        <v>12423</v>
      </c>
      <c r="O1277" t="s">
        <v>12424</v>
      </c>
      <c r="P1277" t="s">
        <v>12425</v>
      </c>
      <c r="Q1277" t="s">
        <v>12426</v>
      </c>
      <c r="R1277" t="s">
        <v>12427</v>
      </c>
      <c r="S1277" t="s">
        <v>12428</v>
      </c>
      <c r="T1277" t="s">
        <v>12429</v>
      </c>
      <c r="U1277" s="5">
        <v>1997.04</v>
      </c>
      <c r="V1277" s="5">
        <v>44.75</v>
      </c>
      <c r="W1277" s="5">
        <v>15.523185</v>
      </c>
      <c r="X1277" s="5">
        <v>108.419532</v>
      </c>
      <c r="Y1277" s="5">
        <v>1952.29</v>
      </c>
      <c r="Z1277" s="5">
        <v>15.54416</v>
      </c>
      <c r="AA1277" s="5">
        <v>108.459559</v>
      </c>
      <c r="AB1277" s="7">
        <f t="shared" si="115"/>
        <v>6.7125000000000004E-2</v>
      </c>
      <c r="AC1277" s="7">
        <f t="shared" si="116"/>
        <v>2.9284349999999999</v>
      </c>
      <c r="AD1277" s="6" t="str">
        <f t="shared" si="117"/>
        <v>Phú Ninh</v>
      </c>
      <c r="AE1277" s="6" t="str">
        <f t="shared" si="118"/>
        <v>Hương Trà</v>
      </c>
      <c r="AG1277">
        <f t="shared" si="119"/>
        <v>4.4749999999999998E-2</v>
      </c>
      <c r="AH1277">
        <f t="shared" si="120"/>
        <v>1.9522899999999999</v>
      </c>
    </row>
    <row r="1278" spans="1:34" x14ac:dyDescent="0.25">
      <c r="A1278" t="s">
        <v>12430</v>
      </c>
      <c r="B1278" t="s">
        <v>12392</v>
      </c>
      <c r="C1278" t="s">
        <v>12393</v>
      </c>
      <c r="D1278" t="s">
        <v>12431</v>
      </c>
      <c r="E1278" t="s">
        <v>12432</v>
      </c>
      <c r="F1278" t="s">
        <v>12433</v>
      </c>
      <c r="G1278" t="s">
        <v>15827</v>
      </c>
      <c r="H1278" t="s">
        <v>16230</v>
      </c>
      <c r="I1278" t="s">
        <v>17079</v>
      </c>
      <c r="J1278" t="s">
        <v>23</v>
      </c>
      <c r="L1278" t="s">
        <v>12421</v>
      </c>
      <c r="M1278" t="s">
        <v>12434</v>
      </c>
      <c r="N1278" t="s">
        <v>12423</v>
      </c>
      <c r="O1278" t="s">
        <v>12424</v>
      </c>
      <c r="P1278" t="s">
        <v>12425</v>
      </c>
      <c r="Q1278" t="s">
        <v>12435</v>
      </c>
      <c r="R1278" t="s">
        <v>12436</v>
      </c>
      <c r="S1278" t="s">
        <v>12437</v>
      </c>
      <c r="T1278" t="s">
        <v>12429</v>
      </c>
      <c r="U1278" s="5">
        <v>904.06</v>
      </c>
      <c r="V1278" s="5">
        <v>44.75</v>
      </c>
      <c r="W1278" s="5">
        <v>15.523185</v>
      </c>
      <c r="X1278" s="5">
        <v>108.419532</v>
      </c>
      <c r="Y1278" s="5">
        <v>859.31</v>
      </c>
      <c r="Z1278" s="5">
        <v>15.521298</v>
      </c>
      <c r="AA1278" s="5">
        <v>108.421182</v>
      </c>
      <c r="AB1278" s="7">
        <f t="shared" si="115"/>
        <v>6.7125000000000004E-2</v>
      </c>
      <c r="AC1278" s="7">
        <f t="shared" si="116"/>
        <v>1.2889649999999999</v>
      </c>
      <c r="AD1278" s="6" t="str">
        <f t="shared" si="117"/>
        <v>Phú Ninh</v>
      </c>
      <c r="AE1278" s="6" t="str">
        <f t="shared" si="118"/>
        <v>Hương Trà</v>
      </c>
      <c r="AG1278">
        <f t="shared" si="119"/>
        <v>4.4749999999999998E-2</v>
      </c>
      <c r="AH1278">
        <f t="shared" si="120"/>
        <v>0.85930999999999991</v>
      </c>
    </row>
    <row r="1279" spans="1:34" x14ac:dyDescent="0.25">
      <c r="A1279" t="s">
        <v>12438</v>
      </c>
      <c r="B1279" t="s">
        <v>12392</v>
      </c>
      <c r="C1279" t="s">
        <v>12393</v>
      </c>
      <c r="D1279" t="s">
        <v>11715</v>
      </c>
      <c r="E1279" t="s">
        <v>11716</v>
      </c>
      <c r="F1279" t="s">
        <v>12439</v>
      </c>
      <c r="G1279" t="s">
        <v>15827</v>
      </c>
      <c r="H1279" t="s">
        <v>16230</v>
      </c>
      <c r="I1279" t="s">
        <v>17080</v>
      </c>
      <c r="J1279" t="s">
        <v>23</v>
      </c>
      <c r="L1279" t="s">
        <v>12440</v>
      </c>
      <c r="M1279" t="s">
        <v>12441</v>
      </c>
      <c r="N1279" t="s">
        <v>12442</v>
      </c>
      <c r="O1279" t="s">
        <v>12443</v>
      </c>
      <c r="P1279" t="s">
        <v>12444</v>
      </c>
      <c r="Q1279" t="s">
        <v>12445</v>
      </c>
      <c r="R1279" t="s">
        <v>12446</v>
      </c>
      <c r="S1279" t="s">
        <v>12447</v>
      </c>
      <c r="T1279" t="s">
        <v>12448</v>
      </c>
      <c r="U1279" s="5">
        <v>628.91999999999996</v>
      </c>
      <c r="V1279" s="5">
        <v>558.49</v>
      </c>
      <c r="W1279" s="5">
        <v>15.528066000000001</v>
      </c>
      <c r="X1279" s="5">
        <v>108.421516</v>
      </c>
      <c r="Y1279" s="5">
        <v>70.430000000000007</v>
      </c>
      <c r="Z1279" s="5">
        <v>15.548544</v>
      </c>
      <c r="AA1279" s="5">
        <v>108.494412</v>
      </c>
      <c r="AB1279" s="7">
        <f t="shared" si="115"/>
        <v>0.83773500000000001</v>
      </c>
      <c r="AC1279" s="7">
        <f t="shared" si="116"/>
        <v>0.10564500000000002</v>
      </c>
      <c r="AD1279" s="6" t="str">
        <f t="shared" si="117"/>
        <v>Đức phú</v>
      </c>
      <c r="AE1279" s="6" t="str">
        <f t="shared" si="118"/>
        <v>Phú Ninh</v>
      </c>
      <c r="AG1279">
        <f t="shared" si="119"/>
        <v>0.55849000000000004</v>
      </c>
      <c r="AH1279">
        <f t="shared" si="120"/>
        <v>7.0430000000000006E-2</v>
      </c>
    </row>
    <row r="1280" spans="1:34" x14ac:dyDescent="0.25">
      <c r="A1280" t="s">
        <v>12449</v>
      </c>
      <c r="B1280" t="s">
        <v>12392</v>
      </c>
      <c r="C1280" t="s">
        <v>12393</v>
      </c>
      <c r="D1280" t="s">
        <v>12450</v>
      </c>
      <c r="E1280" t="s">
        <v>12451</v>
      </c>
      <c r="F1280" t="s">
        <v>12452</v>
      </c>
      <c r="G1280" t="s">
        <v>15827</v>
      </c>
      <c r="H1280" t="s">
        <v>16230</v>
      </c>
      <c r="I1280" t="s">
        <v>17081</v>
      </c>
      <c r="J1280" t="s">
        <v>23</v>
      </c>
      <c r="L1280" t="s">
        <v>5247</v>
      </c>
      <c r="M1280" t="s">
        <v>12453</v>
      </c>
      <c r="N1280" t="s">
        <v>12398</v>
      </c>
      <c r="O1280" t="s">
        <v>12399</v>
      </c>
      <c r="P1280" t="s">
        <v>12400</v>
      </c>
      <c r="Q1280" t="s">
        <v>12454</v>
      </c>
      <c r="R1280" t="s">
        <v>12455</v>
      </c>
      <c r="S1280" t="s">
        <v>12456</v>
      </c>
      <c r="T1280" t="s">
        <v>5255</v>
      </c>
      <c r="U1280" s="5">
        <v>1915.07</v>
      </c>
      <c r="V1280" s="5">
        <v>141.94</v>
      </c>
      <c r="W1280" s="5">
        <v>15.524393</v>
      </c>
      <c r="X1280" s="5">
        <v>108.418333</v>
      </c>
      <c r="Y1280" s="5">
        <v>1773.13</v>
      </c>
      <c r="Z1280" s="5">
        <v>15.550876000000001</v>
      </c>
      <c r="AA1280" s="5">
        <v>108.41363200000001</v>
      </c>
      <c r="AB1280" s="7">
        <f t="shared" si="115"/>
        <v>0.21290999999999999</v>
      </c>
      <c r="AC1280" s="7">
        <f t="shared" si="116"/>
        <v>2.6596950000000001</v>
      </c>
      <c r="AD1280" s="6" t="str">
        <f t="shared" si="117"/>
        <v>Bắc Trà My</v>
      </c>
      <c r="AE1280" s="6" t="str">
        <f t="shared" si="118"/>
        <v>Phú Ninh</v>
      </c>
      <c r="AG1280">
        <f t="shared" si="119"/>
        <v>0.14194000000000001</v>
      </c>
      <c r="AH1280">
        <f t="shared" si="120"/>
        <v>1.7731300000000001</v>
      </c>
    </row>
    <row r="1281" spans="1:34" x14ac:dyDescent="0.25">
      <c r="A1281" t="s">
        <v>12457</v>
      </c>
      <c r="B1281" t="s">
        <v>11481</v>
      </c>
      <c r="C1281" t="s">
        <v>11482</v>
      </c>
      <c r="D1281" t="s">
        <v>12458</v>
      </c>
      <c r="E1281" t="s">
        <v>12459</v>
      </c>
      <c r="F1281" t="s">
        <v>12460</v>
      </c>
      <c r="G1281" t="s">
        <v>15827</v>
      </c>
      <c r="H1281" t="s">
        <v>15828</v>
      </c>
      <c r="I1281" t="s">
        <v>17082</v>
      </c>
      <c r="J1281" t="s">
        <v>23</v>
      </c>
      <c r="L1281" t="s">
        <v>12461</v>
      </c>
      <c r="M1281" t="s">
        <v>12462</v>
      </c>
      <c r="N1281" t="s">
        <v>4386</v>
      </c>
      <c r="O1281" t="s">
        <v>12463</v>
      </c>
      <c r="P1281" t="s">
        <v>12464</v>
      </c>
      <c r="Q1281" t="s">
        <v>12465</v>
      </c>
      <c r="R1281" t="s">
        <v>12466</v>
      </c>
      <c r="S1281" t="s">
        <v>12467</v>
      </c>
      <c r="T1281" t="s">
        <v>12468</v>
      </c>
      <c r="U1281" s="5">
        <v>460.28</v>
      </c>
      <c r="V1281" s="5">
        <v>72.98</v>
      </c>
      <c r="W1281" s="5">
        <v>15.736276</v>
      </c>
      <c r="X1281" s="5">
        <v>108.28871100000001</v>
      </c>
      <c r="Y1281" s="5">
        <v>387.3</v>
      </c>
      <c r="Z1281" s="5">
        <v>15.729505</v>
      </c>
      <c r="AA1281" s="5">
        <v>108.278774</v>
      </c>
      <c r="AB1281" s="7">
        <f t="shared" si="115"/>
        <v>0.10947</v>
      </c>
      <c r="AC1281" s="7">
        <f t="shared" si="116"/>
        <v>0.58095000000000008</v>
      </c>
      <c r="AD1281" s="6" t="str">
        <f t="shared" si="117"/>
        <v>Quế Sơn</v>
      </c>
      <c r="AE1281" s="6" t="str">
        <f t="shared" si="118"/>
        <v>Quế Sơn Trung</v>
      </c>
      <c r="AG1281">
        <f t="shared" si="119"/>
        <v>7.2980000000000003E-2</v>
      </c>
      <c r="AH1281">
        <f t="shared" si="120"/>
        <v>0.38730000000000003</v>
      </c>
    </row>
    <row r="1282" spans="1:34" x14ac:dyDescent="0.25">
      <c r="A1282" t="s">
        <v>12469</v>
      </c>
      <c r="B1282" t="s">
        <v>11481</v>
      </c>
      <c r="C1282" t="s">
        <v>11482</v>
      </c>
      <c r="D1282" t="s">
        <v>12470</v>
      </c>
      <c r="E1282" t="s">
        <v>12471</v>
      </c>
      <c r="F1282" t="s">
        <v>12472</v>
      </c>
      <c r="G1282" t="s">
        <v>15827</v>
      </c>
      <c r="H1282" t="s">
        <v>16230</v>
      </c>
      <c r="I1282" t="s">
        <v>17083</v>
      </c>
      <c r="J1282" t="s">
        <v>23</v>
      </c>
      <c r="L1282" t="s">
        <v>12461</v>
      </c>
      <c r="M1282" t="s">
        <v>12473</v>
      </c>
      <c r="N1282" t="s">
        <v>4386</v>
      </c>
      <c r="O1282" t="s">
        <v>12463</v>
      </c>
      <c r="P1282" t="s">
        <v>12464</v>
      </c>
      <c r="Q1282" t="s">
        <v>12474</v>
      </c>
      <c r="R1282" t="s">
        <v>12475</v>
      </c>
      <c r="S1282" t="s">
        <v>12476</v>
      </c>
      <c r="T1282" t="s">
        <v>12468</v>
      </c>
      <c r="U1282" s="5">
        <v>4995.92</v>
      </c>
      <c r="V1282" s="5">
        <v>72.98</v>
      </c>
      <c r="W1282" s="5">
        <v>15.736276</v>
      </c>
      <c r="X1282" s="5">
        <v>108.28871100000001</v>
      </c>
      <c r="Y1282" s="5">
        <v>4922.9399999999996</v>
      </c>
      <c r="Z1282" s="5">
        <v>15.670724</v>
      </c>
      <c r="AA1282" s="5">
        <v>108.213151</v>
      </c>
      <c r="AB1282" s="7">
        <f t="shared" si="115"/>
        <v>0.10947</v>
      </c>
      <c r="AC1282" s="7">
        <f t="shared" si="116"/>
        <v>7.3844099999999999</v>
      </c>
      <c r="AD1282" s="6" t="str">
        <f t="shared" si="117"/>
        <v>Quế Sơn</v>
      </c>
      <c r="AE1282" s="6" t="str">
        <f t="shared" si="118"/>
        <v>Quế Sơn Trung</v>
      </c>
      <c r="AG1282">
        <f t="shared" si="119"/>
        <v>7.2980000000000003E-2</v>
      </c>
      <c r="AH1282">
        <f t="shared" si="120"/>
        <v>4.9229399999999996</v>
      </c>
    </row>
    <row r="1283" spans="1:34" x14ac:dyDescent="0.25">
      <c r="A1283" t="s">
        <v>12477</v>
      </c>
      <c r="B1283" t="s">
        <v>11481</v>
      </c>
      <c r="C1283" t="s">
        <v>11482</v>
      </c>
      <c r="D1283" t="s">
        <v>12478</v>
      </c>
      <c r="E1283" t="s">
        <v>12479</v>
      </c>
      <c r="F1283" t="s">
        <v>12480</v>
      </c>
      <c r="G1283" t="s">
        <v>15827</v>
      </c>
      <c r="H1283" t="s">
        <v>16230</v>
      </c>
      <c r="I1283" t="s">
        <v>17084</v>
      </c>
      <c r="J1283" t="s">
        <v>23</v>
      </c>
      <c r="L1283" t="s">
        <v>12481</v>
      </c>
      <c r="M1283" t="s">
        <v>12482</v>
      </c>
      <c r="N1283" t="s">
        <v>12483</v>
      </c>
      <c r="O1283" t="s">
        <v>12484</v>
      </c>
      <c r="P1283" t="s">
        <v>12485</v>
      </c>
      <c r="Q1283" t="s">
        <v>12486</v>
      </c>
      <c r="R1283" t="s">
        <v>12487</v>
      </c>
      <c r="S1283" t="s">
        <v>12488</v>
      </c>
      <c r="T1283" t="s">
        <v>12489</v>
      </c>
      <c r="U1283" s="5">
        <v>789.81</v>
      </c>
      <c r="V1283" s="5">
        <v>737.28</v>
      </c>
      <c r="W1283" s="5">
        <v>15.740909</v>
      </c>
      <c r="X1283" s="5">
        <v>108.29385499999999</v>
      </c>
      <c r="Y1283" s="5">
        <v>52.52</v>
      </c>
      <c r="Z1283" s="5">
        <v>15.732188000000001</v>
      </c>
      <c r="AA1283" s="5">
        <v>108.306318</v>
      </c>
      <c r="AB1283" s="7">
        <f t="shared" ref="AB1283:AB1346" si="121">V1283*1.5/1000</f>
        <v>1.10592</v>
      </c>
      <c r="AC1283" s="7">
        <f t="shared" ref="AC1283:AC1346" si="122">Y1283*1.5/1000</f>
        <v>7.8780000000000003E-2</v>
      </c>
      <c r="AD1283" s="6" t="str">
        <f t="shared" ref="AD1283:AD1346" si="123">TRIM(LEFT(L1283,FIND("-",L1283)-1))</f>
        <v>Quế Sơn Trung</v>
      </c>
      <c r="AE1283" s="6" t="str">
        <f t="shared" ref="AE1283:AE1346" si="124">TRIM(RIGHT(L1283, LEN(L1283) - FIND("-", L1283)))</f>
        <v>TTCMKV Thăng
 Bình</v>
      </c>
      <c r="AG1283">
        <f t="shared" ref="AG1283:AG1346" si="125">V1283/1000</f>
        <v>0.73727999999999994</v>
      </c>
      <c r="AH1283">
        <f t="shared" ref="AH1283:AH1346" si="126">Y1283/1000</f>
        <v>5.2520000000000004E-2</v>
      </c>
    </row>
    <row r="1284" spans="1:34" x14ac:dyDescent="0.25">
      <c r="A1284" t="s">
        <v>12490</v>
      </c>
      <c r="B1284" t="s">
        <v>11481</v>
      </c>
      <c r="C1284" t="s">
        <v>11482</v>
      </c>
      <c r="D1284" t="s">
        <v>11440</v>
      </c>
      <c r="E1284" t="s">
        <v>11441</v>
      </c>
      <c r="F1284" t="s">
        <v>11483</v>
      </c>
      <c r="H1284" t="s">
        <v>15831</v>
      </c>
      <c r="I1284" t="s">
        <v>16986</v>
      </c>
      <c r="J1284" t="s">
        <v>23</v>
      </c>
      <c r="L1284" t="s">
        <v>11445</v>
      </c>
      <c r="M1284" t="s">
        <v>11484</v>
      </c>
      <c r="N1284" t="s">
        <v>11485</v>
      </c>
      <c r="O1284" t="s">
        <v>11486</v>
      </c>
      <c r="P1284" t="s">
        <v>11487</v>
      </c>
      <c r="Q1284" t="s">
        <v>11447</v>
      </c>
      <c r="R1284" t="s">
        <v>11448</v>
      </c>
      <c r="S1284" t="s">
        <v>11449</v>
      </c>
      <c r="T1284" t="s">
        <v>11453</v>
      </c>
      <c r="U1284" s="5">
        <v>3862.47</v>
      </c>
      <c r="V1284" s="5">
        <v>3791.78</v>
      </c>
      <c r="W1284" s="5">
        <v>15.702866</v>
      </c>
      <c r="X1284" s="5">
        <v>108.28560899999999</v>
      </c>
      <c r="Y1284" s="5">
        <v>70.69</v>
      </c>
      <c r="Z1284" s="5">
        <v>15.736033000000001</v>
      </c>
      <c r="AA1284" s="5">
        <v>108.352322</v>
      </c>
      <c r="AB1284" s="7">
        <f t="shared" si="121"/>
        <v>5.6876699999999998</v>
      </c>
      <c r="AC1284" s="7">
        <f t="shared" si="122"/>
        <v>0.10603499999999999</v>
      </c>
      <c r="AD1284" s="6" t="str">
        <f t="shared" si="123"/>
        <v>Thăng Bình</v>
      </c>
      <c r="AE1284" s="6" t="str">
        <f t="shared" si="124"/>
        <v>Quế Sơn</v>
      </c>
      <c r="AG1284">
        <f t="shared" si="125"/>
        <v>3.7917800000000002</v>
      </c>
      <c r="AH1284">
        <f t="shared" si="126"/>
        <v>7.0690000000000003E-2</v>
      </c>
    </row>
    <row r="1285" spans="1:34" x14ac:dyDescent="0.25">
      <c r="A1285" t="s">
        <v>12491</v>
      </c>
      <c r="B1285" t="s">
        <v>11481</v>
      </c>
      <c r="C1285" t="s">
        <v>11482</v>
      </c>
      <c r="D1285" t="s">
        <v>12492</v>
      </c>
      <c r="E1285" t="s">
        <v>12493</v>
      </c>
      <c r="F1285" t="s">
        <v>12494</v>
      </c>
      <c r="G1285" t="s">
        <v>15827</v>
      </c>
      <c r="H1285" t="s">
        <v>15831</v>
      </c>
      <c r="I1285" t="s">
        <v>17085</v>
      </c>
      <c r="J1285" t="s">
        <v>23</v>
      </c>
      <c r="L1285" t="s">
        <v>12495</v>
      </c>
      <c r="M1285" t="s">
        <v>12496</v>
      </c>
      <c r="N1285" t="s">
        <v>12497</v>
      </c>
      <c r="O1285" t="s">
        <v>11474</v>
      </c>
      <c r="P1285" t="s">
        <v>12498</v>
      </c>
      <c r="Q1285" t="s">
        <v>12499</v>
      </c>
      <c r="R1285" t="s">
        <v>12500</v>
      </c>
      <c r="S1285" t="s">
        <v>12501</v>
      </c>
      <c r="T1285" t="s">
        <v>12502</v>
      </c>
      <c r="U1285" s="5">
        <v>634.34</v>
      </c>
      <c r="V1285" s="5">
        <v>150.32</v>
      </c>
      <c r="W1285" s="5">
        <v>15.736057000000001</v>
      </c>
      <c r="X1285" s="5">
        <v>108.28953</v>
      </c>
      <c r="Y1285" s="5">
        <v>484.02</v>
      </c>
      <c r="Z1285" s="5">
        <v>15.750251</v>
      </c>
      <c r="AA1285" s="5">
        <v>108.299021</v>
      </c>
      <c r="AB1285" s="7">
        <f t="shared" si="121"/>
        <v>0.22547999999999999</v>
      </c>
      <c r="AC1285" s="7">
        <f t="shared" si="122"/>
        <v>0.72602999999999995</v>
      </c>
      <c r="AD1285" s="6" t="str">
        <f t="shared" si="123"/>
        <v>Quế Sơn</v>
      </c>
      <c r="AE1285" s="6" t="str">
        <f t="shared" si="124"/>
        <v>Đại Lộc</v>
      </c>
      <c r="AG1285">
        <f t="shared" si="125"/>
        <v>0.15031999999999998</v>
      </c>
      <c r="AH1285">
        <f t="shared" si="126"/>
        <v>0.48402000000000001</v>
      </c>
    </row>
    <row r="1286" spans="1:34" x14ac:dyDescent="0.25">
      <c r="A1286" t="s">
        <v>12503</v>
      </c>
      <c r="B1286" t="s">
        <v>11481</v>
      </c>
      <c r="C1286" t="s">
        <v>11482</v>
      </c>
      <c r="D1286" t="s">
        <v>12504</v>
      </c>
      <c r="E1286" t="s">
        <v>12505</v>
      </c>
      <c r="F1286" t="s">
        <v>12506</v>
      </c>
      <c r="G1286" t="s">
        <v>15827</v>
      </c>
      <c r="H1286" t="s">
        <v>15831</v>
      </c>
      <c r="I1286" t="s">
        <v>17086</v>
      </c>
      <c r="J1286" t="s">
        <v>23</v>
      </c>
      <c r="L1286" t="s">
        <v>12481</v>
      </c>
      <c r="M1286" t="s">
        <v>12507</v>
      </c>
      <c r="N1286" t="s">
        <v>12483</v>
      </c>
      <c r="O1286" t="s">
        <v>12484</v>
      </c>
      <c r="P1286" t="s">
        <v>12485</v>
      </c>
      <c r="Q1286" t="s">
        <v>12508</v>
      </c>
      <c r="R1286" t="s">
        <v>12509</v>
      </c>
      <c r="S1286" t="s">
        <v>12510</v>
      </c>
      <c r="T1286" t="s">
        <v>12489</v>
      </c>
      <c r="U1286" s="5">
        <v>2252.62</v>
      </c>
      <c r="V1286" s="5">
        <v>737.28</v>
      </c>
      <c r="W1286" s="5">
        <v>15.740909</v>
      </c>
      <c r="X1286" s="5">
        <v>108.29385499999999</v>
      </c>
      <c r="Y1286" s="5">
        <v>1515.33</v>
      </c>
      <c r="Z1286" s="5">
        <v>15.730776000000001</v>
      </c>
      <c r="AA1286" s="5">
        <v>108.302993</v>
      </c>
      <c r="AB1286" s="7">
        <f t="shared" si="121"/>
        <v>1.10592</v>
      </c>
      <c r="AC1286" s="7">
        <f t="shared" si="122"/>
        <v>2.2729949999999999</v>
      </c>
      <c r="AD1286" s="6" t="str">
        <f t="shared" si="123"/>
        <v>Quế Sơn Trung</v>
      </c>
      <c r="AE1286" s="6" t="str">
        <f t="shared" si="124"/>
        <v>TTCMKV Thăng
 Bình</v>
      </c>
      <c r="AG1286">
        <f t="shared" si="125"/>
        <v>0.73727999999999994</v>
      </c>
      <c r="AH1286">
        <f t="shared" si="126"/>
        <v>1.5153299999999998</v>
      </c>
    </row>
    <row r="1287" spans="1:34" x14ac:dyDescent="0.25">
      <c r="A1287" t="s">
        <v>12511</v>
      </c>
      <c r="B1287" t="s">
        <v>12512</v>
      </c>
      <c r="C1287" t="s">
        <v>12513</v>
      </c>
      <c r="D1287" t="s">
        <v>11495</v>
      </c>
      <c r="E1287" t="s">
        <v>11496</v>
      </c>
      <c r="F1287" t="s">
        <v>12514</v>
      </c>
      <c r="G1287" t="s">
        <v>15827</v>
      </c>
      <c r="H1287" t="s">
        <v>16230</v>
      </c>
      <c r="I1287" t="s">
        <v>17087</v>
      </c>
      <c r="J1287" t="s">
        <v>23</v>
      </c>
      <c r="L1287" t="s">
        <v>12515</v>
      </c>
      <c r="M1287" t="s">
        <v>12516</v>
      </c>
      <c r="N1287" t="s">
        <v>1848</v>
      </c>
      <c r="O1287" t="s">
        <v>12517</v>
      </c>
      <c r="P1287" t="s">
        <v>12518</v>
      </c>
      <c r="Q1287" t="s">
        <v>12519</v>
      </c>
      <c r="R1287" t="s">
        <v>12520</v>
      </c>
      <c r="S1287" t="s">
        <v>12521</v>
      </c>
      <c r="T1287" t="s">
        <v>12522</v>
      </c>
      <c r="U1287" s="5">
        <v>827.4</v>
      </c>
      <c r="V1287" s="5">
        <v>12.27</v>
      </c>
      <c r="W1287" s="5">
        <v>15.777139</v>
      </c>
      <c r="X1287" s="5">
        <v>108.335114</v>
      </c>
      <c r="Y1287" s="5">
        <v>815.13</v>
      </c>
      <c r="Z1287" s="5">
        <v>15.776539</v>
      </c>
      <c r="AA1287" s="5">
        <v>108.33024899999999</v>
      </c>
      <c r="AB1287" s="7">
        <f t="shared" si="121"/>
        <v>1.8405000000000001E-2</v>
      </c>
      <c r="AC1287" s="7">
        <f t="shared" si="122"/>
        <v>1.2226949999999999</v>
      </c>
      <c r="AD1287" s="6" t="str">
        <f t="shared" si="123"/>
        <v>Nam Phước</v>
      </c>
      <c r="AE1287" s="6" t="str">
        <f t="shared" si="124"/>
        <v>Xuân Phú</v>
      </c>
      <c r="AG1287">
        <f t="shared" si="125"/>
        <v>1.227E-2</v>
      </c>
      <c r="AH1287">
        <f t="shared" si="126"/>
        <v>0.81513000000000002</v>
      </c>
    </row>
    <row r="1288" spans="1:34" x14ac:dyDescent="0.25">
      <c r="A1288" t="s">
        <v>12523</v>
      </c>
      <c r="B1288" t="s">
        <v>11609</v>
      </c>
      <c r="C1288" t="s">
        <v>11610</v>
      </c>
      <c r="D1288" t="s">
        <v>12524</v>
      </c>
      <c r="E1288" t="s">
        <v>12525</v>
      </c>
      <c r="F1288" t="s">
        <v>12526</v>
      </c>
      <c r="G1288" t="s">
        <v>15827</v>
      </c>
      <c r="H1288" t="s">
        <v>16230</v>
      </c>
      <c r="I1288" t="s">
        <v>17088</v>
      </c>
      <c r="J1288" t="s">
        <v>23</v>
      </c>
      <c r="L1288" t="s">
        <v>11471</v>
      </c>
      <c r="M1288" t="s">
        <v>12527</v>
      </c>
      <c r="N1288" t="s">
        <v>2811</v>
      </c>
      <c r="O1288" t="s">
        <v>12528</v>
      </c>
      <c r="P1288" t="s">
        <v>12529</v>
      </c>
      <c r="Q1288" t="s">
        <v>12530</v>
      </c>
      <c r="R1288" t="s">
        <v>12531</v>
      </c>
      <c r="S1288" t="s">
        <v>12532</v>
      </c>
      <c r="T1288" t="s">
        <v>11479</v>
      </c>
      <c r="U1288" s="5">
        <v>246.01</v>
      </c>
      <c r="V1288" s="5">
        <v>22.9</v>
      </c>
      <c r="W1288" s="5">
        <v>15.720181999999999</v>
      </c>
      <c r="X1288" s="5">
        <v>108.375708</v>
      </c>
      <c r="Y1288" s="5">
        <v>223.11</v>
      </c>
      <c r="Z1288" s="5">
        <v>15.720674000000001</v>
      </c>
      <c r="AA1288" s="5">
        <v>108.36945900000001</v>
      </c>
      <c r="AB1288" s="7">
        <f t="shared" si="121"/>
        <v>3.4349999999999992E-2</v>
      </c>
      <c r="AC1288" s="7">
        <f t="shared" si="122"/>
        <v>0.33466500000000005</v>
      </c>
      <c r="AD1288" s="6" t="str">
        <f t="shared" si="123"/>
        <v>Trạm CSGT Thăng Bình (X. Bình Phục, Thăng
Bình)</v>
      </c>
      <c r="AE1288" s="6" t="str">
        <f t="shared" si="124"/>
        <v>TTCMKV Thăng Bình</v>
      </c>
      <c r="AG1288">
        <f t="shared" si="125"/>
        <v>2.29E-2</v>
      </c>
      <c r="AH1288">
        <f t="shared" si="126"/>
        <v>0.22311</v>
      </c>
    </row>
    <row r="1289" spans="1:34" x14ac:dyDescent="0.25">
      <c r="A1289" t="s">
        <v>12533</v>
      </c>
      <c r="B1289" t="s">
        <v>11609</v>
      </c>
      <c r="C1289" t="s">
        <v>11610</v>
      </c>
      <c r="D1289" t="s">
        <v>12534</v>
      </c>
      <c r="E1289" t="s">
        <v>12535</v>
      </c>
      <c r="F1289" t="s">
        <v>12536</v>
      </c>
      <c r="G1289" t="s">
        <v>15827</v>
      </c>
      <c r="H1289" t="s">
        <v>16230</v>
      </c>
      <c r="I1289" t="s">
        <v>17089</v>
      </c>
      <c r="J1289" t="s">
        <v>23</v>
      </c>
      <c r="L1289" t="s">
        <v>11471</v>
      </c>
      <c r="M1289" t="s">
        <v>12537</v>
      </c>
      <c r="N1289" t="s">
        <v>2811</v>
      </c>
      <c r="O1289" t="s">
        <v>12528</v>
      </c>
      <c r="P1289" t="s">
        <v>12529</v>
      </c>
      <c r="Q1289" t="s">
        <v>12538</v>
      </c>
      <c r="R1289" t="s">
        <v>11474</v>
      </c>
      <c r="S1289" t="s">
        <v>11475</v>
      </c>
      <c r="T1289" t="s">
        <v>11479</v>
      </c>
      <c r="U1289" s="5">
        <v>1297.81</v>
      </c>
      <c r="V1289" s="5">
        <v>22.9</v>
      </c>
      <c r="W1289" s="5">
        <v>15.720181999999999</v>
      </c>
      <c r="X1289" s="5">
        <v>108.375708</v>
      </c>
      <c r="Y1289" s="5">
        <v>1274.9100000000001</v>
      </c>
      <c r="Z1289" s="5">
        <v>15.736057000000001</v>
      </c>
      <c r="AA1289" s="5">
        <v>108.3523</v>
      </c>
      <c r="AB1289" s="7">
        <f t="shared" si="121"/>
        <v>3.4349999999999992E-2</v>
      </c>
      <c r="AC1289" s="7">
        <f t="shared" si="122"/>
        <v>1.9123650000000003</v>
      </c>
      <c r="AD1289" s="6" t="str">
        <f t="shared" si="123"/>
        <v>Trạm CSGT Thăng Bình (X. Bình Phục, Thăng
Bình)</v>
      </c>
      <c r="AE1289" s="6" t="str">
        <f t="shared" si="124"/>
        <v>TTCMKV Thăng Bình</v>
      </c>
      <c r="AG1289">
        <f t="shared" si="125"/>
        <v>2.29E-2</v>
      </c>
      <c r="AH1289">
        <f t="shared" si="126"/>
        <v>1.27491</v>
      </c>
    </row>
    <row r="1290" spans="1:34" x14ac:dyDescent="0.25">
      <c r="A1290" t="s">
        <v>12539</v>
      </c>
      <c r="B1290" t="s">
        <v>11609</v>
      </c>
      <c r="C1290" t="s">
        <v>11610</v>
      </c>
      <c r="D1290" t="s">
        <v>11585</v>
      </c>
      <c r="E1290" t="s">
        <v>11586</v>
      </c>
      <c r="F1290" t="s">
        <v>11611</v>
      </c>
      <c r="H1290" t="s">
        <v>16230</v>
      </c>
      <c r="I1290" t="s">
        <v>16998</v>
      </c>
      <c r="J1290" t="s">
        <v>23</v>
      </c>
      <c r="L1290" t="s">
        <v>11458</v>
      </c>
      <c r="M1290" t="s">
        <v>11612</v>
      </c>
      <c r="N1290" t="s">
        <v>11616</v>
      </c>
      <c r="O1290" t="s">
        <v>11617</v>
      </c>
      <c r="P1290" t="s">
        <v>11618</v>
      </c>
      <c r="Q1290" t="s">
        <v>11613</v>
      </c>
      <c r="R1290" t="s">
        <v>11614</v>
      </c>
      <c r="S1290" t="s">
        <v>11615</v>
      </c>
      <c r="T1290" t="s">
        <v>11619</v>
      </c>
      <c r="U1290" s="5">
        <v>875.94</v>
      </c>
      <c r="V1290" s="5">
        <v>301.35000000000002</v>
      </c>
      <c r="W1290" s="5">
        <v>15.717449999999999</v>
      </c>
      <c r="X1290" s="5">
        <v>108.375263</v>
      </c>
      <c r="Y1290" s="5">
        <v>574.59</v>
      </c>
      <c r="Z1290" s="5">
        <v>15.646917999999999</v>
      </c>
      <c r="AA1290" s="5">
        <v>108.430209</v>
      </c>
      <c r="AB1290" s="7">
        <f t="shared" si="121"/>
        <v>0.45202500000000001</v>
      </c>
      <c r="AC1290" s="7">
        <f t="shared" si="122"/>
        <v>0.86188500000000001</v>
      </c>
      <c r="AD1290" s="6" t="str">
        <f t="shared" si="123"/>
        <v>Duy Xuyên</v>
      </c>
      <c r="AE1290" s="6" t="str">
        <f t="shared" si="124"/>
        <v>TT2 Tam Kỳ</v>
      </c>
      <c r="AG1290">
        <f t="shared" si="125"/>
        <v>0.30135000000000001</v>
      </c>
      <c r="AH1290">
        <f t="shared" si="126"/>
        <v>0.57459000000000005</v>
      </c>
    </row>
    <row r="1291" spans="1:34" x14ac:dyDescent="0.25">
      <c r="A1291" t="s">
        <v>12540</v>
      </c>
      <c r="B1291" t="s">
        <v>11609</v>
      </c>
      <c r="C1291" t="s">
        <v>11610</v>
      </c>
      <c r="D1291" t="s">
        <v>12541</v>
      </c>
      <c r="E1291" t="s">
        <v>12542</v>
      </c>
      <c r="F1291" t="s">
        <v>12543</v>
      </c>
      <c r="G1291" t="s">
        <v>15827</v>
      </c>
      <c r="H1291" t="s">
        <v>16230</v>
      </c>
      <c r="I1291" t="s">
        <v>17090</v>
      </c>
      <c r="J1291" t="s">
        <v>23</v>
      </c>
      <c r="L1291" t="s">
        <v>11458</v>
      </c>
      <c r="M1291" t="s">
        <v>12544</v>
      </c>
      <c r="N1291" t="s">
        <v>11616</v>
      </c>
      <c r="O1291" t="s">
        <v>11617</v>
      </c>
      <c r="P1291" t="s">
        <v>11618</v>
      </c>
      <c r="Q1291" t="s">
        <v>12545</v>
      </c>
      <c r="R1291" t="s">
        <v>12546</v>
      </c>
      <c r="S1291" t="s">
        <v>12547</v>
      </c>
      <c r="T1291" t="s">
        <v>11619</v>
      </c>
      <c r="U1291" s="5">
        <v>772.35</v>
      </c>
      <c r="V1291" s="5">
        <v>301.35000000000002</v>
      </c>
      <c r="W1291" s="5">
        <v>15.717449999999999</v>
      </c>
      <c r="X1291" s="5">
        <v>108.375263</v>
      </c>
      <c r="Y1291" s="5">
        <v>471</v>
      </c>
      <c r="Z1291" s="5">
        <v>15.707373</v>
      </c>
      <c r="AA1291" s="5">
        <v>108.38588</v>
      </c>
      <c r="AB1291" s="7">
        <f t="shared" si="121"/>
        <v>0.45202500000000001</v>
      </c>
      <c r="AC1291" s="7">
        <f t="shared" si="122"/>
        <v>0.70650000000000002</v>
      </c>
      <c r="AD1291" s="6" t="str">
        <f t="shared" si="123"/>
        <v>Duy Xuyên</v>
      </c>
      <c r="AE1291" s="6" t="str">
        <f t="shared" si="124"/>
        <v>TT2 Tam Kỳ</v>
      </c>
      <c r="AG1291">
        <f t="shared" si="125"/>
        <v>0.30135000000000001</v>
      </c>
      <c r="AH1291">
        <f t="shared" si="126"/>
        <v>0.47099999999999997</v>
      </c>
    </row>
    <row r="1292" spans="1:34" x14ac:dyDescent="0.25">
      <c r="A1292" t="s">
        <v>12548</v>
      </c>
      <c r="B1292" t="s">
        <v>11609</v>
      </c>
      <c r="C1292" t="s">
        <v>11610</v>
      </c>
      <c r="D1292" t="s">
        <v>12549</v>
      </c>
      <c r="E1292" t="s">
        <v>12550</v>
      </c>
      <c r="F1292" t="s">
        <v>12551</v>
      </c>
      <c r="G1292" t="s">
        <v>15827</v>
      </c>
      <c r="H1292" t="s">
        <v>16230</v>
      </c>
      <c r="I1292" t="s">
        <v>17091</v>
      </c>
      <c r="J1292" t="s">
        <v>23</v>
      </c>
      <c r="L1292" t="s">
        <v>11458</v>
      </c>
      <c r="M1292" t="s">
        <v>12552</v>
      </c>
      <c r="N1292" t="s">
        <v>11616</v>
      </c>
      <c r="O1292" t="s">
        <v>11617</v>
      </c>
      <c r="P1292" t="s">
        <v>11618</v>
      </c>
      <c r="Q1292" t="s">
        <v>12553</v>
      </c>
      <c r="R1292" t="s">
        <v>12554</v>
      </c>
      <c r="S1292" t="s">
        <v>12555</v>
      </c>
      <c r="T1292" t="s">
        <v>11619</v>
      </c>
      <c r="U1292" s="5">
        <v>719.69</v>
      </c>
      <c r="V1292" s="5">
        <v>301.35000000000002</v>
      </c>
      <c r="W1292" s="5">
        <v>15.717449999999999</v>
      </c>
      <c r="X1292" s="5">
        <v>108.375263</v>
      </c>
      <c r="Y1292" s="5">
        <v>418.34</v>
      </c>
      <c r="Z1292" s="5">
        <v>15.696897999999999</v>
      </c>
      <c r="AA1292" s="5">
        <v>108.393225</v>
      </c>
      <c r="AB1292" s="7">
        <f t="shared" si="121"/>
        <v>0.45202500000000001</v>
      </c>
      <c r="AC1292" s="7">
        <f t="shared" si="122"/>
        <v>0.62751000000000001</v>
      </c>
      <c r="AD1292" s="6" t="str">
        <f t="shared" si="123"/>
        <v>Duy Xuyên</v>
      </c>
      <c r="AE1292" s="6" t="str">
        <f t="shared" si="124"/>
        <v>TT2 Tam Kỳ</v>
      </c>
      <c r="AG1292">
        <f t="shared" si="125"/>
        <v>0.30135000000000001</v>
      </c>
      <c r="AH1292">
        <f t="shared" si="126"/>
        <v>0.41833999999999999</v>
      </c>
    </row>
    <row r="1293" spans="1:34" x14ac:dyDescent="0.25">
      <c r="A1293" t="s">
        <v>12556</v>
      </c>
      <c r="B1293" t="s">
        <v>11609</v>
      </c>
      <c r="C1293" t="s">
        <v>11610</v>
      </c>
      <c r="D1293" t="s">
        <v>11468</v>
      </c>
      <c r="E1293" t="s">
        <v>11469</v>
      </c>
      <c r="F1293" t="s">
        <v>12557</v>
      </c>
      <c r="G1293" t="s">
        <v>15827</v>
      </c>
      <c r="H1293" t="s">
        <v>16230</v>
      </c>
      <c r="I1293" t="s">
        <v>17092</v>
      </c>
      <c r="J1293" t="s">
        <v>23</v>
      </c>
      <c r="L1293" t="s">
        <v>11471</v>
      </c>
      <c r="M1293" t="s">
        <v>12558</v>
      </c>
      <c r="N1293" t="s">
        <v>2811</v>
      </c>
      <c r="O1293" t="s">
        <v>12528</v>
      </c>
      <c r="P1293" t="s">
        <v>12529</v>
      </c>
      <c r="Q1293" t="s">
        <v>11476</v>
      </c>
      <c r="R1293" t="s">
        <v>11477</v>
      </c>
      <c r="S1293" t="s">
        <v>11478</v>
      </c>
      <c r="T1293" t="s">
        <v>11479</v>
      </c>
      <c r="U1293" s="5">
        <v>2144.64</v>
      </c>
      <c r="V1293" s="5">
        <v>22.9</v>
      </c>
      <c r="W1293" s="5">
        <v>15.720181999999999</v>
      </c>
      <c r="X1293" s="5">
        <v>108.375708</v>
      </c>
      <c r="Y1293" s="5">
        <v>2121.7399999999998</v>
      </c>
      <c r="Z1293" s="5">
        <v>15.720257</v>
      </c>
      <c r="AA1293" s="5">
        <v>108.375578</v>
      </c>
      <c r="AB1293" s="7">
        <f t="shared" si="121"/>
        <v>3.4349999999999992E-2</v>
      </c>
      <c r="AC1293" s="7">
        <f t="shared" si="122"/>
        <v>3.1826099999999995</v>
      </c>
      <c r="AD1293" s="6" t="str">
        <f t="shared" si="123"/>
        <v>Trạm CSGT Thăng Bình (X. Bình Phục, Thăng
Bình)</v>
      </c>
      <c r="AE1293" s="6" t="str">
        <f t="shared" si="124"/>
        <v>TTCMKV Thăng Bình</v>
      </c>
      <c r="AG1293">
        <f t="shared" si="125"/>
        <v>2.29E-2</v>
      </c>
      <c r="AH1293">
        <f t="shared" si="126"/>
        <v>2.12174</v>
      </c>
    </row>
    <row r="1294" spans="1:34" x14ac:dyDescent="0.25">
      <c r="A1294" t="s">
        <v>12559</v>
      </c>
      <c r="B1294" t="s">
        <v>12560</v>
      </c>
      <c r="C1294" t="s">
        <v>12561</v>
      </c>
      <c r="D1294" t="s">
        <v>12562</v>
      </c>
      <c r="E1294" t="s">
        <v>12563</v>
      </c>
      <c r="F1294" t="s">
        <v>12564</v>
      </c>
      <c r="G1294" t="s">
        <v>15827</v>
      </c>
      <c r="H1294" t="s">
        <v>16230</v>
      </c>
      <c r="I1294" t="s">
        <v>17093</v>
      </c>
      <c r="J1294" t="s">
        <v>23</v>
      </c>
      <c r="L1294" t="s">
        <v>12565</v>
      </c>
      <c r="M1294" t="s">
        <v>12566</v>
      </c>
      <c r="N1294" t="s">
        <v>12567</v>
      </c>
      <c r="O1294" t="s">
        <v>12568</v>
      </c>
      <c r="P1294" t="s">
        <v>12569</v>
      </c>
      <c r="Q1294" t="s">
        <v>12570</v>
      </c>
      <c r="R1294" t="s">
        <v>12571</v>
      </c>
      <c r="S1294" t="s">
        <v>12572</v>
      </c>
      <c r="T1294" t="s">
        <v>12573</v>
      </c>
      <c r="U1294" s="5">
        <v>724.1</v>
      </c>
      <c r="V1294" s="5">
        <v>58.91</v>
      </c>
      <c r="W1294" s="5">
        <v>15.632675000000001</v>
      </c>
      <c r="X1294" s="5">
        <v>108.374645</v>
      </c>
      <c r="Y1294" s="5">
        <v>665.19</v>
      </c>
      <c r="Z1294" s="5">
        <v>15.624164</v>
      </c>
      <c r="AA1294" s="5">
        <v>108.382743</v>
      </c>
      <c r="AB1294" s="7">
        <f t="shared" si="121"/>
        <v>8.8364999999999999E-2</v>
      </c>
      <c r="AC1294" s="7">
        <f t="shared" si="122"/>
        <v>0.99778500000000003</v>
      </c>
      <c r="AD1294" s="6" t="str">
        <f t="shared" si="123"/>
        <v>Thăng Phú</v>
      </c>
      <c r="AE1294" s="6" t="str">
        <f t="shared" si="124"/>
        <v>Tây Hồ</v>
      </c>
      <c r="AG1294">
        <f t="shared" si="125"/>
        <v>5.8909999999999997E-2</v>
      </c>
      <c r="AH1294">
        <f t="shared" si="126"/>
        <v>0.66519000000000006</v>
      </c>
    </row>
    <row r="1295" spans="1:34" x14ac:dyDescent="0.25">
      <c r="A1295" t="s">
        <v>12574</v>
      </c>
      <c r="B1295" t="s">
        <v>12560</v>
      </c>
      <c r="C1295" t="s">
        <v>12561</v>
      </c>
      <c r="D1295" t="s">
        <v>12575</v>
      </c>
      <c r="E1295" t="s">
        <v>12576</v>
      </c>
      <c r="F1295" t="s">
        <v>12577</v>
      </c>
      <c r="G1295" t="s">
        <v>15827</v>
      </c>
      <c r="H1295" t="s">
        <v>16230</v>
      </c>
      <c r="I1295" t="s">
        <v>17094</v>
      </c>
      <c r="J1295" t="s">
        <v>23</v>
      </c>
      <c r="L1295" t="s">
        <v>12565</v>
      </c>
      <c r="M1295" t="s">
        <v>12578</v>
      </c>
      <c r="N1295" t="s">
        <v>12567</v>
      </c>
      <c r="O1295" t="s">
        <v>12568</v>
      </c>
      <c r="P1295" t="s">
        <v>12569</v>
      </c>
      <c r="Q1295" t="s">
        <v>12579</v>
      </c>
      <c r="R1295" t="s">
        <v>12580</v>
      </c>
      <c r="S1295" t="s">
        <v>12581</v>
      </c>
      <c r="T1295" t="s">
        <v>12573</v>
      </c>
      <c r="U1295" s="5">
        <v>576.87</v>
      </c>
      <c r="V1295" s="5">
        <v>58.91</v>
      </c>
      <c r="W1295" s="5">
        <v>15.632675000000001</v>
      </c>
      <c r="X1295" s="5">
        <v>108.374645</v>
      </c>
      <c r="Y1295" s="5">
        <v>517.96</v>
      </c>
      <c r="Z1295" s="5">
        <v>15.633737</v>
      </c>
      <c r="AA1295" s="5">
        <v>108.375322</v>
      </c>
      <c r="AB1295" s="7">
        <f t="shared" si="121"/>
        <v>8.8364999999999999E-2</v>
      </c>
      <c r="AC1295" s="7">
        <f t="shared" si="122"/>
        <v>0.77694000000000007</v>
      </c>
      <c r="AD1295" s="6" t="str">
        <f t="shared" si="123"/>
        <v>Thăng Phú</v>
      </c>
      <c r="AE1295" s="6" t="str">
        <f t="shared" si="124"/>
        <v>Tây Hồ</v>
      </c>
      <c r="AG1295">
        <f t="shared" si="125"/>
        <v>5.8909999999999997E-2</v>
      </c>
      <c r="AH1295">
        <f t="shared" si="126"/>
        <v>0.51796000000000009</v>
      </c>
    </row>
    <row r="1296" spans="1:34" x14ac:dyDescent="0.25">
      <c r="A1296" t="s">
        <v>12582</v>
      </c>
      <c r="B1296" t="s">
        <v>12560</v>
      </c>
      <c r="C1296" t="s">
        <v>12561</v>
      </c>
      <c r="D1296" t="s">
        <v>12583</v>
      </c>
      <c r="E1296" t="s">
        <v>12584</v>
      </c>
      <c r="F1296" t="s">
        <v>12585</v>
      </c>
      <c r="G1296" t="s">
        <v>15827</v>
      </c>
      <c r="H1296" t="s">
        <v>16230</v>
      </c>
      <c r="I1296" t="s">
        <v>17095</v>
      </c>
      <c r="J1296" t="s">
        <v>23</v>
      </c>
      <c r="L1296" t="s">
        <v>12586</v>
      </c>
      <c r="M1296" t="s">
        <v>12587</v>
      </c>
      <c r="N1296" t="s">
        <v>12588</v>
      </c>
      <c r="O1296" t="s">
        <v>12589</v>
      </c>
      <c r="P1296" t="s">
        <v>12590</v>
      </c>
      <c r="Q1296" t="s">
        <v>12591</v>
      </c>
      <c r="R1296" t="s">
        <v>12592</v>
      </c>
      <c r="S1296" t="s">
        <v>12593</v>
      </c>
      <c r="T1296" t="s">
        <v>12594</v>
      </c>
      <c r="U1296" s="5">
        <v>1356.14</v>
      </c>
      <c r="V1296" s="5">
        <v>55.98</v>
      </c>
      <c r="W1296" s="5">
        <v>15.632129000000001</v>
      </c>
      <c r="X1296" s="5">
        <v>108.374284</v>
      </c>
      <c r="Y1296" s="5">
        <v>1300.1600000000001</v>
      </c>
      <c r="Z1296" s="5">
        <v>15.660126</v>
      </c>
      <c r="AA1296" s="5">
        <v>108.342536</v>
      </c>
      <c r="AB1296" s="7">
        <f t="shared" si="121"/>
        <v>8.3970000000000003E-2</v>
      </c>
      <c r="AC1296" s="7">
        <f t="shared" si="122"/>
        <v>1.9502400000000002</v>
      </c>
      <c r="AD1296" s="6" t="str">
        <f t="shared" si="123"/>
        <v>Thăng Bình</v>
      </c>
      <c r="AE1296" s="6" t="str">
        <f t="shared" si="124"/>
        <v>Thăng Phú</v>
      </c>
      <c r="AG1296">
        <f t="shared" si="125"/>
        <v>5.5979999999999995E-2</v>
      </c>
      <c r="AH1296">
        <f t="shared" si="126"/>
        <v>1.30016</v>
      </c>
    </row>
    <row r="1297" spans="1:34" x14ac:dyDescent="0.25">
      <c r="A1297" t="s">
        <v>12595</v>
      </c>
      <c r="B1297" t="s">
        <v>12560</v>
      </c>
      <c r="C1297" t="s">
        <v>12561</v>
      </c>
      <c r="D1297" t="s">
        <v>11645</v>
      </c>
      <c r="E1297" t="s">
        <v>11646</v>
      </c>
      <c r="F1297" t="s">
        <v>12596</v>
      </c>
      <c r="G1297" t="s">
        <v>15827</v>
      </c>
      <c r="H1297" t="s">
        <v>16230</v>
      </c>
      <c r="I1297" t="s">
        <v>17096</v>
      </c>
      <c r="J1297" t="s">
        <v>23</v>
      </c>
      <c r="L1297" t="s">
        <v>11555</v>
      </c>
      <c r="M1297" t="s">
        <v>12597</v>
      </c>
      <c r="N1297" t="s">
        <v>12598</v>
      </c>
      <c r="O1297" t="s">
        <v>12599</v>
      </c>
      <c r="P1297" t="s">
        <v>12600</v>
      </c>
      <c r="Q1297" t="s">
        <v>11649</v>
      </c>
      <c r="R1297" t="s">
        <v>11650</v>
      </c>
      <c r="S1297" t="s">
        <v>11651</v>
      </c>
      <c r="T1297" t="s">
        <v>11563</v>
      </c>
      <c r="U1297" s="5">
        <v>5310.74</v>
      </c>
      <c r="V1297" s="5">
        <v>5275.58</v>
      </c>
      <c r="W1297" s="5">
        <v>15.651600999999999</v>
      </c>
      <c r="X1297" s="5">
        <v>108.419245</v>
      </c>
      <c r="Y1297" s="5">
        <v>35.17</v>
      </c>
      <c r="Z1297" s="5">
        <v>15.579651999999999</v>
      </c>
      <c r="AA1297" s="5">
        <v>108.473956</v>
      </c>
      <c r="AB1297" s="7">
        <f t="shared" si="121"/>
        <v>7.9133699999999996</v>
      </c>
      <c r="AC1297" s="7">
        <f t="shared" si="122"/>
        <v>5.2755000000000003E-2</v>
      </c>
      <c r="AD1297" s="6" t="str">
        <f t="shared" si="123"/>
        <v>TT2 Tam Kỳ</v>
      </c>
      <c r="AE1297" s="6" t="str">
        <f t="shared" si="124"/>
        <v>Thăng Bình</v>
      </c>
      <c r="AG1297">
        <f t="shared" si="125"/>
        <v>5.2755799999999997</v>
      </c>
      <c r="AH1297">
        <f t="shared" si="126"/>
        <v>3.517E-2</v>
      </c>
    </row>
    <row r="1298" spans="1:34" x14ac:dyDescent="0.25">
      <c r="A1298" t="s">
        <v>12601</v>
      </c>
      <c r="B1298" t="s">
        <v>12560</v>
      </c>
      <c r="C1298" t="s">
        <v>12561</v>
      </c>
      <c r="D1298" t="s">
        <v>12602</v>
      </c>
      <c r="E1298" t="s">
        <v>12603</v>
      </c>
      <c r="F1298" t="s">
        <v>12604</v>
      </c>
      <c r="G1298" t="s">
        <v>15827</v>
      </c>
      <c r="H1298" t="s">
        <v>16230</v>
      </c>
      <c r="I1298" t="s">
        <v>17097</v>
      </c>
      <c r="J1298" t="s">
        <v>23</v>
      </c>
      <c r="L1298" t="s">
        <v>12565</v>
      </c>
      <c r="M1298" t="s">
        <v>12605</v>
      </c>
      <c r="N1298" t="s">
        <v>12567</v>
      </c>
      <c r="O1298" t="s">
        <v>12568</v>
      </c>
      <c r="P1298" t="s">
        <v>12569</v>
      </c>
      <c r="Q1298" t="s">
        <v>12606</v>
      </c>
      <c r="R1298" t="s">
        <v>12580</v>
      </c>
      <c r="S1298" t="s">
        <v>12581</v>
      </c>
      <c r="T1298" t="s">
        <v>12573</v>
      </c>
      <c r="U1298" s="5">
        <v>2660.8</v>
      </c>
      <c r="V1298" s="5">
        <v>58.91</v>
      </c>
      <c r="W1298" s="5">
        <v>15.632675000000001</v>
      </c>
      <c r="X1298" s="5">
        <v>108.374645</v>
      </c>
      <c r="Y1298" s="5">
        <v>2601.89</v>
      </c>
      <c r="Z1298" s="5">
        <v>15.633737</v>
      </c>
      <c r="AA1298" s="5">
        <v>108.375322</v>
      </c>
      <c r="AB1298" s="7">
        <f t="shared" si="121"/>
        <v>8.8364999999999999E-2</v>
      </c>
      <c r="AC1298" s="7">
        <f t="shared" si="122"/>
        <v>3.9028350000000001</v>
      </c>
      <c r="AD1298" s="6" t="str">
        <f t="shared" si="123"/>
        <v>Thăng Phú</v>
      </c>
      <c r="AE1298" s="6" t="str">
        <f t="shared" si="124"/>
        <v>Tây Hồ</v>
      </c>
      <c r="AG1298">
        <f t="shared" si="125"/>
        <v>5.8909999999999997E-2</v>
      </c>
      <c r="AH1298">
        <f t="shared" si="126"/>
        <v>2.60189</v>
      </c>
    </row>
    <row r="1299" spans="1:34" x14ac:dyDescent="0.25">
      <c r="A1299" t="s">
        <v>12607</v>
      </c>
      <c r="B1299" t="s">
        <v>11728</v>
      </c>
      <c r="C1299" t="s">
        <v>11729</v>
      </c>
      <c r="D1299" t="s">
        <v>11552</v>
      </c>
      <c r="E1299" t="s">
        <v>11553</v>
      </c>
      <c r="F1299" t="s">
        <v>11730</v>
      </c>
      <c r="H1299" t="s">
        <v>16230</v>
      </c>
      <c r="I1299" t="s">
        <v>17010</v>
      </c>
      <c r="J1299" t="s">
        <v>23</v>
      </c>
      <c r="L1299" t="s">
        <v>11718</v>
      </c>
      <c r="M1299" t="s">
        <v>11731</v>
      </c>
      <c r="N1299" t="s">
        <v>11732</v>
      </c>
      <c r="O1299" t="s">
        <v>11733</v>
      </c>
      <c r="P1299" t="s">
        <v>11734</v>
      </c>
      <c r="Q1299" t="s">
        <v>11720</v>
      </c>
      <c r="R1299" t="s">
        <v>11721</v>
      </c>
      <c r="S1299" t="s">
        <v>11722</v>
      </c>
      <c r="T1299" t="s">
        <v>11726</v>
      </c>
      <c r="U1299" s="5">
        <v>1876.33</v>
      </c>
      <c r="V1299" s="5">
        <v>429.55</v>
      </c>
      <c r="W1299" s="5">
        <v>15.544556999999999</v>
      </c>
      <c r="X1299" s="5">
        <v>108.488028</v>
      </c>
      <c r="Y1299" s="5">
        <v>1446.78</v>
      </c>
      <c r="Z1299" s="5">
        <v>15.563969</v>
      </c>
      <c r="AA1299" s="5">
        <v>108.482575</v>
      </c>
      <c r="AB1299" s="7">
        <f t="shared" si="121"/>
        <v>0.64432500000000004</v>
      </c>
      <c r="AC1299" s="7">
        <f t="shared" si="122"/>
        <v>2.1701700000000002</v>
      </c>
      <c r="AD1299" s="6" t="str">
        <f t="shared" si="123"/>
        <v>Hương Trà</v>
      </c>
      <c r="AE1299" s="6" t="str">
        <f t="shared" si="124"/>
        <v>Tam Kỳ</v>
      </c>
      <c r="AG1299">
        <f t="shared" si="125"/>
        <v>0.42954999999999999</v>
      </c>
      <c r="AH1299">
        <f t="shared" si="126"/>
        <v>1.44678</v>
      </c>
    </row>
    <row r="1300" spans="1:34" x14ac:dyDescent="0.25">
      <c r="A1300" t="s">
        <v>12608</v>
      </c>
      <c r="B1300" t="s">
        <v>11728</v>
      </c>
      <c r="C1300" t="s">
        <v>11729</v>
      </c>
      <c r="D1300" t="s">
        <v>12609</v>
      </c>
      <c r="E1300" t="s">
        <v>12610</v>
      </c>
      <c r="F1300" t="s">
        <v>12611</v>
      </c>
      <c r="H1300" t="s">
        <v>16230</v>
      </c>
      <c r="I1300" t="s">
        <v>17098</v>
      </c>
      <c r="J1300" t="s">
        <v>23</v>
      </c>
      <c r="L1300" t="s">
        <v>11718</v>
      </c>
      <c r="M1300" t="s">
        <v>12612</v>
      </c>
      <c r="N1300" t="s">
        <v>11732</v>
      </c>
      <c r="O1300" t="s">
        <v>11733</v>
      </c>
      <c r="P1300" t="s">
        <v>11734</v>
      </c>
      <c r="Q1300" t="s">
        <v>12613</v>
      </c>
      <c r="R1300" t="s">
        <v>11721</v>
      </c>
      <c r="S1300" t="s">
        <v>11722</v>
      </c>
      <c r="T1300" t="s">
        <v>11726</v>
      </c>
      <c r="U1300" s="5">
        <v>1788.57</v>
      </c>
      <c r="V1300" s="5">
        <v>429.55</v>
      </c>
      <c r="W1300" s="5">
        <v>15.544556999999999</v>
      </c>
      <c r="X1300" s="5">
        <v>108.488028</v>
      </c>
      <c r="Y1300" s="5">
        <v>1359.02</v>
      </c>
      <c r="Z1300" s="5">
        <v>15.563969</v>
      </c>
      <c r="AA1300" s="5">
        <v>108.482575</v>
      </c>
      <c r="AB1300" s="7">
        <f t="shared" si="121"/>
        <v>0.64432500000000004</v>
      </c>
      <c r="AC1300" s="7">
        <f t="shared" si="122"/>
        <v>2.0385300000000002</v>
      </c>
      <c r="AD1300" s="6" t="str">
        <f t="shared" si="123"/>
        <v>Hương Trà</v>
      </c>
      <c r="AE1300" s="6" t="str">
        <f t="shared" si="124"/>
        <v>Tam Kỳ</v>
      </c>
      <c r="AG1300">
        <f t="shared" si="125"/>
        <v>0.42954999999999999</v>
      </c>
      <c r="AH1300">
        <f t="shared" si="126"/>
        <v>1.3590199999999999</v>
      </c>
    </row>
    <row r="1301" spans="1:34" x14ac:dyDescent="0.25">
      <c r="A1301" t="s">
        <v>12614</v>
      </c>
      <c r="B1301" t="s">
        <v>11728</v>
      </c>
      <c r="C1301" t="s">
        <v>11729</v>
      </c>
      <c r="D1301" t="s">
        <v>12615</v>
      </c>
      <c r="E1301" t="s">
        <v>12616</v>
      </c>
      <c r="F1301" t="s">
        <v>12617</v>
      </c>
      <c r="G1301" t="s">
        <v>15827</v>
      </c>
      <c r="H1301" t="s">
        <v>16230</v>
      </c>
      <c r="I1301" t="s">
        <v>17099</v>
      </c>
      <c r="J1301" t="s">
        <v>23</v>
      </c>
      <c r="L1301" t="s">
        <v>11718</v>
      </c>
      <c r="M1301" t="s">
        <v>12618</v>
      </c>
      <c r="N1301" t="s">
        <v>4414</v>
      </c>
      <c r="O1301" t="s">
        <v>12619</v>
      </c>
      <c r="P1301" t="s">
        <v>12620</v>
      </c>
      <c r="Q1301" t="s">
        <v>12621</v>
      </c>
      <c r="R1301" t="s">
        <v>12622</v>
      </c>
      <c r="S1301" t="s">
        <v>12623</v>
      </c>
      <c r="T1301" t="s">
        <v>12624</v>
      </c>
      <c r="U1301" s="5">
        <v>812.28</v>
      </c>
      <c r="V1301" s="5">
        <v>56.83</v>
      </c>
      <c r="W1301" s="5">
        <v>15.545833</v>
      </c>
      <c r="X1301" s="5">
        <v>108.484005</v>
      </c>
      <c r="Y1301" s="5">
        <v>755.45</v>
      </c>
      <c r="Z1301" s="5">
        <v>15.547324</v>
      </c>
      <c r="AA1301" s="5">
        <v>108.486795</v>
      </c>
      <c r="AB1301" s="7">
        <f t="shared" si="121"/>
        <v>8.5245000000000001E-2</v>
      </c>
      <c r="AC1301" s="7">
        <f t="shared" si="122"/>
        <v>1.1331750000000003</v>
      </c>
      <c r="AD1301" s="6" t="str">
        <f t="shared" si="123"/>
        <v>Hương Trà</v>
      </c>
      <c r="AE1301" s="6" t="str">
        <f t="shared" si="124"/>
        <v>Tam Kỳ</v>
      </c>
      <c r="AG1301">
        <f t="shared" si="125"/>
        <v>5.6829999999999999E-2</v>
      </c>
      <c r="AH1301">
        <f t="shared" si="126"/>
        <v>0.75545000000000007</v>
      </c>
    </row>
    <row r="1302" spans="1:34" x14ac:dyDescent="0.25">
      <c r="A1302" t="s">
        <v>12625</v>
      </c>
      <c r="B1302" t="s">
        <v>12626</v>
      </c>
      <c r="C1302" t="s">
        <v>12627</v>
      </c>
      <c r="D1302" t="s">
        <v>12628</v>
      </c>
      <c r="E1302" t="s">
        <v>12629</v>
      </c>
      <c r="F1302" t="s">
        <v>12630</v>
      </c>
      <c r="G1302" t="s">
        <v>15827</v>
      </c>
      <c r="H1302" t="s">
        <v>16230</v>
      </c>
      <c r="I1302" t="s">
        <v>17100</v>
      </c>
      <c r="J1302" t="s">
        <v>23</v>
      </c>
      <c r="L1302" t="s">
        <v>12631</v>
      </c>
      <c r="M1302" t="s">
        <v>12632</v>
      </c>
      <c r="N1302" t="s">
        <v>12633</v>
      </c>
      <c r="O1302" t="s">
        <v>12634</v>
      </c>
      <c r="P1302" t="s">
        <v>12635</v>
      </c>
      <c r="Q1302" t="s">
        <v>12636</v>
      </c>
      <c r="R1302" t="s">
        <v>12637</v>
      </c>
      <c r="S1302" t="s">
        <v>12638</v>
      </c>
      <c r="T1302" t="s">
        <v>12639</v>
      </c>
      <c r="U1302" s="5">
        <v>166.84</v>
      </c>
      <c r="V1302" s="5">
        <v>153.25</v>
      </c>
      <c r="W1302" s="5">
        <v>15.565082</v>
      </c>
      <c r="X1302" s="5">
        <v>108.48103399999999</v>
      </c>
      <c r="Y1302" s="5">
        <v>13.59</v>
      </c>
      <c r="Z1302" s="5">
        <v>15.566739999999999</v>
      </c>
      <c r="AA1302" s="5">
        <v>108.479157</v>
      </c>
      <c r="AB1302" s="7">
        <f t="shared" si="121"/>
        <v>0.229875</v>
      </c>
      <c r="AC1302" s="7">
        <f t="shared" si="122"/>
        <v>2.0384999999999997E-2</v>
      </c>
      <c r="AD1302" s="6" t="str">
        <f t="shared" si="123"/>
        <v>PC06</v>
      </c>
      <c r="AE1302" s="6" t="str">
        <f t="shared" si="124"/>
        <v>PC07</v>
      </c>
      <c r="AG1302">
        <f t="shared" si="125"/>
        <v>0.15325</v>
      </c>
      <c r="AH1302">
        <f t="shared" si="126"/>
        <v>1.359E-2</v>
      </c>
    </row>
    <row r="1303" spans="1:34" x14ac:dyDescent="0.25">
      <c r="A1303" t="s">
        <v>12640</v>
      </c>
      <c r="B1303" t="s">
        <v>12641</v>
      </c>
      <c r="C1303" t="s">
        <v>12642</v>
      </c>
      <c r="D1303" t="s">
        <v>12643</v>
      </c>
      <c r="E1303" t="s">
        <v>12644</v>
      </c>
      <c r="F1303" t="s">
        <v>12645</v>
      </c>
      <c r="G1303" t="s">
        <v>15827</v>
      </c>
      <c r="H1303" t="s">
        <v>16230</v>
      </c>
      <c r="I1303" t="s">
        <v>17101</v>
      </c>
      <c r="J1303" t="s">
        <v>23</v>
      </c>
      <c r="L1303" t="s">
        <v>12646</v>
      </c>
      <c r="M1303" t="s">
        <v>12647</v>
      </c>
      <c r="N1303" t="s">
        <v>12648</v>
      </c>
      <c r="O1303" t="s">
        <v>12649</v>
      </c>
      <c r="P1303" t="s">
        <v>12650</v>
      </c>
      <c r="Q1303" t="s">
        <v>12651</v>
      </c>
      <c r="R1303" t="s">
        <v>12652</v>
      </c>
      <c r="S1303" t="s">
        <v>12653</v>
      </c>
      <c r="T1303" t="s">
        <v>12654</v>
      </c>
      <c r="U1303" s="5">
        <v>1220</v>
      </c>
      <c r="V1303" s="5">
        <v>218.62</v>
      </c>
      <c r="W1303" s="5">
        <v>15.58076</v>
      </c>
      <c r="X1303" s="5">
        <v>108.463223</v>
      </c>
      <c r="Y1303" s="5">
        <v>1001.38</v>
      </c>
      <c r="Z1303" s="5">
        <v>15.575601000000001</v>
      </c>
      <c r="AA1303" s="5">
        <v>108.461769</v>
      </c>
      <c r="AB1303" s="7">
        <f t="shared" si="121"/>
        <v>0.32793</v>
      </c>
      <c r="AC1303" s="7">
        <f t="shared" si="122"/>
        <v>1.50207</v>
      </c>
      <c r="AD1303" s="6" t="str">
        <f t="shared" si="123"/>
        <v>PK02</v>
      </c>
      <c r="AE1303" s="6" t="str">
        <f t="shared" si="124"/>
        <v>PC11</v>
      </c>
      <c r="AG1303">
        <f t="shared" si="125"/>
        <v>0.21862000000000001</v>
      </c>
      <c r="AH1303">
        <f t="shared" si="126"/>
        <v>1.0013799999999999</v>
      </c>
    </row>
    <row r="1304" spans="1:34" x14ac:dyDescent="0.25">
      <c r="A1304" t="s">
        <v>12655</v>
      </c>
      <c r="B1304" t="s">
        <v>12641</v>
      </c>
      <c r="C1304" t="s">
        <v>12642</v>
      </c>
      <c r="D1304" t="s">
        <v>12450</v>
      </c>
      <c r="E1304" t="s">
        <v>12451</v>
      </c>
      <c r="F1304" t="s">
        <v>12656</v>
      </c>
      <c r="G1304" t="s">
        <v>15827</v>
      </c>
      <c r="H1304" t="s">
        <v>16230</v>
      </c>
      <c r="I1304" t="s">
        <v>17102</v>
      </c>
      <c r="J1304" t="s">
        <v>23</v>
      </c>
      <c r="L1304" t="s">
        <v>11686</v>
      </c>
      <c r="M1304" t="s">
        <v>12657</v>
      </c>
      <c r="N1304" t="s">
        <v>12658</v>
      </c>
      <c r="O1304" t="s">
        <v>12659</v>
      </c>
      <c r="P1304" t="s">
        <v>11690</v>
      </c>
      <c r="Q1304" t="s">
        <v>12660</v>
      </c>
      <c r="R1304" t="s">
        <v>12661</v>
      </c>
      <c r="S1304" t="s">
        <v>12662</v>
      </c>
      <c r="T1304" t="s">
        <v>11694</v>
      </c>
      <c r="U1304" s="5">
        <v>2366.52</v>
      </c>
      <c r="V1304" s="5">
        <v>2292.2199999999998</v>
      </c>
      <c r="W1304" s="5">
        <v>15.575385000000001</v>
      </c>
      <c r="X1304" s="5">
        <v>108.444188</v>
      </c>
      <c r="Y1304" s="5">
        <v>74.3</v>
      </c>
      <c r="Z1304" s="5">
        <v>15.562578</v>
      </c>
      <c r="AA1304" s="5">
        <v>108.425622</v>
      </c>
      <c r="AB1304" s="7">
        <f t="shared" si="121"/>
        <v>3.4383300000000001</v>
      </c>
      <c r="AC1304" s="7">
        <f t="shared" si="122"/>
        <v>0.11144999999999999</v>
      </c>
      <c r="AD1304" s="6" t="str">
        <f t="shared" si="123"/>
        <v>TT2 Tam Kỳ</v>
      </c>
      <c r="AE1304" s="6" t="str">
        <f t="shared" si="124"/>
        <v>CAX Tiên Sơn (Tiên Phước)</v>
      </c>
      <c r="AG1304">
        <f t="shared" si="125"/>
        <v>2.2922199999999999</v>
      </c>
      <c r="AH1304">
        <f t="shared" si="126"/>
        <v>7.4299999999999991E-2</v>
      </c>
    </row>
    <row r="1305" spans="1:34" x14ac:dyDescent="0.25">
      <c r="A1305" t="s">
        <v>12663</v>
      </c>
      <c r="B1305" t="s">
        <v>12641</v>
      </c>
      <c r="C1305" t="s">
        <v>12642</v>
      </c>
      <c r="D1305" t="s">
        <v>11645</v>
      </c>
      <c r="E1305" t="s">
        <v>11646</v>
      </c>
      <c r="F1305" t="s">
        <v>12664</v>
      </c>
      <c r="G1305" t="s">
        <v>15827</v>
      </c>
      <c r="H1305" t="s">
        <v>16230</v>
      </c>
      <c r="I1305" t="s">
        <v>17103</v>
      </c>
      <c r="J1305" t="s">
        <v>23</v>
      </c>
      <c r="L1305" t="s">
        <v>11555</v>
      </c>
      <c r="M1305" t="s">
        <v>12665</v>
      </c>
      <c r="N1305" t="s">
        <v>12666</v>
      </c>
      <c r="O1305" t="s">
        <v>12667</v>
      </c>
      <c r="P1305" t="s">
        <v>12668</v>
      </c>
      <c r="Q1305" t="s">
        <v>11649</v>
      </c>
      <c r="R1305" t="s">
        <v>11650</v>
      </c>
      <c r="S1305" t="s">
        <v>11651</v>
      </c>
      <c r="T1305" t="s">
        <v>11563</v>
      </c>
      <c r="U1305" s="5">
        <v>448.32</v>
      </c>
      <c r="V1305" s="5">
        <v>413.15</v>
      </c>
      <c r="W1305" s="5">
        <v>15.585190000000001</v>
      </c>
      <c r="X1305" s="5">
        <v>108.466882</v>
      </c>
      <c r="Y1305" s="5">
        <v>35.17</v>
      </c>
      <c r="Z1305" s="5">
        <v>15.579651999999999</v>
      </c>
      <c r="AA1305" s="5">
        <v>108.473956</v>
      </c>
      <c r="AB1305" s="7">
        <f t="shared" si="121"/>
        <v>0.61972499999999986</v>
      </c>
      <c r="AC1305" s="7">
        <f t="shared" si="122"/>
        <v>5.2755000000000003E-2</v>
      </c>
      <c r="AD1305" s="6" t="str">
        <f t="shared" si="123"/>
        <v>TT2 Tam Kỳ</v>
      </c>
      <c r="AE1305" s="6" t="str">
        <f t="shared" si="124"/>
        <v>Thăng Bình</v>
      </c>
      <c r="AG1305">
        <f t="shared" si="125"/>
        <v>0.41314999999999996</v>
      </c>
      <c r="AH1305">
        <f t="shared" si="126"/>
        <v>3.517E-2</v>
      </c>
    </row>
    <row r="1306" spans="1:34" x14ac:dyDescent="0.25">
      <c r="A1306" t="s">
        <v>12669</v>
      </c>
      <c r="B1306" t="s">
        <v>12609</v>
      </c>
      <c r="C1306" t="s">
        <v>12610</v>
      </c>
      <c r="D1306" t="s">
        <v>11645</v>
      </c>
      <c r="E1306" t="s">
        <v>11646</v>
      </c>
      <c r="F1306" t="s">
        <v>12670</v>
      </c>
      <c r="G1306" t="s">
        <v>15827</v>
      </c>
      <c r="H1306" t="s">
        <v>16230</v>
      </c>
      <c r="I1306" t="s">
        <v>17104</v>
      </c>
      <c r="J1306" t="s">
        <v>23</v>
      </c>
      <c r="L1306" t="s">
        <v>12671</v>
      </c>
      <c r="M1306" t="s">
        <v>12672</v>
      </c>
      <c r="N1306" t="s">
        <v>12673</v>
      </c>
      <c r="O1306" t="s">
        <v>12674</v>
      </c>
      <c r="P1306" t="s">
        <v>12675</v>
      </c>
      <c r="Q1306" t="s">
        <v>12676</v>
      </c>
      <c r="R1306" t="s">
        <v>12677</v>
      </c>
      <c r="S1306" t="s">
        <v>12678</v>
      </c>
      <c r="T1306" t="s">
        <v>12679</v>
      </c>
      <c r="U1306" s="5">
        <v>133.13999999999999</v>
      </c>
      <c r="V1306" s="5">
        <v>95.8</v>
      </c>
      <c r="W1306" s="5">
        <v>15.575644</v>
      </c>
      <c r="X1306" s="5">
        <v>108.476562</v>
      </c>
      <c r="Y1306" s="5">
        <v>37.33</v>
      </c>
      <c r="Z1306" s="5">
        <v>15.579679</v>
      </c>
      <c r="AA1306" s="5">
        <v>108.47395</v>
      </c>
      <c r="AB1306" s="7">
        <f t="shared" si="121"/>
        <v>0.14369999999999999</v>
      </c>
      <c r="AC1306" s="7">
        <f t="shared" si="122"/>
        <v>5.5994999999999996E-2</v>
      </c>
      <c r="AD1306" s="6" t="str">
        <f t="shared" si="123"/>
        <v>TT2 Tam Kỳ</v>
      </c>
      <c r="AE1306" s="6" t="str">
        <f t="shared" si="124"/>
        <v>PC08</v>
      </c>
      <c r="AG1306">
        <f t="shared" si="125"/>
        <v>9.5799999999999996E-2</v>
      </c>
      <c r="AH1306">
        <f t="shared" si="126"/>
        <v>3.7329999999999995E-2</v>
      </c>
    </row>
    <row r="1307" spans="1:34" x14ac:dyDescent="0.25">
      <c r="A1307" t="s">
        <v>12680</v>
      </c>
      <c r="B1307" t="s">
        <v>12609</v>
      </c>
      <c r="C1307" t="s">
        <v>12610</v>
      </c>
      <c r="D1307" t="s">
        <v>11728</v>
      </c>
      <c r="E1307" t="s">
        <v>11729</v>
      </c>
      <c r="F1307" t="s">
        <v>12611</v>
      </c>
      <c r="H1307" t="s">
        <v>16230</v>
      </c>
      <c r="I1307" t="s">
        <v>17098</v>
      </c>
      <c r="J1307" t="s">
        <v>23</v>
      </c>
      <c r="L1307" t="s">
        <v>11718</v>
      </c>
      <c r="M1307" t="s">
        <v>12612</v>
      </c>
      <c r="N1307" t="s">
        <v>12613</v>
      </c>
      <c r="O1307" t="s">
        <v>11721</v>
      </c>
      <c r="P1307" t="s">
        <v>11722</v>
      </c>
      <c r="Q1307" t="s">
        <v>11732</v>
      </c>
      <c r="R1307" t="s">
        <v>11733</v>
      </c>
      <c r="S1307" t="s">
        <v>11734</v>
      </c>
      <c r="T1307" t="s">
        <v>11726</v>
      </c>
      <c r="U1307" s="5">
        <v>1788.57</v>
      </c>
      <c r="V1307" s="5">
        <v>1359.02</v>
      </c>
      <c r="W1307" s="5">
        <v>15.563969</v>
      </c>
      <c r="X1307" s="5">
        <v>108.482575</v>
      </c>
      <c r="Y1307" s="5">
        <v>429.55</v>
      </c>
      <c r="Z1307" s="5">
        <v>15.544556999999999</v>
      </c>
      <c r="AA1307" s="5">
        <v>108.488028</v>
      </c>
      <c r="AB1307" s="7">
        <f t="shared" si="121"/>
        <v>2.0385300000000002</v>
      </c>
      <c r="AC1307" s="7">
        <f t="shared" si="122"/>
        <v>0.64432500000000004</v>
      </c>
      <c r="AD1307" s="6" t="str">
        <f t="shared" si="123"/>
        <v>Hương Trà</v>
      </c>
      <c r="AE1307" s="6" t="str">
        <f t="shared" si="124"/>
        <v>Tam Kỳ</v>
      </c>
      <c r="AG1307">
        <f t="shared" si="125"/>
        <v>1.3590199999999999</v>
      </c>
      <c r="AH1307">
        <f t="shared" si="126"/>
        <v>0.42954999999999999</v>
      </c>
    </row>
    <row r="1308" spans="1:34" x14ac:dyDescent="0.25">
      <c r="A1308" t="s">
        <v>12669</v>
      </c>
      <c r="B1308" t="s">
        <v>12609</v>
      </c>
      <c r="C1308" t="s">
        <v>12610</v>
      </c>
      <c r="D1308" t="s">
        <v>11645</v>
      </c>
      <c r="E1308" t="s">
        <v>11646</v>
      </c>
      <c r="F1308" t="s">
        <v>12670</v>
      </c>
      <c r="G1308" t="s">
        <v>15827</v>
      </c>
      <c r="H1308" t="s">
        <v>16230</v>
      </c>
      <c r="I1308" t="s">
        <v>17104</v>
      </c>
      <c r="J1308" t="s">
        <v>23</v>
      </c>
      <c r="L1308" t="s">
        <v>12671</v>
      </c>
      <c r="M1308" t="s">
        <v>12672</v>
      </c>
      <c r="N1308" t="s">
        <v>12673</v>
      </c>
      <c r="O1308" t="s">
        <v>12674</v>
      </c>
      <c r="P1308" t="s">
        <v>12675</v>
      </c>
      <c r="Q1308" t="s">
        <v>12676</v>
      </c>
      <c r="R1308" t="s">
        <v>12677</v>
      </c>
      <c r="S1308" t="s">
        <v>12678</v>
      </c>
      <c r="T1308" t="s">
        <v>12679</v>
      </c>
      <c r="U1308" s="5">
        <v>133.13999999999999</v>
      </c>
      <c r="V1308" s="5">
        <v>95.8</v>
      </c>
      <c r="W1308" s="5">
        <v>15.575644</v>
      </c>
      <c r="X1308" s="5">
        <v>108.476562</v>
      </c>
      <c r="Y1308" s="5">
        <v>37.33</v>
      </c>
      <c r="Z1308" s="5">
        <v>15.579679</v>
      </c>
      <c r="AA1308" s="5">
        <v>108.47395</v>
      </c>
      <c r="AB1308" s="7">
        <f t="shared" si="121"/>
        <v>0.14369999999999999</v>
      </c>
      <c r="AC1308" s="7">
        <f t="shared" si="122"/>
        <v>5.5994999999999996E-2</v>
      </c>
      <c r="AD1308" s="6" t="str">
        <f t="shared" si="123"/>
        <v>TT2 Tam Kỳ</v>
      </c>
      <c r="AE1308" s="6" t="str">
        <f t="shared" si="124"/>
        <v>PC08</v>
      </c>
      <c r="AG1308">
        <f t="shared" si="125"/>
        <v>9.5799999999999996E-2</v>
      </c>
      <c r="AH1308">
        <f t="shared" si="126"/>
        <v>3.7329999999999995E-2</v>
      </c>
    </row>
    <row r="1309" spans="1:34" x14ac:dyDescent="0.25">
      <c r="A1309" t="s">
        <v>12681</v>
      </c>
      <c r="B1309" t="s">
        <v>5244</v>
      </c>
      <c r="C1309" t="s">
        <v>5245</v>
      </c>
      <c r="D1309" t="s">
        <v>12682</v>
      </c>
      <c r="E1309" t="s">
        <v>12683</v>
      </c>
      <c r="F1309" t="s">
        <v>12684</v>
      </c>
      <c r="G1309" t="s">
        <v>15827</v>
      </c>
      <c r="H1309" t="s">
        <v>15828</v>
      </c>
      <c r="I1309" t="s">
        <v>17105</v>
      </c>
      <c r="J1309" t="s">
        <v>23</v>
      </c>
      <c r="L1309" t="s">
        <v>12646</v>
      </c>
      <c r="M1309" t="s">
        <v>12685</v>
      </c>
      <c r="N1309" t="s">
        <v>12686</v>
      </c>
      <c r="O1309" t="s">
        <v>12687</v>
      </c>
      <c r="P1309" t="s">
        <v>12688</v>
      </c>
      <c r="Q1309" t="s">
        <v>12689</v>
      </c>
      <c r="R1309" t="s">
        <v>12690</v>
      </c>
      <c r="S1309" t="s">
        <v>12691</v>
      </c>
      <c r="T1309" t="s">
        <v>12692</v>
      </c>
      <c r="U1309" s="5">
        <v>64.92</v>
      </c>
      <c r="V1309" s="5">
        <v>19.86</v>
      </c>
      <c r="W1309" s="5">
        <v>15.558757999999999</v>
      </c>
      <c r="X1309" s="5">
        <v>108.450018</v>
      </c>
      <c r="Y1309" s="5">
        <v>45.06</v>
      </c>
      <c r="Z1309" s="5">
        <v>15.564654000000001</v>
      </c>
      <c r="AA1309" s="5">
        <v>108.459951</v>
      </c>
      <c r="AB1309" s="7">
        <f t="shared" si="121"/>
        <v>2.9790000000000001E-2</v>
      </c>
      <c r="AC1309" s="7">
        <f t="shared" si="122"/>
        <v>6.7589999999999997E-2</v>
      </c>
      <c r="AD1309" s="6" t="str">
        <f t="shared" si="123"/>
        <v>PK02</v>
      </c>
      <c r="AE1309" s="6" t="str">
        <f t="shared" si="124"/>
        <v>PC11</v>
      </c>
      <c r="AG1309">
        <f t="shared" si="125"/>
        <v>1.9859999999999999E-2</v>
      </c>
      <c r="AH1309">
        <f t="shared" si="126"/>
        <v>4.5060000000000003E-2</v>
      </c>
    </row>
    <row r="1310" spans="1:34" x14ac:dyDescent="0.25">
      <c r="A1310" t="s">
        <v>12693</v>
      </c>
      <c r="B1310" t="s">
        <v>5244</v>
      </c>
      <c r="C1310" t="s">
        <v>5245</v>
      </c>
      <c r="D1310" t="s">
        <v>12694</v>
      </c>
      <c r="E1310" t="s">
        <v>12695</v>
      </c>
      <c r="F1310" t="s">
        <v>12696</v>
      </c>
      <c r="G1310" t="s">
        <v>15827</v>
      </c>
      <c r="H1310" t="s">
        <v>16230</v>
      </c>
      <c r="I1310" t="s">
        <v>17106</v>
      </c>
      <c r="J1310" t="s">
        <v>23</v>
      </c>
      <c r="L1310" t="s">
        <v>12697</v>
      </c>
      <c r="M1310" t="s">
        <v>12698</v>
      </c>
      <c r="N1310" t="s">
        <v>12699</v>
      </c>
      <c r="O1310" t="s">
        <v>12700</v>
      </c>
      <c r="P1310" t="s">
        <v>12701</v>
      </c>
      <c r="Q1310" t="s">
        <v>12702</v>
      </c>
      <c r="R1310" t="s">
        <v>12703</v>
      </c>
      <c r="S1310" t="s">
        <v>12704</v>
      </c>
      <c r="T1310" t="s">
        <v>12705</v>
      </c>
      <c r="U1310" s="5">
        <v>1025.56</v>
      </c>
      <c r="V1310" s="5">
        <v>362.26</v>
      </c>
      <c r="W1310" s="5">
        <v>15.560487</v>
      </c>
      <c r="X1310" s="5">
        <v>108.44725800000001</v>
      </c>
      <c r="Y1310" s="5">
        <v>663.31</v>
      </c>
      <c r="Z1310" s="5">
        <v>15.558166</v>
      </c>
      <c r="AA1310" s="5">
        <v>108.433716</v>
      </c>
      <c r="AB1310" s="7">
        <f t="shared" si="121"/>
        <v>0.54339000000000004</v>
      </c>
      <c r="AC1310" s="7">
        <f t="shared" si="122"/>
        <v>0.99496499999999988</v>
      </c>
      <c r="AD1310" s="6" t="str">
        <f t="shared" si="123"/>
        <v>Phú Ninh</v>
      </c>
      <c r="AE1310" s="6" t="str">
        <f t="shared" si="124"/>
        <v>TT2 Tam Kỳ</v>
      </c>
      <c r="AG1310">
        <f t="shared" si="125"/>
        <v>0.36225999999999997</v>
      </c>
      <c r="AH1310">
        <f t="shared" si="126"/>
        <v>0.66330999999999996</v>
      </c>
    </row>
    <row r="1311" spans="1:34" x14ac:dyDescent="0.25">
      <c r="A1311" t="s">
        <v>12706</v>
      </c>
      <c r="B1311" t="s">
        <v>5244</v>
      </c>
      <c r="C1311" t="s">
        <v>5245</v>
      </c>
      <c r="D1311" t="s">
        <v>12707</v>
      </c>
      <c r="E1311" t="s">
        <v>12708</v>
      </c>
      <c r="F1311" t="s">
        <v>12709</v>
      </c>
      <c r="G1311" t="s">
        <v>15827</v>
      </c>
      <c r="H1311" t="s">
        <v>16230</v>
      </c>
      <c r="I1311" t="s">
        <v>17107</v>
      </c>
      <c r="J1311" t="s">
        <v>23</v>
      </c>
      <c r="L1311" t="s">
        <v>12646</v>
      </c>
      <c r="M1311" t="s">
        <v>12710</v>
      </c>
      <c r="N1311" t="s">
        <v>12686</v>
      </c>
      <c r="O1311" t="s">
        <v>12687</v>
      </c>
      <c r="P1311" t="s">
        <v>12688</v>
      </c>
      <c r="Q1311" t="s">
        <v>12711</v>
      </c>
      <c r="R1311" t="s">
        <v>12712</v>
      </c>
      <c r="S1311" t="s">
        <v>12713</v>
      </c>
      <c r="T1311" t="s">
        <v>12692</v>
      </c>
      <c r="U1311" s="5">
        <v>1061.48</v>
      </c>
      <c r="V1311" s="5">
        <v>19.86</v>
      </c>
      <c r="W1311" s="5">
        <v>15.558757999999999</v>
      </c>
      <c r="X1311" s="5">
        <v>108.450018</v>
      </c>
      <c r="Y1311" s="5">
        <v>1041.6199999999999</v>
      </c>
      <c r="Z1311" s="5">
        <v>15.565383000000001</v>
      </c>
      <c r="AA1311" s="5">
        <v>108.461071</v>
      </c>
      <c r="AB1311" s="7">
        <f t="shared" si="121"/>
        <v>2.9790000000000001E-2</v>
      </c>
      <c r="AC1311" s="7">
        <f t="shared" si="122"/>
        <v>1.5624299999999998</v>
      </c>
      <c r="AD1311" s="6" t="str">
        <f t="shared" si="123"/>
        <v>PK02</v>
      </c>
      <c r="AE1311" s="6" t="str">
        <f t="shared" si="124"/>
        <v>PC11</v>
      </c>
      <c r="AG1311">
        <f t="shared" si="125"/>
        <v>1.9859999999999999E-2</v>
      </c>
      <c r="AH1311">
        <f t="shared" si="126"/>
        <v>1.04162</v>
      </c>
    </row>
    <row r="1312" spans="1:34" x14ac:dyDescent="0.25">
      <c r="A1312" t="s">
        <v>12714</v>
      </c>
      <c r="B1312" t="s">
        <v>5244</v>
      </c>
      <c r="C1312" t="s">
        <v>5245</v>
      </c>
      <c r="D1312" t="s">
        <v>12715</v>
      </c>
      <c r="E1312" t="s">
        <v>12716</v>
      </c>
      <c r="F1312" t="s">
        <v>12717</v>
      </c>
      <c r="G1312" t="s">
        <v>15827</v>
      </c>
      <c r="H1312" t="s">
        <v>16230</v>
      </c>
      <c r="I1312" t="s">
        <v>17108</v>
      </c>
      <c r="J1312" t="s">
        <v>23</v>
      </c>
      <c r="L1312" t="s">
        <v>12718</v>
      </c>
      <c r="M1312" t="s">
        <v>12719</v>
      </c>
      <c r="N1312" t="s">
        <v>12720</v>
      </c>
      <c r="O1312" t="s">
        <v>12721</v>
      </c>
      <c r="P1312" t="s">
        <v>12722</v>
      </c>
      <c r="Q1312" t="s">
        <v>12723</v>
      </c>
      <c r="R1312" t="s">
        <v>12724</v>
      </c>
      <c r="S1312" t="s">
        <v>12725</v>
      </c>
      <c r="T1312" t="s">
        <v>12726</v>
      </c>
      <c r="U1312" s="5">
        <v>961.83</v>
      </c>
      <c r="V1312" s="5">
        <v>1.72</v>
      </c>
      <c r="W1312" s="5">
        <v>15.558593999999999</v>
      </c>
      <c r="X1312" s="5">
        <v>108.450006</v>
      </c>
      <c r="Y1312" s="5">
        <v>960.11</v>
      </c>
      <c r="Z1312" s="5">
        <v>15.55847</v>
      </c>
      <c r="AA1312" s="5">
        <v>108.451409</v>
      </c>
      <c r="AB1312" s="7">
        <f t="shared" si="121"/>
        <v>2.5800000000000003E-3</v>
      </c>
      <c r="AC1312" s="7">
        <f t="shared" si="122"/>
        <v>1.4401649999999999</v>
      </c>
      <c r="AD1312" s="6" t="str">
        <f t="shared" si="123"/>
        <v>PC11</v>
      </c>
      <c r="AE1312" s="6" t="str">
        <f t="shared" si="124"/>
        <v>TT2 Tam Kỳ</v>
      </c>
      <c r="AG1312">
        <f t="shared" si="125"/>
        <v>1.72E-3</v>
      </c>
      <c r="AH1312">
        <f t="shared" si="126"/>
        <v>0.96011000000000002</v>
      </c>
    </row>
    <row r="1313" spans="1:34" x14ac:dyDescent="0.25">
      <c r="A1313" t="s">
        <v>12727</v>
      </c>
      <c r="B1313" t="s">
        <v>5244</v>
      </c>
      <c r="C1313" t="s">
        <v>5245</v>
      </c>
      <c r="D1313" t="s">
        <v>12728</v>
      </c>
      <c r="E1313" t="s">
        <v>12729</v>
      </c>
      <c r="F1313" t="s">
        <v>12730</v>
      </c>
      <c r="G1313" t="s">
        <v>15827</v>
      </c>
      <c r="H1313" t="s">
        <v>16230</v>
      </c>
      <c r="I1313" t="s">
        <v>17109</v>
      </c>
      <c r="J1313" t="s">
        <v>23</v>
      </c>
      <c r="L1313" t="s">
        <v>12697</v>
      </c>
      <c r="M1313" t="s">
        <v>12731</v>
      </c>
      <c r="N1313" t="s">
        <v>12699</v>
      </c>
      <c r="O1313" t="s">
        <v>12700</v>
      </c>
      <c r="P1313" t="s">
        <v>12701</v>
      </c>
      <c r="Q1313" t="s">
        <v>12732</v>
      </c>
      <c r="R1313" t="s">
        <v>12733</v>
      </c>
      <c r="S1313" t="s">
        <v>12734</v>
      </c>
      <c r="T1313" t="s">
        <v>12705</v>
      </c>
      <c r="U1313" s="5">
        <v>1462.28</v>
      </c>
      <c r="V1313" s="5">
        <v>362.26</v>
      </c>
      <c r="W1313" s="5">
        <v>15.560487</v>
      </c>
      <c r="X1313" s="5">
        <v>108.44725800000001</v>
      </c>
      <c r="Y1313" s="5">
        <v>1100.02</v>
      </c>
      <c r="Z1313" s="5">
        <v>15.553032999999999</v>
      </c>
      <c r="AA1313" s="5">
        <v>108.418121</v>
      </c>
      <c r="AB1313" s="7">
        <f t="shared" si="121"/>
        <v>0.54339000000000004</v>
      </c>
      <c r="AC1313" s="7">
        <f t="shared" si="122"/>
        <v>1.6500299999999999</v>
      </c>
      <c r="AD1313" s="6" t="str">
        <f t="shared" si="123"/>
        <v>Phú Ninh</v>
      </c>
      <c r="AE1313" s="6" t="str">
        <f t="shared" si="124"/>
        <v>TT2 Tam Kỳ</v>
      </c>
      <c r="AG1313">
        <f t="shared" si="125"/>
        <v>0.36225999999999997</v>
      </c>
      <c r="AH1313">
        <f t="shared" si="126"/>
        <v>1.10002</v>
      </c>
    </row>
    <row r="1314" spans="1:34" x14ac:dyDescent="0.25">
      <c r="A1314" t="s">
        <v>12735</v>
      </c>
      <c r="B1314" t="s">
        <v>5244</v>
      </c>
      <c r="C1314" t="s">
        <v>5245</v>
      </c>
      <c r="D1314" t="s">
        <v>11645</v>
      </c>
      <c r="E1314" t="s">
        <v>11646</v>
      </c>
      <c r="F1314" t="s">
        <v>12736</v>
      </c>
      <c r="G1314" t="s">
        <v>15827</v>
      </c>
      <c r="H1314" t="s">
        <v>16230</v>
      </c>
      <c r="I1314" t="s">
        <v>17110</v>
      </c>
      <c r="J1314" t="s">
        <v>23</v>
      </c>
      <c r="L1314" t="s">
        <v>12697</v>
      </c>
      <c r="M1314" t="s">
        <v>12737</v>
      </c>
      <c r="N1314" t="s">
        <v>12738</v>
      </c>
      <c r="O1314" t="s">
        <v>12739</v>
      </c>
      <c r="P1314" t="s">
        <v>12740</v>
      </c>
      <c r="Q1314" t="s">
        <v>12741</v>
      </c>
      <c r="R1314" t="s">
        <v>12742</v>
      </c>
      <c r="S1314" t="s">
        <v>12743</v>
      </c>
      <c r="T1314" t="s">
        <v>12744</v>
      </c>
      <c r="U1314" s="5">
        <v>2023.35</v>
      </c>
      <c r="V1314" s="5">
        <v>1440.83</v>
      </c>
      <c r="W1314" s="5">
        <v>15.565669</v>
      </c>
      <c r="X1314" s="5">
        <v>108.46126</v>
      </c>
      <c r="Y1314" s="5">
        <v>582.51</v>
      </c>
      <c r="Z1314" s="5">
        <v>15.574358999999999</v>
      </c>
      <c r="AA1314" s="5">
        <v>108.475303</v>
      </c>
      <c r="AB1314" s="7">
        <f t="shared" si="121"/>
        <v>2.1612450000000001</v>
      </c>
      <c r="AC1314" s="7">
        <f t="shared" si="122"/>
        <v>0.87376500000000001</v>
      </c>
      <c r="AD1314" s="6" t="str">
        <f t="shared" si="123"/>
        <v>Phú Ninh</v>
      </c>
      <c r="AE1314" s="6" t="str">
        <f t="shared" si="124"/>
        <v>TT2 Tam Kỳ</v>
      </c>
      <c r="AG1314">
        <f t="shared" si="125"/>
        <v>1.4408299999999998</v>
      </c>
      <c r="AH1314">
        <f t="shared" si="126"/>
        <v>0.58250999999999997</v>
      </c>
    </row>
    <row r="1315" spans="1:34" x14ac:dyDescent="0.25">
      <c r="A1315" t="s">
        <v>12745</v>
      </c>
      <c r="B1315" t="s">
        <v>12746</v>
      </c>
      <c r="C1315" t="s">
        <v>12747</v>
      </c>
      <c r="D1315" t="s">
        <v>12748</v>
      </c>
      <c r="E1315" t="s">
        <v>12749</v>
      </c>
      <c r="F1315" t="s">
        <v>12750</v>
      </c>
      <c r="G1315" t="s">
        <v>15827</v>
      </c>
      <c r="H1315" t="s">
        <v>16230</v>
      </c>
      <c r="I1315" t="s">
        <v>17111</v>
      </c>
      <c r="J1315" t="s">
        <v>23</v>
      </c>
      <c r="L1315" t="s">
        <v>11555</v>
      </c>
      <c r="M1315" t="s">
        <v>12751</v>
      </c>
      <c r="N1315" t="s">
        <v>12752</v>
      </c>
      <c r="O1315" t="s">
        <v>12753</v>
      </c>
      <c r="P1315" t="s">
        <v>12754</v>
      </c>
      <c r="Q1315" t="s">
        <v>12755</v>
      </c>
      <c r="R1315" t="s">
        <v>12756</v>
      </c>
      <c r="S1315" t="s">
        <v>12757</v>
      </c>
      <c r="T1315" t="s">
        <v>11563</v>
      </c>
      <c r="U1315" s="5">
        <v>1634.33</v>
      </c>
      <c r="V1315" s="5">
        <v>212.68</v>
      </c>
      <c r="W1315" s="5">
        <v>15.582587999999999</v>
      </c>
      <c r="X1315" s="5">
        <v>108.47035099999999</v>
      </c>
      <c r="Y1315" s="5">
        <v>1421.65</v>
      </c>
      <c r="Z1315" s="5">
        <v>15.594262000000001</v>
      </c>
      <c r="AA1315" s="5">
        <v>108.45896399999999</v>
      </c>
      <c r="AB1315" s="7">
        <f t="shared" si="121"/>
        <v>0.31901999999999997</v>
      </c>
      <c r="AC1315" s="7">
        <f t="shared" si="122"/>
        <v>2.1324750000000003</v>
      </c>
      <c r="AD1315" s="6" t="str">
        <f t="shared" si="123"/>
        <v>TT2 Tam Kỳ</v>
      </c>
      <c r="AE1315" s="6" t="str">
        <f t="shared" si="124"/>
        <v>Thăng Bình</v>
      </c>
      <c r="AG1315">
        <f t="shared" si="125"/>
        <v>0.21268000000000001</v>
      </c>
      <c r="AH1315">
        <f t="shared" si="126"/>
        <v>1.4216500000000001</v>
      </c>
    </row>
    <row r="1316" spans="1:34" x14ac:dyDescent="0.25">
      <c r="A1316" t="s">
        <v>12758</v>
      </c>
      <c r="B1316" t="s">
        <v>12746</v>
      </c>
      <c r="C1316" t="s">
        <v>12747</v>
      </c>
      <c r="D1316" t="s">
        <v>11645</v>
      </c>
      <c r="E1316" t="s">
        <v>11646</v>
      </c>
      <c r="F1316" t="s">
        <v>12759</v>
      </c>
      <c r="G1316" t="s">
        <v>15827</v>
      </c>
      <c r="H1316" t="s">
        <v>16230</v>
      </c>
      <c r="I1316" t="s">
        <v>17112</v>
      </c>
      <c r="J1316" t="s">
        <v>23</v>
      </c>
      <c r="L1316" t="s">
        <v>11555</v>
      </c>
      <c r="M1316" t="s">
        <v>12760</v>
      </c>
      <c r="N1316" t="s">
        <v>12752</v>
      </c>
      <c r="O1316" t="s">
        <v>12753</v>
      </c>
      <c r="P1316" t="s">
        <v>12754</v>
      </c>
      <c r="Q1316" t="s">
        <v>11649</v>
      </c>
      <c r="R1316" t="s">
        <v>11650</v>
      </c>
      <c r="S1316" t="s">
        <v>11651</v>
      </c>
      <c r="T1316" t="s">
        <v>11563</v>
      </c>
      <c r="U1316" s="5">
        <v>247.84</v>
      </c>
      <c r="V1316" s="5">
        <v>212.68</v>
      </c>
      <c r="W1316" s="5">
        <v>15.582587999999999</v>
      </c>
      <c r="X1316" s="5">
        <v>108.47035099999999</v>
      </c>
      <c r="Y1316" s="5">
        <v>35.17</v>
      </c>
      <c r="Z1316" s="5">
        <v>15.579651999999999</v>
      </c>
      <c r="AA1316" s="5">
        <v>108.473956</v>
      </c>
      <c r="AB1316" s="7">
        <f t="shared" si="121"/>
        <v>0.31901999999999997</v>
      </c>
      <c r="AC1316" s="7">
        <f t="shared" si="122"/>
        <v>5.2755000000000003E-2</v>
      </c>
      <c r="AD1316" s="6" t="str">
        <f t="shared" si="123"/>
        <v>TT2 Tam Kỳ</v>
      </c>
      <c r="AE1316" s="6" t="str">
        <f t="shared" si="124"/>
        <v>Thăng Bình</v>
      </c>
      <c r="AG1316">
        <f t="shared" si="125"/>
        <v>0.21268000000000001</v>
      </c>
      <c r="AH1316">
        <f t="shared" si="126"/>
        <v>3.517E-2</v>
      </c>
    </row>
    <row r="1317" spans="1:34" x14ac:dyDescent="0.25">
      <c r="A1317" t="s">
        <v>12761</v>
      </c>
      <c r="B1317" t="s">
        <v>12762</v>
      </c>
      <c r="C1317" t="s">
        <v>12763</v>
      </c>
      <c r="D1317" t="s">
        <v>11645</v>
      </c>
      <c r="E1317" t="s">
        <v>11646</v>
      </c>
      <c r="F1317" t="s">
        <v>12764</v>
      </c>
      <c r="G1317" t="s">
        <v>15827</v>
      </c>
      <c r="H1317" t="s">
        <v>16230</v>
      </c>
      <c r="I1317" t="s">
        <v>17113</v>
      </c>
      <c r="J1317" t="s">
        <v>23</v>
      </c>
      <c r="L1317" t="s">
        <v>12671</v>
      </c>
      <c r="M1317" t="s">
        <v>12765</v>
      </c>
      <c r="N1317" t="s">
        <v>12766</v>
      </c>
      <c r="O1317" t="s">
        <v>12767</v>
      </c>
      <c r="P1317" t="s">
        <v>12768</v>
      </c>
      <c r="Q1317" t="s">
        <v>12676</v>
      </c>
      <c r="R1317" t="s">
        <v>12677</v>
      </c>
      <c r="S1317" t="s">
        <v>12678</v>
      </c>
      <c r="T1317" t="s">
        <v>12679</v>
      </c>
      <c r="U1317" s="5">
        <v>72.52</v>
      </c>
      <c r="V1317" s="5">
        <v>35.18</v>
      </c>
      <c r="W1317" s="5">
        <v>15.575923</v>
      </c>
      <c r="X1317" s="5">
        <v>108.476812</v>
      </c>
      <c r="Y1317" s="5">
        <v>37.33</v>
      </c>
      <c r="Z1317" s="5">
        <v>15.579679</v>
      </c>
      <c r="AA1317" s="5">
        <v>108.47395</v>
      </c>
      <c r="AB1317" s="7">
        <f t="shared" si="121"/>
        <v>5.2769999999999997E-2</v>
      </c>
      <c r="AC1317" s="7">
        <f t="shared" si="122"/>
        <v>5.5994999999999996E-2</v>
      </c>
      <c r="AD1317" s="6" t="str">
        <f t="shared" si="123"/>
        <v>TT2 Tam Kỳ</v>
      </c>
      <c r="AE1317" s="6" t="str">
        <f t="shared" si="124"/>
        <v>PC08</v>
      </c>
      <c r="AG1317">
        <f t="shared" si="125"/>
        <v>3.5180000000000003E-2</v>
      </c>
      <c r="AH1317">
        <f t="shared" si="126"/>
        <v>3.7329999999999995E-2</v>
      </c>
    </row>
    <row r="1318" spans="1:34" x14ac:dyDescent="0.25">
      <c r="A1318" t="s">
        <v>12769</v>
      </c>
      <c r="B1318" t="s">
        <v>11075</v>
      </c>
      <c r="C1318" t="s">
        <v>11076</v>
      </c>
      <c r="D1318" t="s">
        <v>12770</v>
      </c>
      <c r="E1318" t="s">
        <v>12771</v>
      </c>
      <c r="F1318" t="s">
        <v>12772</v>
      </c>
      <c r="G1318" t="s">
        <v>15979</v>
      </c>
      <c r="H1318" t="s">
        <v>15980</v>
      </c>
      <c r="I1318" t="s">
        <v>17114</v>
      </c>
      <c r="J1318" t="s">
        <v>23</v>
      </c>
      <c r="L1318" t="s">
        <v>11882</v>
      </c>
      <c r="M1318" t="s">
        <v>12773</v>
      </c>
      <c r="N1318" t="s">
        <v>12774</v>
      </c>
      <c r="O1318" t="s">
        <v>12775</v>
      </c>
      <c r="P1318" t="s">
        <v>12776</v>
      </c>
      <c r="Q1318" t="s">
        <v>12777</v>
      </c>
      <c r="R1318" t="s">
        <v>12778</v>
      </c>
      <c r="S1318" t="s">
        <v>12779</v>
      </c>
      <c r="T1318" t="s">
        <v>12780</v>
      </c>
      <c r="U1318" s="5">
        <v>972.01</v>
      </c>
      <c r="V1318" s="5">
        <v>958.72</v>
      </c>
      <c r="W1318" s="5">
        <v>16.020700000000001</v>
      </c>
      <c r="X1318" s="5">
        <v>108.211562</v>
      </c>
      <c r="Y1318" s="5">
        <v>13.29</v>
      </c>
      <c r="Z1318" s="5">
        <v>16.037234000000002</v>
      </c>
      <c r="AA1318" s="5">
        <v>108.221028</v>
      </c>
      <c r="AB1318" s="7">
        <f t="shared" si="121"/>
        <v>1.43808</v>
      </c>
      <c r="AC1318" s="7">
        <f t="shared" si="122"/>
        <v>1.9934999999999998E-2</v>
      </c>
      <c r="AD1318" s="6" t="str">
        <f t="shared" si="123"/>
        <v>Hòa CƯờng</v>
      </c>
      <c r="AE1318" s="6" t="str">
        <f t="shared" si="124"/>
        <v>TTKV Cẩm Lệ</v>
      </c>
      <c r="AG1318">
        <f t="shared" si="125"/>
        <v>0.95872000000000002</v>
      </c>
      <c r="AH1318">
        <f t="shared" si="126"/>
        <v>1.329E-2</v>
      </c>
    </row>
    <row r="1319" spans="1:34" x14ac:dyDescent="0.25">
      <c r="A1319" t="s">
        <v>12781</v>
      </c>
      <c r="B1319" t="s">
        <v>11075</v>
      </c>
      <c r="C1319" t="s">
        <v>11076</v>
      </c>
      <c r="D1319" t="s">
        <v>12782</v>
      </c>
      <c r="E1319" t="s">
        <v>12783</v>
      </c>
      <c r="F1319" t="s">
        <v>12784</v>
      </c>
      <c r="G1319" t="s">
        <v>15979</v>
      </c>
      <c r="H1319" t="s">
        <v>15980</v>
      </c>
      <c r="I1319" t="s">
        <v>17115</v>
      </c>
      <c r="J1319" t="s">
        <v>23</v>
      </c>
      <c r="L1319" t="s">
        <v>12785</v>
      </c>
      <c r="M1319" t="s">
        <v>12786</v>
      </c>
      <c r="N1319" t="s">
        <v>12787</v>
      </c>
      <c r="O1319" t="s">
        <v>12788</v>
      </c>
      <c r="P1319" t="s">
        <v>12789</v>
      </c>
      <c r="Q1319" t="s">
        <v>12790</v>
      </c>
      <c r="R1319" t="s">
        <v>12791</v>
      </c>
      <c r="S1319" t="s">
        <v>12792</v>
      </c>
      <c r="T1319" t="s">
        <v>12793</v>
      </c>
      <c r="U1319" s="5">
        <v>717.46</v>
      </c>
      <c r="V1319" s="5">
        <v>428.05</v>
      </c>
      <c r="W1319" s="5">
        <v>16.014690000000002</v>
      </c>
      <c r="X1319" s="5">
        <v>108.20023500000001</v>
      </c>
      <c r="Y1319" s="5">
        <v>289.41000000000003</v>
      </c>
      <c r="Z1319" s="5">
        <v>16.046088000000001</v>
      </c>
      <c r="AA1319" s="5">
        <v>108.18213</v>
      </c>
      <c r="AB1319" s="7">
        <f t="shared" si="121"/>
        <v>0.64207500000000006</v>
      </c>
      <c r="AC1319" s="7">
        <f t="shared" si="122"/>
        <v>0.43411500000000003</v>
      </c>
      <c r="AD1319" s="6" t="str">
        <f t="shared" si="123"/>
        <v>H03</v>
      </c>
      <c r="AE1319" s="6" t="str">
        <f t="shared" si="124"/>
        <v>Đ1 E28</v>
      </c>
      <c r="AG1319">
        <f t="shared" si="125"/>
        <v>0.42804999999999999</v>
      </c>
      <c r="AH1319">
        <f t="shared" si="126"/>
        <v>0.28941</v>
      </c>
    </row>
    <row r="1320" spans="1:34" x14ac:dyDescent="0.25">
      <c r="A1320" t="s">
        <v>12794</v>
      </c>
      <c r="B1320" t="s">
        <v>11075</v>
      </c>
      <c r="C1320" t="s">
        <v>11076</v>
      </c>
      <c r="D1320" t="s">
        <v>12795</v>
      </c>
      <c r="E1320" t="s">
        <v>12796</v>
      </c>
      <c r="F1320" t="s">
        <v>12797</v>
      </c>
      <c r="G1320" t="s">
        <v>15979</v>
      </c>
      <c r="H1320" t="s">
        <v>15980</v>
      </c>
      <c r="I1320" t="s">
        <v>17116</v>
      </c>
      <c r="J1320" t="s">
        <v>23</v>
      </c>
      <c r="L1320" t="s">
        <v>11093</v>
      </c>
      <c r="M1320" t="s">
        <v>12798</v>
      </c>
      <c r="N1320" t="s">
        <v>12799</v>
      </c>
      <c r="O1320" t="s">
        <v>12800</v>
      </c>
      <c r="P1320" t="s">
        <v>12801</v>
      </c>
      <c r="Q1320" t="s">
        <v>12802</v>
      </c>
      <c r="R1320" t="s">
        <v>12803</v>
      </c>
      <c r="S1320" t="s">
        <v>12804</v>
      </c>
      <c r="T1320" t="s">
        <v>11101</v>
      </c>
      <c r="U1320" s="5">
        <v>207.17</v>
      </c>
      <c r="V1320" s="5">
        <v>9.0500000000000007</v>
      </c>
      <c r="W1320" s="5">
        <v>16.016857999999999</v>
      </c>
      <c r="X1320" s="5">
        <v>108.203554</v>
      </c>
      <c r="Y1320" s="5">
        <v>198.12</v>
      </c>
      <c r="Z1320" s="5">
        <v>16.017104</v>
      </c>
      <c r="AA1320" s="5">
        <v>108.204489</v>
      </c>
      <c r="AB1320" s="7">
        <f t="shared" si="121"/>
        <v>1.3575E-2</v>
      </c>
      <c r="AC1320" s="7">
        <f t="shared" si="122"/>
        <v>0.29718</v>
      </c>
      <c r="AD1320" s="6" t="str">
        <f t="shared" si="123"/>
        <v>TT1 Đà Nẵng</v>
      </c>
      <c r="AE1320" s="6" t="str">
        <f t="shared" si="124"/>
        <v>Cẩm Lệ</v>
      </c>
      <c r="AG1320">
        <f t="shared" si="125"/>
        <v>9.0500000000000008E-3</v>
      </c>
      <c r="AH1320">
        <f t="shared" si="126"/>
        <v>0.19812000000000002</v>
      </c>
    </row>
    <row r="1321" spans="1:34" x14ac:dyDescent="0.25">
      <c r="A1321" t="s">
        <v>12805</v>
      </c>
      <c r="B1321" t="s">
        <v>11075</v>
      </c>
      <c r="C1321" t="s">
        <v>11076</v>
      </c>
      <c r="D1321" t="s">
        <v>12806</v>
      </c>
      <c r="E1321" t="s">
        <v>12807</v>
      </c>
      <c r="F1321" t="s">
        <v>12808</v>
      </c>
      <c r="G1321" t="s">
        <v>15979</v>
      </c>
      <c r="H1321" t="s">
        <v>15980</v>
      </c>
      <c r="I1321" t="s">
        <v>17117</v>
      </c>
      <c r="J1321" t="s">
        <v>23</v>
      </c>
      <c r="L1321" t="s">
        <v>11093</v>
      </c>
      <c r="M1321" t="s">
        <v>12809</v>
      </c>
      <c r="N1321" t="s">
        <v>12799</v>
      </c>
      <c r="O1321" t="s">
        <v>12800</v>
      </c>
      <c r="P1321" t="s">
        <v>12801</v>
      </c>
      <c r="Q1321" t="s">
        <v>12810</v>
      </c>
      <c r="R1321" t="s">
        <v>12811</v>
      </c>
      <c r="S1321" t="s">
        <v>12812</v>
      </c>
      <c r="T1321" t="s">
        <v>11101</v>
      </c>
      <c r="U1321" s="5">
        <v>238.81</v>
      </c>
      <c r="V1321" s="5">
        <v>9.0500000000000007</v>
      </c>
      <c r="W1321" s="5">
        <v>16.016857999999999</v>
      </c>
      <c r="X1321" s="5">
        <v>108.203554</v>
      </c>
      <c r="Y1321" s="5">
        <v>229.77</v>
      </c>
      <c r="Z1321" s="5">
        <v>16.018495999999999</v>
      </c>
      <c r="AA1321" s="5">
        <v>108.20739399999999</v>
      </c>
      <c r="AB1321" s="7">
        <f t="shared" si="121"/>
        <v>1.3575E-2</v>
      </c>
      <c r="AC1321" s="7">
        <f t="shared" si="122"/>
        <v>0.34465500000000004</v>
      </c>
      <c r="AD1321" s="6" t="str">
        <f t="shared" si="123"/>
        <v>TT1 Đà Nẵng</v>
      </c>
      <c r="AE1321" s="6" t="str">
        <f t="shared" si="124"/>
        <v>Cẩm Lệ</v>
      </c>
      <c r="AG1321">
        <f t="shared" si="125"/>
        <v>9.0500000000000008E-3</v>
      </c>
      <c r="AH1321">
        <f t="shared" si="126"/>
        <v>0.22977</v>
      </c>
    </row>
    <row r="1322" spans="1:34" x14ac:dyDescent="0.25">
      <c r="A1322" t="s">
        <v>12813</v>
      </c>
      <c r="B1322" t="s">
        <v>11075</v>
      </c>
      <c r="C1322" t="s">
        <v>11076</v>
      </c>
      <c r="D1322" t="s">
        <v>12814</v>
      </c>
      <c r="E1322" t="s">
        <v>12815</v>
      </c>
      <c r="F1322" t="s">
        <v>12816</v>
      </c>
      <c r="G1322" t="s">
        <v>15979</v>
      </c>
      <c r="H1322" t="s">
        <v>15980</v>
      </c>
      <c r="I1322" t="s">
        <v>17118</v>
      </c>
      <c r="J1322" t="s">
        <v>23</v>
      </c>
      <c r="L1322" t="s">
        <v>11106</v>
      </c>
      <c r="M1322" t="s">
        <v>12817</v>
      </c>
      <c r="N1322" t="s">
        <v>11108</v>
      </c>
      <c r="O1322" t="s">
        <v>11109</v>
      </c>
      <c r="P1322" t="s">
        <v>11110</v>
      </c>
      <c r="Q1322" t="s">
        <v>12818</v>
      </c>
      <c r="R1322" t="s">
        <v>12819</v>
      </c>
      <c r="S1322" t="s">
        <v>12820</v>
      </c>
      <c r="T1322" t="s">
        <v>11114</v>
      </c>
      <c r="U1322" s="5">
        <v>167.87</v>
      </c>
      <c r="V1322" s="5">
        <v>2.15</v>
      </c>
      <c r="W1322" s="5">
        <v>16.016921</v>
      </c>
      <c r="X1322" s="5">
        <v>108.20348</v>
      </c>
      <c r="Y1322" s="5">
        <v>165.72</v>
      </c>
      <c r="Z1322" s="5">
        <v>16.004992999999999</v>
      </c>
      <c r="AA1322" s="5">
        <v>108.191183</v>
      </c>
      <c r="AB1322" s="7">
        <f t="shared" si="121"/>
        <v>3.2249999999999996E-3</v>
      </c>
      <c r="AC1322" s="7">
        <f t="shared" si="122"/>
        <v>0.24858</v>
      </c>
      <c r="AD1322" s="6" t="str">
        <f t="shared" si="123"/>
        <v>Hòa Xuân</v>
      </c>
      <c r="AE1322" s="6" t="str">
        <f t="shared" si="124"/>
        <v>TTKV Cẩm Lệ</v>
      </c>
      <c r="AG1322">
        <f t="shared" si="125"/>
        <v>2.15E-3</v>
      </c>
      <c r="AH1322">
        <f t="shared" si="126"/>
        <v>0.16572000000000001</v>
      </c>
    </row>
    <row r="1323" spans="1:34" x14ac:dyDescent="0.25">
      <c r="A1323" t="s">
        <v>12821</v>
      </c>
      <c r="B1323" t="s">
        <v>11075</v>
      </c>
      <c r="C1323" t="s">
        <v>11076</v>
      </c>
      <c r="D1323" t="s">
        <v>11749</v>
      </c>
      <c r="E1323" t="s">
        <v>11750</v>
      </c>
      <c r="F1323" t="s">
        <v>12822</v>
      </c>
      <c r="H1323" t="s">
        <v>15980</v>
      </c>
      <c r="I1323" t="s">
        <v>17119</v>
      </c>
      <c r="J1323" t="s">
        <v>23</v>
      </c>
      <c r="L1323" t="s">
        <v>11106</v>
      </c>
      <c r="M1323" t="s">
        <v>12823</v>
      </c>
      <c r="N1323" t="s">
        <v>11108</v>
      </c>
      <c r="O1323" t="s">
        <v>11109</v>
      </c>
      <c r="P1323" t="s">
        <v>11110</v>
      </c>
      <c r="Q1323" t="s">
        <v>11768</v>
      </c>
      <c r="R1323" t="s">
        <v>11769</v>
      </c>
      <c r="S1323" t="s">
        <v>11770</v>
      </c>
      <c r="T1323" t="s">
        <v>11114</v>
      </c>
      <c r="U1323" s="5">
        <v>36.11</v>
      </c>
      <c r="V1323" s="5">
        <v>2.15</v>
      </c>
      <c r="W1323" s="5">
        <v>16.016921</v>
      </c>
      <c r="X1323" s="5">
        <v>108.20348</v>
      </c>
      <c r="Y1323" s="5">
        <v>33.950000000000003</v>
      </c>
      <c r="Z1323" s="5">
        <v>16.011571</v>
      </c>
      <c r="AA1323" s="5">
        <v>108.197464</v>
      </c>
      <c r="AB1323" s="7">
        <f t="shared" si="121"/>
        <v>3.2249999999999996E-3</v>
      </c>
      <c r="AC1323" s="7">
        <f t="shared" si="122"/>
        <v>5.0925000000000005E-2</v>
      </c>
      <c r="AD1323" s="6" t="str">
        <f t="shared" si="123"/>
        <v>Hòa Xuân</v>
      </c>
      <c r="AE1323" s="6" t="str">
        <f t="shared" si="124"/>
        <v>TTKV Cẩm Lệ</v>
      </c>
      <c r="AG1323">
        <f t="shared" si="125"/>
        <v>2.15E-3</v>
      </c>
      <c r="AH1323">
        <f t="shared" si="126"/>
        <v>3.3950000000000001E-2</v>
      </c>
    </row>
    <row r="1324" spans="1:34" x14ac:dyDescent="0.25">
      <c r="A1324" t="s">
        <v>12824</v>
      </c>
      <c r="B1324" t="s">
        <v>11124</v>
      </c>
      <c r="C1324" t="s">
        <v>11125</v>
      </c>
      <c r="D1324" t="s">
        <v>12825</v>
      </c>
      <c r="E1324" t="s">
        <v>12826</v>
      </c>
      <c r="F1324" t="s">
        <v>12827</v>
      </c>
      <c r="G1324" t="s">
        <v>15979</v>
      </c>
      <c r="H1324" t="s">
        <v>15980</v>
      </c>
      <c r="I1324" t="s">
        <v>17120</v>
      </c>
      <c r="J1324" t="s">
        <v>23</v>
      </c>
      <c r="L1324" t="s">
        <v>11129</v>
      </c>
      <c r="M1324" t="s">
        <v>12828</v>
      </c>
      <c r="N1324" t="s">
        <v>11131</v>
      </c>
      <c r="O1324" t="s">
        <v>11132</v>
      </c>
      <c r="P1324" t="s">
        <v>11133</v>
      </c>
      <c r="Q1324" t="s">
        <v>12829</v>
      </c>
      <c r="R1324" t="s">
        <v>12830</v>
      </c>
      <c r="S1324" t="s">
        <v>12831</v>
      </c>
      <c r="T1324" t="s">
        <v>11137</v>
      </c>
      <c r="U1324" s="5">
        <v>490.06</v>
      </c>
      <c r="V1324" s="5">
        <v>27.45</v>
      </c>
      <c r="W1324" s="5">
        <v>16.077317000000001</v>
      </c>
      <c r="X1324" s="5">
        <v>108.21924799999999</v>
      </c>
      <c r="Y1324" s="5">
        <v>462.61</v>
      </c>
      <c r="Z1324" s="5">
        <v>16.059671999999999</v>
      </c>
      <c r="AA1324" s="5">
        <v>108.21110400000001</v>
      </c>
      <c r="AB1324" s="7">
        <f t="shared" si="121"/>
        <v>4.1174999999999996E-2</v>
      </c>
      <c r="AC1324" s="7">
        <f t="shared" si="122"/>
        <v>0.69391499999999995</v>
      </c>
      <c r="AD1324" s="6" t="e">
        <f t="shared" si="123"/>
        <v>#VALUE!</v>
      </c>
      <c r="AE1324" s="6" t="e">
        <f t="shared" si="124"/>
        <v>#VALUE!</v>
      </c>
      <c r="AG1324">
        <f t="shared" si="125"/>
        <v>2.7449999999999999E-2</v>
      </c>
      <c r="AH1324">
        <f t="shared" si="126"/>
        <v>0.46261000000000002</v>
      </c>
    </row>
    <row r="1325" spans="1:34" x14ac:dyDescent="0.25">
      <c r="A1325" t="s">
        <v>12832</v>
      </c>
      <c r="B1325" t="s">
        <v>11124</v>
      </c>
      <c r="C1325" t="s">
        <v>11125</v>
      </c>
      <c r="D1325" t="s">
        <v>12833</v>
      </c>
      <c r="E1325" t="s">
        <v>12834</v>
      </c>
      <c r="F1325" t="s">
        <v>12835</v>
      </c>
      <c r="G1325" t="s">
        <v>15979</v>
      </c>
      <c r="H1325" t="s">
        <v>15980</v>
      </c>
      <c r="I1325" t="s">
        <v>17121</v>
      </c>
      <c r="J1325" t="s">
        <v>23</v>
      </c>
      <c r="L1325" t="s">
        <v>11183</v>
      </c>
      <c r="M1325" t="s">
        <v>12836</v>
      </c>
      <c r="N1325" t="s">
        <v>12837</v>
      </c>
      <c r="O1325" t="s">
        <v>12838</v>
      </c>
      <c r="P1325" t="s">
        <v>12839</v>
      </c>
      <c r="Q1325" t="s">
        <v>12840</v>
      </c>
      <c r="R1325" t="s">
        <v>12841</v>
      </c>
      <c r="S1325" t="s">
        <v>12842</v>
      </c>
      <c r="T1325" t="s">
        <v>12843</v>
      </c>
      <c r="U1325" s="5">
        <v>420.32</v>
      </c>
      <c r="V1325" s="5">
        <v>3.82</v>
      </c>
      <c r="W1325" s="5">
        <v>16.077577999999999</v>
      </c>
      <c r="X1325" s="5">
        <v>108.21923099999999</v>
      </c>
      <c r="Y1325" s="5">
        <v>416.5</v>
      </c>
      <c r="Z1325" s="5">
        <v>16.061254000000002</v>
      </c>
      <c r="AA1325" s="5">
        <v>108.21955699999999</v>
      </c>
      <c r="AB1325" s="7">
        <f t="shared" si="121"/>
        <v>5.7299999999999999E-3</v>
      </c>
      <c r="AC1325" s="7">
        <f t="shared" si="122"/>
        <v>0.62475000000000003</v>
      </c>
      <c r="AD1325" s="6" t="str">
        <f t="shared" si="123"/>
        <v>Hòa Vang</v>
      </c>
      <c r="AE1325" s="6" t="str">
        <f t="shared" si="124"/>
        <v>TT1 Đà Nẵng</v>
      </c>
      <c r="AG1325">
        <f t="shared" si="125"/>
        <v>3.82E-3</v>
      </c>
      <c r="AH1325">
        <f t="shared" si="126"/>
        <v>0.41649999999999998</v>
      </c>
    </row>
    <row r="1326" spans="1:34" x14ac:dyDescent="0.25">
      <c r="A1326" t="s">
        <v>12844</v>
      </c>
      <c r="B1326" t="s">
        <v>11124</v>
      </c>
      <c r="C1326" t="s">
        <v>11125</v>
      </c>
      <c r="D1326" t="s">
        <v>12845</v>
      </c>
      <c r="E1326" t="s">
        <v>12846</v>
      </c>
      <c r="F1326" t="s">
        <v>12847</v>
      </c>
      <c r="G1326" t="s">
        <v>15979</v>
      </c>
      <c r="H1326" t="s">
        <v>15980</v>
      </c>
      <c r="I1326" t="s">
        <v>17122</v>
      </c>
      <c r="J1326" t="s">
        <v>23</v>
      </c>
      <c r="L1326" t="s">
        <v>11251</v>
      </c>
      <c r="M1326" t="s">
        <v>12848</v>
      </c>
      <c r="N1326" t="s">
        <v>12849</v>
      </c>
      <c r="O1326" t="s">
        <v>12850</v>
      </c>
      <c r="P1326" t="s">
        <v>12851</v>
      </c>
      <c r="Q1326" t="s">
        <v>12852</v>
      </c>
      <c r="R1326" t="s">
        <v>12853</v>
      </c>
      <c r="S1326" t="s">
        <v>12854</v>
      </c>
      <c r="T1326" t="s">
        <v>11259</v>
      </c>
      <c r="U1326" s="5">
        <v>222.1</v>
      </c>
      <c r="V1326" s="5">
        <v>8.34</v>
      </c>
      <c r="W1326" s="5">
        <v>16.077586</v>
      </c>
      <c r="X1326" s="5">
        <v>108.219273</v>
      </c>
      <c r="Y1326" s="5">
        <v>213.76</v>
      </c>
      <c r="Z1326" s="5">
        <v>16.072686999999998</v>
      </c>
      <c r="AA1326" s="5">
        <v>108.20998400000001</v>
      </c>
      <c r="AB1326" s="7">
        <f t="shared" si="121"/>
        <v>1.251E-2</v>
      </c>
      <c r="AC1326" s="7">
        <f t="shared" si="122"/>
        <v>0.32063999999999998</v>
      </c>
      <c r="AD1326" s="6" t="str">
        <f t="shared" si="123"/>
        <v>TT1 Đà Nẵng</v>
      </c>
      <c r="AE1326" s="6" t="str">
        <f t="shared" si="124"/>
        <v>Hải Vân</v>
      </c>
      <c r="AG1326">
        <f t="shared" si="125"/>
        <v>8.3400000000000002E-3</v>
      </c>
      <c r="AH1326">
        <f t="shared" si="126"/>
        <v>0.21375999999999998</v>
      </c>
    </row>
    <row r="1327" spans="1:34" x14ac:dyDescent="0.25">
      <c r="A1327" t="s">
        <v>12855</v>
      </c>
      <c r="B1327" t="s">
        <v>11124</v>
      </c>
      <c r="C1327" t="s">
        <v>11125</v>
      </c>
      <c r="D1327" t="s">
        <v>12856</v>
      </c>
      <c r="E1327" t="s">
        <v>12857</v>
      </c>
      <c r="F1327" t="s">
        <v>12858</v>
      </c>
      <c r="G1327" t="s">
        <v>15979</v>
      </c>
      <c r="H1327" t="s">
        <v>15980</v>
      </c>
      <c r="I1327" t="s">
        <v>17123</v>
      </c>
      <c r="J1327" t="s">
        <v>23</v>
      </c>
      <c r="L1327" t="s">
        <v>12859</v>
      </c>
      <c r="M1327" t="s">
        <v>12860</v>
      </c>
      <c r="N1327" t="s">
        <v>12861</v>
      </c>
      <c r="O1327" t="s">
        <v>12862</v>
      </c>
      <c r="P1327" t="s">
        <v>12863</v>
      </c>
      <c r="Q1327" t="s">
        <v>12864</v>
      </c>
      <c r="R1327" t="s">
        <v>12865</v>
      </c>
      <c r="S1327" t="s">
        <v>12866</v>
      </c>
      <c r="T1327" t="s">
        <v>12867</v>
      </c>
      <c r="U1327" s="5">
        <v>304.75</v>
      </c>
      <c r="V1327" s="5">
        <v>158.28</v>
      </c>
      <c r="W1327" s="5">
        <v>16.077041000000001</v>
      </c>
      <c r="X1327" s="5">
        <v>108.217821</v>
      </c>
      <c r="Y1327" s="5">
        <v>146.47</v>
      </c>
      <c r="Z1327" s="5">
        <v>16.071300999999998</v>
      </c>
      <c r="AA1327" s="5">
        <v>108.211493</v>
      </c>
      <c r="AB1327" s="7">
        <f t="shared" si="121"/>
        <v>0.23742000000000002</v>
      </c>
      <c r="AC1327" s="7">
        <f t="shared" si="122"/>
        <v>0.21970499999999998</v>
      </c>
      <c r="AD1327" s="6" t="str">
        <f t="shared" si="123"/>
        <v>C08</v>
      </c>
      <c r="AE1327" s="6" t="str">
        <f t="shared" si="124"/>
        <v>TTV2</v>
      </c>
      <c r="AG1327">
        <f t="shared" si="125"/>
        <v>0.15828</v>
      </c>
      <c r="AH1327">
        <f t="shared" si="126"/>
        <v>0.14646999999999999</v>
      </c>
    </row>
    <row r="1328" spans="1:34" x14ac:dyDescent="0.25">
      <c r="A1328" t="s">
        <v>12868</v>
      </c>
      <c r="B1328" t="s">
        <v>11124</v>
      </c>
      <c r="C1328" t="s">
        <v>11125</v>
      </c>
      <c r="D1328" t="s">
        <v>12869</v>
      </c>
      <c r="E1328" t="s">
        <v>12870</v>
      </c>
      <c r="F1328" t="s">
        <v>12871</v>
      </c>
      <c r="G1328" t="s">
        <v>15979</v>
      </c>
      <c r="H1328" t="s">
        <v>15980</v>
      </c>
      <c r="I1328" t="s">
        <v>17124</v>
      </c>
      <c r="J1328" t="s">
        <v>23</v>
      </c>
      <c r="L1328" t="s">
        <v>12259</v>
      </c>
      <c r="M1328" t="s">
        <v>12872</v>
      </c>
      <c r="N1328" t="s">
        <v>12873</v>
      </c>
      <c r="O1328" t="s">
        <v>12874</v>
      </c>
      <c r="P1328" t="s">
        <v>12839</v>
      </c>
      <c r="Q1328" t="s">
        <v>12875</v>
      </c>
      <c r="R1328" t="s">
        <v>12876</v>
      </c>
      <c r="S1328" t="s">
        <v>12877</v>
      </c>
      <c r="T1328" t="s">
        <v>12267</v>
      </c>
      <c r="U1328" s="5">
        <v>136.51</v>
      </c>
      <c r="V1328" s="5">
        <v>6.64</v>
      </c>
      <c r="W1328" s="5">
        <v>16.077611999999998</v>
      </c>
      <c r="X1328" s="5">
        <v>108.21923099999999</v>
      </c>
      <c r="Y1328" s="5">
        <v>129.87</v>
      </c>
      <c r="Z1328" s="5">
        <v>16.071611999999998</v>
      </c>
      <c r="AA1328" s="5">
        <v>108.20477</v>
      </c>
      <c r="AB1328" s="7">
        <f t="shared" si="121"/>
        <v>9.9599999999999984E-3</v>
      </c>
      <c r="AC1328" s="7">
        <f t="shared" si="122"/>
        <v>0.19480500000000001</v>
      </c>
      <c r="AD1328" s="6" t="str">
        <f t="shared" si="123"/>
        <v>Thanh Khê</v>
      </c>
      <c r="AE1328" s="6" t="str">
        <f t="shared" si="124"/>
        <v>TT1 Đà Nẵng</v>
      </c>
      <c r="AG1328">
        <f t="shared" si="125"/>
        <v>6.6400000000000001E-3</v>
      </c>
      <c r="AH1328">
        <f t="shared" si="126"/>
        <v>0.12987000000000001</v>
      </c>
    </row>
    <row r="1329" spans="1:34" x14ac:dyDescent="0.25">
      <c r="A1329" t="s">
        <v>12878</v>
      </c>
      <c r="B1329" t="s">
        <v>11124</v>
      </c>
      <c r="C1329" t="s">
        <v>11125</v>
      </c>
      <c r="D1329" t="s">
        <v>12879</v>
      </c>
      <c r="E1329" t="s">
        <v>12880</v>
      </c>
      <c r="F1329" t="s">
        <v>12881</v>
      </c>
      <c r="G1329" t="s">
        <v>15979</v>
      </c>
      <c r="H1329" t="s">
        <v>15980</v>
      </c>
      <c r="I1329" t="s">
        <v>17125</v>
      </c>
      <c r="J1329" t="s">
        <v>23</v>
      </c>
      <c r="L1329" t="s">
        <v>12259</v>
      </c>
      <c r="M1329" t="s">
        <v>12882</v>
      </c>
      <c r="N1329" t="s">
        <v>12873</v>
      </c>
      <c r="O1329" t="s">
        <v>12874</v>
      </c>
      <c r="P1329" t="s">
        <v>12839</v>
      </c>
      <c r="Q1329" t="s">
        <v>12883</v>
      </c>
      <c r="R1329" t="s">
        <v>12884</v>
      </c>
      <c r="S1329" t="s">
        <v>12885</v>
      </c>
      <c r="T1329" t="s">
        <v>12267</v>
      </c>
      <c r="U1329" s="5">
        <v>37.57</v>
      </c>
      <c r="V1329" s="5">
        <v>6.64</v>
      </c>
      <c r="W1329" s="5">
        <v>16.077611999999998</v>
      </c>
      <c r="X1329" s="5">
        <v>108.21923099999999</v>
      </c>
      <c r="Y1329" s="5">
        <v>30.94</v>
      </c>
      <c r="Z1329" s="5">
        <v>16.076633999999999</v>
      </c>
      <c r="AA1329" s="5">
        <v>108.21962499999999</v>
      </c>
      <c r="AB1329" s="7">
        <f t="shared" si="121"/>
        <v>9.9599999999999984E-3</v>
      </c>
      <c r="AC1329" s="7">
        <f t="shared" si="122"/>
        <v>4.6410000000000007E-2</v>
      </c>
      <c r="AD1329" s="6" t="str">
        <f t="shared" si="123"/>
        <v>Thanh Khê</v>
      </c>
      <c r="AE1329" s="6" t="str">
        <f t="shared" si="124"/>
        <v>TT1 Đà Nẵng</v>
      </c>
      <c r="AG1329">
        <f t="shared" si="125"/>
        <v>6.6400000000000001E-3</v>
      </c>
      <c r="AH1329">
        <f t="shared" si="126"/>
        <v>3.0940000000000002E-2</v>
      </c>
    </row>
    <row r="1330" spans="1:34" x14ac:dyDescent="0.25">
      <c r="A1330" t="s">
        <v>12886</v>
      </c>
      <c r="B1330" t="s">
        <v>11124</v>
      </c>
      <c r="C1330" t="s">
        <v>11125</v>
      </c>
      <c r="D1330" t="s">
        <v>12887</v>
      </c>
      <c r="E1330" t="s">
        <v>12888</v>
      </c>
      <c r="F1330" t="s">
        <v>12889</v>
      </c>
      <c r="G1330" t="s">
        <v>15979</v>
      </c>
      <c r="H1330" t="s">
        <v>15980</v>
      </c>
      <c r="I1330" t="s">
        <v>17126</v>
      </c>
      <c r="J1330" t="s">
        <v>23</v>
      </c>
      <c r="L1330" t="s">
        <v>11231</v>
      </c>
      <c r="M1330" t="s">
        <v>12890</v>
      </c>
      <c r="N1330" t="s">
        <v>12891</v>
      </c>
      <c r="O1330" t="s">
        <v>12892</v>
      </c>
      <c r="P1330" t="s">
        <v>12893</v>
      </c>
      <c r="Q1330" t="s">
        <v>12894</v>
      </c>
      <c r="R1330" t="s">
        <v>12895</v>
      </c>
      <c r="S1330" t="s">
        <v>12896</v>
      </c>
      <c r="T1330" t="s">
        <v>12254</v>
      </c>
      <c r="U1330" s="5">
        <v>336.26</v>
      </c>
      <c r="V1330" s="5">
        <v>26.76</v>
      </c>
      <c r="W1330" s="5">
        <v>16.077608999999999</v>
      </c>
      <c r="X1330" s="5">
        <v>108.21944499999999</v>
      </c>
      <c r="Y1330" s="5">
        <v>309.5</v>
      </c>
      <c r="Z1330" s="5">
        <v>16.079284000000001</v>
      </c>
      <c r="AA1330" s="5">
        <v>108.212947</v>
      </c>
      <c r="AB1330" s="7">
        <f t="shared" si="121"/>
        <v>4.0140000000000002E-2</v>
      </c>
      <c r="AC1330" s="7">
        <f t="shared" si="122"/>
        <v>0.46425</v>
      </c>
      <c r="AD1330" s="6" t="str">
        <f t="shared" si="123"/>
        <v>TT1 Đà Nẵng</v>
      </c>
      <c r="AE1330" s="6" t="str">
        <f t="shared" si="124"/>
        <v>Liên Chiểu</v>
      </c>
      <c r="AG1330">
        <f t="shared" si="125"/>
        <v>2.6760000000000003E-2</v>
      </c>
      <c r="AH1330">
        <f t="shared" si="126"/>
        <v>0.3095</v>
      </c>
    </row>
    <row r="1331" spans="1:34" x14ac:dyDescent="0.25">
      <c r="A1331" t="s">
        <v>12897</v>
      </c>
      <c r="B1331" t="s">
        <v>11165</v>
      </c>
      <c r="C1331" t="s">
        <v>11166</v>
      </c>
      <c r="D1331" t="s">
        <v>12898</v>
      </c>
      <c r="E1331" t="s">
        <v>12899</v>
      </c>
      <c r="F1331" t="s">
        <v>12900</v>
      </c>
      <c r="G1331" t="s">
        <v>15979</v>
      </c>
      <c r="H1331" t="s">
        <v>15980</v>
      </c>
      <c r="I1331" t="s">
        <v>17127</v>
      </c>
      <c r="J1331" t="s">
        <v>23</v>
      </c>
      <c r="L1331" t="s">
        <v>11183</v>
      </c>
      <c r="M1331" t="s">
        <v>12901</v>
      </c>
      <c r="N1331" t="s">
        <v>11185</v>
      </c>
      <c r="O1331" t="s">
        <v>11186</v>
      </c>
      <c r="P1331" t="s">
        <v>11187</v>
      </c>
      <c r="Q1331" t="s">
        <v>12902</v>
      </c>
      <c r="R1331" t="s">
        <v>12903</v>
      </c>
      <c r="S1331" t="s">
        <v>12904</v>
      </c>
      <c r="T1331" t="s">
        <v>11191</v>
      </c>
      <c r="U1331" s="5">
        <v>1486.53</v>
      </c>
      <c r="V1331" s="5">
        <v>1240.6099999999999</v>
      </c>
      <c r="W1331" s="5">
        <v>15.997909</v>
      </c>
      <c r="X1331" s="5">
        <v>108.145731</v>
      </c>
      <c r="Y1331" s="5">
        <v>245.92</v>
      </c>
      <c r="Z1331" s="5">
        <v>16.011703000000001</v>
      </c>
      <c r="AA1331" s="5">
        <v>108.173788</v>
      </c>
      <c r="AB1331" s="7">
        <f t="shared" si="121"/>
        <v>1.8609149999999999</v>
      </c>
      <c r="AC1331" s="7">
        <f t="shared" si="122"/>
        <v>0.36887999999999999</v>
      </c>
      <c r="AD1331" s="6" t="str">
        <f t="shared" si="123"/>
        <v>Hòa Vang</v>
      </c>
      <c r="AE1331" s="6" t="str">
        <f t="shared" si="124"/>
        <v>TT1 Đà Nẵng</v>
      </c>
      <c r="AG1331">
        <f t="shared" si="125"/>
        <v>1.24061</v>
      </c>
      <c r="AH1331">
        <f t="shared" si="126"/>
        <v>0.24592</v>
      </c>
    </row>
    <row r="1332" spans="1:34" x14ac:dyDescent="0.25">
      <c r="A1332" t="s">
        <v>12905</v>
      </c>
      <c r="B1332" t="s">
        <v>11165</v>
      </c>
      <c r="C1332" t="s">
        <v>11166</v>
      </c>
      <c r="D1332" t="s">
        <v>12906</v>
      </c>
      <c r="E1332" t="s">
        <v>12907</v>
      </c>
      <c r="F1332" t="s">
        <v>12908</v>
      </c>
      <c r="G1332" t="s">
        <v>15979</v>
      </c>
      <c r="H1332" t="s">
        <v>15980</v>
      </c>
      <c r="I1332" t="s">
        <v>17128</v>
      </c>
      <c r="J1332" t="s">
        <v>23</v>
      </c>
      <c r="L1332" t="s">
        <v>12909</v>
      </c>
      <c r="M1332" t="s">
        <v>12910</v>
      </c>
      <c r="N1332" t="s">
        <v>12911</v>
      </c>
      <c r="O1332" t="s">
        <v>12912</v>
      </c>
      <c r="P1332" t="s">
        <v>12913</v>
      </c>
      <c r="Q1332" t="s">
        <v>12914</v>
      </c>
      <c r="R1332" t="s">
        <v>12915</v>
      </c>
      <c r="S1332" t="s">
        <v>12916</v>
      </c>
      <c r="T1332" t="s">
        <v>12917</v>
      </c>
      <c r="U1332" s="5">
        <v>8293.39</v>
      </c>
      <c r="V1332" s="5">
        <v>13.23</v>
      </c>
      <c r="W1332" s="5">
        <v>15.987992</v>
      </c>
      <c r="X1332" s="5">
        <v>108.140253</v>
      </c>
      <c r="Y1332" s="5">
        <v>8280.15</v>
      </c>
      <c r="Z1332" s="5">
        <v>16.028784999999999</v>
      </c>
      <c r="AA1332" s="5">
        <v>108.11478</v>
      </c>
      <c r="AB1332" s="7">
        <f t="shared" si="121"/>
        <v>1.9844999999999998E-2</v>
      </c>
      <c r="AC1332" s="7">
        <f t="shared" si="122"/>
        <v>12.420224999999999</v>
      </c>
      <c r="AD1332" s="6" t="str">
        <f t="shared" si="123"/>
        <v>Liên Chiểu</v>
      </c>
      <c r="AE1332" s="6" t="str">
        <f t="shared" si="124"/>
        <v>Hòa Vang</v>
      </c>
      <c r="AG1332">
        <f t="shared" si="125"/>
        <v>1.323E-2</v>
      </c>
      <c r="AH1332">
        <f t="shared" si="126"/>
        <v>8.280149999999999</v>
      </c>
    </row>
    <row r="1333" spans="1:34" x14ac:dyDescent="0.25">
      <c r="A1333" t="s">
        <v>12918</v>
      </c>
      <c r="B1333" t="s">
        <v>11165</v>
      </c>
      <c r="C1333" t="s">
        <v>11166</v>
      </c>
      <c r="D1333" t="s">
        <v>12919</v>
      </c>
      <c r="E1333" t="s">
        <v>12920</v>
      </c>
      <c r="F1333" t="s">
        <v>12921</v>
      </c>
      <c r="G1333" t="s">
        <v>15979</v>
      </c>
      <c r="H1333" t="s">
        <v>15980</v>
      </c>
      <c r="I1333" t="s">
        <v>17129</v>
      </c>
      <c r="J1333" t="s">
        <v>23</v>
      </c>
      <c r="L1333" t="s">
        <v>12909</v>
      </c>
      <c r="M1333" t="s">
        <v>12922</v>
      </c>
      <c r="N1333" t="s">
        <v>12911</v>
      </c>
      <c r="O1333" t="s">
        <v>12912</v>
      </c>
      <c r="P1333" t="s">
        <v>12913</v>
      </c>
      <c r="Q1333" t="s">
        <v>12923</v>
      </c>
      <c r="R1333" t="s">
        <v>12924</v>
      </c>
      <c r="S1333" t="s">
        <v>12925</v>
      </c>
      <c r="T1333" t="s">
        <v>12917</v>
      </c>
      <c r="U1333" s="5">
        <v>1222.31</v>
      </c>
      <c r="V1333" s="5">
        <v>13.23</v>
      </c>
      <c r="W1333" s="5">
        <v>15.987992</v>
      </c>
      <c r="X1333" s="5">
        <v>108.140253</v>
      </c>
      <c r="Y1333" s="5">
        <v>1209.07</v>
      </c>
      <c r="Z1333" s="5">
        <v>16.005427999999998</v>
      </c>
      <c r="AA1333" s="5">
        <v>108.13575899999999</v>
      </c>
      <c r="AB1333" s="7">
        <f t="shared" si="121"/>
        <v>1.9844999999999998E-2</v>
      </c>
      <c r="AC1333" s="7">
        <f t="shared" si="122"/>
        <v>1.8136049999999999</v>
      </c>
      <c r="AD1333" s="6" t="str">
        <f t="shared" si="123"/>
        <v>Liên Chiểu</v>
      </c>
      <c r="AE1333" s="6" t="str">
        <f t="shared" si="124"/>
        <v>Hòa Vang</v>
      </c>
      <c r="AG1333">
        <f t="shared" si="125"/>
        <v>1.323E-2</v>
      </c>
      <c r="AH1333">
        <f t="shared" si="126"/>
        <v>1.2090699999999999</v>
      </c>
    </row>
    <row r="1334" spans="1:34" x14ac:dyDescent="0.25">
      <c r="A1334" t="s">
        <v>12926</v>
      </c>
      <c r="B1334" t="s">
        <v>11165</v>
      </c>
      <c r="C1334" t="s">
        <v>11166</v>
      </c>
      <c r="D1334" t="s">
        <v>12927</v>
      </c>
      <c r="E1334" t="s">
        <v>12928</v>
      </c>
      <c r="F1334" t="s">
        <v>12929</v>
      </c>
      <c r="G1334" t="s">
        <v>15979</v>
      </c>
      <c r="H1334" t="s">
        <v>15980</v>
      </c>
      <c r="I1334" t="s">
        <v>17130</v>
      </c>
      <c r="J1334" t="s">
        <v>23</v>
      </c>
      <c r="L1334" t="s">
        <v>11196</v>
      </c>
      <c r="M1334" t="s">
        <v>12930</v>
      </c>
      <c r="N1334" t="s">
        <v>11198</v>
      </c>
      <c r="O1334" t="s">
        <v>11199</v>
      </c>
      <c r="P1334" t="s">
        <v>11200</v>
      </c>
      <c r="Q1334" t="s">
        <v>12931</v>
      </c>
      <c r="R1334" t="s">
        <v>12932</v>
      </c>
      <c r="S1334" t="s">
        <v>12933</v>
      </c>
      <c r="T1334" t="s">
        <v>11204</v>
      </c>
      <c r="U1334" s="5">
        <v>2295.56</v>
      </c>
      <c r="V1334" s="5">
        <v>588.26</v>
      </c>
      <c r="W1334" s="5">
        <v>15.983065</v>
      </c>
      <c r="X1334" s="5">
        <v>108.13851099999999</v>
      </c>
      <c r="Y1334" s="5">
        <v>1707.29</v>
      </c>
      <c r="Z1334" s="5">
        <v>15.978596</v>
      </c>
      <c r="AA1334" s="5">
        <v>108.122163</v>
      </c>
      <c r="AB1334" s="7">
        <f t="shared" si="121"/>
        <v>0.88239000000000001</v>
      </c>
      <c r="AC1334" s="7">
        <f t="shared" si="122"/>
        <v>2.5609349999999997</v>
      </c>
      <c r="AD1334" s="6" t="str">
        <f t="shared" si="123"/>
        <v>Sông Vàng</v>
      </c>
      <c r="AE1334" s="6" t="str">
        <f t="shared" si="124"/>
        <v>TTCMKV Đại Lộc</v>
      </c>
      <c r="AG1334">
        <f t="shared" si="125"/>
        <v>0.58826000000000001</v>
      </c>
      <c r="AH1334">
        <f t="shared" si="126"/>
        <v>1.70729</v>
      </c>
    </row>
    <row r="1335" spans="1:34" x14ac:dyDescent="0.25">
      <c r="A1335" t="s">
        <v>12934</v>
      </c>
      <c r="B1335" t="s">
        <v>11165</v>
      </c>
      <c r="C1335" t="s">
        <v>11166</v>
      </c>
      <c r="D1335" t="s">
        <v>12935</v>
      </c>
      <c r="E1335" t="s">
        <v>12936</v>
      </c>
      <c r="F1335" t="s">
        <v>12937</v>
      </c>
      <c r="G1335" t="s">
        <v>15979</v>
      </c>
      <c r="H1335" t="s">
        <v>15980</v>
      </c>
      <c r="I1335" t="s">
        <v>17131</v>
      </c>
      <c r="J1335" t="s">
        <v>23</v>
      </c>
      <c r="L1335" t="s">
        <v>12909</v>
      </c>
      <c r="M1335" t="s">
        <v>12938</v>
      </c>
      <c r="N1335" t="s">
        <v>12911</v>
      </c>
      <c r="O1335" t="s">
        <v>12912</v>
      </c>
      <c r="P1335" t="s">
        <v>12913</v>
      </c>
      <c r="Q1335" t="s">
        <v>12939</v>
      </c>
      <c r="R1335" t="s">
        <v>12940</v>
      </c>
      <c r="S1335" t="s">
        <v>12941</v>
      </c>
      <c r="T1335" t="s">
        <v>12917</v>
      </c>
      <c r="U1335" s="5">
        <v>945.44</v>
      </c>
      <c r="V1335" s="5">
        <v>13.23</v>
      </c>
      <c r="W1335" s="5">
        <v>15.987992</v>
      </c>
      <c r="X1335" s="5">
        <v>108.140253</v>
      </c>
      <c r="Y1335" s="5">
        <v>932.2</v>
      </c>
      <c r="Z1335" s="5">
        <v>16.007446999999999</v>
      </c>
      <c r="AA1335" s="5">
        <v>108.127578</v>
      </c>
      <c r="AB1335" s="7">
        <f t="shared" si="121"/>
        <v>1.9844999999999998E-2</v>
      </c>
      <c r="AC1335" s="7">
        <f t="shared" si="122"/>
        <v>1.3983000000000001</v>
      </c>
      <c r="AD1335" s="6" t="str">
        <f t="shared" si="123"/>
        <v>Liên Chiểu</v>
      </c>
      <c r="AE1335" s="6" t="str">
        <f t="shared" si="124"/>
        <v>Hòa Vang</v>
      </c>
      <c r="AG1335">
        <f t="shared" si="125"/>
        <v>1.323E-2</v>
      </c>
      <c r="AH1335">
        <f t="shared" si="126"/>
        <v>0.93220000000000003</v>
      </c>
    </row>
    <row r="1336" spans="1:34" x14ac:dyDescent="0.25">
      <c r="A1336" t="s">
        <v>12942</v>
      </c>
      <c r="B1336" t="s">
        <v>11165</v>
      </c>
      <c r="C1336" t="s">
        <v>11166</v>
      </c>
      <c r="D1336" t="s">
        <v>12943</v>
      </c>
      <c r="E1336" t="s">
        <v>12944</v>
      </c>
      <c r="F1336" t="s">
        <v>12945</v>
      </c>
      <c r="G1336" t="s">
        <v>15979</v>
      </c>
      <c r="H1336" t="s">
        <v>15980</v>
      </c>
      <c r="I1336" t="s">
        <v>17132</v>
      </c>
      <c r="J1336" t="s">
        <v>23</v>
      </c>
      <c r="L1336" t="s">
        <v>11196</v>
      </c>
      <c r="M1336" t="s">
        <v>12946</v>
      </c>
      <c r="N1336" t="s">
        <v>11198</v>
      </c>
      <c r="O1336" t="s">
        <v>11199</v>
      </c>
      <c r="P1336" t="s">
        <v>11200</v>
      </c>
      <c r="Q1336" t="s">
        <v>12947</v>
      </c>
      <c r="R1336" t="s">
        <v>12948</v>
      </c>
      <c r="S1336" t="s">
        <v>12949</v>
      </c>
      <c r="T1336" t="s">
        <v>11204</v>
      </c>
      <c r="U1336" s="5">
        <v>676.79</v>
      </c>
      <c r="V1336" s="5">
        <v>588.26</v>
      </c>
      <c r="W1336" s="5">
        <v>15.983065</v>
      </c>
      <c r="X1336" s="5">
        <v>108.13851099999999</v>
      </c>
      <c r="Y1336" s="5">
        <v>88.53</v>
      </c>
      <c r="Z1336" s="5">
        <v>15.968469000000001</v>
      </c>
      <c r="AA1336" s="5">
        <v>108.139465</v>
      </c>
      <c r="AB1336" s="7">
        <f t="shared" si="121"/>
        <v>0.88239000000000001</v>
      </c>
      <c r="AC1336" s="7">
        <f t="shared" si="122"/>
        <v>0.13279500000000002</v>
      </c>
      <c r="AD1336" s="6" t="str">
        <f t="shared" si="123"/>
        <v>Sông Vàng</v>
      </c>
      <c r="AE1336" s="6" t="str">
        <f t="shared" si="124"/>
        <v>TTCMKV Đại Lộc</v>
      </c>
      <c r="AG1336">
        <f t="shared" si="125"/>
        <v>0.58826000000000001</v>
      </c>
      <c r="AH1336">
        <f t="shared" si="126"/>
        <v>8.8529999999999998E-2</v>
      </c>
    </row>
    <row r="1337" spans="1:34" x14ac:dyDescent="0.25">
      <c r="A1337" t="s">
        <v>12950</v>
      </c>
      <c r="B1337" t="s">
        <v>11165</v>
      </c>
      <c r="C1337" t="s">
        <v>11166</v>
      </c>
      <c r="D1337" t="s">
        <v>12951</v>
      </c>
      <c r="E1337" t="s">
        <v>12952</v>
      </c>
      <c r="F1337" t="s">
        <v>12953</v>
      </c>
      <c r="G1337" t="s">
        <v>15979</v>
      </c>
      <c r="H1337" t="s">
        <v>15980</v>
      </c>
      <c r="I1337" t="s">
        <v>17133</v>
      </c>
      <c r="J1337" t="s">
        <v>23</v>
      </c>
      <c r="L1337" t="s">
        <v>12954</v>
      </c>
      <c r="M1337" t="s">
        <v>12955</v>
      </c>
      <c r="N1337" t="s">
        <v>135</v>
      </c>
      <c r="O1337" t="s">
        <v>12956</v>
      </c>
      <c r="P1337" t="s">
        <v>12957</v>
      </c>
      <c r="Q1337" t="s">
        <v>12958</v>
      </c>
      <c r="R1337" t="s">
        <v>12956</v>
      </c>
      <c r="S1337" t="s">
        <v>12957</v>
      </c>
      <c r="T1337" t="s">
        <v>12959</v>
      </c>
      <c r="U1337" s="5">
        <v>135.38</v>
      </c>
      <c r="V1337" s="5">
        <v>1.27</v>
      </c>
      <c r="W1337" s="5">
        <v>15.988111</v>
      </c>
      <c r="X1337" s="5">
        <v>108.14019999999999</v>
      </c>
      <c r="Y1337" s="5">
        <v>134.11000000000001</v>
      </c>
      <c r="Z1337" s="5">
        <v>15.988111</v>
      </c>
      <c r="AA1337" s="5">
        <v>108.14019999999999</v>
      </c>
      <c r="AB1337" s="7">
        <f t="shared" si="121"/>
        <v>1.905E-3</v>
      </c>
      <c r="AC1337" s="7">
        <f t="shared" si="122"/>
        <v>0.20116500000000001</v>
      </c>
      <c r="AD1337" s="6" t="str">
        <f t="shared" si="123"/>
        <v>Hòa Vang</v>
      </c>
      <c r="AE1337" s="6" t="str">
        <f t="shared" si="124"/>
        <v>Hòa Tiến</v>
      </c>
      <c r="AG1337">
        <f t="shared" si="125"/>
        <v>1.2700000000000001E-3</v>
      </c>
      <c r="AH1337">
        <f t="shared" si="126"/>
        <v>0.13411000000000001</v>
      </c>
    </row>
    <row r="1338" spans="1:34" x14ac:dyDescent="0.25">
      <c r="A1338" t="s">
        <v>12960</v>
      </c>
      <c r="B1338" t="s">
        <v>12961</v>
      </c>
      <c r="C1338" t="s">
        <v>12962</v>
      </c>
      <c r="D1338" t="s">
        <v>12963</v>
      </c>
      <c r="E1338" t="s">
        <v>12964</v>
      </c>
      <c r="F1338" t="s">
        <v>12965</v>
      </c>
      <c r="G1338" t="s">
        <v>15979</v>
      </c>
      <c r="H1338" t="s">
        <v>15980</v>
      </c>
      <c r="I1338" t="s">
        <v>17134</v>
      </c>
      <c r="J1338" t="s">
        <v>23</v>
      </c>
      <c r="L1338" t="s">
        <v>12966</v>
      </c>
      <c r="M1338" t="s">
        <v>12967</v>
      </c>
      <c r="N1338" t="s">
        <v>12968</v>
      </c>
      <c r="O1338" t="s">
        <v>12969</v>
      </c>
      <c r="P1338" t="s">
        <v>12970</v>
      </c>
      <c r="Q1338" t="s">
        <v>12971</v>
      </c>
      <c r="R1338" t="s">
        <v>12972</v>
      </c>
      <c r="S1338" t="s">
        <v>12973</v>
      </c>
      <c r="T1338" t="s">
        <v>12974</v>
      </c>
      <c r="U1338" s="5">
        <v>5137.18</v>
      </c>
      <c r="V1338" s="5">
        <v>28.03</v>
      </c>
      <c r="W1338" s="5">
        <v>15.970610000000001</v>
      </c>
      <c r="X1338" s="5">
        <v>108.180829</v>
      </c>
      <c r="Y1338" s="5">
        <v>5109.1499999999996</v>
      </c>
      <c r="Z1338" s="5">
        <v>15.994001000000001</v>
      </c>
      <c r="AA1338" s="5">
        <v>108.192807</v>
      </c>
      <c r="AB1338" s="7">
        <f t="shared" si="121"/>
        <v>4.2044999999999999E-2</v>
      </c>
      <c r="AC1338" s="7">
        <f t="shared" si="122"/>
        <v>7.6637249999999995</v>
      </c>
      <c r="AD1338" s="6" t="str">
        <f t="shared" si="123"/>
        <v>Hòa Tiến</v>
      </c>
      <c r="AE1338" s="6" t="str">
        <f t="shared" si="124"/>
        <v>Bà Nà</v>
      </c>
      <c r="AG1338">
        <f t="shared" si="125"/>
        <v>2.8030000000000003E-2</v>
      </c>
      <c r="AH1338">
        <f t="shared" si="126"/>
        <v>5.1091499999999996</v>
      </c>
    </row>
    <row r="1339" spans="1:34" x14ac:dyDescent="0.25">
      <c r="A1339" t="s">
        <v>12975</v>
      </c>
      <c r="B1339" t="s">
        <v>12961</v>
      </c>
      <c r="C1339" t="s">
        <v>12962</v>
      </c>
      <c r="D1339" t="s">
        <v>12976</v>
      </c>
      <c r="E1339" t="s">
        <v>12977</v>
      </c>
      <c r="F1339" t="s">
        <v>12978</v>
      </c>
      <c r="G1339" t="s">
        <v>15979</v>
      </c>
      <c r="H1339" t="s">
        <v>15980</v>
      </c>
      <c r="I1339" t="s">
        <v>17135</v>
      </c>
      <c r="J1339" t="s">
        <v>23</v>
      </c>
      <c r="L1339" t="s">
        <v>12966</v>
      </c>
      <c r="M1339" t="s">
        <v>12979</v>
      </c>
      <c r="N1339" t="s">
        <v>12968</v>
      </c>
      <c r="O1339" t="s">
        <v>12969</v>
      </c>
      <c r="P1339" t="s">
        <v>12970</v>
      </c>
      <c r="Q1339" t="s">
        <v>12980</v>
      </c>
      <c r="R1339" t="s">
        <v>12981</v>
      </c>
      <c r="S1339" t="s">
        <v>12982</v>
      </c>
      <c r="T1339" t="s">
        <v>12974</v>
      </c>
      <c r="U1339" s="5">
        <v>3469.92</v>
      </c>
      <c r="V1339" s="5">
        <v>28.03</v>
      </c>
      <c r="W1339" s="5">
        <v>15.970610000000001</v>
      </c>
      <c r="X1339" s="5">
        <v>108.180829</v>
      </c>
      <c r="Y1339" s="5">
        <v>3441.89</v>
      </c>
      <c r="Z1339" s="5">
        <v>15.997654000000001</v>
      </c>
      <c r="AA1339" s="5">
        <v>108.191596</v>
      </c>
      <c r="AB1339" s="7">
        <f t="shared" si="121"/>
        <v>4.2044999999999999E-2</v>
      </c>
      <c r="AC1339" s="7">
        <f t="shared" si="122"/>
        <v>5.1628350000000003</v>
      </c>
      <c r="AD1339" s="6" t="str">
        <f t="shared" si="123"/>
        <v>Hòa Tiến</v>
      </c>
      <c r="AE1339" s="6" t="str">
        <f t="shared" si="124"/>
        <v>Bà Nà</v>
      </c>
      <c r="AG1339">
        <f t="shared" si="125"/>
        <v>2.8030000000000003E-2</v>
      </c>
      <c r="AH1339">
        <f t="shared" si="126"/>
        <v>3.4418899999999999</v>
      </c>
    </row>
    <row r="1340" spans="1:34" x14ac:dyDescent="0.25">
      <c r="A1340" t="s">
        <v>12983</v>
      </c>
      <c r="B1340" t="s">
        <v>12961</v>
      </c>
      <c r="C1340" t="s">
        <v>12962</v>
      </c>
      <c r="D1340" t="s">
        <v>12984</v>
      </c>
      <c r="E1340" t="s">
        <v>12985</v>
      </c>
      <c r="F1340" t="s">
        <v>12986</v>
      </c>
      <c r="G1340" t="s">
        <v>15979</v>
      </c>
      <c r="H1340" t="s">
        <v>15980</v>
      </c>
      <c r="I1340" t="s">
        <v>17136</v>
      </c>
      <c r="J1340" t="s">
        <v>23</v>
      </c>
      <c r="L1340" t="s">
        <v>12966</v>
      </c>
      <c r="M1340" t="s">
        <v>12987</v>
      </c>
      <c r="N1340" t="s">
        <v>12968</v>
      </c>
      <c r="O1340" t="s">
        <v>12969</v>
      </c>
      <c r="P1340" t="s">
        <v>12970</v>
      </c>
      <c r="Q1340" t="s">
        <v>12988</v>
      </c>
      <c r="R1340" t="s">
        <v>12989</v>
      </c>
      <c r="S1340" t="s">
        <v>12990</v>
      </c>
      <c r="T1340" t="s">
        <v>12974</v>
      </c>
      <c r="U1340" s="5">
        <v>114.03</v>
      </c>
      <c r="V1340" s="5">
        <v>28.03</v>
      </c>
      <c r="W1340" s="5">
        <v>15.970610000000001</v>
      </c>
      <c r="X1340" s="5">
        <v>108.180829</v>
      </c>
      <c r="Y1340" s="5">
        <v>85.99</v>
      </c>
      <c r="Z1340" s="5">
        <v>15.985526</v>
      </c>
      <c r="AA1340" s="5">
        <v>108.188317</v>
      </c>
      <c r="AB1340" s="7">
        <f t="shared" si="121"/>
        <v>4.2044999999999999E-2</v>
      </c>
      <c r="AC1340" s="7">
        <f t="shared" si="122"/>
        <v>0.12898499999999999</v>
      </c>
      <c r="AD1340" s="6" t="str">
        <f t="shared" si="123"/>
        <v>Hòa Tiến</v>
      </c>
      <c r="AE1340" s="6" t="str">
        <f t="shared" si="124"/>
        <v>Bà Nà</v>
      </c>
      <c r="AG1340">
        <f t="shared" si="125"/>
        <v>2.8030000000000003E-2</v>
      </c>
      <c r="AH1340">
        <f t="shared" si="126"/>
        <v>8.5989999999999997E-2</v>
      </c>
    </row>
    <row r="1341" spans="1:34" x14ac:dyDescent="0.25">
      <c r="A1341" t="s">
        <v>12991</v>
      </c>
      <c r="B1341" t="s">
        <v>12961</v>
      </c>
      <c r="C1341" t="s">
        <v>12962</v>
      </c>
      <c r="D1341" t="s">
        <v>12992</v>
      </c>
      <c r="E1341" t="s">
        <v>12993</v>
      </c>
      <c r="F1341" t="s">
        <v>12994</v>
      </c>
      <c r="G1341" t="s">
        <v>15979</v>
      </c>
      <c r="H1341" t="s">
        <v>15980</v>
      </c>
      <c r="I1341" t="s">
        <v>17137</v>
      </c>
      <c r="J1341" t="s">
        <v>23</v>
      </c>
      <c r="L1341" t="s">
        <v>12954</v>
      </c>
      <c r="M1341" t="s">
        <v>12995</v>
      </c>
      <c r="N1341" t="s">
        <v>12996</v>
      </c>
      <c r="O1341" t="s">
        <v>12997</v>
      </c>
      <c r="P1341" t="s">
        <v>12998</v>
      </c>
      <c r="Q1341" t="s">
        <v>12999</v>
      </c>
      <c r="R1341" t="s">
        <v>13000</v>
      </c>
      <c r="S1341" t="s">
        <v>13001</v>
      </c>
      <c r="T1341" t="s">
        <v>13002</v>
      </c>
      <c r="U1341" s="5">
        <v>2648.7</v>
      </c>
      <c r="V1341" s="5">
        <v>25.23</v>
      </c>
      <c r="W1341" s="5">
        <v>15.970608</v>
      </c>
      <c r="X1341" s="5">
        <v>108.180635</v>
      </c>
      <c r="Y1341" s="5">
        <v>2623.47</v>
      </c>
      <c r="Z1341" s="5">
        <v>15.970139</v>
      </c>
      <c r="AA1341" s="5">
        <v>108.180554</v>
      </c>
      <c r="AB1341" s="7">
        <f t="shared" si="121"/>
        <v>3.7844999999999997E-2</v>
      </c>
      <c r="AC1341" s="7">
        <f t="shared" si="122"/>
        <v>3.9352049999999998</v>
      </c>
      <c r="AD1341" s="6" t="str">
        <f t="shared" si="123"/>
        <v>Hòa Vang</v>
      </c>
      <c r="AE1341" s="6" t="str">
        <f t="shared" si="124"/>
        <v>Hòa Tiến</v>
      </c>
      <c r="AG1341">
        <f t="shared" si="125"/>
        <v>2.5229999999999999E-2</v>
      </c>
      <c r="AH1341">
        <f t="shared" si="126"/>
        <v>2.6234699999999997</v>
      </c>
    </row>
    <row r="1342" spans="1:34" x14ac:dyDescent="0.25">
      <c r="A1342" t="s">
        <v>13003</v>
      </c>
      <c r="B1342" t="s">
        <v>12961</v>
      </c>
      <c r="C1342" t="s">
        <v>12962</v>
      </c>
      <c r="D1342" t="s">
        <v>13004</v>
      </c>
      <c r="E1342" t="s">
        <v>13005</v>
      </c>
      <c r="F1342" t="s">
        <v>13006</v>
      </c>
      <c r="G1342" t="s">
        <v>15979</v>
      </c>
      <c r="H1342" t="s">
        <v>15980</v>
      </c>
      <c r="I1342" t="s">
        <v>17138</v>
      </c>
      <c r="J1342" t="s">
        <v>23</v>
      </c>
      <c r="L1342" t="s">
        <v>12966</v>
      </c>
      <c r="M1342" t="s">
        <v>13007</v>
      </c>
      <c r="N1342" t="s">
        <v>12968</v>
      </c>
      <c r="O1342" t="s">
        <v>12969</v>
      </c>
      <c r="P1342" t="s">
        <v>12970</v>
      </c>
      <c r="Q1342" t="s">
        <v>13008</v>
      </c>
      <c r="R1342" t="s">
        <v>13009</v>
      </c>
      <c r="S1342" t="s">
        <v>13010</v>
      </c>
      <c r="T1342" t="s">
        <v>12974</v>
      </c>
      <c r="U1342" s="5">
        <v>1540.94</v>
      </c>
      <c r="V1342" s="5">
        <v>28.03</v>
      </c>
      <c r="W1342" s="5">
        <v>15.970610000000001</v>
      </c>
      <c r="X1342" s="5">
        <v>108.180829</v>
      </c>
      <c r="Y1342" s="5">
        <v>1512.91</v>
      </c>
      <c r="Z1342" s="5">
        <v>15.979906</v>
      </c>
      <c r="AA1342" s="5">
        <v>108.186144</v>
      </c>
      <c r="AB1342" s="7">
        <f t="shared" si="121"/>
        <v>4.2044999999999999E-2</v>
      </c>
      <c r="AC1342" s="7">
        <f t="shared" si="122"/>
        <v>2.2693650000000001</v>
      </c>
      <c r="AD1342" s="6" t="str">
        <f t="shared" si="123"/>
        <v>Hòa Tiến</v>
      </c>
      <c r="AE1342" s="6" t="str">
        <f t="shared" si="124"/>
        <v>Bà Nà</v>
      </c>
      <c r="AG1342">
        <f t="shared" si="125"/>
        <v>2.8030000000000003E-2</v>
      </c>
      <c r="AH1342">
        <f t="shared" si="126"/>
        <v>1.51291</v>
      </c>
    </row>
    <row r="1343" spans="1:34" x14ac:dyDescent="0.25">
      <c r="A1343" t="s">
        <v>12975</v>
      </c>
      <c r="B1343" t="s">
        <v>12961</v>
      </c>
      <c r="C1343" t="s">
        <v>12962</v>
      </c>
      <c r="D1343" t="s">
        <v>12976</v>
      </c>
      <c r="E1343" t="s">
        <v>12977</v>
      </c>
      <c r="F1343" t="s">
        <v>12978</v>
      </c>
      <c r="G1343" t="s">
        <v>15979</v>
      </c>
      <c r="H1343" t="s">
        <v>15980</v>
      </c>
      <c r="I1343" t="s">
        <v>17135</v>
      </c>
      <c r="J1343" t="s">
        <v>23</v>
      </c>
      <c r="L1343" t="s">
        <v>12966</v>
      </c>
      <c r="M1343" t="s">
        <v>12979</v>
      </c>
      <c r="N1343" t="s">
        <v>12968</v>
      </c>
      <c r="O1343" t="s">
        <v>12969</v>
      </c>
      <c r="P1343" t="s">
        <v>12970</v>
      </c>
      <c r="Q1343" t="s">
        <v>12980</v>
      </c>
      <c r="R1343" t="s">
        <v>12981</v>
      </c>
      <c r="S1343" t="s">
        <v>12982</v>
      </c>
      <c r="T1343" t="s">
        <v>12974</v>
      </c>
      <c r="U1343" s="5">
        <v>3469.92</v>
      </c>
      <c r="V1343" s="5">
        <v>28.03</v>
      </c>
      <c r="W1343" s="5">
        <v>15.970610000000001</v>
      </c>
      <c r="X1343" s="5">
        <v>108.180829</v>
      </c>
      <c r="Y1343" s="5">
        <v>3441.89</v>
      </c>
      <c r="Z1343" s="5">
        <v>15.997654000000001</v>
      </c>
      <c r="AA1343" s="5">
        <v>108.191596</v>
      </c>
      <c r="AB1343" s="7">
        <f t="shared" si="121"/>
        <v>4.2044999999999999E-2</v>
      </c>
      <c r="AC1343" s="7">
        <f t="shared" si="122"/>
        <v>5.1628350000000003</v>
      </c>
      <c r="AD1343" s="6" t="str">
        <f t="shared" si="123"/>
        <v>Hòa Tiến</v>
      </c>
      <c r="AE1343" s="6" t="str">
        <f t="shared" si="124"/>
        <v>Bà Nà</v>
      </c>
      <c r="AG1343">
        <f t="shared" si="125"/>
        <v>2.8030000000000003E-2</v>
      </c>
      <c r="AH1343">
        <f t="shared" si="126"/>
        <v>3.4418899999999999</v>
      </c>
    </row>
    <row r="1344" spans="1:34" x14ac:dyDescent="0.25">
      <c r="A1344" t="s">
        <v>13011</v>
      </c>
      <c r="B1344" t="s">
        <v>12961</v>
      </c>
      <c r="C1344" t="s">
        <v>12962</v>
      </c>
      <c r="D1344" t="e">
        <v>#N/A</v>
      </c>
      <c r="E1344" t="e">
        <v>#N/A</v>
      </c>
      <c r="F1344" t="s">
        <v>13012</v>
      </c>
      <c r="G1344" t="s">
        <v>15979</v>
      </c>
      <c r="H1344" t="s">
        <v>15980</v>
      </c>
      <c r="I1344" t="s">
        <v>17139</v>
      </c>
      <c r="J1344" t="s">
        <v>5239</v>
      </c>
      <c r="K1344" t="s">
        <v>11979</v>
      </c>
      <c r="AB1344" s="7">
        <f t="shared" si="121"/>
        <v>0</v>
      </c>
      <c r="AC1344" s="7">
        <f t="shared" si="122"/>
        <v>0</v>
      </c>
      <c r="AD1344" s="6" t="e">
        <f t="shared" si="123"/>
        <v>#VALUE!</v>
      </c>
      <c r="AE1344" s="6" t="e">
        <f t="shared" si="124"/>
        <v>#VALUE!</v>
      </c>
      <c r="AG1344">
        <f t="shared" si="125"/>
        <v>0</v>
      </c>
      <c r="AH1344">
        <f t="shared" si="126"/>
        <v>0</v>
      </c>
    </row>
    <row r="1345" spans="1:34" x14ac:dyDescent="0.25">
      <c r="A1345" t="s">
        <v>12975</v>
      </c>
      <c r="B1345" t="s">
        <v>12961</v>
      </c>
      <c r="C1345" t="s">
        <v>12962</v>
      </c>
      <c r="D1345" t="s">
        <v>12976</v>
      </c>
      <c r="E1345" t="s">
        <v>12977</v>
      </c>
      <c r="F1345" t="s">
        <v>13013</v>
      </c>
      <c r="G1345" t="s">
        <v>15979</v>
      </c>
      <c r="H1345" t="s">
        <v>15980</v>
      </c>
      <c r="I1345" t="s">
        <v>17140</v>
      </c>
      <c r="J1345" t="s">
        <v>23</v>
      </c>
      <c r="L1345" t="s">
        <v>12966</v>
      </c>
      <c r="M1345" t="s">
        <v>12979</v>
      </c>
      <c r="N1345" t="s">
        <v>12968</v>
      </c>
      <c r="O1345" t="s">
        <v>12969</v>
      </c>
      <c r="P1345" t="s">
        <v>12970</v>
      </c>
      <c r="Q1345" t="s">
        <v>12980</v>
      </c>
      <c r="R1345" t="s">
        <v>12981</v>
      </c>
      <c r="S1345" t="s">
        <v>12982</v>
      </c>
      <c r="T1345" t="s">
        <v>12974</v>
      </c>
      <c r="U1345" s="5">
        <v>3469.92</v>
      </c>
      <c r="V1345" s="5">
        <v>28.03</v>
      </c>
      <c r="W1345" s="5">
        <v>15.970610000000001</v>
      </c>
      <c r="X1345" s="5">
        <v>108.180829</v>
      </c>
      <c r="Y1345" s="5">
        <v>3441.89</v>
      </c>
      <c r="Z1345" s="5">
        <v>15.997654000000001</v>
      </c>
      <c r="AA1345" s="5">
        <v>108.191596</v>
      </c>
      <c r="AB1345" s="7">
        <f t="shared" si="121"/>
        <v>4.2044999999999999E-2</v>
      </c>
      <c r="AC1345" s="7">
        <f t="shared" si="122"/>
        <v>5.1628350000000003</v>
      </c>
      <c r="AD1345" s="6" t="str">
        <f t="shared" si="123"/>
        <v>Hòa Tiến</v>
      </c>
      <c r="AE1345" s="6" t="str">
        <f t="shared" si="124"/>
        <v>Bà Nà</v>
      </c>
      <c r="AG1345">
        <f t="shared" si="125"/>
        <v>2.8030000000000003E-2</v>
      </c>
      <c r="AH1345">
        <f t="shared" si="126"/>
        <v>3.4418899999999999</v>
      </c>
    </row>
    <row r="1346" spans="1:34" x14ac:dyDescent="0.25">
      <c r="A1346" t="s">
        <v>13014</v>
      </c>
      <c r="B1346" t="s">
        <v>11226</v>
      </c>
      <c r="C1346" t="s">
        <v>11227</v>
      </c>
      <c r="D1346" t="s">
        <v>12906</v>
      </c>
      <c r="E1346" t="s">
        <v>12907</v>
      </c>
      <c r="F1346" t="s">
        <v>13015</v>
      </c>
      <c r="G1346" t="s">
        <v>15979</v>
      </c>
      <c r="H1346" t="s">
        <v>15980</v>
      </c>
      <c r="I1346" t="s">
        <v>17141</v>
      </c>
      <c r="J1346" t="s">
        <v>23</v>
      </c>
      <c r="L1346" t="s">
        <v>11264</v>
      </c>
      <c r="M1346" t="s">
        <v>13016</v>
      </c>
      <c r="N1346" t="s">
        <v>11266</v>
      </c>
      <c r="O1346" t="s">
        <v>11267</v>
      </c>
      <c r="P1346" t="s">
        <v>11268</v>
      </c>
      <c r="Q1346" t="s">
        <v>13017</v>
      </c>
      <c r="R1346" t="s">
        <v>13018</v>
      </c>
      <c r="S1346" t="s">
        <v>13019</v>
      </c>
      <c r="T1346" t="s">
        <v>11272</v>
      </c>
      <c r="U1346" s="5">
        <v>3335.25</v>
      </c>
      <c r="V1346" s="5">
        <v>27.31</v>
      </c>
      <c r="W1346" s="5">
        <v>16.074273999999999</v>
      </c>
      <c r="X1346" s="5">
        <v>108.158044</v>
      </c>
      <c r="Y1346" s="5">
        <v>3307.94</v>
      </c>
      <c r="Z1346" s="5">
        <v>16.11626</v>
      </c>
      <c r="AA1346" s="5">
        <v>108.125941</v>
      </c>
      <c r="AB1346" s="7">
        <f t="shared" si="121"/>
        <v>4.0964999999999994E-2</v>
      </c>
      <c r="AC1346" s="7">
        <f t="shared" si="122"/>
        <v>4.9619099999999996</v>
      </c>
      <c r="AD1346" s="6" t="str">
        <f t="shared" si="123"/>
        <v>TTCMKV Liên Chiểu</v>
      </c>
      <c r="AE1346" s="6" t="str">
        <f t="shared" si="124"/>
        <v>Trạm CSGT Hòa Hiệp</v>
      </c>
      <c r="AG1346">
        <f t="shared" si="125"/>
        <v>2.7309999999999997E-2</v>
      </c>
      <c r="AH1346">
        <f t="shared" si="126"/>
        <v>3.3079399999999999</v>
      </c>
    </row>
    <row r="1347" spans="1:34" x14ac:dyDescent="0.25">
      <c r="A1347" t="s">
        <v>11247</v>
      </c>
      <c r="B1347" t="s">
        <v>11226</v>
      </c>
      <c r="C1347" t="s">
        <v>11227</v>
      </c>
      <c r="D1347" t="s">
        <v>11248</v>
      </c>
      <c r="E1347" t="s">
        <v>11249</v>
      </c>
      <c r="F1347" t="s">
        <v>13020</v>
      </c>
      <c r="G1347" t="s">
        <v>15979</v>
      </c>
      <c r="H1347" t="s">
        <v>15980</v>
      </c>
      <c r="I1347" t="s">
        <v>16965</v>
      </c>
      <c r="J1347" t="s">
        <v>23</v>
      </c>
      <c r="L1347" t="s">
        <v>11251</v>
      </c>
      <c r="M1347" t="s">
        <v>11252</v>
      </c>
      <c r="N1347" t="s">
        <v>11253</v>
      </c>
      <c r="O1347" t="s">
        <v>11254</v>
      </c>
      <c r="P1347" t="s">
        <v>11255</v>
      </c>
      <c r="Q1347" t="s">
        <v>11256</v>
      </c>
      <c r="R1347" t="s">
        <v>11257</v>
      </c>
      <c r="S1347" t="s">
        <v>11258</v>
      </c>
      <c r="T1347" t="s">
        <v>11259</v>
      </c>
      <c r="U1347" s="5">
        <v>823.71</v>
      </c>
      <c r="V1347" s="5">
        <v>792.46</v>
      </c>
      <c r="W1347" s="5">
        <v>16.077791000000001</v>
      </c>
      <c r="X1347" s="5">
        <v>108.164749</v>
      </c>
      <c r="Y1347" s="5">
        <v>31.26</v>
      </c>
      <c r="Z1347" s="5">
        <v>16.073207</v>
      </c>
      <c r="AA1347" s="5">
        <v>108.177558</v>
      </c>
      <c r="AB1347" s="7">
        <f t="shared" ref="AB1347:AB1410" si="127">V1347*1.5/1000</f>
        <v>1.18869</v>
      </c>
      <c r="AC1347" s="7">
        <f t="shared" ref="AC1347:AC1410" si="128">Y1347*1.5/1000</f>
        <v>4.6890000000000001E-2</v>
      </c>
      <c r="AD1347" s="6" t="str">
        <f t="shared" ref="AD1347:AD1410" si="129">TRIM(LEFT(L1347,FIND("-",L1347)-1))</f>
        <v>TT1 Đà Nẵng</v>
      </c>
      <c r="AE1347" s="6" t="str">
        <f t="shared" ref="AE1347:AE1410" si="130">TRIM(RIGHT(L1347, LEN(L1347) - FIND("-", L1347)))</f>
        <v>Hải Vân</v>
      </c>
      <c r="AG1347">
        <f t="shared" ref="AG1347:AG1410" si="131">V1347/1000</f>
        <v>0.79246000000000005</v>
      </c>
      <c r="AH1347">
        <f t="shared" ref="AH1347:AH1410" si="132">Y1347/1000</f>
        <v>3.1260000000000003E-2</v>
      </c>
    </row>
    <row r="1348" spans="1:34" x14ac:dyDescent="0.25">
      <c r="A1348" t="s">
        <v>11273</v>
      </c>
      <c r="B1348" t="s">
        <v>11226</v>
      </c>
      <c r="C1348" t="s">
        <v>11227</v>
      </c>
      <c r="D1348" t="s">
        <v>11274</v>
      </c>
      <c r="E1348" t="s">
        <v>11275</v>
      </c>
      <c r="F1348" t="s">
        <v>13021</v>
      </c>
      <c r="G1348" t="s">
        <v>15979</v>
      </c>
      <c r="H1348" t="s">
        <v>15980</v>
      </c>
      <c r="I1348" t="s">
        <v>16967</v>
      </c>
      <c r="J1348" t="s">
        <v>23</v>
      </c>
      <c r="L1348" t="s">
        <v>11264</v>
      </c>
      <c r="M1348" t="s">
        <v>11277</v>
      </c>
      <c r="N1348" t="s">
        <v>11266</v>
      </c>
      <c r="O1348" t="s">
        <v>11267</v>
      </c>
      <c r="P1348" t="s">
        <v>11268</v>
      </c>
      <c r="Q1348" t="s">
        <v>11278</v>
      </c>
      <c r="R1348" t="s">
        <v>11279</v>
      </c>
      <c r="S1348" t="s">
        <v>11280</v>
      </c>
      <c r="T1348" t="s">
        <v>11272</v>
      </c>
      <c r="U1348" s="5">
        <v>98.86</v>
      </c>
      <c r="V1348" s="5">
        <v>27.31</v>
      </c>
      <c r="W1348" s="5">
        <v>16.074273999999999</v>
      </c>
      <c r="X1348" s="5">
        <v>108.158044</v>
      </c>
      <c r="Y1348" s="5">
        <v>71.55</v>
      </c>
      <c r="Z1348" s="5">
        <v>16.090608</v>
      </c>
      <c r="AA1348" s="5">
        <v>108.14290800000001</v>
      </c>
      <c r="AB1348" s="7">
        <f t="shared" si="127"/>
        <v>4.0964999999999994E-2</v>
      </c>
      <c r="AC1348" s="7">
        <f t="shared" si="128"/>
        <v>0.10732499999999999</v>
      </c>
      <c r="AD1348" s="6" t="str">
        <f t="shared" si="129"/>
        <v>TTCMKV Liên Chiểu</v>
      </c>
      <c r="AE1348" s="6" t="str">
        <f t="shared" si="130"/>
        <v>Trạm CSGT Hòa Hiệp</v>
      </c>
      <c r="AG1348">
        <f t="shared" si="131"/>
        <v>2.7309999999999997E-2</v>
      </c>
      <c r="AH1348">
        <f t="shared" si="132"/>
        <v>7.1550000000000002E-2</v>
      </c>
    </row>
    <row r="1349" spans="1:34" x14ac:dyDescent="0.25">
      <c r="A1349" t="s">
        <v>11260</v>
      </c>
      <c r="B1349" t="s">
        <v>11226</v>
      </c>
      <c r="C1349" t="s">
        <v>11227</v>
      </c>
      <c r="D1349" t="s">
        <v>11261</v>
      </c>
      <c r="E1349" t="s">
        <v>11262</v>
      </c>
      <c r="F1349" t="s">
        <v>13022</v>
      </c>
      <c r="H1349" t="s">
        <v>15980</v>
      </c>
      <c r="I1349" t="s">
        <v>16966</v>
      </c>
      <c r="J1349" t="s">
        <v>23</v>
      </c>
      <c r="L1349" t="s">
        <v>11264</v>
      </c>
      <c r="M1349" t="s">
        <v>11265</v>
      </c>
      <c r="N1349" t="s">
        <v>11266</v>
      </c>
      <c r="O1349" t="s">
        <v>11267</v>
      </c>
      <c r="P1349" t="s">
        <v>11268</v>
      </c>
      <c r="Q1349" t="s">
        <v>11269</v>
      </c>
      <c r="R1349" t="s">
        <v>11270</v>
      </c>
      <c r="S1349" t="s">
        <v>11271</v>
      </c>
      <c r="T1349" t="s">
        <v>11272</v>
      </c>
      <c r="U1349" s="5">
        <v>490.42</v>
      </c>
      <c r="V1349" s="5">
        <v>27.31</v>
      </c>
      <c r="W1349" s="5">
        <v>16.074273999999999</v>
      </c>
      <c r="X1349" s="5">
        <v>108.158044</v>
      </c>
      <c r="Y1349" s="5">
        <v>463.11</v>
      </c>
      <c r="Z1349" s="5">
        <v>16.074614</v>
      </c>
      <c r="AA1349" s="5">
        <v>108.14948099999999</v>
      </c>
      <c r="AB1349" s="7">
        <f t="shared" si="127"/>
        <v>4.0964999999999994E-2</v>
      </c>
      <c r="AC1349" s="7">
        <f t="shared" si="128"/>
        <v>0.69466499999999998</v>
      </c>
      <c r="AD1349" s="6" t="str">
        <f t="shared" si="129"/>
        <v>TTCMKV Liên Chiểu</v>
      </c>
      <c r="AE1349" s="6" t="str">
        <f t="shared" si="130"/>
        <v>Trạm CSGT Hòa Hiệp</v>
      </c>
      <c r="AG1349">
        <f t="shared" si="131"/>
        <v>2.7309999999999997E-2</v>
      </c>
      <c r="AH1349">
        <f t="shared" si="132"/>
        <v>0.46311000000000002</v>
      </c>
    </row>
    <row r="1350" spans="1:34" x14ac:dyDescent="0.25">
      <c r="A1350" t="s">
        <v>13023</v>
      </c>
      <c r="B1350" t="s">
        <v>11226</v>
      </c>
      <c r="C1350" t="s">
        <v>11227</v>
      </c>
      <c r="D1350" t="s">
        <v>13024</v>
      </c>
      <c r="E1350" t="s">
        <v>13025</v>
      </c>
      <c r="F1350" t="s">
        <v>13026</v>
      </c>
      <c r="G1350" t="s">
        <v>15979</v>
      </c>
      <c r="H1350" t="s">
        <v>15980</v>
      </c>
      <c r="I1350" t="s">
        <v>17142</v>
      </c>
      <c r="J1350" t="s">
        <v>23</v>
      </c>
      <c r="L1350" t="s">
        <v>11231</v>
      </c>
      <c r="M1350" t="s">
        <v>13027</v>
      </c>
      <c r="N1350" t="s">
        <v>3220</v>
      </c>
      <c r="O1350" t="s">
        <v>13028</v>
      </c>
      <c r="P1350" t="s">
        <v>13029</v>
      </c>
      <c r="Q1350" t="s">
        <v>13030</v>
      </c>
      <c r="R1350" t="s">
        <v>13031</v>
      </c>
      <c r="S1350" t="s">
        <v>13032</v>
      </c>
      <c r="T1350" t="s">
        <v>13033</v>
      </c>
      <c r="U1350" s="5">
        <v>366.88</v>
      </c>
      <c r="V1350" s="5">
        <v>38.99</v>
      </c>
      <c r="W1350" s="5">
        <v>16.074251</v>
      </c>
      <c r="X1350" s="5">
        <v>108.15793600000001</v>
      </c>
      <c r="Y1350" s="5">
        <v>327.89</v>
      </c>
      <c r="Z1350" s="5">
        <v>16.076884</v>
      </c>
      <c r="AA1350" s="5">
        <v>108.159477</v>
      </c>
      <c r="AB1350" s="7">
        <f t="shared" si="127"/>
        <v>5.8485000000000002E-2</v>
      </c>
      <c r="AC1350" s="7">
        <f t="shared" si="128"/>
        <v>0.49183499999999997</v>
      </c>
      <c r="AD1350" s="6" t="str">
        <f t="shared" si="129"/>
        <v>TT1 Đà Nẵng</v>
      </c>
      <c r="AE1350" s="6" t="str">
        <f t="shared" si="130"/>
        <v>Liên Chiểu</v>
      </c>
      <c r="AG1350">
        <f t="shared" si="131"/>
        <v>3.8990000000000004E-2</v>
      </c>
      <c r="AH1350">
        <f t="shared" si="132"/>
        <v>0.32788999999999996</v>
      </c>
    </row>
    <row r="1351" spans="1:34" x14ac:dyDescent="0.25">
      <c r="A1351" t="s">
        <v>13034</v>
      </c>
      <c r="B1351" t="s">
        <v>11226</v>
      </c>
      <c r="C1351" t="s">
        <v>11227</v>
      </c>
      <c r="D1351" t="s">
        <v>13035</v>
      </c>
      <c r="E1351" t="s">
        <v>13036</v>
      </c>
      <c r="F1351" t="s">
        <v>13037</v>
      </c>
      <c r="G1351" t="s">
        <v>15979</v>
      </c>
      <c r="H1351" t="s">
        <v>15980</v>
      </c>
      <c r="I1351" t="s">
        <v>17143</v>
      </c>
      <c r="J1351" t="s">
        <v>23</v>
      </c>
      <c r="L1351" t="s">
        <v>11264</v>
      </c>
      <c r="M1351" t="s">
        <v>13038</v>
      </c>
      <c r="N1351" t="s">
        <v>11266</v>
      </c>
      <c r="O1351" t="s">
        <v>11267</v>
      </c>
      <c r="P1351" t="s">
        <v>11268</v>
      </c>
      <c r="Q1351" t="s">
        <v>13039</v>
      </c>
      <c r="R1351" t="s">
        <v>13040</v>
      </c>
      <c r="S1351" t="s">
        <v>13041</v>
      </c>
      <c r="T1351" t="s">
        <v>11272</v>
      </c>
      <c r="U1351" s="5">
        <v>278.69</v>
      </c>
      <c r="V1351" s="5">
        <v>27.31</v>
      </c>
      <c r="W1351" s="5">
        <v>16.074273999999999</v>
      </c>
      <c r="X1351" s="5">
        <v>108.158044</v>
      </c>
      <c r="Y1351" s="5">
        <v>251.38</v>
      </c>
      <c r="Z1351" s="5">
        <v>16.075294</v>
      </c>
      <c r="AA1351" s="5">
        <v>108.15112499999999</v>
      </c>
      <c r="AB1351" s="7">
        <f t="shared" si="127"/>
        <v>4.0964999999999994E-2</v>
      </c>
      <c r="AC1351" s="7">
        <f t="shared" si="128"/>
        <v>0.37707000000000002</v>
      </c>
      <c r="AD1351" s="6" t="str">
        <f t="shared" si="129"/>
        <v>TTCMKV Liên Chiểu</v>
      </c>
      <c r="AE1351" s="6" t="str">
        <f t="shared" si="130"/>
        <v>Trạm CSGT Hòa Hiệp</v>
      </c>
      <c r="AG1351">
        <f t="shared" si="131"/>
        <v>2.7309999999999997E-2</v>
      </c>
      <c r="AH1351">
        <f t="shared" si="132"/>
        <v>0.25137999999999999</v>
      </c>
    </row>
    <row r="1352" spans="1:34" x14ac:dyDescent="0.25">
      <c r="A1352" t="s">
        <v>13042</v>
      </c>
      <c r="B1352" t="s">
        <v>11282</v>
      </c>
      <c r="C1352" t="s">
        <v>11283</v>
      </c>
      <c r="D1352" t="s">
        <v>13043</v>
      </c>
      <c r="E1352" t="s">
        <v>13044</v>
      </c>
      <c r="F1352" t="s">
        <v>13045</v>
      </c>
      <c r="G1352" t="s">
        <v>15979</v>
      </c>
      <c r="H1352" t="s">
        <v>15980</v>
      </c>
      <c r="I1352" t="s">
        <v>17144</v>
      </c>
      <c r="J1352" t="s">
        <v>23</v>
      </c>
      <c r="L1352" t="s">
        <v>12158</v>
      </c>
      <c r="M1352" t="s">
        <v>13046</v>
      </c>
      <c r="N1352" t="s">
        <v>3160</v>
      </c>
      <c r="O1352" t="s">
        <v>13047</v>
      </c>
      <c r="P1352" t="s">
        <v>13048</v>
      </c>
      <c r="Q1352" t="s">
        <v>13049</v>
      </c>
      <c r="R1352" t="s">
        <v>12164</v>
      </c>
      <c r="S1352" t="s">
        <v>12165</v>
      </c>
      <c r="T1352" t="s">
        <v>12166</v>
      </c>
      <c r="U1352" s="5">
        <v>125.49</v>
      </c>
      <c r="V1352" s="5">
        <v>72.540000000000006</v>
      </c>
      <c r="W1352" s="5">
        <v>16.015794</v>
      </c>
      <c r="X1352" s="5">
        <v>108.254242</v>
      </c>
      <c r="Y1352" s="5">
        <v>52.95</v>
      </c>
      <c r="Z1352" s="5">
        <v>16.042570000000001</v>
      </c>
      <c r="AA1352" s="5">
        <v>108.245257</v>
      </c>
      <c r="AB1352" s="7">
        <f t="shared" si="127"/>
        <v>0.10881</v>
      </c>
      <c r="AC1352" s="7">
        <f t="shared" si="128"/>
        <v>7.9425000000000009E-2</v>
      </c>
      <c r="AD1352" s="6" t="str">
        <f t="shared" si="129"/>
        <v>K01</v>
      </c>
      <c r="AE1352" s="6" t="str">
        <f t="shared" si="130"/>
        <v>A01</v>
      </c>
      <c r="AG1352">
        <f t="shared" si="131"/>
        <v>7.2540000000000007E-2</v>
      </c>
      <c r="AH1352">
        <f t="shared" si="132"/>
        <v>5.2950000000000004E-2</v>
      </c>
    </row>
    <row r="1353" spans="1:34" x14ac:dyDescent="0.25">
      <c r="A1353" t="s">
        <v>13050</v>
      </c>
      <c r="B1353" t="s">
        <v>11282</v>
      </c>
      <c r="C1353" t="s">
        <v>11283</v>
      </c>
      <c r="D1353" t="s">
        <v>12963</v>
      </c>
      <c r="E1353" t="s">
        <v>12964</v>
      </c>
      <c r="F1353" t="s">
        <v>13051</v>
      </c>
      <c r="G1353" t="s">
        <v>15979</v>
      </c>
      <c r="H1353" t="s">
        <v>15980</v>
      </c>
      <c r="I1353" t="s">
        <v>17145</v>
      </c>
      <c r="J1353" t="s">
        <v>23</v>
      </c>
      <c r="L1353" t="s">
        <v>11964</v>
      </c>
      <c r="M1353" t="s">
        <v>13052</v>
      </c>
      <c r="N1353" t="s">
        <v>13053</v>
      </c>
      <c r="O1353" t="s">
        <v>13054</v>
      </c>
      <c r="P1353" t="s">
        <v>13055</v>
      </c>
      <c r="Q1353" t="s">
        <v>13056</v>
      </c>
      <c r="R1353" t="s">
        <v>13057</v>
      </c>
      <c r="S1353" t="s">
        <v>13058</v>
      </c>
      <c r="T1353" t="s">
        <v>13059</v>
      </c>
      <c r="U1353" s="5">
        <v>1679.8</v>
      </c>
      <c r="V1353" s="5">
        <v>23.38</v>
      </c>
      <c r="W1353" s="5">
        <v>16.015270000000001</v>
      </c>
      <c r="X1353" s="5">
        <v>108.254587</v>
      </c>
      <c r="Y1353" s="5">
        <v>1656.42</v>
      </c>
      <c r="Z1353" s="5">
        <v>15.999196</v>
      </c>
      <c r="AA1353" s="5">
        <v>108.233384</v>
      </c>
      <c r="AB1353" s="7">
        <f t="shared" si="127"/>
        <v>3.5069999999999997E-2</v>
      </c>
      <c r="AC1353" s="7">
        <f t="shared" si="128"/>
        <v>2.4846300000000001</v>
      </c>
      <c r="AD1353" s="6" t="str">
        <f t="shared" si="129"/>
        <v>TTKV Ngũ Hành Sơn</v>
      </c>
      <c r="AE1353" s="6" t="str">
        <f t="shared" si="130"/>
        <v>Hòa Xuân</v>
      </c>
      <c r="AG1353">
        <f t="shared" si="131"/>
        <v>2.3379999999999998E-2</v>
      </c>
      <c r="AH1353">
        <f t="shared" si="132"/>
        <v>1.65642</v>
      </c>
    </row>
    <row r="1354" spans="1:34" x14ac:dyDescent="0.25">
      <c r="A1354" t="s">
        <v>13060</v>
      </c>
      <c r="B1354" t="s">
        <v>11282</v>
      </c>
      <c r="C1354" t="s">
        <v>11283</v>
      </c>
      <c r="D1354" t="s">
        <v>13061</v>
      </c>
      <c r="E1354" t="s">
        <v>13062</v>
      </c>
      <c r="F1354" t="s">
        <v>13063</v>
      </c>
      <c r="G1354" t="s">
        <v>15979</v>
      </c>
      <c r="H1354" t="s">
        <v>15980</v>
      </c>
      <c r="I1354" t="s">
        <v>17146</v>
      </c>
      <c r="J1354" t="s">
        <v>23</v>
      </c>
      <c r="L1354" t="s">
        <v>11287</v>
      </c>
      <c r="M1354" t="s">
        <v>13064</v>
      </c>
      <c r="N1354" t="s">
        <v>11289</v>
      </c>
      <c r="O1354" t="s">
        <v>11290</v>
      </c>
      <c r="P1354" t="s">
        <v>11291</v>
      </c>
      <c r="Q1354" t="s">
        <v>13065</v>
      </c>
      <c r="R1354" t="s">
        <v>13066</v>
      </c>
      <c r="S1354" t="s">
        <v>13067</v>
      </c>
      <c r="T1354" t="s">
        <v>11295</v>
      </c>
      <c r="U1354" s="5">
        <v>35.39</v>
      </c>
      <c r="V1354" s="5">
        <v>14.34</v>
      </c>
      <c r="W1354" s="5">
        <v>16.015280000000001</v>
      </c>
      <c r="X1354" s="5">
        <v>108.254448</v>
      </c>
      <c r="Y1354" s="5">
        <v>21.05</v>
      </c>
      <c r="Z1354" s="5">
        <v>15.996881</v>
      </c>
      <c r="AA1354" s="5">
        <v>108.26286899999999</v>
      </c>
      <c r="AB1354" s="7">
        <f t="shared" si="127"/>
        <v>2.1509999999999998E-2</v>
      </c>
      <c r="AC1354" s="7">
        <f t="shared" si="128"/>
        <v>3.1575000000000006E-2</v>
      </c>
      <c r="AD1354" s="6" t="str">
        <f t="shared" si="129"/>
        <v>Hội An</v>
      </c>
      <c r="AE1354" s="6" t="str">
        <f t="shared" si="130"/>
        <v>Ngũ Hành Sơn</v>
      </c>
      <c r="AG1354">
        <f t="shared" si="131"/>
        <v>1.434E-2</v>
      </c>
      <c r="AH1354">
        <f t="shared" si="132"/>
        <v>2.1049999999999999E-2</v>
      </c>
    </row>
    <row r="1355" spans="1:34" x14ac:dyDescent="0.25">
      <c r="A1355" t="s">
        <v>13068</v>
      </c>
      <c r="B1355" t="s">
        <v>11282</v>
      </c>
      <c r="C1355" t="s">
        <v>11283</v>
      </c>
      <c r="D1355" t="s">
        <v>13069</v>
      </c>
      <c r="E1355" t="s">
        <v>13070</v>
      </c>
      <c r="F1355" t="s">
        <v>13071</v>
      </c>
      <c r="G1355" t="s">
        <v>15979</v>
      </c>
      <c r="H1355" t="s">
        <v>15980</v>
      </c>
      <c r="I1355" t="s">
        <v>17147</v>
      </c>
      <c r="J1355" t="s">
        <v>23</v>
      </c>
      <c r="L1355" t="s">
        <v>11287</v>
      </c>
      <c r="M1355" t="s">
        <v>13072</v>
      </c>
      <c r="N1355" t="s">
        <v>11289</v>
      </c>
      <c r="O1355" t="s">
        <v>11290</v>
      </c>
      <c r="P1355" t="s">
        <v>11291</v>
      </c>
      <c r="Q1355" t="s">
        <v>13073</v>
      </c>
      <c r="R1355" t="s">
        <v>13074</v>
      </c>
      <c r="S1355" t="s">
        <v>13075</v>
      </c>
      <c r="T1355" t="s">
        <v>11295</v>
      </c>
      <c r="U1355" s="5">
        <v>120.29</v>
      </c>
      <c r="V1355" s="5">
        <v>14.34</v>
      </c>
      <c r="W1355" s="5">
        <v>16.015280000000001</v>
      </c>
      <c r="X1355" s="5">
        <v>108.254448</v>
      </c>
      <c r="Y1355" s="5">
        <v>105.95</v>
      </c>
      <c r="Z1355" s="5">
        <v>16.015132000000001</v>
      </c>
      <c r="AA1355" s="5">
        <v>108.25502</v>
      </c>
      <c r="AB1355" s="7">
        <f t="shared" si="127"/>
        <v>2.1509999999999998E-2</v>
      </c>
      <c r="AC1355" s="7">
        <f t="shared" si="128"/>
        <v>0.15892500000000001</v>
      </c>
      <c r="AD1355" s="6" t="str">
        <f t="shared" si="129"/>
        <v>Hội An</v>
      </c>
      <c r="AE1355" s="6" t="str">
        <f t="shared" si="130"/>
        <v>Ngũ Hành Sơn</v>
      </c>
      <c r="AG1355">
        <f t="shared" si="131"/>
        <v>1.434E-2</v>
      </c>
      <c r="AH1355">
        <f t="shared" si="132"/>
        <v>0.10595</v>
      </c>
    </row>
    <row r="1356" spans="1:34" x14ac:dyDescent="0.25">
      <c r="A1356" t="s">
        <v>13076</v>
      </c>
      <c r="B1356" t="s">
        <v>11282</v>
      </c>
      <c r="C1356" t="s">
        <v>11283</v>
      </c>
      <c r="D1356" t="s">
        <v>13077</v>
      </c>
      <c r="E1356" t="s">
        <v>13078</v>
      </c>
      <c r="F1356" t="s">
        <v>13079</v>
      </c>
      <c r="G1356" t="s">
        <v>15979</v>
      </c>
      <c r="H1356" t="s">
        <v>15980</v>
      </c>
      <c r="I1356" t="s">
        <v>17148</v>
      </c>
      <c r="J1356" t="s">
        <v>23</v>
      </c>
      <c r="L1356" t="s">
        <v>12158</v>
      </c>
      <c r="M1356" t="s">
        <v>13080</v>
      </c>
      <c r="N1356" t="s">
        <v>3160</v>
      </c>
      <c r="O1356" t="s">
        <v>13047</v>
      </c>
      <c r="P1356" t="s">
        <v>13048</v>
      </c>
      <c r="Q1356" t="s">
        <v>13081</v>
      </c>
      <c r="R1356" t="s">
        <v>13082</v>
      </c>
      <c r="S1356" t="s">
        <v>13083</v>
      </c>
      <c r="T1356" t="s">
        <v>12166</v>
      </c>
      <c r="U1356" s="5">
        <v>245.67</v>
      </c>
      <c r="V1356" s="5">
        <v>72.540000000000006</v>
      </c>
      <c r="W1356" s="5">
        <v>16.015794</v>
      </c>
      <c r="X1356" s="5">
        <v>108.254242</v>
      </c>
      <c r="Y1356" s="5">
        <v>173.13</v>
      </c>
      <c r="Z1356" s="5">
        <v>16.008153</v>
      </c>
      <c r="AA1356" s="5">
        <v>108.257991</v>
      </c>
      <c r="AB1356" s="7">
        <f t="shared" si="127"/>
        <v>0.10881</v>
      </c>
      <c r="AC1356" s="7">
        <f t="shared" si="128"/>
        <v>0.25969500000000001</v>
      </c>
      <c r="AD1356" s="6" t="str">
        <f t="shared" si="129"/>
        <v>K01</v>
      </c>
      <c r="AE1356" s="6" t="str">
        <f t="shared" si="130"/>
        <v>A01</v>
      </c>
      <c r="AG1356">
        <f t="shared" si="131"/>
        <v>7.2540000000000007E-2</v>
      </c>
      <c r="AH1356">
        <f t="shared" si="132"/>
        <v>0.17313000000000001</v>
      </c>
    </row>
    <row r="1357" spans="1:34" x14ac:dyDescent="0.25">
      <c r="A1357" t="s">
        <v>13084</v>
      </c>
      <c r="B1357" t="s">
        <v>11282</v>
      </c>
      <c r="C1357" t="s">
        <v>11283</v>
      </c>
      <c r="D1357" t="s">
        <v>13085</v>
      </c>
      <c r="E1357" t="s">
        <v>13086</v>
      </c>
      <c r="F1357" t="s">
        <v>13087</v>
      </c>
      <c r="G1357" t="s">
        <v>15979</v>
      </c>
      <c r="H1357" t="s">
        <v>15980</v>
      </c>
      <c r="I1357" t="s">
        <v>17149</v>
      </c>
      <c r="J1357" t="s">
        <v>23</v>
      </c>
      <c r="L1357" t="s">
        <v>12158</v>
      </c>
      <c r="M1357" t="s">
        <v>13088</v>
      </c>
      <c r="N1357" t="s">
        <v>3160</v>
      </c>
      <c r="O1357" t="s">
        <v>13047</v>
      </c>
      <c r="P1357" t="s">
        <v>13048</v>
      </c>
      <c r="Q1357" t="s">
        <v>225</v>
      </c>
      <c r="R1357" t="s">
        <v>13089</v>
      </c>
      <c r="S1357" t="s">
        <v>13090</v>
      </c>
      <c r="T1357" t="s">
        <v>12166</v>
      </c>
      <c r="U1357" s="5">
        <v>188.33</v>
      </c>
      <c r="V1357" s="5">
        <v>72.540000000000006</v>
      </c>
      <c r="W1357" s="5">
        <v>16.015794</v>
      </c>
      <c r="X1357" s="5">
        <v>108.254242</v>
      </c>
      <c r="Y1357" s="5">
        <v>115.79</v>
      </c>
      <c r="Z1357" s="5">
        <v>16.012620999999999</v>
      </c>
      <c r="AA1357" s="5">
        <v>108.255769</v>
      </c>
      <c r="AB1357" s="7">
        <f t="shared" si="127"/>
        <v>0.10881</v>
      </c>
      <c r="AC1357" s="7">
        <f t="shared" si="128"/>
        <v>0.17368500000000001</v>
      </c>
      <c r="AD1357" s="6" t="str">
        <f t="shared" si="129"/>
        <v>K01</v>
      </c>
      <c r="AE1357" s="6" t="str">
        <f t="shared" si="130"/>
        <v>A01</v>
      </c>
      <c r="AG1357">
        <f t="shared" si="131"/>
        <v>7.2540000000000007E-2</v>
      </c>
      <c r="AH1357">
        <f t="shared" si="132"/>
        <v>0.11579</v>
      </c>
    </row>
    <row r="1358" spans="1:34" x14ac:dyDescent="0.25">
      <c r="A1358" t="s">
        <v>13091</v>
      </c>
      <c r="B1358" t="s">
        <v>11282</v>
      </c>
      <c r="C1358" t="s">
        <v>11283</v>
      </c>
      <c r="D1358" t="s">
        <v>13092</v>
      </c>
      <c r="E1358" t="s">
        <v>13093</v>
      </c>
      <c r="F1358" t="s">
        <v>13094</v>
      </c>
      <c r="G1358" t="s">
        <v>15979</v>
      </c>
      <c r="H1358" t="s">
        <v>15980</v>
      </c>
      <c r="I1358" t="s">
        <v>17150</v>
      </c>
      <c r="J1358" t="s">
        <v>23</v>
      </c>
      <c r="L1358" t="s">
        <v>11287</v>
      </c>
      <c r="M1358" t="s">
        <v>13095</v>
      </c>
      <c r="N1358" t="s">
        <v>11289</v>
      </c>
      <c r="O1358" t="s">
        <v>11290</v>
      </c>
      <c r="P1358" t="s">
        <v>11291</v>
      </c>
      <c r="Q1358" t="s">
        <v>13096</v>
      </c>
      <c r="R1358" t="s">
        <v>13097</v>
      </c>
      <c r="S1358" t="s">
        <v>13098</v>
      </c>
      <c r="T1358" t="s">
        <v>11295</v>
      </c>
      <c r="U1358" s="5">
        <v>538.37</v>
      </c>
      <c r="V1358" s="5">
        <v>14.34</v>
      </c>
      <c r="W1358" s="5">
        <v>16.015280000000001</v>
      </c>
      <c r="X1358" s="5">
        <v>108.254448</v>
      </c>
      <c r="Y1358" s="5">
        <v>524.03</v>
      </c>
      <c r="Z1358" s="5">
        <v>16.000471000000001</v>
      </c>
      <c r="AA1358" s="5">
        <v>108.25984699999999</v>
      </c>
      <c r="AB1358" s="7">
        <f t="shared" si="127"/>
        <v>2.1509999999999998E-2</v>
      </c>
      <c r="AC1358" s="7">
        <f t="shared" si="128"/>
        <v>0.78604499999999999</v>
      </c>
      <c r="AD1358" s="6" t="str">
        <f t="shared" si="129"/>
        <v>Hội An</v>
      </c>
      <c r="AE1358" s="6" t="str">
        <f t="shared" si="130"/>
        <v>Ngũ Hành Sơn</v>
      </c>
      <c r="AG1358">
        <f t="shared" si="131"/>
        <v>1.434E-2</v>
      </c>
      <c r="AH1358">
        <f t="shared" si="132"/>
        <v>0.52403</v>
      </c>
    </row>
    <row r="1359" spans="1:34" x14ac:dyDescent="0.25">
      <c r="A1359" t="s">
        <v>13099</v>
      </c>
      <c r="B1359" t="s">
        <v>11305</v>
      </c>
      <c r="C1359" t="s">
        <v>11306</v>
      </c>
      <c r="D1359" t="s">
        <v>13100</v>
      </c>
      <c r="E1359" t="s">
        <v>13101</v>
      </c>
      <c r="F1359" t="s">
        <v>13102</v>
      </c>
      <c r="G1359" t="s">
        <v>15979</v>
      </c>
      <c r="H1359" t="s">
        <v>15980</v>
      </c>
      <c r="I1359" t="s">
        <v>17151</v>
      </c>
      <c r="J1359" t="s">
        <v>23</v>
      </c>
      <c r="L1359" t="s">
        <v>13103</v>
      </c>
      <c r="M1359" t="s">
        <v>13104</v>
      </c>
      <c r="N1359" t="s">
        <v>13105</v>
      </c>
      <c r="O1359" t="s">
        <v>13106</v>
      </c>
      <c r="P1359" t="s">
        <v>13107</v>
      </c>
      <c r="Q1359" t="s">
        <v>13108</v>
      </c>
      <c r="R1359" t="s">
        <v>13109</v>
      </c>
      <c r="S1359" t="s">
        <v>13110</v>
      </c>
      <c r="T1359" t="s">
        <v>13111</v>
      </c>
      <c r="U1359" s="5">
        <v>1731.73</v>
      </c>
      <c r="V1359" s="5">
        <v>248.8</v>
      </c>
      <c r="W1359" s="5">
        <v>16.068176999999999</v>
      </c>
      <c r="X1359" s="5">
        <v>108.232409</v>
      </c>
      <c r="Y1359" s="5">
        <v>1482.93</v>
      </c>
      <c r="Z1359" s="5">
        <v>16.086010999999999</v>
      </c>
      <c r="AA1359" s="5">
        <v>108.239991</v>
      </c>
      <c r="AB1359" s="7">
        <f t="shared" si="127"/>
        <v>0.37320000000000003</v>
      </c>
      <c r="AC1359" s="7">
        <f t="shared" si="128"/>
        <v>2.2243949999999999</v>
      </c>
      <c r="AD1359" s="6" t="str">
        <f t="shared" si="129"/>
        <v>K01 (CS2)</v>
      </c>
      <c r="AE1359" s="6" t="str">
        <f t="shared" si="130"/>
        <v>Bệnh viện 199 - ok</v>
      </c>
      <c r="AG1359">
        <f t="shared" si="131"/>
        <v>0.24880000000000002</v>
      </c>
      <c r="AH1359">
        <f t="shared" si="132"/>
        <v>1.4829300000000001</v>
      </c>
    </row>
    <row r="1360" spans="1:34" x14ac:dyDescent="0.25">
      <c r="A1360" t="s">
        <v>13112</v>
      </c>
      <c r="B1360" t="s">
        <v>11305</v>
      </c>
      <c r="C1360" t="s">
        <v>11306</v>
      </c>
      <c r="D1360" t="s">
        <v>12825</v>
      </c>
      <c r="E1360" t="s">
        <v>12826</v>
      </c>
      <c r="F1360" t="s">
        <v>13113</v>
      </c>
      <c r="G1360" t="s">
        <v>15979</v>
      </c>
      <c r="H1360" t="s">
        <v>15980</v>
      </c>
      <c r="I1360" t="s">
        <v>17152</v>
      </c>
      <c r="J1360" t="s">
        <v>23</v>
      </c>
      <c r="L1360" t="s">
        <v>11129</v>
      </c>
      <c r="M1360" t="s">
        <v>13114</v>
      </c>
      <c r="N1360" t="s">
        <v>13115</v>
      </c>
      <c r="O1360" t="s">
        <v>13116</v>
      </c>
      <c r="P1360" t="s">
        <v>13117</v>
      </c>
      <c r="Q1360" t="s">
        <v>12829</v>
      </c>
      <c r="R1360" t="s">
        <v>12830</v>
      </c>
      <c r="S1360" t="s">
        <v>12831</v>
      </c>
      <c r="T1360" t="s">
        <v>11137</v>
      </c>
      <c r="U1360" s="5">
        <v>2017.4</v>
      </c>
      <c r="V1360" s="5">
        <v>1554.78</v>
      </c>
      <c r="W1360" s="5">
        <v>16.074739000000001</v>
      </c>
      <c r="X1360" s="5">
        <v>108.21987300000001</v>
      </c>
      <c r="Y1360" s="5">
        <v>462.61</v>
      </c>
      <c r="Z1360" s="5">
        <v>16.059671999999999</v>
      </c>
      <c r="AA1360" s="5">
        <v>108.21110400000001</v>
      </c>
      <c r="AB1360" s="7">
        <f t="shared" si="127"/>
        <v>2.3321700000000001</v>
      </c>
      <c r="AC1360" s="7">
        <f t="shared" si="128"/>
        <v>0.69391499999999995</v>
      </c>
      <c r="AD1360" s="6" t="e">
        <f t="shared" si="129"/>
        <v>#VALUE!</v>
      </c>
      <c r="AE1360" s="6" t="e">
        <f t="shared" si="130"/>
        <v>#VALUE!</v>
      </c>
      <c r="AG1360">
        <f t="shared" si="131"/>
        <v>1.5547800000000001</v>
      </c>
      <c r="AH1360">
        <f t="shared" si="132"/>
        <v>0.46261000000000002</v>
      </c>
    </row>
    <row r="1361" spans="1:34" x14ac:dyDescent="0.25">
      <c r="A1361" t="s">
        <v>13118</v>
      </c>
      <c r="B1361" t="s">
        <v>11305</v>
      </c>
      <c r="C1361" t="s">
        <v>11306</v>
      </c>
      <c r="D1361" t="s">
        <v>13119</v>
      </c>
      <c r="E1361" t="s">
        <v>13120</v>
      </c>
      <c r="F1361" t="s">
        <v>13121</v>
      </c>
      <c r="G1361" t="s">
        <v>15979</v>
      </c>
      <c r="H1361" t="s">
        <v>15980</v>
      </c>
      <c r="I1361" t="s">
        <v>17153</v>
      </c>
      <c r="J1361" t="s">
        <v>23</v>
      </c>
      <c r="L1361" t="s">
        <v>13103</v>
      </c>
      <c r="M1361" t="s">
        <v>13122</v>
      </c>
      <c r="N1361" t="s">
        <v>13105</v>
      </c>
      <c r="O1361" t="s">
        <v>13106</v>
      </c>
      <c r="P1361" t="s">
        <v>13107</v>
      </c>
      <c r="Q1361" t="s">
        <v>13123</v>
      </c>
      <c r="R1361" t="s">
        <v>13124</v>
      </c>
      <c r="S1361" t="s">
        <v>13125</v>
      </c>
      <c r="T1361" t="s">
        <v>13111</v>
      </c>
      <c r="U1361" s="5">
        <v>1073.3699999999999</v>
      </c>
      <c r="V1361" s="5">
        <v>248.8</v>
      </c>
      <c r="W1361" s="5">
        <v>16.068176999999999</v>
      </c>
      <c r="X1361" s="5">
        <v>108.232409</v>
      </c>
      <c r="Y1361" s="5">
        <v>824.57</v>
      </c>
      <c r="Z1361" s="5">
        <v>16.082333999999999</v>
      </c>
      <c r="AA1361" s="5">
        <v>108.236397</v>
      </c>
      <c r="AB1361" s="7">
        <f t="shared" si="127"/>
        <v>0.37320000000000003</v>
      </c>
      <c r="AC1361" s="7">
        <f t="shared" si="128"/>
        <v>1.236855</v>
      </c>
      <c r="AD1361" s="6" t="str">
        <f t="shared" si="129"/>
        <v>K01 (CS2)</v>
      </c>
      <c r="AE1361" s="6" t="str">
        <f t="shared" si="130"/>
        <v>Bệnh viện 199 - ok</v>
      </c>
      <c r="AG1361">
        <f t="shared" si="131"/>
        <v>0.24880000000000002</v>
      </c>
      <c r="AH1361">
        <f t="shared" si="132"/>
        <v>0.82457000000000003</v>
      </c>
    </row>
    <row r="1362" spans="1:34" x14ac:dyDescent="0.25">
      <c r="A1362" t="s">
        <v>13126</v>
      </c>
      <c r="B1362" t="s">
        <v>11305</v>
      </c>
      <c r="C1362" t="s">
        <v>11306</v>
      </c>
      <c r="D1362" t="s">
        <v>13127</v>
      </c>
      <c r="E1362" t="s">
        <v>13128</v>
      </c>
      <c r="F1362" t="s">
        <v>13129</v>
      </c>
      <c r="G1362" t="s">
        <v>15979</v>
      </c>
      <c r="H1362" t="s">
        <v>15980</v>
      </c>
      <c r="I1362" t="s">
        <v>17154</v>
      </c>
      <c r="J1362" t="s">
        <v>23</v>
      </c>
      <c r="L1362" t="s">
        <v>11310</v>
      </c>
      <c r="M1362" t="s">
        <v>13130</v>
      </c>
      <c r="N1362" t="s">
        <v>11312</v>
      </c>
      <c r="O1362" t="s">
        <v>11313</v>
      </c>
      <c r="P1362" t="s">
        <v>11314</v>
      </c>
      <c r="Q1362" t="s">
        <v>13131</v>
      </c>
      <c r="R1362" t="s">
        <v>11316</v>
      </c>
      <c r="S1362" t="s">
        <v>11317</v>
      </c>
      <c r="T1362" t="s">
        <v>11318</v>
      </c>
      <c r="U1362" s="5">
        <v>493.53</v>
      </c>
      <c r="V1362" s="5">
        <v>208.25</v>
      </c>
      <c r="W1362" s="5">
        <v>16.071846000000001</v>
      </c>
      <c r="X1362" s="5">
        <v>108.23430399999999</v>
      </c>
      <c r="Y1362" s="5">
        <v>285.27</v>
      </c>
      <c r="Z1362" s="5">
        <v>16.069942000000001</v>
      </c>
      <c r="AA1362" s="5">
        <v>108.24113199999999</v>
      </c>
      <c r="AB1362" s="7">
        <f t="shared" si="127"/>
        <v>0.31237500000000001</v>
      </c>
      <c r="AC1362" s="7">
        <f t="shared" si="128"/>
        <v>0.42790499999999998</v>
      </c>
      <c r="AD1362" s="6" t="str">
        <f t="shared" si="129"/>
        <v>An Hải</v>
      </c>
      <c r="AE1362" s="6" t="str">
        <f t="shared" si="130"/>
        <v>Sơn Trà</v>
      </c>
      <c r="AG1362">
        <f t="shared" si="131"/>
        <v>0.20824999999999999</v>
      </c>
      <c r="AH1362">
        <f t="shared" si="132"/>
        <v>0.28526999999999997</v>
      </c>
    </row>
    <row r="1363" spans="1:34" x14ac:dyDescent="0.25">
      <c r="A1363" t="s">
        <v>13132</v>
      </c>
      <c r="B1363" t="s">
        <v>11305</v>
      </c>
      <c r="C1363" t="s">
        <v>11306</v>
      </c>
      <c r="D1363" t="s">
        <v>13133</v>
      </c>
      <c r="E1363" t="s">
        <v>13134</v>
      </c>
      <c r="F1363" t="s">
        <v>13135</v>
      </c>
      <c r="G1363" t="s">
        <v>15979</v>
      </c>
      <c r="H1363" t="s">
        <v>15980</v>
      </c>
      <c r="I1363" t="s">
        <v>17155</v>
      </c>
      <c r="J1363" t="s">
        <v>23</v>
      </c>
      <c r="L1363" t="s">
        <v>12171</v>
      </c>
      <c r="M1363" t="s">
        <v>13136</v>
      </c>
      <c r="N1363" t="s">
        <v>13137</v>
      </c>
      <c r="O1363" t="s">
        <v>13138</v>
      </c>
      <c r="P1363" t="s">
        <v>13139</v>
      </c>
      <c r="Q1363" t="s">
        <v>13140</v>
      </c>
      <c r="R1363" t="s">
        <v>13141</v>
      </c>
      <c r="S1363" t="s">
        <v>13142</v>
      </c>
      <c r="T1363" t="s">
        <v>12179</v>
      </c>
      <c r="U1363" s="5">
        <v>796.6</v>
      </c>
      <c r="V1363" s="5">
        <v>617.65</v>
      </c>
      <c r="W1363" s="5">
        <v>16.065455</v>
      </c>
      <c r="X1363" s="5">
        <v>108.236769</v>
      </c>
      <c r="Y1363" s="5">
        <v>178.95</v>
      </c>
      <c r="Z1363" s="5">
        <v>16.060064000000001</v>
      </c>
      <c r="AA1363" s="5">
        <v>108.245611</v>
      </c>
      <c r="AB1363" s="7">
        <f t="shared" si="127"/>
        <v>0.92647499999999994</v>
      </c>
      <c r="AC1363" s="7">
        <f t="shared" si="128"/>
        <v>0.26842499999999997</v>
      </c>
      <c r="AD1363" s="6" t="str">
        <f t="shared" si="129"/>
        <v>Bệnh viện 199</v>
      </c>
      <c r="AE1363" s="6" t="str">
        <f t="shared" si="130"/>
        <v>A01 - ok</v>
      </c>
      <c r="AG1363">
        <f t="shared" si="131"/>
        <v>0.61765000000000003</v>
      </c>
      <c r="AH1363">
        <f t="shared" si="132"/>
        <v>0.17895</v>
      </c>
    </row>
    <row r="1364" spans="1:34" x14ac:dyDescent="0.25">
      <c r="A1364" t="s">
        <v>11365</v>
      </c>
      <c r="B1364" t="s">
        <v>11305</v>
      </c>
      <c r="C1364" t="s">
        <v>11306</v>
      </c>
      <c r="D1364" t="s">
        <v>11366</v>
      </c>
      <c r="E1364" t="s">
        <v>11367</v>
      </c>
      <c r="F1364" t="s">
        <v>13143</v>
      </c>
      <c r="G1364" t="s">
        <v>15979</v>
      </c>
      <c r="H1364" t="s">
        <v>15980</v>
      </c>
      <c r="I1364" t="s">
        <v>16976</v>
      </c>
      <c r="J1364" t="s">
        <v>23</v>
      </c>
      <c r="L1364" t="s">
        <v>11329</v>
      </c>
      <c r="M1364" t="s">
        <v>11369</v>
      </c>
      <c r="N1364" t="s">
        <v>11331</v>
      </c>
      <c r="O1364" t="s">
        <v>11332</v>
      </c>
      <c r="P1364" t="s">
        <v>11333</v>
      </c>
      <c r="Q1364" t="s">
        <v>11370</v>
      </c>
      <c r="R1364" t="s">
        <v>11371</v>
      </c>
      <c r="S1364" t="s">
        <v>11372</v>
      </c>
      <c r="T1364" t="s">
        <v>11337</v>
      </c>
      <c r="U1364" s="5">
        <v>806.13</v>
      </c>
      <c r="V1364" s="5">
        <v>231.85</v>
      </c>
      <c r="W1364" s="5">
        <v>16.068318999999999</v>
      </c>
      <c r="X1364" s="5">
        <v>108.232472</v>
      </c>
      <c r="Y1364" s="5">
        <v>574.28</v>
      </c>
      <c r="Z1364" s="5">
        <v>16.056984</v>
      </c>
      <c r="AA1364" s="5">
        <v>108.235525</v>
      </c>
      <c r="AB1364" s="7">
        <f t="shared" si="127"/>
        <v>0.347775</v>
      </c>
      <c r="AC1364" s="7">
        <f t="shared" si="128"/>
        <v>0.86141999999999996</v>
      </c>
      <c r="AD1364" s="6" t="str">
        <f t="shared" si="129"/>
        <v>Ngũ Hành Sơn</v>
      </c>
      <c r="AE1364" s="6" t="str">
        <f t="shared" si="130"/>
        <v>Sơn Trà</v>
      </c>
      <c r="AG1364">
        <f t="shared" si="131"/>
        <v>0.23185</v>
      </c>
      <c r="AH1364">
        <f t="shared" si="132"/>
        <v>0.57428000000000001</v>
      </c>
    </row>
    <row r="1365" spans="1:34" x14ac:dyDescent="0.25">
      <c r="A1365" t="s">
        <v>13144</v>
      </c>
      <c r="B1365" t="s">
        <v>11305</v>
      </c>
      <c r="C1365" t="s">
        <v>11306</v>
      </c>
      <c r="D1365" t="s">
        <v>13145</v>
      </c>
      <c r="E1365" t="s">
        <v>13146</v>
      </c>
      <c r="F1365" t="s">
        <v>13147</v>
      </c>
      <c r="G1365" t="s">
        <v>15979</v>
      </c>
      <c r="H1365" t="s">
        <v>15980</v>
      </c>
      <c r="I1365" t="s">
        <v>17156</v>
      </c>
      <c r="J1365" t="s">
        <v>23</v>
      </c>
      <c r="L1365" t="s">
        <v>11310</v>
      </c>
      <c r="M1365" t="s">
        <v>13148</v>
      </c>
      <c r="N1365" t="s">
        <v>11312</v>
      </c>
      <c r="O1365" t="s">
        <v>11313</v>
      </c>
      <c r="P1365" t="s">
        <v>11314</v>
      </c>
      <c r="Q1365" t="s">
        <v>13149</v>
      </c>
      <c r="R1365" t="s">
        <v>11316</v>
      </c>
      <c r="S1365" t="s">
        <v>11317</v>
      </c>
      <c r="T1365" t="s">
        <v>11318</v>
      </c>
      <c r="U1365" s="5">
        <v>829.54</v>
      </c>
      <c r="V1365" s="5">
        <v>208.25</v>
      </c>
      <c r="W1365" s="5">
        <v>16.071846000000001</v>
      </c>
      <c r="X1365" s="5">
        <v>108.23430399999999</v>
      </c>
      <c r="Y1365" s="5">
        <v>621.28</v>
      </c>
      <c r="Z1365" s="5">
        <v>16.069942000000001</v>
      </c>
      <c r="AA1365" s="5">
        <v>108.24113199999999</v>
      </c>
      <c r="AB1365" s="7">
        <f t="shared" si="127"/>
        <v>0.31237500000000001</v>
      </c>
      <c r="AC1365" s="7">
        <f t="shared" si="128"/>
        <v>0.93191999999999997</v>
      </c>
      <c r="AD1365" s="6" t="str">
        <f t="shared" si="129"/>
        <v>An Hải</v>
      </c>
      <c r="AE1365" s="6" t="str">
        <f t="shared" si="130"/>
        <v>Sơn Trà</v>
      </c>
      <c r="AG1365">
        <f t="shared" si="131"/>
        <v>0.20824999999999999</v>
      </c>
      <c r="AH1365">
        <f t="shared" si="132"/>
        <v>0.62127999999999994</v>
      </c>
    </row>
    <row r="1366" spans="1:34" x14ac:dyDescent="0.25">
      <c r="A1366" t="s">
        <v>13150</v>
      </c>
      <c r="B1366" t="s">
        <v>13151</v>
      </c>
      <c r="C1366" t="s">
        <v>13152</v>
      </c>
      <c r="D1366" t="s">
        <v>11637</v>
      </c>
      <c r="E1366" t="s">
        <v>11638</v>
      </c>
      <c r="F1366" t="s">
        <v>13153</v>
      </c>
      <c r="G1366" t="s">
        <v>15979</v>
      </c>
      <c r="H1366" t="s">
        <v>15980</v>
      </c>
      <c r="I1366" t="s">
        <v>17157</v>
      </c>
      <c r="J1366" t="s">
        <v>23</v>
      </c>
      <c r="L1366" t="s">
        <v>12515</v>
      </c>
      <c r="M1366" t="s">
        <v>13154</v>
      </c>
      <c r="N1366" t="s">
        <v>13155</v>
      </c>
      <c r="O1366" t="s">
        <v>13156</v>
      </c>
      <c r="P1366" t="s">
        <v>13157</v>
      </c>
      <c r="Q1366" t="s">
        <v>13158</v>
      </c>
      <c r="R1366" t="s">
        <v>13159</v>
      </c>
      <c r="S1366" t="s">
        <v>13160</v>
      </c>
      <c r="T1366" t="s">
        <v>12522</v>
      </c>
      <c r="U1366" s="5">
        <v>6347.58</v>
      </c>
      <c r="V1366" s="5">
        <v>6069.45</v>
      </c>
      <c r="W1366" s="5">
        <v>15.839861000000001</v>
      </c>
      <c r="X1366" s="5">
        <v>108.281587</v>
      </c>
      <c r="Y1366" s="5">
        <v>278.13</v>
      </c>
      <c r="Z1366" s="5">
        <v>15.787193</v>
      </c>
      <c r="AA1366" s="5">
        <v>108.323618</v>
      </c>
      <c r="AB1366" s="7">
        <f t="shared" si="127"/>
        <v>9.1041749999999997</v>
      </c>
      <c r="AC1366" s="7">
        <f t="shared" si="128"/>
        <v>0.41719499999999998</v>
      </c>
      <c r="AD1366" s="6" t="str">
        <f t="shared" si="129"/>
        <v>Nam Phước</v>
      </c>
      <c r="AE1366" s="6" t="str">
        <f t="shared" si="130"/>
        <v>Xuân Phú</v>
      </c>
      <c r="AG1366">
        <f t="shared" si="131"/>
        <v>6.0694499999999998</v>
      </c>
      <c r="AH1366">
        <f t="shared" si="132"/>
        <v>0.27812999999999999</v>
      </c>
    </row>
    <row r="1367" spans="1:34" x14ac:dyDescent="0.25">
      <c r="A1367" t="s">
        <v>13161</v>
      </c>
      <c r="B1367" t="s">
        <v>13151</v>
      </c>
      <c r="C1367" t="s">
        <v>13152</v>
      </c>
      <c r="D1367" t="s">
        <v>13162</v>
      </c>
      <c r="E1367" t="s">
        <v>13163</v>
      </c>
      <c r="F1367" t="s">
        <v>13164</v>
      </c>
      <c r="G1367" t="s">
        <v>15979</v>
      </c>
      <c r="H1367" t="s">
        <v>15980</v>
      </c>
      <c r="I1367" t="s">
        <v>17158</v>
      </c>
      <c r="J1367" t="s">
        <v>23</v>
      </c>
      <c r="L1367" t="s">
        <v>13165</v>
      </c>
      <c r="M1367" t="s">
        <v>13166</v>
      </c>
      <c r="N1367" t="s">
        <v>13167</v>
      </c>
      <c r="O1367" t="s">
        <v>13168</v>
      </c>
      <c r="P1367" t="s">
        <v>13169</v>
      </c>
      <c r="Q1367" t="s">
        <v>13170</v>
      </c>
      <c r="R1367" t="s">
        <v>13171</v>
      </c>
      <c r="S1367" t="s">
        <v>13172</v>
      </c>
      <c r="T1367" t="s">
        <v>13173</v>
      </c>
      <c r="U1367" s="5">
        <v>1753.2</v>
      </c>
      <c r="V1367" s="5">
        <v>1505.28</v>
      </c>
      <c r="W1367" s="5">
        <v>15.888445000000001</v>
      </c>
      <c r="X1367" s="5">
        <v>108.23995499999999</v>
      </c>
      <c r="Y1367" s="5">
        <v>247.93</v>
      </c>
      <c r="Z1367" s="5">
        <v>15.888389999999999</v>
      </c>
      <c r="AA1367" s="5">
        <v>108.17937999999999</v>
      </c>
      <c r="AB1367" s="7">
        <f t="shared" si="127"/>
        <v>2.2579199999999999</v>
      </c>
      <c r="AC1367" s="7">
        <f t="shared" si="128"/>
        <v>0.37189499999999998</v>
      </c>
      <c r="AD1367" s="6" t="str">
        <f t="shared" si="129"/>
        <v>Điện Bàn</v>
      </c>
      <c r="AE1367" s="6" t="str">
        <f t="shared" si="130"/>
        <v>Điện Bàn Tây</v>
      </c>
      <c r="AG1367">
        <f t="shared" si="131"/>
        <v>1.50528</v>
      </c>
      <c r="AH1367">
        <f t="shared" si="132"/>
        <v>0.24793000000000001</v>
      </c>
    </row>
    <row r="1368" spans="1:34" x14ac:dyDescent="0.25">
      <c r="A1368" t="s">
        <v>13174</v>
      </c>
      <c r="B1368" t="s">
        <v>13151</v>
      </c>
      <c r="C1368" t="s">
        <v>13152</v>
      </c>
      <c r="D1368" t="s">
        <v>13175</v>
      </c>
      <c r="E1368" t="s">
        <v>13176</v>
      </c>
      <c r="F1368" t="s">
        <v>13177</v>
      </c>
      <c r="H1368" t="s">
        <v>15980</v>
      </c>
      <c r="I1368" t="s">
        <v>17159</v>
      </c>
      <c r="J1368" t="s">
        <v>23</v>
      </c>
      <c r="L1368" t="s">
        <v>13178</v>
      </c>
      <c r="M1368" t="s">
        <v>13179</v>
      </c>
      <c r="N1368" t="s">
        <v>13180</v>
      </c>
      <c r="O1368" t="s">
        <v>13181</v>
      </c>
      <c r="P1368" t="s">
        <v>13182</v>
      </c>
      <c r="Q1368" t="s">
        <v>13183</v>
      </c>
      <c r="R1368" t="s">
        <v>13184</v>
      </c>
      <c r="S1368" t="s">
        <v>13185</v>
      </c>
      <c r="T1368" t="s">
        <v>13186</v>
      </c>
      <c r="U1368" s="5">
        <v>312.47000000000003</v>
      </c>
      <c r="V1368" s="5">
        <v>294.45</v>
      </c>
      <c r="W1368" s="5">
        <v>15.889352000000001</v>
      </c>
      <c r="X1368" s="5">
        <v>108.256027</v>
      </c>
      <c r="Y1368" s="5">
        <v>18.02</v>
      </c>
      <c r="Z1368" s="5">
        <v>15.919997</v>
      </c>
      <c r="AA1368" s="5">
        <v>108.221555</v>
      </c>
      <c r="AB1368" s="7">
        <f t="shared" si="127"/>
        <v>0.44167499999999993</v>
      </c>
      <c r="AC1368" s="7">
        <f t="shared" si="128"/>
        <v>2.7030000000000002E-2</v>
      </c>
      <c r="AD1368" s="6" t="str">
        <f t="shared" si="129"/>
        <v>TTCMKV Điện Bàn</v>
      </c>
      <c r="AE1368" s="6" t="str">
        <f t="shared" si="130"/>
        <v>An Thắng</v>
      </c>
      <c r="AG1368">
        <f t="shared" si="131"/>
        <v>0.29444999999999999</v>
      </c>
      <c r="AH1368">
        <f t="shared" si="132"/>
        <v>1.8020000000000001E-2</v>
      </c>
    </row>
    <row r="1369" spans="1:34" x14ac:dyDescent="0.25">
      <c r="A1369" t="s">
        <v>13187</v>
      </c>
      <c r="B1369" t="s">
        <v>13151</v>
      </c>
      <c r="C1369" t="s">
        <v>13152</v>
      </c>
      <c r="D1369" t="s">
        <v>13188</v>
      </c>
      <c r="E1369" t="s">
        <v>13189</v>
      </c>
      <c r="F1369" t="s">
        <v>13190</v>
      </c>
      <c r="G1369" t="s">
        <v>15979</v>
      </c>
      <c r="H1369" t="s">
        <v>15980</v>
      </c>
      <c r="I1369" t="s">
        <v>17160</v>
      </c>
      <c r="J1369" t="s">
        <v>23</v>
      </c>
      <c r="L1369" t="s">
        <v>13165</v>
      </c>
      <c r="M1369" t="s">
        <v>13191</v>
      </c>
      <c r="N1369" t="s">
        <v>13167</v>
      </c>
      <c r="O1369" t="s">
        <v>13168</v>
      </c>
      <c r="P1369" t="s">
        <v>13169</v>
      </c>
      <c r="Q1369" t="s">
        <v>13192</v>
      </c>
      <c r="R1369" t="s">
        <v>13193</v>
      </c>
      <c r="S1369" t="s">
        <v>13194</v>
      </c>
      <c r="T1369" t="s">
        <v>13173</v>
      </c>
      <c r="U1369" s="5">
        <v>1566.06</v>
      </c>
      <c r="V1369" s="5">
        <v>1505.28</v>
      </c>
      <c r="W1369" s="5">
        <v>15.888445000000001</v>
      </c>
      <c r="X1369" s="5">
        <v>108.23995499999999</v>
      </c>
      <c r="Y1369" s="5">
        <v>60.78</v>
      </c>
      <c r="Z1369" s="5">
        <v>15.884274</v>
      </c>
      <c r="AA1369" s="5">
        <v>108.22657599999999</v>
      </c>
      <c r="AB1369" s="7">
        <f t="shared" si="127"/>
        <v>2.2579199999999999</v>
      </c>
      <c r="AC1369" s="7">
        <f t="shared" si="128"/>
        <v>9.1170000000000001E-2</v>
      </c>
      <c r="AD1369" s="6" t="str">
        <f t="shared" si="129"/>
        <v>Điện Bàn</v>
      </c>
      <c r="AE1369" s="6" t="str">
        <f t="shared" si="130"/>
        <v>Điện Bàn Tây</v>
      </c>
      <c r="AG1369">
        <f t="shared" si="131"/>
        <v>1.50528</v>
      </c>
      <c r="AH1369">
        <f t="shared" si="132"/>
        <v>6.0780000000000001E-2</v>
      </c>
    </row>
    <row r="1370" spans="1:34" x14ac:dyDescent="0.25">
      <c r="A1370" t="s">
        <v>13195</v>
      </c>
      <c r="B1370" t="s">
        <v>13151</v>
      </c>
      <c r="C1370" t="s">
        <v>13152</v>
      </c>
      <c r="D1370" t="s">
        <v>13196</v>
      </c>
      <c r="E1370" t="s">
        <v>13197</v>
      </c>
      <c r="F1370" t="s">
        <v>13198</v>
      </c>
      <c r="G1370" t="s">
        <v>15979</v>
      </c>
      <c r="H1370" t="s">
        <v>15980</v>
      </c>
      <c r="I1370" t="s">
        <v>17161</v>
      </c>
      <c r="J1370" t="s">
        <v>23</v>
      </c>
      <c r="L1370" t="s">
        <v>13199</v>
      </c>
      <c r="M1370" t="s">
        <v>10010</v>
      </c>
      <c r="N1370" t="s">
        <v>13200</v>
      </c>
      <c r="O1370" t="s">
        <v>13201</v>
      </c>
      <c r="P1370" t="s">
        <v>13202</v>
      </c>
      <c r="Q1370" t="s">
        <v>13203</v>
      </c>
      <c r="R1370" t="s">
        <v>13204</v>
      </c>
      <c r="S1370" t="s">
        <v>13205</v>
      </c>
      <c r="T1370" t="s">
        <v>13206</v>
      </c>
      <c r="U1370" s="5">
        <v>1502.01</v>
      </c>
      <c r="V1370" s="5">
        <v>13.57</v>
      </c>
      <c r="W1370" s="5">
        <v>15.887679</v>
      </c>
      <c r="X1370" s="5">
        <v>108.25402800000001</v>
      </c>
      <c r="Y1370" s="5">
        <v>1488.43</v>
      </c>
      <c r="Z1370" s="5">
        <v>15.865550000000001</v>
      </c>
      <c r="AA1370" s="5">
        <v>108.27046</v>
      </c>
      <c r="AB1370" s="7">
        <f t="shared" si="127"/>
        <v>2.0355000000000002E-2</v>
      </c>
      <c r="AC1370" s="7">
        <f t="shared" si="128"/>
        <v>2.2326449999999998</v>
      </c>
      <c r="AD1370" s="6" t="str">
        <f t="shared" si="129"/>
        <v>TTCMKV Điện Bàn</v>
      </c>
      <c r="AE1370" s="6" t="str">
        <f t="shared" si="130"/>
        <v>Nam Phước</v>
      </c>
      <c r="AG1370">
        <f t="shared" si="131"/>
        <v>1.357E-2</v>
      </c>
      <c r="AH1370">
        <f t="shared" si="132"/>
        <v>1.4884300000000001</v>
      </c>
    </row>
    <row r="1371" spans="1:34" x14ac:dyDescent="0.25">
      <c r="A1371" t="s">
        <v>13207</v>
      </c>
      <c r="B1371" t="s">
        <v>13151</v>
      </c>
      <c r="C1371" t="s">
        <v>13152</v>
      </c>
      <c r="D1371" t="s">
        <v>13208</v>
      </c>
      <c r="E1371" t="s">
        <v>13209</v>
      </c>
      <c r="F1371" t="s">
        <v>13210</v>
      </c>
      <c r="G1371" t="s">
        <v>15979</v>
      </c>
      <c r="H1371" t="s">
        <v>15980</v>
      </c>
      <c r="I1371" t="s">
        <v>17162</v>
      </c>
      <c r="J1371" t="s">
        <v>23</v>
      </c>
      <c r="L1371" t="s">
        <v>13199</v>
      </c>
      <c r="M1371" t="s">
        <v>13211</v>
      </c>
      <c r="N1371" t="s">
        <v>13200</v>
      </c>
      <c r="O1371" t="s">
        <v>13201</v>
      </c>
      <c r="P1371" t="s">
        <v>13202</v>
      </c>
      <c r="Q1371" t="s">
        <v>13212</v>
      </c>
      <c r="R1371" t="s">
        <v>13213</v>
      </c>
      <c r="S1371" t="s">
        <v>13214</v>
      </c>
      <c r="T1371" t="s">
        <v>13206</v>
      </c>
      <c r="U1371" s="5">
        <v>39.020000000000003</v>
      </c>
      <c r="V1371" s="5">
        <v>13.57</v>
      </c>
      <c r="W1371" s="5">
        <v>15.887679</v>
      </c>
      <c r="X1371" s="5">
        <v>108.25402800000001</v>
      </c>
      <c r="Y1371" s="5">
        <v>25.45</v>
      </c>
      <c r="Z1371" s="5">
        <v>15.868352</v>
      </c>
      <c r="AA1371" s="5">
        <v>108.263243</v>
      </c>
      <c r="AB1371" s="7">
        <f t="shared" si="127"/>
        <v>2.0355000000000002E-2</v>
      </c>
      <c r="AC1371" s="7">
        <f t="shared" si="128"/>
        <v>3.8175000000000001E-2</v>
      </c>
      <c r="AD1371" s="6" t="str">
        <f t="shared" si="129"/>
        <v>TTCMKV Điện Bàn</v>
      </c>
      <c r="AE1371" s="6" t="str">
        <f t="shared" si="130"/>
        <v>Nam Phước</v>
      </c>
      <c r="AG1371">
        <f t="shared" si="131"/>
        <v>1.357E-2</v>
      </c>
      <c r="AH1371">
        <f t="shared" si="132"/>
        <v>2.545E-2</v>
      </c>
    </row>
    <row r="1372" spans="1:34" x14ac:dyDescent="0.25">
      <c r="A1372" t="s">
        <v>13215</v>
      </c>
      <c r="B1372" t="s">
        <v>13151</v>
      </c>
      <c r="C1372" t="s">
        <v>13152</v>
      </c>
      <c r="D1372" t="s">
        <v>13216</v>
      </c>
      <c r="E1372" t="s">
        <v>13217</v>
      </c>
      <c r="F1372" t="s">
        <v>13218</v>
      </c>
      <c r="G1372" t="s">
        <v>15979</v>
      </c>
      <c r="H1372" t="s">
        <v>15980</v>
      </c>
      <c r="I1372" t="s">
        <v>17163</v>
      </c>
      <c r="J1372" t="s">
        <v>23</v>
      </c>
      <c r="L1372" t="s">
        <v>13199</v>
      </c>
      <c r="M1372" t="s">
        <v>13219</v>
      </c>
      <c r="N1372" t="s">
        <v>13200</v>
      </c>
      <c r="O1372" t="s">
        <v>13201</v>
      </c>
      <c r="P1372" t="s">
        <v>13202</v>
      </c>
      <c r="Q1372" t="s">
        <v>13220</v>
      </c>
      <c r="R1372" t="s">
        <v>13213</v>
      </c>
      <c r="S1372" t="s">
        <v>13214</v>
      </c>
      <c r="T1372" t="s">
        <v>13206</v>
      </c>
      <c r="U1372" s="5">
        <v>1118.8499999999999</v>
      </c>
      <c r="V1372" s="5">
        <v>13.57</v>
      </c>
      <c r="W1372" s="5">
        <v>15.887679</v>
      </c>
      <c r="X1372" s="5">
        <v>108.25402800000001</v>
      </c>
      <c r="Y1372" s="5">
        <v>1105.28</v>
      </c>
      <c r="Z1372" s="5">
        <v>15.868352</v>
      </c>
      <c r="AA1372" s="5">
        <v>108.263243</v>
      </c>
      <c r="AB1372" s="7">
        <f t="shared" si="127"/>
        <v>2.0355000000000002E-2</v>
      </c>
      <c r="AC1372" s="7">
        <f t="shared" si="128"/>
        <v>1.6579200000000001</v>
      </c>
      <c r="AD1372" s="6" t="str">
        <f t="shared" si="129"/>
        <v>TTCMKV Điện Bàn</v>
      </c>
      <c r="AE1372" s="6" t="str">
        <f t="shared" si="130"/>
        <v>Nam Phước</v>
      </c>
      <c r="AG1372">
        <f t="shared" si="131"/>
        <v>1.357E-2</v>
      </c>
      <c r="AH1372">
        <f t="shared" si="132"/>
        <v>1.10528</v>
      </c>
    </row>
    <row r="1373" spans="1:34" x14ac:dyDescent="0.25">
      <c r="A1373" t="s">
        <v>13221</v>
      </c>
      <c r="B1373" t="s">
        <v>13151</v>
      </c>
      <c r="C1373" t="s">
        <v>13152</v>
      </c>
      <c r="D1373" t="s">
        <v>13222</v>
      </c>
      <c r="E1373" t="s">
        <v>13223</v>
      </c>
      <c r="F1373" t="s">
        <v>13224</v>
      </c>
      <c r="G1373" t="s">
        <v>15979</v>
      </c>
      <c r="H1373" t="s">
        <v>15980</v>
      </c>
      <c r="I1373" t="s">
        <v>17164</v>
      </c>
      <c r="J1373" t="s">
        <v>23</v>
      </c>
      <c r="L1373" t="s">
        <v>11943</v>
      </c>
      <c r="M1373" t="s">
        <v>13225</v>
      </c>
      <c r="N1373" t="s">
        <v>10062</v>
      </c>
      <c r="O1373" t="s">
        <v>13226</v>
      </c>
      <c r="P1373" t="s">
        <v>13227</v>
      </c>
      <c r="Q1373" t="s">
        <v>13228</v>
      </c>
      <c r="R1373" t="s">
        <v>13229</v>
      </c>
      <c r="S1373" t="s">
        <v>13230</v>
      </c>
      <c r="T1373" t="s">
        <v>11951</v>
      </c>
      <c r="U1373" s="5">
        <v>354.28</v>
      </c>
      <c r="V1373" s="5">
        <v>306.38</v>
      </c>
      <c r="W1373" s="5">
        <v>15.886761</v>
      </c>
      <c r="X1373" s="5">
        <v>108.25125800000001</v>
      </c>
      <c r="Y1373" s="5">
        <v>47.9</v>
      </c>
      <c r="Z1373" s="5">
        <v>15.888949</v>
      </c>
      <c r="AA1373" s="5">
        <v>108.24909</v>
      </c>
      <c r="AB1373" s="7">
        <f t="shared" si="127"/>
        <v>0.45956999999999998</v>
      </c>
      <c r="AC1373" s="7">
        <f t="shared" si="128"/>
        <v>7.1849999999999997E-2</v>
      </c>
      <c r="AD1373" s="6" t="str">
        <f t="shared" si="129"/>
        <v>Cẩm Lệ</v>
      </c>
      <c r="AE1373" s="6" t="str">
        <f t="shared" si="130"/>
        <v>Điện Bàn</v>
      </c>
      <c r="AG1373">
        <f t="shared" si="131"/>
        <v>0.30637999999999999</v>
      </c>
      <c r="AH1373">
        <f t="shared" si="132"/>
        <v>4.7899999999999998E-2</v>
      </c>
    </row>
    <row r="1374" spans="1:34" x14ac:dyDescent="0.25">
      <c r="A1374" t="s">
        <v>13231</v>
      </c>
      <c r="B1374" t="s">
        <v>13151</v>
      </c>
      <c r="C1374" t="s">
        <v>13152</v>
      </c>
      <c r="D1374" t="s">
        <v>13232</v>
      </c>
      <c r="E1374" t="s">
        <v>13233</v>
      </c>
      <c r="F1374" t="s">
        <v>13234</v>
      </c>
      <c r="G1374" t="s">
        <v>15979</v>
      </c>
      <c r="H1374" t="s">
        <v>15980</v>
      </c>
      <c r="I1374" t="s">
        <v>17165</v>
      </c>
      <c r="J1374" t="s">
        <v>23</v>
      </c>
      <c r="L1374" t="s">
        <v>13165</v>
      </c>
      <c r="M1374" t="s">
        <v>13235</v>
      </c>
      <c r="N1374" t="s">
        <v>13236</v>
      </c>
      <c r="O1374" t="s">
        <v>13237</v>
      </c>
      <c r="P1374" t="s">
        <v>13238</v>
      </c>
      <c r="Q1374" t="s">
        <v>13239</v>
      </c>
      <c r="R1374" t="s">
        <v>13240</v>
      </c>
      <c r="S1374" t="s">
        <v>13241</v>
      </c>
      <c r="T1374" t="s">
        <v>13242</v>
      </c>
      <c r="U1374" s="5">
        <v>1338.63</v>
      </c>
      <c r="V1374" s="5">
        <v>69.790000000000006</v>
      </c>
      <c r="W1374" s="5">
        <v>15.887834</v>
      </c>
      <c r="X1374" s="5">
        <v>108.25341299999999</v>
      </c>
      <c r="Y1374" s="5">
        <v>1268.8399999999999</v>
      </c>
      <c r="Z1374" s="5">
        <v>15.884627999999999</v>
      </c>
      <c r="AA1374" s="5">
        <v>108.248704</v>
      </c>
      <c r="AB1374" s="7">
        <f t="shared" si="127"/>
        <v>0.104685</v>
      </c>
      <c r="AC1374" s="7">
        <f t="shared" si="128"/>
        <v>1.9032599999999997</v>
      </c>
      <c r="AD1374" s="6" t="str">
        <f t="shared" si="129"/>
        <v>Điện Bàn</v>
      </c>
      <c r="AE1374" s="6" t="str">
        <f t="shared" si="130"/>
        <v>Điện Bàn Tây</v>
      </c>
      <c r="AG1374">
        <f t="shared" si="131"/>
        <v>6.9790000000000005E-2</v>
      </c>
      <c r="AH1374">
        <f t="shared" si="132"/>
        <v>1.26884</v>
      </c>
    </row>
    <row r="1375" spans="1:34" x14ac:dyDescent="0.25">
      <c r="A1375" t="s">
        <v>13243</v>
      </c>
      <c r="B1375" t="s">
        <v>13244</v>
      </c>
      <c r="C1375" t="s">
        <v>13245</v>
      </c>
      <c r="D1375" t="s">
        <v>13162</v>
      </c>
      <c r="E1375" t="s">
        <v>13163</v>
      </c>
      <c r="F1375" t="s">
        <v>13246</v>
      </c>
      <c r="G1375" t="s">
        <v>15979</v>
      </c>
      <c r="H1375" t="s">
        <v>15980</v>
      </c>
      <c r="I1375" t="s">
        <v>17166</v>
      </c>
      <c r="J1375" t="s">
        <v>23</v>
      </c>
      <c r="L1375" t="s">
        <v>13165</v>
      </c>
      <c r="M1375" t="s">
        <v>13247</v>
      </c>
      <c r="N1375" t="s">
        <v>13248</v>
      </c>
      <c r="O1375" t="s">
        <v>13249</v>
      </c>
      <c r="P1375" t="s">
        <v>13250</v>
      </c>
      <c r="Q1375" t="s">
        <v>13251</v>
      </c>
      <c r="R1375" t="s">
        <v>13252</v>
      </c>
      <c r="S1375" t="s">
        <v>13172</v>
      </c>
      <c r="T1375" t="s">
        <v>13253</v>
      </c>
      <c r="U1375" s="5">
        <v>3949.71</v>
      </c>
      <c r="V1375" s="5">
        <v>3701.29</v>
      </c>
      <c r="W1375" s="5">
        <v>15.888811</v>
      </c>
      <c r="X1375" s="5">
        <v>108.149871</v>
      </c>
      <c r="Y1375" s="5">
        <v>248.42</v>
      </c>
      <c r="Z1375" s="5">
        <v>15.888381000000001</v>
      </c>
      <c r="AA1375" s="5">
        <v>108.17937999999999</v>
      </c>
      <c r="AB1375" s="7">
        <f t="shared" si="127"/>
        <v>5.5519349999999994</v>
      </c>
      <c r="AC1375" s="7">
        <f t="shared" si="128"/>
        <v>0.37263000000000002</v>
      </c>
      <c r="AD1375" s="6" t="str">
        <f t="shared" si="129"/>
        <v>Điện Bàn</v>
      </c>
      <c r="AE1375" s="6" t="str">
        <f t="shared" si="130"/>
        <v>Điện Bàn Tây</v>
      </c>
      <c r="AG1375">
        <f t="shared" si="131"/>
        <v>3.7012899999999997</v>
      </c>
      <c r="AH1375">
        <f t="shared" si="132"/>
        <v>0.24841999999999997</v>
      </c>
    </row>
    <row r="1376" spans="1:34" x14ac:dyDescent="0.25">
      <c r="A1376" t="s">
        <v>13254</v>
      </c>
      <c r="B1376" t="s">
        <v>13244</v>
      </c>
      <c r="C1376" t="s">
        <v>13245</v>
      </c>
      <c r="D1376" t="s">
        <v>13255</v>
      </c>
      <c r="E1376" t="s">
        <v>13256</v>
      </c>
      <c r="F1376" t="s">
        <v>13257</v>
      </c>
      <c r="H1376" t="s">
        <v>15980</v>
      </c>
      <c r="I1376" t="s">
        <v>17167</v>
      </c>
      <c r="J1376" t="s">
        <v>23</v>
      </c>
      <c r="L1376" t="s">
        <v>13258</v>
      </c>
      <c r="M1376" t="s">
        <v>13259</v>
      </c>
      <c r="N1376" t="s">
        <v>13260</v>
      </c>
      <c r="O1376" t="s">
        <v>13261</v>
      </c>
      <c r="P1376" t="s">
        <v>13262</v>
      </c>
      <c r="Q1376" t="s">
        <v>13263</v>
      </c>
      <c r="R1376" t="s">
        <v>13264</v>
      </c>
      <c r="S1376" t="s">
        <v>13265</v>
      </c>
      <c r="T1376" t="s">
        <v>13266</v>
      </c>
      <c r="U1376" s="5">
        <v>3133.76</v>
      </c>
      <c r="V1376" s="5">
        <v>3081.84</v>
      </c>
      <c r="W1376" s="5">
        <v>15.855328</v>
      </c>
      <c r="X1376" s="5">
        <v>108.113702</v>
      </c>
      <c r="Y1376" s="5">
        <v>51.92</v>
      </c>
      <c r="Z1376" s="5">
        <v>15.822844</v>
      </c>
      <c r="AA1376" s="5">
        <v>108.24684600000001</v>
      </c>
      <c r="AB1376" s="7">
        <f t="shared" si="127"/>
        <v>4.6227600000000004</v>
      </c>
      <c r="AC1376" s="7">
        <f t="shared" si="128"/>
        <v>7.7879999999999991E-2</v>
      </c>
      <c r="AD1376" s="6" t="str">
        <f t="shared" si="129"/>
        <v>Trại giam An Điềm (C10)</v>
      </c>
      <c r="AE1376" s="6" t="str">
        <f t="shared" si="130"/>
        <v>Duy Xuyên</v>
      </c>
      <c r="AG1376">
        <f t="shared" si="131"/>
        <v>3.0818400000000001</v>
      </c>
      <c r="AH1376">
        <f t="shared" si="132"/>
        <v>5.1920000000000001E-2</v>
      </c>
    </row>
    <row r="1377" spans="1:34" x14ac:dyDescent="0.25">
      <c r="A1377" t="s">
        <v>13267</v>
      </c>
      <c r="B1377" t="s">
        <v>13244</v>
      </c>
      <c r="C1377" t="s">
        <v>13245</v>
      </c>
      <c r="D1377" t="s">
        <v>13268</v>
      </c>
      <c r="E1377" t="s">
        <v>13269</v>
      </c>
      <c r="F1377" t="s">
        <v>13270</v>
      </c>
      <c r="G1377" t="s">
        <v>15979</v>
      </c>
      <c r="H1377" t="s">
        <v>15980</v>
      </c>
      <c r="I1377" t="s">
        <v>17168</v>
      </c>
      <c r="J1377" t="s">
        <v>23</v>
      </c>
      <c r="L1377" t="s">
        <v>11196</v>
      </c>
      <c r="M1377" t="s">
        <v>13271</v>
      </c>
      <c r="N1377" t="s">
        <v>13272</v>
      </c>
      <c r="O1377" t="s">
        <v>13273</v>
      </c>
      <c r="P1377" t="s">
        <v>13274</v>
      </c>
      <c r="Q1377" t="s">
        <v>13275</v>
      </c>
      <c r="R1377" t="s">
        <v>13276</v>
      </c>
      <c r="S1377" t="s">
        <v>13277</v>
      </c>
      <c r="T1377" t="s">
        <v>11204</v>
      </c>
      <c r="U1377" s="5">
        <v>578.62</v>
      </c>
      <c r="V1377" s="5">
        <v>27.76</v>
      </c>
      <c r="W1377" s="5">
        <v>15.882747999999999</v>
      </c>
      <c r="X1377" s="5">
        <v>108.115681</v>
      </c>
      <c r="Y1377" s="5">
        <v>550.86</v>
      </c>
      <c r="Z1377" s="5">
        <v>15.906772</v>
      </c>
      <c r="AA1377" s="5">
        <v>108.126825</v>
      </c>
      <c r="AB1377" s="7">
        <f t="shared" si="127"/>
        <v>4.1640000000000003E-2</v>
      </c>
      <c r="AC1377" s="7">
        <f t="shared" si="128"/>
        <v>0.82628999999999997</v>
      </c>
      <c r="AD1377" s="6" t="str">
        <f t="shared" si="129"/>
        <v>Sông Vàng</v>
      </c>
      <c r="AE1377" s="6" t="str">
        <f t="shared" si="130"/>
        <v>TTCMKV Đại Lộc</v>
      </c>
      <c r="AG1377">
        <f t="shared" si="131"/>
        <v>2.776E-2</v>
      </c>
      <c r="AH1377">
        <f t="shared" si="132"/>
        <v>0.55086000000000002</v>
      </c>
    </row>
    <row r="1378" spans="1:34" x14ac:dyDescent="0.25">
      <c r="A1378" t="s">
        <v>13278</v>
      </c>
      <c r="B1378" t="s">
        <v>13244</v>
      </c>
      <c r="C1378" t="s">
        <v>13245</v>
      </c>
      <c r="D1378" t="s">
        <v>13279</v>
      </c>
      <c r="E1378" t="s">
        <v>13280</v>
      </c>
      <c r="F1378" t="s">
        <v>13281</v>
      </c>
      <c r="G1378" t="s">
        <v>15979</v>
      </c>
      <c r="H1378" t="s">
        <v>15980</v>
      </c>
      <c r="I1378" t="s">
        <v>17169</v>
      </c>
      <c r="J1378" t="s">
        <v>23</v>
      </c>
      <c r="L1378" t="s">
        <v>13282</v>
      </c>
      <c r="M1378" t="s">
        <v>13283</v>
      </c>
      <c r="N1378" t="s">
        <v>13284</v>
      </c>
      <c r="O1378" t="s">
        <v>13285</v>
      </c>
      <c r="P1378" t="s">
        <v>13286</v>
      </c>
      <c r="Q1378" t="s">
        <v>9638</v>
      </c>
      <c r="R1378" t="s">
        <v>13287</v>
      </c>
      <c r="S1378" t="s">
        <v>13288</v>
      </c>
      <c r="T1378" t="s">
        <v>13289</v>
      </c>
      <c r="U1378" s="5">
        <v>743.31</v>
      </c>
      <c r="V1378" s="5">
        <v>576.69000000000005</v>
      </c>
      <c r="W1378" s="5">
        <v>15.882273</v>
      </c>
      <c r="X1378" s="5">
        <v>108.110457</v>
      </c>
      <c r="Y1378" s="5">
        <v>166.62</v>
      </c>
      <c r="Z1378" s="5">
        <v>15.878144000000001</v>
      </c>
      <c r="AA1378" s="5">
        <v>108.07739599999999</v>
      </c>
      <c r="AB1378" s="7">
        <f t="shared" si="127"/>
        <v>0.86503500000000011</v>
      </c>
      <c r="AC1378" s="7">
        <f t="shared" si="128"/>
        <v>0.24993000000000001</v>
      </c>
      <c r="AD1378" s="6" t="str">
        <f t="shared" si="129"/>
        <v>Đại Lộc</v>
      </c>
      <c r="AE1378" s="6" t="str">
        <f t="shared" si="130"/>
        <v>Phước Sơn</v>
      </c>
      <c r="AG1378">
        <f t="shared" si="131"/>
        <v>0.57669000000000004</v>
      </c>
      <c r="AH1378">
        <f t="shared" si="132"/>
        <v>0.16662000000000002</v>
      </c>
    </row>
    <row r="1379" spans="1:34" x14ac:dyDescent="0.25">
      <c r="A1379" t="s">
        <v>13290</v>
      </c>
      <c r="B1379" t="s">
        <v>13244</v>
      </c>
      <c r="C1379" t="s">
        <v>13245</v>
      </c>
      <c r="D1379" t="s">
        <v>13291</v>
      </c>
      <c r="E1379" t="s">
        <v>13292</v>
      </c>
      <c r="F1379" t="s">
        <v>13293</v>
      </c>
      <c r="G1379" t="s">
        <v>15979</v>
      </c>
      <c r="H1379" t="s">
        <v>15980</v>
      </c>
      <c r="I1379" t="s">
        <v>17170</v>
      </c>
      <c r="J1379" t="s">
        <v>23</v>
      </c>
      <c r="L1379" t="s">
        <v>13282</v>
      </c>
      <c r="M1379" t="s">
        <v>13294</v>
      </c>
      <c r="N1379" t="s">
        <v>13284</v>
      </c>
      <c r="O1379" t="s">
        <v>13285</v>
      </c>
      <c r="P1379" t="s">
        <v>13286</v>
      </c>
      <c r="Q1379" t="s">
        <v>13295</v>
      </c>
      <c r="R1379" t="s">
        <v>13296</v>
      </c>
      <c r="S1379" t="s">
        <v>13297</v>
      </c>
      <c r="T1379" t="s">
        <v>13289</v>
      </c>
      <c r="U1379" s="5">
        <v>634.17999999999995</v>
      </c>
      <c r="V1379" s="5">
        <v>576.69000000000005</v>
      </c>
      <c r="W1379" s="5">
        <v>15.882273</v>
      </c>
      <c r="X1379" s="5">
        <v>108.110457</v>
      </c>
      <c r="Y1379" s="5">
        <v>57.49</v>
      </c>
      <c r="Z1379" s="5">
        <v>15.878698999999999</v>
      </c>
      <c r="AA1379" s="5">
        <v>108.105295</v>
      </c>
      <c r="AB1379" s="7">
        <f t="shared" si="127"/>
        <v>0.86503500000000011</v>
      </c>
      <c r="AC1379" s="7">
        <f t="shared" si="128"/>
        <v>8.6235000000000006E-2</v>
      </c>
      <c r="AD1379" s="6" t="str">
        <f t="shared" si="129"/>
        <v>Đại Lộc</v>
      </c>
      <c r="AE1379" s="6" t="str">
        <f t="shared" si="130"/>
        <v>Phước Sơn</v>
      </c>
      <c r="AG1379">
        <f t="shared" si="131"/>
        <v>0.57669000000000004</v>
      </c>
      <c r="AH1379">
        <f t="shared" si="132"/>
        <v>5.7489999999999999E-2</v>
      </c>
    </row>
    <row r="1380" spans="1:34" x14ac:dyDescent="0.25">
      <c r="A1380" t="s">
        <v>13298</v>
      </c>
      <c r="B1380" t="s">
        <v>13244</v>
      </c>
      <c r="C1380" t="s">
        <v>13245</v>
      </c>
      <c r="D1380" t="s">
        <v>13299</v>
      </c>
      <c r="E1380" t="s">
        <v>13300</v>
      </c>
      <c r="F1380" t="s">
        <v>13301</v>
      </c>
      <c r="G1380" t="s">
        <v>15979</v>
      </c>
      <c r="H1380" t="s">
        <v>15980</v>
      </c>
      <c r="I1380" t="s">
        <v>17171</v>
      </c>
      <c r="J1380" t="s">
        <v>23</v>
      </c>
      <c r="L1380" t="s">
        <v>13302</v>
      </c>
      <c r="M1380" t="s">
        <v>13303</v>
      </c>
      <c r="N1380" t="s">
        <v>13304</v>
      </c>
      <c r="O1380" t="s">
        <v>13305</v>
      </c>
      <c r="P1380" t="s">
        <v>13306</v>
      </c>
      <c r="Q1380" t="s">
        <v>13307</v>
      </c>
      <c r="R1380" t="s">
        <v>13308</v>
      </c>
      <c r="S1380" t="s">
        <v>13309</v>
      </c>
      <c r="T1380" t="s">
        <v>13310</v>
      </c>
      <c r="U1380" s="5">
        <v>840.34</v>
      </c>
      <c r="V1380" s="5">
        <v>578.28</v>
      </c>
      <c r="W1380" s="5">
        <v>15.882272</v>
      </c>
      <c r="X1380" s="5">
        <v>108.11044200000001</v>
      </c>
      <c r="Y1380" s="5">
        <v>262.07</v>
      </c>
      <c r="Z1380" s="5">
        <v>15.87538</v>
      </c>
      <c r="AA1380" s="5">
        <v>108.09114</v>
      </c>
      <c r="AB1380" s="7">
        <f t="shared" si="127"/>
        <v>0.86741999999999997</v>
      </c>
      <c r="AC1380" s="7">
        <f t="shared" si="128"/>
        <v>0.39310500000000004</v>
      </c>
      <c r="AD1380" s="6" t="str">
        <f t="shared" si="129"/>
        <v>TTCMKV Đại Lộc</v>
      </c>
      <c r="AE1380" s="6" t="str">
        <f t="shared" si="130"/>
        <v>Hà Nha</v>
      </c>
      <c r="AG1380">
        <f t="shared" si="131"/>
        <v>0.57828000000000002</v>
      </c>
      <c r="AH1380">
        <f t="shared" si="132"/>
        <v>0.26206999999999997</v>
      </c>
    </row>
    <row r="1381" spans="1:34" x14ac:dyDescent="0.25">
      <c r="A1381" t="s">
        <v>13311</v>
      </c>
      <c r="B1381" t="s">
        <v>13244</v>
      </c>
      <c r="C1381" t="s">
        <v>13245</v>
      </c>
      <c r="D1381" t="s">
        <v>13312</v>
      </c>
      <c r="E1381" t="s">
        <v>13313</v>
      </c>
      <c r="F1381" t="s">
        <v>13314</v>
      </c>
      <c r="G1381" t="s">
        <v>15979</v>
      </c>
      <c r="H1381" t="s">
        <v>15980</v>
      </c>
      <c r="I1381" t="s">
        <v>17172</v>
      </c>
      <c r="J1381" t="s">
        <v>23</v>
      </c>
      <c r="L1381" t="s">
        <v>13315</v>
      </c>
      <c r="M1381" t="s">
        <v>13316</v>
      </c>
      <c r="N1381" t="s">
        <v>13317</v>
      </c>
      <c r="O1381" t="s">
        <v>13318</v>
      </c>
      <c r="P1381" t="s">
        <v>13319</v>
      </c>
      <c r="Q1381" t="s">
        <v>13320</v>
      </c>
      <c r="R1381" t="s">
        <v>13321</v>
      </c>
      <c r="S1381" t="s">
        <v>13322</v>
      </c>
      <c r="T1381" t="s">
        <v>13323</v>
      </c>
      <c r="U1381" s="5">
        <v>704.32</v>
      </c>
      <c r="V1381" s="5">
        <v>36.07</v>
      </c>
      <c r="W1381" s="5">
        <v>15.882702999999999</v>
      </c>
      <c r="X1381" s="5">
        <v>108.11599099999999</v>
      </c>
      <c r="Y1381" s="5">
        <v>668.25</v>
      </c>
      <c r="Z1381" s="5">
        <v>15.878918000000001</v>
      </c>
      <c r="AA1381" s="5">
        <v>108.121422</v>
      </c>
      <c r="AB1381" s="7">
        <f t="shared" si="127"/>
        <v>5.4105000000000007E-2</v>
      </c>
      <c r="AC1381" s="7">
        <f t="shared" si="128"/>
        <v>1.002375</v>
      </c>
      <c r="AD1381" s="6" t="str">
        <f t="shared" si="129"/>
        <v>Đại Lộc</v>
      </c>
      <c r="AE1381" s="6" t="str">
        <f t="shared" si="130"/>
        <v>Thu Bồn</v>
      </c>
      <c r="AG1381">
        <f t="shared" si="131"/>
        <v>3.6069999999999998E-2</v>
      </c>
      <c r="AH1381">
        <f t="shared" si="132"/>
        <v>0.66825000000000001</v>
      </c>
    </row>
    <row r="1382" spans="1:34" x14ac:dyDescent="0.25">
      <c r="A1382" t="s">
        <v>13324</v>
      </c>
      <c r="B1382" t="s">
        <v>13244</v>
      </c>
      <c r="C1382" t="s">
        <v>13245</v>
      </c>
      <c r="D1382" t="s">
        <v>13325</v>
      </c>
      <c r="E1382" t="s">
        <v>13326</v>
      </c>
      <c r="F1382" t="s">
        <v>13327</v>
      </c>
      <c r="G1382" t="s">
        <v>15979</v>
      </c>
      <c r="H1382" t="s">
        <v>15980</v>
      </c>
      <c r="I1382" t="s">
        <v>17173</v>
      </c>
      <c r="J1382" t="s">
        <v>23</v>
      </c>
      <c r="L1382" t="s">
        <v>13315</v>
      </c>
      <c r="M1382" t="s">
        <v>13328</v>
      </c>
      <c r="N1382" t="s">
        <v>13317</v>
      </c>
      <c r="O1382" t="s">
        <v>13318</v>
      </c>
      <c r="P1382" t="s">
        <v>13319</v>
      </c>
      <c r="Q1382" t="s">
        <v>13329</v>
      </c>
      <c r="R1382" t="s">
        <v>13330</v>
      </c>
      <c r="S1382" t="s">
        <v>13331</v>
      </c>
      <c r="T1382" t="s">
        <v>13323</v>
      </c>
      <c r="U1382" s="5">
        <v>858.93</v>
      </c>
      <c r="V1382" s="5">
        <v>36.07</v>
      </c>
      <c r="W1382" s="5">
        <v>15.882702999999999</v>
      </c>
      <c r="X1382" s="5">
        <v>108.11599099999999</v>
      </c>
      <c r="Y1382" s="5">
        <v>822.86</v>
      </c>
      <c r="Z1382" s="5">
        <v>15.868012999999999</v>
      </c>
      <c r="AA1382" s="5">
        <v>108.121419</v>
      </c>
      <c r="AB1382" s="7">
        <f t="shared" si="127"/>
        <v>5.4105000000000007E-2</v>
      </c>
      <c r="AC1382" s="7">
        <f t="shared" si="128"/>
        <v>1.2342899999999999</v>
      </c>
      <c r="AD1382" s="6" t="str">
        <f t="shared" si="129"/>
        <v>Đại Lộc</v>
      </c>
      <c r="AE1382" s="6" t="str">
        <f t="shared" si="130"/>
        <v>Thu Bồn</v>
      </c>
      <c r="AG1382">
        <f t="shared" si="131"/>
        <v>3.6069999999999998E-2</v>
      </c>
      <c r="AH1382">
        <f t="shared" si="132"/>
        <v>0.82286000000000004</v>
      </c>
    </row>
    <row r="1383" spans="1:34" x14ac:dyDescent="0.25">
      <c r="A1383" t="s">
        <v>13332</v>
      </c>
      <c r="B1383" t="s">
        <v>13244</v>
      </c>
      <c r="C1383" t="s">
        <v>13245</v>
      </c>
      <c r="D1383" t="s">
        <v>13333</v>
      </c>
      <c r="E1383" t="s">
        <v>13334</v>
      </c>
      <c r="F1383" t="s">
        <v>13335</v>
      </c>
      <c r="G1383" t="s">
        <v>15979</v>
      </c>
      <c r="H1383" t="s">
        <v>15980</v>
      </c>
      <c r="I1383" t="s">
        <v>17174</v>
      </c>
      <c r="J1383" t="s">
        <v>23</v>
      </c>
      <c r="L1383" t="s">
        <v>13315</v>
      </c>
      <c r="M1383" t="s">
        <v>13336</v>
      </c>
      <c r="N1383" t="s">
        <v>13337</v>
      </c>
      <c r="O1383" t="s">
        <v>13338</v>
      </c>
      <c r="P1383" t="s">
        <v>13339</v>
      </c>
      <c r="Q1383" t="s">
        <v>13340</v>
      </c>
      <c r="R1383" t="s">
        <v>13338</v>
      </c>
      <c r="S1383" t="s">
        <v>13339</v>
      </c>
      <c r="T1383" t="s">
        <v>13341</v>
      </c>
      <c r="U1383" s="5">
        <v>253.54</v>
      </c>
      <c r="V1383" s="5">
        <v>4.24</v>
      </c>
      <c r="W1383" s="5">
        <v>15.882982</v>
      </c>
      <c r="X1383" s="5">
        <v>108.115762</v>
      </c>
      <c r="Y1383" s="5">
        <v>249.3</v>
      </c>
      <c r="Z1383" s="5">
        <v>15.882982</v>
      </c>
      <c r="AA1383" s="5">
        <v>108.115762</v>
      </c>
      <c r="AB1383" s="7">
        <f t="shared" si="127"/>
        <v>6.3600000000000002E-3</v>
      </c>
      <c r="AC1383" s="7">
        <f t="shared" si="128"/>
        <v>0.37395000000000006</v>
      </c>
      <c r="AD1383" s="6" t="str">
        <f t="shared" si="129"/>
        <v>Đại Lộc</v>
      </c>
      <c r="AE1383" s="6" t="str">
        <f t="shared" si="130"/>
        <v>Thu Bồn</v>
      </c>
      <c r="AG1383">
        <f t="shared" si="131"/>
        <v>4.2399999999999998E-3</v>
      </c>
      <c r="AH1383">
        <f t="shared" si="132"/>
        <v>0.24930000000000002</v>
      </c>
    </row>
    <row r="1384" spans="1:34" x14ac:dyDescent="0.25">
      <c r="A1384" t="s">
        <v>13342</v>
      </c>
      <c r="B1384" t="s">
        <v>13244</v>
      </c>
      <c r="C1384" t="s">
        <v>13245</v>
      </c>
      <c r="D1384" t="s">
        <v>13343</v>
      </c>
      <c r="E1384" t="s">
        <v>13344</v>
      </c>
      <c r="F1384" t="s">
        <v>13345</v>
      </c>
      <c r="G1384" t="s">
        <v>15979</v>
      </c>
      <c r="H1384" t="s">
        <v>15980</v>
      </c>
      <c r="I1384" t="s">
        <v>17175</v>
      </c>
      <c r="J1384" t="s">
        <v>23</v>
      </c>
      <c r="L1384" t="s">
        <v>13302</v>
      </c>
      <c r="M1384" t="s">
        <v>13346</v>
      </c>
      <c r="N1384" t="s">
        <v>13347</v>
      </c>
      <c r="O1384" t="s">
        <v>13348</v>
      </c>
      <c r="P1384" t="s">
        <v>13349</v>
      </c>
      <c r="Q1384" t="s">
        <v>13350</v>
      </c>
      <c r="R1384" t="s">
        <v>13351</v>
      </c>
      <c r="S1384" t="s">
        <v>13352</v>
      </c>
      <c r="T1384" t="s">
        <v>13353</v>
      </c>
      <c r="U1384" s="5">
        <v>311.29000000000002</v>
      </c>
      <c r="V1384" s="5">
        <v>152.30000000000001</v>
      </c>
      <c r="W1384" s="5">
        <v>15.882797</v>
      </c>
      <c r="X1384" s="5">
        <v>108.11438699999999</v>
      </c>
      <c r="Y1384" s="5">
        <v>158.99</v>
      </c>
      <c r="Z1384" s="5">
        <v>15.882904999999999</v>
      </c>
      <c r="AA1384" s="5">
        <v>108.112134</v>
      </c>
      <c r="AB1384" s="7">
        <f t="shared" si="127"/>
        <v>0.22845000000000001</v>
      </c>
      <c r="AC1384" s="7">
        <f t="shared" si="128"/>
        <v>0.238485</v>
      </c>
      <c r="AD1384" s="6" t="str">
        <f t="shared" si="129"/>
        <v>TTCMKV Đại Lộc</v>
      </c>
      <c r="AE1384" s="6" t="str">
        <f t="shared" si="130"/>
        <v>Hà Nha</v>
      </c>
      <c r="AG1384">
        <f t="shared" si="131"/>
        <v>0.15230000000000002</v>
      </c>
      <c r="AH1384">
        <f t="shared" si="132"/>
        <v>0.15899000000000002</v>
      </c>
    </row>
    <row r="1385" spans="1:34" x14ac:dyDescent="0.25">
      <c r="A1385" t="s">
        <v>13354</v>
      </c>
      <c r="B1385" t="s">
        <v>13255</v>
      </c>
      <c r="C1385" t="s">
        <v>13256</v>
      </c>
      <c r="D1385" t="s">
        <v>13244</v>
      </c>
      <c r="E1385" t="s">
        <v>13245</v>
      </c>
      <c r="F1385" t="s">
        <v>13257</v>
      </c>
      <c r="H1385" t="s">
        <v>15980</v>
      </c>
      <c r="I1385" t="s">
        <v>17167</v>
      </c>
      <c r="J1385" t="s">
        <v>23</v>
      </c>
      <c r="L1385" t="s">
        <v>13258</v>
      </c>
      <c r="M1385" t="s">
        <v>13259</v>
      </c>
      <c r="N1385" t="s">
        <v>13263</v>
      </c>
      <c r="O1385" t="s">
        <v>13264</v>
      </c>
      <c r="P1385" t="s">
        <v>13265</v>
      </c>
      <c r="Q1385" t="s">
        <v>13260</v>
      </c>
      <c r="R1385" t="s">
        <v>13261</v>
      </c>
      <c r="S1385" t="s">
        <v>13262</v>
      </c>
      <c r="T1385" t="s">
        <v>13266</v>
      </c>
      <c r="U1385" s="5">
        <v>3133.76</v>
      </c>
      <c r="V1385" s="5">
        <v>51.92</v>
      </c>
      <c r="W1385" s="5">
        <v>15.822844</v>
      </c>
      <c r="X1385" s="5">
        <v>108.24684600000001</v>
      </c>
      <c r="Y1385" s="5">
        <v>3081.84</v>
      </c>
      <c r="Z1385" s="5">
        <v>15.855328</v>
      </c>
      <c r="AA1385" s="5">
        <v>108.113702</v>
      </c>
      <c r="AB1385" s="7">
        <f t="shared" si="127"/>
        <v>7.7879999999999991E-2</v>
      </c>
      <c r="AC1385" s="7">
        <f t="shared" si="128"/>
        <v>4.6227600000000004</v>
      </c>
      <c r="AD1385" s="6" t="str">
        <f t="shared" si="129"/>
        <v>Trại giam An Điềm (C10)</v>
      </c>
      <c r="AE1385" s="6" t="str">
        <f t="shared" si="130"/>
        <v>Duy Xuyên</v>
      </c>
      <c r="AG1385">
        <f t="shared" si="131"/>
        <v>5.1920000000000001E-2</v>
      </c>
      <c r="AH1385">
        <f t="shared" si="132"/>
        <v>3.0818400000000001</v>
      </c>
    </row>
    <row r="1386" spans="1:34" x14ac:dyDescent="0.25">
      <c r="A1386" t="s">
        <v>13355</v>
      </c>
      <c r="B1386" t="s">
        <v>13255</v>
      </c>
      <c r="C1386" t="s">
        <v>13256</v>
      </c>
      <c r="D1386" t="s">
        <v>13356</v>
      </c>
      <c r="E1386" t="s">
        <v>13357</v>
      </c>
      <c r="F1386" t="s">
        <v>13358</v>
      </c>
      <c r="G1386" t="s">
        <v>15979</v>
      </c>
      <c r="H1386" t="s">
        <v>15980</v>
      </c>
      <c r="I1386" t="s">
        <v>17176</v>
      </c>
      <c r="J1386" t="s">
        <v>23</v>
      </c>
      <c r="L1386" t="s">
        <v>13359</v>
      </c>
      <c r="M1386" t="s">
        <v>13360</v>
      </c>
      <c r="N1386" t="s">
        <v>13361</v>
      </c>
      <c r="O1386" t="s">
        <v>13362</v>
      </c>
      <c r="P1386" t="s">
        <v>13363</v>
      </c>
      <c r="Q1386" t="s">
        <v>13364</v>
      </c>
      <c r="R1386" t="s">
        <v>13365</v>
      </c>
      <c r="S1386" t="s">
        <v>13366</v>
      </c>
      <c r="T1386" t="s">
        <v>13367</v>
      </c>
      <c r="U1386" s="5">
        <v>866.41</v>
      </c>
      <c r="V1386" s="5">
        <v>39.619999999999997</v>
      </c>
      <c r="W1386" s="5">
        <v>15.822770999999999</v>
      </c>
      <c r="X1386" s="5">
        <v>108.246752</v>
      </c>
      <c r="Y1386" s="5">
        <v>826.79</v>
      </c>
      <c r="Z1386" s="5">
        <v>15.830394999999999</v>
      </c>
      <c r="AA1386" s="5">
        <v>108.29240799999999</v>
      </c>
      <c r="AB1386" s="7">
        <f t="shared" si="127"/>
        <v>5.942999999999999E-2</v>
      </c>
      <c r="AC1386" s="7">
        <f t="shared" si="128"/>
        <v>1.2401849999999999</v>
      </c>
      <c r="AD1386" s="6" t="str">
        <f t="shared" si="129"/>
        <v>"Đội CSĐT (X. Duy Nghĩa, Duyên Xuyên)</v>
      </c>
      <c r="AE1386" s="6" t="str">
        <f t="shared" si="130"/>
        <v xml:space="preserve">
TTCMKV Duy Xuyên"</v>
      </c>
      <c r="AG1386">
        <f t="shared" si="131"/>
        <v>3.9619999999999995E-2</v>
      </c>
      <c r="AH1386">
        <f t="shared" si="132"/>
        <v>0.82678999999999991</v>
      </c>
    </row>
    <row r="1387" spans="1:34" x14ac:dyDescent="0.25">
      <c r="A1387" t="s">
        <v>13368</v>
      </c>
      <c r="B1387" t="s">
        <v>13255</v>
      </c>
      <c r="C1387" t="s">
        <v>13256</v>
      </c>
      <c r="D1387" t="s">
        <v>13369</v>
      </c>
      <c r="E1387" t="s">
        <v>13370</v>
      </c>
      <c r="F1387" t="s">
        <v>13371</v>
      </c>
      <c r="G1387" t="s">
        <v>15979</v>
      </c>
      <c r="H1387" t="s">
        <v>15980</v>
      </c>
      <c r="I1387" t="s">
        <v>17177</v>
      </c>
      <c r="J1387" t="s">
        <v>23</v>
      </c>
      <c r="L1387" t="s">
        <v>13258</v>
      </c>
      <c r="M1387" t="s">
        <v>13372</v>
      </c>
      <c r="N1387" t="s">
        <v>13263</v>
      </c>
      <c r="O1387" t="s">
        <v>13264</v>
      </c>
      <c r="P1387" t="s">
        <v>13265</v>
      </c>
      <c r="Q1387" t="s">
        <v>6768</v>
      </c>
      <c r="R1387" t="s">
        <v>13373</v>
      </c>
      <c r="S1387" t="s">
        <v>13374</v>
      </c>
      <c r="T1387" t="s">
        <v>13266</v>
      </c>
      <c r="U1387" s="5">
        <v>200.43</v>
      </c>
      <c r="V1387" s="5">
        <v>51.92</v>
      </c>
      <c r="W1387" s="5">
        <v>15.822844</v>
      </c>
      <c r="X1387" s="5">
        <v>108.24684600000001</v>
      </c>
      <c r="Y1387" s="5">
        <v>148.51</v>
      </c>
      <c r="Z1387" s="5">
        <v>15.836906000000001</v>
      </c>
      <c r="AA1387" s="5">
        <v>108.14394900000001</v>
      </c>
      <c r="AB1387" s="7">
        <f t="shared" si="127"/>
        <v>7.7879999999999991E-2</v>
      </c>
      <c r="AC1387" s="7">
        <f t="shared" si="128"/>
        <v>0.22276499999999999</v>
      </c>
      <c r="AD1387" s="6" t="str">
        <f t="shared" si="129"/>
        <v>Trại giam An Điềm (C10)</v>
      </c>
      <c r="AE1387" s="6" t="str">
        <f t="shared" si="130"/>
        <v>Duy Xuyên</v>
      </c>
      <c r="AG1387">
        <f t="shared" si="131"/>
        <v>5.1920000000000001E-2</v>
      </c>
      <c r="AH1387">
        <f t="shared" si="132"/>
        <v>0.14851</v>
      </c>
    </row>
    <row r="1388" spans="1:34" x14ac:dyDescent="0.25">
      <c r="A1388" t="s">
        <v>13375</v>
      </c>
      <c r="B1388" t="s">
        <v>13255</v>
      </c>
      <c r="C1388" t="s">
        <v>13256</v>
      </c>
      <c r="D1388" t="s">
        <v>13376</v>
      </c>
      <c r="E1388" t="s">
        <v>13377</v>
      </c>
      <c r="F1388" t="s">
        <v>13378</v>
      </c>
      <c r="G1388" t="s">
        <v>15979</v>
      </c>
      <c r="H1388" t="s">
        <v>15980</v>
      </c>
      <c r="I1388" t="s">
        <v>17178</v>
      </c>
      <c r="J1388" t="s">
        <v>23</v>
      </c>
      <c r="L1388" t="s">
        <v>13258</v>
      </c>
      <c r="M1388" t="s">
        <v>13379</v>
      </c>
      <c r="N1388" t="s">
        <v>13263</v>
      </c>
      <c r="O1388" t="s">
        <v>13264</v>
      </c>
      <c r="P1388" t="s">
        <v>13265</v>
      </c>
      <c r="Q1388" t="s">
        <v>13380</v>
      </c>
      <c r="R1388" t="s">
        <v>13381</v>
      </c>
      <c r="S1388" t="s">
        <v>13382</v>
      </c>
      <c r="T1388" t="s">
        <v>13266</v>
      </c>
      <c r="U1388" s="5">
        <v>759.63</v>
      </c>
      <c r="V1388" s="5">
        <v>51.92</v>
      </c>
      <c r="W1388" s="5">
        <v>15.822844</v>
      </c>
      <c r="X1388" s="5">
        <v>108.24684600000001</v>
      </c>
      <c r="Y1388" s="5">
        <v>707.71</v>
      </c>
      <c r="Z1388" s="5">
        <v>15.829067999999999</v>
      </c>
      <c r="AA1388" s="5">
        <v>108.202787</v>
      </c>
      <c r="AB1388" s="7">
        <f t="shared" si="127"/>
        <v>7.7879999999999991E-2</v>
      </c>
      <c r="AC1388" s="7">
        <f t="shared" si="128"/>
        <v>1.0615650000000001</v>
      </c>
      <c r="AD1388" s="6" t="str">
        <f t="shared" si="129"/>
        <v>Trại giam An Điềm (C10)</v>
      </c>
      <c r="AE1388" s="6" t="str">
        <f t="shared" si="130"/>
        <v>Duy Xuyên</v>
      </c>
      <c r="AG1388">
        <f t="shared" si="131"/>
        <v>5.1920000000000001E-2</v>
      </c>
      <c r="AH1388">
        <f t="shared" si="132"/>
        <v>0.70771000000000006</v>
      </c>
    </row>
    <row r="1389" spans="1:34" x14ac:dyDescent="0.25">
      <c r="A1389" t="s">
        <v>13383</v>
      </c>
      <c r="B1389" t="s">
        <v>13255</v>
      </c>
      <c r="C1389" t="s">
        <v>13256</v>
      </c>
      <c r="D1389" t="s">
        <v>12356</v>
      </c>
      <c r="E1389" t="s">
        <v>12357</v>
      </c>
      <c r="F1389" t="s">
        <v>13384</v>
      </c>
      <c r="H1389" t="s">
        <v>15980</v>
      </c>
      <c r="I1389" t="s">
        <v>17179</v>
      </c>
      <c r="J1389" t="s">
        <v>23</v>
      </c>
      <c r="L1389" t="s">
        <v>13385</v>
      </c>
      <c r="M1389" t="s">
        <v>13386</v>
      </c>
      <c r="N1389" t="s">
        <v>9875</v>
      </c>
      <c r="O1389" t="s">
        <v>13387</v>
      </c>
      <c r="P1389" t="s">
        <v>13388</v>
      </c>
      <c r="Q1389" t="s">
        <v>13389</v>
      </c>
      <c r="R1389" t="s">
        <v>13390</v>
      </c>
      <c r="S1389" t="s">
        <v>13391</v>
      </c>
      <c r="T1389" t="s">
        <v>13392</v>
      </c>
      <c r="U1389" s="5">
        <v>799.31</v>
      </c>
      <c r="V1389" s="5">
        <v>53.71</v>
      </c>
      <c r="W1389" s="5">
        <v>15.822854</v>
      </c>
      <c r="X1389" s="5">
        <v>108.24686</v>
      </c>
      <c r="Y1389" s="5">
        <v>745.6</v>
      </c>
      <c r="Z1389" s="5">
        <v>15.836684999999999</v>
      </c>
      <c r="AA1389" s="5">
        <v>108.124303</v>
      </c>
      <c r="AB1389" s="7">
        <f t="shared" si="127"/>
        <v>8.0564999999999998E-2</v>
      </c>
      <c r="AC1389" s="7">
        <f t="shared" si="128"/>
        <v>1.1184000000000001</v>
      </c>
      <c r="AD1389" s="6" t="str">
        <f t="shared" si="129"/>
        <v>Phú Thuận</v>
      </c>
      <c r="AE1389" s="6" t="str">
        <f t="shared" si="130"/>
        <v>Duy Xuyên</v>
      </c>
      <c r="AG1389">
        <f t="shared" si="131"/>
        <v>5.3710000000000001E-2</v>
      </c>
      <c r="AH1389">
        <f t="shared" si="132"/>
        <v>0.74560000000000004</v>
      </c>
    </row>
    <row r="1390" spans="1:34" x14ac:dyDescent="0.25">
      <c r="A1390" t="s">
        <v>13393</v>
      </c>
      <c r="B1390" t="s">
        <v>13255</v>
      </c>
      <c r="C1390" t="s">
        <v>13256</v>
      </c>
      <c r="D1390" t="s">
        <v>13394</v>
      </c>
      <c r="E1390" t="s">
        <v>13395</v>
      </c>
      <c r="F1390" t="s">
        <v>13396</v>
      </c>
      <c r="G1390" t="s">
        <v>15979</v>
      </c>
      <c r="H1390" t="s">
        <v>15980</v>
      </c>
      <c r="I1390" t="s">
        <v>17180</v>
      </c>
      <c r="J1390" t="s">
        <v>23</v>
      </c>
      <c r="L1390" t="s">
        <v>13258</v>
      </c>
      <c r="M1390" t="s">
        <v>13397</v>
      </c>
      <c r="N1390" t="s">
        <v>13263</v>
      </c>
      <c r="O1390" t="s">
        <v>13264</v>
      </c>
      <c r="P1390" t="s">
        <v>13265</v>
      </c>
      <c r="Q1390" t="s">
        <v>13398</v>
      </c>
      <c r="R1390" t="s">
        <v>13399</v>
      </c>
      <c r="S1390" t="s">
        <v>13400</v>
      </c>
      <c r="T1390" t="s">
        <v>13266</v>
      </c>
      <c r="U1390" s="5">
        <v>2543.6799999999998</v>
      </c>
      <c r="V1390" s="5">
        <v>51.92</v>
      </c>
      <c r="W1390" s="5">
        <v>15.822844</v>
      </c>
      <c r="X1390" s="5">
        <v>108.24684600000001</v>
      </c>
      <c r="Y1390" s="5">
        <v>2491.7600000000002</v>
      </c>
      <c r="Z1390" s="5">
        <v>15.830925000000001</v>
      </c>
      <c r="AA1390" s="5">
        <v>108.195851</v>
      </c>
      <c r="AB1390" s="7">
        <f t="shared" si="127"/>
        <v>7.7879999999999991E-2</v>
      </c>
      <c r="AC1390" s="7">
        <f t="shared" si="128"/>
        <v>3.7376400000000003</v>
      </c>
      <c r="AD1390" s="6" t="str">
        <f t="shared" si="129"/>
        <v>Trại giam An Điềm (C10)</v>
      </c>
      <c r="AE1390" s="6" t="str">
        <f t="shared" si="130"/>
        <v>Duy Xuyên</v>
      </c>
      <c r="AG1390">
        <f t="shared" si="131"/>
        <v>5.1920000000000001E-2</v>
      </c>
      <c r="AH1390">
        <f t="shared" si="132"/>
        <v>2.4917600000000002</v>
      </c>
    </row>
    <row r="1391" spans="1:34" x14ac:dyDescent="0.25">
      <c r="A1391" t="s">
        <v>13401</v>
      </c>
      <c r="B1391" t="s">
        <v>13255</v>
      </c>
      <c r="C1391" t="s">
        <v>13256</v>
      </c>
      <c r="D1391" t="s">
        <v>13402</v>
      </c>
      <c r="E1391" t="s">
        <v>13403</v>
      </c>
      <c r="F1391" t="s">
        <v>13404</v>
      </c>
      <c r="G1391" t="s">
        <v>15979</v>
      </c>
      <c r="H1391" t="s">
        <v>15980</v>
      </c>
      <c r="I1391" t="s">
        <v>17181</v>
      </c>
      <c r="J1391" t="s">
        <v>23</v>
      </c>
      <c r="L1391" t="s">
        <v>13385</v>
      </c>
      <c r="M1391" t="s">
        <v>13405</v>
      </c>
      <c r="N1391" t="s">
        <v>9875</v>
      </c>
      <c r="O1391" t="s">
        <v>13387</v>
      </c>
      <c r="P1391" t="s">
        <v>13388</v>
      </c>
      <c r="Q1391" t="s">
        <v>13406</v>
      </c>
      <c r="R1391" t="s">
        <v>13407</v>
      </c>
      <c r="S1391" t="s">
        <v>13408</v>
      </c>
      <c r="T1391" t="s">
        <v>13392</v>
      </c>
      <c r="U1391" s="5">
        <v>238.93</v>
      </c>
      <c r="V1391" s="5">
        <v>53.71</v>
      </c>
      <c r="W1391" s="5">
        <v>15.822854</v>
      </c>
      <c r="X1391" s="5">
        <v>108.24686</v>
      </c>
      <c r="Y1391" s="5">
        <v>185.23</v>
      </c>
      <c r="Z1391" s="5">
        <v>15.826288</v>
      </c>
      <c r="AA1391" s="5">
        <v>108.232608</v>
      </c>
      <c r="AB1391" s="7">
        <f t="shared" si="127"/>
        <v>8.0564999999999998E-2</v>
      </c>
      <c r="AC1391" s="7">
        <f t="shared" si="128"/>
        <v>0.27784499999999995</v>
      </c>
      <c r="AD1391" s="6" t="str">
        <f t="shared" si="129"/>
        <v>Phú Thuận</v>
      </c>
      <c r="AE1391" s="6" t="str">
        <f t="shared" si="130"/>
        <v>Duy Xuyên</v>
      </c>
      <c r="AG1391">
        <f t="shared" si="131"/>
        <v>5.3710000000000001E-2</v>
      </c>
      <c r="AH1391">
        <f t="shared" si="132"/>
        <v>0.18522999999999998</v>
      </c>
    </row>
    <row r="1392" spans="1:34" x14ac:dyDescent="0.25">
      <c r="A1392" t="s">
        <v>13409</v>
      </c>
      <c r="B1392" t="s">
        <v>13255</v>
      </c>
      <c r="C1392" t="s">
        <v>13256</v>
      </c>
      <c r="D1392" t="s">
        <v>13410</v>
      </c>
      <c r="E1392" t="s">
        <v>13411</v>
      </c>
      <c r="F1392" t="s">
        <v>13412</v>
      </c>
      <c r="G1392" t="s">
        <v>15979</v>
      </c>
      <c r="H1392" t="s">
        <v>15980</v>
      </c>
      <c r="I1392" t="s">
        <v>17182</v>
      </c>
      <c r="J1392" t="s">
        <v>23</v>
      </c>
      <c r="L1392" t="s">
        <v>13258</v>
      </c>
      <c r="M1392" t="s">
        <v>13413</v>
      </c>
      <c r="N1392" t="s">
        <v>13263</v>
      </c>
      <c r="O1392" t="s">
        <v>13264</v>
      </c>
      <c r="P1392" t="s">
        <v>13265</v>
      </c>
      <c r="Q1392" t="s">
        <v>13414</v>
      </c>
      <c r="R1392" t="s">
        <v>13415</v>
      </c>
      <c r="S1392" t="s">
        <v>13416</v>
      </c>
      <c r="T1392" t="s">
        <v>13266</v>
      </c>
      <c r="U1392" s="5">
        <v>2279.56</v>
      </c>
      <c r="V1392" s="5">
        <v>51.92</v>
      </c>
      <c r="W1392" s="5">
        <v>15.822844</v>
      </c>
      <c r="X1392" s="5">
        <v>108.24684600000001</v>
      </c>
      <c r="Y1392" s="5">
        <v>2227.63</v>
      </c>
      <c r="Z1392" s="5">
        <v>15.828367</v>
      </c>
      <c r="AA1392" s="5">
        <v>108.218264</v>
      </c>
      <c r="AB1392" s="7">
        <f t="shared" si="127"/>
        <v>7.7879999999999991E-2</v>
      </c>
      <c r="AC1392" s="7">
        <f t="shared" si="128"/>
        <v>3.3414450000000002</v>
      </c>
      <c r="AD1392" s="6" t="str">
        <f t="shared" si="129"/>
        <v>Trại giam An Điềm (C10)</v>
      </c>
      <c r="AE1392" s="6" t="str">
        <f t="shared" si="130"/>
        <v>Duy Xuyên</v>
      </c>
      <c r="AG1392">
        <f t="shared" si="131"/>
        <v>5.1920000000000001E-2</v>
      </c>
      <c r="AH1392">
        <f t="shared" si="132"/>
        <v>2.22763</v>
      </c>
    </row>
    <row r="1393" spans="1:34" x14ac:dyDescent="0.25">
      <c r="A1393" t="s">
        <v>13417</v>
      </c>
      <c r="B1393" t="s">
        <v>13255</v>
      </c>
      <c r="C1393" t="s">
        <v>13256</v>
      </c>
      <c r="D1393" t="s">
        <v>13418</v>
      </c>
      <c r="E1393" t="s">
        <v>13419</v>
      </c>
      <c r="F1393" t="s">
        <v>13420</v>
      </c>
      <c r="G1393" t="s">
        <v>15979</v>
      </c>
      <c r="H1393" t="s">
        <v>15980</v>
      </c>
      <c r="I1393" t="s">
        <v>17183</v>
      </c>
      <c r="J1393" t="s">
        <v>23</v>
      </c>
      <c r="L1393" t="s">
        <v>13258</v>
      </c>
      <c r="M1393" t="s">
        <v>13421</v>
      </c>
      <c r="N1393" t="s">
        <v>13263</v>
      </c>
      <c r="O1393" t="s">
        <v>13264</v>
      </c>
      <c r="P1393" t="s">
        <v>13265</v>
      </c>
      <c r="Q1393" t="s">
        <v>13422</v>
      </c>
      <c r="R1393" t="s">
        <v>13423</v>
      </c>
      <c r="S1393" t="s">
        <v>13424</v>
      </c>
      <c r="T1393" t="s">
        <v>13266</v>
      </c>
      <c r="U1393" s="5">
        <v>955.02</v>
      </c>
      <c r="V1393" s="5">
        <v>51.92</v>
      </c>
      <c r="W1393" s="5">
        <v>15.822844</v>
      </c>
      <c r="X1393" s="5">
        <v>108.24684600000001</v>
      </c>
      <c r="Y1393" s="5">
        <v>903.1</v>
      </c>
      <c r="Z1393" s="5">
        <v>15.826549</v>
      </c>
      <c r="AA1393" s="5">
        <v>108.23194100000001</v>
      </c>
      <c r="AB1393" s="7">
        <f t="shared" si="127"/>
        <v>7.7879999999999991E-2</v>
      </c>
      <c r="AC1393" s="7">
        <f t="shared" si="128"/>
        <v>1.3546500000000001</v>
      </c>
      <c r="AD1393" s="6" t="str">
        <f t="shared" si="129"/>
        <v>Trại giam An Điềm (C10)</v>
      </c>
      <c r="AE1393" s="6" t="str">
        <f t="shared" si="130"/>
        <v>Duy Xuyên</v>
      </c>
      <c r="AG1393">
        <f t="shared" si="131"/>
        <v>5.1920000000000001E-2</v>
      </c>
      <c r="AH1393">
        <f t="shared" si="132"/>
        <v>0.90310000000000001</v>
      </c>
    </row>
    <row r="1394" spans="1:34" x14ac:dyDescent="0.25">
      <c r="A1394" t="s">
        <v>13425</v>
      </c>
      <c r="B1394" t="s">
        <v>13255</v>
      </c>
      <c r="C1394" t="s">
        <v>13256</v>
      </c>
      <c r="D1394" t="s">
        <v>13426</v>
      </c>
      <c r="E1394" t="s">
        <v>13427</v>
      </c>
      <c r="F1394" t="s">
        <v>13428</v>
      </c>
      <c r="G1394" t="s">
        <v>15979</v>
      </c>
      <c r="H1394" t="s">
        <v>15980</v>
      </c>
      <c r="I1394" t="s">
        <v>17184</v>
      </c>
      <c r="J1394" t="s">
        <v>23</v>
      </c>
      <c r="L1394" t="s">
        <v>13258</v>
      </c>
      <c r="M1394" t="s">
        <v>13429</v>
      </c>
      <c r="N1394" t="s">
        <v>13263</v>
      </c>
      <c r="O1394" t="s">
        <v>13264</v>
      </c>
      <c r="P1394" t="s">
        <v>13265</v>
      </c>
      <c r="Q1394" t="s">
        <v>13430</v>
      </c>
      <c r="R1394" t="s">
        <v>13431</v>
      </c>
      <c r="S1394" t="s">
        <v>13432</v>
      </c>
      <c r="T1394" t="s">
        <v>13266</v>
      </c>
      <c r="U1394" s="5">
        <v>357.17</v>
      </c>
      <c r="V1394" s="5">
        <v>51.92</v>
      </c>
      <c r="W1394" s="5">
        <v>15.822844</v>
      </c>
      <c r="X1394" s="5">
        <v>108.24684600000001</v>
      </c>
      <c r="Y1394" s="5">
        <v>305.25</v>
      </c>
      <c r="Z1394" s="5">
        <v>15.827368999999999</v>
      </c>
      <c r="AA1394" s="5">
        <v>108.180673</v>
      </c>
      <c r="AB1394" s="7">
        <f t="shared" si="127"/>
        <v>7.7879999999999991E-2</v>
      </c>
      <c r="AC1394" s="7">
        <f t="shared" si="128"/>
        <v>0.45787499999999998</v>
      </c>
      <c r="AD1394" s="6" t="str">
        <f t="shared" si="129"/>
        <v>Trại giam An Điềm (C10)</v>
      </c>
      <c r="AE1394" s="6" t="str">
        <f t="shared" si="130"/>
        <v>Duy Xuyên</v>
      </c>
      <c r="AG1394">
        <f t="shared" si="131"/>
        <v>5.1920000000000001E-2</v>
      </c>
      <c r="AH1394">
        <f t="shared" si="132"/>
        <v>0.30525000000000002</v>
      </c>
    </row>
    <row r="1395" spans="1:34" x14ac:dyDescent="0.25">
      <c r="A1395" t="s">
        <v>13433</v>
      </c>
      <c r="B1395" t="s">
        <v>11374</v>
      </c>
      <c r="C1395" t="s">
        <v>11375</v>
      </c>
      <c r="D1395" t="s">
        <v>12373</v>
      </c>
      <c r="E1395" t="s">
        <v>12374</v>
      </c>
      <c r="F1395" t="s">
        <v>13434</v>
      </c>
      <c r="G1395" t="s">
        <v>15979</v>
      </c>
      <c r="H1395" t="s">
        <v>15980</v>
      </c>
      <c r="I1395" t="s">
        <v>17185</v>
      </c>
      <c r="J1395" t="s">
        <v>23</v>
      </c>
      <c r="L1395" t="s">
        <v>12376</v>
      </c>
      <c r="M1395" t="s">
        <v>13435</v>
      </c>
      <c r="N1395" t="s">
        <v>13436</v>
      </c>
      <c r="O1395" t="s">
        <v>13437</v>
      </c>
      <c r="P1395" t="s">
        <v>13438</v>
      </c>
      <c r="Q1395" t="s">
        <v>12379</v>
      </c>
      <c r="R1395" t="s">
        <v>12380</v>
      </c>
      <c r="S1395" t="s">
        <v>12381</v>
      </c>
      <c r="T1395" t="s">
        <v>12382</v>
      </c>
      <c r="U1395" s="5">
        <v>1430.15</v>
      </c>
      <c r="V1395" s="5">
        <v>50.89</v>
      </c>
      <c r="W1395" s="5">
        <v>15.881015</v>
      </c>
      <c r="X1395" s="5">
        <v>108.33228</v>
      </c>
      <c r="Y1395" s="5">
        <v>1379.26</v>
      </c>
      <c r="Z1395" s="5">
        <v>15.890886</v>
      </c>
      <c r="AA1395" s="5">
        <v>108.359292</v>
      </c>
      <c r="AB1395" s="7">
        <f t="shared" si="127"/>
        <v>7.6335000000000014E-2</v>
      </c>
      <c r="AC1395" s="7">
        <f t="shared" si="128"/>
        <v>2.0688899999999997</v>
      </c>
      <c r="AD1395" s="6" t="str">
        <f t="shared" si="129"/>
        <v>Hội An Đông</v>
      </c>
      <c r="AE1395" s="6" t="str">
        <f t="shared" si="130"/>
        <v>TTCMKV Hội An</v>
      </c>
      <c r="AG1395">
        <f t="shared" si="131"/>
        <v>5.0889999999999998E-2</v>
      </c>
      <c r="AH1395">
        <f t="shared" si="132"/>
        <v>1.3792599999999999</v>
      </c>
    </row>
    <row r="1396" spans="1:34" x14ac:dyDescent="0.25">
      <c r="A1396" t="s">
        <v>13439</v>
      </c>
      <c r="B1396" t="s">
        <v>11374</v>
      </c>
      <c r="C1396" t="s">
        <v>11375</v>
      </c>
      <c r="D1396" t="s">
        <v>13440</v>
      </c>
      <c r="E1396" t="s">
        <v>13441</v>
      </c>
      <c r="F1396" t="s">
        <v>13442</v>
      </c>
      <c r="G1396" t="s">
        <v>15979</v>
      </c>
      <c r="H1396" t="s">
        <v>15980</v>
      </c>
      <c r="I1396" t="s">
        <v>17186</v>
      </c>
      <c r="J1396" t="s">
        <v>23</v>
      </c>
      <c r="L1396" t="s">
        <v>11391</v>
      </c>
      <c r="M1396" t="s">
        <v>13443</v>
      </c>
      <c r="N1396" t="s">
        <v>11393</v>
      </c>
      <c r="O1396" t="s">
        <v>11394</v>
      </c>
      <c r="P1396" t="s">
        <v>11395</v>
      </c>
      <c r="Q1396" t="s">
        <v>13444</v>
      </c>
      <c r="R1396" t="s">
        <v>13445</v>
      </c>
      <c r="S1396" t="s">
        <v>13446</v>
      </c>
      <c r="T1396" t="s">
        <v>11399</v>
      </c>
      <c r="U1396" s="5">
        <v>1430.12</v>
      </c>
      <c r="V1396" s="5">
        <v>30.36</v>
      </c>
      <c r="W1396" s="5">
        <v>15.880701999999999</v>
      </c>
      <c r="X1396" s="5">
        <v>108.33218100000001</v>
      </c>
      <c r="Y1396" s="5">
        <v>1399.76</v>
      </c>
      <c r="Z1396" s="5">
        <v>15.889308</v>
      </c>
      <c r="AA1396" s="5">
        <v>108.25611000000001</v>
      </c>
      <c r="AB1396" s="7">
        <f t="shared" si="127"/>
        <v>4.5539999999999997E-2</v>
      </c>
      <c r="AC1396" s="7">
        <f t="shared" si="128"/>
        <v>2.09964</v>
      </c>
      <c r="AD1396" s="6" t="str">
        <f t="shared" si="129"/>
        <v>điện bàn</v>
      </c>
      <c r="AE1396" s="6" t="str">
        <f t="shared" si="130"/>
        <v>Hội An</v>
      </c>
      <c r="AG1396">
        <f t="shared" si="131"/>
        <v>3.0359999999999998E-2</v>
      </c>
      <c r="AH1396">
        <f t="shared" si="132"/>
        <v>1.3997599999999999</v>
      </c>
    </row>
    <row r="1397" spans="1:34" x14ac:dyDescent="0.25">
      <c r="A1397" t="s">
        <v>13447</v>
      </c>
      <c r="B1397" t="s">
        <v>11374</v>
      </c>
      <c r="C1397" t="s">
        <v>11375</v>
      </c>
      <c r="D1397" t="e">
        <v>#N/A</v>
      </c>
      <c r="E1397" t="e">
        <v>#N/A</v>
      </c>
      <c r="F1397" t="s">
        <v>13448</v>
      </c>
      <c r="G1397" t="s">
        <v>15979</v>
      </c>
      <c r="H1397" t="s">
        <v>15980</v>
      </c>
      <c r="I1397" t="s">
        <v>17187</v>
      </c>
      <c r="J1397" t="s">
        <v>5239</v>
      </c>
      <c r="K1397" t="s">
        <v>11979</v>
      </c>
      <c r="AB1397" s="7">
        <f t="shared" si="127"/>
        <v>0</v>
      </c>
      <c r="AC1397" s="7">
        <f t="shared" si="128"/>
        <v>0</v>
      </c>
      <c r="AD1397" s="6" t="e">
        <f t="shared" si="129"/>
        <v>#VALUE!</v>
      </c>
      <c r="AE1397" s="6" t="e">
        <f t="shared" si="130"/>
        <v>#VALUE!</v>
      </c>
      <c r="AG1397">
        <f t="shared" si="131"/>
        <v>0</v>
      </c>
      <c r="AH1397">
        <f t="shared" si="132"/>
        <v>0</v>
      </c>
    </row>
    <row r="1398" spans="1:34" x14ac:dyDescent="0.25">
      <c r="A1398" t="s">
        <v>13449</v>
      </c>
      <c r="B1398" t="s">
        <v>11425</v>
      </c>
      <c r="C1398" t="s">
        <v>11426</v>
      </c>
      <c r="D1398" t="s">
        <v>13450</v>
      </c>
      <c r="E1398" t="s">
        <v>13451</v>
      </c>
      <c r="F1398" t="s">
        <v>13452</v>
      </c>
      <c r="G1398" t="s">
        <v>15979</v>
      </c>
      <c r="H1398" t="s">
        <v>15980</v>
      </c>
      <c r="I1398" t="s">
        <v>17188</v>
      </c>
      <c r="J1398" t="s">
        <v>23</v>
      </c>
      <c r="L1398" t="s">
        <v>11430</v>
      </c>
      <c r="M1398" t="s">
        <v>13453</v>
      </c>
      <c r="N1398" t="s">
        <v>13454</v>
      </c>
      <c r="O1398" t="s">
        <v>13455</v>
      </c>
      <c r="P1398" t="s">
        <v>13456</v>
      </c>
      <c r="Q1398" t="s">
        <v>13457</v>
      </c>
      <c r="R1398" t="s">
        <v>13458</v>
      </c>
      <c r="S1398" t="s">
        <v>13459</v>
      </c>
      <c r="T1398" t="s">
        <v>13460</v>
      </c>
      <c r="U1398" s="5">
        <v>151.55000000000001</v>
      </c>
      <c r="V1398" s="5">
        <v>35.22</v>
      </c>
      <c r="W1398" s="5">
        <v>15.432839</v>
      </c>
      <c r="X1398" s="5">
        <v>108.660348</v>
      </c>
      <c r="Y1398" s="5">
        <v>116.34</v>
      </c>
      <c r="Z1398" s="5">
        <v>15.460558000000001</v>
      </c>
      <c r="AA1398" s="5">
        <v>108.60286600000001</v>
      </c>
      <c r="AB1398" s="7">
        <f t="shared" si="127"/>
        <v>5.2829999999999995E-2</v>
      </c>
      <c r="AC1398" s="7">
        <f t="shared" si="128"/>
        <v>0.17451</v>
      </c>
      <c r="AD1398" s="6" t="str">
        <f t="shared" si="129"/>
        <v>Tam Anh</v>
      </c>
      <c r="AE1398" s="6" t="str">
        <f t="shared" si="130"/>
        <v>Núi Thành</v>
      </c>
      <c r="AG1398">
        <f t="shared" si="131"/>
        <v>3.5220000000000001E-2</v>
      </c>
      <c r="AH1398">
        <f t="shared" si="132"/>
        <v>0.11634</v>
      </c>
    </row>
    <row r="1399" spans="1:34" x14ac:dyDescent="0.25">
      <c r="A1399" t="s">
        <v>13461</v>
      </c>
      <c r="B1399" t="s">
        <v>11425</v>
      </c>
      <c r="C1399" t="s">
        <v>11426</v>
      </c>
      <c r="D1399" t="s">
        <v>11645</v>
      </c>
      <c r="E1399" t="s">
        <v>11646</v>
      </c>
      <c r="F1399" t="s">
        <v>13462</v>
      </c>
      <c r="G1399" t="s">
        <v>15979</v>
      </c>
      <c r="H1399" t="s">
        <v>15980</v>
      </c>
      <c r="I1399" t="s">
        <v>17189</v>
      </c>
      <c r="J1399" t="s">
        <v>23</v>
      </c>
      <c r="L1399" t="s">
        <v>12440</v>
      </c>
      <c r="M1399" t="s">
        <v>13463</v>
      </c>
      <c r="N1399" t="s">
        <v>13464</v>
      </c>
      <c r="O1399" t="s">
        <v>13465</v>
      </c>
      <c r="P1399" t="s">
        <v>13466</v>
      </c>
      <c r="Q1399" t="s">
        <v>13467</v>
      </c>
      <c r="R1399" t="s">
        <v>13468</v>
      </c>
      <c r="S1399" t="s">
        <v>13469</v>
      </c>
      <c r="T1399" t="s">
        <v>12448</v>
      </c>
      <c r="U1399" s="5">
        <v>11891.46</v>
      </c>
      <c r="V1399" s="5">
        <v>8872.81</v>
      </c>
      <c r="W1399" s="5">
        <v>15.446864</v>
      </c>
      <c r="X1399" s="5">
        <v>108.578954</v>
      </c>
      <c r="Y1399" s="5">
        <v>3018.65</v>
      </c>
      <c r="Z1399" s="5">
        <v>15.553322</v>
      </c>
      <c r="AA1399" s="5">
        <v>108.48165400000001</v>
      </c>
      <c r="AB1399" s="7">
        <f t="shared" si="127"/>
        <v>13.309215</v>
      </c>
      <c r="AC1399" s="7">
        <f t="shared" si="128"/>
        <v>4.5279750000000005</v>
      </c>
      <c r="AD1399" s="6" t="str">
        <f t="shared" si="129"/>
        <v>Đức phú</v>
      </c>
      <c r="AE1399" s="6" t="str">
        <f t="shared" si="130"/>
        <v>Phú Ninh</v>
      </c>
      <c r="AG1399">
        <f t="shared" si="131"/>
        <v>8.8728099999999994</v>
      </c>
      <c r="AH1399">
        <f t="shared" si="132"/>
        <v>3.0186500000000001</v>
      </c>
    </row>
    <row r="1400" spans="1:34" x14ac:dyDescent="0.25">
      <c r="A1400" t="s">
        <v>13470</v>
      </c>
      <c r="B1400" t="s">
        <v>11425</v>
      </c>
      <c r="C1400" t="s">
        <v>11426</v>
      </c>
      <c r="D1400" t="s">
        <v>13471</v>
      </c>
      <c r="E1400" t="s">
        <v>13472</v>
      </c>
      <c r="F1400" t="s">
        <v>13473</v>
      </c>
      <c r="G1400" t="s">
        <v>15979</v>
      </c>
      <c r="H1400" t="s">
        <v>15980</v>
      </c>
      <c r="I1400" t="s">
        <v>17190</v>
      </c>
      <c r="J1400" t="s">
        <v>23</v>
      </c>
      <c r="L1400" t="s">
        <v>11430</v>
      </c>
      <c r="M1400" t="s">
        <v>13474</v>
      </c>
      <c r="N1400" t="s">
        <v>13454</v>
      </c>
      <c r="O1400" t="s">
        <v>13455</v>
      </c>
      <c r="P1400" t="s">
        <v>13456</v>
      </c>
      <c r="Q1400" t="s">
        <v>13475</v>
      </c>
      <c r="R1400" t="s">
        <v>13476</v>
      </c>
      <c r="S1400" t="s">
        <v>13477</v>
      </c>
      <c r="T1400" t="s">
        <v>13460</v>
      </c>
      <c r="U1400" s="5">
        <v>326.87</v>
      </c>
      <c r="V1400" s="5">
        <v>35.22</v>
      </c>
      <c r="W1400" s="5">
        <v>15.432839</v>
      </c>
      <c r="X1400" s="5">
        <v>108.660348</v>
      </c>
      <c r="Y1400" s="5">
        <v>291.66000000000003</v>
      </c>
      <c r="Z1400" s="5">
        <v>15.432786</v>
      </c>
      <c r="AA1400" s="5">
        <v>108.651911</v>
      </c>
      <c r="AB1400" s="7">
        <f t="shared" si="127"/>
        <v>5.2829999999999995E-2</v>
      </c>
      <c r="AC1400" s="7">
        <f t="shared" si="128"/>
        <v>0.43748999999999999</v>
      </c>
      <c r="AD1400" s="6" t="str">
        <f t="shared" si="129"/>
        <v>Tam Anh</v>
      </c>
      <c r="AE1400" s="6" t="str">
        <f t="shared" si="130"/>
        <v>Núi Thành</v>
      </c>
      <c r="AG1400">
        <f t="shared" si="131"/>
        <v>3.5220000000000001E-2</v>
      </c>
      <c r="AH1400">
        <f t="shared" si="132"/>
        <v>0.29166000000000003</v>
      </c>
    </row>
    <row r="1401" spans="1:34" x14ac:dyDescent="0.25">
      <c r="A1401" t="s">
        <v>13478</v>
      </c>
      <c r="B1401" t="s">
        <v>11425</v>
      </c>
      <c r="C1401" t="s">
        <v>11426</v>
      </c>
      <c r="D1401" t="s">
        <v>13479</v>
      </c>
      <c r="E1401" t="s">
        <v>13480</v>
      </c>
      <c r="F1401" t="s">
        <v>13481</v>
      </c>
      <c r="G1401" t="s">
        <v>15979</v>
      </c>
      <c r="H1401" t="s">
        <v>15980</v>
      </c>
      <c r="I1401" t="s">
        <v>17191</v>
      </c>
      <c r="J1401" t="s">
        <v>23</v>
      </c>
      <c r="L1401" t="s">
        <v>11430</v>
      </c>
      <c r="M1401" t="s">
        <v>13482</v>
      </c>
      <c r="N1401" t="s">
        <v>11432</v>
      </c>
      <c r="O1401" t="s">
        <v>11433</v>
      </c>
      <c r="P1401" t="s">
        <v>11434</v>
      </c>
      <c r="Q1401" t="s">
        <v>13483</v>
      </c>
      <c r="R1401" t="s">
        <v>11433</v>
      </c>
      <c r="S1401" t="s">
        <v>11434</v>
      </c>
      <c r="T1401" t="s">
        <v>11438</v>
      </c>
      <c r="U1401" s="5">
        <v>2923.33</v>
      </c>
      <c r="V1401" s="5">
        <v>3.91</v>
      </c>
      <c r="W1401" s="5">
        <v>15.433142</v>
      </c>
      <c r="X1401" s="5">
        <v>108.660472</v>
      </c>
      <c r="Y1401" s="5">
        <v>2919.42</v>
      </c>
      <c r="Z1401" s="5">
        <v>15.433142</v>
      </c>
      <c r="AA1401" s="5">
        <v>108.660472</v>
      </c>
      <c r="AB1401" s="7">
        <f t="shared" si="127"/>
        <v>5.8650000000000004E-3</v>
      </c>
      <c r="AC1401" s="7">
        <f t="shared" si="128"/>
        <v>4.37913</v>
      </c>
      <c r="AD1401" s="6" t="str">
        <f t="shared" si="129"/>
        <v>Tam Anh</v>
      </c>
      <c r="AE1401" s="6" t="str">
        <f t="shared" si="130"/>
        <v>Núi Thành</v>
      </c>
      <c r="AG1401">
        <f t="shared" si="131"/>
        <v>3.9100000000000003E-3</v>
      </c>
      <c r="AH1401">
        <f t="shared" si="132"/>
        <v>2.9194200000000001</v>
      </c>
    </row>
    <row r="1402" spans="1:34" x14ac:dyDescent="0.25">
      <c r="A1402" t="s">
        <v>13484</v>
      </c>
      <c r="B1402" t="s">
        <v>11425</v>
      </c>
      <c r="C1402" t="s">
        <v>11426</v>
      </c>
      <c r="D1402" t="s">
        <v>13485</v>
      </c>
      <c r="E1402" t="s">
        <v>13486</v>
      </c>
      <c r="F1402" t="s">
        <v>13487</v>
      </c>
      <c r="G1402" t="s">
        <v>15979</v>
      </c>
      <c r="H1402" t="s">
        <v>15980</v>
      </c>
      <c r="I1402" t="s">
        <v>17192</v>
      </c>
      <c r="J1402" t="s">
        <v>23</v>
      </c>
      <c r="L1402" t="s">
        <v>11430</v>
      </c>
      <c r="M1402" t="s">
        <v>13488</v>
      </c>
      <c r="N1402" t="s">
        <v>11432</v>
      </c>
      <c r="O1402" t="s">
        <v>11433</v>
      </c>
      <c r="P1402" t="s">
        <v>11434</v>
      </c>
      <c r="Q1402" t="s">
        <v>13489</v>
      </c>
      <c r="R1402" t="s">
        <v>11433</v>
      </c>
      <c r="S1402" t="s">
        <v>11434</v>
      </c>
      <c r="T1402" t="s">
        <v>11438</v>
      </c>
      <c r="U1402" s="5">
        <v>2814.25</v>
      </c>
      <c r="V1402" s="5">
        <v>3.91</v>
      </c>
      <c r="W1402" s="5">
        <v>15.433142</v>
      </c>
      <c r="X1402" s="5">
        <v>108.660472</v>
      </c>
      <c r="Y1402" s="5">
        <v>2810.34</v>
      </c>
      <c r="Z1402" s="5">
        <v>15.433142</v>
      </c>
      <c r="AA1402" s="5">
        <v>108.660472</v>
      </c>
      <c r="AB1402" s="7">
        <f t="shared" si="127"/>
        <v>5.8650000000000004E-3</v>
      </c>
      <c r="AC1402" s="7">
        <f t="shared" si="128"/>
        <v>4.2155100000000001</v>
      </c>
      <c r="AD1402" s="6" t="str">
        <f t="shared" si="129"/>
        <v>Tam Anh</v>
      </c>
      <c r="AE1402" s="6" t="str">
        <f t="shared" si="130"/>
        <v>Núi Thành</v>
      </c>
      <c r="AG1402">
        <f t="shared" si="131"/>
        <v>3.9100000000000003E-3</v>
      </c>
      <c r="AH1402">
        <f t="shared" si="132"/>
        <v>2.8103400000000001</v>
      </c>
    </row>
    <row r="1403" spans="1:34" x14ac:dyDescent="0.25">
      <c r="A1403" t="s">
        <v>13490</v>
      </c>
      <c r="B1403" t="s">
        <v>11425</v>
      </c>
      <c r="C1403" t="s">
        <v>11426</v>
      </c>
      <c r="D1403" t="s">
        <v>13491</v>
      </c>
      <c r="E1403" t="s">
        <v>13492</v>
      </c>
      <c r="F1403" t="s">
        <v>13493</v>
      </c>
      <c r="G1403" t="s">
        <v>15979</v>
      </c>
      <c r="H1403" t="s">
        <v>15980</v>
      </c>
      <c r="I1403" t="s">
        <v>17193</v>
      </c>
      <c r="J1403" t="s">
        <v>23</v>
      </c>
      <c r="L1403" t="s">
        <v>11430</v>
      </c>
      <c r="M1403" t="s">
        <v>13494</v>
      </c>
      <c r="N1403" t="s">
        <v>11432</v>
      </c>
      <c r="O1403" t="s">
        <v>11433</v>
      </c>
      <c r="P1403" t="s">
        <v>11434</v>
      </c>
      <c r="Q1403" t="s">
        <v>13495</v>
      </c>
      <c r="R1403" t="s">
        <v>11436</v>
      </c>
      <c r="S1403" t="s">
        <v>11437</v>
      </c>
      <c r="T1403" t="s">
        <v>11438</v>
      </c>
      <c r="U1403" s="5">
        <v>4574.96</v>
      </c>
      <c r="V1403" s="5">
        <v>3.91</v>
      </c>
      <c r="W1403" s="5">
        <v>15.433142</v>
      </c>
      <c r="X1403" s="5">
        <v>108.660472</v>
      </c>
      <c r="Y1403" s="5">
        <v>4571.05</v>
      </c>
      <c r="Z1403" s="5">
        <v>15.432864</v>
      </c>
      <c r="AA1403" s="5">
        <v>108.66029</v>
      </c>
      <c r="AB1403" s="7">
        <f t="shared" si="127"/>
        <v>5.8650000000000004E-3</v>
      </c>
      <c r="AC1403" s="7">
        <f t="shared" si="128"/>
        <v>6.8565750000000003</v>
      </c>
      <c r="AD1403" s="6" t="str">
        <f t="shared" si="129"/>
        <v>Tam Anh</v>
      </c>
      <c r="AE1403" s="6" t="str">
        <f t="shared" si="130"/>
        <v>Núi Thành</v>
      </c>
      <c r="AG1403">
        <f t="shared" si="131"/>
        <v>3.9100000000000003E-3</v>
      </c>
      <c r="AH1403">
        <f t="shared" si="132"/>
        <v>4.5710500000000005</v>
      </c>
    </row>
    <row r="1404" spans="1:34" x14ac:dyDescent="0.25">
      <c r="A1404" t="s">
        <v>13496</v>
      </c>
      <c r="B1404" t="s">
        <v>11440</v>
      </c>
      <c r="C1404" t="s">
        <v>11441</v>
      </c>
      <c r="D1404" t="s">
        <v>11637</v>
      </c>
      <c r="E1404" t="s">
        <v>11638</v>
      </c>
      <c r="F1404" t="s">
        <v>13497</v>
      </c>
      <c r="G1404" t="s">
        <v>15979</v>
      </c>
      <c r="H1404" t="s">
        <v>15980</v>
      </c>
      <c r="I1404" t="s">
        <v>17194</v>
      </c>
      <c r="J1404" t="s">
        <v>23</v>
      </c>
      <c r="L1404" t="s">
        <v>11458</v>
      </c>
      <c r="M1404" t="s">
        <v>13498</v>
      </c>
      <c r="N1404" t="s">
        <v>11460</v>
      </c>
      <c r="O1404" t="s">
        <v>11461</v>
      </c>
      <c r="P1404" t="s">
        <v>11462</v>
      </c>
      <c r="Q1404" t="s">
        <v>13499</v>
      </c>
      <c r="R1404" t="s">
        <v>13500</v>
      </c>
      <c r="S1404" t="s">
        <v>13501</v>
      </c>
      <c r="T1404" t="s">
        <v>11466</v>
      </c>
      <c r="U1404" s="5">
        <v>895.37</v>
      </c>
      <c r="V1404" s="5">
        <v>813.22</v>
      </c>
      <c r="W1404" s="5">
        <v>15.741393</v>
      </c>
      <c r="X1404" s="5">
        <v>108.35662000000001</v>
      </c>
      <c r="Y1404" s="5">
        <v>82.15</v>
      </c>
      <c r="Z1404" s="5">
        <v>15.788897</v>
      </c>
      <c r="AA1404" s="5">
        <v>108.321879</v>
      </c>
      <c r="AB1404" s="7">
        <f t="shared" si="127"/>
        <v>1.21983</v>
      </c>
      <c r="AC1404" s="7">
        <f t="shared" si="128"/>
        <v>0.12322500000000002</v>
      </c>
      <c r="AD1404" s="6" t="str">
        <f t="shared" si="129"/>
        <v>Duy Xuyên</v>
      </c>
      <c r="AE1404" s="6" t="str">
        <f t="shared" si="130"/>
        <v>TT2 Tam Kỳ</v>
      </c>
      <c r="AG1404">
        <f t="shared" si="131"/>
        <v>0.81322000000000005</v>
      </c>
      <c r="AH1404">
        <f t="shared" si="132"/>
        <v>8.2150000000000001E-2</v>
      </c>
    </row>
    <row r="1405" spans="1:34" x14ac:dyDescent="0.25">
      <c r="A1405" t="s">
        <v>13502</v>
      </c>
      <c r="B1405" t="s">
        <v>11440</v>
      </c>
      <c r="C1405" t="s">
        <v>11441</v>
      </c>
      <c r="D1405" t="s">
        <v>11577</v>
      </c>
      <c r="E1405" t="s">
        <v>11578</v>
      </c>
      <c r="F1405" t="s">
        <v>13503</v>
      </c>
      <c r="G1405" t="s">
        <v>15979</v>
      </c>
      <c r="H1405" t="s">
        <v>15980</v>
      </c>
      <c r="I1405" t="s">
        <v>17195</v>
      </c>
      <c r="J1405" t="s">
        <v>23</v>
      </c>
      <c r="L1405" t="s">
        <v>11514</v>
      </c>
      <c r="M1405" t="s">
        <v>13504</v>
      </c>
      <c r="N1405" t="s">
        <v>11516</v>
      </c>
      <c r="O1405" t="s">
        <v>11517</v>
      </c>
      <c r="P1405" t="s">
        <v>11518</v>
      </c>
      <c r="Q1405" t="s">
        <v>13505</v>
      </c>
      <c r="R1405" t="s">
        <v>13506</v>
      </c>
      <c r="S1405" t="s">
        <v>13507</v>
      </c>
      <c r="T1405" t="s">
        <v>11522</v>
      </c>
      <c r="U1405" s="5">
        <v>4729.3999999999996</v>
      </c>
      <c r="V1405" s="5">
        <v>1063.79</v>
      </c>
      <c r="W1405" s="5">
        <v>15.742058</v>
      </c>
      <c r="X1405" s="5">
        <v>108.359236</v>
      </c>
      <c r="Y1405" s="5">
        <v>3665.6</v>
      </c>
      <c r="Z1405" s="5">
        <v>15.759016000000001</v>
      </c>
      <c r="AA1405" s="5">
        <v>108.393829</v>
      </c>
      <c r="AB1405" s="7">
        <f t="shared" si="127"/>
        <v>1.595685</v>
      </c>
      <c r="AC1405" s="7">
        <f t="shared" si="128"/>
        <v>5.4983999999999993</v>
      </c>
      <c r="AD1405" s="6" t="str">
        <f t="shared" si="129"/>
        <v>E28</v>
      </c>
      <c r="AE1405" s="6" t="str">
        <f t="shared" si="130"/>
        <v>Thăng An</v>
      </c>
      <c r="AG1405">
        <f t="shared" si="131"/>
        <v>1.06379</v>
      </c>
      <c r="AH1405">
        <f t="shared" si="132"/>
        <v>3.6656</v>
      </c>
    </row>
    <row r="1406" spans="1:34" x14ac:dyDescent="0.25">
      <c r="A1406" t="s">
        <v>13508</v>
      </c>
      <c r="B1406" t="s">
        <v>11440</v>
      </c>
      <c r="C1406" t="s">
        <v>11441</v>
      </c>
      <c r="D1406" t="e">
        <v>#N/A</v>
      </c>
      <c r="E1406" t="e">
        <v>#N/A</v>
      </c>
      <c r="F1406" t="s">
        <v>13509</v>
      </c>
      <c r="G1406" t="s">
        <v>15979</v>
      </c>
      <c r="H1406" t="s">
        <v>15980</v>
      </c>
      <c r="I1406" t="s">
        <v>17196</v>
      </c>
      <c r="J1406" t="s">
        <v>5239</v>
      </c>
      <c r="K1406" t="s">
        <v>11979</v>
      </c>
      <c r="AB1406" s="7">
        <f t="shared" si="127"/>
        <v>0</v>
      </c>
      <c r="AC1406" s="7">
        <f t="shared" si="128"/>
        <v>0</v>
      </c>
      <c r="AD1406" s="6" t="e">
        <f t="shared" si="129"/>
        <v>#VALUE!</v>
      </c>
      <c r="AE1406" s="6" t="e">
        <f t="shared" si="130"/>
        <v>#VALUE!</v>
      </c>
      <c r="AG1406">
        <f t="shared" si="131"/>
        <v>0</v>
      </c>
      <c r="AH1406">
        <f t="shared" si="132"/>
        <v>0</v>
      </c>
    </row>
    <row r="1407" spans="1:34" x14ac:dyDescent="0.25">
      <c r="A1407" t="s">
        <v>13510</v>
      </c>
      <c r="B1407" t="s">
        <v>11440</v>
      </c>
      <c r="C1407" t="s">
        <v>11441</v>
      </c>
      <c r="D1407" t="s">
        <v>13511</v>
      </c>
      <c r="E1407" t="s">
        <v>13512</v>
      </c>
      <c r="F1407" t="s">
        <v>13513</v>
      </c>
      <c r="G1407" t="s">
        <v>15979</v>
      </c>
      <c r="H1407" t="s">
        <v>15980</v>
      </c>
      <c r="I1407" t="s">
        <v>17197</v>
      </c>
      <c r="J1407" t="s">
        <v>23</v>
      </c>
      <c r="L1407" t="s">
        <v>11445</v>
      </c>
      <c r="M1407" t="s">
        <v>13514</v>
      </c>
      <c r="N1407" t="s">
        <v>13515</v>
      </c>
      <c r="O1407" t="s">
        <v>13516</v>
      </c>
      <c r="P1407" t="s">
        <v>13517</v>
      </c>
      <c r="Q1407" t="s">
        <v>13518</v>
      </c>
      <c r="R1407" t="s">
        <v>13519</v>
      </c>
      <c r="S1407" t="s">
        <v>13520</v>
      </c>
      <c r="T1407" t="s">
        <v>13521</v>
      </c>
      <c r="U1407" s="5">
        <v>899.3</v>
      </c>
      <c r="V1407" s="5">
        <v>4.6900000000000004</v>
      </c>
      <c r="W1407" s="5">
        <v>15.735823999999999</v>
      </c>
      <c r="X1407" s="5">
        <v>108.351744</v>
      </c>
      <c r="Y1407" s="5">
        <v>894.61</v>
      </c>
      <c r="Z1407" s="5">
        <v>15.736126000000001</v>
      </c>
      <c r="AA1407" s="5">
        <v>108.35212799999999</v>
      </c>
      <c r="AB1407" s="7">
        <f t="shared" si="127"/>
        <v>7.0350000000000005E-3</v>
      </c>
      <c r="AC1407" s="7">
        <f t="shared" si="128"/>
        <v>1.341915</v>
      </c>
      <c r="AD1407" s="6" t="str">
        <f t="shared" si="129"/>
        <v>Thăng Bình</v>
      </c>
      <c r="AE1407" s="6" t="str">
        <f t="shared" si="130"/>
        <v>Quế Sơn</v>
      </c>
      <c r="AG1407">
        <f t="shared" si="131"/>
        <v>4.6900000000000006E-3</v>
      </c>
      <c r="AH1407">
        <f t="shared" si="132"/>
        <v>0.89461000000000002</v>
      </c>
    </row>
    <row r="1408" spans="1:34" x14ac:dyDescent="0.25">
      <c r="A1408" t="s">
        <v>11576</v>
      </c>
      <c r="B1408" t="s">
        <v>11524</v>
      </c>
      <c r="C1408" t="s">
        <v>11525</v>
      </c>
      <c r="D1408" t="s">
        <v>11577</v>
      </c>
      <c r="E1408" t="s">
        <v>11578</v>
      </c>
      <c r="F1408" t="s">
        <v>13522</v>
      </c>
      <c r="G1408" t="s">
        <v>15979</v>
      </c>
      <c r="H1408" t="s">
        <v>15980</v>
      </c>
      <c r="I1408" t="s">
        <v>16995</v>
      </c>
      <c r="J1408" t="s">
        <v>23</v>
      </c>
      <c r="L1408" t="s">
        <v>11542</v>
      </c>
      <c r="M1408" t="s">
        <v>11580</v>
      </c>
      <c r="N1408" t="s">
        <v>11569</v>
      </c>
      <c r="O1408" t="s">
        <v>11570</v>
      </c>
      <c r="P1408" t="s">
        <v>11571</v>
      </c>
      <c r="Q1408" t="s">
        <v>11581</v>
      </c>
      <c r="R1408" t="s">
        <v>11582</v>
      </c>
      <c r="S1408" t="s">
        <v>11583</v>
      </c>
      <c r="T1408" t="s">
        <v>11575</v>
      </c>
      <c r="U1408" s="5">
        <v>11307.44</v>
      </c>
      <c r="V1408" s="5">
        <v>2543.98</v>
      </c>
      <c r="W1408" s="5">
        <v>15.646300999999999</v>
      </c>
      <c r="X1408" s="5">
        <v>108.462339</v>
      </c>
      <c r="Y1408" s="5">
        <v>8763.4599999999991</v>
      </c>
      <c r="Z1408" s="5">
        <v>15.706669</v>
      </c>
      <c r="AA1408" s="5">
        <v>108.386088</v>
      </c>
      <c r="AB1408" s="7">
        <f t="shared" si="127"/>
        <v>3.8159700000000001</v>
      </c>
      <c r="AC1408" s="7">
        <f t="shared" si="128"/>
        <v>13.145189999999999</v>
      </c>
      <c r="AD1408" s="6" t="str">
        <f t="shared" si="129"/>
        <v>TTCMKV Thăng Bình</v>
      </c>
      <c r="AE1408" s="6" t="str">
        <f t="shared" si="130"/>
        <v>Thăng
Trường</v>
      </c>
      <c r="AG1408">
        <f t="shared" si="131"/>
        <v>2.5439799999999999</v>
      </c>
      <c r="AH1408">
        <f t="shared" si="132"/>
        <v>8.7634599999999985</v>
      </c>
    </row>
    <row r="1409" spans="1:34" x14ac:dyDescent="0.25">
      <c r="A1409" t="s">
        <v>13523</v>
      </c>
      <c r="B1409" t="s">
        <v>11524</v>
      </c>
      <c r="C1409" t="s">
        <v>11525</v>
      </c>
      <c r="D1409" t="e">
        <v>#N/A</v>
      </c>
      <c r="E1409" t="e">
        <v>#N/A</v>
      </c>
      <c r="F1409" t="s">
        <v>13524</v>
      </c>
      <c r="G1409" t="s">
        <v>15979</v>
      </c>
      <c r="H1409" t="s">
        <v>15980</v>
      </c>
      <c r="I1409" t="s">
        <v>17198</v>
      </c>
      <c r="J1409" t="s">
        <v>5239</v>
      </c>
      <c r="K1409" t="s">
        <v>11979</v>
      </c>
      <c r="AB1409" s="7">
        <f t="shared" si="127"/>
        <v>0</v>
      </c>
      <c r="AC1409" s="7">
        <f t="shared" si="128"/>
        <v>0</v>
      </c>
      <c r="AD1409" s="6" t="e">
        <f t="shared" si="129"/>
        <v>#VALUE!</v>
      </c>
      <c r="AE1409" s="6" t="e">
        <f t="shared" si="130"/>
        <v>#VALUE!</v>
      </c>
      <c r="AG1409">
        <f t="shared" si="131"/>
        <v>0</v>
      </c>
      <c r="AH1409">
        <f t="shared" si="132"/>
        <v>0</v>
      </c>
    </row>
    <row r="1410" spans="1:34" x14ac:dyDescent="0.25">
      <c r="A1410" t="s">
        <v>13525</v>
      </c>
      <c r="B1410" t="s">
        <v>11524</v>
      </c>
      <c r="C1410" t="s">
        <v>11525</v>
      </c>
      <c r="D1410" t="s">
        <v>13526</v>
      </c>
      <c r="E1410" t="s">
        <v>13527</v>
      </c>
      <c r="F1410" t="s">
        <v>13528</v>
      </c>
      <c r="G1410" t="s">
        <v>15979</v>
      </c>
      <c r="H1410" t="s">
        <v>15980</v>
      </c>
      <c r="I1410" t="s">
        <v>17199</v>
      </c>
      <c r="J1410" t="s">
        <v>23</v>
      </c>
      <c r="L1410" t="s">
        <v>11529</v>
      </c>
      <c r="M1410" t="s">
        <v>13529</v>
      </c>
      <c r="N1410" t="s">
        <v>13530</v>
      </c>
      <c r="O1410" t="s">
        <v>13531</v>
      </c>
      <c r="P1410" t="s">
        <v>13532</v>
      </c>
      <c r="Q1410" t="s">
        <v>13533</v>
      </c>
      <c r="R1410" t="s">
        <v>13534</v>
      </c>
      <c r="S1410" t="s">
        <v>13535</v>
      </c>
      <c r="T1410" t="s">
        <v>13536</v>
      </c>
      <c r="U1410" s="5">
        <v>4102.84</v>
      </c>
      <c r="V1410" s="5">
        <v>9</v>
      </c>
      <c r="W1410" s="5">
        <v>15.650879</v>
      </c>
      <c r="X1410" s="5">
        <v>108.485607</v>
      </c>
      <c r="Y1410" s="5">
        <v>4093.84</v>
      </c>
      <c r="Z1410" s="5">
        <v>15.651888</v>
      </c>
      <c r="AA1410" s="5">
        <v>108.48739500000001</v>
      </c>
      <c r="AB1410" s="7">
        <f t="shared" si="127"/>
        <v>1.35E-2</v>
      </c>
      <c r="AC1410" s="7">
        <f t="shared" si="128"/>
        <v>6.1407600000000002</v>
      </c>
      <c r="AD1410" s="6" t="str">
        <f t="shared" si="129"/>
        <v>Thăng Trường</v>
      </c>
      <c r="AE1410" s="6" t="str">
        <f t="shared" si="130"/>
        <v>Quảng Phú</v>
      </c>
      <c r="AG1410">
        <f t="shared" si="131"/>
        <v>8.9999999999999993E-3</v>
      </c>
      <c r="AH1410">
        <f t="shared" si="132"/>
        <v>4.0938400000000001</v>
      </c>
    </row>
    <row r="1411" spans="1:34" x14ac:dyDescent="0.25">
      <c r="A1411" t="s">
        <v>13537</v>
      </c>
      <c r="B1411" t="s">
        <v>11524</v>
      </c>
      <c r="C1411" t="s">
        <v>11525</v>
      </c>
      <c r="D1411" t="s">
        <v>13538</v>
      </c>
      <c r="E1411" t="s">
        <v>13539</v>
      </c>
      <c r="F1411" t="s">
        <v>13540</v>
      </c>
      <c r="G1411" t="s">
        <v>15979</v>
      </c>
      <c r="H1411" t="s">
        <v>15980</v>
      </c>
      <c r="I1411" t="s">
        <v>17200</v>
      </c>
      <c r="J1411" t="s">
        <v>23</v>
      </c>
      <c r="L1411" t="s">
        <v>11529</v>
      </c>
      <c r="M1411" t="s">
        <v>13541</v>
      </c>
      <c r="N1411" t="s">
        <v>13542</v>
      </c>
      <c r="O1411" t="s">
        <v>13543</v>
      </c>
      <c r="P1411" t="s">
        <v>13544</v>
      </c>
      <c r="Q1411" t="s">
        <v>13545</v>
      </c>
      <c r="R1411" t="s">
        <v>13546</v>
      </c>
      <c r="S1411" t="s">
        <v>13547</v>
      </c>
      <c r="T1411" t="s">
        <v>13548</v>
      </c>
      <c r="U1411" s="5">
        <v>2608.59</v>
      </c>
      <c r="V1411" s="5">
        <v>1745.63</v>
      </c>
      <c r="W1411" s="5">
        <v>15.658690999999999</v>
      </c>
      <c r="X1411" s="5">
        <v>108.49979</v>
      </c>
      <c r="Y1411" s="5">
        <v>862.96</v>
      </c>
      <c r="Z1411" s="5">
        <v>15.643542</v>
      </c>
      <c r="AA1411" s="5">
        <v>108.51123800000001</v>
      </c>
      <c r="AB1411" s="7">
        <f t="shared" ref="AB1411:AB1474" si="133">V1411*1.5/1000</f>
        <v>2.6184450000000004</v>
      </c>
      <c r="AC1411" s="7">
        <f t="shared" ref="AC1411:AC1474" si="134">Y1411*1.5/1000</f>
        <v>1.29444</v>
      </c>
      <c r="AD1411" s="6" t="str">
        <f t="shared" ref="AD1411:AD1474" si="135">TRIM(LEFT(L1411,FIND("-",L1411)-1))</f>
        <v>Thăng Trường</v>
      </c>
      <c r="AE1411" s="6" t="str">
        <f t="shared" ref="AE1411:AE1474" si="136">TRIM(RIGHT(L1411, LEN(L1411) - FIND("-", L1411)))</f>
        <v>Quảng Phú</v>
      </c>
      <c r="AG1411">
        <f t="shared" ref="AG1411:AG1474" si="137">V1411/1000</f>
        <v>1.74563</v>
      </c>
      <c r="AH1411">
        <f t="shared" ref="AH1411:AH1474" si="138">Y1411/1000</f>
        <v>0.86296000000000006</v>
      </c>
    </row>
    <row r="1412" spans="1:34" x14ac:dyDescent="0.25">
      <c r="A1412" t="s">
        <v>13549</v>
      </c>
      <c r="B1412" t="s">
        <v>11524</v>
      </c>
      <c r="C1412" t="s">
        <v>11525</v>
      </c>
      <c r="D1412" t="e">
        <v>#N/A</v>
      </c>
      <c r="E1412" t="e">
        <v>#N/A</v>
      </c>
      <c r="F1412" t="s">
        <v>13550</v>
      </c>
      <c r="G1412" t="s">
        <v>15979</v>
      </c>
      <c r="H1412" t="s">
        <v>15980</v>
      </c>
      <c r="I1412" t="s">
        <v>17201</v>
      </c>
      <c r="J1412" t="s">
        <v>5239</v>
      </c>
      <c r="K1412" t="s">
        <v>11979</v>
      </c>
      <c r="AB1412" s="7">
        <f t="shared" si="133"/>
        <v>0</v>
      </c>
      <c r="AC1412" s="7">
        <f t="shared" si="134"/>
        <v>0</v>
      </c>
      <c r="AD1412" s="6" t="e">
        <f t="shared" si="135"/>
        <v>#VALUE!</v>
      </c>
      <c r="AE1412" s="6" t="e">
        <f t="shared" si="136"/>
        <v>#VALUE!</v>
      </c>
      <c r="AG1412">
        <f t="shared" si="137"/>
        <v>0</v>
      </c>
      <c r="AH1412">
        <f t="shared" si="138"/>
        <v>0</v>
      </c>
    </row>
    <row r="1413" spans="1:34" x14ac:dyDescent="0.25">
      <c r="A1413" t="s">
        <v>13551</v>
      </c>
      <c r="B1413" t="s">
        <v>11524</v>
      </c>
      <c r="C1413" t="s">
        <v>11525</v>
      </c>
      <c r="D1413" t="e">
        <v>#N/A</v>
      </c>
      <c r="E1413" t="e">
        <v>#N/A</v>
      </c>
      <c r="F1413" t="s">
        <v>13552</v>
      </c>
      <c r="G1413" t="s">
        <v>15979</v>
      </c>
      <c r="H1413" t="s">
        <v>15980</v>
      </c>
      <c r="I1413" t="s">
        <v>17202</v>
      </c>
      <c r="J1413" t="s">
        <v>5239</v>
      </c>
      <c r="K1413" t="s">
        <v>11979</v>
      </c>
      <c r="AB1413" s="7">
        <f t="shared" si="133"/>
        <v>0</v>
      </c>
      <c r="AC1413" s="7">
        <f t="shared" si="134"/>
        <v>0</v>
      </c>
      <c r="AD1413" s="6" t="e">
        <f t="shared" si="135"/>
        <v>#VALUE!</v>
      </c>
      <c r="AE1413" s="6" t="e">
        <f t="shared" si="136"/>
        <v>#VALUE!</v>
      </c>
      <c r="AG1413">
        <f t="shared" si="137"/>
        <v>0</v>
      </c>
      <c r="AH1413">
        <f t="shared" si="138"/>
        <v>0</v>
      </c>
    </row>
    <row r="1414" spans="1:34" x14ac:dyDescent="0.25">
      <c r="A1414" t="s">
        <v>13553</v>
      </c>
      <c r="B1414" t="s">
        <v>11585</v>
      </c>
      <c r="C1414" t="s">
        <v>11586</v>
      </c>
      <c r="D1414" t="s">
        <v>13356</v>
      </c>
      <c r="E1414" t="s">
        <v>13357</v>
      </c>
      <c r="F1414" t="s">
        <v>13554</v>
      </c>
      <c r="G1414" t="s">
        <v>15979</v>
      </c>
      <c r="H1414" t="s">
        <v>15980</v>
      </c>
      <c r="I1414" t="s">
        <v>17203</v>
      </c>
      <c r="J1414" t="s">
        <v>23</v>
      </c>
      <c r="L1414" t="s">
        <v>11555</v>
      </c>
      <c r="M1414" t="s">
        <v>13555</v>
      </c>
      <c r="N1414" t="s">
        <v>11591</v>
      </c>
      <c r="O1414" t="s">
        <v>11592</v>
      </c>
      <c r="P1414" t="s">
        <v>11593</v>
      </c>
      <c r="Q1414" t="s">
        <v>13556</v>
      </c>
      <c r="R1414" t="s">
        <v>11642</v>
      </c>
      <c r="S1414" t="s">
        <v>11643</v>
      </c>
      <c r="T1414" t="s">
        <v>11563</v>
      </c>
      <c r="U1414" s="5">
        <v>12173.8</v>
      </c>
      <c r="V1414" s="5">
        <v>569.96</v>
      </c>
      <c r="W1414" s="5">
        <v>15.6469</v>
      </c>
      <c r="X1414" s="5">
        <v>108.43017</v>
      </c>
      <c r="Y1414" s="5">
        <v>11603.84</v>
      </c>
      <c r="Z1414" s="5">
        <v>15.736011</v>
      </c>
      <c r="AA1414" s="5">
        <v>108.352346</v>
      </c>
      <c r="AB1414" s="7">
        <f t="shared" si="133"/>
        <v>0.85494000000000003</v>
      </c>
      <c r="AC1414" s="7">
        <f t="shared" si="134"/>
        <v>17.405760000000001</v>
      </c>
      <c r="AD1414" s="6" t="str">
        <f t="shared" si="135"/>
        <v>TT2 Tam Kỳ</v>
      </c>
      <c r="AE1414" s="6" t="str">
        <f t="shared" si="136"/>
        <v>Thăng Bình</v>
      </c>
      <c r="AG1414">
        <f t="shared" si="137"/>
        <v>0.56996000000000002</v>
      </c>
      <c r="AH1414">
        <f t="shared" si="138"/>
        <v>11.60384</v>
      </c>
    </row>
    <row r="1415" spans="1:34" x14ac:dyDescent="0.25">
      <c r="A1415" t="s">
        <v>11644</v>
      </c>
      <c r="B1415" t="s">
        <v>11585</v>
      </c>
      <c r="C1415" t="s">
        <v>11586</v>
      </c>
      <c r="D1415" t="s">
        <v>11645</v>
      </c>
      <c r="E1415" t="s">
        <v>11646</v>
      </c>
      <c r="F1415" t="s">
        <v>13557</v>
      </c>
      <c r="G1415" t="s">
        <v>15979</v>
      </c>
      <c r="H1415" t="s">
        <v>15980</v>
      </c>
      <c r="I1415" t="s">
        <v>17204</v>
      </c>
      <c r="J1415" t="s">
        <v>23</v>
      </c>
      <c r="L1415" t="s">
        <v>11555</v>
      </c>
      <c r="M1415" t="s">
        <v>11648</v>
      </c>
      <c r="N1415" t="s">
        <v>11591</v>
      </c>
      <c r="O1415" t="s">
        <v>11592</v>
      </c>
      <c r="P1415" t="s">
        <v>11593</v>
      </c>
      <c r="Q1415" t="s">
        <v>11649</v>
      </c>
      <c r="R1415" t="s">
        <v>11650</v>
      </c>
      <c r="S1415" t="s">
        <v>11651</v>
      </c>
      <c r="T1415" t="s">
        <v>11563</v>
      </c>
      <c r="U1415" s="5">
        <v>605.12</v>
      </c>
      <c r="V1415" s="5">
        <v>569.96</v>
      </c>
      <c r="W1415" s="5">
        <v>15.6469</v>
      </c>
      <c r="X1415" s="5">
        <v>108.43017</v>
      </c>
      <c r="Y1415" s="5">
        <v>35.17</v>
      </c>
      <c r="Z1415" s="5">
        <v>15.579651999999999</v>
      </c>
      <c r="AA1415" s="5">
        <v>108.473956</v>
      </c>
      <c r="AB1415" s="7">
        <f t="shared" si="133"/>
        <v>0.85494000000000003</v>
      </c>
      <c r="AC1415" s="7">
        <f t="shared" si="134"/>
        <v>5.2755000000000003E-2</v>
      </c>
      <c r="AD1415" s="6" t="str">
        <f t="shared" si="135"/>
        <v>TT2 Tam Kỳ</v>
      </c>
      <c r="AE1415" s="6" t="str">
        <f t="shared" si="136"/>
        <v>Thăng Bình</v>
      </c>
      <c r="AG1415">
        <f t="shared" si="137"/>
        <v>0.56996000000000002</v>
      </c>
      <c r="AH1415">
        <f t="shared" si="138"/>
        <v>3.517E-2</v>
      </c>
    </row>
    <row r="1416" spans="1:34" x14ac:dyDescent="0.25">
      <c r="A1416" t="s">
        <v>11597</v>
      </c>
      <c r="B1416" t="s">
        <v>11585</v>
      </c>
      <c r="C1416" t="s">
        <v>11586</v>
      </c>
      <c r="D1416" t="s">
        <v>11598</v>
      </c>
      <c r="E1416" t="s">
        <v>11599</v>
      </c>
      <c r="F1416" t="s">
        <v>13558</v>
      </c>
      <c r="G1416" t="s">
        <v>15979</v>
      </c>
      <c r="H1416" t="s">
        <v>15980</v>
      </c>
      <c r="I1416" t="s">
        <v>16997</v>
      </c>
      <c r="J1416" t="s">
        <v>23</v>
      </c>
      <c r="L1416" t="s">
        <v>11542</v>
      </c>
      <c r="M1416" t="s">
        <v>11601</v>
      </c>
      <c r="N1416" t="s">
        <v>11602</v>
      </c>
      <c r="O1416" t="s">
        <v>11603</v>
      </c>
      <c r="P1416" t="s">
        <v>11604</v>
      </c>
      <c r="Q1416" t="s">
        <v>11605</v>
      </c>
      <c r="R1416" t="s">
        <v>11606</v>
      </c>
      <c r="S1416" t="s">
        <v>11607</v>
      </c>
      <c r="T1416" t="s">
        <v>11575</v>
      </c>
      <c r="U1416" s="5">
        <v>1333.52</v>
      </c>
      <c r="V1416" s="5">
        <v>709.57</v>
      </c>
      <c r="W1416" s="5">
        <v>15.650188</v>
      </c>
      <c r="X1416" s="5">
        <v>108.428378</v>
      </c>
      <c r="Y1416" s="5">
        <v>623.95000000000005</v>
      </c>
      <c r="Z1416" s="5">
        <v>15.647589</v>
      </c>
      <c r="AA1416" s="5">
        <v>108.43842100000001</v>
      </c>
      <c r="AB1416" s="7">
        <f t="shared" si="133"/>
        <v>1.0643549999999999</v>
      </c>
      <c r="AC1416" s="7">
        <f t="shared" si="134"/>
        <v>0.93592500000000012</v>
      </c>
      <c r="AD1416" s="6" t="str">
        <f t="shared" si="135"/>
        <v>TTCMKV Thăng Bình</v>
      </c>
      <c r="AE1416" s="6" t="str">
        <f t="shared" si="136"/>
        <v>Thăng
Trường</v>
      </c>
      <c r="AG1416">
        <f t="shared" si="137"/>
        <v>0.70957000000000003</v>
      </c>
      <c r="AH1416">
        <f t="shared" si="138"/>
        <v>0.62395</v>
      </c>
    </row>
    <row r="1417" spans="1:34" x14ac:dyDescent="0.25">
      <c r="A1417" t="s">
        <v>13559</v>
      </c>
      <c r="B1417" t="s">
        <v>11737</v>
      </c>
      <c r="C1417" t="s">
        <v>11738</v>
      </c>
      <c r="D1417" t="s">
        <v>13560</v>
      </c>
      <c r="E1417" t="s">
        <v>13561</v>
      </c>
      <c r="F1417" t="s">
        <v>13562</v>
      </c>
      <c r="G1417" t="s">
        <v>15979</v>
      </c>
      <c r="H1417" t="s">
        <v>15980</v>
      </c>
      <c r="I1417" t="s">
        <v>17205</v>
      </c>
      <c r="J1417" t="s">
        <v>23</v>
      </c>
      <c r="L1417" t="s">
        <v>11742</v>
      </c>
      <c r="M1417" t="s">
        <v>13563</v>
      </c>
      <c r="N1417" t="s">
        <v>522</v>
      </c>
      <c r="O1417" t="s">
        <v>11744</v>
      </c>
      <c r="P1417" t="s">
        <v>11745</v>
      </c>
      <c r="Q1417" t="s">
        <v>13564</v>
      </c>
      <c r="R1417" t="s">
        <v>13565</v>
      </c>
      <c r="S1417" t="s">
        <v>13566</v>
      </c>
      <c r="T1417" t="s">
        <v>11747</v>
      </c>
      <c r="U1417" s="5">
        <v>201.4</v>
      </c>
      <c r="V1417" s="5">
        <v>37.74</v>
      </c>
      <c r="W1417" s="5">
        <v>16.035793000000002</v>
      </c>
      <c r="X1417" s="5">
        <v>108.212664</v>
      </c>
      <c r="Y1417" s="5">
        <v>163.66</v>
      </c>
      <c r="Z1417" s="5">
        <v>16.035914999999999</v>
      </c>
      <c r="AA1417" s="5">
        <v>108.214187</v>
      </c>
      <c r="AB1417" s="7">
        <f t="shared" si="133"/>
        <v>5.6610000000000001E-2</v>
      </c>
      <c r="AC1417" s="7">
        <f t="shared" si="134"/>
        <v>0.24549000000000001</v>
      </c>
      <c r="AD1417" s="6" t="str">
        <f t="shared" si="135"/>
        <v>PC08</v>
      </c>
      <c r="AE1417" s="6" t="str">
        <f t="shared" si="136"/>
        <v>PC07</v>
      </c>
      <c r="AG1417">
        <f t="shared" si="137"/>
        <v>3.7740000000000003E-2</v>
      </c>
      <c r="AH1417">
        <f t="shared" si="138"/>
        <v>0.16366</v>
      </c>
    </row>
    <row r="1418" spans="1:34" x14ac:dyDescent="0.25">
      <c r="A1418" t="s">
        <v>13567</v>
      </c>
      <c r="B1418" t="s">
        <v>11737</v>
      </c>
      <c r="C1418" t="s">
        <v>11738</v>
      </c>
      <c r="D1418" t="s">
        <v>13568</v>
      </c>
      <c r="E1418" t="s">
        <v>13569</v>
      </c>
      <c r="F1418" t="s">
        <v>13570</v>
      </c>
      <c r="G1418" t="s">
        <v>15979</v>
      </c>
      <c r="H1418" t="s">
        <v>15980</v>
      </c>
      <c r="I1418" t="s">
        <v>17206</v>
      </c>
      <c r="J1418" t="s">
        <v>23</v>
      </c>
      <c r="L1418" t="s">
        <v>11742</v>
      </c>
      <c r="M1418" t="s">
        <v>13571</v>
      </c>
      <c r="N1418" t="s">
        <v>522</v>
      </c>
      <c r="O1418" t="s">
        <v>11744</v>
      </c>
      <c r="P1418" t="s">
        <v>11745</v>
      </c>
      <c r="Q1418" t="s">
        <v>13572</v>
      </c>
      <c r="R1418" t="s">
        <v>13573</v>
      </c>
      <c r="S1418" t="s">
        <v>13574</v>
      </c>
      <c r="T1418" t="s">
        <v>11747</v>
      </c>
      <c r="U1418" s="5">
        <v>392.31</v>
      </c>
      <c r="V1418" s="5">
        <v>37.74</v>
      </c>
      <c r="W1418" s="5">
        <v>16.035793000000002</v>
      </c>
      <c r="X1418" s="5">
        <v>108.212664</v>
      </c>
      <c r="Y1418" s="5">
        <v>354.57</v>
      </c>
      <c r="Z1418" s="5">
        <v>16.033328000000001</v>
      </c>
      <c r="AA1418" s="5">
        <v>108.21453099999999</v>
      </c>
      <c r="AB1418" s="7">
        <f t="shared" si="133"/>
        <v>5.6610000000000001E-2</v>
      </c>
      <c r="AC1418" s="7">
        <f t="shared" si="134"/>
        <v>0.53185499999999997</v>
      </c>
      <c r="AD1418" s="6" t="str">
        <f t="shared" si="135"/>
        <v>PC08</v>
      </c>
      <c r="AE1418" s="6" t="str">
        <f t="shared" si="136"/>
        <v>PC07</v>
      </c>
      <c r="AG1418">
        <f t="shared" si="137"/>
        <v>3.7740000000000003E-2</v>
      </c>
      <c r="AH1418">
        <f t="shared" si="138"/>
        <v>0.35457</v>
      </c>
    </row>
    <row r="1419" spans="1:34" x14ac:dyDescent="0.25">
      <c r="A1419" t="s">
        <v>13575</v>
      </c>
      <c r="B1419" t="s">
        <v>11737</v>
      </c>
      <c r="C1419" t="s">
        <v>11738</v>
      </c>
      <c r="D1419" t="s">
        <v>11090</v>
      </c>
      <c r="E1419" t="s">
        <v>11091</v>
      </c>
      <c r="F1419" t="s">
        <v>13576</v>
      </c>
      <c r="G1419" t="s">
        <v>15979</v>
      </c>
      <c r="H1419" t="s">
        <v>15980</v>
      </c>
      <c r="I1419" t="s">
        <v>17207</v>
      </c>
      <c r="J1419" t="s">
        <v>23</v>
      </c>
      <c r="L1419" t="s">
        <v>13577</v>
      </c>
      <c r="M1419" t="s">
        <v>13578</v>
      </c>
      <c r="N1419" t="s">
        <v>13579</v>
      </c>
      <c r="O1419" t="s">
        <v>13580</v>
      </c>
      <c r="P1419" t="s">
        <v>13581</v>
      </c>
      <c r="Q1419" t="s">
        <v>13582</v>
      </c>
      <c r="R1419" t="s">
        <v>13583</v>
      </c>
      <c r="S1419" t="s">
        <v>13584</v>
      </c>
      <c r="T1419" t="s">
        <v>13585</v>
      </c>
      <c r="U1419" s="5">
        <v>114.96</v>
      </c>
      <c r="V1419" s="5">
        <v>39.99</v>
      </c>
      <c r="W1419" s="5">
        <v>16.035855000000002</v>
      </c>
      <c r="X1419" s="5">
        <v>108.21266799999999</v>
      </c>
      <c r="Y1419" s="5">
        <v>74.97</v>
      </c>
      <c r="Z1419" s="5">
        <v>16.036909999999999</v>
      </c>
      <c r="AA1419" s="5">
        <v>108.209838</v>
      </c>
      <c r="AB1419" s="7">
        <f t="shared" si="133"/>
        <v>5.9984999999999997E-2</v>
      </c>
      <c r="AC1419" s="7">
        <f t="shared" si="134"/>
        <v>0.112455</v>
      </c>
      <c r="AD1419" s="6" t="str">
        <f t="shared" si="135"/>
        <v>PC07</v>
      </c>
      <c r="AE1419" s="6" t="str">
        <f t="shared" si="136"/>
        <v>PX04</v>
      </c>
      <c r="AG1419">
        <f t="shared" si="137"/>
        <v>3.9990000000000005E-2</v>
      </c>
      <c r="AH1419">
        <f t="shared" si="138"/>
        <v>7.4969999999999995E-2</v>
      </c>
    </row>
    <row r="1420" spans="1:34" x14ac:dyDescent="0.25">
      <c r="A1420" t="s">
        <v>13586</v>
      </c>
      <c r="B1420" t="s">
        <v>11749</v>
      </c>
      <c r="C1420" t="s">
        <v>11750</v>
      </c>
      <c r="D1420" t="s">
        <v>13587</v>
      </c>
      <c r="E1420" t="s">
        <v>13588</v>
      </c>
      <c r="F1420" t="s">
        <v>13589</v>
      </c>
      <c r="G1420" t="s">
        <v>15979</v>
      </c>
      <c r="H1420" t="s">
        <v>15980</v>
      </c>
      <c r="I1420" t="s">
        <v>17208</v>
      </c>
      <c r="J1420" t="s">
        <v>23</v>
      </c>
      <c r="L1420" t="s">
        <v>11106</v>
      </c>
      <c r="M1420" t="s">
        <v>13590</v>
      </c>
      <c r="N1420" t="s">
        <v>11768</v>
      </c>
      <c r="O1420" t="s">
        <v>11769</v>
      </c>
      <c r="P1420" t="s">
        <v>11770</v>
      </c>
      <c r="Q1420" t="s">
        <v>13591</v>
      </c>
      <c r="R1420" t="s">
        <v>13592</v>
      </c>
      <c r="S1420" t="s">
        <v>13593</v>
      </c>
      <c r="T1420" t="s">
        <v>11114</v>
      </c>
      <c r="U1420" s="5">
        <v>694.83</v>
      </c>
      <c r="V1420" s="5">
        <v>33.950000000000003</v>
      </c>
      <c r="W1420" s="5">
        <v>16.011571</v>
      </c>
      <c r="X1420" s="5">
        <v>108.197464</v>
      </c>
      <c r="Y1420" s="5">
        <v>660.88</v>
      </c>
      <c r="Z1420" s="5">
        <v>16.007458</v>
      </c>
      <c r="AA1420" s="5">
        <v>108.192159</v>
      </c>
      <c r="AB1420" s="7">
        <f t="shared" si="133"/>
        <v>5.0925000000000005E-2</v>
      </c>
      <c r="AC1420" s="7">
        <f t="shared" si="134"/>
        <v>0.99131999999999998</v>
      </c>
      <c r="AD1420" s="6" t="str">
        <f t="shared" si="135"/>
        <v>Hòa Xuân</v>
      </c>
      <c r="AE1420" s="6" t="str">
        <f t="shared" si="136"/>
        <v>TTKV Cẩm Lệ</v>
      </c>
      <c r="AG1420">
        <f t="shared" si="137"/>
        <v>3.3950000000000001E-2</v>
      </c>
      <c r="AH1420">
        <f t="shared" si="138"/>
        <v>0.66088000000000002</v>
      </c>
    </row>
    <row r="1421" spans="1:34" x14ac:dyDescent="0.25">
      <c r="A1421" t="s">
        <v>13594</v>
      </c>
      <c r="B1421" t="s">
        <v>11749</v>
      </c>
      <c r="C1421" t="s">
        <v>11750</v>
      </c>
      <c r="D1421" t="s">
        <v>11075</v>
      </c>
      <c r="E1421" t="s">
        <v>11076</v>
      </c>
      <c r="F1421" t="s">
        <v>12822</v>
      </c>
      <c r="H1421" t="s">
        <v>15980</v>
      </c>
      <c r="I1421" t="s">
        <v>17119</v>
      </c>
      <c r="J1421" t="s">
        <v>23</v>
      </c>
      <c r="L1421" t="s">
        <v>11106</v>
      </c>
      <c r="M1421" t="s">
        <v>12823</v>
      </c>
      <c r="N1421" t="s">
        <v>11768</v>
      </c>
      <c r="O1421" t="s">
        <v>11769</v>
      </c>
      <c r="P1421" t="s">
        <v>11770</v>
      </c>
      <c r="Q1421" t="s">
        <v>11108</v>
      </c>
      <c r="R1421" t="s">
        <v>11109</v>
      </c>
      <c r="S1421" t="s">
        <v>11110</v>
      </c>
      <c r="T1421" t="s">
        <v>11114</v>
      </c>
      <c r="U1421" s="5">
        <v>36.11</v>
      </c>
      <c r="V1421" s="5">
        <v>33.950000000000003</v>
      </c>
      <c r="W1421" s="5">
        <v>16.011571</v>
      </c>
      <c r="X1421" s="5">
        <v>108.197464</v>
      </c>
      <c r="Y1421" s="5">
        <v>2.15</v>
      </c>
      <c r="Z1421" s="5">
        <v>16.016921</v>
      </c>
      <c r="AA1421" s="5">
        <v>108.20348</v>
      </c>
      <c r="AB1421" s="7">
        <f t="shared" si="133"/>
        <v>5.0925000000000005E-2</v>
      </c>
      <c r="AC1421" s="7">
        <f t="shared" si="134"/>
        <v>3.2249999999999996E-3</v>
      </c>
      <c r="AD1421" s="6" t="str">
        <f t="shared" si="135"/>
        <v>Hòa Xuân</v>
      </c>
      <c r="AE1421" s="6" t="str">
        <f t="shared" si="136"/>
        <v>TTKV Cẩm Lệ</v>
      </c>
      <c r="AG1421">
        <f t="shared" si="137"/>
        <v>3.3950000000000001E-2</v>
      </c>
      <c r="AH1421">
        <f t="shared" si="138"/>
        <v>2.15E-3</v>
      </c>
    </row>
    <row r="1422" spans="1:34" x14ac:dyDescent="0.25">
      <c r="A1422" t="s">
        <v>13595</v>
      </c>
      <c r="B1422" t="s">
        <v>11749</v>
      </c>
      <c r="C1422" t="s">
        <v>11750</v>
      </c>
      <c r="D1422" t="s">
        <v>13596</v>
      </c>
      <c r="E1422" t="s">
        <v>13597</v>
      </c>
      <c r="F1422" t="s">
        <v>13598</v>
      </c>
      <c r="G1422" t="s">
        <v>15979</v>
      </c>
      <c r="H1422" t="s">
        <v>15980</v>
      </c>
      <c r="I1422" t="s">
        <v>17209</v>
      </c>
      <c r="J1422" t="s">
        <v>23</v>
      </c>
      <c r="L1422" t="s">
        <v>11754</v>
      </c>
      <c r="M1422" t="s">
        <v>13599</v>
      </c>
      <c r="N1422" t="s">
        <v>13600</v>
      </c>
      <c r="O1422" t="s">
        <v>13601</v>
      </c>
      <c r="P1422" t="s">
        <v>13602</v>
      </c>
      <c r="Q1422" t="s">
        <v>13603</v>
      </c>
      <c r="R1422" t="s">
        <v>13604</v>
      </c>
      <c r="S1422" t="s">
        <v>13605</v>
      </c>
      <c r="T1422" t="s">
        <v>13606</v>
      </c>
      <c r="U1422" s="5">
        <v>672.37</v>
      </c>
      <c r="V1422" s="5">
        <v>36.42</v>
      </c>
      <c r="W1422" s="5">
        <v>16.011545999999999</v>
      </c>
      <c r="X1422" s="5">
        <v>108.197452</v>
      </c>
      <c r="Y1422" s="5">
        <v>635.96</v>
      </c>
      <c r="Z1422" s="5">
        <v>16.019794000000001</v>
      </c>
      <c r="AA1422" s="5">
        <v>108.21015800000001</v>
      </c>
      <c r="AB1422" s="7">
        <f t="shared" si="133"/>
        <v>5.4630000000000005E-2</v>
      </c>
      <c r="AC1422" s="7">
        <f t="shared" si="134"/>
        <v>0.95394000000000001</v>
      </c>
      <c r="AD1422" s="6" t="str">
        <f t="shared" si="135"/>
        <v>Ngũ Hành Sơn</v>
      </c>
      <c r="AE1422" s="6" t="str">
        <f t="shared" si="136"/>
        <v>Cẩm Lệ</v>
      </c>
      <c r="AG1422">
        <f t="shared" si="137"/>
        <v>3.6420000000000001E-2</v>
      </c>
      <c r="AH1422">
        <f t="shared" si="138"/>
        <v>0.63596000000000008</v>
      </c>
    </row>
    <row r="1423" spans="1:34" x14ac:dyDescent="0.25">
      <c r="A1423" t="s">
        <v>13607</v>
      </c>
      <c r="B1423" t="s">
        <v>4841</v>
      </c>
      <c r="C1423" t="s">
        <v>4842</v>
      </c>
      <c r="D1423" t="s">
        <v>13608</v>
      </c>
      <c r="E1423" t="s">
        <v>13609</v>
      </c>
      <c r="F1423" t="s">
        <v>13610</v>
      </c>
      <c r="G1423" t="s">
        <v>15979</v>
      </c>
      <c r="H1423" t="s">
        <v>15980</v>
      </c>
      <c r="I1423" t="s">
        <v>17210</v>
      </c>
      <c r="J1423" t="s">
        <v>23</v>
      </c>
      <c r="L1423" t="s">
        <v>11742</v>
      </c>
      <c r="M1423" t="s">
        <v>13611</v>
      </c>
      <c r="N1423" t="s">
        <v>11787</v>
      </c>
      <c r="O1423" t="s">
        <v>11788</v>
      </c>
      <c r="P1423" t="s">
        <v>11789</v>
      </c>
      <c r="Q1423" t="s">
        <v>13612</v>
      </c>
      <c r="R1423" t="s">
        <v>11806</v>
      </c>
      <c r="S1423" t="s">
        <v>11807</v>
      </c>
      <c r="T1423" t="s">
        <v>11793</v>
      </c>
      <c r="U1423" s="5">
        <v>688.74</v>
      </c>
      <c r="V1423" s="5">
        <v>18.12</v>
      </c>
      <c r="W1423" s="5">
        <v>16.007725000000001</v>
      </c>
      <c r="X1423" s="5">
        <v>108.217546</v>
      </c>
      <c r="Y1423" s="5">
        <v>670.62</v>
      </c>
      <c r="Z1423" s="5">
        <v>16.008358000000001</v>
      </c>
      <c r="AA1423" s="5">
        <v>108.218391</v>
      </c>
      <c r="AB1423" s="7">
        <f t="shared" si="133"/>
        <v>2.7179999999999999E-2</v>
      </c>
      <c r="AC1423" s="7">
        <f t="shared" si="134"/>
        <v>1.00593</v>
      </c>
      <c r="AD1423" s="6" t="str">
        <f t="shared" si="135"/>
        <v>PC08</v>
      </c>
      <c r="AE1423" s="6" t="str">
        <f t="shared" si="136"/>
        <v>PC07</v>
      </c>
      <c r="AG1423">
        <f t="shared" si="137"/>
        <v>1.8120000000000001E-2</v>
      </c>
      <c r="AH1423">
        <f t="shared" si="138"/>
        <v>0.67061999999999999</v>
      </c>
    </row>
    <row r="1424" spans="1:34" x14ac:dyDescent="0.25">
      <c r="A1424" t="s">
        <v>13613</v>
      </c>
      <c r="B1424" t="s">
        <v>4841</v>
      </c>
      <c r="C1424" t="s">
        <v>4842</v>
      </c>
      <c r="D1424" t="s">
        <v>13614</v>
      </c>
      <c r="E1424" t="s">
        <v>13615</v>
      </c>
      <c r="F1424" t="s">
        <v>13616</v>
      </c>
      <c r="G1424" t="s">
        <v>15979</v>
      </c>
      <c r="H1424" t="s">
        <v>15980</v>
      </c>
      <c r="I1424" t="s">
        <v>17211</v>
      </c>
      <c r="J1424" t="s">
        <v>23</v>
      </c>
      <c r="L1424" t="s">
        <v>11964</v>
      </c>
      <c r="M1424" t="s">
        <v>13617</v>
      </c>
      <c r="N1424" t="s">
        <v>13618</v>
      </c>
      <c r="O1424" t="s">
        <v>13619</v>
      </c>
      <c r="P1424" t="s">
        <v>13620</v>
      </c>
      <c r="Q1424" t="s">
        <v>13621</v>
      </c>
      <c r="R1424" t="s">
        <v>13622</v>
      </c>
      <c r="S1424" t="s">
        <v>13623</v>
      </c>
      <c r="T1424" t="s">
        <v>13059</v>
      </c>
      <c r="U1424" s="5">
        <v>795.77</v>
      </c>
      <c r="V1424" s="5">
        <v>702.61</v>
      </c>
      <c r="W1424" s="5">
        <v>16.004118999999999</v>
      </c>
      <c r="X1424" s="5">
        <v>108.223106</v>
      </c>
      <c r="Y1424" s="5">
        <v>93.15</v>
      </c>
      <c r="Z1424" s="5">
        <v>16.002381</v>
      </c>
      <c r="AA1424" s="5">
        <v>108.22750499999999</v>
      </c>
      <c r="AB1424" s="7">
        <f t="shared" si="133"/>
        <v>1.0539149999999999</v>
      </c>
      <c r="AC1424" s="7">
        <f t="shared" si="134"/>
        <v>0.13972500000000002</v>
      </c>
      <c r="AD1424" s="6" t="str">
        <f t="shared" si="135"/>
        <v>TTKV Ngũ Hành Sơn</v>
      </c>
      <c r="AE1424" s="6" t="str">
        <f t="shared" si="136"/>
        <v>Hòa Xuân</v>
      </c>
      <c r="AG1424">
        <f t="shared" si="137"/>
        <v>0.70261000000000007</v>
      </c>
      <c r="AH1424">
        <f t="shared" si="138"/>
        <v>9.3150000000000011E-2</v>
      </c>
    </row>
    <row r="1425" spans="1:34" x14ac:dyDescent="0.25">
      <c r="A1425" t="s">
        <v>13624</v>
      </c>
      <c r="B1425" t="s">
        <v>4841</v>
      </c>
      <c r="C1425" t="s">
        <v>4842</v>
      </c>
      <c r="D1425" t="s">
        <v>13625</v>
      </c>
      <c r="E1425" t="s">
        <v>13626</v>
      </c>
      <c r="F1425" t="s">
        <v>13627</v>
      </c>
      <c r="G1425" t="s">
        <v>15979</v>
      </c>
      <c r="H1425" t="s">
        <v>15980</v>
      </c>
      <c r="I1425" t="s">
        <v>17212</v>
      </c>
      <c r="J1425" t="s">
        <v>23</v>
      </c>
      <c r="L1425" t="s">
        <v>11930</v>
      </c>
      <c r="M1425" t="s">
        <v>13628</v>
      </c>
      <c r="N1425" t="s">
        <v>13629</v>
      </c>
      <c r="O1425" t="s">
        <v>13630</v>
      </c>
      <c r="P1425" t="s">
        <v>13631</v>
      </c>
      <c r="Q1425" t="s">
        <v>13632</v>
      </c>
      <c r="R1425" t="s">
        <v>13633</v>
      </c>
      <c r="S1425" t="s">
        <v>13634</v>
      </c>
      <c r="T1425" t="s">
        <v>13635</v>
      </c>
      <c r="U1425" s="5">
        <v>1109.73</v>
      </c>
      <c r="V1425" s="5">
        <v>706.37</v>
      </c>
      <c r="W1425" s="5">
        <v>16.004256000000002</v>
      </c>
      <c r="X1425" s="5">
        <v>108.22323799999999</v>
      </c>
      <c r="Y1425" s="5">
        <v>403.36</v>
      </c>
      <c r="Z1425" s="5">
        <v>15.993741</v>
      </c>
      <c r="AA1425" s="5">
        <v>108.235771</v>
      </c>
      <c r="AB1425" s="7">
        <f t="shared" si="133"/>
        <v>1.059555</v>
      </c>
      <c r="AC1425" s="7">
        <f t="shared" si="134"/>
        <v>0.60503999999999991</v>
      </c>
      <c r="AD1425" s="6" t="str">
        <f t="shared" si="135"/>
        <v>C09</v>
      </c>
      <c r="AE1425" s="6" t="str">
        <f t="shared" si="136"/>
        <v>A06</v>
      </c>
      <c r="AG1425">
        <f t="shared" si="137"/>
        <v>0.70637000000000005</v>
      </c>
      <c r="AH1425">
        <f t="shared" si="138"/>
        <v>0.40336</v>
      </c>
    </row>
    <row r="1426" spans="1:34" x14ac:dyDescent="0.25">
      <c r="A1426" t="s">
        <v>13636</v>
      </c>
      <c r="B1426" t="s">
        <v>4841</v>
      </c>
      <c r="C1426" t="s">
        <v>4842</v>
      </c>
      <c r="D1426" t="s">
        <v>13637</v>
      </c>
      <c r="E1426" t="s">
        <v>13638</v>
      </c>
      <c r="F1426" t="s">
        <v>13639</v>
      </c>
      <c r="G1426" t="s">
        <v>15979</v>
      </c>
      <c r="H1426" t="s">
        <v>15980</v>
      </c>
      <c r="I1426" t="s">
        <v>17213</v>
      </c>
      <c r="J1426" t="s">
        <v>23</v>
      </c>
      <c r="L1426" t="s">
        <v>13640</v>
      </c>
      <c r="M1426" t="s">
        <v>13641</v>
      </c>
      <c r="N1426" t="s">
        <v>13642</v>
      </c>
      <c r="O1426" t="s">
        <v>13643</v>
      </c>
      <c r="P1426" t="s">
        <v>13644</v>
      </c>
      <c r="Q1426" t="s">
        <v>13645</v>
      </c>
      <c r="R1426" t="s">
        <v>13646</v>
      </c>
      <c r="S1426" t="s">
        <v>13647</v>
      </c>
      <c r="T1426" t="s">
        <v>13648</v>
      </c>
      <c r="U1426" s="5">
        <v>328.06</v>
      </c>
      <c r="V1426" s="5">
        <v>3.42</v>
      </c>
      <c r="W1426" s="5">
        <v>16.007584000000001</v>
      </c>
      <c r="X1426" s="5">
        <v>108.217628</v>
      </c>
      <c r="Y1426" s="5">
        <v>324.64</v>
      </c>
      <c r="Z1426" s="5">
        <v>16.004861999999999</v>
      </c>
      <c r="AA1426" s="5">
        <v>108.21193700000001</v>
      </c>
      <c r="AB1426" s="7">
        <f t="shared" si="133"/>
        <v>5.13E-3</v>
      </c>
      <c r="AC1426" s="7">
        <f t="shared" si="134"/>
        <v>0.48696</v>
      </c>
      <c r="AD1426" s="6" t="str">
        <f t="shared" si="135"/>
        <v>Trạm CSGT Hòa Nhơn</v>
      </c>
      <c r="AE1426" s="6" t="str">
        <f t="shared" si="136"/>
        <v>PC08</v>
      </c>
      <c r="AG1426">
        <f t="shared" si="137"/>
        <v>3.4199999999999999E-3</v>
      </c>
      <c r="AH1426">
        <f t="shared" si="138"/>
        <v>0.32463999999999998</v>
      </c>
    </row>
    <row r="1427" spans="1:34" x14ac:dyDescent="0.25">
      <c r="A1427" t="s">
        <v>13649</v>
      </c>
      <c r="B1427" t="s">
        <v>11815</v>
      </c>
      <c r="C1427" t="s">
        <v>11816</v>
      </c>
      <c r="D1427" t="e">
        <v>#N/A</v>
      </c>
      <c r="E1427" t="e">
        <v>#N/A</v>
      </c>
      <c r="F1427" t="s">
        <v>13650</v>
      </c>
      <c r="G1427" t="s">
        <v>15979</v>
      </c>
      <c r="H1427" t="s">
        <v>15980</v>
      </c>
      <c r="I1427" t="s">
        <v>17214</v>
      </c>
      <c r="J1427" t="s">
        <v>5239</v>
      </c>
      <c r="K1427" t="s">
        <v>11979</v>
      </c>
      <c r="AB1427" s="7">
        <f t="shared" si="133"/>
        <v>0</v>
      </c>
      <c r="AC1427" s="7">
        <f t="shared" si="134"/>
        <v>0</v>
      </c>
      <c r="AD1427" s="6" t="e">
        <f t="shared" si="135"/>
        <v>#VALUE!</v>
      </c>
      <c r="AE1427" s="6" t="e">
        <f t="shared" si="136"/>
        <v>#VALUE!</v>
      </c>
      <c r="AG1427">
        <f t="shared" si="137"/>
        <v>0</v>
      </c>
      <c r="AH1427">
        <f t="shared" si="138"/>
        <v>0</v>
      </c>
    </row>
    <row r="1428" spans="1:34" x14ac:dyDescent="0.25">
      <c r="A1428" t="s">
        <v>13651</v>
      </c>
      <c r="B1428" t="s">
        <v>11815</v>
      </c>
      <c r="C1428" t="s">
        <v>11816</v>
      </c>
      <c r="D1428" t="e">
        <v>#N/A</v>
      </c>
      <c r="E1428" t="e">
        <v>#N/A</v>
      </c>
      <c r="F1428" t="s">
        <v>13652</v>
      </c>
      <c r="G1428" t="s">
        <v>15979</v>
      </c>
      <c r="H1428" t="s">
        <v>15980</v>
      </c>
      <c r="I1428" t="s">
        <v>17215</v>
      </c>
      <c r="J1428" t="s">
        <v>5239</v>
      </c>
      <c r="K1428" t="s">
        <v>11979</v>
      </c>
      <c r="AB1428" s="7">
        <f t="shared" si="133"/>
        <v>0</v>
      </c>
      <c r="AC1428" s="7">
        <f t="shared" si="134"/>
        <v>0</v>
      </c>
      <c r="AD1428" s="6" t="e">
        <f t="shared" si="135"/>
        <v>#VALUE!</v>
      </c>
      <c r="AE1428" s="6" t="e">
        <f t="shared" si="136"/>
        <v>#VALUE!</v>
      </c>
      <c r="AG1428">
        <f t="shared" si="137"/>
        <v>0</v>
      </c>
      <c r="AH1428">
        <f t="shared" si="138"/>
        <v>0</v>
      </c>
    </row>
    <row r="1429" spans="1:34" x14ac:dyDescent="0.25">
      <c r="A1429" t="s">
        <v>11842</v>
      </c>
      <c r="B1429" t="s">
        <v>11815</v>
      </c>
      <c r="C1429" t="s">
        <v>11816</v>
      </c>
      <c r="D1429" t="s">
        <v>11843</v>
      </c>
      <c r="E1429" t="s">
        <v>11844</v>
      </c>
      <c r="F1429" t="s">
        <v>13653</v>
      </c>
      <c r="G1429" t="s">
        <v>15979</v>
      </c>
      <c r="H1429" t="s">
        <v>15980</v>
      </c>
      <c r="I1429" t="s">
        <v>17022</v>
      </c>
      <c r="J1429" t="s">
        <v>23</v>
      </c>
      <c r="L1429" t="s">
        <v>11846</v>
      </c>
      <c r="M1429" t="s">
        <v>11847</v>
      </c>
      <c r="N1429" t="s">
        <v>11848</v>
      </c>
      <c r="O1429" t="s">
        <v>11849</v>
      </c>
      <c r="P1429" t="s">
        <v>11850</v>
      </c>
      <c r="Q1429" t="s">
        <v>11851</v>
      </c>
      <c r="R1429" t="s">
        <v>11852</v>
      </c>
      <c r="S1429" t="s">
        <v>11853</v>
      </c>
      <c r="T1429" t="s">
        <v>11854</v>
      </c>
      <c r="U1429" s="5">
        <v>273.16000000000003</v>
      </c>
      <c r="V1429" s="5">
        <v>70.849999999999994</v>
      </c>
      <c r="W1429" s="5">
        <v>16.065805999999998</v>
      </c>
      <c r="X1429" s="5">
        <v>108.222388</v>
      </c>
      <c r="Y1429" s="5">
        <v>202.32</v>
      </c>
      <c r="Z1429" s="5">
        <v>16.062224000000001</v>
      </c>
      <c r="AA1429" s="5">
        <v>108.21966</v>
      </c>
      <c r="AB1429" s="7">
        <f t="shared" si="133"/>
        <v>0.10627499999999999</v>
      </c>
      <c r="AC1429" s="7">
        <f t="shared" si="134"/>
        <v>0.30348000000000003</v>
      </c>
      <c r="AD1429" s="6" t="str">
        <f t="shared" si="135"/>
        <v>Hải Châu</v>
      </c>
      <c r="AE1429" s="6" t="str">
        <f t="shared" si="136"/>
        <v>Hòa Cường</v>
      </c>
      <c r="AG1429">
        <f t="shared" si="137"/>
        <v>7.0849999999999996E-2</v>
      </c>
      <c r="AH1429">
        <f t="shared" si="138"/>
        <v>0.20232</v>
      </c>
    </row>
    <row r="1430" spans="1:34" x14ac:dyDescent="0.25">
      <c r="A1430" t="s">
        <v>11855</v>
      </c>
      <c r="B1430" t="s">
        <v>11815</v>
      </c>
      <c r="C1430" t="s">
        <v>11816</v>
      </c>
      <c r="D1430" t="s">
        <v>11856</v>
      </c>
      <c r="E1430" t="s">
        <v>11857</v>
      </c>
      <c r="F1430" t="s">
        <v>13654</v>
      </c>
      <c r="G1430" t="s">
        <v>15979</v>
      </c>
      <c r="H1430" t="s">
        <v>15980</v>
      </c>
      <c r="I1430" t="s">
        <v>17216</v>
      </c>
      <c r="J1430" t="s">
        <v>23</v>
      </c>
      <c r="L1430" t="s">
        <v>11846</v>
      </c>
      <c r="M1430" t="s">
        <v>11859</v>
      </c>
      <c r="N1430" t="s">
        <v>11848</v>
      </c>
      <c r="O1430" t="s">
        <v>11849</v>
      </c>
      <c r="P1430" t="s">
        <v>11850</v>
      </c>
      <c r="Q1430" t="s">
        <v>11860</v>
      </c>
      <c r="R1430" t="s">
        <v>11861</v>
      </c>
      <c r="S1430" t="s">
        <v>11862</v>
      </c>
      <c r="T1430" t="s">
        <v>11854</v>
      </c>
      <c r="U1430" s="5">
        <v>90.31</v>
      </c>
      <c r="V1430" s="5">
        <v>70.849999999999994</v>
      </c>
      <c r="W1430" s="5">
        <v>16.065805999999998</v>
      </c>
      <c r="X1430" s="5">
        <v>108.222388</v>
      </c>
      <c r="Y1430" s="5">
        <v>19.47</v>
      </c>
      <c r="Z1430" s="5">
        <v>16.071145999999999</v>
      </c>
      <c r="AA1430" s="5">
        <v>108.22106100000001</v>
      </c>
      <c r="AB1430" s="7">
        <f t="shared" si="133"/>
        <v>0.10627499999999999</v>
      </c>
      <c r="AC1430" s="7">
        <f t="shared" si="134"/>
        <v>2.9204999999999998E-2</v>
      </c>
      <c r="AD1430" s="6" t="str">
        <f t="shared" si="135"/>
        <v>Hải Châu</v>
      </c>
      <c r="AE1430" s="6" t="str">
        <f t="shared" si="136"/>
        <v>Hòa Cường</v>
      </c>
      <c r="AG1430">
        <f t="shared" si="137"/>
        <v>7.0849999999999996E-2</v>
      </c>
      <c r="AH1430">
        <f t="shared" si="138"/>
        <v>1.9469999999999998E-2</v>
      </c>
    </row>
    <row r="1431" spans="1:34" x14ac:dyDescent="0.25">
      <c r="A1431" t="s">
        <v>13655</v>
      </c>
      <c r="B1431" t="s">
        <v>11815</v>
      </c>
      <c r="C1431" t="s">
        <v>11816</v>
      </c>
      <c r="D1431" t="s">
        <v>13656</v>
      </c>
      <c r="E1431" t="s">
        <v>13657</v>
      </c>
      <c r="F1431" t="s">
        <v>13658</v>
      </c>
      <c r="G1431" t="s">
        <v>15979</v>
      </c>
      <c r="H1431" t="s">
        <v>15980</v>
      </c>
      <c r="I1431" t="s">
        <v>17217</v>
      </c>
      <c r="J1431" t="s">
        <v>23</v>
      </c>
      <c r="L1431" t="s">
        <v>11820</v>
      </c>
      <c r="M1431" t="s">
        <v>13659</v>
      </c>
      <c r="N1431" t="s">
        <v>3721</v>
      </c>
      <c r="O1431" t="s">
        <v>11822</v>
      </c>
      <c r="P1431" t="s">
        <v>11823</v>
      </c>
      <c r="Q1431" t="s">
        <v>13660</v>
      </c>
      <c r="R1431" t="s">
        <v>11834</v>
      </c>
      <c r="S1431" t="s">
        <v>11835</v>
      </c>
      <c r="T1431" t="s">
        <v>11827</v>
      </c>
      <c r="U1431" s="5">
        <v>90.06</v>
      </c>
      <c r="V1431" s="5">
        <v>16.7</v>
      </c>
      <c r="W1431" s="5">
        <v>16.066120000000002</v>
      </c>
      <c r="X1431" s="5">
        <v>108.221645</v>
      </c>
      <c r="Y1431" s="5">
        <v>73.36</v>
      </c>
      <c r="Z1431" s="5">
        <v>16.066134000000002</v>
      </c>
      <c r="AA1431" s="5">
        <v>108.223629</v>
      </c>
      <c r="AB1431" s="7">
        <f t="shared" si="133"/>
        <v>2.5049999999999996E-2</v>
      </c>
      <c r="AC1431" s="7">
        <f t="shared" si="134"/>
        <v>0.11004</v>
      </c>
      <c r="AD1431" s="6" t="str">
        <f t="shared" si="135"/>
        <v>PA07</v>
      </c>
      <c r="AE1431" s="6" t="str">
        <f t="shared" si="136"/>
        <v>PA06</v>
      </c>
      <c r="AG1431">
        <f t="shared" si="137"/>
        <v>1.67E-2</v>
      </c>
      <c r="AH1431">
        <f t="shared" si="138"/>
        <v>7.3359999999999995E-2</v>
      </c>
    </row>
    <row r="1432" spans="1:34" x14ac:dyDescent="0.25">
      <c r="A1432" t="s">
        <v>13661</v>
      </c>
      <c r="B1432" t="s">
        <v>11864</v>
      </c>
      <c r="C1432" t="s">
        <v>11865</v>
      </c>
      <c r="D1432" t="s">
        <v>13662</v>
      </c>
      <c r="E1432" t="s">
        <v>13663</v>
      </c>
      <c r="F1432" t="s">
        <v>13664</v>
      </c>
      <c r="G1432" t="s">
        <v>15979</v>
      </c>
      <c r="H1432" t="s">
        <v>15980</v>
      </c>
      <c r="I1432" t="s">
        <v>17218</v>
      </c>
      <c r="J1432" t="s">
        <v>23</v>
      </c>
      <c r="L1432" t="s">
        <v>11155</v>
      </c>
      <c r="M1432" t="s">
        <v>13665</v>
      </c>
      <c r="N1432" t="s">
        <v>13666</v>
      </c>
      <c r="O1432" t="s">
        <v>13667</v>
      </c>
      <c r="P1432" t="s">
        <v>13668</v>
      </c>
      <c r="Q1432" t="s">
        <v>13669</v>
      </c>
      <c r="R1432" t="s">
        <v>13667</v>
      </c>
      <c r="S1432" t="s">
        <v>13668</v>
      </c>
      <c r="T1432" t="s">
        <v>13670</v>
      </c>
      <c r="U1432" s="5">
        <v>245.68</v>
      </c>
      <c r="V1432" s="5">
        <v>2.8</v>
      </c>
      <c r="W1432" s="5">
        <v>16.078945000000001</v>
      </c>
      <c r="X1432" s="5">
        <v>108.222221</v>
      </c>
      <c r="Y1432" s="5">
        <v>242.88</v>
      </c>
      <c r="Z1432" s="5">
        <v>16.078945000000001</v>
      </c>
      <c r="AA1432" s="5">
        <v>108.222221</v>
      </c>
      <c r="AB1432" s="7">
        <f t="shared" si="133"/>
        <v>4.1999999999999989E-3</v>
      </c>
      <c r="AC1432" s="7">
        <f t="shared" si="134"/>
        <v>0.36431999999999998</v>
      </c>
      <c r="AD1432" s="6" t="str">
        <f t="shared" si="135"/>
        <v>TT1 Đà Nẵng</v>
      </c>
      <c r="AE1432" s="6" t="str">
        <f t="shared" si="136"/>
        <v>Hải Châu</v>
      </c>
      <c r="AG1432">
        <f t="shared" si="137"/>
        <v>2.8E-3</v>
      </c>
      <c r="AH1432">
        <f t="shared" si="138"/>
        <v>0.24287999999999998</v>
      </c>
    </row>
    <row r="1433" spans="1:34" x14ac:dyDescent="0.25">
      <c r="A1433" t="s">
        <v>13671</v>
      </c>
      <c r="B1433" t="s">
        <v>11864</v>
      </c>
      <c r="C1433" t="s">
        <v>11865</v>
      </c>
      <c r="D1433" t="s">
        <v>12887</v>
      </c>
      <c r="E1433" t="s">
        <v>12888</v>
      </c>
      <c r="F1433" t="s">
        <v>13672</v>
      </c>
      <c r="G1433" t="s">
        <v>15979</v>
      </c>
      <c r="H1433" t="s">
        <v>15980</v>
      </c>
      <c r="I1433" t="s">
        <v>17219</v>
      </c>
      <c r="J1433" t="s">
        <v>23</v>
      </c>
      <c r="L1433" t="s">
        <v>11231</v>
      </c>
      <c r="M1433" t="s">
        <v>13673</v>
      </c>
      <c r="N1433" t="s">
        <v>13674</v>
      </c>
      <c r="O1433" t="s">
        <v>12892</v>
      </c>
      <c r="P1433" t="s">
        <v>12893</v>
      </c>
      <c r="Q1433" t="s">
        <v>12894</v>
      </c>
      <c r="R1433" t="s">
        <v>12895</v>
      </c>
      <c r="S1433" t="s">
        <v>12896</v>
      </c>
      <c r="T1433" t="s">
        <v>12254</v>
      </c>
      <c r="U1433" s="5">
        <v>639.96</v>
      </c>
      <c r="V1433" s="5">
        <v>330.46</v>
      </c>
      <c r="W1433" s="5">
        <v>16.077608999999999</v>
      </c>
      <c r="X1433" s="5">
        <v>108.21944499999999</v>
      </c>
      <c r="Y1433" s="5">
        <v>309.5</v>
      </c>
      <c r="Z1433" s="5">
        <v>16.079284000000001</v>
      </c>
      <c r="AA1433" s="5">
        <v>108.212947</v>
      </c>
      <c r="AB1433" s="7">
        <f t="shared" si="133"/>
        <v>0.49568999999999996</v>
      </c>
      <c r="AC1433" s="7">
        <f t="shared" si="134"/>
        <v>0.46425</v>
      </c>
      <c r="AD1433" s="6" t="str">
        <f t="shared" si="135"/>
        <v>TT1 Đà Nẵng</v>
      </c>
      <c r="AE1433" s="6" t="str">
        <f t="shared" si="136"/>
        <v>Liên Chiểu</v>
      </c>
      <c r="AG1433">
        <f t="shared" si="137"/>
        <v>0.33045999999999998</v>
      </c>
      <c r="AH1433">
        <f t="shared" si="138"/>
        <v>0.3095</v>
      </c>
    </row>
    <row r="1434" spans="1:34" x14ac:dyDescent="0.25">
      <c r="A1434" t="s">
        <v>13675</v>
      </c>
      <c r="B1434" t="s">
        <v>11864</v>
      </c>
      <c r="C1434" t="s">
        <v>11865</v>
      </c>
      <c r="D1434" t="s">
        <v>12833</v>
      </c>
      <c r="E1434" t="s">
        <v>12834</v>
      </c>
      <c r="F1434" t="s">
        <v>13676</v>
      </c>
      <c r="G1434" t="s">
        <v>15979</v>
      </c>
      <c r="H1434" t="s">
        <v>15980</v>
      </c>
      <c r="I1434" t="s">
        <v>17220</v>
      </c>
      <c r="J1434" t="s">
        <v>23</v>
      </c>
      <c r="L1434" t="s">
        <v>11183</v>
      </c>
      <c r="M1434" t="s">
        <v>13677</v>
      </c>
      <c r="N1434" t="s">
        <v>13678</v>
      </c>
      <c r="O1434" t="s">
        <v>13679</v>
      </c>
      <c r="P1434" t="s">
        <v>13680</v>
      </c>
      <c r="Q1434" t="s">
        <v>12840</v>
      </c>
      <c r="R1434" t="s">
        <v>12841</v>
      </c>
      <c r="S1434" t="s">
        <v>12842</v>
      </c>
      <c r="T1434" t="s">
        <v>12843</v>
      </c>
      <c r="U1434" s="5">
        <v>747.73</v>
      </c>
      <c r="V1434" s="5">
        <v>331.23</v>
      </c>
      <c r="W1434" s="5">
        <v>16.077589</v>
      </c>
      <c r="X1434" s="5">
        <v>108.219448</v>
      </c>
      <c r="Y1434" s="5">
        <v>416.5</v>
      </c>
      <c r="Z1434" s="5">
        <v>16.061254000000002</v>
      </c>
      <c r="AA1434" s="5">
        <v>108.21955699999999</v>
      </c>
      <c r="AB1434" s="7">
        <f t="shared" si="133"/>
        <v>0.49684500000000004</v>
      </c>
      <c r="AC1434" s="7">
        <f t="shared" si="134"/>
        <v>0.62475000000000003</v>
      </c>
      <c r="AD1434" s="6" t="str">
        <f t="shared" si="135"/>
        <v>Hòa Vang</v>
      </c>
      <c r="AE1434" s="6" t="str">
        <f t="shared" si="136"/>
        <v>TT1 Đà Nẵng</v>
      </c>
      <c r="AG1434">
        <f t="shared" si="137"/>
        <v>0.33123000000000002</v>
      </c>
      <c r="AH1434">
        <f t="shared" si="138"/>
        <v>0.41649999999999998</v>
      </c>
    </row>
    <row r="1435" spans="1:34" x14ac:dyDescent="0.25">
      <c r="A1435" t="s">
        <v>13681</v>
      </c>
      <c r="B1435" t="s">
        <v>11864</v>
      </c>
      <c r="C1435" t="s">
        <v>11865</v>
      </c>
      <c r="D1435" t="s">
        <v>13682</v>
      </c>
      <c r="E1435" t="s">
        <v>13683</v>
      </c>
      <c r="F1435" t="s">
        <v>13684</v>
      </c>
      <c r="G1435" t="s">
        <v>15979</v>
      </c>
      <c r="H1435" t="s">
        <v>15980</v>
      </c>
      <c r="I1435" t="s">
        <v>17221</v>
      </c>
      <c r="J1435" t="s">
        <v>23</v>
      </c>
      <c r="L1435" t="s">
        <v>13685</v>
      </c>
      <c r="M1435" t="s">
        <v>13686</v>
      </c>
      <c r="N1435" t="s">
        <v>13687</v>
      </c>
      <c r="O1435" t="s">
        <v>13688</v>
      </c>
      <c r="P1435" t="s">
        <v>13689</v>
      </c>
      <c r="Q1435" t="s">
        <v>13690</v>
      </c>
      <c r="R1435" t="s">
        <v>13691</v>
      </c>
      <c r="S1435" t="s">
        <v>13692</v>
      </c>
      <c r="T1435" t="s">
        <v>13693</v>
      </c>
      <c r="U1435" s="5">
        <v>343.98</v>
      </c>
      <c r="V1435" s="5">
        <v>267.55</v>
      </c>
      <c r="W1435" s="5">
        <v>16.081336</v>
      </c>
      <c r="X1435" s="5">
        <v>108.221802</v>
      </c>
      <c r="Y1435" s="5">
        <v>76.430000000000007</v>
      </c>
      <c r="Z1435" s="5">
        <v>16.081187</v>
      </c>
      <c r="AA1435" s="5">
        <v>108.219967</v>
      </c>
      <c r="AB1435" s="7">
        <f t="shared" si="133"/>
        <v>0.40132500000000004</v>
      </c>
      <c r="AC1435" s="7">
        <f t="shared" si="134"/>
        <v>0.11464500000000001</v>
      </c>
      <c r="AD1435" s="6" t="str">
        <f t="shared" si="135"/>
        <v>TTV 2</v>
      </c>
      <c r="AE1435" s="6" t="str">
        <f t="shared" si="136"/>
        <v>K01 (CS2) - ok</v>
      </c>
      <c r="AG1435">
        <f t="shared" si="137"/>
        <v>0.26755000000000001</v>
      </c>
      <c r="AH1435">
        <f t="shared" si="138"/>
        <v>7.6430000000000012E-2</v>
      </c>
    </row>
    <row r="1436" spans="1:34" x14ac:dyDescent="0.25">
      <c r="A1436" t="s">
        <v>13694</v>
      </c>
      <c r="B1436" t="s">
        <v>11877</v>
      </c>
      <c r="C1436" t="s">
        <v>11878</v>
      </c>
      <c r="D1436" t="s">
        <v>13695</v>
      </c>
      <c r="E1436" t="s">
        <v>13696</v>
      </c>
      <c r="F1436" t="s">
        <v>13697</v>
      </c>
      <c r="G1436" t="s">
        <v>15979</v>
      </c>
      <c r="H1436" t="s">
        <v>15980</v>
      </c>
      <c r="I1436" t="s">
        <v>17222</v>
      </c>
      <c r="J1436" t="s">
        <v>23</v>
      </c>
      <c r="L1436" t="s">
        <v>11846</v>
      </c>
      <c r="M1436" t="s">
        <v>13698</v>
      </c>
      <c r="N1436" t="s">
        <v>11896</v>
      </c>
      <c r="O1436" t="s">
        <v>11897</v>
      </c>
      <c r="P1436" t="s">
        <v>11898</v>
      </c>
      <c r="Q1436" t="s">
        <v>13699</v>
      </c>
      <c r="R1436" t="s">
        <v>13700</v>
      </c>
      <c r="S1436" t="s">
        <v>13701</v>
      </c>
      <c r="T1436" t="s">
        <v>11854</v>
      </c>
      <c r="U1436" s="5">
        <v>494.42</v>
      </c>
      <c r="V1436" s="5">
        <v>7.13</v>
      </c>
      <c r="W1436" s="5">
        <v>16.037737</v>
      </c>
      <c r="X1436" s="5">
        <v>108.215386</v>
      </c>
      <c r="Y1436" s="5">
        <v>487.29</v>
      </c>
      <c r="Z1436" s="5">
        <v>16.039113</v>
      </c>
      <c r="AA1436" s="5">
        <v>108.215276</v>
      </c>
      <c r="AB1436" s="7">
        <f t="shared" si="133"/>
        <v>1.0695E-2</v>
      </c>
      <c r="AC1436" s="7">
        <f t="shared" si="134"/>
        <v>0.73093500000000011</v>
      </c>
      <c r="AD1436" s="6" t="str">
        <f t="shared" si="135"/>
        <v>Hải Châu</v>
      </c>
      <c r="AE1436" s="6" t="str">
        <f t="shared" si="136"/>
        <v>Hòa Cường</v>
      </c>
      <c r="AG1436">
        <f t="shared" si="137"/>
        <v>7.1300000000000001E-3</v>
      </c>
      <c r="AH1436">
        <f t="shared" si="138"/>
        <v>0.48729</v>
      </c>
    </row>
    <row r="1437" spans="1:34" x14ac:dyDescent="0.25">
      <c r="A1437" t="s">
        <v>13702</v>
      </c>
      <c r="B1437" t="s">
        <v>11877</v>
      </c>
      <c r="C1437" t="s">
        <v>11878</v>
      </c>
      <c r="D1437" t="s">
        <v>13703</v>
      </c>
      <c r="E1437" t="s">
        <v>13704</v>
      </c>
      <c r="F1437" t="s">
        <v>13705</v>
      </c>
      <c r="G1437" t="s">
        <v>15979</v>
      </c>
      <c r="H1437" t="s">
        <v>15980</v>
      </c>
      <c r="I1437" t="s">
        <v>17223</v>
      </c>
      <c r="J1437" t="s">
        <v>23</v>
      </c>
      <c r="L1437" t="s">
        <v>11846</v>
      </c>
      <c r="M1437" t="s">
        <v>13706</v>
      </c>
      <c r="N1437" t="s">
        <v>11896</v>
      </c>
      <c r="O1437" t="s">
        <v>11897</v>
      </c>
      <c r="P1437" t="s">
        <v>11898</v>
      </c>
      <c r="Q1437" t="s">
        <v>13707</v>
      </c>
      <c r="R1437" t="s">
        <v>13708</v>
      </c>
      <c r="S1437" t="s">
        <v>13709</v>
      </c>
      <c r="T1437" t="s">
        <v>11854</v>
      </c>
      <c r="U1437" s="5">
        <v>309.77999999999997</v>
      </c>
      <c r="V1437" s="5">
        <v>7.13</v>
      </c>
      <c r="W1437" s="5">
        <v>16.037737</v>
      </c>
      <c r="X1437" s="5">
        <v>108.215386</v>
      </c>
      <c r="Y1437" s="5">
        <v>302.64</v>
      </c>
      <c r="Z1437" s="5">
        <v>16.039200000000001</v>
      </c>
      <c r="AA1437" s="5">
        <v>108.213795</v>
      </c>
      <c r="AB1437" s="7">
        <f t="shared" si="133"/>
        <v>1.0695E-2</v>
      </c>
      <c r="AC1437" s="7">
        <f t="shared" si="134"/>
        <v>0.45395999999999997</v>
      </c>
      <c r="AD1437" s="6" t="str">
        <f t="shared" si="135"/>
        <v>Hải Châu</v>
      </c>
      <c r="AE1437" s="6" t="str">
        <f t="shared" si="136"/>
        <v>Hòa Cường</v>
      </c>
      <c r="AG1437">
        <f t="shared" si="137"/>
        <v>7.1300000000000001E-3</v>
      </c>
      <c r="AH1437">
        <f t="shared" si="138"/>
        <v>0.30263999999999996</v>
      </c>
    </row>
    <row r="1438" spans="1:34" x14ac:dyDescent="0.25">
      <c r="A1438" t="s">
        <v>13710</v>
      </c>
      <c r="B1438" t="s">
        <v>11904</v>
      </c>
      <c r="C1438" t="s">
        <v>11905</v>
      </c>
      <c r="D1438" t="s">
        <v>13711</v>
      </c>
      <c r="E1438" t="s">
        <v>13712</v>
      </c>
      <c r="F1438" t="s">
        <v>13713</v>
      </c>
      <c r="G1438" t="s">
        <v>15979</v>
      </c>
      <c r="H1438" t="s">
        <v>15980</v>
      </c>
      <c r="I1438" t="s">
        <v>17224</v>
      </c>
      <c r="J1438" t="s">
        <v>23</v>
      </c>
      <c r="L1438" t="s">
        <v>11129</v>
      </c>
      <c r="M1438" t="s">
        <v>13714</v>
      </c>
      <c r="N1438" t="s">
        <v>317</v>
      </c>
      <c r="O1438" t="s">
        <v>11910</v>
      </c>
      <c r="P1438" t="s">
        <v>11911</v>
      </c>
      <c r="Q1438" t="s">
        <v>13715</v>
      </c>
      <c r="R1438" t="s">
        <v>13716</v>
      </c>
      <c r="S1438" t="s">
        <v>13717</v>
      </c>
      <c r="T1438" t="s">
        <v>11915</v>
      </c>
      <c r="U1438" s="5">
        <v>547.77</v>
      </c>
      <c r="V1438" s="5">
        <v>7.22</v>
      </c>
      <c r="W1438" s="5">
        <v>16.052781</v>
      </c>
      <c r="X1438" s="5">
        <v>108.203267</v>
      </c>
      <c r="Y1438" s="5">
        <v>540.54999999999995</v>
      </c>
      <c r="Z1438" s="5">
        <v>16.050823999999999</v>
      </c>
      <c r="AA1438" s="5">
        <v>108.208978</v>
      </c>
      <c r="AB1438" s="7">
        <f t="shared" si="133"/>
        <v>1.0829999999999999E-2</v>
      </c>
      <c r="AC1438" s="7">
        <f t="shared" si="134"/>
        <v>0.81082499999999991</v>
      </c>
      <c r="AD1438" s="6" t="e">
        <f t="shared" si="135"/>
        <v>#VALUE!</v>
      </c>
      <c r="AE1438" s="6" t="e">
        <f t="shared" si="136"/>
        <v>#VALUE!</v>
      </c>
      <c r="AG1438">
        <f t="shared" si="137"/>
        <v>7.2199999999999999E-3</v>
      </c>
      <c r="AH1438">
        <f t="shared" si="138"/>
        <v>0.54054999999999997</v>
      </c>
    </row>
    <row r="1439" spans="1:34" x14ac:dyDescent="0.25">
      <c r="A1439" t="s">
        <v>13718</v>
      </c>
      <c r="B1439" t="s">
        <v>11904</v>
      </c>
      <c r="C1439" t="s">
        <v>11905</v>
      </c>
      <c r="D1439" t="s">
        <v>13719</v>
      </c>
      <c r="E1439" t="s">
        <v>13720</v>
      </c>
      <c r="F1439" t="s">
        <v>13721</v>
      </c>
      <c r="G1439" t="s">
        <v>15979</v>
      </c>
      <c r="H1439" t="s">
        <v>15980</v>
      </c>
      <c r="I1439" t="s">
        <v>17225</v>
      </c>
      <c r="J1439" t="s">
        <v>23</v>
      </c>
      <c r="L1439" t="s">
        <v>11129</v>
      </c>
      <c r="M1439" t="s">
        <v>13722</v>
      </c>
      <c r="N1439" t="s">
        <v>317</v>
      </c>
      <c r="O1439" t="s">
        <v>11910</v>
      </c>
      <c r="P1439" t="s">
        <v>11911</v>
      </c>
      <c r="Q1439" t="s">
        <v>13723</v>
      </c>
      <c r="R1439" t="s">
        <v>11922</v>
      </c>
      <c r="S1439" t="s">
        <v>11923</v>
      </c>
      <c r="T1439" t="s">
        <v>11915</v>
      </c>
      <c r="U1439" s="5">
        <v>309.83999999999997</v>
      </c>
      <c r="V1439" s="5">
        <v>7.22</v>
      </c>
      <c r="W1439" s="5">
        <v>16.052781</v>
      </c>
      <c r="X1439" s="5">
        <v>108.203267</v>
      </c>
      <c r="Y1439" s="5">
        <v>302.62</v>
      </c>
      <c r="Z1439" s="5">
        <v>16.050820000000002</v>
      </c>
      <c r="AA1439" s="5">
        <v>108.20695000000001</v>
      </c>
      <c r="AB1439" s="7">
        <f t="shared" si="133"/>
        <v>1.0829999999999999E-2</v>
      </c>
      <c r="AC1439" s="7">
        <f t="shared" si="134"/>
        <v>0.45393</v>
      </c>
      <c r="AD1439" s="6" t="e">
        <f t="shared" si="135"/>
        <v>#VALUE!</v>
      </c>
      <c r="AE1439" s="6" t="e">
        <f t="shared" si="136"/>
        <v>#VALUE!</v>
      </c>
      <c r="AG1439">
        <f t="shared" si="137"/>
        <v>7.2199999999999999E-3</v>
      </c>
      <c r="AH1439">
        <f t="shared" si="138"/>
        <v>0.30262</v>
      </c>
    </row>
    <row r="1440" spans="1:34" x14ac:dyDescent="0.25">
      <c r="A1440" t="s">
        <v>13724</v>
      </c>
      <c r="B1440" t="s">
        <v>13725</v>
      </c>
      <c r="C1440" t="s">
        <v>13726</v>
      </c>
      <c r="D1440" t="s">
        <v>13727</v>
      </c>
      <c r="E1440" t="s">
        <v>13728</v>
      </c>
      <c r="F1440" t="s">
        <v>13729</v>
      </c>
      <c r="G1440" t="s">
        <v>15979</v>
      </c>
      <c r="H1440" t="s">
        <v>15980</v>
      </c>
      <c r="I1440" t="s">
        <v>17226</v>
      </c>
      <c r="J1440" t="s">
        <v>23</v>
      </c>
      <c r="L1440" t="s">
        <v>11129</v>
      </c>
      <c r="M1440" t="s">
        <v>13730</v>
      </c>
      <c r="N1440" t="s">
        <v>13731</v>
      </c>
      <c r="O1440" t="s">
        <v>13732</v>
      </c>
      <c r="P1440" t="s">
        <v>13733</v>
      </c>
      <c r="Q1440" t="s">
        <v>13734</v>
      </c>
      <c r="R1440" t="s">
        <v>11135</v>
      </c>
      <c r="S1440" t="s">
        <v>11136</v>
      </c>
      <c r="T1440" t="s">
        <v>11137</v>
      </c>
      <c r="U1440" s="5">
        <v>600.85</v>
      </c>
      <c r="V1440" s="5">
        <v>291.87</v>
      </c>
      <c r="W1440" s="5">
        <v>16.068057</v>
      </c>
      <c r="X1440" s="5">
        <v>108.217573</v>
      </c>
      <c r="Y1440" s="5">
        <v>308.98</v>
      </c>
      <c r="Z1440" s="5">
        <v>16.067585999999999</v>
      </c>
      <c r="AA1440" s="5">
        <v>108.21583800000001</v>
      </c>
      <c r="AB1440" s="7">
        <f t="shared" si="133"/>
        <v>0.437805</v>
      </c>
      <c r="AC1440" s="7">
        <f t="shared" si="134"/>
        <v>0.46347000000000005</v>
      </c>
      <c r="AD1440" s="6" t="e">
        <f t="shared" si="135"/>
        <v>#VALUE!</v>
      </c>
      <c r="AE1440" s="6" t="e">
        <f t="shared" si="136"/>
        <v>#VALUE!</v>
      </c>
      <c r="AG1440">
        <f t="shared" si="137"/>
        <v>0.29187000000000002</v>
      </c>
      <c r="AH1440">
        <f t="shared" si="138"/>
        <v>0.30898000000000003</v>
      </c>
    </row>
    <row r="1441" spans="1:34" x14ac:dyDescent="0.25">
      <c r="A1441" t="s">
        <v>13735</v>
      </c>
      <c r="B1441" t="s">
        <v>13725</v>
      </c>
      <c r="C1441" t="s">
        <v>13726</v>
      </c>
      <c r="D1441" t="s">
        <v>13736</v>
      </c>
      <c r="E1441" t="s">
        <v>13737</v>
      </c>
      <c r="F1441" t="s">
        <v>13738</v>
      </c>
      <c r="G1441" t="s">
        <v>15979</v>
      </c>
      <c r="H1441" t="s">
        <v>15980</v>
      </c>
      <c r="I1441" t="s">
        <v>17227</v>
      </c>
      <c r="J1441" t="s">
        <v>23</v>
      </c>
      <c r="L1441" t="s">
        <v>11129</v>
      </c>
      <c r="M1441" t="s">
        <v>13739</v>
      </c>
      <c r="N1441" t="s">
        <v>13731</v>
      </c>
      <c r="O1441" t="s">
        <v>13732</v>
      </c>
      <c r="P1441" t="s">
        <v>13733</v>
      </c>
      <c r="Q1441" t="s">
        <v>13740</v>
      </c>
      <c r="R1441" t="s">
        <v>13741</v>
      </c>
      <c r="S1441" t="s">
        <v>13742</v>
      </c>
      <c r="T1441" t="s">
        <v>11137</v>
      </c>
      <c r="U1441" s="5">
        <v>558.03</v>
      </c>
      <c r="V1441" s="5">
        <v>291.87</v>
      </c>
      <c r="W1441" s="5">
        <v>16.068057</v>
      </c>
      <c r="X1441" s="5">
        <v>108.217573</v>
      </c>
      <c r="Y1441" s="5">
        <v>266.16000000000003</v>
      </c>
      <c r="Z1441" s="5">
        <v>16.06401</v>
      </c>
      <c r="AA1441" s="5">
        <v>108.216691</v>
      </c>
      <c r="AB1441" s="7">
        <f t="shared" si="133"/>
        <v>0.437805</v>
      </c>
      <c r="AC1441" s="7">
        <f t="shared" si="134"/>
        <v>0.39923999999999998</v>
      </c>
      <c r="AD1441" s="6" t="e">
        <f t="shared" si="135"/>
        <v>#VALUE!</v>
      </c>
      <c r="AE1441" s="6" t="e">
        <f t="shared" si="136"/>
        <v>#VALUE!</v>
      </c>
      <c r="AG1441">
        <f t="shared" si="137"/>
        <v>0.29187000000000002</v>
      </c>
      <c r="AH1441">
        <f t="shared" si="138"/>
        <v>0.26616000000000001</v>
      </c>
    </row>
    <row r="1442" spans="1:34" x14ac:dyDescent="0.25">
      <c r="A1442" t="s">
        <v>13743</v>
      </c>
      <c r="B1442" t="s">
        <v>11925</v>
      </c>
      <c r="C1442" t="s">
        <v>11926</v>
      </c>
      <c r="D1442" t="s">
        <v>13004</v>
      </c>
      <c r="E1442" t="s">
        <v>13005</v>
      </c>
      <c r="F1442" t="s">
        <v>13744</v>
      </c>
      <c r="G1442" t="s">
        <v>15979</v>
      </c>
      <c r="H1442" t="s">
        <v>15980</v>
      </c>
      <c r="I1442" t="s">
        <v>17228</v>
      </c>
      <c r="J1442" t="s">
        <v>23</v>
      </c>
      <c r="L1442" t="s">
        <v>11964</v>
      </c>
      <c r="M1442" t="s">
        <v>13745</v>
      </c>
      <c r="N1442" t="s">
        <v>11966</v>
      </c>
      <c r="O1442" t="s">
        <v>11967</v>
      </c>
      <c r="P1442" t="s">
        <v>11968</v>
      </c>
      <c r="Q1442" t="s">
        <v>13746</v>
      </c>
      <c r="R1442" t="s">
        <v>11967</v>
      </c>
      <c r="S1442" t="s">
        <v>11968</v>
      </c>
      <c r="T1442" t="s">
        <v>11970</v>
      </c>
      <c r="U1442" s="5">
        <v>1134.0899999999999</v>
      </c>
      <c r="V1442" s="5">
        <v>3.69</v>
      </c>
      <c r="W1442" s="5">
        <v>15.985678999999999</v>
      </c>
      <c r="X1442" s="5">
        <v>108.201567</v>
      </c>
      <c r="Y1442" s="5">
        <v>1130.4000000000001</v>
      </c>
      <c r="Z1442" s="5">
        <v>15.985678999999999</v>
      </c>
      <c r="AA1442" s="5">
        <v>108.201567</v>
      </c>
      <c r="AB1442" s="7">
        <f t="shared" si="133"/>
        <v>5.535E-3</v>
      </c>
      <c r="AC1442" s="7">
        <f t="shared" si="134"/>
        <v>1.6956000000000002</v>
      </c>
      <c r="AD1442" s="6" t="str">
        <f t="shared" si="135"/>
        <v>TTKV Ngũ Hành Sơn</v>
      </c>
      <c r="AE1442" s="6" t="str">
        <f t="shared" si="136"/>
        <v>Hòa Xuân</v>
      </c>
      <c r="AG1442">
        <f t="shared" si="137"/>
        <v>3.6900000000000001E-3</v>
      </c>
      <c r="AH1442">
        <f t="shared" si="138"/>
        <v>1.1304000000000001</v>
      </c>
    </row>
    <row r="1443" spans="1:34" x14ac:dyDescent="0.25">
      <c r="A1443" t="s">
        <v>13747</v>
      </c>
      <c r="B1443" t="s">
        <v>11925</v>
      </c>
      <c r="C1443" t="s">
        <v>11926</v>
      </c>
      <c r="D1443" t="s">
        <v>12963</v>
      </c>
      <c r="E1443" t="s">
        <v>12964</v>
      </c>
      <c r="F1443" t="s">
        <v>13748</v>
      </c>
      <c r="G1443" t="s">
        <v>15979</v>
      </c>
      <c r="H1443" t="s">
        <v>15980</v>
      </c>
      <c r="I1443" t="s">
        <v>17229</v>
      </c>
      <c r="J1443" t="s">
        <v>23</v>
      </c>
      <c r="L1443" t="s">
        <v>11964</v>
      </c>
      <c r="M1443" t="s">
        <v>13749</v>
      </c>
      <c r="N1443" t="s">
        <v>11966</v>
      </c>
      <c r="O1443" t="s">
        <v>11967</v>
      </c>
      <c r="P1443" t="s">
        <v>11968</v>
      </c>
      <c r="Q1443" t="s">
        <v>13750</v>
      </c>
      <c r="R1443" t="s">
        <v>13751</v>
      </c>
      <c r="S1443" t="s">
        <v>13752</v>
      </c>
      <c r="T1443" t="s">
        <v>11970</v>
      </c>
      <c r="U1443" s="5">
        <v>2650.34</v>
      </c>
      <c r="V1443" s="5">
        <v>3.69</v>
      </c>
      <c r="W1443" s="5">
        <v>15.985678999999999</v>
      </c>
      <c r="X1443" s="5">
        <v>108.201567</v>
      </c>
      <c r="Y1443" s="5">
        <v>2646.66</v>
      </c>
      <c r="Z1443" s="5">
        <v>16.002026999999998</v>
      </c>
      <c r="AA1443" s="5">
        <v>108.22184900000001</v>
      </c>
      <c r="AB1443" s="7">
        <f t="shared" si="133"/>
        <v>5.535E-3</v>
      </c>
      <c r="AC1443" s="7">
        <f t="shared" si="134"/>
        <v>3.9699899999999997</v>
      </c>
      <c r="AD1443" s="6" t="str">
        <f t="shared" si="135"/>
        <v>TTKV Ngũ Hành Sơn</v>
      </c>
      <c r="AE1443" s="6" t="str">
        <f t="shared" si="136"/>
        <v>Hòa Xuân</v>
      </c>
      <c r="AG1443">
        <f t="shared" si="137"/>
        <v>3.6900000000000001E-3</v>
      </c>
      <c r="AH1443">
        <f t="shared" si="138"/>
        <v>2.6466599999999998</v>
      </c>
    </row>
    <row r="1444" spans="1:34" x14ac:dyDescent="0.25">
      <c r="A1444" t="s">
        <v>13753</v>
      </c>
      <c r="B1444" t="s">
        <v>11983</v>
      </c>
      <c r="C1444" t="s">
        <v>11984</v>
      </c>
      <c r="D1444" t="s">
        <v>13754</v>
      </c>
      <c r="E1444" t="s">
        <v>13755</v>
      </c>
      <c r="F1444" t="s">
        <v>13756</v>
      </c>
      <c r="G1444" t="s">
        <v>15979</v>
      </c>
      <c r="H1444" t="s">
        <v>15980</v>
      </c>
      <c r="I1444" t="s">
        <v>17230</v>
      </c>
      <c r="J1444" t="s">
        <v>23</v>
      </c>
      <c r="L1444" t="s">
        <v>13757</v>
      </c>
      <c r="M1444" t="s">
        <v>13758</v>
      </c>
      <c r="N1444" t="s">
        <v>13759</v>
      </c>
      <c r="O1444" t="s">
        <v>13760</v>
      </c>
      <c r="P1444" t="s">
        <v>13761</v>
      </c>
      <c r="Q1444" t="s">
        <v>13762</v>
      </c>
      <c r="R1444" t="s">
        <v>13763</v>
      </c>
      <c r="S1444" t="s">
        <v>13764</v>
      </c>
      <c r="T1444" t="s">
        <v>13765</v>
      </c>
      <c r="U1444" s="5">
        <v>78.28</v>
      </c>
      <c r="V1444" s="5">
        <v>13.44</v>
      </c>
      <c r="W1444" s="5">
        <v>16.077966</v>
      </c>
      <c r="X1444" s="5">
        <v>108.114974</v>
      </c>
      <c r="Y1444" s="5">
        <v>64.84</v>
      </c>
      <c r="Z1444" s="5">
        <v>16.061855000000001</v>
      </c>
      <c r="AA1444" s="5">
        <v>108.099862</v>
      </c>
      <c r="AB1444" s="7">
        <f t="shared" si="133"/>
        <v>2.0160000000000001E-2</v>
      </c>
      <c r="AC1444" s="7">
        <f t="shared" si="134"/>
        <v>9.7259999999999999E-2</v>
      </c>
      <c r="AD1444" s="6" t="str">
        <f t="shared" si="135"/>
        <v>Trại giam CATP</v>
      </c>
      <c r="AE1444" s="6" t="str">
        <f t="shared" si="136"/>
        <v>Trạm CSGT Hòa Nhơn</v>
      </c>
      <c r="AG1444">
        <f t="shared" si="137"/>
        <v>1.3439999999999999E-2</v>
      </c>
      <c r="AH1444">
        <f t="shared" si="138"/>
        <v>6.4840000000000009E-2</v>
      </c>
    </row>
    <row r="1445" spans="1:34" x14ac:dyDescent="0.25">
      <c r="A1445" t="s">
        <v>13766</v>
      </c>
      <c r="B1445" t="s">
        <v>11983</v>
      </c>
      <c r="C1445" t="s">
        <v>11984</v>
      </c>
      <c r="D1445" t="s">
        <v>13767</v>
      </c>
      <c r="E1445" t="s">
        <v>13768</v>
      </c>
      <c r="F1445" t="s">
        <v>13769</v>
      </c>
      <c r="G1445" t="s">
        <v>15979</v>
      </c>
      <c r="H1445" t="s">
        <v>15980</v>
      </c>
      <c r="I1445" t="s">
        <v>17231</v>
      </c>
      <c r="J1445" t="s">
        <v>23</v>
      </c>
      <c r="L1445" t="s">
        <v>11170</v>
      </c>
      <c r="M1445" t="s">
        <v>13770</v>
      </c>
      <c r="N1445" t="s">
        <v>13771</v>
      </c>
      <c r="O1445" t="s">
        <v>13772</v>
      </c>
      <c r="P1445" t="s">
        <v>13773</v>
      </c>
      <c r="Q1445" t="s">
        <v>13774</v>
      </c>
      <c r="R1445" t="s">
        <v>13775</v>
      </c>
      <c r="S1445" t="s">
        <v>13776</v>
      </c>
      <c r="T1445" t="s">
        <v>13777</v>
      </c>
      <c r="U1445" s="5">
        <v>1886.83</v>
      </c>
      <c r="V1445" s="5">
        <v>1270.8399999999999</v>
      </c>
      <c r="W1445" s="5">
        <v>16.073208999999999</v>
      </c>
      <c r="X1445" s="5">
        <v>108.104287</v>
      </c>
      <c r="Y1445" s="5">
        <v>616</v>
      </c>
      <c r="Z1445" s="5">
        <v>16.079284999999999</v>
      </c>
      <c r="AA1445" s="5">
        <v>108.09813200000001</v>
      </c>
      <c r="AB1445" s="7">
        <f t="shared" si="133"/>
        <v>1.9062599999999998</v>
      </c>
      <c r="AC1445" s="7">
        <f t="shared" si="134"/>
        <v>0.92400000000000004</v>
      </c>
      <c r="AD1445" s="6" t="str">
        <f t="shared" si="135"/>
        <v>"Cơ sở cai nghiện (X. Hòa Bắc, Hòa Vang)</v>
      </c>
      <c r="AE1445" s="6" t="str">
        <f t="shared" si="136"/>
        <v xml:space="preserve">
TTCMKV Hòa Vang"</v>
      </c>
      <c r="AG1445">
        <f t="shared" si="137"/>
        <v>1.27084</v>
      </c>
      <c r="AH1445">
        <f t="shared" si="138"/>
        <v>0.61599999999999999</v>
      </c>
    </row>
    <row r="1446" spans="1:34" x14ac:dyDescent="0.25">
      <c r="A1446" t="s">
        <v>13778</v>
      </c>
      <c r="B1446" t="s">
        <v>13779</v>
      </c>
      <c r="C1446" t="s">
        <v>13780</v>
      </c>
      <c r="D1446" t="s">
        <v>11248</v>
      </c>
      <c r="E1446" t="s">
        <v>11249</v>
      </c>
      <c r="F1446" t="s">
        <v>13781</v>
      </c>
      <c r="G1446" t="s">
        <v>15979</v>
      </c>
      <c r="H1446" t="s">
        <v>15980</v>
      </c>
      <c r="I1446" t="s">
        <v>17232</v>
      </c>
      <c r="J1446" t="s">
        <v>23</v>
      </c>
      <c r="L1446" t="s">
        <v>11251</v>
      </c>
      <c r="M1446" t="s">
        <v>13782</v>
      </c>
      <c r="N1446" t="s">
        <v>13783</v>
      </c>
      <c r="O1446" t="s">
        <v>13784</v>
      </c>
      <c r="P1446" t="s">
        <v>13785</v>
      </c>
      <c r="Q1446" t="s">
        <v>11256</v>
      </c>
      <c r="R1446" t="s">
        <v>11257</v>
      </c>
      <c r="S1446" t="s">
        <v>11258</v>
      </c>
      <c r="T1446" t="s">
        <v>11259</v>
      </c>
      <c r="U1446" s="5">
        <v>1776.98</v>
      </c>
      <c r="V1446" s="5">
        <v>1745.72</v>
      </c>
      <c r="W1446" s="5">
        <v>16.076751000000002</v>
      </c>
      <c r="X1446" s="5">
        <v>108.16633400000001</v>
      </c>
      <c r="Y1446" s="5">
        <v>31.26</v>
      </c>
      <c r="Z1446" s="5">
        <v>16.073207</v>
      </c>
      <c r="AA1446" s="5">
        <v>108.177558</v>
      </c>
      <c r="AB1446" s="7">
        <f t="shared" si="133"/>
        <v>2.6185800000000001</v>
      </c>
      <c r="AC1446" s="7">
        <f t="shared" si="134"/>
        <v>4.6890000000000001E-2</v>
      </c>
      <c r="AD1446" s="6" t="str">
        <f t="shared" si="135"/>
        <v>TT1 Đà Nẵng</v>
      </c>
      <c r="AE1446" s="6" t="str">
        <f t="shared" si="136"/>
        <v>Hải Vân</v>
      </c>
      <c r="AG1446">
        <f t="shared" si="137"/>
        <v>1.7457199999999999</v>
      </c>
      <c r="AH1446">
        <f t="shared" si="138"/>
        <v>3.1260000000000003E-2</v>
      </c>
    </row>
    <row r="1447" spans="1:34" x14ac:dyDescent="0.25">
      <c r="A1447" t="s">
        <v>13786</v>
      </c>
      <c r="B1447" t="s">
        <v>13779</v>
      </c>
      <c r="C1447" t="s">
        <v>13780</v>
      </c>
      <c r="D1447" t="s">
        <v>13787</v>
      </c>
      <c r="E1447" t="s">
        <v>13788</v>
      </c>
      <c r="F1447" t="s">
        <v>13789</v>
      </c>
      <c r="G1447" t="s">
        <v>15979</v>
      </c>
      <c r="H1447" t="s">
        <v>15980</v>
      </c>
      <c r="I1447" t="s">
        <v>17233</v>
      </c>
      <c r="J1447" t="s">
        <v>23</v>
      </c>
      <c r="L1447" t="s">
        <v>13790</v>
      </c>
      <c r="M1447" t="s">
        <v>13791</v>
      </c>
      <c r="N1447" t="s">
        <v>13792</v>
      </c>
      <c r="O1447" t="s">
        <v>13793</v>
      </c>
      <c r="P1447" t="s">
        <v>13794</v>
      </c>
      <c r="Q1447" t="s">
        <v>13795</v>
      </c>
      <c r="R1447" t="s">
        <v>13796</v>
      </c>
      <c r="S1447" t="s">
        <v>13797</v>
      </c>
      <c r="T1447" t="s">
        <v>13798</v>
      </c>
      <c r="U1447" s="5">
        <v>263.72000000000003</v>
      </c>
      <c r="V1447" s="5">
        <v>14.24</v>
      </c>
      <c r="W1447" s="5">
        <v>16.063763999999999</v>
      </c>
      <c r="X1447" s="5">
        <v>108.157391</v>
      </c>
      <c r="Y1447" s="5">
        <v>249.49</v>
      </c>
      <c r="Z1447" s="5">
        <v>16.065524</v>
      </c>
      <c r="AA1447" s="5">
        <v>108.154652</v>
      </c>
      <c r="AB1447" s="7">
        <f t="shared" si="133"/>
        <v>2.1360000000000001E-2</v>
      </c>
      <c r="AC1447" s="7">
        <f t="shared" si="134"/>
        <v>0.37423500000000004</v>
      </c>
      <c r="AD1447" s="6" t="str">
        <f t="shared" si="135"/>
        <v>TTCMKV Liên Chiểu</v>
      </c>
      <c r="AE1447" s="6" t="str">
        <f t="shared" si="136"/>
        <v>Hòa Khánh</v>
      </c>
      <c r="AG1447">
        <f t="shared" si="137"/>
        <v>1.4240000000000001E-2</v>
      </c>
      <c r="AH1447">
        <f t="shared" si="138"/>
        <v>0.24949000000000002</v>
      </c>
    </row>
    <row r="1448" spans="1:34" x14ac:dyDescent="0.25">
      <c r="A1448" t="s">
        <v>13799</v>
      </c>
      <c r="B1448" t="s">
        <v>13779</v>
      </c>
      <c r="C1448" t="s">
        <v>13780</v>
      </c>
      <c r="D1448" t="e">
        <v>#N/A</v>
      </c>
      <c r="E1448" t="e">
        <v>#N/A</v>
      </c>
      <c r="F1448" t="s">
        <v>13800</v>
      </c>
      <c r="G1448" t="s">
        <v>15979</v>
      </c>
      <c r="H1448" t="s">
        <v>15980</v>
      </c>
      <c r="I1448" t="s">
        <v>17234</v>
      </c>
      <c r="J1448" t="s">
        <v>5239</v>
      </c>
      <c r="K1448" t="s">
        <v>11979</v>
      </c>
      <c r="AB1448" s="7">
        <f t="shared" si="133"/>
        <v>0</v>
      </c>
      <c r="AC1448" s="7">
        <f t="shared" si="134"/>
        <v>0</v>
      </c>
      <c r="AD1448" s="6" t="e">
        <f t="shared" si="135"/>
        <v>#VALUE!</v>
      </c>
      <c r="AE1448" s="6" t="e">
        <f t="shared" si="136"/>
        <v>#VALUE!</v>
      </c>
      <c r="AG1448">
        <f t="shared" si="137"/>
        <v>0</v>
      </c>
      <c r="AH1448">
        <f t="shared" si="138"/>
        <v>0</v>
      </c>
    </row>
    <row r="1449" spans="1:34" x14ac:dyDescent="0.25">
      <c r="A1449" t="s">
        <v>13801</v>
      </c>
      <c r="B1449" t="s">
        <v>11998</v>
      </c>
      <c r="C1449" t="s">
        <v>11999</v>
      </c>
      <c r="D1449" t="s">
        <v>13802</v>
      </c>
      <c r="E1449" t="s">
        <v>13803</v>
      </c>
      <c r="F1449" t="s">
        <v>13804</v>
      </c>
      <c r="G1449" t="s">
        <v>15979</v>
      </c>
      <c r="H1449" t="s">
        <v>15980</v>
      </c>
      <c r="I1449" t="s">
        <v>17235</v>
      </c>
      <c r="J1449" t="s">
        <v>23</v>
      </c>
      <c r="L1449" t="s">
        <v>12909</v>
      </c>
      <c r="M1449" t="s">
        <v>13805</v>
      </c>
      <c r="N1449" t="s">
        <v>13806</v>
      </c>
      <c r="O1449" t="s">
        <v>13807</v>
      </c>
      <c r="P1449" t="s">
        <v>13808</v>
      </c>
      <c r="Q1449" t="s">
        <v>13809</v>
      </c>
      <c r="R1449" t="s">
        <v>13810</v>
      </c>
      <c r="S1449" t="s">
        <v>13811</v>
      </c>
      <c r="T1449" t="s">
        <v>13812</v>
      </c>
      <c r="U1449" s="5">
        <v>778.79</v>
      </c>
      <c r="V1449" s="5">
        <v>730.71</v>
      </c>
      <c r="W1449" s="5">
        <v>16.053222000000002</v>
      </c>
      <c r="X1449" s="5">
        <v>108.156038</v>
      </c>
      <c r="Y1449" s="5">
        <v>48.08</v>
      </c>
      <c r="Z1449" s="5">
        <v>16.048704000000001</v>
      </c>
      <c r="AA1449" s="5">
        <v>108.14683599999999</v>
      </c>
      <c r="AB1449" s="7">
        <f t="shared" si="133"/>
        <v>1.0960650000000001</v>
      </c>
      <c r="AC1449" s="7">
        <f t="shared" si="134"/>
        <v>7.2120000000000004E-2</v>
      </c>
      <c r="AD1449" s="6" t="str">
        <f t="shared" si="135"/>
        <v>Liên Chiểu</v>
      </c>
      <c r="AE1449" s="6" t="str">
        <f t="shared" si="136"/>
        <v>Hòa Vang</v>
      </c>
      <c r="AG1449">
        <f t="shared" si="137"/>
        <v>0.73071000000000008</v>
      </c>
      <c r="AH1449">
        <f t="shared" si="138"/>
        <v>4.8079999999999998E-2</v>
      </c>
    </row>
    <row r="1450" spans="1:34" x14ac:dyDescent="0.25">
      <c r="A1450" t="s">
        <v>13813</v>
      </c>
      <c r="B1450" t="s">
        <v>11998</v>
      </c>
      <c r="C1450" t="s">
        <v>11999</v>
      </c>
      <c r="D1450" t="s">
        <v>13814</v>
      </c>
      <c r="E1450" t="s">
        <v>13815</v>
      </c>
      <c r="F1450" t="s">
        <v>13816</v>
      </c>
      <c r="G1450" t="s">
        <v>15979</v>
      </c>
      <c r="H1450" t="s">
        <v>15980</v>
      </c>
      <c r="I1450" t="s">
        <v>17236</v>
      </c>
      <c r="J1450" t="s">
        <v>23</v>
      </c>
      <c r="L1450" t="s">
        <v>12016</v>
      </c>
      <c r="M1450" t="s">
        <v>13817</v>
      </c>
      <c r="N1450" t="s">
        <v>12018</v>
      </c>
      <c r="O1450" t="s">
        <v>12019</v>
      </c>
      <c r="P1450" t="s">
        <v>12020</v>
      </c>
      <c r="Q1450" t="s">
        <v>13818</v>
      </c>
      <c r="R1450" t="s">
        <v>13819</v>
      </c>
      <c r="S1450" t="s">
        <v>13820</v>
      </c>
      <c r="T1450" t="s">
        <v>12024</v>
      </c>
      <c r="U1450" s="5">
        <v>80.86</v>
      </c>
      <c r="V1450" s="5">
        <v>33.35</v>
      </c>
      <c r="W1450" s="5">
        <v>16.046617000000001</v>
      </c>
      <c r="X1450" s="5">
        <v>108.15738899999999</v>
      </c>
      <c r="Y1450" s="5">
        <v>47.5</v>
      </c>
      <c r="Z1450" s="5">
        <v>16.048881999999999</v>
      </c>
      <c r="AA1450" s="5">
        <v>108.158168</v>
      </c>
      <c r="AB1450" s="7">
        <f t="shared" si="133"/>
        <v>5.0025000000000007E-2</v>
      </c>
      <c r="AC1450" s="7">
        <f t="shared" si="134"/>
        <v>7.1249999999999994E-2</v>
      </c>
      <c r="AD1450" s="6" t="str">
        <f t="shared" si="135"/>
        <v>PK02</v>
      </c>
      <c r="AE1450" s="6" t="str">
        <f t="shared" si="136"/>
        <v>TTCMKV Liên Chiểu</v>
      </c>
      <c r="AG1450">
        <f t="shared" si="137"/>
        <v>3.3350000000000005E-2</v>
      </c>
      <c r="AH1450">
        <f t="shared" si="138"/>
        <v>4.7500000000000001E-2</v>
      </c>
    </row>
    <row r="1451" spans="1:34" x14ac:dyDescent="0.25">
      <c r="A1451" t="s">
        <v>12012</v>
      </c>
      <c r="B1451" t="s">
        <v>11998</v>
      </c>
      <c r="C1451" t="s">
        <v>11999</v>
      </c>
      <c r="D1451" t="s">
        <v>12013</v>
      </c>
      <c r="E1451" t="s">
        <v>12014</v>
      </c>
      <c r="F1451" t="s">
        <v>13821</v>
      </c>
      <c r="G1451" t="s">
        <v>15979</v>
      </c>
      <c r="H1451" t="s">
        <v>15980</v>
      </c>
      <c r="I1451" t="s">
        <v>17038</v>
      </c>
      <c r="J1451" t="s">
        <v>23</v>
      </c>
      <c r="L1451" t="s">
        <v>12016</v>
      </c>
      <c r="M1451" t="s">
        <v>12017</v>
      </c>
      <c r="N1451" t="s">
        <v>12018</v>
      </c>
      <c r="O1451" t="s">
        <v>12019</v>
      </c>
      <c r="P1451" t="s">
        <v>12020</v>
      </c>
      <c r="Q1451" t="s">
        <v>12021</v>
      </c>
      <c r="R1451" t="s">
        <v>12022</v>
      </c>
      <c r="S1451" t="s">
        <v>12023</v>
      </c>
      <c r="T1451" t="s">
        <v>12024</v>
      </c>
      <c r="U1451" s="5">
        <v>121.93</v>
      </c>
      <c r="V1451" s="5">
        <v>33.35</v>
      </c>
      <c r="W1451" s="5">
        <v>16.046617000000001</v>
      </c>
      <c r="X1451" s="5">
        <v>108.15738899999999</v>
      </c>
      <c r="Y1451" s="5">
        <v>88.58</v>
      </c>
      <c r="Z1451" s="5">
        <v>16.053637999999999</v>
      </c>
      <c r="AA1451" s="5">
        <v>108.157757</v>
      </c>
      <c r="AB1451" s="7">
        <f t="shared" si="133"/>
        <v>5.0025000000000007E-2</v>
      </c>
      <c r="AC1451" s="7">
        <f t="shared" si="134"/>
        <v>0.13287000000000002</v>
      </c>
      <c r="AD1451" s="6" t="str">
        <f t="shared" si="135"/>
        <v>PK02</v>
      </c>
      <c r="AE1451" s="6" t="str">
        <f t="shared" si="136"/>
        <v>TTCMKV Liên Chiểu</v>
      </c>
      <c r="AG1451">
        <f t="shared" si="137"/>
        <v>3.3350000000000005E-2</v>
      </c>
      <c r="AH1451">
        <f t="shared" si="138"/>
        <v>8.8579999999999992E-2</v>
      </c>
    </row>
    <row r="1452" spans="1:34" x14ac:dyDescent="0.25">
      <c r="A1452" t="s">
        <v>11997</v>
      </c>
      <c r="B1452" t="s">
        <v>11998</v>
      </c>
      <c r="C1452" t="s">
        <v>11999</v>
      </c>
      <c r="D1452" t="s">
        <v>12000</v>
      </c>
      <c r="E1452" t="s">
        <v>12001</v>
      </c>
      <c r="F1452" t="s">
        <v>13822</v>
      </c>
      <c r="G1452" t="s">
        <v>15979</v>
      </c>
      <c r="H1452" t="s">
        <v>15980</v>
      </c>
      <c r="I1452" t="s">
        <v>17037</v>
      </c>
      <c r="J1452" t="s">
        <v>23</v>
      </c>
      <c r="L1452" t="s">
        <v>12003</v>
      </c>
      <c r="M1452" t="s">
        <v>12004</v>
      </c>
      <c r="N1452" t="s">
        <v>12005</v>
      </c>
      <c r="O1452" t="s">
        <v>12006</v>
      </c>
      <c r="P1452" t="s">
        <v>12007</v>
      </c>
      <c r="Q1452" t="s">
        <v>12008</v>
      </c>
      <c r="R1452" t="s">
        <v>12009</v>
      </c>
      <c r="S1452" t="s">
        <v>12010</v>
      </c>
      <c r="T1452" t="s">
        <v>12011</v>
      </c>
      <c r="U1452" s="5">
        <v>1791</v>
      </c>
      <c r="V1452" s="5">
        <v>41.12</v>
      </c>
      <c r="W1452" s="5">
        <v>16.046609</v>
      </c>
      <c r="X1452" s="5">
        <v>108.15746300000001</v>
      </c>
      <c r="Y1452" s="5">
        <v>1749.89</v>
      </c>
      <c r="Z1452" s="5">
        <v>16.049126000000001</v>
      </c>
      <c r="AA1452" s="5">
        <v>108.160696</v>
      </c>
      <c r="AB1452" s="7">
        <f t="shared" si="133"/>
        <v>6.1679999999999992E-2</v>
      </c>
      <c r="AC1452" s="7">
        <f t="shared" si="134"/>
        <v>2.624835</v>
      </c>
      <c r="AD1452" s="6" t="str">
        <f t="shared" si="135"/>
        <v>TT1 Đà Nẵng</v>
      </c>
      <c r="AE1452" s="6" t="str">
        <f t="shared" si="136"/>
        <v>PK02</v>
      </c>
      <c r="AG1452">
        <f t="shared" si="137"/>
        <v>4.1119999999999997E-2</v>
      </c>
      <c r="AH1452">
        <f t="shared" si="138"/>
        <v>1.7498900000000002</v>
      </c>
    </row>
    <row r="1453" spans="1:34" x14ac:dyDescent="0.25">
      <c r="A1453" t="s">
        <v>13823</v>
      </c>
      <c r="B1453" t="s">
        <v>11998</v>
      </c>
      <c r="C1453" t="s">
        <v>11999</v>
      </c>
      <c r="D1453" t="s">
        <v>13824</v>
      </c>
      <c r="E1453" t="s">
        <v>13825</v>
      </c>
      <c r="F1453" t="s">
        <v>13826</v>
      </c>
      <c r="G1453" t="s">
        <v>15979</v>
      </c>
      <c r="H1453" t="s">
        <v>15980</v>
      </c>
      <c r="I1453" t="s">
        <v>17237</v>
      </c>
      <c r="J1453" t="s">
        <v>23</v>
      </c>
      <c r="L1453" t="s">
        <v>13827</v>
      </c>
      <c r="M1453" t="s">
        <v>13828</v>
      </c>
      <c r="N1453" t="s">
        <v>3104</v>
      </c>
      <c r="O1453" t="s">
        <v>13829</v>
      </c>
      <c r="P1453" t="s">
        <v>13830</v>
      </c>
      <c r="Q1453" t="s">
        <v>13831</v>
      </c>
      <c r="R1453" t="s">
        <v>13829</v>
      </c>
      <c r="S1453" t="s">
        <v>13830</v>
      </c>
      <c r="T1453" t="s">
        <v>13832</v>
      </c>
      <c r="U1453" s="5">
        <v>1122.18</v>
      </c>
      <c r="V1453" s="5">
        <v>29.18</v>
      </c>
      <c r="W1453" s="5">
        <v>16.046562000000002</v>
      </c>
      <c r="X1453" s="5">
        <v>108.15731</v>
      </c>
      <c r="Y1453" s="5">
        <v>1093.01</v>
      </c>
      <c r="Z1453" s="5">
        <v>16.046562000000002</v>
      </c>
      <c r="AA1453" s="5">
        <v>108.15731</v>
      </c>
      <c r="AB1453" s="7">
        <f t="shared" si="133"/>
        <v>4.3769999999999996E-2</v>
      </c>
      <c r="AC1453" s="7">
        <f t="shared" si="134"/>
        <v>1.6395149999999998</v>
      </c>
      <c r="AD1453" s="6" t="str">
        <f t="shared" si="135"/>
        <v>Trại giam CATP</v>
      </c>
      <c r="AE1453" s="6" t="str">
        <f t="shared" si="136"/>
        <v>PK02</v>
      </c>
      <c r="AG1453">
        <f t="shared" si="137"/>
        <v>2.9180000000000001E-2</v>
      </c>
      <c r="AH1453">
        <f t="shared" si="138"/>
        <v>1.09301</v>
      </c>
    </row>
    <row r="1454" spans="1:34" x14ac:dyDescent="0.25">
      <c r="A1454" t="s">
        <v>12063</v>
      </c>
      <c r="B1454" t="s">
        <v>12026</v>
      </c>
      <c r="C1454" t="s">
        <v>12027</v>
      </c>
      <c r="D1454" t="s">
        <v>12064</v>
      </c>
      <c r="E1454" t="s">
        <v>12065</v>
      </c>
      <c r="F1454" t="s">
        <v>13833</v>
      </c>
      <c r="G1454" t="s">
        <v>15979</v>
      </c>
      <c r="H1454" t="s">
        <v>15980</v>
      </c>
      <c r="I1454" t="s">
        <v>17043</v>
      </c>
      <c r="J1454" t="s">
        <v>23</v>
      </c>
      <c r="L1454" t="s">
        <v>11988</v>
      </c>
      <c r="M1454" t="s">
        <v>12067</v>
      </c>
      <c r="N1454" t="s">
        <v>12032</v>
      </c>
      <c r="O1454" t="s">
        <v>12033</v>
      </c>
      <c r="P1454" t="s">
        <v>12034</v>
      </c>
      <c r="Q1454" t="s">
        <v>12068</v>
      </c>
      <c r="R1454" t="s">
        <v>12036</v>
      </c>
      <c r="S1454" t="s">
        <v>12037</v>
      </c>
      <c r="T1454" t="s">
        <v>12038</v>
      </c>
      <c r="U1454" s="5">
        <v>3483.25</v>
      </c>
      <c r="V1454" s="5">
        <v>20.38</v>
      </c>
      <c r="W1454" s="5">
        <v>16.140616000000001</v>
      </c>
      <c r="X1454" s="5">
        <v>108.11979100000001</v>
      </c>
      <c r="Y1454" s="5">
        <v>3462.87</v>
      </c>
      <c r="Z1454" s="5">
        <v>16.128188999999999</v>
      </c>
      <c r="AA1454" s="5">
        <v>108.11491700000001</v>
      </c>
      <c r="AB1454" s="7">
        <f t="shared" si="133"/>
        <v>3.057E-2</v>
      </c>
      <c r="AC1454" s="7">
        <f t="shared" si="134"/>
        <v>5.1943049999999999</v>
      </c>
      <c r="AD1454" s="6" t="str">
        <f t="shared" si="135"/>
        <v>Trạm CSGT Hòa Hiệp</v>
      </c>
      <c r="AE1454" s="6" t="str">
        <f t="shared" si="136"/>
        <v>Trại giam CATP</v>
      </c>
      <c r="AG1454">
        <f t="shared" si="137"/>
        <v>2.0379999999999999E-2</v>
      </c>
      <c r="AH1454">
        <f t="shared" si="138"/>
        <v>3.4628699999999997</v>
      </c>
    </row>
    <row r="1455" spans="1:34" x14ac:dyDescent="0.25">
      <c r="A1455" t="s">
        <v>12069</v>
      </c>
      <c r="B1455" t="s">
        <v>12026</v>
      </c>
      <c r="C1455" t="s">
        <v>12027</v>
      </c>
      <c r="D1455" t="s">
        <v>12070</v>
      </c>
      <c r="E1455" t="s">
        <v>12071</v>
      </c>
      <c r="F1455" t="s">
        <v>13834</v>
      </c>
      <c r="H1455" t="s">
        <v>15980</v>
      </c>
      <c r="I1455" t="s">
        <v>17044</v>
      </c>
      <c r="J1455" t="s">
        <v>23</v>
      </c>
      <c r="L1455" t="s">
        <v>11988</v>
      </c>
      <c r="M1455" t="s">
        <v>12073</v>
      </c>
      <c r="N1455" t="s">
        <v>12032</v>
      </c>
      <c r="O1455" t="s">
        <v>12033</v>
      </c>
      <c r="P1455" t="s">
        <v>12034</v>
      </c>
      <c r="Q1455" t="s">
        <v>12074</v>
      </c>
      <c r="R1455" t="s">
        <v>12075</v>
      </c>
      <c r="S1455" t="s">
        <v>12076</v>
      </c>
      <c r="T1455" t="s">
        <v>12038</v>
      </c>
      <c r="U1455" s="5">
        <v>270.02999999999997</v>
      </c>
      <c r="V1455" s="5">
        <v>20.38</v>
      </c>
      <c r="W1455" s="5">
        <v>16.140616000000001</v>
      </c>
      <c r="X1455" s="5">
        <v>108.11979100000001</v>
      </c>
      <c r="Y1455" s="5">
        <v>249.65</v>
      </c>
      <c r="Z1455" s="5">
        <v>16.107706</v>
      </c>
      <c r="AA1455" s="5">
        <v>108.128424</v>
      </c>
      <c r="AB1455" s="7">
        <f t="shared" si="133"/>
        <v>3.057E-2</v>
      </c>
      <c r="AC1455" s="7">
        <f t="shared" si="134"/>
        <v>0.374475</v>
      </c>
      <c r="AD1455" s="6" t="str">
        <f t="shared" si="135"/>
        <v>Trạm CSGT Hòa Hiệp</v>
      </c>
      <c r="AE1455" s="6" t="str">
        <f t="shared" si="136"/>
        <v>Trại giam CATP</v>
      </c>
      <c r="AG1455">
        <f t="shared" si="137"/>
        <v>2.0379999999999999E-2</v>
      </c>
      <c r="AH1455">
        <f t="shared" si="138"/>
        <v>0.24965000000000001</v>
      </c>
    </row>
    <row r="1456" spans="1:34" x14ac:dyDescent="0.25">
      <c r="A1456" t="s">
        <v>12089</v>
      </c>
      <c r="B1456" t="s">
        <v>11261</v>
      </c>
      <c r="C1456" t="s">
        <v>11262</v>
      </c>
      <c r="D1456" t="s">
        <v>11226</v>
      </c>
      <c r="E1456" t="s">
        <v>11227</v>
      </c>
      <c r="F1456" t="s">
        <v>13022</v>
      </c>
      <c r="H1456" t="s">
        <v>15980</v>
      </c>
      <c r="I1456" t="s">
        <v>16966</v>
      </c>
      <c r="J1456" t="s">
        <v>23</v>
      </c>
      <c r="L1456" t="s">
        <v>11264</v>
      </c>
      <c r="M1456" t="s">
        <v>11265</v>
      </c>
      <c r="N1456" t="s">
        <v>11269</v>
      </c>
      <c r="O1456" t="s">
        <v>11270</v>
      </c>
      <c r="P1456" t="s">
        <v>11271</v>
      </c>
      <c r="Q1456" t="s">
        <v>11266</v>
      </c>
      <c r="R1456" t="s">
        <v>11267</v>
      </c>
      <c r="S1456" t="s">
        <v>11268</v>
      </c>
      <c r="T1456" t="s">
        <v>11272</v>
      </c>
      <c r="U1456" s="5">
        <v>490.42</v>
      </c>
      <c r="V1456" s="5">
        <v>463.11</v>
      </c>
      <c r="W1456" s="5">
        <v>16.074614</v>
      </c>
      <c r="X1456" s="5">
        <v>108.14948099999999</v>
      </c>
      <c r="Y1456" s="5">
        <v>27.31</v>
      </c>
      <c r="Z1456" s="5">
        <v>16.074273999999999</v>
      </c>
      <c r="AA1456" s="5">
        <v>108.158044</v>
      </c>
      <c r="AB1456" s="7">
        <f t="shared" si="133"/>
        <v>0.69466499999999998</v>
      </c>
      <c r="AC1456" s="7">
        <f t="shared" si="134"/>
        <v>4.0964999999999994E-2</v>
      </c>
      <c r="AD1456" s="6" t="str">
        <f t="shared" si="135"/>
        <v>TTCMKV Liên Chiểu</v>
      </c>
      <c r="AE1456" s="6" t="str">
        <f t="shared" si="136"/>
        <v>Trạm CSGT Hòa Hiệp</v>
      </c>
      <c r="AG1456">
        <f t="shared" si="137"/>
        <v>0.46311000000000002</v>
      </c>
      <c r="AH1456">
        <f t="shared" si="138"/>
        <v>2.7309999999999997E-2</v>
      </c>
    </row>
    <row r="1457" spans="1:34" x14ac:dyDescent="0.25">
      <c r="A1457" t="s">
        <v>13835</v>
      </c>
      <c r="B1457" t="s">
        <v>11261</v>
      </c>
      <c r="C1457" t="s">
        <v>11262</v>
      </c>
      <c r="D1457" t="s">
        <v>13836</v>
      </c>
      <c r="E1457" t="s">
        <v>13837</v>
      </c>
      <c r="F1457" t="s">
        <v>13838</v>
      </c>
      <c r="G1457" t="s">
        <v>15979</v>
      </c>
      <c r="H1457" t="s">
        <v>15980</v>
      </c>
      <c r="I1457" t="s">
        <v>17238</v>
      </c>
      <c r="J1457" t="s">
        <v>23</v>
      </c>
      <c r="L1457" t="s">
        <v>11251</v>
      </c>
      <c r="M1457" t="s">
        <v>13839</v>
      </c>
      <c r="N1457" t="s">
        <v>13840</v>
      </c>
      <c r="O1457" t="s">
        <v>13841</v>
      </c>
      <c r="P1457" t="s">
        <v>13842</v>
      </c>
      <c r="Q1457" t="s">
        <v>13843</v>
      </c>
      <c r="R1457" t="s">
        <v>13844</v>
      </c>
      <c r="S1457" t="s">
        <v>13845</v>
      </c>
      <c r="T1457" t="s">
        <v>12139</v>
      </c>
      <c r="U1457" s="5">
        <v>605.01</v>
      </c>
      <c r="V1457" s="5">
        <v>492.71</v>
      </c>
      <c r="W1457" s="5">
        <v>16.081016999999999</v>
      </c>
      <c r="X1457" s="5">
        <v>108.146484</v>
      </c>
      <c r="Y1457" s="5">
        <v>112.31</v>
      </c>
      <c r="Z1457" s="5">
        <v>16.084243000000001</v>
      </c>
      <c r="AA1457" s="5">
        <v>108.150699</v>
      </c>
      <c r="AB1457" s="7">
        <f t="shared" si="133"/>
        <v>0.73906499999999997</v>
      </c>
      <c r="AC1457" s="7">
        <f t="shared" si="134"/>
        <v>0.168465</v>
      </c>
      <c r="AD1457" s="6" t="str">
        <f t="shared" si="135"/>
        <v>TT1 Đà Nẵng</v>
      </c>
      <c r="AE1457" s="6" t="str">
        <f t="shared" si="136"/>
        <v>Hải Vân</v>
      </c>
      <c r="AG1457">
        <f t="shared" si="137"/>
        <v>0.49270999999999998</v>
      </c>
      <c r="AH1457">
        <f t="shared" si="138"/>
        <v>0.11231000000000001</v>
      </c>
    </row>
    <row r="1458" spans="1:34" x14ac:dyDescent="0.25">
      <c r="A1458" t="s">
        <v>13846</v>
      </c>
      <c r="B1458" t="s">
        <v>12070</v>
      </c>
      <c r="C1458" t="s">
        <v>12071</v>
      </c>
      <c r="D1458" t="s">
        <v>13847</v>
      </c>
      <c r="E1458" t="s">
        <v>13848</v>
      </c>
      <c r="F1458" t="s">
        <v>13849</v>
      </c>
      <c r="G1458" t="s">
        <v>15979</v>
      </c>
      <c r="H1458" t="s">
        <v>15980</v>
      </c>
      <c r="I1458" t="s">
        <v>17239</v>
      </c>
      <c r="J1458" t="s">
        <v>23</v>
      </c>
      <c r="L1458" t="s">
        <v>11251</v>
      </c>
      <c r="M1458" t="s">
        <v>13850</v>
      </c>
      <c r="N1458" t="s">
        <v>12133</v>
      </c>
      <c r="O1458" t="s">
        <v>12134</v>
      </c>
      <c r="P1458" t="s">
        <v>12135</v>
      </c>
      <c r="Q1458" t="s">
        <v>13851</v>
      </c>
      <c r="R1458" t="s">
        <v>13852</v>
      </c>
      <c r="S1458" t="s">
        <v>13853</v>
      </c>
      <c r="T1458" t="s">
        <v>12139</v>
      </c>
      <c r="U1458" s="5">
        <v>177.02</v>
      </c>
      <c r="V1458" s="5">
        <v>14.62</v>
      </c>
      <c r="W1458" s="5">
        <v>16.107544000000001</v>
      </c>
      <c r="X1458" s="5">
        <v>108.12598699999999</v>
      </c>
      <c r="Y1458" s="5">
        <v>162.41</v>
      </c>
      <c r="Z1458" s="5">
        <v>16.105843</v>
      </c>
      <c r="AA1458" s="5">
        <v>108.13267</v>
      </c>
      <c r="AB1458" s="7">
        <f t="shared" si="133"/>
        <v>2.1929999999999998E-2</v>
      </c>
      <c r="AC1458" s="7">
        <f t="shared" si="134"/>
        <v>0.243615</v>
      </c>
      <c r="AD1458" s="6" t="str">
        <f t="shared" si="135"/>
        <v>TT1 Đà Nẵng</v>
      </c>
      <c r="AE1458" s="6" t="str">
        <f t="shared" si="136"/>
        <v>Hải Vân</v>
      </c>
      <c r="AG1458">
        <f t="shared" si="137"/>
        <v>1.4619999999999999E-2</v>
      </c>
      <c r="AH1458">
        <f t="shared" si="138"/>
        <v>0.16241</v>
      </c>
    </row>
    <row r="1459" spans="1:34" x14ac:dyDescent="0.25">
      <c r="A1459" t="s">
        <v>12127</v>
      </c>
      <c r="B1459" t="s">
        <v>12070</v>
      </c>
      <c r="C1459" t="s">
        <v>12071</v>
      </c>
      <c r="D1459" t="s">
        <v>12026</v>
      </c>
      <c r="E1459" t="s">
        <v>12027</v>
      </c>
      <c r="F1459" t="s">
        <v>13834</v>
      </c>
      <c r="H1459" t="s">
        <v>15980</v>
      </c>
      <c r="I1459" t="s">
        <v>17044</v>
      </c>
      <c r="J1459" t="s">
        <v>23</v>
      </c>
      <c r="L1459" t="s">
        <v>11988</v>
      </c>
      <c r="M1459" t="s">
        <v>12073</v>
      </c>
      <c r="N1459" t="s">
        <v>12074</v>
      </c>
      <c r="O1459" t="s">
        <v>12075</v>
      </c>
      <c r="P1459" t="s">
        <v>12076</v>
      </c>
      <c r="Q1459" t="s">
        <v>12032</v>
      </c>
      <c r="R1459" t="s">
        <v>12033</v>
      </c>
      <c r="S1459" t="s">
        <v>12034</v>
      </c>
      <c r="T1459" t="s">
        <v>12038</v>
      </c>
      <c r="U1459" s="5">
        <v>270.02999999999997</v>
      </c>
      <c r="V1459" s="5">
        <v>249.65</v>
      </c>
      <c r="W1459" s="5">
        <v>16.107706</v>
      </c>
      <c r="X1459" s="5">
        <v>108.128424</v>
      </c>
      <c r="Y1459" s="5">
        <v>20.38</v>
      </c>
      <c r="Z1459" s="5">
        <v>16.140616000000001</v>
      </c>
      <c r="AA1459" s="5">
        <v>108.11979100000001</v>
      </c>
      <c r="AB1459" s="7">
        <f t="shared" si="133"/>
        <v>0.374475</v>
      </c>
      <c r="AC1459" s="7">
        <f t="shared" si="134"/>
        <v>3.057E-2</v>
      </c>
      <c r="AD1459" s="6" t="str">
        <f t="shared" si="135"/>
        <v>Trạm CSGT Hòa Hiệp</v>
      </c>
      <c r="AE1459" s="6" t="str">
        <f t="shared" si="136"/>
        <v>Trại giam CATP</v>
      </c>
      <c r="AG1459">
        <f t="shared" si="137"/>
        <v>0.24965000000000001</v>
      </c>
      <c r="AH1459">
        <f t="shared" si="138"/>
        <v>2.0379999999999999E-2</v>
      </c>
    </row>
    <row r="1460" spans="1:34" x14ac:dyDescent="0.25">
      <c r="A1460" t="s">
        <v>12128</v>
      </c>
      <c r="B1460" t="s">
        <v>12070</v>
      </c>
      <c r="C1460" t="s">
        <v>12071</v>
      </c>
      <c r="D1460" t="s">
        <v>12129</v>
      </c>
      <c r="E1460" t="s">
        <v>12130</v>
      </c>
      <c r="F1460" t="s">
        <v>13854</v>
      </c>
      <c r="G1460" t="s">
        <v>15979</v>
      </c>
      <c r="H1460" t="s">
        <v>15980</v>
      </c>
      <c r="I1460" t="s">
        <v>17050</v>
      </c>
      <c r="J1460" t="s">
        <v>23</v>
      </c>
      <c r="L1460" t="s">
        <v>11251</v>
      </c>
      <c r="M1460" t="s">
        <v>12132</v>
      </c>
      <c r="N1460" t="s">
        <v>12133</v>
      </c>
      <c r="O1460" t="s">
        <v>12134</v>
      </c>
      <c r="P1460" t="s">
        <v>12135</v>
      </c>
      <c r="Q1460" t="s">
        <v>12136</v>
      </c>
      <c r="R1460" t="s">
        <v>12137</v>
      </c>
      <c r="S1460" t="s">
        <v>12138</v>
      </c>
      <c r="T1460" t="s">
        <v>12139</v>
      </c>
      <c r="U1460" s="5">
        <v>194.31</v>
      </c>
      <c r="V1460" s="5">
        <v>14.62</v>
      </c>
      <c r="W1460" s="5">
        <v>16.107544000000001</v>
      </c>
      <c r="X1460" s="5">
        <v>108.12598699999999</v>
      </c>
      <c r="Y1460" s="5">
        <v>179.69</v>
      </c>
      <c r="Z1460" s="5">
        <v>16.100843999999999</v>
      </c>
      <c r="AA1460" s="5">
        <v>108.13513399999999</v>
      </c>
      <c r="AB1460" s="7">
        <f t="shared" si="133"/>
        <v>2.1929999999999998E-2</v>
      </c>
      <c r="AC1460" s="7">
        <f t="shared" si="134"/>
        <v>0.26953499999999997</v>
      </c>
      <c r="AD1460" s="6" t="str">
        <f t="shared" si="135"/>
        <v>TT1 Đà Nẵng</v>
      </c>
      <c r="AE1460" s="6" t="str">
        <f t="shared" si="136"/>
        <v>Hải Vân</v>
      </c>
      <c r="AG1460">
        <f t="shared" si="137"/>
        <v>1.4619999999999999E-2</v>
      </c>
      <c r="AH1460">
        <f t="shared" si="138"/>
        <v>0.17968999999999999</v>
      </c>
    </row>
    <row r="1461" spans="1:34" x14ac:dyDescent="0.25">
      <c r="A1461" t="s">
        <v>13855</v>
      </c>
      <c r="B1461" t="s">
        <v>12141</v>
      </c>
      <c r="C1461" t="s">
        <v>12142</v>
      </c>
      <c r="D1461" t="s">
        <v>13856</v>
      </c>
      <c r="E1461" t="s">
        <v>13857</v>
      </c>
      <c r="F1461" t="s">
        <v>13858</v>
      </c>
      <c r="G1461" t="s">
        <v>15979</v>
      </c>
      <c r="H1461" t="s">
        <v>15980</v>
      </c>
      <c r="I1461" t="s">
        <v>17240</v>
      </c>
      <c r="J1461" t="s">
        <v>23</v>
      </c>
      <c r="L1461" t="s">
        <v>12158</v>
      </c>
      <c r="M1461" t="s">
        <v>13859</v>
      </c>
      <c r="N1461" t="s">
        <v>12160</v>
      </c>
      <c r="O1461" t="s">
        <v>12161</v>
      </c>
      <c r="P1461" t="s">
        <v>12162</v>
      </c>
      <c r="Q1461" t="s">
        <v>13860</v>
      </c>
      <c r="R1461" t="s">
        <v>13861</v>
      </c>
      <c r="S1461" t="s">
        <v>13862</v>
      </c>
      <c r="T1461" t="s">
        <v>12166</v>
      </c>
      <c r="U1461" s="5">
        <v>366.33</v>
      </c>
      <c r="V1461" s="5">
        <v>50.98</v>
      </c>
      <c r="W1461" s="5">
        <v>16.038461999999999</v>
      </c>
      <c r="X1461" s="5">
        <v>108.242496</v>
      </c>
      <c r="Y1461" s="5">
        <v>315.35000000000002</v>
      </c>
      <c r="Z1461" s="5">
        <v>16.043773000000002</v>
      </c>
      <c r="AA1461" s="5">
        <v>108.24481400000001</v>
      </c>
      <c r="AB1461" s="7">
        <f t="shared" si="133"/>
        <v>7.6469999999999996E-2</v>
      </c>
      <c r="AC1461" s="7">
        <f t="shared" si="134"/>
        <v>0.47302500000000003</v>
      </c>
      <c r="AD1461" s="6" t="str">
        <f t="shared" si="135"/>
        <v>K01</v>
      </c>
      <c r="AE1461" s="6" t="str">
        <f t="shared" si="136"/>
        <v>A01</v>
      </c>
      <c r="AG1461">
        <f t="shared" si="137"/>
        <v>5.0979999999999998E-2</v>
      </c>
      <c r="AH1461">
        <f t="shared" si="138"/>
        <v>0.31535000000000002</v>
      </c>
    </row>
    <row r="1462" spans="1:34" x14ac:dyDescent="0.25">
      <c r="A1462" t="s">
        <v>13863</v>
      </c>
      <c r="B1462" t="s">
        <v>12141</v>
      </c>
      <c r="C1462" t="s">
        <v>12142</v>
      </c>
      <c r="D1462" t="s">
        <v>13043</v>
      </c>
      <c r="E1462" t="s">
        <v>13044</v>
      </c>
      <c r="F1462" t="s">
        <v>13864</v>
      </c>
      <c r="G1462" t="s">
        <v>15979</v>
      </c>
      <c r="H1462" t="s">
        <v>15980</v>
      </c>
      <c r="I1462" t="s">
        <v>17241</v>
      </c>
      <c r="J1462" t="s">
        <v>23</v>
      </c>
      <c r="L1462" t="s">
        <v>12158</v>
      </c>
      <c r="M1462" t="s">
        <v>13865</v>
      </c>
      <c r="N1462" t="s">
        <v>12160</v>
      </c>
      <c r="O1462" t="s">
        <v>12161</v>
      </c>
      <c r="P1462" t="s">
        <v>12162</v>
      </c>
      <c r="Q1462" t="s">
        <v>13049</v>
      </c>
      <c r="R1462" t="s">
        <v>12164</v>
      </c>
      <c r="S1462" t="s">
        <v>12165</v>
      </c>
      <c r="T1462" t="s">
        <v>12166</v>
      </c>
      <c r="U1462" s="5">
        <v>103.93</v>
      </c>
      <c r="V1462" s="5">
        <v>50.98</v>
      </c>
      <c r="W1462" s="5">
        <v>16.038461999999999</v>
      </c>
      <c r="X1462" s="5">
        <v>108.242496</v>
      </c>
      <c r="Y1462" s="5">
        <v>52.95</v>
      </c>
      <c r="Z1462" s="5">
        <v>16.042570000000001</v>
      </c>
      <c r="AA1462" s="5">
        <v>108.245257</v>
      </c>
      <c r="AB1462" s="7">
        <f t="shared" si="133"/>
        <v>7.6469999999999996E-2</v>
      </c>
      <c r="AC1462" s="7">
        <f t="shared" si="134"/>
        <v>7.9425000000000009E-2</v>
      </c>
      <c r="AD1462" s="6" t="str">
        <f t="shared" si="135"/>
        <v>K01</v>
      </c>
      <c r="AE1462" s="6" t="str">
        <f t="shared" si="136"/>
        <v>A01</v>
      </c>
      <c r="AG1462">
        <f t="shared" si="137"/>
        <v>5.0979999999999998E-2</v>
      </c>
      <c r="AH1462">
        <f t="shared" si="138"/>
        <v>5.2950000000000004E-2</v>
      </c>
    </row>
    <row r="1463" spans="1:34" x14ac:dyDescent="0.25">
      <c r="A1463" t="s">
        <v>13866</v>
      </c>
      <c r="B1463" t="s">
        <v>12141</v>
      </c>
      <c r="C1463" t="s">
        <v>12142</v>
      </c>
      <c r="D1463" t="s">
        <v>13867</v>
      </c>
      <c r="E1463" t="s">
        <v>13868</v>
      </c>
      <c r="F1463" t="s">
        <v>13869</v>
      </c>
      <c r="G1463" t="s">
        <v>15979</v>
      </c>
      <c r="H1463" t="s">
        <v>15980</v>
      </c>
      <c r="I1463" t="s">
        <v>17242</v>
      </c>
      <c r="J1463" t="s">
        <v>23</v>
      </c>
      <c r="L1463" t="s">
        <v>12158</v>
      </c>
      <c r="M1463" t="s">
        <v>13870</v>
      </c>
      <c r="N1463" t="s">
        <v>12160</v>
      </c>
      <c r="O1463" t="s">
        <v>12161</v>
      </c>
      <c r="P1463" t="s">
        <v>12162</v>
      </c>
      <c r="Q1463" t="s">
        <v>13871</v>
      </c>
      <c r="R1463" t="s">
        <v>13872</v>
      </c>
      <c r="S1463" t="s">
        <v>13873</v>
      </c>
      <c r="T1463" t="s">
        <v>12166</v>
      </c>
      <c r="U1463" s="5">
        <v>711.92</v>
      </c>
      <c r="V1463" s="5">
        <v>50.98</v>
      </c>
      <c r="W1463" s="5">
        <v>16.038461999999999</v>
      </c>
      <c r="X1463" s="5">
        <v>108.242496</v>
      </c>
      <c r="Y1463" s="5">
        <v>660.94</v>
      </c>
      <c r="Z1463" s="5">
        <v>16.026434999999999</v>
      </c>
      <c r="AA1463" s="5">
        <v>108.248806</v>
      </c>
      <c r="AB1463" s="7">
        <f t="shared" si="133"/>
        <v>7.6469999999999996E-2</v>
      </c>
      <c r="AC1463" s="7">
        <f t="shared" si="134"/>
        <v>0.99141000000000012</v>
      </c>
      <c r="AD1463" s="6" t="str">
        <f t="shared" si="135"/>
        <v>K01</v>
      </c>
      <c r="AE1463" s="6" t="str">
        <f t="shared" si="136"/>
        <v>A01</v>
      </c>
      <c r="AG1463">
        <f t="shared" si="137"/>
        <v>5.0979999999999998E-2</v>
      </c>
      <c r="AH1463">
        <f t="shared" si="138"/>
        <v>0.66094000000000008</v>
      </c>
    </row>
    <row r="1464" spans="1:34" x14ac:dyDescent="0.25">
      <c r="A1464" t="s">
        <v>13874</v>
      </c>
      <c r="B1464" t="s">
        <v>12141</v>
      </c>
      <c r="C1464" t="s">
        <v>12142</v>
      </c>
      <c r="D1464" t="e">
        <v>#N/A</v>
      </c>
      <c r="E1464" t="e">
        <v>#N/A</v>
      </c>
      <c r="F1464" t="s">
        <v>13875</v>
      </c>
      <c r="G1464" t="s">
        <v>15979</v>
      </c>
      <c r="H1464" t="s">
        <v>15980</v>
      </c>
      <c r="I1464" t="s">
        <v>17243</v>
      </c>
      <c r="J1464" t="s">
        <v>5239</v>
      </c>
      <c r="K1464" t="s">
        <v>11979</v>
      </c>
      <c r="AB1464" s="7">
        <f t="shared" si="133"/>
        <v>0</v>
      </c>
      <c r="AC1464" s="7">
        <f t="shared" si="134"/>
        <v>0</v>
      </c>
      <c r="AD1464" s="6" t="e">
        <f t="shared" si="135"/>
        <v>#VALUE!</v>
      </c>
      <c r="AE1464" s="6" t="e">
        <f t="shared" si="136"/>
        <v>#VALUE!</v>
      </c>
      <c r="AG1464">
        <f t="shared" si="137"/>
        <v>0</v>
      </c>
      <c r="AH1464">
        <f t="shared" si="138"/>
        <v>0</v>
      </c>
    </row>
    <row r="1465" spans="1:34" x14ac:dyDescent="0.25">
      <c r="A1465" t="s">
        <v>13876</v>
      </c>
      <c r="B1465" t="s">
        <v>13877</v>
      </c>
      <c r="C1465" t="s">
        <v>13878</v>
      </c>
      <c r="D1465" t="s">
        <v>13879</v>
      </c>
      <c r="E1465" t="s">
        <v>13880</v>
      </c>
      <c r="F1465" t="s">
        <v>13881</v>
      </c>
      <c r="G1465" t="s">
        <v>15979</v>
      </c>
      <c r="H1465" t="s">
        <v>15980</v>
      </c>
      <c r="I1465" t="s">
        <v>17244</v>
      </c>
      <c r="J1465" t="s">
        <v>23</v>
      </c>
      <c r="L1465" t="s">
        <v>11310</v>
      </c>
      <c r="M1465" t="s">
        <v>13882</v>
      </c>
      <c r="N1465" t="s">
        <v>13883</v>
      </c>
      <c r="O1465" t="s">
        <v>13884</v>
      </c>
      <c r="P1465" t="s">
        <v>13885</v>
      </c>
      <c r="Q1465" t="s">
        <v>13886</v>
      </c>
      <c r="R1465" t="s">
        <v>13887</v>
      </c>
      <c r="S1465" t="s">
        <v>13888</v>
      </c>
      <c r="T1465" t="s">
        <v>13889</v>
      </c>
      <c r="U1465" s="5">
        <v>45.28</v>
      </c>
      <c r="V1465" s="5">
        <v>22.93</v>
      </c>
      <c r="W1465" s="5">
        <v>16.082996999999999</v>
      </c>
      <c r="X1465" s="5">
        <v>108.22931</v>
      </c>
      <c r="Y1465" s="5">
        <v>22.35</v>
      </c>
      <c r="Z1465" s="5">
        <v>16.080313</v>
      </c>
      <c r="AA1465" s="5">
        <v>108.231584</v>
      </c>
      <c r="AB1465" s="7">
        <f t="shared" si="133"/>
        <v>3.4394999999999995E-2</v>
      </c>
      <c r="AC1465" s="7">
        <f t="shared" si="134"/>
        <v>3.3525000000000006E-2</v>
      </c>
      <c r="AD1465" s="6" t="str">
        <f t="shared" si="135"/>
        <v>An Hải</v>
      </c>
      <c r="AE1465" s="6" t="str">
        <f t="shared" si="136"/>
        <v>Sơn Trà</v>
      </c>
      <c r="AG1465">
        <f t="shared" si="137"/>
        <v>2.2929999999999999E-2</v>
      </c>
      <c r="AH1465">
        <f t="shared" si="138"/>
        <v>2.2350000000000002E-2</v>
      </c>
    </row>
    <row r="1466" spans="1:34" x14ac:dyDescent="0.25">
      <c r="A1466" t="s">
        <v>13890</v>
      </c>
      <c r="B1466" t="s">
        <v>13877</v>
      </c>
      <c r="C1466" t="s">
        <v>13878</v>
      </c>
      <c r="D1466" t="s">
        <v>13891</v>
      </c>
      <c r="E1466" t="s">
        <v>13892</v>
      </c>
      <c r="F1466" t="s">
        <v>13893</v>
      </c>
      <c r="G1466" t="s">
        <v>15979</v>
      </c>
      <c r="H1466" t="s">
        <v>15980</v>
      </c>
      <c r="I1466" t="s">
        <v>17245</v>
      </c>
      <c r="J1466" t="s">
        <v>23</v>
      </c>
      <c r="L1466" t="s">
        <v>13894</v>
      </c>
      <c r="M1466" t="s">
        <v>13895</v>
      </c>
      <c r="N1466" t="s">
        <v>13896</v>
      </c>
      <c r="O1466" t="s">
        <v>13897</v>
      </c>
      <c r="P1466" t="s">
        <v>13898</v>
      </c>
      <c r="Q1466" t="s">
        <v>13899</v>
      </c>
      <c r="R1466" t="s">
        <v>13900</v>
      </c>
      <c r="S1466" t="s">
        <v>13901</v>
      </c>
      <c r="T1466" t="s">
        <v>13902</v>
      </c>
      <c r="U1466" s="5">
        <v>85.23</v>
      </c>
      <c r="V1466" s="5">
        <v>12.83</v>
      </c>
      <c r="W1466" s="5">
        <v>16.082982000000001</v>
      </c>
      <c r="X1466" s="5">
        <v>108.228996</v>
      </c>
      <c r="Y1466" s="5">
        <v>72.39</v>
      </c>
      <c r="Z1466" s="5">
        <v>16.078887999999999</v>
      </c>
      <c r="AA1466" s="5">
        <v>108.22897399999999</v>
      </c>
      <c r="AB1466" s="7">
        <f t="shared" si="133"/>
        <v>1.9245000000000002E-2</v>
      </c>
      <c r="AC1466" s="7">
        <f t="shared" si="134"/>
        <v>0.10858500000000001</v>
      </c>
      <c r="AD1466" s="6" t="str">
        <f t="shared" si="135"/>
        <v>Sơn Trà</v>
      </c>
      <c r="AE1466" s="6" t="str">
        <f t="shared" si="136"/>
        <v>TT1 Đà Nẵng - check ngầm</v>
      </c>
      <c r="AG1466">
        <f t="shared" si="137"/>
        <v>1.2829999999999999E-2</v>
      </c>
      <c r="AH1466">
        <f t="shared" si="138"/>
        <v>7.2389999999999996E-2</v>
      </c>
    </row>
    <row r="1467" spans="1:34" x14ac:dyDescent="0.25">
      <c r="A1467" t="s">
        <v>13903</v>
      </c>
      <c r="B1467" t="s">
        <v>13877</v>
      </c>
      <c r="C1467" t="s">
        <v>13878</v>
      </c>
      <c r="D1467" t="s">
        <v>13904</v>
      </c>
      <c r="E1467" t="s">
        <v>13905</v>
      </c>
      <c r="F1467" t="s">
        <v>13906</v>
      </c>
      <c r="G1467" t="s">
        <v>15979</v>
      </c>
      <c r="H1467" t="s">
        <v>15980</v>
      </c>
      <c r="I1467" t="s">
        <v>17246</v>
      </c>
      <c r="J1467" t="s">
        <v>23</v>
      </c>
      <c r="L1467" t="s">
        <v>11310</v>
      </c>
      <c r="M1467" t="s">
        <v>13907</v>
      </c>
      <c r="N1467" t="s">
        <v>13883</v>
      </c>
      <c r="O1467" t="s">
        <v>13884</v>
      </c>
      <c r="P1467" t="s">
        <v>13885</v>
      </c>
      <c r="Q1467" t="s">
        <v>13908</v>
      </c>
      <c r="R1467" t="s">
        <v>13909</v>
      </c>
      <c r="S1467" t="s">
        <v>13910</v>
      </c>
      <c r="T1467" t="s">
        <v>13889</v>
      </c>
      <c r="U1467" s="5">
        <v>398.28</v>
      </c>
      <c r="V1467" s="5">
        <v>22.93</v>
      </c>
      <c r="W1467" s="5">
        <v>16.082996999999999</v>
      </c>
      <c r="X1467" s="5">
        <v>108.22931</v>
      </c>
      <c r="Y1467" s="5">
        <v>375.36</v>
      </c>
      <c r="Z1467" s="5">
        <v>16.078872</v>
      </c>
      <c r="AA1467" s="5">
        <v>108.23279700000001</v>
      </c>
      <c r="AB1467" s="7">
        <f t="shared" si="133"/>
        <v>3.4394999999999995E-2</v>
      </c>
      <c r="AC1467" s="7">
        <f t="shared" si="134"/>
        <v>0.56303999999999998</v>
      </c>
      <c r="AD1467" s="6" t="str">
        <f t="shared" si="135"/>
        <v>An Hải</v>
      </c>
      <c r="AE1467" s="6" t="str">
        <f t="shared" si="136"/>
        <v>Sơn Trà</v>
      </c>
      <c r="AG1467">
        <f t="shared" si="137"/>
        <v>2.2929999999999999E-2</v>
      </c>
      <c r="AH1467">
        <f t="shared" si="138"/>
        <v>0.37536000000000003</v>
      </c>
    </row>
    <row r="1468" spans="1:34" x14ac:dyDescent="0.25">
      <c r="A1468" t="s">
        <v>13911</v>
      </c>
      <c r="B1468" t="s">
        <v>13877</v>
      </c>
      <c r="C1468" t="s">
        <v>13878</v>
      </c>
      <c r="D1468" t="s">
        <v>13912</v>
      </c>
      <c r="E1468" t="s">
        <v>13913</v>
      </c>
      <c r="F1468" t="s">
        <v>13914</v>
      </c>
      <c r="G1468" t="s">
        <v>15979</v>
      </c>
      <c r="H1468" t="s">
        <v>15980</v>
      </c>
      <c r="I1468" t="s">
        <v>17247</v>
      </c>
      <c r="J1468" t="s">
        <v>23</v>
      </c>
      <c r="L1468" t="s">
        <v>11310</v>
      </c>
      <c r="M1468" t="s">
        <v>13915</v>
      </c>
      <c r="N1468" t="s">
        <v>13916</v>
      </c>
      <c r="O1468" t="s">
        <v>13917</v>
      </c>
      <c r="P1468" t="s">
        <v>13918</v>
      </c>
      <c r="Q1468" t="s">
        <v>13919</v>
      </c>
      <c r="R1468" t="s">
        <v>13920</v>
      </c>
      <c r="S1468" t="s">
        <v>13921</v>
      </c>
      <c r="T1468" t="s">
        <v>13922</v>
      </c>
      <c r="U1468" s="5">
        <v>297.76</v>
      </c>
      <c r="V1468" s="5">
        <v>2.3199999999999998</v>
      </c>
      <c r="W1468" s="5">
        <v>16.083034999999999</v>
      </c>
      <c r="X1468" s="5">
        <v>108.229079</v>
      </c>
      <c r="Y1468" s="5">
        <v>295.44</v>
      </c>
      <c r="Z1468" s="5">
        <v>16.083126</v>
      </c>
      <c r="AA1468" s="5">
        <v>108.229298</v>
      </c>
      <c r="AB1468" s="7">
        <f t="shared" si="133"/>
        <v>3.4799999999999996E-3</v>
      </c>
      <c r="AC1468" s="7">
        <f t="shared" si="134"/>
        <v>0.44315999999999994</v>
      </c>
      <c r="AD1468" s="6" t="str">
        <f t="shared" si="135"/>
        <v>An Hải</v>
      </c>
      <c r="AE1468" s="6" t="str">
        <f t="shared" si="136"/>
        <v>Sơn Trà</v>
      </c>
      <c r="AG1468">
        <f t="shared" si="137"/>
        <v>2.32E-3</v>
      </c>
      <c r="AH1468">
        <f t="shared" si="138"/>
        <v>0.29543999999999998</v>
      </c>
    </row>
    <row r="1469" spans="1:34" x14ac:dyDescent="0.25">
      <c r="A1469" t="s">
        <v>13923</v>
      </c>
      <c r="B1469" t="s">
        <v>12205</v>
      </c>
      <c r="C1469" t="s">
        <v>12206</v>
      </c>
      <c r="D1469" t="s">
        <v>13924</v>
      </c>
      <c r="E1469" t="s">
        <v>13925</v>
      </c>
      <c r="F1469" t="s">
        <v>13926</v>
      </c>
      <c r="G1469" t="s">
        <v>15979</v>
      </c>
      <c r="H1469" t="s">
        <v>15980</v>
      </c>
      <c r="I1469" t="s">
        <v>17248</v>
      </c>
      <c r="J1469" t="s">
        <v>23</v>
      </c>
      <c r="L1469" t="s">
        <v>12210</v>
      </c>
      <c r="M1469" t="s">
        <v>13927</v>
      </c>
      <c r="N1469" t="s">
        <v>12212</v>
      </c>
      <c r="O1469" t="s">
        <v>12213</v>
      </c>
      <c r="P1469" t="s">
        <v>12214</v>
      </c>
      <c r="Q1469" t="s">
        <v>13928</v>
      </c>
      <c r="R1469" t="s">
        <v>13929</v>
      </c>
      <c r="S1469" t="s">
        <v>13930</v>
      </c>
      <c r="T1469" t="s">
        <v>12218</v>
      </c>
      <c r="U1469" s="5">
        <v>449.92</v>
      </c>
      <c r="V1469" s="5">
        <v>6.41</v>
      </c>
      <c r="W1469" s="5">
        <v>16.057247</v>
      </c>
      <c r="X1469" s="5">
        <v>108.181504</v>
      </c>
      <c r="Y1469" s="5">
        <v>443.51</v>
      </c>
      <c r="Z1469" s="5">
        <v>16.056746</v>
      </c>
      <c r="AA1469" s="5">
        <v>108.180753</v>
      </c>
      <c r="AB1469" s="7">
        <f t="shared" si="133"/>
        <v>9.6150000000000003E-3</v>
      </c>
      <c r="AC1469" s="7">
        <f t="shared" si="134"/>
        <v>0.665265</v>
      </c>
      <c r="AD1469" s="6" t="str">
        <f t="shared" si="135"/>
        <v>Hòa Khánh</v>
      </c>
      <c r="AE1469" s="6" t="str">
        <f t="shared" si="136"/>
        <v>An Khê</v>
      </c>
      <c r="AG1469">
        <f t="shared" si="137"/>
        <v>6.4099999999999999E-3</v>
      </c>
      <c r="AH1469">
        <f t="shared" si="138"/>
        <v>0.44351000000000002</v>
      </c>
    </row>
    <row r="1470" spans="1:34" x14ac:dyDescent="0.25">
      <c r="A1470" t="s">
        <v>13931</v>
      </c>
      <c r="B1470" t="s">
        <v>12205</v>
      </c>
      <c r="C1470" t="s">
        <v>12206</v>
      </c>
      <c r="D1470" t="s">
        <v>13932</v>
      </c>
      <c r="E1470" t="s">
        <v>13933</v>
      </c>
      <c r="F1470" t="s">
        <v>13934</v>
      </c>
      <c r="G1470" t="s">
        <v>15979</v>
      </c>
      <c r="H1470" t="s">
        <v>15980</v>
      </c>
      <c r="I1470" t="s">
        <v>17249</v>
      </c>
      <c r="J1470" t="s">
        <v>23</v>
      </c>
      <c r="L1470" t="s">
        <v>12210</v>
      </c>
      <c r="M1470" t="s">
        <v>13935</v>
      </c>
      <c r="N1470" t="s">
        <v>12212</v>
      </c>
      <c r="O1470" t="s">
        <v>12213</v>
      </c>
      <c r="P1470" t="s">
        <v>12214</v>
      </c>
      <c r="Q1470" t="s">
        <v>13936</v>
      </c>
      <c r="R1470" t="s">
        <v>13937</v>
      </c>
      <c r="S1470" t="s">
        <v>13938</v>
      </c>
      <c r="T1470" t="s">
        <v>12218</v>
      </c>
      <c r="U1470" s="5">
        <v>558.79</v>
      </c>
      <c r="V1470" s="5">
        <v>6.41</v>
      </c>
      <c r="W1470" s="5">
        <v>16.057247</v>
      </c>
      <c r="X1470" s="5">
        <v>108.181504</v>
      </c>
      <c r="Y1470" s="5">
        <v>552.39</v>
      </c>
      <c r="Z1470" s="5">
        <v>16.058513000000001</v>
      </c>
      <c r="AA1470" s="5">
        <v>108.18014700000001</v>
      </c>
      <c r="AB1470" s="7">
        <f t="shared" si="133"/>
        <v>9.6150000000000003E-3</v>
      </c>
      <c r="AC1470" s="7">
        <f t="shared" si="134"/>
        <v>0.82858500000000002</v>
      </c>
      <c r="AD1470" s="6" t="str">
        <f t="shared" si="135"/>
        <v>Hòa Khánh</v>
      </c>
      <c r="AE1470" s="6" t="str">
        <f t="shared" si="136"/>
        <v>An Khê</v>
      </c>
      <c r="AG1470">
        <f t="shared" si="137"/>
        <v>6.4099999999999999E-3</v>
      </c>
      <c r="AH1470">
        <f t="shared" si="138"/>
        <v>0.55238999999999994</v>
      </c>
    </row>
    <row r="1471" spans="1:34" x14ac:dyDescent="0.25">
      <c r="A1471" t="s">
        <v>13939</v>
      </c>
      <c r="B1471" t="s">
        <v>12205</v>
      </c>
      <c r="C1471" t="s">
        <v>12206</v>
      </c>
      <c r="D1471" t="s">
        <v>13940</v>
      </c>
      <c r="E1471" t="s">
        <v>13941</v>
      </c>
      <c r="F1471" t="s">
        <v>13942</v>
      </c>
      <c r="G1471" t="s">
        <v>15979</v>
      </c>
      <c r="H1471" t="s">
        <v>15980</v>
      </c>
      <c r="I1471" t="s">
        <v>17250</v>
      </c>
      <c r="J1471" t="s">
        <v>23</v>
      </c>
      <c r="L1471" t="s">
        <v>12234</v>
      </c>
      <c r="M1471" t="s">
        <v>13943</v>
      </c>
      <c r="N1471" t="s">
        <v>13944</v>
      </c>
      <c r="O1471" t="s">
        <v>13945</v>
      </c>
      <c r="P1471" t="s">
        <v>13946</v>
      </c>
      <c r="Q1471" t="s">
        <v>13947</v>
      </c>
      <c r="R1471" t="s">
        <v>13948</v>
      </c>
      <c r="S1471" t="s">
        <v>13949</v>
      </c>
      <c r="T1471" t="s">
        <v>12242</v>
      </c>
      <c r="U1471" s="5">
        <v>786.67</v>
      </c>
      <c r="V1471" s="5">
        <v>4.51</v>
      </c>
      <c r="W1471" s="5">
        <v>16.057227999999999</v>
      </c>
      <c r="X1471" s="5">
        <v>108.181516</v>
      </c>
      <c r="Y1471" s="5">
        <v>782.16</v>
      </c>
      <c r="Z1471" s="5">
        <v>16.057034000000002</v>
      </c>
      <c r="AA1471" s="5">
        <v>108.181619</v>
      </c>
      <c r="AB1471" s="7">
        <f t="shared" si="133"/>
        <v>6.7649999999999993E-3</v>
      </c>
      <c r="AC1471" s="7">
        <f t="shared" si="134"/>
        <v>1.1732400000000001</v>
      </c>
      <c r="AD1471" s="6" t="str">
        <f t="shared" si="135"/>
        <v>An Khê</v>
      </c>
      <c r="AE1471" s="6" t="str">
        <f t="shared" si="136"/>
        <v>Thanh Khê</v>
      </c>
      <c r="AG1471">
        <f t="shared" si="137"/>
        <v>4.5100000000000001E-3</v>
      </c>
      <c r="AH1471">
        <f t="shared" si="138"/>
        <v>0.78215999999999997</v>
      </c>
    </row>
    <row r="1472" spans="1:34" x14ac:dyDescent="0.25">
      <c r="A1472" t="s">
        <v>13950</v>
      </c>
      <c r="B1472" t="s">
        <v>12220</v>
      </c>
      <c r="C1472" t="s">
        <v>12221</v>
      </c>
      <c r="D1472" t="s">
        <v>13951</v>
      </c>
      <c r="E1472" t="s">
        <v>13952</v>
      </c>
      <c r="F1472" t="s">
        <v>13953</v>
      </c>
      <c r="G1472" t="s">
        <v>15979</v>
      </c>
      <c r="H1472" t="s">
        <v>15980</v>
      </c>
      <c r="I1472" t="s">
        <v>17251</v>
      </c>
      <c r="J1472" t="s">
        <v>23</v>
      </c>
      <c r="L1472" t="s">
        <v>12234</v>
      </c>
      <c r="M1472" t="s">
        <v>13954</v>
      </c>
      <c r="N1472" t="s">
        <v>12236</v>
      </c>
      <c r="O1472" t="s">
        <v>12237</v>
      </c>
      <c r="P1472" t="s">
        <v>12238</v>
      </c>
      <c r="Q1472" t="s">
        <v>13955</v>
      </c>
      <c r="R1472" t="s">
        <v>13956</v>
      </c>
      <c r="S1472" t="s">
        <v>13957</v>
      </c>
      <c r="T1472" t="s">
        <v>12242</v>
      </c>
      <c r="U1472" s="5">
        <v>191.85</v>
      </c>
      <c r="V1472" s="5">
        <v>10.87</v>
      </c>
      <c r="W1472" s="5">
        <v>16.070730000000001</v>
      </c>
      <c r="X1472" s="5">
        <v>108.192493</v>
      </c>
      <c r="Y1472" s="5">
        <v>180.97</v>
      </c>
      <c r="Z1472" s="5">
        <v>16.071200999999999</v>
      </c>
      <c r="AA1472" s="5">
        <v>108.19170800000001</v>
      </c>
      <c r="AB1472" s="7">
        <f t="shared" si="133"/>
        <v>1.6305E-2</v>
      </c>
      <c r="AC1472" s="7">
        <f t="shared" si="134"/>
        <v>0.271455</v>
      </c>
      <c r="AD1472" s="6" t="str">
        <f t="shared" si="135"/>
        <v>An Khê</v>
      </c>
      <c r="AE1472" s="6" t="str">
        <f t="shared" si="136"/>
        <v>Thanh Khê</v>
      </c>
      <c r="AG1472">
        <f t="shared" si="137"/>
        <v>1.0869999999999999E-2</v>
      </c>
      <c r="AH1472">
        <f t="shared" si="138"/>
        <v>0.18096999999999999</v>
      </c>
    </row>
    <row r="1473" spans="1:34" x14ac:dyDescent="0.25">
      <c r="A1473" t="s">
        <v>13958</v>
      </c>
      <c r="B1473" t="s">
        <v>12220</v>
      </c>
      <c r="C1473" t="s">
        <v>12221</v>
      </c>
      <c r="D1473" t="s">
        <v>13959</v>
      </c>
      <c r="E1473" t="s">
        <v>13960</v>
      </c>
      <c r="F1473" t="s">
        <v>13961</v>
      </c>
      <c r="G1473" t="s">
        <v>15979</v>
      </c>
      <c r="H1473" t="s">
        <v>15980</v>
      </c>
      <c r="I1473" t="s">
        <v>17252</v>
      </c>
      <c r="J1473" t="s">
        <v>23</v>
      </c>
      <c r="L1473" t="s">
        <v>11231</v>
      </c>
      <c r="M1473" t="s">
        <v>13962</v>
      </c>
      <c r="N1473" t="s">
        <v>12248</v>
      </c>
      <c r="O1473" t="s">
        <v>12249</v>
      </c>
      <c r="P1473" t="s">
        <v>12250</v>
      </c>
      <c r="Q1473" t="s">
        <v>13963</v>
      </c>
      <c r="R1473" t="s">
        <v>13964</v>
      </c>
      <c r="S1473" t="s">
        <v>13965</v>
      </c>
      <c r="T1473" t="s">
        <v>12254</v>
      </c>
      <c r="U1473" s="5">
        <v>226.88</v>
      </c>
      <c r="V1473" s="5">
        <v>195.19</v>
      </c>
      <c r="W1473" s="5">
        <v>16.072437000000001</v>
      </c>
      <c r="X1473" s="5">
        <v>108.19182600000001</v>
      </c>
      <c r="Y1473" s="5">
        <v>31.69</v>
      </c>
      <c r="Z1473" s="5">
        <v>16.073625</v>
      </c>
      <c r="AA1473" s="5">
        <v>108.185683</v>
      </c>
      <c r="AB1473" s="7">
        <f t="shared" si="133"/>
        <v>0.29278499999999996</v>
      </c>
      <c r="AC1473" s="7">
        <f t="shared" si="134"/>
        <v>4.7535000000000001E-2</v>
      </c>
      <c r="AD1473" s="6" t="str">
        <f t="shared" si="135"/>
        <v>TT1 Đà Nẵng</v>
      </c>
      <c r="AE1473" s="6" t="str">
        <f t="shared" si="136"/>
        <v>Liên Chiểu</v>
      </c>
      <c r="AG1473">
        <f t="shared" si="137"/>
        <v>0.19519</v>
      </c>
      <c r="AH1473">
        <f t="shared" si="138"/>
        <v>3.1690000000000003E-2</v>
      </c>
    </row>
    <row r="1474" spans="1:34" x14ac:dyDescent="0.25">
      <c r="A1474" t="s">
        <v>12255</v>
      </c>
      <c r="B1474" t="s">
        <v>12220</v>
      </c>
      <c r="C1474" t="s">
        <v>12221</v>
      </c>
      <c r="D1474" t="s">
        <v>12256</v>
      </c>
      <c r="E1474" t="s">
        <v>12257</v>
      </c>
      <c r="F1474" t="s">
        <v>13966</v>
      </c>
      <c r="G1474" t="s">
        <v>15979</v>
      </c>
      <c r="H1474" t="s">
        <v>15980</v>
      </c>
      <c r="I1474" t="s">
        <v>17062</v>
      </c>
      <c r="J1474" t="s">
        <v>23</v>
      </c>
      <c r="L1474" t="s">
        <v>12259</v>
      </c>
      <c r="M1474" t="s">
        <v>12260</v>
      </c>
      <c r="N1474" t="s">
        <v>12261</v>
      </c>
      <c r="O1474" t="s">
        <v>12262</v>
      </c>
      <c r="P1474" t="s">
        <v>12263</v>
      </c>
      <c r="Q1474" t="s">
        <v>12264</v>
      </c>
      <c r="R1474" t="s">
        <v>12265</v>
      </c>
      <c r="S1474" t="s">
        <v>12266</v>
      </c>
      <c r="T1474" t="s">
        <v>12267</v>
      </c>
      <c r="U1474" s="5">
        <v>69.67</v>
      </c>
      <c r="V1474" s="5">
        <v>11.25</v>
      </c>
      <c r="W1474" s="5">
        <v>16.070743</v>
      </c>
      <c r="X1474" s="5">
        <v>108.192502</v>
      </c>
      <c r="Y1474" s="5">
        <v>58.42</v>
      </c>
      <c r="Z1474" s="5">
        <v>16.071003999999999</v>
      </c>
      <c r="AA1474" s="5">
        <v>108.200844</v>
      </c>
      <c r="AB1474" s="7">
        <f t="shared" si="133"/>
        <v>1.6875000000000001E-2</v>
      </c>
      <c r="AC1474" s="7">
        <f t="shared" si="134"/>
        <v>8.763E-2</v>
      </c>
      <c r="AD1474" s="6" t="str">
        <f t="shared" si="135"/>
        <v>Thanh Khê</v>
      </c>
      <c r="AE1474" s="6" t="str">
        <f t="shared" si="136"/>
        <v>TT1 Đà Nẵng</v>
      </c>
      <c r="AG1474">
        <f t="shared" si="137"/>
        <v>1.125E-2</v>
      </c>
      <c r="AH1474">
        <f t="shared" si="138"/>
        <v>5.842E-2</v>
      </c>
    </row>
    <row r="1475" spans="1:34" x14ac:dyDescent="0.25">
      <c r="A1475" t="s">
        <v>12268</v>
      </c>
      <c r="B1475" t="s">
        <v>12220</v>
      </c>
      <c r="C1475" t="s">
        <v>12221</v>
      </c>
      <c r="D1475" t="s">
        <v>12269</v>
      </c>
      <c r="E1475" t="s">
        <v>12270</v>
      </c>
      <c r="F1475" t="s">
        <v>13967</v>
      </c>
      <c r="G1475" t="s">
        <v>15979</v>
      </c>
      <c r="H1475" t="s">
        <v>15980</v>
      </c>
      <c r="I1475" t="s">
        <v>17253</v>
      </c>
      <c r="J1475" t="s">
        <v>23</v>
      </c>
      <c r="L1475" t="s">
        <v>12259</v>
      </c>
      <c r="M1475" t="s">
        <v>12272</v>
      </c>
      <c r="N1475" t="s">
        <v>12261</v>
      </c>
      <c r="O1475" t="s">
        <v>12262</v>
      </c>
      <c r="P1475" t="s">
        <v>12263</v>
      </c>
      <c r="Q1475" t="s">
        <v>12273</v>
      </c>
      <c r="R1475" t="s">
        <v>12265</v>
      </c>
      <c r="S1475" t="s">
        <v>12266</v>
      </c>
      <c r="T1475" t="s">
        <v>12267</v>
      </c>
      <c r="U1475" s="5">
        <v>644.79999999999995</v>
      </c>
      <c r="V1475" s="5">
        <v>11.25</v>
      </c>
      <c r="W1475" s="5">
        <v>16.070743</v>
      </c>
      <c r="X1475" s="5">
        <v>108.192502</v>
      </c>
      <c r="Y1475" s="5">
        <v>633.54</v>
      </c>
      <c r="Z1475" s="5">
        <v>16.071003999999999</v>
      </c>
      <c r="AA1475" s="5">
        <v>108.200844</v>
      </c>
      <c r="AB1475" s="7">
        <f t="shared" ref="AB1475:AB1538" si="139">V1475*1.5/1000</f>
        <v>1.6875000000000001E-2</v>
      </c>
      <c r="AC1475" s="7">
        <f t="shared" ref="AC1475:AC1538" si="140">Y1475*1.5/1000</f>
        <v>0.95030999999999999</v>
      </c>
      <c r="AD1475" s="6" t="str">
        <f t="shared" ref="AD1475:AD1538" si="141">TRIM(LEFT(L1475,FIND("-",L1475)-1))</f>
        <v>Thanh Khê</v>
      </c>
      <c r="AE1475" s="6" t="str">
        <f t="shared" ref="AE1475:AE1538" si="142">TRIM(RIGHT(L1475, LEN(L1475) - FIND("-", L1475)))</f>
        <v>TT1 Đà Nẵng</v>
      </c>
      <c r="AG1475">
        <f t="shared" ref="AG1475:AG1538" si="143">V1475/1000</f>
        <v>1.125E-2</v>
      </c>
      <c r="AH1475">
        <f t="shared" ref="AH1475:AH1538" si="144">Y1475/1000</f>
        <v>0.63353999999999999</v>
      </c>
    </row>
    <row r="1476" spans="1:34" x14ac:dyDescent="0.25">
      <c r="A1476" t="s">
        <v>13968</v>
      </c>
      <c r="B1476" t="s">
        <v>12275</v>
      </c>
      <c r="C1476" t="s">
        <v>12276</v>
      </c>
      <c r="D1476" t="s">
        <v>13969</v>
      </c>
      <c r="E1476" t="s">
        <v>13970</v>
      </c>
      <c r="F1476" t="s">
        <v>13971</v>
      </c>
      <c r="G1476" t="s">
        <v>15979</v>
      </c>
      <c r="H1476" t="s">
        <v>15980</v>
      </c>
      <c r="I1476" t="s">
        <v>17254</v>
      </c>
      <c r="J1476" t="s">
        <v>23</v>
      </c>
      <c r="L1476" t="s">
        <v>12292</v>
      </c>
      <c r="M1476" t="s">
        <v>13972</v>
      </c>
      <c r="N1476" t="s">
        <v>12313</v>
      </c>
      <c r="O1476" t="s">
        <v>12314</v>
      </c>
      <c r="P1476" t="s">
        <v>12315</v>
      </c>
      <c r="Q1476" t="s">
        <v>13973</v>
      </c>
      <c r="R1476" t="s">
        <v>12314</v>
      </c>
      <c r="S1476" t="s">
        <v>12315</v>
      </c>
      <c r="T1476" t="s">
        <v>12317</v>
      </c>
      <c r="U1476" s="5">
        <v>274.68</v>
      </c>
      <c r="V1476" s="5">
        <v>1.42</v>
      </c>
      <c r="W1476" s="5">
        <v>15.949006000000001</v>
      </c>
      <c r="X1476" s="5">
        <v>108.254912</v>
      </c>
      <c r="Y1476" s="5">
        <v>273.26</v>
      </c>
      <c r="Z1476" s="5">
        <v>15.949006000000001</v>
      </c>
      <c r="AA1476" s="5">
        <v>108.254912</v>
      </c>
      <c r="AB1476" s="7">
        <f t="shared" si="139"/>
        <v>2.1299999999999999E-3</v>
      </c>
      <c r="AC1476" s="7">
        <f t="shared" si="140"/>
        <v>0.40988999999999998</v>
      </c>
      <c r="AD1476" s="6" t="str">
        <f t="shared" si="141"/>
        <v>Điện Bàn Đông</v>
      </c>
      <c r="AE1476" s="6" t="str">
        <f t="shared" si="142"/>
        <v>Hội An Tây</v>
      </c>
      <c r="AG1476">
        <f t="shared" si="143"/>
        <v>1.4199999999999998E-3</v>
      </c>
      <c r="AH1476">
        <f t="shared" si="144"/>
        <v>0.27326</v>
      </c>
    </row>
    <row r="1477" spans="1:34" x14ac:dyDescent="0.25">
      <c r="A1477" t="s">
        <v>13974</v>
      </c>
      <c r="B1477" t="s">
        <v>13175</v>
      </c>
      <c r="C1477" t="s">
        <v>13176</v>
      </c>
      <c r="D1477" t="s">
        <v>13151</v>
      </c>
      <c r="E1477" t="s">
        <v>13152</v>
      </c>
      <c r="F1477" t="s">
        <v>13177</v>
      </c>
      <c r="H1477" t="s">
        <v>15980</v>
      </c>
      <c r="I1477" t="s">
        <v>17159</v>
      </c>
      <c r="J1477" t="s">
        <v>23</v>
      </c>
      <c r="L1477" t="s">
        <v>13178</v>
      </c>
      <c r="M1477" t="s">
        <v>13179</v>
      </c>
      <c r="N1477" t="s">
        <v>13183</v>
      </c>
      <c r="O1477" t="s">
        <v>13184</v>
      </c>
      <c r="P1477" t="s">
        <v>13185</v>
      </c>
      <c r="Q1477" t="s">
        <v>13180</v>
      </c>
      <c r="R1477" t="s">
        <v>13181</v>
      </c>
      <c r="S1477" t="s">
        <v>13182</v>
      </c>
      <c r="T1477" t="s">
        <v>13186</v>
      </c>
      <c r="U1477" s="5">
        <v>312.47000000000003</v>
      </c>
      <c r="V1477" s="5">
        <v>18.02</v>
      </c>
      <c r="W1477" s="5">
        <v>15.919997</v>
      </c>
      <c r="X1477" s="5">
        <v>108.221555</v>
      </c>
      <c r="Y1477" s="5">
        <v>294.45</v>
      </c>
      <c r="Z1477" s="5">
        <v>15.889352000000001</v>
      </c>
      <c r="AA1477" s="5">
        <v>108.256027</v>
      </c>
      <c r="AB1477" s="7">
        <f t="shared" si="139"/>
        <v>2.7030000000000002E-2</v>
      </c>
      <c r="AC1477" s="7">
        <f t="shared" si="140"/>
        <v>0.44167499999999993</v>
      </c>
      <c r="AD1477" s="6" t="str">
        <f t="shared" si="141"/>
        <v>TTCMKV Điện Bàn</v>
      </c>
      <c r="AE1477" s="6" t="str">
        <f t="shared" si="142"/>
        <v>An Thắng</v>
      </c>
      <c r="AG1477">
        <f t="shared" si="143"/>
        <v>1.8020000000000001E-2</v>
      </c>
      <c r="AH1477">
        <f t="shared" si="144"/>
        <v>0.29444999999999999</v>
      </c>
    </row>
    <row r="1478" spans="1:34" x14ac:dyDescent="0.25">
      <c r="A1478" t="s">
        <v>13975</v>
      </c>
      <c r="B1478" t="s">
        <v>13175</v>
      </c>
      <c r="C1478" t="s">
        <v>13176</v>
      </c>
      <c r="D1478" t="s">
        <v>13976</v>
      </c>
      <c r="E1478" t="s">
        <v>13977</v>
      </c>
      <c r="F1478" t="s">
        <v>13978</v>
      </c>
      <c r="G1478" t="s">
        <v>15979</v>
      </c>
      <c r="H1478" t="s">
        <v>15980</v>
      </c>
      <c r="I1478" t="s">
        <v>17255</v>
      </c>
      <c r="J1478" t="s">
        <v>23</v>
      </c>
      <c r="L1478" t="s">
        <v>12336</v>
      </c>
      <c r="M1478" t="s">
        <v>13979</v>
      </c>
      <c r="N1478" t="s">
        <v>13980</v>
      </c>
      <c r="O1478" t="s">
        <v>13981</v>
      </c>
      <c r="P1478" t="s">
        <v>13982</v>
      </c>
      <c r="Q1478" t="s">
        <v>13983</v>
      </c>
      <c r="R1478" t="s">
        <v>13984</v>
      </c>
      <c r="S1478" t="s">
        <v>13985</v>
      </c>
      <c r="T1478" t="s">
        <v>13986</v>
      </c>
      <c r="U1478" s="5">
        <v>2005.71</v>
      </c>
      <c r="V1478" s="5">
        <v>1342.73</v>
      </c>
      <c r="W1478" s="5">
        <v>15.932121</v>
      </c>
      <c r="X1478" s="5">
        <v>108.22315</v>
      </c>
      <c r="Y1478" s="5">
        <v>662.98</v>
      </c>
      <c r="Z1478" s="5">
        <v>15.933014</v>
      </c>
      <c r="AA1478" s="5">
        <v>108.208342</v>
      </c>
      <c r="AB1478" s="7">
        <f t="shared" si="139"/>
        <v>2.0140950000000002</v>
      </c>
      <c r="AC1478" s="7">
        <f t="shared" si="140"/>
        <v>0.99447000000000008</v>
      </c>
      <c r="AD1478" s="6" t="str">
        <f t="shared" si="141"/>
        <v>Điện Bàn Bắc</v>
      </c>
      <c r="AE1478" s="6" t="str">
        <f t="shared" si="142"/>
        <v>TTCMKV Hội An</v>
      </c>
      <c r="AG1478">
        <f t="shared" si="143"/>
        <v>1.34273</v>
      </c>
      <c r="AH1478">
        <f t="shared" si="144"/>
        <v>0.66298000000000001</v>
      </c>
    </row>
    <row r="1479" spans="1:34" x14ac:dyDescent="0.25">
      <c r="A1479" t="s">
        <v>13987</v>
      </c>
      <c r="B1479" t="s">
        <v>13988</v>
      </c>
      <c r="C1479" t="s">
        <v>13780</v>
      </c>
      <c r="D1479" t="s">
        <v>13162</v>
      </c>
      <c r="E1479" t="s">
        <v>13163</v>
      </c>
      <c r="F1479" t="s">
        <v>13989</v>
      </c>
      <c r="G1479" t="s">
        <v>15979</v>
      </c>
      <c r="H1479" t="s">
        <v>15980</v>
      </c>
      <c r="I1479" t="s">
        <v>17256</v>
      </c>
      <c r="J1479" t="s">
        <v>23</v>
      </c>
      <c r="L1479" t="s">
        <v>13990</v>
      </c>
      <c r="M1479" t="s">
        <v>13991</v>
      </c>
      <c r="N1479" t="s">
        <v>13992</v>
      </c>
      <c r="O1479" t="s">
        <v>13993</v>
      </c>
      <c r="P1479" t="s">
        <v>13994</v>
      </c>
      <c r="Q1479" t="s">
        <v>13995</v>
      </c>
      <c r="R1479" t="s">
        <v>13996</v>
      </c>
      <c r="S1479" t="s">
        <v>13997</v>
      </c>
      <c r="T1479" t="s">
        <v>13998</v>
      </c>
      <c r="U1479" s="5">
        <v>3162.64</v>
      </c>
      <c r="V1479" s="5">
        <v>40.380000000000003</v>
      </c>
      <c r="W1479" s="5">
        <v>15.923458999999999</v>
      </c>
      <c r="X1479" s="5">
        <v>108.157512</v>
      </c>
      <c r="Y1479" s="5">
        <v>3122.25</v>
      </c>
      <c r="Z1479" s="5">
        <v>15.909742</v>
      </c>
      <c r="AA1479" s="5">
        <v>108.16077</v>
      </c>
      <c r="AB1479" s="7">
        <f t="shared" si="139"/>
        <v>6.0570000000000006E-2</v>
      </c>
      <c r="AC1479" s="7">
        <f t="shared" si="140"/>
        <v>4.6833749999999998</v>
      </c>
      <c r="AD1479" s="6" t="str">
        <f t="shared" si="141"/>
        <v>Điện Bàn Tây</v>
      </c>
      <c r="AE1479" s="6" t="str">
        <f t="shared" si="142"/>
        <v>Điện Bàn Bắc</v>
      </c>
      <c r="AG1479">
        <f t="shared" si="143"/>
        <v>4.0379999999999999E-2</v>
      </c>
      <c r="AH1479">
        <f t="shared" si="144"/>
        <v>3.1222500000000002</v>
      </c>
    </row>
    <row r="1480" spans="1:34" x14ac:dyDescent="0.25">
      <c r="A1480" t="s">
        <v>13999</v>
      </c>
      <c r="B1480" t="s">
        <v>13988</v>
      </c>
      <c r="C1480" t="s">
        <v>13780</v>
      </c>
      <c r="D1480" t="s">
        <v>14000</v>
      </c>
      <c r="E1480" t="s">
        <v>14001</v>
      </c>
      <c r="F1480" t="s">
        <v>14002</v>
      </c>
      <c r="G1480" t="s">
        <v>15979</v>
      </c>
      <c r="H1480" t="s">
        <v>15980</v>
      </c>
      <c r="I1480" t="s">
        <v>17257</v>
      </c>
      <c r="J1480" t="s">
        <v>23</v>
      </c>
      <c r="L1480" t="s">
        <v>13990</v>
      </c>
      <c r="M1480" t="s">
        <v>14003</v>
      </c>
      <c r="N1480" t="s">
        <v>13992</v>
      </c>
      <c r="O1480" t="s">
        <v>13993</v>
      </c>
      <c r="P1480" t="s">
        <v>13994</v>
      </c>
      <c r="Q1480" t="s">
        <v>14004</v>
      </c>
      <c r="R1480" t="s">
        <v>14005</v>
      </c>
      <c r="S1480" t="s">
        <v>14006</v>
      </c>
      <c r="T1480" t="s">
        <v>13998</v>
      </c>
      <c r="U1480" s="5">
        <v>2587.9299999999998</v>
      </c>
      <c r="V1480" s="5">
        <v>40.380000000000003</v>
      </c>
      <c r="W1480" s="5">
        <v>15.923458999999999</v>
      </c>
      <c r="X1480" s="5">
        <v>108.157512</v>
      </c>
      <c r="Y1480" s="5">
        <v>2547.5500000000002</v>
      </c>
      <c r="Z1480" s="5">
        <v>15.921165</v>
      </c>
      <c r="AA1480" s="5">
        <v>108.156412</v>
      </c>
      <c r="AB1480" s="7">
        <f t="shared" si="139"/>
        <v>6.0570000000000006E-2</v>
      </c>
      <c r="AC1480" s="7">
        <f t="shared" si="140"/>
        <v>3.8213250000000003</v>
      </c>
      <c r="AD1480" s="6" t="str">
        <f t="shared" si="141"/>
        <v>Điện Bàn Tây</v>
      </c>
      <c r="AE1480" s="6" t="str">
        <f t="shared" si="142"/>
        <v>Điện Bàn Bắc</v>
      </c>
      <c r="AG1480">
        <f t="shared" si="143"/>
        <v>4.0379999999999999E-2</v>
      </c>
      <c r="AH1480">
        <f t="shared" si="144"/>
        <v>2.5475500000000002</v>
      </c>
    </row>
    <row r="1481" spans="1:34" x14ac:dyDescent="0.25">
      <c r="A1481" t="s">
        <v>14007</v>
      </c>
      <c r="B1481" t="s">
        <v>13988</v>
      </c>
      <c r="C1481" t="s">
        <v>13780</v>
      </c>
      <c r="D1481" t="s">
        <v>14008</v>
      </c>
      <c r="E1481" t="s">
        <v>14009</v>
      </c>
      <c r="F1481" t="s">
        <v>14010</v>
      </c>
      <c r="G1481" t="s">
        <v>15979</v>
      </c>
      <c r="H1481" t="s">
        <v>15980</v>
      </c>
      <c r="I1481" t="s">
        <v>17258</v>
      </c>
      <c r="J1481" t="s">
        <v>23</v>
      </c>
      <c r="L1481" t="s">
        <v>13990</v>
      </c>
      <c r="M1481" t="s">
        <v>14011</v>
      </c>
      <c r="N1481" t="s">
        <v>13992</v>
      </c>
      <c r="O1481" t="s">
        <v>13993</v>
      </c>
      <c r="P1481" t="s">
        <v>13994</v>
      </c>
      <c r="Q1481" t="s">
        <v>14012</v>
      </c>
      <c r="R1481" t="s">
        <v>14005</v>
      </c>
      <c r="S1481" t="s">
        <v>14006</v>
      </c>
      <c r="T1481" t="s">
        <v>13998</v>
      </c>
      <c r="U1481" s="5">
        <v>87.58</v>
      </c>
      <c r="V1481" s="5">
        <v>40.380000000000003</v>
      </c>
      <c r="W1481" s="5">
        <v>15.923458999999999</v>
      </c>
      <c r="X1481" s="5">
        <v>108.157512</v>
      </c>
      <c r="Y1481" s="5">
        <v>47.2</v>
      </c>
      <c r="Z1481" s="5">
        <v>15.921165</v>
      </c>
      <c r="AA1481" s="5">
        <v>108.156412</v>
      </c>
      <c r="AB1481" s="7">
        <f t="shared" si="139"/>
        <v>6.0570000000000006E-2</v>
      </c>
      <c r="AC1481" s="7">
        <f t="shared" si="140"/>
        <v>7.0800000000000016E-2</v>
      </c>
      <c r="AD1481" s="6" t="str">
        <f t="shared" si="141"/>
        <v>Điện Bàn Tây</v>
      </c>
      <c r="AE1481" s="6" t="str">
        <f t="shared" si="142"/>
        <v>Điện Bàn Bắc</v>
      </c>
      <c r="AG1481">
        <f t="shared" si="143"/>
        <v>4.0379999999999999E-2</v>
      </c>
      <c r="AH1481">
        <f t="shared" si="144"/>
        <v>4.7200000000000006E-2</v>
      </c>
    </row>
    <row r="1482" spans="1:34" x14ac:dyDescent="0.25">
      <c r="A1482" t="s">
        <v>14013</v>
      </c>
      <c r="B1482" t="s">
        <v>14014</v>
      </c>
      <c r="C1482" t="s">
        <v>14015</v>
      </c>
      <c r="D1482" t="s">
        <v>14016</v>
      </c>
      <c r="E1482" t="s">
        <v>14017</v>
      </c>
      <c r="F1482" t="s">
        <v>14018</v>
      </c>
      <c r="G1482" t="s">
        <v>15979</v>
      </c>
      <c r="H1482" t="s">
        <v>15980</v>
      </c>
      <c r="I1482" t="s">
        <v>17259</v>
      </c>
      <c r="J1482" t="s">
        <v>23</v>
      </c>
      <c r="L1482" t="s">
        <v>13258</v>
      </c>
      <c r="M1482" t="s">
        <v>14019</v>
      </c>
      <c r="N1482" t="s">
        <v>14020</v>
      </c>
      <c r="O1482" t="s">
        <v>14021</v>
      </c>
      <c r="P1482" t="s">
        <v>14022</v>
      </c>
      <c r="Q1482" t="s">
        <v>14023</v>
      </c>
      <c r="R1482" t="s">
        <v>14024</v>
      </c>
      <c r="S1482" t="s">
        <v>14025</v>
      </c>
      <c r="T1482" t="s">
        <v>13266</v>
      </c>
      <c r="U1482" s="5">
        <v>863.95</v>
      </c>
      <c r="V1482" s="5">
        <v>556.94000000000005</v>
      </c>
      <c r="W1482" s="5">
        <v>15.846783</v>
      </c>
      <c r="X1482" s="5">
        <v>108.09189600000001</v>
      </c>
      <c r="Y1482" s="5">
        <v>307.02</v>
      </c>
      <c r="Z1482" s="5">
        <v>15.851334</v>
      </c>
      <c r="AA1482" s="5">
        <v>107.94514100000001</v>
      </c>
      <c r="AB1482" s="7">
        <f t="shared" si="139"/>
        <v>0.8354100000000001</v>
      </c>
      <c r="AC1482" s="7">
        <f t="shared" si="140"/>
        <v>0.46052999999999999</v>
      </c>
      <c r="AD1482" s="6" t="str">
        <f t="shared" si="141"/>
        <v>Trại giam An Điềm (C10)</v>
      </c>
      <c r="AE1482" s="6" t="str">
        <f t="shared" si="142"/>
        <v>Duy Xuyên</v>
      </c>
      <c r="AG1482">
        <f t="shared" si="143"/>
        <v>0.5569400000000001</v>
      </c>
      <c r="AH1482">
        <f t="shared" si="144"/>
        <v>0.30701999999999996</v>
      </c>
    </row>
    <row r="1483" spans="1:34" x14ac:dyDescent="0.25">
      <c r="A1483" t="s">
        <v>14026</v>
      </c>
      <c r="B1483" t="s">
        <v>14014</v>
      </c>
      <c r="C1483" t="s">
        <v>14015</v>
      </c>
      <c r="D1483" t="s">
        <v>13376</v>
      </c>
      <c r="E1483" t="s">
        <v>13377</v>
      </c>
      <c r="F1483" t="s">
        <v>14027</v>
      </c>
      <c r="G1483" t="s">
        <v>15979</v>
      </c>
      <c r="H1483" t="s">
        <v>15980</v>
      </c>
      <c r="I1483" t="s">
        <v>17260</v>
      </c>
      <c r="J1483" t="s">
        <v>23</v>
      </c>
      <c r="L1483" t="s">
        <v>13258</v>
      </c>
      <c r="M1483" t="s">
        <v>14028</v>
      </c>
      <c r="N1483" t="s">
        <v>14020</v>
      </c>
      <c r="O1483" t="s">
        <v>14021</v>
      </c>
      <c r="P1483" t="s">
        <v>14022</v>
      </c>
      <c r="Q1483" t="s">
        <v>13380</v>
      </c>
      <c r="R1483" t="s">
        <v>13381</v>
      </c>
      <c r="S1483" t="s">
        <v>13382</v>
      </c>
      <c r="T1483" t="s">
        <v>13266</v>
      </c>
      <c r="U1483" s="5">
        <v>1264.6500000000001</v>
      </c>
      <c r="V1483" s="5">
        <v>556.94000000000005</v>
      </c>
      <c r="W1483" s="5">
        <v>15.846783</v>
      </c>
      <c r="X1483" s="5">
        <v>108.09189600000001</v>
      </c>
      <c r="Y1483" s="5">
        <v>707.71</v>
      </c>
      <c r="Z1483" s="5">
        <v>15.829067999999999</v>
      </c>
      <c r="AA1483" s="5">
        <v>108.202787</v>
      </c>
      <c r="AB1483" s="7">
        <f t="shared" si="139"/>
        <v>0.8354100000000001</v>
      </c>
      <c r="AC1483" s="7">
        <f t="shared" si="140"/>
        <v>1.0615650000000001</v>
      </c>
      <c r="AD1483" s="6" t="str">
        <f t="shared" si="141"/>
        <v>Trại giam An Điềm (C10)</v>
      </c>
      <c r="AE1483" s="6" t="str">
        <f t="shared" si="142"/>
        <v>Duy Xuyên</v>
      </c>
      <c r="AG1483">
        <f t="shared" si="143"/>
        <v>0.5569400000000001</v>
      </c>
      <c r="AH1483">
        <f t="shared" si="144"/>
        <v>0.70771000000000006</v>
      </c>
    </row>
    <row r="1484" spans="1:34" x14ac:dyDescent="0.25">
      <c r="A1484" t="s">
        <v>14029</v>
      </c>
      <c r="B1484" t="s">
        <v>14014</v>
      </c>
      <c r="C1484" t="s">
        <v>14015</v>
      </c>
      <c r="D1484" t="s">
        <v>14030</v>
      </c>
      <c r="E1484" t="s">
        <v>14031</v>
      </c>
      <c r="F1484" t="s">
        <v>14032</v>
      </c>
      <c r="G1484" t="s">
        <v>15979</v>
      </c>
      <c r="H1484" t="s">
        <v>15980</v>
      </c>
      <c r="I1484" t="s">
        <v>17261</v>
      </c>
      <c r="J1484" t="s">
        <v>23</v>
      </c>
      <c r="L1484" t="s">
        <v>14033</v>
      </c>
      <c r="M1484" t="s">
        <v>14034</v>
      </c>
      <c r="N1484" t="s">
        <v>14035</v>
      </c>
      <c r="O1484" t="s">
        <v>14036</v>
      </c>
      <c r="P1484" t="s">
        <v>14037</v>
      </c>
      <c r="Q1484" t="s">
        <v>14038</v>
      </c>
      <c r="R1484" t="s">
        <v>14039</v>
      </c>
      <c r="S1484" t="s">
        <v>14040</v>
      </c>
      <c r="T1484" t="s">
        <v>14041</v>
      </c>
      <c r="U1484" s="5">
        <v>1160.95</v>
      </c>
      <c r="V1484" s="5">
        <v>54.34</v>
      </c>
      <c r="W1484" s="5">
        <v>15.846954</v>
      </c>
      <c r="X1484" s="5">
        <v>108.086629</v>
      </c>
      <c r="Y1484" s="5">
        <v>1106.6099999999999</v>
      </c>
      <c r="Z1484" s="5">
        <v>15.846133999999999</v>
      </c>
      <c r="AA1484" s="5">
        <v>108.106295</v>
      </c>
      <c r="AB1484" s="7">
        <f t="shared" si="139"/>
        <v>8.1509999999999999E-2</v>
      </c>
      <c r="AC1484" s="7">
        <f t="shared" si="140"/>
        <v>1.659915</v>
      </c>
      <c r="AD1484" s="6" t="str">
        <f t="shared" si="141"/>
        <v>TTCMKV Đại Lộc</v>
      </c>
      <c r="AE1484" s="6" t="str">
        <f t="shared" si="142"/>
        <v>Vu Gia</v>
      </c>
      <c r="AG1484">
        <f t="shared" si="143"/>
        <v>5.4340000000000006E-2</v>
      </c>
      <c r="AH1484">
        <f t="shared" si="144"/>
        <v>1.1066099999999999</v>
      </c>
    </row>
    <row r="1485" spans="1:34" x14ac:dyDescent="0.25">
      <c r="A1485" t="s">
        <v>14042</v>
      </c>
      <c r="B1485" t="s">
        <v>14014</v>
      </c>
      <c r="C1485" t="s">
        <v>14015</v>
      </c>
      <c r="D1485" t="s">
        <v>14043</v>
      </c>
      <c r="E1485" t="s">
        <v>14044</v>
      </c>
      <c r="F1485" t="s">
        <v>14045</v>
      </c>
      <c r="G1485" t="s">
        <v>15979</v>
      </c>
      <c r="H1485" t="s">
        <v>15980</v>
      </c>
      <c r="I1485" t="s">
        <v>17262</v>
      </c>
      <c r="J1485" t="s">
        <v>23</v>
      </c>
      <c r="L1485" t="s">
        <v>13385</v>
      </c>
      <c r="M1485" t="s">
        <v>14046</v>
      </c>
      <c r="N1485" t="s">
        <v>14047</v>
      </c>
      <c r="O1485" t="s">
        <v>14048</v>
      </c>
      <c r="P1485" t="s">
        <v>14049</v>
      </c>
      <c r="Q1485" t="s">
        <v>14050</v>
      </c>
      <c r="R1485" t="s">
        <v>14051</v>
      </c>
      <c r="S1485" t="s">
        <v>14052</v>
      </c>
      <c r="T1485" t="s">
        <v>14053</v>
      </c>
      <c r="U1485" s="5">
        <v>1245.0899999999999</v>
      </c>
      <c r="V1485" s="5">
        <v>1026.3699999999999</v>
      </c>
      <c r="W1485" s="5">
        <v>15.837248000000001</v>
      </c>
      <c r="X1485" s="5">
        <v>108.086302</v>
      </c>
      <c r="Y1485" s="5">
        <v>218.72</v>
      </c>
      <c r="Z1485" s="5">
        <v>15.830484999999999</v>
      </c>
      <c r="AA1485" s="5">
        <v>108.084808</v>
      </c>
      <c r="AB1485" s="7">
        <f t="shared" si="139"/>
        <v>1.5395549999999998</v>
      </c>
      <c r="AC1485" s="7">
        <f t="shared" si="140"/>
        <v>0.32807999999999998</v>
      </c>
      <c r="AD1485" s="6" t="str">
        <f t="shared" si="141"/>
        <v>Phú Thuận</v>
      </c>
      <c r="AE1485" s="6" t="str">
        <f t="shared" si="142"/>
        <v>Duy Xuyên</v>
      </c>
      <c r="AG1485">
        <f t="shared" si="143"/>
        <v>1.0263699999999998</v>
      </c>
      <c r="AH1485">
        <f t="shared" si="144"/>
        <v>0.21872</v>
      </c>
    </row>
    <row r="1486" spans="1:34" x14ac:dyDescent="0.25">
      <c r="A1486" t="s">
        <v>14054</v>
      </c>
      <c r="B1486" t="s">
        <v>14014</v>
      </c>
      <c r="C1486" t="s">
        <v>14015</v>
      </c>
      <c r="D1486" t="s">
        <v>14055</v>
      </c>
      <c r="E1486" t="s">
        <v>14056</v>
      </c>
      <c r="F1486" t="s">
        <v>14057</v>
      </c>
      <c r="G1486" t="s">
        <v>15979</v>
      </c>
      <c r="H1486" t="s">
        <v>15980</v>
      </c>
      <c r="I1486" t="s">
        <v>17263</v>
      </c>
      <c r="J1486" t="s">
        <v>23</v>
      </c>
      <c r="L1486" t="s">
        <v>13258</v>
      </c>
      <c r="M1486" t="s">
        <v>14058</v>
      </c>
      <c r="N1486" t="s">
        <v>14020</v>
      </c>
      <c r="O1486" t="s">
        <v>14021</v>
      </c>
      <c r="P1486" t="s">
        <v>14022</v>
      </c>
      <c r="Q1486" t="s">
        <v>14059</v>
      </c>
      <c r="R1486" t="s">
        <v>14060</v>
      </c>
      <c r="S1486" t="s">
        <v>14061</v>
      </c>
      <c r="T1486" t="s">
        <v>13266</v>
      </c>
      <c r="U1486" s="5">
        <v>751.85</v>
      </c>
      <c r="V1486" s="5">
        <v>556.94000000000005</v>
      </c>
      <c r="W1486" s="5">
        <v>15.846783</v>
      </c>
      <c r="X1486" s="5">
        <v>108.09189600000001</v>
      </c>
      <c r="Y1486" s="5">
        <v>194.91</v>
      </c>
      <c r="Z1486" s="5">
        <v>15.857137</v>
      </c>
      <c r="AA1486" s="5">
        <v>108.083394</v>
      </c>
      <c r="AB1486" s="7">
        <f t="shared" si="139"/>
        <v>0.8354100000000001</v>
      </c>
      <c r="AC1486" s="7">
        <f t="shared" si="140"/>
        <v>0.29236499999999999</v>
      </c>
      <c r="AD1486" s="6" t="str">
        <f t="shared" si="141"/>
        <v>Trại giam An Điềm (C10)</v>
      </c>
      <c r="AE1486" s="6" t="str">
        <f t="shared" si="142"/>
        <v>Duy Xuyên</v>
      </c>
      <c r="AG1486">
        <f t="shared" si="143"/>
        <v>0.5569400000000001</v>
      </c>
      <c r="AH1486">
        <f t="shared" si="144"/>
        <v>0.19491</v>
      </c>
    </row>
    <row r="1487" spans="1:34" x14ac:dyDescent="0.25">
      <c r="A1487" t="s">
        <v>14062</v>
      </c>
      <c r="B1487" t="s">
        <v>12356</v>
      </c>
      <c r="C1487" t="s">
        <v>12357</v>
      </c>
      <c r="D1487" t="s">
        <v>14063</v>
      </c>
      <c r="E1487" t="s">
        <v>14064</v>
      </c>
      <c r="F1487" t="s">
        <v>14065</v>
      </c>
      <c r="G1487" t="s">
        <v>15979</v>
      </c>
      <c r="H1487" t="s">
        <v>15980</v>
      </c>
      <c r="I1487" t="s">
        <v>17264</v>
      </c>
      <c r="J1487" t="s">
        <v>23</v>
      </c>
      <c r="L1487" t="s">
        <v>13258</v>
      </c>
      <c r="M1487" t="s">
        <v>14066</v>
      </c>
      <c r="N1487" t="s">
        <v>14067</v>
      </c>
      <c r="O1487" t="s">
        <v>14068</v>
      </c>
      <c r="P1487" t="s">
        <v>14069</v>
      </c>
      <c r="Q1487" t="s">
        <v>14070</v>
      </c>
      <c r="R1487" t="s">
        <v>14071</v>
      </c>
      <c r="S1487" t="s">
        <v>14072</v>
      </c>
      <c r="T1487" t="s">
        <v>13266</v>
      </c>
      <c r="U1487" s="5">
        <v>1436.57</v>
      </c>
      <c r="V1487" s="5">
        <v>784.84</v>
      </c>
      <c r="W1487" s="5">
        <v>15.837038</v>
      </c>
      <c r="X1487" s="5">
        <v>108.12441</v>
      </c>
      <c r="Y1487" s="5">
        <v>651.74</v>
      </c>
      <c r="Z1487" s="5">
        <v>15.859436000000001</v>
      </c>
      <c r="AA1487" s="5">
        <v>108.002516</v>
      </c>
      <c r="AB1487" s="7">
        <f t="shared" si="139"/>
        <v>1.17726</v>
      </c>
      <c r="AC1487" s="7">
        <f t="shared" si="140"/>
        <v>0.97760999999999998</v>
      </c>
      <c r="AD1487" s="6" t="str">
        <f t="shared" si="141"/>
        <v>Trại giam An Điềm (C10)</v>
      </c>
      <c r="AE1487" s="6" t="str">
        <f t="shared" si="142"/>
        <v>Duy Xuyên</v>
      </c>
      <c r="AG1487">
        <f t="shared" si="143"/>
        <v>0.78483999999999998</v>
      </c>
      <c r="AH1487">
        <f t="shared" si="144"/>
        <v>0.65173999999999999</v>
      </c>
    </row>
    <row r="1488" spans="1:34" x14ac:dyDescent="0.25">
      <c r="A1488" t="s">
        <v>14073</v>
      </c>
      <c r="B1488" t="s">
        <v>12356</v>
      </c>
      <c r="C1488" t="s">
        <v>12357</v>
      </c>
      <c r="D1488" t="s">
        <v>13255</v>
      </c>
      <c r="E1488" t="s">
        <v>13256</v>
      </c>
      <c r="F1488" t="s">
        <v>13384</v>
      </c>
      <c r="H1488" t="s">
        <v>15980</v>
      </c>
      <c r="I1488" t="s">
        <v>17179</v>
      </c>
      <c r="J1488" t="s">
        <v>23</v>
      </c>
      <c r="L1488" t="s">
        <v>13385</v>
      </c>
      <c r="M1488" t="s">
        <v>13386</v>
      </c>
      <c r="N1488" t="s">
        <v>13389</v>
      </c>
      <c r="O1488" t="s">
        <v>13390</v>
      </c>
      <c r="P1488" t="s">
        <v>13391</v>
      </c>
      <c r="Q1488" t="s">
        <v>9875</v>
      </c>
      <c r="R1488" t="s">
        <v>13387</v>
      </c>
      <c r="S1488" t="s">
        <v>13388</v>
      </c>
      <c r="T1488" t="s">
        <v>13392</v>
      </c>
      <c r="U1488" s="5">
        <v>799.31</v>
      </c>
      <c r="V1488" s="5">
        <v>745.6</v>
      </c>
      <c r="W1488" s="5">
        <v>15.836684999999999</v>
      </c>
      <c r="X1488" s="5">
        <v>108.124303</v>
      </c>
      <c r="Y1488" s="5">
        <v>53.71</v>
      </c>
      <c r="Z1488" s="5">
        <v>15.822854</v>
      </c>
      <c r="AA1488" s="5">
        <v>108.24686</v>
      </c>
      <c r="AB1488" s="7">
        <f t="shared" si="139"/>
        <v>1.1184000000000001</v>
      </c>
      <c r="AC1488" s="7">
        <f t="shared" si="140"/>
        <v>8.0564999999999998E-2</v>
      </c>
      <c r="AD1488" s="6" t="str">
        <f t="shared" si="141"/>
        <v>Phú Thuận</v>
      </c>
      <c r="AE1488" s="6" t="str">
        <f t="shared" si="142"/>
        <v>Duy Xuyên</v>
      </c>
      <c r="AG1488">
        <f t="shared" si="143"/>
        <v>0.74560000000000004</v>
      </c>
      <c r="AH1488">
        <f t="shared" si="144"/>
        <v>5.3710000000000001E-2</v>
      </c>
    </row>
    <row r="1489" spans="1:34" x14ac:dyDescent="0.25">
      <c r="A1489" t="s">
        <v>14074</v>
      </c>
      <c r="B1489" t="s">
        <v>14075</v>
      </c>
      <c r="C1489" t="s">
        <v>14076</v>
      </c>
      <c r="D1489" t="s">
        <v>14077</v>
      </c>
      <c r="E1489" t="s">
        <v>14078</v>
      </c>
      <c r="F1489" t="s">
        <v>14079</v>
      </c>
      <c r="G1489" t="s">
        <v>15979</v>
      </c>
      <c r="H1489" t="s">
        <v>15980</v>
      </c>
      <c r="I1489" t="s">
        <v>17265</v>
      </c>
      <c r="J1489" t="s">
        <v>23</v>
      </c>
      <c r="L1489" t="s">
        <v>13359</v>
      </c>
      <c r="M1489" t="s">
        <v>14080</v>
      </c>
      <c r="N1489" t="s">
        <v>14081</v>
      </c>
      <c r="O1489" t="s">
        <v>14082</v>
      </c>
      <c r="P1489" t="s">
        <v>14083</v>
      </c>
      <c r="Q1489" t="s">
        <v>14084</v>
      </c>
      <c r="R1489" t="s">
        <v>13362</v>
      </c>
      <c r="S1489" t="s">
        <v>13363</v>
      </c>
      <c r="T1489" t="s">
        <v>13367</v>
      </c>
      <c r="U1489" s="5">
        <v>664.09</v>
      </c>
      <c r="V1489" s="5">
        <v>207.58</v>
      </c>
      <c r="W1489" s="5">
        <v>15.82856</v>
      </c>
      <c r="X1489" s="5">
        <v>108.271935</v>
      </c>
      <c r="Y1489" s="5">
        <v>456.51</v>
      </c>
      <c r="Z1489" s="5">
        <v>15.822770999999999</v>
      </c>
      <c r="AA1489" s="5">
        <v>108.246752</v>
      </c>
      <c r="AB1489" s="7">
        <f t="shared" si="139"/>
        <v>0.31136999999999998</v>
      </c>
      <c r="AC1489" s="7">
        <f t="shared" si="140"/>
        <v>0.68476499999999996</v>
      </c>
      <c r="AD1489" s="6" t="str">
        <f t="shared" si="141"/>
        <v>"Đội CSĐT (X. Duy Nghĩa, Duyên Xuyên)</v>
      </c>
      <c r="AE1489" s="6" t="str">
        <f t="shared" si="142"/>
        <v xml:space="preserve">
TTCMKV Duy Xuyên"</v>
      </c>
      <c r="AG1489">
        <f t="shared" si="143"/>
        <v>0.20758000000000001</v>
      </c>
      <c r="AH1489">
        <f t="shared" si="144"/>
        <v>0.45650999999999997</v>
      </c>
    </row>
    <row r="1490" spans="1:34" x14ac:dyDescent="0.25">
      <c r="A1490" t="s">
        <v>14085</v>
      </c>
      <c r="B1490" t="s">
        <v>14075</v>
      </c>
      <c r="C1490" t="s">
        <v>14076</v>
      </c>
      <c r="D1490" t="s">
        <v>13356</v>
      </c>
      <c r="E1490" t="s">
        <v>13357</v>
      </c>
      <c r="F1490" t="s">
        <v>14086</v>
      </c>
      <c r="G1490" t="s">
        <v>15979</v>
      </c>
      <c r="H1490" t="s">
        <v>15980</v>
      </c>
      <c r="I1490" t="s">
        <v>17266</v>
      </c>
      <c r="J1490" t="s">
        <v>23</v>
      </c>
      <c r="L1490" t="s">
        <v>13359</v>
      </c>
      <c r="M1490" t="s">
        <v>14087</v>
      </c>
      <c r="N1490" t="s">
        <v>14081</v>
      </c>
      <c r="O1490" t="s">
        <v>14082</v>
      </c>
      <c r="P1490" t="s">
        <v>14083</v>
      </c>
      <c r="Q1490" t="s">
        <v>13364</v>
      </c>
      <c r="R1490" t="s">
        <v>13365</v>
      </c>
      <c r="S1490" t="s">
        <v>13366</v>
      </c>
      <c r="T1490" t="s">
        <v>13367</v>
      </c>
      <c r="U1490" s="5">
        <v>1034.3699999999999</v>
      </c>
      <c r="V1490" s="5">
        <v>207.58</v>
      </c>
      <c r="W1490" s="5">
        <v>15.82856</v>
      </c>
      <c r="X1490" s="5">
        <v>108.271935</v>
      </c>
      <c r="Y1490" s="5">
        <v>826.79</v>
      </c>
      <c r="Z1490" s="5">
        <v>15.830394999999999</v>
      </c>
      <c r="AA1490" s="5">
        <v>108.29240799999999</v>
      </c>
      <c r="AB1490" s="7">
        <f t="shared" si="139"/>
        <v>0.31136999999999998</v>
      </c>
      <c r="AC1490" s="7">
        <f t="shared" si="140"/>
        <v>1.2401849999999999</v>
      </c>
      <c r="AD1490" s="6" t="str">
        <f t="shared" si="141"/>
        <v>"Đội CSĐT (X. Duy Nghĩa, Duyên Xuyên)</v>
      </c>
      <c r="AE1490" s="6" t="str">
        <f t="shared" si="142"/>
        <v xml:space="preserve">
TTCMKV Duy Xuyên"</v>
      </c>
      <c r="AG1490">
        <f t="shared" si="143"/>
        <v>0.20758000000000001</v>
      </c>
      <c r="AH1490">
        <f t="shared" si="144"/>
        <v>0.82678999999999991</v>
      </c>
    </row>
    <row r="1491" spans="1:34" x14ac:dyDescent="0.25">
      <c r="A1491" t="s">
        <v>14088</v>
      </c>
      <c r="B1491" t="s">
        <v>14075</v>
      </c>
      <c r="C1491" t="s">
        <v>14076</v>
      </c>
      <c r="D1491" t="s">
        <v>14089</v>
      </c>
      <c r="E1491" t="s">
        <v>14090</v>
      </c>
      <c r="F1491" t="s">
        <v>14091</v>
      </c>
      <c r="G1491" t="s">
        <v>15979</v>
      </c>
      <c r="H1491" t="s">
        <v>15980</v>
      </c>
      <c r="I1491" t="s">
        <v>17267</v>
      </c>
      <c r="J1491" t="s">
        <v>23</v>
      </c>
      <c r="L1491" t="s">
        <v>13359</v>
      </c>
      <c r="M1491" t="s">
        <v>14092</v>
      </c>
      <c r="N1491" t="s">
        <v>14081</v>
      </c>
      <c r="O1491" t="s">
        <v>14082</v>
      </c>
      <c r="P1491" t="s">
        <v>14083</v>
      </c>
      <c r="Q1491" t="s">
        <v>14093</v>
      </c>
      <c r="R1491" t="s">
        <v>14094</v>
      </c>
      <c r="S1491" t="s">
        <v>14095</v>
      </c>
      <c r="T1491" t="s">
        <v>13367</v>
      </c>
      <c r="U1491" s="5">
        <v>1318.25</v>
      </c>
      <c r="V1491" s="5">
        <v>207.58</v>
      </c>
      <c r="W1491" s="5">
        <v>15.82856</v>
      </c>
      <c r="X1491" s="5">
        <v>108.271935</v>
      </c>
      <c r="Y1491" s="5">
        <v>1110.67</v>
      </c>
      <c r="Z1491" s="5">
        <v>15.826947000000001</v>
      </c>
      <c r="AA1491" s="5">
        <v>108.25846300000001</v>
      </c>
      <c r="AB1491" s="7">
        <f t="shared" si="139"/>
        <v>0.31136999999999998</v>
      </c>
      <c r="AC1491" s="7">
        <f t="shared" si="140"/>
        <v>1.6660050000000002</v>
      </c>
      <c r="AD1491" s="6" t="str">
        <f t="shared" si="141"/>
        <v>"Đội CSĐT (X. Duy Nghĩa, Duyên Xuyên)</v>
      </c>
      <c r="AE1491" s="6" t="str">
        <f t="shared" si="142"/>
        <v xml:space="preserve">
TTCMKV Duy Xuyên"</v>
      </c>
      <c r="AG1491">
        <f t="shared" si="143"/>
        <v>0.20758000000000001</v>
      </c>
      <c r="AH1491">
        <f t="shared" si="144"/>
        <v>1.11067</v>
      </c>
    </row>
    <row r="1492" spans="1:34" x14ac:dyDescent="0.25">
      <c r="A1492" t="s">
        <v>14096</v>
      </c>
      <c r="B1492" t="s">
        <v>14075</v>
      </c>
      <c r="C1492" t="s">
        <v>14076</v>
      </c>
      <c r="D1492" t="s">
        <v>14097</v>
      </c>
      <c r="E1492" t="s">
        <v>14098</v>
      </c>
      <c r="F1492" t="s">
        <v>14099</v>
      </c>
      <c r="G1492" t="s">
        <v>15979</v>
      </c>
      <c r="H1492" t="s">
        <v>15980</v>
      </c>
      <c r="I1492" t="s">
        <v>17268</v>
      </c>
      <c r="J1492" t="s">
        <v>23</v>
      </c>
      <c r="L1492" t="s">
        <v>13359</v>
      </c>
      <c r="M1492" t="s">
        <v>14100</v>
      </c>
      <c r="N1492" t="s">
        <v>14081</v>
      </c>
      <c r="O1492" t="s">
        <v>14082</v>
      </c>
      <c r="P1492" t="s">
        <v>14083</v>
      </c>
      <c r="Q1492" t="s">
        <v>14101</v>
      </c>
      <c r="R1492" t="s">
        <v>14102</v>
      </c>
      <c r="S1492" t="s">
        <v>14103</v>
      </c>
      <c r="T1492" t="s">
        <v>13367</v>
      </c>
      <c r="U1492" s="5">
        <v>802.75</v>
      </c>
      <c r="V1492" s="5">
        <v>207.58</v>
      </c>
      <c r="W1492" s="5">
        <v>15.82856</v>
      </c>
      <c r="X1492" s="5">
        <v>108.271935</v>
      </c>
      <c r="Y1492" s="5">
        <v>595.16999999999996</v>
      </c>
      <c r="Z1492" s="5">
        <v>15.823722999999999</v>
      </c>
      <c r="AA1492" s="5">
        <v>108.255015</v>
      </c>
      <c r="AB1492" s="7">
        <f t="shared" si="139"/>
        <v>0.31136999999999998</v>
      </c>
      <c r="AC1492" s="7">
        <f t="shared" si="140"/>
        <v>0.89275499999999985</v>
      </c>
      <c r="AD1492" s="6" t="str">
        <f t="shared" si="141"/>
        <v>"Đội CSĐT (X. Duy Nghĩa, Duyên Xuyên)</v>
      </c>
      <c r="AE1492" s="6" t="str">
        <f t="shared" si="142"/>
        <v xml:space="preserve">
TTCMKV Duy Xuyên"</v>
      </c>
      <c r="AG1492">
        <f t="shared" si="143"/>
        <v>0.20758000000000001</v>
      </c>
      <c r="AH1492">
        <f t="shared" si="144"/>
        <v>0.59516999999999998</v>
      </c>
    </row>
    <row r="1493" spans="1:34" x14ac:dyDescent="0.25">
      <c r="A1493" t="s">
        <v>14104</v>
      </c>
      <c r="B1493" t="s">
        <v>12371</v>
      </c>
      <c r="C1493" t="s">
        <v>12372</v>
      </c>
      <c r="D1493" t="e">
        <v>#N/A</v>
      </c>
      <c r="E1493" t="e">
        <v>#N/A</v>
      </c>
      <c r="F1493" t="s">
        <v>14105</v>
      </c>
      <c r="G1493" t="s">
        <v>15979</v>
      </c>
      <c r="H1493" t="s">
        <v>15980</v>
      </c>
      <c r="I1493" t="s">
        <v>17269</v>
      </c>
      <c r="J1493" t="s">
        <v>5239</v>
      </c>
      <c r="K1493" t="s">
        <v>11979</v>
      </c>
      <c r="AB1493" s="7">
        <f t="shared" si="139"/>
        <v>0</v>
      </c>
      <c r="AC1493" s="7">
        <f t="shared" si="140"/>
        <v>0</v>
      </c>
      <c r="AD1493" s="6" t="e">
        <f t="shared" si="141"/>
        <v>#VALUE!</v>
      </c>
      <c r="AE1493" s="6" t="e">
        <f t="shared" si="142"/>
        <v>#VALUE!</v>
      </c>
      <c r="AG1493">
        <f t="shared" si="143"/>
        <v>0</v>
      </c>
      <c r="AH1493">
        <f t="shared" si="144"/>
        <v>0</v>
      </c>
    </row>
    <row r="1494" spans="1:34" x14ac:dyDescent="0.25">
      <c r="A1494" t="s">
        <v>14106</v>
      </c>
      <c r="B1494" t="s">
        <v>14107</v>
      </c>
      <c r="C1494" t="s">
        <v>14108</v>
      </c>
      <c r="D1494" t="s">
        <v>14109</v>
      </c>
      <c r="E1494" t="s">
        <v>14110</v>
      </c>
      <c r="F1494" t="s">
        <v>14111</v>
      </c>
      <c r="G1494" t="s">
        <v>15979</v>
      </c>
      <c r="H1494" t="s">
        <v>15980</v>
      </c>
      <c r="I1494" t="s">
        <v>17270</v>
      </c>
      <c r="J1494" t="s">
        <v>23</v>
      </c>
      <c r="L1494" t="s">
        <v>11656</v>
      </c>
      <c r="M1494" t="s">
        <v>14112</v>
      </c>
      <c r="N1494" t="s">
        <v>14113</v>
      </c>
      <c r="O1494" t="s">
        <v>14114</v>
      </c>
      <c r="P1494" t="s">
        <v>14115</v>
      </c>
      <c r="Q1494" t="s">
        <v>14116</v>
      </c>
      <c r="R1494" t="s">
        <v>14117</v>
      </c>
      <c r="S1494" t="s">
        <v>14118</v>
      </c>
      <c r="T1494" t="s">
        <v>14119</v>
      </c>
      <c r="U1494" s="5">
        <v>1071.17</v>
      </c>
      <c r="V1494" s="5">
        <v>13.48</v>
      </c>
      <c r="W1494" s="5">
        <v>15.545696</v>
      </c>
      <c r="X1494" s="5">
        <v>108.521484</v>
      </c>
      <c r="Y1494" s="5">
        <v>1057.68</v>
      </c>
      <c r="Z1494" s="5">
        <v>15.55298</v>
      </c>
      <c r="AA1494" s="5">
        <v>108.50616100000001</v>
      </c>
      <c r="AB1494" s="7">
        <f t="shared" si="139"/>
        <v>2.0219999999999998E-2</v>
      </c>
      <c r="AC1494" s="7">
        <f t="shared" si="140"/>
        <v>1.5865199999999999</v>
      </c>
      <c r="AD1494" s="6" t="str">
        <f t="shared" si="141"/>
        <v>TT2 Tam Kỳ</v>
      </c>
      <c r="AE1494" s="6" t="str">
        <f t="shared" si="142"/>
        <v>Tam Xuân</v>
      </c>
      <c r="AG1494">
        <f t="shared" si="143"/>
        <v>1.3480000000000001E-2</v>
      </c>
      <c r="AH1494">
        <f t="shared" si="144"/>
        <v>1.05768</v>
      </c>
    </row>
    <row r="1495" spans="1:34" x14ac:dyDescent="0.25">
      <c r="A1495" t="s">
        <v>14120</v>
      </c>
      <c r="B1495" t="s">
        <v>14107</v>
      </c>
      <c r="C1495" t="s">
        <v>14108</v>
      </c>
      <c r="D1495" t="s">
        <v>14121</v>
      </c>
      <c r="E1495" t="s">
        <v>14122</v>
      </c>
      <c r="F1495" t="s">
        <v>14123</v>
      </c>
      <c r="G1495" t="s">
        <v>15979</v>
      </c>
      <c r="H1495" t="s">
        <v>15980</v>
      </c>
      <c r="I1495" t="s">
        <v>17271</v>
      </c>
      <c r="J1495" t="s">
        <v>23</v>
      </c>
      <c r="L1495" t="s">
        <v>14124</v>
      </c>
      <c r="M1495" t="s">
        <v>14125</v>
      </c>
      <c r="N1495" t="s">
        <v>14126</v>
      </c>
      <c r="O1495" t="s">
        <v>14127</v>
      </c>
      <c r="P1495" t="s">
        <v>14128</v>
      </c>
      <c r="Q1495" t="s">
        <v>14129</v>
      </c>
      <c r="R1495" t="s">
        <v>14130</v>
      </c>
      <c r="S1495" t="s">
        <v>14131</v>
      </c>
      <c r="T1495" t="s">
        <v>14132</v>
      </c>
      <c r="U1495" s="5">
        <v>1092.49</v>
      </c>
      <c r="V1495" s="5">
        <v>755.06</v>
      </c>
      <c r="W1495" s="5">
        <v>15.541767</v>
      </c>
      <c r="X1495" s="5">
        <v>108.527382</v>
      </c>
      <c r="Y1495" s="5">
        <v>337.43</v>
      </c>
      <c r="Z1495" s="5">
        <v>15.513627</v>
      </c>
      <c r="AA1495" s="5">
        <v>108.557365</v>
      </c>
      <c r="AB1495" s="7">
        <f t="shared" si="139"/>
        <v>1.13259</v>
      </c>
      <c r="AC1495" s="7">
        <f t="shared" si="140"/>
        <v>0.50614499999999996</v>
      </c>
      <c r="AD1495" s="6" t="str">
        <f t="shared" si="141"/>
        <v>Tam Xuân</v>
      </c>
      <c r="AE1495" s="6" t="str">
        <f t="shared" si="142"/>
        <v>Tam Anh</v>
      </c>
      <c r="AG1495">
        <f t="shared" si="143"/>
        <v>0.75505999999999995</v>
      </c>
      <c r="AH1495">
        <f t="shared" si="144"/>
        <v>0.33743000000000001</v>
      </c>
    </row>
    <row r="1496" spans="1:34" x14ac:dyDescent="0.25">
      <c r="A1496" t="s">
        <v>14133</v>
      </c>
      <c r="B1496" t="s">
        <v>14107</v>
      </c>
      <c r="C1496" t="s">
        <v>14108</v>
      </c>
      <c r="D1496" t="s">
        <v>14134</v>
      </c>
      <c r="E1496" t="s">
        <v>14135</v>
      </c>
      <c r="F1496" t="s">
        <v>14136</v>
      </c>
      <c r="G1496" t="s">
        <v>15979</v>
      </c>
      <c r="H1496" t="s">
        <v>15980</v>
      </c>
      <c r="I1496" t="s">
        <v>17272</v>
      </c>
      <c r="J1496" t="s">
        <v>23</v>
      </c>
      <c r="L1496" t="s">
        <v>14124</v>
      </c>
      <c r="M1496" t="s">
        <v>14137</v>
      </c>
      <c r="N1496" t="s">
        <v>14138</v>
      </c>
      <c r="O1496" t="s">
        <v>14139</v>
      </c>
      <c r="P1496" t="s">
        <v>14140</v>
      </c>
      <c r="Q1496" t="s">
        <v>14141</v>
      </c>
      <c r="R1496" t="s">
        <v>14142</v>
      </c>
      <c r="S1496" t="s">
        <v>14143</v>
      </c>
      <c r="T1496" t="s">
        <v>14144</v>
      </c>
      <c r="U1496" s="5">
        <v>907.91</v>
      </c>
      <c r="V1496" s="5">
        <v>8.84</v>
      </c>
      <c r="W1496" s="5">
        <v>15.545572</v>
      </c>
      <c r="X1496" s="5">
        <v>108.521613</v>
      </c>
      <c r="Y1496" s="5">
        <v>899.07</v>
      </c>
      <c r="Z1496" s="5">
        <v>15.541734999999999</v>
      </c>
      <c r="AA1496" s="5">
        <v>108.527445</v>
      </c>
      <c r="AB1496" s="7">
        <f t="shared" si="139"/>
        <v>1.3259999999999999E-2</v>
      </c>
      <c r="AC1496" s="7">
        <f t="shared" si="140"/>
        <v>1.3486050000000001</v>
      </c>
      <c r="AD1496" s="6" t="str">
        <f t="shared" si="141"/>
        <v>Tam Xuân</v>
      </c>
      <c r="AE1496" s="6" t="str">
        <f t="shared" si="142"/>
        <v>Tam Anh</v>
      </c>
      <c r="AG1496">
        <f t="shared" si="143"/>
        <v>8.8400000000000006E-3</v>
      </c>
      <c r="AH1496">
        <f t="shared" si="144"/>
        <v>0.89907000000000004</v>
      </c>
    </row>
    <row r="1497" spans="1:34" x14ac:dyDescent="0.25">
      <c r="A1497" t="s">
        <v>14145</v>
      </c>
      <c r="B1497" t="s">
        <v>12392</v>
      </c>
      <c r="C1497" t="s">
        <v>12393</v>
      </c>
      <c r="D1497" t="s">
        <v>14146</v>
      </c>
      <c r="E1497" t="s">
        <v>14147</v>
      </c>
      <c r="F1497" t="s">
        <v>14148</v>
      </c>
      <c r="G1497" t="s">
        <v>15979</v>
      </c>
      <c r="H1497" t="s">
        <v>15980</v>
      </c>
      <c r="I1497" t="s">
        <v>17273</v>
      </c>
      <c r="J1497" t="s">
        <v>23</v>
      </c>
      <c r="L1497" t="s">
        <v>12408</v>
      </c>
      <c r="M1497" t="s">
        <v>14149</v>
      </c>
      <c r="N1497" t="s">
        <v>14150</v>
      </c>
      <c r="O1497" t="s">
        <v>14151</v>
      </c>
      <c r="P1497" t="s">
        <v>14152</v>
      </c>
      <c r="Q1497" t="s">
        <v>14153</v>
      </c>
      <c r="R1497" t="s">
        <v>14154</v>
      </c>
      <c r="S1497" t="s">
        <v>14155</v>
      </c>
      <c r="T1497" t="s">
        <v>14156</v>
      </c>
      <c r="U1497" s="5">
        <v>58.49</v>
      </c>
      <c r="V1497" s="5">
        <v>44.16</v>
      </c>
      <c r="W1497" s="5">
        <v>15.52319</v>
      </c>
      <c r="X1497" s="5">
        <v>108.41952999999999</v>
      </c>
      <c r="Y1497" s="5">
        <v>14.32</v>
      </c>
      <c r="Z1497" s="5">
        <v>15.523827000000001</v>
      </c>
      <c r="AA1497" s="5">
        <v>108.420692</v>
      </c>
      <c r="AB1497" s="7">
        <f t="shared" si="139"/>
        <v>6.6239999999999993E-2</v>
      </c>
      <c r="AC1497" s="7">
        <f t="shared" si="140"/>
        <v>2.1479999999999999E-2</v>
      </c>
      <c r="AD1497" s="6" t="str">
        <f t="shared" si="141"/>
        <v>Chiên Đàn</v>
      </c>
      <c r="AE1497" s="6" t="str">
        <f t="shared" si="142"/>
        <v>Phú Ninh</v>
      </c>
      <c r="AG1497">
        <f t="shared" si="143"/>
        <v>4.4159999999999998E-2</v>
      </c>
      <c r="AH1497">
        <f t="shared" si="144"/>
        <v>1.4320000000000001E-2</v>
      </c>
    </row>
    <row r="1498" spans="1:34" x14ac:dyDescent="0.25">
      <c r="A1498" t="s">
        <v>14157</v>
      </c>
      <c r="B1498" t="s">
        <v>12392</v>
      </c>
      <c r="C1498" t="s">
        <v>12393</v>
      </c>
      <c r="D1498" t="e">
        <v>#N/A</v>
      </c>
      <c r="E1498" t="e">
        <v>#N/A</v>
      </c>
      <c r="F1498" t="s">
        <v>14158</v>
      </c>
      <c r="G1498" t="s">
        <v>15979</v>
      </c>
      <c r="H1498" t="s">
        <v>15980</v>
      </c>
      <c r="I1498" t="s">
        <v>17274</v>
      </c>
      <c r="J1498" t="s">
        <v>5239</v>
      </c>
      <c r="K1498" t="s">
        <v>11979</v>
      </c>
      <c r="AB1498" s="7">
        <f t="shared" si="139"/>
        <v>0</v>
      </c>
      <c r="AC1498" s="7">
        <f t="shared" si="140"/>
        <v>0</v>
      </c>
      <c r="AD1498" s="6" t="e">
        <f t="shared" si="141"/>
        <v>#VALUE!</v>
      </c>
      <c r="AE1498" s="6" t="e">
        <f t="shared" si="142"/>
        <v>#VALUE!</v>
      </c>
      <c r="AG1498">
        <f t="shared" si="143"/>
        <v>0</v>
      </c>
      <c r="AH1498">
        <f t="shared" si="144"/>
        <v>0</v>
      </c>
    </row>
    <row r="1499" spans="1:34" x14ac:dyDescent="0.25">
      <c r="A1499" t="s">
        <v>14159</v>
      </c>
      <c r="B1499" t="s">
        <v>11481</v>
      </c>
      <c r="C1499" t="s">
        <v>11482</v>
      </c>
      <c r="D1499" t="s">
        <v>14160</v>
      </c>
      <c r="E1499" t="s">
        <v>14161</v>
      </c>
      <c r="F1499" t="s">
        <v>14162</v>
      </c>
      <c r="G1499" t="s">
        <v>15979</v>
      </c>
      <c r="H1499" t="s">
        <v>15980</v>
      </c>
      <c r="I1499" t="s">
        <v>17275</v>
      </c>
      <c r="J1499" t="s">
        <v>23</v>
      </c>
      <c r="L1499" t="s">
        <v>12495</v>
      </c>
      <c r="M1499" t="s">
        <v>14163</v>
      </c>
      <c r="N1499" t="s">
        <v>12497</v>
      </c>
      <c r="O1499" t="s">
        <v>11474</v>
      </c>
      <c r="P1499" t="s">
        <v>12498</v>
      </c>
      <c r="Q1499" t="s">
        <v>14164</v>
      </c>
      <c r="R1499" t="s">
        <v>14165</v>
      </c>
      <c r="S1499" t="s">
        <v>14166</v>
      </c>
      <c r="T1499" t="s">
        <v>12502</v>
      </c>
      <c r="U1499" s="5">
        <v>1524.16</v>
      </c>
      <c r="V1499" s="5">
        <v>150.32</v>
      </c>
      <c r="W1499" s="5">
        <v>15.736057000000001</v>
      </c>
      <c r="X1499" s="5">
        <v>108.28953</v>
      </c>
      <c r="Y1499" s="5">
        <v>1373.84</v>
      </c>
      <c r="Z1499" s="5">
        <v>15.722346</v>
      </c>
      <c r="AA1499" s="5">
        <v>108.279076</v>
      </c>
      <c r="AB1499" s="7">
        <f t="shared" si="139"/>
        <v>0.22547999999999999</v>
      </c>
      <c r="AC1499" s="7">
        <f t="shared" si="140"/>
        <v>2.0607599999999997</v>
      </c>
      <c r="AD1499" s="6" t="str">
        <f t="shared" si="141"/>
        <v>Quế Sơn</v>
      </c>
      <c r="AE1499" s="6" t="str">
        <f t="shared" si="142"/>
        <v>Đại Lộc</v>
      </c>
      <c r="AG1499">
        <f t="shared" si="143"/>
        <v>0.15031999999999998</v>
      </c>
      <c r="AH1499">
        <f t="shared" si="144"/>
        <v>1.37384</v>
      </c>
    </row>
    <row r="1500" spans="1:34" x14ac:dyDescent="0.25">
      <c r="A1500" t="s">
        <v>14167</v>
      </c>
      <c r="B1500" t="s">
        <v>12512</v>
      </c>
      <c r="C1500" t="s">
        <v>12513</v>
      </c>
      <c r="D1500" t="s">
        <v>14168</v>
      </c>
      <c r="E1500" t="s">
        <v>14169</v>
      </c>
      <c r="F1500" t="s">
        <v>14170</v>
      </c>
      <c r="G1500" t="s">
        <v>15979</v>
      </c>
      <c r="H1500" t="s">
        <v>15980</v>
      </c>
      <c r="I1500" t="s">
        <v>17276</v>
      </c>
      <c r="J1500" t="s">
        <v>23</v>
      </c>
      <c r="L1500" t="s">
        <v>11458</v>
      </c>
      <c r="M1500" t="s">
        <v>14171</v>
      </c>
      <c r="N1500" t="s">
        <v>14172</v>
      </c>
      <c r="O1500" t="s">
        <v>14173</v>
      </c>
      <c r="P1500" t="s">
        <v>14174</v>
      </c>
      <c r="Q1500" t="s">
        <v>14175</v>
      </c>
      <c r="R1500" t="s">
        <v>14176</v>
      </c>
      <c r="S1500" t="s">
        <v>14177</v>
      </c>
      <c r="T1500" t="s">
        <v>11466</v>
      </c>
      <c r="U1500" s="5">
        <v>1489.19</v>
      </c>
      <c r="V1500" s="5">
        <v>266.18</v>
      </c>
      <c r="W1500" s="5">
        <v>15.775741999999999</v>
      </c>
      <c r="X1500" s="5">
        <v>108.33300300000001</v>
      </c>
      <c r="Y1500" s="5">
        <v>1223.01</v>
      </c>
      <c r="Z1500" s="5">
        <v>15.756098</v>
      </c>
      <c r="AA1500" s="5">
        <v>108.34813699999999</v>
      </c>
      <c r="AB1500" s="7">
        <f t="shared" si="139"/>
        <v>0.39926999999999996</v>
      </c>
      <c r="AC1500" s="7">
        <f t="shared" si="140"/>
        <v>1.8345149999999999</v>
      </c>
      <c r="AD1500" s="6" t="str">
        <f t="shared" si="141"/>
        <v>Duy Xuyên</v>
      </c>
      <c r="AE1500" s="6" t="str">
        <f t="shared" si="142"/>
        <v>TT2 Tam Kỳ</v>
      </c>
      <c r="AG1500">
        <f t="shared" si="143"/>
        <v>0.26618000000000003</v>
      </c>
      <c r="AH1500">
        <f t="shared" si="144"/>
        <v>1.2230099999999999</v>
      </c>
    </row>
    <row r="1501" spans="1:34" x14ac:dyDescent="0.25">
      <c r="A1501" t="s">
        <v>14178</v>
      </c>
      <c r="B1501" t="s">
        <v>11609</v>
      </c>
      <c r="C1501" t="s">
        <v>11610</v>
      </c>
      <c r="D1501" t="e">
        <v>#N/A</v>
      </c>
      <c r="E1501" t="e">
        <v>#N/A</v>
      </c>
      <c r="F1501" t="s">
        <v>14179</v>
      </c>
      <c r="G1501" t="s">
        <v>15979</v>
      </c>
      <c r="H1501" t="s">
        <v>15980</v>
      </c>
      <c r="I1501" t="s">
        <v>17277</v>
      </c>
      <c r="J1501" t="s">
        <v>5239</v>
      </c>
      <c r="K1501" t="s">
        <v>11979</v>
      </c>
      <c r="AB1501" s="7">
        <f t="shared" si="139"/>
        <v>0</v>
      </c>
      <c r="AC1501" s="7">
        <f t="shared" si="140"/>
        <v>0</v>
      </c>
      <c r="AD1501" s="6" t="e">
        <f t="shared" si="141"/>
        <v>#VALUE!</v>
      </c>
      <c r="AE1501" s="6" t="e">
        <f t="shared" si="142"/>
        <v>#VALUE!</v>
      </c>
      <c r="AG1501">
        <f t="shared" si="143"/>
        <v>0</v>
      </c>
      <c r="AH1501">
        <f t="shared" si="144"/>
        <v>0</v>
      </c>
    </row>
    <row r="1502" spans="1:34" x14ac:dyDescent="0.25">
      <c r="A1502" t="s">
        <v>12574</v>
      </c>
      <c r="B1502" t="s">
        <v>12560</v>
      </c>
      <c r="C1502" t="s">
        <v>12561</v>
      </c>
      <c r="D1502" t="s">
        <v>12575</v>
      </c>
      <c r="E1502" t="s">
        <v>12576</v>
      </c>
      <c r="F1502" t="s">
        <v>14180</v>
      </c>
      <c r="G1502" t="s">
        <v>15979</v>
      </c>
      <c r="H1502" t="s">
        <v>15980</v>
      </c>
      <c r="I1502" t="s">
        <v>17094</v>
      </c>
      <c r="J1502" t="s">
        <v>23</v>
      </c>
      <c r="L1502" t="s">
        <v>12565</v>
      </c>
      <c r="M1502" t="s">
        <v>12578</v>
      </c>
      <c r="N1502" t="s">
        <v>12567</v>
      </c>
      <c r="O1502" t="s">
        <v>12568</v>
      </c>
      <c r="P1502" t="s">
        <v>12569</v>
      </c>
      <c r="Q1502" t="s">
        <v>12579</v>
      </c>
      <c r="R1502" t="s">
        <v>12580</v>
      </c>
      <c r="S1502" t="s">
        <v>12581</v>
      </c>
      <c r="T1502" t="s">
        <v>12573</v>
      </c>
      <c r="U1502" s="5">
        <v>576.87</v>
      </c>
      <c r="V1502" s="5">
        <v>58.91</v>
      </c>
      <c r="W1502" s="5">
        <v>15.632675000000001</v>
      </c>
      <c r="X1502" s="5">
        <v>108.374645</v>
      </c>
      <c r="Y1502" s="5">
        <v>517.96</v>
      </c>
      <c r="Z1502" s="5">
        <v>15.633737</v>
      </c>
      <c r="AA1502" s="5">
        <v>108.375322</v>
      </c>
      <c r="AB1502" s="7">
        <f t="shared" si="139"/>
        <v>8.8364999999999999E-2</v>
      </c>
      <c r="AC1502" s="7">
        <f t="shared" si="140"/>
        <v>0.77694000000000007</v>
      </c>
      <c r="AD1502" s="6" t="str">
        <f t="shared" si="141"/>
        <v>Thăng Phú</v>
      </c>
      <c r="AE1502" s="6" t="str">
        <f t="shared" si="142"/>
        <v>Tây Hồ</v>
      </c>
      <c r="AG1502">
        <f t="shared" si="143"/>
        <v>5.8909999999999997E-2</v>
      </c>
      <c r="AH1502">
        <f t="shared" si="144"/>
        <v>0.51796000000000009</v>
      </c>
    </row>
    <row r="1503" spans="1:34" x14ac:dyDescent="0.25">
      <c r="A1503" t="s">
        <v>14181</v>
      </c>
      <c r="B1503" t="s">
        <v>12560</v>
      </c>
      <c r="C1503" t="s">
        <v>12561</v>
      </c>
      <c r="D1503" t="s">
        <v>14182</v>
      </c>
      <c r="E1503" t="s">
        <v>14183</v>
      </c>
      <c r="F1503" t="s">
        <v>14184</v>
      </c>
      <c r="G1503" t="s">
        <v>15979</v>
      </c>
      <c r="H1503" t="s">
        <v>15980</v>
      </c>
      <c r="I1503" t="s">
        <v>17278</v>
      </c>
      <c r="J1503" t="s">
        <v>23</v>
      </c>
      <c r="L1503" t="s">
        <v>12565</v>
      </c>
      <c r="M1503" t="s">
        <v>14185</v>
      </c>
      <c r="N1503" t="s">
        <v>14186</v>
      </c>
      <c r="O1503" t="s">
        <v>14187</v>
      </c>
      <c r="P1503" t="s">
        <v>14188</v>
      </c>
      <c r="Q1503" t="s">
        <v>14189</v>
      </c>
      <c r="R1503" t="s">
        <v>14190</v>
      </c>
      <c r="S1503" t="s">
        <v>14191</v>
      </c>
      <c r="T1503" t="s">
        <v>14192</v>
      </c>
      <c r="U1503" s="5">
        <v>1507.93</v>
      </c>
      <c r="V1503" s="5">
        <v>1350.84</v>
      </c>
      <c r="W1503" s="5">
        <v>15.624055</v>
      </c>
      <c r="X1503" s="5">
        <v>108.383067</v>
      </c>
      <c r="Y1503" s="5">
        <v>157.09</v>
      </c>
      <c r="Z1503" s="5">
        <v>15.621383</v>
      </c>
      <c r="AA1503" s="5">
        <v>108.399039</v>
      </c>
      <c r="AB1503" s="7">
        <f t="shared" si="139"/>
        <v>2.0262599999999997</v>
      </c>
      <c r="AC1503" s="7">
        <f t="shared" si="140"/>
        <v>0.23563499999999998</v>
      </c>
      <c r="AD1503" s="6" t="str">
        <f t="shared" si="141"/>
        <v>Thăng Phú</v>
      </c>
      <c r="AE1503" s="6" t="str">
        <f t="shared" si="142"/>
        <v>Tây Hồ</v>
      </c>
      <c r="AG1503">
        <f t="shared" si="143"/>
        <v>1.3508399999999998</v>
      </c>
      <c r="AH1503">
        <f t="shared" si="144"/>
        <v>0.15709000000000001</v>
      </c>
    </row>
    <row r="1504" spans="1:34" x14ac:dyDescent="0.25">
      <c r="A1504" t="s">
        <v>14193</v>
      </c>
      <c r="B1504" t="s">
        <v>11728</v>
      </c>
      <c r="C1504" t="s">
        <v>11729</v>
      </c>
      <c r="D1504" t="s">
        <v>14194</v>
      </c>
      <c r="E1504" t="s">
        <v>14195</v>
      </c>
      <c r="F1504" t="s">
        <v>14196</v>
      </c>
      <c r="G1504" t="s">
        <v>15979</v>
      </c>
      <c r="H1504" t="s">
        <v>15980</v>
      </c>
      <c r="I1504" t="s">
        <v>17279</v>
      </c>
      <c r="J1504" t="s">
        <v>23</v>
      </c>
      <c r="L1504" t="s">
        <v>11718</v>
      </c>
      <c r="M1504" t="s">
        <v>14197</v>
      </c>
      <c r="N1504" t="s">
        <v>11732</v>
      </c>
      <c r="O1504" t="s">
        <v>11733</v>
      </c>
      <c r="P1504" t="s">
        <v>11734</v>
      </c>
      <c r="Q1504" t="s">
        <v>14198</v>
      </c>
      <c r="R1504" t="s">
        <v>14199</v>
      </c>
      <c r="S1504" t="s">
        <v>14200</v>
      </c>
      <c r="T1504" t="s">
        <v>11726</v>
      </c>
      <c r="U1504" s="5">
        <v>1064.2</v>
      </c>
      <c r="V1504" s="5">
        <v>429.55</v>
      </c>
      <c r="W1504" s="5">
        <v>15.544556999999999</v>
      </c>
      <c r="X1504" s="5">
        <v>108.488028</v>
      </c>
      <c r="Y1504" s="5">
        <v>634.65</v>
      </c>
      <c r="Z1504" s="5">
        <v>15.560665999999999</v>
      </c>
      <c r="AA1504" s="5">
        <v>108.48599900000001</v>
      </c>
      <c r="AB1504" s="7">
        <f t="shared" si="139"/>
        <v>0.64432500000000004</v>
      </c>
      <c r="AC1504" s="7">
        <f t="shared" si="140"/>
        <v>0.9519749999999999</v>
      </c>
      <c r="AD1504" s="6" t="str">
        <f t="shared" si="141"/>
        <v>Hương Trà</v>
      </c>
      <c r="AE1504" s="6" t="str">
        <f t="shared" si="142"/>
        <v>Tam Kỳ</v>
      </c>
      <c r="AG1504">
        <f t="shared" si="143"/>
        <v>0.42954999999999999</v>
      </c>
      <c r="AH1504">
        <f t="shared" si="144"/>
        <v>0.63464999999999994</v>
      </c>
    </row>
    <row r="1505" spans="1:34" x14ac:dyDescent="0.25">
      <c r="A1505" t="s">
        <v>14201</v>
      </c>
      <c r="B1505" t="s">
        <v>12609</v>
      </c>
      <c r="C1505" t="s">
        <v>12610</v>
      </c>
      <c r="D1505" t="s">
        <v>12628</v>
      </c>
      <c r="E1505" t="s">
        <v>12629</v>
      </c>
      <c r="F1505" t="s">
        <v>14202</v>
      </c>
      <c r="G1505" t="s">
        <v>15979</v>
      </c>
      <c r="H1505" t="s">
        <v>15980</v>
      </c>
      <c r="I1505" t="s">
        <v>17280</v>
      </c>
      <c r="J1505" t="s">
        <v>23</v>
      </c>
      <c r="L1505" t="s">
        <v>12631</v>
      </c>
      <c r="M1505" t="s">
        <v>14203</v>
      </c>
      <c r="N1505" t="s">
        <v>2602</v>
      </c>
      <c r="O1505" t="s">
        <v>14204</v>
      </c>
      <c r="P1505" t="s">
        <v>14205</v>
      </c>
      <c r="Q1505" t="s">
        <v>14206</v>
      </c>
      <c r="R1505" t="s">
        <v>14207</v>
      </c>
      <c r="S1505" t="s">
        <v>14208</v>
      </c>
      <c r="T1505" t="s">
        <v>14209</v>
      </c>
      <c r="U1505" s="5">
        <v>478.99</v>
      </c>
      <c r="V1505" s="5">
        <v>95.74</v>
      </c>
      <c r="W1505" s="5">
        <v>15.575647</v>
      </c>
      <c r="X1505" s="5">
        <v>108.47656600000001</v>
      </c>
      <c r="Y1505" s="5">
        <v>383.25</v>
      </c>
      <c r="Z1505" s="5">
        <v>15.569207</v>
      </c>
      <c r="AA1505" s="5">
        <v>108.476629</v>
      </c>
      <c r="AB1505" s="7">
        <f t="shared" si="139"/>
        <v>0.14360999999999999</v>
      </c>
      <c r="AC1505" s="7">
        <f t="shared" si="140"/>
        <v>0.57487500000000002</v>
      </c>
      <c r="AD1505" s="6" t="str">
        <f t="shared" si="141"/>
        <v>PC06</v>
      </c>
      <c r="AE1505" s="6" t="str">
        <f t="shared" si="142"/>
        <v>PC07</v>
      </c>
      <c r="AG1505">
        <f t="shared" si="143"/>
        <v>9.5739999999999992E-2</v>
      </c>
      <c r="AH1505">
        <f t="shared" si="144"/>
        <v>0.38324999999999998</v>
      </c>
    </row>
    <row r="1506" spans="1:34" x14ac:dyDescent="0.25">
      <c r="A1506" t="s">
        <v>14210</v>
      </c>
      <c r="B1506" t="s">
        <v>12609</v>
      </c>
      <c r="C1506" t="s">
        <v>12610</v>
      </c>
      <c r="D1506" t="e">
        <v>#N/A</v>
      </c>
      <c r="E1506" t="e">
        <v>#N/A</v>
      </c>
      <c r="F1506" t="s">
        <v>14211</v>
      </c>
      <c r="G1506" t="s">
        <v>15979</v>
      </c>
      <c r="H1506" t="s">
        <v>15980</v>
      </c>
      <c r="I1506" t="s">
        <v>17281</v>
      </c>
      <c r="J1506" t="s">
        <v>5239</v>
      </c>
      <c r="K1506" t="s">
        <v>11979</v>
      </c>
      <c r="AB1506" s="7">
        <f t="shared" si="139"/>
        <v>0</v>
      </c>
      <c r="AC1506" s="7">
        <f t="shared" si="140"/>
        <v>0</v>
      </c>
      <c r="AD1506" s="6" t="e">
        <f t="shared" si="141"/>
        <v>#VALUE!</v>
      </c>
      <c r="AE1506" s="6" t="e">
        <f t="shared" si="142"/>
        <v>#VALUE!</v>
      </c>
      <c r="AG1506">
        <f t="shared" si="143"/>
        <v>0</v>
      </c>
      <c r="AH1506">
        <f t="shared" si="144"/>
        <v>0</v>
      </c>
    </row>
    <row r="1507" spans="1:34" x14ac:dyDescent="0.25">
      <c r="A1507" t="s">
        <v>14212</v>
      </c>
      <c r="B1507" t="s">
        <v>5244</v>
      </c>
      <c r="C1507" t="s">
        <v>5245</v>
      </c>
      <c r="D1507" t="s">
        <v>14213</v>
      </c>
      <c r="E1507" t="s">
        <v>14214</v>
      </c>
      <c r="F1507" t="s">
        <v>14215</v>
      </c>
      <c r="G1507" t="s">
        <v>15979</v>
      </c>
      <c r="H1507" t="s">
        <v>15980</v>
      </c>
      <c r="I1507" t="s">
        <v>17282</v>
      </c>
      <c r="J1507" t="s">
        <v>23</v>
      </c>
      <c r="L1507" t="s">
        <v>12697</v>
      </c>
      <c r="M1507" t="s">
        <v>14216</v>
      </c>
      <c r="N1507" t="s">
        <v>12699</v>
      </c>
      <c r="O1507" t="s">
        <v>12700</v>
      </c>
      <c r="P1507" t="s">
        <v>12701</v>
      </c>
      <c r="Q1507" t="s">
        <v>14217</v>
      </c>
      <c r="R1507" t="s">
        <v>14218</v>
      </c>
      <c r="S1507" t="s">
        <v>14219</v>
      </c>
      <c r="T1507" t="s">
        <v>12705</v>
      </c>
      <c r="U1507" s="5">
        <v>941.53</v>
      </c>
      <c r="V1507" s="5">
        <v>362.26</v>
      </c>
      <c r="W1507" s="5">
        <v>15.560487</v>
      </c>
      <c r="X1507" s="5">
        <v>108.44725800000001</v>
      </c>
      <c r="Y1507" s="5">
        <v>579.27</v>
      </c>
      <c r="Z1507" s="5">
        <v>15.559533</v>
      </c>
      <c r="AA1507" s="5">
        <v>108.440489</v>
      </c>
      <c r="AB1507" s="7">
        <f t="shared" si="139"/>
        <v>0.54339000000000004</v>
      </c>
      <c r="AC1507" s="7">
        <f t="shared" si="140"/>
        <v>0.86890499999999993</v>
      </c>
      <c r="AD1507" s="6" t="str">
        <f t="shared" si="141"/>
        <v>Phú Ninh</v>
      </c>
      <c r="AE1507" s="6" t="str">
        <f t="shared" si="142"/>
        <v>TT2 Tam Kỳ</v>
      </c>
      <c r="AG1507">
        <f t="shared" si="143"/>
        <v>0.36225999999999997</v>
      </c>
      <c r="AH1507">
        <f t="shared" si="144"/>
        <v>0.57926999999999995</v>
      </c>
    </row>
    <row r="1508" spans="1:34" s="8" customFormat="1" x14ac:dyDescent="0.25">
      <c r="A1508" s="8" t="s">
        <v>14220</v>
      </c>
      <c r="B1508" s="8" t="s">
        <v>14221</v>
      </c>
      <c r="C1508" s="8" t="s">
        <v>14222</v>
      </c>
      <c r="D1508" s="8" t="s">
        <v>14223</v>
      </c>
      <c r="E1508" s="8" t="s">
        <v>14224</v>
      </c>
      <c r="I1508" s="8" t="s">
        <v>17293</v>
      </c>
      <c r="J1508" s="8" t="s">
        <v>23</v>
      </c>
      <c r="L1508" s="8" t="s">
        <v>14225</v>
      </c>
      <c r="M1508" s="8" t="s">
        <v>14226</v>
      </c>
      <c r="N1508" s="8" t="s">
        <v>14227</v>
      </c>
      <c r="O1508" s="8" t="s">
        <v>14228</v>
      </c>
      <c r="P1508" s="8" t="s">
        <v>14229</v>
      </c>
      <c r="Q1508" s="8" t="s">
        <v>14230</v>
      </c>
      <c r="R1508" s="8" t="s">
        <v>14231</v>
      </c>
      <c r="S1508" s="8" t="s">
        <v>14232</v>
      </c>
      <c r="T1508" s="8" t="s">
        <v>14233</v>
      </c>
      <c r="U1508" s="9">
        <v>58.08</v>
      </c>
      <c r="V1508" s="9">
        <v>5.4</v>
      </c>
      <c r="W1508" s="9">
        <v>13.976327</v>
      </c>
      <c r="X1508" s="9">
        <v>107.992369</v>
      </c>
      <c r="Y1508" s="9">
        <v>52.68</v>
      </c>
      <c r="Z1508" s="9">
        <v>13.961506</v>
      </c>
      <c r="AA1508" s="9">
        <v>107.85348399999999</v>
      </c>
      <c r="AB1508" s="10">
        <f t="shared" si="139"/>
        <v>8.1000000000000013E-3</v>
      </c>
      <c r="AC1508" s="10">
        <f t="shared" si="140"/>
        <v>7.9019999999999993E-2</v>
      </c>
      <c r="AD1508" s="11" t="str">
        <f t="shared" si="141"/>
        <v>TT2</v>
      </c>
      <c r="AE1508" s="11" t="str">
        <f t="shared" si="142"/>
        <v>Gia Lai-Ia Grai</v>
      </c>
      <c r="AG1508">
        <f t="shared" si="143"/>
        <v>5.4000000000000003E-3</v>
      </c>
      <c r="AH1508">
        <f t="shared" si="144"/>
        <v>5.2679999999999998E-2</v>
      </c>
    </row>
    <row r="1509" spans="1:34" x14ac:dyDescent="0.25">
      <c r="A1509" t="s">
        <v>14234</v>
      </c>
      <c r="B1509" t="s">
        <v>14223</v>
      </c>
      <c r="C1509" t="s">
        <v>14224</v>
      </c>
      <c r="D1509" t="s">
        <v>14235</v>
      </c>
      <c r="E1509" t="s">
        <v>14236</v>
      </c>
      <c r="I1509" t="s">
        <v>17294</v>
      </c>
      <c r="J1509" t="s">
        <v>23</v>
      </c>
      <c r="L1509" t="s">
        <v>14237</v>
      </c>
      <c r="M1509" t="s">
        <v>14238</v>
      </c>
      <c r="N1509" t="s">
        <v>14239</v>
      </c>
      <c r="O1509" t="s">
        <v>14240</v>
      </c>
      <c r="P1509" t="s">
        <v>14241</v>
      </c>
      <c r="Q1509" t="s">
        <v>14242</v>
      </c>
      <c r="R1509" t="s">
        <v>14243</v>
      </c>
      <c r="S1509" t="s">
        <v>14244</v>
      </c>
      <c r="T1509" t="s">
        <v>14245</v>
      </c>
      <c r="U1509" s="5">
        <v>12591.82</v>
      </c>
      <c r="V1509" s="5">
        <v>12574.81</v>
      </c>
      <c r="W1509" s="5">
        <v>13.878564000000001</v>
      </c>
      <c r="X1509" s="5">
        <v>107.774421</v>
      </c>
      <c r="Y1509" s="5">
        <v>17.010000000000002</v>
      </c>
      <c r="Z1509" s="5">
        <v>13.793872</v>
      </c>
      <c r="AA1509" s="5">
        <v>107.67198399999999</v>
      </c>
      <c r="AB1509" s="7">
        <f t="shared" si="139"/>
        <v>18.862214999999999</v>
      </c>
      <c r="AC1509" s="7">
        <f t="shared" si="140"/>
        <v>2.5514999999999999E-2</v>
      </c>
      <c r="AD1509" s="6" t="str">
        <f t="shared" si="141"/>
        <v>Ia Grai</v>
      </c>
      <c r="AE1509" s="6" t="str">
        <f t="shared" si="142"/>
        <v>Đức Cơ</v>
      </c>
      <c r="AG1509">
        <f t="shared" si="143"/>
        <v>12.574809999999999</v>
      </c>
      <c r="AH1509">
        <f t="shared" si="144"/>
        <v>1.7010000000000001E-2</v>
      </c>
    </row>
    <row r="1510" spans="1:34" x14ac:dyDescent="0.25">
      <c r="A1510" t="s">
        <v>14246</v>
      </c>
      <c r="B1510" t="s">
        <v>14235</v>
      </c>
      <c r="C1510" t="s">
        <v>14236</v>
      </c>
      <c r="D1510" t="s">
        <v>14247</v>
      </c>
      <c r="E1510" t="s">
        <v>14248</v>
      </c>
      <c r="I1510" t="s">
        <v>17295</v>
      </c>
      <c r="J1510" t="s">
        <v>23</v>
      </c>
      <c r="L1510" t="s">
        <v>14249</v>
      </c>
      <c r="M1510" t="s">
        <v>14250</v>
      </c>
      <c r="N1510" t="s">
        <v>14251</v>
      </c>
      <c r="O1510" t="s">
        <v>14252</v>
      </c>
      <c r="P1510" t="s">
        <v>14253</v>
      </c>
      <c r="Q1510" t="s">
        <v>14254</v>
      </c>
      <c r="R1510" t="s">
        <v>14255</v>
      </c>
      <c r="S1510" t="s">
        <v>14256</v>
      </c>
      <c r="T1510" t="s">
        <v>14257</v>
      </c>
      <c r="U1510" s="5">
        <v>1468.9</v>
      </c>
      <c r="V1510" s="5">
        <v>26.32</v>
      </c>
      <c r="W1510" s="5">
        <v>13.794121000000001</v>
      </c>
      <c r="X1510" s="5">
        <v>107.671998</v>
      </c>
      <c r="Y1510" s="5">
        <v>1442.59</v>
      </c>
      <c r="Z1510" s="5">
        <v>13.753992999999999</v>
      </c>
      <c r="AA1510" s="5">
        <v>107.889787</v>
      </c>
      <c r="AB1510" s="7">
        <f t="shared" si="139"/>
        <v>3.9480000000000001E-2</v>
      </c>
      <c r="AC1510" s="7">
        <f t="shared" si="140"/>
        <v>2.1638849999999996</v>
      </c>
      <c r="AD1510" s="6" t="str">
        <f t="shared" si="141"/>
        <v>Đức Cơ</v>
      </c>
      <c r="AE1510" s="6" t="str">
        <f t="shared" si="142"/>
        <v>Chư Prông</v>
      </c>
      <c r="AG1510">
        <f t="shared" si="143"/>
        <v>2.632E-2</v>
      </c>
      <c r="AH1510">
        <f t="shared" si="144"/>
        <v>1.4425899999999998</v>
      </c>
    </row>
    <row r="1511" spans="1:34" x14ac:dyDescent="0.25">
      <c r="A1511" t="s">
        <v>14258</v>
      </c>
      <c r="B1511" t="s">
        <v>14259</v>
      </c>
      <c r="C1511" t="s">
        <v>14260</v>
      </c>
      <c r="D1511" t="s">
        <v>14261</v>
      </c>
      <c r="E1511" t="s">
        <v>14262</v>
      </c>
      <c r="I1511" t="s">
        <v>17296</v>
      </c>
      <c r="J1511" t="s">
        <v>23</v>
      </c>
      <c r="L1511" t="s">
        <v>14263</v>
      </c>
      <c r="M1511" t="s">
        <v>14264</v>
      </c>
      <c r="N1511" t="s">
        <v>14265</v>
      </c>
      <c r="O1511" t="s">
        <v>14266</v>
      </c>
      <c r="P1511" t="s">
        <v>14267</v>
      </c>
      <c r="Q1511" t="s">
        <v>14268</v>
      </c>
      <c r="R1511" t="s">
        <v>14269</v>
      </c>
      <c r="S1511" t="s">
        <v>14270</v>
      </c>
      <c r="T1511" t="s">
        <v>14271</v>
      </c>
      <c r="U1511" s="5">
        <v>20446.560000000001</v>
      </c>
      <c r="V1511" s="5">
        <v>10368</v>
      </c>
      <c r="W1511" s="5">
        <v>13.784673</v>
      </c>
      <c r="X1511" s="5">
        <v>108.068817</v>
      </c>
      <c r="Y1511" s="5">
        <v>10078.549999999999</v>
      </c>
      <c r="Z1511" s="5">
        <v>13.887287000000001</v>
      </c>
      <c r="AA1511" s="5">
        <v>108.026915</v>
      </c>
      <c r="AB1511" s="7">
        <f t="shared" si="139"/>
        <v>15.552</v>
      </c>
      <c r="AC1511" s="7">
        <f t="shared" si="140"/>
        <v>15.117824999999998</v>
      </c>
      <c r="AD1511" s="6" t="str">
        <f t="shared" si="141"/>
        <v>PC11A</v>
      </c>
      <c r="AE1511" s="6" t="str">
        <f t="shared" si="142"/>
        <v>Chư Sê</v>
      </c>
      <c r="AG1511">
        <f t="shared" si="143"/>
        <v>10.368</v>
      </c>
      <c r="AH1511">
        <f t="shared" si="144"/>
        <v>10.07855</v>
      </c>
    </row>
    <row r="1512" spans="1:34" x14ac:dyDescent="0.25">
      <c r="A1512" t="s">
        <v>14272</v>
      </c>
      <c r="B1512" t="s">
        <v>14273</v>
      </c>
      <c r="C1512" t="s">
        <v>14274</v>
      </c>
      <c r="D1512" t="s">
        <v>14275</v>
      </c>
      <c r="E1512" t="s">
        <v>14276</v>
      </c>
      <c r="I1512" t="s">
        <v>17297</v>
      </c>
      <c r="J1512" t="s">
        <v>23</v>
      </c>
      <c r="L1512" t="s">
        <v>14277</v>
      </c>
      <c r="M1512" t="s">
        <v>14278</v>
      </c>
      <c r="N1512" t="s">
        <v>14279</v>
      </c>
      <c r="O1512" t="s">
        <v>14280</v>
      </c>
      <c r="P1512" t="s">
        <v>14281</v>
      </c>
      <c r="Q1512" t="s">
        <v>14282</v>
      </c>
      <c r="R1512" t="s">
        <v>14283</v>
      </c>
      <c r="S1512" t="s">
        <v>14284</v>
      </c>
      <c r="T1512" t="s">
        <v>14285</v>
      </c>
      <c r="U1512" s="5">
        <v>26005.05</v>
      </c>
      <c r="V1512" s="5">
        <v>21076.9</v>
      </c>
      <c r="W1512" s="5">
        <v>14.059809</v>
      </c>
      <c r="X1512" s="5">
        <v>108.095805</v>
      </c>
      <c r="Y1512" s="5">
        <v>4928.1400000000003</v>
      </c>
      <c r="Z1512" s="5">
        <v>14.013227000000001</v>
      </c>
      <c r="AA1512" s="5">
        <v>108.22078500000001</v>
      </c>
      <c r="AB1512" s="7">
        <f t="shared" si="139"/>
        <v>31.615350000000003</v>
      </c>
      <c r="AC1512" s="7">
        <f t="shared" si="140"/>
        <v>7.3922100000000013</v>
      </c>
      <c r="AD1512" s="6" t="str">
        <f t="shared" si="141"/>
        <v>Kon Gang</v>
      </c>
      <c r="AE1512" s="6" t="str">
        <f t="shared" si="142"/>
        <v>TTCMKV Mang Yang</v>
      </c>
      <c r="AG1512">
        <f t="shared" si="143"/>
        <v>21.076900000000002</v>
      </c>
      <c r="AH1512">
        <f t="shared" si="144"/>
        <v>4.92814</v>
      </c>
    </row>
    <row r="1513" spans="1:34" x14ac:dyDescent="0.25">
      <c r="A1513" t="s">
        <v>14286</v>
      </c>
      <c r="B1513" t="s">
        <v>14275</v>
      </c>
      <c r="C1513" t="s">
        <v>14276</v>
      </c>
      <c r="D1513" t="s">
        <v>14287</v>
      </c>
      <c r="E1513" t="s">
        <v>14288</v>
      </c>
      <c r="I1513" t="s">
        <v>17298</v>
      </c>
      <c r="J1513" t="s">
        <v>23</v>
      </c>
      <c r="L1513" t="s">
        <v>14289</v>
      </c>
      <c r="M1513" t="s">
        <v>14290</v>
      </c>
      <c r="N1513" t="s">
        <v>14291</v>
      </c>
      <c r="O1513" t="s">
        <v>14292</v>
      </c>
      <c r="P1513" t="s">
        <v>14293</v>
      </c>
      <c r="Q1513" t="s">
        <v>14294</v>
      </c>
      <c r="R1513" t="s">
        <v>14295</v>
      </c>
      <c r="S1513" t="s">
        <v>14296</v>
      </c>
      <c r="T1513" t="s">
        <v>14297</v>
      </c>
      <c r="U1513" s="5">
        <v>133.97</v>
      </c>
      <c r="V1513" s="5">
        <v>115.06</v>
      </c>
      <c r="W1513" s="5">
        <v>14.044458000000001</v>
      </c>
      <c r="X1513" s="5">
        <v>108.25457</v>
      </c>
      <c r="Y1513" s="5">
        <v>18.920000000000002</v>
      </c>
      <c r="Z1513" s="5">
        <v>13.967781</v>
      </c>
      <c r="AA1513" s="5">
        <v>108.546024</v>
      </c>
      <c r="AB1513" s="7">
        <f t="shared" si="139"/>
        <v>0.17258999999999999</v>
      </c>
      <c r="AC1513" s="7">
        <f t="shared" si="140"/>
        <v>2.8380000000000002E-2</v>
      </c>
      <c r="AD1513" s="6" t="str">
        <f t="shared" si="141"/>
        <v>Đak Pơ</v>
      </c>
      <c r="AE1513" s="6" t="str">
        <f t="shared" si="142"/>
        <v>Mang Yang</v>
      </c>
      <c r="AG1513">
        <f t="shared" si="143"/>
        <v>0.11506</v>
      </c>
      <c r="AH1513">
        <f t="shared" si="144"/>
        <v>1.8920000000000003E-2</v>
      </c>
    </row>
    <row r="1514" spans="1:34" x14ac:dyDescent="0.25">
      <c r="A1514" t="s">
        <v>14298</v>
      </c>
      <c r="B1514" t="s">
        <v>14261</v>
      </c>
      <c r="C1514" t="s">
        <v>14262</v>
      </c>
      <c r="D1514" t="s">
        <v>14299</v>
      </c>
      <c r="E1514" t="s">
        <v>14300</v>
      </c>
      <c r="I1514" t="s">
        <v>14298</v>
      </c>
      <c r="J1514" t="s">
        <v>23</v>
      </c>
      <c r="L1514" t="s">
        <v>14301</v>
      </c>
      <c r="M1514" t="s">
        <v>14302</v>
      </c>
      <c r="N1514" t="s">
        <v>14303</v>
      </c>
      <c r="O1514" t="s">
        <v>14304</v>
      </c>
      <c r="P1514" t="s">
        <v>14305</v>
      </c>
      <c r="Q1514" t="s">
        <v>14306</v>
      </c>
      <c r="R1514" t="s">
        <v>14307</v>
      </c>
      <c r="S1514" t="s">
        <v>14308</v>
      </c>
      <c r="T1514" t="s">
        <v>14309</v>
      </c>
      <c r="U1514" s="5">
        <v>1138.3900000000001</v>
      </c>
      <c r="V1514" s="5">
        <v>24.56</v>
      </c>
      <c r="W1514" s="5">
        <v>13.975977</v>
      </c>
      <c r="X1514" s="5">
        <v>108.00712</v>
      </c>
      <c r="Y1514" s="5">
        <v>1113.83</v>
      </c>
      <c r="Z1514" s="5">
        <v>13.977302999999999</v>
      </c>
      <c r="AA1514" s="5">
        <v>107.993594</v>
      </c>
      <c r="AB1514" s="7">
        <f t="shared" si="139"/>
        <v>3.6839999999999998E-2</v>
      </c>
      <c r="AC1514" s="7">
        <f t="shared" si="140"/>
        <v>1.6707449999999999</v>
      </c>
      <c r="AD1514" s="6" t="str">
        <f t="shared" si="141"/>
        <v>Mang Yang</v>
      </c>
      <c r="AE1514" s="6" t="str">
        <f t="shared" si="142"/>
        <v>TT2 Gia Lai</v>
      </c>
      <c r="AG1514">
        <f t="shared" si="143"/>
        <v>2.4559999999999998E-2</v>
      </c>
      <c r="AH1514">
        <f t="shared" si="144"/>
        <v>1.1138299999999999</v>
      </c>
    </row>
    <row r="1515" spans="1:34" x14ac:dyDescent="0.25">
      <c r="A1515" t="s">
        <v>14310</v>
      </c>
      <c r="B1515" t="s">
        <v>14299</v>
      </c>
      <c r="C1515" t="s">
        <v>14300</v>
      </c>
      <c r="D1515" t="s">
        <v>14311</v>
      </c>
      <c r="E1515" t="s">
        <v>14312</v>
      </c>
      <c r="I1515" t="s">
        <v>14310</v>
      </c>
      <c r="J1515" t="s">
        <v>23</v>
      </c>
      <c r="L1515" t="s">
        <v>14313</v>
      </c>
      <c r="M1515" t="s">
        <v>14314</v>
      </c>
      <c r="N1515" t="s">
        <v>14315</v>
      </c>
      <c r="O1515" t="s">
        <v>14316</v>
      </c>
      <c r="P1515" t="s">
        <v>14317</v>
      </c>
      <c r="Q1515" t="s">
        <v>14318</v>
      </c>
      <c r="R1515" t="s">
        <v>14319</v>
      </c>
      <c r="S1515" t="s">
        <v>14320</v>
      </c>
      <c r="T1515" t="s">
        <v>14321</v>
      </c>
      <c r="U1515" s="5">
        <v>264.29000000000002</v>
      </c>
      <c r="V1515" s="5">
        <v>78.36</v>
      </c>
      <c r="W1515" s="5">
        <v>13.986433</v>
      </c>
      <c r="X1515" s="5">
        <v>107.991055</v>
      </c>
      <c r="Y1515" s="5">
        <v>185.93</v>
      </c>
      <c r="Z1515" s="5">
        <v>14.001015000000001</v>
      </c>
      <c r="AA1515" s="5">
        <v>107.98820499999999</v>
      </c>
      <c r="AB1515" s="7">
        <f t="shared" si="139"/>
        <v>0.11753999999999999</v>
      </c>
      <c r="AC1515" s="7">
        <f t="shared" si="140"/>
        <v>0.278895</v>
      </c>
      <c r="AD1515" s="6" t="str">
        <f t="shared" si="141"/>
        <v>TT1 Gia Lai</v>
      </c>
      <c r="AE1515" s="6" t="str">
        <f t="shared" si="142"/>
        <v>TT2 Gia Lai (ring 1)</v>
      </c>
      <c r="AG1515">
        <f t="shared" si="143"/>
        <v>7.8359999999999999E-2</v>
      </c>
      <c r="AH1515">
        <f t="shared" si="144"/>
        <v>0.18593000000000001</v>
      </c>
    </row>
    <row r="1516" spans="1:34" x14ac:dyDescent="0.25">
      <c r="A1516" t="s">
        <v>14322</v>
      </c>
      <c r="B1516" t="s">
        <v>14311</v>
      </c>
      <c r="C1516" t="s">
        <v>14312</v>
      </c>
      <c r="D1516" t="s">
        <v>14323</v>
      </c>
      <c r="E1516" t="s">
        <v>14324</v>
      </c>
      <c r="I1516" t="s">
        <v>17299</v>
      </c>
      <c r="J1516" t="s">
        <v>23</v>
      </c>
      <c r="L1516" t="s">
        <v>14313</v>
      </c>
      <c r="M1516" t="s">
        <v>14325</v>
      </c>
      <c r="N1516" t="s">
        <v>14318</v>
      </c>
      <c r="O1516" t="s">
        <v>14319</v>
      </c>
      <c r="P1516" t="s">
        <v>14320</v>
      </c>
      <c r="Q1516" t="s">
        <v>2465</v>
      </c>
      <c r="R1516" t="s">
        <v>14326</v>
      </c>
      <c r="S1516" t="s">
        <v>14327</v>
      </c>
      <c r="T1516" t="s">
        <v>14321</v>
      </c>
      <c r="U1516" s="5">
        <v>462.2</v>
      </c>
      <c r="V1516" s="5">
        <v>185.93</v>
      </c>
      <c r="W1516" s="5">
        <v>14.001015000000001</v>
      </c>
      <c r="X1516" s="5">
        <v>107.98820499999999</v>
      </c>
      <c r="Y1516" s="5">
        <v>276.27</v>
      </c>
      <c r="Z1516" s="5">
        <v>14.019204999999999</v>
      </c>
      <c r="AA1516" s="5">
        <v>107.991445</v>
      </c>
      <c r="AB1516" s="7">
        <f t="shared" si="139"/>
        <v>0.278895</v>
      </c>
      <c r="AC1516" s="7">
        <f t="shared" si="140"/>
        <v>0.41440499999999997</v>
      </c>
      <c r="AD1516" s="6" t="str">
        <f t="shared" si="141"/>
        <v>TT1 Gia Lai</v>
      </c>
      <c r="AE1516" s="6" t="str">
        <f t="shared" si="142"/>
        <v>TT2 Gia Lai (ring 1)</v>
      </c>
      <c r="AG1516">
        <f t="shared" si="143"/>
        <v>0.18593000000000001</v>
      </c>
      <c r="AH1516">
        <f t="shared" si="144"/>
        <v>0.27626999999999996</v>
      </c>
    </row>
    <row r="1517" spans="1:34" x14ac:dyDescent="0.25">
      <c r="A1517" t="s">
        <v>14328</v>
      </c>
      <c r="B1517" t="s">
        <v>14323</v>
      </c>
      <c r="C1517" t="s">
        <v>14324</v>
      </c>
      <c r="D1517" t="s">
        <v>14329</v>
      </c>
      <c r="E1517" t="s">
        <v>14330</v>
      </c>
      <c r="I1517" t="s">
        <v>17300</v>
      </c>
      <c r="J1517" t="s">
        <v>23</v>
      </c>
      <c r="L1517" t="s">
        <v>14313</v>
      </c>
      <c r="M1517" t="s">
        <v>14331</v>
      </c>
      <c r="N1517" t="s">
        <v>2465</v>
      </c>
      <c r="O1517" t="s">
        <v>14326</v>
      </c>
      <c r="P1517" t="s">
        <v>14327</v>
      </c>
      <c r="Q1517" t="s">
        <v>14332</v>
      </c>
      <c r="R1517" t="s">
        <v>14333</v>
      </c>
      <c r="S1517" t="s">
        <v>14334</v>
      </c>
      <c r="T1517" t="s">
        <v>14321</v>
      </c>
      <c r="U1517" s="5">
        <v>418.31</v>
      </c>
      <c r="V1517" s="5">
        <v>276.27</v>
      </c>
      <c r="W1517" s="5">
        <v>14.019204999999999</v>
      </c>
      <c r="X1517" s="5">
        <v>107.991445</v>
      </c>
      <c r="Y1517" s="5">
        <v>142.04</v>
      </c>
      <c r="Z1517" s="5">
        <v>14.030605</v>
      </c>
      <c r="AA1517" s="5">
        <v>107.989194</v>
      </c>
      <c r="AB1517" s="7">
        <f t="shared" si="139"/>
        <v>0.41440499999999997</v>
      </c>
      <c r="AC1517" s="7">
        <f t="shared" si="140"/>
        <v>0.21306</v>
      </c>
      <c r="AD1517" s="6" t="str">
        <f t="shared" si="141"/>
        <v>TT1 Gia Lai</v>
      </c>
      <c r="AE1517" s="6" t="str">
        <f t="shared" si="142"/>
        <v>TT2 Gia Lai (ring 1)</v>
      </c>
      <c r="AG1517">
        <f t="shared" si="143"/>
        <v>0.27626999999999996</v>
      </c>
      <c r="AH1517">
        <f t="shared" si="144"/>
        <v>0.14204</v>
      </c>
    </row>
    <row r="1518" spans="1:34" x14ac:dyDescent="0.25">
      <c r="A1518" t="s">
        <v>14335</v>
      </c>
      <c r="B1518" t="s">
        <v>14261</v>
      </c>
      <c r="C1518" t="s">
        <v>14262</v>
      </c>
      <c r="D1518" t="s">
        <v>14336</v>
      </c>
      <c r="E1518" t="s">
        <v>14337</v>
      </c>
      <c r="I1518" t="s">
        <v>14335</v>
      </c>
      <c r="J1518" t="s">
        <v>23</v>
      </c>
      <c r="L1518" t="s">
        <v>14338</v>
      </c>
      <c r="M1518" t="s">
        <v>14339</v>
      </c>
      <c r="N1518" t="s">
        <v>14340</v>
      </c>
      <c r="O1518" t="s">
        <v>14341</v>
      </c>
      <c r="P1518" t="s">
        <v>14342</v>
      </c>
      <c r="Q1518" t="s">
        <v>14343</v>
      </c>
      <c r="R1518" t="s">
        <v>14344</v>
      </c>
      <c r="S1518" t="s">
        <v>14345</v>
      </c>
      <c r="T1518" t="s">
        <v>14346</v>
      </c>
      <c r="U1518" s="5">
        <v>4068.01</v>
      </c>
      <c r="V1518" s="5">
        <v>1309.42</v>
      </c>
      <c r="W1518" s="5">
        <v>13.987567</v>
      </c>
      <c r="X1518" s="5">
        <v>108.005966</v>
      </c>
      <c r="Y1518" s="5">
        <v>2758.59</v>
      </c>
      <c r="Z1518" s="5">
        <v>14.025198</v>
      </c>
      <c r="AA1518" s="5">
        <v>107.990269</v>
      </c>
      <c r="AB1518" s="7">
        <f t="shared" si="139"/>
        <v>1.9641300000000002</v>
      </c>
      <c r="AC1518" s="7">
        <f t="shared" si="140"/>
        <v>4.1378849999999998</v>
      </c>
      <c r="AD1518" s="6" t="str">
        <f t="shared" si="141"/>
        <v>Pleiku</v>
      </c>
      <c r="AE1518" s="6" t="str">
        <f t="shared" si="142"/>
        <v>Biển Hồ</v>
      </c>
      <c r="AG1518">
        <f t="shared" si="143"/>
        <v>1.30942</v>
      </c>
      <c r="AH1518">
        <f t="shared" si="144"/>
        <v>2.7585900000000003</v>
      </c>
    </row>
    <row r="1519" spans="1:34" x14ac:dyDescent="0.25">
      <c r="A1519" t="s">
        <v>14347</v>
      </c>
      <c r="B1519" t="s">
        <v>14336</v>
      </c>
      <c r="C1519" t="s">
        <v>14337</v>
      </c>
      <c r="D1519" t="s">
        <v>14348</v>
      </c>
      <c r="E1519" t="s">
        <v>14349</v>
      </c>
      <c r="I1519" t="s">
        <v>14347</v>
      </c>
      <c r="J1519" t="s">
        <v>23</v>
      </c>
      <c r="L1519" t="s">
        <v>14350</v>
      </c>
      <c r="M1519" t="s">
        <v>14351</v>
      </c>
      <c r="N1519" t="s">
        <v>14352</v>
      </c>
      <c r="O1519" t="s">
        <v>14353</v>
      </c>
      <c r="P1519" t="s">
        <v>14354</v>
      </c>
      <c r="Q1519" t="s">
        <v>14355</v>
      </c>
      <c r="R1519" t="s">
        <v>14356</v>
      </c>
      <c r="S1519" t="s">
        <v>14357</v>
      </c>
      <c r="T1519" t="s">
        <v>14358</v>
      </c>
      <c r="U1519" s="5">
        <v>1706.42</v>
      </c>
      <c r="V1519" s="5">
        <v>1432.45</v>
      </c>
      <c r="W1519" s="5">
        <v>14.035219</v>
      </c>
      <c r="X1519" s="5">
        <v>107.976332</v>
      </c>
      <c r="Y1519" s="5">
        <v>273.97000000000003</v>
      </c>
      <c r="Z1519" s="5">
        <v>14.050341</v>
      </c>
      <c r="AA1519" s="5">
        <v>107.944174</v>
      </c>
      <c r="AB1519" s="7">
        <f t="shared" si="139"/>
        <v>2.1486750000000003</v>
      </c>
      <c r="AC1519" s="7">
        <f t="shared" si="140"/>
        <v>0.41095500000000001</v>
      </c>
      <c r="AD1519" s="6" t="str">
        <f t="shared" si="141"/>
        <v>Thống Nhất</v>
      </c>
      <c r="AE1519" s="6" t="str">
        <f t="shared" si="142"/>
        <v>Ia Hrung</v>
      </c>
      <c r="AG1519">
        <f t="shared" si="143"/>
        <v>1.43245</v>
      </c>
      <c r="AH1519">
        <f t="shared" si="144"/>
        <v>0.27397000000000005</v>
      </c>
    </row>
    <row r="1520" spans="1:34" x14ac:dyDescent="0.25">
      <c r="A1520" t="s">
        <v>14359</v>
      </c>
      <c r="B1520" t="s">
        <v>14348</v>
      </c>
      <c r="C1520" t="s">
        <v>14349</v>
      </c>
      <c r="D1520" t="s">
        <v>14360</v>
      </c>
      <c r="E1520" t="s">
        <v>14361</v>
      </c>
      <c r="I1520" t="s">
        <v>14359</v>
      </c>
      <c r="J1520" t="s">
        <v>23</v>
      </c>
      <c r="L1520" t="s">
        <v>14350</v>
      </c>
      <c r="M1520" t="s">
        <v>14362</v>
      </c>
      <c r="N1520" t="s">
        <v>14355</v>
      </c>
      <c r="O1520" t="s">
        <v>14356</v>
      </c>
      <c r="P1520" t="s">
        <v>14357</v>
      </c>
      <c r="Q1520" t="s">
        <v>14363</v>
      </c>
      <c r="R1520" t="s">
        <v>14364</v>
      </c>
      <c r="S1520" t="s">
        <v>14365</v>
      </c>
      <c r="T1520" t="s">
        <v>14358</v>
      </c>
      <c r="U1520" s="5">
        <v>518.11</v>
      </c>
      <c r="V1520" s="5">
        <v>273.97000000000003</v>
      </c>
      <c r="W1520" s="5">
        <v>14.050341</v>
      </c>
      <c r="X1520" s="5">
        <v>107.944174</v>
      </c>
      <c r="Y1520" s="5">
        <v>244.14</v>
      </c>
      <c r="Z1520" s="5">
        <v>14.041586000000001</v>
      </c>
      <c r="AA1520" s="5">
        <v>107.975059</v>
      </c>
      <c r="AB1520" s="7">
        <f t="shared" si="139"/>
        <v>0.41095500000000001</v>
      </c>
      <c r="AC1520" s="7">
        <f t="shared" si="140"/>
        <v>0.36620999999999998</v>
      </c>
      <c r="AD1520" s="6" t="str">
        <f t="shared" si="141"/>
        <v>Thống Nhất</v>
      </c>
      <c r="AE1520" s="6" t="str">
        <f t="shared" si="142"/>
        <v>Ia Hrung</v>
      </c>
      <c r="AG1520">
        <f t="shared" si="143"/>
        <v>0.27397000000000005</v>
      </c>
      <c r="AH1520">
        <f t="shared" si="144"/>
        <v>0.24414</v>
      </c>
    </row>
    <row r="1521" spans="1:34" x14ac:dyDescent="0.25">
      <c r="A1521" t="s">
        <v>14366</v>
      </c>
      <c r="B1521" t="s">
        <v>14360</v>
      </c>
      <c r="C1521" t="s">
        <v>14361</v>
      </c>
      <c r="D1521" t="s">
        <v>14329</v>
      </c>
      <c r="E1521" t="s">
        <v>14330</v>
      </c>
      <c r="I1521" t="s">
        <v>14366</v>
      </c>
      <c r="J1521" t="s">
        <v>23</v>
      </c>
      <c r="L1521" t="s">
        <v>14350</v>
      </c>
      <c r="M1521" t="s">
        <v>14367</v>
      </c>
      <c r="N1521" t="s">
        <v>14363</v>
      </c>
      <c r="O1521" t="s">
        <v>14364</v>
      </c>
      <c r="P1521" t="s">
        <v>14365</v>
      </c>
      <c r="Q1521" t="s">
        <v>14368</v>
      </c>
      <c r="R1521" t="s">
        <v>14369</v>
      </c>
      <c r="S1521" t="s">
        <v>14370</v>
      </c>
      <c r="T1521" t="s">
        <v>14358</v>
      </c>
      <c r="U1521" s="5">
        <v>382.61</v>
      </c>
      <c r="V1521" s="5">
        <v>244.14</v>
      </c>
      <c r="W1521" s="5">
        <v>14.041586000000001</v>
      </c>
      <c r="X1521" s="5">
        <v>107.975059</v>
      </c>
      <c r="Y1521" s="5">
        <v>138.47</v>
      </c>
      <c r="Z1521" s="5">
        <v>14.030574</v>
      </c>
      <c r="AA1521" s="5">
        <v>107.989164</v>
      </c>
      <c r="AB1521" s="7">
        <f t="shared" si="139"/>
        <v>0.36620999999999998</v>
      </c>
      <c r="AC1521" s="7">
        <f t="shared" si="140"/>
        <v>0.20770499999999997</v>
      </c>
      <c r="AD1521" s="6" t="str">
        <f t="shared" si="141"/>
        <v>Thống Nhất</v>
      </c>
      <c r="AE1521" s="6" t="str">
        <f t="shared" si="142"/>
        <v>Ia Hrung</v>
      </c>
      <c r="AG1521">
        <f t="shared" si="143"/>
        <v>0.24414</v>
      </c>
      <c r="AH1521">
        <f t="shared" si="144"/>
        <v>0.13847000000000001</v>
      </c>
    </row>
    <row r="1522" spans="1:34" x14ac:dyDescent="0.25">
      <c r="A1522" t="s">
        <v>14371</v>
      </c>
      <c r="B1522" t="s">
        <v>14261</v>
      </c>
      <c r="C1522" t="s">
        <v>14262</v>
      </c>
      <c r="D1522" t="s">
        <v>14372</v>
      </c>
      <c r="E1522" t="s">
        <v>14373</v>
      </c>
      <c r="I1522" t="s">
        <v>14371</v>
      </c>
      <c r="J1522" t="s">
        <v>23</v>
      </c>
      <c r="L1522" t="s">
        <v>14301</v>
      </c>
      <c r="M1522" t="s">
        <v>14374</v>
      </c>
      <c r="N1522" t="s">
        <v>14303</v>
      </c>
      <c r="O1522" t="s">
        <v>14304</v>
      </c>
      <c r="P1522" t="s">
        <v>14305</v>
      </c>
      <c r="Q1522" t="s">
        <v>14375</v>
      </c>
      <c r="R1522" t="s">
        <v>14376</v>
      </c>
      <c r="S1522" t="s">
        <v>14377</v>
      </c>
      <c r="T1522" t="s">
        <v>14309</v>
      </c>
      <c r="U1522" s="5">
        <v>2343.12</v>
      </c>
      <c r="V1522" s="5">
        <v>24.56</v>
      </c>
      <c r="W1522" s="5">
        <v>13.975977</v>
      </c>
      <c r="X1522" s="5">
        <v>108.00712</v>
      </c>
      <c r="Y1522" s="5">
        <v>2318.56</v>
      </c>
      <c r="Z1522" s="5">
        <v>13.979895000000001</v>
      </c>
      <c r="AA1522" s="5">
        <v>108.056088</v>
      </c>
      <c r="AB1522" s="7">
        <f t="shared" si="139"/>
        <v>3.6839999999999998E-2</v>
      </c>
      <c r="AC1522" s="7">
        <f t="shared" si="140"/>
        <v>3.47784</v>
      </c>
      <c r="AD1522" s="6" t="str">
        <f t="shared" si="141"/>
        <v>Mang Yang</v>
      </c>
      <c r="AE1522" s="6" t="str">
        <f t="shared" si="142"/>
        <v>TT2 Gia Lai</v>
      </c>
      <c r="AG1522">
        <f t="shared" si="143"/>
        <v>2.4559999999999998E-2</v>
      </c>
      <c r="AH1522">
        <f t="shared" si="144"/>
        <v>2.3185599999999997</v>
      </c>
    </row>
    <row r="1523" spans="1:34" x14ac:dyDescent="0.25">
      <c r="A1523" t="s">
        <v>14378</v>
      </c>
      <c r="B1523" t="s">
        <v>14372</v>
      </c>
      <c r="C1523" t="s">
        <v>14373</v>
      </c>
      <c r="D1523" t="s">
        <v>14379</v>
      </c>
      <c r="E1523" t="s">
        <v>14380</v>
      </c>
      <c r="I1523" t="s">
        <v>14378</v>
      </c>
      <c r="J1523" t="s">
        <v>23</v>
      </c>
      <c r="L1523" t="s">
        <v>14301</v>
      </c>
      <c r="M1523" t="s">
        <v>14381</v>
      </c>
      <c r="N1523" t="s">
        <v>14375</v>
      </c>
      <c r="O1523" t="s">
        <v>14376</v>
      </c>
      <c r="P1523" t="s">
        <v>14377</v>
      </c>
      <c r="Q1523" t="s">
        <v>14382</v>
      </c>
      <c r="R1523" t="s">
        <v>14383</v>
      </c>
      <c r="S1523" t="s">
        <v>14384</v>
      </c>
      <c r="T1523" t="s">
        <v>14309</v>
      </c>
      <c r="U1523" s="5">
        <v>4795.5200000000004</v>
      </c>
      <c r="V1523" s="5">
        <v>2318.56</v>
      </c>
      <c r="W1523" s="5">
        <v>13.979895000000001</v>
      </c>
      <c r="X1523" s="5">
        <v>108.056088</v>
      </c>
      <c r="Y1523" s="5">
        <v>2476.96</v>
      </c>
      <c r="Z1523" s="5">
        <v>13.981914</v>
      </c>
      <c r="AA1523" s="5">
        <v>108.059037</v>
      </c>
      <c r="AB1523" s="7">
        <f t="shared" si="139"/>
        <v>3.47784</v>
      </c>
      <c r="AC1523" s="7">
        <f t="shared" si="140"/>
        <v>3.7154400000000001</v>
      </c>
      <c r="AD1523" s="6" t="str">
        <f t="shared" si="141"/>
        <v>Mang Yang</v>
      </c>
      <c r="AE1523" s="6" t="str">
        <f t="shared" si="142"/>
        <v>TT2 Gia Lai</v>
      </c>
      <c r="AG1523">
        <f t="shared" si="143"/>
        <v>2.3185599999999997</v>
      </c>
      <c r="AH1523">
        <f t="shared" si="144"/>
        <v>2.4769600000000001</v>
      </c>
    </row>
    <row r="1524" spans="1:34" x14ac:dyDescent="0.25">
      <c r="A1524" t="s">
        <v>14385</v>
      </c>
      <c r="B1524" t="s">
        <v>14379</v>
      </c>
      <c r="C1524" t="s">
        <v>14380</v>
      </c>
      <c r="D1524" t="s">
        <v>14386</v>
      </c>
      <c r="E1524" t="s">
        <v>14387</v>
      </c>
      <c r="I1524" t="s">
        <v>14385</v>
      </c>
      <c r="J1524" t="s">
        <v>23</v>
      </c>
      <c r="L1524" t="s">
        <v>14313</v>
      </c>
      <c r="M1524" t="s">
        <v>14388</v>
      </c>
      <c r="N1524" t="s">
        <v>14389</v>
      </c>
      <c r="O1524" t="s">
        <v>14390</v>
      </c>
      <c r="P1524" t="s">
        <v>14391</v>
      </c>
      <c r="Q1524" t="s">
        <v>14392</v>
      </c>
      <c r="R1524" t="s">
        <v>14393</v>
      </c>
      <c r="S1524" t="s">
        <v>14394</v>
      </c>
      <c r="T1524" t="s">
        <v>14321</v>
      </c>
      <c r="U1524" s="5">
        <v>5546.8</v>
      </c>
      <c r="V1524" s="5">
        <v>5387.27</v>
      </c>
      <c r="W1524" s="5">
        <v>14.038876999999999</v>
      </c>
      <c r="X1524" s="5">
        <v>108.017393</v>
      </c>
      <c r="Y1524" s="5">
        <v>159.53</v>
      </c>
      <c r="Z1524" s="5">
        <v>14.036512999999999</v>
      </c>
      <c r="AA1524" s="5">
        <v>108.013386</v>
      </c>
      <c r="AB1524" s="7">
        <f t="shared" si="139"/>
        <v>8.0809050000000013</v>
      </c>
      <c r="AC1524" s="7">
        <f t="shared" si="140"/>
        <v>0.23929500000000001</v>
      </c>
      <c r="AD1524" s="6" t="str">
        <f t="shared" si="141"/>
        <v>TT1 Gia Lai</v>
      </c>
      <c r="AE1524" s="6" t="str">
        <f t="shared" si="142"/>
        <v>TT2 Gia Lai (ring 1)</v>
      </c>
      <c r="AG1524">
        <f t="shared" si="143"/>
        <v>5.38727</v>
      </c>
      <c r="AH1524">
        <f t="shared" si="144"/>
        <v>0.15953000000000001</v>
      </c>
    </row>
    <row r="1525" spans="1:34" x14ac:dyDescent="0.25">
      <c r="A1525" t="s">
        <v>14395</v>
      </c>
      <c r="B1525" t="s">
        <v>14386</v>
      </c>
      <c r="C1525" t="s">
        <v>14387</v>
      </c>
      <c r="D1525" t="s">
        <v>14329</v>
      </c>
      <c r="E1525" t="s">
        <v>14330</v>
      </c>
      <c r="I1525" t="s">
        <v>14395</v>
      </c>
      <c r="J1525" t="s">
        <v>23</v>
      </c>
      <c r="L1525" t="s">
        <v>14313</v>
      </c>
      <c r="M1525" t="s">
        <v>14396</v>
      </c>
      <c r="N1525" t="s">
        <v>14392</v>
      </c>
      <c r="O1525" t="s">
        <v>14393</v>
      </c>
      <c r="P1525" t="s">
        <v>14394</v>
      </c>
      <c r="Q1525" t="s">
        <v>14332</v>
      </c>
      <c r="R1525" t="s">
        <v>14333</v>
      </c>
      <c r="S1525" t="s">
        <v>14334</v>
      </c>
      <c r="T1525" t="s">
        <v>14321</v>
      </c>
      <c r="U1525" s="5">
        <v>301.57</v>
      </c>
      <c r="V1525" s="5">
        <v>159.53</v>
      </c>
      <c r="W1525" s="5">
        <v>14.036512999999999</v>
      </c>
      <c r="X1525" s="5">
        <v>108.013386</v>
      </c>
      <c r="Y1525" s="5">
        <v>142.04</v>
      </c>
      <c r="Z1525" s="5">
        <v>14.030605</v>
      </c>
      <c r="AA1525" s="5">
        <v>107.989194</v>
      </c>
      <c r="AB1525" s="7">
        <f t="shared" si="139"/>
        <v>0.23929500000000001</v>
      </c>
      <c r="AC1525" s="7">
        <f t="shared" si="140"/>
        <v>0.21306</v>
      </c>
      <c r="AD1525" s="6" t="str">
        <f t="shared" si="141"/>
        <v>TT1 Gia Lai</v>
      </c>
      <c r="AE1525" s="6" t="str">
        <f t="shared" si="142"/>
        <v>TT2 Gia Lai (ring 1)</v>
      </c>
      <c r="AG1525">
        <f t="shared" si="143"/>
        <v>0.15953000000000001</v>
      </c>
      <c r="AH1525">
        <f t="shared" si="144"/>
        <v>0.14204</v>
      </c>
    </row>
    <row r="1526" spans="1:34" x14ac:dyDescent="0.25">
      <c r="A1526" t="s">
        <v>14397</v>
      </c>
      <c r="B1526" t="s">
        <v>14287</v>
      </c>
      <c r="C1526" t="s">
        <v>14288</v>
      </c>
      <c r="D1526" t="s">
        <v>14398</v>
      </c>
      <c r="E1526" t="s">
        <v>14399</v>
      </c>
      <c r="I1526" t="s">
        <v>17301</v>
      </c>
      <c r="J1526" t="s">
        <v>23</v>
      </c>
      <c r="L1526" t="s">
        <v>14400</v>
      </c>
      <c r="M1526" t="s">
        <v>10123</v>
      </c>
      <c r="N1526" t="s">
        <v>14401</v>
      </c>
      <c r="O1526" t="s">
        <v>14402</v>
      </c>
      <c r="P1526" t="s">
        <v>14403</v>
      </c>
      <c r="Q1526" t="s">
        <v>14404</v>
      </c>
      <c r="R1526" t="s">
        <v>14405</v>
      </c>
      <c r="S1526" t="s">
        <v>14406</v>
      </c>
      <c r="T1526" t="s">
        <v>14407</v>
      </c>
      <c r="U1526" s="5">
        <v>78.81</v>
      </c>
      <c r="V1526" s="5">
        <v>6.28</v>
      </c>
      <c r="W1526" s="5">
        <v>13.967898999999999</v>
      </c>
      <c r="X1526" s="5">
        <v>108.54607300000001</v>
      </c>
      <c r="Y1526" s="5">
        <v>72.53</v>
      </c>
      <c r="Z1526" s="5">
        <v>14.064273</v>
      </c>
      <c r="AA1526" s="5">
        <v>108.33480900000001</v>
      </c>
      <c r="AB1526" s="7">
        <f t="shared" si="139"/>
        <v>9.4199999999999996E-3</v>
      </c>
      <c r="AC1526" s="7">
        <f t="shared" si="140"/>
        <v>0.108795</v>
      </c>
      <c r="AD1526" s="6" t="str">
        <f t="shared" si="141"/>
        <v>Trại Giam Gia Trung</v>
      </c>
      <c r="AE1526" s="6" t="str">
        <f t="shared" si="142"/>
        <v>Đak Pơ</v>
      </c>
      <c r="AG1526">
        <f t="shared" si="143"/>
        <v>6.28E-3</v>
      </c>
      <c r="AH1526">
        <f t="shared" si="144"/>
        <v>7.2529999999999997E-2</v>
      </c>
    </row>
    <row r="1527" spans="1:34" x14ac:dyDescent="0.25">
      <c r="A1527" t="s">
        <v>14408</v>
      </c>
      <c r="B1527" t="s">
        <v>14398</v>
      </c>
      <c r="C1527" t="s">
        <v>14399</v>
      </c>
      <c r="D1527" t="s">
        <v>14275</v>
      </c>
      <c r="E1527" t="s">
        <v>14276</v>
      </c>
      <c r="I1527" t="s">
        <v>17302</v>
      </c>
      <c r="J1527" t="s">
        <v>23</v>
      </c>
      <c r="L1527" t="s">
        <v>14409</v>
      </c>
      <c r="M1527" t="s">
        <v>14410</v>
      </c>
      <c r="N1527" t="s">
        <v>14411</v>
      </c>
      <c r="O1527" t="s">
        <v>14412</v>
      </c>
      <c r="P1527" t="s">
        <v>14413</v>
      </c>
      <c r="Q1527" t="s">
        <v>14414</v>
      </c>
      <c r="R1527" t="s">
        <v>14415</v>
      </c>
      <c r="S1527" t="s">
        <v>14416</v>
      </c>
      <c r="T1527" t="s">
        <v>14417</v>
      </c>
      <c r="U1527" s="5">
        <v>175.09</v>
      </c>
      <c r="V1527" s="5">
        <v>20.66</v>
      </c>
      <c r="W1527" s="5">
        <v>14.064811000000001</v>
      </c>
      <c r="X1527" s="5">
        <v>108.334502</v>
      </c>
      <c r="Y1527" s="5">
        <v>154.43</v>
      </c>
      <c r="Z1527" s="5">
        <v>14.042767</v>
      </c>
      <c r="AA1527" s="5">
        <v>108.255346</v>
      </c>
      <c r="AB1527" s="7">
        <f t="shared" si="139"/>
        <v>3.0990000000000004E-2</v>
      </c>
      <c r="AC1527" s="7">
        <f t="shared" si="140"/>
        <v>0.23164500000000002</v>
      </c>
      <c r="AD1527" s="6" t="str">
        <f t="shared" si="141"/>
        <v>Mang Yang</v>
      </c>
      <c r="AE1527" s="6" t="str">
        <f t="shared" si="142"/>
        <v>Trại Giam Gia Trung</v>
      </c>
      <c r="AG1527">
        <f t="shared" si="143"/>
        <v>2.0660000000000001E-2</v>
      </c>
      <c r="AH1527">
        <f t="shared" si="144"/>
        <v>0.15443000000000001</v>
      </c>
    </row>
    <row r="1528" spans="1:34" x14ac:dyDescent="0.25">
      <c r="A1528" t="s">
        <v>14418</v>
      </c>
      <c r="B1528" t="s">
        <v>14287</v>
      </c>
      <c r="C1528" t="s">
        <v>14288</v>
      </c>
      <c r="D1528" t="s">
        <v>14419</v>
      </c>
      <c r="E1528" t="s">
        <v>14420</v>
      </c>
      <c r="I1528" t="s">
        <v>17303</v>
      </c>
      <c r="J1528" t="s">
        <v>23</v>
      </c>
      <c r="L1528" t="s">
        <v>14421</v>
      </c>
      <c r="M1528" t="s">
        <v>14422</v>
      </c>
      <c r="N1528" t="s">
        <v>14423</v>
      </c>
      <c r="O1528" t="s">
        <v>14424</v>
      </c>
      <c r="P1528" t="s">
        <v>14425</v>
      </c>
      <c r="Q1528" t="s">
        <v>14426</v>
      </c>
      <c r="R1528" t="s">
        <v>14427</v>
      </c>
      <c r="S1528" t="s">
        <v>14428</v>
      </c>
      <c r="T1528" t="s">
        <v>14429</v>
      </c>
      <c r="U1528" s="5">
        <v>2951.95</v>
      </c>
      <c r="V1528" s="5">
        <v>23.1</v>
      </c>
      <c r="W1528" s="5">
        <v>13.968123</v>
      </c>
      <c r="X1528" s="5">
        <v>108.546165</v>
      </c>
      <c r="Y1528" s="5">
        <v>2928.85</v>
      </c>
      <c r="Z1528" s="5">
        <v>13.960167999999999</v>
      </c>
      <c r="AA1528" s="5">
        <v>108.60830900000001</v>
      </c>
      <c r="AB1528" s="7">
        <f t="shared" si="139"/>
        <v>3.4650000000000007E-2</v>
      </c>
      <c r="AC1528" s="7">
        <f t="shared" si="140"/>
        <v>4.393275</v>
      </c>
      <c r="AD1528" s="6" t="str">
        <f t="shared" si="141"/>
        <v>An Khê</v>
      </c>
      <c r="AE1528" s="6" t="str">
        <f t="shared" si="142"/>
        <v>Đak Pơ</v>
      </c>
      <c r="AG1528">
        <f t="shared" si="143"/>
        <v>2.3100000000000002E-2</v>
      </c>
      <c r="AH1528">
        <f t="shared" si="144"/>
        <v>2.9288499999999997</v>
      </c>
    </row>
    <row r="1529" spans="1:34" x14ac:dyDescent="0.25">
      <c r="A1529" t="s">
        <v>14430</v>
      </c>
      <c r="B1529" t="s">
        <v>14419</v>
      </c>
      <c r="C1529" t="s">
        <v>14420</v>
      </c>
      <c r="D1529" t="s">
        <v>14431</v>
      </c>
      <c r="E1529" t="s">
        <v>14432</v>
      </c>
      <c r="I1529" t="s">
        <v>17304</v>
      </c>
      <c r="J1529" t="s">
        <v>23</v>
      </c>
      <c r="L1529" t="s">
        <v>14313</v>
      </c>
      <c r="M1529" t="s">
        <v>14433</v>
      </c>
      <c r="N1529" t="s">
        <v>14434</v>
      </c>
      <c r="O1529" t="s">
        <v>14435</v>
      </c>
      <c r="P1529" t="s">
        <v>14436</v>
      </c>
      <c r="Q1529" t="s">
        <v>14437</v>
      </c>
      <c r="R1529" t="s">
        <v>14438</v>
      </c>
      <c r="S1529" t="s">
        <v>14439</v>
      </c>
      <c r="T1529" t="s">
        <v>14440</v>
      </c>
      <c r="U1529" s="5">
        <v>2979.7</v>
      </c>
      <c r="V1529" s="5">
        <v>2928.95</v>
      </c>
      <c r="W1529" s="5">
        <v>13.960357</v>
      </c>
      <c r="X1529" s="5">
        <v>108.60757</v>
      </c>
      <c r="Y1529" s="5">
        <v>50.74</v>
      </c>
      <c r="Z1529" s="5">
        <v>13.96</v>
      </c>
      <c r="AA1529" s="5">
        <v>108.61441499999999</v>
      </c>
      <c r="AB1529" s="7">
        <f t="shared" si="139"/>
        <v>4.3934249999999997</v>
      </c>
      <c r="AC1529" s="7">
        <f t="shared" si="140"/>
        <v>7.6109999999999997E-2</v>
      </c>
      <c r="AD1529" s="6" t="str">
        <f t="shared" si="141"/>
        <v>TT1 Gia Lai</v>
      </c>
      <c r="AE1529" s="6" t="str">
        <f t="shared" si="142"/>
        <v>TT2 Gia Lai (ring 1)</v>
      </c>
      <c r="AG1529">
        <f t="shared" si="143"/>
        <v>2.9289499999999999</v>
      </c>
      <c r="AH1529">
        <f t="shared" si="144"/>
        <v>5.074E-2</v>
      </c>
    </row>
    <row r="1530" spans="1:34" x14ac:dyDescent="0.25">
      <c r="A1530" t="s">
        <v>14441</v>
      </c>
      <c r="B1530" t="s">
        <v>14431</v>
      </c>
      <c r="C1530" t="s">
        <v>14432</v>
      </c>
      <c r="D1530" t="s">
        <v>14442</v>
      </c>
      <c r="E1530" t="s">
        <v>14443</v>
      </c>
      <c r="I1530" t="s">
        <v>17305</v>
      </c>
      <c r="J1530" t="s">
        <v>23</v>
      </c>
      <c r="L1530" t="s">
        <v>14313</v>
      </c>
      <c r="M1530" t="s">
        <v>14444</v>
      </c>
      <c r="N1530" t="s">
        <v>14437</v>
      </c>
      <c r="O1530" t="s">
        <v>14438</v>
      </c>
      <c r="P1530" t="s">
        <v>14439</v>
      </c>
      <c r="Q1530" t="s">
        <v>14445</v>
      </c>
      <c r="R1530" t="s">
        <v>14446</v>
      </c>
      <c r="S1530" t="s">
        <v>14447</v>
      </c>
      <c r="T1530" t="s">
        <v>14440</v>
      </c>
      <c r="U1530" s="5">
        <v>3332.81</v>
      </c>
      <c r="V1530" s="5">
        <v>50.74</v>
      </c>
      <c r="W1530" s="5">
        <v>13.96</v>
      </c>
      <c r="X1530" s="5">
        <v>108.61441499999999</v>
      </c>
      <c r="Y1530" s="5">
        <v>3282.06</v>
      </c>
      <c r="Z1530" s="5">
        <v>13.972889</v>
      </c>
      <c r="AA1530" s="5">
        <v>108.675011</v>
      </c>
      <c r="AB1530" s="7">
        <f t="shared" si="139"/>
        <v>7.6109999999999997E-2</v>
      </c>
      <c r="AC1530" s="7">
        <f t="shared" si="140"/>
        <v>4.9230900000000002</v>
      </c>
      <c r="AD1530" s="6" t="str">
        <f t="shared" si="141"/>
        <v>TT1 Gia Lai</v>
      </c>
      <c r="AE1530" s="6" t="str">
        <f t="shared" si="142"/>
        <v>TT2 Gia Lai (ring 1)</v>
      </c>
      <c r="AG1530">
        <f t="shared" si="143"/>
        <v>5.074E-2</v>
      </c>
      <c r="AH1530">
        <f t="shared" si="144"/>
        <v>3.28206</v>
      </c>
    </row>
    <row r="1531" spans="1:34" x14ac:dyDescent="0.25">
      <c r="A1531" t="s">
        <v>14448</v>
      </c>
      <c r="B1531" t="s">
        <v>14442</v>
      </c>
      <c r="C1531" t="s">
        <v>14443</v>
      </c>
      <c r="D1531" t="s">
        <v>14449</v>
      </c>
      <c r="E1531" t="s">
        <v>14450</v>
      </c>
      <c r="I1531" t="s">
        <v>14448</v>
      </c>
      <c r="J1531" t="s">
        <v>23</v>
      </c>
      <c r="L1531" t="s">
        <v>14451</v>
      </c>
      <c r="M1531" t="s">
        <v>14452</v>
      </c>
      <c r="N1531" t="s">
        <v>14453</v>
      </c>
      <c r="O1531" t="s">
        <v>14454</v>
      </c>
      <c r="P1531" t="s">
        <v>14455</v>
      </c>
      <c r="Q1531" t="s">
        <v>14456</v>
      </c>
      <c r="R1531" t="s">
        <v>14457</v>
      </c>
      <c r="S1531" t="s">
        <v>14458</v>
      </c>
      <c r="T1531" t="s">
        <v>14459</v>
      </c>
      <c r="U1531" s="5">
        <v>6482.91</v>
      </c>
      <c r="V1531" s="5">
        <v>368.26</v>
      </c>
      <c r="W1531" s="5">
        <v>13.998237</v>
      </c>
      <c r="X1531" s="5">
        <v>108.65497000000001</v>
      </c>
      <c r="Y1531" s="5">
        <v>6114.65</v>
      </c>
      <c r="Z1531" s="5">
        <v>14.038970000000001</v>
      </c>
      <c r="AA1531" s="5">
        <v>108.647316</v>
      </c>
      <c r="AB1531" s="7">
        <f t="shared" si="139"/>
        <v>0.55238999999999994</v>
      </c>
      <c r="AC1531" s="7">
        <f t="shared" si="140"/>
        <v>9.171974999999998</v>
      </c>
      <c r="AD1531" s="6" t="str">
        <f t="shared" si="141"/>
        <v>Kông Bơ La</v>
      </c>
      <c r="AE1531" s="6" t="str">
        <f t="shared" si="142"/>
        <v>An Khê</v>
      </c>
      <c r="AG1531">
        <f t="shared" si="143"/>
        <v>0.36825999999999998</v>
      </c>
      <c r="AH1531">
        <f t="shared" si="144"/>
        <v>6.1146499999999993</v>
      </c>
    </row>
    <row r="1532" spans="1:34" x14ac:dyDescent="0.25">
      <c r="A1532" t="s">
        <v>14460</v>
      </c>
      <c r="B1532" t="s">
        <v>14449</v>
      </c>
      <c r="C1532" t="s">
        <v>14450</v>
      </c>
      <c r="D1532" t="s">
        <v>14275</v>
      </c>
      <c r="E1532" t="s">
        <v>14276</v>
      </c>
      <c r="I1532" t="s">
        <v>17306</v>
      </c>
      <c r="J1532" t="s">
        <v>23</v>
      </c>
      <c r="L1532" t="s">
        <v>14313</v>
      </c>
      <c r="M1532" t="s">
        <v>14461</v>
      </c>
      <c r="N1532" t="s">
        <v>14462</v>
      </c>
      <c r="O1532" t="s">
        <v>14463</v>
      </c>
      <c r="P1532" t="s">
        <v>14464</v>
      </c>
      <c r="Q1532" t="s">
        <v>14465</v>
      </c>
      <c r="R1532" t="s">
        <v>14466</v>
      </c>
      <c r="S1532" t="s">
        <v>14467</v>
      </c>
      <c r="T1532" t="s">
        <v>14440</v>
      </c>
      <c r="U1532" s="5">
        <v>13242.18</v>
      </c>
      <c r="V1532" s="5">
        <v>13096</v>
      </c>
      <c r="W1532" s="5">
        <v>13.976487000000001</v>
      </c>
      <c r="X1532" s="5">
        <v>108.687316</v>
      </c>
      <c r="Y1532" s="5">
        <v>146.18</v>
      </c>
      <c r="Z1532" s="5">
        <v>14.042709</v>
      </c>
      <c r="AA1532" s="5">
        <v>108.25521000000001</v>
      </c>
      <c r="AB1532" s="7">
        <f t="shared" si="139"/>
        <v>19.643999999999998</v>
      </c>
      <c r="AC1532" s="7">
        <f t="shared" si="140"/>
        <v>0.21927000000000002</v>
      </c>
      <c r="AD1532" s="6" t="str">
        <f t="shared" si="141"/>
        <v>TT1 Gia Lai</v>
      </c>
      <c r="AE1532" s="6" t="str">
        <f t="shared" si="142"/>
        <v>TT2 Gia Lai (ring 1)</v>
      </c>
      <c r="AG1532">
        <f t="shared" si="143"/>
        <v>13.096</v>
      </c>
      <c r="AH1532">
        <f t="shared" si="144"/>
        <v>0.14618</v>
      </c>
    </row>
    <row r="1533" spans="1:34" x14ac:dyDescent="0.25">
      <c r="A1533" t="s">
        <v>14468</v>
      </c>
      <c r="B1533" t="s">
        <v>14287</v>
      </c>
      <c r="C1533" t="s">
        <v>14288</v>
      </c>
      <c r="D1533" t="s">
        <v>14469</v>
      </c>
      <c r="E1533" t="s">
        <v>14470</v>
      </c>
      <c r="I1533" t="s">
        <v>17307</v>
      </c>
      <c r="J1533" t="s">
        <v>23</v>
      </c>
      <c r="L1533" t="s">
        <v>14421</v>
      </c>
      <c r="M1533" t="s">
        <v>14471</v>
      </c>
      <c r="N1533" t="s">
        <v>14423</v>
      </c>
      <c r="O1533" t="s">
        <v>14424</v>
      </c>
      <c r="P1533" t="s">
        <v>14425</v>
      </c>
      <c r="Q1533" t="s">
        <v>14472</v>
      </c>
      <c r="R1533" t="s">
        <v>14473</v>
      </c>
      <c r="S1533" t="s">
        <v>14474</v>
      </c>
      <c r="T1533" t="s">
        <v>14429</v>
      </c>
      <c r="U1533" s="5">
        <v>42.13</v>
      </c>
      <c r="V1533" s="5">
        <v>23.1</v>
      </c>
      <c r="W1533" s="5">
        <v>13.968123</v>
      </c>
      <c r="X1533" s="5">
        <v>108.546165</v>
      </c>
      <c r="Y1533" s="5">
        <v>19.02</v>
      </c>
      <c r="Z1533" s="5">
        <v>13.953626</v>
      </c>
      <c r="AA1533" s="5">
        <v>108.65497499999999</v>
      </c>
      <c r="AB1533" s="7">
        <f t="shared" si="139"/>
        <v>3.4650000000000007E-2</v>
      </c>
      <c r="AC1533" s="7">
        <f t="shared" si="140"/>
        <v>2.853E-2</v>
      </c>
      <c r="AD1533" s="6" t="str">
        <f t="shared" si="141"/>
        <v>An Khê</v>
      </c>
      <c r="AE1533" s="6" t="str">
        <f t="shared" si="142"/>
        <v>Đak Pơ</v>
      </c>
      <c r="AG1533">
        <f t="shared" si="143"/>
        <v>2.3100000000000002E-2</v>
      </c>
      <c r="AH1533">
        <f t="shared" si="144"/>
        <v>1.9019999999999999E-2</v>
      </c>
    </row>
    <row r="1534" spans="1:34" x14ac:dyDescent="0.25">
      <c r="A1534" t="s">
        <v>14475</v>
      </c>
      <c r="B1534" t="s">
        <v>14469</v>
      </c>
      <c r="C1534" t="s">
        <v>14470</v>
      </c>
      <c r="D1534" t="s">
        <v>14476</v>
      </c>
      <c r="E1534" t="s">
        <v>14477</v>
      </c>
      <c r="I1534" t="s">
        <v>17308</v>
      </c>
      <c r="J1534" t="s">
        <v>23</v>
      </c>
      <c r="L1534" t="s">
        <v>14478</v>
      </c>
      <c r="M1534" t="s">
        <v>14479</v>
      </c>
      <c r="N1534" t="s">
        <v>14480</v>
      </c>
      <c r="O1534" t="s">
        <v>14481</v>
      </c>
      <c r="P1534" t="s">
        <v>14482</v>
      </c>
      <c r="Q1534" t="s">
        <v>14483</v>
      </c>
      <c r="R1534" t="s">
        <v>14484</v>
      </c>
      <c r="S1534" t="s">
        <v>14485</v>
      </c>
      <c r="T1534" t="s">
        <v>14486</v>
      </c>
      <c r="U1534" s="5">
        <v>218.6</v>
      </c>
      <c r="V1534" s="5">
        <v>58.97</v>
      </c>
      <c r="W1534" s="5">
        <v>13.953217</v>
      </c>
      <c r="X1534" s="5">
        <v>108.655554</v>
      </c>
      <c r="Y1534" s="5">
        <v>159.63</v>
      </c>
      <c r="Z1534" s="5">
        <v>13.971009</v>
      </c>
      <c r="AA1534" s="5">
        <v>108.672723</v>
      </c>
      <c r="AB1534" s="7">
        <f t="shared" si="139"/>
        <v>8.8454999999999992E-2</v>
      </c>
      <c r="AC1534" s="7">
        <f t="shared" si="140"/>
        <v>0.23944499999999999</v>
      </c>
      <c r="AD1534" s="6" t="str">
        <f t="shared" si="141"/>
        <v>Cửu An</v>
      </c>
      <c r="AE1534" s="6" t="str">
        <f t="shared" si="142"/>
        <v>TTCMKV An Khê</v>
      </c>
      <c r="AG1534">
        <f t="shared" si="143"/>
        <v>5.8970000000000002E-2</v>
      </c>
      <c r="AH1534">
        <f t="shared" si="144"/>
        <v>0.15962999999999999</v>
      </c>
    </row>
    <row r="1535" spans="1:34" x14ac:dyDescent="0.25">
      <c r="A1535" t="s">
        <v>14487</v>
      </c>
      <c r="B1535" t="s">
        <v>14476</v>
      </c>
      <c r="C1535" t="s">
        <v>14477</v>
      </c>
      <c r="D1535" t="s">
        <v>14488</v>
      </c>
      <c r="E1535" t="s">
        <v>14489</v>
      </c>
      <c r="I1535" t="s">
        <v>14487</v>
      </c>
      <c r="J1535" t="s">
        <v>23</v>
      </c>
      <c r="L1535" t="s">
        <v>14478</v>
      </c>
      <c r="M1535" t="s">
        <v>14490</v>
      </c>
      <c r="N1535" t="s">
        <v>14483</v>
      </c>
      <c r="O1535" t="s">
        <v>14484</v>
      </c>
      <c r="P1535" t="s">
        <v>14485</v>
      </c>
      <c r="Q1535" t="s">
        <v>14491</v>
      </c>
      <c r="R1535" t="s">
        <v>14492</v>
      </c>
      <c r="S1535" t="s">
        <v>14493</v>
      </c>
      <c r="T1535" t="s">
        <v>14486</v>
      </c>
      <c r="U1535" s="5">
        <v>269.01</v>
      </c>
      <c r="V1535" s="5">
        <v>159.63</v>
      </c>
      <c r="W1535" s="5">
        <v>13.971009</v>
      </c>
      <c r="X1535" s="5">
        <v>108.672723</v>
      </c>
      <c r="Y1535" s="5">
        <v>109.38</v>
      </c>
      <c r="Z1535" s="5">
        <v>13.974591</v>
      </c>
      <c r="AA1535" s="5">
        <v>108.678703</v>
      </c>
      <c r="AB1535" s="7">
        <f t="shared" si="139"/>
        <v>0.23944499999999999</v>
      </c>
      <c r="AC1535" s="7">
        <f t="shared" si="140"/>
        <v>0.16406999999999999</v>
      </c>
      <c r="AD1535" s="6" t="str">
        <f t="shared" si="141"/>
        <v>Cửu An</v>
      </c>
      <c r="AE1535" s="6" t="str">
        <f t="shared" si="142"/>
        <v>TTCMKV An Khê</v>
      </c>
      <c r="AG1535">
        <f t="shared" si="143"/>
        <v>0.15962999999999999</v>
      </c>
      <c r="AH1535">
        <f t="shared" si="144"/>
        <v>0.10937999999999999</v>
      </c>
    </row>
    <row r="1536" spans="1:34" x14ac:dyDescent="0.25">
      <c r="A1536" t="s">
        <v>14494</v>
      </c>
      <c r="B1536" t="s">
        <v>14488</v>
      </c>
      <c r="C1536" t="s">
        <v>14489</v>
      </c>
      <c r="D1536" t="s">
        <v>14495</v>
      </c>
      <c r="E1536" t="s">
        <v>14496</v>
      </c>
      <c r="I1536" t="s">
        <v>17309</v>
      </c>
      <c r="J1536" t="s">
        <v>23</v>
      </c>
      <c r="L1536" t="s">
        <v>14313</v>
      </c>
      <c r="M1536" t="s">
        <v>14497</v>
      </c>
      <c r="N1536" t="s">
        <v>14498</v>
      </c>
      <c r="O1536" t="s">
        <v>14499</v>
      </c>
      <c r="P1536" t="s">
        <v>14500</v>
      </c>
      <c r="Q1536" t="s">
        <v>14501</v>
      </c>
      <c r="R1536" t="s">
        <v>14502</v>
      </c>
      <c r="S1536" t="s">
        <v>14503</v>
      </c>
      <c r="T1536" t="s">
        <v>14440</v>
      </c>
      <c r="U1536" s="5">
        <v>380.28</v>
      </c>
      <c r="V1536" s="5">
        <v>189.46</v>
      </c>
      <c r="W1536" s="5">
        <v>13.974348000000001</v>
      </c>
      <c r="X1536" s="5">
        <v>108.677654</v>
      </c>
      <c r="Y1536" s="5">
        <v>190.81</v>
      </c>
      <c r="Z1536" s="5">
        <v>13.979367</v>
      </c>
      <c r="AA1536" s="5">
        <v>108.713758</v>
      </c>
      <c r="AB1536" s="7">
        <f t="shared" si="139"/>
        <v>0.28419</v>
      </c>
      <c r="AC1536" s="7">
        <f t="shared" si="140"/>
        <v>0.28621500000000005</v>
      </c>
      <c r="AD1536" s="6" t="str">
        <f t="shared" si="141"/>
        <v>TT1 Gia Lai</v>
      </c>
      <c r="AE1536" s="6" t="str">
        <f t="shared" si="142"/>
        <v>TT2 Gia Lai (ring 1)</v>
      </c>
      <c r="AG1536">
        <f t="shared" si="143"/>
        <v>0.18946000000000002</v>
      </c>
      <c r="AH1536">
        <f t="shared" si="144"/>
        <v>0.19081000000000001</v>
      </c>
    </row>
    <row r="1537" spans="1:34" x14ac:dyDescent="0.25">
      <c r="A1537" t="s">
        <v>14504</v>
      </c>
      <c r="B1537" t="s">
        <v>14495</v>
      </c>
      <c r="C1537" t="s">
        <v>14496</v>
      </c>
      <c r="D1537" t="s">
        <v>14505</v>
      </c>
      <c r="E1537" t="s">
        <v>14506</v>
      </c>
      <c r="I1537" t="s">
        <v>17310</v>
      </c>
      <c r="J1537" t="s">
        <v>23</v>
      </c>
      <c r="L1537" t="s">
        <v>14507</v>
      </c>
      <c r="M1537" t="s">
        <v>14508</v>
      </c>
      <c r="N1537" t="s">
        <v>14509</v>
      </c>
      <c r="O1537" t="s">
        <v>14510</v>
      </c>
      <c r="P1537" t="s">
        <v>14511</v>
      </c>
      <c r="Q1537" t="s">
        <v>14512</v>
      </c>
      <c r="R1537" t="s">
        <v>14513</v>
      </c>
      <c r="S1537" t="s">
        <v>14514</v>
      </c>
      <c r="T1537" t="s">
        <v>14515</v>
      </c>
      <c r="U1537" s="5">
        <v>1085.99</v>
      </c>
      <c r="V1537" s="5">
        <v>594.54999999999995</v>
      </c>
      <c r="W1537" s="5">
        <v>13.980578</v>
      </c>
      <c r="X1537" s="5">
        <v>108.709626</v>
      </c>
      <c r="Y1537" s="5">
        <v>491.44</v>
      </c>
      <c r="Z1537" s="5">
        <v>14.003221</v>
      </c>
      <c r="AA1537" s="5">
        <v>108.694164</v>
      </c>
      <c r="AB1537" s="7">
        <f t="shared" si="139"/>
        <v>0.89182499999999998</v>
      </c>
      <c r="AC1537" s="7">
        <f t="shared" si="140"/>
        <v>0.73715999999999993</v>
      </c>
      <c r="AD1537" s="6" t="str">
        <f t="shared" si="141"/>
        <v>Kbang</v>
      </c>
      <c r="AE1537" s="6" t="str">
        <f t="shared" si="142"/>
        <v>Cửu An</v>
      </c>
      <c r="AG1537">
        <f t="shared" si="143"/>
        <v>0.59454999999999991</v>
      </c>
      <c r="AH1537">
        <f t="shared" si="144"/>
        <v>0.49143999999999999</v>
      </c>
    </row>
    <row r="1538" spans="1:34" x14ac:dyDescent="0.25">
      <c r="A1538" t="s">
        <v>14516</v>
      </c>
      <c r="B1538" t="s">
        <v>14505</v>
      </c>
      <c r="C1538" t="s">
        <v>14506</v>
      </c>
      <c r="D1538" t="s">
        <v>14517</v>
      </c>
      <c r="E1538" t="s">
        <v>14518</v>
      </c>
      <c r="I1538" t="s">
        <v>14516</v>
      </c>
      <c r="J1538" t="s">
        <v>23</v>
      </c>
      <c r="L1538" t="s">
        <v>14313</v>
      </c>
      <c r="M1538" t="s">
        <v>14519</v>
      </c>
      <c r="N1538" t="s">
        <v>14520</v>
      </c>
      <c r="O1538" t="s">
        <v>14521</v>
      </c>
      <c r="P1538" t="s">
        <v>14522</v>
      </c>
      <c r="Q1538" t="s">
        <v>14523</v>
      </c>
      <c r="R1538" t="s">
        <v>14524</v>
      </c>
      <c r="S1538" t="s">
        <v>14525</v>
      </c>
      <c r="T1538" t="s">
        <v>14440</v>
      </c>
      <c r="U1538" s="5">
        <v>3222.98</v>
      </c>
      <c r="V1538" s="5">
        <v>2913.87</v>
      </c>
      <c r="W1538" s="5">
        <v>13.97743</v>
      </c>
      <c r="X1538" s="5">
        <v>108.694885</v>
      </c>
      <c r="Y1538" s="5">
        <v>309.11</v>
      </c>
      <c r="Z1538" s="5">
        <v>13.975898000000001</v>
      </c>
      <c r="AA1538" s="5">
        <v>108.527321</v>
      </c>
      <c r="AB1538" s="7">
        <f t="shared" si="139"/>
        <v>4.3708050000000007</v>
      </c>
      <c r="AC1538" s="7">
        <f t="shared" si="140"/>
        <v>0.46366499999999999</v>
      </c>
      <c r="AD1538" s="6" t="str">
        <f t="shared" si="141"/>
        <v>TT1 Gia Lai</v>
      </c>
      <c r="AE1538" s="6" t="str">
        <f t="shared" si="142"/>
        <v>TT2 Gia Lai (ring 1)</v>
      </c>
      <c r="AG1538">
        <f t="shared" si="143"/>
        <v>2.9138699999999997</v>
      </c>
      <c r="AH1538">
        <f t="shared" si="144"/>
        <v>0.30911</v>
      </c>
    </row>
    <row r="1539" spans="1:34" x14ac:dyDescent="0.25">
      <c r="A1539" t="s">
        <v>14526</v>
      </c>
      <c r="B1539" t="s">
        <v>14517</v>
      </c>
      <c r="C1539" t="s">
        <v>14518</v>
      </c>
      <c r="D1539" t="s">
        <v>14275</v>
      </c>
      <c r="E1539" t="s">
        <v>14276</v>
      </c>
      <c r="I1539" t="s">
        <v>17311</v>
      </c>
      <c r="J1539" t="s">
        <v>23</v>
      </c>
      <c r="L1539" t="s">
        <v>14289</v>
      </c>
      <c r="M1539" t="s">
        <v>14527</v>
      </c>
      <c r="N1539" t="s">
        <v>14528</v>
      </c>
      <c r="O1539" t="s">
        <v>14529</v>
      </c>
      <c r="P1539" t="s">
        <v>14530</v>
      </c>
      <c r="Q1539" t="s">
        <v>14291</v>
      </c>
      <c r="R1539" t="s">
        <v>14292</v>
      </c>
      <c r="S1539" t="s">
        <v>14293</v>
      </c>
      <c r="T1539" t="s">
        <v>14297</v>
      </c>
      <c r="U1539" s="5">
        <v>432.25</v>
      </c>
      <c r="V1539" s="5">
        <v>317.19</v>
      </c>
      <c r="W1539" s="5">
        <v>13.975923</v>
      </c>
      <c r="X1539" s="5">
        <v>108.527676</v>
      </c>
      <c r="Y1539" s="5">
        <v>115.06</v>
      </c>
      <c r="Z1539" s="5">
        <v>14.044458000000001</v>
      </c>
      <c r="AA1539" s="5">
        <v>108.25457</v>
      </c>
      <c r="AB1539" s="7">
        <f t="shared" ref="AB1539:AB1602" si="145">V1539*1.5/1000</f>
        <v>0.47578499999999996</v>
      </c>
      <c r="AC1539" s="7">
        <f t="shared" ref="AC1539:AC1602" si="146">Y1539*1.5/1000</f>
        <v>0.17258999999999999</v>
      </c>
      <c r="AD1539" s="6" t="str">
        <f t="shared" ref="AD1539:AD1602" si="147">TRIM(LEFT(L1539,FIND("-",L1539)-1))</f>
        <v>Đak Pơ</v>
      </c>
      <c r="AE1539" s="6" t="str">
        <f t="shared" ref="AE1539:AE1602" si="148">TRIM(RIGHT(L1539, LEN(L1539) - FIND("-", L1539)))</f>
        <v>Mang Yang</v>
      </c>
      <c r="AG1539">
        <f t="shared" ref="AG1539:AG1602" si="149">V1539/1000</f>
        <v>0.31718999999999997</v>
      </c>
      <c r="AH1539">
        <f t="shared" ref="AH1539:AH1602" si="150">Y1539/1000</f>
        <v>0.11506</v>
      </c>
    </row>
    <row r="1540" spans="1:34" x14ac:dyDescent="0.25">
      <c r="A1540" t="s">
        <v>14531</v>
      </c>
      <c r="B1540" t="s">
        <v>14261</v>
      </c>
      <c r="C1540" t="s">
        <v>14262</v>
      </c>
      <c r="D1540" t="s">
        <v>14532</v>
      </c>
      <c r="E1540" t="s">
        <v>14533</v>
      </c>
      <c r="I1540" t="s">
        <v>14531</v>
      </c>
      <c r="J1540" t="s">
        <v>23</v>
      </c>
      <c r="L1540" t="s">
        <v>14301</v>
      </c>
      <c r="M1540" t="s">
        <v>14534</v>
      </c>
      <c r="N1540" t="s">
        <v>14303</v>
      </c>
      <c r="O1540" t="s">
        <v>14304</v>
      </c>
      <c r="P1540" t="s">
        <v>14305</v>
      </c>
      <c r="Q1540" t="s">
        <v>14535</v>
      </c>
      <c r="R1540" t="s">
        <v>14536</v>
      </c>
      <c r="S1540" t="s">
        <v>14537</v>
      </c>
      <c r="T1540" t="s">
        <v>14309</v>
      </c>
      <c r="U1540" s="5">
        <v>63.01</v>
      </c>
      <c r="V1540" s="5">
        <v>24.56</v>
      </c>
      <c r="W1540" s="5">
        <v>13.975977</v>
      </c>
      <c r="X1540" s="5">
        <v>108.00712</v>
      </c>
      <c r="Y1540" s="5">
        <v>38.450000000000003</v>
      </c>
      <c r="Z1540" s="5">
        <v>13.971126</v>
      </c>
      <c r="AA1540" s="5">
        <v>108.03304900000001</v>
      </c>
      <c r="AB1540" s="7">
        <f t="shared" si="145"/>
        <v>3.6839999999999998E-2</v>
      </c>
      <c r="AC1540" s="7">
        <f t="shared" si="146"/>
        <v>5.7675000000000004E-2</v>
      </c>
      <c r="AD1540" s="6" t="str">
        <f t="shared" si="147"/>
        <v>Mang Yang</v>
      </c>
      <c r="AE1540" s="6" t="str">
        <f t="shared" si="148"/>
        <v>TT2 Gia Lai</v>
      </c>
      <c r="AG1540">
        <f t="shared" si="149"/>
        <v>2.4559999999999998E-2</v>
      </c>
      <c r="AH1540">
        <f t="shared" si="150"/>
        <v>3.8450000000000005E-2</v>
      </c>
    </row>
    <row r="1541" spans="1:34" x14ac:dyDescent="0.25">
      <c r="A1541" t="s">
        <v>14538</v>
      </c>
      <c r="B1541" t="s">
        <v>14532</v>
      </c>
      <c r="C1541" t="s">
        <v>14533</v>
      </c>
      <c r="D1541" t="s">
        <v>14539</v>
      </c>
      <c r="E1541" t="s">
        <v>14540</v>
      </c>
      <c r="I1541" t="s">
        <v>14538</v>
      </c>
      <c r="J1541" t="s">
        <v>23</v>
      </c>
      <c r="L1541" t="s">
        <v>14301</v>
      </c>
      <c r="M1541" t="s">
        <v>14541</v>
      </c>
      <c r="N1541" t="s">
        <v>14535</v>
      </c>
      <c r="O1541" t="s">
        <v>14536</v>
      </c>
      <c r="P1541" t="s">
        <v>14537</v>
      </c>
      <c r="Q1541" t="s">
        <v>14542</v>
      </c>
      <c r="R1541" t="s">
        <v>14543</v>
      </c>
      <c r="S1541" t="s">
        <v>14544</v>
      </c>
      <c r="T1541" t="s">
        <v>14309</v>
      </c>
      <c r="U1541" s="5">
        <v>82.1</v>
      </c>
      <c r="V1541" s="5">
        <v>38.450000000000003</v>
      </c>
      <c r="W1541" s="5">
        <v>13.971126</v>
      </c>
      <c r="X1541" s="5">
        <v>108.03304900000001</v>
      </c>
      <c r="Y1541" s="5">
        <v>43.65</v>
      </c>
      <c r="Z1541" s="5">
        <v>13.978845</v>
      </c>
      <c r="AA1541" s="5">
        <v>108.055339</v>
      </c>
      <c r="AB1541" s="7">
        <f t="shared" si="145"/>
        <v>5.7675000000000004E-2</v>
      </c>
      <c r="AC1541" s="7">
        <f t="shared" si="146"/>
        <v>6.5474999999999992E-2</v>
      </c>
      <c r="AD1541" s="6" t="str">
        <f t="shared" si="147"/>
        <v>Mang Yang</v>
      </c>
      <c r="AE1541" s="6" t="str">
        <f t="shared" si="148"/>
        <v>TT2 Gia Lai</v>
      </c>
      <c r="AG1541">
        <f t="shared" si="149"/>
        <v>3.8450000000000005E-2</v>
      </c>
      <c r="AH1541">
        <f t="shared" si="150"/>
        <v>4.3650000000000001E-2</v>
      </c>
    </row>
    <row r="1542" spans="1:34" x14ac:dyDescent="0.25">
      <c r="A1542" t="s">
        <v>14545</v>
      </c>
      <c r="B1542" t="s">
        <v>14539</v>
      </c>
      <c r="C1542" t="s">
        <v>14540</v>
      </c>
      <c r="D1542" t="s">
        <v>14546</v>
      </c>
      <c r="E1542" t="s">
        <v>14547</v>
      </c>
      <c r="I1542" t="s">
        <v>14545</v>
      </c>
      <c r="J1542" t="s">
        <v>23</v>
      </c>
      <c r="L1542" t="s">
        <v>14301</v>
      </c>
      <c r="M1542" t="s">
        <v>14548</v>
      </c>
      <c r="N1542" t="s">
        <v>14542</v>
      </c>
      <c r="O1542" t="s">
        <v>14543</v>
      </c>
      <c r="P1542" t="s">
        <v>14544</v>
      </c>
      <c r="Q1542" t="s">
        <v>14549</v>
      </c>
      <c r="R1542" t="s">
        <v>14550</v>
      </c>
      <c r="S1542" t="s">
        <v>14551</v>
      </c>
      <c r="T1542" t="s">
        <v>14309</v>
      </c>
      <c r="U1542" s="5">
        <v>2364.96</v>
      </c>
      <c r="V1542" s="5">
        <v>43.65</v>
      </c>
      <c r="W1542" s="5">
        <v>13.978845</v>
      </c>
      <c r="X1542" s="5">
        <v>108.055339</v>
      </c>
      <c r="Y1542" s="5">
        <v>2321.31</v>
      </c>
      <c r="Z1542" s="5">
        <v>13.979399000000001</v>
      </c>
      <c r="AA1542" s="5">
        <v>108.069846</v>
      </c>
      <c r="AB1542" s="7">
        <f t="shared" si="145"/>
        <v>6.5474999999999992E-2</v>
      </c>
      <c r="AC1542" s="7">
        <f t="shared" si="146"/>
        <v>3.4819650000000002</v>
      </c>
      <c r="AD1542" s="6" t="str">
        <f t="shared" si="147"/>
        <v>Mang Yang</v>
      </c>
      <c r="AE1542" s="6" t="str">
        <f t="shared" si="148"/>
        <v>TT2 Gia Lai</v>
      </c>
      <c r="AG1542">
        <f t="shared" si="149"/>
        <v>4.3650000000000001E-2</v>
      </c>
      <c r="AH1542">
        <f t="shared" si="150"/>
        <v>2.32131</v>
      </c>
    </row>
    <row r="1543" spans="1:34" x14ac:dyDescent="0.25">
      <c r="A1543" t="s">
        <v>14552</v>
      </c>
      <c r="B1543" t="s">
        <v>14546</v>
      </c>
      <c r="C1543" t="s">
        <v>14547</v>
      </c>
      <c r="D1543" t="s">
        <v>14553</v>
      </c>
      <c r="E1543" t="s">
        <v>14554</v>
      </c>
      <c r="I1543" t="s">
        <v>14552</v>
      </c>
      <c r="J1543" t="s">
        <v>23</v>
      </c>
      <c r="L1543" t="s">
        <v>14555</v>
      </c>
      <c r="M1543" t="s">
        <v>14556</v>
      </c>
      <c r="N1543" t="s">
        <v>14557</v>
      </c>
      <c r="O1543" t="s">
        <v>14558</v>
      </c>
      <c r="P1543" t="s">
        <v>14559</v>
      </c>
      <c r="Q1543" t="s">
        <v>14560</v>
      </c>
      <c r="R1543" t="s">
        <v>14561</v>
      </c>
      <c r="S1543" t="s">
        <v>14562</v>
      </c>
      <c r="T1543" t="s">
        <v>14563</v>
      </c>
      <c r="U1543" s="5">
        <v>170.9</v>
      </c>
      <c r="V1543" s="5">
        <v>41.41</v>
      </c>
      <c r="W1543" s="5">
        <v>13.959146</v>
      </c>
      <c r="X1543" s="5">
        <v>108.073198</v>
      </c>
      <c r="Y1543" s="5">
        <v>129.47999999999999</v>
      </c>
      <c r="Z1543" s="5">
        <v>13.981230999999999</v>
      </c>
      <c r="AA1543" s="5">
        <v>108.07736</v>
      </c>
      <c r="AB1543" s="7">
        <f t="shared" si="145"/>
        <v>6.2114999999999997E-2</v>
      </c>
      <c r="AC1543" s="7">
        <f t="shared" si="146"/>
        <v>0.19421999999999998</v>
      </c>
      <c r="AD1543" s="6" t="str">
        <f t="shared" si="147"/>
        <v>Ia băng</v>
      </c>
      <c r="AE1543" s="6" t="str">
        <f t="shared" si="148"/>
        <v>Đăk Đoa</v>
      </c>
      <c r="AG1543">
        <f t="shared" si="149"/>
        <v>4.1409999999999995E-2</v>
      </c>
      <c r="AH1543">
        <f t="shared" si="150"/>
        <v>0.12947999999999998</v>
      </c>
    </row>
    <row r="1544" spans="1:34" x14ac:dyDescent="0.25">
      <c r="A1544" t="s">
        <v>14564</v>
      </c>
      <c r="B1544" t="s">
        <v>14553</v>
      </c>
      <c r="C1544" t="s">
        <v>14554</v>
      </c>
      <c r="D1544" t="s">
        <v>14565</v>
      </c>
      <c r="E1544" t="s">
        <v>14566</v>
      </c>
      <c r="I1544" t="s">
        <v>14564</v>
      </c>
      <c r="J1544" t="s">
        <v>23</v>
      </c>
      <c r="L1544" t="s">
        <v>14555</v>
      </c>
      <c r="M1544" t="s">
        <v>14567</v>
      </c>
      <c r="N1544" t="s">
        <v>14560</v>
      </c>
      <c r="O1544" t="s">
        <v>14561</v>
      </c>
      <c r="P1544" t="s">
        <v>14562</v>
      </c>
      <c r="Q1544" t="s">
        <v>14568</v>
      </c>
      <c r="R1544" t="s">
        <v>14569</v>
      </c>
      <c r="S1544" t="s">
        <v>14570</v>
      </c>
      <c r="T1544" t="s">
        <v>14563</v>
      </c>
      <c r="U1544" s="5">
        <v>230.25</v>
      </c>
      <c r="V1544" s="5">
        <v>129.47999999999999</v>
      </c>
      <c r="W1544" s="5">
        <v>13.981230999999999</v>
      </c>
      <c r="X1544" s="5">
        <v>108.07736</v>
      </c>
      <c r="Y1544" s="5">
        <v>100.76</v>
      </c>
      <c r="Z1544" s="5">
        <v>13.98691</v>
      </c>
      <c r="AA1544" s="5">
        <v>108.087727</v>
      </c>
      <c r="AB1544" s="7">
        <f t="shared" si="145"/>
        <v>0.19421999999999998</v>
      </c>
      <c r="AC1544" s="7">
        <f t="shared" si="146"/>
        <v>0.15114000000000002</v>
      </c>
      <c r="AD1544" s="6" t="str">
        <f t="shared" si="147"/>
        <v>Ia băng</v>
      </c>
      <c r="AE1544" s="6" t="str">
        <f t="shared" si="148"/>
        <v>Đăk Đoa</v>
      </c>
      <c r="AG1544">
        <f t="shared" si="149"/>
        <v>0.12947999999999998</v>
      </c>
      <c r="AH1544">
        <f t="shared" si="150"/>
        <v>0.10076</v>
      </c>
    </row>
    <row r="1545" spans="1:34" x14ac:dyDescent="0.25">
      <c r="A1545" t="s">
        <v>14571</v>
      </c>
      <c r="B1545" t="s">
        <v>14565</v>
      </c>
      <c r="C1545" t="s">
        <v>14566</v>
      </c>
      <c r="D1545" t="s">
        <v>14572</v>
      </c>
      <c r="E1545" t="s">
        <v>14573</v>
      </c>
      <c r="I1545" t="s">
        <v>17312</v>
      </c>
      <c r="J1545" t="s">
        <v>23</v>
      </c>
      <c r="L1545" t="s">
        <v>14301</v>
      </c>
      <c r="M1545" t="s">
        <v>14574</v>
      </c>
      <c r="N1545" t="s">
        <v>14575</v>
      </c>
      <c r="O1545" t="s">
        <v>14576</v>
      </c>
      <c r="P1545" t="s">
        <v>14577</v>
      </c>
      <c r="Q1545" t="s">
        <v>11312</v>
      </c>
      <c r="R1545" t="s">
        <v>14578</v>
      </c>
      <c r="S1545" t="s">
        <v>14579</v>
      </c>
      <c r="T1545" t="s">
        <v>14309</v>
      </c>
      <c r="U1545" s="5">
        <v>305.72000000000003</v>
      </c>
      <c r="V1545" s="5">
        <v>97.47</v>
      </c>
      <c r="W1545" s="5">
        <v>13.987261999999999</v>
      </c>
      <c r="X1545" s="5">
        <v>108.088094</v>
      </c>
      <c r="Y1545" s="5">
        <v>208.25</v>
      </c>
      <c r="Z1545" s="5">
        <v>13.99399</v>
      </c>
      <c r="AA1545" s="5">
        <v>108.12063999999999</v>
      </c>
      <c r="AB1545" s="7">
        <f t="shared" si="145"/>
        <v>0.14620499999999997</v>
      </c>
      <c r="AC1545" s="7">
        <f t="shared" si="146"/>
        <v>0.31237500000000001</v>
      </c>
      <c r="AD1545" s="6" t="str">
        <f t="shared" si="147"/>
        <v>Mang Yang</v>
      </c>
      <c r="AE1545" s="6" t="str">
        <f t="shared" si="148"/>
        <v>TT2 Gia Lai</v>
      </c>
      <c r="AG1545">
        <f t="shared" si="149"/>
        <v>9.7470000000000001E-2</v>
      </c>
      <c r="AH1545">
        <f t="shared" si="150"/>
        <v>0.20824999999999999</v>
      </c>
    </row>
    <row r="1546" spans="1:34" x14ac:dyDescent="0.25">
      <c r="A1546" t="s">
        <v>14580</v>
      </c>
      <c r="B1546" t="s">
        <v>14261</v>
      </c>
      <c r="C1546" t="s">
        <v>14262</v>
      </c>
      <c r="D1546" t="s">
        <v>14581</v>
      </c>
      <c r="E1546" t="s">
        <v>14582</v>
      </c>
      <c r="I1546" t="s">
        <v>17313</v>
      </c>
      <c r="J1546" t="s">
        <v>23</v>
      </c>
      <c r="L1546" t="s">
        <v>14583</v>
      </c>
      <c r="M1546" t="s">
        <v>14584</v>
      </c>
      <c r="N1546" t="s">
        <v>14585</v>
      </c>
      <c r="O1546" t="s">
        <v>14586</v>
      </c>
      <c r="P1546" t="s">
        <v>14587</v>
      </c>
      <c r="Q1546" t="s">
        <v>14588</v>
      </c>
      <c r="R1546" t="s">
        <v>14589</v>
      </c>
      <c r="S1546" t="s">
        <v>14590</v>
      </c>
      <c r="T1546" t="s">
        <v>14591</v>
      </c>
      <c r="U1546" s="5">
        <v>1581.4</v>
      </c>
      <c r="V1546" s="5">
        <v>1489.29</v>
      </c>
      <c r="W1546" s="5">
        <v>13.973366</v>
      </c>
      <c r="X1546" s="5">
        <v>107.99338299999999</v>
      </c>
      <c r="Y1546" s="5">
        <v>92.11</v>
      </c>
      <c r="Z1546" s="5">
        <v>13.936449</v>
      </c>
      <c r="AA1546" s="5">
        <v>108.009153</v>
      </c>
      <c r="AB1546" s="7">
        <f t="shared" si="145"/>
        <v>2.2339349999999998</v>
      </c>
      <c r="AC1546" s="7">
        <f t="shared" si="146"/>
        <v>0.13816499999999998</v>
      </c>
      <c r="AD1546" s="6" t="str">
        <f t="shared" si="147"/>
        <v>TT2 Gia Lai</v>
      </c>
      <c r="AE1546" s="6" t="str">
        <f t="shared" si="148"/>
        <v>Chư Sê</v>
      </c>
      <c r="AG1546">
        <f t="shared" si="149"/>
        <v>1.48929</v>
      </c>
      <c r="AH1546">
        <f t="shared" si="150"/>
        <v>9.2109999999999997E-2</v>
      </c>
    </row>
    <row r="1547" spans="1:34" x14ac:dyDescent="0.25">
      <c r="A1547" t="s">
        <v>14592</v>
      </c>
      <c r="B1547" t="e">
        <v>#N/A</v>
      </c>
      <c r="C1547" t="e">
        <v>#N/A</v>
      </c>
      <c r="D1547" t="s">
        <v>14593</v>
      </c>
      <c r="E1547" t="s">
        <v>14594</v>
      </c>
      <c r="I1547" t="s">
        <v>17314</v>
      </c>
      <c r="J1547" t="s">
        <v>5239</v>
      </c>
      <c r="K1547" t="s">
        <v>5240</v>
      </c>
      <c r="AB1547" s="7">
        <f t="shared" si="145"/>
        <v>0</v>
      </c>
      <c r="AC1547" s="7">
        <f t="shared" si="146"/>
        <v>0</v>
      </c>
      <c r="AD1547" s="6" t="e">
        <f t="shared" si="147"/>
        <v>#VALUE!</v>
      </c>
      <c r="AE1547" s="6" t="e">
        <f t="shared" si="148"/>
        <v>#VALUE!</v>
      </c>
      <c r="AG1547">
        <f t="shared" si="149"/>
        <v>0</v>
      </c>
      <c r="AH1547">
        <f t="shared" si="150"/>
        <v>0</v>
      </c>
    </row>
    <row r="1548" spans="1:34" x14ac:dyDescent="0.25">
      <c r="A1548" t="s">
        <v>14595</v>
      </c>
      <c r="B1548" t="s">
        <v>14593</v>
      </c>
      <c r="C1548" t="s">
        <v>14594</v>
      </c>
      <c r="D1548" t="s">
        <v>14596</v>
      </c>
      <c r="E1548" t="s">
        <v>14597</v>
      </c>
      <c r="I1548" t="s">
        <v>17315</v>
      </c>
      <c r="J1548" t="s">
        <v>23</v>
      </c>
      <c r="L1548" t="s">
        <v>14598</v>
      </c>
      <c r="M1548" t="s">
        <v>14599</v>
      </c>
      <c r="N1548" t="s">
        <v>14600</v>
      </c>
      <c r="O1548" t="s">
        <v>14601</v>
      </c>
      <c r="P1548" t="s">
        <v>14602</v>
      </c>
      <c r="Q1548" t="s">
        <v>14603</v>
      </c>
      <c r="R1548" t="s">
        <v>14604</v>
      </c>
      <c r="S1548" t="s">
        <v>14605</v>
      </c>
      <c r="T1548" t="s">
        <v>14606</v>
      </c>
      <c r="U1548" s="5">
        <v>1202.42</v>
      </c>
      <c r="V1548" s="5">
        <v>1147.1600000000001</v>
      </c>
      <c r="W1548" s="5">
        <v>13.894145999999999</v>
      </c>
      <c r="X1548" s="5">
        <v>108.02097000000001</v>
      </c>
      <c r="Y1548" s="5">
        <v>55.26</v>
      </c>
      <c r="Z1548" s="5">
        <v>13.893011</v>
      </c>
      <c r="AA1548" s="5">
        <v>108.04869100000001</v>
      </c>
      <c r="AB1548" s="7">
        <f t="shared" si="145"/>
        <v>1.7207400000000002</v>
      </c>
      <c r="AC1548" s="7">
        <f t="shared" si="146"/>
        <v>8.2890000000000005E-2</v>
      </c>
      <c r="AD1548" s="6" t="str">
        <f t="shared" si="147"/>
        <v>Hội Phú</v>
      </c>
      <c r="AE1548" s="6" t="str">
        <f t="shared" si="148"/>
        <v>Ia Băng</v>
      </c>
      <c r="AG1548">
        <f t="shared" si="149"/>
        <v>1.1471600000000002</v>
      </c>
      <c r="AH1548">
        <f t="shared" si="150"/>
        <v>5.5259999999999997E-2</v>
      </c>
    </row>
    <row r="1549" spans="1:34" x14ac:dyDescent="0.25">
      <c r="A1549" t="s">
        <v>14607</v>
      </c>
      <c r="B1549" t="s">
        <v>14596</v>
      </c>
      <c r="C1549" t="s">
        <v>14597</v>
      </c>
      <c r="D1549" t="s">
        <v>14608</v>
      </c>
      <c r="E1549" t="s">
        <v>14609</v>
      </c>
      <c r="I1549" t="s">
        <v>17316</v>
      </c>
      <c r="J1549" t="s">
        <v>23</v>
      </c>
      <c r="L1549" t="s">
        <v>14555</v>
      </c>
      <c r="M1549" t="s">
        <v>14610</v>
      </c>
      <c r="N1549" t="s">
        <v>14611</v>
      </c>
      <c r="O1549" t="s">
        <v>14612</v>
      </c>
      <c r="P1549" t="s">
        <v>14613</v>
      </c>
      <c r="Q1549" t="s">
        <v>14614</v>
      </c>
      <c r="R1549" t="s">
        <v>14615</v>
      </c>
      <c r="S1549" t="s">
        <v>14616</v>
      </c>
      <c r="T1549" t="s">
        <v>14563</v>
      </c>
      <c r="U1549" s="5">
        <v>8465.3799999999992</v>
      </c>
      <c r="V1549" s="5">
        <v>91.29</v>
      </c>
      <c r="W1549" s="5">
        <v>13.893615</v>
      </c>
      <c r="X1549" s="5">
        <v>108.049333</v>
      </c>
      <c r="Y1549" s="5">
        <v>8374.08</v>
      </c>
      <c r="Z1549" s="5">
        <v>13.898092999999999</v>
      </c>
      <c r="AA1549" s="5">
        <v>108.052488</v>
      </c>
      <c r="AB1549" s="7">
        <f t="shared" si="145"/>
        <v>0.136935</v>
      </c>
      <c r="AC1549" s="7">
        <f t="shared" si="146"/>
        <v>12.561119999999999</v>
      </c>
      <c r="AD1549" s="6" t="str">
        <f t="shared" si="147"/>
        <v>Ia băng</v>
      </c>
      <c r="AE1549" s="6" t="str">
        <f t="shared" si="148"/>
        <v>Đăk Đoa</v>
      </c>
      <c r="AG1549">
        <f t="shared" si="149"/>
        <v>9.129000000000001E-2</v>
      </c>
      <c r="AH1549">
        <f t="shared" si="150"/>
        <v>8.3740799999999993</v>
      </c>
    </row>
    <row r="1550" spans="1:34" x14ac:dyDescent="0.25">
      <c r="A1550" t="s">
        <v>14617</v>
      </c>
      <c r="B1550" t="s">
        <v>14608</v>
      </c>
      <c r="C1550" t="s">
        <v>14609</v>
      </c>
      <c r="D1550" t="s">
        <v>14618</v>
      </c>
      <c r="E1550" t="s">
        <v>14619</v>
      </c>
      <c r="I1550" t="s">
        <v>14617</v>
      </c>
      <c r="J1550" t="s">
        <v>23</v>
      </c>
      <c r="L1550" t="s">
        <v>14620</v>
      </c>
      <c r="M1550" t="s">
        <v>14621</v>
      </c>
      <c r="N1550" t="s">
        <v>14622</v>
      </c>
      <c r="O1550" t="s">
        <v>14623</v>
      </c>
      <c r="P1550" t="s">
        <v>14624</v>
      </c>
      <c r="Q1550" t="s">
        <v>14625</v>
      </c>
      <c r="R1550" t="s">
        <v>14626</v>
      </c>
      <c r="S1550" t="s">
        <v>14627</v>
      </c>
      <c r="T1550" t="s">
        <v>14628</v>
      </c>
      <c r="U1550" s="5">
        <v>7545.01</v>
      </c>
      <c r="V1550" s="5">
        <v>2967.63</v>
      </c>
      <c r="W1550" s="5">
        <v>13.871776000000001</v>
      </c>
      <c r="X1550" s="5">
        <v>108.153998</v>
      </c>
      <c r="Y1550" s="5">
        <v>4577.3900000000003</v>
      </c>
      <c r="Z1550" s="5">
        <v>13.951295999999999</v>
      </c>
      <c r="AA1550" s="5">
        <v>108.178617</v>
      </c>
      <c r="AB1550" s="7">
        <f t="shared" si="145"/>
        <v>4.4514449999999997</v>
      </c>
      <c r="AC1550" s="7">
        <f t="shared" si="146"/>
        <v>6.8660850000000009</v>
      </c>
      <c r="AD1550" s="6" t="str">
        <f t="shared" si="147"/>
        <v>Kdang</v>
      </c>
      <c r="AE1550" s="6" t="str">
        <f t="shared" si="148"/>
        <v>Bờ Ngoong</v>
      </c>
      <c r="AG1550">
        <f t="shared" si="149"/>
        <v>2.9676300000000002</v>
      </c>
      <c r="AH1550">
        <f t="shared" si="150"/>
        <v>4.5773900000000003</v>
      </c>
    </row>
    <row r="1551" spans="1:34" x14ac:dyDescent="0.25">
      <c r="A1551" t="s">
        <v>14629</v>
      </c>
      <c r="B1551" t="s">
        <v>14618</v>
      </c>
      <c r="C1551" t="s">
        <v>14619</v>
      </c>
      <c r="D1551" t="s">
        <v>14630</v>
      </c>
      <c r="E1551" t="s">
        <v>14631</v>
      </c>
      <c r="I1551" t="s">
        <v>17317</v>
      </c>
      <c r="J1551" t="s">
        <v>23</v>
      </c>
      <c r="L1551" t="s">
        <v>14632</v>
      </c>
      <c r="M1551" t="s">
        <v>14633</v>
      </c>
      <c r="N1551" t="s">
        <v>14634</v>
      </c>
      <c r="O1551" t="s">
        <v>14635</v>
      </c>
      <c r="P1551" t="s">
        <v>14636</v>
      </c>
      <c r="Q1551" t="s">
        <v>14637</v>
      </c>
      <c r="R1551" t="s">
        <v>14638</v>
      </c>
      <c r="S1551" t="s">
        <v>14639</v>
      </c>
      <c r="T1551" t="s">
        <v>14640</v>
      </c>
      <c r="U1551" s="5">
        <v>4020.75</v>
      </c>
      <c r="V1551" s="5">
        <v>3980.29</v>
      </c>
      <c r="W1551" s="5">
        <v>13.985671</v>
      </c>
      <c r="X1551" s="5">
        <v>108.149232</v>
      </c>
      <c r="Y1551" s="5">
        <v>40.46</v>
      </c>
      <c r="Z1551" s="5">
        <v>13.994992999999999</v>
      </c>
      <c r="AA1551" s="5">
        <v>108.11348099999999</v>
      </c>
      <c r="AB1551" s="7">
        <f t="shared" si="145"/>
        <v>5.9704349999999993</v>
      </c>
      <c r="AC1551" s="7">
        <f t="shared" si="146"/>
        <v>6.0690000000000001E-2</v>
      </c>
      <c r="AD1551" s="6" t="str">
        <f t="shared" si="147"/>
        <v>TT2 Gia Lai</v>
      </c>
      <c r="AE1551" s="6" t="str">
        <f t="shared" si="148"/>
        <v>TT1 Gia Lai (ring 2)</v>
      </c>
      <c r="AG1551">
        <f t="shared" si="149"/>
        <v>3.9802900000000001</v>
      </c>
      <c r="AH1551">
        <f t="shared" si="150"/>
        <v>4.0460000000000003E-2</v>
      </c>
    </row>
    <row r="1552" spans="1:34" x14ac:dyDescent="0.25">
      <c r="A1552" t="s">
        <v>14641</v>
      </c>
      <c r="B1552" t="s">
        <v>14630</v>
      </c>
      <c r="C1552" t="s">
        <v>14631</v>
      </c>
      <c r="D1552" t="s">
        <v>14642</v>
      </c>
      <c r="E1552" t="s">
        <v>14643</v>
      </c>
      <c r="I1552" t="s">
        <v>17318</v>
      </c>
      <c r="J1552" t="s">
        <v>23</v>
      </c>
      <c r="L1552" t="s">
        <v>14632</v>
      </c>
      <c r="M1552" t="s">
        <v>14644</v>
      </c>
      <c r="N1552" t="s">
        <v>14637</v>
      </c>
      <c r="O1552" t="s">
        <v>14638</v>
      </c>
      <c r="P1552" t="s">
        <v>14639</v>
      </c>
      <c r="Q1552" t="s">
        <v>14645</v>
      </c>
      <c r="R1552" t="s">
        <v>14646</v>
      </c>
      <c r="S1552" t="s">
        <v>14647</v>
      </c>
      <c r="T1552" t="s">
        <v>14640</v>
      </c>
      <c r="U1552" s="5">
        <v>110.63</v>
      </c>
      <c r="V1552" s="5">
        <v>40.46</v>
      </c>
      <c r="W1552" s="5">
        <v>13.994992999999999</v>
      </c>
      <c r="X1552" s="5">
        <v>108.11348099999999</v>
      </c>
      <c r="Y1552" s="5">
        <v>70.17</v>
      </c>
      <c r="Z1552" s="5">
        <v>13.998816</v>
      </c>
      <c r="AA1552" s="5">
        <v>108.173844</v>
      </c>
      <c r="AB1552" s="7">
        <f t="shared" si="145"/>
        <v>6.0690000000000001E-2</v>
      </c>
      <c r="AC1552" s="7">
        <f t="shared" si="146"/>
        <v>0.105255</v>
      </c>
      <c r="AD1552" s="6" t="str">
        <f t="shared" si="147"/>
        <v>TT2 Gia Lai</v>
      </c>
      <c r="AE1552" s="6" t="str">
        <f t="shared" si="148"/>
        <v>TT1 Gia Lai (ring 2)</v>
      </c>
      <c r="AG1552">
        <f t="shared" si="149"/>
        <v>4.0460000000000003E-2</v>
      </c>
      <c r="AH1552">
        <f t="shared" si="150"/>
        <v>7.0169999999999996E-2</v>
      </c>
    </row>
    <row r="1553" spans="1:34" x14ac:dyDescent="0.25">
      <c r="A1553" t="s">
        <v>14648</v>
      </c>
      <c r="B1553" t="s">
        <v>14642</v>
      </c>
      <c r="C1553" t="s">
        <v>14643</v>
      </c>
      <c r="D1553" t="s">
        <v>14649</v>
      </c>
      <c r="E1553" t="s">
        <v>14650</v>
      </c>
      <c r="I1553" t="s">
        <v>17319</v>
      </c>
      <c r="J1553" t="s">
        <v>23</v>
      </c>
      <c r="L1553" t="s">
        <v>14632</v>
      </c>
      <c r="M1553" t="s">
        <v>14651</v>
      </c>
      <c r="N1553" t="s">
        <v>14645</v>
      </c>
      <c r="O1553" t="s">
        <v>14646</v>
      </c>
      <c r="P1553" t="s">
        <v>14647</v>
      </c>
      <c r="Q1553" t="s">
        <v>14652</v>
      </c>
      <c r="R1553" t="s">
        <v>14653</v>
      </c>
      <c r="S1553" t="s">
        <v>14654</v>
      </c>
      <c r="T1553" t="s">
        <v>14640</v>
      </c>
      <c r="U1553" s="5">
        <v>218.32</v>
      </c>
      <c r="V1553" s="5">
        <v>70.17</v>
      </c>
      <c r="W1553" s="5">
        <v>13.998816</v>
      </c>
      <c r="X1553" s="5">
        <v>108.173844</v>
      </c>
      <c r="Y1553" s="5">
        <v>148.13999999999999</v>
      </c>
      <c r="Z1553" s="5">
        <v>14.006959999999999</v>
      </c>
      <c r="AA1553" s="5">
        <v>108.207561</v>
      </c>
      <c r="AB1553" s="7">
        <f t="shared" si="145"/>
        <v>0.105255</v>
      </c>
      <c r="AC1553" s="7">
        <f t="shared" si="146"/>
        <v>0.22220999999999999</v>
      </c>
      <c r="AD1553" s="6" t="str">
        <f t="shared" si="147"/>
        <v>TT2 Gia Lai</v>
      </c>
      <c r="AE1553" s="6" t="str">
        <f t="shared" si="148"/>
        <v>TT1 Gia Lai (ring 2)</v>
      </c>
      <c r="AG1553">
        <f t="shared" si="149"/>
        <v>7.0169999999999996E-2</v>
      </c>
      <c r="AH1553">
        <f t="shared" si="150"/>
        <v>0.14813999999999999</v>
      </c>
    </row>
    <row r="1554" spans="1:34" x14ac:dyDescent="0.25">
      <c r="A1554" t="s">
        <v>14655</v>
      </c>
      <c r="B1554" t="s">
        <v>14649</v>
      </c>
      <c r="C1554" t="s">
        <v>14650</v>
      </c>
      <c r="D1554" t="s">
        <v>14656</v>
      </c>
      <c r="E1554" t="s">
        <v>14657</v>
      </c>
      <c r="I1554" t="s">
        <v>14655</v>
      </c>
      <c r="J1554" t="s">
        <v>23</v>
      </c>
      <c r="L1554" t="s">
        <v>14658</v>
      </c>
      <c r="M1554" t="s">
        <v>14659</v>
      </c>
      <c r="N1554" t="s">
        <v>14660</v>
      </c>
      <c r="O1554" t="s">
        <v>14661</v>
      </c>
      <c r="P1554" t="s">
        <v>14662</v>
      </c>
      <c r="Q1554" t="s">
        <v>14663</v>
      </c>
      <c r="R1554" t="s">
        <v>14664</v>
      </c>
      <c r="S1554" t="s">
        <v>14665</v>
      </c>
      <c r="T1554" t="s">
        <v>14666</v>
      </c>
      <c r="U1554" s="5">
        <v>2501.33</v>
      </c>
      <c r="V1554" s="5">
        <v>2197.52</v>
      </c>
      <c r="W1554" s="5">
        <v>14.006282000000001</v>
      </c>
      <c r="X1554" s="5">
        <v>108.226698</v>
      </c>
      <c r="Y1554" s="5">
        <v>303.82</v>
      </c>
      <c r="Z1554" s="5">
        <v>13.985979</v>
      </c>
      <c r="AA1554" s="5">
        <v>108.231241</v>
      </c>
      <c r="AB1554" s="7">
        <f t="shared" si="145"/>
        <v>3.2962799999999999</v>
      </c>
      <c r="AC1554" s="7">
        <f t="shared" si="146"/>
        <v>0.45573000000000002</v>
      </c>
      <c r="AD1554" s="6" t="str">
        <f t="shared" si="147"/>
        <v>TTCMKV Mang Yang</v>
      </c>
      <c r="AE1554" s="6" t="str">
        <f t="shared" si="148"/>
        <v>Lơ Pang</v>
      </c>
      <c r="AG1554">
        <f t="shared" si="149"/>
        <v>2.1975199999999999</v>
      </c>
      <c r="AH1554">
        <f t="shared" si="150"/>
        <v>0.30381999999999998</v>
      </c>
    </row>
    <row r="1555" spans="1:34" x14ac:dyDescent="0.25">
      <c r="A1555" t="s">
        <v>14667</v>
      </c>
      <c r="B1555" t="s">
        <v>14656</v>
      </c>
      <c r="C1555" t="s">
        <v>14657</v>
      </c>
      <c r="D1555" t="s">
        <v>14668</v>
      </c>
      <c r="E1555" t="s">
        <v>14669</v>
      </c>
      <c r="I1555" t="s">
        <v>17320</v>
      </c>
      <c r="J1555" t="s">
        <v>23</v>
      </c>
      <c r="L1555" t="s">
        <v>14658</v>
      </c>
      <c r="M1555" t="s">
        <v>14670</v>
      </c>
      <c r="N1555" t="s">
        <v>14663</v>
      </c>
      <c r="O1555" t="s">
        <v>14664</v>
      </c>
      <c r="P1555" t="s">
        <v>14665</v>
      </c>
      <c r="Q1555" t="s">
        <v>14671</v>
      </c>
      <c r="R1555" t="s">
        <v>14672</v>
      </c>
      <c r="S1555" t="s">
        <v>14673</v>
      </c>
      <c r="T1555" t="s">
        <v>14666</v>
      </c>
      <c r="U1555" s="5">
        <v>371.77</v>
      </c>
      <c r="V1555" s="5">
        <v>303.82</v>
      </c>
      <c r="W1555" s="5">
        <v>13.985979</v>
      </c>
      <c r="X1555" s="5">
        <v>108.231241</v>
      </c>
      <c r="Y1555" s="5">
        <v>67.95</v>
      </c>
      <c r="Z1555" s="5">
        <v>14.041244000000001</v>
      </c>
      <c r="AA1555" s="5">
        <v>108.25330200000001</v>
      </c>
      <c r="AB1555" s="7">
        <f t="shared" si="145"/>
        <v>0.45573000000000002</v>
      </c>
      <c r="AC1555" s="7">
        <f t="shared" si="146"/>
        <v>0.10192500000000002</v>
      </c>
      <c r="AD1555" s="6" t="str">
        <f t="shared" si="147"/>
        <v>TTCMKV Mang Yang</v>
      </c>
      <c r="AE1555" s="6" t="str">
        <f t="shared" si="148"/>
        <v>Lơ Pang</v>
      </c>
      <c r="AG1555">
        <f t="shared" si="149"/>
        <v>0.30381999999999998</v>
      </c>
      <c r="AH1555">
        <f t="shared" si="150"/>
        <v>6.7949999999999997E-2</v>
      </c>
    </row>
    <row r="1556" spans="1:34" x14ac:dyDescent="0.25">
      <c r="A1556" t="s">
        <v>14674</v>
      </c>
      <c r="B1556" t="s">
        <v>14273</v>
      </c>
      <c r="C1556" t="s">
        <v>14274</v>
      </c>
      <c r="D1556" t="s">
        <v>14675</v>
      </c>
      <c r="E1556" t="s">
        <v>14676</v>
      </c>
      <c r="I1556" t="s">
        <v>14674</v>
      </c>
      <c r="J1556" t="s">
        <v>23</v>
      </c>
      <c r="L1556" t="s">
        <v>14677</v>
      </c>
      <c r="M1556" t="s">
        <v>14678</v>
      </c>
      <c r="N1556" t="s">
        <v>14679</v>
      </c>
      <c r="O1556" t="s">
        <v>14680</v>
      </c>
      <c r="P1556" t="s">
        <v>14681</v>
      </c>
      <c r="Q1556" t="s">
        <v>14682</v>
      </c>
      <c r="R1556" t="s">
        <v>14683</v>
      </c>
      <c r="S1556" t="s">
        <v>14684</v>
      </c>
      <c r="T1556" t="s">
        <v>14685</v>
      </c>
      <c r="U1556" s="5">
        <v>8729.14</v>
      </c>
      <c r="V1556" s="5">
        <v>1270.0999999999999</v>
      </c>
      <c r="W1556" s="5">
        <v>14.207777999999999</v>
      </c>
      <c r="X1556" s="5">
        <v>107.957964</v>
      </c>
      <c r="Y1556" s="5">
        <v>7459.04</v>
      </c>
      <c r="Z1556" s="5">
        <v>14.207379</v>
      </c>
      <c r="AA1556" s="5">
        <v>107.95544200000001</v>
      </c>
      <c r="AB1556" s="7">
        <f t="shared" si="145"/>
        <v>1.9051499999999999</v>
      </c>
      <c r="AC1556" s="7">
        <f t="shared" si="146"/>
        <v>11.188559999999999</v>
      </c>
      <c r="AD1556" s="6" t="str">
        <f t="shared" si="147"/>
        <v>Ia Ly</v>
      </c>
      <c r="AE1556" s="6" t="str">
        <f t="shared" si="148"/>
        <v>Ia Khươi</v>
      </c>
      <c r="AG1556">
        <f t="shared" si="149"/>
        <v>1.2701</v>
      </c>
      <c r="AH1556">
        <f t="shared" si="150"/>
        <v>7.4590399999999999</v>
      </c>
    </row>
    <row r="1557" spans="1:34" x14ac:dyDescent="0.25">
      <c r="A1557" t="s">
        <v>14686</v>
      </c>
      <c r="B1557" t="s">
        <v>14675</v>
      </c>
      <c r="C1557" t="s">
        <v>14676</v>
      </c>
      <c r="D1557" t="s">
        <v>14687</v>
      </c>
      <c r="E1557" t="s">
        <v>14688</v>
      </c>
      <c r="I1557" t="s">
        <v>14686</v>
      </c>
      <c r="J1557" t="s">
        <v>23</v>
      </c>
      <c r="L1557" t="s">
        <v>14689</v>
      </c>
      <c r="M1557" t="s">
        <v>14690</v>
      </c>
      <c r="N1557" t="s">
        <v>14691</v>
      </c>
      <c r="O1557" t="s">
        <v>14692</v>
      </c>
      <c r="P1557" t="s">
        <v>14693</v>
      </c>
      <c r="Q1557" t="s">
        <v>14694</v>
      </c>
      <c r="R1557" t="s">
        <v>14695</v>
      </c>
      <c r="S1557" t="s">
        <v>14696</v>
      </c>
      <c r="T1557" t="s">
        <v>14697</v>
      </c>
      <c r="U1557" s="5">
        <v>4707.5600000000004</v>
      </c>
      <c r="V1557" s="5">
        <v>4632.51</v>
      </c>
      <c r="W1557" s="5">
        <v>14.101616999999999</v>
      </c>
      <c r="X1557" s="5">
        <v>107.968264</v>
      </c>
      <c r="Y1557" s="5">
        <v>75.05</v>
      </c>
      <c r="Z1557" s="5">
        <v>14.066876000000001</v>
      </c>
      <c r="AA1557" s="5">
        <v>107.98843599999999</v>
      </c>
      <c r="AB1557" s="7">
        <f t="shared" si="145"/>
        <v>6.9487650000000007</v>
      </c>
      <c r="AC1557" s="7">
        <f t="shared" si="146"/>
        <v>0.11257499999999999</v>
      </c>
      <c r="AD1557" s="6" t="str">
        <f t="shared" si="147"/>
        <v>TT2 Gia Lai</v>
      </c>
      <c r="AE1557" s="6" t="str">
        <f t="shared" si="148"/>
        <v>Chư Pah</v>
      </c>
      <c r="AG1557">
        <f t="shared" si="149"/>
        <v>4.6325099999999999</v>
      </c>
      <c r="AH1557">
        <f t="shared" si="150"/>
        <v>7.5049999999999992E-2</v>
      </c>
    </row>
    <row r="1558" spans="1:34" x14ac:dyDescent="0.25">
      <c r="A1558" t="s">
        <v>14698</v>
      </c>
      <c r="B1558" t="s">
        <v>14687</v>
      </c>
      <c r="C1558" t="s">
        <v>14688</v>
      </c>
      <c r="D1558" t="s">
        <v>14261</v>
      </c>
      <c r="E1558" t="s">
        <v>14262</v>
      </c>
      <c r="I1558" t="s">
        <v>14698</v>
      </c>
      <c r="J1558" t="s">
        <v>23</v>
      </c>
      <c r="L1558" t="s">
        <v>14313</v>
      </c>
      <c r="M1558" t="s">
        <v>14699</v>
      </c>
      <c r="N1558" t="s">
        <v>14700</v>
      </c>
      <c r="O1558" t="s">
        <v>14701</v>
      </c>
      <c r="P1558" t="s">
        <v>14702</v>
      </c>
      <c r="Q1558" t="s">
        <v>14703</v>
      </c>
      <c r="R1558" t="s">
        <v>14704</v>
      </c>
      <c r="S1558" t="s">
        <v>14705</v>
      </c>
      <c r="T1558" t="s">
        <v>14321</v>
      </c>
      <c r="U1558" s="5">
        <v>5274.73</v>
      </c>
      <c r="V1558" s="5">
        <v>3745.36</v>
      </c>
      <c r="W1558" s="5">
        <v>14.034193999999999</v>
      </c>
      <c r="X1558" s="5">
        <v>107.99699099999999</v>
      </c>
      <c r="Y1558" s="5">
        <v>1529.36</v>
      </c>
      <c r="Z1558" s="5">
        <v>13.976551000000001</v>
      </c>
      <c r="AA1558" s="5">
        <v>107.992796</v>
      </c>
      <c r="AB1558" s="7">
        <f t="shared" si="145"/>
        <v>5.6180399999999997</v>
      </c>
      <c r="AC1558" s="7">
        <f t="shared" si="146"/>
        <v>2.2940399999999999</v>
      </c>
      <c r="AD1558" s="6" t="str">
        <f t="shared" si="147"/>
        <v>TT1 Gia Lai</v>
      </c>
      <c r="AE1558" s="6" t="str">
        <f t="shared" si="148"/>
        <v>TT2 Gia Lai (ring 1)</v>
      </c>
      <c r="AG1558">
        <f t="shared" si="149"/>
        <v>3.7453600000000002</v>
      </c>
      <c r="AH1558">
        <f t="shared" si="150"/>
        <v>1.5293599999999998</v>
      </c>
    </row>
    <row r="1559" spans="1:34" x14ac:dyDescent="0.25">
      <c r="A1559" t="s">
        <v>14706</v>
      </c>
      <c r="B1559" t="s">
        <v>14273</v>
      </c>
      <c r="C1559" t="s">
        <v>14274</v>
      </c>
      <c r="D1559" t="s">
        <v>14707</v>
      </c>
      <c r="E1559" t="s">
        <v>14708</v>
      </c>
      <c r="I1559" t="s">
        <v>17321</v>
      </c>
      <c r="J1559" t="s">
        <v>23</v>
      </c>
      <c r="L1559" t="s">
        <v>14677</v>
      </c>
      <c r="M1559" t="s">
        <v>14709</v>
      </c>
      <c r="N1559" t="s">
        <v>14679</v>
      </c>
      <c r="O1559" t="s">
        <v>14680</v>
      </c>
      <c r="P1559" t="s">
        <v>14681</v>
      </c>
      <c r="Q1559" t="s">
        <v>14710</v>
      </c>
      <c r="R1559" t="s">
        <v>14711</v>
      </c>
      <c r="S1559" t="s">
        <v>14712</v>
      </c>
      <c r="T1559" t="s">
        <v>14685</v>
      </c>
      <c r="U1559" s="5">
        <v>4785.63</v>
      </c>
      <c r="V1559" s="5">
        <v>1270.0999999999999</v>
      </c>
      <c r="W1559" s="5">
        <v>14.207777999999999</v>
      </c>
      <c r="X1559" s="5">
        <v>107.957964</v>
      </c>
      <c r="Y1559" s="5">
        <v>3515.53</v>
      </c>
      <c r="Z1559" s="5">
        <v>14.191354</v>
      </c>
      <c r="AA1559" s="5">
        <v>107.891666</v>
      </c>
      <c r="AB1559" s="7">
        <f t="shared" si="145"/>
        <v>1.9051499999999999</v>
      </c>
      <c r="AC1559" s="7">
        <f t="shared" si="146"/>
        <v>5.2732950000000001</v>
      </c>
      <c r="AD1559" s="6" t="str">
        <f t="shared" si="147"/>
        <v>Ia Ly</v>
      </c>
      <c r="AE1559" s="6" t="str">
        <f t="shared" si="148"/>
        <v>Ia Khươi</v>
      </c>
      <c r="AG1559">
        <f t="shared" si="149"/>
        <v>1.2701</v>
      </c>
      <c r="AH1559">
        <f t="shared" si="150"/>
        <v>3.51553</v>
      </c>
    </row>
    <row r="1560" spans="1:34" x14ac:dyDescent="0.25">
      <c r="A1560" t="s">
        <v>14713</v>
      </c>
      <c r="B1560" t="s">
        <v>14714</v>
      </c>
      <c r="C1560" t="s">
        <v>14715</v>
      </c>
      <c r="D1560" t="s">
        <v>14716</v>
      </c>
      <c r="E1560" t="s">
        <v>14717</v>
      </c>
      <c r="I1560" t="s">
        <v>17322</v>
      </c>
      <c r="J1560" t="s">
        <v>23</v>
      </c>
      <c r="L1560" t="s">
        <v>14718</v>
      </c>
      <c r="M1560" t="s">
        <v>14719</v>
      </c>
      <c r="N1560" t="s">
        <v>9161</v>
      </c>
      <c r="O1560" t="s">
        <v>14720</v>
      </c>
      <c r="P1560" t="s">
        <v>14721</v>
      </c>
      <c r="Q1560" t="s">
        <v>14722</v>
      </c>
      <c r="R1560" t="s">
        <v>14723</v>
      </c>
      <c r="S1560" t="s">
        <v>14724</v>
      </c>
      <c r="T1560" t="s">
        <v>14725</v>
      </c>
      <c r="U1560" s="5">
        <v>52.14</v>
      </c>
      <c r="V1560" s="5">
        <v>22.72</v>
      </c>
      <c r="W1560" s="5">
        <v>14.208135</v>
      </c>
      <c r="X1560" s="5">
        <v>107.837262</v>
      </c>
      <c r="Y1560" s="5">
        <v>29.41</v>
      </c>
      <c r="Z1560" s="5">
        <v>14.135236000000001</v>
      </c>
      <c r="AA1560" s="5">
        <v>107.889842</v>
      </c>
      <c r="AB1560" s="7">
        <f t="shared" si="145"/>
        <v>3.4079999999999999E-2</v>
      </c>
      <c r="AC1560" s="7">
        <f t="shared" si="146"/>
        <v>4.4115000000000001E-2</v>
      </c>
      <c r="AD1560" s="6" t="str">
        <f t="shared" si="147"/>
        <v>Ia Phí</v>
      </c>
      <c r="AE1560" s="6" t="str">
        <f t="shared" si="148"/>
        <v>Ia Ly</v>
      </c>
      <c r="AG1560">
        <f t="shared" si="149"/>
        <v>2.2719999999999997E-2</v>
      </c>
      <c r="AH1560">
        <f t="shared" si="150"/>
        <v>2.9409999999999999E-2</v>
      </c>
    </row>
    <row r="1561" spans="1:34" x14ac:dyDescent="0.25">
      <c r="A1561" t="s">
        <v>14726</v>
      </c>
      <c r="B1561" t="s">
        <v>14716</v>
      </c>
      <c r="C1561" t="s">
        <v>14717</v>
      </c>
      <c r="D1561" t="s">
        <v>14329</v>
      </c>
      <c r="E1561" t="s">
        <v>14330</v>
      </c>
      <c r="I1561" t="s">
        <v>17323</v>
      </c>
      <c r="J1561" t="s">
        <v>23</v>
      </c>
      <c r="L1561" t="s">
        <v>14350</v>
      </c>
      <c r="M1561" t="s">
        <v>14727</v>
      </c>
      <c r="N1561" t="s">
        <v>14728</v>
      </c>
      <c r="O1561" t="s">
        <v>14729</v>
      </c>
      <c r="P1561" t="s">
        <v>14730</v>
      </c>
      <c r="Q1561" t="s">
        <v>14368</v>
      </c>
      <c r="R1561" t="s">
        <v>14369</v>
      </c>
      <c r="S1561" t="s">
        <v>14370</v>
      </c>
      <c r="T1561" t="s">
        <v>14358</v>
      </c>
      <c r="U1561" s="5">
        <v>5408</v>
      </c>
      <c r="V1561" s="5">
        <v>5269.53</v>
      </c>
      <c r="W1561" s="5">
        <v>14.088619</v>
      </c>
      <c r="X1561" s="5">
        <v>107.89993200000001</v>
      </c>
      <c r="Y1561" s="5">
        <v>138.47</v>
      </c>
      <c r="Z1561" s="5">
        <v>14.030574</v>
      </c>
      <c r="AA1561" s="5">
        <v>107.989164</v>
      </c>
      <c r="AB1561" s="7">
        <f t="shared" si="145"/>
        <v>7.9042950000000003</v>
      </c>
      <c r="AC1561" s="7">
        <f t="shared" si="146"/>
        <v>0.20770499999999997</v>
      </c>
      <c r="AD1561" s="6" t="str">
        <f t="shared" si="147"/>
        <v>Thống Nhất</v>
      </c>
      <c r="AE1561" s="6" t="str">
        <f t="shared" si="148"/>
        <v>Ia Hrung</v>
      </c>
      <c r="AG1561">
        <f t="shared" si="149"/>
        <v>5.2695299999999996</v>
      </c>
      <c r="AH1561">
        <f t="shared" si="150"/>
        <v>0.13847000000000001</v>
      </c>
    </row>
    <row r="1562" spans="1:34" x14ac:dyDescent="0.25">
      <c r="A1562" t="s">
        <v>14731</v>
      </c>
      <c r="B1562" t="s">
        <v>14273</v>
      </c>
      <c r="C1562" t="s">
        <v>14274</v>
      </c>
      <c r="D1562" t="s">
        <v>14732</v>
      </c>
      <c r="E1562" t="s">
        <v>14733</v>
      </c>
      <c r="I1562" t="s">
        <v>17324</v>
      </c>
      <c r="J1562" t="s">
        <v>23</v>
      </c>
      <c r="L1562" t="s">
        <v>14677</v>
      </c>
      <c r="M1562" t="s">
        <v>14734</v>
      </c>
      <c r="N1562" t="s">
        <v>14679</v>
      </c>
      <c r="O1562" t="s">
        <v>14680</v>
      </c>
      <c r="P1562" t="s">
        <v>14681</v>
      </c>
      <c r="Q1562" t="s">
        <v>8208</v>
      </c>
      <c r="R1562" t="s">
        <v>14735</v>
      </c>
      <c r="S1562" t="s">
        <v>14736</v>
      </c>
      <c r="T1562" t="s">
        <v>14685</v>
      </c>
      <c r="U1562" s="5">
        <v>1331.42</v>
      </c>
      <c r="V1562" s="5">
        <v>1270.0999999999999</v>
      </c>
      <c r="W1562" s="5">
        <v>14.207777999999999</v>
      </c>
      <c r="X1562" s="5">
        <v>107.957964</v>
      </c>
      <c r="Y1562" s="5">
        <v>61.31</v>
      </c>
      <c r="Z1562" s="5">
        <v>14.216975</v>
      </c>
      <c r="AA1562" s="5">
        <v>108.047084</v>
      </c>
      <c r="AB1562" s="7">
        <f t="shared" si="145"/>
        <v>1.9051499999999999</v>
      </c>
      <c r="AC1562" s="7">
        <f t="shared" si="146"/>
        <v>9.1965000000000005E-2</v>
      </c>
      <c r="AD1562" s="6" t="str">
        <f t="shared" si="147"/>
        <v>Ia Ly</v>
      </c>
      <c r="AE1562" s="6" t="str">
        <f t="shared" si="148"/>
        <v>Ia Khươi</v>
      </c>
      <c r="AG1562">
        <f t="shared" si="149"/>
        <v>1.2701</v>
      </c>
      <c r="AH1562">
        <f t="shared" si="150"/>
        <v>6.1310000000000003E-2</v>
      </c>
    </row>
    <row r="1563" spans="1:34" x14ac:dyDescent="0.25">
      <c r="A1563" t="s">
        <v>14737</v>
      </c>
      <c r="B1563" t="s">
        <v>14732</v>
      </c>
      <c r="C1563" t="s">
        <v>14733</v>
      </c>
      <c r="D1563" t="s">
        <v>14738</v>
      </c>
      <c r="E1563" t="s">
        <v>14739</v>
      </c>
      <c r="I1563" t="s">
        <v>17325</v>
      </c>
      <c r="J1563" t="s">
        <v>23</v>
      </c>
      <c r="L1563" t="s">
        <v>14740</v>
      </c>
      <c r="M1563" t="s">
        <v>14741</v>
      </c>
      <c r="N1563" t="s">
        <v>14742</v>
      </c>
      <c r="O1563" t="s">
        <v>14743</v>
      </c>
      <c r="P1563" t="s">
        <v>14744</v>
      </c>
      <c r="Q1563" t="s">
        <v>14745</v>
      </c>
      <c r="R1563" t="s">
        <v>14746</v>
      </c>
      <c r="S1563" t="s">
        <v>14747</v>
      </c>
      <c r="T1563" t="s">
        <v>14748</v>
      </c>
      <c r="U1563" s="5">
        <v>166.22</v>
      </c>
      <c r="V1563" s="5">
        <v>118.24</v>
      </c>
      <c r="W1563" s="5">
        <v>14.216224</v>
      </c>
      <c r="X1563" s="5">
        <v>108.04775600000001</v>
      </c>
      <c r="Y1563" s="5">
        <v>47.97</v>
      </c>
      <c r="Z1563" s="5">
        <v>14.167802999999999</v>
      </c>
      <c r="AA1563" s="5">
        <v>108.140305</v>
      </c>
      <c r="AB1563" s="7">
        <f t="shared" si="145"/>
        <v>0.17735999999999999</v>
      </c>
      <c r="AC1563" s="7">
        <f t="shared" si="146"/>
        <v>7.1955000000000005E-2</v>
      </c>
      <c r="AD1563" s="6" t="str">
        <f t="shared" si="147"/>
        <v>Ia Khơi</v>
      </c>
      <c r="AE1563" s="6" t="str">
        <f t="shared" si="148"/>
        <v>Đăk Sơ Mei</v>
      </c>
      <c r="AG1563">
        <f t="shared" si="149"/>
        <v>0.11824</v>
      </c>
      <c r="AH1563">
        <f t="shared" si="150"/>
        <v>4.7969999999999999E-2</v>
      </c>
    </row>
    <row r="1564" spans="1:34" x14ac:dyDescent="0.25">
      <c r="A1564" t="s">
        <v>14749</v>
      </c>
      <c r="B1564" t="s">
        <v>14738</v>
      </c>
      <c r="C1564" t="s">
        <v>14750</v>
      </c>
      <c r="D1564" t="s">
        <v>14751</v>
      </c>
      <c r="E1564" t="s">
        <v>14752</v>
      </c>
      <c r="I1564" t="s">
        <v>17326</v>
      </c>
      <c r="J1564" t="s">
        <v>23</v>
      </c>
      <c r="L1564" t="s">
        <v>14740</v>
      </c>
      <c r="M1564" t="s">
        <v>14753</v>
      </c>
      <c r="N1564" t="s">
        <v>14745</v>
      </c>
      <c r="O1564" t="s">
        <v>14746</v>
      </c>
      <c r="P1564" t="s">
        <v>14747</v>
      </c>
      <c r="Q1564" t="s">
        <v>14754</v>
      </c>
      <c r="R1564" t="s">
        <v>14755</v>
      </c>
      <c r="S1564" t="s">
        <v>14756</v>
      </c>
      <c r="T1564" t="s">
        <v>14748</v>
      </c>
      <c r="U1564" s="5">
        <v>7302.62</v>
      </c>
      <c r="V1564" s="5">
        <v>47.97</v>
      </c>
      <c r="W1564" s="5">
        <v>14.167802999999999</v>
      </c>
      <c r="X1564" s="5">
        <v>108.140305</v>
      </c>
      <c r="Y1564" s="5">
        <v>7254.65</v>
      </c>
      <c r="Z1564" s="5">
        <v>14.167959</v>
      </c>
      <c r="AA1564" s="5">
        <v>108.135043</v>
      </c>
      <c r="AB1564" s="7">
        <f t="shared" si="145"/>
        <v>7.1955000000000005E-2</v>
      </c>
      <c r="AC1564" s="7">
        <f t="shared" si="146"/>
        <v>10.881974999999999</v>
      </c>
      <c r="AD1564" s="6" t="str">
        <f t="shared" si="147"/>
        <v>Ia Khơi</v>
      </c>
      <c r="AE1564" s="6" t="str">
        <f t="shared" si="148"/>
        <v>Đăk Sơ Mei</v>
      </c>
      <c r="AG1564">
        <f t="shared" si="149"/>
        <v>4.7969999999999999E-2</v>
      </c>
      <c r="AH1564">
        <f t="shared" si="150"/>
        <v>7.2546499999999998</v>
      </c>
    </row>
    <row r="1565" spans="1:34" x14ac:dyDescent="0.25">
      <c r="A1565" t="s">
        <v>14757</v>
      </c>
      <c r="B1565" t="s">
        <v>14751</v>
      </c>
      <c r="C1565" t="s">
        <v>14752</v>
      </c>
      <c r="D1565" t="s">
        <v>14758</v>
      </c>
      <c r="E1565" t="s">
        <v>14759</v>
      </c>
      <c r="I1565" t="s">
        <v>17327</v>
      </c>
      <c r="J1565" t="s">
        <v>23</v>
      </c>
      <c r="L1565" t="s">
        <v>14313</v>
      </c>
      <c r="M1565" t="s">
        <v>14760</v>
      </c>
      <c r="N1565" t="s">
        <v>14761</v>
      </c>
      <c r="O1565" t="s">
        <v>14762</v>
      </c>
      <c r="P1565" t="s">
        <v>14763</v>
      </c>
      <c r="Q1565" t="s">
        <v>14764</v>
      </c>
      <c r="R1565" t="s">
        <v>14765</v>
      </c>
      <c r="S1565" t="s">
        <v>14766</v>
      </c>
      <c r="T1565" t="s">
        <v>14767</v>
      </c>
      <c r="U1565" s="5">
        <v>5644.61</v>
      </c>
      <c r="V1565" s="5">
        <v>5367.47</v>
      </c>
      <c r="W1565" s="5">
        <v>14.057990999999999</v>
      </c>
      <c r="X1565" s="5">
        <v>108.106424</v>
      </c>
      <c r="Y1565" s="5">
        <v>277.14</v>
      </c>
      <c r="Z1565" s="5">
        <v>14.061106000000001</v>
      </c>
      <c r="AA1565" s="5">
        <v>108.086575</v>
      </c>
      <c r="AB1565" s="7">
        <f t="shared" si="145"/>
        <v>8.0512049999999995</v>
      </c>
      <c r="AC1565" s="7">
        <f t="shared" si="146"/>
        <v>0.41570999999999997</v>
      </c>
      <c r="AD1565" s="6" t="str">
        <f t="shared" si="147"/>
        <v>TT1 Gia Lai</v>
      </c>
      <c r="AE1565" s="6" t="str">
        <f t="shared" si="148"/>
        <v>TT2 Gia Lai (ring 1)</v>
      </c>
      <c r="AG1565">
        <f t="shared" si="149"/>
        <v>5.36747</v>
      </c>
      <c r="AH1565">
        <f t="shared" si="150"/>
        <v>0.27714</v>
      </c>
    </row>
    <row r="1566" spans="1:34" x14ac:dyDescent="0.25">
      <c r="A1566" t="s">
        <v>14768</v>
      </c>
      <c r="B1566" t="s">
        <v>14769</v>
      </c>
      <c r="C1566" t="s">
        <v>14770</v>
      </c>
      <c r="D1566" t="s">
        <v>14329</v>
      </c>
      <c r="E1566" t="s">
        <v>14330</v>
      </c>
      <c r="I1566" t="s">
        <v>17328</v>
      </c>
      <c r="J1566" t="s">
        <v>23</v>
      </c>
      <c r="L1566" t="s">
        <v>14313</v>
      </c>
      <c r="M1566" t="s">
        <v>14771</v>
      </c>
      <c r="N1566" t="s">
        <v>14772</v>
      </c>
      <c r="O1566" t="s">
        <v>14773</v>
      </c>
      <c r="P1566" t="s">
        <v>14774</v>
      </c>
      <c r="Q1566" t="s">
        <v>14332</v>
      </c>
      <c r="R1566" t="s">
        <v>14333</v>
      </c>
      <c r="S1566" t="s">
        <v>14334</v>
      </c>
      <c r="T1566" t="s">
        <v>14321</v>
      </c>
      <c r="U1566" s="5">
        <v>5606.16</v>
      </c>
      <c r="V1566" s="5">
        <v>5464.12</v>
      </c>
      <c r="W1566" s="5">
        <v>14.060465000000001</v>
      </c>
      <c r="X1566" s="5">
        <v>108.044669</v>
      </c>
      <c r="Y1566" s="5">
        <v>142.04</v>
      </c>
      <c r="Z1566" s="5">
        <v>14.030605</v>
      </c>
      <c r="AA1566" s="5">
        <v>107.989194</v>
      </c>
      <c r="AB1566" s="7">
        <f t="shared" si="145"/>
        <v>8.19618</v>
      </c>
      <c r="AC1566" s="7">
        <f t="shared" si="146"/>
        <v>0.21306</v>
      </c>
      <c r="AD1566" s="6" t="str">
        <f t="shared" si="147"/>
        <v>TT1 Gia Lai</v>
      </c>
      <c r="AE1566" s="6" t="str">
        <f t="shared" si="148"/>
        <v>TT2 Gia Lai (ring 1)</v>
      </c>
      <c r="AG1566">
        <f t="shared" si="149"/>
        <v>5.4641200000000003</v>
      </c>
      <c r="AH1566">
        <f t="shared" si="150"/>
        <v>0.14204</v>
      </c>
    </row>
    <row r="1567" spans="1:34" x14ac:dyDescent="0.25">
      <c r="A1567" t="s">
        <v>14775</v>
      </c>
      <c r="B1567" t="s">
        <v>14261</v>
      </c>
      <c r="C1567" t="s">
        <v>14262</v>
      </c>
      <c r="D1567" t="s">
        <v>14776</v>
      </c>
      <c r="E1567" t="s">
        <v>14777</v>
      </c>
      <c r="I1567" t="s">
        <v>14775</v>
      </c>
      <c r="J1567" t="s">
        <v>23</v>
      </c>
      <c r="L1567" t="s">
        <v>14778</v>
      </c>
      <c r="M1567" t="s">
        <v>14779</v>
      </c>
      <c r="N1567" t="s">
        <v>14780</v>
      </c>
      <c r="O1567" t="s">
        <v>14781</v>
      </c>
      <c r="P1567" t="s">
        <v>14782</v>
      </c>
      <c r="Q1567" t="s">
        <v>14783</v>
      </c>
      <c r="R1567" t="s">
        <v>14784</v>
      </c>
      <c r="S1567" t="s">
        <v>14785</v>
      </c>
      <c r="T1567" t="s">
        <v>14786</v>
      </c>
      <c r="U1567" s="5">
        <v>191.73</v>
      </c>
      <c r="V1567" s="5">
        <v>23.05</v>
      </c>
      <c r="W1567" s="5">
        <v>13.976027</v>
      </c>
      <c r="X1567" s="5">
        <v>108.007015</v>
      </c>
      <c r="Y1567" s="5">
        <v>168.68</v>
      </c>
      <c r="Z1567" s="5">
        <v>13.9611</v>
      </c>
      <c r="AA1567" s="5">
        <v>108.00631199999999</v>
      </c>
      <c r="AB1567" s="7">
        <f t="shared" si="145"/>
        <v>3.4575000000000002E-2</v>
      </c>
      <c r="AC1567" s="7">
        <f t="shared" si="146"/>
        <v>0.25302000000000002</v>
      </c>
      <c r="AD1567" s="6" t="str">
        <f t="shared" si="147"/>
        <v>TT2 Gia Lai</v>
      </c>
      <c r="AE1567" s="6" t="str">
        <f t="shared" si="148"/>
        <v>Hội Phú</v>
      </c>
      <c r="AG1567">
        <f t="shared" si="149"/>
        <v>2.3050000000000001E-2</v>
      </c>
      <c r="AH1567">
        <f t="shared" si="150"/>
        <v>0.16868</v>
      </c>
    </row>
    <row r="1568" spans="1:34" x14ac:dyDescent="0.25">
      <c r="A1568" t="s">
        <v>14787</v>
      </c>
      <c r="B1568" t="s">
        <v>14788</v>
      </c>
      <c r="C1568" t="s">
        <v>14789</v>
      </c>
      <c r="D1568" t="s">
        <v>14790</v>
      </c>
      <c r="E1568" t="s">
        <v>14791</v>
      </c>
      <c r="I1568" t="s">
        <v>17329</v>
      </c>
      <c r="J1568" t="s">
        <v>23</v>
      </c>
      <c r="L1568" t="s">
        <v>14792</v>
      </c>
      <c r="M1568" t="s">
        <v>14793</v>
      </c>
      <c r="N1568" t="s">
        <v>14794</v>
      </c>
      <c r="O1568" t="s">
        <v>14795</v>
      </c>
      <c r="P1568" t="s">
        <v>14796</v>
      </c>
      <c r="Q1568" t="s">
        <v>14797</v>
      </c>
      <c r="R1568" t="s">
        <v>14798</v>
      </c>
      <c r="S1568" t="s">
        <v>14799</v>
      </c>
      <c r="T1568" t="s">
        <v>14800</v>
      </c>
      <c r="U1568" s="5">
        <v>18527.27</v>
      </c>
      <c r="V1568" s="5">
        <v>12654.67</v>
      </c>
      <c r="W1568" s="5">
        <v>13.885251</v>
      </c>
      <c r="X1568" s="5">
        <v>107.636459</v>
      </c>
      <c r="Y1568" s="5">
        <v>5872.6</v>
      </c>
      <c r="Z1568" s="5">
        <v>13.929046</v>
      </c>
      <c r="AA1568" s="5">
        <v>107.57509899999999</v>
      </c>
      <c r="AB1568" s="7">
        <f t="shared" si="145"/>
        <v>18.982005000000001</v>
      </c>
      <c r="AC1568" s="7">
        <f t="shared" si="146"/>
        <v>8.8089000000000013</v>
      </c>
      <c r="AD1568" s="6" t="str">
        <f t="shared" si="147"/>
        <v>IaO</v>
      </c>
      <c r="AE1568" s="6" t="str">
        <f t="shared" si="148"/>
        <v>Ia CHia</v>
      </c>
      <c r="AG1568">
        <f t="shared" si="149"/>
        <v>12.654669999999999</v>
      </c>
      <c r="AH1568">
        <f t="shared" si="150"/>
        <v>5.8726000000000003</v>
      </c>
    </row>
    <row r="1569" spans="1:34" x14ac:dyDescent="0.25">
      <c r="A1569" t="s">
        <v>14801</v>
      </c>
      <c r="B1569" t="s">
        <v>14790</v>
      </c>
      <c r="C1569" t="s">
        <v>14802</v>
      </c>
      <c r="D1569" t="s">
        <v>14803</v>
      </c>
      <c r="E1569" t="s">
        <v>14804</v>
      </c>
      <c r="I1569" t="s">
        <v>17330</v>
      </c>
      <c r="J1569" t="s">
        <v>23</v>
      </c>
      <c r="L1569" t="s">
        <v>14805</v>
      </c>
      <c r="M1569" t="s">
        <v>14806</v>
      </c>
      <c r="N1569" t="s">
        <v>14807</v>
      </c>
      <c r="O1569" t="s">
        <v>14808</v>
      </c>
      <c r="P1569" t="s">
        <v>14809</v>
      </c>
      <c r="Q1569" t="s">
        <v>14810</v>
      </c>
      <c r="R1569" t="s">
        <v>14811</v>
      </c>
      <c r="S1569" t="s">
        <v>14812</v>
      </c>
      <c r="T1569" t="s">
        <v>14813</v>
      </c>
      <c r="U1569" s="5">
        <v>147.36000000000001</v>
      </c>
      <c r="V1569" s="5">
        <v>40.08</v>
      </c>
      <c r="W1569" s="5">
        <v>13.960521999999999</v>
      </c>
      <c r="X1569" s="5">
        <v>107.53183900000001</v>
      </c>
      <c r="Y1569" s="5">
        <v>107.27</v>
      </c>
      <c r="Z1569" s="5">
        <v>13.966328000000001</v>
      </c>
      <c r="AA1569" s="5">
        <v>107.593076</v>
      </c>
      <c r="AB1569" s="7">
        <f t="shared" si="145"/>
        <v>6.012E-2</v>
      </c>
      <c r="AC1569" s="7">
        <f t="shared" si="146"/>
        <v>0.16090499999999999</v>
      </c>
      <c r="AD1569" s="6" t="str">
        <f t="shared" si="147"/>
        <v>Ia Krai</v>
      </c>
      <c r="AE1569" s="6" t="str">
        <f t="shared" si="148"/>
        <v>Ia O</v>
      </c>
      <c r="AG1569">
        <f t="shared" si="149"/>
        <v>4.0079999999999998E-2</v>
      </c>
      <c r="AH1569">
        <f t="shared" si="150"/>
        <v>0.10726999999999999</v>
      </c>
    </row>
    <row r="1570" spans="1:34" x14ac:dyDescent="0.25">
      <c r="A1570" t="s">
        <v>14814</v>
      </c>
      <c r="B1570" t="s">
        <v>14803</v>
      </c>
      <c r="C1570" t="s">
        <v>14804</v>
      </c>
      <c r="D1570" t="s">
        <v>14815</v>
      </c>
      <c r="E1570" t="s">
        <v>14816</v>
      </c>
      <c r="I1570" t="s">
        <v>17331</v>
      </c>
      <c r="J1570" t="s">
        <v>23</v>
      </c>
      <c r="L1570" t="s">
        <v>14805</v>
      </c>
      <c r="M1570" t="s">
        <v>14817</v>
      </c>
      <c r="N1570" t="s">
        <v>14810</v>
      </c>
      <c r="O1570" t="s">
        <v>14811</v>
      </c>
      <c r="P1570" t="s">
        <v>14812</v>
      </c>
      <c r="Q1570" t="s">
        <v>14818</v>
      </c>
      <c r="R1570" t="s">
        <v>14819</v>
      </c>
      <c r="S1570" t="s">
        <v>14820</v>
      </c>
      <c r="T1570" t="s">
        <v>14813</v>
      </c>
      <c r="U1570" s="5">
        <v>153.76</v>
      </c>
      <c r="V1570" s="5">
        <v>107.27</v>
      </c>
      <c r="W1570" s="5">
        <v>13.966328000000001</v>
      </c>
      <c r="X1570" s="5">
        <v>107.593076</v>
      </c>
      <c r="Y1570" s="5">
        <v>46.48</v>
      </c>
      <c r="Z1570" s="5">
        <v>13.939035000000001</v>
      </c>
      <c r="AA1570" s="5">
        <v>107.74977800000001</v>
      </c>
      <c r="AB1570" s="7">
        <f t="shared" si="145"/>
        <v>0.16090499999999999</v>
      </c>
      <c r="AC1570" s="7">
        <f t="shared" si="146"/>
        <v>6.9720000000000004E-2</v>
      </c>
      <c r="AD1570" s="6" t="str">
        <f t="shared" si="147"/>
        <v>Ia Krai</v>
      </c>
      <c r="AE1570" s="6" t="str">
        <f t="shared" si="148"/>
        <v>Ia O</v>
      </c>
      <c r="AG1570">
        <f t="shared" si="149"/>
        <v>0.10726999999999999</v>
      </c>
      <c r="AH1570">
        <f t="shared" si="150"/>
        <v>4.6479999999999994E-2</v>
      </c>
    </row>
    <row r="1571" spans="1:34" x14ac:dyDescent="0.25">
      <c r="A1571" t="s">
        <v>14821</v>
      </c>
      <c r="B1571" t="s">
        <v>14815</v>
      </c>
      <c r="C1571" t="s">
        <v>14822</v>
      </c>
      <c r="D1571" t="s">
        <v>14223</v>
      </c>
      <c r="E1571" t="s">
        <v>14823</v>
      </c>
      <c r="I1571" t="s">
        <v>17332</v>
      </c>
      <c r="J1571" t="s">
        <v>23</v>
      </c>
      <c r="L1571" t="s">
        <v>14824</v>
      </c>
      <c r="M1571" t="s">
        <v>14825</v>
      </c>
      <c r="N1571" t="s">
        <v>14826</v>
      </c>
      <c r="O1571" t="s">
        <v>14827</v>
      </c>
      <c r="P1571" t="s">
        <v>14828</v>
      </c>
      <c r="Q1571" t="s">
        <v>5860</v>
      </c>
      <c r="R1571" t="s">
        <v>14829</v>
      </c>
      <c r="S1571" t="s">
        <v>14830</v>
      </c>
      <c r="T1571" t="s">
        <v>14831</v>
      </c>
      <c r="U1571" s="5">
        <v>110.68</v>
      </c>
      <c r="V1571" s="5">
        <v>44.04</v>
      </c>
      <c r="W1571" s="5">
        <v>13.939026</v>
      </c>
      <c r="X1571" s="5">
        <v>107.749799</v>
      </c>
      <c r="Y1571" s="5">
        <v>66.650000000000006</v>
      </c>
      <c r="Z1571" s="5">
        <v>13.960853</v>
      </c>
      <c r="AA1571" s="5">
        <v>107.85344000000001</v>
      </c>
      <c r="AB1571" s="7">
        <f t="shared" si="145"/>
        <v>6.6060000000000008E-2</v>
      </c>
      <c r="AC1571" s="7">
        <f t="shared" si="146"/>
        <v>9.9975000000000008E-2</v>
      </c>
      <c r="AD1571" s="6" t="str">
        <f t="shared" si="147"/>
        <v>TTCMKV IaGrai</v>
      </c>
      <c r="AE1571" s="6" t="str">
        <f t="shared" si="148"/>
        <v>Ia Krai</v>
      </c>
      <c r="AG1571">
        <f t="shared" si="149"/>
        <v>4.4039999999999996E-2</v>
      </c>
      <c r="AH1571">
        <f t="shared" si="150"/>
        <v>6.6650000000000001E-2</v>
      </c>
    </row>
    <row r="1572" spans="1:34" x14ac:dyDescent="0.25">
      <c r="A1572" t="s">
        <v>14832</v>
      </c>
      <c r="B1572" t="s">
        <v>14788</v>
      </c>
      <c r="C1572" t="s">
        <v>14789</v>
      </c>
      <c r="D1572" t="s">
        <v>14235</v>
      </c>
      <c r="E1572" t="s">
        <v>14236</v>
      </c>
      <c r="I1572" t="s">
        <v>17333</v>
      </c>
      <c r="J1572" t="s">
        <v>23</v>
      </c>
      <c r="L1572" t="s">
        <v>14833</v>
      </c>
      <c r="M1572" t="s">
        <v>14834</v>
      </c>
      <c r="N1572" t="s">
        <v>14835</v>
      </c>
      <c r="O1572" t="s">
        <v>14836</v>
      </c>
      <c r="P1572" t="s">
        <v>14837</v>
      </c>
      <c r="Q1572" t="s">
        <v>9529</v>
      </c>
      <c r="R1572" t="s">
        <v>14838</v>
      </c>
      <c r="S1572" t="s">
        <v>14839</v>
      </c>
      <c r="T1572" t="s">
        <v>14840</v>
      </c>
      <c r="U1572" s="5">
        <v>119.52</v>
      </c>
      <c r="V1572" s="5">
        <v>37.67</v>
      </c>
      <c r="W1572" s="5">
        <v>13.775200999999999</v>
      </c>
      <c r="X1572" s="5">
        <v>107.60796499999999</v>
      </c>
      <c r="Y1572" s="5">
        <v>81.84</v>
      </c>
      <c r="Z1572" s="5">
        <v>13.794485</v>
      </c>
      <c r="AA1572" s="5">
        <v>107.67164200000001</v>
      </c>
      <c r="AB1572" s="7">
        <f t="shared" si="145"/>
        <v>5.6505E-2</v>
      </c>
      <c r="AC1572" s="7">
        <f t="shared" si="146"/>
        <v>0.12276000000000001</v>
      </c>
      <c r="AD1572" s="6" t="str">
        <f t="shared" si="147"/>
        <v>TTCMKV Đức Cơ</v>
      </c>
      <c r="AE1572" s="6" t="str">
        <f t="shared" si="148"/>
        <v>Ia Dom</v>
      </c>
      <c r="AG1572">
        <f t="shared" si="149"/>
        <v>3.7670000000000002E-2</v>
      </c>
      <c r="AH1572">
        <f t="shared" si="150"/>
        <v>8.184000000000001E-2</v>
      </c>
    </row>
    <row r="1573" spans="1:34" x14ac:dyDescent="0.25">
      <c r="A1573" t="s">
        <v>14841</v>
      </c>
      <c r="B1573" t="s">
        <v>14235</v>
      </c>
      <c r="C1573" t="s">
        <v>14236</v>
      </c>
      <c r="D1573" t="s">
        <v>14842</v>
      </c>
      <c r="E1573" t="s">
        <v>14843</v>
      </c>
      <c r="I1573" t="s">
        <v>17334</v>
      </c>
      <c r="J1573" t="s">
        <v>23</v>
      </c>
      <c r="L1573" t="s">
        <v>14844</v>
      </c>
      <c r="M1573" t="s">
        <v>14845</v>
      </c>
      <c r="N1573" t="s">
        <v>14846</v>
      </c>
      <c r="O1573" t="s">
        <v>14847</v>
      </c>
      <c r="P1573" t="s">
        <v>14848</v>
      </c>
      <c r="Q1573" t="s">
        <v>14849</v>
      </c>
      <c r="R1573" t="s">
        <v>14850</v>
      </c>
      <c r="S1573" t="s">
        <v>14851</v>
      </c>
      <c r="T1573" t="s">
        <v>14852</v>
      </c>
      <c r="U1573" s="5">
        <v>3571.66</v>
      </c>
      <c r="V1573" s="5">
        <v>3541.62</v>
      </c>
      <c r="W1573" s="5">
        <v>13.825709</v>
      </c>
      <c r="X1573" s="5">
        <v>107.674227</v>
      </c>
      <c r="Y1573" s="5">
        <v>30.05</v>
      </c>
      <c r="Z1573" s="5">
        <v>13.887543000000001</v>
      </c>
      <c r="AA1573" s="5">
        <v>107.64690899999999</v>
      </c>
      <c r="AB1573" s="7">
        <f t="shared" si="145"/>
        <v>5.31243</v>
      </c>
      <c r="AC1573" s="7">
        <f t="shared" si="146"/>
        <v>4.5075000000000004E-2</v>
      </c>
      <c r="AD1573" s="6" t="str">
        <f t="shared" si="147"/>
        <v>Ia Chía</v>
      </c>
      <c r="AE1573" s="6" t="str">
        <f t="shared" si="148"/>
        <v>Ia Đơk</v>
      </c>
      <c r="AG1573">
        <f t="shared" si="149"/>
        <v>3.54162</v>
      </c>
      <c r="AH1573">
        <f t="shared" si="150"/>
        <v>3.005E-2</v>
      </c>
    </row>
    <row r="1574" spans="1:34" x14ac:dyDescent="0.25">
      <c r="A1574" t="s">
        <v>14853</v>
      </c>
      <c r="B1574" t="s">
        <v>14842</v>
      </c>
      <c r="C1574" t="s">
        <v>14843</v>
      </c>
      <c r="D1574" t="s">
        <v>14815</v>
      </c>
      <c r="E1574" t="s">
        <v>14816</v>
      </c>
      <c r="I1574" t="s">
        <v>17335</v>
      </c>
      <c r="J1574" t="s">
        <v>23</v>
      </c>
      <c r="L1574" t="s">
        <v>14844</v>
      </c>
      <c r="M1574" t="s">
        <v>14854</v>
      </c>
      <c r="N1574" t="s">
        <v>14849</v>
      </c>
      <c r="O1574" t="s">
        <v>14850</v>
      </c>
      <c r="P1574" t="s">
        <v>14851</v>
      </c>
      <c r="Q1574" t="s">
        <v>14855</v>
      </c>
      <c r="R1574" t="s">
        <v>14856</v>
      </c>
      <c r="S1574" t="s">
        <v>14857</v>
      </c>
      <c r="T1574" t="s">
        <v>14852</v>
      </c>
      <c r="U1574" s="5">
        <v>6623.12</v>
      </c>
      <c r="V1574" s="5">
        <v>30.05</v>
      </c>
      <c r="W1574" s="5">
        <v>13.887543000000001</v>
      </c>
      <c r="X1574" s="5">
        <v>107.64690899999999</v>
      </c>
      <c r="Y1574" s="5">
        <v>6593.07</v>
      </c>
      <c r="Z1574" s="5">
        <v>13.909033000000001</v>
      </c>
      <c r="AA1574" s="5">
        <v>107.697266</v>
      </c>
      <c r="AB1574" s="7">
        <f t="shared" si="145"/>
        <v>4.5075000000000004E-2</v>
      </c>
      <c r="AC1574" s="7">
        <f t="shared" si="146"/>
        <v>9.8896049999999995</v>
      </c>
      <c r="AD1574" s="6" t="str">
        <f t="shared" si="147"/>
        <v>Ia Chía</v>
      </c>
      <c r="AE1574" s="6" t="str">
        <f t="shared" si="148"/>
        <v>Ia Đơk</v>
      </c>
      <c r="AG1574">
        <f t="shared" si="149"/>
        <v>3.005E-2</v>
      </c>
      <c r="AH1574">
        <f t="shared" si="150"/>
        <v>6.59307</v>
      </c>
    </row>
    <row r="1575" spans="1:34" x14ac:dyDescent="0.25">
      <c r="A1575" t="s">
        <v>14821</v>
      </c>
      <c r="B1575" t="s">
        <v>14815</v>
      </c>
      <c r="C1575" t="s">
        <v>14822</v>
      </c>
      <c r="D1575" t="s">
        <v>14223</v>
      </c>
      <c r="E1575" t="s">
        <v>14823</v>
      </c>
      <c r="I1575" t="s">
        <v>17332</v>
      </c>
      <c r="J1575" t="s">
        <v>23</v>
      </c>
      <c r="L1575" t="s">
        <v>14824</v>
      </c>
      <c r="M1575" t="s">
        <v>14825</v>
      </c>
      <c r="N1575" t="s">
        <v>14826</v>
      </c>
      <c r="O1575" t="s">
        <v>14827</v>
      </c>
      <c r="P1575" t="s">
        <v>14828</v>
      </c>
      <c r="Q1575" t="s">
        <v>5860</v>
      </c>
      <c r="R1575" t="s">
        <v>14829</v>
      </c>
      <c r="S1575" t="s">
        <v>14830</v>
      </c>
      <c r="T1575" t="s">
        <v>14831</v>
      </c>
      <c r="U1575" s="5">
        <v>110.68</v>
      </c>
      <c r="V1575" s="5">
        <v>44.04</v>
      </c>
      <c r="W1575" s="5">
        <v>13.939026</v>
      </c>
      <c r="X1575" s="5">
        <v>107.749799</v>
      </c>
      <c r="Y1575" s="5">
        <v>66.650000000000006</v>
      </c>
      <c r="Z1575" s="5">
        <v>13.960853</v>
      </c>
      <c r="AA1575" s="5">
        <v>107.85344000000001</v>
      </c>
      <c r="AB1575" s="7">
        <f t="shared" si="145"/>
        <v>6.6060000000000008E-2</v>
      </c>
      <c r="AC1575" s="7">
        <f t="shared" si="146"/>
        <v>9.9975000000000008E-2</v>
      </c>
      <c r="AD1575" s="6" t="str">
        <f t="shared" si="147"/>
        <v>TTCMKV IaGrai</v>
      </c>
      <c r="AE1575" s="6" t="str">
        <f t="shared" si="148"/>
        <v>Ia Krai</v>
      </c>
      <c r="AG1575">
        <f t="shared" si="149"/>
        <v>4.4039999999999996E-2</v>
      </c>
      <c r="AH1575">
        <f t="shared" si="150"/>
        <v>6.6650000000000001E-2</v>
      </c>
    </row>
    <row r="1576" spans="1:34" x14ac:dyDescent="0.25">
      <c r="A1576" t="s">
        <v>14858</v>
      </c>
      <c r="B1576" t="s">
        <v>14261</v>
      </c>
      <c r="C1576" t="s">
        <v>14262</v>
      </c>
      <c r="D1576" t="s">
        <v>14859</v>
      </c>
      <c r="E1576" t="s">
        <v>14860</v>
      </c>
      <c r="I1576" t="s">
        <v>17336</v>
      </c>
      <c r="J1576" t="s">
        <v>23</v>
      </c>
      <c r="L1576" t="s">
        <v>14778</v>
      </c>
      <c r="M1576" t="s">
        <v>14861</v>
      </c>
      <c r="N1576" t="s">
        <v>14780</v>
      </c>
      <c r="O1576" t="s">
        <v>14781</v>
      </c>
      <c r="P1576" t="s">
        <v>14782</v>
      </c>
      <c r="Q1576" t="s">
        <v>14862</v>
      </c>
      <c r="R1576" t="s">
        <v>14863</v>
      </c>
      <c r="S1576" t="s">
        <v>14864</v>
      </c>
      <c r="T1576" t="s">
        <v>14786</v>
      </c>
      <c r="U1576" s="5">
        <v>826.93</v>
      </c>
      <c r="V1576" s="5">
        <v>23.05</v>
      </c>
      <c r="W1576" s="5">
        <v>13.976027</v>
      </c>
      <c r="X1576" s="5">
        <v>108.007015</v>
      </c>
      <c r="Y1576" s="5">
        <v>803.88</v>
      </c>
      <c r="Z1576" s="5">
        <v>13.974233999999999</v>
      </c>
      <c r="AA1576" s="5">
        <v>107.993201</v>
      </c>
      <c r="AB1576" s="7">
        <f t="shared" si="145"/>
        <v>3.4575000000000002E-2</v>
      </c>
      <c r="AC1576" s="7">
        <f t="shared" si="146"/>
        <v>1.2058199999999999</v>
      </c>
      <c r="AD1576" s="6" t="str">
        <f t="shared" si="147"/>
        <v>TT2 Gia Lai</v>
      </c>
      <c r="AE1576" s="6" t="str">
        <f t="shared" si="148"/>
        <v>Hội Phú</v>
      </c>
      <c r="AG1576">
        <f t="shared" si="149"/>
        <v>2.3050000000000001E-2</v>
      </c>
      <c r="AH1576">
        <f t="shared" si="150"/>
        <v>0.80388000000000004</v>
      </c>
    </row>
    <row r="1577" spans="1:34" x14ac:dyDescent="0.25">
      <c r="A1577" t="s">
        <v>14865</v>
      </c>
      <c r="B1577" t="s">
        <v>14859</v>
      </c>
      <c r="C1577" t="s">
        <v>14866</v>
      </c>
      <c r="D1577" t="s">
        <v>14867</v>
      </c>
      <c r="E1577" t="s">
        <v>14868</v>
      </c>
      <c r="I1577" t="s">
        <v>17337</v>
      </c>
      <c r="J1577" t="s">
        <v>23</v>
      </c>
      <c r="L1577" t="s">
        <v>14225</v>
      </c>
      <c r="M1577" t="s">
        <v>14869</v>
      </c>
      <c r="N1577" t="s">
        <v>14870</v>
      </c>
      <c r="O1577" t="s">
        <v>14871</v>
      </c>
      <c r="P1577" t="s">
        <v>14872</v>
      </c>
      <c r="Q1577" t="s">
        <v>14873</v>
      </c>
      <c r="R1577" t="s">
        <v>14874</v>
      </c>
      <c r="S1577" t="s">
        <v>14875</v>
      </c>
      <c r="T1577" t="s">
        <v>14233</v>
      </c>
      <c r="U1577" s="5">
        <v>767.47</v>
      </c>
      <c r="V1577" s="5">
        <v>466.06</v>
      </c>
      <c r="W1577" s="5">
        <v>13.967959</v>
      </c>
      <c r="X1577" s="5">
        <v>107.98762600000001</v>
      </c>
      <c r="Y1577" s="5">
        <v>301.41000000000003</v>
      </c>
      <c r="Z1577" s="5">
        <v>13.974387999999999</v>
      </c>
      <c r="AA1577" s="5">
        <v>107.95862200000001</v>
      </c>
      <c r="AB1577" s="7">
        <f t="shared" si="145"/>
        <v>0.69908999999999999</v>
      </c>
      <c r="AC1577" s="7">
        <f t="shared" si="146"/>
        <v>0.45211499999999999</v>
      </c>
      <c r="AD1577" s="6" t="str">
        <f t="shared" si="147"/>
        <v>TT2</v>
      </c>
      <c r="AE1577" s="6" t="str">
        <f t="shared" si="148"/>
        <v>Gia Lai-Ia Grai</v>
      </c>
      <c r="AG1577">
        <f t="shared" si="149"/>
        <v>0.46606000000000003</v>
      </c>
      <c r="AH1577">
        <f t="shared" si="150"/>
        <v>0.30141000000000001</v>
      </c>
    </row>
    <row r="1578" spans="1:34" x14ac:dyDescent="0.25">
      <c r="A1578" t="s">
        <v>14876</v>
      </c>
      <c r="B1578" t="s">
        <v>14867</v>
      </c>
      <c r="C1578" t="s">
        <v>14868</v>
      </c>
      <c r="D1578" t="s">
        <v>14877</v>
      </c>
      <c r="E1578" t="s">
        <v>14878</v>
      </c>
      <c r="I1578" t="s">
        <v>14876</v>
      </c>
      <c r="J1578" t="s">
        <v>23</v>
      </c>
      <c r="L1578" t="s">
        <v>14225</v>
      </c>
      <c r="M1578" t="s">
        <v>14879</v>
      </c>
      <c r="N1578" t="s">
        <v>14873</v>
      </c>
      <c r="O1578" t="s">
        <v>14874</v>
      </c>
      <c r="P1578" t="s">
        <v>14875</v>
      </c>
      <c r="Q1578" t="s">
        <v>14880</v>
      </c>
      <c r="R1578" t="s">
        <v>14231</v>
      </c>
      <c r="S1578" t="s">
        <v>14232</v>
      </c>
      <c r="T1578" t="s">
        <v>14233</v>
      </c>
      <c r="U1578" s="5">
        <v>3818.44</v>
      </c>
      <c r="V1578" s="5">
        <v>301.41000000000003</v>
      </c>
      <c r="W1578" s="5">
        <v>13.974387999999999</v>
      </c>
      <c r="X1578" s="5">
        <v>107.95862200000001</v>
      </c>
      <c r="Y1578" s="5">
        <v>3517.02</v>
      </c>
      <c r="Z1578" s="5">
        <v>13.961506</v>
      </c>
      <c r="AA1578" s="5">
        <v>107.85348399999999</v>
      </c>
      <c r="AB1578" s="7">
        <f t="shared" si="145"/>
        <v>0.45211499999999999</v>
      </c>
      <c r="AC1578" s="7">
        <f t="shared" si="146"/>
        <v>5.2755299999999998</v>
      </c>
      <c r="AD1578" s="6" t="str">
        <f t="shared" si="147"/>
        <v>TT2</v>
      </c>
      <c r="AE1578" s="6" t="str">
        <f t="shared" si="148"/>
        <v>Gia Lai-Ia Grai</v>
      </c>
      <c r="AG1578">
        <f t="shared" si="149"/>
        <v>0.30141000000000001</v>
      </c>
      <c r="AH1578">
        <f t="shared" si="150"/>
        <v>3.51702</v>
      </c>
    </row>
    <row r="1579" spans="1:34" x14ac:dyDescent="0.25">
      <c r="A1579" t="s">
        <v>14881</v>
      </c>
      <c r="B1579" t="s">
        <v>14877</v>
      </c>
      <c r="C1579" t="s">
        <v>14878</v>
      </c>
      <c r="D1579" t="s">
        <v>14223</v>
      </c>
      <c r="E1579" t="s">
        <v>14823</v>
      </c>
      <c r="I1579" t="s">
        <v>17338</v>
      </c>
      <c r="J1579" t="s">
        <v>23</v>
      </c>
      <c r="L1579" t="s">
        <v>14882</v>
      </c>
      <c r="M1579" t="s">
        <v>14883</v>
      </c>
      <c r="N1579" t="s">
        <v>14884</v>
      </c>
      <c r="O1579" t="s">
        <v>14885</v>
      </c>
      <c r="P1579" t="s">
        <v>14886</v>
      </c>
      <c r="Q1579" t="s">
        <v>14887</v>
      </c>
      <c r="R1579" t="s">
        <v>14888</v>
      </c>
      <c r="S1579" t="s">
        <v>14889</v>
      </c>
      <c r="T1579" t="s">
        <v>14890</v>
      </c>
      <c r="U1579" s="5">
        <v>244.99</v>
      </c>
      <c r="V1579" s="5">
        <v>140.53</v>
      </c>
      <c r="W1579" s="5">
        <v>13.991307000000001</v>
      </c>
      <c r="X1579" s="5">
        <v>107.84484999999999</v>
      </c>
      <c r="Y1579" s="5">
        <v>104.46</v>
      </c>
      <c r="Z1579" s="5">
        <v>13.960895000000001</v>
      </c>
      <c r="AA1579" s="5">
        <v>107.853004</v>
      </c>
      <c r="AB1579" s="7">
        <f t="shared" si="145"/>
        <v>0.21079500000000001</v>
      </c>
      <c r="AC1579" s="7">
        <f t="shared" si="146"/>
        <v>0.15669</v>
      </c>
      <c r="AD1579" s="6" t="str">
        <f t="shared" si="147"/>
        <v>Ia Hrung</v>
      </c>
      <c r="AE1579" s="6" t="str">
        <f t="shared" si="148"/>
        <v>IaGrai</v>
      </c>
      <c r="AG1579">
        <f t="shared" si="149"/>
        <v>0.14052999999999999</v>
      </c>
      <c r="AH1579">
        <f t="shared" si="150"/>
        <v>0.10446</v>
      </c>
    </row>
    <row r="1580" spans="1:34" x14ac:dyDescent="0.25">
      <c r="A1580" t="s">
        <v>14891</v>
      </c>
      <c r="B1580" t="s">
        <v>14776</v>
      </c>
      <c r="C1580" t="s">
        <v>14777</v>
      </c>
      <c r="D1580" t="s">
        <v>14593</v>
      </c>
      <c r="E1580" t="s">
        <v>14594</v>
      </c>
      <c r="I1580" t="s">
        <v>17339</v>
      </c>
      <c r="J1580" t="s">
        <v>23</v>
      </c>
      <c r="L1580" t="s">
        <v>14892</v>
      </c>
      <c r="M1580" t="s">
        <v>14893</v>
      </c>
      <c r="N1580" t="s">
        <v>14894</v>
      </c>
      <c r="O1580" t="s">
        <v>14895</v>
      </c>
      <c r="P1580" t="s">
        <v>14896</v>
      </c>
      <c r="Q1580" t="s">
        <v>14897</v>
      </c>
      <c r="R1580" t="s">
        <v>14898</v>
      </c>
      <c r="S1580" t="s">
        <v>14899</v>
      </c>
      <c r="T1580" t="s">
        <v>14900</v>
      </c>
      <c r="U1580" s="5">
        <v>1548.69</v>
      </c>
      <c r="V1580" s="5">
        <v>1336.62</v>
      </c>
      <c r="W1580" s="5">
        <v>13.951223000000001</v>
      </c>
      <c r="X1580" s="5">
        <v>108.013178</v>
      </c>
      <c r="Y1580" s="5">
        <v>212.07</v>
      </c>
      <c r="Z1580" s="5">
        <v>13.887100999999999</v>
      </c>
      <c r="AA1580" s="5">
        <v>108.01251600000001</v>
      </c>
      <c r="AB1580" s="7">
        <f t="shared" si="145"/>
        <v>2.0049299999999999</v>
      </c>
      <c r="AC1580" s="7">
        <f t="shared" si="146"/>
        <v>0.31810500000000003</v>
      </c>
      <c r="AD1580" s="6" t="str">
        <f t="shared" si="147"/>
        <v>Hàm Rồng</v>
      </c>
      <c r="AE1580" s="6" t="str">
        <f t="shared" si="148"/>
        <v>Gia Lai</v>
      </c>
      <c r="AG1580">
        <f t="shared" si="149"/>
        <v>1.3366199999999999</v>
      </c>
      <c r="AH1580">
        <f t="shared" si="150"/>
        <v>0.21206999999999998</v>
      </c>
    </row>
    <row r="1581" spans="1:34" x14ac:dyDescent="0.25">
      <c r="A1581" t="s">
        <v>14901</v>
      </c>
      <c r="B1581" t="s">
        <v>14593</v>
      </c>
      <c r="C1581" t="s">
        <v>14594</v>
      </c>
      <c r="D1581" t="s">
        <v>14902</v>
      </c>
      <c r="E1581" t="s">
        <v>14903</v>
      </c>
      <c r="I1581" t="s">
        <v>17340</v>
      </c>
      <c r="J1581" t="s">
        <v>23</v>
      </c>
      <c r="L1581" t="s">
        <v>14904</v>
      </c>
      <c r="M1581" t="s">
        <v>14905</v>
      </c>
      <c r="N1581" t="s">
        <v>14906</v>
      </c>
      <c r="O1581" t="s">
        <v>14907</v>
      </c>
      <c r="P1581" t="s">
        <v>14908</v>
      </c>
      <c r="Q1581" t="s">
        <v>14909</v>
      </c>
      <c r="R1581" t="s">
        <v>14910</v>
      </c>
      <c r="S1581" t="s">
        <v>14911</v>
      </c>
      <c r="T1581" t="s">
        <v>14912</v>
      </c>
      <c r="U1581" s="5">
        <v>2641.26</v>
      </c>
      <c r="V1581" s="5">
        <v>252.47</v>
      </c>
      <c r="W1581" s="5">
        <v>13.886499000000001</v>
      </c>
      <c r="X1581" s="5">
        <v>108.011916</v>
      </c>
      <c r="Y1581" s="5">
        <v>2388.7800000000002</v>
      </c>
      <c r="Z1581" s="5">
        <v>13.865929</v>
      </c>
      <c r="AA1581" s="5">
        <v>107.998921</v>
      </c>
      <c r="AB1581" s="7">
        <f t="shared" si="145"/>
        <v>0.37870499999999996</v>
      </c>
      <c r="AC1581" s="7">
        <f t="shared" si="146"/>
        <v>3.58317</v>
      </c>
      <c r="AD1581" s="6" t="str">
        <f t="shared" si="147"/>
        <v>Chư Pưh</v>
      </c>
      <c r="AE1581" s="6" t="str">
        <f t="shared" si="148"/>
        <v>Hàm Rồng</v>
      </c>
      <c r="AG1581">
        <f t="shared" si="149"/>
        <v>0.25246999999999997</v>
      </c>
      <c r="AH1581">
        <f t="shared" si="150"/>
        <v>2.3887800000000001</v>
      </c>
    </row>
    <row r="1582" spans="1:34" x14ac:dyDescent="0.25">
      <c r="A1582" t="s">
        <v>14913</v>
      </c>
      <c r="B1582" t="s">
        <v>14902</v>
      </c>
      <c r="C1582" t="s">
        <v>14903</v>
      </c>
      <c r="D1582" t="s">
        <v>14914</v>
      </c>
      <c r="E1582" t="s">
        <v>14915</v>
      </c>
      <c r="I1582" t="s">
        <v>17341</v>
      </c>
      <c r="J1582" t="s">
        <v>23</v>
      </c>
      <c r="L1582" t="s">
        <v>14916</v>
      </c>
      <c r="M1582" t="s">
        <v>14917</v>
      </c>
      <c r="N1582" t="s">
        <v>14918</v>
      </c>
      <c r="O1582" t="s">
        <v>14919</v>
      </c>
      <c r="P1582" t="s">
        <v>14920</v>
      </c>
      <c r="Q1582" t="s">
        <v>14921</v>
      </c>
      <c r="R1582" t="s">
        <v>14922</v>
      </c>
      <c r="S1582" t="s">
        <v>14923</v>
      </c>
      <c r="T1582" t="s">
        <v>14924</v>
      </c>
      <c r="U1582" s="5">
        <v>5355.94</v>
      </c>
      <c r="V1582" s="5">
        <v>5168.46</v>
      </c>
      <c r="W1582" s="5">
        <v>13.904756000000001</v>
      </c>
      <c r="X1582" s="5">
        <v>107.94314199999999</v>
      </c>
      <c r="Y1582" s="5">
        <v>187.48</v>
      </c>
      <c r="Z1582" s="5">
        <v>13.885977</v>
      </c>
      <c r="AA1582" s="5">
        <v>107.911177</v>
      </c>
      <c r="AB1582" s="7">
        <f t="shared" si="145"/>
        <v>7.7526900000000003</v>
      </c>
      <c r="AC1582" s="7">
        <f t="shared" si="146"/>
        <v>0.28121999999999997</v>
      </c>
      <c r="AD1582" s="6" t="str">
        <f t="shared" si="147"/>
        <v>TT2</v>
      </c>
      <c r="AE1582" s="6" t="str">
        <f t="shared" si="148"/>
        <v>Gào</v>
      </c>
      <c r="AG1582">
        <f t="shared" si="149"/>
        <v>5.1684599999999996</v>
      </c>
      <c r="AH1582">
        <f t="shared" si="150"/>
        <v>0.18747999999999998</v>
      </c>
    </row>
    <row r="1583" spans="1:34" x14ac:dyDescent="0.25">
      <c r="A1583" t="s">
        <v>14925</v>
      </c>
      <c r="B1583" t="s">
        <v>14914</v>
      </c>
      <c r="C1583" t="s">
        <v>14926</v>
      </c>
      <c r="D1583" t="s">
        <v>14221</v>
      </c>
      <c r="E1583" t="s">
        <v>14927</v>
      </c>
      <c r="I1583" t="s">
        <v>17342</v>
      </c>
      <c r="J1583" t="s">
        <v>23</v>
      </c>
      <c r="L1583" t="s">
        <v>14916</v>
      </c>
      <c r="M1583" t="s">
        <v>14928</v>
      </c>
      <c r="N1583" t="s">
        <v>14929</v>
      </c>
      <c r="O1583" t="s">
        <v>14930</v>
      </c>
      <c r="P1583" t="s">
        <v>14931</v>
      </c>
      <c r="Q1583" t="s">
        <v>14932</v>
      </c>
      <c r="R1583" t="s">
        <v>14933</v>
      </c>
      <c r="S1583" t="s">
        <v>14934</v>
      </c>
      <c r="T1583" t="s">
        <v>14935</v>
      </c>
      <c r="U1583" s="5">
        <v>7246.97</v>
      </c>
      <c r="V1583" s="5">
        <v>7183.85</v>
      </c>
      <c r="W1583" s="5">
        <v>13.936211</v>
      </c>
      <c r="X1583" s="5">
        <v>107.95058</v>
      </c>
      <c r="Y1583" s="5">
        <v>63.11</v>
      </c>
      <c r="Z1583" s="5">
        <v>13.976846999999999</v>
      </c>
      <c r="AA1583" s="5">
        <v>107.992482</v>
      </c>
      <c r="AB1583" s="7">
        <f t="shared" si="145"/>
        <v>10.775775000000001</v>
      </c>
      <c r="AC1583" s="7">
        <f t="shared" si="146"/>
        <v>9.4664999999999985E-2</v>
      </c>
      <c r="AD1583" s="6" t="str">
        <f t="shared" si="147"/>
        <v>TT2</v>
      </c>
      <c r="AE1583" s="6" t="str">
        <f t="shared" si="148"/>
        <v>Gào</v>
      </c>
      <c r="AG1583">
        <f t="shared" si="149"/>
        <v>7.1838500000000005</v>
      </c>
      <c r="AH1583">
        <f t="shared" si="150"/>
        <v>6.3109999999999999E-2</v>
      </c>
    </row>
    <row r="1584" spans="1:34" x14ac:dyDescent="0.25">
      <c r="A1584" t="s">
        <v>14936</v>
      </c>
      <c r="B1584" t="s">
        <v>14261</v>
      </c>
      <c r="C1584" t="s">
        <v>14262</v>
      </c>
      <c r="D1584" t="s">
        <v>14937</v>
      </c>
      <c r="E1584" t="s">
        <v>14938</v>
      </c>
      <c r="I1584" t="s">
        <v>14936</v>
      </c>
      <c r="J1584" t="s">
        <v>23</v>
      </c>
      <c r="L1584" t="s">
        <v>14778</v>
      </c>
      <c r="M1584" t="s">
        <v>14939</v>
      </c>
      <c r="N1584" t="s">
        <v>14780</v>
      </c>
      <c r="O1584" t="s">
        <v>14781</v>
      </c>
      <c r="P1584" t="s">
        <v>14782</v>
      </c>
      <c r="Q1584" t="s">
        <v>14940</v>
      </c>
      <c r="R1584" t="s">
        <v>14941</v>
      </c>
      <c r="S1584" t="s">
        <v>14942</v>
      </c>
      <c r="T1584" t="s">
        <v>14786</v>
      </c>
      <c r="U1584" s="5">
        <v>54.7</v>
      </c>
      <c r="V1584" s="5">
        <v>23.05</v>
      </c>
      <c r="W1584" s="5">
        <v>13.976027</v>
      </c>
      <c r="X1584" s="5">
        <v>108.007015</v>
      </c>
      <c r="Y1584" s="5">
        <v>31.64</v>
      </c>
      <c r="Z1584" s="5">
        <v>13.971399999999999</v>
      </c>
      <c r="AA1584" s="5">
        <v>108.007879</v>
      </c>
      <c r="AB1584" s="7">
        <f t="shared" si="145"/>
        <v>3.4575000000000002E-2</v>
      </c>
      <c r="AC1584" s="7">
        <f t="shared" si="146"/>
        <v>4.7460000000000002E-2</v>
      </c>
      <c r="AD1584" s="6" t="str">
        <f t="shared" si="147"/>
        <v>TT2 Gia Lai</v>
      </c>
      <c r="AE1584" s="6" t="str">
        <f t="shared" si="148"/>
        <v>Hội Phú</v>
      </c>
      <c r="AG1584">
        <f t="shared" si="149"/>
        <v>2.3050000000000001E-2</v>
      </c>
      <c r="AH1584">
        <f t="shared" si="150"/>
        <v>3.1640000000000001E-2</v>
      </c>
    </row>
    <row r="1585" spans="1:34" x14ac:dyDescent="0.25">
      <c r="A1585" t="s">
        <v>14943</v>
      </c>
      <c r="B1585" t="s">
        <v>14937</v>
      </c>
      <c r="C1585" t="s">
        <v>14938</v>
      </c>
      <c r="D1585" t="s">
        <v>14944</v>
      </c>
      <c r="E1585" t="s">
        <v>14945</v>
      </c>
      <c r="I1585" t="s">
        <v>17343</v>
      </c>
      <c r="J1585" t="s">
        <v>23</v>
      </c>
      <c r="L1585" t="s">
        <v>14946</v>
      </c>
      <c r="M1585" t="s">
        <v>14947</v>
      </c>
      <c r="N1585" t="s">
        <v>14948</v>
      </c>
      <c r="O1585" t="s">
        <v>14949</v>
      </c>
      <c r="P1585" t="s">
        <v>14950</v>
      </c>
      <c r="Q1585" t="s">
        <v>14951</v>
      </c>
      <c r="R1585" t="s">
        <v>14952</v>
      </c>
      <c r="S1585" t="s">
        <v>14953</v>
      </c>
      <c r="T1585" t="s">
        <v>14954</v>
      </c>
      <c r="U1585" s="5">
        <v>14384.79</v>
      </c>
      <c r="V1585" s="5">
        <v>14273.21</v>
      </c>
      <c r="W1585" s="5">
        <v>13.884423</v>
      </c>
      <c r="X1585" s="5">
        <v>107.910754</v>
      </c>
      <c r="Y1585" s="5">
        <v>111.58</v>
      </c>
      <c r="Z1585" s="5">
        <v>13.819451000000001</v>
      </c>
      <c r="AA1585" s="5">
        <v>107.87117499999999</v>
      </c>
      <c r="AB1585" s="7">
        <f t="shared" si="145"/>
        <v>21.409814999999998</v>
      </c>
      <c r="AC1585" s="7">
        <f t="shared" si="146"/>
        <v>0.16736999999999999</v>
      </c>
      <c r="AD1585" s="6" t="str">
        <f t="shared" si="147"/>
        <v>Gào</v>
      </c>
      <c r="AE1585" s="6" t="str">
        <f t="shared" si="148"/>
        <v>Bàu Cạn</v>
      </c>
      <c r="AG1585">
        <f t="shared" si="149"/>
        <v>14.273209999999999</v>
      </c>
      <c r="AH1585">
        <f t="shared" si="150"/>
        <v>0.11158</v>
      </c>
    </row>
    <row r="1586" spans="1:34" x14ac:dyDescent="0.25">
      <c r="A1586" t="s">
        <v>14955</v>
      </c>
      <c r="B1586" t="s">
        <v>14944</v>
      </c>
      <c r="C1586" t="s">
        <v>14945</v>
      </c>
      <c r="D1586" t="s">
        <v>14956</v>
      </c>
      <c r="E1586" t="s">
        <v>14957</v>
      </c>
      <c r="I1586" t="s">
        <v>17344</v>
      </c>
      <c r="J1586" t="s">
        <v>23</v>
      </c>
      <c r="L1586" t="s">
        <v>14958</v>
      </c>
      <c r="M1586" t="s">
        <v>14959</v>
      </c>
      <c r="N1586" t="s">
        <v>14960</v>
      </c>
      <c r="O1586" t="s">
        <v>14961</v>
      </c>
      <c r="P1586" t="s">
        <v>14962</v>
      </c>
      <c r="Q1586" t="s">
        <v>14963</v>
      </c>
      <c r="R1586" t="s">
        <v>14964</v>
      </c>
      <c r="S1586" t="s">
        <v>14965</v>
      </c>
      <c r="T1586" t="s">
        <v>14966</v>
      </c>
      <c r="U1586" s="5">
        <v>143.19999999999999</v>
      </c>
      <c r="V1586" s="5">
        <v>86.81</v>
      </c>
      <c r="W1586" s="5">
        <v>13.82122</v>
      </c>
      <c r="X1586" s="5">
        <v>107.87102400000001</v>
      </c>
      <c r="Y1586" s="5">
        <v>56.39</v>
      </c>
      <c r="Z1586" s="5">
        <v>13.836179</v>
      </c>
      <c r="AA1586" s="5">
        <v>107.79199300000001</v>
      </c>
      <c r="AB1586" s="7">
        <f t="shared" si="145"/>
        <v>0.130215</v>
      </c>
      <c r="AC1586" s="7">
        <f t="shared" si="146"/>
        <v>8.4585000000000007E-2</v>
      </c>
      <c r="AD1586" s="6" t="str">
        <f t="shared" si="147"/>
        <v>Bàu Cạn</v>
      </c>
      <c r="AE1586" s="6" t="str">
        <f t="shared" si="148"/>
        <v>Ia Krel</v>
      </c>
      <c r="AG1586">
        <f t="shared" si="149"/>
        <v>8.6809999999999998E-2</v>
      </c>
      <c r="AH1586">
        <f t="shared" si="150"/>
        <v>5.6390000000000003E-2</v>
      </c>
    </row>
    <row r="1587" spans="1:34" x14ac:dyDescent="0.25">
      <c r="A1587" t="s">
        <v>14967</v>
      </c>
      <c r="B1587" t="s">
        <v>14956</v>
      </c>
      <c r="C1587" t="s">
        <v>14968</v>
      </c>
      <c r="D1587" t="s">
        <v>14235</v>
      </c>
      <c r="E1587" t="s">
        <v>14236</v>
      </c>
      <c r="I1587" t="s">
        <v>17345</v>
      </c>
      <c r="J1587" t="s">
        <v>23</v>
      </c>
      <c r="L1587" t="s">
        <v>14237</v>
      </c>
      <c r="M1587" t="s">
        <v>14969</v>
      </c>
      <c r="N1587" t="s">
        <v>14970</v>
      </c>
      <c r="O1587" t="s">
        <v>14971</v>
      </c>
      <c r="P1587" t="s">
        <v>14972</v>
      </c>
      <c r="Q1587" t="s">
        <v>14242</v>
      </c>
      <c r="R1587" t="s">
        <v>14243</v>
      </c>
      <c r="S1587" t="s">
        <v>14244</v>
      </c>
      <c r="T1587" t="s">
        <v>14245</v>
      </c>
      <c r="U1587" s="5">
        <v>62.21</v>
      </c>
      <c r="V1587" s="5">
        <v>45.19</v>
      </c>
      <c r="W1587" s="5">
        <v>13.836130000000001</v>
      </c>
      <c r="X1587" s="5">
        <v>107.791674</v>
      </c>
      <c r="Y1587" s="5">
        <v>17.010000000000002</v>
      </c>
      <c r="Z1587" s="5">
        <v>13.793872</v>
      </c>
      <c r="AA1587" s="5">
        <v>107.67198399999999</v>
      </c>
      <c r="AB1587" s="7">
        <f t="shared" si="145"/>
        <v>6.7784999999999998E-2</v>
      </c>
      <c r="AC1587" s="7">
        <f t="shared" si="146"/>
        <v>2.5514999999999999E-2</v>
      </c>
      <c r="AD1587" s="6" t="str">
        <f t="shared" si="147"/>
        <v>Ia Grai</v>
      </c>
      <c r="AE1587" s="6" t="str">
        <f t="shared" si="148"/>
        <v>Đức Cơ</v>
      </c>
      <c r="AG1587">
        <f t="shared" si="149"/>
        <v>4.5190000000000001E-2</v>
      </c>
      <c r="AH1587">
        <f t="shared" si="150"/>
        <v>1.7010000000000001E-2</v>
      </c>
    </row>
    <row r="1588" spans="1:34" x14ac:dyDescent="0.25">
      <c r="A1588" t="s">
        <v>14973</v>
      </c>
      <c r="B1588" t="s">
        <v>14235</v>
      </c>
      <c r="C1588" t="s">
        <v>14236</v>
      </c>
      <c r="D1588" t="s">
        <v>14788</v>
      </c>
      <c r="E1588" t="s">
        <v>14974</v>
      </c>
      <c r="I1588" t="s">
        <v>17346</v>
      </c>
      <c r="J1588" t="s">
        <v>23</v>
      </c>
      <c r="L1588" t="s">
        <v>14833</v>
      </c>
      <c r="M1588" t="s">
        <v>2148</v>
      </c>
      <c r="N1588" t="s">
        <v>9529</v>
      </c>
      <c r="O1588" t="s">
        <v>14838</v>
      </c>
      <c r="P1588" t="s">
        <v>14839</v>
      </c>
      <c r="Q1588" t="s">
        <v>14975</v>
      </c>
      <c r="R1588" t="s">
        <v>14836</v>
      </c>
      <c r="S1588" t="s">
        <v>14837</v>
      </c>
      <c r="T1588" t="s">
        <v>14840</v>
      </c>
      <c r="U1588" s="5">
        <v>119.5</v>
      </c>
      <c r="V1588" s="5">
        <v>81.84</v>
      </c>
      <c r="W1588" s="5">
        <v>13.794485</v>
      </c>
      <c r="X1588" s="5">
        <v>107.67164200000001</v>
      </c>
      <c r="Y1588" s="5">
        <v>37.659999999999997</v>
      </c>
      <c r="Z1588" s="5">
        <v>13.775200999999999</v>
      </c>
      <c r="AA1588" s="5">
        <v>107.60796499999999</v>
      </c>
      <c r="AB1588" s="7">
        <f t="shared" si="145"/>
        <v>0.12276000000000001</v>
      </c>
      <c r="AC1588" s="7">
        <f t="shared" si="146"/>
        <v>5.6489999999999992E-2</v>
      </c>
      <c r="AD1588" s="6" t="str">
        <f t="shared" si="147"/>
        <v>TTCMKV Đức Cơ</v>
      </c>
      <c r="AE1588" s="6" t="str">
        <f t="shared" si="148"/>
        <v>Ia Dom</v>
      </c>
      <c r="AG1588">
        <f t="shared" si="149"/>
        <v>8.184000000000001E-2</v>
      </c>
      <c r="AH1588">
        <f t="shared" si="150"/>
        <v>3.7659999999999999E-2</v>
      </c>
    </row>
    <row r="1589" spans="1:34" x14ac:dyDescent="0.25">
      <c r="A1589" t="s">
        <v>14976</v>
      </c>
      <c r="B1589" t="s">
        <v>14261</v>
      </c>
      <c r="C1589" t="s">
        <v>14262</v>
      </c>
      <c r="D1589" t="s">
        <v>14977</v>
      </c>
      <c r="E1589" t="s">
        <v>14978</v>
      </c>
      <c r="I1589" t="s">
        <v>14976</v>
      </c>
      <c r="J1589" t="s">
        <v>23</v>
      </c>
      <c r="L1589" t="s">
        <v>14583</v>
      </c>
      <c r="M1589" t="s">
        <v>14979</v>
      </c>
      <c r="N1589" t="s">
        <v>14585</v>
      </c>
      <c r="O1589" t="s">
        <v>14586</v>
      </c>
      <c r="P1589" t="s">
        <v>14587</v>
      </c>
      <c r="Q1589" t="s">
        <v>14980</v>
      </c>
      <c r="R1589" t="s">
        <v>14981</v>
      </c>
      <c r="S1589" t="s">
        <v>14982</v>
      </c>
      <c r="T1589" t="s">
        <v>14591</v>
      </c>
      <c r="U1589" s="5">
        <v>13011.6</v>
      </c>
      <c r="V1589" s="5">
        <v>1489.29</v>
      </c>
      <c r="W1589" s="5">
        <v>13.973366</v>
      </c>
      <c r="X1589" s="5">
        <v>107.99338299999999</v>
      </c>
      <c r="Y1589" s="5">
        <v>11522.31</v>
      </c>
      <c r="Z1589" s="5">
        <v>13.898294999999999</v>
      </c>
      <c r="AA1589" s="5">
        <v>108.016447</v>
      </c>
      <c r="AB1589" s="7">
        <f t="shared" si="145"/>
        <v>2.2339349999999998</v>
      </c>
      <c r="AC1589" s="7">
        <f t="shared" si="146"/>
        <v>17.283465</v>
      </c>
      <c r="AD1589" s="6" t="str">
        <f t="shared" si="147"/>
        <v>TT2 Gia Lai</v>
      </c>
      <c r="AE1589" s="6" t="str">
        <f t="shared" si="148"/>
        <v>Chư Sê</v>
      </c>
      <c r="AG1589">
        <f t="shared" si="149"/>
        <v>1.48929</v>
      </c>
      <c r="AH1589">
        <f t="shared" si="150"/>
        <v>11.522309999999999</v>
      </c>
    </row>
    <row r="1590" spans="1:34" x14ac:dyDescent="0.25">
      <c r="A1590" t="s">
        <v>14983</v>
      </c>
      <c r="B1590" t="s">
        <v>14977</v>
      </c>
      <c r="C1590" t="s">
        <v>14978</v>
      </c>
      <c r="D1590" t="s">
        <v>14984</v>
      </c>
      <c r="E1590" t="s">
        <v>14985</v>
      </c>
      <c r="I1590" t="s">
        <v>14983</v>
      </c>
      <c r="J1590" t="s">
        <v>23</v>
      </c>
      <c r="L1590" t="s">
        <v>14249</v>
      </c>
      <c r="M1590" t="s">
        <v>14986</v>
      </c>
      <c r="N1590" t="s">
        <v>14987</v>
      </c>
      <c r="O1590" t="s">
        <v>14988</v>
      </c>
      <c r="P1590" t="s">
        <v>14989</v>
      </c>
      <c r="Q1590" t="s">
        <v>14990</v>
      </c>
      <c r="R1590" t="s">
        <v>14991</v>
      </c>
      <c r="S1590" t="s">
        <v>14992</v>
      </c>
      <c r="T1590" t="s">
        <v>14257</v>
      </c>
      <c r="U1590" s="5">
        <v>7012.61</v>
      </c>
      <c r="V1590" s="5">
        <v>6905.54</v>
      </c>
      <c r="W1590" s="5">
        <v>13.816597</v>
      </c>
      <c r="X1590" s="5">
        <v>107.881558</v>
      </c>
      <c r="Y1590" s="5">
        <v>107.07</v>
      </c>
      <c r="Z1590" s="5">
        <v>13.744859999999999</v>
      </c>
      <c r="AA1590" s="5">
        <v>107.858248</v>
      </c>
      <c r="AB1590" s="7">
        <f t="shared" si="145"/>
        <v>10.358309999999999</v>
      </c>
      <c r="AC1590" s="7">
        <f t="shared" si="146"/>
        <v>0.160605</v>
      </c>
      <c r="AD1590" s="6" t="str">
        <f t="shared" si="147"/>
        <v>Đức Cơ</v>
      </c>
      <c r="AE1590" s="6" t="str">
        <f t="shared" si="148"/>
        <v>Chư Prông</v>
      </c>
      <c r="AG1590">
        <f t="shared" si="149"/>
        <v>6.9055400000000002</v>
      </c>
      <c r="AH1590">
        <f t="shared" si="150"/>
        <v>0.10707</v>
      </c>
    </row>
    <row r="1591" spans="1:34" x14ac:dyDescent="0.25">
      <c r="A1591" t="s">
        <v>14993</v>
      </c>
      <c r="B1591" t="s">
        <v>14984</v>
      </c>
      <c r="C1591" t="s">
        <v>14985</v>
      </c>
      <c r="D1591" t="s">
        <v>14994</v>
      </c>
      <c r="E1591" t="s">
        <v>14995</v>
      </c>
      <c r="I1591" t="s">
        <v>17347</v>
      </c>
      <c r="J1591" t="s">
        <v>23</v>
      </c>
      <c r="L1591" t="s">
        <v>14249</v>
      </c>
      <c r="M1591" t="s">
        <v>14996</v>
      </c>
      <c r="N1591" t="s">
        <v>14990</v>
      </c>
      <c r="O1591" t="s">
        <v>14991</v>
      </c>
      <c r="P1591" t="s">
        <v>14992</v>
      </c>
      <c r="Q1591" t="s">
        <v>14997</v>
      </c>
      <c r="R1591" t="s">
        <v>14255</v>
      </c>
      <c r="S1591" t="s">
        <v>14256</v>
      </c>
      <c r="T1591" t="s">
        <v>14257</v>
      </c>
      <c r="U1591" s="5">
        <v>123.58</v>
      </c>
      <c r="V1591" s="5">
        <v>107.07</v>
      </c>
      <c r="W1591" s="5">
        <v>13.744859999999999</v>
      </c>
      <c r="X1591" s="5">
        <v>107.858248</v>
      </c>
      <c r="Y1591" s="5">
        <v>16.510000000000002</v>
      </c>
      <c r="Z1591" s="5">
        <v>13.753992999999999</v>
      </c>
      <c r="AA1591" s="5">
        <v>107.889787</v>
      </c>
      <c r="AB1591" s="7">
        <f t="shared" si="145"/>
        <v>0.160605</v>
      </c>
      <c r="AC1591" s="7">
        <f t="shared" si="146"/>
        <v>2.4765000000000002E-2</v>
      </c>
      <c r="AD1591" s="6" t="str">
        <f t="shared" si="147"/>
        <v>Đức Cơ</v>
      </c>
      <c r="AE1591" s="6" t="str">
        <f t="shared" si="148"/>
        <v>Chư Prông</v>
      </c>
      <c r="AG1591">
        <f t="shared" si="149"/>
        <v>0.10707</v>
      </c>
      <c r="AH1591">
        <f t="shared" si="150"/>
        <v>1.651E-2</v>
      </c>
    </row>
    <row r="1592" spans="1:34" x14ac:dyDescent="0.25">
      <c r="A1592" t="s">
        <v>14998</v>
      </c>
      <c r="B1592" t="s">
        <v>14994</v>
      </c>
      <c r="C1592" t="s">
        <v>14999</v>
      </c>
      <c r="D1592" t="s">
        <v>14247</v>
      </c>
      <c r="E1592" t="s">
        <v>14248</v>
      </c>
      <c r="I1592" t="s">
        <v>17348</v>
      </c>
      <c r="J1592" t="s">
        <v>23</v>
      </c>
      <c r="L1592" t="s">
        <v>15000</v>
      </c>
      <c r="M1592" t="s">
        <v>15001</v>
      </c>
      <c r="N1592" t="s">
        <v>15002</v>
      </c>
      <c r="O1592" t="s">
        <v>15003</v>
      </c>
      <c r="P1592" t="s">
        <v>15004</v>
      </c>
      <c r="Q1592" t="s">
        <v>15005</v>
      </c>
      <c r="R1592" t="s">
        <v>15006</v>
      </c>
      <c r="S1592" t="s">
        <v>15007</v>
      </c>
      <c r="T1592" t="s">
        <v>15008</v>
      </c>
      <c r="U1592" s="5">
        <v>107.93</v>
      </c>
      <c r="V1592" s="5">
        <v>41.87</v>
      </c>
      <c r="W1592" s="5">
        <v>13.753617999999999</v>
      </c>
      <c r="X1592" s="5">
        <v>107.88973</v>
      </c>
      <c r="Y1592" s="5">
        <v>66.06</v>
      </c>
      <c r="Z1592" s="5">
        <v>13.762046</v>
      </c>
      <c r="AA1592" s="5">
        <v>107.899835</v>
      </c>
      <c r="AB1592" s="7">
        <f t="shared" si="145"/>
        <v>6.2804999999999986E-2</v>
      </c>
      <c r="AC1592" s="7">
        <f t="shared" si="146"/>
        <v>9.9089999999999998E-2</v>
      </c>
      <c r="AD1592" s="6" t="str">
        <f t="shared" si="147"/>
        <v>TTCMKV Chư Prông</v>
      </c>
      <c r="AE1592" s="6" t="str">
        <f t="shared" si="148"/>
        <v>Chư Prông</v>
      </c>
      <c r="AG1592">
        <f t="shared" si="149"/>
        <v>4.1869999999999997E-2</v>
      </c>
      <c r="AH1592">
        <f t="shared" si="150"/>
        <v>6.6060000000000008E-2</v>
      </c>
    </row>
    <row r="1593" spans="1:34" x14ac:dyDescent="0.25">
      <c r="A1593" t="s">
        <v>15009</v>
      </c>
      <c r="B1593" t="s">
        <v>14259</v>
      </c>
      <c r="C1593" t="s">
        <v>14260</v>
      </c>
      <c r="D1593" t="s">
        <v>15010</v>
      </c>
      <c r="E1593" t="s">
        <v>15011</v>
      </c>
      <c r="I1593" t="s">
        <v>17349</v>
      </c>
      <c r="J1593" t="s">
        <v>23</v>
      </c>
      <c r="L1593" t="s">
        <v>14263</v>
      </c>
      <c r="M1593" t="s">
        <v>15012</v>
      </c>
      <c r="N1593" t="s">
        <v>15013</v>
      </c>
      <c r="O1593" t="s">
        <v>15014</v>
      </c>
      <c r="P1593" t="s">
        <v>15015</v>
      </c>
      <c r="Q1593" t="s">
        <v>15016</v>
      </c>
      <c r="R1593" t="s">
        <v>15017</v>
      </c>
      <c r="S1593" t="s">
        <v>15018</v>
      </c>
      <c r="T1593" t="s">
        <v>14271</v>
      </c>
      <c r="U1593" s="5">
        <v>85.79</v>
      </c>
      <c r="V1593" s="5">
        <v>1.02</v>
      </c>
      <c r="W1593" s="5">
        <v>13.692099000000001</v>
      </c>
      <c r="X1593" s="5">
        <v>108.08035099999999</v>
      </c>
      <c r="Y1593" s="5">
        <v>84.76</v>
      </c>
      <c r="Z1593" s="5">
        <v>13.705873</v>
      </c>
      <c r="AA1593" s="5">
        <v>108.091086</v>
      </c>
      <c r="AB1593" s="7">
        <f t="shared" si="145"/>
        <v>1.5300000000000001E-3</v>
      </c>
      <c r="AC1593" s="7">
        <f t="shared" si="146"/>
        <v>0.12714</v>
      </c>
      <c r="AD1593" s="6" t="str">
        <f t="shared" si="147"/>
        <v>PC11A</v>
      </c>
      <c r="AE1593" s="6" t="str">
        <f t="shared" si="148"/>
        <v>Chư Sê</v>
      </c>
      <c r="AG1593">
        <f t="shared" si="149"/>
        <v>1.0200000000000001E-3</v>
      </c>
      <c r="AH1593">
        <f t="shared" si="150"/>
        <v>8.4760000000000002E-2</v>
      </c>
    </row>
    <row r="1594" spans="1:34" x14ac:dyDescent="0.25">
      <c r="A1594" t="s">
        <v>15019</v>
      </c>
      <c r="B1594" t="s">
        <v>15010</v>
      </c>
      <c r="C1594" t="s">
        <v>15011</v>
      </c>
      <c r="D1594" t="s">
        <v>15020</v>
      </c>
      <c r="E1594" t="s">
        <v>15021</v>
      </c>
      <c r="I1594" t="s">
        <v>15019</v>
      </c>
      <c r="J1594" t="s">
        <v>23</v>
      </c>
      <c r="L1594" t="s">
        <v>14904</v>
      </c>
      <c r="M1594" t="s">
        <v>15022</v>
      </c>
      <c r="N1594" t="s">
        <v>15023</v>
      </c>
      <c r="O1594" t="s">
        <v>15024</v>
      </c>
      <c r="P1594" t="s">
        <v>15025</v>
      </c>
      <c r="Q1594" t="s">
        <v>15026</v>
      </c>
      <c r="R1594" t="s">
        <v>15027</v>
      </c>
      <c r="S1594" t="s">
        <v>15028</v>
      </c>
      <c r="T1594" t="s">
        <v>14912</v>
      </c>
      <c r="U1594" s="5">
        <v>2092.34</v>
      </c>
      <c r="V1594" s="5">
        <v>1823.86</v>
      </c>
      <c r="W1594" s="5">
        <v>13.698164999999999</v>
      </c>
      <c r="X1594" s="5">
        <v>108.075373</v>
      </c>
      <c r="Y1594" s="5">
        <v>268.48</v>
      </c>
      <c r="Z1594" s="5">
        <v>13.762463</v>
      </c>
      <c r="AA1594" s="5">
        <v>108.027052</v>
      </c>
      <c r="AB1594" s="7">
        <f t="shared" si="145"/>
        <v>2.7357900000000002</v>
      </c>
      <c r="AC1594" s="7">
        <f t="shared" si="146"/>
        <v>0.40272000000000002</v>
      </c>
      <c r="AD1594" s="6" t="str">
        <f t="shared" si="147"/>
        <v>Chư Pưh</v>
      </c>
      <c r="AE1594" s="6" t="str">
        <f t="shared" si="148"/>
        <v>Hàm Rồng</v>
      </c>
      <c r="AG1594">
        <f t="shared" si="149"/>
        <v>1.8238599999999998</v>
      </c>
      <c r="AH1594">
        <f t="shared" si="150"/>
        <v>0.26848</v>
      </c>
    </row>
    <row r="1595" spans="1:34" x14ac:dyDescent="0.25">
      <c r="A1595" t="s">
        <v>15029</v>
      </c>
      <c r="B1595" t="s">
        <v>15020</v>
      </c>
      <c r="C1595" t="s">
        <v>15021</v>
      </c>
      <c r="D1595" t="s">
        <v>15030</v>
      </c>
      <c r="E1595" t="s">
        <v>15031</v>
      </c>
      <c r="I1595" t="s">
        <v>15029</v>
      </c>
      <c r="J1595" t="s">
        <v>23</v>
      </c>
      <c r="L1595" t="s">
        <v>15032</v>
      </c>
      <c r="M1595" t="s">
        <v>15033</v>
      </c>
      <c r="N1595" t="s">
        <v>15034</v>
      </c>
      <c r="O1595" t="s">
        <v>15035</v>
      </c>
      <c r="P1595" t="s">
        <v>15036</v>
      </c>
      <c r="Q1595" t="s">
        <v>2774</v>
      </c>
      <c r="R1595" t="s">
        <v>15037</v>
      </c>
      <c r="S1595" t="s">
        <v>15038</v>
      </c>
      <c r="T1595" t="s">
        <v>15039</v>
      </c>
      <c r="U1595" s="5">
        <v>1205.1600000000001</v>
      </c>
      <c r="V1595" s="5">
        <v>1179.93</v>
      </c>
      <c r="W1595" s="5">
        <v>13.768655000000001</v>
      </c>
      <c r="X1595" s="5">
        <v>108.018895</v>
      </c>
      <c r="Y1595" s="5">
        <v>25.24</v>
      </c>
      <c r="Z1595" s="5">
        <v>13.791881999999999</v>
      </c>
      <c r="AA1595" s="5">
        <v>108.001333</v>
      </c>
      <c r="AB1595" s="7">
        <f t="shared" si="145"/>
        <v>1.769895</v>
      </c>
      <c r="AC1595" s="7">
        <f t="shared" si="146"/>
        <v>3.7859999999999998E-2</v>
      </c>
      <c r="AD1595" s="6" t="str">
        <f t="shared" si="147"/>
        <v>Chư Prông</v>
      </c>
      <c r="AE1595" s="6" t="str">
        <f t="shared" si="148"/>
        <v>Chư Pưh</v>
      </c>
      <c r="AG1595">
        <f t="shared" si="149"/>
        <v>1.1799300000000001</v>
      </c>
      <c r="AH1595">
        <f t="shared" si="150"/>
        <v>2.5239999999999999E-2</v>
      </c>
    </row>
    <row r="1596" spans="1:34" x14ac:dyDescent="0.25">
      <c r="A1596" t="s">
        <v>15040</v>
      </c>
      <c r="B1596" t="s">
        <v>15030</v>
      </c>
      <c r="C1596" t="s">
        <v>15031</v>
      </c>
      <c r="D1596" t="s">
        <v>14247</v>
      </c>
      <c r="E1596" t="s">
        <v>14248</v>
      </c>
      <c r="I1596" t="s">
        <v>17350</v>
      </c>
      <c r="J1596" t="s">
        <v>23</v>
      </c>
      <c r="L1596" t="s">
        <v>15032</v>
      </c>
      <c r="M1596" t="s">
        <v>15041</v>
      </c>
      <c r="N1596" t="s">
        <v>2774</v>
      </c>
      <c r="O1596" t="s">
        <v>15037</v>
      </c>
      <c r="P1596" t="s">
        <v>15038</v>
      </c>
      <c r="Q1596" t="s">
        <v>15042</v>
      </c>
      <c r="R1596" t="s">
        <v>15043</v>
      </c>
      <c r="S1596" t="s">
        <v>15044</v>
      </c>
      <c r="T1596" t="s">
        <v>15039</v>
      </c>
      <c r="U1596" s="5">
        <v>1240.25</v>
      </c>
      <c r="V1596" s="5">
        <v>25.24</v>
      </c>
      <c r="W1596" s="5">
        <v>13.791881999999999</v>
      </c>
      <c r="X1596" s="5">
        <v>108.001333</v>
      </c>
      <c r="Y1596" s="5">
        <v>1215.01</v>
      </c>
      <c r="Z1596" s="5">
        <v>13.751874000000001</v>
      </c>
      <c r="AA1596" s="5">
        <v>107.897792</v>
      </c>
      <c r="AB1596" s="7">
        <f t="shared" si="145"/>
        <v>3.7859999999999998E-2</v>
      </c>
      <c r="AC1596" s="7">
        <f t="shared" si="146"/>
        <v>1.8225149999999999</v>
      </c>
      <c r="AD1596" s="6" t="str">
        <f t="shared" si="147"/>
        <v>Chư Prông</v>
      </c>
      <c r="AE1596" s="6" t="str">
        <f t="shared" si="148"/>
        <v>Chư Pưh</v>
      </c>
      <c r="AG1596">
        <f t="shared" si="149"/>
        <v>2.5239999999999999E-2</v>
      </c>
      <c r="AH1596">
        <f t="shared" si="150"/>
        <v>1.2150099999999999</v>
      </c>
    </row>
    <row r="1597" spans="1:34" x14ac:dyDescent="0.25">
      <c r="A1597" t="s">
        <v>15045</v>
      </c>
      <c r="B1597" t="s">
        <v>14259</v>
      </c>
      <c r="C1597" t="s">
        <v>14260</v>
      </c>
      <c r="D1597" t="s">
        <v>15046</v>
      </c>
      <c r="E1597" t="s">
        <v>15047</v>
      </c>
      <c r="I1597" t="s">
        <v>17351</v>
      </c>
      <c r="J1597" t="s">
        <v>23</v>
      </c>
      <c r="L1597" t="s">
        <v>15032</v>
      </c>
      <c r="M1597" t="s">
        <v>15048</v>
      </c>
      <c r="N1597" t="s">
        <v>15049</v>
      </c>
      <c r="O1597" t="s">
        <v>15050</v>
      </c>
      <c r="P1597" t="s">
        <v>15051</v>
      </c>
      <c r="Q1597" t="s">
        <v>15052</v>
      </c>
      <c r="R1597" t="s">
        <v>15053</v>
      </c>
      <c r="S1597" t="s">
        <v>15054</v>
      </c>
      <c r="T1597" t="s">
        <v>15039</v>
      </c>
      <c r="U1597" s="5">
        <v>628.36</v>
      </c>
      <c r="V1597" s="5">
        <v>232.19</v>
      </c>
      <c r="W1597" s="5">
        <v>13.691159000000001</v>
      </c>
      <c r="X1597" s="5">
        <v>108.07844</v>
      </c>
      <c r="Y1597" s="5">
        <v>396.17</v>
      </c>
      <c r="Z1597" s="5">
        <v>13.618995999999999</v>
      </c>
      <c r="AA1597" s="5">
        <v>108.110883</v>
      </c>
      <c r="AB1597" s="7">
        <f t="shared" si="145"/>
        <v>0.34828499999999996</v>
      </c>
      <c r="AC1597" s="7">
        <f t="shared" si="146"/>
        <v>0.59425499999999998</v>
      </c>
      <c r="AD1597" s="6" t="str">
        <f t="shared" si="147"/>
        <v>Chư Prông</v>
      </c>
      <c r="AE1597" s="6" t="str">
        <f t="shared" si="148"/>
        <v>Chư Pưh</v>
      </c>
      <c r="AG1597">
        <f t="shared" si="149"/>
        <v>0.23219000000000001</v>
      </c>
      <c r="AH1597">
        <f t="shared" si="150"/>
        <v>0.39617000000000002</v>
      </c>
    </row>
    <row r="1598" spans="1:34" x14ac:dyDescent="0.25">
      <c r="A1598" t="s">
        <v>15055</v>
      </c>
      <c r="B1598" t="s">
        <v>15046</v>
      </c>
      <c r="C1598" t="s">
        <v>15047</v>
      </c>
      <c r="D1598" t="s">
        <v>15056</v>
      </c>
      <c r="E1598" t="s">
        <v>15057</v>
      </c>
      <c r="I1598" t="s">
        <v>17352</v>
      </c>
      <c r="J1598" t="s">
        <v>23</v>
      </c>
      <c r="L1598" t="s">
        <v>15058</v>
      </c>
      <c r="M1598" t="s">
        <v>15059</v>
      </c>
      <c r="N1598" t="s">
        <v>15060</v>
      </c>
      <c r="O1598" t="s">
        <v>15061</v>
      </c>
      <c r="P1598" t="s">
        <v>15062</v>
      </c>
      <c r="Q1598" t="s">
        <v>15063</v>
      </c>
      <c r="R1598" t="s">
        <v>15064</v>
      </c>
      <c r="S1598" t="s">
        <v>15065</v>
      </c>
      <c r="T1598" t="s">
        <v>15066</v>
      </c>
      <c r="U1598" s="5">
        <v>18414.5</v>
      </c>
      <c r="V1598" s="5">
        <v>120.53</v>
      </c>
      <c r="W1598" s="5">
        <v>13.618594999999999</v>
      </c>
      <c r="X1598" s="5">
        <v>108.113514</v>
      </c>
      <c r="Y1598" s="5">
        <v>18293.96</v>
      </c>
      <c r="Z1598" s="5">
        <v>13.584393</v>
      </c>
      <c r="AA1598" s="5">
        <v>108.00655999999999</v>
      </c>
      <c r="AB1598" s="7">
        <f t="shared" si="145"/>
        <v>0.18079500000000001</v>
      </c>
      <c r="AC1598" s="7">
        <f t="shared" si="146"/>
        <v>27.440939999999998</v>
      </c>
      <c r="AD1598" s="6" t="str">
        <f t="shared" si="147"/>
        <v>Ia Ko</v>
      </c>
      <c r="AE1598" s="6" t="str">
        <f t="shared" si="148"/>
        <v>Ia Hrú</v>
      </c>
      <c r="AG1598">
        <f t="shared" si="149"/>
        <v>0.12053</v>
      </c>
      <c r="AH1598">
        <f t="shared" si="150"/>
        <v>18.293959999999998</v>
      </c>
    </row>
    <row r="1599" spans="1:34" x14ac:dyDescent="0.25">
      <c r="A1599" t="s">
        <v>15067</v>
      </c>
      <c r="B1599" t="s">
        <v>15056</v>
      </c>
      <c r="C1599" t="s">
        <v>15068</v>
      </c>
      <c r="D1599" t="s">
        <v>15069</v>
      </c>
      <c r="E1599" t="s">
        <v>15070</v>
      </c>
      <c r="I1599" t="s">
        <v>17353</v>
      </c>
      <c r="J1599" t="s">
        <v>23</v>
      </c>
      <c r="L1599" t="s">
        <v>15071</v>
      </c>
      <c r="M1599" t="s">
        <v>15072</v>
      </c>
      <c r="N1599" t="s">
        <v>15073</v>
      </c>
      <c r="O1599" t="s">
        <v>15074</v>
      </c>
      <c r="P1599" t="s">
        <v>15075</v>
      </c>
      <c r="Q1599" t="s">
        <v>15076</v>
      </c>
      <c r="R1599" t="s">
        <v>15077</v>
      </c>
      <c r="S1599" t="s">
        <v>15078</v>
      </c>
      <c r="T1599" t="s">
        <v>15079</v>
      </c>
      <c r="U1599" s="5">
        <v>2268.5</v>
      </c>
      <c r="V1599" s="5">
        <v>79.53</v>
      </c>
      <c r="W1599" s="5">
        <v>13.484057</v>
      </c>
      <c r="X1599" s="5">
        <v>107.872379</v>
      </c>
      <c r="Y1599" s="5">
        <v>2188.96</v>
      </c>
      <c r="Z1599" s="5">
        <v>13.581787</v>
      </c>
      <c r="AA1599" s="5">
        <v>107.87477199999999</v>
      </c>
      <c r="AB1599" s="7">
        <f t="shared" si="145"/>
        <v>0.119295</v>
      </c>
      <c r="AC1599" s="7">
        <f t="shared" si="146"/>
        <v>3.2834400000000001</v>
      </c>
      <c r="AD1599" s="6" t="str">
        <f t="shared" si="147"/>
        <v>Ia Mơ</v>
      </c>
      <c r="AE1599" s="6" t="str">
        <f t="shared" si="148"/>
        <v>Ia Lâu</v>
      </c>
      <c r="AG1599">
        <f t="shared" si="149"/>
        <v>7.9530000000000003E-2</v>
      </c>
      <c r="AH1599">
        <f t="shared" si="150"/>
        <v>2.1889600000000002</v>
      </c>
    </row>
    <row r="1600" spans="1:34" x14ac:dyDescent="0.25">
      <c r="A1600" t="s">
        <v>15080</v>
      </c>
      <c r="B1600" t="s">
        <v>15069</v>
      </c>
      <c r="C1600" t="s">
        <v>15070</v>
      </c>
      <c r="D1600" t="s">
        <v>15081</v>
      </c>
      <c r="E1600" t="s">
        <v>15082</v>
      </c>
      <c r="I1600" t="s">
        <v>17354</v>
      </c>
      <c r="J1600" t="s">
        <v>23</v>
      </c>
      <c r="L1600" t="s">
        <v>15083</v>
      </c>
      <c r="M1600" t="s">
        <v>15084</v>
      </c>
      <c r="N1600" t="s">
        <v>15085</v>
      </c>
      <c r="O1600" t="s">
        <v>15086</v>
      </c>
      <c r="P1600" t="s">
        <v>15087</v>
      </c>
      <c r="Q1600" t="s">
        <v>15088</v>
      </c>
      <c r="R1600" t="s">
        <v>15089</v>
      </c>
      <c r="S1600" t="s">
        <v>15090</v>
      </c>
      <c r="T1600" t="s">
        <v>15091</v>
      </c>
      <c r="U1600" s="5">
        <v>3301.58</v>
      </c>
      <c r="V1600" s="5">
        <v>29.09</v>
      </c>
      <c r="W1600" s="5">
        <v>13.595530999999999</v>
      </c>
      <c r="X1600" s="5">
        <v>107.889447</v>
      </c>
      <c r="Y1600" s="5">
        <v>3272.5</v>
      </c>
      <c r="Z1600" s="5">
        <v>13.617354000000001</v>
      </c>
      <c r="AA1600" s="5">
        <v>107.900488</v>
      </c>
      <c r="AB1600" s="7">
        <f t="shared" si="145"/>
        <v>4.3635E-2</v>
      </c>
      <c r="AC1600" s="7">
        <f t="shared" si="146"/>
        <v>4.9087500000000004</v>
      </c>
      <c r="AD1600" s="6" t="str">
        <f t="shared" si="147"/>
        <v>TTCMKV Chư Prong</v>
      </c>
      <c r="AE1600" s="6" t="str">
        <f t="shared" si="148"/>
        <v>IaPia</v>
      </c>
      <c r="AG1600">
        <f t="shared" si="149"/>
        <v>2.9090000000000001E-2</v>
      </c>
      <c r="AH1600">
        <f t="shared" si="150"/>
        <v>3.2725</v>
      </c>
    </row>
    <row r="1601" spans="1:34" x14ac:dyDescent="0.25">
      <c r="A1601" t="s">
        <v>15092</v>
      </c>
      <c r="B1601" t="s">
        <v>15081</v>
      </c>
      <c r="C1601" t="s">
        <v>15082</v>
      </c>
      <c r="D1601" t="s">
        <v>14247</v>
      </c>
      <c r="E1601" t="s">
        <v>14248</v>
      </c>
      <c r="I1601" t="s">
        <v>17355</v>
      </c>
      <c r="J1601" t="s">
        <v>23</v>
      </c>
      <c r="L1601" t="s">
        <v>15093</v>
      </c>
      <c r="M1601" t="s">
        <v>15094</v>
      </c>
      <c r="N1601" t="s">
        <v>15095</v>
      </c>
      <c r="O1601" t="s">
        <v>15096</v>
      </c>
      <c r="P1601" t="s">
        <v>15097</v>
      </c>
      <c r="Q1601" t="s">
        <v>15098</v>
      </c>
      <c r="R1601" t="s">
        <v>15099</v>
      </c>
      <c r="S1601" t="s">
        <v>15100</v>
      </c>
      <c r="T1601" t="s">
        <v>15101</v>
      </c>
      <c r="U1601" s="5">
        <v>6517.31</v>
      </c>
      <c r="V1601" s="5">
        <v>237.67</v>
      </c>
      <c r="W1601" s="5">
        <v>13.63353</v>
      </c>
      <c r="X1601" s="5">
        <v>107.92450100000001</v>
      </c>
      <c r="Y1601" s="5">
        <v>6279.65</v>
      </c>
      <c r="Z1601" s="5">
        <v>13.724773000000001</v>
      </c>
      <c r="AA1601" s="5">
        <v>107.942887</v>
      </c>
      <c r="AB1601" s="7">
        <f t="shared" si="145"/>
        <v>0.35650500000000002</v>
      </c>
      <c r="AC1601" s="7">
        <f t="shared" si="146"/>
        <v>9.4194749999999985</v>
      </c>
      <c r="AD1601" s="6" t="str">
        <f t="shared" si="147"/>
        <v>Ia Tôr</v>
      </c>
      <c r="AE1601" s="6" t="str">
        <f t="shared" si="148"/>
        <v>Ia Ko</v>
      </c>
      <c r="AG1601">
        <f t="shared" si="149"/>
        <v>0.23766999999999999</v>
      </c>
      <c r="AH1601">
        <f t="shared" si="150"/>
        <v>6.2796499999999993</v>
      </c>
    </row>
    <row r="1602" spans="1:34" x14ac:dyDescent="0.25">
      <c r="A1602" t="s">
        <v>15102</v>
      </c>
      <c r="B1602" t="s">
        <v>14259</v>
      </c>
      <c r="C1602" t="s">
        <v>14260</v>
      </c>
      <c r="D1602" t="s">
        <v>15103</v>
      </c>
      <c r="E1602" t="s">
        <v>15104</v>
      </c>
      <c r="I1602" t="s">
        <v>17356</v>
      </c>
      <c r="J1602" t="s">
        <v>23</v>
      </c>
      <c r="L1602" t="s">
        <v>15032</v>
      </c>
      <c r="M1602" t="s">
        <v>15105</v>
      </c>
      <c r="N1602" t="s">
        <v>15049</v>
      </c>
      <c r="O1602" t="s">
        <v>15050</v>
      </c>
      <c r="P1602" t="s">
        <v>15051</v>
      </c>
      <c r="Q1602" t="s">
        <v>15106</v>
      </c>
      <c r="R1602" t="s">
        <v>15107</v>
      </c>
      <c r="S1602" t="s">
        <v>15108</v>
      </c>
      <c r="T1602" t="s">
        <v>15039</v>
      </c>
      <c r="U1602" s="5">
        <v>456.16</v>
      </c>
      <c r="V1602" s="5">
        <v>232.19</v>
      </c>
      <c r="W1602" s="5">
        <v>13.691159000000001</v>
      </c>
      <c r="X1602" s="5">
        <v>108.07844</v>
      </c>
      <c r="Y1602" s="5">
        <v>223.98</v>
      </c>
      <c r="Z1602" s="5">
        <v>13.693994</v>
      </c>
      <c r="AA1602" s="5">
        <v>108.02818600000001</v>
      </c>
      <c r="AB1602" s="7">
        <f t="shared" si="145"/>
        <v>0.34828499999999996</v>
      </c>
      <c r="AC1602" s="7">
        <f t="shared" si="146"/>
        <v>0.33596999999999999</v>
      </c>
      <c r="AD1602" s="6" t="str">
        <f t="shared" si="147"/>
        <v>Chư Prông</v>
      </c>
      <c r="AE1602" s="6" t="str">
        <f t="shared" si="148"/>
        <v>Chư Pưh</v>
      </c>
      <c r="AG1602">
        <f t="shared" si="149"/>
        <v>0.23219000000000001</v>
      </c>
      <c r="AH1602">
        <f t="shared" si="150"/>
        <v>0.22397999999999998</v>
      </c>
    </row>
    <row r="1603" spans="1:34" x14ac:dyDescent="0.25">
      <c r="A1603" t="s">
        <v>15109</v>
      </c>
      <c r="B1603" t="s">
        <v>15103</v>
      </c>
      <c r="C1603" t="s">
        <v>15104</v>
      </c>
      <c r="D1603" t="s">
        <v>15110</v>
      </c>
      <c r="E1603" t="s">
        <v>15111</v>
      </c>
      <c r="I1603" t="s">
        <v>17357</v>
      </c>
      <c r="J1603" t="s">
        <v>23</v>
      </c>
      <c r="L1603" t="s">
        <v>15093</v>
      </c>
      <c r="M1603" t="s">
        <v>15112</v>
      </c>
      <c r="N1603" t="s">
        <v>15113</v>
      </c>
      <c r="O1603" t="s">
        <v>15114</v>
      </c>
      <c r="P1603" t="s">
        <v>15115</v>
      </c>
      <c r="Q1603" t="s">
        <v>15116</v>
      </c>
      <c r="R1603" t="s">
        <v>15117</v>
      </c>
      <c r="S1603" t="s">
        <v>15118</v>
      </c>
      <c r="T1603" t="s">
        <v>15101</v>
      </c>
      <c r="U1603" s="5">
        <v>9567.81</v>
      </c>
      <c r="V1603" s="5">
        <v>9473.77</v>
      </c>
      <c r="W1603" s="5">
        <v>13.736822</v>
      </c>
      <c r="X1603" s="5">
        <v>107.95359000000001</v>
      </c>
      <c r="Y1603" s="5">
        <v>94.04</v>
      </c>
      <c r="Z1603" s="5">
        <v>13.585607</v>
      </c>
      <c r="AA1603" s="5">
        <v>108.00681899999999</v>
      </c>
      <c r="AB1603" s="7">
        <f t="shared" ref="AB1603:AB1659" si="151">V1603*1.5/1000</f>
        <v>14.210655000000001</v>
      </c>
      <c r="AC1603" s="7">
        <f t="shared" ref="AC1603:AC1659" si="152">Y1603*1.5/1000</f>
        <v>0.14105999999999999</v>
      </c>
      <c r="AD1603" s="6" t="str">
        <f t="shared" ref="AD1603:AD1659" si="153">TRIM(LEFT(L1603,FIND("-",L1603)-1))</f>
        <v>Ia Tôr</v>
      </c>
      <c r="AE1603" s="6" t="str">
        <f t="shared" ref="AE1603:AE1659" si="154">TRIM(RIGHT(L1603, LEN(L1603) - FIND("-", L1603)))</f>
        <v>Ia Ko</v>
      </c>
      <c r="AG1603">
        <f t="shared" ref="AG1603:AG1659" si="155">V1603/1000</f>
        <v>9.47377</v>
      </c>
      <c r="AH1603">
        <f t="shared" ref="AH1603:AH1659" si="156">Y1603/1000</f>
        <v>9.4040000000000012E-2</v>
      </c>
    </row>
    <row r="1604" spans="1:34" x14ac:dyDescent="0.25">
      <c r="A1604" t="s">
        <v>15119</v>
      </c>
      <c r="B1604" t="s">
        <v>15110</v>
      </c>
      <c r="C1604" t="s">
        <v>15120</v>
      </c>
      <c r="D1604" t="s">
        <v>14247</v>
      </c>
      <c r="E1604" t="s">
        <v>14248</v>
      </c>
      <c r="I1604" t="s">
        <v>17358</v>
      </c>
      <c r="J1604" t="s">
        <v>23</v>
      </c>
      <c r="L1604" t="s">
        <v>15093</v>
      </c>
      <c r="M1604" t="s">
        <v>15121</v>
      </c>
      <c r="N1604" t="s">
        <v>15122</v>
      </c>
      <c r="O1604" t="s">
        <v>15117</v>
      </c>
      <c r="P1604" t="s">
        <v>15118</v>
      </c>
      <c r="Q1604" t="s">
        <v>15098</v>
      </c>
      <c r="R1604" t="s">
        <v>15099</v>
      </c>
      <c r="S1604" t="s">
        <v>15100</v>
      </c>
      <c r="T1604" t="s">
        <v>15101</v>
      </c>
      <c r="U1604" s="5">
        <v>6373.67</v>
      </c>
      <c r="V1604" s="5">
        <v>94.03</v>
      </c>
      <c r="W1604" s="5">
        <v>13.585607</v>
      </c>
      <c r="X1604" s="5">
        <v>108.00681899999999</v>
      </c>
      <c r="Y1604" s="5">
        <v>6279.65</v>
      </c>
      <c r="Z1604" s="5">
        <v>13.724773000000001</v>
      </c>
      <c r="AA1604" s="5">
        <v>107.942887</v>
      </c>
      <c r="AB1604" s="7">
        <f t="shared" si="151"/>
        <v>0.141045</v>
      </c>
      <c r="AC1604" s="7">
        <f t="shared" si="152"/>
        <v>9.4194749999999985</v>
      </c>
      <c r="AD1604" s="6" t="str">
        <f t="shared" si="153"/>
        <v>Ia Tôr</v>
      </c>
      <c r="AE1604" s="6" t="str">
        <f t="shared" si="154"/>
        <v>Ia Ko</v>
      </c>
      <c r="AG1604">
        <f t="shared" si="155"/>
        <v>9.4030000000000002E-2</v>
      </c>
      <c r="AH1604">
        <f t="shared" si="156"/>
        <v>6.2796499999999993</v>
      </c>
    </row>
    <row r="1605" spans="1:34" x14ac:dyDescent="0.25">
      <c r="A1605" t="s">
        <v>15123</v>
      </c>
      <c r="B1605" t="s">
        <v>14261</v>
      </c>
      <c r="C1605" t="s">
        <v>14262</v>
      </c>
      <c r="D1605" t="s">
        <v>15124</v>
      </c>
      <c r="E1605" t="s">
        <v>15125</v>
      </c>
      <c r="I1605" t="s">
        <v>15123</v>
      </c>
      <c r="J1605" t="s">
        <v>23</v>
      </c>
      <c r="L1605" t="s">
        <v>14583</v>
      </c>
      <c r="M1605" t="s">
        <v>15126</v>
      </c>
      <c r="N1605" t="s">
        <v>14585</v>
      </c>
      <c r="O1605" t="s">
        <v>14586</v>
      </c>
      <c r="P1605" t="s">
        <v>14587</v>
      </c>
      <c r="Q1605" t="s">
        <v>15127</v>
      </c>
      <c r="R1605" t="s">
        <v>14981</v>
      </c>
      <c r="S1605" t="s">
        <v>14982</v>
      </c>
      <c r="T1605" t="s">
        <v>14591</v>
      </c>
      <c r="U1605" s="5">
        <v>8565.0499999999993</v>
      </c>
      <c r="V1605" s="5">
        <v>1489.29</v>
      </c>
      <c r="W1605" s="5">
        <v>13.973366</v>
      </c>
      <c r="X1605" s="5">
        <v>107.99338299999999</v>
      </c>
      <c r="Y1605" s="5">
        <v>7075.76</v>
      </c>
      <c r="Z1605" s="5">
        <v>13.898294999999999</v>
      </c>
      <c r="AA1605" s="5">
        <v>108.016447</v>
      </c>
      <c r="AB1605" s="7">
        <f t="shared" si="151"/>
        <v>2.2339349999999998</v>
      </c>
      <c r="AC1605" s="7">
        <f t="shared" si="152"/>
        <v>10.61364</v>
      </c>
      <c r="AD1605" s="6" t="str">
        <f t="shared" si="153"/>
        <v>TT2 Gia Lai</v>
      </c>
      <c r="AE1605" s="6" t="str">
        <f t="shared" si="154"/>
        <v>Chư Sê</v>
      </c>
      <c r="AG1605">
        <f t="shared" si="155"/>
        <v>1.48929</v>
      </c>
      <c r="AH1605">
        <f t="shared" si="156"/>
        <v>7.0757599999999998</v>
      </c>
    </row>
    <row r="1606" spans="1:34" x14ac:dyDescent="0.25">
      <c r="A1606" t="s">
        <v>15128</v>
      </c>
      <c r="B1606" t="s">
        <v>15124</v>
      </c>
      <c r="C1606" t="s">
        <v>15125</v>
      </c>
      <c r="D1606" t="s">
        <v>15129</v>
      </c>
      <c r="E1606" t="s">
        <v>15130</v>
      </c>
      <c r="I1606" t="s">
        <v>17359</v>
      </c>
      <c r="J1606" t="s">
        <v>23</v>
      </c>
      <c r="L1606" t="s">
        <v>14263</v>
      </c>
      <c r="M1606" t="s">
        <v>15131</v>
      </c>
      <c r="N1606" t="s">
        <v>15132</v>
      </c>
      <c r="O1606" t="s">
        <v>15133</v>
      </c>
      <c r="P1606" t="s">
        <v>15134</v>
      </c>
      <c r="Q1606" t="s">
        <v>15135</v>
      </c>
      <c r="R1606" t="s">
        <v>15136</v>
      </c>
      <c r="S1606" t="s">
        <v>15137</v>
      </c>
      <c r="T1606" t="s">
        <v>14271</v>
      </c>
      <c r="U1606" s="5">
        <v>6999.57</v>
      </c>
      <c r="V1606" s="5">
        <v>116.25</v>
      </c>
      <c r="W1606" s="5">
        <v>13.846434</v>
      </c>
      <c r="X1606" s="5">
        <v>108.054151</v>
      </c>
      <c r="Y1606" s="5">
        <v>6883.32</v>
      </c>
      <c r="Z1606" s="5">
        <v>13.833928</v>
      </c>
      <c r="AA1606" s="5">
        <v>108.05745400000001</v>
      </c>
      <c r="AB1606" s="7">
        <f t="shared" si="151"/>
        <v>0.174375</v>
      </c>
      <c r="AC1606" s="7">
        <f t="shared" si="152"/>
        <v>10.32498</v>
      </c>
      <c r="AD1606" s="6" t="str">
        <f t="shared" si="153"/>
        <v>PC11A</v>
      </c>
      <c r="AE1606" s="6" t="str">
        <f t="shared" si="154"/>
        <v>Chư Sê</v>
      </c>
      <c r="AG1606">
        <f t="shared" si="155"/>
        <v>0.11625000000000001</v>
      </c>
      <c r="AH1606">
        <f t="shared" si="156"/>
        <v>6.8833199999999994</v>
      </c>
    </row>
    <row r="1607" spans="1:34" x14ac:dyDescent="0.25">
      <c r="A1607" t="s">
        <v>15138</v>
      </c>
      <c r="B1607" t="s">
        <v>15129</v>
      </c>
      <c r="C1607" t="s">
        <v>15130</v>
      </c>
      <c r="D1607" t="s">
        <v>15139</v>
      </c>
      <c r="E1607" t="s">
        <v>15140</v>
      </c>
      <c r="I1607" t="s">
        <v>17360</v>
      </c>
      <c r="J1607" t="s">
        <v>23</v>
      </c>
      <c r="L1607" t="s">
        <v>15141</v>
      </c>
      <c r="M1607" t="s">
        <v>15142</v>
      </c>
      <c r="N1607" t="s">
        <v>15143</v>
      </c>
      <c r="O1607" t="s">
        <v>15144</v>
      </c>
      <c r="P1607" t="s">
        <v>15145</v>
      </c>
      <c r="Q1607" t="s">
        <v>15146</v>
      </c>
      <c r="R1607" t="s">
        <v>15147</v>
      </c>
      <c r="S1607" t="s">
        <v>15148</v>
      </c>
      <c r="T1607" t="s">
        <v>15149</v>
      </c>
      <c r="U1607" s="5">
        <v>117.19</v>
      </c>
      <c r="V1607" s="5">
        <v>68.22</v>
      </c>
      <c r="W1607" s="5">
        <v>13.830571000000001</v>
      </c>
      <c r="X1607" s="5">
        <v>108.121448</v>
      </c>
      <c r="Y1607" s="5">
        <v>48.97</v>
      </c>
      <c r="Z1607" s="5">
        <v>13.737549</v>
      </c>
      <c r="AA1607" s="5">
        <v>108.118886</v>
      </c>
      <c r="AB1607" s="7">
        <f t="shared" si="151"/>
        <v>0.10233</v>
      </c>
      <c r="AC1607" s="7">
        <f t="shared" si="152"/>
        <v>7.3454999999999993E-2</v>
      </c>
      <c r="AD1607" s="6" t="str">
        <f t="shared" si="153"/>
        <v>Bờ Ngoong</v>
      </c>
      <c r="AE1607" s="6" t="str">
        <f t="shared" si="154"/>
        <v>AlBá</v>
      </c>
      <c r="AG1607">
        <f t="shared" si="155"/>
        <v>6.8220000000000003E-2</v>
      </c>
      <c r="AH1607">
        <f t="shared" si="156"/>
        <v>4.897E-2</v>
      </c>
    </row>
    <row r="1608" spans="1:34" x14ac:dyDescent="0.25">
      <c r="A1608" t="s">
        <v>15150</v>
      </c>
      <c r="B1608" t="s">
        <v>15139</v>
      </c>
      <c r="C1608" t="s">
        <v>15140</v>
      </c>
      <c r="D1608" t="s">
        <v>15151</v>
      </c>
      <c r="E1608" t="s">
        <v>15152</v>
      </c>
      <c r="I1608" t="s">
        <v>17361</v>
      </c>
      <c r="J1608" t="s">
        <v>23</v>
      </c>
      <c r="L1608" t="s">
        <v>15153</v>
      </c>
      <c r="M1608" t="s">
        <v>15154</v>
      </c>
      <c r="N1608" t="s">
        <v>15155</v>
      </c>
      <c r="O1608" t="s">
        <v>15156</v>
      </c>
      <c r="P1608" t="s">
        <v>15157</v>
      </c>
      <c r="Q1608" t="s">
        <v>15158</v>
      </c>
      <c r="R1608" t="s">
        <v>15159</v>
      </c>
      <c r="S1608" t="s">
        <v>15160</v>
      </c>
      <c r="T1608" t="s">
        <v>15161</v>
      </c>
      <c r="U1608" s="5">
        <v>6605.23</v>
      </c>
      <c r="V1608" s="5">
        <v>6358.92</v>
      </c>
      <c r="W1608" s="5">
        <v>13.682983</v>
      </c>
      <c r="X1608" s="5">
        <v>108.100022</v>
      </c>
      <c r="Y1608" s="5">
        <v>246.31</v>
      </c>
      <c r="Z1608" s="5">
        <v>13.580524</v>
      </c>
      <c r="AA1608" s="5">
        <v>108.229806</v>
      </c>
      <c r="AB1608" s="7">
        <f t="shared" si="151"/>
        <v>9.5383800000000019</v>
      </c>
      <c r="AC1608" s="7">
        <f t="shared" si="152"/>
        <v>0.36946500000000004</v>
      </c>
      <c r="AD1608" s="6" t="str">
        <f t="shared" si="153"/>
        <v>TTCMKV Chư Sê</v>
      </c>
      <c r="AE1608" s="6" t="str">
        <f t="shared" si="154"/>
        <v>Chư A Thai</v>
      </c>
      <c r="AG1608">
        <f t="shared" si="155"/>
        <v>6.3589200000000003</v>
      </c>
      <c r="AH1608">
        <f t="shared" si="156"/>
        <v>0.24631</v>
      </c>
    </row>
    <row r="1609" spans="1:34" x14ac:dyDescent="0.25">
      <c r="A1609" t="s">
        <v>15162</v>
      </c>
      <c r="B1609" t="s">
        <v>15151</v>
      </c>
      <c r="C1609" t="s">
        <v>15152</v>
      </c>
      <c r="D1609" t="s">
        <v>14259</v>
      </c>
      <c r="E1609" t="s">
        <v>15163</v>
      </c>
      <c r="I1609" t="s">
        <v>17362</v>
      </c>
      <c r="J1609" t="s">
        <v>23</v>
      </c>
      <c r="L1609" t="s">
        <v>15164</v>
      </c>
      <c r="M1609" t="s">
        <v>15165</v>
      </c>
      <c r="N1609" t="s">
        <v>15166</v>
      </c>
      <c r="O1609" t="s">
        <v>15167</v>
      </c>
      <c r="P1609" t="s">
        <v>15168</v>
      </c>
      <c r="Q1609" t="s">
        <v>15169</v>
      </c>
      <c r="R1609" t="s">
        <v>15170</v>
      </c>
      <c r="S1609" t="s">
        <v>15163</v>
      </c>
      <c r="T1609" t="s">
        <v>15171</v>
      </c>
      <c r="U1609" s="5">
        <v>260.69</v>
      </c>
      <c r="V1609" s="5">
        <v>260.23</v>
      </c>
      <c r="W1609" s="5">
        <v>13.580659000000001</v>
      </c>
      <c r="X1609" s="5">
        <v>108.229859</v>
      </c>
      <c r="Y1609" s="5">
        <v>0.46</v>
      </c>
      <c r="Z1609" s="5">
        <v>13.692111000000001</v>
      </c>
      <c r="AA1609" s="5">
        <v>108.080355</v>
      </c>
      <c r="AB1609" s="7">
        <f t="shared" si="151"/>
        <v>0.39034500000000005</v>
      </c>
      <c r="AC1609" s="7">
        <f t="shared" si="152"/>
        <v>6.9000000000000008E-4</v>
      </c>
      <c r="AD1609" s="6" t="str">
        <f t="shared" si="153"/>
        <v>Chư Sê</v>
      </c>
      <c r="AE1609" s="6" t="str">
        <f t="shared" si="154"/>
        <v>Phú Thiện</v>
      </c>
      <c r="AG1609">
        <f t="shared" si="155"/>
        <v>0.26023000000000002</v>
      </c>
      <c r="AH1609">
        <f t="shared" si="156"/>
        <v>4.6000000000000001E-4</v>
      </c>
    </row>
    <row r="1610" spans="1:34" x14ac:dyDescent="0.25">
      <c r="A1610" t="s">
        <v>15172</v>
      </c>
      <c r="B1610" t="s">
        <v>15173</v>
      </c>
      <c r="C1610" t="s">
        <v>15174</v>
      </c>
      <c r="D1610" t="s">
        <v>15175</v>
      </c>
      <c r="E1610" t="s">
        <v>15176</v>
      </c>
      <c r="I1610" t="s">
        <v>17363</v>
      </c>
      <c r="J1610" t="s">
        <v>23</v>
      </c>
      <c r="L1610" t="s">
        <v>15177</v>
      </c>
      <c r="M1610" t="s">
        <v>15178</v>
      </c>
      <c r="N1610" t="s">
        <v>15179</v>
      </c>
      <c r="O1610" t="s">
        <v>15180</v>
      </c>
      <c r="P1610" t="s">
        <v>15181</v>
      </c>
      <c r="Q1610" t="s">
        <v>15182</v>
      </c>
      <c r="R1610" t="s">
        <v>15183</v>
      </c>
      <c r="S1610" t="s">
        <v>15184</v>
      </c>
      <c r="T1610" t="s">
        <v>15185</v>
      </c>
      <c r="U1610" s="5">
        <v>617.98</v>
      </c>
      <c r="V1610" s="5">
        <v>112.08</v>
      </c>
      <c r="W1610" s="5">
        <v>13.770322999999999</v>
      </c>
      <c r="X1610" s="5">
        <v>109.22587900000001</v>
      </c>
      <c r="Y1610" s="5">
        <v>505.91</v>
      </c>
      <c r="Z1610" s="5">
        <v>13.755694</v>
      </c>
      <c r="AA1610" s="5">
        <v>109.20771499999999</v>
      </c>
      <c r="AB1610" s="7">
        <f t="shared" si="151"/>
        <v>0.16811999999999999</v>
      </c>
      <c r="AC1610" s="7">
        <f t="shared" si="152"/>
        <v>0.75886500000000001</v>
      </c>
      <c r="AD1610" s="6" t="str">
        <f t="shared" si="153"/>
        <v>CA Công an tỉnh</v>
      </c>
      <c r="AE1610" s="6" t="str">
        <f t="shared" si="154"/>
        <v>Quy Nhơn Nam</v>
      </c>
      <c r="AG1610">
        <f t="shared" si="155"/>
        <v>0.11208</v>
      </c>
      <c r="AH1610">
        <f t="shared" si="156"/>
        <v>0.50590999999999997</v>
      </c>
    </row>
    <row r="1611" spans="1:34" x14ac:dyDescent="0.25">
      <c r="A1611" t="s">
        <v>15186</v>
      </c>
      <c r="B1611" t="s">
        <v>15187</v>
      </c>
      <c r="C1611" t="s">
        <v>15188</v>
      </c>
      <c r="D1611" t="s">
        <v>15189</v>
      </c>
      <c r="E1611" t="s">
        <v>15190</v>
      </c>
      <c r="I1611" t="s">
        <v>17364</v>
      </c>
      <c r="J1611" t="s">
        <v>23</v>
      </c>
      <c r="L1611" t="s">
        <v>15191</v>
      </c>
      <c r="M1611" t="s">
        <v>15192</v>
      </c>
      <c r="N1611" t="s">
        <v>15193</v>
      </c>
      <c r="O1611" t="s">
        <v>15194</v>
      </c>
      <c r="P1611" t="s">
        <v>15195</v>
      </c>
      <c r="Q1611" t="s">
        <v>15196</v>
      </c>
      <c r="R1611" t="s">
        <v>15197</v>
      </c>
      <c r="S1611" t="s">
        <v>15198</v>
      </c>
      <c r="T1611" t="s">
        <v>15199</v>
      </c>
      <c r="U1611" s="5">
        <v>9379.42</v>
      </c>
      <c r="V1611" s="5">
        <v>18.489999999999998</v>
      </c>
      <c r="W1611" s="5">
        <v>14.168984999999999</v>
      </c>
      <c r="X1611" s="5">
        <v>109.048852</v>
      </c>
      <c r="Y1611" s="5">
        <v>9360.93</v>
      </c>
      <c r="Z1611" s="5">
        <v>14.358561</v>
      </c>
      <c r="AA1611" s="5">
        <v>108.961426</v>
      </c>
      <c r="AB1611" s="7">
        <f t="shared" si="151"/>
        <v>2.7734999999999999E-2</v>
      </c>
      <c r="AC1611" s="7">
        <f t="shared" si="152"/>
        <v>14.041395</v>
      </c>
      <c r="AD1611" s="6" t="str">
        <f t="shared" si="153"/>
        <v>Phù Mỹ</v>
      </c>
      <c r="AE1611" s="6" t="str">
        <f t="shared" si="154"/>
        <v>Hoài Ân</v>
      </c>
      <c r="AG1611">
        <f t="shared" si="155"/>
        <v>1.8489999999999999E-2</v>
      </c>
      <c r="AH1611">
        <f t="shared" si="156"/>
        <v>9.3609299999999998</v>
      </c>
    </row>
    <row r="1612" spans="1:34" x14ac:dyDescent="0.25">
      <c r="A1612" t="s">
        <v>15200</v>
      </c>
      <c r="B1612" t="s">
        <v>15201</v>
      </c>
      <c r="C1612" t="s">
        <v>15202</v>
      </c>
      <c r="D1612" t="s">
        <v>15203</v>
      </c>
      <c r="E1612" t="s">
        <v>15204</v>
      </c>
      <c r="I1612" t="s">
        <v>17365</v>
      </c>
      <c r="J1612" t="s">
        <v>23</v>
      </c>
      <c r="L1612" t="s">
        <v>15205</v>
      </c>
      <c r="M1612" t="s">
        <v>15206</v>
      </c>
      <c r="N1612" t="s">
        <v>15207</v>
      </c>
      <c r="O1612" t="s">
        <v>15208</v>
      </c>
      <c r="P1612" t="s">
        <v>15209</v>
      </c>
      <c r="Q1612" t="s">
        <v>15210</v>
      </c>
      <c r="R1612" t="s">
        <v>15211</v>
      </c>
      <c r="S1612" t="s">
        <v>15212</v>
      </c>
      <c r="T1612" t="s">
        <v>15213</v>
      </c>
      <c r="U1612" s="5">
        <v>9256.5499999999993</v>
      </c>
      <c r="V1612" s="5">
        <v>76.98</v>
      </c>
      <c r="W1612" s="5">
        <v>14.364763999999999</v>
      </c>
      <c r="X1612" s="5">
        <v>108.96771200000001</v>
      </c>
      <c r="Y1612" s="5">
        <v>9179.58</v>
      </c>
      <c r="Z1612" s="5">
        <v>14.481484999999999</v>
      </c>
      <c r="AA1612" s="5">
        <v>109.08080200000001</v>
      </c>
      <c r="AB1612" s="7">
        <f t="shared" si="151"/>
        <v>0.11547</v>
      </c>
      <c r="AC1612" s="7">
        <f t="shared" si="152"/>
        <v>13.769369999999999</v>
      </c>
      <c r="AD1612" s="6" t="str">
        <f t="shared" si="153"/>
        <v>Hoài Nhơn Đông</v>
      </c>
      <c r="AE1612" s="6" t="str">
        <f t="shared" si="154"/>
        <v>TTCMKV Hoài Ân</v>
      </c>
      <c r="AG1612">
        <f t="shared" si="155"/>
        <v>7.6980000000000007E-2</v>
      </c>
      <c r="AH1612">
        <f t="shared" si="156"/>
        <v>9.1795799999999996</v>
      </c>
    </row>
    <row r="1613" spans="1:34" x14ac:dyDescent="0.25">
      <c r="A1613" t="s">
        <v>15214</v>
      </c>
      <c r="B1613" t="s">
        <v>15215</v>
      </c>
      <c r="C1613" t="s">
        <v>15216</v>
      </c>
      <c r="D1613" t="s">
        <v>15217</v>
      </c>
      <c r="E1613" t="s">
        <v>15218</v>
      </c>
      <c r="I1613" t="s">
        <v>17366</v>
      </c>
      <c r="J1613" t="s">
        <v>23</v>
      </c>
      <c r="L1613" t="s">
        <v>15219</v>
      </c>
      <c r="M1613" t="s">
        <v>15220</v>
      </c>
      <c r="N1613" t="s">
        <v>15221</v>
      </c>
      <c r="O1613" t="s">
        <v>15222</v>
      </c>
      <c r="P1613" t="s">
        <v>15223</v>
      </c>
      <c r="Q1613" t="s">
        <v>15224</v>
      </c>
      <c r="R1613" t="s">
        <v>15225</v>
      </c>
      <c r="S1613" t="s">
        <v>15226</v>
      </c>
      <c r="T1613" t="s">
        <v>15227</v>
      </c>
      <c r="U1613" s="5">
        <v>346.01</v>
      </c>
      <c r="V1613" s="5">
        <v>24.06</v>
      </c>
      <c r="W1613" s="5">
        <v>13.769836</v>
      </c>
      <c r="X1613" s="5">
        <v>109.232201</v>
      </c>
      <c r="Y1613" s="5">
        <v>321.95</v>
      </c>
      <c r="Z1613" s="5">
        <v>13.765345999999999</v>
      </c>
      <c r="AA1613" s="5">
        <v>109.224615</v>
      </c>
      <c r="AB1613" s="7">
        <f t="shared" si="151"/>
        <v>3.6089999999999997E-2</v>
      </c>
      <c r="AC1613" s="7">
        <f t="shared" si="152"/>
        <v>0.48292499999999994</v>
      </c>
      <c r="AD1613" s="6" t="str">
        <f t="shared" si="153"/>
        <v>PX05</v>
      </c>
      <c r="AE1613" s="6" t="str">
        <f t="shared" si="154"/>
        <v>Khối CQ CSĐT</v>
      </c>
      <c r="AG1613">
        <f t="shared" si="155"/>
        <v>2.4059999999999998E-2</v>
      </c>
      <c r="AH1613">
        <f t="shared" si="156"/>
        <v>0.32195000000000001</v>
      </c>
    </row>
    <row r="1614" spans="1:34" x14ac:dyDescent="0.25">
      <c r="A1614" t="s">
        <v>15228</v>
      </c>
      <c r="B1614" t="s">
        <v>15229</v>
      </c>
      <c r="C1614" t="s">
        <v>15230</v>
      </c>
      <c r="D1614" t="s">
        <v>15217</v>
      </c>
      <c r="E1614" t="s">
        <v>15218</v>
      </c>
      <c r="I1614" t="s">
        <v>17367</v>
      </c>
      <c r="J1614" t="s">
        <v>23</v>
      </c>
      <c r="L1614" t="s">
        <v>15231</v>
      </c>
      <c r="M1614" t="s">
        <v>15232</v>
      </c>
      <c r="N1614" t="s">
        <v>15233</v>
      </c>
      <c r="O1614" t="s">
        <v>15234</v>
      </c>
      <c r="P1614" t="s">
        <v>15235</v>
      </c>
      <c r="Q1614" t="s">
        <v>15236</v>
      </c>
      <c r="R1614" t="s">
        <v>15237</v>
      </c>
      <c r="S1614" t="s">
        <v>15238</v>
      </c>
      <c r="T1614" t="s">
        <v>15239</v>
      </c>
      <c r="U1614" s="5">
        <v>617.19000000000005</v>
      </c>
      <c r="V1614" s="5">
        <v>25.32</v>
      </c>
      <c r="W1614" s="5">
        <v>13.756923</v>
      </c>
      <c r="X1614" s="5">
        <v>109.212577</v>
      </c>
      <c r="Y1614" s="5">
        <v>591.87</v>
      </c>
      <c r="Z1614" s="5">
        <v>13.769769999999999</v>
      </c>
      <c r="AA1614" s="5">
        <v>109.217917</v>
      </c>
      <c r="AB1614" s="7">
        <f t="shared" si="151"/>
        <v>3.7980000000000007E-2</v>
      </c>
      <c r="AC1614" s="7">
        <f t="shared" si="152"/>
        <v>0.88780500000000007</v>
      </c>
      <c r="AD1614" s="6" t="str">
        <f t="shared" si="153"/>
        <v>Khối CQ CSĐT</v>
      </c>
      <c r="AE1614" s="6" t="str">
        <f t="shared" si="154"/>
        <v>PA07 cũ</v>
      </c>
      <c r="AG1614">
        <f t="shared" si="155"/>
        <v>2.5319999999999999E-2</v>
      </c>
      <c r="AH1614">
        <f t="shared" si="156"/>
        <v>0.59187000000000001</v>
      </c>
    </row>
    <row r="1615" spans="1:34" x14ac:dyDescent="0.25">
      <c r="A1615" t="s">
        <v>15240</v>
      </c>
      <c r="B1615" t="s">
        <v>15241</v>
      </c>
      <c r="C1615" t="s">
        <v>15242</v>
      </c>
      <c r="D1615" t="s">
        <v>15243</v>
      </c>
      <c r="E1615" t="s">
        <v>15244</v>
      </c>
      <c r="I1615" t="s">
        <v>17368</v>
      </c>
      <c r="J1615" t="s">
        <v>23</v>
      </c>
      <c r="L1615" t="s">
        <v>15231</v>
      </c>
      <c r="M1615" t="s">
        <v>15245</v>
      </c>
      <c r="N1615" t="s">
        <v>15246</v>
      </c>
      <c r="O1615" t="s">
        <v>15247</v>
      </c>
      <c r="P1615" t="s">
        <v>15248</v>
      </c>
      <c r="Q1615" t="s">
        <v>15249</v>
      </c>
      <c r="R1615" t="s">
        <v>15250</v>
      </c>
      <c r="S1615" t="s">
        <v>15251</v>
      </c>
      <c r="T1615" t="s">
        <v>15239</v>
      </c>
      <c r="U1615" s="5">
        <v>631.03</v>
      </c>
      <c r="V1615" s="5">
        <v>22.69</v>
      </c>
      <c r="W1615" s="5">
        <v>13.777423000000001</v>
      </c>
      <c r="X1615" s="5">
        <v>109.230131</v>
      </c>
      <c r="Y1615" s="5">
        <v>608.34</v>
      </c>
      <c r="Z1615" s="5">
        <v>13.777979</v>
      </c>
      <c r="AA1615" s="5">
        <v>109.23032600000001</v>
      </c>
      <c r="AB1615" s="7">
        <f t="shared" si="151"/>
        <v>3.4035000000000003E-2</v>
      </c>
      <c r="AC1615" s="7">
        <f t="shared" si="152"/>
        <v>0.91251000000000004</v>
      </c>
      <c r="AD1615" s="6" t="str">
        <f t="shared" si="153"/>
        <v>Khối CQ CSĐT</v>
      </c>
      <c r="AE1615" s="6" t="str">
        <f t="shared" si="154"/>
        <v>PA07 cũ</v>
      </c>
      <c r="AG1615">
        <f t="shared" si="155"/>
        <v>2.2690000000000002E-2</v>
      </c>
      <c r="AH1615">
        <f t="shared" si="156"/>
        <v>0.60833999999999999</v>
      </c>
    </row>
    <row r="1616" spans="1:34" x14ac:dyDescent="0.25">
      <c r="A1616" t="s">
        <v>15252</v>
      </c>
      <c r="B1616" t="s">
        <v>15253</v>
      </c>
      <c r="C1616" t="s">
        <v>15254</v>
      </c>
      <c r="D1616" t="s">
        <v>15255</v>
      </c>
      <c r="E1616" t="s">
        <v>15256</v>
      </c>
      <c r="I1616" t="s">
        <v>17369</v>
      </c>
      <c r="J1616" t="s">
        <v>23</v>
      </c>
      <c r="L1616" t="s">
        <v>14313</v>
      </c>
      <c r="M1616" t="s">
        <v>15257</v>
      </c>
      <c r="N1616" t="s">
        <v>15258</v>
      </c>
      <c r="O1616" t="s">
        <v>15259</v>
      </c>
      <c r="P1616" t="s">
        <v>15260</v>
      </c>
      <c r="Q1616" t="s">
        <v>15261</v>
      </c>
      <c r="R1616" t="s">
        <v>15262</v>
      </c>
      <c r="S1616" t="s">
        <v>15263</v>
      </c>
      <c r="T1616" t="s">
        <v>15264</v>
      </c>
      <c r="U1616" s="5">
        <v>76.78</v>
      </c>
      <c r="V1616" s="5">
        <v>37.590000000000003</v>
      </c>
      <c r="W1616" s="5">
        <v>13.771952000000001</v>
      </c>
      <c r="X1616" s="5">
        <v>109.22664</v>
      </c>
      <c r="Y1616" s="5">
        <v>39.19</v>
      </c>
      <c r="Z1616" s="5">
        <v>13.777645</v>
      </c>
      <c r="AA1616" s="5">
        <v>109.222702</v>
      </c>
      <c r="AB1616" s="7">
        <f t="shared" si="151"/>
        <v>5.6385000000000005E-2</v>
      </c>
      <c r="AC1616" s="7">
        <f t="shared" si="152"/>
        <v>5.8784999999999997E-2</v>
      </c>
      <c r="AD1616" s="6" t="str">
        <f t="shared" si="153"/>
        <v>TT1 Gia Lai</v>
      </c>
      <c r="AE1616" s="6" t="str">
        <f t="shared" si="154"/>
        <v>TT2 Gia Lai (ring 1)</v>
      </c>
      <c r="AG1616">
        <f t="shared" si="155"/>
        <v>3.7590000000000005E-2</v>
      </c>
      <c r="AH1616">
        <f t="shared" si="156"/>
        <v>3.9189999999999996E-2</v>
      </c>
    </row>
    <row r="1617" spans="1:34" x14ac:dyDescent="0.25">
      <c r="A1617" t="s">
        <v>15265</v>
      </c>
      <c r="B1617" t="s">
        <v>15266</v>
      </c>
      <c r="C1617" t="s">
        <v>15267</v>
      </c>
      <c r="D1617" t="s">
        <v>15268</v>
      </c>
      <c r="E1617" t="s">
        <v>15269</v>
      </c>
      <c r="I1617" t="s">
        <v>17370</v>
      </c>
      <c r="J1617" t="s">
        <v>23</v>
      </c>
      <c r="L1617" t="s">
        <v>14632</v>
      </c>
      <c r="M1617" t="s">
        <v>15270</v>
      </c>
      <c r="N1617" t="s">
        <v>15271</v>
      </c>
      <c r="O1617" t="s">
        <v>15272</v>
      </c>
      <c r="P1617" t="s">
        <v>15273</v>
      </c>
      <c r="Q1617" t="s">
        <v>5427</v>
      </c>
      <c r="R1617" t="s">
        <v>15274</v>
      </c>
      <c r="S1617" t="s">
        <v>15275</v>
      </c>
      <c r="T1617" t="s">
        <v>15276</v>
      </c>
      <c r="U1617" s="5">
        <v>249.66</v>
      </c>
      <c r="V1617" s="5">
        <v>237.98</v>
      </c>
      <c r="W1617" s="5">
        <v>13.769005999999999</v>
      </c>
      <c r="X1617" s="5">
        <v>109.226101</v>
      </c>
      <c r="Y1617" s="5">
        <v>11.68</v>
      </c>
      <c r="Z1617" s="5">
        <v>13.765397999999999</v>
      </c>
      <c r="AA1617" s="5">
        <v>109.224717</v>
      </c>
      <c r="AB1617" s="7">
        <f t="shared" si="151"/>
        <v>0.35696999999999995</v>
      </c>
      <c r="AC1617" s="7">
        <f t="shared" si="152"/>
        <v>1.7520000000000001E-2</v>
      </c>
      <c r="AD1617" s="6" t="str">
        <f t="shared" si="153"/>
        <v>TT2 Gia Lai</v>
      </c>
      <c r="AE1617" s="6" t="str">
        <f t="shared" si="154"/>
        <v>TT1 Gia Lai (ring 2)</v>
      </c>
      <c r="AG1617">
        <f t="shared" si="155"/>
        <v>0.23798</v>
      </c>
      <c r="AH1617">
        <f t="shared" si="156"/>
        <v>1.1679999999999999E-2</v>
      </c>
    </row>
    <row r="1618" spans="1:34" x14ac:dyDescent="0.25">
      <c r="A1618" t="s">
        <v>15277</v>
      </c>
      <c r="B1618" t="s">
        <v>15278</v>
      </c>
      <c r="C1618" t="s">
        <v>15279</v>
      </c>
      <c r="D1618" t="s">
        <v>15280</v>
      </c>
      <c r="E1618" t="s">
        <v>15281</v>
      </c>
      <c r="I1618" t="s">
        <v>17371</v>
      </c>
      <c r="J1618" t="s">
        <v>23</v>
      </c>
      <c r="L1618" t="s">
        <v>15282</v>
      </c>
      <c r="M1618" t="s">
        <v>15283</v>
      </c>
      <c r="N1618" t="s">
        <v>15284</v>
      </c>
      <c r="O1618" t="s">
        <v>15285</v>
      </c>
      <c r="P1618" t="s">
        <v>15286</v>
      </c>
      <c r="Q1618" t="s">
        <v>15287</v>
      </c>
      <c r="R1618" t="s">
        <v>15288</v>
      </c>
      <c r="S1618" t="s">
        <v>15289</v>
      </c>
      <c r="T1618" t="s">
        <v>15290</v>
      </c>
      <c r="U1618" s="5">
        <v>152.21</v>
      </c>
      <c r="V1618" s="5">
        <v>44.9</v>
      </c>
      <c r="W1618" s="5">
        <v>13.770341</v>
      </c>
      <c r="X1618" s="5">
        <v>109.22586699999999</v>
      </c>
      <c r="Y1618" s="5">
        <v>107.31</v>
      </c>
      <c r="Z1618" s="5">
        <v>13.777872</v>
      </c>
      <c r="AA1618" s="5">
        <v>109.22599599999999</v>
      </c>
      <c r="AB1618" s="7">
        <f t="shared" si="151"/>
        <v>6.7349999999999993E-2</v>
      </c>
      <c r="AC1618" s="7">
        <f t="shared" si="152"/>
        <v>0.160965</v>
      </c>
      <c r="AD1618" s="6" t="str">
        <f t="shared" si="153"/>
        <v>CA Tỉnh</v>
      </c>
      <c r="AE1618" s="6" t="str">
        <f t="shared" si="154"/>
        <v>Tuy Phước</v>
      </c>
      <c r="AG1618">
        <f t="shared" si="155"/>
        <v>4.4899999999999995E-2</v>
      </c>
      <c r="AH1618">
        <f t="shared" si="156"/>
        <v>0.10731</v>
      </c>
    </row>
    <row r="1619" spans="1:34" x14ac:dyDescent="0.25">
      <c r="A1619" t="s">
        <v>15291</v>
      </c>
      <c r="B1619" t="s">
        <v>15292</v>
      </c>
      <c r="C1619" t="s">
        <v>15293</v>
      </c>
      <c r="D1619" t="s">
        <v>15294</v>
      </c>
      <c r="E1619" t="s">
        <v>15295</v>
      </c>
      <c r="I1619" t="s">
        <v>17372</v>
      </c>
      <c r="J1619" t="s">
        <v>23</v>
      </c>
      <c r="L1619" t="s">
        <v>15296</v>
      </c>
      <c r="M1619" t="s">
        <v>15297</v>
      </c>
      <c r="N1619" t="s">
        <v>15298</v>
      </c>
      <c r="O1619" t="s">
        <v>15299</v>
      </c>
      <c r="P1619" t="s">
        <v>15300</v>
      </c>
      <c r="Q1619" t="s">
        <v>15301</v>
      </c>
      <c r="R1619" t="s">
        <v>15302</v>
      </c>
      <c r="S1619" t="s">
        <v>15303</v>
      </c>
      <c r="T1619" t="s">
        <v>15304</v>
      </c>
      <c r="U1619" s="5">
        <v>207.63</v>
      </c>
      <c r="V1619" s="5">
        <v>111.78</v>
      </c>
      <c r="W1619" s="5">
        <v>13.794098</v>
      </c>
      <c r="X1619" s="5">
        <v>109.15761999999999</v>
      </c>
      <c r="Y1619" s="5">
        <v>95.85</v>
      </c>
      <c r="Z1619" s="5">
        <v>13.748125</v>
      </c>
      <c r="AA1619" s="5">
        <v>109.151713</v>
      </c>
      <c r="AB1619" s="7">
        <f t="shared" si="151"/>
        <v>0.16767000000000001</v>
      </c>
      <c r="AC1619" s="7">
        <f t="shared" si="152"/>
        <v>0.14377499999999999</v>
      </c>
      <c r="AD1619" s="6" t="str">
        <f t="shared" si="153"/>
        <v>Quy Nhơn Tây</v>
      </c>
      <c r="AE1619" s="6" t="str">
        <f t="shared" si="154"/>
        <v>CA Công an tỉnh</v>
      </c>
      <c r="AG1619">
        <f t="shared" si="155"/>
        <v>0.11178</v>
      </c>
      <c r="AH1619">
        <f t="shared" si="156"/>
        <v>9.5849999999999991E-2</v>
      </c>
    </row>
    <row r="1620" spans="1:34" x14ac:dyDescent="0.25">
      <c r="A1620" t="s">
        <v>15305</v>
      </c>
      <c r="B1620" t="s">
        <v>15306</v>
      </c>
      <c r="C1620" t="s">
        <v>15307</v>
      </c>
      <c r="D1620" t="s">
        <v>15308</v>
      </c>
      <c r="E1620" t="s">
        <v>15309</v>
      </c>
      <c r="I1620" t="s">
        <v>17373</v>
      </c>
      <c r="J1620" t="s">
        <v>23</v>
      </c>
      <c r="L1620" t="s">
        <v>15310</v>
      </c>
      <c r="M1620" t="s">
        <v>15311</v>
      </c>
      <c r="N1620" t="s">
        <v>15312</v>
      </c>
      <c r="O1620" t="s">
        <v>15313</v>
      </c>
      <c r="P1620" t="s">
        <v>15314</v>
      </c>
      <c r="Q1620" t="s">
        <v>15315</v>
      </c>
      <c r="R1620" t="s">
        <v>15316</v>
      </c>
      <c r="S1620" t="s">
        <v>15317</v>
      </c>
      <c r="T1620" t="s">
        <v>15318</v>
      </c>
      <c r="U1620" s="5">
        <v>451.96</v>
      </c>
      <c r="V1620" s="5">
        <v>310.54000000000002</v>
      </c>
      <c r="W1620" s="5">
        <v>13.748995000000001</v>
      </c>
      <c r="X1620" s="5">
        <v>109.15984899999999</v>
      </c>
      <c r="Y1620" s="5">
        <v>141.41999999999999</v>
      </c>
      <c r="Z1620" s="5">
        <v>13.793901999999999</v>
      </c>
      <c r="AA1620" s="5">
        <v>109.15280300000001</v>
      </c>
      <c r="AB1620" s="7">
        <f t="shared" si="151"/>
        <v>0.46581000000000006</v>
      </c>
      <c r="AC1620" s="7">
        <f t="shared" si="152"/>
        <v>0.21212999999999999</v>
      </c>
      <c r="AD1620" s="6" t="str">
        <f t="shared" si="153"/>
        <v>PC08</v>
      </c>
      <c r="AE1620" s="6" t="str">
        <f t="shared" si="154"/>
        <v>PC11B</v>
      </c>
      <c r="AG1620">
        <f t="shared" si="155"/>
        <v>0.31054000000000004</v>
      </c>
      <c r="AH1620">
        <f t="shared" si="156"/>
        <v>0.14141999999999999</v>
      </c>
    </row>
    <row r="1621" spans="1:34" x14ac:dyDescent="0.25">
      <c r="A1621" t="s">
        <v>15319</v>
      </c>
      <c r="B1621" t="s">
        <v>15320</v>
      </c>
      <c r="C1621" t="s">
        <v>15321</v>
      </c>
      <c r="D1621" t="s">
        <v>15322</v>
      </c>
      <c r="E1621" t="s">
        <v>15323</v>
      </c>
      <c r="I1621" t="s">
        <v>17374</v>
      </c>
      <c r="J1621" t="s">
        <v>23</v>
      </c>
      <c r="L1621" t="s">
        <v>15310</v>
      </c>
      <c r="M1621" t="s">
        <v>15324</v>
      </c>
      <c r="N1621" t="s">
        <v>15325</v>
      </c>
      <c r="O1621" t="s">
        <v>15326</v>
      </c>
      <c r="P1621" t="s">
        <v>15327</v>
      </c>
      <c r="Q1621" t="s">
        <v>15328</v>
      </c>
      <c r="R1621" t="s">
        <v>15329</v>
      </c>
      <c r="S1621" t="s">
        <v>15330</v>
      </c>
      <c r="T1621" t="s">
        <v>15318</v>
      </c>
      <c r="U1621" s="5">
        <v>1481.16</v>
      </c>
      <c r="V1621" s="5">
        <v>677.58</v>
      </c>
      <c r="W1621" s="5">
        <v>13.748989</v>
      </c>
      <c r="X1621" s="5">
        <v>109.159845</v>
      </c>
      <c r="Y1621" s="5">
        <v>803.57</v>
      </c>
      <c r="Z1621" s="5">
        <v>13.788163000000001</v>
      </c>
      <c r="AA1621" s="5">
        <v>109.147704</v>
      </c>
      <c r="AB1621" s="7">
        <f t="shared" si="151"/>
        <v>1.0163700000000002</v>
      </c>
      <c r="AC1621" s="7">
        <f t="shared" si="152"/>
        <v>1.205355</v>
      </c>
      <c r="AD1621" s="6" t="str">
        <f t="shared" si="153"/>
        <v>PC08</v>
      </c>
      <c r="AE1621" s="6" t="str">
        <f t="shared" si="154"/>
        <v>PC11B</v>
      </c>
      <c r="AG1621">
        <f t="shared" si="155"/>
        <v>0.67758000000000007</v>
      </c>
      <c r="AH1621">
        <f t="shared" si="156"/>
        <v>0.80357000000000001</v>
      </c>
    </row>
    <row r="1622" spans="1:34" x14ac:dyDescent="0.25">
      <c r="A1622" t="s">
        <v>15331</v>
      </c>
      <c r="B1622" t="s">
        <v>15332</v>
      </c>
      <c r="C1622" t="s">
        <v>15333</v>
      </c>
      <c r="D1622" t="s">
        <v>15334</v>
      </c>
      <c r="E1622" t="s">
        <v>15335</v>
      </c>
      <c r="I1622" t="s">
        <v>17375</v>
      </c>
      <c r="J1622" t="s">
        <v>23</v>
      </c>
      <c r="L1622" t="s">
        <v>15336</v>
      </c>
      <c r="M1622" t="s">
        <v>15337</v>
      </c>
      <c r="N1622" t="s">
        <v>15338</v>
      </c>
      <c r="O1622" t="s">
        <v>15339</v>
      </c>
      <c r="P1622" t="s">
        <v>15340</v>
      </c>
      <c r="Q1622" t="s">
        <v>15341</v>
      </c>
      <c r="R1622" t="s">
        <v>15342</v>
      </c>
      <c r="S1622" t="s">
        <v>15343</v>
      </c>
      <c r="T1622" t="s">
        <v>15344</v>
      </c>
      <c r="U1622" s="5">
        <v>6987.97</v>
      </c>
      <c r="V1622" s="5">
        <v>2127.31</v>
      </c>
      <c r="W1622" s="5">
        <v>13.947566</v>
      </c>
      <c r="X1622" s="5">
        <v>109.066828</v>
      </c>
      <c r="Y1622" s="5">
        <v>4860.6499999999996</v>
      </c>
      <c r="Z1622" s="5">
        <v>13.902282</v>
      </c>
      <c r="AA1622" s="5">
        <v>109.114161</v>
      </c>
      <c r="AB1622" s="7">
        <f t="shared" si="151"/>
        <v>3.1909650000000003</v>
      </c>
      <c r="AC1622" s="7">
        <f t="shared" si="152"/>
        <v>7.2909749999999995</v>
      </c>
      <c r="AD1622" s="6" t="str">
        <f t="shared" si="153"/>
        <v>An Nhơn Bắc</v>
      </c>
      <c r="AE1622" s="6" t="str">
        <f t="shared" si="154"/>
        <v>TTCMKV An Nhơn</v>
      </c>
      <c r="AG1622">
        <f t="shared" si="155"/>
        <v>2.12731</v>
      </c>
      <c r="AH1622">
        <f t="shared" si="156"/>
        <v>4.8606499999999997</v>
      </c>
    </row>
    <row r="1623" spans="1:34" x14ac:dyDescent="0.25">
      <c r="A1623" t="s">
        <v>15345</v>
      </c>
      <c r="B1623" t="s">
        <v>15346</v>
      </c>
      <c r="C1623" t="s">
        <v>15347</v>
      </c>
      <c r="D1623" t="s">
        <v>15294</v>
      </c>
      <c r="E1623" t="s">
        <v>15295</v>
      </c>
      <c r="I1623" t="s">
        <v>17376</v>
      </c>
      <c r="J1623" t="s">
        <v>23</v>
      </c>
      <c r="L1623" t="s">
        <v>15348</v>
      </c>
      <c r="M1623" t="s">
        <v>15349</v>
      </c>
      <c r="N1623" t="s">
        <v>15350</v>
      </c>
      <c r="O1623" t="s">
        <v>15351</v>
      </c>
      <c r="P1623" t="s">
        <v>15352</v>
      </c>
      <c r="Q1623" t="s">
        <v>15353</v>
      </c>
      <c r="R1623" t="s">
        <v>15354</v>
      </c>
      <c r="S1623" t="s">
        <v>15355</v>
      </c>
      <c r="T1623" t="s">
        <v>15356</v>
      </c>
      <c r="U1623" s="5">
        <v>323.24</v>
      </c>
      <c r="V1623" s="5">
        <v>11.23</v>
      </c>
      <c r="W1623" s="5">
        <v>13.749268000000001</v>
      </c>
      <c r="X1623" s="5">
        <v>109.14787099999999</v>
      </c>
      <c r="Y1623" s="5">
        <v>312.01</v>
      </c>
      <c r="Z1623" s="5">
        <v>13.745321000000001</v>
      </c>
      <c r="AA1623" s="5">
        <v>109.152135</v>
      </c>
      <c r="AB1623" s="7">
        <f t="shared" si="151"/>
        <v>1.6844999999999999E-2</v>
      </c>
      <c r="AC1623" s="7">
        <f t="shared" si="152"/>
        <v>0.46801499999999996</v>
      </c>
      <c r="AD1623" s="6" t="str">
        <f t="shared" si="153"/>
        <v>Cơ sở cai nghiện ma tuý (PC04)</v>
      </c>
      <c r="AE1623" s="6" t="str">
        <f t="shared" si="154"/>
        <v>TT1 Gia Lai (Quy nhơn)_v1</v>
      </c>
      <c r="AG1623">
        <f t="shared" si="155"/>
        <v>1.123E-2</v>
      </c>
      <c r="AH1623">
        <f t="shared" si="156"/>
        <v>0.31201000000000001</v>
      </c>
    </row>
    <row r="1624" spans="1:34" x14ac:dyDescent="0.25">
      <c r="A1624" t="s">
        <v>15357</v>
      </c>
      <c r="B1624" t="s">
        <v>15358</v>
      </c>
      <c r="C1624" t="s">
        <v>15359</v>
      </c>
      <c r="D1624" t="s">
        <v>15360</v>
      </c>
      <c r="E1624" t="s">
        <v>15361</v>
      </c>
      <c r="I1624" t="s">
        <v>17377</v>
      </c>
      <c r="J1624" t="s">
        <v>23</v>
      </c>
      <c r="L1624" t="s">
        <v>15219</v>
      </c>
      <c r="M1624" t="s">
        <v>15362</v>
      </c>
      <c r="N1624" t="s">
        <v>15363</v>
      </c>
      <c r="O1624" t="s">
        <v>15364</v>
      </c>
      <c r="P1624" t="s">
        <v>15365</v>
      </c>
      <c r="Q1624" t="s">
        <v>15366</v>
      </c>
      <c r="R1624" t="s">
        <v>15367</v>
      </c>
      <c r="S1624" t="s">
        <v>15368</v>
      </c>
      <c r="T1624" t="s">
        <v>15227</v>
      </c>
      <c r="U1624" s="5">
        <v>608.79</v>
      </c>
      <c r="V1624" s="5">
        <v>543.42999999999995</v>
      </c>
      <c r="W1624" s="5">
        <v>13.762912999999999</v>
      </c>
      <c r="X1624" s="5">
        <v>109.220394</v>
      </c>
      <c r="Y1624" s="5">
        <v>65.36</v>
      </c>
      <c r="Z1624" s="5">
        <v>13.760818</v>
      </c>
      <c r="AA1624" s="5">
        <v>109.21599500000001</v>
      </c>
      <c r="AB1624" s="7">
        <f t="shared" si="151"/>
        <v>0.81514500000000001</v>
      </c>
      <c r="AC1624" s="7">
        <f t="shared" si="152"/>
        <v>9.8039999999999988E-2</v>
      </c>
      <c r="AD1624" s="6" t="str">
        <f t="shared" si="153"/>
        <v>PX05</v>
      </c>
      <c r="AE1624" s="6" t="str">
        <f t="shared" si="154"/>
        <v>Khối CQ CSĐT</v>
      </c>
      <c r="AG1624">
        <f t="shared" si="155"/>
        <v>0.54342999999999997</v>
      </c>
      <c r="AH1624">
        <f t="shared" si="156"/>
        <v>6.5360000000000001E-2</v>
      </c>
    </row>
    <row r="1625" spans="1:34" x14ac:dyDescent="0.25">
      <c r="A1625" t="s">
        <v>15369</v>
      </c>
      <c r="B1625" t="s">
        <v>15370</v>
      </c>
      <c r="C1625" t="s">
        <v>15371</v>
      </c>
      <c r="D1625" t="s">
        <v>15372</v>
      </c>
      <c r="E1625" t="s">
        <v>15373</v>
      </c>
      <c r="I1625" t="s">
        <v>17378</v>
      </c>
      <c r="J1625" t="s">
        <v>23</v>
      </c>
      <c r="L1625" t="s">
        <v>15374</v>
      </c>
      <c r="M1625" t="s">
        <v>15375</v>
      </c>
      <c r="N1625" t="s">
        <v>15376</v>
      </c>
      <c r="O1625" t="s">
        <v>15377</v>
      </c>
      <c r="P1625" t="s">
        <v>15378</v>
      </c>
      <c r="Q1625" t="s">
        <v>15379</v>
      </c>
      <c r="R1625" t="s">
        <v>15380</v>
      </c>
      <c r="S1625" t="s">
        <v>15381</v>
      </c>
      <c r="T1625" t="s">
        <v>15382</v>
      </c>
      <c r="U1625" s="5">
        <v>1255.9100000000001</v>
      </c>
      <c r="V1625" s="5">
        <v>3.07</v>
      </c>
      <c r="W1625" s="5">
        <v>13.755447999999999</v>
      </c>
      <c r="X1625" s="5">
        <v>109.207408</v>
      </c>
      <c r="Y1625" s="5">
        <v>1252.83</v>
      </c>
      <c r="Z1625" s="5">
        <v>13.755341</v>
      </c>
      <c r="AA1625" s="5">
        <v>109.20769</v>
      </c>
      <c r="AB1625" s="7">
        <f t="shared" si="151"/>
        <v>4.6049999999999997E-3</v>
      </c>
      <c r="AC1625" s="7">
        <f t="shared" si="152"/>
        <v>1.8792449999999998</v>
      </c>
      <c r="AD1625" s="6" t="str">
        <f t="shared" si="153"/>
        <v>Quy Nhơn Nam</v>
      </c>
      <c r="AE1625" s="6" t="str">
        <f t="shared" si="154"/>
        <v>Quy Nhơn</v>
      </c>
      <c r="AG1625">
        <f t="shared" si="155"/>
        <v>3.0699999999999998E-3</v>
      </c>
      <c r="AH1625">
        <f t="shared" si="156"/>
        <v>1.2528299999999999</v>
      </c>
    </row>
    <row r="1626" spans="1:34" x14ac:dyDescent="0.25">
      <c r="A1626" t="s">
        <v>15383</v>
      </c>
      <c r="B1626" t="s">
        <v>15384</v>
      </c>
      <c r="C1626" t="s">
        <v>15385</v>
      </c>
      <c r="D1626" t="s">
        <v>15308</v>
      </c>
      <c r="E1626" t="s">
        <v>15309</v>
      </c>
      <c r="I1626" t="s">
        <v>17379</v>
      </c>
      <c r="J1626" t="s">
        <v>23</v>
      </c>
      <c r="L1626" t="s">
        <v>15296</v>
      </c>
      <c r="M1626" t="s">
        <v>15386</v>
      </c>
      <c r="N1626" t="s">
        <v>15387</v>
      </c>
      <c r="O1626" t="s">
        <v>15388</v>
      </c>
      <c r="P1626" t="s">
        <v>15389</v>
      </c>
      <c r="Q1626" t="s">
        <v>15390</v>
      </c>
      <c r="R1626" t="s">
        <v>15391</v>
      </c>
      <c r="S1626" t="s">
        <v>15392</v>
      </c>
      <c r="T1626" t="s">
        <v>15304</v>
      </c>
      <c r="U1626" s="5">
        <v>146.41</v>
      </c>
      <c r="V1626" s="5">
        <v>138.49</v>
      </c>
      <c r="W1626" s="5">
        <v>13.784829999999999</v>
      </c>
      <c r="X1626" s="5">
        <v>109.148399</v>
      </c>
      <c r="Y1626" s="5">
        <v>7.91</v>
      </c>
      <c r="Z1626" s="5">
        <v>13.794009000000001</v>
      </c>
      <c r="AA1626" s="5">
        <v>109.154094</v>
      </c>
      <c r="AB1626" s="7">
        <f t="shared" si="151"/>
        <v>0.207735</v>
      </c>
      <c r="AC1626" s="7">
        <f t="shared" si="152"/>
        <v>1.1865000000000001E-2</v>
      </c>
      <c r="AD1626" s="6" t="str">
        <f t="shared" si="153"/>
        <v>Quy Nhơn Tây</v>
      </c>
      <c r="AE1626" s="6" t="str">
        <f t="shared" si="154"/>
        <v>CA Công an tỉnh</v>
      </c>
      <c r="AG1626">
        <f t="shared" si="155"/>
        <v>0.13849</v>
      </c>
      <c r="AH1626">
        <f t="shared" si="156"/>
        <v>7.9100000000000004E-3</v>
      </c>
    </row>
    <row r="1627" spans="1:34" x14ac:dyDescent="0.25">
      <c r="A1627" t="s">
        <v>15393</v>
      </c>
      <c r="B1627" t="s">
        <v>15394</v>
      </c>
      <c r="C1627" t="s">
        <v>15395</v>
      </c>
      <c r="D1627" t="s">
        <v>15396</v>
      </c>
      <c r="E1627" t="s">
        <v>15397</v>
      </c>
      <c r="I1627" t="s">
        <v>17380</v>
      </c>
      <c r="J1627" t="s">
        <v>23</v>
      </c>
      <c r="L1627" t="s">
        <v>15398</v>
      </c>
      <c r="M1627" t="s">
        <v>15399</v>
      </c>
      <c r="N1627" t="s">
        <v>15400</v>
      </c>
      <c r="O1627" t="s">
        <v>15401</v>
      </c>
      <c r="P1627" t="s">
        <v>15402</v>
      </c>
      <c r="Q1627" t="s">
        <v>15403</v>
      </c>
      <c r="R1627" t="s">
        <v>15404</v>
      </c>
      <c r="S1627" t="s">
        <v>15405</v>
      </c>
      <c r="T1627" t="s">
        <v>15406</v>
      </c>
      <c r="U1627" s="5">
        <v>119</v>
      </c>
      <c r="V1627" s="5">
        <v>22.62</v>
      </c>
      <c r="W1627" s="5">
        <v>13.746686</v>
      </c>
      <c r="X1627" s="5">
        <v>109.151917</v>
      </c>
      <c r="Y1627" s="5">
        <v>96.37</v>
      </c>
      <c r="Z1627" s="5">
        <v>13.780239999999999</v>
      </c>
      <c r="AA1627" s="5">
        <v>109.14870999999999</v>
      </c>
      <c r="AB1627" s="7">
        <f t="shared" si="151"/>
        <v>3.3930000000000002E-2</v>
      </c>
      <c r="AC1627" s="7">
        <f t="shared" si="152"/>
        <v>0.14455500000000002</v>
      </c>
      <c r="AD1627" s="6" t="str">
        <f t="shared" si="153"/>
        <v>Vân Canh</v>
      </c>
      <c r="AE1627" s="6" t="str">
        <f t="shared" si="154"/>
        <v>TT1 Gia Lai</v>
      </c>
      <c r="AG1627">
        <f t="shared" si="155"/>
        <v>2.2620000000000001E-2</v>
      </c>
      <c r="AH1627">
        <f t="shared" si="156"/>
        <v>9.6370000000000011E-2</v>
      </c>
    </row>
    <row r="1628" spans="1:34" x14ac:dyDescent="0.25">
      <c r="A1628" t="s">
        <v>15407</v>
      </c>
      <c r="B1628" t="s">
        <v>15408</v>
      </c>
      <c r="C1628" t="s">
        <v>15409</v>
      </c>
      <c r="D1628" t="s">
        <v>15410</v>
      </c>
      <c r="E1628" t="s">
        <v>15411</v>
      </c>
      <c r="I1628" t="s">
        <v>17381</v>
      </c>
      <c r="J1628" t="s">
        <v>23</v>
      </c>
      <c r="L1628" t="s">
        <v>15412</v>
      </c>
      <c r="M1628" t="s">
        <v>15413</v>
      </c>
      <c r="N1628" t="s">
        <v>15414</v>
      </c>
      <c r="O1628" t="s">
        <v>15415</v>
      </c>
      <c r="P1628" t="s">
        <v>15416</v>
      </c>
      <c r="Q1628" t="s">
        <v>15417</v>
      </c>
      <c r="R1628" t="s">
        <v>15418</v>
      </c>
      <c r="S1628" t="s">
        <v>15419</v>
      </c>
      <c r="T1628" t="s">
        <v>15420</v>
      </c>
      <c r="U1628" s="5">
        <v>306.56</v>
      </c>
      <c r="V1628" s="5">
        <v>83.37</v>
      </c>
      <c r="W1628" s="5">
        <v>13.823164</v>
      </c>
      <c r="X1628" s="5">
        <v>109.25956100000001</v>
      </c>
      <c r="Y1628" s="5">
        <v>223.2</v>
      </c>
      <c r="Z1628" s="5">
        <v>13.789206</v>
      </c>
      <c r="AA1628" s="5">
        <v>109.219835</v>
      </c>
      <c r="AB1628" s="7">
        <f t="shared" si="151"/>
        <v>0.125055</v>
      </c>
      <c r="AC1628" s="7">
        <f t="shared" si="152"/>
        <v>0.33479999999999993</v>
      </c>
      <c r="AD1628" s="6" t="str">
        <f t="shared" si="153"/>
        <v>CA Tỉnh</v>
      </c>
      <c r="AE1628" s="6" t="str">
        <f t="shared" si="154"/>
        <v>Quy Nhơn Đông</v>
      </c>
      <c r="AG1628">
        <f t="shared" si="155"/>
        <v>8.337E-2</v>
      </c>
      <c r="AH1628">
        <f t="shared" si="156"/>
        <v>0.22319999999999998</v>
      </c>
    </row>
    <row r="1629" spans="1:34" x14ac:dyDescent="0.25">
      <c r="A1629" t="s">
        <v>15421</v>
      </c>
      <c r="B1629" t="s">
        <v>15422</v>
      </c>
      <c r="C1629" t="s">
        <v>15423</v>
      </c>
      <c r="D1629" t="s">
        <v>15424</v>
      </c>
      <c r="E1629" t="s">
        <v>15425</v>
      </c>
      <c r="I1629" t="s">
        <v>17382</v>
      </c>
      <c r="J1629" t="s">
        <v>23</v>
      </c>
      <c r="L1629" t="s">
        <v>15426</v>
      </c>
      <c r="M1629" t="s">
        <v>5143</v>
      </c>
      <c r="N1629" t="s">
        <v>15427</v>
      </c>
      <c r="O1629" t="s">
        <v>15428</v>
      </c>
      <c r="P1629" t="s">
        <v>15429</v>
      </c>
      <c r="Q1629" t="s">
        <v>15430</v>
      </c>
      <c r="R1629" t="s">
        <v>15431</v>
      </c>
      <c r="S1629" t="s">
        <v>15432</v>
      </c>
      <c r="T1629" t="s">
        <v>15433</v>
      </c>
      <c r="U1629" s="5">
        <v>256.69</v>
      </c>
      <c r="V1629" s="5">
        <v>29.7</v>
      </c>
      <c r="W1629" s="5">
        <v>13.914106</v>
      </c>
      <c r="X1629" s="5">
        <v>109.066563</v>
      </c>
      <c r="Y1629" s="5">
        <v>226.98</v>
      </c>
      <c r="Z1629" s="5">
        <v>13.911273</v>
      </c>
      <c r="AA1629" s="5">
        <v>109.09812100000001</v>
      </c>
      <c r="AB1629" s="7">
        <f t="shared" si="151"/>
        <v>4.4549999999999999E-2</v>
      </c>
      <c r="AC1629" s="7">
        <f t="shared" si="152"/>
        <v>0.34046999999999999</v>
      </c>
      <c r="AD1629" s="6" t="str">
        <f t="shared" si="153"/>
        <v>An Nhơn Đông</v>
      </c>
      <c r="AE1629" s="6" t="str">
        <f t="shared" si="154"/>
        <v>An Nhơn</v>
      </c>
      <c r="AG1629">
        <f t="shared" si="155"/>
        <v>2.9700000000000001E-2</v>
      </c>
      <c r="AH1629">
        <f t="shared" si="156"/>
        <v>0.22697999999999999</v>
      </c>
    </row>
    <row r="1630" spans="1:34" x14ac:dyDescent="0.25">
      <c r="A1630" t="s">
        <v>15434</v>
      </c>
      <c r="B1630" t="s">
        <v>15435</v>
      </c>
      <c r="C1630" t="s">
        <v>15436</v>
      </c>
      <c r="D1630" t="s">
        <v>15437</v>
      </c>
      <c r="E1630" t="s">
        <v>15438</v>
      </c>
      <c r="I1630" t="s">
        <v>17383</v>
      </c>
      <c r="J1630" t="s">
        <v>23</v>
      </c>
      <c r="L1630" t="s">
        <v>15439</v>
      </c>
      <c r="M1630" t="s">
        <v>15440</v>
      </c>
      <c r="N1630" t="s">
        <v>15441</v>
      </c>
      <c r="O1630" t="s">
        <v>15442</v>
      </c>
      <c r="P1630" t="s">
        <v>15443</v>
      </c>
      <c r="Q1630" t="s">
        <v>15444</v>
      </c>
      <c r="R1630" t="s">
        <v>15445</v>
      </c>
      <c r="S1630" t="s">
        <v>15446</v>
      </c>
      <c r="T1630" t="s">
        <v>15447</v>
      </c>
      <c r="U1630" s="5">
        <v>8774.6299999999992</v>
      </c>
      <c r="V1630" s="5">
        <v>8403.49</v>
      </c>
      <c r="W1630" s="5">
        <v>13.981185</v>
      </c>
      <c r="X1630" s="5">
        <v>108.995521</v>
      </c>
      <c r="Y1630" s="5">
        <v>371.14</v>
      </c>
      <c r="Z1630" s="5">
        <v>14.017836000000001</v>
      </c>
      <c r="AA1630" s="5">
        <v>108.98673599999999</v>
      </c>
      <c r="AB1630" s="7">
        <f t="shared" si="151"/>
        <v>12.605235</v>
      </c>
      <c r="AC1630" s="7">
        <f t="shared" si="152"/>
        <v>0.55671000000000004</v>
      </c>
      <c r="AD1630" s="6" t="str">
        <f t="shared" si="153"/>
        <v>Bình Hiệp</v>
      </c>
      <c r="AE1630" s="6" t="str">
        <f t="shared" si="154"/>
        <v>Hội Sơn</v>
      </c>
      <c r="AG1630">
        <f t="shared" si="155"/>
        <v>8.4034899999999997</v>
      </c>
      <c r="AH1630">
        <f t="shared" si="156"/>
        <v>0.37113999999999997</v>
      </c>
    </row>
    <row r="1631" spans="1:34" x14ac:dyDescent="0.25">
      <c r="A1631" t="s">
        <v>15448</v>
      </c>
      <c r="B1631" t="s">
        <v>15449</v>
      </c>
      <c r="C1631" t="s">
        <v>15450</v>
      </c>
      <c r="D1631" t="s">
        <v>15451</v>
      </c>
      <c r="E1631" t="s">
        <v>15452</v>
      </c>
      <c r="I1631" t="s">
        <v>17384</v>
      </c>
      <c r="J1631" t="s">
        <v>23</v>
      </c>
      <c r="L1631" t="s">
        <v>15453</v>
      </c>
      <c r="M1631" t="s">
        <v>15454</v>
      </c>
      <c r="N1631" t="s">
        <v>15455</v>
      </c>
      <c r="O1631" t="s">
        <v>15456</v>
      </c>
      <c r="P1631" t="s">
        <v>15457</v>
      </c>
      <c r="Q1631" t="s">
        <v>15458</v>
      </c>
      <c r="R1631" t="s">
        <v>15459</v>
      </c>
      <c r="S1631" t="s">
        <v>15460</v>
      </c>
      <c r="T1631" t="s">
        <v>15461</v>
      </c>
      <c r="U1631" s="5">
        <v>621.34</v>
      </c>
      <c r="V1631" s="5">
        <v>93.54</v>
      </c>
      <c r="W1631" s="5">
        <v>13.863291</v>
      </c>
      <c r="X1631" s="5">
        <v>109.098259</v>
      </c>
      <c r="Y1631" s="5">
        <v>527.79</v>
      </c>
      <c r="Z1631" s="5">
        <v>13.878803</v>
      </c>
      <c r="AA1631" s="5">
        <v>109.10663599999999</v>
      </c>
      <c r="AB1631" s="7">
        <f t="shared" si="151"/>
        <v>0.14030999999999999</v>
      </c>
      <c r="AC1631" s="7">
        <f t="shared" si="152"/>
        <v>0.79168499999999997</v>
      </c>
      <c r="AD1631" s="6" t="str">
        <f t="shared" si="153"/>
        <v>Tây Sơn</v>
      </c>
      <c r="AE1631" s="6" t="str">
        <f t="shared" si="154"/>
        <v>An Nhơn</v>
      </c>
      <c r="AG1631">
        <f t="shared" si="155"/>
        <v>9.3540000000000012E-2</v>
      </c>
      <c r="AH1631">
        <f t="shared" si="156"/>
        <v>0.52778999999999998</v>
      </c>
    </row>
    <row r="1632" spans="1:34" x14ac:dyDescent="0.25">
      <c r="A1632" t="s">
        <v>15462</v>
      </c>
      <c r="B1632" t="s">
        <v>15463</v>
      </c>
      <c r="C1632" t="s">
        <v>15464</v>
      </c>
      <c r="D1632" t="s">
        <v>15465</v>
      </c>
      <c r="E1632" t="s">
        <v>15466</v>
      </c>
      <c r="I1632" t="s">
        <v>17385</v>
      </c>
      <c r="J1632" t="s">
        <v>23</v>
      </c>
      <c r="L1632" t="s">
        <v>15467</v>
      </c>
      <c r="M1632" t="s">
        <v>15468</v>
      </c>
      <c r="N1632" t="s">
        <v>15469</v>
      </c>
      <c r="O1632" t="s">
        <v>15470</v>
      </c>
      <c r="P1632" t="s">
        <v>15471</v>
      </c>
      <c r="Q1632" t="s">
        <v>15472</v>
      </c>
      <c r="R1632" t="s">
        <v>15473</v>
      </c>
      <c r="S1632" t="s">
        <v>15474</v>
      </c>
      <c r="T1632" t="s">
        <v>15475</v>
      </c>
      <c r="U1632" s="5">
        <v>4864.49</v>
      </c>
      <c r="V1632" s="5">
        <v>99.98</v>
      </c>
      <c r="W1632" s="5">
        <v>13.86895</v>
      </c>
      <c r="X1632" s="5">
        <v>109.042419</v>
      </c>
      <c r="Y1632" s="5">
        <v>4764.51</v>
      </c>
      <c r="Z1632" s="5">
        <v>13.874242000000001</v>
      </c>
      <c r="AA1632" s="5">
        <v>109.043166</v>
      </c>
      <c r="AB1632" s="7">
        <f t="shared" si="151"/>
        <v>0.14996999999999999</v>
      </c>
      <c r="AC1632" s="7">
        <f t="shared" si="152"/>
        <v>7.1467650000000003</v>
      </c>
      <c r="AD1632" s="6" t="str">
        <f t="shared" si="153"/>
        <v>An Nhơn Tây</v>
      </c>
      <c r="AE1632" s="6" t="str">
        <f t="shared" si="154"/>
        <v>An Nhơn Đông</v>
      </c>
      <c r="AG1632">
        <f t="shared" si="155"/>
        <v>9.9979999999999999E-2</v>
      </c>
      <c r="AH1632">
        <f t="shared" si="156"/>
        <v>4.7645100000000005</v>
      </c>
    </row>
    <row r="1633" spans="1:34" x14ac:dyDescent="0.25">
      <c r="A1633" t="s">
        <v>15476</v>
      </c>
      <c r="B1633" t="s">
        <v>15477</v>
      </c>
      <c r="C1633" t="s">
        <v>15478</v>
      </c>
      <c r="D1633" t="s">
        <v>15479</v>
      </c>
      <c r="E1633" t="s">
        <v>15480</v>
      </c>
      <c r="I1633" t="s">
        <v>17386</v>
      </c>
      <c r="J1633" t="s">
        <v>23</v>
      </c>
      <c r="L1633" t="s">
        <v>15481</v>
      </c>
      <c r="M1633" t="s">
        <v>15482</v>
      </c>
      <c r="N1633" t="s">
        <v>15483</v>
      </c>
      <c r="O1633" t="s">
        <v>15484</v>
      </c>
      <c r="P1633" t="s">
        <v>15485</v>
      </c>
      <c r="Q1633" t="s">
        <v>15486</v>
      </c>
      <c r="R1633" t="s">
        <v>15487</v>
      </c>
      <c r="S1633" t="s">
        <v>15488</v>
      </c>
      <c r="T1633" t="s">
        <v>15489</v>
      </c>
      <c r="U1633" s="5">
        <v>313.87</v>
      </c>
      <c r="V1633" s="5">
        <v>277.56</v>
      </c>
      <c r="W1633" s="5">
        <v>14.431191999999999</v>
      </c>
      <c r="X1633" s="5">
        <v>109.01721000000001</v>
      </c>
      <c r="Y1633" s="5">
        <v>36.32</v>
      </c>
      <c r="Z1633" s="5">
        <v>14.433858000000001</v>
      </c>
      <c r="AA1633" s="5">
        <v>109.020138</v>
      </c>
      <c r="AB1633" s="7">
        <f t="shared" si="151"/>
        <v>0.41634000000000004</v>
      </c>
      <c r="AC1633" s="7">
        <f t="shared" si="152"/>
        <v>5.4480000000000001E-2</v>
      </c>
      <c r="AD1633" s="6" t="str">
        <f t="shared" si="153"/>
        <v>TTCMKV Hoài Ân</v>
      </c>
      <c r="AE1633" s="6" t="str">
        <f t="shared" si="154"/>
        <v>Hoài Nhơn Nam</v>
      </c>
      <c r="AG1633">
        <f t="shared" si="155"/>
        <v>0.27756000000000003</v>
      </c>
      <c r="AH1633">
        <f t="shared" si="156"/>
        <v>3.6319999999999998E-2</v>
      </c>
    </row>
    <row r="1634" spans="1:34" x14ac:dyDescent="0.25">
      <c r="A1634" t="s">
        <v>15490</v>
      </c>
      <c r="B1634" t="s">
        <v>15491</v>
      </c>
      <c r="C1634" t="s">
        <v>15492</v>
      </c>
      <c r="D1634" t="s">
        <v>15493</v>
      </c>
      <c r="E1634" t="s">
        <v>15494</v>
      </c>
      <c r="I1634" t="s">
        <v>17387</v>
      </c>
      <c r="J1634" t="s">
        <v>23</v>
      </c>
      <c r="L1634" t="s">
        <v>15495</v>
      </c>
      <c r="M1634" t="s">
        <v>15496</v>
      </c>
      <c r="N1634" t="s">
        <v>15497</v>
      </c>
      <c r="O1634" t="s">
        <v>15498</v>
      </c>
      <c r="P1634" t="s">
        <v>15499</v>
      </c>
      <c r="Q1634" t="s">
        <v>15500</v>
      </c>
      <c r="R1634" t="s">
        <v>15501</v>
      </c>
      <c r="S1634" t="s">
        <v>15502</v>
      </c>
      <c r="T1634" t="s">
        <v>15503</v>
      </c>
      <c r="U1634" s="5">
        <v>239.29</v>
      </c>
      <c r="V1634" s="5">
        <v>4.66</v>
      </c>
      <c r="W1634" s="5">
        <v>14.451541000000001</v>
      </c>
      <c r="X1634" s="5">
        <v>109.042601</v>
      </c>
      <c r="Y1634" s="5">
        <v>234.63</v>
      </c>
      <c r="Z1634" s="5">
        <v>14.493835000000001</v>
      </c>
      <c r="AA1634" s="5">
        <v>109.034745</v>
      </c>
      <c r="AB1634" s="7">
        <f t="shared" si="151"/>
        <v>6.9900000000000006E-3</v>
      </c>
      <c r="AC1634" s="7">
        <f t="shared" si="152"/>
        <v>0.35194500000000001</v>
      </c>
      <c r="AD1634" s="6" t="str">
        <f t="shared" si="153"/>
        <v>Hoài Nhơn Nam</v>
      </c>
      <c r="AE1634" s="6" t="str">
        <f t="shared" si="154"/>
        <v>Hoài Nhơn</v>
      </c>
      <c r="AG1634">
        <f t="shared" si="155"/>
        <v>4.6600000000000001E-3</v>
      </c>
      <c r="AH1634">
        <f t="shared" si="156"/>
        <v>0.23463000000000001</v>
      </c>
    </row>
    <row r="1635" spans="1:34" x14ac:dyDescent="0.25">
      <c r="A1635" t="s">
        <v>15504</v>
      </c>
      <c r="B1635" t="s">
        <v>15505</v>
      </c>
      <c r="C1635" t="s">
        <v>15506</v>
      </c>
      <c r="D1635" t="s">
        <v>15507</v>
      </c>
      <c r="E1635" t="s">
        <v>15508</v>
      </c>
      <c r="I1635" t="s">
        <v>17388</v>
      </c>
      <c r="J1635" t="s">
        <v>23</v>
      </c>
      <c r="L1635" t="s">
        <v>15205</v>
      </c>
      <c r="M1635" t="s">
        <v>15509</v>
      </c>
      <c r="N1635" t="s">
        <v>15510</v>
      </c>
      <c r="O1635" t="s">
        <v>15511</v>
      </c>
      <c r="P1635" t="s">
        <v>15512</v>
      </c>
      <c r="Q1635" t="s">
        <v>15513</v>
      </c>
      <c r="R1635" t="s">
        <v>15514</v>
      </c>
      <c r="S1635" t="s">
        <v>15515</v>
      </c>
      <c r="T1635" t="s">
        <v>15213</v>
      </c>
      <c r="U1635" s="5">
        <v>16926.650000000001</v>
      </c>
      <c r="V1635" s="5">
        <v>631.32000000000005</v>
      </c>
      <c r="W1635" s="5">
        <v>14.481538</v>
      </c>
      <c r="X1635" s="5">
        <v>109.08503399999999</v>
      </c>
      <c r="Y1635" s="5">
        <v>16295.33</v>
      </c>
      <c r="Z1635" s="5">
        <v>14.428409</v>
      </c>
      <c r="AA1635" s="5">
        <v>109.041093</v>
      </c>
      <c r="AB1635" s="7">
        <f t="shared" si="151"/>
        <v>0.94698000000000004</v>
      </c>
      <c r="AC1635" s="7">
        <f t="shared" si="152"/>
        <v>24.442995</v>
      </c>
      <c r="AD1635" s="6" t="str">
        <f t="shared" si="153"/>
        <v>Hoài Nhơn Đông</v>
      </c>
      <c r="AE1635" s="6" t="str">
        <f t="shared" si="154"/>
        <v>TTCMKV Hoài Ân</v>
      </c>
      <c r="AG1635">
        <f t="shared" si="155"/>
        <v>0.6313200000000001</v>
      </c>
      <c r="AH1635">
        <f t="shared" si="156"/>
        <v>16.29533</v>
      </c>
    </row>
    <row r="1636" spans="1:34" x14ac:dyDescent="0.25">
      <c r="A1636" t="s">
        <v>15516</v>
      </c>
      <c r="B1636" t="s">
        <v>15517</v>
      </c>
      <c r="C1636" t="s">
        <v>15518</v>
      </c>
      <c r="D1636" t="s">
        <v>15519</v>
      </c>
      <c r="E1636" t="s">
        <v>15520</v>
      </c>
      <c r="I1636" t="s">
        <v>17389</v>
      </c>
      <c r="J1636" t="s">
        <v>23</v>
      </c>
      <c r="L1636" t="s">
        <v>15521</v>
      </c>
      <c r="M1636" t="s">
        <v>15522</v>
      </c>
      <c r="N1636" t="s">
        <v>15523</v>
      </c>
      <c r="O1636" t="s">
        <v>15524</v>
      </c>
      <c r="P1636" t="s">
        <v>15525</v>
      </c>
      <c r="Q1636" t="s">
        <v>15526</v>
      </c>
      <c r="R1636" t="s">
        <v>15527</v>
      </c>
      <c r="S1636" t="s">
        <v>15528</v>
      </c>
      <c r="T1636" t="s">
        <v>15529</v>
      </c>
      <c r="U1636" s="5">
        <v>4444.46</v>
      </c>
      <c r="V1636" s="5">
        <v>1985.02</v>
      </c>
      <c r="W1636" s="5">
        <v>14.537015999999999</v>
      </c>
      <c r="X1636" s="5">
        <v>109.07359599999999</v>
      </c>
      <c r="Y1636" s="5">
        <v>2459.4299999999998</v>
      </c>
      <c r="Z1636" s="5">
        <v>14.486993999999999</v>
      </c>
      <c r="AA1636" s="5">
        <v>109.08666100000001</v>
      </c>
      <c r="AB1636" s="7">
        <f t="shared" si="151"/>
        <v>2.9775299999999998</v>
      </c>
      <c r="AC1636" s="7">
        <f t="shared" si="152"/>
        <v>3.6891449999999995</v>
      </c>
      <c r="AD1636" s="6" t="str">
        <f t="shared" si="153"/>
        <v>Hoài Nhơn Bắc</v>
      </c>
      <c r="AE1636" s="6" t="str">
        <f t="shared" si="154"/>
        <v>Hoài Nhơn Đông</v>
      </c>
      <c r="AG1636">
        <f t="shared" si="155"/>
        <v>1.98502</v>
      </c>
      <c r="AH1636">
        <f t="shared" si="156"/>
        <v>2.4594299999999998</v>
      </c>
    </row>
    <row r="1637" spans="1:34" x14ac:dyDescent="0.25">
      <c r="A1637" t="s">
        <v>15530</v>
      </c>
      <c r="B1637" t="s">
        <v>15531</v>
      </c>
      <c r="C1637" t="s">
        <v>15532</v>
      </c>
      <c r="D1637" t="s">
        <v>15533</v>
      </c>
      <c r="E1637" t="s">
        <v>15534</v>
      </c>
      <c r="I1637" t="s">
        <v>17390</v>
      </c>
      <c r="J1637" t="s">
        <v>23</v>
      </c>
      <c r="L1637" t="s">
        <v>15535</v>
      </c>
      <c r="M1637" t="s">
        <v>15536</v>
      </c>
      <c r="N1637" t="s">
        <v>15537</v>
      </c>
      <c r="O1637" t="s">
        <v>15538</v>
      </c>
      <c r="P1637" t="s">
        <v>15539</v>
      </c>
      <c r="Q1637" t="s">
        <v>15540</v>
      </c>
      <c r="R1637" t="s">
        <v>15541</v>
      </c>
      <c r="S1637" t="s">
        <v>15542</v>
      </c>
      <c r="T1637" t="s">
        <v>15543</v>
      </c>
      <c r="U1637" s="5">
        <v>4449.3100000000004</v>
      </c>
      <c r="V1637" s="5">
        <v>4.62</v>
      </c>
      <c r="W1637" s="5">
        <v>14.544753</v>
      </c>
      <c r="X1637" s="5">
        <v>109.00471899999999</v>
      </c>
      <c r="Y1637" s="5">
        <v>4444.6899999999996</v>
      </c>
      <c r="Z1637" s="5">
        <v>14.552025</v>
      </c>
      <c r="AA1637" s="5">
        <v>109.02638</v>
      </c>
      <c r="AB1637" s="7">
        <f t="shared" si="151"/>
        <v>6.9299999999999995E-3</v>
      </c>
      <c r="AC1637" s="7">
        <f t="shared" si="152"/>
        <v>6.6670350000000003</v>
      </c>
      <c r="AD1637" s="6" t="str">
        <f t="shared" si="153"/>
        <v>Hoài Nhơn Tây</v>
      </c>
      <c r="AE1637" s="6" t="str">
        <f t="shared" si="154"/>
        <v>Tam Quan</v>
      </c>
      <c r="AG1637">
        <f t="shared" si="155"/>
        <v>4.62E-3</v>
      </c>
      <c r="AH1637">
        <f t="shared" si="156"/>
        <v>4.4446899999999996</v>
      </c>
    </row>
    <row r="1638" spans="1:34" x14ac:dyDescent="0.25">
      <c r="A1638" t="s">
        <v>15544</v>
      </c>
      <c r="B1638" t="s">
        <v>15545</v>
      </c>
      <c r="C1638" t="s">
        <v>15546</v>
      </c>
      <c r="D1638" t="s">
        <v>15203</v>
      </c>
      <c r="E1638" t="s">
        <v>15204</v>
      </c>
      <c r="I1638" t="s">
        <v>17391</v>
      </c>
      <c r="J1638" t="s">
        <v>23</v>
      </c>
      <c r="L1638" t="s">
        <v>15547</v>
      </c>
      <c r="M1638" t="s">
        <v>15548</v>
      </c>
      <c r="N1638" t="s">
        <v>15549</v>
      </c>
      <c r="O1638" t="s">
        <v>15550</v>
      </c>
      <c r="P1638" t="s">
        <v>15551</v>
      </c>
      <c r="Q1638" t="s">
        <v>15552</v>
      </c>
      <c r="R1638" t="s">
        <v>15553</v>
      </c>
      <c r="S1638" t="s">
        <v>15554</v>
      </c>
      <c r="T1638" t="s">
        <v>15555</v>
      </c>
      <c r="U1638" s="5">
        <v>261.3</v>
      </c>
      <c r="V1638" s="5">
        <v>1.32</v>
      </c>
      <c r="W1638" s="5">
        <v>14.546173</v>
      </c>
      <c r="X1638" s="5">
        <v>109.04285400000001</v>
      </c>
      <c r="Y1638" s="5">
        <v>259.98</v>
      </c>
      <c r="Z1638" s="5">
        <v>14.554743999999999</v>
      </c>
      <c r="AA1638" s="5">
        <v>109.046795</v>
      </c>
      <c r="AB1638" s="7">
        <f t="shared" si="151"/>
        <v>1.98E-3</v>
      </c>
      <c r="AC1638" s="7">
        <f t="shared" si="152"/>
        <v>0.38997000000000004</v>
      </c>
      <c r="AD1638" s="6" t="str">
        <f t="shared" si="153"/>
        <v>Tam Quan</v>
      </c>
      <c r="AE1638" s="6" t="str">
        <f t="shared" si="154"/>
        <v>Hoài Nhơn Bắc_Trung thế.kmz</v>
      </c>
      <c r="AG1638">
        <f t="shared" si="155"/>
        <v>1.32E-3</v>
      </c>
      <c r="AH1638">
        <f t="shared" si="156"/>
        <v>0.25998000000000004</v>
      </c>
    </row>
    <row r="1639" spans="1:34" x14ac:dyDescent="0.25">
      <c r="A1639" t="s">
        <v>15556</v>
      </c>
      <c r="B1639" t="s">
        <v>15557</v>
      </c>
      <c r="C1639" t="s">
        <v>15558</v>
      </c>
      <c r="D1639" t="s">
        <v>15559</v>
      </c>
      <c r="E1639" t="s">
        <v>15560</v>
      </c>
      <c r="I1639" t="s">
        <v>17392</v>
      </c>
      <c r="J1639" t="s">
        <v>23</v>
      </c>
      <c r="L1639" t="s">
        <v>15521</v>
      </c>
      <c r="M1639" t="s">
        <v>15561</v>
      </c>
      <c r="N1639" t="s">
        <v>15562</v>
      </c>
      <c r="O1639" t="s">
        <v>15563</v>
      </c>
      <c r="P1639" t="s">
        <v>15564</v>
      </c>
      <c r="Q1639" t="s">
        <v>15565</v>
      </c>
      <c r="R1639" t="s">
        <v>15566</v>
      </c>
      <c r="S1639" t="s">
        <v>15567</v>
      </c>
      <c r="T1639" t="s">
        <v>15529</v>
      </c>
      <c r="U1639" s="5">
        <v>74.66</v>
      </c>
      <c r="V1639" s="5">
        <v>1.44</v>
      </c>
      <c r="W1639" s="5">
        <v>14.558479</v>
      </c>
      <c r="X1639" s="5">
        <v>109.05392999999999</v>
      </c>
      <c r="Y1639" s="5">
        <v>73.23</v>
      </c>
      <c r="Z1639" s="5">
        <v>14.521064000000001</v>
      </c>
      <c r="AA1639" s="5">
        <v>109.07648</v>
      </c>
      <c r="AB1639" s="7">
        <f t="shared" si="151"/>
        <v>2.16E-3</v>
      </c>
      <c r="AC1639" s="7">
        <f t="shared" si="152"/>
        <v>0.109845</v>
      </c>
      <c r="AD1639" s="6" t="str">
        <f t="shared" si="153"/>
        <v>Hoài Nhơn Bắc</v>
      </c>
      <c r="AE1639" s="6" t="str">
        <f t="shared" si="154"/>
        <v>Hoài Nhơn Đông</v>
      </c>
      <c r="AG1639">
        <f t="shared" si="155"/>
        <v>1.4399999999999999E-3</v>
      </c>
      <c r="AH1639">
        <f t="shared" si="156"/>
        <v>7.3230000000000003E-2</v>
      </c>
    </row>
    <row r="1640" spans="1:34" x14ac:dyDescent="0.25">
      <c r="A1640" t="s">
        <v>15568</v>
      </c>
      <c r="B1640" t="s">
        <v>15569</v>
      </c>
      <c r="C1640" t="s">
        <v>15570</v>
      </c>
      <c r="D1640" t="s">
        <v>15571</v>
      </c>
      <c r="E1640" t="s">
        <v>15572</v>
      </c>
      <c r="I1640" t="s">
        <v>17393</v>
      </c>
      <c r="J1640" t="s">
        <v>23</v>
      </c>
      <c r="L1640" t="s">
        <v>15573</v>
      </c>
      <c r="M1640" t="s">
        <v>15574</v>
      </c>
      <c r="N1640" t="s">
        <v>15575</v>
      </c>
      <c r="O1640" t="s">
        <v>15576</v>
      </c>
      <c r="P1640" t="s">
        <v>15577</v>
      </c>
      <c r="Q1640" t="s">
        <v>15578</v>
      </c>
      <c r="R1640" t="s">
        <v>15579</v>
      </c>
      <c r="S1640" t="s">
        <v>15580</v>
      </c>
      <c r="T1640" t="s">
        <v>15581</v>
      </c>
      <c r="U1640" s="5">
        <v>345.13</v>
      </c>
      <c r="V1640" s="5">
        <v>36.36</v>
      </c>
      <c r="W1640" s="5">
        <v>13.982818</v>
      </c>
      <c r="X1640" s="5">
        <v>109.061607</v>
      </c>
      <c r="Y1640" s="5">
        <v>308.77</v>
      </c>
      <c r="Z1640" s="5">
        <v>13.978631</v>
      </c>
      <c r="AA1640" s="5">
        <v>109.09369</v>
      </c>
      <c r="AB1640" s="7">
        <f t="shared" si="151"/>
        <v>5.4539999999999998E-2</v>
      </c>
      <c r="AC1640" s="7">
        <f t="shared" si="152"/>
        <v>0.46315499999999998</v>
      </c>
      <c r="AD1640" s="6" t="str">
        <f t="shared" si="153"/>
        <v>Phù Cát</v>
      </c>
      <c r="AE1640" s="6" t="str">
        <f t="shared" si="154"/>
        <v>Xuân An</v>
      </c>
      <c r="AG1640">
        <f t="shared" si="155"/>
        <v>3.6359999999999996E-2</v>
      </c>
      <c r="AH1640">
        <f t="shared" si="156"/>
        <v>0.30876999999999999</v>
      </c>
    </row>
    <row r="1641" spans="1:34" x14ac:dyDescent="0.25">
      <c r="A1641" t="s">
        <v>15582</v>
      </c>
      <c r="B1641" t="s">
        <v>15583</v>
      </c>
      <c r="C1641" t="s">
        <v>15584</v>
      </c>
      <c r="D1641" t="s">
        <v>15585</v>
      </c>
      <c r="E1641" t="s">
        <v>15586</v>
      </c>
      <c r="I1641" t="s">
        <v>17394</v>
      </c>
      <c r="J1641" t="s">
        <v>23</v>
      </c>
      <c r="L1641" t="s">
        <v>15587</v>
      </c>
      <c r="M1641" t="s">
        <v>15588</v>
      </c>
      <c r="N1641" t="s">
        <v>15589</v>
      </c>
      <c r="O1641" t="s">
        <v>15590</v>
      </c>
      <c r="P1641" t="s">
        <v>15591</v>
      </c>
      <c r="Q1641" t="s">
        <v>15592</v>
      </c>
      <c r="R1641" t="s">
        <v>15593</v>
      </c>
      <c r="S1641" t="s">
        <v>15594</v>
      </c>
      <c r="T1641" t="s">
        <v>15595</v>
      </c>
      <c r="U1641" s="5">
        <v>681.94</v>
      </c>
      <c r="V1641" s="5">
        <v>144.44</v>
      </c>
      <c r="W1641" s="5">
        <v>13.972187999999999</v>
      </c>
      <c r="X1641" s="5">
        <v>109.106329</v>
      </c>
      <c r="Y1641" s="5">
        <v>537.5</v>
      </c>
      <c r="Z1641" s="5">
        <v>13.961294000000001</v>
      </c>
      <c r="AA1641" s="5">
        <v>109.17770899999999</v>
      </c>
      <c r="AB1641" s="7">
        <f t="shared" si="151"/>
        <v>0.21665999999999999</v>
      </c>
      <c r="AC1641" s="7">
        <f t="shared" si="152"/>
        <v>0.80625000000000002</v>
      </c>
      <c r="AD1641" s="6" t="str">
        <f t="shared" si="153"/>
        <v>Xuân An</v>
      </c>
      <c r="AE1641" s="6" t="str">
        <f t="shared" si="154"/>
        <v>Ngô Mây</v>
      </c>
      <c r="AG1641">
        <f t="shared" si="155"/>
        <v>0.14443999999999999</v>
      </c>
      <c r="AH1641">
        <f t="shared" si="156"/>
        <v>0.53749999999999998</v>
      </c>
    </row>
    <row r="1642" spans="1:34" x14ac:dyDescent="0.25">
      <c r="A1642" t="s">
        <v>15596</v>
      </c>
      <c r="B1642" t="s">
        <v>15597</v>
      </c>
      <c r="C1642" t="s">
        <v>15598</v>
      </c>
      <c r="D1642" t="s">
        <v>15599</v>
      </c>
      <c r="E1642" t="s">
        <v>15600</v>
      </c>
      <c r="I1642" t="s">
        <v>17395</v>
      </c>
      <c r="J1642" t="s">
        <v>23</v>
      </c>
      <c r="L1642" t="s">
        <v>15601</v>
      </c>
      <c r="M1642" t="s">
        <v>15602</v>
      </c>
      <c r="N1642" t="s">
        <v>15603</v>
      </c>
      <c r="O1642" t="s">
        <v>15604</v>
      </c>
      <c r="P1642" t="s">
        <v>15605</v>
      </c>
      <c r="Q1642" t="s">
        <v>15606</v>
      </c>
      <c r="R1642" t="s">
        <v>15607</v>
      </c>
      <c r="S1642" t="s">
        <v>15608</v>
      </c>
      <c r="T1642" t="s">
        <v>15609</v>
      </c>
      <c r="U1642" s="5">
        <v>6553.4</v>
      </c>
      <c r="V1642" s="5">
        <v>6064.69</v>
      </c>
      <c r="W1642" s="5">
        <v>13.949178</v>
      </c>
      <c r="X1642" s="5">
        <v>109.23622</v>
      </c>
      <c r="Y1642" s="5">
        <v>488.7</v>
      </c>
      <c r="Z1642" s="5">
        <v>14.008333</v>
      </c>
      <c r="AA1642" s="5">
        <v>109.242718</v>
      </c>
      <c r="AB1642" s="7">
        <f t="shared" si="151"/>
        <v>9.097035</v>
      </c>
      <c r="AC1642" s="7">
        <f t="shared" si="152"/>
        <v>0.73304999999999998</v>
      </c>
      <c r="AD1642" s="6" t="str">
        <f t="shared" si="153"/>
        <v>Cát Tiến</v>
      </c>
      <c r="AE1642" s="6" t="str">
        <f t="shared" si="154"/>
        <v>Đề Gi</v>
      </c>
      <c r="AG1642">
        <f t="shared" si="155"/>
        <v>6.0646899999999997</v>
      </c>
      <c r="AH1642">
        <f t="shared" si="156"/>
        <v>0.48869999999999997</v>
      </c>
    </row>
    <row r="1643" spans="1:34" x14ac:dyDescent="0.25">
      <c r="A1643" t="s">
        <v>15610</v>
      </c>
      <c r="B1643" t="s">
        <v>15611</v>
      </c>
      <c r="C1643" t="s">
        <v>15612</v>
      </c>
      <c r="D1643" t="s">
        <v>15613</v>
      </c>
      <c r="E1643" t="s">
        <v>15614</v>
      </c>
      <c r="I1643" t="s">
        <v>17396</v>
      </c>
      <c r="J1643" t="s">
        <v>23</v>
      </c>
      <c r="L1643" t="s">
        <v>15615</v>
      </c>
      <c r="M1643" t="s">
        <v>15616</v>
      </c>
      <c r="N1643" t="s">
        <v>15617</v>
      </c>
      <c r="O1643" t="s">
        <v>15618</v>
      </c>
      <c r="P1643" t="s">
        <v>15619</v>
      </c>
      <c r="Q1643" t="s">
        <v>15620</v>
      </c>
      <c r="R1643" t="s">
        <v>15621</v>
      </c>
      <c r="S1643" t="s">
        <v>15622</v>
      </c>
      <c r="T1643" t="s">
        <v>15623</v>
      </c>
      <c r="U1643" s="5">
        <v>8136.36</v>
      </c>
      <c r="V1643" s="5">
        <v>101.51</v>
      </c>
      <c r="W1643" s="5">
        <v>13.949802</v>
      </c>
      <c r="X1643" s="5">
        <v>109.236842</v>
      </c>
      <c r="Y1643" s="5">
        <v>8034.86</v>
      </c>
      <c r="Z1643" s="5">
        <v>13.878728000000001</v>
      </c>
      <c r="AA1643" s="5">
        <v>109.26076999999999</v>
      </c>
      <c r="AB1643" s="7">
        <f t="shared" si="151"/>
        <v>0.15226500000000001</v>
      </c>
      <c r="AC1643" s="7">
        <f t="shared" si="152"/>
        <v>12.052289999999999</v>
      </c>
      <c r="AD1643" s="6" t="str">
        <f t="shared" si="153"/>
        <v>TT1 Gia Lai</v>
      </c>
      <c r="AE1643" s="6" t="str">
        <f t="shared" si="154"/>
        <v>Cát Tiến</v>
      </c>
      <c r="AG1643">
        <f t="shared" si="155"/>
        <v>0.10151</v>
      </c>
      <c r="AH1643">
        <f t="shared" si="156"/>
        <v>8.0348600000000001</v>
      </c>
    </row>
    <row r="1644" spans="1:34" x14ac:dyDescent="0.25">
      <c r="A1644" t="s">
        <v>15624</v>
      </c>
      <c r="B1644" t="s">
        <v>15625</v>
      </c>
      <c r="C1644" t="s">
        <v>15626</v>
      </c>
      <c r="D1644" t="s">
        <v>15627</v>
      </c>
      <c r="E1644" t="s">
        <v>15628</v>
      </c>
      <c r="I1644" t="s">
        <v>17397</v>
      </c>
      <c r="J1644" t="s">
        <v>23</v>
      </c>
      <c r="L1644" t="s">
        <v>15629</v>
      </c>
      <c r="M1644" t="s">
        <v>15630</v>
      </c>
      <c r="N1644" t="s">
        <v>15631</v>
      </c>
      <c r="O1644" t="s">
        <v>15632</v>
      </c>
      <c r="P1644" t="s">
        <v>15633</v>
      </c>
      <c r="Q1644" t="s">
        <v>15634</v>
      </c>
      <c r="R1644" t="s">
        <v>15635</v>
      </c>
      <c r="S1644" t="s">
        <v>15636</v>
      </c>
      <c r="T1644" t="s">
        <v>15637</v>
      </c>
      <c r="U1644" s="5">
        <v>307.48</v>
      </c>
      <c r="V1644" s="5">
        <v>36.79</v>
      </c>
      <c r="W1644" s="5">
        <v>14.068851</v>
      </c>
      <c r="X1644" s="5">
        <v>109.04517800000001</v>
      </c>
      <c r="Y1644" s="5">
        <v>270.69</v>
      </c>
      <c r="Z1644" s="5">
        <v>13.987774999999999</v>
      </c>
      <c r="AA1644" s="5">
        <v>109.056546</v>
      </c>
      <c r="AB1644" s="7">
        <f t="shared" si="151"/>
        <v>5.5185000000000005E-2</v>
      </c>
      <c r="AC1644" s="7">
        <f t="shared" si="152"/>
        <v>0.40603499999999998</v>
      </c>
      <c r="AD1644" s="6" t="str">
        <f t="shared" si="153"/>
        <v>Hoài Ân</v>
      </c>
      <c r="AE1644" s="6" t="str">
        <f t="shared" si="154"/>
        <v>Vĩnh Kim</v>
      </c>
      <c r="AG1644">
        <f t="shared" si="155"/>
        <v>3.6789999999999996E-2</v>
      </c>
      <c r="AH1644">
        <f t="shared" si="156"/>
        <v>0.27068999999999999</v>
      </c>
    </row>
    <row r="1645" spans="1:34" x14ac:dyDescent="0.25">
      <c r="A1645" t="s">
        <v>15638</v>
      </c>
      <c r="B1645" t="s">
        <v>15639</v>
      </c>
      <c r="C1645" t="s">
        <v>15640</v>
      </c>
      <c r="D1645" t="s">
        <v>15641</v>
      </c>
      <c r="E1645" t="s">
        <v>15642</v>
      </c>
      <c r="I1645" t="s">
        <v>17398</v>
      </c>
      <c r="J1645" t="s">
        <v>23</v>
      </c>
      <c r="L1645" t="s">
        <v>15643</v>
      </c>
      <c r="M1645" t="s">
        <v>15644</v>
      </c>
      <c r="N1645" t="s">
        <v>15645</v>
      </c>
      <c r="O1645" t="s">
        <v>15646</v>
      </c>
      <c r="P1645" t="s">
        <v>15647</v>
      </c>
      <c r="Q1645" t="s">
        <v>15648</v>
      </c>
      <c r="R1645" t="s">
        <v>15649</v>
      </c>
      <c r="S1645" t="s">
        <v>15650</v>
      </c>
      <c r="T1645" t="s">
        <v>15651</v>
      </c>
      <c r="U1645" s="5">
        <v>423.7</v>
      </c>
      <c r="V1645" s="5">
        <v>150.72999999999999</v>
      </c>
      <c r="W1645" s="5">
        <v>14.075604999999999</v>
      </c>
      <c r="X1645" s="5">
        <v>108.987718</v>
      </c>
      <c r="Y1645" s="5">
        <v>272.97000000000003</v>
      </c>
      <c r="Z1645" s="5">
        <v>14.048271</v>
      </c>
      <c r="AA1645" s="5">
        <v>109.051085</v>
      </c>
      <c r="AB1645" s="7">
        <f t="shared" si="151"/>
        <v>0.22609499999999996</v>
      </c>
      <c r="AC1645" s="7">
        <f t="shared" si="152"/>
        <v>0.40945500000000001</v>
      </c>
      <c r="AD1645" s="6" t="str">
        <f t="shared" si="153"/>
        <v>Hội Sơn</v>
      </c>
      <c r="AE1645" s="6" t="str">
        <f t="shared" si="154"/>
        <v>Hòa Hội</v>
      </c>
      <c r="AG1645">
        <f t="shared" si="155"/>
        <v>0.15073</v>
      </c>
      <c r="AH1645">
        <f t="shared" si="156"/>
        <v>0.27297000000000005</v>
      </c>
    </row>
    <row r="1646" spans="1:34" x14ac:dyDescent="0.25">
      <c r="A1646" t="s">
        <v>15652</v>
      </c>
      <c r="B1646" t="s">
        <v>15653</v>
      </c>
      <c r="C1646" t="s">
        <v>15654</v>
      </c>
      <c r="D1646" t="s">
        <v>15189</v>
      </c>
      <c r="E1646" t="s">
        <v>15190</v>
      </c>
      <c r="I1646" t="s">
        <v>17364</v>
      </c>
      <c r="J1646" t="s">
        <v>23</v>
      </c>
      <c r="L1646" t="s">
        <v>15191</v>
      </c>
      <c r="M1646" t="s">
        <v>15655</v>
      </c>
      <c r="N1646" t="s">
        <v>15656</v>
      </c>
      <c r="O1646" t="s">
        <v>15194</v>
      </c>
      <c r="P1646" t="s">
        <v>15195</v>
      </c>
      <c r="Q1646" t="s">
        <v>15196</v>
      </c>
      <c r="R1646" t="s">
        <v>15197</v>
      </c>
      <c r="S1646" t="s">
        <v>15198</v>
      </c>
      <c r="T1646" t="s">
        <v>15199</v>
      </c>
      <c r="U1646" s="5">
        <v>9386.01</v>
      </c>
      <c r="V1646" s="5">
        <v>25.09</v>
      </c>
      <c r="W1646" s="5">
        <v>14.168984999999999</v>
      </c>
      <c r="X1646" s="5">
        <v>109.048852</v>
      </c>
      <c r="Y1646" s="5">
        <v>9360.93</v>
      </c>
      <c r="Z1646" s="5">
        <v>14.358561</v>
      </c>
      <c r="AA1646" s="5">
        <v>108.961426</v>
      </c>
      <c r="AB1646" s="7">
        <f t="shared" si="151"/>
        <v>3.7634999999999995E-2</v>
      </c>
      <c r="AC1646" s="7">
        <f t="shared" si="152"/>
        <v>14.041395</v>
      </c>
      <c r="AD1646" s="6" t="str">
        <f t="shared" si="153"/>
        <v>Phù Mỹ</v>
      </c>
      <c r="AE1646" s="6" t="str">
        <f t="shared" si="154"/>
        <v>Hoài Ân</v>
      </c>
      <c r="AG1646">
        <f t="shared" si="155"/>
        <v>2.5090000000000001E-2</v>
      </c>
      <c r="AH1646">
        <f t="shared" si="156"/>
        <v>9.3609299999999998</v>
      </c>
    </row>
    <row r="1647" spans="1:34" x14ac:dyDescent="0.25">
      <c r="A1647" t="s">
        <v>15657</v>
      </c>
      <c r="B1647" t="s">
        <v>15658</v>
      </c>
      <c r="C1647" t="s">
        <v>15659</v>
      </c>
      <c r="D1647" t="s">
        <v>15660</v>
      </c>
      <c r="E1647" t="s">
        <v>15661</v>
      </c>
      <c r="I1647" t="s">
        <v>17399</v>
      </c>
      <c r="J1647" t="s">
        <v>23</v>
      </c>
      <c r="L1647" t="s">
        <v>15662</v>
      </c>
      <c r="M1647" t="s">
        <v>15663</v>
      </c>
      <c r="N1647" t="s">
        <v>15664</v>
      </c>
      <c r="O1647" t="s">
        <v>15665</v>
      </c>
      <c r="P1647" t="s">
        <v>15666</v>
      </c>
      <c r="Q1647" t="s">
        <v>15667</v>
      </c>
      <c r="R1647" t="s">
        <v>15668</v>
      </c>
      <c r="S1647" t="s">
        <v>15669</v>
      </c>
      <c r="T1647" t="s">
        <v>15670</v>
      </c>
      <c r="U1647" s="5">
        <v>355.5</v>
      </c>
      <c r="V1647" s="5">
        <v>224.18</v>
      </c>
      <c r="W1647" s="5">
        <v>14.216286999999999</v>
      </c>
      <c r="X1647" s="5">
        <v>109.044033</v>
      </c>
      <c r="Y1647" s="5">
        <v>131.32</v>
      </c>
      <c r="Z1647" s="5">
        <v>14.242266000000001</v>
      </c>
      <c r="AA1647" s="5">
        <v>109.073301</v>
      </c>
      <c r="AB1647" s="7">
        <f t="shared" si="151"/>
        <v>0.33626999999999996</v>
      </c>
      <c r="AC1647" s="7">
        <f t="shared" si="152"/>
        <v>0.19697999999999999</v>
      </c>
      <c r="AD1647" s="6" t="str">
        <f t="shared" si="153"/>
        <v>Phù Mỹ Tây</v>
      </c>
      <c r="AE1647" s="6" t="str">
        <f t="shared" si="154"/>
        <v>Phù Mỹ Đông</v>
      </c>
      <c r="AG1647">
        <f t="shared" si="155"/>
        <v>0.22418000000000002</v>
      </c>
      <c r="AH1647">
        <f t="shared" si="156"/>
        <v>0.13131999999999999</v>
      </c>
    </row>
    <row r="1648" spans="1:34" x14ac:dyDescent="0.25">
      <c r="A1648" t="s">
        <v>15671</v>
      </c>
      <c r="B1648" t="s">
        <v>15672</v>
      </c>
      <c r="C1648" t="s">
        <v>15673</v>
      </c>
      <c r="D1648" t="s">
        <v>15674</v>
      </c>
      <c r="E1648" t="s">
        <v>15675</v>
      </c>
      <c r="I1648" t="s">
        <v>17400</v>
      </c>
      <c r="J1648" t="s">
        <v>23</v>
      </c>
      <c r="L1648" t="s">
        <v>15676</v>
      </c>
      <c r="M1648" t="s">
        <v>15677</v>
      </c>
      <c r="N1648" t="s">
        <v>15678</v>
      </c>
      <c r="O1648" t="s">
        <v>15679</v>
      </c>
      <c r="P1648" t="s">
        <v>15680</v>
      </c>
      <c r="Q1648" t="s">
        <v>15681</v>
      </c>
      <c r="R1648" t="s">
        <v>15682</v>
      </c>
      <c r="S1648" t="s">
        <v>15683</v>
      </c>
      <c r="T1648" t="s">
        <v>15684</v>
      </c>
      <c r="U1648" s="5">
        <v>500.9</v>
      </c>
      <c r="V1648" s="5">
        <v>65.540000000000006</v>
      </c>
      <c r="W1648" s="5">
        <v>14.120286999999999</v>
      </c>
      <c r="X1648" s="5">
        <v>109.0446</v>
      </c>
      <c r="Y1648" s="5">
        <v>435.36</v>
      </c>
      <c r="Z1648" s="5">
        <v>14.137073000000001</v>
      </c>
      <c r="AA1648" s="5">
        <v>109.04572899999999</v>
      </c>
      <c r="AB1648" s="7">
        <f t="shared" si="151"/>
        <v>9.8310000000000008E-2</v>
      </c>
      <c r="AC1648" s="7">
        <f t="shared" si="152"/>
        <v>0.65303999999999995</v>
      </c>
      <c r="AD1648" s="6" t="str">
        <f t="shared" si="153"/>
        <v>Phù Mỹ Nam</v>
      </c>
      <c r="AE1648" s="6" t="str">
        <f t="shared" si="154"/>
        <v>TTCMKV Phù Mỹ</v>
      </c>
      <c r="AG1648">
        <f t="shared" si="155"/>
        <v>6.5540000000000001E-2</v>
      </c>
      <c r="AH1648">
        <f t="shared" si="156"/>
        <v>0.43536000000000002</v>
      </c>
    </row>
    <row r="1649" spans="1:34" x14ac:dyDescent="0.25">
      <c r="A1649" t="s">
        <v>15685</v>
      </c>
      <c r="B1649" t="s">
        <v>15686</v>
      </c>
      <c r="C1649" t="s">
        <v>15687</v>
      </c>
      <c r="D1649" t="s">
        <v>15688</v>
      </c>
      <c r="E1649" t="s">
        <v>15689</v>
      </c>
      <c r="I1649" t="s">
        <v>17401</v>
      </c>
      <c r="J1649" t="s">
        <v>23</v>
      </c>
      <c r="L1649" t="s">
        <v>15690</v>
      </c>
      <c r="M1649" t="s">
        <v>15691</v>
      </c>
      <c r="N1649" t="s">
        <v>15692</v>
      </c>
      <c r="O1649" t="s">
        <v>15693</v>
      </c>
      <c r="P1649" t="s">
        <v>15694</v>
      </c>
      <c r="Q1649" t="s">
        <v>15695</v>
      </c>
      <c r="R1649" t="s">
        <v>15696</v>
      </c>
      <c r="S1649" t="s">
        <v>15697</v>
      </c>
      <c r="T1649" t="s">
        <v>15698</v>
      </c>
      <c r="U1649" s="5">
        <v>358.79</v>
      </c>
      <c r="V1649" s="5">
        <v>40.74</v>
      </c>
      <c r="W1649" s="5">
        <v>14.158225</v>
      </c>
      <c r="X1649" s="5">
        <v>109.118562</v>
      </c>
      <c r="Y1649" s="5">
        <v>318.04000000000002</v>
      </c>
      <c r="Z1649" s="5">
        <v>14.132201</v>
      </c>
      <c r="AA1649" s="5">
        <v>109.16729100000001</v>
      </c>
      <c r="AB1649" s="7">
        <f t="shared" si="151"/>
        <v>6.1109999999999998E-2</v>
      </c>
      <c r="AC1649" s="7">
        <f t="shared" si="152"/>
        <v>0.47706000000000004</v>
      </c>
      <c r="AD1649" s="6" t="str">
        <f t="shared" si="153"/>
        <v>Đề Gi</v>
      </c>
      <c r="AE1649" s="6" t="str">
        <f t="shared" si="154"/>
        <v>An Lương</v>
      </c>
      <c r="AG1649">
        <f t="shared" si="155"/>
        <v>4.0740000000000005E-2</v>
      </c>
      <c r="AH1649">
        <f t="shared" si="156"/>
        <v>0.31804000000000004</v>
      </c>
    </row>
    <row r="1650" spans="1:34" x14ac:dyDescent="0.25">
      <c r="A1650" t="s">
        <v>15699</v>
      </c>
      <c r="B1650" t="s">
        <v>15700</v>
      </c>
      <c r="C1650" t="s">
        <v>15701</v>
      </c>
      <c r="D1650" t="s">
        <v>15702</v>
      </c>
      <c r="E1650" t="s">
        <v>15689</v>
      </c>
      <c r="I1650" t="s">
        <v>17402</v>
      </c>
      <c r="J1650" t="s">
        <v>23</v>
      </c>
      <c r="L1650" t="s">
        <v>15662</v>
      </c>
      <c r="M1650" t="s">
        <v>15703</v>
      </c>
      <c r="N1650" t="s">
        <v>15704</v>
      </c>
      <c r="O1650" t="s">
        <v>15705</v>
      </c>
      <c r="P1650" t="s">
        <v>15706</v>
      </c>
      <c r="Q1650" t="s">
        <v>15707</v>
      </c>
      <c r="R1650" t="s">
        <v>15708</v>
      </c>
      <c r="S1650" t="s">
        <v>15709</v>
      </c>
      <c r="T1650" t="s">
        <v>15710</v>
      </c>
      <c r="U1650" s="5">
        <v>5882.33</v>
      </c>
      <c r="V1650" s="5">
        <v>64.14</v>
      </c>
      <c r="W1650" s="5">
        <v>14.275062999999999</v>
      </c>
      <c r="X1650" s="5">
        <v>109.17553700000001</v>
      </c>
      <c r="Y1650" s="5">
        <v>5818.19</v>
      </c>
      <c r="Z1650" s="5">
        <v>14.268643000000001</v>
      </c>
      <c r="AA1650" s="5">
        <v>109.159313</v>
      </c>
      <c r="AB1650" s="7">
        <f t="shared" si="151"/>
        <v>9.6210000000000004E-2</v>
      </c>
      <c r="AC1650" s="7">
        <f t="shared" si="152"/>
        <v>8.7272850000000002</v>
      </c>
      <c r="AD1650" s="6" t="str">
        <f t="shared" si="153"/>
        <v>Phù Mỹ Tây</v>
      </c>
      <c r="AE1650" s="6" t="str">
        <f t="shared" si="154"/>
        <v>Phù Mỹ Đông</v>
      </c>
      <c r="AG1650">
        <f t="shared" si="155"/>
        <v>6.4140000000000003E-2</v>
      </c>
      <c r="AH1650">
        <f t="shared" si="156"/>
        <v>5.8181899999999995</v>
      </c>
    </row>
    <row r="1651" spans="1:34" x14ac:dyDescent="0.25">
      <c r="A1651" t="s">
        <v>15711</v>
      </c>
      <c r="B1651" t="s">
        <v>15712</v>
      </c>
      <c r="C1651" t="s">
        <v>15713</v>
      </c>
      <c r="D1651" t="s">
        <v>15714</v>
      </c>
      <c r="E1651" t="s">
        <v>15715</v>
      </c>
      <c r="I1651" t="s">
        <v>17403</v>
      </c>
      <c r="J1651" t="s">
        <v>23</v>
      </c>
      <c r="L1651" t="s">
        <v>15716</v>
      </c>
      <c r="M1651" t="s">
        <v>15717</v>
      </c>
      <c r="N1651" t="s">
        <v>15718</v>
      </c>
      <c r="O1651" t="s">
        <v>15719</v>
      </c>
      <c r="P1651" t="s">
        <v>15720</v>
      </c>
      <c r="Q1651" t="s">
        <v>15721</v>
      </c>
      <c r="R1651" t="s">
        <v>15722</v>
      </c>
      <c r="S1651" t="s">
        <v>15723</v>
      </c>
      <c r="T1651" t="s">
        <v>15724</v>
      </c>
      <c r="U1651" s="5">
        <v>804.51</v>
      </c>
      <c r="V1651" s="5">
        <v>5.92</v>
      </c>
      <c r="W1651" s="5">
        <v>14.294584</v>
      </c>
      <c r="X1651" s="5">
        <v>109.078653</v>
      </c>
      <c r="Y1651" s="5">
        <v>798.6</v>
      </c>
      <c r="Z1651" s="5">
        <v>14.294165</v>
      </c>
      <c r="AA1651" s="5">
        <v>109.078492</v>
      </c>
      <c r="AB1651" s="7">
        <f t="shared" si="151"/>
        <v>8.879999999999999E-3</v>
      </c>
      <c r="AC1651" s="7">
        <f t="shared" si="152"/>
        <v>1.1979000000000002</v>
      </c>
      <c r="AD1651" s="6" t="str">
        <f t="shared" si="153"/>
        <v>Phù Mỹ Đông</v>
      </c>
      <c r="AE1651" s="6" t="str">
        <f t="shared" si="154"/>
        <v>Bình Dương</v>
      </c>
      <c r="AG1651">
        <f t="shared" si="155"/>
        <v>5.9199999999999999E-3</v>
      </c>
      <c r="AH1651">
        <f t="shared" si="156"/>
        <v>0.79859999999999998</v>
      </c>
    </row>
    <row r="1652" spans="1:34" x14ac:dyDescent="0.25">
      <c r="A1652" t="s">
        <v>15725</v>
      </c>
      <c r="B1652" t="s">
        <v>15726</v>
      </c>
      <c r="C1652" t="s">
        <v>15727</v>
      </c>
      <c r="D1652" t="s">
        <v>15189</v>
      </c>
      <c r="E1652" t="s">
        <v>15190</v>
      </c>
      <c r="I1652" t="s">
        <v>17404</v>
      </c>
      <c r="J1652" t="s">
        <v>23</v>
      </c>
      <c r="L1652" t="s">
        <v>15728</v>
      </c>
      <c r="M1652" t="s">
        <v>15729</v>
      </c>
      <c r="N1652" t="s">
        <v>15730</v>
      </c>
      <c r="O1652" t="s">
        <v>15731</v>
      </c>
      <c r="P1652" t="s">
        <v>15732</v>
      </c>
      <c r="Q1652" t="s">
        <v>15733</v>
      </c>
      <c r="R1652" t="s">
        <v>15734</v>
      </c>
      <c r="S1652" t="s">
        <v>15735</v>
      </c>
      <c r="T1652" t="s">
        <v>15736</v>
      </c>
      <c r="U1652" s="5">
        <v>2200.5300000000002</v>
      </c>
      <c r="V1652" s="5">
        <v>20.12</v>
      </c>
      <c r="W1652" s="5">
        <v>14.306751</v>
      </c>
      <c r="X1652" s="5">
        <v>109.072732</v>
      </c>
      <c r="Y1652" s="5">
        <v>2180.41</v>
      </c>
      <c r="Z1652" s="5">
        <v>14.408849</v>
      </c>
      <c r="AA1652" s="5">
        <v>109.007193</v>
      </c>
      <c r="AB1652" s="7">
        <f t="shared" si="151"/>
        <v>3.0179999999999998E-2</v>
      </c>
      <c r="AC1652" s="7">
        <f t="shared" si="152"/>
        <v>3.2706149999999998</v>
      </c>
      <c r="AD1652" s="6" t="str">
        <f t="shared" si="153"/>
        <v>Phù Mỹ Bắc</v>
      </c>
      <c r="AE1652" s="6" t="str">
        <f t="shared" si="154"/>
        <v>TTCMKV Hoài Ân</v>
      </c>
      <c r="AG1652">
        <f t="shared" si="155"/>
        <v>2.0120000000000002E-2</v>
      </c>
      <c r="AH1652">
        <f t="shared" si="156"/>
        <v>2.1804099999999997</v>
      </c>
    </row>
    <row r="1653" spans="1:34" x14ac:dyDescent="0.25">
      <c r="A1653" t="s">
        <v>15737</v>
      </c>
      <c r="B1653" t="s">
        <v>15738</v>
      </c>
      <c r="C1653" t="s">
        <v>15739</v>
      </c>
      <c r="D1653" t="s">
        <v>15740</v>
      </c>
      <c r="E1653" t="s">
        <v>15508</v>
      </c>
      <c r="I1653" t="s">
        <v>17405</v>
      </c>
      <c r="J1653" t="s">
        <v>23</v>
      </c>
      <c r="L1653" t="s">
        <v>15741</v>
      </c>
      <c r="M1653" t="s">
        <v>15742</v>
      </c>
      <c r="N1653" t="s">
        <v>15743</v>
      </c>
      <c r="O1653" t="s">
        <v>15744</v>
      </c>
      <c r="P1653" t="s">
        <v>15745</v>
      </c>
      <c r="Q1653" t="s">
        <v>15746</v>
      </c>
      <c r="R1653" t="s">
        <v>15747</v>
      </c>
      <c r="S1653" t="s">
        <v>15748</v>
      </c>
      <c r="T1653" t="s">
        <v>15749</v>
      </c>
      <c r="U1653" s="5">
        <v>526.49</v>
      </c>
      <c r="V1653" s="5">
        <v>35.770000000000003</v>
      </c>
      <c r="W1653" s="5">
        <v>13.774164000000001</v>
      </c>
      <c r="X1653" s="5">
        <v>109.1126</v>
      </c>
      <c r="Y1653" s="5">
        <v>490.71</v>
      </c>
      <c r="Z1653" s="5">
        <v>13.802215</v>
      </c>
      <c r="AA1653" s="5">
        <v>109.147507</v>
      </c>
      <c r="AB1653" s="7">
        <f t="shared" si="151"/>
        <v>5.3655000000000001E-2</v>
      </c>
      <c r="AC1653" s="7">
        <f t="shared" si="152"/>
        <v>0.73606499999999997</v>
      </c>
      <c r="AD1653" s="6" t="str">
        <f t="shared" si="153"/>
        <v>CA Tỉnh</v>
      </c>
      <c r="AE1653" s="6" t="str">
        <f t="shared" si="154"/>
        <v>Tuy Phước Tây</v>
      </c>
      <c r="AG1653">
        <f t="shared" si="155"/>
        <v>3.5770000000000003E-2</v>
      </c>
      <c r="AH1653">
        <f t="shared" si="156"/>
        <v>0.49070999999999998</v>
      </c>
    </row>
    <row r="1654" spans="1:34" x14ac:dyDescent="0.25">
      <c r="A1654" t="s">
        <v>15750</v>
      </c>
      <c r="B1654" t="s">
        <v>15751</v>
      </c>
      <c r="C1654" t="s">
        <v>15752</v>
      </c>
      <c r="D1654" t="s">
        <v>15753</v>
      </c>
      <c r="E1654" t="s">
        <v>15754</v>
      </c>
      <c r="I1654" t="s">
        <v>17406</v>
      </c>
      <c r="J1654" t="s">
        <v>23</v>
      </c>
      <c r="L1654" t="s">
        <v>15755</v>
      </c>
      <c r="M1654" t="s">
        <v>15756</v>
      </c>
      <c r="N1654" t="s">
        <v>15757</v>
      </c>
      <c r="O1654" t="s">
        <v>15758</v>
      </c>
      <c r="P1654" t="s">
        <v>15759</v>
      </c>
      <c r="Q1654" t="s">
        <v>15760</v>
      </c>
      <c r="R1654" t="s">
        <v>15761</v>
      </c>
      <c r="S1654" t="s">
        <v>15762</v>
      </c>
      <c r="T1654" t="s">
        <v>15763</v>
      </c>
      <c r="U1654" s="5">
        <v>66.37</v>
      </c>
      <c r="V1654" s="5">
        <v>29.69</v>
      </c>
      <c r="W1654" s="5">
        <v>13.826838</v>
      </c>
      <c r="X1654" s="5">
        <v>109.166605</v>
      </c>
      <c r="Y1654" s="5">
        <v>36.68</v>
      </c>
      <c r="Z1654" s="5">
        <v>13.831367</v>
      </c>
      <c r="AA1654" s="5">
        <v>109.157695</v>
      </c>
      <c r="AB1654" s="7">
        <f t="shared" si="151"/>
        <v>4.4535000000000005E-2</v>
      </c>
      <c r="AC1654" s="7">
        <f t="shared" si="152"/>
        <v>5.5019999999999999E-2</v>
      </c>
      <c r="AD1654" s="6" t="str">
        <f t="shared" si="153"/>
        <v>An Nhơn</v>
      </c>
      <c r="AE1654" s="6" t="str">
        <f t="shared" si="154"/>
        <v>TT1 Gia Lai</v>
      </c>
      <c r="AG1654">
        <f t="shared" si="155"/>
        <v>2.9690000000000001E-2</v>
      </c>
      <c r="AH1654">
        <f t="shared" si="156"/>
        <v>3.6679999999999997E-2</v>
      </c>
    </row>
    <row r="1655" spans="1:34" x14ac:dyDescent="0.25">
      <c r="A1655" t="s">
        <v>15764</v>
      </c>
      <c r="B1655" t="s">
        <v>15765</v>
      </c>
      <c r="C1655" t="s">
        <v>15766</v>
      </c>
      <c r="D1655" t="s">
        <v>15451</v>
      </c>
      <c r="E1655" t="s">
        <v>15452</v>
      </c>
      <c r="I1655" t="s">
        <v>17407</v>
      </c>
      <c r="J1655" t="s">
        <v>23</v>
      </c>
      <c r="L1655" t="s">
        <v>15767</v>
      </c>
      <c r="M1655" t="s">
        <v>15768</v>
      </c>
      <c r="N1655" t="s">
        <v>15769</v>
      </c>
      <c r="O1655" t="s">
        <v>15770</v>
      </c>
      <c r="P1655" t="s">
        <v>15771</v>
      </c>
      <c r="Q1655" t="s">
        <v>15772</v>
      </c>
      <c r="R1655" t="s">
        <v>15773</v>
      </c>
      <c r="S1655" t="s">
        <v>15774</v>
      </c>
      <c r="T1655" t="s">
        <v>15775</v>
      </c>
      <c r="U1655" s="5">
        <v>516.42999999999995</v>
      </c>
      <c r="V1655" s="5">
        <v>80.209999999999994</v>
      </c>
      <c r="W1655" s="5">
        <v>13.889744</v>
      </c>
      <c r="X1655" s="5">
        <v>109.146405</v>
      </c>
      <c r="Y1655" s="5">
        <v>436.21</v>
      </c>
      <c r="Z1655" s="5">
        <v>13.886571</v>
      </c>
      <c r="AA1655" s="5">
        <v>109.10936700000001</v>
      </c>
      <c r="AB1655" s="7">
        <f t="shared" si="151"/>
        <v>0.12031499999999999</v>
      </c>
      <c r="AC1655" s="7">
        <f t="shared" si="152"/>
        <v>0.65431499999999998</v>
      </c>
      <c r="AD1655" s="6" t="str">
        <f t="shared" si="153"/>
        <v>Tuy Phước Bắc</v>
      </c>
      <c r="AE1655" s="6" t="str">
        <f t="shared" si="154"/>
        <v>Bình Định</v>
      </c>
      <c r="AG1655">
        <f t="shared" si="155"/>
        <v>8.020999999999999E-2</v>
      </c>
      <c r="AH1655">
        <f t="shared" si="156"/>
        <v>0.43620999999999999</v>
      </c>
    </row>
    <row r="1656" spans="1:34" x14ac:dyDescent="0.25">
      <c r="A1656" t="s">
        <v>15776</v>
      </c>
      <c r="B1656" t="s">
        <v>15777</v>
      </c>
      <c r="C1656" t="s">
        <v>15778</v>
      </c>
      <c r="D1656" t="s">
        <v>15779</v>
      </c>
      <c r="E1656" t="s">
        <v>15780</v>
      </c>
      <c r="I1656" t="s">
        <v>17408</v>
      </c>
      <c r="J1656" t="s">
        <v>23</v>
      </c>
      <c r="L1656" t="s">
        <v>14313</v>
      </c>
      <c r="M1656" t="s">
        <v>15781</v>
      </c>
      <c r="N1656" t="s">
        <v>15782</v>
      </c>
      <c r="O1656" t="s">
        <v>15783</v>
      </c>
      <c r="P1656" t="s">
        <v>15784</v>
      </c>
      <c r="Q1656" t="s">
        <v>15785</v>
      </c>
      <c r="R1656" t="s">
        <v>15786</v>
      </c>
      <c r="S1656" t="s">
        <v>15787</v>
      </c>
      <c r="T1656" t="s">
        <v>15264</v>
      </c>
      <c r="U1656" s="5">
        <v>104.22</v>
      </c>
      <c r="V1656" s="5">
        <v>64.17</v>
      </c>
      <c r="W1656" s="5">
        <v>13.866576</v>
      </c>
      <c r="X1656" s="5">
        <v>109.18751399999999</v>
      </c>
      <c r="Y1656" s="5">
        <v>40.06</v>
      </c>
      <c r="Z1656" s="5">
        <v>13.784079999999999</v>
      </c>
      <c r="AA1656" s="5">
        <v>109.21517</v>
      </c>
      <c r="AB1656" s="7">
        <f t="shared" si="151"/>
        <v>9.6254999999999993E-2</v>
      </c>
      <c r="AC1656" s="7">
        <f t="shared" si="152"/>
        <v>6.0090000000000005E-2</v>
      </c>
      <c r="AD1656" s="6" t="str">
        <f t="shared" si="153"/>
        <v>TT1 Gia Lai</v>
      </c>
      <c r="AE1656" s="6" t="str">
        <f t="shared" si="154"/>
        <v>TT2 Gia Lai (ring 1)</v>
      </c>
      <c r="AG1656">
        <f t="shared" si="155"/>
        <v>6.4170000000000005E-2</v>
      </c>
      <c r="AH1656">
        <f t="shared" si="156"/>
        <v>4.0060000000000005E-2</v>
      </c>
    </row>
    <row r="1657" spans="1:34" x14ac:dyDescent="0.25">
      <c r="A1657" t="s">
        <v>15788</v>
      </c>
      <c r="B1657" t="s">
        <v>15789</v>
      </c>
      <c r="C1657" t="s">
        <v>15790</v>
      </c>
      <c r="D1657" t="s">
        <v>15791</v>
      </c>
      <c r="E1657" t="s">
        <v>15792</v>
      </c>
      <c r="I1657" t="s">
        <v>17409</v>
      </c>
      <c r="J1657" t="s">
        <v>23</v>
      </c>
      <c r="L1657" t="s">
        <v>14313</v>
      </c>
      <c r="M1657" t="s">
        <v>15793</v>
      </c>
      <c r="N1657" t="s">
        <v>15794</v>
      </c>
      <c r="O1657" t="s">
        <v>15795</v>
      </c>
      <c r="P1657" t="s">
        <v>15796</v>
      </c>
      <c r="Q1657" t="s">
        <v>15797</v>
      </c>
      <c r="R1657" t="s">
        <v>15798</v>
      </c>
      <c r="S1657" t="s">
        <v>15799</v>
      </c>
      <c r="T1657" t="s">
        <v>15800</v>
      </c>
      <c r="U1657" s="5">
        <v>5044.8</v>
      </c>
      <c r="V1657" s="5">
        <v>2528.87</v>
      </c>
      <c r="W1657" s="5">
        <v>13.930638999999999</v>
      </c>
      <c r="X1657" s="5">
        <v>108.99955</v>
      </c>
      <c r="Y1657" s="5">
        <v>2515.9299999999998</v>
      </c>
      <c r="Z1657" s="5">
        <v>13.914198000000001</v>
      </c>
      <c r="AA1657" s="5">
        <v>109.07769399999999</v>
      </c>
      <c r="AB1657" s="7">
        <f t="shared" si="151"/>
        <v>3.7933049999999997</v>
      </c>
      <c r="AC1657" s="7">
        <f t="shared" si="152"/>
        <v>3.7738949999999996</v>
      </c>
      <c r="AD1657" s="6" t="str">
        <f t="shared" si="153"/>
        <v>TT1 Gia Lai</v>
      </c>
      <c r="AE1657" s="6" t="str">
        <f t="shared" si="154"/>
        <v>TT2 Gia Lai (ring 1)</v>
      </c>
      <c r="AG1657">
        <f t="shared" si="155"/>
        <v>2.52887</v>
      </c>
      <c r="AH1657">
        <f t="shared" si="156"/>
        <v>2.51593</v>
      </c>
    </row>
    <row r="1658" spans="1:34" x14ac:dyDescent="0.25">
      <c r="A1658" t="s">
        <v>15801</v>
      </c>
      <c r="B1658" t="s">
        <v>15802</v>
      </c>
      <c r="C1658" t="s">
        <v>15803</v>
      </c>
      <c r="D1658" t="s">
        <v>15804</v>
      </c>
      <c r="E1658" t="s">
        <v>15805</v>
      </c>
      <c r="I1658" t="s">
        <v>17410</v>
      </c>
      <c r="J1658" t="s">
        <v>23</v>
      </c>
      <c r="L1658" t="s">
        <v>15806</v>
      </c>
      <c r="M1658" t="s">
        <v>15807</v>
      </c>
      <c r="N1658" t="s">
        <v>15808</v>
      </c>
      <c r="O1658" t="s">
        <v>15809</v>
      </c>
      <c r="P1658" t="s">
        <v>15810</v>
      </c>
      <c r="Q1658" t="s">
        <v>15811</v>
      </c>
      <c r="R1658" t="s">
        <v>15812</v>
      </c>
      <c r="S1658" t="s">
        <v>15813</v>
      </c>
      <c r="T1658" t="s">
        <v>15814</v>
      </c>
      <c r="U1658" s="5">
        <v>1400.68</v>
      </c>
      <c r="V1658" s="5">
        <v>156.43</v>
      </c>
      <c r="W1658" s="5">
        <v>14.430154999999999</v>
      </c>
      <c r="X1658" s="5">
        <v>108.96398000000001</v>
      </c>
      <c r="Y1658" s="5">
        <v>1244.25</v>
      </c>
      <c r="Z1658" s="5">
        <v>14.376308999999999</v>
      </c>
      <c r="AA1658" s="5">
        <v>108.97944699999999</v>
      </c>
      <c r="AB1658" s="7">
        <f t="shared" si="151"/>
        <v>0.23464500000000002</v>
      </c>
      <c r="AC1658" s="7">
        <f t="shared" si="152"/>
        <v>1.8663749999999999</v>
      </c>
      <c r="AD1658" s="6" t="str">
        <f t="shared" si="153"/>
        <v>TTCMKV Hoài Ân</v>
      </c>
      <c r="AE1658" s="6" t="str">
        <f t="shared" si="154"/>
        <v>An Vinh</v>
      </c>
      <c r="AG1658">
        <f t="shared" si="155"/>
        <v>0.15643000000000001</v>
      </c>
      <c r="AH1658">
        <f t="shared" si="156"/>
        <v>1.2442500000000001</v>
      </c>
    </row>
    <row r="1659" spans="1:34" x14ac:dyDescent="0.25">
      <c r="A1659" t="s">
        <v>15815</v>
      </c>
      <c r="B1659" t="s">
        <v>15816</v>
      </c>
      <c r="C1659" t="s">
        <v>15817</v>
      </c>
      <c r="D1659" t="s">
        <v>15294</v>
      </c>
      <c r="E1659" t="s">
        <v>15295</v>
      </c>
      <c r="I1659" t="s">
        <v>17411</v>
      </c>
      <c r="J1659" t="s">
        <v>23</v>
      </c>
      <c r="L1659" t="s">
        <v>15818</v>
      </c>
      <c r="M1659" t="s">
        <v>15819</v>
      </c>
      <c r="N1659" t="s">
        <v>15820</v>
      </c>
      <c r="O1659" t="s">
        <v>15821</v>
      </c>
      <c r="P1659" t="s">
        <v>15822</v>
      </c>
      <c r="Q1659" t="s">
        <v>15823</v>
      </c>
      <c r="R1659" t="s">
        <v>15824</v>
      </c>
      <c r="S1659" t="s">
        <v>15825</v>
      </c>
      <c r="T1659" t="s">
        <v>15826</v>
      </c>
      <c r="U1659" s="5">
        <v>466.11</v>
      </c>
      <c r="V1659" s="5">
        <v>288.72000000000003</v>
      </c>
      <c r="W1659" s="5">
        <v>13.735918</v>
      </c>
      <c r="X1659" s="5">
        <v>109.083359</v>
      </c>
      <c r="Y1659" s="5">
        <v>177.4</v>
      </c>
      <c r="Z1659" s="5">
        <v>13.746636000000001</v>
      </c>
      <c r="AA1659" s="5">
        <v>109.15192500000001</v>
      </c>
      <c r="AB1659" s="7">
        <f t="shared" si="151"/>
        <v>0.43308000000000002</v>
      </c>
      <c r="AC1659" s="7">
        <f t="shared" si="152"/>
        <v>0.2661</v>
      </c>
      <c r="AD1659" s="6" t="str">
        <f t="shared" si="153"/>
        <v>Canh Vinh</v>
      </c>
      <c r="AE1659" s="6" t="str">
        <f t="shared" si="154"/>
        <v>Quy Nhơn Tây</v>
      </c>
      <c r="AG1659">
        <f t="shared" si="155"/>
        <v>0.28872000000000003</v>
      </c>
      <c r="AH1659">
        <f t="shared" si="156"/>
        <v>0.1774</v>
      </c>
    </row>
  </sheetData>
  <autoFilter ref="A1507:AJ1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2025-12-04T03:37:45Z</dcterms:created>
  <dcterms:modified xsi:type="dcterms:W3CDTF">2025-12-05T10:42:33Z</dcterms:modified>
</cp:coreProperties>
</file>