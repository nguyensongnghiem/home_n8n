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ev Apps\home_n8n\scripts\h04_planning\output_v1\"/>
    </mc:Choice>
  </mc:AlternateContent>
  <xr:revisionPtr revIDLastSave="0" documentId="13_ncr:1_{3264F6BE-B15D-493C-AE43-65D41B7559F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OptimizedNearestRoute_DualPoint" sheetId="1" r:id="rId1"/>
  </sheets>
  <externalReferences>
    <externalReference r:id="rId2"/>
  </externalReferences>
  <definedNames>
    <definedName name="_xlnm._FilterDatabase" localSheetId="0" hidden="1">OptimizedNearestRoute_DualPoint!$A$1:$AH$1507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0" i="1" l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2" i="1"/>
  <c r="AG3" i="1"/>
  <c r="AH3" i="1"/>
  <c r="AG4" i="1"/>
  <c r="AH4" i="1"/>
  <c r="AG5" i="1"/>
  <c r="AH5" i="1"/>
  <c r="AG6" i="1"/>
  <c r="AH6" i="1"/>
  <c r="AG7" i="1"/>
  <c r="AH7" i="1"/>
  <c r="AG8" i="1"/>
  <c r="AH8" i="1"/>
  <c r="AG9" i="1"/>
  <c r="AH9" i="1"/>
  <c r="AG10" i="1"/>
  <c r="AH10" i="1"/>
  <c r="AG11" i="1"/>
  <c r="AH11" i="1"/>
  <c r="AG12" i="1"/>
  <c r="AH12" i="1"/>
  <c r="AG13" i="1"/>
  <c r="AH13" i="1"/>
  <c r="AG14" i="1"/>
  <c r="AH14" i="1"/>
  <c r="AG15" i="1"/>
  <c r="AH15" i="1"/>
  <c r="AG16" i="1"/>
  <c r="AH16" i="1"/>
  <c r="AG17" i="1"/>
  <c r="AH17" i="1"/>
  <c r="AG18" i="1"/>
  <c r="AH18" i="1"/>
  <c r="AG19" i="1"/>
  <c r="AH19" i="1"/>
  <c r="AG20" i="1"/>
  <c r="AH20" i="1"/>
  <c r="AG21" i="1"/>
  <c r="AH21" i="1"/>
  <c r="AG22" i="1"/>
  <c r="AH22" i="1"/>
  <c r="AG23" i="1"/>
  <c r="AH23" i="1"/>
  <c r="AG24" i="1"/>
  <c r="AH24" i="1"/>
  <c r="AG25" i="1"/>
  <c r="AH25" i="1"/>
  <c r="AG26" i="1"/>
  <c r="AH26" i="1"/>
  <c r="AG27" i="1"/>
  <c r="AH27" i="1"/>
  <c r="AG28" i="1"/>
  <c r="AH28" i="1"/>
  <c r="AG29" i="1"/>
  <c r="AH29" i="1"/>
  <c r="AG30" i="1"/>
  <c r="AH30" i="1"/>
  <c r="AG31" i="1"/>
  <c r="AH31" i="1"/>
  <c r="AG32" i="1"/>
  <c r="AH32" i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AG40" i="1"/>
  <c r="AH40" i="1"/>
  <c r="AG41" i="1"/>
  <c r="AH41" i="1"/>
  <c r="AG42" i="1"/>
  <c r="AH42" i="1"/>
  <c r="AG43" i="1"/>
  <c r="AH43" i="1"/>
  <c r="AG44" i="1"/>
  <c r="AH44" i="1"/>
  <c r="AG45" i="1"/>
  <c r="AH45" i="1"/>
  <c r="AG46" i="1"/>
  <c r="AH46" i="1"/>
  <c r="AG47" i="1"/>
  <c r="AH47" i="1"/>
  <c r="AG48" i="1"/>
  <c r="AH48" i="1"/>
  <c r="AG49" i="1"/>
  <c r="AH49" i="1"/>
  <c r="AG50" i="1"/>
  <c r="AH50" i="1"/>
  <c r="AG51" i="1"/>
  <c r="AH51" i="1"/>
  <c r="AG52" i="1"/>
  <c r="AH52" i="1"/>
  <c r="AG53" i="1"/>
  <c r="AH53" i="1"/>
  <c r="AG54" i="1"/>
  <c r="AH54" i="1"/>
  <c r="AG55" i="1"/>
  <c r="AH55" i="1"/>
  <c r="AG56" i="1"/>
  <c r="AH56" i="1"/>
  <c r="AG57" i="1"/>
  <c r="AH57" i="1"/>
  <c r="AG58" i="1"/>
  <c r="AH58" i="1"/>
  <c r="AG59" i="1"/>
  <c r="AH59" i="1"/>
  <c r="AG60" i="1"/>
  <c r="AH60" i="1"/>
  <c r="AG61" i="1"/>
  <c r="AH61" i="1"/>
  <c r="AG62" i="1"/>
  <c r="AH62" i="1"/>
  <c r="AG63" i="1"/>
  <c r="AH63" i="1"/>
  <c r="AG64" i="1"/>
  <c r="AH64" i="1"/>
  <c r="AG65" i="1"/>
  <c r="AH65" i="1"/>
  <c r="AG66" i="1"/>
  <c r="AH66" i="1"/>
  <c r="AG67" i="1"/>
  <c r="AH67" i="1"/>
  <c r="AG68" i="1"/>
  <c r="AH68" i="1"/>
  <c r="AG69" i="1"/>
  <c r="AH69" i="1"/>
  <c r="AG70" i="1"/>
  <c r="AH70" i="1"/>
  <c r="AG71" i="1"/>
  <c r="AH71" i="1"/>
  <c r="AG72" i="1"/>
  <c r="AH72" i="1"/>
  <c r="AG73" i="1"/>
  <c r="AH73" i="1"/>
  <c r="AG74" i="1"/>
  <c r="AH74" i="1"/>
  <c r="AG75" i="1"/>
  <c r="AH75" i="1"/>
  <c r="AG76" i="1"/>
  <c r="AH76" i="1"/>
  <c r="AG77" i="1"/>
  <c r="AH77" i="1"/>
  <c r="AG78" i="1"/>
  <c r="AH78" i="1"/>
  <c r="AG79" i="1"/>
  <c r="AH79" i="1"/>
  <c r="AG80" i="1"/>
  <c r="AH80" i="1"/>
  <c r="AG81" i="1"/>
  <c r="AH81" i="1"/>
  <c r="AG82" i="1"/>
  <c r="AH82" i="1"/>
  <c r="AG83" i="1"/>
  <c r="AH83" i="1"/>
  <c r="AG84" i="1"/>
  <c r="AH84" i="1"/>
  <c r="AG85" i="1"/>
  <c r="AH85" i="1"/>
  <c r="AG86" i="1"/>
  <c r="AH86" i="1"/>
  <c r="AG87" i="1"/>
  <c r="AH87" i="1"/>
  <c r="AG88" i="1"/>
  <c r="AH88" i="1"/>
  <c r="AG89" i="1"/>
  <c r="AH89" i="1"/>
  <c r="AG90" i="1"/>
  <c r="AH90" i="1"/>
  <c r="AG91" i="1"/>
  <c r="AH91" i="1"/>
  <c r="AG92" i="1"/>
  <c r="AH92" i="1"/>
  <c r="AG93" i="1"/>
  <c r="AH93" i="1"/>
  <c r="AG94" i="1"/>
  <c r="AH94" i="1"/>
  <c r="AG95" i="1"/>
  <c r="AH95" i="1"/>
  <c r="AG96" i="1"/>
  <c r="AH96" i="1"/>
  <c r="AG97" i="1"/>
  <c r="AH97" i="1"/>
  <c r="AG98" i="1"/>
  <c r="AH98" i="1"/>
  <c r="AG99" i="1"/>
  <c r="AH99" i="1"/>
  <c r="AG100" i="1"/>
  <c r="AH100" i="1"/>
  <c r="AG101" i="1"/>
  <c r="AH101" i="1"/>
  <c r="AG102" i="1"/>
  <c r="AH102" i="1"/>
  <c r="AG103" i="1"/>
  <c r="AH103" i="1"/>
  <c r="AG104" i="1"/>
  <c r="AH104" i="1"/>
  <c r="AG105" i="1"/>
  <c r="AH105" i="1"/>
  <c r="AG106" i="1"/>
  <c r="AH106" i="1"/>
  <c r="AG107" i="1"/>
  <c r="AH107" i="1"/>
  <c r="AG108" i="1"/>
  <c r="AH108" i="1"/>
  <c r="AG109" i="1"/>
  <c r="AH109" i="1"/>
  <c r="AG110" i="1"/>
  <c r="AH110" i="1"/>
  <c r="AG111" i="1"/>
  <c r="AH111" i="1"/>
  <c r="AG112" i="1"/>
  <c r="AH112" i="1"/>
  <c r="AG113" i="1"/>
  <c r="AH113" i="1"/>
  <c r="AG114" i="1"/>
  <c r="AH114" i="1"/>
  <c r="AG115" i="1"/>
  <c r="AH115" i="1"/>
  <c r="AG116" i="1"/>
  <c r="AH116" i="1"/>
  <c r="AG117" i="1"/>
  <c r="AH117" i="1"/>
  <c r="AG118" i="1"/>
  <c r="AH118" i="1"/>
  <c r="AG119" i="1"/>
  <c r="AH119" i="1"/>
  <c r="AG120" i="1"/>
  <c r="AH120" i="1"/>
  <c r="AG121" i="1"/>
  <c r="AH121" i="1"/>
  <c r="AG122" i="1"/>
  <c r="AH122" i="1"/>
  <c r="AG123" i="1"/>
  <c r="AH123" i="1"/>
  <c r="AG124" i="1"/>
  <c r="AH124" i="1"/>
  <c r="AG125" i="1"/>
  <c r="AH125" i="1"/>
  <c r="AG126" i="1"/>
  <c r="AH126" i="1"/>
  <c r="AG127" i="1"/>
  <c r="AH127" i="1"/>
  <c r="AG128" i="1"/>
  <c r="AH128" i="1"/>
  <c r="AG129" i="1"/>
  <c r="AH129" i="1"/>
  <c r="AG130" i="1"/>
  <c r="AH130" i="1"/>
  <c r="AG131" i="1"/>
  <c r="AH131" i="1"/>
  <c r="AG132" i="1"/>
  <c r="AH132" i="1"/>
  <c r="AG133" i="1"/>
  <c r="AH133" i="1"/>
  <c r="AG134" i="1"/>
  <c r="AH134" i="1"/>
  <c r="AG135" i="1"/>
  <c r="AH135" i="1"/>
  <c r="AG136" i="1"/>
  <c r="AH136" i="1"/>
  <c r="AG137" i="1"/>
  <c r="AH137" i="1"/>
  <c r="AG138" i="1"/>
  <c r="AH138" i="1"/>
  <c r="AG139" i="1"/>
  <c r="AH139" i="1"/>
  <c r="AG140" i="1"/>
  <c r="AH140" i="1"/>
  <c r="AG141" i="1"/>
  <c r="AH141" i="1"/>
  <c r="AG142" i="1"/>
  <c r="AH142" i="1"/>
  <c r="AG143" i="1"/>
  <c r="AH143" i="1"/>
  <c r="AG144" i="1"/>
  <c r="AH144" i="1"/>
  <c r="AG145" i="1"/>
  <c r="AH145" i="1"/>
  <c r="AG146" i="1"/>
  <c r="AH146" i="1"/>
  <c r="AG147" i="1"/>
  <c r="AH147" i="1"/>
  <c r="AG148" i="1"/>
  <c r="AH148" i="1"/>
  <c r="AG149" i="1"/>
  <c r="AH149" i="1"/>
  <c r="AG150" i="1"/>
  <c r="AH150" i="1"/>
  <c r="AG151" i="1"/>
  <c r="AH151" i="1"/>
  <c r="AG152" i="1"/>
  <c r="AH152" i="1"/>
  <c r="AG153" i="1"/>
  <c r="AH153" i="1"/>
  <c r="AG154" i="1"/>
  <c r="AH154" i="1"/>
  <c r="AG155" i="1"/>
  <c r="AH155" i="1"/>
  <c r="AG156" i="1"/>
  <c r="AH156" i="1"/>
  <c r="AG157" i="1"/>
  <c r="AH157" i="1"/>
  <c r="AG158" i="1"/>
  <c r="AH158" i="1"/>
  <c r="AG159" i="1"/>
  <c r="AH159" i="1"/>
  <c r="AG160" i="1"/>
  <c r="AH160" i="1"/>
  <c r="AG161" i="1"/>
  <c r="AH161" i="1"/>
  <c r="AG162" i="1"/>
  <c r="AH162" i="1"/>
  <c r="AG163" i="1"/>
  <c r="AH163" i="1"/>
  <c r="AG164" i="1"/>
  <c r="AH164" i="1"/>
  <c r="AG165" i="1"/>
  <c r="AH165" i="1"/>
  <c r="AG166" i="1"/>
  <c r="AH166" i="1"/>
  <c r="AG167" i="1"/>
  <c r="AH167" i="1"/>
  <c r="AG168" i="1"/>
  <c r="AH168" i="1"/>
  <c r="AG169" i="1"/>
  <c r="AH169" i="1"/>
  <c r="AG170" i="1"/>
  <c r="AH170" i="1"/>
  <c r="AG171" i="1"/>
  <c r="AH171" i="1"/>
  <c r="AG172" i="1"/>
  <c r="AH172" i="1"/>
  <c r="AG173" i="1"/>
  <c r="AH173" i="1"/>
  <c r="AG174" i="1"/>
  <c r="AH174" i="1"/>
  <c r="AG175" i="1"/>
  <c r="AH175" i="1"/>
  <c r="AG176" i="1"/>
  <c r="AH176" i="1"/>
  <c r="AG177" i="1"/>
  <c r="AH177" i="1"/>
  <c r="AG178" i="1"/>
  <c r="AH178" i="1"/>
  <c r="AG179" i="1"/>
  <c r="AH179" i="1"/>
  <c r="AG180" i="1"/>
  <c r="AH180" i="1"/>
  <c r="AG181" i="1"/>
  <c r="AH181" i="1"/>
  <c r="AG182" i="1"/>
  <c r="AH182" i="1"/>
  <c r="AG183" i="1"/>
  <c r="AH183" i="1"/>
  <c r="AG184" i="1"/>
  <c r="AH184" i="1"/>
  <c r="AG185" i="1"/>
  <c r="AH185" i="1"/>
  <c r="AG186" i="1"/>
  <c r="AH186" i="1"/>
  <c r="AG187" i="1"/>
  <c r="AH187" i="1"/>
  <c r="AG188" i="1"/>
  <c r="AH188" i="1"/>
  <c r="AG189" i="1"/>
  <c r="AH189" i="1"/>
  <c r="AG190" i="1"/>
  <c r="AH190" i="1"/>
  <c r="AG191" i="1"/>
  <c r="AH191" i="1"/>
  <c r="AG192" i="1"/>
  <c r="AH192" i="1"/>
  <c r="AG193" i="1"/>
  <c r="AH193" i="1"/>
  <c r="AG194" i="1"/>
  <c r="AH194" i="1"/>
  <c r="AG195" i="1"/>
  <c r="AH195" i="1"/>
  <c r="AG196" i="1"/>
  <c r="AH196" i="1"/>
  <c r="AG197" i="1"/>
  <c r="AH197" i="1"/>
  <c r="AG198" i="1"/>
  <c r="AH198" i="1"/>
  <c r="AG199" i="1"/>
  <c r="AH199" i="1"/>
  <c r="AG200" i="1"/>
  <c r="AH200" i="1"/>
  <c r="AG201" i="1"/>
  <c r="AH201" i="1"/>
  <c r="AG202" i="1"/>
  <c r="AH202" i="1"/>
  <c r="AG203" i="1"/>
  <c r="AH203" i="1"/>
  <c r="AG204" i="1"/>
  <c r="AH204" i="1"/>
  <c r="AG205" i="1"/>
  <c r="AH205" i="1"/>
  <c r="AG206" i="1"/>
  <c r="AH206" i="1"/>
  <c r="AG207" i="1"/>
  <c r="AH207" i="1"/>
  <c r="AG208" i="1"/>
  <c r="AH208" i="1"/>
  <c r="AG209" i="1"/>
  <c r="AH209" i="1"/>
  <c r="AG210" i="1"/>
  <c r="AH210" i="1"/>
  <c r="AG211" i="1"/>
  <c r="AH211" i="1"/>
  <c r="AG212" i="1"/>
  <c r="AH212" i="1"/>
  <c r="AG213" i="1"/>
  <c r="AH213" i="1"/>
  <c r="AG214" i="1"/>
  <c r="AH214" i="1"/>
  <c r="AG215" i="1"/>
  <c r="AH215" i="1"/>
  <c r="AG216" i="1"/>
  <c r="AH216" i="1"/>
  <c r="AG217" i="1"/>
  <c r="AH217" i="1"/>
  <c r="AG218" i="1"/>
  <c r="AH218" i="1"/>
  <c r="AG219" i="1"/>
  <c r="AH219" i="1"/>
  <c r="AG220" i="1"/>
  <c r="AH220" i="1"/>
  <c r="AG221" i="1"/>
  <c r="AH221" i="1"/>
  <c r="AG222" i="1"/>
  <c r="AH222" i="1"/>
  <c r="AG223" i="1"/>
  <c r="AH223" i="1"/>
  <c r="AG224" i="1"/>
  <c r="AH224" i="1"/>
  <c r="AG225" i="1"/>
  <c r="AH225" i="1"/>
  <c r="AG226" i="1"/>
  <c r="AH226" i="1"/>
  <c r="AG227" i="1"/>
  <c r="AH227" i="1"/>
  <c r="AG228" i="1"/>
  <c r="AH228" i="1"/>
  <c r="AG229" i="1"/>
  <c r="AH229" i="1"/>
  <c r="AG230" i="1"/>
  <c r="AH230" i="1"/>
  <c r="AG231" i="1"/>
  <c r="AH231" i="1"/>
  <c r="AG232" i="1"/>
  <c r="AH232" i="1"/>
  <c r="AG233" i="1"/>
  <c r="AH233" i="1"/>
  <c r="AG234" i="1"/>
  <c r="AH234" i="1"/>
  <c r="AG235" i="1"/>
  <c r="AH235" i="1"/>
  <c r="AG236" i="1"/>
  <c r="AH236" i="1"/>
  <c r="AG237" i="1"/>
  <c r="AH237" i="1"/>
  <c r="AG238" i="1"/>
  <c r="AH238" i="1"/>
  <c r="AG239" i="1"/>
  <c r="AH239" i="1"/>
  <c r="AG240" i="1"/>
  <c r="AH240" i="1"/>
  <c r="AG241" i="1"/>
  <c r="AH241" i="1"/>
  <c r="AG242" i="1"/>
  <c r="AH242" i="1"/>
  <c r="AG243" i="1"/>
  <c r="AH243" i="1"/>
  <c r="AG244" i="1"/>
  <c r="AH244" i="1"/>
  <c r="AG245" i="1"/>
  <c r="AH245" i="1"/>
  <c r="AG246" i="1"/>
  <c r="AH246" i="1"/>
  <c r="AG247" i="1"/>
  <c r="AH247" i="1"/>
  <c r="AG248" i="1"/>
  <c r="AH248" i="1"/>
  <c r="AG249" i="1"/>
  <c r="AH249" i="1"/>
  <c r="AG250" i="1"/>
  <c r="AH250" i="1"/>
  <c r="AG251" i="1"/>
  <c r="AH251" i="1"/>
  <c r="AG252" i="1"/>
  <c r="AH252" i="1"/>
  <c r="AG253" i="1"/>
  <c r="AH253" i="1"/>
  <c r="AG254" i="1"/>
  <c r="AH254" i="1"/>
  <c r="AG255" i="1"/>
  <c r="AH255" i="1"/>
  <c r="AG256" i="1"/>
  <c r="AH256" i="1"/>
  <c r="AG257" i="1"/>
  <c r="AH257" i="1"/>
  <c r="AG258" i="1"/>
  <c r="AH258" i="1"/>
  <c r="AG259" i="1"/>
  <c r="AH259" i="1"/>
  <c r="AG260" i="1"/>
  <c r="AH260" i="1"/>
  <c r="AG261" i="1"/>
  <c r="AH261" i="1"/>
  <c r="AG262" i="1"/>
  <c r="AH262" i="1"/>
  <c r="AG263" i="1"/>
  <c r="AH263" i="1"/>
  <c r="AG264" i="1"/>
  <c r="AH264" i="1"/>
  <c r="AG265" i="1"/>
  <c r="AH265" i="1"/>
  <c r="AG266" i="1"/>
  <c r="AH266" i="1"/>
  <c r="AG267" i="1"/>
  <c r="AH267" i="1"/>
  <c r="AG268" i="1"/>
  <c r="AH268" i="1"/>
  <c r="AG269" i="1"/>
  <c r="AH269" i="1"/>
  <c r="AG270" i="1"/>
  <c r="AH270" i="1"/>
  <c r="AG271" i="1"/>
  <c r="AH271" i="1"/>
  <c r="AG272" i="1"/>
  <c r="AH272" i="1"/>
  <c r="AG273" i="1"/>
  <c r="AH273" i="1"/>
  <c r="AG274" i="1"/>
  <c r="AH274" i="1"/>
  <c r="AG275" i="1"/>
  <c r="AH275" i="1"/>
  <c r="AG276" i="1"/>
  <c r="AH276" i="1"/>
  <c r="AG277" i="1"/>
  <c r="AH277" i="1"/>
  <c r="AG278" i="1"/>
  <c r="AH278" i="1"/>
  <c r="AG279" i="1"/>
  <c r="AH279" i="1"/>
  <c r="AG280" i="1"/>
  <c r="AH280" i="1"/>
  <c r="AG281" i="1"/>
  <c r="AH281" i="1"/>
  <c r="AG282" i="1"/>
  <c r="AH282" i="1"/>
  <c r="AG283" i="1"/>
  <c r="AH283" i="1"/>
  <c r="AG284" i="1"/>
  <c r="AH284" i="1"/>
  <c r="AG285" i="1"/>
  <c r="AH285" i="1"/>
  <c r="AG286" i="1"/>
  <c r="AH286" i="1"/>
  <c r="AG287" i="1"/>
  <c r="AH287" i="1"/>
  <c r="AG288" i="1"/>
  <c r="AH288" i="1"/>
  <c r="AG289" i="1"/>
  <c r="AH289" i="1"/>
  <c r="AG290" i="1"/>
  <c r="AH290" i="1"/>
  <c r="AG291" i="1"/>
  <c r="AH291" i="1"/>
  <c r="AG292" i="1"/>
  <c r="AH292" i="1"/>
  <c r="AG293" i="1"/>
  <c r="AH293" i="1"/>
  <c r="AG294" i="1"/>
  <c r="AH294" i="1"/>
  <c r="AG295" i="1"/>
  <c r="AH295" i="1"/>
  <c r="AG296" i="1"/>
  <c r="AH296" i="1"/>
  <c r="AG297" i="1"/>
  <c r="AH297" i="1"/>
  <c r="AG298" i="1"/>
  <c r="AH298" i="1"/>
  <c r="AG299" i="1"/>
  <c r="AH299" i="1"/>
  <c r="AG300" i="1"/>
  <c r="AH300" i="1"/>
  <c r="AG301" i="1"/>
  <c r="AH301" i="1"/>
  <c r="AG302" i="1"/>
  <c r="AH302" i="1"/>
  <c r="AG303" i="1"/>
  <c r="AH303" i="1"/>
  <c r="AG304" i="1"/>
  <c r="AH304" i="1"/>
  <c r="AG305" i="1"/>
  <c r="AH305" i="1"/>
  <c r="AG306" i="1"/>
  <c r="AH306" i="1"/>
  <c r="AG307" i="1"/>
  <c r="AH307" i="1"/>
  <c r="AG308" i="1"/>
  <c r="AH308" i="1"/>
  <c r="AG309" i="1"/>
  <c r="AH309" i="1"/>
  <c r="AG310" i="1"/>
  <c r="AH310" i="1"/>
  <c r="AG311" i="1"/>
  <c r="AH311" i="1"/>
  <c r="AG312" i="1"/>
  <c r="AH312" i="1"/>
  <c r="AG313" i="1"/>
  <c r="AH313" i="1"/>
  <c r="AG314" i="1"/>
  <c r="AH314" i="1"/>
  <c r="AG315" i="1"/>
  <c r="AH315" i="1"/>
  <c r="AG316" i="1"/>
  <c r="AH316" i="1"/>
  <c r="AG317" i="1"/>
  <c r="AH317" i="1"/>
  <c r="AG318" i="1"/>
  <c r="AH318" i="1"/>
  <c r="AG319" i="1"/>
  <c r="AH319" i="1"/>
  <c r="AG320" i="1"/>
  <c r="AH320" i="1"/>
  <c r="AG321" i="1"/>
  <c r="AH321" i="1"/>
  <c r="AG322" i="1"/>
  <c r="AH322" i="1"/>
  <c r="AG323" i="1"/>
  <c r="AH323" i="1"/>
  <c r="AG324" i="1"/>
  <c r="AH324" i="1"/>
  <c r="AG325" i="1"/>
  <c r="AH325" i="1"/>
  <c r="AG326" i="1"/>
  <c r="AH326" i="1"/>
  <c r="AG327" i="1"/>
  <c r="AH327" i="1"/>
  <c r="AG328" i="1"/>
  <c r="AH328" i="1"/>
  <c r="AG329" i="1"/>
  <c r="AH329" i="1"/>
  <c r="AG330" i="1"/>
  <c r="AH330" i="1"/>
  <c r="AG331" i="1"/>
  <c r="AH331" i="1"/>
  <c r="AG332" i="1"/>
  <c r="AH332" i="1"/>
  <c r="AG333" i="1"/>
  <c r="AH333" i="1"/>
  <c r="AG334" i="1"/>
  <c r="AH334" i="1"/>
  <c r="AG335" i="1"/>
  <c r="AH335" i="1"/>
  <c r="AG336" i="1"/>
  <c r="AH336" i="1"/>
  <c r="AG337" i="1"/>
  <c r="AH337" i="1"/>
  <c r="AG338" i="1"/>
  <c r="AH338" i="1"/>
  <c r="AG339" i="1"/>
  <c r="AH339" i="1"/>
  <c r="AG340" i="1"/>
  <c r="AH340" i="1"/>
  <c r="AG341" i="1"/>
  <c r="AH341" i="1"/>
  <c r="AG342" i="1"/>
  <c r="AH342" i="1"/>
  <c r="AG343" i="1"/>
  <c r="AH343" i="1"/>
  <c r="AG344" i="1"/>
  <c r="AH344" i="1"/>
  <c r="AG345" i="1"/>
  <c r="AH345" i="1"/>
  <c r="AG346" i="1"/>
  <c r="AH346" i="1"/>
  <c r="AG347" i="1"/>
  <c r="AH347" i="1"/>
  <c r="AG348" i="1"/>
  <c r="AH348" i="1"/>
  <c r="AG349" i="1"/>
  <c r="AH349" i="1"/>
  <c r="AG350" i="1"/>
  <c r="AH350" i="1"/>
  <c r="AG351" i="1"/>
  <c r="AH351" i="1"/>
  <c r="AG352" i="1"/>
  <c r="AH352" i="1"/>
  <c r="AG353" i="1"/>
  <c r="AH353" i="1"/>
  <c r="AG354" i="1"/>
  <c r="AH354" i="1"/>
  <c r="AG355" i="1"/>
  <c r="AH355" i="1"/>
  <c r="AG356" i="1"/>
  <c r="AH356" i="1"/>
  <c r="AG357" i="1"/>
  <c r="AH357" i="1"/>
  <c r="AG358" i="1"/>
  <c r="AH358" i="1"/>
  <c r="AG359" i="1"/>
  <c r="AH359" i="1"/>
  <c r="AG360" i="1"/>
  <c r="AH360" i="1"/>
  <c r="AG361" i="1"/>
  <c r="AH361" i="1"/>
  <c r="AG362" i="1"/>
  <c r="AH362" i="1"/>
  <c r="AG363" i="1"/>
  <c r="AH363" i="1"/>
  <c r="AG364" i="1"/>
  <c r="AH364" i="1"/>
  <c r="AG365" i="1"/>
  <c r="AH365" i="1"/>
  <c r="AG366" i="1"/>
  <c r="AH366" i="1"/>
  <c r="AG367" i="1"/>
  <c r="AH367" i="1"/>
  <c r="AG368" i="1"/>
  <c r="AH368" i="1"/>
  <c r="AG369" i="1"/>
  <c r="AH369" i="1"/>
  <c r="AG370" i="1"/>
  <c r="AH370" i="1"/>
  <c r="AG371" i="1"/>
  <c r="AH371" i="1"/>
  <c r="AG372" i="1"/>
  <c r="AH372" i="1"/>
  <c r="AG373" i="1"/>
  <c r="AH373" i="1"/>
  <c r="AG374" i="1"/>
  <c r="AH374" i="1"/>
  <c r="AG375" i="1"/>
  <c r="AH375" i="1"/>
  <c r="AG376" i="1"/>
  <c r="AH376" i="1"/>
  <c r="AG377" i="1"/>
  <c r="AH377" i="1"/>
  <c r="AG378" i="1"/>
  <c r="AH378" i="1"/>
  <c r="AG379" i="1"/>
  <c r="AH379" i="1"/>
  <c r="AG380" i="1"/>
  <c r="AH380" i="1"/>
  <c r="AG381" i="1"/>
  <c r="AH381" i="1"/>
  <c r="AG382" i="1"/>
  <c r="AH382" i="1"/>
  <c r="AG383" i="1"/>
  <c r="AH383" i="1"/>
  <c r="AG384" i="1"/>
  <c r="AH384" i="1"/>
  <c r="AG385" i="1"/>
  <c r="AH385" i="1"/>
  <c r="AG386" i="1"/>
  <c r="AH386" i="1"/>
  <c r="AG387" i="1"/>
  <c r="AH387" i="1"/>
  <c r="AG388" i="1"/>
  <c r="AH388" i="1"/>
  <c r="AG389" i="1"/>
  <c r="AH389" i="1"/>
  <c r="AG390" i="1"/>
  <c r="AH390" i="1"/>
  <c r="AG391" i="1"/>
  <c r="AH391" i="1"/>
  <c r="AG392" i="1"/>
  <c r="AH392" i="1"/>
  <c r="AG393" i="1"/>
  <c r="AH393" i="1"/>
  <c r="AG394" i="1"/>
  <c r="AH394" i="1"/>
  <c r="AG395" i="1"/>
  <c r="AH395" i="1"/>
  <c r="AG396" i="1"/>
  <c r="AH396" i="1"/>
  <c r="AG397" i="1"/>
  <c r="AH397" i="1"/>
  <c r="AG398" i="1"/>
  <c r="AH398" i="1"/>
  <c r="AG399" i="1"/>
  <c r="AH399" i="1"/>
  <c r="AG400" i="1"/>
  <c r="AH400" i="1"/>
  <c r="AG401" i="1"/>
  <c r="AH401" i="1"/>
  <c r="AG402" i="1"/>
  <c r="AH402" i="1"/>
  <c r="AG403" i="1"/>
  <c r="AH403" i="1"/>
  <c r="AG404" i="1"/>
  <c r="AH404" i="1"/>
  <c r="AG405" i="1"/>
  <c r="AH405" i="1"/>
  <c r="AG406" i="1"/>
  <c r="AH406" i="1"/>
  <c r="AG407" i="1"/>
  <c r="AH407" i="1"/>
  <c r="AG408" i="1"/>
  <c r="AH408" i="1"/>
  <c r="AG409" i="1"/>
  <c r="AH409" i="1"/>
  <c r="AG410" i="1"/>
  <c r="AH410" i="1"/>
  <c r="AG411" i="1"/>
  <c r="AH411" i="1"/>
  <c r="AG412" i="1"/>
  <c r="AH412" i="1"/>
  <c r="AG413" i="1"/>
  <c r="AH413" i="1"/>
  <c r="AG414" i="1"/>
  <c r="AH414" i="1"/>
  <c r="AG415" i="1"/>
  <c r="AH415" i="1"/>
  <c r="AG416" i="1"/>
  <c r="AH416" i="1"/>
  <c r="AG417" i="1"/>
  <c r="AH417" i="1"/>
  <c r="AG418" i="1"/>
  <c r="AH418" i="1"/>
  <c r="AG419" i="1"/>
  <c r="AH419" i="1"/>
  <c r="AG420" i="1"/>
  <c r="AH420" i="1"/>
  <c r="AG421" i="1"/>
  <c r="AH421" i="1"/>
  <c r="AG422" i="1"/>
  <c r="AH422" i="1"/>
  <c r="AG423" i="1"/>
  <c r="AH423" i="1"/>
  <c r="AG424" i="1"/>
  <c r="AH424" i="1"/>
  <c r="AG425" i="1"/>
  <c r="AH425" i="1"/>
  <c r="AG426" i="1"/>
  <c r="AH426" i="1"/>
  <c r="AG427" i="1"/>
  <c r="AH427" i="1"/>
  <c r="AG428" i="1"/>
  <c r="AH428" i="1"/>
  <c r="AG429" i="1"/>
  <c r="AH429" i="1"/>
  <c r="AG430" i="1"/>
  <c r="AH430" i="1"/>
  <c r="AG431" i="1"/>
  <c r="AH431" i="1"/>
  <c r="AG432" i="1"/>
  <c r="AH432" i="1"/>
  <c r="AG433" i="1"/>
  <c r="AH433" i="1"/>
  <c r="AG434" i="1"/>
  <c r="AH434" i="1"/>
  <c r="AG435" i="1"/>
  <c r="AH435" i="1"/>
  <c r="AG436" i="1"/>
  <c r="AH436" i="1"/>
  <c r="AG437" i="1"/>
  <c r="AH437" i="1"/>
  <c r="AG438" i="1"/>
  <c r="AH438" i="1"/>
  <c r="AG439" i="1"/>
  <c r="AH439" i="1"/>
  <c r="AG440" i="1"/>
  <c r="AH440" i="1"/>
  <c r="AG441" i="1"/>
  <c r="AH441" i="1"/>
  <c r="AG442" i="1"/>
  <c r="AH442" i="1"/>
  <c r="AG443" i="1"/>
  <c r="AH443" i="1"/>
  <c r="AG444" i="1"/>
  <c r="AH444" i="1"/>
  <c r="AG445" i="1"/>
  <c r="AH445" i="1"/>
  <c r="AG446" i="1"/>
  <c r="AH446" i="1"/>
  <c r="AG447" i="1"/>
  <c r="AH447" i="1"/>
  <c r="AG448" i="1"/>
  <c r="AH448" i="1"/>
  <c r="AG449" i="1"/>
  <c r="AH449" i="1"/>
  <c r="AG450" i="1"/>
  <c r="AH450" i="1"/>
  <c r="AG451" i="1"/>
  <c r="AH451" i="1"/>
  <c r="AG452" i="1"/>
  <c r="AH452" i="1"/>
  <c r="AG453" i="1"/>
  <c r="AH453" i="1"/>
  <c r="AG454" i="1"/>
  <c r="AH454" i="1"/>
  <c r="AG455" i="1"/>
  <c r="AH455" i="1"/>
  <c r="AG456" i="1"/>
  <c r="AH456" i="1"/>
  <c r="AG457" i="1"/>
  <c r="AH457" i="1"/>
  <c r="AG458" i="1"/>
  <c r="AH458" i="1"/>
  <c r="AG459" i="1"/>
  <c r="AH459" i="1"/>
  <c r="AG460" i="1"/>
  <c r="AH460" i="1"/>
  <c r="AG461" i="1"/>
  <c r="AH461" i="1"/>
  <c r="AG462" i="1"/>
  <c r="AH462" i="1"/>
  <c r="AG463" i="1"/>
  <c r="AH463" i="1"/>
  <c r="AG464" i="1"/>
  <c r="AH464" i="1"/>
  <c r="AG465" i="1"/>
  <c r="AH465" i="1"/>
  <c r="AG466" i="1"/>
  <c r="AH466" i="1"/>
  <c r="AG467" i="1"/>
  <c r="AH467" i="1"/>
  <c r="AG468" i="1"/>
  <c r="AH468" i="1"/>
  <c r="AG469" i="1"/>
  <c r="AH469" i="1"/>
  <c r="AG470" i="1"/>
  <c r="AH470" i="1"/>
  <c r="AG471" i="1"/>
  <c r="AH471" i="1"/>
  <c r="AG472" i="1"/>
  <c r="AH472" i="1"/>
  <c r="AG473" i="1"/>
  <c r="AH473" i="1"/>
  <c r="AG474" i="1"/>
  <c r="AH474" i="1"/>
  <c r="AG475" i="1"/>
  <c r="AH475" i="1"/>
  <c r="AG476" i="1"/>
  <c r="AH476" i="1"/>
  <c r="AG477" i="1"/>
  <c r="AH477" i="1"/>
  <c r="AG478" i="1"/>
  <c r="AH478" i="1"/>
  <c r="AG479" i="1"/>
  <c r="AH479" i="1"/>
  <c r="AG480" i="1"/>
  <c r="AH480" i="1"/>
  <c r="AG481" i="1"/>
  <c r="AH481" i="1"/>
  <c r="AG482" i="1"/>
  <c r="AH482" i="1"/>
  <c r="AG483" i="1"/>
  <c r="AH483" i="1"/>
  <c r="AG484" i="1"/>
  <c r="AH484" i="1"/>
  <c r="AG485" i="1"/>
  <c r="AH485" i="1"/>
  <c r="AG486" i="1"/>
  <c r="AH486" i="1"/>
  <c r="AG487" i="1"/>
  <c r="AH487" i="1"/>
  <c r="AG488" i="1"/>
  <c r="AH488" i="1"/>
  <c r="AG489" i="1"/>
  <c r="AH489" i="1"/>
  <c r="AG490" i="1"/>
  <c r="AH490" i="1"/>
  <c r="AG491" i="1"/>
  <c r="AH491" i="1"/>
  <c r="AG492" i="1"/>
  <c r="AH492" i="1"/>
  <c r="AG493" i="1"/>
  <c r="AH493" i="1"/>
  <c r="AG494" i="1"/>
  <c r="AH494" i="1"/>
  <c r="AG495" i="1"/>
  <c r="AH495" i="1"/>
  <c r="AG496" i="1"/>
  <c r="AH496" i="1"/>
  <c r="AG497" i="1"/>
  <c r="AH497" i="1"/>
  <c r="AG498" i="1"/>
  <c r="AH498" i="1"/>
  <c r="AG499" i="1"/>
  <c r="AH499" i="1"/>
  <c r="AG500" i="1"/>
  <c r="AH500" i="1"/>
  <c r="AG501" i="1"/>
  <c r="AH501" i="1"/>
  <c r="AG502" i="1"/>
  <c r="AH502" i="1"/>
  <c r="AG503" i="1"/>
  <c r="AH503" i="1"/>
  <c r="AG504" i="1"/>
  <c r="AH504" i="1"/>
  <c r="AG505" i="1"/>
  <c r="AH505" i="1"/>
  <c r="AG506" i="1"/>
  <c r="AH506" i="1"/>
  <c r="AG507" i="1"/>
  <c r="AH507" i="1"/>
  <c r="AG508" i="1"/>
  <c r="AH508" i="1"/>
  <c r="AG509" i="1"/>
  <c r="AH509" i="1"/>
  <c r="AG510" i="1"/>
  <c r="AH510" i="1"/>
  <c r="AG511" i="1"/>
  <c r="AH511" i="1"/>
  <c r="AG512" i="1"/>
  <c r="AH512" i="1"/>
  <c r="AG513" i="1"/>
  <c r="AH513" i="1"/>
  <c r="AG514" i="1"/>
  <c r="AH514" i="1"/>
  <c r="AG515" i="1"/>
  <c r="AH515" i="1"/>
  <c r="AG516" i="1"/>
  <c r="AH516" i="1"/>
  <c r="AG517" i="1"/>
  <c r="AH517" i="1"/>
  <c r="AG518" i="1"/>
  <c r="AH518" i="1"/>
  <c r="AG519" i="1"/>
  <c r="AH519" i="1"/>
  <c r="AG520" i="1"/>
  <c r="AH520" i="1"/>
  <c r="AG521" i="1"/>
  <c r="AH521" i="1"/>
  <c r="AG522" i="1"/>
  <c r="AH522" i="1"/>
  <c r="AG523" i="1"/>
  <c r="AH523" i="1"/>
  <c r="AG524" i="1"/>
  <c r="AH524" i="1"/>
  <c r="AG525" i="1"/>
  <c r="AH525" i="1"/>
  <c r="AG526" i="1"/>
  <c r="AH526" i="1"/>
  <c r="AG527" i="1"/>
  <c r="AH527" i="1"/>
  <c r="AG528" i="1"/>
  <c r="AH528" i="1"/>
  <c r="AG529" i="1"/>
  <c r="AH529" i="1"/>
  <c r="AG530" i="1"/>
  <c r="AH530" i="1"/>
  <c r="AG531" i="1"/>
  <c r="AH531" i="1"/>
  <c r="AG532" i="1"/>
  <c r="AH532" i="1"/>
  <c r="AG533" i="1"/>
  <c r="AH533" i="1"/>
  <c r="AG534" i="1"/>
  <c r="AH534" i="1"/>
  <c r="AG535" i="1"/>
  <c r="AH535" i="1"/>
  <c r="AG536" i="1"/>
  <c r="AH536" i="1"/>
  <c r="AG537" i="1"/>
  <c r="AH537" i="1"/>
  <c r="AG538" i="1"/>
  <c r="AH538" i="1"/>
  <c r="AG539" i="1"/>
  <c r="AH539" i="1"/>
  <c r="AG540" i="1"/>
  <c r="AH540" i="1"/>
  <c r="AG541" i="1"/>
  <c r="AH541" i="1"/>
  <c r="AG542" i="1"/>
  <c r="AH542" i="1"/>
  <c r="AG543" i="1"/>
  <c r="AH543" i="1"/>
  <c r="AG544" i="1"/>
  <c r="AH544" i="1"/>
  <c r="AG545" i="1"/>
  <c r="AH545" i="1"/>
  <c r="AG546" i="1"/>
  <c r="AH546" i="1"/>
  <c r="AG547" i="1"/>
  <c r="AH547" i="1"/>
  <c r="AG548" i="1"/>
  <c r="AH548" i="1"/>
  <c r="AG549" i="1"/>
  <c r="AH549" i="1"/>
  <c r="AG550" i="1"/>
  <c r="AH550" i="1"/>
  <c r="AG551" i="1"/>
  <c r="AH551" i="1"/>
  <c r="AG552" i="1"/>
  <c r="AH552" i="1"/>
  <c r="AG554" i="1"/>
  <c r="AH554" i="1"/>
  <c r="AG555" i="1"/>
  <c r="AH555" i="1"/>
  <c r="AG556" i="1"/>
  <c r="AH556" i="1"/>
  <c r="AG557" i="1"/>
  <c r="AH557" i="1"/>
  <c r="AG558" i="1"/>
  <c r="AH558" i="1"/>
  <c r="AG559" i="1"/>
  <c r="AH559" i="1"/>
  <c r="AG560" i="1"/>
  <c r="AH560" i="1"/>
  <c r="AG561" i="1"/>
  <c r="AH561" i="1"/>
  <c r="AG562" i="1"/>
  <c r="AH562" i="1"/>
  <c r="AG563" i="1"/>
  <c r="AH563" i="1"/>
  <c r="AG564" i="1"/>
  <c r="AH564" i="1"/>
  <c r="AG565" i="1"/>
  <c r="AH565" i="1"/>
  <c r="AG566" i="1"/>
  <c r="AH566" i="1"/>
  <c r="AG567" i="1"/>
  <c r="AH567" i="1"/>
  <c r="AG568" i="1"/>
  <c r="AH568" i="1"/>
  <c r="AG569" i="1"/>
  <c r="AH569" i="1"/>
  <c r="AG570" i="1"/>
  <c r="AH570" i="1"/>
  <c r="AG571" i="1"/>
  <c r="AH571" i="1"/>
  <c r="AG572" i="1"/>
  <c r="AH572" i="1"/>
  <c r="AG573" i="1"/>
  <c r="AH573" i="1"/>
  <c r="AG574" i="1"/>
  <c r="AH574" i="1"/>
  <c r="AG575" i="1"/>
  <c r="AH575" i="1"/>
  <c r="AG576" i="1"/>
  <c r="AH576" i="1"/>
  <c r="AG577" i="1"/>
  <c r="AH577" i="1"/>
  <c r="AG578" i="1"/>
  <c r="AH578" i="1"/>
  <c r="AG579" i="1"/>
  <c r="AH579" i="1"/>
  <c r="AG580" i="1"/>
  <c r="AH580" i="1"/>
  <c r="AG581" i="1"/>
  <c r="AH581" i="1"/>
  <c r="AG582" i="1"/>
  <c r="AH582" i="1"/>
  <c r="AG583" i="1"/>
  <c r="AH583" i="1"/>
  <c r="AG584" i="1"/>
  <c r="AH584" i="1"/>
  <c r="AG585" i="1"/>
  <c r="AH585" i="1"/>
  <c r="AG586" i="1"/>
  <c r="AH586" i="1"/>
  <c r="AG587" i="1"/>
  <c r="AH587" i="1"/>
  <c r="AG588" i="1"/>
  <c r="AH588" i="1"/>
  <c r="AG589" i="1"/>
  <c r="AH589" i="1"/>
  <c r="AG590" i="1"/>
  <c r="AH590" i="1"/>
  <c r="AG591" i="1"/>
  <c r="AH591" i="1"/>
  <c r="AG592" i="1"/>
  <c r="AH592" i="1"/>
  <c r="AG593" i="1"/>
  <c r="AH593" i="1"/>
  <c r="AG594" i="1"/>
  <c r="AH594" i="1"/>
  <c r="AG595" i="1"/>
  <c r="AH595" i="1"/>
  <c r="AG596" i="1"/>
  <c r="AH596" i="1"/>
  <c r="AG597" i="1"/>
  <c r="AH597" i="1"/>
  <c r="AG598" i="1"/>
  <c r="AH598" i="1"/>
  <c r="AG599" i="1"/>
  <c r="AH599" i="1"/>
  <c r="AG600" i="1"/>
  <c r="AH600" i="1"/>
  <c r="AG601" i="1"/>
  <c r="AH601" i="1"/>
  <c r="AG602" i="1"/>
  <c r="AH602" i="1"/>
  <c r="AG603" i="1"/>
  <c r="AH603" i="1"/>
  <c r="AG604" i="1"/>
  <c r="AH604" i="1"/>
  <c r="AG605" i="1"/>
  <c r="AH605" i="1"/>
  <c r="AG606" i="1"/>
  <c r="AH606" i="1"/>
  <c r="AG607" i="1"/>
  <c r="AH607" i="1"/>
  <c r="AG608" i="1"/>
  <c r="AH608" i="1"/>
  <c r="AG609" i="1"/>
  <c r="AH609" i="1"/>
  <c r="AG610" i="1"/>
  <c r="AH610" i="1"/>
  <c r="AG611" i="1"/>
  <c r="AH611" i="1"/>
  <c r="AG612" i="1"/>
  <c r="AH612" i="1"/>
  <c r="AG613" i="1"/>
  <c r="AH613" i="1"/>
  <c r="AG614" i="1"/>
  <c r="AH614" i="1"/>
  <c r="AG615" i="1"/>
  <c r="AH615" i="1"/>
  <c r="AG616" i="1"/>
  <c r="AH616" i="1"/>
  <c r="AG617" i="1"/>
  <c r="AH617" i="1"/>
  <c r="AG618" i="1"/>
  <c r="AH618" i="1"/>
  <c r="AG619" i="1"/>
  <c r="AH619" i="1"/>
  <c r="AG620" i="1"/>
  <c r="AH620" i="1"/>
  <c r="AG621" i="1"/>
  <c r="AH621" i="1"/>
  <c r="AG622" i="1"/>
  <c r="AH622" i="1"/>
  <c r="AG623" i="1"/>
  <c r="AH623" i="1"/>
  <c r="AG624" i="1"/>
  <c r="AH624" i="1"/>
  <c r="AG625" i="1"/>
  <c r="AH625" i="1"/>
  <c r="AG626" i="1"/>
  <c r="AH626" i="1"/>
  <c r="AG627" i="1"/>
  <c r="AH627" i="1"/>
  <c r="AG628" i="1"/>
  <c r="AH628" i="1"/>
  <c r="AG629" i="1"/>
  <c r="AH629" i="1"/>
  <c r="AG630" i="1"/>
  <c r="AH630" i="1"/>
  <c r="AG631" i="1"/>
  <c r="AH631" i="1"/>
  <c r="AG632" i="1"/>
  <c r="AH632" i="1"/>
  <c r="AG633" i="1"/>
  <c r="AH633" i="1"/>
  <c r="AG634" i="1"/>
  <c r="AH634" i="1"/>
  <c r="AG635" i="1"/>
  <c r="AH635" i="1"/>
  <c r="AG636" i="1"/>
  <c r="AH636" i="1"/>
  <c r="AG637" i="1"/>
  <c r="AH637" i="1"/>
  <c r="AG638" i="1"/>
  <c r="AH638" i="1"/>
  <c r="AG639" i="1"/>
  <c r="AH639" i="1"/>
  <c r="AG640" i="1"/>
  <c r="AH640" i="1"/>
  <c r="AG641" i="1"/>
  <c r="AH641" i="1"/>
  <c r="AG642" i="1"/>
  <c r="AH642" i="1"/>
  <c r="AG643" i="1"/>
  <c r="AH643" i="1"/>
  <c r="AG644" i="1"/>
  <c r="AH644" i="1"/>
  <c r="AG645" i="1"/>
  <c r="AH645" i="1"/>
  <c r="AG646" i="1"/>
  <c r="AH646" i="1"/>
  <c r="AG647" i="1"/>
  <c r="AH647" i="1"/>
  <c r="AG648" i="1"/>
  <c r="AH648" i="1"/>
  <c r="AG649" i="1"/>
  <c r="AH649" i="1"/>
  <c r="AG650" i="1"/>
  <c r="AH650" i="1"/>
  <c r="AG651" i="1"/>
  <c r="AH651" i="1"/>
  <c r="AG652" i="1"/>
  <c r="AH652" i="1"/>
  <c r="AG653" i="1"/>
  <c r="AH653" i="1"/>
  <c r="AG654" i="1"/>
  <c r="AH654" i="1"/>
  <c r="AG655" i="1"/>
  <c r="AH655" i="1"/>
  <c r="AG656" i="1"/>
  <c r="AH656" i="1"/>
  <c r="AG657" i="1"/>
  <c r="AH657" i="1"/>
  <c r="AG658" i="1"/>
  <c r="AH658" i="1"/>
  <c r="AG659" i="1"/>
  <c r="AH659" i="1"/>
  <c r="AG660" i="1"/>
  <c r="AH660" i="1"/>
  <c r="AG661" i="1"/>
  <c r="AH661" i="1"/>
  <c r="AG662" i="1"/>
  <c r="AH662" i="1"/>
  <c r="AG663" i="1"/>
  <c r="AH663" i="1"/>
  <c r="AG664" i="1"/>
  <c r="AH664" i="1"/>
  <c r="AG665" i="1"/>
  <c r="AH665" i="1"/>
  <c r="AG666" i="1"/>
  <c r="AH666" i="1"/>
  <c r="AG667" i="1"/>
  <c r="AH667" i="1"/>
  <c r="AG668" i="1"/>
  <c r="AH668" i="1"/>
  <c r="AG669" i="1"/>
  <c r="AH669" i="1"/>
  <c r="AG670" i="1"/>
  <c r="AH670" i="1"/>
  <c r="AG671" i="1"/>
  <c r="AH671" i="1"/>
  <c r="AG672" i="1"/>
  <c r="AH672" i="1"/>
  <c r="AG673" i="1"/>
  <c r="AH673" i="1"/>
  <c r="AG674" i="1"/>
  <c r="AH674" i="1"/>
  <c r="AG675" i="1"/>
  <c r="AH675" i="1"/>
  <c r="AG676" i="1"/>
  <c r="AH676" i="1"/>
  <c r="AG677" i="1"/>
  <c r="AH677" i="1"/>
  <c r="AG678" i="1"/>
  <c r="AH678" i="1"/>
  <c r="AG679" i="1"/>
  <c r="AH679" i="1"/>
  <c r="AG680" i="1"/>
  <c r="AH680" i="1"/>
  <c r="AG681" i="1"/>
  <c r="AH681" i="1"/>
  <c r="AG682" i="1"/>
  <c r="AH682" i="1"/>
  <c r="AG683" i="1"/>
  <c r="AH683" i="1"/>
  <c r="AG684" i="1"/>
  <c r="AH684" i="1"/>
  <c r="AG685" i="1"/>
  <c r="AH685" i="1"/>
  <c r="AG686" i="1"/>
  <c r="AH686" i="1"/>
  <c r="AG687" i="1"/>
  <c r="AH687" i="1"/>
  <c r="AG688" i="1"/>
  <c r="AH688" i="1"/>
  <c r="AG689" i="1"/>
  <c r="AH689" i="1"/>
  <c r="AG690" i="1"/>
  <c r="AH690" i="1"/>
  <c r="AG691" i="1"/>
  <c r="AH691" i="1"/>
  <c r="AG692" i="1"/>
  <c r="AH692" i="1"/>
  <c r="AG693" i="1"/>
  <c r="AH693" i="1"/>
  <c r="AG694" i="1"/>
  <c r="AH694" i="1"/>
  <c r="AG695" i="1"/>
  <c r="AH695" i="1"/>
  <c r="AG696" i="1"/>
  <c r="AH696" i="1"/>
  <c r="AG697" i="1"/>
  <c r="AH697" i="1"/>
  <c r="AG698" i="1"/>
  <c r="AH698" i="1"/>
  <c r="AG699" i="1"/>
  <c r="AH699" i="1"/>
  <c r="AG700" i="1"/>
  <c r="AH700" i="1"/>
  <c r="AG701" i="1"/>
  <c r="AH701" i="1"/>
  <c r="AG702" i="1"/>
  <c r="AH702" i="1"/>
  <c r="AG703" i="1"/>
  <c r="AH703" i="1"/>
  <c r="AG704" i="1"/>
  <c r="AH704" i="1"/>
  <c r="AG705" i="1"/>
  <c r="AH705" i="1"/>
  <c r="AG706" i="1"/>
  <c r="AH706" i="1"/>
  <c r="AG707" i="1"/>
  <c r="AH707" i="1"/>
  <c r="AG708" i="1"/>
  <c r="AH708" i="1"/>
  <c r="AG709" i="1"/>
  <c r="AH709" i="1"/>
  <c r="AG710" i="1"/>
  <c r="AH710" i="1"/>
  <c r="AG711" i="1"/>
  <c r="AH711" i="1"/>
  <c r="AG712" i="1"/>
  <c r="AH712" i="1"/>
  <c r="AG713" i="1"/>
  <c r="AH713" i="1"/>
  <c r="AG714" i="1"/>
  <c r="AH714" i="1"/>
  <c r="AG715" i="1"/>
  <c r="AH715" i="1"/>
  <c r="AG716" i="1"/>
  <c r="AH716" i="1"/>
  <c r="AG717" i="1"/>
  <c r="AH717" i="1"/>
  <c r="AG718" i="1"/>
  <c r="AH718" i="1"/>
  <c r="AG719" i="1"/>
  <c r="AH719" i="1"/>
  <c r="AG720" i="1"/>
  <c r="AH720" i="1"/>
  <c r="AG721" i="1"/>
  <c r="AH721" i="1"/>
  <c r="AG722" i="1"/>
  <c r="AH722" i="1"/>
  <c r="AG723" i="1"/>
  <c r="AH723" i="1"/>
  <c r="AG724" i="1"/>
  <c r="AH724" i="1"/>
  <c r="AG725" i="1"/>
  <c r="AH725" i="1"/>
  <c r="AG726" i="1"/>
  <c r="AH726" i="1"/>
  <c r="AG727" i="1"/>
  <c r="AH727" i="1"/>
  <c r="AG728" i="1"/>
  <c r="AH728" i="1"/>
  <c r="AG729" i="1"/>
  <c r="AH729" i="1"/>
  <c r="AG730" i="1"/>
  <c r="AH730" i="1"/>
  <c r="AG731" i="1"/>
  <c r="AH731" i="1"/>
  <c r="AG732" i="1"/>
  <c r="AH732" i="1"/>
  <c r="AG733" i="1"/>
  <c r="AH733" i="1"/>
  <c r="AG734" i="1"/>
  <c r="AH734" i="1"/>
  <c r="AG735" i="1"/>
  <c r="AH735" i="1"/>
  <c r="AG736" i="1"/>
  <c r="AH736" i="1"/>
  <c r="AG737" i="1"/>
  <c r="AH737" i="1"/>
  <c r="AG738" i="1"/>
  <c r="AH738" i="1"/>
  <c r="AG739" i="1"/>
  <c r="AH739" i="1"/>
  <c r="AG740" i="1"/>
  <c r="AH740" i="1"/>
  <c r="AG741" i="1"/>
  <c r="AH741" i="1"/>
  <c r="AG742" i="1"/>
  <c r="AH742" i="1"/>
  <c r="AG743" i="1"/>
  <c r="AH743" i="1"/>
  <c r="AG744" i="1"/>
  <c r="AH744" i="1"/>
  <c r="AG745" i="1"/>
  <c r="AH745" i="1"/>
  <c r="AG746" i="1"/>
  <c r="AH746" i="1"/>
  <c r="AG747" i="1"/>
  <c r="AH747" i="1"/>
  <c r="AG748" i="1"/>
  <c r="AH748" i="1"/>
  <c r="AG749" i="1"/>
  <c r="AH749" i="1"/>
  <c r="AG750" i="1"/>
  <c r="AH750" i="1"/>
  <c r="AG751" i="1"/>
  <c r="AH751" i="1"/>
  <c r="AG752" i="1"/>
  <c r="AH752" i="1"/>
  <c r="AG753" i="1"/>
  <c r="AH753" i="1"/>
  <c r="AG754" i="1"/>
  <c r="AH754" i="1"/>
  <c r="AG755" i="1"/>
  <c r="AH755" i="1"/>
  <c r="AG756" i="1"/>
  <c r="AH756" i="1"/>
  <c r="AG757" i="1"/>
  <c r="AH757" i="1"/>
  <c r="AG758" i="1"/>
  <c r="AH758" i="1"/>
  <c r="AG759" i="1"/>
  <c r="AH759" i="1"/>
  <c r="AG760" i="1"/>
  <c r="AH760" i="1"/>
  <c r="AG761" i="1"/>
  <c r="AH761" i="1"/>
  <c r="AG762" i="1"/>
  <c r="AH762" i="1"/>
  <c r="AG763" i="1"/>
  <c r="AH763" i="1"/>
  <c r="AG764" i="1"/>
  <c r="AH764" i="1"/>
  <c r="AG765" i="1"/>
  <c r="AH765" i="1"/>
  <c r="AG766" i="1"/>
  <c r="AH766" i="1"/>
  <c r="AG767" i="1"/>
  <c r="AH767" i="1"/>
  <c r="AG768" i="1"/>
  <c r="AH768" i="1"/>
  <c r="AG769" i="1"/>
  <c r="AH769" i="1"/>
  <c r="AG770" i="1"/>
  <c r="AH770" i="1"/>
  <c r="AG771" i="1"/>
  <c r="AH771" i="1"/>
  <c r="AG772" i="1"/>
  <c r="AH772" i="1"/>
  <c r="AG773" i="1"/>
  <c r="AH773" i="1"/>
  <c r="AG774" i="1"/>
  <c r="AH774" i="1"/>
  <c r="AG775" i="1"/>
  <c r="AH775" i="1"/>
  <c r="AG776" i="1"/>
  <c r="AH776" i="1"/>
  <c r="AG777" i="1"/>
  <c r="AH777" i="1"/>
  <c r="AG778" i="1"/>
  <c r="AH778" i="1"/>
  <c r="AG779" i="1"/>
  <c r="AH779" i="1"/>
  <c r="AG780" i="1"/>
  <c r="AH780" i="1"/>
  <c r="AG781" i="1"/>
  <c r="AH781" i="1"/>
  <c r="AG782" i="1"/>
  <c r="AH782" i="1"/>
  <c r="AG783" i="1"/>
  <c r="AH783" i="1"/>
  <c r="AG784" i="1"/>
  <c r="AH784" i="1"/>
  <c r="AG785" i="1"/>
  <c r="AH785" i="1"/>
  <c r="AG786" i="1"/>
  <c r="AH786" i="1"/>
  <c r="AG787" i="1"/>
  <c r="AH787" i="1"/>
  <c r="AG788" i="1"/>
  <c r="AH788" i="1"/>
  <c r="AG789" i="1"/>
  <c r="AH789" i="1"/>
  <c r="AG790" i="1"/>
  <c r="AH790" i="1"/>
  <c r="AG791" i="1"/>
  <c r="AH791" i="1"/>
  <c r="AG792" i="1"/>
  <c r="AH792" i="1"/>
  <c r="AG793" i="1"/>
  <c r="AH793" i="1"/>
  <c r="AG794" i="1"/>
  <c r="AH794" i="1"/>
  <c r="AG795" i="1"/>
  <c r="AH795" i="1"/>
  <c r="AG796" i="1"/>
  <c r="AH796" i="1"/>
  <c r="AG797" i="1"/>
  <c r="AH797" i="1"/>
  <c r="AG798" i="1"/>
  <c r="AH798" i="1"/>
  <c r="AG799" i="1"/>
  <c r="AH799" i="1"/>
  <c r="AG800" i="1"/>
  <c r="AH800" i="1"/>
  <c r="AG801" i="1"/>
  <c r="AH801" i="1"/>
  <c r="AG802" i="1"/>
  <c r="AH802" i="1"/>
  <c r="AG803" i="1"/>
  <c r="AH803" i="1"/>
  <c r="AG804" i="1"/>
  <c r="AH804" i="1"/>
  <c r="AG805" i="1"/>
  <c r="AH805" i="1"/>
  <c r="AG806" i="1"/>
  <c r="AH806" i="1"/>
  <c r="AG807" i="1"/>
  <c r="AH807" i="1"/>
  <c r="AG808" i="1"/>
  <c r="AH808" i="1"/>
  <c r="AG809" i="1"/>
  <c r="AH809" i="1"/>
  <c r="AG810" i="1"/>
  <c r="AH810" i="1"/>
  <c r="AG811" i="1"/>
  <c r="AH811" i="1"/>
  <c r="AG812" i="1"/>
  <c r="AH812" i="1"/>
  <c r="AG813" i="1"/>
  <c r="AH813" i="1"/>
  <c r="AG814" i="1"/>
  <c r="AH814" i="1"/>
  <c r="AG815" i="1"/>
  <c r="AH815" i="1"/>
  <c r="AG816" i="1"/>
  <c r="AH816" i="1"/>
  <c r="AG817" i="1"/>
  <c r="AH817" i="1"/>
  <c r="AG818" i="1"/>
  <c r="AH818" i="1"/>
  <c r="AG819" i="1"/>
  <c r="AH819" i="1"/>
  <c r="AG820" i="1"/>
  <c r="AH820" i="1"/>
  <c r="AG821" i="1"/>
  <c r="AH821" i="1"/>
  <c r="AG822" i="1"/>
  <c r="AH822" i="1"/>
  <c r="AG823" i="1"/>
  <c r="AH823" i="1"/>
  <c r="AG824" i="1"/>
  <c r="AH824" i="1"/>
  <c r="AG825" i="1"/>
  <c r="AH825" i="1"/>
  <c r="AG826" i="1"/>
  <c r="AH826" i="1"/>
  <c r="AG827" i="1"/>
  <c r="AH827" i="1"/>
  <c r="AG828" i="1"/>
  <c r="AH828" i="1"/>
  <c r="AG829" i="1"/>
  <c r="AH829" i="1"/>
  <c r="AG830" i="1"/>
  <c r="AH830" i="1"/>
  <c r="AG831" i="1"/>
  <c r="AH831" i="1"/>
  <c r="AG832" i="1"/>
  <c r="AH832" i="1"/>
  <c r="AG833" i="1"/>
  <c r="AH833" i="1"/>
  <c r="AG834" i="1"/>
  <c r="AH834" i="1"/>
  <c r="AG835" i="1"/>
  <c r="AH835" i="1"/>
  <c r="AG836" i="1"/>
  <c r="AH836" i="1"/>
  <c r="AG837" i="1"/>
  <c r="AH837" i="1"/>
  <c r="AG838" i="1"/>
  <c r="AH838" i="1"/>
  <c r="AG839" i="1"/>
  <c r="AH839" i="1"/>
  <c r="AG840" i="1"/>
  <c r="AH840" i="1"/>
  <c r="AG841" i="1"/>
  <c r="AH841" i="1"/>
  <c r="AG842" i="1"/>
  <c r="AH842" i="1"/>
  <c r="AG843" i="1"/>
  <c r="AH843" i="1"/>
  <c r="AG844" i="1"/>
  <c r="AH844" i="1"/>
  <c r="AG845" i="1"/>
  <c r="AH845" i="1"/>
  <c r="AG846" i="1"/>
  <c r="AH846" i="1"/>
  <c r="AG847" i="1"/>
  <c r="AH847" i="1"/>
  <c r="AG848" i="1"/>
  <c r="AH848" i="1"/>
  <c r="AG849" i="1"/>
  <c r="AH849" i="1"/>
  <c r="AG850" i="1"/>
  <c r="AH850" i="1"/>
  <c r="AG851" i="1"/>
  <c r="AH851" i="1"/>
  <c r="AG852" i="1"/>
  <c r="AH852" i="1"/>
  <c r="AG853" i="1"/>
  <c r="AH853" i="1"/>
  <c r="AG854" i="1"/>
  <c r="AH854" i="1"/>
  <c r="AG855" i="1"/>
  <c r="AH855" i="1"/>
  <c r="AG856" i="1"/>
  <c r="AH856" i="1"/>
  <c r="AG857" i="1"/>
  <c r="AH857" i="1"/>
  <c r="AG858" i="1"/>
  <c r="AH858" i="1"/>
  <c r="AG859" i="1"/>
  <c r="AH859" i="1"/>
  <c r="AG860" i="1"/>
  <c r="AH860" i="1"/>
  <c r="AG861" i="1"/>
  <c r="AH861" i="1"/>
  <c r="AG862" i="1"/>
  <c r="AH862" i="1"/>
  <c r="AG863" i="1"/>
  <c r="AH863" i="1"/>
  <c r="AG864" i="1"/>
  <c r="AH864" i="1"/>
  <c r="AG865" i="1"/>
  <c r="AH865" i="1"/>
  <c r="AG866" i="1"/>
  <c r="AH866" i="1"/>
  <c r="AG867" i="1"/>
  <c r="AH867" i="1"/>
  <c r="AG868" i="1"/>
  <c r="AH868" i="1"/>
  <c r="AG869" i="1"/>
  <c r="AH869" i="1"/>
  <c r="AG870" i="1"/>
  <c r="AH870" i="1"/>
  <c r="AG871" i="1"/>
  <c r="AH871" i="1"/>
  <c r="AG872" i="1"/>
  <c r="AH872" i="1"/>
  <c r="AG873" i="1"/>
  <c r="AH873" i="1"/>
  <c r="AG874" i="1"/>
  <c r="AH874" i="1"/>
  <c r="AG875" i="1"/>
  <c r="AH875" i="1"/>
  <c r="AG876" i="1"/>
  <c r="AH876" i="1"/>
  <c r="AG877" i="1"/>
  <c r="AH877" i="1"/>
  <c r="AG878" i="1"/>
  <c r="AH878" i="1"/>
  <c r="AG879" i="1"/>
  <c r="AH879" i="1"/>
  <c r="AG880" i="1"/>
  <c r="AH880" i="1"/>
  <c r="AG881" i="1"/>
  <c r="AH881" i="1"/>
  <c r="AG882" i="1"/>
  <c r="AH882" i="1"/>
  <c r="AG883" i="1"/>
  <c r="AH883" i="1"/>
  <c r="AG884" i="1"/>
  <c r="AH884" i="1"/>
  <c r="AG885" i="1"/>
  <c r="AH885" i="1"/>
  <c r="AG886" i="1"/>
  <c r="AH886" i="1"/>
  <c r="AG887" i="1"/>
  <c r="AH887" i="1"/>
  <c r="AG888" i="1"/>
  <c r="AH888" i="1"/>
  <c r="AG889" i="1"/>
  <c r="AH889" i="1"/>
  <c r="AG890" i="1"/>
  <c r="AH890" i="1"/>
  <c r="AG891" i="1"/>
  <c r="AH891" i="1"/>
  <c r="AG892" i="1"/>
  <c r="AH892" i="1"/>
  <c r="AG893" i="1"/>
  <c r="AH893" i="1"/>
  <c r="AG894" i="1"/>
  <c r="AH894" i="1"/>
  <c r="AG895" i="1"/>
  <c r="AH895" i="1"/>
  <c r="AG896" i="1"/>
  <c r="AH896" i="1"/>
  <c r="AG897" i="1"/>
  <c r="AH897" i="1"/>
  <c r="AG898" i="1"/>
  <c r="AH898" i="1"/>
  <c r="AG899" i="1"/>
  <c r="AH899" i="1"/>
  <c r="AG900" i="1"/>
  <c r="AH900" i="1"/>
  <c r="AG901" i="1"/>
  <c r="AH901" i="1"/>
  <c r="AG902" i="1"/>
  <c r="AH902" i="1"/>
  <c r="AG903" i="1"/>
  <c r="AH903" i="1"/>
  <c r="AG904" i="1"/>
  <c r="AH904" i="1"/>
  <c r="AG905" i="1"/>
  <c r="AH905" i="1"/>
  <c r="AG906" i="1"/>
  <c r="AH906" i="1"/>
  <c r="AG907" i="1"/>
  <c r="AH907" i="1"/>
  <c r="AG908" i="1"/>
  <c r="AH908" i="1"/>
  <c r="AG909" i="1"/>
  <c r="AH909" i="1"/>
  <c r="AG910" i="1"/>
  <c r="AH910" i="1"/>
  <c r="AG911" i="1"/>
  <c r="AH911" i="1"/>
  <c r="AG912" i="1"/>
  <c r="AH912" i="1"/>
  <c r="AG913" i="1"/>
  <c r="AH913" i="1"/>
  <c r="AG914" i="1"/>
  <c r="AH914" i="1"/>
  <c r="AG915" i="1"/>
  <c r="AH915" i="1"/>
  <c r="AG916" i="1"/>
  <c r="AH916" i="1"/>
  <c r="AG917" i="1"/>
  <c r="AH917" i="1"/>
  <c r="AG918" i="1"/>
  <c r="AH918" i="1"/>
  <c r="AG919" i="1"/>
  <c r="AH919" i="1"/>
  <c r="AG920" i="1"/>
  <c r="AH920" i="1"/>
  <c r="AG921" i="1"/>
  <c r="AH921" i="1"/>
  <c r="AG922" i="1"/>
  <c r="AH922" i="1"/>
  <c r="AG923" i="1"/>
  <c r="AH923" i="1"/>
  <c r="AG924" i="1"/>
  <c r="AH924" i="1"/>
  <c r="AG925" i="1"/>
  <c r="AH925" i="1"/>
  <c r="AG926" i="1"/>
  <c r="AH926" i="1"/>
  <c r="AG927" i="1"/>
  <c r="AH927" i="1"/>
  <c r="AG928" i="1"/>
  <c r="AH928" i="1"/>
  <c r="AG929" i="1"/>
  <c r="AH929" i="1"/>
  <c r="AG930" i="1"/>
  <c r="AH930" i="1"/>
  <c r="AG931" i="1"/>
  <c r="AH931" i="1"/>
  <c r="AG932" i="1"/>
  <c r="AH932" i="1"/>
  <c r="AG933" i="1"/>
  <c r="AH933" i="1"/>
  <c r="AG934" i="1"/>
  <c r="AH934" i="1"/>
  <c r="AG935" i="1"/>
  <c r="AH935" i="1"/>
  <c r="AG936" i="1"/>
  <c r="AH936" i="1"/>
  <c r="AG937" i="1"/>
  <c r="AH937" i="1"/>
  <c r="AG938" i="1"/>
  <c r="AH938" i="1"/>
  <c r="AG939" i="1"/>
  <c r="AH939" i="1"/>
  <c r="AG940" i="1"/>
  <c r="AH940" i="1"/>
  <c r="AG941" i="1"/>
  <c r="AH941" i="1"/>
  <c r="AG942" i="1"/>
  <c r="AH942" i="1"/>
  <c r="AG943" i="1"/>
  <c r="AH943" i="1"/>
  <c r="AG944" i="1"/>
  <c r="AH944" i="1"/>
  <c r="AG945" i="1"/>
  <c r="AH945" i="1"/>
  <c r="AG946" i="1"/>
  <c r="AH946" i="1"/>
  <c r="AG947" i="1"/>
  <c r="AH947" i="1"/>
  <c r="AG948" i="1"/>
  <c r="AH948" i="1"/>
  <c r="AG949" i="1"/>
  <c r="AH949" i="1"/>
  <c r="AG950" i="1"/>
  <c r="AH950" i="1"/>
  <c r="AG951" i="1"/>
  <c r="AH951" i="1"/>
  <c r="AG952" i="1"/>
  <c r="AH952" i="1"/>
  <c r="AG953" i="1"/>
  <c r="AH953" i="1"/>
  <c r="AG954" i="1"/>
  <c r="AH954" i="1"/>
  <c r="AG955" i="1"/>
  <c r="AH955" i="1"/>
  <c r="AG956" i="1"/>
  <c r="AH956" i="1"/>
  <c r="AG957" i="1"/>
  <c r="AH957" i="1"/>
  <c r="AG958" i="1"/>
  <c r="AH958" i="1"/>
  <c r="AG959" i="1"/>
  <c r="AH959" i="1"/>
  <c r="AG960" i="1"/>
  <c r="AH960" i="1"/>
  <c r="AG961" i="1"/>
  <c r="AH961" i="1"/>
  <c r="AG962" i="1"/>
  <c r="AH962" i="1"/>
  <c r="AG963" i="1"/>
  <c r="AH963" i="1"/>
  <c r="AG964" i="1"/>
  <c r="AH964" i="1"/>
  <c r="AG965" i="1"/>
  <c r="AH965" i="1"/>
  <c r="AG966" i="1"/>
  <c r="AH966" i="1"/>
  <c r="AG967" i="1"/>
  <c r="AH967" i="1"/>
  <c r="AG968" i="1"/>
  <c r="AH968" i="1"/>
  <c r="AG969" i="1"/>
  <c r="AH969" i="1"/>
  <c r="AG970" i="1"/>
  <c r="AH970" i="1"/>
  <c r="AG971" i="1"/>
  <c r="AH971" i="1"/>
  <c r="AG972" i="1"/>
  <c r="AH972" i="1"/>
  <c r="AG973" i="1"/>
  <c r="AH973" i="1"/>
  <c r="AG974" i="1"/>
  <c r="AH974" i="1"/>
  <c r="AG975" i="1"/>
  <c r="AH975" i="1"/>
  <c r="AG976" i="1"/>
  <c r="AH976" i="1"/>
  <c r="AG977" i="1"/>
  <c r="AH977" i="1"/>
  <c r="AG978" i="1"/>
  <c r="AH978" i="1"/>
  <c r="AG979" i="1"/>
  <c r="AH979" i="1"/>
  <c r="AG980" i="1"/>
  <c r="AH980" i="1"/>
  <c r="AG981" i="1"/>
  <c r="AH981" i="1"/>
  <c r="AG982" i="1"/>
  <c r="AH982" i="1"/>
  <c r="AG983" i="1"/>
  <c r="AH983" i="1"/>
  <c r="AG984" i="1"/>
  <c r="AH984" i="1"/>
  <c r="AG985" i="1"/>
  <c r="AH985" i="1"/>
  <c r="AG986" i="1"/>
  <c r="AH986" i="1"/>
  <c r="AG987" i="1"/>
  <c r="AH987" i="1"/>
  <c r="AG988" i="1"/>
  <c r="AH988" i="1"/>
  <c r="AG989" i="1"/>
  <c r="AH989" i="1"/>
  <c r="AG990" i="1"/>
  <c r="AH990" i="1"/>
  <c r="AG991" i="1"/>
  <c r="AH991" i="1"/>
  <c r="AG992" i="1"/>
  <c r="AH992" i="1"/>
  <c r="AG993" i="1"/>
  <c r="AH993" i="1"/>
  <c r="AG994" i="1"/>
  <c r="AH994" i="1"/>
  <c r="AG995" i="1"/>
  <c r="AH995" i="1"/>
  <c r="AG996" i="1"/>
  <c r="AH996" i="1"/>
  <c r="AG997" i="1"/>
  <c r="AH997" i="1"/>
  <c r="AG998" i="1"/>
  <c r="AH998" i="1"/>
  <c r="AG999" i="1"/>
  <c r="AH999" i="1"/>
  <c r="AG1000" i="1"/>
  <c r="AH1000" i="1"/>
  <c r="AG1001" i="1"/>
  <c r="AH1001" i="1"/>
  <c r="AG1002" i="1"/>
  <c r="AH1002" i="1"/>
  <c r="AG1003" i="1"/>
  <c r="AH1003" i="1"/>
  <c r="AG1004" i="1"/>
  <c r="AH1004" i="1"/>
  <c r="AG1005" i="1"/>
  <c r="AH1005" i="1"/>
  <c r="AG1006" i="1"/>
  <c r="AH1006" i="1"/>
  <c r="AG1007" i="1"/>
  <c r="AH1007" i="1"/>
  <c r="AG1008" i="1"/>
  <c r="AH1008" i="1"/>
  <c r="AG1009" i="1"/>
  <c r="AH1009" i="1"/>
  <c r="AG1010" i="1"/>
  <c r="AH1010" i="1"/>
  <c r="AG1011" i="1"/>
  <c r="AH1011" i="1"/>
  <c r="AG1012" i="1"/>
  <c r="AH1012" i="1"/>
  <c r="AG1013" i="1"/>
  <c r="AH1013" i="1"/>
  <c r="AG1014" i="1"/>
  <c r="AH1014" i="1"/>
  <c r="AG1015" i="1"/>
  <c r="AH1015" i="1"/>
  <c r="AG1016" i="1"/>
  <c r="AH1016" i="1"/>
  <c r="AG1017" i="1"/>
  <c r="AH1017" i="1"/>
  <c r="AG1018" i="1"/>
  <c r="AH1018" i="1"/>
  <c r="AG1019" i="1"/>
  <c r="AH1019" i="1"/>
  <c r="AG1020" i="1"/>
  <c r="AH1020" i="1"/>
  <c r="AG1021" i="1"/>
  <c r="AH1021" i="1"/>
  <c r="AG1022" i="1"/>
  <c r="AH1022" i="1"/>
  <c r="AG1023" i="1"/>
  <c r="AH1023" i="1"/>
  <c r="AG1024" i="1"/>
  <c r="AH1024" i="1"/>
  <c r="AG1025" i="1"/>
  <c r="AH1025" i="1"/>
  <c r="AG1026" i="1"/>
  <c r="AH1026" i="1"/>
  <c r="AG1027" i="1"/>
  <c r="AH1027" i="1"/>
  <c r="AG1028" i="1"/>
  <c r="AH1028" i="1"/>
  <c r="AG1029" i="1"/>
  <c r="AH1029" i="1"/>
  <c r="AG1030" i="1"/>
  <c r="AH1030" i="1"/>
  <c r="AG1031" i="1"/>
  <c r="AH1031" i="1"/>
  <c r="AG1032" i="1"/>
  <c r="AH1032" i="1"/>
  <c r="AG1033" i="1"/>
  <c r="AH1033" i="1"/>
  <c r="AG1034" i="1"/>
  <c r="AH1034" i="1"/>
  <c r="AG1035" i="1"/>
  <c r="AH1035" i="1"/>
  <c r="AG1036" i="1"/>
  <c r="AH1036" i="1"/>
  <c r="AG1037" i="1"/>
  <c r="AH1037" i="1"/>
  <c r="AG1038" i="1"/>
  <c r="AH1038" i="1"/>
  <c r="AG1039" i="1"/>
  <c r="AH1039" i="1"/>
  <c r="AG1040" i="1"/>
  <c r="AH1040" i="1"/>
  <c r="AG1041" i="1"/>
  <c r="AH1041" i="1"/>
  <c r="AG1042" i="1"/>
  <c r="AH1042" i="1"/>
  <c r="AG1043" i="1"/>
  <c r="AH1043" i="1"/>
  <c r="AG1044" i="1"/>
  <c r="AH1044" i="1"/>
  <c r="AG1045" i="1"/>
  <c r="AH1045" i="1"/>
  <c r="AG1046" i="1"/>
  <c r="AH1046" i="1"/>
  <c r="AG1047" i="1"/>
  <c r="AH1047" i="1"/>
  <c r="AG1048" i="1"/>
  <c r="AH1048" i="1"/>
  <c r="AG1049" i="1"/>
  <c r="AH1049" i="1"/>
  <c r="AG1050" i="1"/>
  <c r="AH1050" i="1"/>
  <c r="AG1051" i="1"/>
  <c r="AH1051" i="1"/>
  <c r="AG1052" i="1"/>
  <c r="AH1052" i="1"/>
  <c r="AG1053" i="1"/>
  <c r="AH1053" i="1"/>
  <c r="AG1054" i="1"/>
  <c r="AH1054" i="1"/>
  <c r="AG1055" i="1"/>
  <c r="AH1055" i="1"/>
  <c r="AG1056" i="1"/>
  <c r="AH1056" i="1"/>
  <c r="AG1057" i="1"/>
  <c r="AH1057" i="1"/>
  <c r="AG1058" i="1"/>
  <c r="AH1058" i="1"/>
  <c r="AG1059" i="1"/>
  <c r="AH1059" i="1"/>
  <c r="AG1060" i="1"/>
  <c r="AH1060" i="1"/>
  <c r="AG1061" i="1"/>
  <c r="AH1061" i="1"/>
  <c r="AG1062" i="1"/>
  <c r="AH1062" i="1"/>
  <c r="AG1063" i="1"/>
  <c r="AH1063" i="1"/>
  <c r="AG1064" i="1"/>
  <c r="AH1064" i="1"/>
  <c r="AG1065" i="1"/>
  <c r="AH1065" i="1"/>
  <c r="AG1066" i="1"/>
  <c r="AH1066" i="1"/>
  <c r="AG1067" i="1"/>
  <c r="AH1067" i="1"/>
  <c r="AG1068" i="1"/>
  <c r="AH1068" i="1"/>
  <c r="AG1069" i="1"/>
  <c r="AH1069" i="1"/>
  <c r="AG1070" i="1"/>
  <c r="AH1070" i="1"/>
  <c r="AG1071" i="1"/>
  <c r="AH1071" i="1"/>
  <c r="AG1072" i="1"/>
  <c r="AH1072" i="1"/>
  <c r="AG1073" i="1"/>
  <c r="AH1073" i="1"/>
  <c r="AG1074" i="1"/>
  <c r="AH1074" i="1"/>
  <c r="AG1075" i="1"/>
  <c r="AH1075" i="1"/>
  <c r="AG1076" i="1"/>
  <c r="AH1076" i="1"/>
  <c r="AG1077" i="1"/>
  <c r="AH1077" i="1"/>
  <c r="AG1078" i="1"/>
  <c r="AH1078" i="1"/>
  <c r="AG1079" i="1"/>
  <c r="AH1079" i="1"/>
  <c r="AG1080" i="1"/>
  <c r="AH1080" i="1"/>
  <c r="AG1081" i="1"/>
  <c r="AH1081" i="1"/>
  <c r="AG1082" i="1"/>
  <c r="AH1082" i="1"/>
  <c r="AG1083" i="1"/>
  <c r="AH1083" i="1"/>
  <c r="AG1084" i="1"/>
  <c r="AH1084" i="1"/>
  <c r="AG1085" i="1"/>
  <c r="AH1085" i="1"/>
  <c r="AG1086" i="1"/>
  <c r="AH1086" i="1"/>
  <c r="AG1087" i="1"/>
  <c r="AH1087" i="1"/>
  <c r="AG1088" i="1"/>
  <c r="AH1088" i="1"/>
  <c r="AG1089" i="1"/>
  <c r="AH1089" i="1"/>
  <c r="AG1090" i="1"/>
  <c r="AH1090" i="1"/>
  <c r="AG1091" i="1"/>
  <c r="AH1091" i="1"/>
  <c r="AG1092" i="1"/>
  <c r="AH1092" i="1"/>
  <c r="AG1093" i="1"/>
  <c r="AH1093" i="1"/>
  <c r="AG1094" i="1"/>
  <c r="AH1094" i="1"/>
  <c r="AG1095" i="1"/>
  <c r="AH1095" i="1"/>
  <c r="AG1096" i="1"/>
  <c r="AH1096" i="1"/>
  <c r="AG1097" i="1"/>
  <c r="AH1097" i="1"/>
  <c r="AG1098" i="1"/>
  <c r="AH1098" i="1"/>
  <c r="AG1099" i="1"/>
  <c r="AH1099" i="1"/>
  <c r="AG1100" i="1"/>
  <c r="AH1100" i="1"/>
  <c r="AG1101" i="1"/>
  <c r="AH1101" i="1"/>
  <c r="AG1102" i="1"/>
  <c r="AH1102" i="1"/>
  <c r="AG1103" i="1"/>
  <c r="AH1103" i="1"/>
  <c r="AG1104" i="1"/>
  <c r="AH1104" i="1"/>
  <c r="AG1105" i="1"/>
  <c r="AH1105" i="1"/>
  <c r="AG1106" i="1"/>
  <c r="AH1106" i="1"/>
  <c r="AG1107" i="1"/>
  <c r="AH1107" i="1"/>
  <c r="AG1108" i="1"/>
  <c r="AH1108" i="1"/>
  <c r="AG1109" i="1"/>
  <c r="AH1109" i="1"/>
  <c r="AG1110" i="1"/>
  <c r="AH1110" i="1"/>
  <c r="AG1111" i="1"/>
  <c r="AH1111" i="1"/>
  <c r="AG1112" i="1"/>
  <c r="AH1112" i="1"/>
  <c r="AG1113" i="1"/>
  <c r="AH1113" i="1"/>
  <c r="AG1114" i="1"/>
  <c r="AH1114" i="1"/>
  <c r="AG1115" i="1"/>
  <c r="AH1115" i="1"/>
  <c r="AG1116" i="1"/>
  <c r="AH1116" i="1"/>
  <c r="AG1117" i="1"/>
  <c r="AH1117" i="1"/>
  <c r="AG1118" i="1"/>
  <c r="AH1118" i="1"/>
  <c r="AG1119" i="1"/>
  <c r="AH1119" i="1"/>
  <c r="AG1120" i="1"/>
  <c r="AH1120" i="1"/>
  <c r="AG1121" i="1"/>
  <c r="AH1121" i="1"/>
  <c r="AG1122" i="1"/>
  <c r="AH1122" i="1"/>
  <c r="AG1123" i="1"/>
  <c r="AH1123" i="1"/>
  <c r="AG1124" i="1"/>
  <c r="AH1124" i="1"/>
  <c r="AG1125" i="1"/>
  <c r="AH1125" i="1"/>
  <c r="AG1126" i="1"/>
  <c r="AH1126" i="1"/>
  <c r="AG1127" i="1"/>
  <c r="AH1127" i="1"/>
  <c r="AG1128" i="1"/>
  <c r="AH1128" i="1"/>
  <c r="AG1129" i="1"/>
  <c r="AH1129" i="1"/>
  <c r="AG1130" i="1"/>
  <c r="AH1130" i="1"/>
  <c r="AG1131" i="1"/>
  <c r="AH1131" i="1"/>
  <c r="AG1132" i="1"/>
  <c r="AH1132" i="1"/>
  <c r="AG1133" i="1"/>
  <c r="AH1133" i="1"/>
  <c r="AG1134" i="1"/>
  <c r="AH1134" i="1"/>
  <c r="AG1135" i="1"/>
  <c r="AH1135" i="1"/>
  <c r="AG1136" i="1"/>
  <c r="AH1136" i="1"/>
  <c r="AG1137" i="1"/>
  <c r="AH1137" i="1"/>
  <c r="AG1138" i="1"/>
  <c r="AH1138" i="1"/>
  <c r="AG1139" i="1"/>
  <c r="AH1139" i="1"/>
  <c r="AG1140" i="1"/>
  <c r="AH1140" i="1"/>
  <c r="AG1141" i="1"/>
  <c r="AH1141" i="1"/>
  <c r="AG1142" i="1"/>
  <c r="AH1142" i="1"/>
  <c r="AG1143" i="1"/>
  <c r="AH1143" i="1"/>
  <c r="AG1144" i="1"/>
  <c r="AH1144" i="1"/>
  <c r="AG1145" i="1"/>
  <c r="AH1145" i="1"/>
  <c r="AG1146" i="1"/>
  <c r="AH1146" i="1"/>
  <c r="AG1147" i="1"/>
  <c r="AH1147" i="1"/>
  <c r="AG1148" i="1"/>
  <c r="AH1148" i="1"/>
  <c r="AG1149" i="1"/>
  <c r="AH1149" i="1"/>
  <c r="AG1150" i="1"/>
  <c r="AH1150" i="1"/>
  <c r="AG1151" i="1"/>
  <c r="AH1151" i="1"/>
  <c r="AG1152" i="1"/>
  <c r="AH1152" i="1"/>
  <c r="AG1153" i="1"/>
  <c r="AH1153" i="1"/>
  <c r="AG1154" i="1"/>
  <c r="AH1154" i="1"/>
  <c r="AG1155" i="1"/>
  <c r="AH1155" i="1"/>
  <c r="AG1156" i="1"/>
  <c r="AH1156" i="1"/>
  <c r="AG1157" i="1"/>
  <c r="AH1157" i="1"/>
  <c r="AG1158" i="1"/>
  <c r="AH1158" i="1"/>
  <c r="AG1159" i="1"/>
  <c r="AH1159" i="1"/>
  <c r="AG1160" i="1"/>
  <c r="AH1160" i="1"/>
  <c r="AG1161" i="1"/>
  <c r="AH1161" i="1"/>
  <c r="AG1162" i="1"/>
  <c r="AH1162" i="1"/>
  <c r="AG1163" i="1"/>
  <c r="AH1163" i="1"/>
  <c r="AG1164" i="1"/>
  <c r="AH1164" i="1"/>
  <c r="AG1165" i="1"/>
  <c r="AH1165" i="1"/>
  <c r="AG1166" i="1"/>
  <c r="AH1166" i="1"/>
  <c r="AG1167" i="1"/>
  <c r="AH1167" i="1"/>
  <c r="AG1168" i="1"/>
  <c r="AH1168" i="1"/>
  <c r="AG1169" i="1"/>
  <c r="AH1169" i="1"/>
  <c r="AG1170" i="1"/>
  <c r="AH1170" i="1"/>
  <c r="AG1171" i="1"/>
  <c r="AH1171" i="1"/>
  <c r="AG1172" i="1"/>
  <c r="AH1172" i="1"/>
  <c r="AG1173" i="1"/>
  <c r="AH1173" i="1"/>
  <c r="AG1174" i="1"/>
  <c r="AH1174" i="1"/>
  <c r="AG1175" i="1"/>
  <c r="AH1175" i="1"/>
  <c r="AG1176" i="1"/>
  <c r="AH1176" i="1"/>
  <c r="AG1177" i="1"/>
  <c r="AH1177" i="1"/>
  <c r="AG1178" i="1"/>
  <c r="AH1178" i="1"/>
  <c r="AG1179" i="1"/>
  <c r="AH1179" i="1"/>
  <c r="AG1180" i="1"/>
  <c r="AH1180" i="1"/>
  <c r="AG1181" i="1"/>
  <c r="AH1181" i="1"/>
  <c r="AG1182" i="1"/>
  <c r="AH1182" i="1"/>
  <c r="AG1183" i="1"/>
  <c r="AH1183" i="1"/>
  <c r="AG1184" i="1"/>
  <c r="AH1184" i="1"/>
  <c r="AG1185" i="1"/>
  <c r="AH1185" i="1"/>
  <c r="AG1186" i="1"/>
  <c r="AH1186" i="1"/>
  <c r="AG1187" i="1"/>
  <c r="AH1187" i="1"/>
  <c r="AG1188" i="1"/>
  <c r="AH1188" i="1"/>
  <c r="AG1189" i="1"/>
  <c r="AH1189" i="1"/>
  <c r="AG1190" i="1"/>
  <c r="AH1190" i="1"/>
  <c r="AG1191" i="1"/>
  <c r="AH1191" i="1"/>
  <c r="AG1192" i="1"/>
  <c r="AH1192" i="1"/>
  <c r="AG1193" i="1"/>
  <c r="AH1193" i="1"/>
  <c r="AG1194" i="1"/>
  <c r="AH1194" i="1"/>
  <c r="AG1195" i="1"/>
  <c r="AH1195" i="1"/>
  <c r="AG1196" i="1"/>
  <c r="AH1196" i="1"/>
  <c r="AG1197" i="1"/>
  <c r="AH1197" i="1"/>
  <c r="AG1198" i="1"/>
  <c r="AH1198" i="1"/>
  <c r="AG1199" i="1"/>
  <c r="AH1199" i="1"/>
  <c r="AG1200" i="1"/>
  <c r="AH1200" i="1"/>
  <c r="AG1201" i="1"/>
  <c r="AH1201" i="1"/>
  <c r="AG1202" i="1"/>
  <c r="AH1202" i="1"/>
  <c r="AG1203" i="1"/>
  <c r="AH1203" i="1"/>
  <c r="AG1204" i="1"/>
  <c r="AH1204" i="1"/>
  <c r="AG1205" i="1"/>
  <c r="AH1205" i="1"/>
  <c r="AG1206" i="1"/>
  <c r="AH1206" i="1"/>
  <c r="AG1207" i="1"/>
  <c r="AH1207" i="1"/>
  <c r="AG1208" i="1"/>
  <c r="AH1208" i="1"/>
  <c r="AG1209" i="1"/>
  <c r="AH1209" i="1"/>
  <c r="AG1210" i="1"/>
  <c r="AH1210" i="1"/>
  <c r="AG1211" i="1"/>
  <c r="AH1211" i="1"/>
  <c r="AG1212" i="1"/>
  <c r="AH1212" i="1"/>
  <c r="AG1213" i="1"/>
  <c r="AH1213" i="1"/>
  <c r="AG1214" i="1"/>
  <c r="AH1214" i="1"/>
  <c r="AG1215" i="1"/>
  <c r="AH1215" i="1"/>
  <c r="AG1216" i="1"/>
  <c r="AH1216" i="1"/>
  <c r="AG1217" i="1"/>
  <c r="AH1217" i="1"/>
  <c r="AG1218" i="1"/>
  <c r="AH1218" i="1"/>
  <c r="AG1219" i="1"/>
  <c r="AH1219" i="1"/>
  <c r="AG1220" i="1"/>
  <c r="AH1220" i="1"/>
  <c r="AG1221" i="1"/>
  <c r="AH1221" i="1"/>
  <c r="AG1222" i="1"/>
  <c r="AH1222" i="1"/>
  <c r="AG1223" i="1"/>
  <c r="AH1223" i="1"/>
  <c r="AG1224" i="1"/>
  <c r="AH1224" i="1"/>
  <c r="AG1225" i="1"/>
  <c r="AH1225" i="1"/>
  <c r="AG1226" i="1"/>
  <c r="AH1226" i="1"/>
  <c r="AG1227" i="1"/>
  <c r="AH1227" i="1"/>
  <c r="AG1228" i="1"/>
  <c r="AH1228" i="1"/>
  <c r="AG1229" i="1"/>
  <c r="AH1229" i="1"/>
  <c r="AG1230" i="1"/>
  <c r="AH1230" i="1"/>
  <c r="AG1233" i="1"/>
  <c r="AH1233" i="1"/>
  <c r="AG1234" i="1"/>
  <c r="AH1234" i="1"/>
  <c r="AG1235" i="1"/>
  <c r="AH1235" i="1"/>
  <c r="AG1236" i="1"/>
  <c r="AH1236" i="1"/>
  <c r="AG1237" i="1"/>
  <c r="AH1237" i="1"/>
  <c r="AG1238" i="1"/>
  <c r="AH1238" i="1"/>
  <c r="AG1239" i="1"/>
  <c r="AH1239" i="1"/>
  <c r="AG1240" i="1"/>
  <c r="AH1240" i="1"/>
  <c r="AG1241" i="1"/>
  <c r="AH1241" i="1"/>
  <c r="AG1242" i="1"/>
  <c r="AH1242" i="1"/>
  <c r="AG1243" i="1"/>
  <c r="AH1243" i="1"/>
  <c r="AG1244" i="1"/>
  <c r="AH1244" i="1"/>
  <c r="AG1245" i="1"/>
  <c r="AH1245" i="1"/>
  <c r="AG1246" i="1"/>
  <c r="AH1246" i="1"/>
  <c r="AG1247" i="1"/>
  <c r="AH1247" i="1"/>
  <c r="AG1248" i="1"/>
  <c r="AH1248" i="1"/>
  <c r="AG1249" i="1"/>
  <c r="AH1249" i="1"/>
  <c r="AG1250" i="1"/>
  <c r="AH1250" i="1"/>
  <c r="AG1251" i="1"/>
  <c r="AH1251" i="1"/>
  <c r="AG1252" i="1"/>
  <c r="AH1252" i="1"/>
  <c r="AG1254" i="1"/>
  <c r="AH1254" i="1"/>
  <c r="AG1255" i="1"/>
  <c r="AH1255" i="1"/>
  <c r="AG1256" i="1"/>
  <c r="AH1256" i="1"/>
  <c r="AG1257" i="1"/>
  <c r="AH1257" i="1"/>
  <c r="AG1258" i="1"/>
  <c r="AH1258" i="1"/>
  <c r="AG1259" i="1"/>
  <c r="AH1259" i="1"/>
  <c r="AG1260" i="1"/>
  <c r="AH1260" i="1"/>
  <c r="AG1261" i="1"/>
  <c r="AH1261" i="1"/>
  <c r="AG1262" i="1"/>
  <c r="AH1262" i="1"/>
  <c r="AG1263" i="1"/>
  <c r="AH1263" i="1"/>
  <c r="AG1264" i="1"/>
  <c r="AH1264" i="1"/>
  <c r="AG1265" i="1"/>
  <c r="AH1265" i="1"/>
  <c r="AG1266" i="1"/>
  <c r="AH1266" i="1"/>
  <c r="AG1267" i="1"/>
  <c r="AH1267" i="1"/>
  <c r="AG1268" i="1"/>
  <c r="AH1268" i="1"/>
  <c r="AG1269" i="1"/>
  <c r="AH1269" i="1"/>
  <c r="AG1270" i="1"/>
  <c r="AH1270" i="1"/>
  <c r="AG1272" i="1"/>
  <c r="AH1272" i="1"/>
  <c r="AG1273" i="1"/>
  <c r="AH1273" i="1"/>
  <c r="AG1274" i="1"/>
  <c r="AH1274" i="1"/>
  <c r="AG1275" i="1"/>
  <c r="AH1275" i="1"/>
  <c r="AG1276" i="1"/>
  <c r="AH1276" i="1"/>
  <c r="AG1277" i="1"/>
  <c r="AH1277" i="1"/>
  <c r="AG1278" i="1"/>
  <c r="AH1278" i="1"/>
  <c r="AG1279" i="1"/>
  <c r="AH1279" i="1"/>
  <c r="AG1280" i="1"/>
  <c r="AH1280" i="1"/>
  <c r="AG1281" i="1"/>
  <c r="AH1281" i="1"/>
  <c r="AG1282" i="1"/>
  <c r="AH1282" i="1"/>
  <c r="AG1283" i="1"/>
  <c r="AH1283" i="1"/>
  <c r="AG1284" i="1"/>
  <c r="AH1284" i="1"/>
  <c r="AG1285" i="1"/>
  <c r="AH1285" i="1"/>
  <c r="AG1286" i="1"/>
  <c r="AH1286" i="1"/>
  <c r="AG1287" i="1"/>
  <c r="AH1287" i="1"/>
  <c r="AG1288" i="1"/>
  <c r="AH1288" i="1"/>
  <c r="AG1289" i="1"/>
  <c r="AH1289" i="1"/>
  <c r="AG1290" i="1"/>
  <c r="AH1290" i="1"/>
  <c r="AG1291" i="1"/>
  <c r="AH1291" i="1"/>
  <c r="AG1292" i="1"/>
  <c r="AH1292" i="1"/>
  <c r="AG1293" i="1"/>
  <c r="AH1293" i="1"/>
  <c r="AG1294" i="1"/>
  <c r="AH1294" i="1"/>
  <c r="AG1295" i="1"/>
  <c r="AH1295" i="1"/>
  <c r="AG1296" i="1"/>
  <c r="AH1296" i="1"/>
  <c r="AG1297" i="1"/>
  <c r="AH1297" i="1"/>
  <c r="AG1298" i="1"/>
  <c r="AH1298" i="1"/>
  <c r="AG1299" i="1"/>
  <c r="AH1299" i="1"/>
  <c r="AG1300" i="1"/>
  <c r="AH1300" i="1"/>
  <c r="AG1301" i="1"/>
  <c r="AH1301" i="1"/>
  <c r="AG1302" i="1"/>
  <c r="AH1302" i="1"/>
  <c r="AG1303" i="1"/>
  <c r="AH1303" i="1"/>
  <c r="AG1304" i="1"/>
  <c r="AH1304" i="1"/>
  <c r="AG1305" i="1"/>
  <c r="AH1305" i="1"/>
  <c r="AG1306" i="1"/>
  <c r="AH1306" i="1"/>
  <c r="AG1307" i="1"/>
  <c r="AH1307" i="1"/>
  <c r="AG1308" i="1"/>
  <c r="AH1308" i="1"/>
  <c r="AG1309" i="1"/>
  <c r="AH1309" i="1"/>
  <c r="AG1310" i="1"/>
  <c r="AH1310" i="1"/>
  <c r="AG1311" i="1"/>
  <c r="AH1311" i="1"/>
  <c r="AG1312" i="1"/>
  <c r="AH1312" i="1"/>
  <c r="AG1313" i="1"/>
  <c r="AH1313" i="1"/>
  <c r="AG1314" i="1"/>
  <c r="AH1314" i="1"/>
  <c r="AG1315" i="1"/>
  <c r="AH1315" i="1"/>
  <c r="AG1316" i="1"/>
  <c r="AH1316" i="1"/>
  <c r="AG1317" i="1"/>
  <c r="AH1317" i="1"/>
  <c r="AG1318" i="1"/>
  <c r="AH1318" i="1"/>
  <c r="AG1319" i="1"/>
  <c r="AH1319" i="1"/>
  <c r="AG1320" i="1"/>
  <c r="AH1320" i="1"/>
  <c r="AG1321" i="1"/>
  <c r="AH1321" i="1"/>
  <c r="AG1322" i="1"/>
  <c r="AH1322" i="1"/>
  <c r="AG1323" i="1"/>
  <c r="AH1323" i="1"/>
  <c r="AG1324" i="1"/>
  <c r="AH1324" i="1"/>
  <c r="AG1325" i="1"/>
  <c r="AH1325" i="1"/>
  <c r="AG1326" i="1"/>
  <c r="AH1326" i="1"/>
  <c r="AG1327" i="1"/>
  <c r="AH1327" i="1"/>
  <c r="AG1328" i="1"/>
  <c r="AH1328" i="1"/>
  <c r="AG1329" i="1"/>
  <c r="AH1329" i="1"/>
  <c r="AG1330" i="1"/>
  <c r="AH1330" i="1"/>
  <c r="AG1331" i="1"/>
  <c r="AH1331" i="1"/>
  <c r="AG1332" i="1"/>
  <c r="AH1332" i="1"/>
  <c r="AG1333" i="1"/>
  <c r="AH1333" i="1"/>
  <c r="AG1334" i="1"/>
  <c r="AH1334" i="1"/>
  <c r="AG1335" i="1"/>
  <c r="AH1335" i="1"/>
  <c r="AG1336" i="1"/>
  <c r="AH1336" i="1"/>
  <c r="AG1337" i="1"/>
  <c r="AH1337" i="1"/>
  <c r="AG1338" i="1"/>
  <c r="AH1338" i="1"/>
  <c r="AG1339" i="1"/>
  <c r="AH1339" i="1"/>
  <c r="AG1340" i="1"/>
  <c r="AH1340" i="1"/>
  <c r="AG1341" i="1"/>
  <c r="AH1341" i="1"/>
  <c r="AG1342" i="1"/>
  <c r="AH1342" i="1"/>
  <c r="AG1343" i="1"/>
  <c r="AH1343" i="1"/>
  <c r="AG1345" i="1"/>
  <c r="AH1345" i="1"/>
  <c r="AG1346" i="1"/>
  <c r="AH1346" i="1"/>
  <c r="AG1347" i="1"/>
  <c r="AH1347" i="1"/>
  <c r="AG1348" i="1"/>
  <c r="AH1348" i="1"/>
  <c r="AG1349" i="1"/>
  <c r="AH1349" i="1"/>
  <c r="AG1350" i="1"/>
  <c r="AH1350" i="1"/>
  <c r="AG1351" i="1"/>
  <c r="AH1351" i="1"/>
  <c r="AG1352" i="1"/>
  <c r="AH1352" i="1"/>
  <c r="AG1353" i="1"/>
  <c r="AH1353" i="1"/>
  <c r="AG1354" i="1"/>
  <c r="AH1354" i="1"/>
  <c r="AG1355" i="1"/>
  <c r="AH1355" i="1"/>
  <c r="AG1356" i="1"/>
  <c r="AH1356" i="1"/>
  <c r="AG1357" i="1"/>
  <c r="AH1357" i="1"/>
  <c r="AG1358" i="1"/>
  <c r="AH1358" i="1"/>
  <c r="AG1359" i="1"/>
  <c r="AH1359" i="1"/>
  <c r="AG1360" i="1"/>
  <c r="AH1360" i="1"/>
  <c r="AG1361" i="1"/>
  <c r="AH1361" i="1"/>
  <c r="AG1362" i="1"/>
  <c r="AH1362" i="1"/>
  <c r="AG1363" i="1"/>
  <c r="AH1363" i="1"/>
  <c r="AG1364" i="1"/>
  <c r="AH1364" i="1"/>
  <c r="AG1365" i="1"/>
  <c r="AH1365" i="1"/>
  <c r="AG1366" i="1"/>
  <c r="AH1366" i="1"/>
  <c r="AG1367" i="1"/>
  <c r="AH1367" i="1"/>
  <c r="AG1368" i="1"/>
  <c r="AH1368" i="1"/>
  <c r="AG1369" i="1"/>
  <c r="AH1369" i="1"/>
  <c r="AG1370" i="1"/>
  <c r="AH1370" i="1"/>
  <c r="AG1371" i="1"/>
  <c r="AH1371" i="1"/>
  <c r="AG1372" i="1"/>
  <c r="AH1372" i="1"/>
  <c r="AG1373" i="1"/>
  <c r="AH1373" i="1"/>
  <c r="AG1374" i="1"/>
  <c r="AH1374" i="1"/>
  <c r="AG1375" i="1"/>
  <c r="AH1375" i="1"/>
  <c r="AG1376" i="1"/>
  <c r="AH1376" i="1"/>
  <c r="AG1377" i="1"/>
  <c r="AH1377" i="1"/>
  <c r="AG1378" i="1"/>
  <c r="AH1378" i="1"/>
  <c r="AG1379" i="1"/>
  <c r="AH1379" i="1"/>
  <c r="AG1380" i="1"/>
  <c r="AH1380" i="1"/>
  <c r="AG1381" i="1"/>
  <c r="AH1381" i="1"/>
  <c r="AG1382" i="1"/>
  <c r="AH1382" i="1"/>
  <c r="AG1383" i="1"/>
  <c r="AH1383" i="1"/>
  <c r="AG1384" i="1"/>
  <c r="AH1384" i="1"/>
  <c r="AG1385" i="1"/>
  <c r="AH1385" i="1"/>
  <c r="AG1386" i="1"/>
  <c r="AH1386" i="1"/>
  <c r="AG1387" i="1"/>
  <c r="AH1387" i="1"/>
  <c r="AG1388" i="1"/>
  <c r="AH1388" i="1"/>
  <c r="AG1389" i="1"/>
  <c r="AH1389" i="1"/>
  <c r="AG1390" i="1"/>
  <c r="AH1390" i="1"/>
  <c r="AG1391" i="1"/>
  <c r="AH1391" i="1"/>
  <c r="AG1392" i="1"/>
  <c r="AH1392" i="1"/>
  <c r="AG1393" i="1"/>
  <c r="AH1393" i="1"/>
  <c r="AG1394" i="1"/>
  <c r="AH1394" i="1"/>
  <c r="AG1395" i="1"/>
  <c r="AH1395" i="1"/>
  <c r="AG1396" i="1"/>
  <c r="AH1396" i="1"/>
  <c r="AG1398" i="1"/>
  <c r="AH1398" i="1"/>
  <c r="AG1399" i="1"/>
  <c r="AH1399" i="1"/>
  <c r="AG1400" i="1"/>
  <c r="AH1400" i="1"/>
  <c r="AG1401" i="1"/>
  <c r="AH1401" i="1"/>
  <c r="AG1402" i="1"/>
  <c r="AH1402" i="1"/>
  <c r="AG1403" i="1"/>
  <c r="AH1403" i="1"/>
  <c r="AG1404" i="1"/>
  <c r="AH1404" i="1"/>
  <c r="AG1405" i="1"/>
  <c r="AH1405" i="1"/>
  <c r="AG1407" i="1"/>
  <c r="AH1407" i="1"/>
  <c r="AG1408" i="1"/>
  <c r="AH1408" i="1"/>
  <c r="AG1410" i="1"/>
  <c r="AH1410" i="1"/>
  <c r="AG1411" i="1"/>
  <c r="AH1411" i="1"/>
  <c r="AG1414" i="1"/>
  <c r="AH1414" i="1"/>
  <c r="AG1415" i="1"/>
  <c r="AH1415" i="1"/>
  <c r="AG1416" i="1"/>
  <c r="AH1416" i="1"/>
  <c r="AG1417" i="1"/>
  <c r="AH1417" i="1"/>
  <c r="AG1418" i="1"/>
  <c r="AH1418" i="1"/>
  <c r="AG1419" i="1"/>
  <c r="AH1419" i="1"/>
  <c r="AG1420" i="1"/>
  <c r="AH1420" i="1"/>
  <c r="AG1421" i="1"/>
  <c r="AH1421" i="1"/>
  <c r="AG1422" i="1"/>
  <c r="AH1422" i="1"/>
  <c r="AG1423" i="1"/>
  <c r="AH1423" i="1"/>
  <c r="AG1424" i="1"/>
  <c r="AH1424" i="1"/>
  <c r="AG1425" i="1"/>
  <c r="AH1425" i="1"/>
  <c r="AG1426" i="1"/>
  <c r="AH1426" i="1"/>
  <c r="AG1429" i="1"/>
  <c r="AH1429" i="1"/>
  <c r="AG1430" i="1"/>
  <c r="AH1430" i="1"/>
  <c r="AG1431" i="1"/>
  <c r="AH1431" i="1"/>
  <c r="AG1432" i="1"/>
  <c r="AH1432" i="1"/>
  <c r="AG1433" i="1"/>
  <c r="AH1433" i="1"/>
  <c r="AG1434" i="1"/>
  <c r="AH1434" i="1"/>
  <c r="AG1435" i="1"/>
  <c r="AH1435" i="1"/>
  <c r="AG1436" i="1"/>
  <c r="AH1436" i="1"/>
  <c r="AG1437" i="1"/>
  <c r="AH1437" i="1"/>
  <c r="AG1438" i="1"/>
  <c r="AH1438" i="1"/>
  <c r="AG1439" i="1"/>
  <c r="AH1439" i="1"/>
  <c r="AG1440" i="1"/>
  <c r="AH1440" i="1"/>
  <c r="AG1441" i="1"/>
  <c r="AH1441" i="1"/>
  <c r="AG1442" i="1"/>
  <c r="AH1442" i="1"/>
  <c r="AG1443" i="1"/>
  <c r="AH1443" i="1"/>
  <c r="AG1444" i="1"/>
  <c r="AH1444" i="1"/>
  <c r="AG1445" i="1"/>
  <c r="AH1445" i="1"/>
  <c r="AG1446" i="1"/>
  <c r="AH1446" i="1"/>
  <c r="AG1447" i="1"/>
  <c r="AH1447" i="1"/>
  <c r="AG1449" i="1"/>
  <c r="AH1449" i="1"/>
  <c r="AG1450" i="1"/>
  <c r="AH1450" i="1"/>
  <c r="AG1451" i="1"/>
  <c r="AH1451" i="1"/>
  <c r="AG1452" i="1"/>
  <c r="AH1452" i="1"/>
  <c r="AG1453" i="1"/>
  <c r="AH1453" i="1"/>
  <c r="AG1454" i="1"/>
  <c r="AH1454" i="1"/>
  <c r="AG1455" i="1"/>
  <c r="AH1455" i="1"/>
  <c r="AG1456" i="1"/>
  <c r="AH1456" i="1"/>
  <c r="AG1457" i="1"/>
  <c r="AH1457" i="1"/>
  <c r="AG1458" i="1"/>
  <c r="AH1458" i="1"/>
  <c r="AG1459" i="1"/>
  <c r="AH1459" i="1"/>
  <c r="AG1460" i="1"/>
  <c r="AH1460" i="1"/>
  <c r="AG1461" i="1"/>
  <c r="AH1461" i="1"/>
  <c r="AG1462" i="1"/>
  <c r="AH1462" i="1"/>
  <c r="AG1463" i="1"/>
  <c r="AH1463" i="1"/>
  <c r="AG1465" i="1"/>
  <c r="AH1465" i="1"/>
  <c r="AG1466" i="1"/>
  <c r="AH1466" i="1"/>
  <c r="AG1467" i="1"/>
  <c r="AH1467" i="1"/>
  <c r="AG1468" i="1"/>
  <c r="AH1468" i="1"/>
  <c r="AG1469" i="1"/>
  <c r="AH1469" i="1"/>
  <c r="AG1470" i="1"/>
  <c r="AH1470" i="1"/>
  <c r="AG1471" i="1"/>
  <c r="AH1471" i="1"/>
  <c r="AG1472" i="1"/>
  <c r="AH1472" i="1"/>
  <c r="AG1473" i="1"/>
  <c r="AH1473" i="1"/>
  <c r="AG1474" i="1"/>
  <c r="AH1474" i="1"/>
  <c r="AG1475" i="1"/>
  <c r="AH1475" i="1"/>
  <c r="AG1476" i="1"/>
  <c r="AH1476" i="1"/>
  <c r="AG1477" i="1"/>
  <c r="AH1477" i="1"/>
  <c r="AG1478" i="1"/>
  <c r="AH1478" i="1"/>
  <c r="AG1479" i="1"/>
  <c r="AH1479" i="1"/>
  <c r="AG1480" i="1"/>
  <c r="AH1480" i="1"/>
  <c r="AG1481" i="1"/>
  <c r="AH1481" i="1"/>
  <c r="AG1482" i="1"/>
  <c r="AH1482" i="1"/>
  <c r="AG1483" i="1"/>
  <c r="AH1483" i="1"/>
  <c r="AG1484" i="1"/>
  <c r="AH1484" i="1"/>
  <c r="AG1485" i="1"/>
  <c r="AH1485" i="1"/>
  <c r="AG1486" i="1"/>
  <c r="AH1486" i="1"/>
  <c r="AG1487" i="1"/>
  <c r="AH1487" i="1"/>
  <c r="AG1488" i="1"/>
  <c r="AH1488" i="1"/>
  <c r="AG1489" i="1"/>
  <c r="AH1489" i="1"/>
  <c r="AG1490" i="1"/>
  <c r="AH1490" i="1"/>
  <c r="AG1491" i="1"/>
  <c r="AH1491" i="1"/>
  <c r="AG1492" i="1"/>
  <c r="AH1492" i="1"/>
  <c r="AG1494" i="1"/>
  <c r="AH1494" i="1"/>
  <c r="AG1495" i="1"/>
  <c r="AH1495" i="1"/>
  <c r="AG1496" i="1"/>
  <c r="AH1496" i="1"/>
  <c r="AG1497" i="1"/>
  <c r="AH1497" i="1"/>
  <c r="AG1499" i="1"/>
  <c r="AH1499" i="1"/>
  <c r="AG1500" i="1"/>
  <c r="AH1500" i="1"/>
  <c r="AG1502" i="1"/>
  <c r="AH1502" i="1"/>
  <c r="AG1503" i="1"/>
  <c r="AH1503" i="1"/>
  <c r="AG1504" i="1"/>
  <c r="AH1504" i="1"/>
  <c r="AG1505" i="1"/>
  <c r="AH1505" i="1"/>
  <c r="AG1507" i="1"/>
  <c r="AH1507" i="1"/>
  <c r="AH2" i="1"/>
  <c r="AG2" i="1"/>
  <c r="AB3" i="1"/>
  <c r="AC3" i="1"/>
  <c r="AB4" i="1"/>
  <c r="AC4" i="1"/>
  <c r="AB5" i="1"/>
  <c r="AC5" i="1"/>
  <c r="AB6" i="1"/>
  <c r="AC6" i="1"/>
  <c r="AB7" i="1"/>
  <c r="AC7" i="1"/>
  <c r="AB8" i="1"/>
  <c r="AC8" i="1"/>
  <c r="AB9" i="1"/>
  <c r="AC9" i="1"/>
  <c r="AB10" i="1"/>
  <c r="AC10" i="1"/>
  <c r="AB11" i="1"/>
  <c r="AC11" i="1"/>
  <c r="AB12" i="1"/>
  <c r="AC12" i="1"/>
  <c r="AB13" i="1"/>
  <c r="AC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0" i="1"/>
  <c r="AC20" i="1"/>
  <c r="AB21" i="1"/>
  <c r="AC21" i="1"/>
  <c r="AB22" i="1"/>
  <c r="AC22" i="1"/>
  <c r="AB23" i="1"/>
  <c r="AC23" i="1"/>
  <c r="AB24" i="1"/>
  <c r="AC24" i="1"/>
  <c r="AB25" i="1"/>
  <c r="AC25" i="1"/>
  <c r="AB26" i="1"/>
  <c r="AC26" i="1"/>
  <c r="AB27" i="1"/>
  <c r="AC27" i="1"/>
  <c r="AB28" i="1"/>
  <c r="AC28" i="1"/>
  <c r="AB29" i="1"/>
  <c r="AC29" i="1"/>
  <c r="AB30" i="1"/>
  <c r="AC30" i="1"/>
  <c r="AB31" i="1"/>
  <c r="AC31" i="1"/>
  <c r="AB32" i="1"/>
  <c r="AC32" i="1"/>
  <c r="AB33" i="1"/>
  <c r="AC33" i="1"/>
  <c r="AB34" i="1"/>
  <c r="AC34" i="1"/>
  <c r="AB35" i="1"/>
  <c r="AC35" i="1"/>
  <c r="AB36" i="1"/>
  <c r="AC36" i="1"/>
  <c r="AB37" i="1"/>
  <c r="AC37" i="1"/>
  <c r="AB38" i="1"/>
  <c r="AC38" i="1"/>
  <c r="AB39" i="1"/>
  <c r="AC39" i="1"/>
  <c r="AB40" i="1"/>
  <c r="AC40" i="1"/>
  <c r="AB41" i="1"/>
  <c r="AC41" i="1"/>
  <c r="AB42" i="1"/>
  <c r="AC42" i="1"/>
  <c r="AB43" i="1"/>
  <c r="AC43" i="1"/>
  <c r="AB44" i="1"/>
  <c r="AC44" i="1"/>
  <c r="AB45" i="1"/>
  <c r="AC45" i="1"/>
  <c r="AB46" i="1"/>
  <c r="AC46" i="1"/>
  <c r="AB47" i="1"/>
  <c r="AC47" i="1"/>
  <c r="AB48" i="1"/>
  <c r="AC48" i="1"/>
  <c r="AB49" i="1"/>
  <c r="AC49" i="1"/>
  <c r="AB50" i="1"/>
  <c r="AC50" i="1"/>
  <c r="AB51" i="1"/>
  <c r="AC51" i="1"/>
  <c r="AB52" i="1"/>
  <c r="AC52" i="1"/>
  <c r="AB53" i="1"/>
  <c r="AC53" i="1"/>
  <c r="AB54" i="1"/>
  <c r="AC54" i="1"/>
  <c r="AB55" i="1"/>
  <c r="AC55" i="1"/>
  <c r="AB56" i="1"/>
  <c r="AC56" i="1"/>
  <c r="AB57" i="1"/>
  <c r="AC57" i="1"/>
  <c r="AB58" i="1"/>
  <c r="AC58" i="1"/>
  <c r="AB59" i="1"/>
  <c r="AC59" i="1"/>
  <c r="AB60" i="1"/>
  <c r="AC60" i="1"/>
  <c r="AB61" i="1"/>
  <c r="AC61" i="1"/>
  <c r="AB62" i="1"/>
  <c r="AC62" i="1"/>
  <c r="AB63" i="1"/>
  <c r="AC63" i="1"/>
  <c r="AB64" i="1"/>
  <c r="AC64" i="1"/>
  <c r="AB65" i="1"/>
  <c r="AC65" i="1"/>
  <c r="AB66" i="1"/>
  <c r="AC66" i="1"/>
  <c r="AB67" i="1"/>
  <c r="AC67" i="1"/>
  <c r="AB68" i="1"/>
  <c r="AC68" i="1"/>
  <c r="AB69" i="1"/>
  <c r="AC69" i="1"/>
  <c r="AB70" i="1"/>
  <c r="AC70" i="1"/>
  <c r="AB71" i="1"/>
  <c r="AC71" i="1"/>
  <c r="AB72" i="1"/>
  <c r="AC72" i="1"/>
  <c r="AB73" i="1"/>
  <c r="AC73" i="1"/>
  <c r="AB74" i="1"/>
  <c r="AC74" i="1"/>
  <c r="AB75" i="1"/>
  <c r="AC75" i="1"/>
  <c r="AB76" i="1"/>
  <c r="AC76" i="1"/>
  <c r="AB77" i="1"/>
  <c r="AC77" i="1"/>
  <c r="AB78" i="1"/>
  <c r="AC78" i="1"/>
  <c r="AB79" i="1"/>
  <c r="AC79" i="1"/>
  <c r="AB80" i="1"/>
  <c r="AC80" i="1"/>
  <c r="AB81" i="1"/>
  <c r="AC81" i="1"/>
  <c r="AB82" i="1"/>
  <c r="AC82" i="1"/>
  <c r="AB83" i="1"/>
  <c r="AC83" i="1"/>
  <c r="AB84" i="1"/>
  <c r="AC84" i="1"/>
  <c r="AB85" i="1"/>
  <c r="AC85" i="1"/>
  <c r="AB86" i="1"/>
  <c r="AC86" i="1"/>
  <c r="AB87" i="1"/>
  <c r="AC87" i="1"/>
  <c r="AB88" i="1"/>
  <c r="AC88" i="1"/>
  <c r="AB89" i="1"/>
  <c r="AC89" i="1"/>
  <c r="AB90" i="1"/>
  <c r="AC90" i="1"/>
  <c r="AB91" i="1"/>
  <c r="AC91" i="1"/>
  <c r="AB92" i="1"/>
  <c r="AC92" i="1"/>
  <c r="AB93" i="1"/>
  <c r="AC93" i="1"/>
  <c r="AB94" i="1"/>
  <c r="AC94" i="1"/>
  <c r="AB95" i="1"/>
  <c r="AC95" i="1"/>
  <c r="AB96" i="1"/>
  <c r="AC96" i="1"/>
  <c r="AB97" i="1"/>
  <c r="AC97" i="1"/>
  <c r="AB98" i="1"/>
  <c r="AC98" i="1"/>
  <c r="AB99" i="1"/>
  <c r="AC99" i="1"/>
  <c r="AB100" i="1"/>
  <c r="AC100" i="1"/>
  <c r="AB101" i="1"/>
  <c r="AC101" i="1"/>
  <c r="AB102" i="1"/>
  <c r="AC102" i="1"/>
  <c r="AB103" i="1"/>
  <c r="AC103" i="1"/>
  <c r="AB104" i="1"/>
  <c r="AC104" i="1"/>
  <c r="AB105" i="1"/>
  <c r="AC105" i="1"/>
  <c r="AB106" i="1"/>
  <c r="AC106" i="1"/>
  <c r="AB107" i="1"/>
  <c r="AC107" i="1"/>
  <c r="AB108" i="1"/>
  <c r="AC108" i="1"/>
  <c r="AB109" i="1"/>
  <c r="AC109" i="1"/>
  <c r="AB110" i="1"/>
  <c r="AC110" i="1"/>
  <c r="AB111" i="1"/>
  <c r="AC111" i="1"/>
  <c r="AB112" i="1"/>
  <c r="AC112" i="1"/>
  <c r="AB113" i="1"/>
  <c r="AC113" i="1"/>
  <c r="AB114" i="1"/>
  <c r="AC114" i="1"/>
  <c r="AB115" i="1"/>
  <c r="AC115" i="1"/>
  <c r="AB116" i="1"/>
  <c r="AC116" i="1"/>
  <c r="AB117" i="1"/>
  <c r="AC117" i="1"/>
  <c r="AB118" i="1"/>
  <c r="AC118" i="1"/>
  <c r="AB119" i="1"/>
  <c r="AC119" i="1"/>
  <c r="AB120" i="1"/>
  <c r="AC120" i="1"/>
  <c r="AB121" i="1"/>
  <c r="AC121" i="1"/>
  <c r="AB122" i="1"/>
  <c r="AC122" i="1"/>
  <c r="AB123" i="1"/>
  <c r="AC123" i="1"/>
  <c r="AB124" i="1"/>
  <c r="AC124" i="1"/>
  <c r="AB125" i="1"/>
  <c r="AC125" i="1"/>
  <c r="AB126" i="1"/>
  <c r="AC126" i="1"/>
  <c r="AB127" i="1"/>
  <c r="AC127" i="1"/>
  <c r="AB128" i="1"/>
  <c r="AC128" i="1"/>
  <c r="AB129" i="1"/>
  <c r="AC129" i="1"/>
  <c r="AB130" i="1"/>
  <c r="AC130" i="1"/>
  <c r="AB131" i="1"/>
  <c r="AC131" i="1"/>
  <c r="AB132" i="1"/>
  <c r="AC132" i="1"/>
  <c r="AB133" i="1"/>
  <c r="AC133" i="1"/>
  <c r="AB134" i="1"/>
  <c r="AC134" i="1"/>
  <c r="AB135" i="1"/>
  <c r="AC135" i="1"/>
  <c r="AB136" i="1"/>
  <c r="AC136" i="1"/>
  <c r="AB137" i="1"/>
  <c r="AC137" i="1"/>
  <c r="AB138" i="1"/>
  <c r="AC138" i="1"/>
  <c r="AB139" i="1"/>
  <c r="AC139" i="1"/>
  <c r="AB140" i="1"/>
  <c r="AC140" i="1"/>
  <c r="AB141" i="1"/>
  <c r="AC141" i="1"/>
  <c r="AB142" i="1"/>
  <c r="AC142" i="1"/>
  <c r="AB143" i="1"/>
  <c r="AC143" i="1"/>
  <c r="AB144" i="1"/>
  <c r="AC144" i="1"/>
  <c r="AB145" i="1"/>
  <c r="AC145" i="1"/>
  <c r="AB146" i="1"/>
  <c r="AC146" i="1"/>
  <c r="AB147" i="1"/>
  <c r="AC147" i="1"/>
  <c r="AB148" i="1"/>
  <c r="AC148" i="1"/>
  <c r="AB149" i="1"/>
  <c r="AC149" i="1"/>
  <c r="AB150" i="1"/>
  <c r="AC150" i="1"/>
  <c r="AB151" i="1"/>
  <c r="AC151" i="1"/>
  <c r="AB152" i="1"/>
  <c r="AC152" i="1"/>
  <c r="AB153" i="1"/>
  <c r="AC153" i="1"/>
  <c r="AB154" i="1"/>
  <c r="AC154" i="1"/>
  <c r="AB155" i="1"/>
  <c r="AC155" i="1"/>
  <c r="AB156" i="1"/>
  <c r="AC156" i="1"/>
  <c r="AB157" i="1"/>
  <c r="AC157" i="1"/>
  <c r="AB158" i="1"/>
  <c r="AC158" i="1"/>
  <c r="AB159" i="1"/>
  <c r="AC159" i="1"/>
  <c r="AB160" i="1"/>
  <c r="AC160" i="1"/>
  <c r="AB161" i="1"/>
  <c r="AC161" i="1"/>
  <c r="AB162" i="1"/>
  <c r="AC162" i="1"/>
  <c r="AB163" i="1"/>
  <c r="AC163" i="1"/>
  <c r="AB164" i="1"/>
  <c r="AC164" i="1"/>
  <c r="AB165" i="1"/>
  <c r="AC165" i="1"/>
  <c r="AB166" i="1"/>
  <c r="AC166" i="1"/>
  <c r="AB167" i="1"/>
  <c r="AC167" i="1"/>
  <c r="AB168" i="1"/>
  <c r="AC168" i="1"/>
  <c r="AB169" i="1"/>
  <c r="AC169" i="1"/>
  <c r="AB170" i="1"/>
  <c r="AC170" i="1"/>
  <c r="AB171" i="1"/>
  <c r="AC171" i="1"/>
  <c r="AB172" i="1"/>
  <c r="AC172" i="1"/>
  <c r="AB173" i="1"/>
  <c r="AC173" i="1"/>
  <c r="AB174" i="1"/>
  <c r="AC174" i="1"/>
  <c r="AB175" i="1"/>
  <c r="AC175" i="1"/>
  <c r="AB176" i="1"/>
  <c r="AC176" i="1"/>
  <c r="AB177" i="1"/>
  <c r="AC177" i="1"/>
  <c r="AB178" i="1"/>
  <c r="AC178" i="1"/>
  <c r="AB179" i="1"/>
  <c r="AC179" i="1"/>
  <c r="AB180" i="1"/>
  <c r="AC180" i="1"/>
  <c r="AB181" i="1"/>
  <c r="AC181" i="1"/>
  <c r="AB182" i="1"/>
  <c r="AC182" i="1"/>
  <c r="AB183" i="1"/>
  <c r="AC183" i="1"/>
  <c r="AB184" i="1"/>
  <c r="AC184" i="1"/>
  <c r="AB185" i="1"/>
  <c r="AC185" i="1"/>
  <c r="AB186" i="1"/>
  <c r="AC186" i="1"/>
  <c r="AB187" i="1"/>
  <c r="AC187" i="1"/>
  <c r="AB188" i="1"/>
  <c r="AC188" i="1"/>
  <c r="AB189" i="1"/>
  <c r="AC189" i="1"/>
  <c r="AB190" i="1"/>
  <c r="AC190" i="1"/>
  <c r="AB191" i="1"/>
  <c r="AC191" i="1"/>
  <c r="AB192" i="1"/>
  <c r="AC192" i="1"/>
  <c r="AB193" i="1"/>
  <c r="AC193" i="1"/>
  <c r="AB194" i="1"/>
  <c r="AC194" i="1"/>
  <c r="AB195" i="1"/>
  <c r="AC195" i="1"/>
  <c r="AB196" i="1"/>
  <c r="AC196" i="1"/>
  <c r="AB197" i="1"/>
  <c r="AC197" i="1"/>
  <c r="AB198" i="1"/>
  <c r="AC198" i="1"/>
  <c r="AB199" i="1"/>
  <c r="AC199" i="1"/>
  <c r="AB200" i="1"/>
  <c r="AC200" i="1"/>
  <c r="AB201" i="1"/>
  <c r="AC201" i="1"/>
  <c r="AB202" i="1"/>
  <c r="AC202" i="1"/>
  <c r="AB203" i="1"/>
  <c r="AC203" i="1"/>
  <c r="AB204" i="1"/>
  <c r="AC204" i="1"/>
  <c r="AB205" i="1"/>
  <c r="AC205" i="1"/>
  <c r="AB206" i="1"/>
  <c r="AC206" i="1"/>
  <c r="AB207" i="1"/>
  <c r="AC207" i="1"/>
  <c r="AB208" i="1"/>
  <c r="AC208" i="1"/>
  <c r="AB209" i="1"/>
  <c r="AC209" i="1"/>
  <c r="AB210" i="1"/>
  <c r="AC210" i="1"/>
  <c r="AB211" i="1"/>
  <c r="AC211" i="1"/>
  <c r="AB212" i="1"/>
  <c r="AC212" i="1"/>
  <c r="AB213" i="1"/>
  <c r="AC213" i="1"/>
  <c r="AB214" i="1"/>
  <c r="AC214" i="1"/>
  <c r="AB215" i="1"/>
  <c r="AC215" i="1"/>
  <c r="AB216" i="1"/>
  <c r="AC216" i="1"/>
  <c r="AB217" i="1"/>
  <c r="AC217" i="1"/>
  <c r="AB218" i="1"/>
  <c r="AC218" i="1"/>
  <c r="AB219" i="1"/>
  <c r="AC219" i="1"/>
  <c r="AB220" i="1"/>
  <c r="AC220" i="1"/>
  <c r="AB221" i="1"/>
  <c r="AC221" i="1"/>
  <c r="AB222" i="1"/>
  <c r="AC222" i="1"/>
  <c r="AB223" i="1"/>
  <c r="AC223" i="1"/>
  <c r="AB224" i="1"/>
  <c r="AC224" i="1"/>
  <c r="AB225" i="1"/>
  <c r="AC225" i="1"/>
  <c r="AB226" i="1"/>
  <c r="AC226" i="1"/>
  <c r="AB227" i="1"/>
  <c r="AC227" i="1"/>
  <c r="AB228" i="1"/>
  <c r="AC228" i="1"/>
  <c r="AB229" i="1"/>
  <c r="AC229" i="1"/>
  <c r="AB230" i="1"/>
  <c r="AC230" i="1"/>
  <c r="AB231" i="1"/>
  <c r="AC231" i="1"/>
  <c r="AB232" i="1"/>
  <c r="AC232" i="1"/>
  <c r="AB233" i="1"/>
  <c r="AC233" i="1"/>
  <c r="AB234" i="1"/>
  <c r="AC234" i="1"/>
  <c r="AB235" i="1"/>
  <c r="AC235" i="1"/>
  <c r="AB236" i="1"/>
  <c r="AC236" i="1"/>
  <c r="AB237" i="1"/>
  <c r="AC237" i="1"/>
  <c r="AB238" i="1"/>
  <c r="AC238" i="1"/>
  <c r="AB239" i="1"/>
  <c r="AC239" i="1"/>
  <c r="AB240" i="1"/>
  <c r="AC240" i="1"/>
  <c r="AB241" i="1"/>
  <c r="AC241" i="1"/>
  <c r="AB242" i="1"/>
  <c r="AC242" i="1"/>
  <c r="AB243" i="1"/>
  <c r="AC243" i="1"/>
  <c r="AB244" i="1"/>
  <c r="AC244" i="1"/>
  <c r="AB245" i="1"/>
  <c r="AC245" i="1"/>
  <c r="AB246" i="1"/>
  <c r="AC246" i="1"/>
  <c r="AB247" i="1"/>
  <c r="AC247" i="1"/>
  <c r="AB248" i="1"/>
  <c r="AC248" i="1"/>
  <c r="AB249" i="1"/>
  <c r="AC249" i="1"/>
  <c r="AB250" i="1"/>
  <c r="AC250" i="1"/>
  <c r="AB251" i="1"/>
  <c r="AC251" i="1"/>
  <c r="AB252" i="1"/>
  <c r="AC252" i="1"/>
  <c r="AB253" i="1"/>
  <c r="AC253" i="1"/>
  <c r="AB254" i="1"/>
  <c r="AC254" i="1"/>
  <c r="AB255" i="1"/>
  <c r="AC255" i="1"/>
  <c r="AB256" i="1"/>
  <c r="AC256" i="1"/>
  <c r="AB257" i="1"/>
  <c r="AC257" i="1"/>
  <c r="AB258" i="1"/>
  <c r="AC258" i="1"/>
  <c r="AB259" i="1"/>
  <c r="AC259" i="1"/>
  <c r="AB260" i="1"/>
  <c r="AC260" i="1"/>
  <c r="AB261" i="1"/>
  <c r="AC261" i="1"/>
  <c r="AB262" i="1"/>
  <c r="AC262" i="1"/>
  <c r="AB263" i="1"/>
  <c r="AC263" i="1"/>
  <c r="AB264" i="1"/>
  <c r="AC264" i="1"/>
  <c r="AB265" i="1"/>
  <c r="AC265" i="1"/>
  <c r="AB266" i="1"/>
  <c r="AC266" i="1"/>
  <c r="AB267" i="1"/>
  <c r="AC267" i="1"/>
  <c r="AB268" i="1"/>
  <c r="AC268" i="1"/>
  <c r="AB269" i="1"/>
  <c r="AC269" i="1"/>
  <c r="AB270" i="1"/>
  <c r="AC270" i="1"/>
  <c r="AB271" i="1"/>
  <c r="AC271" i="1"/>
  <c r="AB272" i="1"/>
  <c r="AC272" i="1"/>
  <c r="AB273" i="1"/>
  <c r="AC273" i="1"/>
  <c r="AB274" i="1"/>
  <c r="AC274" i="1"/>
  <c r="AB275" i="1"/>
  <c r="AC275" i="1"/>
  <c r="AB276" i="1"/>
  <c r="AC276" i="1"/>
  <c r="AB277" i="1"/>
  <c r="AC277" i="1"/>
  <c r="AB278" i="1"/>
  <c r="AC278" i="1"/>
  <c r="AB279" i="1"/>
  <c r="AC279" i="1"/>
  <c r="AB280" i="1"/>
  <c r="AC280" i="1"/>
  <c r="AB281" i="1"/>
  <c r="AC281" i="1"/>
  <c r="AB282" i="1"/>
  <c r="AC282" i="1"/>
  <c r="AB283" i="1"/>
  <c r="AC283" i="1"/>
  <c r="AB284" i="1"/>
  <c r="AC284" i="1"/>
  <c r="AB285" i="1"/>
  <c r="AC285" i="1"/>
  <c r="AB286" i="1"/>
  <c r="AC286" i="1"/>
  <c r="AB287" i="1"/>
  <c r="AC287" i="1"/>
  <c r="AB288" i="1"/>
  <c r="AC288" i="1"/>
  <c r="AB289" i="1"/>
  <c r="AC289" i="1"/>
  <c r="AB290" i="1"/>
  <c r="AC290" i="1"/>
  <c r="AB291" i="1"/>
  <c r="AC291" i="1"/>
  <c r="AB292" i="1"/>
  <c r="AC292" i="1"/>
  <c r="AB293" i="1"/>
  <c r="AC293" i="1"/>
  <c r="AB294" i="1"/>
  <c r="AC294" i="1"/>
  <c r="AB295" i="1"/>
  <c r="AC295" i="1"/>
  <c r="AB296" i="1"/>
  <c r="AC296" i="1"/>
  <c r="AB297" i="1"/>
  <c r="AC297" i="1"/>
  <c r="AB298" i="1"/>
  <c r="AC298" i="1"/>
  <c r="AB299" i="1"/>
  <c r="AC299" i="1"/>
  <c r="AB300" i="1"/>
  <c r="AC300" i="1"/>
  <c r="AB301" i="1"/>
  <c r="AC301" i="1"/>
  <c r="AB302" i="1"/>
  <c r="AC302" i="1"/>
  <c r="AB303" i="1"/>
  <c r="AC303" i="1"/>
  <c r="AB304" i="1"/>
  <c r="AC304" i="1"/>
  <c r="AB305" i="1"/>
  <c r="AC305" i="1"/>
  <c r="AB306" i="1"/>
  <c r="AC306" i="1"/>
  <c r="AB307" i="1"/>
  <c r="AC307" i="1"/>
  <c r="AB308" i="1"/>
  <c r="AC308" i="1"/>
  <c r="AB309" i="1"/>
  <c r="AC309" i="1"/>
  <c r="AB310" i="1"/>
  <c r="AC310" i="1"/>
  <c r="AB311" i="1"/>
  <c r="AC311" i="1"/>
  <c r="AB312" i="1"/>
  <c r="AC312" i="1"/>
  <c r="AB313" i="1"/>
  <c r="AC313" i="1"/>
  <c r="AB314" i="1"/>
  <c r="AC314" i="1"/>
  <c r="AB315" i="1"/>
  <c r="AC315" i="1"/>
  <c r="AB316" i="1"/>
  <c r="AC316" i="1"/>
  <c r="AB317" i="1"/>
  <c r="AC317" i="1"/>
  <c r="AB318" i="1"/>
  <c r="AC318" i="1"/>
  <c r="AB319" i="1"/>
  <c r="AC319" i="1"/>
  <c r="AB320" i="1"/>
  <c r="AC320" i="1"/>
  <c r="AB321" i="1"/>
  <c r="AC321" i="1"/>
  <c r="AB322" i="1"/>
  <c r="AC322" i="1"/>
  <c r="AB323" i="1"/>
  <c r="AC323" i="1"/>
  <c r="AB324" i="1"/>
  <c r="AC324" i="1"/>
  <c r="AB325" i="1"/>
  <c r="AC325" i="1"/>
  <c r="AB326" i="1"/>
  <c r="AC326" i="1"/>
  <c r="AB327" i="1"/>
  <c r="AC327" i="1"/>
  <c r="AB328" i="1"/>
  <c r="AC328" i="1"/>
  <c r="AB329" i="1"/>
  <c r="AC329" i="1"/>
  <c r="AB330" i="1"/>
  <c r="AC330" i="1"/>
  <c r="AB331" i="1"/>
  <c r="AC331" i="1"/>
  <c r="AB332" i="1"/>
  <c r="AC332" i="1"/>
  <c r="AB333" i="1"/>
  <c r="AC333" i="1"/>
  <c r="AB334" i="1"/>
  <c r="AC334" i="1"/>
  <c r="AB335" i="1"/>
  <c r="AC335" i="1"/>
  <c r="AB336" i="1"/>
  <c r="AC336" i="1"/>
  <c r="AB337" i="1"/>
  <c r="AC337" i="1"/>
  <c r="AB338" i="1"/>
  <c r="AC338" i="1"/>
  <c r="AB339" i="1"/>
  <c r="AC339" i="1"/>
  <c r="AB340" i="1"/>
  <c r="AC340" i="1"/>
  <c r="AB341" i="1"/>
  <c r="AC341" i="1"/>
  <c r="AB342" i="1"/>
  <c r="AC342" i="1"/>
  <c r="AB343" i="1"/>
  <c r="AC343" i="1"/>
  <c r="AB344" i="1"/>
  <c r="AC344" i="1"/>
  <c r="AB345" i="1"/>
  <c r="AC345" i="1"/>
  <c r="AB346" i="1"/>
  <c r="AC346" i="1"/>
  <c r="AB347" i="1"/>
  <c r="AC347" i="1"/>
  <c r="AB348" i="1"/>
  <c r="AC348" i="1"/>
  <c r="AB349" i="1"/>
  <c r="AC349" i="1"/>
  <c r="AB350" i="1"/>
  <c r="AC350" i="1"/>
  <c r="AB351" i="1"/>
  <c r="AC351" i="1"/>
  <c r="AB352" i="1"/>
  <c r="AC352" i="1"/>
  <c r="AB353" i="1"/>
  <c r="AC353" i="1"/>
  <c r="AB354" i="1"/>
  <c r="AC354" i="1"/>
  <c r="AB355" i="1"/>
  <c r="AC355" i="1"/>
  <c r="AB356" i="1"/>
  <c r="AC356" i="1"/>
  <c r="AB357" i="1"/>
  <c r="AC357" i="1"/>
  <c r="AB358" i="1"/>
  <c r="AC358" i="1"/>
  <c r="AB359" i="1"/>
  <c r="AC359" i="1"/>
  <c r="AB360" i="1"/>
  <c r="AC360" i="1"/>
  <c r="AB361" i="1"/>
  <c r="AC361" i="1"/>
  <c r="AB362" i="1"/>
  <c r="AC362" i="1"/>
  <c r="AB363" i="1"/>
  <c r="AC363" i="1"/>
  <c r="AB364" i="1"/>
  <c r="AC364" i="1"/>
  <c r="AB365" i="1"/>
  <c r="AC365" i="1"/>
  <c r="AB366" i="1"/>
  <c r="AC366" i="1"/>
  <c r="AB367" i="1"/>
  <c r="AC367" i="1"/>
  <c r="AB368" i="1"/>
  <c r="AC368" i="1"/>
  <c r="AB369" i="1"/>
  <c r="AC369" i="1"/>
  <c r="AB370" i="1"/>
  <c r="AC370" i="1"/>
  <c r="AB371" i="1"/>
  <c r="AC371" i="1"/>
  <c r="AB372" i="1"/>
  <c r="AC372" i="1"/>
  <c r="AB373" i="1"/>
  <c r="AC373" i="1"/>
  <c r="AB374" i="1"/>
  <c r="AC374" i="1"/>
  <c r="AB375" i="1"/>
  <c r="AC375" i="1"/>
  <c r="AB376" i="1"/>
  <c r="AC376" i="1"/>
  <c r="AB377" i="1"/>
  <c r="AC377" i="1"/>
  <c r="AB378" i="1"/>
  <c r="AC378" i="1"/>
  <c r="AB379" i="1"/>
  <c r="AC379" i="1"/>
  <c r="AB380" i="1"/>
  <c r="AC380" i="1"/>
  <c r="AB381" i="1"/>
  <c r="AC381" i="1"/>
  <c r="AB382" i="1"/>
  <c r="AC382" i="1"/>
  <c r="AB383" i="1"/>
  <c r="AC383" i="1"/>
  <c r="AB384" i="1"/>
  <c r="AC384" i="1"/>
  <c r="AB385" i="1"/>
  <c r="AC385" i="1"/>
  <c r="AB386" i="1"/>
  <c r="AC386" i="1"/>
  <c r="AB387" i="1"/>
  <c r="AC387" i="1"/>
  <c r="AB388" i="1"/>
  <c r="AC388" i="1"/>
  <c r="AB389" i="1"/>
  <c r="AC389" i="1"/>
  <c r="AB390" i="1"/>
  <c r="AC390" i="1"/>
  <c r="AB391" i="1"/>
  <c r="AC391" i="1"/>
  <c r="AB392" i="1"/>
  <c r="AC392" i="1"/>
  <c r="AB393" i="1"/>
  <c r="AC393" i="1"/>
  <c r="AB394" i="1"/>
  <c r="AC394" i="1"/>
  <c r="AB395" i="1"/>
  <c r="AC395" i="1"/>
  <c r="AB396" i="1"/>
  <c r="AC396" i="1"/>
  <c r="AB397" i="1"/>
  <c r="AC397" i="1"/>
  <c r="AB398" i="1"/>
  <c r="AC398" i="1"/>
  <c r="AB399" i="1"/>
  <c r="AC399" i="1"/>
  <c r="AB400" i="1"/>
  <c r="AC400" i="1"/>
  <c r="AB401" i="1"/>
  <c r="AC401" i="1"/>
  <c r="AB402" i="1"/>
  <c r="AC402" i="1"/>
  <c r="AB403" i="1"/>
  <c r="AC403" i="1"/>
  <c r="AB404" i="1"/>
  <c r="AC404" i="1"/>
  <c r="AB405" i="1"/>
  <c r="AC405" i="1"/>
  <c r="AB406" i="1"/>
  <c r="AC406" i="1"/>
  <c r="AB407" i="1"/>
  <c r="AC407" i="1"/>
  <c r="AB408" i="1"/>
  <c r="AC408" i="1"/>
  <c r="AB409" i="1"/>
  <c r="AC409" i="1"/>
  <c r="AB410" i="1"/>
  <c r="AC410" i="1"/>
  <c r="AB411" i="1"/>
  <c r="AC411" i="1"/>
  <c r="AB412" i="1"/>
  <c r="AC412" i="1"/>
  <c r="AB413" i="1"/>
  <c r="AC413" i="1"/>
  <c r="AB414" i="1"/>
  <c r="AC414" i="1"/>
  <c r="AB415" i="1"/>
  <c r="AC415" i="1"/>
  <c r="AB416" i="1"/>
  <c r="AC416" i="1"/>
  <c r="AB417" i="1"/>
  <c r="AC417" i="1"/>
  <c r="AB418" i="1"/>
  <c r="AC418" i="1"/>
  <c r="AB419" i="1"/>
  <c r="AC419" i="1"/>
  <c r="AB420" i="1"/>
  <c r="AC420" i="1"/>
  <c r="AB421" i="1"/>
  <c r="AC421" i="1"/>
  <c r="AB422" i="1"/>
  <c r="AC422" i="1"/>
  <c r="AB423" i="1"/>
  <c r="AC423" i="1"/>
  <c r="AB424" i="1"/>
  <c r="AC424" i="1"/>
  <c r="AB425" i="1"/>
  <c r="AC425" i="1"/>
  <c r="AB426" i="1"/>
  <c r="AC426" i="1"/>
  <c r="AB427" i="1"/>
  <c r="AC427" i="1"/>
  <c r="AB428" i="1"/>
  <c r="AC428" i="1"/>
  <c r="AB429" i="1"/>
  <c r="AC429" i="1"/>
  <c r="AB430" i="1"/>
  <c r="AC430" i="1"/>
  <c r="AB431" i="1"/>
  <c r="AC431" i="1"/>
  <c r="AB432" i="1"/>
  <c r="AC432" i="1"/>
  <c r="AB433" i="1"/>
  <c r="AC433" i="1"/>
  <c r="AB434" i="1"/>
  <c r="AC434" i="1"/>
  <c r="AB435" i="1"/>
  <c r="AC435" i="1"/>
  <c r="AB436" i="1"/>
  <c r="AC436" i="1"/>
  <c r="AB437" i="1"/>
  <c r="AC437" i="1"/>
  <c r="AB438" i="1"/>
  <c r="AC438" i="1"/>
  <c r="AB439" i="1"/>
  <c r="AC439" i="1"/>
  <c r="AB440" i="1"/>
  <c r="AC440" i="1"/>
  <c r="AB441" i="1"/>
  <c r="AC441" i="1"/>
  <c r="AB442" i="1"/>
  <c r="AC442" i="1"/>
  <c r="AB443" i="1"/>
  <c r="AC443" i="1"/>
  <c r="AB444" i="1"/>
  <c r="AC444" i="1"/>
  <c r="AB445" i="1"/>
  <c r="AC445" i="1"/>
  <c r="AB446" i="1"/>
  <c r="AC446" i="1"/>
  <c r="AB447" i="1"/>
  <c r="AC447" i="1"/>
  <c r="AB448" i="1"/>
  <c r="AC448" i="1"/>
  <c r="AB449" i="1"/>
  <c r="AC449" i="1"/>
  <c r="AB450" i="1"/>
  <c r="AC450" i="1"/>
  <c r="AB451" i="1"/>
  <c r="AC451" i="1"/>
  <c r="AB452" i="1"/>
  <c r="AC452" i="1"/>
  <c r="AB453" i="1"/>
  <c r="AC453" i="1"/>
  <c r="AB454" i="1"/>
  <c r="AC454" i="1"/>
  <c r="AB455" i="1"/>
  <c r="AC455" i="1"/>
  <c r="AB456" i="1"/>
  <c r="AC456" i="1"/>
  <c r="AB457" i="1"/>
  <c r="AC457" i="1"/>
  <c r="AB458" i="1"/>
  <c r="AC458" i="1"/>
  <c r="AB459" i="1"/>
  <c r="AC459" i="1"/>
  <c r="AB460" i="1"/>
  <c r="AC460" i="1"/>
  <c r="AB461" i="1"/>
  <c r="AC461" i="1"/>
  <c r="AB462" i="1"/>
  <c r="AC462" i="1"/>
  <c r="AB463" i="1"/>
  <c r="AC463" i="1"/>
  <c r="AB464" i="1"/>
  <c r="AC464" i="1"/>
  <c r="AB465" i="1"/>
  <c r="AC465" i="1"/>
  <c r="AB466" i="1"/>
  <c r="AC466" i="1"/>
  <c r="AB467" i="1"/>
  <c r="AC467" i="1"/>
  <c r="AB468" i="1"/>
  <c r="AC468" i="1"/>
  <c r="AB469" i="1"/>
  <c r="AC469" i="1"/>
  <c r="AB470" i="1"/>
  <c r="AC470" i="1"/>
  <c r="AB471" i="1"/>
  <c r="AC471" i="1"/>
  <c r="AB472" i="1"/>
  <c r="AC472" i="1"/>
  <c r="AB473" i="1"/>
  <c r="AC473" i="1"/>
  <c r="AB474" i="1"/>
  <c r="AC474" i="1"/>
  <c r="AB475" i="1"/>
  <c r="AC475" i="1"/>
  <c r="AB476" i="1"/>
  <c r="AC476" i="1"/>
  <c r="AB477" i="1"/>
  <c r="AC477" i="1"/>
  <c r="AB478" i="1"/>
  <c r="AC478" i="1"/>
  <c r="AB479" i="1"/>
  <c r="AC479" i="1"/>
  <c r="AB480" i="1"/>
  <c r="AC480" i="1"/>
  <c r="AB481" i="1"/>
  <c r="AC481" i="1"/>
  <c r="AB482" i="1"/>
  <c r="AC482" i="1"/>
  <c r="AB483" i="1"/>
  <c r="AC483" i="1"/>
  <c r="AB484" i="1"/>
  <c r="AC484" i="1"/>
  <c r="AB485" i="1"/>
  <c r="AC485" i="1"/>
  <c r="AB486" i="1"/>
  <c r="AC486" i="1"/>
  <c r="AB487" i="1"/>
  <c r="AC487" i="1"/>
  <c r="AB488" i="1"/>
  <c r="AC488" i="1"/>
  <c r="AB489" i="1"/>
  <c r="AC489" i="1"/>
  <c r="AB490" i="1"/>
  <c r="AC490" i="1"/>
  <c r="AB491" i="1"/>
  <c r="AC491" i="1"/>
  <c r="AB492" i="1"/>
  <c r="AC492" i="1"/>
  <c r="AB493" i="1"/>
  <c r="AC493" i="1"/>
  <c r="AB494" i="1"/>
  <c r="AC494" i="1"/>
  <c r="AB495" i="1"/>
  <c r="AC495" i="1"/>
  <c r="AB496" i="1"/>
  <c r="AC496" i="1"/>
  <c r="AB497" i="1"/>
  <c r="AC497" i="1"/>
  <c r="AB498" i="1"/>
  <c r="AC498" i="1"/>
  <c r="AB499" i="1"/>
  <c r="AC499" i="1"/>
  <c r="AB500" i="1"/>
  <c r="AC500" i="1"/>
  <c r="AB501" i="1"/>
  <c r="AC501" i="1"/>
  <c r="AB502" i="1"/>
  <c r="AC502" i="1"/>
  <c r="AB503" i="1"/>
  <c r="AC503" i="1"/>
  <c r="AB504" i="1"/>
  <c r="AC504" i="1"/>
  <c r="AB505" i="1"/>
  <c r="AC505" i="1"/>
  <c r="AB506" i="1"/>
  <c r="AC506" i="1"/>
  <c r="AB507" i="1"/>
  <c r="AC507" i="1"/>
  <c r="AB508" i="1"/>
  <c r="AC508" i="1"/>
  <c r="AB509" i="1"/>
  <c r="AC509" i="1"/>
  <c r="AB510" i="1"/>
  <c r="AC510" i="1"/>
  <c r="AB511" i="1"/>
  <c r="AC511" i="1"/>
  <c r="AB512" i="1"/>
  <c r="AC512" i="1"/>
  <c r="AB513" i="1"/>
  <c r="AC513" i="1"/>
  <c r="AB514" i="1"/>
  <c r="AC514" i="1"/>
  <c r="AB515" i="1"/>
  <c r="AC515" i="1"/>
  <c r="AB516" i="1"/>
  <c r="AC516" i="1"/>
  <c r="AB517" i="1"/>
  <c r="AC517" i="1"/>
  <c r="AB518" i="1"/>
  <c r="AC518" i="1"/>
  <c r="AB519" i="1"/>
  <c r="AC519" i="1"/>
  <c r="AB520" i="1"/>
  <c r="AC520" i="1"/>
  <c r="AB521" i="1"/>
  <c r="AC521" i="1"/>
  <c r="AB522" i="1"/>
  <c r="AC522" i="1"/>
  <c r="AB523" i="1"/>
  <c r="AC523" i="1"/>
  <c r="AB524" i="1"/>
  <c r="AC524" i="1"/>
  <c r="AB525" i="1"/>
  <c r="AC525" i="1"/>
  <c r="AB526" i="1"/>
  <c r="AC526" i="1"/>
  <c r="AB527" i="1"/>
  <c r="AC527" i="1"/>
  <c r="AB528" i="1"/>
  <c r="AC528" i="1"/>
  <c r="AB529" i="1"/>
  <c r="AC529" i="1"/>
  <c r="AB530" i="1"/>
  <c r="AC530" i="1"/>
  <c r="AB531" i="1"/>
  <c r="AC531" i="1"/>
  <c r="AB532" i="1"/>
  <c r="AC532" i="1"/>
  <c r="AB533" i="1"/>
  <c r="AC533" i="1"/>
  <c r="AB534" i="1"/>
  <c r="AC534" i="1"/>
  <c r="AB535" i="1"/>
  <c r="AC535" i="1"/>
  <c r="AB536" i="1"/>
  <c r="AC536" i="1"/>
  <c r="AB537" i="1"/>
  <c r="AC537" i="1"/>
  <c r="AB538" i="1"/>
  <c r="AC538" i="1"/>
  <c r="AB539" i="1"/>
  <c r="AC539" i="1"/>
  <c r="AB540" i="1"/>
  <c r="AC540" i="1"/>
  <c r="AB541" i="1"/>
  <c r="AC541" i="1"/>
  <c r="AB542" i="1"/>
  <c r="AC542" i="1"/>
  <c r="AB543" i="1"/>
  <c r="AC543" i="1"/>
  <c r="AB544" i="1"/>
  <c r="AC544" i="1"/>
  <c r="AB545" i="1"/>
  <c r="AC545" i="1"/>
  <c r="AB546" i="1"/>
  <c r="AC546" i="1"/>
  <c r="AB547" i="1"/>
  <c r="AC547" i="1"/>
  <c r="AB548" i="1"/>
  <c r="AC548" i="1"/>
  <c r="AB549" i="1"/>
  <c r="AC549" i="1"/>
  <c r="AB550" i="1"/>
  <c r="AC550" i="1"/>
  <c r="AB551" i="1"/>
  <c r="AC551" i="1"/>
  <c r="AB552" i="1"/>
  <c r="AC552" i="1"/>
  <c r="AB554" i="1"/>
  <c r="AC554" i="1"/>
  <c r="AB555" i="1"/>
  <c r="AC555" i="1"/>
  <c r="AB556" i="1"/>
  <c r="AC556" i="1"/>
  <c r="AB557" i="1"/>
  <c r="AC557" i="1"/>
  <c r="AB558" i="1"/>
  <c r="AC558" i="1"/>
  <c r="AB559" i="1"/>
  <c r="AC559" i="1"/>
  <c r="AB560" i="1"/>
  <c r="AC560" i="1"/>
  <c r="AB561" i="1"/>
  <c r="AC561" i="1"/>
  <c r="AB562" i="1"/>
  <c r="AC562" i="1"/>
  <c r="AB563" i="1"/>
  <c r="AC563" i="1"/>
  <c r="AB564" i="1"/>
  <c r="AC564" i="1"/>
  <c r="AB565" i="1"/>
  <c r="AC565" i="1"/>
  <c r="AB566" i="1"/>
  <c r="AC566" i="1"/>
  <c r="AB567" i="1"/>
  <c r="AC567" i="1"/>
  <c r="AB568" i="1"/>
  <c r="AC568" i="1"/>
  <c r="AB569" i="1"/>
  <c r="AC569" i="1"/>
  <c r="AB570" i="1"/>
  <c r="AC570" i="1"/>
  <c r="AB571" i="1"/>
  <c r="AC571" i="1"/>
  <c r="AB572" i="1"/>
  <c r="AC572" i="1"/>
  <c r="AB573" i="1"/>
  <c r="AC573" i="1"/>
  <c r="AB574" i="1"/>
  <c r="AC574" i="1"/>
  <c r="AB575" i="1"/>
  <c r="AC575" i="1"/>
  <c r="AB576" i="1"/>
  <c r="AC576" i="1"/>
  <c r="AB577" i="1"/>
  <c r="AC577" i="1"/>
  <c r="AB578" i="1"/>
  <c r="AC578" i="1"/>
  <c r="AB579" i="1"/>
  <c r="AC579" i="1"/>
  <c r="AB580" i="1"/>
  <c r="AC580" i="1"/>
  <c r="AB581" i="1"/>
  <c r="AC581" i="1"/>
  <c r="AB582" i="1"/>
  <c r="AC582" i="1"/>
  <c r="AB583" i="1"/>
  <c r="AC583" i="1"/>
  <c r="AB584" i="1"/>
  <c r="AC584" i="1"/>
  <c r="AB585" i="1"/>
  <c r="AC585" i="1"/>
  <c r="AB586" i="1"/>
  <c r="AC586" i="1"/>
  <c r="AB587" i="1"/>
  <c r="AC587" i="1"/>
  <c r="AB588" i="1"/>
  <c r="AC588" i="1"/>
  <c r="AB589" i="1"/>
  <c r="AC589" i="1"/>
  <c r="AB590" i="1"/>
  <c r="AC590" i="1"/>
  <c r="AB591" i="1"/>
  <c r="AC591" i="1"/>
  <c r="AB592" i="1"/>
  <c r="AC592" i="1"/>
  <c r="AB593" i="1"/>
  <c r="AC593" i="1"/>
  <c r="AB594" i="1"/>
  <c r="AC594" i="1"/>
  <c r="AB595" i="1"/>
  <c r="AC595" i="1"/>
  <c r="AB596" i="1"/>
  <c r="AC596" i="1"/>
  <c r="AB597" i="1"/>
  <c r="AC597" i="1"/>
  <c r="AB598" i="1"/>
  <c r="AC598" i="1"/>
  <c r="AB599" i="1"/>
  <c r="AC599" i="1"/>
  <c r="AB600" i="1"/>
  <c r="AC600" i="1"/>
  <c r="AB601" i="1"/>
  <c r="AC601" i="1"/>
  <c r="AB602" i="1"/>
  <c r="AC602" i="1"/>
  <c r="AB603" i="1"/>
  <c r="AC603" i="1"/>
  <c r="AB604" i="1"/>
  <c r="AC604" i="1"/>
  <c r="AB605" i="1"/>
  <c r="AC605" i="1"/>
  <c r="AB606" i="1"/>
  <c r="AC606" i="1"/>
  <c r="AB607" i="1"/>
  <c r="AC607" i="1"/>
  <c r="AB608" i="1"/>
  <c r="AC608" i="1"/>
  <c r="AB609" i="1"/>
  <c r="AC609" i="1"/>
  <c r="AB610" i="1"/>
  <c r="AC610" i="1"/>
  <c r="AB611" i="1"/>
  <c r="AC611" i="1"/>
  <c r="AB612" i="1"/>
  <c r="AC612" i="1"/>
  <c r="AB613" i="1"/>
  <c r="AC613" i="1"/>
  <c r="AB614" i="1"/>
  <c r="AC614" i="1"/>
  <c r="AB615" i="1"/>
  <c r="AC615" i="1"/>
  <c r="AB616" i="1"/>
  <c r="AC616" i="1"/>
  <c r="AB617" i="1"/>
  <c r="AC617" i="1"/>
  <c r="AB618" i="1"/>
  <c r="AC618" i="1"/>
  <c r="AB619" i="1"/>
  <c r="AC619" i="1"/>
  <c r="AB620" i="1"/>
  <c r="AC620" i="1"/>
  <c r="AB621" i="1"/>
  <c r="AC621" i="1"/>
  <c r="AB622" i="1"/>
  <c r="AC622" i="1"/>
  <c r="AB623" i="1"/>
  <c r="AC623" i="1"/>
  <c r="AB624" i="1"/>
  <c r="AC624" i="1"/>
  <c r="AB625" i="1"/>
  <c r="AC625" i="1"/>
  <c r="AB626" i="1"/>
  <c r="AC626" i="1"/>
  <c r="AB627" i="1"/>
  <c r="AC627" i="1"/>
  <c r="AB628" i="1"/>
  <c r="AC628" i="1"/>
  <c r="AB629" i="1"/>
  <c r="AC629" i="1"/>
  <c r="AB630" i="1"/>
  <c r="AC630" i="1"/>
  <c r="AB631" i="1"/>
  <c r="AC631" i="1"/>
  <c r="AB632" i="1"/>
  <c r="AC632" i="1"/>
  <c r="AB633" i="1"/>
  <c r="AC633" i="1"/>
  <c r="AB634" i="1"/>
  <c r="AC634" i="1"/>
  <c r="AB635" i="1"/>
  <c r="AC635" i="1"/>
  <c r="AB636" i="1"/>
  <c r="AC636" i="1"/>
  <c r="AB637" i="1"/>
  <c r="AC637" i="1"/>
  <c r="AB638" i="1"/>
  <c r="AC638" i="1"/>
  <c r="AB639" i="1"/>
  <c r="AC639" i="1"/>
  <c r="AB640" i="1"/>
  <c r="AC640" i="1"/>
  <c r="AB641" i="1"/>
  <c r="AC641" i="1"/>
  <c r="AB642" i="1"/>
  <c r="AC642" i="1"/>
  <c r="AB643" i="1"/>
  <c r="AC643" i="1"/>
  <c r="AB644" i="1"/>
  <c r="AC644" i="1"/>
  <c r="AB645" i="1"/>
  <c r="AC645" i="1"/>
  <c r="AB646" i="1"/>
  <c r="AC646" i="1"/>
  <c r="AB647" i="1"/>
  <c r="AC647" i="1"/>
  <c r="AB648" i="1"/>
  <c r="AC648" i="1"/>
  <c r="AB649" i="1"/>
  <c r="AC649" i="1"/>
  <c r="AB650" i="1"/>
  <c r="AC650" i="1"/>
  <c r="AB651" i="1"/>
  <c r="AC651" i="1"/>
  <c r="AB652" i="1"/>
  <c r="AC652" i="1"/>
  <c r="AB653" i="1"/>
  <c r="AC653" i="1"/>
  <c r="AB654" i="1"/>
  <c r="AC654" i="1"/>
  <c r="AB655" i="1"/>
  <c r="AC655" i="1"/>
  <c r="AB656" i="1"/>
  <c r="AC656" i="1"/>
  <c r="AB657" i="1"/>
  <c r="AC657" i="1"/>
  <c r="AB658" i="1"/>
  <c r="AC658" i="1"/>
  <c r="AB659" i="1"/>
  <c r="AC659" i="1"/>
  <c r="AB660" i="1"/>
  <c r="AC660" i="1"/>
  <c r="AB661" i="1"/>
  <c r="AC661" i="1"/>
  <c r="AB662" i="1"/>
  <c r="AC662" i="1"/>
  <c r="AB663" i="1"/>
  <c r="AC663" i="1"/>
  <c r="AB664" i="1"/>
  <c r="AC664" i="1"/>
  <c r="AB665" i="1"/>
  <c r="AC665" i="1"/>
  <c r="AB666" i="1"/>
  <c r="AC666" i="1"/>
  <c r="AB667" i="1"/>
  <c r="AC667" i="1"/>
  <c r="AB668" i="1"/>
  <c r="AC668" i="1"/>
  <c r="AB669" i="1"/>
  <c r="AC669" i="1"/>
  <c r="AB670" i="1"/>
  <c r="AC670" i="1"/>
  <c r="AB671" i="1"/>
  <c r="AC671" i="1"/>
  <c r="AB672" i="1"/>
  <c r="AC672" i="1"/>
  <c r="AB673" i="1"/>
  <c r="AC673" i="1"/>
  <c r="AB674" i="1"/>
  <c r="AC674" i="1"/>
  <c r="AB675" i="1"/>
  <c r="AC675" i="1"/>
  <c r="AB676" i="1"/>
  <c r="AC676" i="1"/>
  <c r="AB677" i="1"/>
  <c r="AC677" i="1"/>
  <c r="AB678" i="1"/>
  <c r="AC678" i="1"/>
  <c r="AB679" i="1"/>
  <c r="AC679" i="1"/>
  <c r="AB680" i="1"/>
  <c r="AC680" i="1"/>
  <c r="AB681" i="1"/>
  <c r="AC681" i="1"/>
  <c r="AB682" i="1"/>
  <c r="AC682" i="1"/>
  <c r="AB683" i="1"/>
  <c r="AC683" i="1"/>
  <c r="AB684" i="1"/>
  <c r="AC684" i="1"/>
  <c r="AB685" i="1"/>
  <c r="AC685" i="1"/>
  <c r="AB686" i="1"/>
  <c r="AC686" i="1"/>
  <c r="AB687" i="1"/>
  <c r="AC687" i="1"/>
  <c r="AB688" i="1"/>
  <c r="AC688" i="1"/>
  <c r="AB689" i="1"/>
  <c r="AC689" i="1"/>
  <c r="AB690" i="1"/>
  <c r="AC690" i="1"/>
  <c r="AB691" i="1"/>
  <c r="AC691" i="1"/>
  <c r="AB692" i="1"/>
  <c r="AC692" i="1"/>
  <c r="AB693" i="1"/>
  <c r="AC693" i="1"/>
  <c r="AB694" i="1"/>
  <c r="AC694" i="1"/>
  <c r="AB695" i="1"/>
  <c r="AC695" i="1"/>
  <c r="AB696" i="1"/>
  <c r="AC696" i="1"/>
  <c r="AB697" i="1"/>
  <c r="AC697" i="1"/>
  <c r="AB698" i="1"/>
  <c r="AC698" i="1"/>
  <c r="AB699" i="1"/>
  <c r="AC699" i="1"/>
  <c r="AB700" i="1"/>
  <c r="AC700" i="1"/>
  <c r="AB701" i="1"/>
  <c r="AC701" i="1"/>
  <c r="AB702" i="1"/>
  <c r="AC702" i="1"/>
  <c r="AB703" i="1"/>
  <c r="AC703" i="1"/>
  <c r="AB704" i="1"/>
  <c r="AC704" i="1"/>
  <c r="AB705" i="1"/>
  <c r="AC705" i="1"/>
  <c r="AB706" i="1"/>
  <c r="AC706" i="1"/>
  <c r="AB707" i="1"/>
  <c r="AC707" i="1"/>
  <c r="AB708" i="1"/>
  <c r="AC708" i="1"/>
  <c r="AB709" i="1"/>
  <c r="AC709" i="1"/>
  <c r="AB710" i="1"/>
  <c r="AC710" i="1"/>
  <c r="AB711" i="1"/>
  <c r="AC711" i="1"/>
  <c r="AB712" i="1"/>
  <c r="AC712" i="1"/>
  <c r="AB713" i="1"/>
  <c r="AC713" i="1"/>
  <c r="AB714" i="1"/>
  <c r="AC714" i="1"/>
  <c r="AB715" i="1"/>
  <c r="AC715" i="1"/>
  <c r="AB716" i="1"/>
  <c r="AC716" i="1"/>
  <c r="AB717" i="1"/>
  <c r="AC717" i="1"/>
  <c r="AB718" i="1"/>
  <c r="AC718" i="1"/>
  <c r="AB719" i="1"/>
  <c r="AC719" i="1"/>
  <c r="AB720" i="1"/>
  <c r="AC720" i="1"/>
  <c r="AB721" i="1"/>
  <c r="AC721" i="1"/>
  <c r="AB722" i="1"/>
  <c r="AC722" i="1"/>
  <c r="AB723" i="1"/>
  <c r="AC723" i="1"/>
  <c r="AB724" i="1"/>
  <c r="AC724" i="1"/>
  <c r="AB725" i="1"/>
  <c r="AC725" i="1"/>
  <c r="AB726" i="1"/>
  <c r="AC726" i="1"/>
  <c r="AB727" i="1"/>
  <c r="AC727" i="1"/>
  <c r="AB728" i="1"/>
  <c r="AC728" i="1"/>
  <c r="AB729" i="1"/>
  <c r="AC729" i="1"/>
  <c r="AB730" i="1"/>
  <c r="AC730" i="1"/>
  <c r="AB731" i="1"/>
  <c r="AC731" i="1"/>
  <c r="AB732" i="1"/>
  <c r="AC732" i="1"/>
  <c r="AB733" i="1"/>
  <c r="AC733" i="1"/>
  <c r="AB734" i="1"/>
  <c r="AC734" i="1"/>
  <c r="AB735" i="1"/>
  <c r="AC735" i="1"/>
  <c r="AB736" i="1"/>
  <c r="AC736" i="1"/>
  <c r="AB737" i="1"/>
  <c r="AC737" i="1"/>
  <c r="AB738" i="1"/>
  <c r="AC738" i="1"/>
  <c r="AB739" i="1"/>
  <c r="AC739" i="1"/>
  <c r="AB740" i="1"/>
  <c r="AC740" i="1"/>
  <c r="AB741" i="1"/>
  <c r="AC741" i="1"/>
  <c r="AB742" i="1"/>
  <c r="AC742" i="1"/>
  <c r="AB743" i="1"/>
  <c r="AC743" i="1"/>
  <c r="AB744" i="1"/>
  <c r="AC744" i="1"/>
  <c r="AB745" i="1"/>
  <c r="AC745" i="1"/>
  <c r="AB746" i="1"/>
  <c r="AC746" i="1"/>
  <c r="AB747" i="1"/>
  <c r="AC747" i="1"/>
  <c r="AB748" i="1"/>
  <c r="AC748" i="1"/>
  <c r="AB749" i="1"/>
  <c r="AC749" i="1"/>
  <c r="AB750" i="1"/>
  <c r="AC750" i="1"/>
  <c r="AB751" i="1"/>
  <c r="AC751" i="1"/>
  <c r="AB752" i="1"/>
  <c r="AC752" i="1"/>
  <c r="AB753" i="1"/>
  <c r="AC753" i="1"/>
  <c r="AB754" i="1"/>
  <c r="AC754" i="1"/>
  <c r="AB755" i="1"/>
  <c r="AC755" i="1"/>
  <c r="AB756" i="1"/>
  <c r="AC756" i="1"/>
  <c r="AB757" i="1"/>
  <c r="AC757" i="1"/>
  <c r="AB758" i="1"/>
  <c r="AC758" i="1"/>
  <c r="AB759" i="1"/>
  <c r="AC759" i="1"/>
  <c r="AB760" i="1"/>
  <c r="AC760" i="1"/>
  <c r="AB761" i="1"/>
  <c r="AC761" i="1"/>
  <c r="AB762" i="1"/>
  <c r="AC762" i="1"/>
  <c r="AB763" i="1"/>
  <c r="AC763" i="1"/>
  <c r="AB764" i="1"/>
  <c r="AC764" i="1"/>
  <c r="AB765" i="1"/>
  <c r="AC765" i="1"/>
  <c r="AB766" i="1"/>
  <c r="AC766" i="1"/>
  <c r="AB767" i="1"/>
  <c r="AC767" i="1"/>
  <c r="AB768" i="1"/>
  <c r="AC768" i="1"/>
  <c r="AB769" i="1"/>
  <c r="AC769" i="1"/>
  <c r="AB770" i="1"/>
  <c r="AC770" i="1"/>
  <c r="AB771" i="1"/>
  <c r="AC771" i="1"/>
  <c r="AB772" i="1"/>
  <c r="AC772" i="1"/>
  <c r="AB773" i="1"/>
  <c r="AC773" i="1"/>
  <c r="AB774" i="1"/>
  <c r="AC774" i="1"/>
  <c r="AB775" i="1"/>
  <c r="AC775" i="1"/>
  <c r="AB776" i="1"/>
  <c r="AC776" i="1"/>
  <c r="AB777" i="1"/>
  <c r="AC777" i="1"/>
  <c r="AB778" i="1"/>
  <c r="AC778" i="1"/>
  <c r="AB779" i="1"/>
  <c r="AC779" i="1"/>
  <c r="AB780" i="1"/>
  <c r="AC780" i="1"/>
  <c r="AB781" i="1"/>
  <c r="AC781" i="1"/>
  <c r="AB782" i="1"/>
  <c r="AC782" i="1"/>
  <c r="AB783" i="1"/>
  <c r="AC783" i="1"/>
  <c r="AB784" i="1"/>
  <c r="AC784" i="1"/>
  <c r="AB785" i="1"/>
  <c r="AC785" i="1"/>
  <c r="AB786" i="1"/>
  <c r="AC786" i="1"/>
  <c r="AB787" i="1"/>
  <c r="AC787" i="1"/>
  <c r="AB788" i="1"/>
  <c r="AC788" i="1"/>
  <c r="AB789" i="1"/>
  <c r="AC789" i="1"/>
  <c r="AB790" i="1"/>
  <c r="AC790" i="1"/>
  <c r="AB791" i="1"/>
  <c r="AC791" i="1"/>
  <c r="AB792" i="1"/>
  <c r="AC792" i="1"/>
  <c r="AB793" i="1"/>
  <c r="AC793" i="1"/>
  <c r="AB794" i="1"/>
  <c r="AC794" i="1"/>
  <c r="AB795" i="1"/>
  <c r="AC795" i="1"/>
  <c r="AB796" i="1"/>
  <c r="AC796" i="1"/>
  <c r="AB797" i="1"/>
  <c r="AC797" i="1"/>
  <c r="AB798" i="1"/>
  <c r="AC798" i="1"/>
  <c r="AB799" i="1"/>
  <c r="AC799" i="1"/>
  <c r="AB800" i="1"/>
  <c r="AC800" i="1"/>
  <c r="AB801" i="1"/>
  <c r="AC801" i="1"/>
  <c r="AB802" i="1"/>
  <c r="AC802" i="1"/>
  <c r="AB803" i="1"/>
  <c r="AC803" i="1"/>
  <c r="AB804" i="1"/>
  <c r="AC804" i="1"/>
  <c r="AB805" i="1"/>
  <c r="AC805" i="1"/>
  <c r="AB806" i="1"/>
  <c r="AC806" i="1"/>
  <c r="AB807" i="1"/>
  <c r="AC807" i="1"/>
  <c r="AB808" i="1"/>
  <c r="AC808" i="1"/>
  <c r="AB809" i="1"/>
  <c r="AC809" i="1"/>
  <c r="AB810" i="1"/>
  <c r="AC810" i="1"/>
  <c r="AB811" i="1"/>
  <c r="AC811" i="1"/>
  <c r="AB812" i="1"/>
  <c r="AC812" i="1"/>
  <c r="AB813" i="1"/>
  <c r="AC813" i="1"/>
  <c r="AB814" i="1"/>
  <c r="AC814" i="1"/>
  <c r="AB815" i="1"/>
  <c r="AC815" i="1"/>
  <c r="AB816" i="1"/>
  <c r="AC816" i="1"/>
  <c r="AB817" i="1"/>
  <c r="AC817" i="1"/>
  <c r="AB818" i="1"/>
  <c r="AC818" i="1"/>
  <c r="AB819" i="1"/>
  <c r="AC819" i="1"/>
  <c r="AB820" i="1"/>
  <c r="AC820" i="1"/>
  <c r="AB821" i="1"/>
  <c r="AC821" i="1"/>
  <c r="AB822" i="1"/>
  <c r="AC822" i="1"/>
  <c r="AB823" i="1"/>
  <c r="AC823" i="1"/>
  <c r="AB824" i="1"/>
  <c r="AC824" i="1"/>
  <c r="AB825" i="1"/>
  <c r="AC825" i="1"/>
  <c r="AB826" i="1"/>
  <c r="AC826" i="1"/>
  <c r="AB827" i="1"/>
  <c r="AC827" i="1"/>
  <c r="AB828" i="1"/>
  <c r="AC828" i="1"/>
  <c r="AB829" i="1"/>
  <c r="AC829" i="1"/>
  <c r="AB830" i="1"/>
  <c r="AC830" i="1"/>
  <c r="AB831" i="1"/>
  <c r="AC831" i="1"/>
  <c r="AB832" i="1"/>
  <c r="AC832" i="1"/>
  <c r="AB833" i="1"/>
  <c r="AC833" i="1"/>
  <c r="AB834" i="1"/>
  <c r="AC834" i="1"/>
  <c r="AB835" i="1"/>
  <c r="AC835" i="1"/>
  <c r="AB836" i="1"/>
  <c r="AC836" i="1"/>
  <c r="AB837" i="1"/>
  <c r="AC837" i="1"/>
  <c r="AB838" i="1"/>
  <c r="AC838" i="1"/>
  <c r="AB839" i="1"/>
  <c r="AC839" i="1"/>
  <c r="AB840" i="1"/>
  <c r="AC840" i="1"/>
  <c r="AB841" i="1"/>
  <c r="AC841" i="1"/>
  <c r="AB842" i="1"/>
  <c r="AC842" i="1"/>
  <c r="AB843" i="1"/>
  <c r="AC843" i="1"/>
  <c r="AB844" i="1"/>
  <c r="AC844" i="1"/>
  <c r="AB845" i="1"/>
  <c r="AC845" i="1"/>
  <c r="AB846" i="1"/>
  <c r="AC846" i="1"/>
  <c r="AB847" i="1"/>
  <c r="AC847" i="1"/>
  <c r="AB848" i="1"/>
  <c r="AC848" i="1"/>
  <c r="AB849" i="1"/>
  <c r="AC849" i="1"/>
  <c r="AB850" i="1"/>
  <c r="AC850" i="1"/>
  <c r="AB851" i="1"/>
  <c r="AC851" i="1"/>
  <c r="AB852" i="1"/>
  <c r="AC852" i="1"/>
  <c r="AB853" i="1"/>
  <c r="AC853" i="1"/>
  <c r="AB854" i="1"/>
  <c r="AC854" i="1"/>
  <c r="AB855" i="1"/>
  <c r="AC855" i="1"/>
  <c r="AB856" i="1"/>
  <c r="AC856" i="1"/>
  <c r="AB857" i="1"/>
  <c r="AC857" i="1"/>
  <c r="AB858" i="1"/>
  <c r="AC858" i="1"/>
  <c r="AB859" i="1"/>
  <c r="AC859" i="1"/>
  <c r="AB860" i="1"/>
  <c r="AC860" i="1"/>
  <c r="AB861" i="1"/>
  <c r="AC861" i="1"/>
  <c r="AB862" i="1"/>
  <c r="AC862" i="1"/>
  <c r="AB863" i="1"/>
  <c r="AC863" i="1"/>
  <c r="AB864" i="1"/>
  <c r="AC864" i="1"/>
  <c r="AB865" i="1"/>
  <c r="AC865" i="1"/>
  <c r="AB866" i="1"/>
  <c r="AC866" i="1"/>
  <c r="AB867" i="1"/>
  <c r="AC867" i="1"/>
  <c r="AB868" i="1"/>
  <c r="AC868" i="1"/>
  <c r="AB869" i="1"/>
  <c r="AC869" i="1"/>
  <c r="AB870" i="1"/>
  <c r="AC870" i="1"/>
  <c r="AB871" i="1"/>
  <c r="AC871" i="1"/>
  <c r="AB872" i="1"/>
  <c r="AC872" i="1"/>
  <c r="AB873" i="1"/>
  <c r="AC873" i="1"/>
  <c r="AB874" i="1"/>
  <c r="AC874" i="1"/>
  <c r="AB875" i="1"/>
  <c r="AC875" i="1"/>
  <c r="AB876" i="1"/>
  <c r="AC876" i="1"/>
  <c r="AB877" i="1"/>
  <c r="AC877" i="1"/>
  <c r="AB878" i="1"/>
  <c r="AC878" i="1"/>
  <c r="AB879" i="1"/>
  <c r="AC879" i="1"/>
  <c r="AB880" i="1"/>
  <c r="AC880" i="1"/>
  <c r="AB881" i="1"/>
  <c r="AC881" i="1"/>
  <c r="AB882" i="1"/>
  <c r="AC882" i="1"/>
  <c r="AB883" i="1"/>
  <c r="AC883" i="1"/>
  <c r="AB884" i="1"/>
  <c r="AC884" i="1"/>
  <c r="AB885" i="1"/>
  <c r="AC885" i="1"/>
  <c r="AB886" i="1"/>
  <c r="AC886" i="1"/>
  <c r="AB887" i="1"/>
  <c r="AC887" i="1"/>
  <c r="AB888" i="1"/>
  <c r="AC888" i="1"/>
  <c r="AB889" i="1"/>
  <c r="AC889" i="1"/>
  <c r="AB890" i="1"/>
  <c r="AC890" i="1"/>
  <c r="AB891" i="1"/>
  <c r="AC891" i="1"/>
  <c r="AB892" i="1"/>
  <c r="AC892" i="1"/>
  <c r="AB893" i="1"/>
  <c r="AC893" i="1"/>
  <c r="AB894" i="1"/>
  <c r="AC894" i="1"/>
  <c r="AB895" i="1"/>
  <c r="AC895" i="1"/>
  <c r="AB896" i="1"/>
  <c r="AC896" i="1"/>
  <c r="AB897" i="1"/>
  <c r="AC897" i="1"/>
  <c r="AB898" i="1"/>
  <c r="AC898" i="1"/>
  <c r="AB899" i="1"/>
  <c r="AC899" i="1"/>
  <c r="AB900" i="1"/>
  <c r="AC900" i="1"/>
  <c r="AB901" i="1"/>
  <c r="AC901" i="1"/>
  <c r="AB902" i="1"/>
  <c r="AC902" i="1"/>
  <c r="AB903" i="1"/>
  <c r="AC903" i="1"/>
  <c r="AB904" i="1"/>
  <c r="AC904" i="1"/>
  <c r="AB905" i="1"/>
  <c r="AC905" i="1"/>
  <c r="AB906" i="1"/>
  <c r="AC906" i="1"/>
  <c r="AB907" i="1"/>
  <c r="AC907" i="1"/>
  <c r="AB908" i="1"/>
  <c r="AC908" i="1"/>
  <c r="AB909" i="1"/>
  <c r="AC909" i="1"/>
  <c r="AB910" i="1"/>
  <c r="AC910" i="1"/>
  <c r="AB911" i="1"/>
  <c r="AC911" i="1"/>
  <c r="AB912" i="1"/>
  <c r="AC912" i="1"/>
  <c r="AB913" i="1"/>
  <c r="AC913" i="1"/>
  <c r="AB914" i="1"/>
  <c r="AC914" i="1"/>
  <c r="AB915" i="1"/>
  <c r="AC915" i="1"/>
  <c r="AB916" i="1"/>
  <c r="AC916" i="1"/>
  <c r="AB917" i="1"/>
  <c r="AC917" i="1"/>
  <c r="AB918" i="1"/>
  <c r="AC918" i="1"/>
  <c r="AB919" i="1"/>
  <c r="AC919" i="1"/>
  <c r="AB920" i="1"/>
  <c r="AC920" i="1"/>
  <c r="AB921" i="1"/>
  <c r="AC921" i="1"/>
  <c r="AB922" i="1"/>
  <c r="AC922" i="1"/>
  <c r="AB923" i="1"/>
  <c r="AC923" i="1"/>
  <c r="AB924" i="1"/>
  <c r="AC924" i="1"/>
  <c r="AB925" i="1"/>
  <c r="AC925" i="1"/>
  <c r="AB926" i="1"/>
  <c r="AC926" i="1"/>
  <c r="AB927" i="1"/>
  <c r="AC927" i="1"/>
  <c r="AB928" i="1"/>
  <c r="AC928" i="1"/>
  <c r="AB929" i="1"/>
  <c r="AC929" i="1"/>
  <c r="AB930" i="1"/>
  <c r="AC930" i="1"/>
  <c r="AB931" i="1"/>
  <c r="AC931" i="1"/>
  <c r="AB932" i="1"/>
  <c r="AC932" i="1"/>
  <c r="AB933" i="1"/>
  <c r="AC933" i="1"/>
  <c r="AB934" i="1"/>
  <c r="AC934" i="1"/>
  <c r="AB935" i="1"/>
  <c r="AC935" i="1"/>
  <c r="AB936" i="1"/>
  <c r="AC936" i="1"/>
  <c r="AB937" i="1"/>
  <c r="AC937" i="1"/>
  <c r="AB938" i="1"/>
  <c r="AC938" i="1"/>
  <c r="AB939" i="1"/>
  <c r="AC939" i="1"/>
  <c r="AB940" i="1"/>
  <c r="AC940" i="1"/>
  <c r="AB941" i="1"/>
  <c r="AC941" i="1"/>
  <c r="AB942" i="1"/>
  <c r="AC942" i="1"/>
  <c r="AB943" i="1"/>
  <c r="AC943" i="1"/>
  <c r="AB944" i="1"/>
  <c r="AC944" i="1"/>
  <c r="AB945" i="1"/>
  <c r="AC945" i="1"/>
  <c r="AB946" i="1"/>
  <c r="AC946" i="1"/>
  <c r="AB947" i="1"/>
  <c r="AC947" i="1"/>
  <c r="AB948" i="1"/>
  <c r="AC948" i="1"/>
  <c r="AB949" i="1"/>
  <c r="AC949" i="1"/>
  <c r="AB950" i="1"/>
  <c r="AC950" i="1"/>
  <c r="AB951" i="1"/>
  <c r="AC951" i="1"/>
  <c r="AB952" i="1"/>
  <c r="AC952" i="1"/>
  <c r="AB953" i="1"/>
  <c r="AC953" i="1"/>
  <c r="AB954" i="1"/>
  <c r="AC954" i="1"/>
  <c r="AB955" i="1"/>
  <c r="AC955" i="1"/>
  <c r="AB956" i="1"/>
  <c r="AC956" i="1"/>
  <c r="AB957" i="1"/>
  <c r="AC957" i="1"/>
  <c r="AB958" i="1"/>
  <c r="AC958" i="1"/>
  <c r="AB959" i="1"/>
  <c r="AC959" i="1"/>
  <c r="AB960" i="1"/>
  <c r="AC960" i="1"/>
  <c r="AB961" i="1"/>
  <c r="AC961" i="1"/>
  <c r="AB962" i="1"/>
  <c r="AC962" i="1"/>
  <c r="AB963" i="1"/>
  <c r="AC963" i="1"/>
  <c r="AB964" i="1"/>
  <c r="AC964" i="1"/>
  <c r="AB965" i="1"/>
  <c r="AC965" i="1"/>
  <c r="AB966" i="1"/>
  <c r="AC966" i="1"/>
  <c r="AB967" i="1"/>
  <c r="AC967" i="1"/>
  <c r="AB968" i="1"/>
  <c r="AC968" i="1"/>
  <c r="AB969" i="1"/>
  <c r="AC969" i="1"/>
  <c r="AB970" i="1"/>
  <c r="AC970" i="1"/>
  <c r="AB971" i="1"/>
  <c r="AC971" i="1"/>
  <c r="AB972" i="1"/>
  <c r="AC972" i="1"/>
  <c r="AB973" i="1"/>
  <c r="AC973" i="1"/>
  <c r="AB974" i="1"/>
  <c r="AC974" i="1"/>
  <c r="AB975" i="1"/>
  <c r="AC975" i="1"/>
  <c r="AB976" i="1"/>
  <c r="AC976" i="1"/>
  <c r="AB977" i="1"/>
  <c r="AC977" i="1"/>
  <c r="AB978" i="1"/>
  <c r="AC978" i="1"/>
  <c r="AB979" i="1"/>
  <c r="AC979" i="1"/>
  <c r="AB980" i="1"/>
  <c r="AC980" i="1"/>
  <c r="AB981" i="1"/>
  <c r="AC981" i="1"/>
  <c r="AB982" i="1"/>
  <c r="AC982" i="1"/>
  <c r="AB983" i="1"/>
  <c r="AC983" i="1"/>
  <c r="AB984" i="1"/>
  <c r="AC984" i="1"/>
  <c r="AB985" i="1"/>
  <c r="AC985" i="1"/>
  <c r="AB986" i="1"/>
  <c r="AC986" i="1"/>
  <c r="AB987" i="1"/>
  <c r="AC987" i="1"/>
  <c r="AB988" i="1"/>
  <c r="AC988" i="1"/>
  <c r="AB989" i="1"/>
  <c r="AC989" i="1"/>
  <c r="AB990" i="1"/>
  <c r="AC990" i="1"/>
  <c r="AB991" i="1"/>
  <c r="AC991" i="1"/>
  <c r="AB992" i="1"/>
  <c r="AC992" i="1"/>
  <c r="AB993" i="1"/>
  <c r="AC993" i="1"/>
  <c r="AB994" i="1"/>
  <c r="AC994" i="1"/>
  <c r="AB995" i="1"/>
  <c r="AC995" i="1"/>
  <c r="AB996" i="1"/>
  <c r="AC996" i="1"/>
  <c r="AB997" i="1"/>
  <c r="AC997" i="1"/>
  <c r="AB998" i="1"/>
  <c r="AC998" i="1"/>
  <c r="AB999" i="1"/>
  <c r="AC999" i="1"/>
  <c r="AB1000" i="1"/>
  <c r="AC1000" i="1"/>
  <c r="AB1001" i="1"/>
  <c r="AC1001" i="1"/>
  <c r="AB1002" i="1"/>
  <c r="AC1002" i="1"/>
  <c r="AB1003" i="1"/>
  <c r="AC1003" i="1"/>
  <c r="AB1004" i="1"/>
  <c r="AC1004" i="1"/>
  <c r="AB1005" i="1"/>
  <c r="AC1005" i="1"/>
  <c r="AB1006" i="1"/>
  <c r="AC1006" i="1"/>
  <c r="AB1007" i="1"/>
  <c r="AC1007" i="1"/>
  <c r="AB1008" i="1"/>
  <c r="AC1008" i="1"/>
  <c r="AB1009" i="1"/>
  <c r="AC1009" i="1"/>
  <c r="AB1010" i="1"/>
  <c r="AC1010" i="1"/>
  <c r="AB1011" i="1"/>
  <c r="AC1011" i="1"/>
  <c r="AB1012" i="1"/>
  <c r="AC1012" i="1"/>
  <c r="AB1013" i="1"/>
  <c r="AC1013" i="1"/>
  <c r="AB1014" i="1"/>
  <c r="AC1014" i="1"/>
  <c r="AB1015" i="1"/>
  <c r="AC1015" i="1"/>
  <c r="AB1016" i="1"/>
  <c r="AC1016" i="1"/>
  <c r="AB1017" i="1"/>
  <c r="AC1017" i="1"/>
  <c r="AB1018" i="1"/>
  <c r="AC1018" i="1"/>
  <c r="AB1019" i="1"/>
  <c r="AC1019" i="1"/>
  <c r="AB1020" i="1"/>
  <c r="AC1020" i="1"/>
  <c r="AB1021" i="1"/>
  <c r="AC1021" i="1"/>
  <c r="AB1022" i="1"/>
  <c r="AC1022" i="1"/>
  <c r="AB1023" i="1"/>
  <c r="AC1023" i="1"/>
  <c r="AB1024" i="1"/>
  <c r="AC1024" i="1"/>
  <c r="AB1025" i="1"/>
  <c r="AC1025" i="1"/>
  <c r="AB1026" i="1"/>
  <c r="AC1026" i="1"/>
  <c r="AB1027" i="1"/>
  <c r="AC1027" i="1"/>
  <c r="AB1028" i="1"/>
  <c r="AC1028" i="1"/>
  <c r="AB1029" i="1"/>
  <c r="AC1029" i="1"/>
  <c r="AB1030" i="1"/>
  <c r="AC1030" i="1"/>
  <c r="AB1031" i="1"/>
  <c r="AC1031" i="1"/>
  <c r="AB1032" i="1"/>
  <c r="AC1032" i="1"/>
  <c r="AB1033" i="1"/>
  <c r="AC1033" i="1"/>
  <c r="AB1034" i="1"/>
  <c r="AC1034" i="1"/>
  <c r="AB1035" i="1"/>
  <c r="AC1035" i="1"/>
  <c r="AB1036" i="1"/>
  <c r="AC1036" i="1"/>
  <c r="AB1037" i="1"/>
  <c r="AC1037" i="1"/>
  <c r="AB1038" i="1"/>
  <c r="AC1038" i="1"/>
  <c r="AB1039" i="1"/>
  <c r="AC1039" i="1"/>
  <c r="AB1040" i="1"/>
  <c r="AC1040" i="1"/>
  <c r="AB1041" i="1"/>
  <c r="AC1041" i="1"/>
  <c r="AB1042" i="1"/>
  <c r="AC1042" i="1"/>
  <c r="AB1043" i="1"/>
  <c r="AC1043" i="1"/>
  <c r="AB1044" i="1"/>
  <c r="AC1044" i="1"/>
  <c r="AB1045" i="1"/>
  <c r="AC1045" i="1"/>
  <c r="AB1046" i="1"/>
  <c r="AC1046" i="1"/>
  <c r="AB1047" i="1"/>
  <c r="AC1047" i="1"/>
  <c r="AB1048" i="1"/>
  <c r="AC1048" i="1"/>
  <c r="AB1049" i="1"/>
  <c r="AC1049" i="1"/>
  <c r="AB1050" i="1"/>
  <c r="AC1050" i="1"/>
  <c r="AB1051" i="1"/>
  <c r="AC1051" i="1"/>
  <c r="AB1052" i="1"/>
  <c r="AC1052" i="1"/>
  <c r="AB1053" i="1"/>
  <c r="AC1053" i="1"/>
  <c r="AB1054" i="1"/>
  <c r="AC1054" i="1"/>
  <c r="AB1055" i="1"/>
  <c r="AC1055" i="1"/>
  <c r="AB1056" i="1"/>
  <c r="AC1056" i="1"/>
  <c r="AB1057" i="1"/>
  <c r="AC1057" i="1"/>
  <c r="AB1058" i="1"/>
  <c r="AC1058" i="1"/>
  <c r="AB1059" i="1"/>
  <c r="AC1059" i="1"/>
  <c r="AB1060" i="1"/>
  <c r="AC1060" i="1"/>
  <c r="AB1061" i="1"/>
  <c r="AC1061" i="1"/>
  <c r="AB1062" i="1"/>
  <c r="AC1062" i="1"/>
  <c r="AB1063" i="1"/>
  <c r="AC1063" i="1"/>
  <c r="AB1064" i="1"/>
  <c r="AC1064" i="1"/>
  <c r="AB1065" i="1"/>
  <c r="AC1065" i="1"/>
  <c r="AB1066" i="1"/>
  <c r="AC1066" i="1"/>
  <c r="AB1067" i="1"/>
  <c r="AC1067" i="1"/>
  <c r="AB1068" i="1"/>
  <c r="AC1068" i="1"/>
  <c r="AB1069" i="1"/>
  <c r="AC1069" i="1"/>
  <c r="AB1070" i="1"/>
  <c r="AC1070" i="1"/>
  <c r="AB1071" i="1"/>
  <c r="AC1071" i="1"/>
  <c r="AB1072" i="1"/>
  <c r="AC1072" i="1"/>
  <c r="AB1073" i="1"/>
  <c r="AC1073" i="1"/>
  <c r="AB1074" i="1"/>
  <c r="AC1074" i="1"/>
  <c r="AB1075" i="1"/>
  <c r="AC1075" i="1"/>
  <c r="AB1076" i="1"/>
  <c r="AC1076" i="1"/>
  <c r="AB1077" i="1"/>
  <c r="AC1077" i="1"/>
  <c r="AB1078" i="1"/>
  <c r="AC1078" i="1"/>
  <c r="AB1079" i="1"/>
  <c r="AC1079" i="1"/>
  <c r="AB1080" i="1"/>
  <c r="AC1080" i="1"/>
  <c r="AB1081" i="1"/>
  <c r="AC1081" i="1"/>
  <c r="AB1082" i="1"/>
  <c r="AC1082" i="1"/>
  <c r="AB1083" i="1"/>
  <c r="AC1083" i="1"/>
  <c r="AB1084" i="1"/>
  <c r="AC1084" i="1"/>
  <c r="AB1085" i="1"/>
  <c r="AC1085" i="1"/>
  <c r="AB1086" i="1"/>
  <c r="AC1086" i="1"/>
  <c r="AB1087" i="1"/>
  <c r="AC1087" i="1"/>
  <c r="AB1088" i="1"/>
  <c r="AC1088" i="1"/>
  <c r="AB1089" i="1"/>
  <c r="AC1089" i="1"/>
  <c r="AB1090" i="1"/>
  <c r="AC1090" i="1"/>
  <c r="AB1091" i="1"/>
  <c r="AC1091" i="1"/>
  <c r="AB1092" i="1"/>
  <c r="AC1092" i="1"/>
  <c r="AB1093" i="1"/>
  <c r="AC1093" i="1"/>
  <c r="AB1094" i="1"/>
  <c r="AC1094" i="1"/>
  <c r="AB1095" i="1"/>
  <c r="AC1095" i="1"/>
  <c r="AB1096" i="1"/>
  <c r="AC1096" i="1"/>
  <c r="AB1097" i="1"/>
  <c r="AC1097" i="1"/>
  <c r="AB1098" i="1"/>
  <c r="AC1098" i="1"/>
  <c r="AB1099" i="1"/>
  <c r="AC1099" i="1"/>
  <c r="AB1100" i="1"/>
  <c r="AC1100" i="1"/>
  <c r="AB1101" i="1"/>
  <c r="AC1101" i="1"/>
  <c r="AB1102" i="1"/>
  <c r="AC1102" i="1"/>
  <c r="AB1103" i="1"/>
  <c r="AC1103" i="1"/>
  <c r="AB1104" i="1"/>
  <c r="AC1104" i="1"/>
  <c r="AB1105" i="1"/>
  <c r="AC1105" i="1"/>
  <c r="AB1106" i="1"/>
  <c r="AC1106" i="1"/>
  <c r="AB1107" i="1"/>
  <c r="AC1107" i="1"/>
  <c r="AB1108" i="1"/>
  <c r="AC1108" i="1"/>
  <c r="AB1109" i="1"/>
  <c r="AC1109" i="1"/>
  <c r="AB1110" i="1"/>
  <c r="AC1110" i="1"/>
  <c r="AB1111" i="1"/>
  <c r="AC1111" i="1"/>
  <c r="AB1112" i="1"/>
  <c r="AC1112" i="1"/>
  <c r="AB1113" i="1"/>
  <c r="AC1113" i="1"/>
  <c r="AB1114" i="1"/>
  <c r="AC1114" i="1"/>
  <c r="AB1115" i="1"/>
  <c r="AC1115" i="1"/>
  <c r="AB1116" i="1"/>
  <c r="AC1116" i="1"/>
  <c r="AB1117" i="1"/>
  <c r="AC1117" i="1"/>
  <c r="AB1118" i="1"/>
  <c r="AC1118" i="1"/>
  <c r="AB1119" i="1"/>
  <c r="AC1119" i="1"/>
  <c r="AB1120" i="1"/>
  <c r="AC1120" i="1"/>
  <c r="AB1121" i="1"/>
  <c r="AC1121" i="1"/>
  <c r="AB1122" i="1"/>
  <c r="AC1122" i="1"/>
  <c r="AB1123" i="1"/>
  <c r="AC1123" i="1"/>
  <c r="AB1124" i="1"/>
  <c r="AC1124" i="1"/>
  <c r="AB1125" i="1"/>
  <c r="AC1125" i="1"/>
  <c r="AB1126" i="1"/>
  <c r="AC1126" i="1"/>
  <c r="AB1127" i="1"/>
  <c r="AC1127" i="1"/>
  <c r="AB1128" i="1"/>
  <c r="AC1128" i="1"/>
  <c r="AB1129" i="1"/>
  <c r="AC1129" i="1"/>
  <c r="AB1130" i="1"/>
  <c r="AC1130" i="1"/>
  <c r="AB1131" i="1"/>
  <c r="AC1131" i="1"/>
  <c r="AB1132" i="1"/>
  <c r="AC1132" i="1"/>
  <c r="AB1133" i="1"/>
  <c r="AC1133" i="1"/>
  <c r="AB1134" i="1"/>
  <c r="AC1134" i="1"/>
  <c r="AB1135" i="1"/>
  <c r="AC1135" i="1"/>
  <c r="AB1136" i="1"/>
  <c r="AC1136" i="1"/>
  <c r="AB1137" i="1"/>
  <c r="AC1137" i="1"/>
  <c r="AB1138" i="1"/>
  <c r="AC1138" i="1"/>
  <c r="AB1139" i="1"/>
  <c r="AC1139" i="1"/>
  <c r="AB1140" i="1"/>
  <c r="AC1140" i="1"/>
  <c r="AB1141" i="1"/>
  <c r="AC1141" i="1"/>
  <c r="AB1142" i="1"/>
  <c r="AC1142" i="1"/>
  <c r="AB1143" i="1"/>
  <c r="AC1143" i="1"/>
  <c r="AB1144" i="1"/>
  <c r="AC1144" i="1"/>
  <c r="AB1145" i="1"/>
  <c r="AC1145" i="1"/>
  <c r="AB1146" i="1"/>
  <c r="AC1146" i="1"/>
  <c r="AB1147" i="1"/>
  <c r="AC1147" i="1"/>
  <c r="AB1148" i="1"/>
  <c r="AC1148" i="1"/>
  <c r="AB1149" i="1"/>
  <c r="AC1149" i="1"/>
  <c r="AB1150" i="1"/>
  <c r="AC1150" i="1"/>
  <c r="AB1151" i="1"/>
  <c r="AC1151" i="1"/>
  <c r="AB1152" i="1"/>
  <c r="AC1152" i="1"/>
  <c r="AB1153" i="1"/>
  <c r="AC1153" i="1"/>
  <c r="AB1154" i="1"/>
  <c r="AC1154" i="1"/>
  <c r="AB1155" i="1"/>
  <c r="AC1155" i="1"/>
  <c r="AB1156" i="1"/>
  <c r="AC1156" i="1"/>
  <c r="AB1157" i="1"/>
  <c r="AC1157" i="1"/>
  <c r="AB1158" i="1"/>
  <c r="AC1158" i="1"/>
  <c r="AB1159" i="1"/>
  <c r="AC1159" i="1"/>
  <c r="AB1160" i="1"/>
  <c r="AC1160" i="1"/>
  <c r="AB1161" i="1"/>
  <c r="AC1161" i="1"/>
  <c r="AB1162" i="1"/>
  <c r="AC1162" i="1"/>
  <c r="AB1163" i="1"/>
  <c r="AC1163" i="1"/>
  <c r="AB1164" i="1"/>
  <c r="AC1164" i="1"/>
  <c r="AB1165" i="1"/>
  <c r="AC1165" i="1"/>
  <c r="AB1166" i="1"/>
  <c r="AC1166" i="1"/>
  <c r="AB1167" i="1"/>
  <c r="AC1167" i="1"/>
  <c r="AB1168" i="1"/>
  <c r="AC1168" i="1"/>
  <c r="AB1169" i="1"/>
  <c r="AC1169" i="1"/>
  <c r="AB1170" i="1"/>
  <c r="AC1170" i="1"/>
  <c r="AB1171" i="1"/>
  <c r="AC1171" i="1"/>
  <c r="AB1172" i="1"/>
  <c r="AC1172" i="1"/>
  <c r="AB1173" i="1"/>
  <c r="AC1173" i="1"/>
  <c r="AB1174" i="1"/>
  <c r="AC1174" i="1"/>
  <c r="AB1175" i="1"/>
  <c r="AC1175" i="1"/>
  <c r="AB1176" i="1"/>
  <c r="AC1176" i="1"/>
  <c r="AB1177" i="1"/>
  <c r="AC1177" i="1"/>
  <c r="AB1178" i="1"/>
  <c r="AC1178" i="1"/>
  <c r="AB1179" i="1"/>
  <c r="AC1179" i="1"/>
  <c r="AB1180" i="1"/>
  <c r="AC1180" i="1"/>
  <c r="AB1181" i="1"/>
  <c r="AC1181" i="1"/>
  <c r="AB1182" i="1"/>
  <c r="AC1182" i="1"/>
  <c r="AB1183" i="1"/>
  <c r="AC1183" i="1"/>
  <c r="AB1184" i="1"/>
  <c r="AC1184" i="1"/>
  <c r="AB1185" i="1"/>
  <c r="AC1185" i="1"/>
  <c r="AB1186" i="1"/>
  <c r="AC1186" i="1"/>
  <c r="AB1187" i="1"/>
  <c r="AC1187" i="1"/>
  <c r="AB1188" i="1"/>
  <c r="AC1188" i="1"/>
  <c r="AB1189" i="1"/>
  <c r="AC1189" i="1"/>
  <c r="AB1190" i="1"/>
  <c r="AC1190" i="1"/>
  <c r="AB1191" i="1"/>
  <c r="AC1191" i="1"/>
  <c r="AB1192" i="1"/>
  <c r="AC1192" i="1"/>
  <c r="AB1193" i="1"/>
  <c r="AC1193" i="1"/>
  <c r="AB1194" i="1"/>
  <c r="AC1194" i="1"/>
  <c r="AB1195" i="1"/>
  <c r="AC1195" i="1"/>
  <c r="AB1196" i="1"/>
  <c r="AC1196" i="1"/>
  <c r="AB1197" i="1"/>
  <c r="AC1197" i="1"/>
  <c r="AB1198" i="1"/>
  <c r="AC1198" i="1"/>
  <c r="AB1199" i="1"/>
  <c r="AC1199" i="1"/>
  <c r="AB1200" i="1"/>
  <c r="AC1200" i="1"/>
  <c r="AB1201" i="1"/>
  <c r="AC1201" i="1"/>
  <c r="AB1202" i="1"/>
  <c r="AC1202" i="1"/>
  <c r="AB1203" i="1"/>
  <c r="AC1203" i="1"/>
  <c r="AB1204" i="1"/>
  <c r="AC1204" i="1"/>
  <c r="AB1205" i="1"/>
  <c r="AC1205" i="1"/>
  <c r="AB1206" i="1"/>
  <c r="AC1206" i="1"/>
  <c r="AB1207" i="1"/>
  <c r="AC1207" i="1"/>
  <c r="AB1208" i="1"/>
  <c r="AC1208" i="1"/>
  <c r="AB1209" i="1"/>
  <c r="AC1209" i="1"/>
  <c r="AB1210" i="1"/>
  <c r="AC1210" i="1"/>
  <c r="AB1211" i="1"/>
  <c r="AC1211" i="1"/>
  <c r="AB1212" i="1"/>
  <c r="AC1212" i="1"/>
  <c r="AB1213" i="1"/>
  <c r="AC1213" i="1"/>
  <c r="AB1214" i="1"/>
  <c r="AC1214" i="1"/>
  <c r="AB1215" i="1"/>
  <c r="AC1215" i="1"/>
  <c r="AB1216" i="1"/>
  <c r="AC1216" i="1"/>
  <c r="AB1217" i="1"/>
  <c r="AC1217" i="1"/>
  <c r="AB1218" i="1"/>
  <c r="AC1218" i="1"/>
  <c r="AB1219" i="1"/>
  <c r="AC1219" i="1"/>
  <c r="AB1220" i="1"/>
  <c r="AC1220" i="1"/>
  <c r="AB1221" i="1"/>
  <c r="AC1221" i="1"/>
  <c r="AB1222" i="1"/>
  <c r="AC1222" i="1"/>
  <c r="AB1223" i="1"/>
  <c r="AC1223" i="1"/>
  <c r="AB1224" i="1"/>
  <c r="AC1224" i="1"/>
  <c r="AB1225" i="1"/>
  <c r="AC1225" i="1"/>
  <c r="AB1226" i="1"/>
  <c r="AC1226" i="1"/>
  <c r="AB1227" i="1"/>
  <c r="AC1227" i="1"/>
  <c r="AB1228" i="1"/>
  <c r="AC1228" i="1"/>
  <c r="AB1229" i="1"/>
  <c r="AC1229" i="1"/>
  <c r="AB1230" i="1"/>
  <c r="AC1230" i="1"/>
  <c r="AB1233" i="1"/>
  <c r="AC1233" i="1"/>
  <c r="AB1234" i="1"/>
  <c r="AC1234" i="1"/>
  <c r="AB1235" i="1"/>
  <c r="AC1235" i="1"/>
  <c r="AB1236" i="1"/>
  <c r="AC1236" i="1"/>
  <c r="AB1237" i="1"/>
  <c r="AC1237" i="1"/>
  <c r="AB1238" i="1"/>
  <c r="AC1238" i="1"/>
  <c r="AB1239" i="1"/>
  <c r="AC1239" i="1"/>
  <c r="AB1240" i="1"/>
  <c r="AC1240" i="1"/>
  <c r="AB1241" i="1"/>
  <c r="AC1241" i="1"/>
  <c r="AB1242" i="1"/>
  <c r="AC1242" i="1"/>
  <c r="AB1243" i="1"/>
  <c r="AC1243" i="1"/>
  <c r="AB1244" i="1"/>
  <c r="AC1244" i="1"/>
  <c r="AB1245" i="1"/>
  <c r="AC1245" i="1"/>
  <c r="AB1246" i="1"/>
  <c r="AC1246" i="1"/>
  <c r="AB1247" i="1"/>
  <c r="AC1247" i="1"/>
  <c r="AB1248" i="1"/>
  <c r="AC1248" i="1"/>
  <c r="AB1249" i="1"/>
  <c r="AC1249" i="1"/>
  <c r="AB1250" i="1"/>
  <c r="AC1250" i="1"/>
  <c r="AB1251" i="1"/>
  <c r="AC1251" i="1"/>
  <c r="AB1252" i="1"/>
  <c r="AC1252" i="1"/>
  <c r="AB1254" i="1"/>
  <c r="AC1254" i="1"/>
  <c r="AB1255" i="1"/>
  <c r="AC1255" i="1"/>
  <c r="AB1256" i="1"/>
  <c r="AC1256" i="1"/>
  <c r="AB1257" i="1"/>
  <c r="AC1257" i="1"/>
  <c r="AB1258" i="1"/>
  <c r="AC1258" i="1"/>
  <c r="AB1259" i="1"/>
  <c r="AC1259" i="1"/>
  <c r="AB1260" i="1"/>
  <c r="AC1260" i="1"/>
  <c r="AB1261" i="1"/>
  <c r="AC1261" i="1"/>
  <c r="AB1262" i="1"/>
  <c r="AC1262" i="1"/>
  <c r="AB1263" i="1"/>
  <c r="AC1263" i="1"/>
  <c r="AB1264" i="1"/>
  <c r="AC1264" i="1"/>
  <c r="AB1265" i="1"/>
  <c r="AC1265" i="1"/>
  <c r="AB1266" i="1"/>
  <c r="AC1266" i="1"/>
  <c r="AB1267" i="1"/>
  <c r="AC1267" i="1"/>
  <c r="AB1268" i="1"/>
  <c r="AC1268" i="1"/>
  <c r="AB1269" i="1"/>
  <c r="AC1269" i="1"/>
  <c r="AB1270" i="1"/>
  <c r="AC1270" i="1"/>
  <c r="AB1272" i="1"/>
  <c r="AC1272" i="1"/>
  <c r="AB1273" i="1"/>
  <c r="AC1273" i="1"/>
  <c r="AB1274" i="1"/>
  <c r="AC1274" i="1"/>
  <c r="AB1275" i="1"/>
  <c r="AC1275" i="1"/>
  <c r="AB1276" i="1"/>
  <c r="AC1276" i="1"/>
  <c r="AB1277" i="1"/>
  <c r="AC1277" i="1"/>
  <c r="AB1278" i="1"/>
  <c r="AC1278" i="1"/>
  <c r="AB1279" i="1"/>
  <c r="AC1279" i="1"/>
  <c r="AB1280" i="1"/>
  <c r="AC1280" i="1"/>
  <c r="AB1281" i="1"/>
  <c r="AC1281" i="1"/>
  <c r="AB1282" i="1"/>
  <c r="AC1282" i="1"/>
  <c r="AB1283" i="1"/>
  <c r="AC1283" i="1"/>
  <c r="AB1284" i="1"/>
  <c r="AC1284" i="1"/>
  <c r="AB1285" i="1"/>
  <c r="AC1285" i="1"/>
  <c r="AB1286" i="1"/>
  <c r="AC1286" i="1"/>
  <c r="AB1287" i="1"/>
  <c r="AC1287" i="1"/>
  <c r="AB1288" i="1"/>
  <c r="AC1288" i="1"/>
  <c r="AB1289" i="1"/>
  <c r="AC1289" i="1"/>
  <c r="AB1290" i="1"/>
  <c r="AC1290" i="1"/>
  <c r="AB1291" i="1"/>
  <c r="AC1291" i="1"/>
  <c r="AB1292" i="1"/>
  <c r="AC1292" i="1"/>
  <c r="AB1293" i="1"/>
  <c r="AC1293" i="1"/>
  <c r="AB1294" i="1"/>
  <c r="AC1294" i="1"/>
  <c r="AB1295" i="1"/>
  <c r="AC1295" i="1"/>
  <c r="AB1296" i="1"/>
  <c r="AC1296" i="1"/>
  <c r="AB1297" i="1"/>
  <c r="AC1297" i="1"/>
  <c r="AB1298" i="1"/>
  <c r="AC1298" i="1"/>
  <c r="AB1299" i="1"/>
  <c r="AC1299" i="1"/>
  <c r="AB1300" i="1"/>
  <c r="AC1300" i="1"/>
  <c r="AB1301" i="1"/>
  <c r="AC1301" i="1"/>
  <c r="AB1302" i="1"/>
  <c r="AC1302" i="1"/>
  <c r="AB1303" i="1"/>
  <c r="AC1303" i="1"/>
  <c r="AB1304" i="1"/>
  <c r="AC1304" i="1"/>
  <c r="AB1305" i="1"/>
  <c r="AC1305" i="1"/>
  <c r="AB1306" i="1"/>
  <c r="AC1306" i="1"/>
  <c r="AB1307" i="1"/>
  <c r="AC1307" i="1"/>
  <c r="AB1308" i="1"/>
  <c r="AC1308" i="1"/>
  <c r="AB1309" i="1"/>
  <c r="AC1309" i="1"/>
  <c r="AB1310" i="1"/>
  <c r="AC1310" i="1"/>
  <c r="AB1311" i="1"/>
  <c r="AC1311" i="1"/>
  <c r="AB1312" i="1"/>
  <c r="AC1312" i="1"/>
  <c r="AB1313" i="1"/>
  <c r="AC1313" i="1"/>
  <c r="AB1314" i="1"/>
  <c r="AC1314" i="1"/>
  <c r="AB1315" i="1"/>
  <c r="AC1315" i="1"/>
  <c r="AB1316" i="1"/>
  <c r="AC1316" i="1"/>
  <c r="AB1317" i="1"/>
  <c r="AC1317" i="1"/>
  <c r="AB1318" i="1"/>
  <c r="AC1318" i="1"/>
  <c r="AB1319" i="1"/>
  <c r="AC1319" i="1"/>
  <c r="AB1320" i="1"/>
  <c r="AC1320" i="1"/>
  <c r="AB1321" i="1"/>
  <c r="AC1321" i="1"/>
  <c r="AB1322" i="1"/>
  <c r="AC1322" i="1"/>
  <c r="AB1323" i="1"/>
  <c r="AC1323" i="1"/>
  <c r="AB1324" i="1"/>
  <c r="AC1324" i="1"/>
  <c r="AB1325" i="1"/>
  <c r="AC1325" i="1"/>
  <c r="AB1326" i="1"/>
  <c r="AC1326" i="1"/>
  <c r="AB1327" i="1"/>
  <c r="AC1327" i="1"/>
  <c r="AB1328" i="1"/>
  <c r="AC1328" i="1"/>
  <c r="AB1329" i="1"/>
  <c r="AC1329" i="1"/>
  <c r="AB1330" i="1"/>
  <c r="AC1330" i="1"/>
  <c r="AB1331" i="1"/>
  <c r="AC1331" i="1"/>
  <c r="AB1332" i="1"/>
  <c r="AC1332" i="1"/>
  <c r="AB1333" i="1"/>
  <c r="AC1333" i="1"/>
  <c r="AB1334" i="1"/>
  <c r="AC1334" i="1"/>
  <c r="AB1335" i="1"/>
  <c r="AC1335" i="1"/>
  <c r="AB1336" i="1"/>
  <c r="AC1336" i="1"/>
  <c r="AB1337" i="1"/>
  <c r="AC1337" i="1"/>
  <c r="AB1338" i="1"/>
  <c r="AC1338" i="1"/>
  <c r="AB1339" i="1"/>
  <c r="AC1339" i="1"/>
  <c r="AB1340" i="1"/>
  <c r="AC1340" i="1"/>
  <c r="AB1341" i="1"/>
  <c r="AC1341" i="1"/>
  <c r="AB1342" i="1"/>
  <c r="AC1342" i="1"/>
  <c r="AB1343" i="1"/>
  <c r="AC1343" i="1"/>
  <c r="AB1345" i="1"/>
  <c r="AC1345" i="1"/>
  <c r="AB1346" i="1"/>
  <c r="AC1346" i="1"/>
  <c r="AB1347" i="1"/>
  <c r="AC1347" i="1"/>
  <c r="AB1348" i="1"/>
  <c r="AC1348" i="1"/>
  <c r="AB1349" i="1"/>
  <c r="AC1349" i="1"/>
  <c r="AB1350" i="1"/>
  <c r="AC1350" i="1"/>
  <c r="AB1351" i="1"/>
  <c r="AC1351" i="1"/>
  <c r="AB1352" i="1"/>
  <c r="AC1352" i="1"/>
  <c r="AB1353" i="1"/>
  <c r="AC1353" i="1"/>
  <c r="AB1354" i="1"/>
  <c r="AC1354" i="1"/>
  <c r="AB1355" i="1"/>
  <c r="AC1355" i="1"/>
  <c r="AB1356" i="1"/>
  <c r="AC1356" i="1"/>
  <c r="AB1357" i="1"/>
  <c r="AC1357" i="1"/>
  <c r="AB1358" i="1"/>
  <c r="AC1358" i="1"/>
  <c r="AB1359" i="1"/>
  <c r="AC1359" i="1"/>
  <c r="AB1360" i="1"/>
  <c r="AC1360" i="1"/>
  <c r="AB1361" i="1"/>
  <c r="AC1361" i="1"/>
  <c r="AB1362" i="1"/>
  <c r="AC1362" i="1"/>
  <c r="AB1363" i="1"/>
  <c r="AC1363" i="1"/>
  <c r="AB1364" i="1"/>
  <c r="AC1364" i="1"/>
  <c r="AB1365" i="1"/>
  <c r="AC1365" i="1"/>
  <c r="AB1366" i="1"/>
  <c r="AC1366" i="1"/>
  <c r="AB1367" i="1"/>
  <c r="AC1367" i="1"/>
  <c r="AB1368" i="1"/>
  <c r="AC1368" i="1"/>
  <c r="AB1369" i="1"/>
  <c r="AC1369" i="1"/>
  <c r="AB1370" i="1"/>
  <c r="AC1370" i="1"/>
  <c r="AB1371" i="1"/>
  <c r="AC1371" i="1"/>
  <c r="AB1372" i="1"/>
  <c r="AC1372" i="1"/>
  <c r="AB1373" i="1"/>
  <c r="AC1373" i="1"/>
  <c r="AB1374" i="1"/>
  <c r="AC1374" i="1"/>
  <c r="AB1375" i="1"/>
  <c r="AC1375" i="1"/>
  <c r="AB1376" i="1"/>
  <c r="AC1376" i="1"/>
  <c r="AB1377" i="1"/>
  <c r="AC1377" i="1"/>
  <c r="AB1378" i="1"/>
  <c r="AC1378" i="1"/>
  <c r="AB1379" i="1"/>
  <c r="AC1379" i="1"/>
  <c r="AB1380" i="1"/>
  <c r="AC1380" i="1"/>
  <c r="AB1381" i="1"/>
  <c r="AC1381" i="1"/>
  <c r="AB1382" i="1"/>
  <c r="AC1382" i="1"/>
  <c r="AB1383" i="1"/>
  <c r="AC1383" i="1"/>
  <c r="AB1384" i="1"/>
  <c r="AC1384" i="1"/>
  <c r="AB1385" i="1"/>
  <c r="AC1385" i="1"/>
  <c r="AB1386" i="1"/>
  <c r="AC1386" i="1"/>
  <c r="AB1387" i="1"/>
  <c r="AC1387" i="1"/>
  <c r="AB1388" i="1"/>
  <c r="AC1388" i="1"/>
  <c r="AB1389" i="1"/>
  <c r="AC1389" i="1"/>
  <c r="AB1390" i="1"/>
  <c r="AC1390" i="1"/>
  <c r="AB1391" i="1"/>
  <c r="AC1391" i="1"/>
  <c r="AB1392" i="1"/>
  <c r="AC1392" i="1"/>
  <c r="AB1393" i="1"/>
  <c r="AC1393" i="1"/>
  <c r="AB1394" i="1"/>
  <c r="AC1394" i="1"/>
  <c r="AB1395" i="1"/>
  <c r="AC1395" i="1"/>
  <c r="AB1396" i="1"/>
  <c r="AC1396" i="1"/>
  <c r="AB1398" i="1"/>
  <c r="AC1398" i="1"/>
  <c r="AB1399" i="1"/>
  <c r="AC1399" i="1"/>
  <c r="AB1400" i="1"/>
  <c r="AC1400" i="1"/>
  <c r="AB1401" i="1"/>
  <c r="AC1401" i="1"/>
  <c r="AB1402" i="1"/>
  <c r="AC1402" i="1"/>
  <c r="AB1403" i="1"/>
  <c r="AC1403" i="1"/>
  <c r="AB1404" i="1"/>
  <c r="AC1404" i="1"/>
  <c r="AB1405" i="1"/>
  <c r="AC1405" i="1"/>
  <c r="AB1407" i="1"/>
  <c r="AC1407" i="1"/>
  <c r="AB1408" i="1"/>
  <c r="AC1408" i="1"/>
  <c r="AB1410" i="1"/>
  <c r="AC1410" i="1"/>
  <c r="AB1411" i="1"/>
  <c r="AC1411" i="1"/>
  <c r="AB1414" i="1"/>
  <c r="AC1414" i="1"/>
  <c r="AB1415" i="1"/>
  <c r="AC1415" i="1"/>
  <c r="AB1416" i="1"/>
  <c r="AC1416" i="1"/>
  <c r="AB1417" i="1"/>
  <c r="AC1417" i="1"/>
  <c r="AB1418" i="1"/>
  <c r="AC1418" i="1"/>
  <c r="AB1419" i="1"/>
  <c r="AC1419" i="1"/>
  <c r="AB1420" i="1"/>
  <c r="AC1420" i="1"/>
  <c r="AB1421" i="1"/>
  <c r="AC1421" i="1"/>
  <c r="AB1422" i="1"/>
  <c r="AC1422" i="1"/>
  <c r="AB1423" i="1"/>
  <c r="AC1423" i="1"/>
  <c r="AB1424" i="1"/>
  <c r="AC1424" i="1"/>
  <c r="AB1425" i="1"/>
  <c r="AC1425" i="1"/>
  <c r="AB1426" i="1"/>
  <c r="AC1426" i="1"/>
  <c r="AB1429" i="1"/>
  <c r="AC1429" i="1"/>
  <c r="AB1430" i="1"/>
  <c r="AC1430" i="1"/>
  <c r="AB1431" i="1"/>
  <c r="AC1431" i="1"/>
  <c r="AB1432" i="1"/>
  <c r="AC1432" i="1"/>
  <c r="AB1433" i="1"/>
  <c r="AC1433" i="1"/>
  <c r="AB1434" i="1"/>
  <c r="AC1434" i="1"/>
  <c r="AB1435" i="1"/>
  <c r="AC1435" i="1"/>
  <c r="AB1436" i="1"/>
  <c r="AC1436" i="1"/>
  <c r="AB1437" i="1"/>
  <c r="AC1437" i="1"/>
  <c r="AB1438" i="1"/>
  <c r="AC1438" i="1"/>
  <c r="AB1439" i="1"/>
  <c r="AC1439" i="1"/>
  <c r="AB1440" i="1"/>
  <c r="AC1440" i="1"/>
  <c r="AB1441" i="1"/>
  <c r="AC1441" i="1"/>
  <c r="AB1442" i="1"/>
  <c r="AC1442" i="1"/>
  <c r="AB1443" i="1"/>
  <c r="AC1443" i="1"/>
  <c r="AB1444" i="1"/>
  <c r="AC1444" i="1"/>
  <c r="AB1445" i="1"/>
  <c r="AC1445" i="1"/>
  <c r="AB1446" i="1"/>
  <c r="AC1446" i="1"/>
  <c r="AB1447" i="1"/>
  <c r="AC1447" i="1"/>
  <c r="AB1449" i="1"/>
  <c r="AC1449" i="1"/>
  <c r="AB1450" i="1"/>
  <c r="AC1450" i="1"/>
  <c r="AB1451" i="1"/>
  <c r="AC1451" i="1"/>
  <c r="AB1452" i="1"/>
  <c r="AC1452" i="1"/>
  <c r="AB1453" i="1"/>
  <c r="AC1453" i="1"/>
  <c r="AB1454" i="1"/>
  <c r="AC1454" i="1"/>
  <c r="AB1455" i="1"/>
  <c r="AC1455" i="1"/>
  <c r="AB1456" i="1"/>
  <c r="AC1456" i="1"/>
  <c r="AB1457" i="1"/>
  <c r="AC1457" i="1"/>
  <c r="AB1458" i="1"/>
  <c r="AC1458" i="1"/>
  <c r="AB1459" i="1"/>
  <c r="AC1459" i="1"/>
  <c r="AB1460" i="1"/>
  <c r="AC1460" i="1"/>
  <c r="AB1461" i="1"/>
  <c r="AC1461" i="1"/>
  <c r="AB1462" i="1"/>
  <c r="AC1462" i="1"/>
  <c r="AB1463" i="1"/>
  <c r="AC1463" i="1"/>
  <c r="AB1465" i="1"/>
  <c r="AC1465" i="1"/>
  <c r="AB1466" i="1"/>
  <c r="AC1466" i="1"/>
  <c r="AB1467" i="1"/>
  <c r="AC1467" i="1"/>
  <c r="AB1468" i="1"/>
  <c r="AC1468" i="1"/>
  <c r="AB1469" i="1"/>
  <c r="AC1469" i="1"/>
  <c r="AB1470" i="1"/>
  <c r="AC1470" i="1"/>
  <c r="AB1471" i="1"/>
  <c r="AC1471" i="1"/>
  <c r="AB1472" i="1"/>
  <c r="AC1472" i="1"/>
  <c r="AB1473" i="1"/>
  <c r="AC1473" i="1"/>
  <c r="AB1474" i="1"/>
  <c r="AC1474" i="1"/>
  <c r="AB1475" i="1"/>
  <c r="AC1475" i="1"/>
  <c r="AB1476" i="1"/>
  <c r="AC1476" i="1"/>
  <c r="AB1477" i="1"/>
  <c r="AC1477" i="1"/>
  <c r="AB1478" i="1"/>
  <c r="AC1478" i="1"/>
  <c r="AB1479" i="1"/>
  <c r="AC1479" i="1"/>
  <c r="AB1480" i="1"/>
  <c r="AC1480" i="1"/>
  <c r="AB1481" i="1"/>
  <c r="AC1481" i="1"/>
  <c r="AB1482" i="1"/>
  <c r="AC1482" i="1"/>
  <c r="AB1483" i="1"/>
  <c r="AC1483" i="1"/>
  <c r="AB1484" i="1"/>
  <c r="AC1484" i="1"/>
  <c r="AB1485" i="1"/>
  <c r="AC1485" i="1"/>
  <c r="AB1486" i="1"/>
  <c r="AC1486" i="1"/>
  <c r="AB1487" i="1"/>
  <c r="AC1487" i="1"/>
  <c r="AB1488" i="1"/>
  <c r="AC1488" i="1"/>
  <c r="AB1489" i="1"/>
  <c r="AC1489" i="1"/>
  <c r="AB1490" i="1"/>
  <c r="AC1490" i="1"/>
  <c r="AB1491" i="1"/>
  <c r="AC1491" i="1"/>
  <c r="AB1492" i="1"/>
  <c r="AC1492" i="1"/>
  <c r="AB1494" i="1"/>
  <c r="AC1494" i="1"/>
  <c r="AB1495" i="1"/>
  <c r="AC1495" i="1"/>
  <c r="AB1496" i="1"/>
  <c r="AC1496" i="1"/>
  <c r="AB1497" i="1"/>
  <c r="AC1497" i="1"/>
  <c r="AB1499" i="1"/>
  <c r="AC1499" i="1"/>
  <c r="AB1500" i="1"/>
  <c r="AC1500" i="1"/>
  <c r="AB1502" i="1"/>
  <c r="AC1502" i="1"/>
  <c r="AB1503" i="1"/>
  <c r="AC1503" i="1"/>
  <c r="AB1504" i="1"/>
  <c r="AC1504" i="1"/>
  <c r="AB1505" i="1"/>
  <c r="AC1505" i="1"/>
  <c r="AB1507" i="1"/>
  <c r="AC1507" i="1"/>
  <c r="AC2" i="1"/>
  <c r="AB2" i="1"/>
  <c r="AD3" i="1"/>
  <c r="AE3" i="1"/>
  <c r="AD4" i="1"/>
  <c r="AE4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D12" i="1"/>
  <c r="AE12" i="1"/>
  <c r="AD13" i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D23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D40" i="1"/>
  <c r="AE40" i="1"/>
  <c r="AD41" i="1"/>
  <c r="AE41" i="1"/>
  <c r="AD42" i="1"/>
  <c r="AE42" i="1"/>
  <c r="AD43" i="1"/>
  <c r="AE43" i="1"/>
  <c r="AD44" i="1"/>
  <c r="AE44" i="1"/>
  <c r="AD45" i="1"/>
  <c r="AE45" i="1"/>
  <c r="AD46" i="1"/>
  <c r="AE46" i="1"/>
  <c r="AD47" i="1"/>
  <c r="AE47" i="1"/>
  <c r="AD48" i="1"/>
  <c r="AE48" i="1"/>
  <c r="AD49" i="1"/>
  <c r="AE49" i="1"/>
  <c r="AD50" i="1"/>
  <c r="AE50" i="1"/>
  <c r="AD51" i="1"/>
  <c r="AE51" i="1"/>
  <c r="AD52" i="1"/>
  <c r="AE52" i="1"/>
  <c r="AD53" i="1"/>
  <c r="AE53" i="1"/>
  <c r="AD54" i="1"/>
  <c r="AE54" i="1"/>
  <c r="AD55" i="1"/>
  <c r="AE55" i="1"/>
  <c r="AD56" i="1"/>
  <c r="AE56" i="1"/>
  <c r="AD57" i="1"/>
  <c r="AE57" i="1"/>
  <c r="AD58" i="1"/>
  <c r="AE58" i="1"/>
  <c r="AD59" i="1"/>
  <c r="AE59" i="1"/>
  <c r="AD60" i="1"/>
  <c r="AE60" i="1"/>
  <c r="AD61" i="1"/>
  <c r="AE61" i="1"/>
  <c r="AD62" i="1"/>
  <c r="AE62" i="1"/>
  <c r="AD63" i="1"/>
  <c r="AE63" i="1"/>
  <c r="AD64" i="1"/>
  <c r="AE64" i="1"/>
  <c r="AD65" i="1"/>
  <c r="AE65" i="1"/>
  <c r="AD66" i="1"/>
  <c r="AE66" i="1"/>
  <c r="AD67" i="1"/>
  <c r="AE67" i="1"/>
  <c r="AD68" i="1"/>
  <c r="AE68" i="1"/>
  <c r="AD69" i="1"/>
  <c r="AE69" i="1"/>
  <c r="AD70" i="1"/>
  <c r="AE70" i="1"/>
  <c r="AD71" i="1"/>
  <c r="AE71" i="1"/>
  <c r="AD72" i="1"/>
  <c r="AE72" i="1"/>
  <c r="AD73" i="1"/>
  <c r="AE73" i="1"/>
  <c r="AD74" i="1"/>
  <c r="AE74" i="1"/>
  <c r="AD75" i="1"/>
  <c r="AE75" i="1"/>
  <c r="AD76" i="1"/>
  <c r="AE76" i="1"/>
  <c r="AD77" i="1"/>
  <c r="AE77" i="1"/>
  <c r="AD78" i="1"/>
  <c r="AE78" i="1"/>
  <c r="AD79" i="1"/>
  <c r="AE79" i="1"/>
  <c r="AD80" i="1"/>
  <c r="AE80" i="1"/>
  <c r="AD81" i="1"/>
  <c r="AE81" i="1"/>
  <c r="AD82" i="1"/>
  <c r="AE82" i="1"/>
  <c r="AD83" i="1"/>
  <c r="AE83" i="1"/>
  <c r="AD84" i="1"/>
  <c r="AE84" i="1"/>
  <c r="AD85" i="1"/>
  <c r="AE85" i="1"/>
  <c r="AD86" i="1"/>
  <c r="AE86" i="1"/>
  <c r="AD87" i="1"/>
  <c r="AE87" i="1"/>
  <c r="AD88" i="1"/>
  <c r="AE88" i="1"/>
  <c r="AD89" i="1"/>
  <c r="AE89" i="1"/>
  <c r="AD90" i="1"/>
  <c r="AE90" i="1"/>
  <c r="AD91" i="1"/>
  <c r="AE91" i="1"/>
  <c r="AD92" i="1"/>
  <c r="AE92" i="1"/>
  <c r="AD93" i="1"/>
  <c r="AE93" i="1"/>
  <c r="AD94" i="1"/>
  <c r="AE94" i="1"/>
  <c r="AD95" i="1"/>
  <c r="AE95" i="1"/>
  <c r="AD96" i="1"/>
  <c r="AE96" i="1"/>
  <c r="AD97" i="1"/>
  <c r="AE97" i="1"/>
  <c r="AD98" i="1"/>
  <c r="AE98" i="1"/>
  <c r="AD99" i="1"/>
  <c r="AE99" i="1"/>
  <c r="AD100" i="1"/>
  <c r="AE100" i="1"/>
  <c r="AD101" i="1"/>
  <c r="AE101" i="1"/>
  <c r="AD102" i="1"/>
  <c r="AE102" i="1"/>
  <c r="AD103" i="1"/>
  <c r="AE103" i="1"/>
  <c r="AD104" i="1"/>
  <c r="AE104" i="1"/>
  <c r="AD105" i="1"/>
  <c r="AE105" i="1"/>
  <c r="AD106" i="1"/>
  <c r="AE106" i="1"/>
  <c r="AD107" i="1"/>
  <c r="AE107" i="1"/>
  <c r="AD108" i="1"/>
  <c r="AE108" i="1"/>
  <c r="AD109" i="1"/>
  <c r="AE109" i="1"/>
  <c r="AD110" i="1"/>
  <c r="AE110" i="1"/>
  <c r="AD111" i="1"/>
  <c r="AE111" i="1"/>
  <c r="AD112" i="1"/>
  <c r="AE112" i="1"/>
  <c r="AD113" i="1"/>
  <c r="AE113" i="1"/>
  <c r="AD114" i="1"/>
  <c r="AE114" i="1"/>
  <c r="AD115" i="1"/>
  <c r="AE115" i="1"/>
  <c r="AD116" i="1"/>
  <c r="AE116" i="1"/>
  <c r="AD117" i="1"/>
  <c r="AE117" i="1"/>
  <c r="AD118" i="1"/>
  <c r="AE118" i="1"/>
  <c r="AD119" i="1"/>
  <c r="AE119" i="1"/>
  <c r="AD120" i="1"/>
  <c r="AE120" i="1"/>
  <c r="AD121" i="1"/>
  <c r="AE121" i="1"/>
  <c r="AD122" i="1"/>
  <c r="AE122" i="1"/>
  <c r="AD123" i="1"/>
  <c r="AE123" i="1"/>
  <c r="AD124" i="1"/>
  <c r="AE124" i="1"/>
  <c r="AD125" i="1"/>
  <c r="AE125" i="1"/>
  <c r="AD126" i="1"/>
  <c r="AE126" i="1"/>
  <c r="AD127" i="1"/>
  <c r="AE127" i="1"/>
  <c r="AD128" i="1"/>
  <c r="AE128" i="1"/>
  <c r="AD129" i="1"/>
  <c r="AE129" i="1"/>
  <c r="AD130" i="1"/>
  <c r="AE130" i="1"/>
  <c r="AD131" i="1"/>
  <c r="AE131" i="1"/>
  <c r="AD132" i="1"/>
  <c r="AE132" i="1"/>
  <c r="AD133" i="1"/>
  <c r="AE133" i="1"/>
  <c r="AD134" i="1"/>
  <c r="AE134" i="1"/>
  <c r="AD135" i="1"/>
  <c r="AE135" i="1"/>
  <c r="AD136" i="1"/>
  <c r="AE136" i="1"/>
  <c r="AD137" i="1"/>
  <c r="AE137" i="1"/>
  <c r="AD138" i="1"/>
  <c r="AE138" i="1"/>
  <c r="AD139" i="1"/>
  <c r="AE139" i="1"/>
  <c r="AD140" i="1"/>
  <c r="AE140" i="1"/>
  <c r="AD141" i="1"/>
  <c r="AE141" i="1"/>
  <c r="AD142" i="1"/>
  <c r="AE142" i="1"/>
  <c r="AD143" i="1"/>
  <c r="AE143" i="1"/>
  <c r="AD144" i="1"/>
  <c r="AE144" i="1"/>
  <c r="AD145" i="1"/>
  <c r="AE145" i="1"/>
  <c r="AD146" i="1"/>
  <c r="AE146" i="1"/>
  <c r="AD147" i="1"/>
  <c r="AE147" i="1"/>
  <c r="AD148" i="1"/>
  <c r="AE148" i="1"/>
  <c r="AD149" i="1"/>
  <c r="AE149" i="1"/>
  <c r="AD150" i="1"/>
  <c r="AE150" i="1"/>
  <c r="AD151" i="1"/>
  <c r="AE151" i="1"/>
  <c r="AD152" i="1"/>
  <c r="AE152" i="1"/>
  <c r="AD153" i="1"/>
  <c r="AE153" i="1"/>
  <c r="AD154" i="1"/>
  <c r="AE154" i="1"/>
  <c r="AD155" i="1"/>
  <c r="AE155" i="1"/>
  <c r="AD156" i="1"/>
  <c r="AE156" i="1"/>
  <c r="AD157" i="1"/>
  <c r="AE157" i="1"/>
  <c r="AD158" i="1"/>
  <c r="AE158" i="1"/>
  <c r="AD159" i="1"/>
  <c r="AE159" i="1"/>
  <c r="AD160" i="1"/>
  <c r="AE160" i="1"/>
  <c r="AD161" i="1"/>
  <c r="AE161" i="1"/>
  <c r="AD162" i="1"/>
  <c r="AE162" i="1"/>
  <c r="AD163" i="1"/>
  <c r="AE163" i="1"/>
  <c r="AD164" i="1"/>
  <c r="AE164" i="1"/>
  <c r="AD165" i="1"/>
  <c r="AE165" i="1"/>
  <c r="AD166" i="1"/>
  <c r="AE166" i="1"/>
  <c r="AD167" i="1"/>
  <c r="AE167" i="1"/>
  <c r="AD168" i="1"/>
  <c r="AE168" i="1"/>
  <c r="AD169" i="1"/>
  <c r="AE169" i="1"/>
  <c r="AD170" i="1"/>
  <c r="AE170" i="1"/>
  <c r="AD171" i="1"/>
  <c r="AE171" i="1"/>
  <c r="AD172" i="1"/>
  <c r="AE172" i="1"/>
  <c r="AD173" i="1"/>
  <c r="AE173" i="1"/>
  <c r="AD174" i="1"/>
  <c r="AE174" i="1"/>
  <c r="AD175" i="1"/>
  <c r="AE175" i="1"/>
  <c r="AD176" i="1"/>
  <c r="AE176" i="1"/>
  <c r="AD177" i="1"/>
  <c r="AE177" i="1"/>
  <c r="AD178" i="1"/>
  <c r="AE178" i="1"/>
  <c r="AD179" i="1"/>
  <c r="AE179" i="1"/>
  <c r="AD180" i="1"/>
  <c r="AE180" i="1"/>
  <c r="AD181" i="1"/>
  <c r="AE181" i="1"/>
  <c r="AD182" i="1"/>
  <c r="AE182" i="1"/>
  <c r="AD183" i="1"/>
  <c r="AE183" i="1"/>
  <c r="AD184" i="1"/>
  <c r="AE184" i="1"/>
  <c r="AD185" i="1"/>
  <c r="AE185" i="1"/>
  <c r="AD186" i="1"/>
  <c r="AE186" i="1"/>
  <c r="AD187" i="1"/>
  <c r="AE187" i="1"/>
  <c r="AD188" i="1"/>
  <c r="AE188" i="1"/>
  <c r="AD189" i="1"/>
  <c r="AE189" i="1"/>
  <c r="AD190" i="1"/>
  <c r="AE190" i="1"/>
  <c r="AD191" i="1"/>
  <c r="AE191" i="1"/>
  <c r="AD192" i="1"/>
  <c r="AE192" i="1"/>
  <c r="AD193" i="1"/>
  <c r="AE193" i="1"/>
  <c r="AD194" i="1"/>
  <c r="AE194" i="1"/>
  <c r="AD195" i="1"/>
  <c r="AE195" i="1"/>
  <c r="AD196" i="1"/>
  <c r="AE196" i="1"/>
  <c r="AD197" i="1"/>
  <c r="AE197" i="1"/>
  <c r="AD198" i="1"/>
  <c r="AE198" i="1"/>
  <c r="AD199" i="1"/>
  <c r="AE199" i="1"/>
  <c r="AD200" i="1"/>
  <c r="AE200" i="1"/>
  <c r="AD201" i="1"/>
  <c r="AE201" i="1"/>
  <c r="AD202" i="1"/>
  <c r="AE202" i="1"/>
  <c r="AD203" i="1"/>
  <c r="AE203" i="1"/>
  <c r="AD204" i="1"/>
  <c r="AE204" i="1"/>
  <c r="AD205" i="1"/>
  <c r="AE205" i="1"/>
  <c r="AD206" i="1"/>
  <c r="AE206" i="1"/>
  <c r="AD207" i="1"/>
  <c r="AE207" i="1"/>
  <c r="AD208" i="1"/>
  <c r="AE208" i="1"/>
  <c r="AD209" i="1"/>
  <c r="AE209" i="1"/>
  <c r="AD210" i="1"/>
  <c r="AE210" i="1"/>
  <c r="AD211" i="1"/>
  <c r="AE211" i="1"/>
  <c r="AD212" i="1"/>
  <c r="AE212" i="1"/>
  <c r="AD213" i="1"/>
  <c r="AE213" i="1"/>
  <c r="AD214" i="1"/>
  <c r="AE214" i="1"/>
  <c r="AD215" i="1"/>
  <c r="AE215" i="1"/>
  <c r="AD216" i="1"/>
  <c r="AE216" i="1"/>
  <c r="AD217" i="1"/>
  <c r="AE217" i="1"/>
  <c r="AD218" i="1"/>
  <c r="AE218" i="1"/>
  <c r="AD219" i="1"/>
  <c r="AE219" i="1"/>
  <c r="AD220" i="1"/>
  <c r="AE220" i="1"/>
  <c r="AD221" i="1"/>
  <c r="AE221" i="1"/>
  <c r="AD222" i="1"/>
  <c r="AE222" i="1"/>
  <c r="AD223" i="1"/>
  <c r="AE223" i="1"/>
  <c r="AD224" i="1"/>
  <c r="AE224" i="1"/>
  <c r="AD225" i="1"/>
  <c r="AE225" i="1"/>
  <c r="AD226" i="1"/>
  <c r="AE226" i="1"/>
  <c r="AD227" i="1"/>
  <c r="AE227" i="1"/>
  <c r="AD228" i="1"/>
  <c r="AE228" i="1"/>
  <c r="AD229" i="1"/>
  <c r="AE229" i="1"/>
  <c r="AD230" i="1"/>
  <c r="AE230" i="1"/>
  <c r="AD231" i="1"/>
  <c r="AE231" i="1"/>
  <c r="AD232" i="1"/>
  <c r="AE232" i="1"/>
  <c r="AD233" i="1"/>
  <c r="AE233" i="1"/>
  <c r="AD234" i="1"/>
  <c r="AE234" i="1"/>
  <c r="AD235" i="1"/>
  <c r="AE235" i="1"/>
  <c r="AD236" i="1"/>
  <c r="AE236" i="1"/>
  <c r="AD237" i="1"/>
  <c r="AE237" i="1"/>
  <c r="AD238" i="1"/>
  <c r="AE238" i="1"/>
  <c r="AD239" i="1"/>
  <c r="AE239" i="1"/>
  <c r="AD240" i="1"/>
  <c r="AE240" i="1"/>
  <c r="AD241" i="1"/>
  <c r="AE241" i="1"/>
  <c r="AD242" i="1"/>
  <c r="AE242" i="1"/>
  <c r="AD243" i="1"/>
  <c r="AE243" i="1"/>
  <c r="AD244" i="1"/>
  <c r="AE244" i="1"/>
  <c r="AD245" i="1"/>
  <c r="AE245" i="1"/>
  <c r="AD246" i="1"/>
  <c r="AE246" i="1"/>
  <c r="AD247" i="1"/>
  <c r="AE247" i="1"/>
  <c r="AD248" i="1"/>
  <c r="AE248" i="1"/>
  <c r="AD249" i="1"/>
  <c r="AE249" i="1"/>
  <c r="AD250" i="1"/>
  <c r="AE250" i="1"/>
  <c r="AD251" i="1"/>
  <c r="AE251" i="1"/>
  <c r="AD252" i="1"/>
  <c r="AE252" i="1"/>
  <c r="AD253" i="1"/>
  <c r="AE253" i="1"/>
  <c r="AD254" i="1"/>
  <c r="AE254" i="1"/>
  <c r="AD255" i="1"/>
  <c r="AE255" i="1"/>
  <c r="AD256" i="1"/>
  <c r="AE256" i="1"/>
  <c r="AD257" i="1"/>
  <c r="AE257" i="1"/>
  <c r="AD258" i="1"/>
  <c r="AE258" i="1"/>
  <c r="AD259" i="1"/>
  <c r="AE259" i="1"/>
  <c r="AD260" i="1"/>
  <c r="AE260" i="1"/>
  <c r="AD261" i="1"/>
  <c r="AE261" i="1"/>
  <c r="AD262" i="1"/>
  <c r="AE262" i="1"/>
  <c r="AD263" i="1"/>
  <c r="AE263" i="1"/>
  <c r="AD264" i="1"/>
  <c r="AE264" i="1"/>
  <c r="AD265" i="1"/>
  <c r="AE265" i="1"/>
  <c r="AD266" i="1"/>
  <c r="AE266" i="1"/>
  <c r="AD267" i="1"/>
  <c r="AE267" i="1"/>
  <c r="AD268" i="1"/>
  <c r="AE268" i="1"/>
  <c r="AD269" i="1"/>
  <c r="AE269" i="1"/>
  <c r="AD270" i="1"/>
  <c r="AE270" i="1"/>
  <c r="AD271" i="1"/>
  <c r="AE271" i="1"/>
  <c r="AD272" i="1"/>
  <c r="AE272" i="1"/>
  <c r="AD273" i="1"/>
  <c r="AE273" i="1"/>
  <c r="AD274" i="1"/>
  <c r="AE274" i="1"/>
  <c r="AD275" i="1"/>
  <c r="AE275" i="1"/>
  <c r="AD276" i="1"/>
  <c r="AE276" i="1"/>
  <c r="AD277" i="1"/>
  <c r="AE277" i="1"/>
  <c r="AD278" i="1"/>
  <c r="AE278" i="1"/>
  <c r="AD279" i="1"/>
  <c r="AE279" i="1"/>
  <c r="AD280" i="1"/>
  <c r="AE280" i="1"/>
  <c r="AD281" i="1"/>
  <c r="AE281" i="1"/>
  <c r="AD282" i="1"/>
  <c r="AE282" i="1"/>
  <c r="AD283" i="1"/>
  <c r="AE283" i="1"/>
  <c r="AD284" i="1"/>
  <c r="AE284" i="1"/>
  <c r="AD285" i="1"/>
  <c r="AE285" i="1"/>
  <c r="AD286" i="1"/>
  <c r="AE286" i="1"/>
  <c r="AD287" i="1"/>
  <c r="AE287" i="1"/>
  <c r="AD288" i="1"/>
  <c r="AE288" i="1"/>
  <c r="AD289" i="1"/>
  <c r="AE289" i="1"/>
  <c r="AD290" i="1"/>
  <c r="AE290" i="1"/>
  <c r="AD291" i="1"/>
  <c r="AE291" i="1"/>
  <c r="AD292" i="1"/>
  <c r="AE292" i="1"/>
  <c r="AD293" i="1"/>
  <c r="AE293" i="1"/>
  <c r="AD294" i="1"/>
  <c r="AE294" i="1"/>
  <c r="AD295" i="1"/>
  <c r="AE295" i="1"/>
  <c r="AD296" i="1"/>
  <c r="AE296" i="1"/>
  <c r="AD297" i="1"/>
  <c r="AE297" i="1"/>
  <c r="AD298" i="1"/>
  <c r="AE298" i="1"/>
  <c r="AD299" i="1"/>
  <c r="AE299" i="1"/>
  <c r="AD300" i="1"/>
  <c r="AE300" i="1"/>
  <c r="AD301" i="1"/>
  <c r="AE301" i="1"/>
  <c r="AD302" i="1"/>
  <c r="AE302" i="1"/>
  <c r="AD303" i="1"/>
  <c r="AE303" i="1"/>
  <c r="AD304" i="1"/>
  <c r="AE304" i="1"/>
  <c r="AD305" i="1"/>
  <c r="AE305" i="1"/>
  <c r="AD306" i="1"/>
  <c r="AE306" i="1"/>
  <c r="AD307" i="1"/>
  <c r="AE307" i="1"/>
  <c r="AD308" i="1"/>
  <c r="AE308" i="1"/>
  <c r="AD309" i="1"/>
  <c r="AE309" i="1"/>
  <c r="AD310" i="1"/>
  <c r="AE310" i="1"/>
  <c r="AD311" i="1"/>
  <c r="AE311" i="1"/>
  <c r="AD312" i="1"/>
  <c r="AE312" i="1"/>
  <c r="AD313" i="1"/>
  <c r="AE313" i="1"/>
  <c r="AD314" i="1"/>
  <c r="AE314" i="1"/>
  <c r="AD315" i="1"/>
  <c r="AE315" i="1"/>
  <c r="AD316" i="1"/>
  <c r="AE316" i="1"/>
  <c r="AD317" i="1"/>
  <c r="AE317" i="1"/>
  <c r="AD318" i="1"/>
  <c r="AE318" i="1"/>
  <c r="AD319" i="1"/>
  <c r="AE319" i="1"/>
  <c r="AD320" i="1"/>
  <c r="AE320" i="1"/>
  <c r="AD321" i="1"/>
  <c r="AE321" i="1"/>
  <c r="AD322" i="1"/>
  <c r="AE322" i="1"/>
  <c r="AD323" i="1"/>
  <c r="AE323" i="1"/>
  <c r="AD324" i="1"/>
  <c r="AE324" i="1"/>
  <c r="AD325" i="1"/>
  <c r="AE325" i="1"/>
  <c r="AD326" i="1"/>
  <c r="AE326" i="1"/>
  <c r="AD327" i="1"/>
  <c r="AE327" i="1"/>
  <c r="AD328" i="1"/>
  <c r="AE328" i="1"/>
  <c r="AD329" i="1"/>
  <c r="AE329" i="1"/>
  <c r="AD330" i="1"/>
  <c r="AE330" i="1"/>
  <c r="AD331" i="1"/>
  <c r="AE331" i="1"/>
  <c r="AD332" i="1"/>
  <c r="AE332" i="1"/>
  <c r="AD333" i="1"/>
  <c r="AE333" i="1"/>
  <c r="AD334" i="1"/>
  <c r="AE334" i="1"/>
  <c r="AD335" i="1"/>
  <c r="AE335" i="1"/>
  <c r="AD336" i="1"/>
  <c r="AE336" i="1"/>
  <c r="AD337" i="1"/>
  <c r="AE337" i="1"/>
  <c r="AD338" i="1"/>
  <c r="AE338" i="1"/>
  <c r="AD339" i="1"/>
  <c r="AE339" i="1"/>
  <c r="AD340" i="1"/>
  <c r="AE340" i="1"/>
  <c r="AD341" i="1"/>
  <c r="AE341" i="1"/>
  <c r="AD342" i="1"/>
  <c r="AE342" i="1"/>
  <c r="AD343" i="1"/>
  <c r="AE343" i="1"/>
  <c r="AD344" i="1"/>
  <c r="AE344" i="1"/>
  <c r="AD345" i="1"/>
  <c r="AE345" i="1"/>
  <c r="AD346" i="1"/>
  <c r="AE346" i="1"/>
  <c r="AD347" i="1"/>
  <c r="AE347" i="1"/>
  <c r="AD348" i="1"/>
  <c r="AE348" i="1"/>
  <c r="AD349" i="1"/>
  <c r="AE349" i="1"/>
  <c r="AD350" i="1"/>
  <c r="AE350" i="1"/>
  <c r="AD351" i="1"/>
  <c r="AE351" i="1"/>
  <c r="AD352" i="1"/>
  <c r="AE352" i="1"/>
  <c r="AD353" i="1"/>
  <c r="AE353" i="1"/>
  <c r="AD354" i="1"/>
  <c r="AE354" i="1"/>
  <c r="AD355" i="1"/>
  <c r="AE355" i="1"/>
  <c r="AD356" i="1"/>
  <c r="AE356" i="1"/>
  <c r="AD357" i="1"/>
  <c r="AE357" i="1"/>
  <c r="AD358" i="1"/>
  <c r="AE358" i="1"/>
  <c r="AD359" i="1"/>
  <c r="AE359" i="1"/>
  <c r="AD360" i="1"/>
  <c r="AE360" i="1"/>
  <c r="AD361" i="1"/>
  <c r="AE361" i="1"/>
  <c r="AD362" i="1"/>
  <c r="AE362" i="1"/>
  <c r="AD363" i="1"/>
  <c r="AE363" i="1"/>
  <c r="AD364" i="1"/>
  <c r="AE364" i="1"/>
  <c r="AD365" i="1"/>
  <c r="AE365" i="1"/>
  <c r="AD366" i="1"/>
  <c r="AE366" i="1"/>
  <c r="AD367" i="1"/>
  <c r="AE367" i="1"/>
  <c r="AD368" i="1"/>
  <c r="AE368" i="1"/>
  <c r="AD369" i="1"/>
  <c r="AE369" i="1"/>
  <c r="AD370" i="1"/>
  <c r="AE370" i="1"/>
  <c r="AD371" i="1"/>
  <c r="AE371" i="1"/>
  <c r="AD372" i="1"/>
  <c r="AE372" i="1"/>
  <c r="AD373" i="1"/>
  <c r="AE373" i="1"/>
  <c r="AD374" i="1"/>
  <c r="AE374" i="1"/>
  <c r="AD375" i="1"/>
  <c r="AE375" i="1"/>
  <c r="AD376" i="1"/>
  <c r="AE376" i="1"/>
  <c r="AD377" i="1"/>
  <c r="AE377" i="1"/>
  <c r="AD378" i="1"/>
  <c r="AE378" i="1"/>
  <c r="AD379" i="1"/>
  <c r="AE379" i="1"/>
  <c r="AD380" i="1"/>
  <c r="AE380" i="1"/>
  <c r="AD381" i="1"/>
  <c r="AE381" i="1"/>
  <c r="AD382" i="1"/>
  <c r="AE382" i="1"/>
  <c r="AD383" i="1"/>
  <c r="AE383" i="1"/>
  <c r="AD384" i="1"/>
  <c r="AE384" i="1"/>
  <c r="AD385" i="1"/>
  <c r="AE385" i="1"/>
  <c r="AD386" i="1"/>
  <c r="AE386" i="1"/>
  <c r="AD387" i="1"/>
  <c r="AE387" i="1"/>
  <c r="AD388" i="1"/>
  <c r="AE388" i="1"/>
  <c r="AD389" i="1"/>
  <c r="AE389" i="1"/>
  <c r="AD390" i="1"/>
  <c r="AE390" i="1"/>
  <c r="AD391" i="1"/>
  <c r="AE391" i="1"/>
  <c r="AD392" i="1"/>
  <c r="AE392" i="1"/>
  <c r="AD393" i="1"/>
  <c r="AE393" i="1"/>
  <c r="AD394" i="1"/>
  <c r="AE394" i="1"/>
  <c r="AD395" i="1"/>
  <c r="AE395" i="1"/>
  <c r="AD396" i="1"/>
  <c r="AE396" i="1"/>
  <c r="AD397" i="1"/>
  <c r="AE397" i="1"/>
  <c r="AD398" i="1"/>
  <c r="AE398" i="1"/>
  <c r="AD399" i="1"/>
  <c r="AE399" i="1"/>
  <c r="AD400" i="1"/>
  <c r="AE400" i="1"/>
  <c r="AD401" i="1"/>
  <c r="AE401" i="1"/>
  <c r="AD402" i="1"/>
  <c r="AE402" i="1"/>
  <c r="AD403" i="1"/>
  <c r="AE403" i="1"/>
  <c r="AD404" i="1"/>
  <c r="AE404" i="1"/>
  <c r="AD405" i="1"/>
  <c r="AE405" i="1"/>
  <c r="AD406" i="1"/>
  <c r="AE406" i="1"/>
  <c r="AD407" i="1"/>
  <c r="AE407" i="1"/>
  <c r="AD408" i="1"/>
  <c r="AE408" i="1"/>
  <c r="AD409" i="1"/>
  <c r="AE409" i="1"/>
  <c r="AD410" i="1"/>
  <c r="AE410" i="1"/>
  <c r="AD411" i="1"/>
  <c r="AE411" i="1"/>
  <c r="AD412" i="1"/>
  <c r="AE412" i="1"/>
  <c r="AD413" i="1"/>
  <c r="AE413" i="1"/>
  <c r="AD414" i="1"/>
  <c r="AE414" i="1"/>
  <c r="AD415" i="1"/>
  <c r="AE415" i="1"/>
  <c r="AD416" i="1"/>
  <c r="AE416" i="1"/>
  <c r="AD417" i="1"/>
  <c r="AE417" i="1"/>
  <c r="AD418" i="1"/>
  <c r="AE418" i="1"/>
  <c r="AD419" i="1"/>
  <c r="AE419" i="1"/>
  <c r="AD420" i="1"/>
  <c r="AE420" i="1"/>
  <c r="AD421" i="1"/>
  <c r="AE421" i="1"/>
  <c r="AD422" i="1"/>
  <c r="AE422" i="1"/>
  <c r="AD423" i="1"/>
  <c r="AE423" i="1"/>
  <c r="AD424" i="1"/>
  <c r="AE424" i="1"/>
  <c r="AD425" i="1"/>
  <c r="AE425" i="1"/>
  <c r="AD426" i="1"/>
  <c r="AE426" i="1"/>
  <c r="AD427" i="1"/>
  <c r="AE427" i="1"/>
  <c r="AD428" i="1"/>
  <c r="AE428" i="1"/>
  <c r="AD429" i="1"/>
  <c r="AE429" i="1"/>
  <c r="AD430" i="1"/>
  <c r="AE430" i="1"/>
  <c r="AD431" i="1"/>
  <c r="AE431" i="1"/>
  <c r="AD432" i="1"/>
  <c r="AE432" i="1"/>
  <c r="AD433" i="1"/>
  <c r="AE433" i="1"/>
  <c r="AD434" i="1"/>
  <c r="AE434" i="1"/>
  <c r="AD435" i="1"/>
  <c r="AE435" i="1"/>
  <c r="AD436" i="1"/>
  <c r="AE436" i="1"/>
  <c r="AD437" i="1"/>
  <c r="AE437" i="1"/>
  <c r="AD438" i="1"/>
  <c r="AE438" i="1"/>
  <c r="AD439" i="1"/>
  <c r="AE439" i="1"/>
  <c r="AD440" i="1"/>
  <c r="AE440" i="1"/>
  <c r="AD441" i="1"/>
  <c r="AE441" i="1"/>
  <c r="AD442" i="1"/>
  <c r="AE442" i="1"/>
  <c r="AD443" i="1"/>
  <c r="AE443" i="1"/>
  <c r="AD444" i="1"/>
  <c r="AE444" i="1"/>
  <c r="AD445" i="1"/>
  <c r="AE445" i="1"/>
  <c r="AD446" i="1"/>
  <c r="AE446" i="1"/>
  <c r="AD447" i="1"/>
  <c r="AE447" i="1"/>
  <c r="AD448" i="1"/>
  <c r="AE448" i="1"/>
  <c r="AD449" i="1"/>
  <c r="AE449" i="1"/>
  <c r="AD450" i="1"/>
  <c r="AE450" i="1"/>
  <c r="AD451" i="1"/>
  <c r="AE451" i="1"/>
  <c r="AD452" i="1"/>
  <c r="AE452" i="1"/>
  <c r="AD453" i="1"/>
  <c r="AE453" i="1"/>
  <c r="AD454" i="1"/>
  <c r="AE454" i="1"/>
  <c r="AD455" i="1"/>
  <c r="AE455" i="1"/>
  <c r="AD456" i="1"/>
  <c r="AE456" i="1"/>
  <c r="AD457" i="1"/>
  <c r="AE457" i="1"/>
  <c r="AD458" i="1"/>
  <c r="AE458" i="1"/>
  <c r="AD459" i="1"/>
  <c r="AE459" i="1"/>
  <c r="AD460" i="1"/>
  <c r="AE460" i="1"/>
  <c r="AD461" i="1"/>
  <c r="AE461" i="1"/>
  <c r="AD462" i="1"/>
  <c r="AE462" i="1"/>
  <c r="AD463" i="1"/>
  <c r="AE463" i="1"/>
  <c r="AD464" i="1"/>
  <c r="AE464" i="1"/>
  <c r="AD465" i="1"/>
  <c r="AE465" i="1"/>
  <c r="AD466" i="1"/>
  <c r="AE466" i="1"/>
  <c r="AD467" i="1"/>
  <c r="AE467" i="1"/>
  <c r="AD468" i="1"/>
  <c r="AE468" i="1"/>
  <c r="AD469" i="1"/>
  <c r="AE469" i="1"/>
  <c r="AD470" i="1"/>
  <c r="AE470" i="1"/>
  <c r="AD471" i="1"/>
  <c r="AE471" i="1"/>
  <c r="AD472" i="1"/>
  <c r="AE472" i="1"/>
  <c r="AD473" i="1"/>
  <c r="AE473" i="1"/>
  <c r="AD474" i="1"/>
  <c r="AE474" i="1"/>
  <c r="AD475" i="1"/>
  <c r="AE475" i="1"/>
  <c r="AD476" i="1"/>
  <c r="AE476" i="1"/>
  <c r="AD477" i="1"/>
  <c r="AE477" i="1"/>
  <c r="AD478" i="1"/>
  <c r="AE478" i="1"/>
  <c r="AD479" i="1"/>
  <c r="AE479" i="1"/>
  <c r="AD480" i="1"/>
  <c r="AE480" i="1"/>
  <c r="AD481" i="1"/>
  <c r="AE481" i="1"/>
  <c r="AD482" i="1"/>
  <c r="AE482" i="1"/>
  <c r="AD483" i="1"/>
  <c r="AE483" i="1"/>
  <c r="AD484" i="1"/>
  <c r="AE484" i="1"/>
  <c r="AD485" i="1"/>
  <c r="AE485" i="1"/>
  <c r="AD486" i="1"/>
  <c r="AE486" i="1"/>
  <c r="AD487" i="1"/>
  <c r="AE487" i="1"/>
  <c r="AD488" i="1"/>
  <c r="AE488" i="1"/>
  <c r="AD489" i="1"/>
  <c r="AE489" i="1"/>
  <c r="AD490" i="1"/>
  <c r="AE490" i="1"/>
  <c r="AD491" i="1"/>
  <c r="AE491" i="1"/>
  <c r="AD492" i="1"/>
  <c r="AE492" i="1"/>
  <c r="AD493" i="1"/>
  <c r="AE493" i="1"/>
  <c r="AD494" i="1"/>
  <c r="AE494" i="1"/>
  <c r="AD495" i="1"/>
  <c r="AE495" i="1"/>
  <c r="AD496" i="1"/>
  <c r="AE496" i="1"/>
  <c r="AD497" i="1"/>
  <c r="AE497" i="1"/>
  <c r="AD498" i="1"/>
  <c r="AE498" i="1"/>
  <c r="AD499" i="1"/>
  <c r="AE499" i="1"/>
  <c r="AD500" i="1"/>
  <c r="AE500" i="1"/>
  <c r="AD501" i="1"/>
  <c r="AE501" i="1"/>
  <c r="AD502" i="1"/>
  <c r="AE502" i="1"/>
  <c r="AD503" i="1"/>
  <c r="AE503" i="1"/>
  <c r="AD504" i="1"/>
  <c r="AE504" i="1"/>
  <c r="AD505" i="1"/>
  <c r="AE505" i="1"/>
  <c r="AD506" i="1"/>
  <c r="AE506" i="1"/>
  <c r="AD507" i="1"/>
  <c r="AE507" i="1"/>
  <c r="AD508" i="1"/>
  <c r="AE508" i="1"/>
  <c r="AD509" i="1"/>
  <c r="AE509" i="1"/>
  <c r="AD510" i="1"/>
  <c r="AE510" i="1"/>
  <c r="AD511" i="1"/>
  <c r="AE511" i="1"/>
  <c r="AD512" i="1"/>
  <c r="AE512" i="1"/>
  <c r="AD513" i="1"/>
  <c r="AE513" i="1"/>
  <c r="AD514" i="1"/>
  <c r="AE514" i="1"/>
  <c r="AD515" i="1"/>
  <c r="AE515" i="1"/>
  <c r="AD516" i="1"/>
  <c r="AE516" i="1"/>
  <c r="AD517" i="1"/>
  <c r="AE517" i="1"/>
  <c r="AD518" i="1"/>
  <c r="AE518" i="1"/>
  <c r="AD519" i="1"/>
  <c r="AE519" i="1"/>
  <c r="AD520" i="1"/>
  <c r="AE520" i="1"/>
  <c r="AD521" i="1"/>
  <c r="AE521" i="1"/>
  <c r="AD522" i="1"/>
  <c r="AE522" i="1"/>
  <c r="AD523" i="1"/>
  <c r="AE523" i="1"/>
  <c r="AD524" i="1"/>
  <c r="AE524" i="1"/>
  <c r="AD525" i="1"/>
  <c r="AE525" i="1"/>
  <c r="AD526" i="1"/>
  <c r="AE526" i="1"/>
  <c r="AD527" i="1"/>
  <c r="AE527" i="1"/>
  <c r="AD528" i="1"/>
  <c r="AE528" i="1"/>
  <c r="AD529" i="1"/>
  <c r="AE529" i="1"/>
  <c r="AD530" i="1"/>
  <c r="AE530" i="1"/>
  <c r="AD531" i="1"/>
  <c r="AE531" i="1"/>
  <c r="AD532" i="1"/>
  <c r="AE532" i="1"/>
  <c r="AD533" i="1"/>
  <c r="AE533" i="1"/>
  <c r="AD534" i="1"/>
  <c r="AE534" i="1"/>
  <c r="AD535" i="1"/>
  <c r="AE535" i="1"/>
  <c r="AD536" i="1"/>
  <c r="AE536" i="1"/>
  <c r="AD537" i="1"/>
  <c r="AE537" i="1"/>
  <c r="AD538" i="1"/>
  <c r="AE538" i="1"/>
  <c r="AD539" i="1"/>
  <c r="AE539" i="1"/>
  <c r="AD540" i="1"/>
  <c r="AE540" i="1"/>
  <c r="AD541" i="1"/>
  <c r="AE541" i="1"/>
  <c r="AD542" i="1"/>
  <c r="AE542" i="1"/>
  <c r="AD543" i="1"/>
  <c r="AE543" i="1"/>
  <c r="AD544" i="1"/>
  <c r="AE544" i="1"/>
  <c r="AD545" i="1"/>
  <c r="AE545" i="1"/>
  <c r="AD546" i="1"/>
  <c r="AE546" i="1"/>
  <c r="AD547" i="1"/>
  <c r="AE547" i="1"/>
  <c r="AD548" i="1"/>
  <c r="AE548" i="1"/>
  <c r="AD549" i="1"/>
  <c r="AE549" i="1"/>
  <c r="AD550" i="1"/>
  <c r="AE550" i="1"/>
  <c r="AD551" i="1"/>
  <c r="AE551" i="1"/>
  <c r="AD552" i="1"/>
  <c r="AE552" i="1"/>
  <c r="AD554" i="1"/>
  <c r="AE554" i="1"/>
  <c r="AD555" i="1"/>
  <c r="AE555" i="1"/>
  <c r="AD556" i="1"/>
  <c r="AE556" i="1"/>
  <c r="AD557" i="1"/>
  <c r="AE557" i="1"/>
  <c r="AD558" i="1"/>
  <c r="AE558" i="1"/>
  <c r="AD559" i="1"/>
  <c r="AE559" i="1"/>
  <c r="AD560" i="1"/>
  <c r="AE560" i="1"/>
  <c r="AD561" i="1"/>
  <c r="AE561" i="1"/>
  <c r="AD562" i="1"/>
  <c r="AE562" i="1"/>
  <c r="AD563" i="1"/>
  <c r="AE563" i="1"/>
  <c r="AD564" i="1"/>
  <c r="AE564" i="1"/>
  <c r="AD565" i="1"/>
  <c r="AE565" i="1"/>
  <c r="AD566" i="1"/>
  <c r="AE566" i="1"/>
  <c r="AD567" i="1"/>
  <c r="AE567" i="1"/>
  <c r="AD568" i="1"/>
  <c r="AE568" i="1"/>
  <c r="AD569" i="1"/>
  <c r="AE569" i="1"/>
  <c r="AD570" i="1"/>
  <c r="AE570" i="1"/>
  <c r="AD571" i="1"/>
  <c r="AE571" i="1"/>
  <c r="AD572" i="1"/>
  <c r="AE572" i="1"/>
  <c r="AD573" i="1"/>
  <c r="AE573" i="1"/>
  <c r="AD574" i="1"/>
  <c r="AE574" i="1"/>
  <c r="AD575" i="1"/>
  <c r="AE575" i="1"/>
  <c r="AD576" i="1"/>
  <c r="AE576" i="1"/>
  <c r="AD577" i="1"/>
  <c r="AE577" i="1"/>
  <c r="AD578" i="1"/>
  <c r="AE578" i="1"/>
  <c r="AD579" i="1"/>
  <c r="AE579" i="1"/>
  <c r="AD580" i="1"/>
  <c r="AE580" i="1"/>
  <c r="AD581" i="1"/>
  <c r="AE581" i="1"/>
  <c r="AD582" i="1"/>
  <c r="AE582" i="1"/>
  <c r="AD583" i="1"/>
  <c r="AE583" i="1"/>
  <c r="AD584" i="1"/>
  <c r="AE584" i="1"/>
  <c r="AD585" i="1"/>
  <c r="AE585" i="1"/>
  <c r="AD586" i="1"/>
  <c r="AE586" i="1"/>
  <c r="AD587" i="1"/>
  <c r="AE587" i="1"/>
  <c r="AD588" i="1"/>
  <c r="AE588" i="1"/>
  <c r="AD589" i="1"/>
  <c r="AE589" i="1"/>
  <c r="AD590" i="1"/>
  <c r="AE590" i="1"/>
  <c r="AD591" i="1"/>
  <c r="AE591" i="1"/>
  <c r="AD592" i="1"/>
  <c r="AE592" i="1"/>
  <c r="AD593" i="1"/>
  <c r="AE593" i="1"/>
  <c r="AD594" i="1"/>
  <c r="AE594" i="1"/>
  <c r="AD595" i="1"/>
  <c r="AE595" i="1"/>
  <c r="AD596" i="1"/>
  <c r="AE596" i="1"/>
  <c r="AD597" i="1"/>
  <c r="AE597" i="1"/>
  <c r="AD598" i="1"/>
  <c r="AE598" i="1"/>
  <c r="AD599" i="1"/>
  <c r="AE599" i="1"/>
  <c r="AD600" i="1"/>
  <c r="AE600" i="1"/>
  <c r="AD601" i="1"/>
  <c r="AE601" i="1"/>
  <c r="AD602" i="1"/>
  <c r="AE602" i="1"/>
  <c r="AD603" i="1"/>
  <c r="AE603" i="1"/>
  <c r="AD604" i="1"/>
  <c r="AE604" i="1"/>
  <c r="AD605" i="1"/>
  <c r="AE605" i="1"/>
  <c r="AD606" i="1"/>
  <c r="AE606" i="1"/>
  <c r="AD607" i="1"/>
  <c r="AE607" i="1"/>
  <c r="AD608" i="1"/>
  <c r="AE608" i="1"/>
  <c r="AD609" i="1"/>
  <c r="AE609" i="1"/>
  <c r="AD610" i="1"/>
  <c r="AE610" i="1"/>
  <c r="AD611" i="1"/>
  <c r="AE611" i="1"/>
  <c r="AD612" i="1"/>
  <c r="AE612" i="1"/>
  <c r="AD613" i="1"/>
  <c r="AE613" i="1"/>
  <c r="AD614" i="1"/>
  <c r="AE614" i="1"/>
  <c r="AD615" i="1"/>
  <c r="AE615" i="1"/>
  <c r="AD616" i="1"/>
  <c r="AE616" i="1"/>
  <c r="AD617" i="1"/>
  <c r="AE617" i="1"/>
  <c r="AD618" i="1"/>
  <c r="AE618" i="1"/>
  <c r="AD619" i="1"/>
  <c r="AE619" i="1"/>
  <c r="AD620" i="1"/>
  <c r="AE620" i="1"/>
  <c r="AD621" i="1"/>
  <c r="AE621" i="1"/>
  <c r="AD622" i="1"/>
  <c r="AE622" i="1"/>
  <c r="AD623" i="1"/>
  <c r="AE623" i="1"/>
  <c r="AD624" i="1"/>
  <c r="AE624" i="1"/>
  <c r="AD625" i="1"/>
  <c r="AE625" i="1"/>
  <c r="AD626" i="1"/>
  <c r="AE626" i="1"/>
  <c r="AD627" i="1"/>
  <c r="AE627" i="1"/>
  <c r="AD628" i="1"/>
  <c r="AE628" i="1"/>
  <c r="AD629" i="1"/>
  <c r="AE629" i="1"/>
  <c r="AD630" i="1"/>
  <c r="AE630" i="1"/>
  <c r="AD631" i="1"/>
  <c r="AE631" i="1"/>
  <c r="AD632" i="1"/>
  <c r="AE632" i="1"/>
  <c r="AD633" i="1"/>
  <c r="AE633" i="1"/>
  <c r="AD634" i="1"/>
  <c r="AE634" i="1"/>
  <c r="AD635" i="1"/>
  <c r="AE635" i="1"/>
  <c r="AD636" i="1"/>
  <c r="AE636" i="1"/>
  <c r="AD637" i="1"/>
  <c r="AE637" i="1"/>
  <c r="AD638" i="1"/>
  <c r="AE638" i="1"/>
  <c r="AD639" i="1"/>
  <c r="AE639" i="1"/>
  <c r="AD640" i="1"/>
  <c r="AE640" i="1"/>
  <c r="AD641" i="1"/>
  <c r="AE641" i="1"/>
  <c r="AD642" i="1"/>
  <c r="AE642" i="1"/>
  <c r="AD643" i="1"/>
  <c r="AE643" i="1"/>
  <c r="AD644" i="1"/>
  <c r="AE644" i="1"/>
  <c r="AD645" i="1"/>
  <c r="AE645" i="1"/>
  <c r="AD646" i="1"/>
  <c r="AE646" i="1"/>
  <c r="AD647" i="1"/>
  <c r="AE647" i="1"/>
  <c r="AD648" i="1"/>
  <c r="AE648" i="1"/>
  <c r="AD649" i="1"/>
  <c r="AE649" i="1"/>
  <c r="AD650" i="1"/>
  <c r="AE650" i="1"/>
  <c r="AD651" i="1"/>
  <c r="AE651" i="1"/>
  <c r="AD652" i="1"/>
  <c r="AE652" i="1"/>
  <c r="AD653" i="1"/>
  <c r="AE653" i="1"/>
  <c r="AD654" i="1"/>
  <c r="AE654" i="1"/>
  <c r="AD655" i="1"/>
  <c r="AE655" i="1"/>
  <c r="AD656" i="1"/>
  <c r="AE656" i="1"/>
  <c r="AD657" i="1"/>
  <c r="AE657" i="1"/>
  <c r="AD658" i="1"/>
  <c r="AE658" i="1"/>
  <c r="AD659" i="1"/>
  <c r="AE659" i="1"/>
  <c r="AD660" i="1"/>
  <c r="AE660" i="1"/>
  <c r="AD661" i="1"/>
  <c r="AE661" i="1"/>
  <c r="AD662" i="1"/>
  <c r="AE662" i="1"/>
  <c r="AD663" i="1"/>
  <c r="AE663" i="1"/>
  <c r="AD664" i="1"/>
  <c r="AE664" i="1"/>
  <c r="AD665" i="1"/>
  <c r="AE665" i="1"/>
  <c r="AD666" i="1"/>
  <c r="AE666" i="1"/>
  <c r="AD667" i="1"/>
  <c r="AE667" i="1"/>
  <c r="AD668" i="1"/>
  <c r="AE668" i="1"/>
  <c r="AD669" i="1"/>
  <c r="AE669" i="1"/>
  <c r="AD670" i="1"/>
  <c r="AE670" i="1"/>
  <c r="AD671" i="1"/>
  <c r="AE671" i="1"/>
  <c r="AD672" i="1"/>
  <c r="AE672" i="1"/>
  <c r="AD673" i="1"/>
  <c r="AE673" i="1"/>
  <c r="AD674" i="1"/>
  <c r="AE674" i="1"/>
  <c r="AD675" i="1"/>
  <c r="AE675" i="1"/>
  <c r="AD676" i="1"/>
  <c r="AE676" i="1"/>
  <c r="AD677" i="1"/>
  <c r="AE677" i="1"/>
  <c r="AD678" i="1"/>
  <c r="AE678" i="1"/>
  <c r="AD679" i="1"/>
  <c r="AE679" i="1"/>
  <c r="AD680" i="1"/>
  <c r="AE680" i="1"/>
  <c r="AD681" i="1"/>
  <c r="AE681" i="1"/>
  <c r="AD682" i="1"/>
  <c r="AE682" i="1"/>
  <c r="AD683" i="1"/>
  <c r="AE683" i="1"/>
  <c r="AD684" i="1"/>
  <c r="AE684" i="1"/>
  <c r="AD685" i="1"/>
  <c r="AE685" i="1"/>
  <c r="AD686" i="1"/>
  <c r="AE686" i="1"/>
  <c r="AD687" i="1"/>
  <c r="AE687" i="1"/>
  <c r="AD688" i="1"/>
  <c r="AE688" i="1"/>
  <c r="AD689" i="1"/>
  <c r="AE689" i="1"/>
  <c r="AD690" i="1"/>
  <c r="AE690" i="1"/>
  <c r="AD691" i="1"/>
  <c r="AE691" i="1"/>
  <c r="AD692" i="1"/>
  <c r="AE692" i="1"/>
  <c r="AD693" i="1"/>
  <c r="AE693" i="1"/>
  <c r="AD694" i="1"/>
  <c r="AE694" i="1"/>
  <c r="AD695" i="1"/>
  <c r="AE695" i="1"/>
  <c r="AD696" i="1"/>
  <c r="AE696" i="1"/>
  <c r="AD697" i="1"/>
  <c r="AE697" i="1"/>
  <c r="AD698" i="1"/>
  <c r="AE698" i="1"/>
  <c r="AD699" i="1"/>
  <c r="AE699" i="1"/>
  <c r="AD700" i="1"/>
  <c r="AE700" i="1"/>
  <c r="AD701" i="1"/>
  <c r="AE701" i="1"/>
  <c r="AD702" i="1"/>
  <c r="AE702" i="1"/>
  <c r="AD703" i="1"/>
  <c r="AE703" i="1"/>
  <c r="AD704" i="1"/>
  <c r="AE704" i="1"/>
  <c r="AD705" i="1"/>
  <c r="AE705" i="1"/>
  <c r="AD706" i="1"/>
  <c r="AE706" i="1"/>
  <c r="AD707" i="1"/>
  <c r="AE707" i="1"/>
  <c r="AD708" i="1"/>
  <c r="AE708" i="1"/>
  <c r="AD709" i="1"/>
  <c r="AE709" i="1"/>
  <c r="AD710" i="1"/>
  <c r="AE710" i="1"/>
  <c r="AD711" i="1"/>
  <c r="AE711" i="1"/>
  <c r="AD712" i="1"/>
  <c r="AE712" i="1"/>
  <c r="AD713" i="1"/>
  <c r="AE713" i="1"/>
  <c r="AD714" i="1"/>
  <c r="AE714" i="1"/>
  <c r="AD715" i="1"/>
  <c r="AE715" i="1"/>
  <c r="AD716" i="1"/>
  <c r="AE716" i="1"/>
  <c r="AD717" i="1"/>
  <c r="AE717" i="1"/>
  <c r="AD718" i="1"/>
  <c r="AE718" i="1"/>
  <c r="AD719" i="1"/>
  <c r="AE719" i="1"/>
  <c r="AD720" i="1"/>
  <c r="AE720" i="1"/>
  <c r="AD721" i="1"/>
  <c r="AE721" i="1"/>
  <c r="AD722" i="1"/>
  <c r="AE722" i="1"/>
  <c r="AD723" i="1"/>
  <c r="AE723" i="1"/>
  <c r="AD724" i="1"/>
  <c r="AE724" i="1"/>
  <c r="AD725" i="1"/>
  <c r="AE725" i="1"/>
  <c r="AD726" i="1"/>
  <c r="AE726" i="1"/>
  <c r="AD727" i="1"/>
  <c r="AE727" i="1"/>
  <c r="AD728" i="1"/>
  <c r="AE728" i="1"/>
  <c r="AD729" i="1"/>
  <c r="AE729" i="1"/>
  <c r="AD730" i="1"/>
  <c r="AE730" i="1"/>
  <c r="AD731" i="1"/>
  <c r="AE731" i="1"/>
  <c r="AD732" i="1"/>
  <c r="AE732" i="1"/>
  <c r="AD733" i="1"/>
  <c r="AE733" i="1"/>
  <c r="AD734" i="1"/>
  <c r="AE734" i="1"/>
  <c r="AD735" i="1"/>
  <c r="AE735" i="1"/>
  <c r="AD736" i="1"/>
  <c r="AE736" i="1"/>
  <c r="AD737" i="1"/>
  <c r="AE737" i="1"/>
  <c r="AD738" i="1"/>
  <c r="AE738" i="1"/>
  <c r="AD739" i="1"/>
  <c r="AE739" i="1"/>
  <c r="AD740" i="1"/>
  <c r="AE740" i="1"/>
  <c r="AD741" i="1"/>
  <c r="AE741" i="1"/>
  <c r="AD742" i="1"/>
  <c r="AE742" i="1"/>
  <c r="AD743" i="1"/>
  <c r="AE743" i="1"/>
  <c r="AD744" i="1"/>
  <c r="AE744" i="1"/>
  <c r="AD745" i="1"/>
  <c r="AE745" i="1"/>
  <c r="AD746" i="1"/>
  <c r="AE746" i="1"/>
  <c r="AD747" i="1"/>
  <c r="AE747" i="1"/>
  <c r="AD748" i="1"/>
  <c r="AE748" i="1"/>
  <c r="AD749" i="1"/>
  <c r="AE749" i="1"/>
  <c r="AD750" i="1"/>
  <c r="AE750" i="1"/>
  <c r="AD751" i="1"/>
  <c r="AE751" i="1"/>
  <c r="AD752" i="1"/>
  <c r="AE752" i="1"/>
  <c r="AD753" i="1"/>
  <c r="AE753" i="1"/>
  <c r="AD754" i="1"/>
  <c r="AE754" i="1"/>
  <c r="AD755" i="1"/>
  <c r="AE755" i="1"/>
  <c r="AD756" i="1"/>
  <c r="AE756" i="1"/>
  <c r="AD757" i="1"/>
  <c r="AE757" i="1"/>
  <c r="AD758" i="1"/>
  <c r="AE758" i="1"/>
  <c r="AD759" i="1"/>
  <c r="AE759" i="1"/>
  <c r="AD760" i="1"/>
  <c r="AE760" i="1"/>
  <c r="AD761" i="1"/>
  <c r="AE761" i="1"/>
  <c r="AD762" i="1"/>
  <c r="AE762" i="1"/>
  <c r="AD763" i="1"/>
  <c r="AE763" i="1"/>
  <c r="AD764" i="1"/>
  <c r="AE764" i="1"/>
  <c r="AD765" i="1"/>
  <c r="AE765" i="1"/>
  <c r="AD766" i="1"/>
  <c r="AE766" i="1"/>
  <c r="AD767" i="1"/>
  <c r="AE767" i="1"/>
  <c r="AD768" i="1"/>
  <c r="AE768" i="1"/>
  <c r="AD769" i="1"/>
  <c r="AE769" i="1"/>
  <c r="AD770" i="1"/>
  <c r="AE770" i="1"/>
  <c r="AD771" i="1"/>
  <c r="AE771" i="1"/>
  <c r="AD772" i="1"/>
  <c r="AE772" i="1"/>
  <c r="AD773" i="1"/>
  <c r="AE773" i="1"/>
  <c r="AD774" i="1"/>
  <c r="AE774" i="1"/>
  <c r="AD775" i="1"/>
  <c r="AE775" i="1"/>
  <c r="AD776" i="1"/>
  <c r="AE776" i="1"/>
  <c r="AD777" i="1"/>
  <c r="AE777" i="1"/>
  <c r="AD778" i="1"/>
  <c r="AE778" i="1"/>
  <c r="AD779" i="1"/>
  <c r="AE779" i="1"/>
  <c r="AD780" i="1"/>
  <c r="AE780" i="1"/>
  <c r="AD781" i="1"/>
  <c r="AE781" i="1"/>
  <c r="AD782" i="1"/>
  <c r="AE782" i="1"/>
  <c r="AD783" i="1"/>
  <c r="AE783" i="1"/>
  <c r="AD784" i="1"/>
  <c r="AE784" i="1"/>
  <c r="AD785" i="1"/>
  <c r="AE785" i="1"/>
  <c r="AD786" i="1"/>
  <c r="AE786" i="1"/>
  <c r="AD787" i="1"/>
  <c r="AE787" i="1"/>
  <c r="AD788" i="1"/>
  <c r="AE788" i="1"/>
  <c r="AD789" i="1"/>
  <c r="AE789" i="1"/>
  <c r="AD790" i="1"/>
  <c r="AE790" i="1"/>
  <c r="AD791" i="1"/>
  <c r="AE791" i="1"/>
  <c r="AD792" i="1"/>
  <c r="AE792" i="1"/>
  <c r="AD793" i="1"/>
  <c r="AE793" i="1"/>
  <c r="AD794" i="1"/>
  <c r="AE794" i="1"/>
  <c r="AD795" i="1"/>
  <c r="AE795" i="1"/>
  <c r="AD796" i="1"/>
  <c r="AE796" i="1"/>
  <c r="AD797" i="1"/>
  <c r="AE797" i="1"/>
  <c r="AD798" i="1"/>
  <c r="AE798" i="1"/>
  <c r="AD799" i="1"/>
  <c r="AE799" i="1"/>
  <c r="AD800" i="1"/>
  <c r="AE800" i="1"/>
  <c r="AD801" i="1"/>
  <c r="AE801" i="1"/>
  <c r="AD802" i="1"/>
  <c r="AE802" i="1"/>
  <c r="AD803" i="1"/>
  <c r="AE803" i="1"/>
  <c r="AD804" i="1"/>
  <c r="AE804" i="1"/>
  <c r="AD805" i="1"/>
  <c r="AE805" i="1"/>
  <c r="AD806" i="1"/>
  <c r="AE806" i="1"/>
  <c r="AD807" i="1"/>
  <c r="AE807" i="1"/>
  <c r="AD808" i="1"/>
  <c r="AE808" i="1"/>
  <c r="AD809" i="1"/>
  <c r="AE809" i="1"/>
  <c r="AD810" i="1"/>
  <c r="AE810" i="1"/>
  <c r="AD811" i="1"/>
  <c r="AE811" i="1"/>
  <c r="AD812" i="1"/>
  <c r="AE812" i="1"/>
  <c r="AD813" i="1"/>
  <c r="AE813" i="1"/>
  <c r="AD814" i="1"/>
  <c r="AE814" i="1"/>
  <c r="AD815" i="1"/>
  <c r="AE815" i="1"/>
  <c r="AD816" i="1"/>
  <c r="AE816" i="1"/>
  <c r="AD817" i="1"/>
  <c r="AE817" i="1"/>
  <c r="AD818" i="1"/>
  <c r="AE818" i="1"/>
  <c r="AD819" i="1"/>
  <c r="AE819" i="1"/>
  <c r="AD820" i="1"/>
  <c r="AE820" i="1"/>
  <c r="AD821" i="1"/>
  <c r="AE821" i="1"/>
  <c r="AD822" i="1"/>
  <c r="AE822" i="1"/>
  <c r="AD823" i="1"/>
  <c r="AE823" i="1"/>
  <c r="AD824" i="1"/>
  <c r="AE824" i="1"/>
  <c r="AD825" i="1"/>
  <c r="AE825" i="1"/>
  <c r="AD826" i="1"/>
  <c r="AE826" i="1"/>
  <c r="AD827" i="1"/>
  <c r="AE827" i="1"/>
  <c r="AD828" i="1"/>
  <c r="AE828" i="1"/>
  <c r="AD829" i="1"/>
  <c r="AE829" i="1"/>
  <c r="AD830" i="1"/>
  <c r="AE830" i="1"/>
  <c r="AD831" i="1"/>
  <c r="AE831" i="1"/>
  <c r="AD832" i="1"/>
  <c r="AE832" i="1"/>
  <c r="AD833" i="1"/>
  <c r="AE833" i="1"/>
  <c r="AD834" i="1"/>
  <c r="AE834" i="1"/>
  <c r="AD835" i="1"/>
  <c r="AE835" i="1"/>
  <c r="AD836" i="1"/>
  <c r="AE836" i="1"/>
  <c r="AD837" i="1"/>
  <c r="AE837" i="1"/>
  <c r="AD838" i="1"/>
  <c r="AE838" i="1"/>
  <c r="AD839" i="1"/>
  <c r="AE839" i="1"/>
  <c r="AD840" i="1"/>
  <c r="AE840" i="1"/>
  <c r="AD841" i="1"/>
  <c r="AE841" i="1"/>
  <c r="AD842" i="1"/>
  <c r="AE842" i="1"/>
  <c r="AD843" i="1"/>
  <c r="AE843" i="1"/>
  <c r="AD844" i="1"/>
  <c r="AE844" i="1"/>
  <c r="AD845" i="1"/>
  <c r="AE845" i="1"/>
  <c r="AD846" i="1"/>
  <c r="AE846" i="1"/>
  <c r="AD847" i="1"/>
  <c r="AE847" i="1"/>
  <c r="AD848" i="1"/>
  <c r="AE848" i="1"/>
  <c r="AD849" i="1"/>
  <c r="AE849" i="1"/>
  <c r="AD850" i="1"/>
  <c r="AE850" i="1"/>
  <c r="AD851" i="1"/>
  <c r="AE851" i="1"/>
  <c r="AD852" i="1"/>
  <c r="AE852" i="1"/>
  <c r="AD853" i="1"/>
  <c r="AE853" i="1"/>
  <c r="AD854" i="1"/>
  <c r="AE854" i="1"/>
  <c r="AD855" i="1"/>
  <c r="AE855" i="1"/>
  <c r="AD856" i="1"/>
  <c r="AE856" i="1"/>
  <c r="AD857" i="1"/>
  <c r="AE857" i="1"/>
  <c r="AD858" i="1"/>
  <c r="AE858" i="1"/>
  <c r="AD859" i="1"/>
  <c r="AE859" i="1"/>
  <c r="AD860" i="1"/>
  <c r="AE860" i="1"/>
  <c r="AD861" i="1"/>
  <c r="AE861" i="1"/>
  <c r="AD862" i="1"/>
  <c r="AE862" i="1"/>
  <c r="AD863" i="1"/>
  <c r="AE863" i="1"/>
  <c r="AD864" i="1"/>
  <c r="AE864" i="1"/>
  <c r="AD865" i="1"/>
  <c r="AE865" i="1"/>
  <c r="AD866" i="1"/>
  <c r="AE866" i="1"/>
  <c r="AD867" i="1"/>
  <c r="AE867" i="1"/>
  <c r="AD868" i="1"/>
  <c r="AE868" i="1"/>
  <c r="AD869" i="1"/>
  <c r="AE869" i="1"/>
  <c r="AD870" i="1"/>
  <c r="AE870" i="1"/>
  <c r="AD871" i="1"/>
  <c r="AE871" i="1"/>
  <c r="AD872" i="1"/>
  <c r="AE872" i="1"/>
  <c r="AD873" i="1"/>
  <c r="AE873" i="1"/>
  <c r="AD874" i="1"/>
  <c r="AE874" i="1"/>
  <c r="AD875" i="1"/>
  <c r="AE875" i="1"/>
  <c r="AD876" i="1"/>
  <c r="AE876" i="1"/>
  <c r="AD877" i="1"/>
  <c r="AE877" i="1"/>
  <c r="AD878" i="1"/>
  <c r="AE878" i="1"/>
  <c r="AD879" i="1"/>
  <c r="AE879" i="1"/>
  <c r="AD880" i="1"/>
  <c r="AE880" i="1"/>
  <c r="AD881" i="1"/>
  <c r="AE881" i="1"/>
  <c r="AD882" i="1"/>
  <c r="AE882" i="1"/>
  <c r="AD883" i="1"/>
  <c r="AE883" i="1"/>
  <c r="AD884" i="1"/>
  <c r="AE884" i="1"/>
  <c r="AD885" i="1"/>
  <c r="AE885" i="1"/>
  <c r="AD886" i="1"/>
  <c r="AE886" i="1"/>
  <c r="AD887" i="1"/>
  <c r="AE887" i="1"/>
  <c r="AD888" i="1"/>
  <c r="AE888" i="1"/>
  <c r="AD889" i="1"/>
  <c r="AE889" i="1"/>
  <c r="AD890" i="1"/>
  <c r="AE890" i="1"/>
  <c r="AD891" i="1"/>
  <c r="AE891" i="1"/>
  <c r="AD892" i="1"/>
  <c r="AE892" i="1"/>
  <c r="AD893" i="1"/>
  <c r="AE893" i="1"/>
  <c r="AD894" i="1"/>
  <c r="AE894" i="1"/>
  <c r="AD895" i="1"/>
  <c r="AE895" i="1"/>
  <c r="AD896" i="1"/>
  <c r="AE896" i="1"/>
  <c r="AD897" i="1"/>
  <c r="AE897" i="1"/>
  <c r="AD898" i="1"/>
  <c r="AE898" i="1"/>
  <c r="AD899" i="1"/>
  <c r="AE899" i="1"/>
  <c r="AD900" i="1"/>
  <c r="AE900" i="1"/>
  <c r="AD901" i="1"/>
  <c r="AE901" i="1"/>
  <c r="AD902" i="1"/>
  <c r="AE902" i="1"/>
  <c r="AD903" i="1"/>
  <c r="AE903" i="1"/>
  <c r="AD904" i="1"/>
  <c r="AE904" i="1"/>
  <c r="AD905" i="1"/>
  <c r="AE905" i="1"/>
  <c r="AD906" i="1"/>
  <c r="AE906" i="1"/>
  <c r="AD907" i="1"/>
  <c r="AE907" i="1"/>
  <c r="AD908" i="1"/>
  <c r="AE908" i="1"/>
  <c r="AD909" i="1"/>
  <c r="AE909" i="1"/>
  <c r="AD910" i="1"/>
  <c r="AE910" i="1"/>
  <c r="AD911" i="1"/>
  <c r="AE911" i="1"/>
  <c r="AD912" i="1"/>
  <c r="AE912" i="1"/>
  <c r="AD913" i="1"/>
  <c r="AE913" i="1"/>
  <c r="AD914" i="1"/>
  <c r="AE914" i="1"/>
  <c r="AD915" i="1"/>
  <c r="AE915" i="1"/>
  <c r="AD916" i="1"/>
  <c r="AE916" i="1"/>
  <c r="AD917" i="1"/>
  <c r="AE917" i="1"/>
  <c r="AD918" i="1"/>
  <c r="AE918" i="1"/>
  <c r="AD919" i="1"/>
  <c r="AE919" i="1"/>
  <c r="AD920" i="1"/>
  <c r="AE920" i="1"/>
  <c r="AD921" i="1"/>
  <c r="AE921" i="1"/>
  <c r="AD922" i="1"/>
  <c r="AE922" i="1"/>
  <c r="AD923" i="1"/>
  <c r="AE923" i="1"/>
  <c r="AD924" i="1"/>
  <c r="AE924" i="1"/>
  <c r="AD925" i="1"/>
  <c r="AE925" i="1"/>
  <c r="AD926" i="1"/>
  <c r="AE926" i="1"/>
  <c r="AD927" i="1"/>
  <c r="AE927" i="1"/>
  <c r="AD928" i="1"/>
  <c r="AE928" i="1"/>
  <c r="AD929" i="1"/>
  <c r="AE929" i="1"/>
  <c r="AD930" i="1"/>
  <c r="AE930" i="1"/>
  <c r="AD931" i="1"/>
  <c r="AE931" i="1"/>
  <c r="AD932" i="1"/>
  <c r="AE932" i="1"/>
  <c r="AD933" i="1"/>
  <c r="AE933" i="1"/>
  <c r="AD934" i="1"/>
  <c r="AE934" i="1"/>
  <c r="AD935" i="1"/>
  <c r="AE935" i="1"/>
  <c r="AD936" i="1"/>
  <c r="AE936" i="1"/>
  <c r="AD937" i="1"/>
  <c r="AE937" i="1"/>
  <c r="AD938" i="1"/>
  <c r="AE938" i="1"/>
  <c r="AD939" i="1"/>
  <c r="AE939" i="1"/>
  <c r="AD940" i="1"/>
  <c r="AE940" i="1"/>
  <c r="AD941" i="1"/>
  <c r="AE941" i="1"/>
  <c r="AD942" i="1"/>
  <c r="AE942" i="1"/>
  <c r="AD943" i="1"/>
  <c r="AE943" i="1"/>
  <c r="AD944" i="1"/>
  <c r="AE944" i="1"/>
  <c r="AD945" i="1"/>
  <c r="AE945" i="1"/>
  <c r="AD946" i="1"/>
  <c r="AE946" i="1"/>
  <c r="AD947" i="1"/>
  <c r="AE947" i="1"/>
  <c r="AD948" i="1"/>
  <c r="AE948" i="1"/>
  <c r="AD949" i="1"/>
  <c r="AE949" i="1"/>
  <c r="AD950" i="1"/>
  <c r="AE950" i="1"/>
  <c r="AD951" i="1"/>
  <c r="AE951" i="1"/>
  <c r="AD952" i="1"/>
  <c r="AE952" i="1"/>
  <c r="AD953" i="1"/>
  <c r="AE953" i="1"/>
  <c r="AD954" i="1"/>
  <c r="AE954" i="1"/>
  <c r="AD955" i="1"/>
  <c r="AE955" i="1"/>
  <c r="AD956" i="1"/>
  <c r="AE956" i="1"/>
  <c r="AD957" i="1"/>
  <c r="AE957" i="1"/>
  <c r="AD958" i="1"/>
  <c r="AE958" i="1"/>
  <c r="AD959" i="1"/>
  <c r="AE959" i="1"/>
  <c r="AD960" i="1"/>
  <c r="AE960" i="1"/>
  <c r="AD961" i="1"/>
  <c r="AE961" i="1"/>
  <c r="AD962" i="1"/>
  <c r="AE962" i="1"/>
  <c r="AD963" i="1"/>
  <c r="AE963" i="1"/>
  <c r="AD964" i="1"/>
  <c r="AE964" i="1"/>
  <c r="AD965" i="1"/>
  <c r="AE965" i="1"/>
  <c r="AD966" i="1"/>
  <c r="AE966" i="1"/>
  <c r="AD967" i="1"/>
  <c r="AE967" i="1"/>
  <c r="AD968" i="1"/>
  <c r="AE968" i="1"/>
  <c r="AD969" i="1"/>
  <c r="AE969" i="1"/>
  <c r="AD970" i="1"/>
  <c r="AE970" i="1"/>
  <c r="AD971" i="1"/>
  <c r="AE971" i="1"/>
  <c r="AD972" i="1"/>
  <c r="AE972" i="1"/>
  <c r="AD973" i="1"/>
  <c r="AE973" i="1"/>
  <c r="AD974" i="1"/>
  <c r="AE974" i="1"/>
  <c r="AD975" i="1"/>
  <c r="AE975" i="1"/>
  <c r="AD976" i="1"/>
  <c r="AE976" i="1"/>
  <c r="AD977" i="1"/>
  <c r="AE977" i="1"/>
  <c r="AD978" i="1"/>
  <c r="AE978" i="1"/>
  <c r="AD979" i="1"/>
  <c r="AE979" i="1"/>
  <c r="AD980" i="1"/>
  <c r="AE980" i="1"/>
  <c r="AD981" i="1"/>
  <c r="AE981" i="1"/>
  <c r="AD982" i="1"/>
  <c r="AE982" i="1"/>
  <c r="AD983" i="1"/>
  <c r="AE983" i="1"/>
  <c r="AD984" i="1"/>
  <c r="AE984" i="1"/>
  <c r="AD985" i="1"/>
  <c r="AE985" i="1"/>
  <c r="AD986" i="1"/>
  <c r="AE986" i="1"/>
  <c r="AD987" i="1"/>
  <c r="AE987" i="1"/>
  <c r="AD988" i="1"/>
  <c r="AE988" i="1"/>
  <c r="AD989" i="1"/>
  <c r="AE989" i="1"/>
  <c r="AD990" i="1"/>
  <c r="AE990" i="1"/>
  <c r="AD991" i="1"/>
  <c r="AE991" i="1"/>
  <c r="AD992" i="1"/>
  <c r="AE992" i="1"/>
  <c r="AD993" i="1"/>
  <c r="AE993" i="1"/>
  <c r="AD994" i="1"/>
  <c r="AE994" i="1"/>
  <c r="AD995" i="1"/>
  <c r="AE995" i="1"/>
  <c r="AD996" i="1"/>
  <c r="AE996" i="1"/>
  <c r="AD997" i="1"/>
  <c r="AE997" i="1"/>
  <c r="AD998" i="1"/>
  <c r="AE998" i="1"/>
  <c r="AD999" i="1"/>
  <c r="AE999" i="1"/>
  <c r="AD1000" i="1"/>
  <c r="AE1000" i="1"/>
  <c r="AD1001" i="1"/>
  <c r="AE1001" i="1"/>
  <c r="AD1002" i="1"/>
  <c r="AE1002" i="1"/>
  <c r="AD1003" i="1"/>
  <c r="AE1003" i="1"/>
  <c r="AD1004" i="1"/>
  <c r="AE1004" i="1"/>
  <c r="AD1005" i="1"/>
  <c r="AE1005" i="1"/>
  <c r="AD1006" i="1"/>
  <c r="AE1006" i="1"/>
  <c r="AD1007" i="1"/>
  <c r="AE1007" i="1"/>
  <c r="AD1008" i="1"/>
  <c r="AE1008" i="1"/>
  <c r="AD1009" i="1"/>
  <c r="AE1009" i="1"/>
  <c r="AD1010" i="1"/>
  <c r="AE1010" i="1"/>
  <c r="AD1011" i="1"/>
  <c r="AE1011" i="1"/>
  <c r="AD1012" i="1"/>
  <c r="AE1012" i="1"/>
  <c r="AD1013" i="1"/>
  <c r="AE1013" i="1"/>
  <c r="AD1014" i="1"/>
  <c r="AE1014" i="1"/>
  <c r="AD1015" i="1"/>
  <c r="AE1015" i="1"/>
  <c r="AD1016" i="1"/>
  <c r="AE1016" i="1"/>
  <c r="AD1017" i="1"/>
  <c r="AE1017" i="1"/>
  <c r="AD1018" i="1"/>
  <c r="AE1018" i="1"/>
  <c r="AD1019" i="1"/>
  <c r="AE1019" i="1"/>
  <c r="AD1020" i="1"/>
  <c r="AE1020" i="1"/>
  <c r="AD1021" i="1"/>
  <c r="AE1021" i="1"/>
  <c r="AD1022" i="1"/>
  <c r="AE1022" i="1"/>
  <c r="AD1023" i="1"/>
  <c r="AE1023" i="1"/>
  <c r="AD1024" i="1"/>
  <c r="AE1024" i="1"/>
  <c r="AD1025" i="1"/>
  <c r="AE1025" i="1"/>
  <c r="AD1026" i="1"/>
  <c r="AE1026" i="1"/>
  <c r="AD1027" i="1"/>
  <c r="AE1027" i="1"/>
  <c r="AD1028" i="1"/>
  <c r="AE1028" i="1"/>
  <c r="AD1029" i="1"/>
  <c r="AE1029" i="1"/>
  <c r="AD1030" i="1"/>
  <c r="AE1030" i="1"/>
  <c r="AD1031" i="1"/>
  <c r="AE1031" i="1"/>
  <c r="AD1032" i="1"/>
  <c r="AE1032" i="1"/>
  <c r="AD1033" i="1"/>
  <c r="AE1033" i="1"/>
  <c r="AD1034" i="1"/>
  <c r="AE1034" i="1"/>
  <c r="AD1035" i="1"/>
  <c r="AE1035" i="1"/>
  <c r="AD1036" i="1"/>
  <c r="AE1036" i="1"/>
  <c r="AD1037" i="1"/>
  <c r="AE1037" i="1"/>
  <c r="AD1038" i="1"/>
  <c r="AE1038" i="1"/>
  <c r="AD1039" i="1"/>
  <c r="AE1039" i="1"/>
  <c r="AD1040" i="1"/>
  <c r="AE1040" i="1"/>
  <c r="AD1041" i="1"/>
  <c r="AE1041" i="1"/>
  <c r="AD1042" i="1"/>
  <c r="AE1042" i="1"/>
  <c r="AD1043" i="1"/>
  <c r="AE1043" i="1"/>
  <c r="AD1044" i="1"/>
  <c r="AE1044" i="1"/>
  <c r="AD1045" i="1"/>
  <c r="AE1045" i="1"/>
  <c r="AD1046" i="1"/>
  <c r="AE1046" i="1"/>
  <c r="AD1047" i="1"/>
  <c r="AE1047" i="1"/>
  <c r="AD1048" i="1"/>
  <c r="AE1048" i="1"/>
  <c r="AD1049" i="1"/>
  <c r="AE1049" i="1"/>
  <c r="AD1050" i="1"/>
  <c r="AE1050" i="1"/>
  <c r="AD1051" i="1"/>
  <c r="AE1051" i="1"/>
  <c r="AD1052" i="1"/>
  <c r="AE1052" i="1"/>
  <c r="AD1053" i="1"/>
  <c r="AE1053" i="1"/>
  <c r="AD1054" i="1"/>
  <c r="AE1054" i="1"/>
  <c r="AD1055" i="1"/>
  <c r="AE1055" i="1"/>
  <c r="AD1056" i="1"/>
  <c r="AE1056" i="1"/>
  <c r="AD1057" i="1"/>
  <c r="AE1057" i="1"/>
  <c r="AD1058" i="1"/>
  <c r="AE1058" i="1"/>
  <c r="AD1059" i="1"/>
  <c r="AE1059" i="1"/>
  <c r="AD1060" i="1"/>
  <c r="AE1060" i="1"/>
  <c r="AD1061" i="1"/>
  <c r="AE1061" i="1"/>
  <c r="AD1062" i="1"/>
  <c r="AE1062" i="1"/>
  <c r="AD1063" i="1"/>
  <c r="AE1063" i="1"/>
  <c r="AD1064" i="1"/>
  <c r="AE1064" i="1"/>
  <c r="AD1065" i="1"/>
  <c r="AE1065" i="1"/>
  <c r="AD1066" i="1"/>
  <c r="AE1066" i="1"/>
  <c r="AD1067" i="1"/>
  <c r="AE1067" i="1"/>
  <c r="AD1068" i="1"/>
  <c r="AE1068" i="1"/>
  <c r="AD1069" i="1"/>
  <c r="AE1069" i="1"/>
  <c r="AD1070" i="1"/>
  <c r="AE1070" i="1"/>
  <c r="AD1071" i="1"/>
  <c r="AE1071" i="1"/>
  <c r="AD1072" i="1"/>
  <c r="AE1072" i="1"/>
  <c r="AD1073" i="1"/>
  <c r="AE1073" i="1"/>
  <c r="AD1074" i="1"/>
  <c r="AE1074" i="1"/>
  <c r="AD1075" i="1"/>
  <c r="AE1075" i="1"/>
  <c r="AD1076" i="1"/>
  <c r="AE1076" i="1"/>
  <c r="AD1077" i="1"/>
  <c r="AE1077" i="1"/>
  <c r="AD1078" i="1"/>
  <c r="AE1078" i="1"/>
  <c r="AD1079" i="1"/>
  <c r="AE1079" i="1"/>
  <c r="AD1080" i="1"/>
  <c r="AE1080" i="1"/>
  <c r="AD1081" i="1"/>
  <c r="AE1081" i="1"/>
  <c r="AD1082" i="1"/>
  <c r="AE1082" i="1"/>
  <c r="AD1083" i="1"/>
  <c r="AE1083" i="1"/>
  <c r="AD1084" i="1"/>
  <c r="AE1084" i="1"/>
  <c r="AD1085" i="1"/>
  <c r="AE1085" i="1"/>
  <c r="AD1086" i="1"/>
  <c r="AE1086" i="1"/>
  <c r="AD1087" i="1"/>
  <c r="AE1087" i="1"/>
  <c r="AD1088" i="1"/>
  <c r="AE1088" i="1"/>
  <c r="AD1089" i="1"/>
  <c r="AE1089" i="1"/>
  <c r="AD1090" i="1"/>
  <c r="AE1090" i="1"/>
  <c r="AD1091" i="1"/>
  <c r="AE1091" i="1"/>
  <c r="AD1092" i="1"/>
  <c r="AE1092" i="1"/>
  <c r="AD1093" i="1"/>
  <c r="AE1093" i="1"/>
  <c r="AD1094" i="1"/>
  <c r="AE1094" i="1"/>
  <c r="AD1095" i="1"/>
  <c r="AE1095" i="1"/>
  <c r="AD1096" i="1"/>
  <c r="AE1096" i="1"/>
  <c r="AD1097" i="1"/>
  <c r="AE1097" i="1"/>
  <c r="AD1098" i="1"/>
  <c r="AE1098" i="1"/>
  <c r="AD1099" i="1"/>
  <c r="AE1099" i="1"/>
  <c r="AD1100" i="1"/>
  <c r="AE1100" i="1"/>
  <c r="AD1101" i="1"/>
  <c r="AE1101" i="1"/>
  <c r="AD1102" i="1"/>
  <c r="AE1102" i="1"/>
  <c r="AD1103" i="1"/>
  <c r="AE1103" i="1"/>
  <c r="AD1104" i="1"/>
  <c r="AE1104" i="1"/>
  <c r="AD1105" i="1"/>
  <c r="AE1105" i="1"/>
  <c r="AD1106" i="1"/>
  <c r="AE1106" i="1"/>
  <c r="AD1107" i="1"/>
  <c r="AE1107" i="1"/>
  <c r="AD1108" i="1"/>
  <c r="AE1108" i="1"/>
  <c r="AD1109" i="1"/>
  <c r="AE1109" i="1"/>
  <c r="AD1110" i="1"/>
  <c r="AE1110" i="1"/>
  <c r="AD1111" i="1"/>
  <c r="AE1111" i="1"/>
  <c r="AD1112" i="1"/>
  <c r="AE1112" i="1"/>
  <c r="AD1113" i="1"/>
  <c r="AE1113" i="1"/>
  <c r="AD1114" i="1"/>
  <c r="AE1114" i="1"/>
  <c r="AD1115" i="1"/>
  <c r="AE1115" i="1"/>
  <c r="AD1116" i="1"/>
  <c r="AE1116" i="1"/>
  <c r="AD1117" i="1"/>
  <c r="AE1117" i="1"/>
  <c r="AD1118" i="1"/>
  <c r="AE1118" i="1"/>
  <c r="AD1119" i="1"/>
  <c r="AE1119" i="1"/>
  <c r="AD1120" i="1"/>
  <c r="AE1120" i="1"/>
  <c r="AD1121" i="1"/>
  <c r="AE1121" i="1"/>
  <c r="AD1122" i="1"/>
  <c r="AE1122" i="1"/>
  <c r="AD1123" i="1"/>
  <c r="AE1123" i="1"/>
  <c r="AD1124" i="1"/>
  <c r="AE1124" i="1"/>
  <c r="AD1125" i="1"/>
  <c r="AE1125" i="1"/>
  <c r="AD1126" i="1"/>
  <c r="AE1126" i="1"/>
  <c r="AD1127" i="1"/>
  <c r="AE1127" i="1"/>
  <c r="AD1128" i="1"/>
  <c r="AE1128" i="1"/>
  <c r="AD1129" i="1"/>
  <c r="AE1129" i="1"/>
  <c r="AD1130" i="1"/>
  <c r="AE1130" i="1"/>
  <c r="AD1131" i="1"/>
  <c r="AE1131" i="1"/>
  <c r="AD1132" i="1"/>
  <c r="AE1132" i="1"/>
  <c r="AD1133" i="1"/>
  <c r="AE1133" i="1"/>
  <c r="AD1134" i="1"/>
  <c r="AE1134" i="1"/>
  <c r="AD1135" i="1"/>
  <c r="AE1135" i="1"/>
  <c r="AD1136" i="1"/>
  <c r="AE1136" i="1"/>
  <c r="AD1137" i="1"/>
  <c r="AE1137" i="1"/>
  <c r="AD1138" i="1"/>
  <c r="AE1138" i="1"/>
  <c r="AD1139" i="1"/>
  <c r="AE1139" i="1"/>
  <c r="AD1140" i="1"/>
  <c r="AE1140" i="1"/>
  <c r="AD1141" i="1"/>
  <c r="AE1141" i="1"/>
  <c r="AD1142" i="1"/>
  <c r="AE1142" i="1"/>
  <c r="AD1143" i="1"/>
  <c r="AE1143" i="1"/>
  <c r="AD1144" i="1"/>
  <c r="AE1144" i="1"/>
  <c r="AD1145" i="1"/>
  <c r="AE1145" i="1"/>
  <c r="AD1146" i="1"/>
  <c r="AE1146" i="1"/>
  <c r="AD1147" i="1"/>
  <c r="AE1147" i="1"/>
  <c r="AD1148" i="1"/>
  <c r="AE1148" i="1"/>
  <c r="AD1149" i="1"/>
  <c r="AE1149" i="1"/>
  <c r="AD1150" i="1"/>
  <c r="AE1150" i="1"/>
  <c r="AD1151" i="1"/>
  <c r="AE1151" i="1"/>
  <c r="AD1152" i="1"/>
  <c r="AE1152" i="1"/>
  <c r="AD1153" i="1"/>
  <c r="AE1153" i="1"/>
  <c r="AD1154" i="1"/>
  <c r="AE1154" i="1"/>
  <c r="AD1155" i="1"/>
  <c r="AE1155" i="1"/>
  <c r="AD1156" i="1"/>
  <c r="AE1156" i="1"/>
  <c r="AD1157" i="1"/>
  <c r="AE1157" i="1"/>
  <c r="AD1158" i="1"/>
  <c r="AE1158" i="1"/>
  <c r="AD1159" i="1"/>
  <c r="AE1159" i="1"/>
  <c r="AD1160" i="1"/>
  <c r="AE1160" i="1"/>
  <c r="AD1161" i="1"/>
  <c r="AE1161" i="1"/>
  <c r="AD1162" i="1"/>
  <c r="AE1162" i="1"/>
  <c r="AD1163" i="1"/>
  <c r="AE1163" i="1"/>
  <c r="AD1164" i="1"/>
  <c r="AE1164" i="1"/>
  <c r="AD1165" i="1"/>
  <c r="AE1165" i="1"/>
  <c r="AD1166" i="1"/>
  <c r="AE1166" i="1"/>
  <c r="AD1167" i="1"/>
  <c r="AE1167" i="1"/>
  <c r="AD1168" i="1"/>
  <c r="AE1168" i="1"/>
  <c r="AD1169" i="1"/>
  <c r="AE1169" i="1"/>
  <c r="AD1170" i="1"/>
  <c r="AE1170" i="1"/>
  <c r="AD1171" i="1"/>
  <c r="AE1171" i="1"/>
  <c r="AD1172" i="1"/>
  <c r="AE1172" i="1"/>
  <c r="AD1173" i="1"/>
  <c r="AE1173" i="1"/>
  <c r="AD1174" i="1"/>
  <c r="AE1174" i="1"/>
  <c r="AD1175" i="1"/>
  <c r="AE1175" i="1"/>
  <c r="AD1176" i="1"/>
  <c r="AE1176" i="1"/>
  <c r="AD1177" i="1"/>
  <c r="AE1177" i="1"/>
  <c r="AD1178" i="1"/>
  <c r="AE1178" i="1"/>
  <c r="AD1179" i="1"/>
  <c r="AE1179" i="1"/>
  <c r="AD1180" i="1"/>
  <c r="AE1180" i="1"/>
  <c r="AD1181" i="1"/>
  <c r="AE1181" i="1"/>
  <c r="AD1182" i="1"/>
  <c r="AE1182" i="1"/>
  <c r="AD1183" i="1"/>
  <c r="AE1183" i="1"/>
  <c r="AD1184" i="1"/>
  <c r="AE1184" i="1"/>
  <c r="AD1185" i="1"/>
  <c r="AE1185" i="1"/>
  <c r="AD1186" i="1"/>
  <c r="AE1186" i="1"/>
  <c r="AD1187" i="1"/>
  <c r="AE1187" i="1"/>
  <c r="AD1188" i="1"/>
  <c r="AE1188" i="1"/>
  <c r="AD1189" i="1"/>
  <c r="AE1189" i="1"/>
  <c r="AD1190" i="1"/>
  <c r="AE1190" i="1"/>
  <c r="AD1191" i="1"/>
  <c r="AE1191" i="1"/>
  <c r="AD1192" i="1"/>
  <c r="AE1192" i="1"/>
  <c r="AD1193" i="1"/>
  <c r="AE1193" i="1"/>
  <c r="AD1194" i="1"/>
  <c r="AE1194" i="1"/>
  <c r="AD1195" i="1"/>
  <c r="AE1195" i="1"/>
  <c r="AD1196" i="1"/>
  <c r="AE1196" i="1"/>
  <c r="AD1197" i="1"/>
  <c r="AE1197" i="1"/>
  <c r="AD1198" i="1"/>
  <c r="AE1198" i="1"/>
  <c r="AD1199" i="1"/>
  <c r="AE1199" i="1"/>
  <c r="AD1200" i="1"/>
  <c r="AE1200" i="1"/>
  <c r="AD1201" i="1"/>
  <c r="AE1201" i="1"/>
  <c r="AD1202" i="1"/>
  <c r="AE1202" i="1"/>
  <c r="AD1203" i="1"/>
  <c r="AE1203" i="1"/>
  <c r="AD1204" i="1"/>
  <c r="AE1204" i="1"/>
  <c r="AD1205" i="1"/>
  <c r="AE1205" i="1"/>
  <c r="AD1206" i="1"/>
  <c r="AE1206" i="1"/>
  <c r="AD1207" i="1"/>
  <c r="AE1207" i="1"/>
  <c r="AD1208" i="1"/>
  <c r="AE1208" i="1"/>
  <c r="AD1209" i="1"/>
  <c r="AE1209" i="1"/>
  <c r="AD1210" i="1"/>
  <c r="AE1210" i="1"/>
  <c r="AD1211" i="1"/>
  <c r="AE1211" i="1"/>
  <c r="AD1212" i="1"/>
  <c r="AE1212" i="1"/>
  <c r="AD1213" i="1"/>
  <c r="AE1213" i="1"/>
  <c r="AD1214" i="1"/>
  <c r="AE1214" i="1"/>
  <c r="AD1215" i="1"/>
  <c r="AE1215" i="1"/>
  <c r="AD1216" i="1"/>
  <c r="AE1216" i="1"/>
  <c r="AD1217" i="1"/>
  <c r="AE1217" i="1"/>
  <c r="AD1218" i="1"/>
  <c r="AE1218" i="1"/>
  <c r="AD1219" i="1"/>
  <c r="AE1219" i="1"/>
  <c r="AD1220" i="1"/>
  <c r="AE1220" i="1"/>
  <c r="AD1221" i="1"/>
  <c r="AE1221" i="1"/>
  <c r="AD1222" i="1"/>
  <c r="AE1222" i="1"/>
  <c r="AD1223" i="1"/>
  <c r="AE1223" i="1"/>
  <c r="AD1224" i="1"/>
  <c r="AE1224" i="1"/>
  <c r="AD1225" i="1"/>
  <c r="AE1225" i="1"/>
  <c r="AD1226" i="1"/>
  <c r="AE1226" i="1"/>
  <c r="AD1227" i="1"/>
  <c r="AE1227" i="1"/>
  <c r="AD1228" i="1"/>
  <c r="AE1228" i="1"/>
  <c r="AD1229" i="1"/>
  <c r="AE1229" i="1"/>
  <c r="AD1230" i="1"/>
  <c r="AE1230" i="1"/>
  <c r="AD1233" i="1"/>
  <c r="AE1233" i="1"/>
  <c r="AD1234" i="1"/>
  <c r="AE1234" i="1"/>
  <c r="AD1235" i="1"/>
  <c r="AE1235" i="1"/>
  <c r="AD1236" i="1"/>
  <c r="AE1236" i="1"/>
  <c r="AD1237" i="1"/>
  <c r="AE1237" i="1"/>
  <c r="AD1238" i="1"/>
  <c r="AE1238" i="1"/>
  <c r="AD1239" i="1"/>
  <c r="AE1239" i="1"/>
  <c r="AD1240" i="1"/>
  <c r="AE1240" i="1"/>
  <c r="AD1241" i="1"/>
  <c r="AE1241" i="1"/>
  <c r="AD1242" i="1"/>
  <c r="AE1242" i="1"/>
  <c r="AD1243" i="1"/>
  <c r="AE1243" i="1"/>
  <c r="AD1244" i="1"/>
  <c r="AE1244" i="1"/>
  <c r="AD1245" i="1"/>
  <c r="AE1245" i="1"/>
  <c r="AD1246" i="1"/>
  <c r="AE1246" i="1"/>
  <c r="AD1247" i="1"/>
  <c r="AE1247" i="1"/>
  <c r="AD1248" i="1"/>
  <c r="AE1248" i="1"/>
  <c r="AD1249" i="1"/>
  <c r="AE1249" i="1"/>
  <c r="AD1250" i="1"/>
  <c r="AE1250" i="1"/>
  <c r="AD1251" i="1"/>
  <c r="AE1251" i="1"/>
  <c r="AD1252" i="1"/>
  <c r="AE1252" i="1"/>
  <c r="AD1254" i="1"/>
  <c r="AE1254" i="1"/>
  <c r="AD1255" i="1"/>
  <c r="AE1255" i="1"/>
  <c r="AD1256" i="1"/>
  <c r="AE1256" i="1"/>
  <c r="AD1257" i="1"/>
  <c r="AE1257" i="1"/>
  <c r="AD1258" i="1"/>
  <c r="AE1258" i="1"/>
  <c r="AD1259" i="1"/>
  <c r="AE1259" i="1"/>
  <c r="AD1260" i="1"/>
  <c r="AE1260" i="1"/>
  <c r="AD1261" i="1"/>
  <c r="AE1261" i="1"/>
  <c r="AD1262" i="1"/>
  <c r="AE1262" i="1"/>
  <c r="AD1263" i="1"/>
  <c r="AE1263" i="1"/>
  <c r="AD1264" i="1"/>
  <c r="AE1264" i="1"/>
  <c r="AD1265" i="1"/>
  <c r="AE1265" i="1"/>
  <c r="AD1266" i="1"/>
  <c r="AE1266" i="1"/>
  <c r="AD1267" i="1"/>
  <c r="AE1267" i="1"/>
  <c r="AD1268" i="1"/>
  <c r="AE1268" i="1"/>
  <c r="AD1269" i="1"/>
  <c r="AE1269" i="1"/>
  <c r="AD1270" i="1"/>
  <c r="AE1270" i="1"/>
  <c r="AD1272" i="1"/>
  <c r="AE1272" i="1"/>
  <c r="AD1273" i="1"/>
  <c r="AE1273" i="1"/>
  <c r="AD1274" i="1"/>
  <c r="AE1274" i="1"/>
  <c r="AD1275" i="1"/>
  <c r="AE1275" i="1"/>
  <c r="AD1276" i="1"/>
  <c r="AE1276" i="1"/>
  <c r="AD1277" i="1"/>
  <c r="AE1277" i="1"/>
  <c r="AD1278" i="1"/>
  <c r="AE1278" i="1"/>
  <c r="AD1279" i="1"/>
  <c r="AE1279" i="1"/>
  <c r="AD1280" i="1"/>
  <c r="AE1280" i="1"/>
  <c r="AD1281" i="1"/>
  <c r="AE1281" i="1"/>
  <c r="AD1282" i="1"/>
  <c r="AE1282" i="1"/>
  <c r="AD1283" i="1"/>
  <c r="AE1283" i="1"/>
  <c r="AD1284" i="1"/>
  <c r="AE1284" i="1"/>
  <c r="AD1285" i="1"/>
  <c r="AE1285" i="1"/>
  <c r="AD1286" i="1"/>
  <c r="AE1286" i="1"/>
  <c r="AD1287" i="1"/>
  <c r="AE1287" i="1"/>
  <c r="AD1288" i="1"/>
  <c r="AE1288" i="1"/>
  <c r="AD1289" i="1"/>
  <c r="AE1289" i="1"/>
  <c r="AD1290" i="1"/>
  <c r="AE1290" i="1"/>
  <c r="AD1291" i="1"/>
  <c r="AE1291" i="1"/>
  <c r="AD1292" i="1"/>
  <c r="AE1292" i="1"/>
  <c r="AD1293" i="1"/>
  <c r="AE1293" i="1"/>
  <c r="AD1294" i="1"/>
  <c r="AE1294" i="1"/>
  <c r="AD1295" i="1"/>
  <c r="AE1295" i="1"/>
  <c r="AD1296" i="1"/>
  <c r="AE1296" i="1"/>
  <c r="AD1297" i="1"/>
  <c r="AE1297" i="1"/>
  <c r="AD1298" i="1"/>
  <c r="AE1298" i="1"/>
  <c r="AD1299" i="1"/>
  <c r="AE1299" i="1"/>
  <c r="AD1300" i="1"/>
  <c r="AE1300" i="1"/>
  <c r="AD1301" i="1"/>
  <c r="AE1301" i="1"/>
  <c r="AD1302" i="1"/>
  <c r="AE1302" i="1"/>
  <c r="AD1303" i="1"/>
  <c r="AE1303" i="1"/>
  <c r="AD1304" i="1"/>
  <c r="AE1304" i="1"/>
  <c r="AD1305" i="1"/>
  <c r="AE1305" i="1"/>
  <c r="AD1306" i="1"/>
  <c r="AE1306" i="1"/>
  <c r="AD1307" i="1"/>
  <c r="AE1307" i="1"/>
  <c r="AD1308" i="1"/>
  <c r="AE1308" i="1"/>
  <c r="AD1309" i="1"/>
  <c r="AE1309" i="1"/>
  <c r="AD1310" i="1"/>
  <c r="AE1310" i="1"/>
  <c r="AD1311" i="1"/>
  <c r="AE1311" i="1"/>
  <c r="AD1312" i="1"/>
  <c r="AE1312" i="1"/>
  <c r="AD1313" i="1"/>
  <c r="AE1313" i="1"/>
  <c r="AD1314" i="1"/>
  <c r="AE1314" i="1"/>
  <c r="AD1315" i="1"/>
  <c r="AE1315" i="1"/>
  <c r="AD1316" i="1"/>
  <c r="AE1316" i="1"/>
  <c r="AD1317" i="1"/>
  <c r="AE1317" i="1"/>
  <c r="AD1318" i="1"/>
  <c r="AE1318" i="1"/>
  <c r="AD1319" i="1"/>
  <c r="AE1319" i="1"/>
  <c r="AD1320" i="1"/>
  <c r="AE1320" i="1"/>
  <c r="AD1321" i="1"/>
  <c r="AE1321" i="1"/>
  <c r="AD1322" i="1"/>
  <c r="AE1322" i="1"/>
  <c r="AD1323" i="1"/>
  <c r="AE1323" i="1"/>
  <c r="AD1324" i="1"/>
  <c r="AE1324" i="1"/>
  <c r="AD1325" i="1"/>
  <c r="AE1325" i="1"/>
  <c r="AD1326" i="1"/>
  <c r="AE1326" i="1"/>
  <c r="AD1327" i="1"/>
  <c r="AE1327" i="1"/>
  <c r="AD1328" i="1"/>
  <c r="AE1328" i="1"/>
  <c r="AD1329" i="1"/>
  <c r="AE1329" i="1"/>
  <c r="AD1330" i="1"/>
  <c r="AE1330" i="1"/>
  <c r="AD1331" i="1"/>
  <c r="AE1331" i="1"/>
  <c r="AD1332" i="1"/>
  <c r="AE1332" i="1"/>
  <c r="AD1333" i="1"/>
  <c r="AE1333" i="1"/>
  <c r="AD1334" i="1"/>
  <c r="AE1334" i="1"/>
  <c r="AD1335" i="1"/>
  <c r="AE1335" i="1"/>
  <c r="AD1336" i="1"/>
  <c r="AE1336" i="1"/>
  <c r="AD1337" i="1"/>
  <c r="AE1337" i="1"/>
  <c r="AD1338" i="1"/>
  <c r="AE1338" i="1"/>
  <c r="AD1339" i="1"/>
  <c r="AE1339" i="1"/>
  <c r="AD1340" i="1"/>
  <c r="AE1340" i="1"/>
  <c r="AD1341" i="1"/>
  <c r="AE1341" i="1"/>
  <c r="AD1342" i="1"/>
  <c r="AE1342" i="1"/>
  <c r="AD1343" i="1"/>
  <c r="AE1343" i="1"/>
  <c r="AD1345" i="1"/>
  <c r="AE1345" i="1"/>
  <c r="AD1346" i="1"/>
  <c r="AE1346" i="1"/>
  <c r="AD1347" i="1"/>
  <c r="AE1347" i="1"/>
  <c r="AD1348" i="1"/>
  <c r="AE1348" i="1"/>
  <c r="AD1349" i="1"/>
  <c r="AE1349" i="1"/>
  <c r="AD1350" i="1"/>
  <c r="AE1350" i="1"/>
  <c r="AD1351" i="1"/>
  <c r="AE1351" i="1"/>
  <c r="AD1352" i="1"/>
  <c r="AE1352" i="1"/>
  <c r="AD1353" i="1"/>
  <c r="AE1353" i="1"/>
  <c r="AD1354" i="1"/>
  <c r="AE1354" i="1"/>
  <c r="AD1355" i="1"/>
  <c r="AE1355" i="1"/>
  <c r="AD1356" i="1"/>
  <c r="AE1356" i="1"/>
  <c r="AD1357" i="1"/>
  <c r="AE1357" i="1"/>
  <c r="AD1358" i="1"/>
  <c r="AE1358" i="1"/>
  <c r="AD1359" i="1"/>
  <c r="AE1359" i="1"/>
  <c r="AD1360" i="1"/>
  <c r="AE1360" i="1"/>
  <c r="AD1361" i="1"/>
  <c r="AE1361" i="1"/>
  <c r="AD1362" i="1"/>
  <c r="AE1362" i="1"/>
  <c r="AD1363" i="1"/>
  <c r="AE1363" i="1"/>
  <c r="AD1364" i="1"/>
  <c r="AE1364" i="1"/>
  <c r="AD1365" i="1"/>
  <c r="AE1365" i="1"/>
  <c r="AD1366" i="1"/>
  <c r="AE1366" i="1"/>
  <c r="AD1367" i="1"/>
  <c r="AE1367" i="1"/>
  <c r="AD1368" i="1"/>
  <c r="AE1368" i="1"/>
  <c r="AD1369" i="1"/>
  <c r="AE1369" i="1"/>
  <c r="AD1370" i="1"/>
  <c r="AE1370" i="1"/>
  <c r="AD1371" i="1"/>
  <c r="AE1371" i="1"/>
  <c r="AD1372" i="1"/>
  <c r="AE1372" i="1"/>
  <c r="AD1373" i="1"/>
  <c r="AE1373" i="1"/>
  <c r="AD1374" i="1"/>
  <c r="AE1374" i="1"/>
  <c r="AD1375" i="1"/>
  <c r="AE1375" i="1"/>
  <c r="AD1376" i="1"/>
  <c r="AE1376" i="1"/>
  <c r="AD1377" i="1"/>
  <c r="AE1377" i="1"/>
  <c r="AD1378" i="1"/>
  <c r="AE1378" i="1"/>
  <c r="AD1379" i="1"/>
  <c r="AE1379" i="1"/>
  <c r="AD1380" i="1"/>
  <c r="AE1380" i="1"/>
  <c r="AD1381" i="1"/>
  <c r="AE1381" i="1"/>
  <c r="AD1382" i="1"/>
  <c r="AE1382" i="1"/>
  <c r="AD1383" i="1"/>
  <c r="AE1383" i="1"/>
  <c r="AD1384" i="1"/>
  <c r="AE1384" i="1"/>
  <c r="AD1385" i="1"/>
  <c r="AE1385" i="1"/>
  <c r="AD1386" i="1"/>
  <c r="AE1386" i="1"/>
  <c r="AD1387" i="1"/>
  <c r="AE1387" i="1"/>
  <c r="AD1388" i="1"/>
  <c r="AE1388" i="1"/>
  <c r="AD1389" i="1"/>
  <c r="AE1389" i="1"/>
  <c r="AD1390" i="1"/>
  <c r="AE1390" i="1"/>
  <c r="AD1391" i="1"/>
  <c r="AE1391" i="1"/>
  <c r="AD1392" i="1"/>
  <c r="AE1392" i="1"/>
  <c r="AD1393" i="1"/>
  <c r="AE1393" i="1"/>
  <c r="AD1394" i="1"/>
  <c r="AE1394" i="1"/>
  <c r="AD1395" i="1"/>
  <c r="AE1395" i="1"/>
  <c r="AD1396" i="1"/>
  <c r="AE1396" i="1"/>
  <c r="AD1398" i="1"/>
  <c r="AE1398" i="1"/>
  <c r="AD1399" i="1"/>
  <c r="AE1399" i="1"/>
  <c r="AD1400" i="1"/>
  <c r="AE1400" i="1"/>
  <c r="AD1401" i="1"/>
  <c r="AE1401" i="1"/>
  <c r="AD1402" i="1"/>
  <c r="AE1402" i="1"/>
  <c r="AD1403" i="1"/>
  <c r="AE1403" i="1"/>
  <c r="AD1404" i="1"/>
  <c r="AE1404" i="1"/>
  <c r="AD1405" i="1"/>
  <c r="AE1405" i="1"/>
  <c r="AD1407" i="1"/>
  <c r="AE1407" i="1"/>
  <c r="AD1408" i="1"/>
  <c r="AE1408" i="1"/>
  <c r="AD1410" i="1"/>
  <c r="AE1410" i="1"/>
  <c r="AD1411" i="1"/>
  <c r="AE1411" i="1"/>
  <c r="AD1414" i="1"/>
  <c r="AE1414" i="1"/>
  <c r="AD1415" i="1"/>
  <c r="AE1415" i="1"/>
  <c r="AD1416" i="1"/>
  <c r="AE1416" i="1"/>
  <c r="AD1417" i="1"/>
  <c r="AE1417" i="1"/>
  <c r="AD1418" i="1"/>
  <c r="AE1418" i="1"/>
  <c r="AD1419" i="1"/>
  <c r="AE1419" i="1"/>
  <c r="AD1420" i="1"/>
  <c r="AE1420" i="1"/>
  <c r="AD1421" i="1"/>
  <c r="AE1421" i="1"/>
  <c r="AD1422" i="1"/>
  <c r="AE1422" i="1"/>
  <c r="AD1423" i="1"/>
  <c r="AE1423" i="1"/>
  <c r="AD1424" i="1"/>
  <c r="AE1424" i="1"/>
  <c r="AD1425" i="1"/>
  <c r="AE1425" i="1"/>
  <c r="AD1426" i="1"/>
  <c r="AE1426" i="1"/>
  <c r="AD1429" i="1"/>
  <c r="AE1429" i="1"/>
  <c r="AD1430" i="1"/>
  <c r="AE1430" i="1"/>
  <c r="AD1431" i="1"/>
  <c r="AE1431" i="1"/>
  <c r="AD1432" i="1"/>
  <c r="AE1432" i="1"/>
  <c r="AD1433" i="1"/>
  <c r="AE1433" i="1"/>
  <c r="AD1434" i="1"/>
  <c r="AE1434" i="1"/>
  <c r="AD1435" i="1"/>
  <c r="AE1435" i="1"/>
  <c r="AD1436" i="1"/>
  <c r="AE1436" i="1"/>
  <c r="AD1437" i="1"/>
  <c r="AE1437" i="1"/>
  <c r="AD1438" i="1"/>
  <c r="AE1438" i="1"/>
  <c r="AD1439" i="1"/>
  <c r="AE1439" i="1"/>
  <c r="AD1440" i="1"/>
  <c r="AE1440" i="1"/>
  <c r="AD1441" i="1"/>
  <c r="AE1441" i="1"/>
  <c r="AD1442" i="1"/>
  <c r="AE1442" i="1"/>
  <c r="AD1443" i="1"/>
  <c r="AE1443" i="1"/>
  <c r="AD1444" i="1"/>
  <c r="AE1444" i="1"/>
  <c r="AD1445" i="1"/>
  <c r="AE1445" i="1"/>
  <c r="AD1446" i="1"/>
  <c r="AE1446" i="1"/>
  <c r="AD1447" i="1"/>
  <c r="AE1447" i="1"/>
  <c r="AD1449" i="1"/>
  <c r="AE1449" i="1"/>
  <c r="AD1450" i="1"/>
  <c r="AE1450" i="1"/>
  <c r="AD1451" i="1"/>
  <c r="AE1451" i="1"/>
  <c r="AD1452" i="1"/>
  <c r="AE1452" i="1"/>
  <c r="AD1453" i="1"/>
  <c r="AE1453" i="1"/>
  <c r="AD1454" i="1"/>
  <c r="AE1454" i="1"/>
  <c r="AD1455" i="1"/>
  <c r="AE1455" i="1"/>
  <c r="AD1456" i="1"/>
  <c r="AE1456" i="1"/>
  <c r="AD1457" i="1"/>
  <c r="AE1457" i="1"/>
  <c r="AD1458" i="1"/>
  <c r="AE1458" i="1"/>
  <c r="AD1459" i="1"/>
  <c r="AE1459" i="1"/>
  <c r="AD1460" i="1"/>
  <c r="AE1460" i="1"/>
  <c r="AD1461" i="1"/>
  <c r="AE1461" i="1"/>
  <c r="AD1462" i="1"/>
  <c r="AE1462" i="1"/>
  <c r="AD1463" i="1"/>
  <c r="AE1463" i="1"/>
  <c r="AD1465" i="1"/>
  <c r="AE1465" i="1"/>
  <c r="AD1466" i="1"/>
  <c r="AE1466" i="1"/>
  <c r="AD1467" i="1"/>
  <c r="AE1467" i="1"/>
  <c r="AD1468" i="1"/>
  <c r="AE1468" i="1"/>
  <c r="AD1469" i="1"/>
  <c r="AE1469" i="1"/>
  <c r="AD1470" i="1"/>
  <c r="AE1470" i="1"/>
  <c r="AD1471" i="1"/>
  <c r="AE1471" i="1"/>
  <c r="AD1472" i="1"/>
  <c r="AE1472" i="1"/>
  <c r="AD1473" i="1"/>
  <c r="AE1473" i="1"/>
  <c r="AD1474" i="1"/>
  <c r="AE1474" i="1"/>
  <c r="AD1475" i="1"/>
  <c r="AE1475" i="1"/>
  <c r="AD1476" i="1"/>
  <c r="AE1476" i="1"/>
  <c r="AD1477" i="1"/>
  <c r="AE1477" i="1"/>
  <c r="AD1478" i="1"/>
  <c r="AE1478" i="1"/>
  <c r="AD1479" i="1"/>
  <c r="AE1479" i="1"/>
  <c r="AD1480" i="1"/>
  <c r="AE1480" i="1"/>
  <c r="AD1481" i="1"/>
  <c r="AE1481" i="1"/>
  <c r="AD1482" i="1"/>
  <c r="AE1482" i="1"/>
  <c r="AD1483" i="1"/>
  <c r="AE1483" i="1"/>
  <c r="AD1484" i="1"/>
  <c r="AE1484" i="1"/>
  <c r="AD1485" i="1"/>
  <c r="AE1485" i="1"/>
  <c r="AD1486" i="1"/>
  <c r="AE1486" i="1"/>
  <c r="AD1487" i="1"/>
  <c r="AE1487" i="1"/>
  <c r="AD1488" i="1"/>
  <c r="AE1488" i="1"/>
  <c r="AD1489" i="1"/>
  <c r="AE1489" i="1"/>
  <c r="AD1490" i="1"/>
  <c r="AE1490" i="1"/>
  <c r="AD1491" i="1"/>
  <c r="AE1491" i="1"/>
  <c r="AD1492" i="1"/>
  <c r="AE1492" i="1"/>
  <c r="AD1494" i="1"/>
  <c r="AE1494" i="1"/>
  <c r="AD1495" i="1"/>
  <c r="AE1495" i="1"/>
  <c r="AD1496" i="1"/>
  <c r="AE1496" i="1"/>
  <c r="AD1497" i="1"/>
  <c r="AE1497" i="1"/>
  <c r="AD1499" i="1"/>
  <c r="AE1499" i="1"/>
  <c r="AD1500" i="1"/>
  <c r="AE1500" i="1"/>
  <c r="AD1502" i="1"/>
  <c r="AE1502" i="1"/>
  <c r="AD1503" i="1"/>
  <c r="AE1503" i="1"/>
  <c r="AD1504" i="1"/>
  <c r="AE1504" i="1"/>
  <c r="AD1505" i="1"/>
  <c r="AE1505" i="1"/>
  <c r="AD1507" i="1"/>
  <c r="AE1507" i="1"/>
  <c r="AD2" i="1"/>
  <c r="AE2" i="1"/>
</calcChain>
</file>

<file path=xl/sharedStrings.xml><?xml version="1.0" encoding="utf-8"?>
<sst xmlns="http://schemas.openxmlformats.org/spreadsheetml/2006/main" count="28428" uniqueCount="15595">
  <si>
    <t>Name</t>
  </si>
  <si>
    <t>lat1</t>
  </si>
  <si>
    <t>lon1</t>
  </si>
  <si>
    <t>lat2</t>
  </si>
  <si>
    <t>lon2</t>
  </si>
  <si>
    <t>Desc</t>
  </si>
  <si>
    <t>Trạng thái xử lý</t>
  </si>
  <si>
    <t>Chi tiết lỗi (nếu có)</t>
  </si>
  <si>
    <t>Tên tuyến cáp Tối ưu</t>
  </si>
  <si>
    <t>Tổng Dist (m) (P1-&gt;R + P2-&gt;R)</t>
  </si>
  <si>
    <t>Dist (m) P1-&gt;R</t>
  </si>
  <si>
    <t>Nearest Lat P1</t>
  </si>
  <si>
    <t>Nearest Lon P1</t>
  </si>
  <si>
    <t>Dist (m) P2-&gt;R</t>
  </si>
  <si>
    <t>Nearest Lat P2</t>
  </si>
  <si>
    <t>Nearest Lon P2</t>
  </si>
  <si>
    <t>Full Route Name</t>
  </si>
  <si>
    <t>PC08 (xử lý vi phạm)-KHNT3A</t>
  </si>
  <si>
    <t>12.24807</t>
  </si>
  <si>
    <t>109.1858</t>
  </si>
  <si>
    <t>12.24813001</t>
  </si>
  <si>
    <t>109.18921</t>
  </si>
  <si>
    <t>FO thuê#VNPT#KHNT60-KHNT3A</t>
  </si>
  <si>
    <t>OK</t>
  </si>
  <si>
    <t>5.PA06 cs1 - PC08 csc_Cột trung thế</t>
  </si>
  <si>
    <t>344.49</t>
  </si>
  <si>
    <t>160.67</t>
  </si>
  <si>
    <t>12.249512</t>
  </si>
  <si>
    <t>109.185703</t>
  </si>
  <si>
    <t>183.82</t>
  </si>
  <si>
    <t>12.249510</t>
  </si>
  <si>
    <t>109.188279</t>
  </si>
  <si>
    <t>full_h04/Khánh Hòa/Thu thập EVN_Khánh Hòa/Route_Cấp 3/KH_RING 3/5.PA06 cs1 - PC08 csc_Cột trung thế/5.PA06 cs1 - PC08 csc_Cột trung thế</t>
  </si>
  <si>
    <t>NTG Nha Trang cũ-KHNT03</t>
  </si>
  <si>
    <t>12.27693</t>
  </si>
  <si>
    <t>109.1884</t>
  </si>
  <si>
    <t>12.27620001</t>
  </si>
  <si>
    <t>109.2018</t>
  </si>
  <si>
    <t>FO thuê#VNPT#KHNT79-KHNT03</t>
  </si>
  <si>
    <t>1.CAT Khánh Hòa - PK02 cs1</t>
  </si>
  <si>
    <t>633.88</t>
  </si>
  <si>
    <t>206.48</t>
  </si>
  <si>
    <t>12.278732</t>
  </si>
  <si>
    <t>109.188858</t>
  </si>
  <si>
    <t>427.40</t>
  </si>
  <si>
    <t>12.274830</t>
  </si>
  <si>
    <t>109.198125</t>
  </si>
  <si>
    <t>full_h04/Khánh Hòa/Thu thập EVN_Khánh Hòa/Route_Cấp 3/KH_RING 6/1.CAT Khánh Hòa - PK02 cs1/CAT Khánh Hòa - PK02 cs1_Đoạn côt trung thế_2</t>
  </si>
  <si>
    <t>Nhà tạm giam Diên Khánh-Suối Hiệp</t>
  </si>
  <si>
    <t>12.24635</t>
  </si>
  <si>
    <t>109.0729</t>
  </si>
  <si>
    <t>12.22102</t>
  </si>
  <si>
    <t>109.0838</t>
  </si>
  <si>
    <t>FO thuê#CMC#KHDK13-KHDK06</t>
  </si>
  <si>
    <t>1.CA Diên Khánh - CA Suối Hiệp</t>
  </si>
  <si>
    <t>2420.93</t>
  </si>
  <si>
    <t>2236.48</t>
  </si>
  <si>
    <t>12.243274</t>
  </si>
  <si>
    <t>109.093239</t>
  </si>
  <si>
    <t>184.45</t>
  </si>
  <si>
    <t>12.222536</t>
  </si>
  <si>
    <t>109.084489</t>
  </si>
  <si>
    <t>full_h04/Khánh Hòa/Thu thập EVN_Khánh Hòa/Route_Cấp 4/KH_RING 10/1.CA Diên Khánh - CA Suối Hiệp/CA Diên Khánh - CA Suối Hiệp_Đoạn cột trung thế</t>
  </si>
  <si>
    <t>Suối Hiệp-KHCL23</t>
  </si>
  <si>
    <t>12.1537068</t>
  </si>
  <si>
    <t>109.0672539</t>
  </si>
  <si>
    <t>FO thuê#CMC#KHDK06-KHCL23</t>
  </si>
  <si>
    <t>2.CA Suối Hiệp - CA Suối Dầu</t>
  </si>
  <si>
    <t>4356.92</t>
  </si>
  <si>
    <t>153.90</t>
  </si>
  <si>
    <t>12.220519</t>
  </si>
  <si>
    <t>109.082480</t>
  </si>
  <si>
    <t>4203.02</t>
  </si>
  <si>
    <t>12.191492</t>
  </si>
  <si>
    <t>109.066221</t>
  </si>
  <si>
    <t>full_h04/Khánh Hòa/Thu thập EVN_Khánh Hòa/Route_Cấp 4/KH_RING 10/2.CA Suối Hiệp - CA Suối Dầu/CA Suối Hiệp - CA Suối Dầu_Đoạn cột trung thế</t>
  </si>
  <si>
    <t>PC11a-KHNT59</t>
  </si>
  <si>
    <t>12.1757</t>
  </si>
  <si>
    <t>109.1737</t>
  </si>
  <si>
    <t>12.2108712</t>
  </si>
  <si>
    <t>109.1887008</t>
  </si>
  <si>
    <t>FO thuê#CMC#KHNTMA01-KHNT59</t>
  </si>
  <si>
    <t>3.PA06 cs2 - PC11a</t>
  </si>
  <si>
    <t>51.30</t>
  </si>
  <si>
    <t>9.18</t>
  </si>
  <si>
    <t>12.175753</t>
  </si>
  <si>
    <t>109.173635</t>
  </si>
  <si>
    <t>42.11</t>
  </si>
  <si>
    <t>12.210643</t>
  </si>
  <si>
    <t>109.188391</t>
  </si>
  <si>
    <t>full_h04/Khánh Hòa/Thu thập EVN_Khánh Hòa/Route_Cấp 3/KH_RING 5/3.PA06 cs2 - PC11a/PA06 cs2 - PC11a_Đoạn cột trung thế</t>
  </si>
  <si>
    <t>CATP Nha trang cũ-KHNT24</t>
  </si>
  <si>
    <t>12.24647</t>
  </si>
  <si>
    <t>109.1894</t>
  </si>
  <si>
    <t>12.2522001</t>
  </si>
  <si>
    <t>109.1937001</t>
  </si>
  <si>
    <t>FO thuê#CMC#KHNT83-KHNT24</t>
  </si>
  <si>
    <t>4.PA08 - PA06 cs1</t>
  </si>
  <si>
    <t>297.18</t>
  </si>
  <si>
    <t>227.08</t>
  </si>
  <si>
    <t>12.247764</t>
  </si>
  <si>
    <t>109.191017</t>
  </si>
  <si>
    <t>70.10</t>
  </si>
  <si>
    <t>12.252644</t>
  </si>
  <si>
    <t>109.193242</t>
  </si>
  <si>
    <t>full_h04/Khánh Hòa/Thu thập EVN_Khánh Hòa/Route_Cấp 3/KH_RING 3/4.PA08 - PA06 cs1/PA08 - PA06 cs1_Đoạn cột trung thế</t>
  </si>
  <si>
    <t>PC11a-KHNT1F</t>
  </si>
  <si>
    <t>12.1996477</t>
  </si>
  <si>
    <t>109.1942289</t>
  </si>
  <si>
    <t>FO thuê#CMC#KHNTMA01-KHNT1F</t>
  </si>
  <si>
    <t>4.PC11a - PC02_Đoạn cột trung thế</t>
  </si>
  <si>
    <t>792.90</t>
  </si>
  <si>
    <t>3.34</t>
  </si>
  <si>
    <t>12.175723</t>
  </si>
  <si>
    <t>109.173680</t>
  </si>
  <si>
    <t>789.55</t>
  </si>
  <si>
    <t>12.204105</t>
  </si>
  <si>
    <t>109.188574</t>
  </si>
  <si>
    <t>full_h04/Khánh Hòa/Thu thập EVN_Khánh Hòa/Route_Cấp 3/KH_RING 5/4.PC11a - PC02_Đoạn cột trung thế/4.PC11a - PC02_Đoạn cột trung thế</t>
  </si>
  <si>
    <t>PC11a-KHNT26</t>
  </si>
  <si>
    <t>12.22520174</t>
  </si>
  <si>
    <t>109.1833831</t>
  </si>
  <si>
    <t>FO thuê#CMC#KHNTMA01-KHNT26</t>
  </si>
  <si>
    <t>60.34</t>
  </si>
  <si>
    <t>51.16</t>
  </si>
  <si>
    <t>12.225636</t>
  </si>
  <si>
    <t>109.183539</t>
  </si>
  <si>
    <t>PA08-PC06</t>
  </si>
  <si>
    <t>16.79036</t>
  </si>
  <si>
    <t>107.1043</t>
  </si>
  <si>
    <t>15.56375</t>
  </si>
  <si>
    <t>108.4814</t>
  </si>
  <si>
    <t>FO thuê#CMC#KHNT25-KHNT84</t>
  </si>
  <si>
    <t>Trại giam An Điềm (C10) - Duy Xuyên</t>
  </si>
  <si>
    <t>169460.33</t>
  </si>
  <si>
    <t>131244.19</t>
  </si>
  <si>
    <t>15.875013</t>
  </si>
  <si>
    <t>107.880808</t>
  </si>
  <si>
    <t>38216.13</t>
  </si>
  <si>
    <t>15.822844</t>
  </si>
  <si>
    <t>108.246846</t>
  </si>
  <si>
    <t>full_h04/TP Đà Nẵng/TP Đà Nẵng/Mạng cấp 3_ DN và Quảng Nam/Cấp 3 - Ring 3 - Quảng Nam cũ/Trại giam An Điềm (C10) - Duy Xuyên/Trung thế</t>
  </si>
  <si>
    <t>PC06-PC08 (xử lý vi phạm)</t>
  </si>
  <si>
    <t>FO thuê#CMC#KHNT84-KHNT60</t>
  </si>
  <si>
    <t>Hoài Ân- Vĩnh Kim</t>
  </si>
  <si>
    <t>335568.19</t>
  </si>
  <si>
    <t>143782.80</t>
  </si>
  <si>
    <t>14.360149</t>
  </si>
  <si>
    <t>108.970620</t>
  </si>
  <si>
    <t>191785.39</t>
  </si>
  <si>
    <t>13.966175</t>
  </si>
  <si>
    <t>109.030287</t>
  </si>
  <si>
    <t>full_h04/Gia Lai/GE Mạng cấp III-IV Gia Lai Full v6.kmz/GE Mạng cấp III-IV Gia Lai Full/Mạng cấp III Gia Lai Full/Ring 1/Hoài Ân- Vĩnh Kim/Trung Thế</t>
  </si>
  <si>
    <t>PC08 (xử lý vi phạm)-KHNT24</t>
  </si>
  <si>
    <t>FO thuê#CMC#KHNT60-KHNT24</t>
  </si>
  <si>
    <t>277.71</t>
  </si>
  <si>
    <t>117.04</t>
  </si>
  <si>
    <t>12.253000</t>
  </si>
  <si>
    <t>109.193000</t>
  </si>
  <si>
    <t>PK02 cs1-NTG Nha Trang cũ</t>
  </si>
  <si>
    <t>12.27875</t>
  </si>
  <si>
    <t>109.1889</t>
  </si>
  <si>
    <t>FO thuê#CMC#KHNT94-KHNT79</t>
  </si>
  <si>
    <t>Tuyến nhánh PK02 cs1 - NTG Nha Trang cũ_Cột hạ thế</t>
  </si>
  <si>
    <t>3.53</t>
  </si>
  <si>
    <t>1.27</t>
  </si>
  <si>
    <t>12.278761</t>
  </si>
  <si>
    <t>109.188896</t>
  </si>
  <si>
    <t>2.26</t>
  </si>
  <si>
    <t>12.276948</t>
  </si>
  <si>
    <t>109.188409</t>
  </si>
  <si>
    <t>full_h04/Khánh Hòa/Thu thập EVN_Khánh Hòa/Route_Cấp 3/KH_RING 6/Tuyến nhánh PK02 cs1 - NTG Nha Trang cũ_Cột hạ thế/Tuyến nhánh PK02 cs1 - NTG Nha Trang cũ_Cột hạ thế</t>
  </si>
  <si>
    <t>NTG Nha Trang cũ-KHNT28</t>
  </si>
  <si>
    <t>12.26617101</t>
  </si>
  <si>
    <t>109.19621</t>
  </si>
  <si>
    <t>FO thuê#CMC#KHNT79-KHNT28</t>
  </si>
  <si>
    <t>292.88</t>
  </si>
  <si>
    <t>86.40</t>
  </si>
  <si>
    <t>12.265396</t>
  </si>
  <si>
    <t>109.196152</t>
  </si>
  <si>
    <t>Diên Điền-KHNT07</t>
  </si>
  <si>
    <t>12.27603</t>
  </si>
  <si>
    <t>109.1203</t>
  </si>
  <si>
    <t>12.30220011</t>
  </si>
  <si>
    <t>109.1703001</t>
  </si>
  <si>
    <t>FO thuê#CMC#KHDK08-KHNT07</t>
  </si>
  <si>
    <t>2.CA Diên Điền - CA Bắc Nha Trang</t>
  </si>
  <si>
    <t>2904.54</t>
  </si>
  <si>
    <t>6.07</t>
  </si>
  <si>
    <t>12.276067</t>
  </si>
  <si>
    <t>109.120259</t>
  </si>
  <si>
    <t>2898.47</t>
  </si>
  <si>
    <t>12.288600</t>
  </si>
  <si>
    <t>109.147541</t>
  </si>
  <si>
    <t>full_h04/Khánh Hòa/Thu thập EVN_Khánh Hòa/Route_Cấp 4/KH_RING 8/2.CA Diên Điền - CA Bắc Nha Trang/CA Diên Điền - CA Bắc Nha Trang_Đoạn cột trung thế_1</t>
  </si>
  <si>
    <t>Bắc Nha Trang-Nhà nghỉ dưỡng 378 BCA</t>
  </si>
  <si>
    <t>12.28234</t>
  </si>
  <si>
    <t>109.1981</t>
  </si>
  <si>
    <t>12.25676</t>
  </si>
  <si>
    <t>109.1976</t>
  </si>
  <si>
    <t>FO thuê#CMC#KHNT88-KHNT1N</t>
  </si>
  <si>
    <t>3.CA Bắc Nha Trang - CAT Khánh Hòa</t>
  </si>
  <si>
    <t>1388.96</t>
  </si>
  <si>
    <t>414.08</t>
  </si>
  <si>
    <t>12.280430</t>
  </si>
  <si>
    <t>109.194828</t>
  </si>
  <si>
    <t>974.88</t>
  </si>
  <si>
    <t>12.265409</t>
  </si>
  <si>
    <t>109.196133</t>
  </si>
  <si>
    <t>full_h04/Khánh Hòa/Thu thập EVN_Khánh Hòa/Route_Cấp 4/KH_RING 8/3.CA Bắc Nha Trang - CAT Khánh Hòa/CA Bắc Nha Trang - CAT Khánh Hòa_Đoạn cột trung thế_1</t>
  </si>
  <si>
    <t>Nhà nghỉ dưỡng 378 BCA-Tây Nha Trang</t>
  </si>
  <si>
    <t>12.25114</t>
  </si>
  <si>
    <t>109.1864</t>
  </si>
  <si>
    <t>FO thuê#CMC#KHNT1N-KHNT17</t>
  </si>
  <si>
    <t>3.CA Nha Trang - CA Tây Nha Trang_Cột trung thế</t>
  </si>
  <si>
    <t>663.74</t>
  </si>
  <si>
    <t>659.73</t>
  </si>
  <si>
    <t>12.252942</t>
  </si>
  <si>
    <t>109.192953</t>
  </si>
  <si>
    <t>4.00</t>
  </si>
  <si>
    <t>12.251159</t>
  </si>
  <si>
    <t>109.186369</t>
  </si>
  <si>
    <t>full_h04/Khánh Hòa/Thu thập EVN_Khánh Hòa/Route_Cấp 4/KH_RING 1/3.CA Nha Trang - CA Tây Nha Trang_Cột trung thế/3.CA Nha Trang - CA Tây Nha Trang_Cột trung thế</t>
  </si>
  <si>
    <t>Tây Nha Trang-KHNT24</t>
  </si>
  <si>
    <t>FO thuê#CMC#KHNT17-KHNT24</t>
  </si>
  <si>
    <t>119.80</t>
  </si>
  <si>
    <t>115.79</t>
  </si>
  <si>
    <t>Bắc Nha Trang-KHNT3Q</t>
  </si>
  <si>
    <t>12.29023801</t>
  </si>
  <si>
    <t>109.205394</t>
  </si>
  <si>
    <t>FO thuê#CMC#KHNT88-KHNT3Q</t>
  </si>
  <si>
    <t>1169.78</t>
  </si>
  <si>
    <t>0.85</t>
  </si>
  <si>
    <t>12.282332</t>
  </si>
  <si>
    <t>109.198101</t>
  </si>
  <si>
    <t>1168.93</t>
  </si>
  <si>
    <t>12.282302</t>
  </si>
  <si>
    <t>109.198338</t>
  </si>
  <si>
    <t>full_h04/Khánh Hòa/Thu thập EVN_Khánh Hòa/Route_Cấp 4/KH_RING 8/3.CA Bắc Nha Trang - CAT Khánh Hòa/CA Bắc Nha Trang - CAT Khánh Hòa_Đoạn cột hạ thế</t>
  </si>
  <si>
    <t>PA06 cs2-KHNT68</t>
  </si>
  <si>
    <t>12.23647</t>
  </si>
  <si>
    <t>109.1846</t>
  </si>
  <si>
    <t>12.23434901</t>
  </si>
  <si>
    <t>109.172642</t>
  </si>
  <si>
    <t>FO thuê#CMC#KHNT55-KHNT68</t>
  </si>
  <si>
    <t>5. Cam Phước Đông - CAT Khánh Hòa</t>
  </si>
  <si>
    <t>613.93</t>
  </si>
  <si>
    <t>173.20</t>
  </si>
  <si>
    <t>12.235394</t>
  </si>
  <si>
    <t>109.185752</t>
  </si>
  <si>
    <t>440.74</t>
  </si>
  <si>
    <t>12.235808</t>
  </si>
  <si>
    <t>109.176413</t>
  </si>
  <si>
    <t>full_h04/Khánh Hòa/Thu thập EVN_Khánh Hòa/Route_Cấp 3/KH_RING 2/5. Cam Phước Đông - CAT Khánh Hòa/Cam Phước Đông - CAT Khánh Hòa_Đoạn cột trung thế_5</t>
  </si>
  <si>
    <t>NTG Nha Trang cũ-KHNT3G</t>
  </si>
  <si>
    <t>12.27834601</t>
  </si>
  <si>
    <t>109.199733</t>
  </si>
  <si>
    <t>FO thuê#CMC#KHNT79-KHNT3G</t>
  </si>
  <si>
    <t>538.42</t>
  </si>
  <si>
    <t>331.94</t>
  </si>
  <si>
    <t>12.276457</t>
  </si>
  <si>
    <t>109.197368</t>
  </si>
  <si>
    <t>PC08 csc-KHNT3C</t>
  </si>
  <si>
    <t>12.24904</t>
  </si>
  <si>
    <t>109.1841</t>
  </si>
  <si>
    <t>12.2570531</t>
  </si>
  <si>
    <t>109.1822747</t>
  </si>
  <si>
    <t>FO thuê#CMC#KHNT05-KHNT3C</t>
  </si>
  <si>
    <t>4.CA Tây Nha Trang - TTCMKV Diên Khánh</t>
  </si>
  <si>
    <t>510.41</t>
  </si>
  <si>
    <t>191.02</t>
  </si>
  <si>
    <t>12.250641</t>
  </si>
  <si>
    <t>109.184739</t>
  </si>
  <si>
    <t>319.39</t>
  </si>
  <si>
    <t>12.254597</t>
  </si>
  <si>
    <t>109.180751</t>
  </si>
  <si>
    <t>full_h04/Khánh Hòa/Thu thập EVN_Khánh Hòa/Route_Cấp 4/KH_RING 1/4.CA Tây Nha Trang - TTCMKV Diên Khánh/CA Tây Nha Trang - TTCMKV Diên Khánh_Đoạn cột trung thế_1</t>
  </si>
  <si>
    <t>PC07-Nha Trang</t>
  </si>
  <si>
    <t>16.81325</t>
  </si>
  <si>
    <t>107.0887</t>
  </si>
  <si>
    <t>12.24928</t>
  </si>
  <si>
    <t>109.1925</t>
  </si>
  <si>
    <t>FO thuê#CMC#KHNT90-KHNT4Z</t>
  </si>
  <si>
    <t>Đăk Tô - TT2 Kon Tum</t>
  </si>
  <si>
    <t>519260.73</t>
  </si>
  <si>
    <t>252584.19</t>
  </si>
  <si>
    <t>14.659686</t>
  </si>
  <si>
    <t>107.839439</t>
  </si>
  <si>
    <t>266676.53</t>
  </si>
  <si>
    <t>14.352317</t>
  </si>
  <si>
    <t>108.007831</t>
  </si>
  <si>
    <t>full_h04/KonTum/Mạng cấp III Kon Tum/Ring 4/Đăk Tô - TT2 Kon Tum.kmz/Đăk Tô - TT2 Kon Tum/Đăk Tô - TT2 Kon Tum_Trung thế</t>
  </si>
  <si>
    <t>Nhà tạm giam Diên Khánh-KHDK38</t>
  </si>
  <si>
    <t>12.245628</t>
  </si>
  <si>
    <t>109.097118</t>
  </si>
  <si>
    <t>FO thuê#CMC#KHDK13-KHDK38</t>
  </si>
  <si>
    <t>3. Trại giam A2 - CATP Nha trang cũ</t>
  </si>
  <si>
    <t>1484.17</t>
  </si>
  <si>
    <t>1058.39</t>
  </si>
  <si>
    <t>12.251107</t>
  </si>
  <si>
    <t>109.081336</t>
  </si>
  <si>
    <t>425.79</t>
  </si>
  <si>
    <t>12.243822</t>
  </si>
  <si>
    <t>109.093663</t>
  </si>
  <si>
    <t>full_h04/Khánh Hòa/Thu thập EVN_Khánh Hòa/Route_Cấp 3/KH_RING 4/3. Trại giam A2 - CATP Nha trang cũ/Trại giam A2 - CATP Nha trang cũ_Đoạn cột trung thế_6</t>
  </si>
  <si>
    <t>Diên Điền-KHDK30</t>
  </si>
  <si>
    <t>12.27802</t>
  </si>
  <si>
    <t>109.12975</t>
  </si>
  <si>
    <t>FO thuê#CMC#KHDK08-KHDK30</t>
  </si>
  <si>
    <t>265.61</t>
  </si>
  <si>
    <t>259.54</t>
  </si>
  <si>
    <t>12.278650</t>
  </si>
  <si>
    <t>109.127450</t>
  </si>
  <si>
    <t>Nhà tạm giam Diên Khánh-KHDK05</t>
  </si>
  <si>
    <t>12.25983</t>
  </si>
  <si>
    <t>109.07202</t>
  </si>
  <si>
    <t>FO thuê#CMC#KHDK13-KHDK05</t>
  </si>
  <si>
    <t>2.Nhà tạm giam Diên Khánh - Trại giam A2</t>
  </si>
  <si>
    <t>337.64</t>
  </si>
  <si>
    <t>7.22</t>
  </si>
  <si>
    <t>12.246371</t>
  </si>
  <si>
    <t>109.072963</t>
  </si>
  <si>
    <t>330.42</t>
  </si>
  <si>
    <t>12.256955</t>
  </si>
  <si>
    <t>109.071253</t>
  </si>
  <si>
    <t>full_h04/Khánh Hòa/Thu thập EVN_Khánh Hòa/Route_Cấp 3/KH_RING 4/2.Nhà tạm giam Diên Khánh - Trại giam A2/Nhà tạm giam Diên Khánh - Trại giam A2_Đoạn cột trung thế</t>
  </si>
  <si>
    <t>PC11a-KHNT74</t>
  </si>
  <si>
    <t>12.20345001</t>
  </si>
  <si>
    <t>109.16021</t>
  </si>
  <si>
    <t>FO thuê#CMC#KHNTMA01-KHNT74</t>
  </si>
  <si>
    <t>1703.55</t>
  </si>
  <si>
    <t>1700.20</t>
  </si>
  <si>
    <t>12.196674</t>
  </si>
  <si>
    <t>109.174234</t>
  </si>
  <si>
    <t>Bắc Nha Trang-KHNT77</t>
  </si>
  <si>
    <t>12.29400101</t>
  </si>
  <si>
    <t>109.188739</t>
  </si>
  <si>
    <t>FO thuê#CMC#KHNT88-KHNT77</t>
  </si>
  <si>
    <t>574.64</t>
  </si>
  <si>
    <t>0.89</t>
  </si>
  <si>
    <t>12.282335</t>
  </si>
  <si>
    <t>109.198106</t>
  </si>
  <si>
    <t>573.75</t>
  </si>
  <si>
    <t>12.288899</t>
  </si>
  <si>
    <t>109.189530</t>
  </si>
  <si>
    <t>full_h04/Khánh Hòa/Thu thập EVN_Khánh Hòa/Route_Cấp 4/KH_RING 8/2.CA Diên Điền - CA Bắc Nha Trang/CA Diên Điền - CA Bắc Nha Trang_Đoạn cột trung thế_2</t>
  </si>
  <si>
    <t>Cam Phước Đông-KHCR05</t>
  </si>
  <si>
    <t>11.94161</t>
  </si>
  <si>
    <t>109.1131</t>
  </si>
  <si>
    <t>11.94650301</t>
  </si>
  <si>
    <t>109.092594</t>
  </si>
  <si>
    <t>FO thuê#CMC#KHCR47-KHCR05</t>
  </si>
  <si>
    <t>3.Cam Ranh - Khánh Sơn</t>
  </si>
  <si>
    <t>1461.62</t>
  </si>
  <si>
    <t>100.00</t>
  </si>
  <si>
    <t>11.941592</t>
  </si>
  <si>
    <t>109.112181</t>
  </si>
  <si>
    <t>1361.62</t>
  </si>
  <si>
    <t>11.955189</t>
  </si>
  <si>
    <t>109.101417</t>
  </si>
  <si>
    <t>full_h04/Khánh Hòa/Thu thập EVN_Khánh Hòa/Route_Cấp 3/KH_RING 2/3.Cam Ranh - Khánh Sơn/Cam Ranh - Khánh Sơn_Đoạn cột trung thế</t>
  </si>
  <si>
    <t>Bắc Cam Ranh-KHCR16</t>
  </si>
  <si>
    <t>11.9756</t>
  </si>
  <si>
    <t>109.1961</t>
  </si>
  <si>
    <t>11.97462501</t>
  </si>
  <si>
    <t>109.1886701</t>
  </si>
  <si>
    <t>FO thuê#CMC#KHCR02-KHCR16</t>
  </si>
  <si>
    <t>2.CA Bắc Cam Ranh - CA Cam An</t>
  </si>
  <si>
    <t>672.88</t>
  </si>
  <si>
    <t>125.00</t>
  </si>
  <si>
    <t>11.976645</t>
  </si>
  <si>
    <t>109.195676</t>
  </si>
  <si>
    <t>547.88</t>
  </si>
  <si>
    <t>11.977448</t>
  </si>
  <si>
    <t>109.192799</t>
  </si>
  <si>
    <t>full_h04/Khánh Hòa/Thu thập EVN_Khánh Hòa/Route_Cấp 4/KH_RING 2/2.CA Bắc Cam Ranh - CA Cam An/CA Bắc Cam Ranh - CA Cam An_Đoạn cột trung thế_1</t>
  </si>
  <si>
    <t>Nhà tạm giam Diên Khánh-KHDK10</t>
  </si>
  <si>
    <t>12.23483</t>
  </si>
  <si>
    <t>109.08898</t>
  </si>
  <si>
    <t>FO thuê#CMC#KHDK13-KHDK10</t>
  </si>
  <si>
    <t>2076.33</t>
  </si>
  <si>
    <t>2069.11</t>
  </si>
  <si>
    <t>12.246168</t>
  </si>
  <si>
    <t>109.073882</t>
  </si>
  <si>
    <t>Nhà tạm giam Diên Khánh-KHDK23</t>
  </si>
  <si>
    <t>12.2524949</t>
  </si>
  <si>
    <t>109.0954765</t>
  </si>
  <si>
    <t>FO thuê#CMC#KHDK13-KHDK23</t>
  </si>
  <si>
    <t>1249.28</t>
  </si>
  <si>
    <t>190.90</t>
  </si>
  <si>
    <t>12.251051</t>
  </si>
  <si>
    <t>109.096426</t>
  </si>
  <si>
    <t>Diên Lâm-KHDK17</t>
  </si>
  <si>
    <t>12.26904</t>
  </si>
  <si>
    <t>109.0334</t>
  </si>
  <si>
    <t>12.27189</t>
  </si>
  <si>
    <t>109.04746</t>
  </si>
  <si>
    <t>FO thuê#CMC#KHDK25-KHDK17</t>
  </si>
  <si>
    <t>2.CA Diên Lạc - CA Diên Lâm</t>
  </si>
  <si>
    <t>1182.15</t>
  </si>
  <si>
    <t>3.39</t>
  </si>
  <si>
    <t>12.269048</t>
  </si>
  <si>
    <t>109.033370</t>
  </si>
  <si>
    <t>1178.76</t>
  </si>
  <si>
    <t>12.267572</t>
  </si>
  <si>
    <t>109.037552</t>
  </si>
  <si>
    <t>full_h04/Khánh Hòa/Thu thập EVN_Khánh Hòa/Route_Cấp 4/KH_RING 9/2.CA Diên Lạc - CA Diên Lâm/CA Diên Lạc - CA Diên Lâm_Đoạn cột trung thế_2</t>
  </si>
  <si>
    <t>Suối Hiệp-KHDK28</t>
  </si>
  <si>
    <t>12.22351</t>
  </si>
  <si>
    <t>109.085728</t>
  </si>
  <si>
    <t>FO thuê#CMC#KHDK06-KHDK28</t>
  </si>
  <si>
    <t>174.07</t>
  </si>
  <si>
    <t>2.33</t>
  </si>
  <si>
    <t>12.221002</t>
  </si>
  <si>
    <t>109.083788</t>
  </si>
  <si>
    <t>171.74</t>
  </si>
  <si>
    <t>12.222558</t>
  </si>
  <si>
    <t>109.084483</t>
  </si>
  <si>
    <t>full_h04/Khánh Hòa/Thu thập EVN_Khánh Hòa/Route_Cấp 4/KH_RING 10/1.CA Diên Khánh - CA Suối Hiệp/CA Diên Khánh - CA Suối Hiệp_Đoạn cột hạ thế</t>
  </si>
  <si>
    <t>Diên Lâm-KHDK24</t>
  </si>
  <si>
    <t>12.2569</t>
  </si>
  <si>
    <t>109.0574</t>
  </si>
  <si>
    <t>FO thuê#CMC#KHDK25-KHDK24</t>
  </si>
  <si>
    <t>894.46</t>
  </si>
  <si>
    <t>646.36</t>
  </si>
  <si>
    <t>12.263232</t>
  </si>
  <si>
    <t>109.033157</t>
  </si>
  <si>
    <t>248.11</t>
  </si>
  <si>
    <t>12.255091</t>
  </si>
  <si>
    <t>109.058737</t>
  </si>
  <si>
    <t>Diên Lâm-KHDK09</t>
  </si>
  <si>
    <t>12.26987</t>
  </si>
  <si>
    <t>109.01763</t>
  </si>
  <si>
    <t>FO thuê#CMC#KHDK25-KHDK09</t>
  </si>
  <si>
    <t>3.CA Diên Lâm - CA Bắc Khánh Vĩnh_Cột trung thế</t>
  </si>
  <si>
    <t>545.69</t>
  </si>
  <si>
    <t>3.20</t>
  </si>
  <si>
    <t>12.269061</t>
  </si>
  <si>
    <t>109.033380</t>
  </si>
  <si>
    <t>542.49</t>
  </si>
  <si>
    <t>12.274529</t>
  </si>
  <si>
    <t>109.019110</t>
  </si>
  <si>
    <t>full_h04/Khánh Hòa/Thu thập EVN_Khánh Hòa/Route_Cấp 4/KH_RING 9/3.CA Diên Lâm - CA Bắc Khánh Vĩnh_Cột trung thế/3.CA Diên Lâm - CA Bắc Khánh Vĩnh_Cột trung thế</t>
  </si>
  <si>
    <t>Diên Điền-KHDK33</t>
  </si>
  <si>
    <t>12.28390901</t>
  </si>
  <si>
    <t>109.108828</t>
  </si>
  <si>
    <t>FO thuê#CMC#KHDK08-KHDK33</t>
  </si>
  <si>
    <t>1.CA Diên Khánh - CA Diên Điền_Cột trung thế</t>
  </si>
  <si>
    <t>1324.18</t>
  </si>
  <si>
    <t>5.44</t>
  </si>
  <si>
    <t>12.276034</t>
  </si>
  <si>
    <t>109.120250</t>
  </si>
  <si>
    <t>1318.74</t>
  </si>
  <si>
    <t>12.273352</t>
  </si>
  <si>
    <t>109.114359</t>
  </si>
  <si>
    <t>full_h04/Khánh Hòa/Thu thập EVN_Khánh Hòa/Route_Cấp 4/KH_RING 8/1.CA Diên Khánh - CA Diên Điền_Cột trung thế/1.CA Diên Khánh - CA Diên Điền_Cột trung thế</t>
  </si>
  <si>
    <t>Bắc Nha Trang-KHNT4A</t>
  </si>
  <si>
    <t>12.28893201</t>
  </si>
  <si>
    <t>109.200351</t>
  </si>
  <si>
    <t>FO thuê#CMC#KHNT88-KHNT4A</t>
  </si>
  <si>
    <t>764.16</t>
  </si>
  <si>
    <t>763.31</t>
  </si>
  <si>
    <t>12.282397</t>
  </si>
  <si>
    <t>109.198201</t>
  </si>
  <si>
    <t>PC11a-KHNT3L</t>
  </si>
  <si>
    <t>12.18649</t>
  </si>
  <si>
    <t>109.158723</t>
  </si>
  <si>
    <t>FO thuê#CMC#KHNTMA01-KHNT3L</t>
  </si>
  <si>
    <t>1246.56</t>
  </si>
  <si>
    <t>1243.22</t>
  </si>
  <si>
    <t>12.189206</t>
  </si>
  <si>
    <t>109.169819</t>
  </si>
  <si>
    <t>PK02 cs1-KHNT95</t>
  </si>
  <si>
    <t>12.26984401</t>
  </si>
  <si>
    <t>109.18243</t>
  </si>
  <si>
    <t>FO thuê#CMC#KHNT94-KHNT95</t>
  </si>
  <si>
    <t>1024.07</t>
  </si>
  <si>
    <t>1022.79</t>
  </si>
  <si>
    <t>Bắc Nha Trang-KHNT1S</t>
  </si>
  <si>
    <t>12.28442601</t>
  </si>
  <si>
    <t>109.195839</t>
  </si>
  <si>
    <t>FO thuê#CMC#KHNT88-KHNT1S</t>
  </si>
  <si>
    <t>234.94</t>
  </si>
  <si>
    <t>234.06</t>
  </si>
  <si>
    <t>12.282329</t>
  </si>
  <si>
    <t>109.195653</t>
  </si>
  <si>
    <t>PC11a-KHNT4K</t>
  </si>
  <si>
    <t>12.17269401</t>
  </si>
  <si>
    <t>109.184329</t>
  </si>
  <si>
    <t>FO thuê#CMC#KHNTMA01-KHNT4K</t>
  </si>
  <si>
    <t>1.CAT Khánh Hòa - Cam Lâm</t>
  </si>
  <si>
    <t>536.67</t>
  </si>
  <si>
    <t>136.09</t>
  </si>
  <si>
    <t>12.175768</t>
  </si>
  <si>
    <t>109.174950</t>
  </si>
  <si>
    <t>400.58</t>
  </si>
  <si>
    <t>12.170889</t>
  </si>
  <si>
    <t>109.187518</t>
  </si>
  <si>
    <t>full_h04/Khánh Hòa/Thu thập EVN_Khánh Hòa/Route_Cấp 3/KH_RING 2/1.CAT Khánh Hòa - Cam Lâm/CAT Khánh Hòa - Cam Lâm_Đoạn cột trung thế_2</t>
  </si>
  <si>
    <t>Tây Nha Trang-KHNT3D</t>
  </si>
  <si>
    <t>12.25827501</t>
  </si>
  <si>
    <t>109.190817</t>
  </si>
  <si>
    <t>FO thuê#CMC#KHNT17-KHNT3D</t>
  </si>
  <si>
    <t>633.82</t>
  </si>
  <si>
    <t>424.42</t>
  </si>
  <si>
    <t>12.253059</t>
  </si>
  <si>
    <t>109.189777</t>
  </si>
  <si>
    <t>209.39</t>
  </si>
  <si>
    <t>12.259030</t>
  </si>
  <si>
    <t>109.189052</t>
  </si>
  <si>
    <t>full_h04/Khánh Hòa/Thu thập EVN_Khánh Hòa/Route_Cấp 3/KH_RING 6/1.CAT Khánh Hòa - PK02 cs1/CAT Khánh Hòa - PK02 cs1_Đoạn cột trung thế_1</t>
  </si>
  <si>
    <t>NTG Nha Trang cũ-KHNT21</t>
  </si>
  <si>
    <t>12.28057201</t>
  </si>
  <si>
    <t>109.194297</t>
  </si>
  <si>
    <t>FO thuê#CMC#KHNT79-KHNT21</t>
  </si>
  <si>
    <t>331.83</t>
  </si>
  <si>
    <t>125.35</t>
  </si>
  <si>
    <t>12.279657</t>
  </si>
  <si>
    <t>109.194971</t>
  </si>
  <si>
    <t>PC07-KHNT4B</t>
  </si>
  <si>
    <t>12.2380165</t>
  </si>
  <si>
    <t>109.1872048</t>
  </si>
  <si>
    <t>FO thuê#CMC#KHNT90-KHNT4B</t>
  </si>
  <si>
    <t>520087.22</t>
  </si>
  <si>
    <t>267503.03</t>
  </si>
  <si>
    <t>PC11a-KHNT4Q</t>
  </si>
  <si>
    <t>12.19975101</t>
  </si>
  <si>
    <t>109.177632</t>
  </si>
  <si>
    <t>FO thuê#CMC#KHNTMA01-KHNT4Q</t>
  </si>
  <si>
    <t>147.68</t>
  </si>
  <si>
    <t>144.34</t>
  </si>
  <si>
    <t>12.198800</t>
  </si>
  <si>
    <t>109.176728</t>
  </si>
  <si>
    <t>Tây Nha Trang-KHNT4M</t>
  </si>
  <si>
    <t>12.26323701</t>
  </si>
  <si>
    <t>109.183618</t>
  </si>
  <si>
    <t>FO thuê#CMC#KHNT17-KHNT4M</t>
  </si>
  <si>
    <t>1012.35</t>
  </si>
  <si>
    <t>2.37</t>
  </si>
  <si>
    <t>12.251134</t>
  </si>
  <si>
    <t>109.186421</t>
  </si>
  <si>
    <t>1009.98</t>
  </si>
  <si>
    <t>Suối Hiệp-Diên Lâm</t>
  </si>
  <si>
    <t>FO thuê#CMC#KHDK06-KHDK25</t>
  </si>
  <si>
    <t>3643.19</t>
  </si>
  <si>
    <t>2996.83</t>
  </si>
  <si>
    <t>PC11a-Suối Hiệp</t>
  </si>
  <si>
    <t>FO thuê#CMC#KHNTMA01-KHDK06</t>
  </si>
  <si>
    <t>9316.28</t>
  </si>
  <si>
    <t>4830.56</t>
  </si>
  <si>
    <t>12.209825</t>
  </si>
  <si>
    <t>109.146196</t>
  </si>
  <si>
    <t>4485.72</t>
  </si>
  <si>
    <t>12.183759</t>
  </si>
  <si>
    <t>109.099619</t>
  </si>
  <si>
    <t>full_h04/Khánh Hòa/Thu thập EVN_Khánh Hòa/Route_Cấp 3/KH_RING 2/5. Cam Phước Đông - CAT Khánh Hòa/Cam Phước Đông - CAT Khánh Hòa_Đoạn cột trung thế_3</t>
  </si>
  <si>
    <t>Tây Ninh Hòa-KHNH93</t>
  </si>
  <si>
    <t>12.54083</t>
  </si>
  <si>
    <t>109.0075</t>
  </si>
  <si>
    <t>12.55036</t>
  </si>
  <si>
    <t>109.02233</t>
  </si>
  <si>
    <t>FO thuê#CMC#KHNH06-KHNH93</t>
  </si>
  <si>
    <t>3.CA Tây Ninh Hòa - CA Hòa Trí</t>
  </si>
  <si>
    <t>145.04</t>
  </si>
  <si>
    <t>5.08</t>
  </si>
  <si>
    <t>12.540853</t>
  </si>
  <si>
    <t>109.007460</t>
  </si>
  <si>
    <t>139.96</t>
  </si>
  <si>
    <t>12.550335</t>
  </si>
  <si>
    <t>109.021041</t>
  </si>
  <si>
    <t>full_h04/Khánh Hòa/Thu thập EVN_Khánh Hòa/Route_Cấp 4/KH_RING 6/3.CA Tây Ninh Hòa - CA Hòa Trí/CA Tây Ninh Hòa - CA Hòa Trí_Đoạn cột trung thế_1</t>
  </si>
  <si>
    <t>Ninh Hòa-KHNH1C</t>
  </si>
  <si>
    <t>12.50973</t>
  </si>
  <si>
    <t>109.1375</t>
  </si>
  <si>
    <t>12.49985601</t>
  </si>
  <si>
    <t>109.1339041</t>
  </si>
  <si>
    <t>FO thuê#CMC#KHNH54-KHNH1C</t>
  </si>
  <si>
    <t>3.CA Tân Định - CA Ninh Hòa</t>
  </si>
  <si>
    <t>411.22</t>
  </si>
  <si>
    <t>297.85</t>
  </si>
  <si>
    <t>12.507178</t>
  </si>
  <si>
    <t>109.136665</t>
  </si>
  <si>
    <t>113.37</t>
  </si>
  <si>
    <t>12.500529</t>
  </si>
  <si>
    <t>109.133120</t>
  </si>
  <si>
    <t>full_h04/Khánh Hòa/Thu thập EVN_Khánh Hòa/Route_Cấp 4/KH_RING 5/3.CA Tân Định - CA Ninh Hòa/CA Tân Định - CA Ninh Hòa_Đoạn cột hạ thế_2</t>
  </si>
  <si>
    <t>Ninh Hòa-KHNH96</t>
  </si>
  <si>
    <t>12.48898</t>
  </si>
  <si>
    <t>109.119</t>
  </si>
  <si>
    <t>FO thuê#CMC#KHNH54-KHNH96</t>
  </si>
  <si>
    <t>1.CA Ninh Hòa - CA Hòa Thắng_Cột trung thế</t>
  </si>
  <si>
    <t>1582.27</t>
  </si>
  <si>
    <t>2.77</t>
  </si>
  <si>
    <t>12.509724</t>
  </si>
  <si>
    <t>109.137475</t>
  </si>
  <si>
    <t>1579.51</t>
  </si>
  <si>
    <t>12.481319</t>
  </si>
  <si>
    <t>109.131251</t>
  </si>
  <si>
    <t>full_h04/Khánh Hòa/Thu thập EVN_Khánh Hòa/Route_Cấp 4/KH_RING 5/1.CA Ninh Hòa - CA Hòa Thắng_Cột trung thế/1.CA Ninh Hòa - CA Hòa Thắng_Cột trung thế</t>
  </si>
  <si>
    <t>Cam An-KHCL55</t>
  </si>
  <si>
    <t>11.96294</t>
  </si>
  <si>
    <t>109.095</t>
  </si>
  <si>
    <t>11.965597</t>
  </si>
  <si>
    <t>109.093781</t>
  </si>
  <si>
    <t>FO thuê#CMC#KHCR27-KHCL55</t>
  </si>
  <si>
    <t>325.75</t>
  </si>
  <si>
    <t>3.61</t>
  </si>
  <si>
    <t>11.962966</t>
  </si>
  <si>
    <t>109.095020</t>
  </si>
  <si>
    <t>322.14</t>
  </si>
  <si>
    <t>full_h04/Khánh Hòa/Thu thập EVN_Khánh Hòa/Route_Cấp 4/KH_RING 2/2.CA Bắc Cam Ranh - CA Cam An/CA Bắc Cam Ranh - CA Cam An_Đoạn cột hạ thế_3</t>
  </si>
  <si>
    <t>Cam Ranh-KHCR77</t>
  </si>
  <si>
    <t>11.92552</t>
  </si>
  <si>
    <t>109.1637</t>
  </si>
  <si>
    <t>11.91436</t>
  </si>
  <si>
    <t>109.14944</t>
  </si>
  <si>
    <t>FO thuê#CMC#KHCR52-KHCR77</t>
  </si>
  <si>
    <t>1.CA Cam Ranh - CA Cam Linh</t>
  </si>
  <si>
    <t>754.89</t>
  </si>
  <si>
    <t>313.88</t>
  </si>
  <si>
    <t>11.923000</t>
  </si>
  <si>
    <t>109.165000</t>
  </si>
  <si>
    <t>441.01</t>
  </si>
  <si>
    <t>11.911316</t>
  </si>
  <si>
    <t>109.152038</t>
  </si>
  <si>
    <t>full_h04/Khánh Hòa/Thu thập EVN_Khánh Hòa/Route_Cấp 4/KH_RING 3/1.CA Cam Ranh - CA Cam Linh/CA Cam Ranh - CA Cam Linh_Đoạn cột trung thế</t>
  </si>
  <si>
    <t>Ninh Hòa-KHNH1E</t>
  </si>
  <si>
    <t>12.48759</t>
  </si>
  <si>
    <t>109.13198</t>
  </si>
  <si>
    <t>FO thuê#CMC#KHNH54-KHNH1E</t>
  </si>
  <si>
    <t>273.39</t>
  </si>
  <si>
    <t>270.63</t>
  </si>
  <si>
    <t>12.486466</t>
  </si>
  <si>
    <t>109.134191</t>
  </si>
  <si>
    <t>PC07-KHNT6D</t>
  </si>
  <si>
    <t>12.23900441</t>
  </si>
  <si>
    <t>109.1861532</t>
  </si>
  <si>
    <t>FO thuê#CMC#KHNT90-KHNT6D</t>
  </si>
  <si>
    <t>519936.28</t>
  </si>
  <si>
    <t>267352.08</t>
  </si>
  <si>
    <t>PC07-KHNT2B</t>
  </si>
  <si>
    <t>12.2443602</t>
  </si>
  <si>
    <t>109.1957346</t>
  </si>
  <si>
    <t>FO thuê#CMC#KHNT90-KHNT2B</t>
  </si>
  <si>
    <t>519909.29</t>
  </si>
  <si>
    <t>267325.09</t>
  </si>
  <si>
    <t>PC07-KHNT1H</t>
  </si>
  <si>
    <t>12.2392592</t>
  </si>
  <si>
    <t>109.191774</t>
  </si>
  <si>
    <t>FO thuê#CMC#KHNT90-KHNT1H</t>
  </si>
  <si>
    <t>520201.97</t>
  </si>
  <si>
    <t>267617.77</t>
  </si>
  <si>
    <t>PA08-KHNT1I</t>
  </si>
  <si>
    <t>12.2390501</t>
  </si>
  <si>
    <t>109.181202</t>
  </si>
  <si>
    <t>FO thuê#CMC#KHNT25-KHNT1I</t>
  </si>
  <si>
    <t>516735.24</t>
  </si>
  <si>
    <t>249642.72</t>
  </si>
  <si>
    <t>267092.52</t>
  </si>
  <si>
    <t>PA08-KHNT1J</t>
  </si>
  <si>
    <t>12.24395251</t>
  </si>
  <si>
    <t>109.1803282</t>
  </si>
  <si>
    <t>FO thuê#CMC#KHNT25-KHNT1J</t>
  </si>
  <si>
    <t>516210.17</t>
  </si>
  <si>
    <t>266567.44</t>
  </si>
  <si>
    <t>PC08 csc-KHNT1K</t>
  </si>
  <si>
    <t>12.25090401</t>
  </si>
  <si>
    <t>109.177954</t>
  </si>
  <si>
    <t>FO thuê#CMC#KHNT05-KHNT1K</t>
  </si>
  <si>
    <t>94.89</t>
  </si>
  <si>
    <t>80.62</t>
  </si>
  <si>
    <t>12.249428</t>
  </si>
  <si>
    <t>109.184727</t>
  </si>
  <si>
    <t>14.27</t>
  </si>
  <si>
    <t>12.250778</t>
  </si>
  <si>
    <t>109.177980</t>
  </si>
  <si>
    <t>full_h04/Khánh Hòa/Thu thập EVN_Khánh Hòa/Route_Cấp 3/KH_RING 4/3. Trại giam A2 - CATP Nha trang cũ/Trại giam A2 - CATP Nha trang cũ_Đoạn cột trung thế_8</t>
  </si>
  <si>
    <t>PA06 cs2-KHNT1U</t>
  </si>
  <si>
    <t>12.236069</t>
  </si>
  <si>
    <t>109.1867344</t>
  </si>
  <si>
    <t>FO thuê#CMC#KHNT55-KHNT1U</t>
  </si>
  <si>
    <t>2.PC07 - PA06 cs2_Cột hạ thế</t>
  </si>
  <si>
    <t>134.29</t>
  </si>
  <si>
    <t>4.67</t>
  </si>
  <si>
    <t>12.236451</t>
  </si>
  <si>
    <t>109.184562</t>
  </si>
  <si>
    <t>129.63</t>
  </si>
  <si>
    <t>12.236749</t>
  </si>
  <si>
    <t>109.185765</t>
  </si>
  <si>
    <t>full_h04/Khánh Hòa/Thu thập EVN_Khánh Hòa/Route_Cấp 3/KH_RING 5/2.PC07 - PA06 cs2_Cột hạ thế/2.PC07 - PA06 cs2_Cột hạ thế</t>
  </si>
  <si>
    <t>PA08-KHNT1V</t>
  </si>
  <si>
    <t>12.24066</t>
  </si>
  <si>
    <t>109.18532</t>
  </si>
  <si>
    <t>FO thuê#CMC#KHNT25-KHNT1V</t>
  </si>
  <si>
    <t>516789.80</t>
  </si>
  <si>
    <t>267147.08</t>
  </si>
  <si>
    <t>PA08-KHNT47</t>
  </si>
  <si>
    <t>12.24512014</t>
  </si>
  <si>
    <t>109.1836333</t>
  </si>
  <si>
    <t>FO thuê#CMC#KHNT25-KHNT47</t>
  </si>
  <si>
    <t>516266.32</t>
  </si>
  <si>
    <t>266623.59</t>
  </si>
  <si>
    <t>PA06 cs2-KHNT89</t>
  </si>
  <si>
    <t>12.22998172</t>
  </si>
  <si>
    <t>109.1822861</t>
  </si>
  <si>
    <t>FO thuê#CMC#KHNT55-KHNT89</t>
  </si>
  <si>
    <t>609.57</t>
  </si>
  <si>
    <t>15.81</t>
  </si>
  <si>
    <t>12.236330</t>
  </si>
  <si>
    <t>109.184576</t>
  </si>
  <si>
    <t>593.76</t>
  </si>
  <si>
    <t>12.235100</t>
  </si>
  <si>
    <t>109.183842</t>
  </si>
  <si>
    <t>full_h04/Khánh Hòa/Thu thập EVN_Khánh Hòa/Route_Cấp 3/KH_RING 5/3.PA06 cs2 - PC11a/PA06 cs2 - PC11a_Đoạn cột hạ thế</t>
  </si>
  <si>
    <t>NTG Nha Trang cũ-KHNT4P</t>
  </si>
  <si>
    <t>12.27974401</t>
  </si>
  <si>
    <t>109.197704</t>
  </si>
  <si>
    <t>FO thuê#CMC#KHNT79-KHNT4P</t>
  </si>
  <si>
    <t>478.09</t>
  </si>
  <si>
    <t>271.61</t>
  </si>
  <si>
    <t>12.279789</t>
  </si>
  <si>
    <t>109.195205</t>
  </si>
  <si>
    <t>Cam Hiệp-KHCL40</t>
  </si>
  <si>
    <t>12.03192</t>
  </si>
  <si>
    <t>109.1282</t>
  </si>
  <si>
    <t>12.0483501</t>
  </si>
  <si>
    <t>109.12726</t>
  </si>
  <si>
    <t>FO thuê#CMC#KHCL02-KHCL40</t>
  </si>
  <si>
    <t>4.CA Cam Hiệp - CA Cam Lâm_Cột trung thế</t>
  </si>
  <si>
    <t>140.83</t>
  </si>
  <si>
    <t>1.04</t>
  </si>
  <si>
    <t>12.031929</t>
  </si>
  <si>
    <t>109.128201</t>
  </si>
  <si>
    <t>139.79</t>
  </si>
  <si>
    <t>12.047109</t>
  </si>
  <si>
    <t>109.127058</t>
  </si>
  <si>
    <t>full_h04/Khánh Hòa/Thu thập EVN_Khánh Hòa/Route_Cấp 4/KH_RING 2/4.CA Cam Hiệp - CA Cam Lâm_Cột trung thế/4.CA Cam Hiệp - CA Cam Lâm_Cột trung thế</t>
  </si>
  <si>
    <t>Ninh Hòa-KHNH84</t>
  </si>
  <si>
    <t>12.48151</t>
  </si>
  <si>
    <t>109.12602</t>
  </si>
  <si>
    <t>FO thuê#CMC#KHNH54-KHNH84</t>
  </si>
  <si>
    <t>571.13</t>
  </si>
  <si>
    <t>568.36</t>
  </si>
  <si>
    <t>Ninh Hòa-KHNH85</t>
  </si>
  <si>
    <t>12.49907</t>
  </si>
  <si>
    <t>109.15372</t>
  </si>
  <si>
    <t>FO thuê#CMC#KHNH54-KHNH85</t>
  </si>
  <si>
    <t>5.Trạm CSGT Ninh An cũ - Ninh Hòa</t>
  </si>
  <si>
    <t>626.52</t>
  </si>
  <si>
    <t>2.76</t>
  </si>
  <si>
    <t>12.509732</t>
  </si>
  <si>
    <t>623.76</t>
  </si>
  <si>
    <t>12.504679</t>
  </si>
  <si>
    <t>109.153633</t>
  </si>
  <si>
    <t>full_h04/Khánh Hòa/Thu thập EVN_Khánh Hòa/Route_Cấp 3/KH_RING 6/5.Trạm CSGT Ninh An cũ - Ninh Hòa/Trạm CSGT Ninh An cũ - Ninh Hòa_Đoạn cột trung thế</t>
  </si>
  <si>
    <t>Vạn Ninh-KHVN39</t>
  </si>
  <si>
    <t>12.69077</t>
  </si>
  <si>
    <t>109.2209</t>
  </si>
  <si>
    <t>12.68866</t>
  </si>
  <si>
    <t>109.22417</t>
  </si>
  <si>
    <t>FO thuê#CMC#KHVN04-KHVN39</t>
  </si>
  <si>
    <t>4.CA Vạn Hưng - CA Vạn Ninh</t>
  </si>
  <si>
    <t>431.92</t>
  </si>
  <si>
    <t>3.45</t>
  </si>
  <si>
    <t>12.690776</t>
  </si>
  <si>
    <t>109.220869</t>
  </si>
  <si>
    <t>428.48</t>
  </si>
  <si>
    <t>full_h04/Khánh Hòa/Thu thập EVN_Khánh Hòa/Route_Cấp 4/KH_RING 4/4.CA Vạn Hưng - CA Vạn Ninh/CA Vạn Hưng - CA Vạn Ninh_Đoạn cột hạ thế</t>
  </si>
  <si>
    <t>Cam Ranh-KHCL03</t>
  </si>
  <si>
    <t>11.99699</t>
  </si>
  <si>
    <t>109.12421</t>
  </si>
  <si>
    <t>FO thuê#CMC#KHCR52-KHCL03</t>
  </si>
  <si>
    <t>5280.19</t>
  </si>
  <si>
    <t>274.23</t>
  </si>
  <si>
    <t>11.925938</t>
  </si>
  <si>
    <t>109.161216</t>
  </si>
  <si>
    <t>5005.96</t>
  </si>
  <si>
    <t>11.960527</t>
  </si>
  <si>
    <t>109.097217</t>
  </si>
  <si>
    <t>PC11a-Cam Lâm</t>
  </si>
  <si>
    <t>12.07444</t>
  </si>
  <si>
    <t>109.1681</t>
  </si>
  <si>
    <t>FO thuê#CMC#KHNTMA01-KHCLMA01</t>
  </si>
  <si>
    <t>138.12</t>
  </si>
  <si>
    <t>2.03</t>
  </si>
  <si>
    <t>12.074439</t>
  </si>
  <si>
    <t>109.168081</t>
  </si>
  <si>
    <t>Cam Phước Đông-KHCR19</t>
  </si>
  <si>
    <t>11.99443734</t>
  </si>
  <si>
    <t>109.1526529</t>
  </si>
  <si>
    <t>FO thuê#CMC#KHCR47-KHCR19</t>
  </si>
  <si>
    <t>4045.15</t>
  </si>
  <si>
    <t>3421.38</t>
  </si>
  <si>
    <t>11.972379</t>
  </si>
  <si>
    <t>109.112890</t>
  </si>
  <si>
    <t>623.77</t>
  </si>
  <si>
    <t>11.989046</t>
  </si>
  <si>
    <t>109.151068</t>
  </si>
  <si>
    <t>Cam Ranh-KHCR49</t>
  </si>
  <si>
    <t>11.91870901</t>
  </si>
  <si>
    <t>109.145014</t>
  </si>
  <si>
    <t>FO thuê#CMC#KHCR52-KHCR49</t>
  </si>
  <si>
    <t>4.CA Nam Cam Ranh - CA Cam Ranh</t>
  </si>
  <si>
    <t>476.19</t>
  </si>
  <si>
    <t>271.76</t>
  </si>
  <si>
    <t>11.925971</t>
  </si>
  <si>
    <t>109.161245</t>
  </si>
  <si>
    <t>204.42</t>
  </si>
  <si>
    <t>11.920406</t>
  </si>
  <si>
    <t>109.144291</t>
  </si>
  <si>
    <t>full_h04/Khánh Hòa/Thu thập EVN_Khánh Hòa/Route_Cấp 4/KH_RING 3/4.CA Nam Cam Ranh - CA Cam Ranh/CA Nam Cam Ranh - CA Cam Ranh_Đoạn cột trung thế_3</t>
  </si>
  <si>
    <t>Cam Hiệp-KHCL47</t>
  </si>
  <si>
    <t>12.06328</t>
  </si>
  <si>
    <t>109.1601</t>
  </si>
  <si>
    <t>FO thuê#CMC#KHCL02-KHCL47</t>
  </si>
  <si>
    <t>881.07</t>
  </si>
  <si>
    <t>880.03</t>
  </si>
  <si>
    <t>12.070831</t>
  </si>
  <si>
    <t>109.157676</t>
  </si>
  <si>
    <t>Cam An-Cam Hiệp</t>
  </si>
  <si>
    <t>FO thuê#CMC#KHCR27-KHCL02</t>
  </si>
  <si>
    <t>3.CA Cam An - CA Cam Hiệp</t>
  </si>
  <si>
    <t>2215.62</t>
  </si>
  <si>
    <t>2211.21</t>
  </si>
  <si>
    <t>11.972360</t>
  </si>
  <si>
    <t>109.112902</t>
  </si>
  <si>
    <t>4.41</t>
  </si>
  <si>
    <t>12.031930</t>
  </si>
  <si>
    <t>109.128161</t>
  </si>
  <si>
    <t>full_h04/Khánh Hòa/Thu thập EVN_Khánh Hòa/Route_Cấp 4/KH_RING 2/3.CA Cam An - CA Cam Hiệp/CA Cam An - CA Cam Hiệp_Đoạn cột trung thế_2</t>
  </si>
  <si>
    <t>Cam Ranh-KHCR14</t>
  </si>
  <si>
    <t>11.90960356</t>
  </si>
  <si>
    <t>109.1272345</t>
  </si>
  <si>
    <t>FO thuê#CMC#KHCR52-KHCR14</t>
  </si>
  <si>
    <t>370.23</t>
  </si>
  <si>
    <t>98.47</t>
  </si>
  <si>
    <t>11.908733</t>
  </si>
  <si>
    <t>109.127402</t>
  </si>
  <si>
    <t>Cam Linh-KHCR04</t>
  </si>
  <si>
    <t>11.90677</t>
  </si>
  <si>
    <t>109.1464</t>
  </si>
  <si>
    <t>11.83796801</t>
  </si>
  <si>
    <t>109.111695</t>
  </si>
  <si>
    <t>FO thuê#CMC#KHCR18-KHCR04</t>
  </si>
  <si>
    <t>5756.97</t>
  </si>
  <si>
    <t>1211.77</t>
  </si>
  <si>
    <t>11.915802</t>
  </si>
  <si>
    <t>109.140168</t>
  </si>
  <si>
    <t>4545.20</t>
  </si>
  <si>
    <t>11.878836</t>
  </si>
  <si>
    <t>109.110860</t>
  </si>
  <si>
    <t>Cam Ranh-Cam Linh</t>
  </si>
  <si>
    <t>FO thuê#CMC#KHCR52-KHCR18</t>
  </si>
  <si>
    <t>318.01</t>
  </si>
  <si>
    <t>4.13</t>
  </si>
  <si>
    <t>11.906758</t>
  </si>
  <si>
    <t>109.146364</t>
  </si>
  <si>
    <t>Bắc Cam Ranh-KHCL18</t>
  </si>
  <si>
    <t>12.0299</t>
  </si>
  <si>
    <t>109.1773</t>
  </si>
  <si>
    <t>FO thuê#CMC#KHCR02-KHCL18</t>
  </si>
  <si>
    <t>2.Cam Lâm - Cam Ranh</t>
  </si>
  <si>
    <t>1218.65</t>
  </si>
  <si>
    <t>674.90</t>
  </si>
  <si>
    <t>11.970426</t>
  </si>
  <si>
    <t>109.192857</t>
  </si>
  <si>
    <t>543.75</t>
  </si>
  <si>
    <t>12.034097</t>
  </si>
  <si>
    <t>109.174734</t>
  </si>
  <si>
    <t>full_h04/Khánh Hòa/Thu thập EVN_Khánh Hòa/Route_Cấp 3/KH_RING 2/2.Cam Lâm - Cam Ranh/Cam Lâm - Cam Ranh_Đoạn cột trung thế</t>
  </si>
  <si>
    <t>Cam Lâm-KHCL17</t>
  </si>
  <si>
    <t>12.11886</t>
  </si>
  <si>
    <t>109.1134173</t>
  </si>
  <si>
    <t>FO thuê#CMC#KHCLMA01-KHCL17</t>
  </si>
  <si>
    <t>1833.46</t>
  </si>
  <si>
    <t>1719.35</t>
  </si>
  <si>
    <t>12.075379</t>
  </si>
  <si>
    <t>109.152317</t>
  </si>
  <si>
    <t>114.11</t>
  </si>
  <si>
    <t>12.118789</t>
  </si>
  <si>
    <t>109.112370</t>
  </si>
  <si>
    <t>full_h04/Khánh Hòa/Thu thập EVN_Khánh Hòa/Route_Cấp 3/KH_RING 2/5. Cam Phước Đông - CAT Khánh Hòa/Cam Phước Đông - CAT Khánh Hòa_Đoạn cột trung thế_2</t>
  </si>
  <si>
    <t>Bắc Cam Ranh-KHCR53</t>
  </si>
  <si>
    <t>11.94227001</t>
  </si>
  <si>
    <t>109.17915</t>
  </si>
  <si>
    <t>FO thuê#CMC#KHCR02-KHCR53</t>
  </si>
  <si>
    <t>1.CA Cam Ranh - CA Bắc Cam Ranh</t>
  </si>
  <si>
    <t>297.57</t>
  </si>
  <si>
    <t>125.41</t>
  </si>
  <si>
    <t>11.976637</t>
  </si>
  <si>
    <t>109.195647</t>
  </si>
  <si>
    <t>172.16</t>
  </si>
  <si>
    <t>11.943080</t>
  </si>
  <si>
    <t>109.180499</t>
  </si>
  <si>
    <t>full_h04/Khánh Hòa/Thu thập EVN_Khánh Hòa/Route_Cấp 4/KH_RING 2/1.CA Cam Ranh - CA Bắc Cam Ranh/CA Cam Ranh - CA Bắc Cam Ranh_Đoạn trung thế</t>
  </si>
  <si>
    <t>Cảng HKQT Cam Ranh-Bắc Cam Ranh</t>
  </si>
  <si>
    <t>11.99821</t>
  </si>
  <si>
    <t>109.2188</t>
  </si>
  <si>
    <t>FO thuê#CMC#KHCR10-KHCR02</t>
  </si>
  <si>
    <t>Tuyến nhánh CA Bắc Cam Ranh - Cảng HKQT Cam Ranh</t>
  </si>
  <si>
    <t>2620.93</t>
  </si>
  <si>
    <t>2497.87</t>
  </si>
  <si>
    <t>11.984549</t>
  </si>
  <si>
    <t>109.200570</t>
  </si>
  <si>
    <t>123.07</t>
  </si>
  <si>
    <t>11.976625</t>
  </si>
  <si>
    <t>109.195673</t>
  </si>
  <si>
    <t>full_h04/Khánh Hòa/Thu thập EVN_Khánh Hòa/Route_Cấp 4/KH_RING 2/Tuyến nhánh CA Bắc Cam Ranh - Cảng HKQT Cam Ranh/CA Bắc Cam Ranh - Cảng HKQT Cam Ranh_Đoạn cột trung thế_1</t>
  </si>
  <si>
    <t>Cam Lâm-Cảng HKQT Cam Ranh</t>
  </si>
  <si>
    <t>FO thuê#CMC#KHCLMA01-KHCR10</t>
  </si>
  <si>
    <t>3017.86</t>
  </si>
  <si>
    <t>5.32</t>
  </si>
  <si>
    <t>12.074472</t>
  </si>
  <si>
    <t>109.168063</t>
  </si>
  <si>
    <t>3012.54</t>
  </si>
  <si>
    <t>11.992822</t>
  </si>
  <si>
    <t>109.191656</t>
  </si>
  <si>
    <t>Cảng HKQT Cam Ranh-KHCL33</t>
  </si>
  <si>
    <t>12.0551579</t>
  </si>
  <si>
    <t>109.1992261</t>
  </si>
  <si>
    <t>FO thuê#CMC#KHCR10-KHCL33</t>
  </si>
  <si>
    <t>6114.73</t>
  </si>
  <si>
    <t>5.18</t>
  </si>
  <si>
    <t>11.998255</t>
  </si>
  <si>
    <t>109.218788</t>
  </si>
  <si>
    <t>6109.55</t>
  </si>
  <si>
    <t>12.001107</t>
  </si>
  <si>
    <t>109.209318</t>
  </si>
  <si>
    <t>full_h04/Khánh Hòa/Thu thập EVN_Khánh Hòa/Route_Cấp 4/KH_RING 2/Tuyến nhánh CA Bắc Cam Ranh - Cảng HKQT Cam Ranh/CA Bắc Cam Ranh - Cảng HKQT Cam Ranh_Đoạn ngầm_2</t>
  </si>
  <si>
    <t>Cam Hiệp-KHCL09</t>
  </si>
  <si>
    <t>12.0107571</t>
  </si>
  <si>
    <t>109.0860198</t>
  </si>
  <si>
    <t>FO thuê#CMC#KHCL02-KHCL09</t>
  </si>
  <si>
    <t>4303.41</t>
  </si>
  <si>
    <t>4299.01</t>
  </si>
  <si>
    <t>12.006541</t>
  </si>
  <si>
    <t>109.125311</t>
  </si>
  <si>
    <t>Cam Hiệp-KHCL13</t>
  </si>
  <si>
    <t>12.0156218</t>
  </si>
  <si>
    <t>109.113312</t>
  </si>
  <si>
    <t>FO thuê#CMC#KHCL02-KHCL13</t>
  </si>
  <si>
    <t>1580.41</t>
  </si>
  <si>
    <t>1576.01</t>
  </si>
  <si>
    <t>12.008963</t>
  </si>
  <si>
    <t>109.126104</t>
  </si>
  <si>
    <t>Cam Ranh-KHCR17</t>
  </si>
  <si>
    <t>11.91789</t>
  </si>
  <si>
    <t>109.15163</t>
  </si>
  <si>
    <t>FO thuê#CMC#KHCR52-KHCR17</t>
  </si>
  <si>
    <t>557.99</t>
  </si>
  <si>
    <t>286.23</t>
  </si>
  <si>
    <t>11.920144</t>
  </si>
  <si>
    <t>109.150360</t>
  </si>
  <si>
    <t>Cam Linh-KHCR34</t>
  </si>
  <si>
    <t>11.9030769</t>
  </si>
  <si>
    <t>109.1457086</t>
  </si>
  <si>
    <t>FO thuê#CMC#KHCR18-KHCR34</t>
  </si>
  <si>
    <t>2.CA Cam Linh - CA Ba Ngòi</t>
  </si>
  <si>
    <t>314.65</t>
  </si>
  <si>
    <t>11.906751</t>
  </si>
  <si>
    <t>109.146369</t>
  </si>
  <si>
    <t>310.65</t>
  </si>
  <si>
    <t>11.905789</t>
  </si>
  <si>
    <t>109.145025</t>
  </si>
  <si>
    <t>full_h04/Khánh Hòa/Thu thập EVN_Khánh Hòa/Route_Cấp 4/KH_RING 3/2.CA Cam Linh - CA Ba Ngòi/CA Cam Linh - CA Ba Ngòi_Đoạn cột trung thế</t>
  </si>
  <si>
    <t>Cam Ranh-KHCR33</t>
  </si>
  <si>
    <t>11.91452</t>
  </si>
  <si>
    <t>109.15903</t>
  </si>
  <si>
    <t>FO thuê#CMC#KHCR52-KHCR33</t>
  </si>
  <si>
    <t>1033.25</t>
  </si>
  <si>
    <t>719.36</t>
  </si>
  <si>
    <t>11.920300</t>
  </si>
  <si>
    <t>109.162000</t>
  </si>
  <si>
    <t>Bắc Cam Ranh-KHCR25</t>
  </si>
  <si>
    <t>11.98831</t>
  </si>
  <si>
    <t>109.1746</t>
  </si>
  <si>
    <t>FO thuê#CMC#KHCR02-KHCR25</t>
  </si>
  <si>
    <t>260.36</t>
  </si>
  <si>
    <t>135.35</t>
  </si>
  <si>
    <t>11.987181</t>
  </si>
  <si>
    <t>109.174135</t>
  </si>
  <si>
    <t>Cam Linh-KHCR36</t>
  </si>
  <si>
    <t>11.90945</t>
  </si>
  <si>
    <t>109.14203</t>
  </si>
  <si>
    <t>FO thuê#CMC#KHCR18-KHCR36</t>
  </si>
  <si>
    <t>19.85</t>
  </si>
  <si>
    <t>15.86</t>
  </si>
  <si>
    <t>11.909582</t>
  </si>
  <si>
    <t>109.141975</t>
  </si>
  <si>
    <t>Cam Ranh-KHCR37</t>
  </si>
  <si>
    <t>11.90782</t>
  </si>
  <si>
    <t>109.15242</t>
  </si>
  <si>
    <t>FO thuê#CMC#KHCR52-KHCR37</t>
  </si>
  <si>
    <t>636.01</t>
  </si>
  <si>
    <t>322.13</t>
  </si>
  <si>
    <t>11.909857</t>
  </si>
  <si>
    <t>109.150314</t>
  </si>
  <si>
    <t>Cam An-KHCR70</t>
  </si>
  <si>
    <t>11.95555662</t>
  </si>
  <si>
    <t>109.1041677</t>
  </si>
  <si>
    <t>FO thuê#CMC#KHCR27-KHCR70</t>
  </si>
  <si>
    <t>221.84</t>
  </si>
  <si>
    <t>134.52</t>
  </si>
  <si>
    <t>11.962003</t>
  </si>
  <si>
    <t>109.094218</t>
  </si>
  <si>
    <t>87.33</t>
  </si>
  <si>
    <t>11.955971</t>
  </si>
  <si>
    <t>109.103486</t>
  </si>
  <si>
    <t>KHVN53-Vạn Ninh</t>
  </si>
  <si>
    <t>12.7108</t>
  </si>
  <si>
    <t>109.23668</t>
  </si>
  <si>
    <t>FO thuê#VNPT#KHVN53-KHVN04</t>
  </si>
  <si>
    <t>1.CA Vạn Ninh - CA Vạn Thắng_Cột trung thế</t>
  </si>
  <si>
    <t>667.15</t>
  </si>
  <si>
    <t>663.57</t>
  </si>
  <si>
    <t>12.704838</t>
  </si>
  <si>
    <t>109.236941</t>
  </si>
  <si>
    <t>3.57</t>
  </si>
  <si>
    <t>12.690783</t>
  </si>
  <si>
    <t>109.220870</t>
  </si>
  <si>
    <t>full_h04/Khánh Hòa/Thu thập EVN_Khánh Hòa/Route_Cấp 4/KH_RING 7/1.CA Vạn Ninh - CA Vạn Thắng_Cột trung thế/1.CA Vạn Ninh - CA Vạn Thắng_Cột trung thế</t>
  </si>
  <si>
    <t>KHVN38-Vạn Ninh</t>
  </si>
  <si>
    <t>12.72197</t>
  </si>
  <si>
    <t>109.23442</t>
  </si>
  <si>
    <t>FO thuê#VNPT#KHVN38-KHVN04</t>
  </si>
  <si>
    <t>4.CA Đại Lãnh - CA Vạn Ninh</t>
  </si>
  <si>
    <t>533.33</t>
  </si>
  <si>
    <t>46.30</t>
  </si>
  <si>
    <t>12.721617</t>
  </si>
  <si>
    <t>109.234646</t>
  </si>
  <si>
    <t>487.03</t>
  </si>
  <si>
    <t>12.693424</t>
  </si>
  <si>
    <t>109.217328</t>
  </si>
  <si>
    <t>full_h04/Khánh Hòa/Thu thập EVN_Khánh Hòa/Route_Cấp 4/KH_RING 7/4.CA Đại Lãnh - CA Vạn Ninh/CA Đại Lãnh - CA Vạn Ninh_Đoạn cột trung thế_1</t>
  </si>
  <si>
    <t>KHVN50-Vạn Ninh</t>
  </si>
  <si>
    <t>12.71453</t>
  </si>
  <si>
    <t>109.2534</t>
  </si>
  <si>
    <t>FO thuê#VNPT#KHVN50-KHVN04</t>
  </si>
  <si>
    <t>1805.95</t>
  </si>
  <si>
    <t>1318.92</t>
  </si>
  <si>
    <t>12.726119</t>
  </si>
  <si>
    <t>109.255991</t>
  </si>
  <si>
    <t>KHVN22-Vạn Ninh</t>
  </si>
  <si>
    <t>12.70296</t>
  </si>
  <si>
    <t>109.22034</t>
  </si>
  <si>
    <t>FO thuê#VNPT#KHVN22-KHVN04</t>
  </si>
  <si>
    <t>640.53</t>
  </si>
  <si>
    <t>636.96</t>
  </si>
  <si>
    <t>12.699181</t>
  </si>
  <si>
    <t>109.224753</t>
  </si>
  <si>
    <t>KHVN47-Vạn Ninh</t>
  </si>
  <si>
    <t>12.70494</t>
  </si>
  <si>
    <t>109.24838</t>
  </si>
  <si>
    <t>FO thuê#VNPT#KHVN47-KHVN04</t>
  </si>
  <si>
    <t>1216.41</t>
  </si>
  <si>
    <t>1212.84</t>
  </si>
  <si>
    <t>12.704770</t>
  </si>
  <si>
    <t>109.237200</t>
  </si>
  <si>
    <t>KHDK44-Diên Lâm</t>
  </si>
  <si>
    <t>12.2704521</t>
  </si>
  <si>
    <t>109.0337186</t>
  </si>
  <si>
    <t>FO thuê#VNPT#KHDK44-KHDK25</t>
  </si>
  <si>
    <t>129.19</t>
  </si>
  <si>
    <t>125.99</t>
  </si>
  <si>
    <t>12.269342</t>
  </si>
  <si>
    <t>109.033485</t>
  </si>
  <si>
    <t>KHDK41-Nhà tạm giam Diên Khánh</t>
  </si>
  <si>
    <t>12.2585011</t>
  </si>
  <si>
    <t>109.0813154</t>
  </si>
  <si>
    <t>FO thuê#VNPT#KHDK41-KHDK13</t>
  </si>
  <si>
    <t>732.69</t>
  </si>
  <si>
    <t>725.47</t>
  </si>
  <si>
    <t>12.253289</t>
  </si>
  <si>
    <t>109.077300</t>
  </si>
  <si>
    <t>KHDK47-Suối Hiệp</t>
  </si>
  <si>
    <t>12.20177801</t>
  </si>
  <si>
    <t>109.063683</t>
  </si>
  <si>
    <t>FO thuê#VNPT#KHDK47-KHDK06</t>
  </si>
  <si>
    <t>845.12</t>
  </si>
  <si>
    <t>691.22</t>
  </si>
  <si>
    <t>12.197663</t>
  </si>
  <si>
    <t>109.068449</t>
  </si>
  <si>
    <t>KHCL36-Cam Hiệp</t>
  </si>
  <si>
    <t>12.01606101</t>
  </si>
  <si>
    <t>109.128601</t>
  </si>
  <si>
    <t>FO thuê#VNPT#KHCL36-KHCL02</t>
  </si>
  <si>
    <t>586.94</t>
  </si>
  <si>
    <t>426.11</t>
  </si>
  <si>
    <t>12.012766</t>
  </si>
  <si>
    <t>109.126600</t>
  </si>
  <si>
    <t>160.83</t>
  </si>
  <si>
    <t>12.033222</t>
  </si>
  <si>
    <t>109.128844</t>
  </si>
  <si>
    <t>KHCL65-Cam Lâm</t>
  </si>
  <si>
    <t>12.09608612</t>
  </si>
  <si>
    <t>109.1916937</t>
  </si>
  <si>
    <t>FO thuê#VNPT#KHCL65-KHCLMA01</t>
  </si>
  <si>
    <t>351.58</t>
  </si>
  <si>
    <t>349.55</t>
  </si>
  <si>
    <t>12.096610</t>
  </si>
  <si>
    <t>109.188524</t>
  </si>
  <si>
    <t>KHCL66-Cam Lâm</t>
  </si>
  <si>
    <t>12.07798701</t>
  </si>
  <si>
    <t>109.196856</t>
  </si>
  <si>
    <t>FO thuê#VNPT#KHCL66-KHCLMA01</t>
  </si>
  <si>
    <t>1166.83</t>
  </si>
  <si>
    <t>1164.80</t>
  </si>
  <si>
    <t>12.085071</t>
  </si>
  <si>
    <t>109.188964</t>
  </si>
  <si>
    <t>KHCR64-Cam Linh</t>
  </si>
  <si>
    <t>11.9069515</t>
  </si>
  <si>
    <t>109.1477022</t>
  </si>
  <si>
    <t>FO thuê#VNPT#KHCR64-KHCR18</t>
  </si>
  <si>
    <t>132.86</t>
  </si>
  <si>
    <t>128.73</t>
  </si>
  <si>
    <t>11.906952</t>
  </si>
  <si>
    <t>109.146519</t>
  </si>
  <si>
    <t>KHCR71-Cam Phước Đông</t>
  </si>
  <si>
    <t>11.92726001</t>
  </si>
  <si>
    <t>109.1087601</t>
  </si>
  <si>
    <t>FO thuê#VNPT#KHCR71-KHCR47</t>
  </si>
  <si>
    <t>1467.81</t>
  </si>
  <si>
    <t>1367.81</t>
  </si>
  <si>
    <t>11.932957</t>
  </si>
  <si>
    <t>109.119903</t>
  </si>
  <si>
    <t>KHNT20-PC06</t>
  </si>
  <si>
    <t>12.2443233</t>
  </si>
  <si>
    <t>109.1882667</t>
  </si>
  <si>
    <t>FO thuê#VNPT#KHNT20-KHNT84</t>
  </si>
  <si>
    <t>336006.80</t>
  </si>
  <si>
    <t>192224.00</t>
  </si>
  <si>
    <t>KHNT5S-PA06 cs2</t>
  </si>
  <si>
    <t>12.233701</t>
  </si>
  <si>
    <t>109.185861</t>
  </si>
  <si>
    <t>FO thuê#VNPT#KHNT5S-KHNT55</t>
  </si>
  <si>
    <t>284.78</t>
  </si>
  <si>
    <t>268.97</t>
  </si>
  <si>
    <t>KHNT6V-PA08</t>
  </si>
  <si>
    <t>12.23616701</t>
  </si>
  <si>
    <t>109.178073</t>
  </si>
  <si>
    <t>FO thuê#VNPT#KHNT6V-KHNT25</t>
  </si>
  <si>
    <t>516857.06</t>
  </si>
  <si>
    <t>267214.34</t>
  </si>
  <si>
    <t>KHNH18-Ninh Hòa</t>
  </si>
  <si>
    <t>12.49078</t>
  </si>
  <si>
    <t>109.12521</t>
  </si>
  <si>
    <t>FO thuê#VNPT#KHNH18-KHNH54</t>
  </si>
  <si>
    <t>1089.40</t>
  </si>
  <si>
    <t>1086.63</t>
  </si>
  <si>
    <t>KHNH1I-Hòa Thắng</t>
  </si>
  <si>
    <t>12.46218</t>
  </si>
  <si>
    <t>109.12141</t>
  </si>
  <si>
    <t>12.48016</t>
  </si>
  <si>
    <t>109.1325</t>
  </si>
  <si>
    <t>FO thuê#VNPT#KHNH1I-KHNH10</t>
  </si>
  <si>
    <t>4.PK02 cs2 - Trạm CSGT Ninh An cũ</t>
  </si>
  <si>
    <t>249.88</t>
  </si>
  <si>
    <t>63.93</t>
  </si>
  <si>
    <t>12.462367</t>
  </si>
  <si>
    <t>109.121967</t>
  </si>
  <si>
    <t>185.95</t>
  </si>
  <si>
    <t>12.481264</t>
  </si>
  <si>
    <t>109.131214</t>
  </si>
  <si>
    <t>full_h04/Khánh Hòa/Thu thập EVN_Khánh Hòa/Route_Cấp 3/KH_RING 6/4.PK02 cs2 - Trạm CSGT Ninh An cũ/PK02 cs2 - Trạm CSGT Ninh An cũ_Đoạn cột trung thế_2</t>
  </si>
  <si>
    <t>KHNH1O-Tây Ninh Hòa</t>
  </si>
  <si>
    <t>12.53785</t>
  </si>
  <si>
    <t>109.01861</t>
  </si>
  <si>
    <t>FO thuê#VNPT#KHNH1O-KHNH06</t>
  </si>
  <si>
    <t>2.CA Nam Ninh Hòa - CA Tây Ninh Hòa</t>
  </si>
  <si>
    <t>94.84</t>
  </si>
  <si>
    <t>90.25</t>
  </si>
  <si>
    <t>12.537073</t>
  </si>
  <si>
    <t>109.018368</t>
  </si>
  <si>
    <t>4.59</t>
  </si>
  <si>
    <t>12.540865</t>
  </si>
  <si>
    <t>109.007478</t>
  </si>
  <si>
    <t>full_h04/Khánh Hòa/Thu thập EVN_Khánh Hòa/Route_Cấp 4/KH_RING 6/2.CA Nam Ninh Hòa - CA Tây Ninh Hòa/CA Nam Ninh Hòa - CA Tây Ninh Hòa_Đoạn cột trung thế_2</t>
  </si>
  <si>
    <t>KHNH1S-Tây Ninh Hòa</t>
  </si>
  <si>
    <t>12.527823</t>
  </si>
  <si>
    <t>109.037572</t>
  </si>
  <si>
    <t>FO thuê#VNPT#KHNH1S-KHNH06</t>
  </si>
  <si>
    <t>548.34</t>
  </si>
  <si>
    <t>12.526709</t>
  </si>
  <si>
    <t>109.032694</t>
  </si>
  <si>
    <t>KHNH89-Tân Định</t>
  </si>
  <si>
    <t>12.51451</t>
  </si>
  <si>
    <t>109.12176</t>
  </si>
  <si>
    <t>12.48945</t>
  </si>
  <si>
    <t>109.1137</t>
  </si>
  <si>
    <t>FO thuê#VNPT#KHNH89-KHNH12</t>
  </si>
  <si>
    <t>2390.92</t>
  </si>
  <si>
    <t>2008.93</t>
  </si>
  <si>
    <t>12.496466</t>
  </si>
  <si>
    <t>109.120838</t>
  </si>
  <si>
    <t>381.98</t>
  </si>
  <si>
    <t>12.492870</t>
  </si>
  <si>
    <t>109.114033</t>
  </si>
  <si>
    <t>full_h04/Khánh Hòa/Thu thập EVN_Khánh Hòa/Route_Cấp 4/KH_RING 5/3.CA Tân Định - CA Ninh Hòa/CA Tân Định - CA Ninh Hòa_Đoạn cột trung thế_1</t>
  </si>
  <si>
    <t>KHNT85-PC06</t>
  </si>
  <si>
    <t>12.23781501</t>
  </si>
  <si>
    <t>109.196403</t>
  </si>
  <si>
    <t>FO thuê#VNPT#KHNT85-KHNT84</t>
  </si>
  <si>
    <t>336807.77</t>
  </si>
  <si>
    <t>193024.98</t>
  </si>
  <si>
    <t>KHNT86-PC08 (xử lý vi phạm)</t>
  </si>
  <si>
    <t>12.24619123</t>
  </si>
  <si>
    <t>109.1957109</t>
  </si>
  <si>
    <t>FO thuê#VNPT#KHNT86-KHNT60</t>
  </si>
  <si>
    <t>639.19</t>
  </si>
  <si>
    <t>448.45</t>
  </si>
  <si>
    <t>12.245355</t>
  </si>
  <si>
    <t>109.191674</t>
  </si>
  <si>
    <t>190.74</t>
  </si>
  <si>
    <t>KHNT49-Nhà nghỉ dưỡng 378 BCA</t>
  </si>
  <si>
    <t>12.29445132</t>
  </si>
  <si>
    <t>109.2126144</t>
  </si>
  <si>
    <t>FO thuê#VNPT#KHNT49-KHNT1N</t>
  </si>
  <si>
    <t>3457.82</t>
  </si>
  <si>
    <t>2482.94</t>
  </si>
  <si>
    <t>KHNT2K-CATP Nha trang cũ</t>
  </si>
  <si>
    <t>12.23675</t>
  </si>
  <si>
    <t>109.19695</t>
  </si>
  <si>
    <t>FO thuê#VNPT#KHNT2K-KHNT83</t>
  </si>
  <si>
    <t>1.CAT Khánh Hòa - CATP Nha Trang cũ</t>
  </si>
  <si>
    <t>669.81</t>
  </si>
  <si>
    <t>197.51</t>
  </si>
  <si>
    <t>12.235557</t>
  </si>
  <si>
    <t>109.195603</t>
  </si>
  <si>
    <t>472.29</t>
  </si>
  <si>
    <t>12.243201</t>
  </si>
  <si>
    <t>109.192176</t>
  </si>
  <si>
    <t>full_h04/Khánh Hòa/Thu thập EVN_Khánh Hòa/Route_Cấp 3/KH_RING 3/1.CAT Khánh Hòa - CATP Nha Trang cũ/CAT Khánh Hòa - CATP Nha Trang cũ_Đoạn cột trung thế</t>
  </si>
  <si>
    <t>KHNT6N-CATP Nha trang cũ</t>
  </si>
  <si>
    <t>12.24037001</t>
  </si>
  <si>
    <t>109.192334</t>
  </si>
  <si>
    <t>FO thuê#VNPT#KHNT6N-KHNT83</t>
  </si>
  <si>
    <t>445.51</t>
  </si>
  <si>
    <t>314.70</t>
  </si>
  <si>
    <t>12.243196</t>
  </si>
  <si>
    <t>109.192182</t>
  </si>
  <si>
    <t>130.81</t>
  </si>
  <si>
    <t>12.245826</t>
  </si>
  <si>
    <t>109.190408</t>
  </si>
  <si>
    <t>full_h04/Khánh Hòa/Thu thập EVN_Khánh Hòa/Route_Cấp 3/KH_RING 3/1.CAT Khánh Hòa - CATP Nha Trang cũ/CAT Khánh Hòa - CATP Nha Trang cũ_Đoạn cột hạ thế</t>
  </si>
  <si>
    <t>KHNT6Q-Nha Trang</t>
  </si>
  <si>
    <t>12.23888929</t>
  </si>
  <si>
    <t>109.1955664</t>
  </si>
  <si>
    <t>FO thuê#VNPT#KHNT6Q-KHNT4Z</t>
  </si>
  <si>
    <t>512.30</t>
  </si>
  <si>
    <t>354.87</t>
  </si>
  <si>
    <t>12.235698</t>
  </si>
  <si>
    <t>109.195623</t>
  </si>
  <si>
    <t>157.43</t>
  </si>
  <si>
    <t>12.249330</t>
  </si>
  <si>
    <t>109.193948</t>
  </si>
  <si>
    <t>KHNT4T-CATP Nha trang cũ</t>
  </si>
  <si>
    <t>12.23620801</t>
  </si>
  <si>
    <t>109.196419</t>
  </si>
  <si>
    <t>FO thuê#VNPT#KHNT4T-KHNT83</t>
  </si>
  <si>
    <t>586.73</t>
  </si>
  <si>
    <t>114.44</t>
  </si>
  <si>
    <t>KHCL22-Suối Hiệp</t>
  </si>
  <si>
    <t>12.1910055</t>
  </si>
  <si>
    <t>109.0657518</t>
  </si>
  <si>
    <t>FO thuê#VNPT#KHCL22-KHDK06</t>
  </si>
  <si>
    <t>228.27</t>
  </si>
  <si>
    <t>74.37</t>
  </si>
  <si>
    <t>KHCL10-Cảng HKQT Cam Ranh</t>
  </si>
  <si>
    <t>12.04389</t>
  </si>
  <si>
    <t>109.19883</t>
  </si>
  <si>
    <t>FO thuê#VNPT#KHCL10-KHCR10</t>
  </si>
  <si>
    <t>4897.24</t>
  </si>
  <si>
    <t>4892.06</t>
  </si>
  <si>
    <t>KHCR76-Cam Phước Đông</t>
  </si>
  <si>
    <t>11.93832746</t>
  </si>
  <si>
    <t>109.0835991</t>
  </si>
  <si>
    <t>FO thuê#VNPT#KHCR76-KHCR47</t>
  </si>
  <si>
    <t>2788.44</t>
  </si>
  <si>
    <t>2781.82</t>
  </si>
  <si>
    <t>11.952555</t>
  </si>
  <si>
    <t>109.104632</t>
  </si>
  <si>
    <t>6.63</t>
  </si>
  <si>
    <t>11.941641</t>
  </si>
  <si>
    <t>109.113048</t>
  </si>
  <si>
    <t>full_h04/Khánh Hòa/Thu thập EVN_Khánh Hòa/Route_Cấp 3/KH_RING 2/5. Cam Phước Đông - CAT Khánh Hòa/Cam Phước Đông - CAT Khánh Hòa_Đoạn cột trung thế_1</t>
  </si>
  <si>
    <t>KHCL54-Cam Phước Đông</t>
  </si>
  <si>
    <t>11.95549001</t>
  </si>
  <si>
    <t>109.07917</t>
  </si>
  <si>
    <t>FO thuê#VNPT#KHCL54-KHCR47</t>
  </si>
  <si>
    <t>1051.47</t>
  </si>
  <si>
    <t>951.47</t>
  </si>
  <si>
    <t>11.963487</t>
  </si>
  <si>
    <t>109.082281</t>
  </si>
  <si>
    <t>KHCR01-Cam Linh</t>
  </si>
  <si>
    <t>11.91363801</t>
  </si>
  <si>
    <t>109.137019</t>
  </si>
  <si>
    <t>FO thuê#VNPT#KHCR01-KHCR18</t>
  </si>
  <si>
    <t>40.30</t>
  </si>
  <si>
    <t>36.31</t>
  </si>
  <si>
    <t>11.913854</t>
  </si>
  <si>
    <t>109.137269</t>
  </si>
  <si>
    <t>KHNT7N-NTG Nha Trang cũ</t>
  </si>
  <si>
    <t>12.27667</t>
  </si>
  <si>
    <t>109.192912</t>
  </si>
  <si>
    <t>FO thuê#CMC#KHNT7N-KHNT79</t>
  </si>
  <si>
    <t>410.93</t>
  </si>
  <si>
    <t>408.67</t>
  </si>
  <si>
    <t>12.277380</t>
  </si>
  <si>
    <t>109.189222</t>
  </si>
  <si>
    <t>KHNT7Q-PC08 (CSGT đường thủy)</t>
  </si>
  <si>
    <t>12.210391</t>
  </si>
  <si>
    <t>109.213307</t>
  </si>
  <si>
    <t>12.1976</t>
  </si>
  <si>
    <t>109.2157</t>
  </si>
  <si>
    <t>FO thuê#CMC#KHNT7Q-KHNT42</t>
  </si>
  <si>
    <t>Tuyến nhánh PC02 - PC08 (CSGT đường thủy)</t>
  </si>
  <si>
    <t>579.39</t>
  </si>
  <si>
    <t>12.56</t>
  </si>
  <si>
    <t>12.210410</t>
  </si>
  <si>
    <t>109.213421</t>
  </si>
  <si>
    <t>566.83</t>
  </si>
  <si>
    <t>12.202648</t>
  </si>
  <si>
    <t>109.214975</t>
  </si>
  <si>
    <t>full_h04/Khánh Hòa/Thu thập EVN_Khánh Hòa/Route_Cấp 3/KH_RING 5/Tuyến nhánh PC02 - PC08 (CSGT đường thủy)/PC02 - PC08 (CSGT đường thủy)_Đoạn cột trung thế</t>
  </si>
  <si>
    <t>KHNT7P-PC08 csc</t>
  </si>
  <si>
    <t>12.250794</t>
  </si>
  <si>
    <t>109.184882</t>
  </si>
  <si>
    <t>FO thuê#CMC#KHNT7P-KHNT05</t>
  </si>
  <si>
    <t>2.CA Nam Nha Trang - CA Nha Trang</t>
  </si>
  <si>
    <t>131.73</t>
  </si>
  <si>
    <t>49.56</t>
  </si>
  <si>
    <t>12.250440</t>
  </si>
  <si>
    <t>109.184605</t>
  </si>
  <si>
    <t>82.17</t>
  </si>
  <si>
    <t>12.249479</t>
  </si>
  <si>
    <t>109.184708</t>
  </si>
  <si>
    <t>full_h04/Khánh Hòa/Thu thập EVN_Khánh Hòa/Route_Cấp 4/KH_RING 1/2.CA Nam Nha Trang - CA Nha Trang/CA Nam Nha Trang - CA Nha Trang_Đoạn cột trung thế_2</t>
  </si>
  <si>
    <t>KHCR56-Cảng HKQT Cam Ranh</t>
  </si>
  <si>
    <t>12.00719331</t>
  </si>
  <si>
    <t>109.2158522</t>
  </si>
  <si>
    <t>FO thuê#CMC#KHCR56-KHCR10</t>
  </si>
  <si>
    <t>986.52</t>
  </si>
  <si>
    <t>981.34</t>
  </si>
  <si>
    <t>KHDK37-Diên Lâm</t>
  </si>
  <si>
    <t>12.30831901</t>
  </si>
  <si>
    <t>108.997223</t>
  </si>
  <si>
    <t>FO thuê#CMC#KHDK37-KHDK25</t>
  </si>
  <si>
    <t>150.39</t>
  </si>
  <si>
    <t>147.19</t>
  </si>
  <si>
    <t>12.308507</t>
  </si>
  <si>
    <t>108.998564</t>
  </si>
  <si>
    <t>KHNT1E-PC08 csc</t>
  </si>
  <si>
    <t>12.25410001</t>
  </si>
  <si>
    <t>109.1721001</t>
  </si>
  <si>
    <t>FO thuê#CMC#KHNT1E-KHNT05</t>
  </si>
  <si>
    <t>381.80</t>
  </si>
  <si>
    <t>301.17</t>
  </si>
  <si>
    <t>12.252969</t>
  </si>
  <si>
    <t>109.174619</t>
  </si>
  <si>
    <t>Diên Khánh-Nhà tạm giam Diên Khánh</t>
  </si>
  <si>
    <t>12.2563</t>
  </si>
  <si>
    <t>109.0941</t>
  </si>
  <si>
    <t>FO thuê#CMC#KHDKMA01-KHDK13</t>
  </si>
  <si>
    <t>1.Diên Khánh - CA Diên Lạc_Cột hạ thế</t>
  </si>
  <si>
    <t>1443.52</t>
  </si>
  <si>
    <t>13.09</t>
  </si>
  <si>
    <t>12.256291</t>
  </si>
  <si>
    <t>109.093980</t>
  </si>
  <si>
    <t>1430.42</t>
  </si>
  <si>
    <t>12.259205</t>
  </si>
  <si>
    <t>109.072396</t>
  </si>
  <si>
    <t>full_h04/Khánh Hòa/Thu thập EVN_Khánh Hòa/Route_Cấp 4/KH_RING 9/1.Diên Khánh - CA Diên Lạc_Cột hạ thế/1.Diên Khánh - CA Diên Lạc_Cột hạ thế</t>
  </si>
  <si>
    <t>KHDK12-Diên Lâm</t>
  </si>
  <si>
    <t>12.209992</t>
  </si>
  <si>
    <t>109.042219</t>
  </si>
  <si>
    <t>FO thuê#CMC#KHDK12-KHDK25</t>
  </si>
  <si>
    <t>3.CA Suối Dầu - CA Diên Thọ_Đoạn cột trung thế</t>
  </si>
  <si>
    <t>2962.55</t>
  </si>
  <si>
    <t>153.69</t>
  </si>
  <si>
    <t>12.210621</t>
  </si>
  <si>
    <t>109.043478</t>
  </si>
  <si>
    <t>2808.86</t>
  </si>
  <si>
    <t>12.244787</t>
  </si>
  <si>
    <t>109.026172</t>
  </si>
  <si>
    <t>full_h04/Khánh Hòa/Thu thập EVN_Khánh Hòa/Route_Cấp 4/KH_RING 10/3.CA Suối Dầu - CA Diên Thọ_Đoạn cột trung thế/3.CA Suối Dầu - CA Diên Thọ_Đoạn cột trung thế</t>
  </si>
  <si>
    <t>KHNT1R-CATP Nha trang cũ</t>
  </si>
  <si>
    <t>12.23172001</t>
  </si>
  <si>
    <t>109.1959501</t>
  </si>
  <si>
    <t>FO thuê#CMC#KHNT1R-KHNT83</t>
  </si>
  <si>
    <t>1.CAT Khánh Hòa - Diên Khánh</t>
  </si>
  <si>
    <t>496.07</t>
  </si>
  <si>
    <t>12.14</t>
  </si>
  <si>
    <t>12.231815</t>
  </si>
  <si>
    <t>109.196006</t>
  </si>
  <si>
    <t>483.94</t>
  </si>
  <si>
    <t>12.243709</t>
  </si>
  <si>
    <t>109.185958</t>
  </si>
  <si>
    <t>full_h04/Khánh Hòa/Thu thập EVN_Khánh Hòa/Route_Cấp 3/KH_RING 1/1.CAT Khánh Hòa - Diên Khánh/CAT Khánh Hòa - Diên Khánh_Đoạn cột trung thế_1</t>
  </si>
  <si>
    <t>KHNT56-PC07</t>
  </si>
  <si>
    <t>12.2193301</t>
  </si>
  <si>
    <t>109.1953001</t>
  </si>
  <si>
    <t>FO thuê#CMC#KHNT56-KHNT90</t>
  </si>
  <si>
    <t>522333.64</t>
  </si>
  <si>
    <t>269749.44</t>
  </si>
  <si>
    <t>KHNT26-PA06 cs2</t>
  </si>
  <si>
    <t>FO thuê#CMC#KHNT26-KHNT55</t>
  </si>
  <si>
    <t>223.17</t>
  </si>
  <si>
    <t>172.01</t>
  </si>
  <si>
    <t>12.235105</t>
  </si>
  <si>
    <t>109.183856</t>
  </si>
  <si>
    <t>KHNT62-PK02 cs1</t>
  </si>
  <si>
    <t>12.26788503</t>
  </si>
  <si>
    <t>109.1721217</t>
  </si>
  <si>
    <t>FO thuê#CMC#KHNT62-KHNT94</t>
  </si>
  <si>
    <t>2.PK02 cs1 - Trung đoàn CSCĐ-E23_Cột trung thế</t>
  </si>
  <si>
    <t>1458.25</t>
  </si>
  <si>
    <t>1453.51</t>
  </si>
  <si>
    <t>12.279755</t>
  </si>
  <si>
    <t>109.177725</t>
  </si>
  <si>
    <t>4.75</t>
  </si>
  <si>
    <t>109.188860</t>
  </si>
  <si>
    <t>full_h04/Khánh Hòa/Thu thập EVN_Khánh Hòa/Route_Cấp 3/KH_RING 6/2.PK02 cs1 - Trung đoàn CSCĐ-E23_Cột trung thế/2.PK02 cs1 - Trung đoàn CSCĐ-E23_Cột trung thế</t>
  </si>
  <si>
    <t>Diên Khánh-Diên Điền</t>
  </si>
  <si>
    <t>FO thuê#CMC#KHDKMA01-KHDK08</t>
  </si>
  <si>
    <t>9.11</t>
  </si>
  <si>
    <t>3.67</t>
  </si>
  <si>
    <t>12.256280</t>
  </si>
  <si>
    <t>109.094073</t>
  </si>
  <si>
    <t>KHNT07-Bắc Nha Trang</t>
  </si>
  <si>
    <t>FO thuê#CMC#KHNT07-KHNT88</t>
  </si>
  <si>
    <t>221.26</t>
  </si>
  <si>
    <t>220.38</t>
  </si>
  <si>
    <t>12.303599</t>
  </si>
  <si>
    <t>109.168863</t>
  </si>
  <si>
    <t>KHCL35-Cam Lâm</t>
  </si>
  <si>
    <t>12.07766301</t>
  </si>
  <si>
    <t>109.192146</t>
  </si>
  <si>
    <t>FO thuê#CMC#KHCL35-KHCLMA01</t>
  </si>
  <si>
    <t>888.04</t>
  </si>
  <si>
    <t>886.00</t>
  </si>
  <si>
    <t>12.083787</t>
  </si>
  <si>
    <t>109.186933</t>
  </si>
  <si>
    <t>KHNH52-Đông Ninh Hòa</t>
  </si>
  <si>
    <t>12.57941</t>
  </si>
  <si>
    <t>109.22298</t>
  </si>
  <si>
    <t>12.55549</t>
  </si>
  <si>
    <t>109.2176</t>
  </si>
  <si>
    <t>FO thuê#CMC#KHNH52-KHNH32</t>
  </si>
  <si>
    <t>2.CA Đông Ninh Hòa - CA Bắc Ninh Hòa</t>
  </si>
  <si>
    <t>1861.74</t>
  </si>
  <si>
    <t>1857.48</t>
  </si>
  <si>
    <t>12.566857</t>
  </si>
  <si>
    <t>109.211688</t>
  </si>
  <si>
    <t>4.26</t>
  </si>
  <si>
    <t>12.555453</t>
  </si>
  <si>
    <t>109.217609</t>
  </si>
  <si>
    <t>full_h04/Khánh Hòa/Thu thập EVN_Khánh Hòa/Route_Cấp 4/KH_RING 4/2.CA Đông Ninh Hòa - CA Bắc Ninh Hòa/CA Đông Ninh Hòa - CA Bắc Ninh Hòa_Đoạn cột trung thế_1</t>
  </si>
  <si>
    <t>KHNT59-Nam Nha Trang</t>
  </si>
  <si>
    <t>12.2116</t>
  </si>
  <si>
    <t>109.1942</t>
  </si>
  <si>
    <t>FO thuê#CMC#KHNT59-KHNT72</t>
  </si>
  <si>
    <t>72.99</t>
  </si>
  <si>
    <t>42.66</t>
  </si>
  <si>
    <t>12.210644</t>
  </si>
  <si>
    <t>109.188384</t>
  </si>
  <si>
    <t>30.33</t>
  </si>
  <si>
    <t>12.211372</t>
  </si>
  <si>
    <t>109.194048</t>
  </si>
  <si>
    <t>KHNT56-PC02</t>
  </si>
  <si>
    <t>12.21899</t>
  </si>
  <si>
    <t>109.2043</t>
  </si>
  <si>
    <t>FO thuê#CMC#KHNT56-KHNT4D</t>
  </si>
  <si>
    <t>398.11</t>
  </si>
  <si>
    <t>394.50</t>
  </si>
  <si>
    <t>12.216838</t>
  </si>
  <si>
    <t>109.197884</t>
  </si>
  <si>
    <t>12.219013</t>
  </si>
  <si>
    <t>109.204276</t>
  </si>
  <si>
    <t>KHNT07-Trung đoàn CSCĐ-E23</t>
  </si>
  <si>
    <t>12.28833</t>
  </si>
  <si>
    <t>109.1638</t>
  </si>
  <si>
    <t>FO thuê#CMC#KHNT07-KHNT78</t>
  </si>
  <si>
    <t>3.Trung đoàn CSCĐ-E23 - PK02 cs2</t>
  </si>
  <si>
    <t>234.56</t>
  </si>
  <si>
    <t>214.35</t>
  </si>
  <si>
    <t>12.303977</t>
  </si>
  <si>
    <t>109.169534</t>
  </si>
  <si>
    <t>20.21</t>
  </si>
  <si>
    <t>12.288512</t>
  </si>
  <si>
    <t>109.163809</t>
  </si>
  <si>
    <t>full_h04/Khánh Hòa/Thu thập EVN_Khánh Hòa/Route_Cấp 3/KH_RING 6/3.Trung đoàn CSCĐ-E23 - PK02 cs2/Trung đoàn CSCĐ-E23 - PK02 cs2_Đoạn cột trung thế</t>
  </si>
  <si>
    <t>KHNT32-PC08 (CSGT đường thủy)</t>
  </si>
  <si>
    <t>12.20906401</t>
  </si>
  <si>
    <t>109.201835</t>
  </si>
  <si>
    <t>FO thuê#CMC#KHNT32-KHNT42</t>
  </si>
  <si>
    <t>1589.27</t>
  </si>
  <si>
    <t>1022.44</t>
  </si>
  <si>
    <t>12.214154</t>
  </si>
  <si>
    <t>109.209670</t>
  </si>
  <si>
    <t>KHCR49-Cam Phước Đông</t>
  </si>
  <si>
    <t>FO thuê#CMC#KHCR49-KHCR47</t>
  </si>
  <si>
    <t>302.27</t>
  </si>
  <si>
    <t>202.27</t>
  </si>
  <si>
    <t>11.920372</t>
  </si>
  <si>
    <t>109.144260</t>
  </si>
  <si>
    <t>KHCR14-Cam An</t>
  </si>
  <si>
    <t>FO thuê#CMC#KHCR14-KHCR27</t>
  </si>
  <si>
    <t>888.36</t>
  </si>
  <si>
    <t>753.84</t>
  </si>
  <si>
    <t>11.912904</t>
  </si>
  <si>
    <t>109.133286</t>
  </si>
  <si>
    <t>KHCR50-Cam Ranh</t>
  </si>
  <si>
    <t>11.9188041</t>
  </si>
  <si>
    <t>109.1602275</t>
  </si>
  <si>
    <t>FO thuê#CMC#KHCR50-KHCR52</t>
  </si>
  <si>
    <t>568.55</t>
  </si>
  <si>
    <t>254.67</t>
  </si>
  <si>
    <t>PC11a-KHNT24</t>
  </si>
  <si>
    <t>FO DT#MBF#KHNTMA01-KHNT24</t>
  </si>
  <si>
    <t>2190.43</t>
  </si>
  <si>
    <t>2181.24</t>
  </si>
  <si>
    <t>Cam Lâm-KHNT24</t>
  </si>
  <si>
    <t>FO DT#MBF#KHCLMA01-KHNT24</t>
  </si>
  <si>
    <t>3852.34</t>
  </si>
  <si>
    <t>3850.30</t>
  </si>
  <si>
    <t>12.219301</t>
  </si>
  <si>
    <t>109.204751</t>
  </si>
  <si>
    <t>Tây Ninh Hòa-Vạn Ninh</t>
  </si>
  <si>
    <t>FO DT#MBF#KHNH06-KHVN04</t>
  </si>
  <si>
    <t>4.Ninh Hòa - Vạn Ninh</t>
  </si>
  <si>
    <t>14774.74</t>
  </si>
  <si>
    <t>14507.25</t>
  </si>
  <si>
    <t>12.509475</t>
  </si>
  <si>
    <t>109.137231</t>
  </si>
  <si>
    <t>267.49</t>
  </si>
  <si>
    <t>12.689125</t>
  </si>
  <si>
    <t>109.219101</t>
  </si>
  <si>
    <t>full_h04/Khánh Hòa/Thu thập EVN_Khánh Hòa/Route_Cấp 3/KH_RING 1/4.Ninh Hòa - Vạn Ninh/Ninh Hòa - Vạn Ninh_Đoạn cột trung thế</t>
  </si>
  <si>
    <t>Vạn Ninh-KHVN23</t>
  </si>
  <si>
    <t>12.64482</t>
  </si>
  <si>
    <t>109.19394</t>
  </si>
  <si>
    <t>FO DT#MBF#KHVN04-KHVN23</t>
  </si>
  <si>
    <t>368.28</t>
  </si>
  <si>
    <t>267.48</t>
  </si>
  <si>
    <t>12.689116</t>
  </si>
  <si>
    <t>109.219109</t>
  </si>
  <si>
    <t>100.80</t>
  </si>
  <si>
    <t>12.644480</t>
  </si>
  <si>
    <t>109.194801</t>
  </si>
  <si>
    <t>full_h04/Khánh Hòa/Thu thập EVN_Khánh Hòa/Route_Cấp 4/KH_RING 4/4.CA Vạn Hưng - CA Vạn Ninh/4CA Vạn Hưng - CA Vạn Ninh_Đoạn cột trung thế</t>
  </si>
  <si>
    <t>Ninh Hòa-KHNT24</t>
  </si>
  <si>
    <t>FO DT#MBF#KHNH54-KHNT24</t>
  </si>
  <si>
    <t>5.Vạn Ninh - CAT Khánh Hòa</t>
  </si>
  <si>
    <t>2205.54</t>
  </si>
  <si>
    <t>693.41</t>
  </si>
  <si>
    <t>12.504055</t>
  </si>
  <si>
    <t>109.140149</t>
  </si>
  <si>
    <t>1512.13</t>
  </si>
  <si>
    <t>12.265585</t>
  </si>
  <si>
    <t>109.196157</t>
  </si>
  <si>
    <t>full_h04/Khánh Hòa/Thu thập EVN_Khánh Hòa/Route_Cấp 3/KH_RING 1/5.Vạn Ninh - CAT Khánh Hòa/Vạn Ninh - CAT Khánh Hòa_Đoạn cột trung thế_3</t>
  </si>
  <si>
    <t>Tây Ninh Hòa-Ninh Hòa</t>
  </si>
  <si>
    <t>FO DT#MBF#KHNH06-KHNH54</t>
  </si>
  <si>
    <t>7029.57</t>
  </si>
  <si>
    <t>7024.98</t>
  </si>
  <si>
    <t>12.507222</t>
  </si>
  <si>
    <t>109.072838</t>
  </si>
  <si>
    <t>Diên Lâm-PC11a</t>
  </si>
  <si>
    <t>FO DT#MBF#KHDK25-KHNTMA01</t>
  </si>
  <si>
    <t>4.CA Diên Thọ - CA Diên Khánh</t>
  </si>
  <si>
    <t>13250.83</t>
  </si>
  <si>
    <t>748.20</t>
  </si>
  <si>
    <t>12.262793</t>
  </si>
  <si>
    <t>109.035959</t>
  </si>
  <si>
    <t>12502.63</t>
  </si>
  <si>
    <t>12.248526</t>
  </si>
  <si>
    <t>109.086050</t>
  </si>
  <si>
    <t>full_h04/Khánh Hòa/Thu thập EVN_Khánh Hòa/Route_Cấp 4/KH_RING 10/4.CA Diên Thọ - CA Diên Khánh/4.CA Diên Thọ - CA Diên Khánh_Đoạn cột trung thế</t>
  </si>
  <si>
    <t>Cam Ranh-Bắc Cam Ranh</t>
  </si>
  <si>
    <t>FO DT#MBF#KHCR52-KHCR02</t>
  </si>
  <si>
    <t>445.58</t>
  </si>
  <si>
    <t>320.16</t>
  </si>
  <si>
    <t>11.923038</t>
  </si>
  <si>
    <t>109.165192</t>
  </si>
  <si>
    <t>Bắc Cam Ranh-Cam Lâm</t>
  </si>
  <si>
    <t>FO DT#MBF#KHCR02-KHCLMA01</t>
  </si>
  <si>
    <t>680.22</t>
  </si>
  <si>
    <t>Tây Ninh Hòa-KHNH14</t>
  </si>
  <si>
    <t>12.45989</t>
  </si>
  <si>
    <t>109.08108</t>
  </si>
  <si>
    <t>FO DT#MBF#KHNH06-KHNH14</t>
  </si>
  <si>
    <t>5343.16</t>
  </si>
  <si>
    <t>5338.57</t>
  </si>
  <si>
    <t>Hòa Thắng-Ninh Hòa</t>
  </si>
  <si>
    <t>FO DT#MBF#KHNH10-KHNH54</t>
  </si>
  <si>
    <t>5.79</t>
  </si>
  <si>
    <t>3.02</t>
  </si>
  <si>
    <t>12.480164</t>
  </si>
  <si>
    <t>109.132472</t>
  </si>
  <si>
    <t>Tây Ninh Hòa-KHNH09</t>
  </si>
  <si>
    <t>12.50179</t>
  </si>
  <si>
    <t>109.07819</t>
  </si>
  <si>
    <t>FO DT#MBF#KHNH06-KHNH09</t>
  </si>
  <si>
    <t>842.66</t>
  </si>
  <si>
    <t>838.08</t>
  </si>
  <si>
    <t>Ninh Hòa-KHNH04</t>
  </si>
  <si>
    <t>12.42114</t>
  </si>
  <si>
    <t>109.14842</t>
  </si>
  <si>
    <t>FO DT#MBF#KHNH54-KHNH04</t>
  </si>
  <si>
    <t>1136.94</t>
  </si>
  <si>
    <t>443.53</t>
  </si>
  <si>
    <t>12.420916</t>
  </si>
  <si>
    <t>109.144342</t>
  </si>
  <si>
    <t>PK02 cs2-KHNT24</t>
  </si>
  <si>
    <t>12.33893</t>
  </si>
  <si>
    <t>109.1952</t>
  </si>
  <si>
    <t>FO DT#MBF#KHNT13-KHNT24</t>
  </si>
  <si>
    <t>1629.35</t>
  </si>
  <si>
    <t>117.23</t>
  </si>
  <si>
    <t>12.338985</t>
  </si>
  <si>
    <t>109.194122</t>
  </si>
  <si>
    <t>Tây Ninh Hòa-KHNH44</t>
  </si>
  <si>
    <t>12.52466</t>
  </si>
  <si>
    <t>109.10231</t>
  </si>
  <si>
    <t>FO DT#MBF#KHNH06-KHNH44</t>
  </si>
  <si>
    <t>3745.62</t>
  </si>
  <si>
    <t>3741.03</t>
  </si>
  <si>
    <t>Tân Định-Ninh Hòa</t>
  </si>
  <si>
    <t>FO DT#MBF#KHNH12-KHNH54</t>
  </si>
  <si>
    <t>1612.06</t>
  </si>
  <si>
    <t>1230.07</t>
  </si>
  <si>
    <t>12.499728</t>
  </si>
  <si>
    <t>109.132660</t>
  </si>
  <si>
    <t>Vạn Ninh-KHVN41</t>
  </si>
  <si>
    <t>12.73268</t>
  </si>
  <si>
    <t>109.27022</t>
  </si>
  <si>
    <t>FO DT#MBF#KHVN04-KHVN41</t>
  </si>
  <si>
    <t>1164.23</t>
  </si>
  <si>
    <t>677.21</t>
  </si>
  <si>
    <t>12.731598</t>
  </si>
  <si>
    <t>109.264076</t>
  </si>
  <si>
    <t>Tu Bông-Đại Lãnh</t>
  </si>
  <si>
    <t>12.77881</t>
  </si>
  <si>
    <t>109.3127</t>
  </si>
  <si>
    <t>12.80321</t>
  </si>
  <si>
    <t>109.3338</t>
  </si>
  <si>
    <t>FO DT#MBF#KHVN03-KHVN55</t>
  </si>
  <si>
    <t>3.CA Tu Bông - CA Đại Lãnh_Cột trung thế</t>
  </si>
  <si>
    <t>8.64</t>
  </si>
  <si>
    <t>2.08</t>
  </si>
  <si>
    <t>12.778815</t>
  </si>
  <si>
    <t>109.312718</t>
  </si>
  <si>
    <t>6.55</t>
  </si>
  <si>
    <t>12.803207</t>
  </si>
  <si>
    <t>109.333740</t>
  </si>
  <si>
    <t>full_h04/Khánh Hòa/Thu thập EVN_Khánh Hòa/Route_Cấp 4/KH_RING 7/3.CA Tu Bông - CA Đại Lãnh_Cột trung thế/3.CA Tu Bông - CA Đại Lãnh_Cột trung thế</t>
  </si>
  <si>
    <t>Đại Lãnh-KHVN23</t>
  </si>
  <si>
    <t>FO DT#MBF#KHVN55-KHVN23</t>
  </si>
  <si>
    <t>5977.23</t>
  </si>
  <si>
    <t>6.73</t>
  </si>
  <si>
    <t>12.803200</t>
  </si>
  <si>
    <t>109.333739</t>
  </si>
  <si>
    <t>5970.50</t>
  </si>
  <si>
    <t>Vạn Ninh-KHVN29</t>
  </si>
  <si>
    <t>12.69361</t>
  </si>
  <si>
    <t>109.22722</t>
  </si>
  <si>
    <t>FO DT#MBF#KHVN04-KHVN29</t>
  </si>
  <si>
    <t>499.96</t>
  </si>
  <si>
    <t>496.38</t>
  </si>
  <si>
    <t>12.697971</t>
  </si>
  <si>
    <t>109.226242</t>
  </si>
  <si>
    <t>Đông Ninh Hòa-KHNH02</t>
  </si>
  <si>
    <t>12.54233</t>
  </si>
  <si>
    <t>109.22581</t>
  </si>
  <si>
    <t>FO DT#MBF#KHNH32-KHNH02</t>
  </si>
  <si>
    <t>1.CA Ninh Hòa - CA Đông Ninh Hòa_Đoạn cột trung thế</t>
  </si>
  <si>
    <t>1157.51</t>
  </si>
  <si>
    <t>5.23</t>
  </si>
  <si>
    <t>12.555443</t>
  </si>
  <si>
    <t>109.217606</t>
  </si>
  <si>
    <t>1152.28</t>
  </si>
  <si>
    <t>12.543041</t>
  </si>
  <si>
    <t>109.215219</t>
  </si>
  <si>
    <t>full_h04/Khánh Hòa/Thu thập EVN_Khánh Hòa/Route_Cấp 4/KH_RING 4/1.CA Ninh Hòa - CA Đông Ninh Hòa_Đoạn cột trung thế/1.CA Ninh Hòa - CA Đông Ninh Hòa_Đoạn cột trung thế</t>
  </si>
  <si>
    <t>Trạm CSGT Ninh An cũ-KHNH19</t>
  </si>
  <si>
    <t>12.53169</t>
  </si>
  <si>
    <t>109.1604</t>
  </si>
  <si>
    <t>12.5036001</t>
  </si>
  <si>
    <t>109.1399001</t>
  </si>
  <si>
    <t>FO DT#MBF#KHNH20-KHNH19</t>
  </si>
  <si>
    <t>742.02</t>
  </si>
  <si>
    <t>467.73</t>
  </si>
  <si>
    <t>12.533543</t>
  </si>
  <si>
    <t>109.164268</t>
  </si>
  <si>
    <t>274.29</t>
  </si>
  <si>
    <t>12.505213</t>
  </si>
  <si>
    <t>109.141811</t>
  </si>
  <si>
    <t>Diên Khánh-Diên Lâm</t>
  </si>
  <si>
    <t>FO DT#MBF#KHDKMA01-KHDK25</t>
  </si>
  <si>
    <t>1566.48</t>
  </si>
  <si>
    <t>818.28</t>
  </si>
  <si>
    <t>12.255680</t>
  </si>
  <si>
    <t>109.086596</t>
  </si>
  <si>
    <t>Diên Khánh-Tây Ninh Hòa</t>
  </si>
  <si>
    <t>FO DT#MBF#KHDKMA01-KHNH06</t>
  </si>
  <si>
    <t>25735.56</t>
  </si>
  <si>
    <t>10890.65</t>
  </si>
  <si>
    <t>12.292957</t>
  </si>
  <si>
    <t>109.187048</t>
  </si>
  <si>
    <t>14844.91</t>
  </si>
  <si>
    <t>12.501725</t>
  </si>
  <si>
    <t>109.138258</t>
  </si>
  <si>
    <t>KHVN13-Ninh Hòa</t>
  </si>
  <si>
    <t>12.63042</t>
  </si>
  <si>
    <t>109.18631</t>
  </si>
  <si>
    <t>FO DT#MBF#KHVN13-KHNH54</t>
  </si>
  <si>
    <t>115.80</t>
  </si>
  <si>
    <t>110.58</t>
  </si>
  <si>
    <t>12.630297</t>
  </si>
  <si>
    <t>109.187321</t>
  </si>
  <si>
    <t>5.22</t>
  </si>
  <si>
    <t>12.509763</t>
  </si>
  <si>
    <t>109.137465</t>
  </si>
  <si>
    <t>KHCL47-Cam Ranh</t>
  </si>
  <si>
    <t>FO DT#MBF#KHCL47-KHCR52</t>
  </si>
  <si>
    <t>415.75</t>
  </si>
  <si>
    <t>98.97</t>
  </si>
  <si>
    <t>12.063228</t>
  </si>
  <si>
    <t>109.159191</t>
  </si>
  <si>
    <t>316.78</t>
  </si>
  <si>
    <t>11.923064</t>
  </si>
  <si>
    <t>109.165175</t>
  </si>
  <si>
    <t>KHNH14-Hòa Thắng</t>
  </si>
  <si>
    <t>FO DT#MBF#KHNH14-KHNH10</t>
  </si>
  <si>
    <t>3.Khánh Vĩnh - Ninh Hòa</t>
  </si>
  <si>
    <t>2680.86</t>
  </si>
  <si>
    <t>230.10</t>
  </si>
  <si>
    <t>12.461582</t>
  </si>
  <si>
    <t>109.082300</t>
  </si>
  <si>
    <t>2450.76</t>
  </si>
  <si>
    <t>12.476619</t>
  </si>
  <si>
    <t>109.110220</t>
  </si>
  <si>
    <t>full_h04/Khánh Hòa/Thu thập EVN_Khánh Hòa/Route_Cấp 3/KH_RING 1/3.Khánh Vĩnh - Ninh Hòa/Khánh Vĩnh - Ninh Hòa_Đoạn cột trung thế_4</t>
  </si>
  <si>
    <t>KHNH09-Ninh Hòa</t>
  </si>
  <si>
    <t>FO DT#MBF#KHNH09-KHNH54</t>
  </si>
  <si>
    <t>4207.79</t>
  </si>
  <si>
    <t>442.39</t>
  </si>
  <si>
    <t>12.505764</t>
  </si>
  <si>
    <t>109.078005</t>
  </si>
  <si>
    <t>3765.40</t>
  </si>
  <si>
    <t>12.502251</t>
  </si>
  <si>
    <t>109.103671</t>
  </si>
  <si>
    <t>full_h04/Khánh Hòa/Thu thập EVN_Khánh Hòa/Route_Cấp 4/KH_RING 6/2.CA Nam Ninh Hòa - CA Tây Ninh Hòa/CA Nam Ninh Hòa - CA Tây Ninh Hòa_Đoạn cột trung thế_1</t>
  </si>
  <si>
    <t>KHNH04-PK02 cs2</t>
  </si>
  <si>
    <t>FO DT#MBF#KHNH04-KHNT13</t>
  </si>
  <si>
    <t>560.76</t>
  </si>
  <si>
    <t>KHNH44-Tân Định</t>
  </si>
  <si>
    <t>FO DT#MBF#KHNH44-KHNH12</t>
  </si>
  <si>
    <t>3462.89</t>
  </si>
  <si>
    <t>2181.61</t>
  </si>
  <si>
    <t>12.505404</t>
  </si>
  <si>
    <t>109.098456</t>
  </si>
  <si>
    <t>1281.28</t>
  </si>
  <si>
    <t>12.495311</t>
  </si>
  <si>
    <t>109.103539</t>
  </si>
  <si>
    <t>KHVN41-Tu Bông</t>
  </si>
  <si>
    <t>FO DT#MBF#KHVN41-KHVN03</t>
  </si>
  <si>
    <t>2.CA Vạn Thắng - CA Tu Bông_Cột trung thế</t>
  </si>
  <si>
    <t>289.90</t>
  </si>
  <si>
    <t>289.55</t>
  </si>
  <si>
    <t>12.730185</t>
  </si>
  <si>
    <t>109.269456</t>
  </si>
  <si>
    <t>0.35</t>
  </si>
  <si>
    <t>12.778810</t>
  </si>
  <si>
    <t>109.312703</t>
  </si>
  <si>
    <t>full_h04/Khánh Hòa/Thu thập EVN_Khánh Hòa/Route_Cấp 4/KH_RING 7/2.CA Vạn Thắng - CA Tu Bông_Cột trung thế/2.CA Vạn Thắng - CA Tu Bông_Cột trung thế</t>
  </si>
  <si>
    <t>KHVN13-Đông Ninh Hòa</t>
  </si>
  <si>
    <t>FO DT#MBF#KHVN13-KHNH32</t>
  </si>
  <si>
    <t>4221.33</t>
  </si>
  <si>
    <t>4110.75</t>
  </si>
  <si>
    <t>12.534793</t>
  </si>
  <si>
    <t>109.186219</t>
  </si>
  <si>
    <t>KHNH55-Ninh Hòa</t>
  </si>
  <si>
    <t>12.48969</t>
  </si>
  <si>
    <t>109.15228</t>
  </si>
  <si>
    <t>FO DT#MBF#KHNH55-KHNH54</t>
  </si>
  <si>
    <t>1353.25</t>
  </si>
  <si>
    <t>1350.48</t>
  </si>
  <si>
    <t>12.492353</t>
  </si>
  <si>
    <t>109.140143</t>
  </si>
  <si>
    <t>KHNH76-Trạm CSGT Ninh An cũ</t>
  </si>
  <si>
    <t>12.56596</t>
  </si>
  <si>
    <t>109.17084</t>
  </si>
  <si>
    <t>FO DT#MBF#KHNH76-KHNH20</t>
  </si>
  <si>
    <t>1120.59</t>
  </si>
  <si>
    <t>152.65</t>
  </si>
  <si>
    <t>12.564939</t>
  </si>
  <si>
    <t>109.171781</t>
  </si>
  <si>
    <t>967.94</t>
  </si>
  <si>
    <t>12.525967</t>
  </si>
  <si>
    <t>109.167119</t>
  </si>
  <si>
    <t>KHNH19-Ninh Hòa</t>
  </si>
  <si>
    <t>FO DT#MBF#KHNH19-KHNH54</t>
  </si>
  <si>
    <t>1.CA Ninh Hòa - CA Nam Ninh Hòa_Cột trung thế</t>
  </si>
  <si>
    <t>29.24</t>
  </si>
  <si>
    <t>24.35</t>
  </si>
  <si>
    <t>12.503812</t>
  </si>
  <si>
    <t>109.139841</t>
  </si>
  <si>
    <t>4.88</t>
  </si>
  <si>
    <t>12.509730</t>
  </si>
  <si>
    <t>109.137455</t>
  </si>
  <si>
    <t>full_h04/Khánh Hòa/Thu thập EVN_Khánh Hòa/Route_Cấp 4/KH_RING 6/1.CA Ninh Hòa - CA Nam Ninh Hòa_Cột trung thế/1.CA Ninh Hòa - CA Nam Ninh Hòa_Cột trung thế</t>
  </si>
  <si>
    <t>Diên Khánh-KHDK15</t>
  </si>
  <si>
    <t>12.27</t>
  </si>
  <si>
    <t>109.0894</t>
  </si>
  <si>
    <t>FO thuê#CMC#KHDKMA01-KHDK15</t>
  </si>
  <si>
    <t>1314.82</t>
  </si>
  <si>
    <t>1301.73</t>
  </si>
  <si>
    <t>12.259256</t>
  </si>
  <si>
    <t>109.084643</t>
  </si>
  <si>
    <t>Diên Khánh-KHNT1M</t>
  </si>
  <si>
    <t>12.25463</t>
  </si>
  <si>
    <t>109.13705</t>
  </si>
  <si>
    <t>FO thuê#CMC#KHDKMA01-KHNT1M</t>
  </si>
  <si>
    <t>1953.90</t>
  </si>
  <si>
    <t>1446.96</t>
  </si>
  <si>
    <t>12.257196</t>
  </si>
  <si>
    <t>109.107385</t>
  </si>
  <si>
    <t>506.95</t>
  </si>
  <si>
    <t>12.257274</t>
  </si>
  <si>
    <t>109.140851</t>
  </si>
  <si>
    <t>full_h04/Khánh Hòa/Thu thập EVN_Khánh Hòa/Route_Cấp 3/KH_RING 4/3. Trại giam A2 - CATP Nha trang cũ/Trại giam A2 - CATP Nha trang cũ_Đoạn cột trung thế_7</t>
  </si>
  <si>
    <t>Diên Khánh-KHNT62</t>
  </si>
  <si>
    <t>12.26789</t>
  </si>
  <si>
    <t>109.17212</t>
  </si>
  <si>
    <t>FO thuê#CMC#KHDKMA01-KHNT62</t>
  </si>
  <si>
    <t>2948.96</t>
  </si>
  <si>
    <t>1446.62</t>
  </si>
  <si>
    <t>12.257207</t>
  </si>
  <si>
    <t>109.107381</t>
  </si>
  <si>
    <t>1502.34</t>
  </si>
  <si>
    <t>12.255112</t>
  </si>
  <si>
    <t>109.167627</t>
  </si>
  <si>
    <t>full_h04/Khánh Hòa/Thu thập EVN_Khánh Hòa/Route_Cấp 4/KH_RING 1/4.CA Tây Nha Trang - TTCMKV Diên Khánh/CA Tây Nha Trang - TTCMKV Diên Khánh_Đoạn cột trung thế_2</t>
  </si>
  <si>
    <t>Diên Khánh-KHDK26</t>
  </si>
  <si>
    <t>12.26733</t>
  </si>
  <si>
    <t>109.10723</t>
  </si>
  <si>
    <t>FO thuê#CMC#KHDKMA01-KHDK26</t>
  </si>
  <si>
    <t>152.37</t>
  </si>
  <si>
    <t>148.70</t>
  </si>
  <si>
    <t>12.267650</t>
  </si>
  <si>
    <t>109.108559</t>
  </si>
  <si>
    <t>Diên Khánh-KHDK20</t>
  </si>
  <si>
    <t>12.25731</t>
  </si>
  <si>
    <t>109.10836</t>
  </si>
  <si>
    <t>FO thuê#CMC#KHDKMA01-KHDK20</t>
  </si>
  <si>
    <t>181.44</t>
  </si>
  <si>
    <t>177.77</t>
  </si>
  <si>
    <t>12.257208</t>
  </si>
  <si>
    <t>109.106727</t>
  </si>
  <si>
    <t>Diên Khánh-KHDK27</t>
  </si>
  <si>
    <t>12.26241</t>
  </si>
  <si>
    <t>109.12155</t>
  </si>
  <si>
    <t>FO thuê#CMC#KHDKMA01-KHDK27</t>
  </si>
  <si>
    <t>1447.06</t>
  </si>
  <si>
    <t>1443.39</t>
  </si>
  <si>
    <t>12.274564</t>
  </si>
  <si>
    <t>109.116886</t>
  </si>
  <si>
    <t>Diên Khánh-KHDK36</t>
  </si>
  <si>
    <t>12.24168</t>
  </si>
  <si>
    <t>109.11002</t>
  </si>
  <si>
    <t>FO thuê#CMC#KHDKMA01-KHDK36</t>
  </si>
  <si>
    <t>1737.99</t>
  </si>
  <si>
    <t>12.256322</t>
  </si>
  <si>
    <t>109.094061</t>
  </si>
  <si>
    <t>1733.11</t>
  </si>
  <si>
    <t>12.240461</t>
  </si>
  <si>
    <t>109.094120</t>
  </si>
  <si>
    <t>KHDK34-Diên Khánh</t>
  </si>
  <si>
    <t>12.25604</t>
  </si>
  <si>
    <t>109.11559</t>
  </si>
  <si>
    <t>FO thuê#VNPT#KHDK34-KHDKMA01</t>
  </si>
  <si>
    <t>969.56</t>
  </si>
  <si>
    <t>965.89</t>
  </si>
  <si>
    <t>12.258484</t>
  </si>
  <si>
    <t>109.107060</t>
  </si>
  <si>
    <t>KHDK40-Diên Khánh</t>
  </si>
  <si>
    <t>12.25364</t>
  </si>
  <si>
    <t>109.10362</t>
  </si>
  <si>
    <t>FO thuê#VNPT#KHDK40-KHDKMA01</t>
  </si>
  <si>
    <t>411.70</t>
  </si>
  <si>
    <t>408.03</t>
  </si>
  <si>
    <t>109.104496</t>
  </si>
  <si>
    <t>KHDK01-Diên Khánh</t>
  </si>
  <si>
    <t>12.25623</t>
  </si>
  <si>
    <t>109.09795</t>
  </si>
  <si>
    <t>FO thuê#VNPT#KHDK01-KHDKMA01</t>
  </si>
  <si>
    <t>63.19</t>
  </si>
  <si>
    <t>58.31</t>
  </si>
  <si>
    <t>12.256041</t>
  </si>
  <si>
    <t>109.097449</t>
  </si>
  <si>
    <t>KHCL23-Diên Khánh</t>
  </si>
  <si>
    <t>12.15371</t>
  </si>
  <si>
    <t>109.06725</t>
  </si>
  <si>
    <t>FO thuê#CMC#KHCL23-KHDKMA01</t>
  </si>
  <si>
    <t>7884.01</t>
  </si>
  <si>
    <t>7879.13</t>
  </si>
  <si>
    <t>Diên Khánh-KHNT24</t>
  </si>
  <si>
    <t>12.2522</t>
  </si>
  <si>
    <t>109.1937</t>
  </si>
  <si>
    <t>FO DT#MBF#KHDKMA01-KHNT24</t>
  </si>
  <si>
    <t>4298.22</t>
  </si>
  <si>
    <t>2851.61</t>
  </si>
  <si>
    <t>Diên Khánh-KHCL47</t>
  </si>
  <si>
    <t>FO DT#MBF#KHDKMA01-KHCL47</t>
  </si>
  <si>
    <t>11802.20</t>
  </si>
  <si>
    <t>10371.14</t>
  </si>
  <si>
    <t>12.164901</t>
  </si>
  <si>
    <t>109.075083</t>
  </si>
  <si>
    <t>1431.05</t>
  </si>
  <si>
    <t>12.073610</t>
  </si>
  <si>
    <t>109.152251</t>
  </si>
  <si>
    <t>Diên Khánh-KHDK14</t>
  </si>
  <si>
    <t>12.2489</t>
  </si>
  <si>
    <t>109.1027</t>
  </si>
  <si>
    <t>FO DT#MBF#KHDKMA01-KHDK14</t>
  </si>
  <si>
    <t>698.36</t>
  </si>
  <si>
    <t>693.48</t>
  </si>
  <si>
    <t>12.252197</t>
  </si>
  <si>
    <t>109.097283</t>
  </si>
  <si>
    <t>KHNT24-Diên Khánh</t>
  </si>
  <si>
    <t>FO DT#MBF#KHNT24-KHDKMA01</t>
  </si>
  <si>
    <t>PC08 csc-PA08</t>
  </si>
  <si>
    <t>FO DT#MBF#KHNT05-KHNT25</t>
  </si>
  <si>
    <t>515907.01</t>
  </si>
  <si>
    <t>266264.29</t>
  </si>
  <si>
    <t>PA08-PA06 cs2</t>
  </si>
  <si>
    <t>FO DT#MBF#KHNT25-KHNT55</t>
  </si>
  <si>
    <t>517162.81</t>
  </si>
  <si>
    <t>267520.09</t>
  </si>
  <si>
    <t>PA06 cs2-PC07</t>
  </si>
  <si>
    <t>FO DT#MBF#KHNT55-KHNT90</t>
  </si>
  <si>
    <t>520104.28</t>
  </si>
  <si>
    <t>PC07-CATP Nha trang cũ</t>
  </si>
  <si>
    <t>FO DT#MBF#KHNT90-KHNT83</t>
  </si>
  <si>
    <t>519374.19</t>
  </si>
  <si>
    <t>266790.00</t>
  </si>
  <si>
    <t>CATP Nha trang cũ-KHNT1R</t>
  </si>
  <si>
    <t>12.23172</t>
  </si>
  <si>
    <t>109.19595</t>
  </si>
  <si>
    <t>FO DT#MBF#KHNT83-KHNT1R</t>
  </si>
  <si>
    <t>496.08</t>
  </si>
  <si>
    <t>NTG Nha Trang cũ-KHNT53</t>
  </si>
  <si>
    <t>12.27243</t>
  </si>
  <si>
    <t>109.19829</t>
  </si>
  <si>
    <t>FO DT#MBF#KHNT79-KHNT53</t>
  </si>
  <si>
    <t>354.20</t>
  </si>
  <si>
    <t>147.72</t>
  </si>
  <si>
    <t>12.271109</t>
  </si>
  <si>
    <t>109.198149</t>
  </si>
  <si>
    <t>NTG Nha Trang cũ-KHNT99</t>
  </si>
  <si>
    <t>12.28407</t>
  </si>
  <si>
    <t>109.20241</t>
  </si>
  <si>
    <t>FO DT#MBF#KHNT79-KHNT99</t>
  </si>
  <si>
    <t>1122.72</t>
  </si>
  <si>
    <t>916.23</t>
  </si>
  <si>
    <t>Hòa Thắng-KHNH80</t>
  </si>
  <si>
    <t>12.47144</t>
  </si>
  <si>
    <t>109.10375</t>
  </si>
  <si>
    <t>FO DT#MBF#KHNH10-KHNH80</t>
  </si>
  <si>
    <t>2356.93</t>
  </si>
  <si>
    <t>2170.99</t>
  </si>
  <si>
    <t>12.464891</t>
  </si>
  <si>
    <t>109.122587</t>
  </si>
  <si>
    <t>Đông Ninh Hòa-KHNH78</t>
  </si>
  <si>
    <t>12.54987</t>
  </si>
  <si>
    <t>109.21542</t>
  </si>
  <si>
    <t>FO DT#MBF#KHNH32-KHNH78</t>
  </si>
  <si>
    <t>86.63</t>
  </si>
  <si>
    <t>81.41</t>
  </si>
  <si>
    <t>12.549190</t>
  </si>
  <si>
    <t>109.215142</t>
  </si>
  <si>
    <t>Tân Định-KHNH01</t>
  </si>
  <si>
    <t>12.49437</t>
  </si>
  <si>
    <t>109.13245</t>
  </si>
  <si>
    <t>FO DT#MBF#KHNH12-KHNH01</t>
  </si>
  <si>
    <t>435.85</t>
  </si>
  <si>
    <t>53.87</t>
  </si>
  <si>
    <t>12.494854</t>
  </si>
  <si>
    <t>109.132463</t>
  </si>
  <si>
    <t>Trạm CSGT Ninh An cũ-KHNH39</t>
  </si>
  <si>
    <t>12.53557</t>
  </si>
  <si>
    <t>109.18657</t>
  </si>
  <si>
    <t>FO DT#MBF#KHNH20-KHNH39</t>
  </si>
  <si>
    <t>1062.39</t>
  </si>
  <si>
    <t>94.45</t>
  </si>
  <si>
    <t>Tân Định-KHNH82</t>
  </si>
  <si>
    <t>12.50405</t>
  </si>
  <si>
    <t>109.10782</t>
  </si>
  <si>
    <t>FO DT#MBF#KHNH12-KHNH82</t>
  </si>
  <si>
    <t>1319.89</t>
  </si>
  <si>
    <t>937.90</t>
  </si>
  <si>
    <t>12.497920</t>
  </si>
  <si>
    <t>109.113754</t>
  </si>
  <si>
    <t>Trạm CSGT Ninh An cũ-KHNH33</t>
  </si>
  <si>
    <t>12.55275</t>
  </si>
  <si>
    <t>109.15134</t>
  </si>
  <si>
    <t>FO DT#MBF#KHNH20-KHNH33</t>
  </si>
  <si>
    <t>1826.66</t>
  </si>
  <si>
    <t>27.93</t>
  </si>
  <si>
    <t>12.531679</t>
  </si>
  <si>
    <t>109.160657</t>
  </si>
  <si>
    <t>1798.73</t>
  </si>
  <si>
    <t>12.541455</t>
  </si>
  <si>
    <t>109.163204</t>
  </si>
  <si>
    <t>full_h04/Khánh Hòa/Thu thập EVN_Khánh Hòa/Route_Cấp 3/KH_RING 1/5.Vạn Ninh - CAT Khánh Hòa/Vạn Ninh - CAT Khánh Hòa_Đoạn cột hạ thế_2</t>
  </si>
  <si>
    <t>Trạm CSGT Ninh An cũ-KHNH72</t>
  </si>
  <si>
    <t>12.51415</t>
  </si>
  <si>
    <t>109.15184</t>
  </si>
  <si>
    <t>FO DT#MBF#KHNH20-KHNH72</t>
  </si>
  <si>
    <t>285.31</t>
  </si>
  <si>
    <t>32.40</t>
  </si>
  <si>
    <t>12.531810</t>
  </si>
  <si>
    <t>109.160672</t>
  </si>
  <si>
    <t>252.91</t>
  </si>
  <si>
    <t>12.513339</t>
  </si>
  <si>
    <t>109.154017</t>
  </si>
  <si>
    <t>full_h04/Khánh Hòa/Thu thập EVN_Khánh Hòa/Route_Cấp 3/KH_RING 6/4.PK02 cs2 - Trạm CSGT Ninh An cũ/PK02 cs2 - Trạm CSGT Ninh An cũ_Đoạn cột hạ thế_2</t>
  </si>
  <si>
    <t>Đại Lãnh-KHVN02</t>
  </si>
  <si>
    <t>12.81172</t>
  </si>
  <si>
    <t>109.35932</t>
  </si>
  <si>
    <t>FO DT#MBF#KHVN55-KHVN02</t>
  </si>
  <si>
    <t>2886.35</t>
  </si>
  <si>
    <t>2879.80</t>
  </si>
  <si>
    <t>12.804639</t>
  </si>
  <si>
    <t>109.333773</t>
  </si>
  <si>
    <t>CATP Nha trang cũ-KHNT1W</t>
  </si>
  <si>
    <t>12.24261</t>
  </si>
  <si>
    <t>109.19261</t>
  </si>
  <si>
    <t>FO DT#MBF#KHNT83-KHNT1W</t>
  </si>
  <si>
    <t>210.89</t>
  </si>
  <si>
    <t>80.08</t>
  </si>
  <si>
    <t>Trung tâm Cai nghiện Khánh Bình-KHKV25</t>
  </si>
  <si>
    <t>12.40598</t>
  </si>
  <si>
    <t>108.9571</t>
  </si>
  <si>
    <t>12.38485</t>
  </si>
  <si>
    <t>108.95519</t>
  </si>
  <si>
    <t>FO DT#MBF#KHKV08-KHKV25</t>
  </si>
  <si>
    <t>Tuyến nhánh CA Bắc Khánh Vĩnh - Trung tâm Cai nghiện Khánh Bình_Cột trung thế</t>
  </si>
  <si>
    <t>92.02</t>
  </si>
  <si>
    <t>3.43</t>
  </si>
  <si>
    <t>12.405990</t>
  </si>
  <si>
    <t>108.957070</t>
  </si>
  <si>
    <t>88.59</t>
  </si>
  <si>
    <t>12.384286</t>
  </si>
  <si>
    <t>108.954614</t>
  </si>
  <si>
    <t>full_h04/Khánh Hòa/Thu thập EVN_Khánh Hòa/Route_Cấp 4/KH_RING 9/Tuyến nhánh CA Bắc Khánh Vĩnh - Trung tâm Cai nghiện Khánh Bình_Cột trung thế/Tuyến nhánh CA Bắc Khánh Vĩnh - Trung tâm Cai nghiện Khánh Bình_Cột trung thế</t>
  </si>
  <si>
    <t>Cảng HKQT Cam Ranh-KHCR88</t>
  </si>
  <si>
    <t>12.02698</t>
  </si>
  <si>
    <t>109.21712</t>
  </si>
  <si>
    <t>FO DT#MBF#KHCR10-KHCR88</t>
  </si>
  <si>
    <t>3004.62</t>
  </si>
  <si>
    <t>2999.45</t>
  </si>
  <si>
    <t>PC08 csc-KHNT7M</t>
  </si>
  <si>
    <t>12.25024</t>
  </si>
  <si>
    <t>109.17297</t>
  </si>
  <si>
    <t>FO DT#MBF#KHNT05-KHNT7M</t>
  </si>
  <si>
    <t>433.01</t>
  </si>
  <si>
    <t>352.39</t>
  </si>
  <si>
    <t>PC08 csc-KHNT24</t>
  </si>
  <si>
    <t>FO DT#MBF#KHNT05-KHNT24</t>
  </si>
  <si>
    <t>119.37</t>
  </si>
  <si>
    <t>12.249037</t>
  </si>
  <si>
    <t>109.184079</t>
  </si>
  <si>
    <t>Đại Lãnh-KHVN59</t>
  </si>
  <si>
    <t>12.82478</t>
  </si>
  <si>
    <t>109.35603</t>
  </si>
  <si>
    <t>FO DT#MBF#KHVN55-KHVN59</t>
  </si>
  <si>
    <t>3298.92</t>
  </si>
  <si>
    <t>3292.36</t>
  </si>
  <si>
    <t>PC08 (CSGT đường thủy)-Trạm điện 220 KVA_VINPEARL_ĐẤT LIỀN</t>
  </si>
  <si>
    <t>12.20279</t>
  </si>
  <si>
    <t>109.21487</t>
  </si>
  <si>
    <t>FO DT#MBF#KHNT42-Trạm điện 220 KVA_VINPEARL_ĐẤT LIỀN</t>
  </si>
  <si>
    <t>29.14</t>
  </si>
  <si>
    <t>3.80</t>
  </si>
  <si>
    <t>12.197634</t>
  </si>
  <si>
    <t>109.215698</t>
  </si>
  <si>
    <t>25.34</t>
  </si>
  <si>
    <t>12.202632</t>
  </si>
  <si>
    <t>109.215038</t>
  </si>
  <si>
    <t>full_h04/Khánh Hòa/Thu thập EVN_Khánh Hòa/Route_Cấp 3/KH_RING 5/Tuyến nhánh PC02 - PC08 (CSGT đường thủy)/PC02 - PC08 (CSGT đường thủy)_Đoạn ngầm</t>
  </si>
  <si>
    <t>KHNT01-PC08 csc</t>
  </si>
  <si>
    <t>12.2537</t>
  </si>
  <si>
    <t>109.1954</t>
  </si>
  <si>
    <t>FO DT#MBF#KHNT01-KHNT05</t>
  </si>
  <si>
    <t>131.11</t>
  </si>
  <si>
    <t>128.78</t>
  </si>
  <si>
    <t>12.253722</t>
  </si>
  <si>
    <t>109.194215</t>
  </si>
  <si>
    <t>KHCR62-Bắc Cam Ranh</t>
  </si>
  <si>
    <t>11.9939</t>
  </si>
  <si>
    <t>109.168</t>
  </si>
  <si>
    <t>FO DT#MBF#KHCR62-KHCR02</t>
  </si>
  <si>
    <t>801.16</t>
  </si>
  <si>
    <t>676.15</t>
  </si>
  <si>
    <t>11.987859</t>
  </si>
  <si>
    <t>109.168706</t>
  </si>
  <si>
    <t>KHNT3F-PC07</t>
  </si>
  <si>
    <t>12.22087</t>
  </si>
  <si>
    <t>109.20023</t>
  </si>
  <si>
    <t>FO DT#MBF#KHNT3F-KHNT90</t>
  </si>
  <si>
    <t>522437.58</t>
  </si>
  <si>
    <t>269853.38</t>
  </si>
  <si>
    <t>KHNT65-PC11a</t>
  </si>
  <si>
    <t>12.1815</t>
  </si>
  <si>
    <t>109.174</t>
  </si>
  <si>
    <t>FO DT#MBF#KHNT65-KHNTMA01</t>
  </si>
  <si>
    <t>119.50</t>
  </si>
  <si>
    <t>116.16</t>
  </si>
  <si>
    <t>12.181132</t>
  </si>
  <si>
    <t>109.173000</t>
  </si>
  <si>
    <t>KHNT34-PC11a</t>
  </si>
  <si>
    <t>12.17863</t>
  </si>
  <si>
    <t>109.18385</t>
  </si>
  <si>
    <t>FO DT#MBF#KHNT34-KHNTMA01</t>
  </si>
  <si>
    <t>1039.93</t>
  </si>
  <si>
    <t>903.85</t>
  </si>
  <si>
    <t>12.173728</t>
  </si>
  <si>
    <t>109.177217</t>
  </si>
  <si>
    <t>KHNT11-PC11a</t>
  </si>
  <si>
    <t>12.19157</t>
  </si>
  <si>
    <t>109.16812</t>
  </si>
  <si>
    <t>FO DT#MBF#KHNT11-KHNTMA01</t>
  </si>
  <si>
    <t>318.50</t>
  </si>
  <si>
    <t>315.15</t>
  </si>
  <si>
    <t>12.190373</t>
  </si>
  <si>
    <t>109.170748</t>
  </si>
  <si>
    <t>KHNT93-PC08 csc</t>
  </si>
  <si>
    <t>12.25242</t>
  </si>
  <si>
    <t>109.18285</t>
  </si>
  <si>
    <t>FO DT#MBF#KHNT93-KHNT05</t>
  </si>
  <si>
    <t>198.19</t>
  </si>
  <si>
    <t>7.17</t>
  </si>
  <si>
    <t>12.252446</t>
  </si>
  <si>
    <t>109.182911</t>
  </si>
  <si>
    <t>KHNT67-Nhà nghỉ dưỡng 378 BCA</t>
  </si>
  <si>
    <t>12.26469</t>
  </si>
  <si>
    <t>109.19942</t>
  </si>
  <si>
    <t>FO DT#MBF#KHNT67-KHNT1N</t>
  </si>
  <si>
    <t>Tuyến nhánh PA06 cs1 - Nhà nghỉ dưỡng 378 BCA_Cột trung thế</t>
  </si>
  <si>
    <t>907.58</t>
  </si>
  <si>
    <t>902.40</t>
  </si>
  <si>
    <t>12.256762</t>
  </si>
  <si>
    <t>109.197648</t>
  </si>
  <si>
    <t>full_h04/Khánh Hòa/Thu thập EVN_Khánh Hòa/Route_Cấp 3/KH_RING 3/Tuyến nhánh PA06 cs1 - Nhà nghỉ dưỡng 378 BCA_Cột trung thế/Tuyến nhánh PA06 cs1 - Nhà nghỉ dưỡng 378 BCA_Cột trung thế</t>
  </si>
  <si>
    <t>KHNT41-PK02 cs1</t>
  </si>
  <si>
    <t>12.28702</t>
  </si>
  <si>
    <t>109.18761</t>
  </si>
  <si>
    <t>FO DT#MBF#KHNT41-KHNT94</t>
  </si>
  <si>
    <t>789.77</t>
  </si>
  <si>
    <t>785.02</t>
  </si>
  <si>
    <t>12.280041</t>
  </si>
  <si>
    <t>109.188703</t>
  </si>
  <si>
    <t>KHNT15-Nhà nghỉ dưỡng 378 BCA</t>
  </si>
  <si>
    <t>12.28867</t>
  </si>
  <si>
    <t>109.2026</t>
  </si>
  <si>
    <t>FO DT#MBF#KHNT15-KHNT1N</t>
  </si>
  <si>
    <t>2220.85</t>
  </si>
  <si>
    <t>1245.98</t>
  </si>
  <si>
    <t>KHNT4I-PK02 cs1</t>
  </si>
  <si>
    <t>12.27377</t>
  </si>
  <si>
    <t>109.17512</t>
  </si>
  <si>
    <t>FO DT#MBF#KHNT4I-KHNT94</t>
  </si>
  <si>
    <t>727.92</t>
  </si>
  <si>
    <t>723.17</t>
  </si>
  <si>
    <t>KHNT2D-Bắc Nha Trang</t>
  </si>
  <si>
    <t>12.28473</t>
  </si>
  <si>
    <t>109.1917</t>
  </si>
  <si>
    <t>FO DT#MBF#KHNT2D-KHNT88</t>
  </si>
  <si>
    <t>53.74</t>
  </si>
  <si>
    <t>52.86</t>
  </si>
  <si>
    <t>12.285191</t>
  </si>
  <si>
    <t>109.191820</t>
  </si>
  <si>
    <t>KHNT45-PC11a</t>
  </si>
  <si>
    <t>12.16875</t>
  </si>
  <si>
    <t>109.19051</t>
  </si>
  <si>
    <t>FO DT#MBF#KHNT45-KHNTMA01</t>
  </si>
  <si>
    <t>222.30</t>
  </si>
  <si>
    <t>86.21</t>
  </si>
  <si>
    <t>12.169498</t>
  </si>
  <si>
    <t>109.190720</t>
  </si>
  <si>
    <t>KHNT3M-PC08 csc</t>
  </si>
  <si>
    <t>12.24668</t>
  </si>
  <si>
    <t>109.18138</t>
  </si>
  <si>
    <t>FO DT#MBF#KHNT3M-KHNT05</t>
  </si>
  <si>
    <t>6.PC08 csc - CAT Khánh Hòa_Cột trung thế</t>
  </si>
  <si>
    <t>32.28</t>
  </si>
  <si>
    <t>30.03</t>
  </si>
  <si>
    <t>12.246561</t>
  </si>
  <si>
    <t>109.181628</t>
  </si>
  <si>
    <t>2.25</t>
  </si>
  <si>
    <t>12.249053</t>
  </si>
  <si>
    <t>109.184084</t>
  </si>
  <si>
    <t>full_h04/Khánh Hòa/Thu thập EVN_Khánh Hòa/Route_Cấp 3/KH_RING 3/6.PC08 csc - CAT Khánh Hòa_Cột trung thế/6.PC08 csc - CAT Khánh Hòa_Cột trung thế</t>
  </si>
  <si>
    <t>KHNT6M-Bắc Nha Trang</t>
  </si>
  <si>
    <t>12.30214</t>
  </si>
  <si>
    <t>109.18654</t>
  </si>
  <si>
    <t>FO DT#MBF#KHNT6M-KHNT88</t>
  </si>
  <si>
    <t>626.93</t>
  </si>
  <si>
    <t>200.82</t>
  </si>
  <si>
    <t>12.300356</t>
  </si>
  <si>
    <t>109.186825</t>
  </si>
  <si>
    <t>426.12</t>
  </si>
  <si>
    <t>12.279659</t>
  </si>
  <si>
    <t>109.195298</t>
  </si>
  <si>
    <t>KHNT6C-CATP Nha trang cũ</t>
  </si>
  <si>
    <t>12.24099</t>
  </si>
  <si>
    <t>109.19585</t>
  </si>
  <si>
    <t>FO DT#MBF#KHNT6C-KHNT83</t>
  </si>
  <si>
    <t>598.85</t>
  </si>
  <si>
    <t>468.04</t>
  </si>
  <si>
    <t>KHCL20-Cam An</t>
  </si>
  <si>
    <t>11.97158</t>
  </si>
  <si>
    <t>109.06631</t>
  </si>
  <si>
    <t>FO DT#MBF#KHCL20-KHCR27</t>
  </si>
  <si>
    <t>521.46</t>
  </si>
  <si>
    <t>386.95</t>
  </si>
  <si>
    <t>11.974343</t>
  </si>
  <si>
    <t>109.068472</t>
  </si>
  <si>
    <t>KHCL61-Bắc Cam Ranh</t>
  </si>
  <si>
    <t>12.02729</t>
  </si>
  <si>
    <t>109.19345</t>
  </si>
  <si>
    <t>FO DT#MBF#KHCL61-KHCR02</t>
  </si>
  <si>
    <t>1651.48</t>
  </si>
  <si>
    <t>976.58</t>
  </si>
  <si>
    <t>12.018553</t>
  </si>
  <si>
    <t>109.192533</t>
  </si>
  <si>
    <t>KHCL19-Cam Lâm</t>
  </si>
  <si>
    <t>12.0805</t>
  </si>
  <si>
    <t>109.1801</t>
  </si>
  <si>
    <t>FO DT#MBF#KHCL19-KHCLMA01</t>
  </si>
  <si>
    <t>87.53</t>
  </si>
  <si>
    <t>85.50</t>
  </si>
  <si>
    <t>12.080638</t>
  </si>
  <si>
    <t>109.180874</t>
  </si>
  <si>
    <t>KHCL62-Cam Lâm</t>
  </si>
  <si>
    <t>12.0652</t>
  </si>
  <si>
    <t>109.18471</t>
  </si>
  <si>
    <t>FO DT#MBF#KHCL62-KHCLMA01</t>
  </si>
  <si>
    <t>1691.44</t>
  </si>
  <si>
    <t>1689.41</t>
  </si>
  <si>
    <t>12.079612</t>
  </si>
  <si>
    <t>109.179793</t>
  </si>
  <si>
    <t>KHCL31-Cam Lâm</t>
  </si>
  <si>
    <t>12.09833</t>
  </si>
  <si>
    <t>109.18722</t>
  </si>
  <si>
    <t>FO DT#MBF#KHCL31-KHCLMA01</t>
  </si>
  <si>
    <t>240.10</t>
  </si>
  <si>
    <t>238.07</t>
  </si>
  <si>
    <t>KHDK49-Diên Điền</t>
  </si>
  <si>
    <t>12.27073</t>
  </si>
  <si>
    <t>109.13329</t>
  </si>
  <si>
    <t>FO DT#MBF#KHDK49-KHDK08</t>
  </si>
  <si>
    <t>1091.49</t>
  </si>
  <si>
    <t>1085.42</t>
  </si>
  <si>
    <t>KHDK46-Suối Hiệp</t>
  </si>
  <si>
    <t>12.22036</t>
  </si>
  <si>
    <t>109.05533</t>
  </si>
  <si>
    <t>FO DT#MBF#KHDK46-KHDK06</t>
  </si>
  <si>
    <t>2282.34</t>
  </si>
  <si>
    <t>2128.44</t>
  </si>
  <si>
    <t>12.215051</t>
  </si>
  <si>
    <t>109.074147</t>
  </si>
  <si>
    <t>KHDK14-Diên Khánh</t>
  </si>
  <si>
    <t>FO DT#MBF#KHDK14-KHDKMA01</t>
  </si>
  <si>
    <t>KHNH59-Tân Định</t>
  </si>
  <si>
    <t>12.50549</t>
  </si>
  <si>
    <t>109.12846</t>
  </si>
  <si>
    <t>FO DT#MBF#KHNH59-KHNH12</t>
  </si>
  <si>
    <t>1168.36</t>
  </si>
  <si>
    <t>786.37</t>
  </si>
  <si>
    <t>KHNH23-Hòa Thắng</t>
  </si>
  <si>
    <t>12.45234</t>
  </si>
  <si>
    <t>109.11297</t>
  </si>
  <si>
    <t>FO DT#MBF#KHNH23-KHNH10</t>
  </si>
  <si>
    <t>1216.54</t>
  </si>
  <si>
    <t>1030.59</t>
  </si>
  <si>
    <t>12.455375</t>
  </si>
  <si>
    <t>109.121938</t>
  </si>
  <si>
    <t>KHNH24-Tân Định</t>
  </si>
  <si>
    <t>12.48512</t>
  </si>
  <si>
    <t>109.13401</t>
  </si>
  <si>
    <t>FO DT#MBF#KHNH24-KHNH12</t>
  </si>
  <si>
    <t>1477.34</t>
  </si>
  <si>
    <t>1095.35</t>
  </si>
  <si>
    <t>KHNH15-Đông Ninh Hòa</t>
  </si>
  <si>
    <t>12.56971</t>
  </si>
  <si>
    <t>109.23236</t>
  </si>
  <si>
    <t>FO DT#MBF#KHNH15-KHNH32</t>
  </si>
  <si>
    <t>2074.18</t>
  </si>
  <si>
    <t>2069.92</t>
  </si>
  <si>
    <t>12.559902</t>
  </si>
  <si>
    <t>109.216150</t>
  </si>
  <si>
    <t>KHNH64-Tân Định</t>
  </si>
  <si>
    <t>12.49165</t>
  </si>
  <si>
    <t>109.12901</t>
  </si>
  <si>
    <t>FO DT#MBF#KHNH64-KHNH12</t>
  </si>
  <si>
    <t>681.08</t>
  </si>
  <si>
    <t>299.09</t>
  </si>
  <si>
    <t>12.494325</t>
  </si>
  <si>
    <t>109.128719</t>
  </si>
  <si>
    <t>KHNH31-Hòa Thắng</t>
  </si>
  <si>
    <t>12.46365</t>
  </si>
  <si>
    <t>109.14001</t>
  </si>
  <si>
    <t>FO DT#MBF#KHNH31-KHNH10</t>
  </si>
  <si>
    <t>1889.42</t>
  </si>
  <si>
    <t>1703.47</t>
  </si>
  <si>
    <t>12.471017</t>
  </si>
  <si>
    <t>109.126253</t>
  </si>
  <si>
    <t>KHNT44-PK02 cs2</t>
  </si>
  <si>
    <t>12.36465</t>
  </si>
  <si>
    <t>109.19431</t>
  </si>
  <si>
    <t>FO DT#MBF#KHNT44-KHNT13</t>
  </si>
  <si>
    <t>138.19</t>
  </si>
  <si>
    <t>20.96</t>
  </si>
  <si>
    <t>12.364605</t>
  </si>
  <si>
    <t>109.194498</t>
  </si>
  <si>
    <t>KHNH13-PK02 cs2</t>
  </si>
  <si>
    <t>12.38523</t>
  </si>
  <si>
    <t>109.19578</t>
  </si>
  <si>
    <t>FO DT#MBF#KHNH13-KHNT13</t>
  </si>
  <si>
    <t>251.61</t>
  </si>
  <si>
    <t>134.38</t>
  </si>
  <si>
    <t>12.384585</t>
  </si>
  <si>
    <t>109.194734</t>
  </si>
  <si>
    <t>KHNH62-Tây Ninh Hòa</t>
  </si>
  <si>
    <t>12.54099</t>
  </si>
  <si>
    <t>109.01055</t>
  </si>
  <si>
    <t>FO DT#MBF#KHNH62-KHNH06</t>
  </si>
  <si>
    <t>93.36</t>
  </si>
  <si>
    <t>88.78</t>
  </si>
  <si>
    <t>12.540544</t>
  </si>
  <si>
    <t>109.009872</t>
  </si>
  <si>
    <t>KHNH43-Tây Ninh Hòa</t>
  </si>
  <si>
    <t>12.54399</t>
  </si>
  <si>
    <t>109.05504</t>
  </si>
  <si>
    <t>FO DT#MBF#KHNH43-KHNH06</t>
  </si>
  <si>
    <t>3042.21</t>
  </si>
  <si>
    <t>3037.62</t>
  </si>
  <si>
    <t>12.519499</t>
  </si>
  <si>
    <t>109.042643</t>
  </si>
  <si>
    <t>KHVN51-Vạn Ninh</t>
  </si>
  <si>
    <t>12.71461</t>
  </si>
  <si>
    <t>109.24381</t>
  </si>
  <si>
    <t>FO DT#MBF#KHVN51-KHVN04</t>
  </si>
  <si>
    <t>1311.74</t>
  </si>
  <si>
    <t>1308.17</t>
  </si>
  <si>
    <t>KHVN20-Tu Bông</t>
  </si>
  <si>
    <t>109.31663</t>
  </si>
  <si>
    <t>FO DT#MBF#KHVN20-KHVN03</t>
  </si>
  <si>
    <t>365.75</t>
  </si>
  <si>
    <t>365.40</t>
  </si>
  <si>
    <t>12.778753</t>
  </si>
  <si>
    <t>109.313261</t>
  </si>
  <si>
    <t>KHVN43-Tu Bông</t>
  </si>
  <si>
    <t>12.78391</t>
  </si>
  <si>
    <t>109.30672</t>
  </si>
  <si>
    <t>FO DT#MBF#KHVN43-KHVN03</t>
  </si>
  <si>
    <t>177.99</t>
  </si>
  <si>
    <t>175.91</t>
  </si>
  <si>
    <t>12.784682</t>
  </si>
  <si>
    <t>109.305304</t>
  </si>
  <si>
    <t>KHNT6I-PC07</t>
  </si>
  <si>
    <t>12.23759</t>
  </si>
  <si>
    <t>109.19083</t>
  </si>
  <si>
    <t>FO DT#MBF#KHNT6I-KHNT90</t>
  </si>
  <si>
    <t>520316.29</t>
  </si>
  <si>
    <t>267732.10</t>
  </si>
  <si>
    <t>KHNT3P-PA08</t>
  </si>
  <si>
    <t>12.23582</t>
  </si>
  <si>
    <t>109.18092</t>
  </si>
  <si>
    <t>FO DT#MBF#KHNT3P-KHNT25</t>
  </si>
  <si>
    <t>517037.19</t>
  </si>
  <si>
    <t>267394.47</t>
  </si>
  <si>
    <t>KHNT5U-PC08 (xử lý vi phạm)</t>
  </si>
  <si>
    <t>12.25156</t>
  </si>
  <si>
    <t>109.18883</t>
  </si>
  <si>
    <t>FO DT#MBF#KHNT5U-KHNT60</t>
  </si>
  <si>
    <t>254.76</t>
  </si>
  <si>
    <t>94.09</t>
  </si>
  <si>
    <t>12.251268</t>
  </si>
  <si>
    <t>109.189643</t>
  </si>
  <si>
    <t>KHDK22-Diên Lâm</t>
  </si>
  <si>
    <t>12.23889</t>
  </si>
  <si>
    <t>109.0079</t>
  </si>
  <si>
    <t>FO DT#MBF#KHDK22-KHDK25</t>
  </si>
  <si>
    <t>814.18</t>
  </si>
  <si>
    <t>65.98</t>
  </si>
  <si>
    <t>12.238942</t>
  </si>
  <si>
    <t>109.008505</t>
  </si>
  <si>
    <t>KHNH65-Ninh Hòa</t>
  </si>
  <si>
    <t>12.48371</t>
  </si>
  <si>
    <t>109.11364</t>
  </si>
  <si>
    <t>FO DT#MBF#KHNH65-KHNH54</t>
  </si>
  <si>
    <t>1820.48</t>
  </si>
  <si>
    <t>1815.59</t>
  </si>
  <si>
    <t>12.476967</t>
  </si>
  <si>
    <t>109.128870</t>
  </si>
  <si>
    <t>KHNT2W-PK02 cs1</t>
  </si>
  <si>
    <t>12.27995</t>
  </si>
  <si>
    <t>109.19013</t>
  </si>
  <si>
    <t>FO DT#MBF#KHNT2W-KHNT94</t>
  </si>
  <si>
    <t>93.87</t>
  </si>
  <si>
    <t>88.92</t>
  </si>
  <si>
    <t>12.279602</t>
  </si>
  <si>
    <t>109.190867</t>
  </si>
  <si>
    <t>4.96</t>
  </si>
  <si>
    <t>KHNT69-PA06 cs2</t>
  </si>
  <si>
    <t>12.24114</t>
  </si>
  <si>
    <t>109.16022</t>
  </si>
  <si>
    <t>FO DT#MBF#KHNT69-KHNT55</t>
  </si>
  <si>
    <t>2030.07</t>
  </si>
  <si>
    <t>1856.87</t>
  </si>
  <si>
    <t>KHNT1T-PC08 (xử lý vi phạm)</t>
  </si>
  <si>
    <t>12.25049</t>
  </si>
  <si>
    <t>109.18682</t>
  </si>
  <si>
    <t>FO DT#MBF#KHNT1T-KHNT60</t>
  </si>
  <si>
    <t>Tuyến nhánh PC08 csc - PC08 (xử lý vi phạm)</t>
  </si>
  <si>
    <t>277.79</t>
  </si>
  <si>
    <t>276.13</t>
  </si>
  <si>
    <t>12.248199</t>
  </si>
  <si>
    <t>109.185840</t>
  </si>
  <si>
    <t>1.67</t>
  </si>
  <si>
    <t>12.248073</t>
  </si>
  <si>
    <t>109.185785</t>
  </si>
  <si>
    <t>full_h04/Khánh Hòa/Thu thập EVN_Khánh Hòa/Route_Cấp 3/KH_RING 3/Tuyến nhánh PC08 csc - PC08 (xử lý vi phạm)/Tuyến nhánh PC08 csc - PC08 (xử lý vi phạm)</t>
  </si>
  <si>
    <t>KHNT12-CATP Nha trang cũ</t>
  </si>
  <si>
    <t>12.24001</t>
  </si>
  <si>
    <t>109.18822</t>
  </si>
  <si>
    <t>FO DT#MBF#KHNT12-KHNT83</t>
  </si>
  <si>
    <t>1.CATP Nha trang cũ - PC07</t>
  </si>
  <si>
    <t>481.67</t>
  </si>
  <si>
    <t>12.239117</t>
  </si>
  <si>
    <t>109.186642</t>
  </si>
  <si>
    <t>283.48</t>
  </si>
  <si>
    <t>12.243925</t>
  </si>
  <si>
    <t>109.189556</t>
  </si>
  <si>
    <t>full_h04/Khánh Hòa/Thu thập EVN_Khánh Hòa/Route_Cấp 3/KH_RING 5/1.CATP Nha trang cũ - PC07/CATP Nha trang cũ - PC07_Đoạn cột trung thế</t>
  </si>
  <si>
    <t>KHNT2V-Tây Nha Trang</t>
  </si>
  <si>
    <t>12.25528</t>
  </si>
  <si>
    <t>109.1898</t>
  </si>
  <si>
    <t>FO DT#MBF#KHNT2V-KHNT17</t>
  </si>
  <si>
    <t>415.64</t>
  </si>
  <si>
    <t>411.64</t>
  </si>
  <si>
    <t>12.252363</t>
  </si>
  <si>
    <t>109.192133</t>
  </si>
  <si>
    <t>KHNT5R-Tây Nha Trang</t>
  </si>
  <si>
    <t>12.25404</t>
  </si>
  <si>
    <t>109.18731</t>
  </si>
  <si>
    <t>FO DT#MBF#KHNT5R-KHNT17</t>
  </si>
  <si>
    <t>291.64</t>
  </si>
  <si>
    <t>289.27</t>
  </si>
  <si>
    <t>12.251707</t>
  </si>
  <si>
    <t>109.186132</t>
  </si>
  <si>
    <t>KHNT58-Tây Nha Trang</t>
  </si>
  <si>
    <t>12.26105</t>
  </si>
  <si>
    <t>109.1916</t>
  </si>
  <si>
    <t>FO DT#MBF#KHNT58-KHNT17</t>
  </si>
  <si>
    <t>492.85</t>
  </si>
  <si>
    <t>63.74</t>
  </si>
  <si>
    <t>12.261350</t>
  </si>
  <si>
    <t>109.191100</t>
  </si>
  <si>
    <t>429.11</t>
  </si>
  <si>
    <t>12.253068</t>
  </si>
  <si>
    <t>109.189821</t>
  </si>
  <si>
    <t>full_h04/Khánh Hòa/Thu thập EVN_Khánh Hòa/Route_Cấp 3/KH_RING 1/5.Vạn Ninh - CAT Khánh Hòa/Vạn Ninh - CAT Khánh Hòa_Đoạn cột trung thế_2</t>
  </si>
  <si>
    <t>KHNT2Z-PC06</t>
  </si>
  <si>
    <t>12.24204</t>
  </si>
  <si>
    <t>109.189</t>
  </si>
  <si>
    <t>FO DT#MBF#KHNT2Z-KHNT84</t>
  </si>
  <si>
    <t>336266.77</t>
  </si>
  <si>
    <t>192483.97</t>
  </si>
  <si>
    <t>17KH025-Nhà nghỉ dưỡng 378 BCA</t>
  </si>
  <si>
    <t>12.26737</t>
  </si>
  <si>
    <t>109.2033</t>
  </si>
  <si>
    <t>FO DT#MBF#17KH025-KHNT1N</t>
  </si>
  <si>
    <t>1335.10</t>
  </si>
  <si>
    <t>1329.92</t>
  </si>
  <si>
    <t>KHKV10-Bắc Khánh Vĩnh</t>
  </si>
  <si>
    <t>12.34991</t>
  </si>
  <si>
    <t>108.97801</t>
  </si>
  <si>
    <t>12.35885</t>
  </si>
  <si>
    <t>108.9607</t>
  </si>
  <si>
    <t>FO DT#MBF#KHKV10-KHKV05</t>
  </si>
  <si>
    <t>208.64</t>
  </si>
  <si>
    <t>205.15</t>
  </si>
  <si>
    <t>12.351702</t>
  </si>
  <si>
    <t>108.978459</t>
  </si>
  <si>
    <t>3.48</t>
  </si>
  <si>
    <t>12.358868</t>
  </si>
  <si>
    <t>108.960726</t>
  </si>
  <si>
    <t>KHKV25-Bắc Khánh Vĩnh</t>
  </si>
  <si>
    <t>FO DT#MBF#KHKV25-KHKV05</t>
  </si>
  <si>
    <t>90.56</t>
  </si>
  <si>
    <t>1.97</t>
  </si>
  <si>
    <t>12.358832</t>
  </si>
  <si>
    <t>108.960699</t>
  </si>
  <si>
    <t>KHKV23-Bắc Khánh Vĩnh</t>
  </si>
  <si>
    <t>12.37577</t>
  </si>
  <si>
    <t>108.93669</t>
  </si>
  <si>
    <t>FO DT#MBF#KHKV23-KHKV05</t>
  </si>
  <si>
    <t>4.CA Bắc Khánh Vĩnh - CA Trung Khánh Vĩnh_Cột trung thế</t>
  </si>
  <si>
    <t>80.53</t>
  </si>
  <si>
    <t>77.17</t>
  </si>
  <si>
    <t>12.376333</t>
  </si>
  <si>
    <t>108.936274</t>
  </si>
  <si>
    <t>3.37</t>
  </si>
  <si>
    <t>12.358875</t>
  </si>
  <si>
    <t>108.960717</t>
  </si>
  <si>
    <t>full_h04/Khánh Hòa/Thu thập EVN_Khánh Hòa/Route_Cấp 4/KH_RING 9/4.CA Bắc Khánh Vĩnh - CA Trung Khánh Vĩnh_Cột trung thế/4.CA Bắc Khánh Vĩnh - CA Trung Khánh Vĩnh_Cột trung thế</t>
  </si>
  <si>
    <t>KHDK03-Diên Lâm</t>
  </si>
  <si>
    <t>12.2453</t>
  </si>
  <si>
    <t>109.0412</t>
  </si>
  <si>
    <t>FO DT#MBF#KHDK03-KHDK25</t>
  </si>
  <si>
    <t>1974.80</t>
  </si>
  <si>
    <t>1971.41</t>
  </si>
  <si>
    <t>12.262613</t>
  </si>
  <si>
    <t>109.037289</t>
  </si>
  <si>
    <t>KHNT3O-Bắc Nha Trang</t>
  </si>
  <si>
    <t>12.29859</t>
  </si>
  <si>
    <t>109.21044</t>
  </si>
  <si>
    <t>FO DT#MBF#KHNT3O-KHNT88</t>
  </si>
  <si>
    <t>2238.93</t>
  </si>
  <si>
    <t>2238.08</t>
  </si>
  <si>
    <t>KHDK30-Diên Điền</t>
  </si>
  <si>
    <t>FO DT#MBF#KHDK30-KHDK08</t>
  </si>
  <si>
    <t>KHVN44-Đại Lãnh</t>
  </si>
  <si>
    <t>12.8012</t>
  </si>
  <si>
    <t>109.35284</t>
  </si>
  <si>
    <t>FO DT#MBF#KHVN44-KHVN55</t>
  </si>
  <si>
    <t>2045.65</t>
  </si>
  <si>
    <t>2038.93</t>
  </si>
  <si>
    <t>12.803173</t>
  </si>
  <si>
    <t>109.334145</t>
  </si>
  <si>
    <t>KHVN18-Đại Lãnh</t>
  </si>
  <si>
    <t>12.77596</t>
  </si>
  <si>
    <t>109.35836</t>
  </si>
  <si>
    <t>FO DT#MBF#KHVN18-KHVN55</t>
  </si>
  <si>
    <t>4013.08</t>
  </si>
  <si>
    <t>4006.35</t>
  </si>
  <si>
    <t>KHVN28-Đại Lãnh</t>
  </si>
  <si>
    <t>12.83621</t>
  </si>
  <si>
    <t>109.36243</t>
  </si>
  <si>
    <t>FO DT#MBF#KHVN28-KHVN55</t>
  </si>
  <si>
    <t>4694.65</t>
  </si>
  <si>
    <t>4688.09</t>
  </si>
  <si>
    <t>KHCR26-Cam Phước Đông</t>
  </si>
  <si>
    <t>11.92448</t>
  </si>
  <si>
    <t>109.12728</t>
  </si>
  <si>
    <t>FO DT#MBF#KHCR26-KHCR47</t>
  </si>
  <si>
    <t>252.14</t>
  </si>
  <si>
    <t>152.13</t>
  </si>
  <si>
    <t>11.923322</t>
  </si>
  <si>
    <t>109.126536</t>
  </si>
  <si>
    <t>KHCR70-Cam Phước Đông</t>
  </si>
  <si>
    <t>11.95556</t>
  </si>
  <si>
    <t>109.10417</t>
  </si>
  <si>
    <t>FO DT#MBF#KHCR70-KHCR47</t>
  </si>
  <si>
    <t>95.74</t>
  </si>
  <si>
    <t>89.11</t>
  </si>
  <si>
    <t>11.956004</t>
  </si>
  <si>
    <t>109.103488</t>
  </si>
  <si>
    <t>KHNH95-Trạm CSGT Ninh An cũ</t>
  </si>
  <si>
    <t>12.54265</t>
  </si>
  <si>
    <t>109.16408</t>
  </si>
  <si>
    <t>FO DT#MBF#KHNH95-KHNH20</t>
  </si>
  <si>
    <t>191.34</t>
  </si>
  <si>
    <t>163.41</t>
  </si>
  <si>
    <t>KHNT8P-CATP Nha trang cũ</t>
  </si>
  <si>
    <t>12.23912</t>
  </si>
  <si>
    <t>109.18977</t>
  </si>
  <si>
    <t>FO DT#MBF#KHNT8P-KHNT83</t>
  </si>
  <si>
    <t>615.17</t>
  </si>
  <si>
    <t>331.69</t>
  </si>
  <si>
    <t>12.238712</t>
  </si>
  <si>
    <t>109.186746</t>
  </si>
  <si>
    <t>KHNT8V-PC11a</t>
  </si>
  <si>
    <t>12.19789</t>
  </si>
  <si>
    <t>109.16692</t>
  </si>
  <si>
    <t>FO DT#MBF#KHNT8V-KHNTMA01</t>
  </si>
  <si>
    <t>809.65</t>
  </si>
  <si>
    <t>806.31</t>
  </si>
  <si>
    <t>KHNT8D-PC02</t>
  </si>
  <si>
    <t>12.21948</t>
  </si>
  <si>
    <t>109.2042</t>
  </si>
  <si>
    <t>FO DT#MBF#KHNT8D-KHNT4D</t>
  </si>
  <si>
    <t>55.58</t>
  </si>
  <si>
    <t>53.53</t>
  </si>
  <si>
    <t>12.219007</t>
  </si>
  <si>
    <t>109.204294</t>
  </si>
  <si>
    <t>2.04</t>
  </si>
  <si>
    <t>KHNT8B-Nhà nghỉ dưỡng 378 BCA</t>
  </si>
  <si>
    <t>12.26741</t>
  </si>
  <si>
    <t>109.20332</t>
  </si>
  <si>
    <t>FO DT#MBF#KHNT8B-KHNT1N</t>
  </si>
  <si>
    <t>1340.05</t>
  </si>
  <si>
    <t>1334.87</t>
  </si>
  <si>
    <t>KHNT57-PC02</t>
  </si>
  <si>
    <t>12.2146</t>
  </si>
  <si>
    <t>109.20179</t>
  </si>
  <si>
    <t>FO DT#MBF#KHNT57-KHNT4D</t>
  </si>
  <si>
    <t>342.16</t>
  </si>
  <si>
    <t>338.55</t>
  </si>
  <si>
    <t>12.217110</t>
  </si>
  <si>
    <t>109.200027</t>
  </si>
  <si>
    <t>KHNT8F-PA08</t>
  </si>
  <si>
    <t>12.24156</t>
  </si>
  <si>
    <t>109.17704</t>
  </si>
  <si>
    <t>FO DT#MBF#KHNT8F-KHNT25</t>
  </si>
  <si>
    <t>516275.44</t>
  </si>
  <si>
    <t>266632.72</t>
  </si>
  <si>
    <t>QTTP35-TT2 Quảng Trị</t>
  </si>
  <si>
    <t>16.81011</t>
  </si>
  <si>
    <t>107.14673</t>
  </si>
  <si>
    <t>FO thuê#VNPT#QTTP35-QTDH14</t>
  </si>
  <si>
    <t>CA Công an Quảng Trị-Triệu Phong</t>
  </si>
  <si>
    <t>2816.27</t>
  </si>
  <si>
    <t>2735.78</t>
  </si>
  <si>
    <t>16.798327</t>
  </si>
  <si>
    <t>107.124168</t>
  </si>
  <si>
    <t>80.49</t>
  </si>
  <si>
    <t>16.790924</t>
  </si>
  <si>
    <t>107.104774</t>
  </si>
  <si>
    <t>full_h04/Quảng Trị/Mạng cấp IV-Quảng Trị (cũ)/Ring 7/CA Công an Quảng Trị-Triệu Phong/Tuyến Trung thế</t>
  </si>
  <si>
    <t>QTCL02-TT2 Quảng Trị</t>
  </si>
  <si>
    <t>16.74525</t>
  </si>
  <si>
    <t>106.9641</t>
  </si>
  <si>
    <t>FO thuê#VNPT#QTCL02-QTDH14</t>
  </si>
  <si>
    <t>TT2 Quảng Trị - Đăk Rông</t>
  </si>
  <si>
    <t>8982.56</t>
  </si>
  <si>
    <t>8918.31</t>
  </si>
  <si>
    <t>16.803405</t>
  </si>
  <si>
    <t>107.021788</t>
  </si>
  <si>
    <t>64.25</t>
  </si>
  <si>
    <t>16.790624</t>
  </si>
  <si>
    <t>107.103763</t>
  </si>
  <si>
    <t>full_h04/Quảng Trị/Mạng cấp III- Quảng Trị (cũ)/Công an Quảng Trị/TTCMKV Ring 4/TT2 Quảng Trị - Đăk Rông/Tuyến Trung thế 1</t>
  </si>
  <si>
    <t>Trung tâm sát hạch lái xe-TT2 Quảng Trị</t>
  </si>
  <si>
    <t>16.79029</t>
  </si>
  <si>
    <t>107.091</t>
  </si>
  <si>
    <t>FO thuê#VNPT#QTDH50-QTDH14</t>
  </si>
  <si>
    <t>TT2 Quảng Trị-PC07</t>
  </si>
  <si>
    <t>112.13</t>
  </si>
  <si>
    <t>40.36</t>
  </si>
  <si>
    <t>16.790599</t>
  </si>
  <si>
    <t>107.091199</t>
  </si>
  <si>
    <t>71.77</t>
  </si>
  <si>
    <t>16.790613</t>
  </si>
  <si>
    <t>107.103680</t>
  </si>
  <si>
    <t>full_h04/Quảng Trị/Mạng cấp III- Quảng Trị (cũ)/Cấp phòng/Phòng-Ring 5/TT2 Quảng Trị-PC07/Tuyến trung thế 3</t>
  </si>
  <si>
    <t>TX Quảng Trị-TT2 Quảng Trị</t>
  </si>
  <si>
    <t>16.73942</t>
  </si>
  <si>
    <t>107.1883</t>
  </si>
  <si>
    <t>FO thuê#CMC#QTQT09-QTDH14</t>
  </si>
  <si>
    <t>Hải Lăng - TT2 Quảng Trị</t>
  </si>
  <si>
    <t>4955.32</t>
  </si>
  <si>
    <t>1526.92</t>
  </si>
  <si>
    <t>16.749236</t>
  </si>
  <si>
    <t>107.178272</t>
  </si>
  <si>
    <t>3428.40</t>
  </si>
  <si>
    <t>16.791696</t>
  </si>
  <si>
    <t>107.136475</t>
  </si>
  <si>
    <t>full_h04/Quảng Trị/Mạng cấp III- Quảng Trị (cũ)/Công an Quảng Trị/TTCMKV Ring 3/Hải Lăng - TT2 Quảng Trị/Tuyến trung thế 3</t>
  </si>
  <si>
    <t>QTTP23-TT2 Quảng Trị</t>
  </si>
  <si>
    <t>16.79871</t>
  </si>
  <si>
    <t>107.1613</t>
  </si>
  <si>
    <t>FO thuê#CMC#QTTP23-QTDH14</t>
  </si>
  <si>
    <t>4033.40</t>
  </si>
  <si>
    <t>3952.91</t>
  </si>
  <si>
    <t>QTCL20-Hiếu Giang</t>
  </si>
  <si>
    <t>16.811</t>
  </si>
  <si>
    <t>107.05531</t>
  </si>
  <si>
    <t>16.80435</t>
  </si>
  <si>
    <t>107.0406</t>
  </si>
  <si>
    <t>FO thuê#VNPT#QTCL20-QTCL13</t>
  </si>
  <si>
    <t>Cửa Việt-Hiếu Giang</t>
  </si>
  <si>
    <t>101.08</t>
  </si>
  <si>
    <t>64.44</t>
  </si>
  <si>
    <t>16.810813</t>
  </si>
  <si>
    <t>107.055883</t>
  </si>
  <si>
    <t>36.65</t>
  </si>
  <si>
    <t>16.804551</t>
  </si>
  <si>
    <t>107.040873</t>
  </si>
  <si>
    <t>full_h04/Quảng Trị/Mạng cấp IV-Quảng Trị (cũ)/Ring 2/Cửa Việt-Hiếu Giang/Tuyến trung thế 6</t>
  </si>
  <si>
    <t>QTCL17-Hiếu Giang</t>
  </si>
  <si>
    <t>16.81839</t>
  </si>
  <si>
    <t>107.03923</t>
  </si>
  <si>
    <t>FO thuê#VNPT#QTCL17-QTCL13</t>
  </si>
  <si>
    <t>1511.86</t>
  </si>
  <si>
    <t>1475.22</t>
  </si>
  <si>
    <t>16.806810</t>
  </si>
  <si>
    <t>107.045994</t>
  </si>
  <si>
    <t>QTGL42-Cửa Việt</t>
  </si>
  <si>
    <t>16.90134</t>
  </si>
  <si>
    <t>107.17274</t>
  </si>
  <si>
    <t>16.90575</t>
  </si>
  <si>
    <t>107.1769</t>
  </si>
  <si>
    <t>FO thuê#VNPT#QTGL42-QTGL03</t>
  </si>
  <si>
    <t>56.57</t>
  </si>
  <si>
    <t>44.34</t>
  </si>
  <si>
    <t>16.901360</t>
  </si>
  <si>
    <t>107.172324</t>
  </si>
  <si>
    <t>12.23</t>
  </si>
  <si>
    <t>16.905641</t>
  </si>
  <si>
    <t>107.176884</t>
  </si>
  <si>
    <t>full_h04/Quảng Trị/Mạng cấp IV-Quảng Trị (cũ)/Ring 2/Cửa Việt-Hiếu Giang/Tuyến hạ thế 1</t>
  </si>
  <si>
    <t>QTDH10-Hiếu Giang</t>
  </si>
  <si>
    <t>16.81659</t>
  </si>
  <si>
    <t>107.07734</t>
  </si>
  <si>
    <t>FO thuê#VNPT#QTDH10-QTCL13</t>
  </si>
  <si>
    <t>Cam Lộ - Nam Đông Hà</t>
  </si>
  <si>
    <t>72.58</t>
  </si>
  <si>
    <t>40.58</t>
  </si>
  <si>
    <t>16.816952</t>
  </si>
  <si>
    <t>107.077390</t>
  </si>
  <si>
    <t>32.00</t>
  </si>
  <si>
    <t>16.804628</t>
  </si>
  <si>
    <t>107.040678</t>
  </si>
  <si>
    <t>full_h04/Quảng Trị/Mạng cấp IV-Quảng Trị (cũ)/Ring 6/Cam Lộ - Nam Đông Hà/Tuyến trung thế 4</t>
  </si>
  <si>
    <t>Hiếu Giang-Cam Lộ</t>
  </si>
  <si>
    <t>16.80733</t>
  </si>
  <si>
    <t>106.9927</t>
  </si>
  <si>
    <t>FO thuê#VNPT#QTCL13-QTCL34</t>
  </si>
  <si>
    <t>Cơ sở cai nghiện (Cam Hiếu, Cam Lộ) - TTCMKV Cam Lộ</t>
  </si>
  <si>
    <t>480.57</t>
  </si>
  <si>
    <t>455.33</t>
  </si>
  <si>
    <t>16.800270</t>
  </si>
  <si>
    <t>107.040229</t>
  </si>
  <si>
    <t>25.24</t>
  </si>
  <si>
    <t>16.807246</t>
  </si>
  <si>
    <t>106.992480</t>
  </si>
  <si>
    <t>full_h04/Quảng Trị/Mạng cấp III- Quảng Trị (cũ)/Cấp phòng/Phòng-Ring 7/Cơ sở cai nghiện (Cam Hiếu, Cam Lộ) - TTCMKV Cam Lộ/Tuyến Trung thế</t>
  </si>
  <si>
    <t>VNPOST Lương An-Cửa Việt</t>
  </si>
  <si>
    <t>16.81594</t>
  </si>
  <si>
    <t>107.1106</t>
  </si>
  <si>
    <t>FO thuê#VNPT#VNPOST Lương An-QTGL03</t>
  </si>
  <si>
    <t>8215.07</t>
  </si>
  <si>
    <t>4809.76</t>
  </si>
  <si>
    <t>16.858868</t>
  </si>
  <si>
    <t>107.116151</t>
  </si>
  <si>
    <t>3405.32</t>
  </si>
  <si>
    <t>16.886193</t>
  </si>
  <si>
    <t>107.152270</t>
  </si>
  <si>
    <t>full_h04/Quảng Trị/Mạng cấp IV-Quảng Trị (cũ)/Ring 2/Cửa Việt-Hiếu Giang/Tuyến hạ thế 3</t>
  </si>
  <si>
    <t>Cửa Việt-QTGL15</t>
  </si>
  <si>
    <t>16.96674</t>
  </si>
  <si>
    <t>107.13804</t>
  </si>
  <si>
    <t>FO thuê#VNPT#QTGL03-QTGL15</t>
  </si>
  <si>
    <t>Cửa Tùng-Phòng PH10 (Nhà Nghỉ dưỡng Cửa Việt)</t>
  </si>
  <si>
    <t>3488.89</t>
  </si>
  <si>
    <t>584.18</t>
  </si>
  <si>
    <t>16.909170</t>
  </si>
  <si>
    <t>107.181069</t>
  </si>
  <si>
    <t>2904.71</t>
  </si>
  <si>
    <t>16.944781</t>
  </si>
  <si>
    <t>107.152832</t>
  </si>
  <si>
    <t>full_h04/Quảng Trị/Mạng cấp IV-Quảng Trị (cũ)/Ring 2/Cửa Tùng-Phòng PH10 (Nhà Nghỉ dưỡng Cửa Việt)/Tuyến trung thế 3</t>
  </si>
  <si>
    <t>QTGL15-Bến Hải</t>
  </si>
  <si>
    <t>16.98909</t>
  </si>
  <si>
    <t>107.1067</t>
  </si>
  <si>
    <t>FO thuê#VNPT#QTGL15-QTGL12</t>
  </si>
  <si>
    <t>1654.97</t>
  </si>
  <si>
    <t>1632.07</t>
  </si>
  <si>
    <t>16.978664</t>
  </si>
  <si>
    <t>107.129091</t>
  </si>
  <si>
    <t>22.90</t>
  </si>
  <si>
    <t>16.988969</t>
  </si>
  <si>
    <t>107.106525</t>
  </si>
  <si>
    <t>full_h04/Quảng Trị/Mạng cấp IV-Quảng Trị (cũ)/Ring 2/Cửa Tùng-Phòng PH10 (Nhà Nghỉ dưỡng Cửa Việt)/Tuyến trung thế 1</t>
  </si>
  <si>
    <t>Bến Hải-QTGL44</t>
  </si>
  <si>
    <t>16.9664</t>
  </si>
  <si>
    <t>107.06918</t>
  </si>
  <si>
    <t>FO thuê#VNPT#QTGL12-QTGL44</t>
  </si>
  <si>
    <t>Bến Hải-PC07 (Đội PCCC khu vực 4)</t>
  </si>
  <si>
    <t>784.07</t>
  </si>
  <si>
    <t>21.88</t>
  </si>
  <si>
    <t>16.988904</t>
  </si>
  <si>
    <t>107.106632</t>
  </si>
  <si>
    <t>762.20</t>
  </si>
  <si>
    <t>16.970361</t>
  </si>
  <si>
    <t>107.075029</t>
  </si>
  <si>
    <t>full_h04/Quảng Trị/Mạng cấp IV-Quảng Trị (cũ)/Ring 3/Bến Hải-PC07 (Đội PCCC khu vực 4)/Tuyến hạ thế 1</t>
  </si>
  <si>
    <t>QTCL08-Cam Lộ</t>
  </si>
  <si>
    <t>16.82654</t>
  </si>
  <si>
    <t>107.00301</t>
  </si>
  <si>
    <t>FO thuê#VNPT#QTCL08-QTCL34</t>
  </si>
  <si>
    <t>Cam Lộ - Vĩnh Linh</t>
  </si>
  <si>
    <t>305.69</t>
  </si>
  <si>
    <t>99.07</t>
  </si>
  <si>
    <t>16.827306</t>
  </si>
  <si>
    <t>107.003486</t>
  </si>
  <si>
    <t>206.63</t>
  </si>
  <si>
    <t>16.808361</t>
  </si>
  <si>
    <t>106.994315</t>
  </si>
  <si>
    <t>full_h04/Quảng Trị/Mạng cấp III- Quảng Trị (cũ)/Công an Quảng Trị/TTCMKV Ring 4/Cam Lộ - Vĩnh Linh/Tuyến Trung thế</t>
  </si>
  <si>
    <t>Cam Lộ-QTCL09</t>
  </si>
  <si>
    <t>16.79332</t>
  </si>
  <si>
    <t>106.96828</t>
  </si>
  <si>
    <t>FO thuê#VNPT#QTCL34-QTCL09</t>
  </si>
  <si>
    <t>140.93</t>
  </si>
  <si>
    <t>25.04</t>
  </si>
  <si>
    <t>16.807250</t>
  </si>
  <si>
    <t>115.89</t>
  </si>
  <si>
    <t>16.794359</t>
  </si>
  <si>
    <t>106.968371</t>
  </si>
  <si>
    <t>full_h04/Quảng Trị/Mạng cấp III- Quảng Trị (cũ)/Công an Quảng Trị/TTCMKV Ring 4/TT2 Quảng Trị - Đăk Rông/Tuyến Trung thế 3</t>
  </si>
  <si>
    <t>TP Đông Hà-QTDH08</t>
  </si>
  <si>
    <t>16.81566</t>
  </si>
  <si>
    <t>107.1054</t>
  </si>
  <si>
    <t>16.80622</t>
  </si>
  <si>
    <t>107.10414</t>
  </si>
  <si>
    <t>FO thuê#VNPT#QTDH17-QTDH08</t>
  </si>
  <si>
    <t>PA09 - TP Đông Hà</t>
  </si>
  <si>
    <t>832.84</t>
  </si>
  <si>
    <t>170.69</t>
  </si>
  <si>
    <t>16.814189</t>
  </si>
  <si>
    <t>107.104940</t>
  </si>
  <si>
    <t>662.15</t>
  </si>
  <si>
    <t>16.810613</t>
  </si>
  <si>
    <t>107.108340</t>
  </si>
  <si>
    <t>full_h04/Quảng Trị/Mạng cấp III- Quảng Trị (cũ)/Cấp phòng/Phòng-Ring 6/PA09 - TP Đông Hà/Tuyến Trung thế</t>
  </si>
  <si>
    <t>QTTP08-Hải Lăng</t>
  </si>
  <si>
    <t>16.88189</t>
  </si>
  <si>
    <t>107.2065</t>
  </si>
  <si>
    <t>16.69184</t>
  </si>
  <si>
    <t>107.2455</t>
  </si>
  <si>
    <t>FO thuê#CMC#QTTP08-QTHL25</t>
  </si>
  <si>
    <t>15092.01</t>
  </si>
  <si>
    <t>15061.66</t>
  </si>
  <si>
    <t>16.746937</t>
  </si>
  <si>
    <t>107.194355</t>
  </si>
  <si>
    <t>30.35</t>
  </si>
  <si>
    <t>16.692073</t>
  </si>
  <si>
    <t>107.245351</t>
  </si>
  <si>
    <t>full_h04/Quảng Trị/Mạng cấp III- Quảng Trị (cũ)/Công an Quảng Trị/TTCMKV Ring 3/Hải Lăng - TT2 Quảng Trị/Tuyến trung thế 1</t>
  </si>
  <si>
    <t>Hải Lăng-TX Quảng Trị</t>
  </si>
  <si>
    <t>FO thuê#CMC#QTHL25-QTQT09</t>
  </si>
  <si>
    <t>989.41</t>
  </si>
  <si>
    <t>959.07</t>
  </si>
  <si>
    <t>16.744100</t>
  </si>
  <si>
    <t>107.195866</t>
  </si>
  <si>
    <t>QTHL22-Mỹ Thủy</t>
  </si>
  <si>
    <t>16.77698</t>
  </si>
  <si>
    <t>107.32986</t>
  </si>
  <si>
    <t>16.72653</t>
  </si>
  <si>
    <t>107.335</t>
  </si>
  <si>
    <t>FO thuê#CMC#QTHL22-QTHL10</t>
  </si>
  <si>
    <t>Mỹ Thủy - Vĩnh Định</t>
  </si>
  <si>
    <t>4267.69</t>
  </si>
  <si>
    <t>4222.55</t>
  </si>
  <si>
    <t>16.743266</t>
  </si>
  <si>
    <t>107.311608</t>
  </si>
  <si>
    <t>45.14</t>
  </si>
  <si>
    <t>16.726124</t>
  </si>
  <si>
    <t>107.334998</t>
  </si>
  <si>
    <t>full_h04/Quảng Trị/Mạng cấp IV-Quảng Trị (cũ)/Ring 4/Mỹ Thủy - Vĩnh Định/Tuyến trung thế 3</t>
  </si>
  <si>
    <t>Mỹ Thủy-Hải Lăng</t>
  </si>
  <si>
    <t>FO thuê#CMC#QTHL10-QTHL25</t>
  </si>
  <si>
    <t>Nam hải Lăng - Mỹ Thủy</t>
  </si>
  <si>
    <t>8605.83</t>
  </si>
  <si>
    <t>1165.58</t>
  </si>
  <si>
    <t>16.719866</t>
  </si>
  <si>
    <t>107.343448</t>
  </si>
  <si>
    <t>7440.25</t>
  </si>
  <si>
    <t>16.657613</t>
  </si>
  <si>
    <t>107.305519</t>
  </si>
  <si>
    <t>full_h04/Quảng Trị/Mạng cấp IV-Quảng Trị (cũ)/Ring 4/Nam hải Lăng - Mỹ Thủy/Tuyến trung thế 2 (Băng sông Mỹ chánh dùng 2 Néo)</t>
  </si>
  <si>
    <t>Hải Lăng-Phòng PC07, Đội PCCC khu vực Hải lăng</t>
  </si>
  <si>
    <t>16.71074</t>
  </si>
  <si>
    <t>107.2445</t>
  </si>
  <si>
    <t>FO thuê#CMC#QTHL25-QTHL03</t>
  </si>
  <si>
    <t>1379.78</t>
  </si>
  <si>
    <t>1349.44</t>
  </si>
  <si>
    <t>16.703041</t>
  </si>
  <si>
    <t>107.234706</t>
  </si>
  <si>
    <t>Phòng PC07, Đội PCCC khu vực Hải lăng-QTHL17</t>
  </si>
  <si>
    <t>16.7426</t>
  </si>
  <si>
    <t>107.2784</t>
  </si>
  <si>
    <t>FO thuê#CMC#QTHL03-QTHL17</t>
  </si>
  <si>
    <t>PC07 (Đội PCCC khu vực Hải lăng)-Hải Lăng</t>
  </si>
  <si>
    <t>4980.23</t>
  </si>
  <si>
    <t>73.96</t>
  </si>
  <si>
    <t>16.710955</t>
  </si>
  <si>
    <t>107.245157</t>
  </si>
  <si>
    <t>4906.27</t>
  </si>
  <si>
    <t>16.709967</t>
  </si>
  <si>
    <t>107.247390</t>
  </si>
  <si>
    <t>full_h04/Quảng Trị/Mạng cấp III- Quảng Trị (cũ)/Cấp phòng/Phòng-Nhánh lẽ/PC07 (Đội PCCC khu vực Hải lăng)-Hải Lăng/Tuyến trung thế</t>
  </si>
  <si>
    <t>QTHL17-Triệu Cơ</t>
  </si>
  <si>
    <t>16.76343</t>
  </si>
  <si>
    <t>107.2432</t>
  </si>
  <si>
    <t>FO thuê#CMC#QTHL17-QTTP05</t>
  </si>
  <si>
    <t>4079.00</t>
  </si>
  <si>
    <t>3737.36</t>
  </si>
  <si>
    <t>16.771798</t>
  </si>
  <si>
    <t>107.261014</t>
  </si>
  <si>
    <t>341.64</t>
  </si>
  <si>
    <t>16.766484</t>
  </si>
  <si>
    <t>107.242845</t>
  </si>
  <si>
    <t>full_h04/Quảng Trị/Mạng cấp IV-Quảng Trị (cũ)/Ring 4/Mỹ Thủy - Vĩnh Định/Tuyến trung thế 1</t>
  </si>
  <si>
    <t>Triệu Cơ-Vĩnh Định</t>
  </si>
  <si>
    <t>16.7645</t>
  </si>
  <si>
    <t>107.224</t>
  </si>
  <si>
    <t>FO thuê#CMC#QTTP05-QTHL19</t>
  </si>
  <si>
    <t>Nam Cửa Việt - Triệu Cơ</t>
  </si>
  <si>
    <t>733.45</t>
  </si>
  <si>
    <t>46.07</t>
  </si>
  <si>
    <t>16.763350</t>
  </si>
  <si>
    <t>107.242775</t>
  </si>
  <si>
    <t>687.38</t>
  </si>
  <si>
    <t>16.769258</t>
  </si>
  <si>
    <t>107.228122</t>
  </si>
  <si>
    <t>full_h04/Quảng Trị/Mạng cấp IV-Quảng Trị (cũ)/Ring 5/Nam Cửa Việt - Triệu Cơ/Tuyến trung thế 3</t>
  </si>
  <si>
    <t>Vĩnh Định-TX Quảng Trị</t>
  </si>
  <si>
    <t>FO thuê#CMC#QTHL19-QTQT09</t>
  </si>
  <si>
    <t>Quảng Trị-PC07 (Đội PCCC khu vực 5)</t>
  </si>
  <si>
    <t>2915.45</t>
  </si>
  <si>
    <t>2885.90</t>
  </si>
  <si>
    <t>16.755588</t>
  </si>
  <si>
    <t>107.198543</t>
  </si>
  <si>
    <t>29.56</t>
  </si>
  <si>
    <t>16.739565</t>
  </si>
  <si>
    <t>107.188067</t>
  </si>
  <si>
    <t>full_h04/Quảng Trị/Mạng cấp IV-Quảng Trị (cũ)/Ring 5/Quảng Trị-PC07 (Đội PCCC khu vực 5)/Tuyến trung thế</t>
  </si>
  <si>
    <t>Hải Lăng-QTHL06</t>
  </si>
  <si>
    <t>16.66435</t>
  </si>
  <si>
    <t>107.27957</t>
  </si>
  <si>
    <t>FO thuê#CMC#QTHL25-QTHL06</t>
  </si>
  <si>
    <t>Diên Sanh-Nam Hải Lăng</t>
  </si>
  <si>
    <t>334.39</t>
  </si>
  <si>
    <t>44.10</t>
  </si>
  <si>
    <t>16.691837</t>
  </si>
  <si>
    <t>107.245086</t>
  </si>
  <si>
    <t>290.30</t>
  </si>
  <si>
    <t>16.661896</t>
  </si>
  <si>
    <t>107.278641</t>
  </si>
  <si>
    <t>full_h04/Quảng Trị/Mạng cấp IV-Quảng Trị (cũ)/Ring 4/Diên Sanh-Nam Hải Lăng/Tuyến trung thế 1</t>
  </si>
  <si>
    <t>QTHL12-TX Quảng Trị</t>
  </si>
  <si>
    <t>16.7409</t>
  </si>
  <si>
    <t>107.19352</t>
  </si>
  <si>
    <t>FO thuê#CMC#QTHL12-QTQT09</t>
  </si>
  <si>
    <t>TX Quảng Trị - Hải Lăng</t>
  </si>
  <si>
    <t>196.81</t>
  </si>
  <si>
    <t>169.47</t>
  </si>
  <si>
    <t>16.740214</t>
  </si>
  <si>
    <t>107.192099</t>
  </si>
  <si>
    <t>27.34</t>
  </si>
  <si>
    <t>16.739604</t>
  </si>
  <si>
    <t>107.188470</t>
  </si>
  <si>
    <t>full_h04/Quảng Trị/Mạng cấp III- Quảng Trị (cũ)/Công an Quảng Trị/TTCMKV Ring 3/TX Quảng Trị - Hải Lăng/Tuyến hạ thế 3</t>
  </si>
  <si>
    <t>Hải Lăng-QTHL28</t>
  </si>
  <si>
    <t>16.69882</t>
  </si>
  <si>
    <t>107.26566</t>
  </si>
  <si>
    <t>FO thuê#CMC#QTHL25-QTHL28</t>
  </si>
  <si>
    <t>1246.45</t>
  </si>
  <si>
    <t>31.11</t>
  </si>
  <si>
    <t>16.692076</t>
  </si>
  <si>
    <t>107.245344</t>
  </si>
  <si>
    <t>1215.34</t>
  </si>
  <si>
    <t>16.701003</t>
  </si>
  <si>
    <t>107.254479</t>
  </si>
  <si>
    <t>full_h04/Quảng Trị/Mạng cấp III- Quảng Trị (cũ)/Cấp phòng/Phòng-Nhánh lẽ/PC07 (Đội PCCC khu vực Hải lăng)-Hải Lăng/Tuyến cột trung thế</t>
  </si>
  <si>
    <t>QTHL28-Hải Lăng</t>
  </si>
  <si>
    <t>FO thuê#CMC#QTHL28-QTHL05</t>
  </si>
  <si>
    <t>FO thuê#CMC#QTHL05-QTQT09</t>
  </si>
  <si>
    <t>QTTP21-TX Quảng Trị</t>
  </si>
  <si>
    <t>16.772</t>
  </si>
  <si>
    <t>107.18918</t>
  </si>
  <si>
    <t>FO thuê#CMC#QTTP21-QTQT09</t>
  </si>
  <si>
    <t>Ái Tử-TTCMKV TX Quảng Trị</t>
  </si>
  <si>
    <t>1967.45</t>
  </si>
  <si>
    <t>629.55</t>
  </si>
  <si>
    <t>16.767475</t>
  </si>
  <si>
    <t>107.192733</t>
  </si>
  <si>
    <t>1337.90</t>
  </si>
  <si>
    <t>16.751204</t>
  </si>
  <si>
    <t>107.185762</t>
  </si>
  <si>
    <t>full_h04/Quảng Trị/Mạng cấp IV-Quảng Trị (cũ)/Ring 7/Ái Tử-TTCMKV TX Quảng Trị/Tuyến Trung thế 2</t>
  </si>
  <si>
    <t>QTTP47-Ái Tử</t>
  </si>
  <si>
    <t>16.81954</t>
  </si>
  <si>
    <t>107.17156</t>
  </si>
  <si>
    <t>16.791</t>
  </si>
  <si>
    <t>107.1727</t>
  </si>
  <si>
    <t>FO thuê#CMC#QTTP47-QTTP10</t>
  </si>
  <si>
    <t>3005.76</t>
  </si>
  <si>
    <t>3005.20</t>
  </si>
  <si>
    <t>16.792856</t>
  </si>
  <si>
    <t>107.176041</t>
  </si>
  <si>
    <t>0.56</t>
  </si>
  <si>
    <t>16.790996</t>
  </si>
  <si>
    <t>107.172702</t>
  </si>
  <si>
    <t>full_h04/Quảng Trị/Mạng cấp IV-Quảng Trị (cũ)/Ring 7/Ái Tử-TTCMKV TX Quảng Trị/Tuyến Hạ thế 3</t>
  </si>
  <si>
    <t>Ái Tử-QTQT05</t>
  </si>
  <si>
    <t>16.74284</t>
  </si>
  <si>
    <t>107.1853</t>
  </si>
  <si>
    <t>FO thuê#CMC#QTTP10-QTQT05</t>
  </si>
  <si>
    <t>3251.83</t>
  </si>
  <si>
    <t>2219.45</t>
  </si>
  <si>
    <t>16.777950</t>
  </si>
  <si>
    <t>107.156925</t>
  </si>
  <si>
    <t>1032.38</t>
  </si>
  <si>
    <t>QTQT05-TX Quảng Trị</t>
  </si>
  <si>
    <t>FO thuê#CMC#QTQT05-QTQT09</t>
  </si>
  <si>
    <t>185.49</t>
  </si>
  <si>
    <t>155.45</t>
  </si>
  <si>
    <t>16.741446</t>
  </si>
  <si>
    <t>107.185410</t>
  </si>
  <si>
    <t>30.04</t>
  </si>
  <si>
    <t>16.739592</t>
  </si>
  <si>
    <t>107.188083</t>
  </si>
  <si>
    <t>full_h04/Quảng Trị/Mạng cấp IV-Quảng Trị (cũ)/Ring 7/Ái Tử-TTCMKV TX Quảng Trị/Tuyến Hạ thế 5</t>
  </si>
  <si>
    <t>QTTP48-Phòng PC07, Đội PCCC khu vực 5</t>
  </si>
  <si>
    <t>16.79406</t>
  </si>
  <si>
    <t>107.2448</t>
  </si>
  <si>
    <t>16.75634</t>
  </si>
  <si>
    <t>107.1986</t>
  </si>
  <si>
    <t>FO thuê#CMC#QTTP48-QTQT06</t>
  </si>
  <si>
    <t>3373.30</t>
  </si>
  <si>
    <t>30.58</t>
  </si>
  <si>
    <t>16.794289</t>
  </si>
  <si>
    <t>107.244959</t>
  </si>
  <si>
    <t>3342.73</t>
  </si>
  <si>
    <t>16.771896</t>
  </si>
  <si>
    <t>107.225466</t>
  </si>
  <si>
    <t>Phòng PC07, Đội PCCC khu vực 5-TX Quảng Trị</t>
  </si>
  <si>
    <t>FO thuê#CMC#QTQT06-QTQT09</t>
  </si>
  <si>
    <t>83.81</t>
  </si>
  <si>
    <t>TX Quảng Trị-QTQT03</t>
  </si>
  <si>
    <t>16.74744</t>
  </si>
  <si>
    <t>107.17837</t>
  </si>
  <si>
    <t>FO thuê#CMC#QTQT09-QTQT03</t>
  </si>
  <si>
    <t>TTCMKV Triệu Phong - TX Quảng Trị</t>
  </si>
  <si>
    <t>617.42</t>
  </si>
  <si>
    <t>570.32</t>
  </si>
  <si>
    <t>16.741590</t>
  </si>
  <si>
    <t>107.183447</t>
  </si>
  <si>
    <t>47.10</t>
  </si>
  <si>
    <t>16.747253</t>
  </si>
  <si>
    <t>107.177973</t>
  </si>
  <si>
    <t>full_h04/Quảng Trị/Mạng cấp III- Quảng Trị (cũ)/Cấp phòng/Phòng-Ring 7/TTCMKV Triệu Phong - TX Quảng Trị/Tuyến Hạ Thế 2 ( Có đoạn băng cầu)</t>
  </si>
  <si>
    <t>QTQT03-TX Quảng Trị</t>
  </si>
  <si>
    <t>FO thuê#CMC#QTQT03-QTQT09</t>
  </si>
  <si>
    <t>QTHL50-Hải Lăng</t>
  </si>
  <si>
    <t>16.72548</t>
  </si>
  <si>
    <t>107.22768</t>
  </si>
  <si>
    <t>FO thuê#CMC#QTHL50-QTHL05</t>
  </si>
  <si>
    <t>975.49</t>
  </si>
  <si>
    <t>945.15</t>
  </si>
  <si>
    <t>16.718718</t>
  </si>
  <si>
    <t>107.222302</t>
  </si>
  <si>
    <t>QTDH56-Đông Hà</t>
  </si>
  <si>
    <t>16.81538</t>
  </si>
  <si>
    <t>107.09006</t>
  </si>
  <si>
    <t>16.81241</t>
  </si>
  <si>
    <t>107.0893</t>
  </si>
  <si>
    <t>FO thuê#CMC#QTDH56-QTDH07</t>
  </si>
  <si>
    <t>Gio Linh-Đông Hà</t>
  </si>
  <si>
    <t>58.35</t>
  </si>
  <si>
    <t>29.18</t>
  </si>
  <si>
    <t>16.815601</t>
  </si>
  <si>
    <t>107.090208</t>
  </si>
  <si>
    <t>29.17</t>
  </si>
  <si>
    <t>16.812353</t>
  </si>
  <si>
    <t>107.089033</t>
  </si>
  <si>
    <t>full_h04/Quảng Trị/Mạng cấp IV-Quảng Trị (cũ)/Ring 3/Gio Linh-Đông Hà/Tuyến trung thế 5</t>
  </si>
  <si>
    <t>QTGL19-Cửa Việt</t>
  </si>
  <si>
    <t>16.93446</t>
  </si>
  <si>
    <t>107.16216</t>
  </si>
  <si>
    <t>FO thuê#CMC#QTGL19-QTGL03</t>
  </si>
  <si>
    <t>824.87</t>
  </si>
  <si>
    <t>240.69</t>
  </si>
  <si>
    <t>16.933150</t>
  </si>
  <si>
    <t>107.160359</t>
  </si>
  <si>
    <t>QTDH33-Phòng PH10 Bệnh xá Cơ sở 1 - Phía Nam</t>
  </si>
  <si>
    <t>16.77582</t>
  </si>
  <si>
    <t>107.11228</t>
  </si>
  <si>
    <t>16.7889</t>
  </si>
  <si>
    <t>107.1041</t>
  </si>
  <si>
    <t>FO thuê#CMC#QTDH33-QTDH34</t>
  </si>
  <si>
    <t>Trung tâm sát hạch lái xe - TX Quảng Trị</t>
  </si>
  <si>
    <t>1209.60</t>
  </si>
  <si>
    <t>897.53</t>
  </si>
  <si>
    <t>16.783339</t>
  </si>
  <si>
    <t>107.109214</t>
  </si>
  <si>
    <t>312.07</t>
  </si>
  <si>
    <t>16.786483</t>
  </si>
  <si>
    <t>107.105590</t>
  </si>
  <si>
    <t>full_h04/Quảng Trị/Mạng cấp III- Quảng Trị (cũ)/Cấp phòng/Phòng-Ring 4/Trung tâm sát hạch lái xe - TX Quảng Trị/Tuyến trung thế 2</t>
  </si>
  <si>
    <t>QTDH24-Trung tâm sát hạch lái xe</t>
  </si>
  <si>
    <t>16.78979</t>
  </si>
  <si>
    <t>107.0994</t>
  </si>
  <si>
    <t>FO thuê#CMC#QTDH24-QTDH50</t>
  </si>
  <si>
    <t>131.01</t>
  </si>
  <si>
    <t>90.65</t>
  </si>
  <si>
    <t>16.790571</t>
  </si>
  <si>
    <t>107.099158</t>
  </si>
  <si>
    <t>QTDH52-Trung tâm sát hạch lái xe</t>
  </si>
  <si>
    <t>16.78768</t>
  </si>
  <si>
    <t>107.06597</t>
  </si>
  <si>
    <t>FO thuê#CMC#QTDH52-QTDH50</t>
  </si>
  <si>
    <t>Hiếu Giang-CA Công an Quảng Trị</t>
  </si>
  <si>
    <t>250.41</t>
  </si>
  <si>
    <t>246.40</t>
  </si>
  <si>
    <t>16.789893</t>
  </si>
  <si>
    <t>107.065859</t>
  </si>
  <si>
    <t>4.01</t>
  </si>
  <si>
    <t>16.790272</t>
  </si>
  <si>
    <t>107.090967</t>
  </si>
  <si>
    <t>full_h04/Quảng Trị/Mạng cấp IV-Quảng Trị (cũ)/Ring 2/Hiếu Giang-CA Công an Quảng Trị/Tuyến trung thế 1</t>
  </si>
  <si>
    <t>QTDH38-TP Đông Hà</t>
  </si>
  <si>
    <t>16.81529</t>
  </si>
  <si>
    <t>107.10029</t>
  </si>
  <si>
    <t>FO thuê#CMC#QTDH38-QTDH17</t>
  </si>
  <si>
    <t>106.05</t>
  </si>
  <si>
    <t>72.54</t>
  </si>
  <si>
    <t>16.814690</t>
  </si>
  <si>
    <t>107.100023</t>
  </si>
  <si>
    <t>33.50</t>
  </si>
  <si>
    <t>16.815836</t>
  </si>
  <si>
    <t>107.105145</t>
  </si>
  <si>
    <t>full_h04/Quảng Trị/Mạng cấp IV-Quảng Trị (cũ)/Ring 6/Cam Lộ - Nam Đông Hà/Tuyến hạ thế 4</t>
  </si>
  <si>
    <t>QTDH60-Phòng PH10 Bệnh xá Cơ sở 1 - Phía Nam</t>
  </si>
  <si>
    <t>16.79118</t>
  </si>
  <si>
    <t>107.11464</t>
  </si>
  <si>
    <t>FO thuê#CMC#QTDH60-QTDH34</t>
  </si>
  <si>
    <t>573.98</t>
  </si>
  <si>
    <t>407.92</t>
  </si>
  <si>
    <t>16.794229</t>
  </si>
  <si>
    <t>107.112510</t>
  </si>
  <si>
    <t>166.06</t>
  </si>
  <si>
    <t>16.790262</t>
  </si>
  <si>
    <t>107.103460</t>
  </si>
  <si>
    <t>QTDH61-PC11 (Trại tạm giam)</t>
  </si>
  <si>
    <t>16.80207</t>
  </si>
  <si>
    <t>107.0926</t>
  </si>
  <si>
    <t>16.80126</t>
  </si>
  <si>
    <t>107.0875</t>
  </si>
  <si>
    <t>FO thuê#CMC#QTDH61-QTDH04</t>
  </si>
  <si>
    <t>Đông Hà-CA Công an Quảng Trị</t>
  </si>
  <si>
    <t>397.07</t>
  </si>
  <si>
    <t>197.87</t>
  </si>
  <si>
    <t>16.800302</t>
  </si>
  <si>
    <t>107.092807</t>
  </si>
  <si>
    <t>199.20</t>
  </si>
  <si>
    <t>16.800886</t>
  </si>
  <si>
    <t>107.085670</t>
  </si>
  <si>
    <t>full_h04/Quảng Trị/Mạng cấp IV-Quảng Trị (cũ)/Ring 3/Đông Hà-CA Công an Quảng Trị/Tuyến trung thế 1</t>
  </si>
  <si>
    <t>QTGL20-Bến Hải</t>
  </si>
  <si>
    <t>16.99723</t>
  </si>
  <si>
    <t>107.1097</t>
  </si>
  <si>
    <t>FO thuê#CMC#QTGL20-QTGL12</t>
  </si>
  <si>
    <t>81.65</t>
  </si>
  <si>
    <t>58.75</t>
  </si>
  <si>
    <t>16.997064</t>
  </si>
  <si>
    <t>107.109176</t>
  </si>
  <si>
    <t>QTTP45-Ái Tử</t>
  </si>
  <si>
    <t>16.78299</t>
  </si>
  <si>
    <t>107.16666</t>
  </si>
  <si>
    <t>FO thuê#CMC#QTTP45-QTTP10</t>
  </si>
  <si>
    <t>Triệu Phong-Ái Tử</t>
  </si>
  <si>
    <t>892.75</t>
  </si>
  <si>
    <t>881.84</t>
  </si>
  <si>
    <t>16.789978</t>
  </si>
  <si>
    <t>107.170577</t>
  </si>
  <si>
    <t>10.92</t>
  </si>
  <si>
    <t>16.791053</t>
  </si>
  <si>
    <t>107.172613</t>
  </si>
  <si>
    <t>full_h04/Quảng Trị/Mạng cấp IV-Quảng Trị (cũ)/Ring 7/Triệu Phong-Ái Tử/Tuyến hạ thế</t>
  </si>
  <si>
    <t>Phòng PC07, Đội PCCC khu vực 5-QTQT02</t>
  </si>
  <si>
    <t>16.76573</t>
  </si>
  <si>
    <t>107.20434</t>
  </si>
  <si>
    <t>FO thuê#CMC#QTQT06-QTQT02</t>
  </si>
  <si>
    <t>PC07 (Đội PCCC khu vực 5)-Triệu Cơ</t>
  </si>
  <si>
    <t>160.44</t>
  </si>
  <si>
    <t>38.99</t>
  </si>
  <si>
    <t>16.756113</t>
  </si>
  <si>
    <t>107.198879</t>
  </si>
  <si>
    <t>121.44</t>
  </si>
  <si>
    <t>16.764667</t>
  </si>
  <si>
    <t>107.204076</t>
  </si>
  <si>
    <t>full_h04/Quảng Trị/Mạng cấp IV-Quảng Trị (cũ)/Ring 5/PC07 (Đội PCCC khu vực 5)-Triệu Cơ/Tuyến trung thế 2</t>
  </si>
  <si>
    <t>Vĩnh Định-QTHL42</t>
  </si>
  <si>
    <t>16.76467</t>
  </si>
  <si>
    <t>107.22041</t>
  </si>
  <si>
    <t>FO thuê#CMC#QTHL19-QTHL42</t>
  </si>
  <si>
    <t>201.03</t>
  </si>
  <si>
    <t>9.82</t>
  </si>
  <si>
    <t>16.764587</t>
  </si>
  <si>
    <t>107.223982</t>
  </si>
  <si>
    <t>191.20</t>
  </si>
  <si>
    <t>16.765232</t>
  </si>
  <si>
    <t>107.222107</t>
  </si>
  <si>
    <t>full_h04/Quảng Trị/Mạng cấp IV-Quảng Trị (cũ)/Ring 4/Mỹ Thủy - Vĩnh Định/Tuyến hạ thế 1</t>
  </si>
  <si>
    <t>QTTP20-Triệu Cơ</t>
  </si>
  <si>
    <t>16.77247</t>
  </si>
  <si>
    <t>107.2321</t>
  </si>
  <si>
    <t>FO thuê#CMC#QTTP20-QTTP05</t>
  </si>
  <si>
    <t>583.29</t>
  </si>
  <si>
    <t>537.22</t>
  </si>
  <si>
    <t>16.768227</t>
  </si>
  <si>
    <t>107.229687</t>
  </si>
  <si>
    <t>Triệu Cơ-QTHL43</t>
  </si>
  <si>
    <t>16.77302</t>
  </si>
  <si>
    <t>107.2656</t>
  </si>
  <si>
    <t>FO thuê#CMC#QTTP05-QTHL43</t>
  </si>
  <si>
    <t>848.47</t>
  </si>
  <si>
    <t>506.83</t>
  </si>
  <si>
    <t>QTHL34-Mỹ Thủy</t>
  </si>
  <si>
    <t>16.73679</t>
  </si>
  <si>
    <t>107.32397</t>
  </si>
  <si>
    <t>FO thuê#CMC#QTHL34-QTHL10</t>
  </si>
  <si>
    <t>367.90</t>
  </si>
  <si>
    <t>322.75</t>
  </si>
  <si>
    <t>16.734660</t>
  </si>
  <si>
    <t>107.321911</t>
  </si>
  <si>
    <t>QTQT10-Phòng PC07, Đội PCCC khu vực 5</t>
  </si>
  <si>
    <t>16.74887</t>
  </si>
  <si>
    <t>107.19196</t>
  </si>
  <si>
    <t>FO thuê#CMC#QTQT10-QTQT06</t>
  </si>
  <si>
    <t>312.67</t>
  </si>
  <si>
    <t>228.86</t>
  </si>
  <si>
    <t>16.749626</t>
  </si>
  <si>
    <t>107.193959</t>
  </si>
  <si>
    <t>QTHL04-Mỹ Thủy</t>
  </si>
  <si>
    <t>16.75406</t>
  </si>
  <si>
    <t>107.36818</t>
  </si>
  <si>
    <t>FO thuê#CMC#QTHL04-QTHL10</t>
  </si>
  <si>
    <t>4600.14</t>
  </si>
  <si>
    <t>4504.26</t>
  </si>
  <si>
    <t>16.720812</t>
  </si>
  <si>
    <t>107.344017</t>
  </si>
  <si>
    <t>95.88</t>
  </si>
  <si>
    <t>16.725816</t>
  </si>
  <si>
    <t>107.335505</t>
  </si>
  <si>
    <t>full_h04/Quảng Trị/Mạng cấp IV-Quảng Trị (cũ)/Ring 4/Nam hải Lăng - Mỹ Thủy/Tuyến trung thế 1</t>
  </si>
  <si>
    <t>QTHL39-Hải Lăng</t>
  </si>
  <si>
    <t>16.67688</t>
  </si>
  <si>
    <t>107.30419</t>
  </si>
  <si>
    <t>FO thuê#CMC#QTHL39-QTHL25</t>
  </si>
  <si>
    <t>3153.37</t>
  </si>
  <si>
    <t>3109.27</t>
  </si>
  <si>
    <t>16.660246</t>
  </si>
  <si>
    <t>107.280727</t>
  </si>
  <si>
    <t>VNPOST Lương An-TT2 Quảng Trị</t>
  </si>
  <si>
    <t>FO DT#MBF#VNPOST Lương An-QTDH14</t>
  </si>
  <si>
    <t>664.55</t>
  </si>
  <si>
    <t>574.74</t>
  </si>
  <si>
    <t>16.812517</t>
  </si>
  <si>
    <t>107.106554</t>
  </si>
  <si>
    <t>89.80</t>
  </si>
  <si>
    <t>16.790647</t>
  </si>
  <si>
    <t>107.105089</t>
  </si>
  <si>
    <t>QTCL_newsite1-TT2 Quảng Trị</t>
  </si>
  <si>
    <t>16.8097</t>
  </si>
  <si>
    <t>107.00179</t>
  </si>
  <si>
    <t>FO DT#MBF#QTCL_newsite1-QTDH14</t>
  </si>
  <si>
    <t>2305.08</t>
  </si>
  <si>
    <t>2240.84</t>
  </si>
  <si>
    <t>QTDH35-TT2 Quảng Trị</t>
  </si>
  <si>
    <t>16.80033</t>
  </si>
  <si>
    <t>107.10853</t>
  </si>
  <si>
    <t>FO DT#MBF#QTDH35-QTDH14</t>
  </si>
  <si>
    <t>731.79</t>
  </si>
  <si>
    <t>641.99</t>
  </si>
  <si>
    <t>16.801244</t>
  </si>
  <si>
    <t>107.114485</t>
  </si>
  <si>
    <t>QTDH32-TT2 Quảng Trị</t>
  </si>
  <si>
    <t>16.80418</t>
  </si>
  <si>
    <t>107.11417</t>
  </si>
  <si>
    <t>FO DT#MBF#QTDH32-QTDH14</t>
  </si>
  <si>
    <t>132.40</t>
  </si>
  <si>
    <t>42.59</t>
  </si>
  <si>
    <t>16.804106</t>
  </si>
  <si>
    <t>107.113777</t>
  </si>
  <si>
    <t>VNPOST Lương An-TP Đông Hà</t>
  </si>
  <si>
    <t>FO DT#MBF#VNPOST Lương An-QTDH17</t>
  </si>
  <si>
    <t>Vĩnh Linh - TT2 Quảng Trị</t>
  </si>
  <si>
    <t>412.50</t>
  </si>
  <si>
    <t>82.72</t>
  </si>
  <si>
    <t>16.815229</t>
  </si>
  <si>
    <t>107.110372</t>
  </si>
  <si>
    <t>329.79</t>
  </si>
  <si>
    <t>16.817404</t>
  </si>
  <si>
    <t>107.107906</t>
  </si>
  <si>
    <t>full_h04/Quảng Trị/Mạng cấp III- Quảng Trị (cũ)/Công an Quảng Trị/TTCMKV Ring 4/Vĩnh Linh - TT2 Quảng Trị/Tuyến trung thế</t>
  </si>
  <si>
    <t>QTDH08-Phòng PH10 Bệnh xá Cơ sở 1 - Phía Nam</t>
  </si>
  <si>
    <t>FO DT#MBF#QTDH08-QTDH34</t>
  </si>
  <si>
    <t>883.07</t>
  </si>
  <si>
    <t>220.92</t>
  </si>
  <si>
    <t>Phòng PH10 Bệnh xá Cơ sở 1 - Phía Nam-TT2 Quảng Trị</t>
  </si>
  <si>
    <t>FO DT#MBF#QTDH34-QTDH14</t>
  </si>
  <si>
    <t>PA07</t>
  </si>
  <si>
    <t>139.76</t>
  </si>
  <si>
    <t>90.53</t>
  </si>
  <si>
    <t>16.789712</t>
  </si>
  <si>
    <t>107.104035</t>
  </si>
  <si>
    <t>49.23</t>
  </si>
  <si>
    <t>16.790007</t>
  </si>
  <si>
    <t>107.104020</t>
  </si>
  <si>
    <t>full_h04/Quảng Trị/Mạng cấp III- Quảng Trị (cũ)/Cấp phòng/Phòng-Ring 5/Khối CS-PC04/PA07/Tuyến Ngầm mới (Nhập trạm)</t>
  </si>
  <si>
    <t>QTDH36-PC04/PA07</t>
  </si>
  <si>
    <t>16.8189</t>
  </si>
  <si>
    <t>107.09815</t>
  </si>
  <si>
    <t>16.80926</t>
  </si>
  <si>
    <t>107.0959</t>
  </si>
  <si>
    <t>FO DT#MBF#QTDH36-QTDH05</t>
  </si>
  <si>
    <t>PC07-Khối CS</t>
  </si>
  <si>
    <t>682.54</t>
  </si>
  <si>
    <t>411.42</t>
  </si>
  <si>
    <t>16.815262</t>
  </si>
  <si>
    <t>107.097443</t>
  </si>
  <si>
    <t>271.13</t>
  </si>
  <si>
    <t>16.809928</t>
  </si>
  <si>
    <t>107.098350</t>
  </si>
  <si>
    <t>full_h04/Quảng Trị/Mạng cấp III- Quảng Trị (cũ)/Cấp phòng/Phòng-Ring 5/PC07-Khối CS/Tuyến trung thế 1</t>
  </si>
  <si>
    <t>PC04/PA07-TT2 Quảng Trị</t>
  </si>
  <si>
    <t>FO DT#MBF#QTDH05-QTDH14</t>
  </si>
  <si>
    <t>1197.22</t>
  </si>
  <si>
    <t>1107.42</t>
  </si>
  <si>
    <t>QTDH27-TT2 Quảng Trị</t>
  </si>
  <si>
    <t>16.80727</t>
  </si>
  <si>
    <t>107.09889</t>
  </si>
  <si>
    <t>FO DT#MBF#QTDH27-QTDH14</t>
  </si>
  <si>
    <t>1086.74</t>
  </si>
  <si>
    <t>996.93</t>
  </si>
  <si>
    <t>16.813187</t>
  </si>
  <si>
    <t>107.105927</t>
  </si>
  <si>
    <t>QTDH09-Đông Hà</t>
  </si>
  <si>
    <t>16.81988</t>
  </si>
  <si>
    <t>107.09096</t>
  </si>
  <si>
    <t>FO DT#MBF#QTDH09-QTDH07</t>
  </si>
  <si>
    <t>41.08</t>
  </si>
  <si>
    <t>11.90</t>
  </si>
  <si>
    <t>16.819821</t>
  </si>
  <si>
    <t>107.090867</t>
  </si>
  <si>
    <t>Đông Hà-PC07</t>
  </si>
  <si>
    <t>FO DT#MBF#QTDH07-QTDH19</t>
  </si>
  <si>
    <t>44.28</t>
  </si>
  <si>
    <t>15.10</t>
  </si>
  <si>
    <t>16.813209</t>
  </si>
  <si>
    <t>107.088835</t>
  </si>
  <si>
    <t>PC07-PC11 (Trại tạm giam)</t>
  </si>
  <si>
    <t>FO DT#MBF#QTDH19-QTDH04</t>
  </si>
  <si>
    <t>728.56</t>
  </si>
  <si>
    <t>529.36</t>
  </si>
  <si>
    <t>16.808980</t>
  </si>
  <si>
    <t>107.086501</t>
  </si>
  <si>
    <t>PC11 (Trại tạm giam)-Trung tâm sát hạch lái xe</t>
  </si>
  <si>
    <t>FO DT#MBF#QTDH04-QTDH50</t>
  </si>
  <si>
    <t>437.57</t>
  </si>
  <si>
    <t>280.22</t>
  </si>
  <si>
    <t>16.798743</t>
  </si>
  <si>
    <t>107.087372</t>
  </si>
  <si>
    <t>157.35</t>
  </si>
  <si>
    <t>16.790248</t>
  </si>
  <si>
    <t>107.089523</t>
  </si>
  <si>
    <t>full_h04/Quảng Trị/Mạng cấp III- Quảng Trị (cũ)/Cấp phòng/Phòng-Ring 5/Khối CS-PC04/PA07/Tuyến trung thế 2</t>
  </si>
  <si>
    <t>QTCL01-Cam Lộ</t>
  </si>
  <si>
    <t>16.80691</t>
  </si>
  <si>
    <t>106.99367</t>
  </si>
  <si>
    <t>FO DT#MBF#QTCL01-QTCL34</t>
  </si>
  <si>
    <t>Đăk Rông - Cam Lộ</t>
  </si>
  <si>
    <t>65.25</t>
  </si>
  <si>
    <t>26.25</t>
  </si>
  <si>
    <t>16.806694</t>
  </si>
  <si>
    <t>106.993571</t>
  </si>
  <si>
    <t>39.00</t>
  </si>
  <si>
    <t>16.807315</t>
  </si>
  <si>
    <t>106.993066</t>
  </si>
  <si>
    <t>full_h04/Quảng Trị/Mạng cấp III- Quảng Trị (cũ)/Công an Quảng Trị/TTCMKV Ring 4/Đăk Rông - Cam Lộ/Tuyến Trung thế 1</t>
  </si>
  <si>
    <t>QTCL04-Cam Lộ</t>
  </si>
  <si>
    <t>16.80247</t>
  </si>
  <si>
    <t>107.02414</t>
  </si>
  <si>
    <t>FO DT#MBF#QTCL04-QTCL34</t>
  </si>
  <si>
    <t>261.15</t>
  </si>
  <si>
    <t>235.91</t>
  </si>
  <si>
    <t>16.800385</t>
  </si>
  <si>
    <t>107.023729</t>
  </si>
  <si>
    <t>QTTP37-TT2 Quảng Trị</t>
  </si>
  <si>
    <t>16.78131</t>
  </si>
  <si>
    <t>107.13157</t>
  </si>
  <si>
    <t>FO DT#MBF#QTTP37-QTDH14</t>
  </si>
  <si>
    <t>TT2 Quảng Trị - TX Quảng Trị</t>
  </si>
  <si>
    <t>2008.61</t>
  </si>
  <si>
    <t>935.20</t>
  </si>
  <si>
    <t>16.785588</t>
  </si>
  <si>
    <t>107.124006</t>
  </si>
  <si>
    <t>1073.41</t>
  </si>
  <si>
    <t>16.785213</t>
  </si>
  <si>
    <t>107.112830</t>
  </si>
  <si>
    <t>full_h04/Quảng Trị/Mạng cấp III- Quảng Trị (cũ)/Công an Quảng Trị/TTCMKV Ring 3/TT2 Quảng Trị - TX Quảng Trị/Tuyến trung thế 4</t>
  </si>
  <si>
    <t>QTGL49-Bến Hải</t>
  </si>
  <si>
    <t>16.9518</t>
  </si>
  <si>
    <t>107.11288</t>
  </si>
  <si>
    <t>FO DT#MBF#QTGL49-QTGL12</t>
  </si>
  <si>
    <t>3270.60</t>
  </si>
  <si>
    <t>3248.72</t>
  </si>
  <si>
    <t>16.978266</t>
  </si>
  <si>
    <t>107.099942</t>
  </si>
  <si>
    <t>QTVL06-Phòng PC07, Đội PCCC khu vực 3</t>
  </si>
  <si>
    <t>17.06836</t>
  </si>
  <si>
    <t>107.00447</t>
  </si>
  <si>
    <t>17.07781</t>
  </si>
  <si>
    <t>106.9983</t>
  </si>
  <si>
    <t>FO DT#MBF#QTVL06-QTVL01</t>
  </si>
  <si>
    <t>Phòng PC07 (Đội PCCC khu vực 3)-Vĩnh Linh</t>
  </si>
  <si>
    <t>345.78</t>
  </si>
  <si>
    <t>254.51</t>
  </si>
  <si>
    <t>17.070645</t>
  </si>
  <si>
    <t>107.004336</t>
  </si>
  <si>
    <t>91.27</t>
  </si>
  <si>
    <t>17.077088</t>
  </si>
  <si>
    <t>106.997892</t>
  </si>
  <si>
    <t>full_h04/Quảng Trị/Mạng cấp III- Quảng Trị (cũ)/Cấp phòng/Phòng-Nhánh lẽ/Phòng PC07 (Đội PCCC khu vực 3)-Vĩnh Linh/Tuyến trung thế 1</t>
  </si>
  <si>
    <t>QTVL22-Phòng PC07, Đội PCCC khu vực 3</t>
  </si>
  <si>
    <t>17.09841</t>
  </si>
  <si>
    <t>106.98224</t>
  </si>
  <si>
    <t>FO DT#MBF#QTVL22-QTVL01</t>
  </si>
  <si>
    <t>Vĩnh Hoàng-Bến Quan</t>
  </si>
  <si>
    <t>2655.86</t>
  </si>
  <si>
    <t>2537.60</t>
  </si>
  <si>
    <t>17.076810</t>
  </si>
  <si>
    <t>106.989945</t>
  </si>
  <si>
    <t>118.26</t>
  </si>
  <si>
    <t>17.076766</t>
  </si>
  <si>
    <t>106.998086</t>
  </si>
  <si>
    <t>full_h04/Quảng Trị/Mạng cấp IV-Quảng Trị (cũ)/Ring 1/Vĩnh Hoàng-Bến Quan/Tuyến trung thế 1</t>
  </si>
  <si>
    <t>QTQT04-TX Quảng Trị</t>
  </si>
  <si>
    <t>16.70533</t>
  </si>
  <si>
    <t>107.16344</t>
  </si>
  <si>
    <t>FO DT#MBF#QTQT04-QTQT09</t>
  </si>
  <si>
    <t>4453.98</t>
  </si>
  <si>
    <t>4421.48</t>
  </si>
  <si>
    <t>16.739268</t>
  </si>
  <si>
    <t>107.185075</t>
  </si>
  <si>
    <t>32.49</t>
  </si>
  <si>
    <t>16.739595</t>
  </si>
  <si>
    <t>107.188056</t>
  </si>
  <si>
    <t>full_h04/Quảng Trị/Mạng cấp III- Quảng Trị (cũ)/Cấp phòng/Phòng-Ring 4/Trung tâm sát hạch lái xe - TX Quảng Trị/Tuyến hạ thế 7</t>
  </si>
  <si>
    <t>Công an xã Trường Xuân-DGDS46</t>
  </si>
  <si>
    <t>12.102472</t>
  </si>
  <si>
    <t>107.654444</t>
  </si>
  <si>
    <t>12.08581</t>
  </si>
  <si>
    <t>107.65562</t>
  </si>
  <si>
    <t>FO thuê#VNPT#DGDS21-DGDS46</t>
  </si>
  <si>
    <t>Công an tỉnh Lâm Đồng - TT2 - Công an xã Đức An (Trụ sở CAH Đắk Song cũ)</t>
  </si>
  <si>
    <t>589.48</t>
  </si>
  <si>
    <t>364.81</t>
  </si>
  <si>
    <t>12.099976</t>
  </si>
  <si>
    <t>107.656622</t>
  </si>
  <si>
    <t>224.66</t>
  </si>
  <si>
    <t>12.087807</t>
  </si>
  <si>
    <t>107.655304</t>
  </si>
  <si>
    <t>full_h04/Đắk Nông/Đăk Nông - Ring 3.kmz/Đăk Nông - Ring 3/Công an tỉnh Lâm Đồng - TT2 - Công an xã Đức An (Trụ sở CAH Đắk Song cũ)/trung thế</t>
  </si>
  <si>
    <t>Công an xã Đức Lập (Trụ sở 2 CAH Đắk Mil cũ)-DGDM01</t>
  </si>
  <si>
    <t>12.447389</t>
  </si>
  <si>
    <t>107.621694</t>
  </si>
  <si>
    <t>12.44905</t>
  </si>
  <si>
    <t>107.62149</t>
  </si>
  <si>
    <t>FO thuê#VNPT#DGDM29-DGDM01</t>
  </si>
  <si>
    <t>Công an xã Đức Lập (Trụ sở 2 CAH Đắk Mil cũ)
 -  Công an xã Cư Jút (Trụ sở CAH Cư Jút cũ)</t>
  </si>
  <si>
    <t>67.33</t>
  </si>
  <si>
    <t>2.06</t>
  </si>
  <si>
    <t>12.447380</t>
  </si>
  <si>
    <t>107.621711</t>
  </si>
  <si>
    <t>65.27</t>
  </si>
  <si>
    <t>12.448696</t>
  </si>
  <si>
    <t>107.621010</t>
  </si>
  <si>
    <t>full_h04/Đắk Nông/Đắk Nông - Ring 1.kmz/Đắk Nông - Ring 1/Công an xã Đức Lập (Trụ sở 2 CAH Đắk Mil cũ)
 -  Công an xã Cư Jút (Trụ sở CAH Cư Jút cũ)/Ngầm xây dựng mới</t>
  </si>
  <si>
    <t>Công an xã Nam Dong-DGCJ11</t>
  </si>
  <si>
    <t>12.650222</t>
  </si>
  <si>
    <t>107.873528</t>
  </si>
  <si>
    <t>12.62613</t>
  </si>
  <si>
    <t>107.87282</t>
  </si>
  <si>
    <t>FO thuê#VNPT#DGCJ01-DGCJ11</t>
  </si>
  <si>
    <t>Công an xã Nam Dong - Công an xã Đắk Mil</t>
  </si>
  <si>
    <t>2681.46</t>
  </si>
  <si>
    <t>0.75</t>
  </si>
  <si>
    <t>12.650228</t>
  </si>
  <si>
    <t>107.873526</t>
  </si>
  <si>
    <t>2680.71</t>
  </si>
  <si>
    <t>full_h04/Đắk Nông/DakNong_Cap IV_Ring 1.kmz/DakNong_Cap IV_Ring 1/Công an xã Nam Dong - Công an xã Đắk Mil/cáp treo</t>
  </si>
  <si>
    <t>Cơ sở cai nghiện Ma Túy số 4 tỉnh Lâm Đồng-DGTD23</t>
  </si>
  <si>
    <t>12.095351</t>
  </si>
  <si>
    <t>107.481352</t>
  </si>
  <si>
    <t>12.09035</t>
  </si>
  <si>
    <t>107.50275</t>
  </si>
  <si>
    <t>FO thuê#VNPT#DGTD05-DGTD23</t>
  </si>
  <si>
    <t>Đường PC08 đội 6 - CS Cai nghiện số 4</t>
  </si>
  <si>
    <t>2304.00</t>
  </si>
  <si>
    <t>47.06</t>
  </si>
  <si>
    <t>12.095341</t>
  </si>
  <si>
    <t>107.480919</t>
  </si>
  <si>
    <t>2256.94</t>
  </si>
  <si>
    <t>12.096983</t>
  </si>
  <si>
    <t>107.483132</t>
  </si>
  <si>
    <t>full_h04/Đắk Nông/Ring 7 - Final.kmz/Ring 7/Đường PC08 đội 6 - CS Cai nghiện số 4/Trung thế</t>
  </si>
  <si>
    <t>Công an xã Đắk Mil-DGDM13</t>
  </si>
  <si>
    <t>12.509472</t>
  </si>
  <si>
    <t>107.749028</t>
  </si>
  <si>
    <t>12.5394</t>
  </si>
  <si>
    <t>107.78745</t>
  </si>
  <si>
    <t>FO thuê#VNPT#DGDM07-DGDM13</t>
  </si>
  <si>
    <t>722.98</t>
  </si>
  <si>
    <t>260.50</t>
  </si>
  <si>
    <t>12.511249</t>
  </si>
  <si>
    <t>107.747464</t>
  </si>
  <si>
    <t>462.48</t>
  </si>
  <si>
    <t>12.543331</t>
  </si>
  <si>
    <t>107.786057</t>
  </si>
  <si>
    <t>full_h04/Đắk Nông/Đắk Nông - Ring 1.kmz/Đắk Nông - Ring 1/Công an xã Đức Lập (Trụ sở 2 CAH Đắk Mil cũ)
 -  Công an xã Cư Jút (Trụ sở CAH Cư Jút cũ)/Trung thế</t>
  </si>
  <si>
    <t>Công an xã Quảng Khê-DGDG09</t>
  </si>
  <si>
    <t>11.911861</t>
  </si>
  <si>
    <t>107.791278</t>
  </si>
  <si>
    <t>11.91863</t>
  </si>
  <si>
    <t>107.78717</t>
  </si>
  <si>
    <t>FO thuê#VNPT#DGDG04-DGDG09</t>
  </si>
  <si>
    <t>Công an tỉnh Lâm Đồng - TT2 - Công an xã Quảng Khê</t>
  </si>
  <si>
    <t>577.64</t>
  </si>
  <si>
    <t>226.46</t>
  </si>
  <si>
    <t>11.913882</t>
  </si>
  <si>
    <t>107.791538</t>
  </si>
  <si>
    <t>351.18</t>
  </si>
  <si>
    <t>11.917935</t>
  </si>
  <si>
    <t>107.790319</t>
  </si>
  <si>
    <t>full_h04/Đắk Nông/Đăk Nông - Mục IV - Ring 10.kmz/Đăk Nông - Mục IV - Ring 10/Công an tỉnh Lâm Đồng - TT2 - Công an xã Quảng Khê/hạ thế</t>
  </si>
  <si>
    <t>Trụ sở Công an xã Tuy Đức là trụ sở CAH Tuy Đức (cũ) - TTCMKV Tuy Đức-Công an xã Đức Lập (Trụ sở 2 CAH Đắk Mil cũ)</t>
  </si>
  <si>
    <t>12.219056</t>
  </si>
  <si>
    <t>107.477611</t>
  </si>
  <si>
    <t>FO thuê#VNPT#DGTD24-DGDM29</t>
  </si>
  <si>
    <t>Công an tỉnh Lâm Đồng - TT2
- Công an xã Đức Lập (Trụ sở 2 CAH Đắk Mil cũ)</t>
  </si>
  <si>
    <t>24690.13</t>
  </si>
  <si>
    <t>24684.21</t>
  </si>
  <si>
    <t>12.415565</t>
  </si>
  <si>
    <t>107.583311</t>
  </si>
  <si>
    <t>5.91</t>
  </si>
  <si>
    <t>12.447349</t>
  </si>
  <si>
    <t>107.621730</t>
  </si>
  <si>
    <t>full_h04/Đắk Nông/Đắk Nông - Ring 1.kmz/Đắk Nông - Ring 1/Công an tỉnh Lâm Đồng - TT2
- Công an xã Đức Lập (Trụ sở 2 CAH Đắk Mil cũ)/Trung thế</t>
  </si>
  <si>
    <t>Công an xã Đức Lập (Trụ sở 2 CAH Đắk Mil cũ)-DGDS05</t>
  </si>
  <si>
    <t>12.20324</t>
  </si>
  <si>
    <t>107.63731</t>
  </si>
  <si>
    <t>FO thuê#VNPT#DGDM29-DGDS05</t>
  </si>
  <si>
    <t>15005.25</t>
  </si>
  <si>
    <t>11711.93</t>
  </si>
  <si>
    <t>12.355719</t>
  </si>
  <si>
    <t>107.568584</t>
  </si>
  <si>
    <t>3293.32</t>
  </si>
  <si>
    <t>12.232109</t>
  </si>
  <si>
    <t>107.630541</t>
  </si>
  <si>
    <t>Trụ sở Công an xã Kiến Đức là trụ sở CAH Đắk R'Lấp (cũ) - TTCMKV Đắk R'Lấp-Trụ sở Công an xã Tuy Đức là trụ sở CAH Tuy Đức (cũ) - TTCMKV Tuy Đức</t>
  </si>
  <si>
    <t>12.007167</t>
  </si>
  <si>
    <t>107.512917</t>
  </si>
  <si>
    <t>FO thuê#VNPT#DGDL37-DGTD24</t>
  </si>
  <si>
    <t>Công an xã Tuy Đức (Trụ sở CAH Tuy Đức cũ) - Công an xã Kiến Đức (Trụ sở CAH Đắk R'Lấp cũ)</t>
  </si>
  <si>
    <t>2597.29</t>
  </si>
  <si>
    <t>2574.22</t>
  </si>
  <si>
    <t>12.018853</t>
  </si>
  <si>
    <t>107.492485</t>
  </si>
  <si>
    <t>23.06</t>
  </si>
  <si>
    <t>12.218915</t>
  </si>
  <si>
    <t>107.477455</t>
  </si>
  <si>
    <t>full_h04/Đắk Nông/Đăk Nông - Ring 3.kmz/Đăk Nông - Ring 3/Công an xã Tuy Đức (Trụ sở CAH Tuy Đức cũ) - Công an xã Kiến Đức (Trụ sở CAH Đắk R'Lấp cũ)/trung thế</t>
  </si>
  <si>
    <t>Trụ sở Công an xã Tuy Đức là trụ sở CAH Tuy Đức (cũ) - TTCMKV Tuy Đức-DGDS05</t>
  </si>
  <si>
    <t>FO thuê#VNPT#DGTD24-DGDS05</t>
  </si>
  <si>
    <t>Công an xã Đức An (Trụ sở CAH Đắk Song cũ) - Công an xã Tuy Đức (Trụ sở CAH Tuy Đức cũ)</t>
  </si>
  <si>
    <t>8914.00</t>
  </si>
  <si>
    <t>4762.24</t>
  </si>
  <si>
    <t>12.199433</t>
  </si>
  <si>
    <t>107.516560</t>
  </si>
  <si>
    <t>4151.75</t>
  </si>
  <si>
    <t>12.229092</t>
  </si>
  <si>
    <t>107.609746</t>
  </si>
  <si>
    <t>full_h04/Đắk Nông/Đăk Nông - Ring 3.kmz/Đăk Nông - Ring 3/Công an xã Đức An (Trụ sở CAH Đắk Song cũ) - Công an xã Tuy Đức (Trụ sở CAH Tuy Đức cũ)/trung thế</t>
  </si>
  <si>
    <t>Trụ sở Công an xã Tuy Đức là trụ sở CAH Tuy Đức (cũ) - TTCMKV Tuy Đức-DGDS11</t>
  </si>
  <si>
    <t>12.29025</t>
  </si>
  <si>
    <t>107.54757</t>
  </si>
  <si>
    <t>FO thuê#VNPT#DGTD24-DGDS11</t>
  </si>
  <si>
    <t>Thuận Hạnh - Quảng Trực</t>
  </si>
  <si>
    <t>9976.35</t>
  </si>
  <si>
    <t>3942.84</t>
  </si>
  <si>
    <t>12.250896</t>
  </si>
  <si>
    <t>107.493579</t>
  </si>
  <si>
    <t>6033.51</t>
  </si>
  <si>
    <t>12.243800</t>
  </si>
  <si>
    <t>107.518868</t>
  </si>
  <si>
    <t>full_h04/Đắk Nông/Ring 6 - Final.kmz/Ring 6/Thuận Hạnh - Quảng Trực/Trồng trụ mới</t>
  </si>
  <si>
    <t>Trụ sở Công an xã Tuy Đức là trụ sở CAH Tuy Đức (cũ) - TTCMKV Tuy Đức-Phòng PC02 - Tổ địa bàn số 2</t>
  </si>
  <si>
    <t>12.41197</t>
  </si>
  <si>
    <t>107.580073</t>
  </si>
  <si>
    <t>FO thuê#VNPT#DGTD24-DGDM34</t>
  </si>
  <si>
    <t>21138.30</t>
  </si>
  <si>
    <t>14760.23</t>
  </si>
  <si>
    <t>12.276176</t>
  </si>
  <si>
    <t>107.600225</t>
  </si>
  <si>
    <t>6378.07</t>
  </si>
  <si>
    <t>Phòng PC02 - Tổ địa bàn số 2-DGDM17</t>
  </si>
  <si>
    <t>12.44853</t>
  </si>
  <si>
    <t>107.6097</t>
  </si>
  <si>
    <t>FO thuê#VNPT#DGDM34-DGDM17</t>
  </si>
  <si>
    <t>670.63</t>
  </si>
  <si>
    <t>532.38</t>
  </si>
  <si>
    <t>138.26</t>
  </si>
  <si>
    <t>12.447320</t>
  </si>
  <si>
    <t>107.609408</t>
  </si>
  <si>
    <t>Phòng PC07 - Đội CC&amp;CNCH khu vực 14-Công an xã Đức Lập (Trụ sở 2 CAH Đắk Mil cũ)</t>
  </si>
  <si>
    <t>12.459472</t>
  </si>
  <si>
    <t>107.613278</t>
  </si>
  <si>
    <t>FO thuê#VNPT#DGDM23-DGDM29</t>
  </si>
  <si>
    <t>Phòng PC07 - Đội CC&amp;CNCH khu vực 14 - Công an xã Đức Lập (Trụ sở 2 CAH Đắk Mil cũ)</t>
  </si>
  <si>
    <t>5.95</t>
  </si>
  <si>
    <t>2.99</t>
  </si>
  <si>
    <t>12.459466</t>
  </si>
  <si>
    <t>107.613251</t>
  </si>
  <si>
    <t>2.96</t>
  </si>
  <si>
    <t>12.447415</t>
  </si>
  <si>
    <t>107.621692</t>
  </si>
  <si>
    <t>full_h04/Đắk Nông/DakNong_Cap IV_Ring 1.kmz/DakNong_Cap IV_Ring 1/Phòng PC07 - Đội CC&amp;CNCH khu vực 14 - Công an xã Đức Lập (Trụ sở 2 CAH Đắk Mil cũ)/trung thế</t>
  </si>
  <si>
    <t>Công an xã Đức Lập (Trụ sở 2 CAH Đắk Mil cũ)-DGDM24</t>
  </si>
  <si>
    <t>12.45477</t>
  </si>
  <si>
    <t>107.6368</t>
  </si>
  <si>
    <t>FO thuê#VNPT#DGDM29-DGDM24</t>
  </si>
  <si>
    <t>290.98</t>
  </si>
  <si>
    <t>174.60</t>
  </si>
  <si>
    <t>12.448781</t>
  </si>
  <si>
    <t>107.620950</t>
  </si>
  <si>
    <t>116.38</t>
  </si>
  <si>
    <t>12.455816</t>
  </si>
  <si>
    <t>107.636764</t>
  </si>
  <si>
    <t>Công an xã Đắk Mil-DGKN37</t>
  </si>
  <si>
    <t>12.46132</t>
  </si>
  <si>
    <t>107.74579</t>
  </si>
  <si>
    <t>FO thuê#VNPT#DGDM07-DGKN37</t>
  </si>
  <si>
    <t>TTCMKV Krông Nô - Đắk Sắk</t>
  </si>
  <si>
    <t>3548.16</t>
  </si>
  <si>
    <t>3423.15</t>
  </si>
  <si>
    <t>12.482524</t>
  </si>
  <si>
    <t>107.764273</t>
  </si>
  <si>
    <t>125.01</t>
  </si>
  <si>
    <t>12.461428</t>
  </si>
  <si>
    <t>107.746936</t>
  </si>
  <si>
    <t>full_h04/Đắk Nông/Ring 4 Final.kmz/Ring 4/TTCMKV Krông Nô - Đắk Sắk/Trung thế</t>
  </si>
  <si>
    <t>Công an xã Đức Lập (Trụ sở 2 CAH Đắk Mil cũ)-DGDM10</t>
  </si>
  <si>
    <t>12.45404</t>
  </si>
  <si>
    <t>107.65631</t>
  </si>
  <si>
    <t>FO thuê#VNPT#DGDM29-DGDM10</t>
  </si>
  <si>
    <t>408.80</t>
  </si>
  <si>
    <t>234.19</t>
  </si>
  <si>
    <t>12.456039</t>
  </si>
  <si>
    <t>107.655632</t>
  </si>
  <si>
    <t>Trụ sở Công an xã Tuy Đức là trụ sở CAH Tuy Đức (cũ) - TTCMKV Tuy Đức-DGDM15</t>
  </si>
  <si>
    <t>12.35606</t>
  </si>
  <si>
    <t>107.56914</t>
  </si>
  <si>
    <t>FO thuê#VNPT#DGTD24-DGDM15</t>
  </si>
  <si>
    <t>14831.56</t>
  </si>
  <si>
    <t>71.33</t>
  </si>
  <si>
    <t>Công an xã Đức Lập (Trụ sở 2 CAH Đắk Mil cũ)-Công an xã Đắk Sắk</t>
  </si>
  <si>
    <t>12.428417</t>
  </si>
  <si>
    <t>107.668556</t>
  </si>
  <si>
    <t>FO thuê#VNPT#DGDM29-DGDM22</t>
  </si>
  <si>
    <t>3547.73</t>
  </si>
  <si>
    <t>3373.13</t>
  </si>
  <si>
    <t>12.456171</t>
  </si>
  <si>
    <t>107.656017</t>
  </si>
  <si>
    <t>Công an xã Đắk Sắk-Công an xã Đắk Song</t>
  </si>
  <si>
    <t>12.401083</t>
  </si>
  <si>
    <t>107.6455</t>
  </si>
  <si>
    <t>FO thuê#VNPT#DGDM22-DGDS30</t>
  </si>
  <si>
    <t>Đắk Sắk - Đắk Song</t>
  </si>
  <si>
    <t>410.29</t>
  </si>
  <si>
    <t>393.59</t>
  </si>
  <si>
    <t>12.431643</t>
  </si>
  <si>
    <t>107.667064</t>
  </si>
  <si>
    <t>16.70</t>
  </si>
  <si>
    <t>12.401227</t>
  </si>
  <si>
    <t>107.645455</t>
  </si>
  <si>
    <t>full_h04/Đắk Nông/Ring 4 Final.kmz/Ring 4/Đắk Sắk - Đắk Song/Trung thế</t>
  </si>
  <si>
    <t>Công an xã Đắk Song-DGDS07</t>
  </si>
  <si>
    <t>12.35894</t>
  </si>
  <si>
    <t>107.63448</t>
  </si>
  <si>
    <t>FO thuê#VNPT#DGDS30-DGDS07</t>
  </si>
  <si>
    <t>Công an xã Đắk Song - Công an xã Thuận An</t>
  </si>
  <si>
    <t>4851.03</t>
  </si>
  <si>
    <t>7.94</t>
  </si>
  <si>
    <t>12.401150</t>
  </si>
  <si>
    <t>107.645475</t>
  </si>
  <si>
    <t>4843.09</t>
  </si>
  <si>
    <t>full_h04/Đắk Nông/Ring 4 Final.kmz/Ring 4/Công an xã Đắk Song - Công an xã Thuận An/Trồng trụ mới</t>
  </si>
  <si>
    <t>Trụ sở Công an xã Tuy Đức là trụ sở CAH Tuy Đức (cũ) - TTCMKV Tuy Đức-Công an xã Quảng Trực</t>
  </si>
  <si>
    <t>12.263944</t>
  </si>
  <si>
    <t>107.378</t>
  </si>
  <si>
    <t>FO thuê#VNPT#DGTD24-DGTD04</t>
  </si>
  <si>
    <t>5133.63</t>
  </si>
  <si>
    <t>1190.78</t>
  </si>
  <si>
    <t>12.256794</t>
  </si>
  <si>
    <t>107.386159</t>
  </si>
  <si>
    <t>Công an xã Quảng Trực-DGTD03</t>
  </si>
  <si>
    <t>12.24755</t>
  </si>
  <si>
    <t>107.43764</t>
  </si>
  <si>
    <t>FO thuê#VNPT#DGTD04-DGTD03</t>
  </si>
  <si>
    <t>1310.47</t>
  </si>
  <si>
    <t>119.69</t>
  </si>
  <si>
    <t>12.246599</t>
  </si>
  <si>
    <t>107.437123</t>
  </si>
  <si>
    <t>Đội CSGT Đường bộ số 4 - II (trụ sở công an thị trấn đức an)-DGDS05</t>
  </si>
  <si>
    <t>12.254917</t>
  </si>
  <si>
    <t>107.608667</t>
  </si>
  <si>
    <t>FO thuê#VNPT#DGDS02-DGDS05</t>
  </si>
  <si>
    <t>3398.18</t>
  </si>
  <si>
    <t>101.63</t>
  </si>
  <si>
    <t>12.254339</t>
  </si>
  <si>
    <t>107.609391</t>
  </si>
  <si>
    <t>3296.55</t>
  </si>
  <si>
    <t>12.232143</t>
  </si>
  <si>
    <t>107.630559</t>
  </si>
  <si>
    <t>Trụ sở Công an xã Kiến Đức là trụ sở CAH Đắk R'Lấp (cũ) - TTCMKV Đắk R'Lấp-DGDL29</t>
  </si>
  <si>
    <t>12.01351</t>
  </si>
  <si>
    <t>107.49011</t>
  </si>
  <si>
    <t>FO thuê#VNPT#DGDL37-DGDL29</t>
  </si>
  <si>
    <t>Đường Quảng Tân - TTCMKV Đắk R'Lấp</t>
  </si>
  <si>
    <t>518.68</t>
  </si>
  <si>
    <t>232.64</t>
  </si>
  <si>
    <t>12.006525</t>
  </si>
  <si>
    <t>107.510881</t>
  </si>
  <si>
    <t>286.03</t>
  </si>
  <si>
    <t>12.014405</t>
  </si>
  <si>
    <t>107.492576</t>
  </si>
  <si>
    <t>full_h04/Đắk Nông/Ring 7 - Final.kmz/Ring 7/Đường Quảng Tân - TTCMKV Đắk R'Lấp/Hạ thế</t>
  </si>
  <si>
    <t>Công an xã Quảng Tân-Cơ sở cai nghiện Ma Túy số 4 tỉnh Lâm Đồng</t>
  </si>
  <si>
    <t>12.044639</t>
  </si>
  <si>
    <t>107.490278</t>
  </si>
  <si>
    <t>FO thuê#VNPT#DGTD11-DGTD05</t>
  </si>
  <si>
    <t>216.37</t>
  </si>
  <si>
    <t>148.81</t>
  </si>
  <si>
    <t>12.043371</t>
  </si>
  <si>
    <t>107.489839</t>
  </si>
  <si>
    <t>67.56</t>
  </si>
  <si>
    <t>12.094770</t>
  </si>
  <si>
    <t>107.481535</t>
  </si>
  <si>
    <t>Cơ sở cai nghiện Ma Túy số 4 tỉnh Lâm Đồng-DGTD09</t>
  </si>
  <si>
    <t>12.18423</t>
  </si>
  <si>
    <t>107.45027</t>
  </si>
  <si>
    <t>FO thuê#VNPT#DGTD05-DGTD09</t>
  </si>
  <si>
    <t>142.40</t>
  </si>
  <si>
    <t>74.84</t>
  </si>
  <si>
    <t>12.184903</t>
  </si>
  <si>
    <t>107.450288</t>
  </si>
  <si>
    <t>Trụ sở Công an xã Tuy Đức là trụ sở CAH Tuy Đức (cũ) - TTCMKV Tuy Đức-DGTD02</t>
  </si>
  <si>
    <t>12.2039</t>
  </si>
  <si>
    <t>107.48915</t>
  </si>
  <si>
    <t>FO thuê#VNPT#DGTD24-DGTD02</t>
  </si>
  <si>
    <t>803.51</t>
  </si>
  <si>
    <t>4.46</t>
  </si>
  <si>
    <t>12.219081</t>
  </si>
  <si>
    <t>107.477643</t>
  </si>
  <si>
    <t>799.06</t>
  </si>
  <si>
    <t>12.209053</t>
  </si>
  <si>
    <t>107.484025</t>
  </si>
  <si>
    <t>full_h04/Đắk Nông/Đăk Nông - Ring 3.kmz/Đăk Nông - Ring 3/Công an xã Đức An (Trụ sở CAH Đắk Song cũ) - Công an xã Tuy Đức (Trụ sở CAH Tuy Đức cũ)/hạ thế</t>
  </si>
  <si>
    <t>Công an xã Trường Xuân-DGGN05</t>
  </si>
  <si>
    <t>12.0542</t>
  </si>
  <si>
    <t>107.68023</t>
  </si>
  <si>
    <t>FO thuê#VNPT#DGDS21-DGGN05</t>
  </si>
  <si>
    <t>Trường Xuân - TT2 LÂM ĐỒNG (GIA NGHĨA)</t>
  </si>
  <si>
    <t>433.52</t>
  </si>
  <si>
    <t>373.54</t>
  </si>
  <si>
    <t>12.099860</t>
  </si>
  <si>
    <t>107.656604</t>
  </si>
  <si>
    <t>59.97</t>
  </si>
  <si>
    <t>12.054191</t>
  </si>
  <si>
    <t>107.680781</t>
  </si>
  <si>
    <t>full_h04/Đắk Nông/Ring 5 - Final.kmz/Ring 5/Trường Xuân - TT2 LÂM ĐỒNG (GIA NGHĨA)/Trung thế</t>
  </si>
  <si>
    <t>Công an phường Bắc Gia Nghĩa-DGGN24</t>
  </si>
  <si>
    <t>12.009</t>
  </si>
  <si>
    <t>107.694556</t>
  </si>
  <si>
    <t>12.01786</t>
  </si>
  <si>
    <t>107.70115</t>
  </si>
  <si>
    <t>FO thuê#PITC#DGGN15-DGGN24</t>
  </si>
  <si>
    <t>Công an phường Bắc Gia Nghĩa - Công an phường Đông Gia Nghĩa</t>
  </si>
  <si>
    <t>1189.99</t>
  </si>
  <si>
    <t>4.06</t>
  </si>
  <si>
    <t>12.008977</t>
  </si>
  <si>
    <t>107.694585</t>
  </si>
  <si>
    <t>1185.92</t>
  </si>
  <si>
    <t>12.008922</t>
  </si>
  <si>
    <t>107.695200</t>
  </si>
  <si>
    <t>full_h04/Đắk Nông/Đăk Nông - Mục IV - Ring 9.kmz/Đăk Nông - Mục IV - Ring 9/Công an phường Bắc Gia Nghĩa - Công an phường Đông Gia Nghĩa/hạ thế</t>
  </si>
  <si>
    <t>Công an tỉnh Lâm Đồng - Trụ sở 2-DGGN31</t>
  </si>
  <si>
    <t>12.02358</t>
  </si>
  <si>
    <t>107.686</t>
  </si>
  <si>
    <t>12.00736</t>
  </si>
  <si>
    <t>107.68546</t>
  </si>
  <si>
    <t>FO thuê#PITC#DGGN03-DGGN31</t>
  </si>
  <si>
    <t>1.35</t>
  </si>
  <si>
    <t>12.023592</t>
  </si>
  <si>
    <t>107.685997</t>
  </si>
  <si>
    <t>31.13</t>
  </si>
  <si>
    <t>12.007395</t>
  </si>
  <si>
    <t>107.685744</t>
  </si>
  <si>
    <t>full_h04/Đắk Nông/Đăk Nông - Mục IV - Ring 10.kmz/Đăk Nông - Mục IV - Ring 10/Công an tỉnh Lâm Đồng - TT2 - Công an xã Quảng Khê/trung thế</t>
  </si>
  <si>
    <t>Công an Xã Nhân Cơ-DGDL03</t>
  </si>
  <si>
    <t>11.981056</t>
  </si>
  <si>
    <t>107.588278</t>
  </si>
  <si>
    <t>11.9843</t>
  </si>
  <si>
    <t>107.57251</t>
  </si>
  <si>
    <t>FO thuê#PITC#DGDL19-DGDL03</t>
  </si>
  <si>
    <t>Công an phường Nam Gia Nghĩa - Công an xã Kiến Đức</t>
  </si>
  <si>
    <t>223.57</t>
  </si>
  <si>
    <t>130.19</t>
  </si>
  <si>
    <t>11.982198</t>
  </si>
  <si>
    <t>107.588012</t>
  </si>
  <si>
    <t>93.38</t>
  </si>
  <si>
    <t>11.984299</t>
  </si>
  <si>
    <t>107.573368</t>
  </si>
  <si>
    <t>full_h04/Đắk Nông/Đăk Nông - Mục IV - Ring 9.kmz/Đăk Nông - Mục IV - Ring 9/Công an phường Nam Gia Nghĩa - Công an xã Kiến Đức/trung thế</t>
  </si>
  <si>
    <t>Phòng PK02 - Tổ địa bàn số 2-Đồn CA KCN Nhân Cơ</t>
  </si>
  <si>
    <t>11.982665</t>
  </si>
  <si>
    <t>107.655628</t>
  </si>
  <si>
    <t>11.975583</t>
  </si>
  <si>
    <t>107.58175</t>
  </si>
  <si>
    <t>FO thuê#PITC#DGGN07-DGDL05</t>
  </si>
  <si>
    <t>972.89</t>
  </si>
  <si>
    <t>287.95</t>
  </si>
  <si>
    <t>11.981467</t>
  </si>
  <si>
    <t>107.657975</t>
  </si>
  <si>
    <t>684.94</t>
  </si>
  <si>
    <t>11.981696</t>
  </si>
  <si>
    <t>107.580975</t>
  </si>
  <si>
    <t>Đồn CA KCN Nhân Cơ-DGDL30</t>
  </si>
  <si>
    <t>12.00816</t>
  </si>
  <si>
    <t>107.56442</t>
  </si>
  <si>
    <t>FO thuê#PITC#DGDL05-DGDL30</t>
  </si>
  <si>
    <t>2558.84</t>
  </si>
  <si>
    <t>1873.89</t>
  </si>
  <si>
    <t>11.992266</t>
  </si>
  <si>
    <t>107.558694</t>
  </si>
  <si>
    <t>Công an xã Quảng Tín-DGDL43</t>
  </si>
  <si>
    <t>11.912556</t>
  </si>
  <si>
    <t>107.398806</t>
  </si>
  <si>
    <t>11.92155</t>
  </si>
  <si>
    <t>107.41687</t>
  </si>
  <si>
    <t>FO thuê#PITC#DGDL07-DGDL43</t>
  </si>
  <si>
    <t>Đội CC&amp;CNCH khu vực 13 - Công an xã Quảng Tín</t>
  </si>
  <si>
    <t>321.73</t>
  </si>
  <si>
    <t>35.54</t>
  </si>
  <si>
    <t>11.912875</t>
  </si>
  <si>
    <t>107.398793</t>
  </si>
  <si>
    <t>286.19</t>
  </si>
  <si>
    <t>11.923932</t>
  </si>
  <si>
    <t>107.415873</t>
  </si>
  <si>
    <t>full_h04/Đắk Nông/Đăk Nông - Mục IV - Ring 8.kmz/Đăk Nông - Mục IV - Ring 8/Đội CC&amp;CNCH khu vực 13 - Công an xã Quảng Tín/trung thế</t>
  </si>
  <si>
    <t>DGDM20-Công an xã Đắk Mil</t>
  </si>
  <si>
    <t>12.50165</t>
  </si>
  <si>
    <t>107.74227</t>
  </si>
  <si>
    <t>FO thuê#VNPT#DGDM20-DGDM07</t>
  </si>
  <si>
    <t>Công an xã Đắk Mil - Phòng PC08 - Đội CSGT số 4</t>
  </si>
  <si>
    <t>114.74</t>
  </si>
  <si>
    <t>112.16</t>
  </si>
  <si>
    <t>12.501187</t>
  </si>
  <si>
    <t>107.743188</t>
  </si>
  <si>
    <t>2.58</t>
  </si>
  <si>
    <t>12.509452</t>
  </si>
  <si>
    <t>107.749016</t>
  </si>
  <si>
    <t>full_h04/Đắk Nông/DakNong_Cap IV_Ring 1.kmz/DakNong_Cap IV_Ring 1/Công an xã Đắk Mil - Phòng PC08 - Đội CSGT số 4/hạ thế</t>
  </si>
  <si>
    <t>DGDM30-Công an xã Đắk Mil</t>
  </si>
  <si>
    <t>12.52023</t>
  </si>
  <si>
    <t>107.78412</t>
  </si>
  <si>
    <t>FO thuê#VNPT#DGDM30-DGDM07</t>
  </si>
  <si>
    <t>1829.93</t>
  </si>
  <si>
    <t>1569.43</t>
  </si>
  <si>
    <t>12.532603</t>
  </si>
  <si>
    <t>107.777164</t>
  </si>
  <si>
    <t>DGDM06-Phòng PC02 - Tổ địa bàn số 2</t>
  </si>
  <si>
    <t>12.40828</t>
  </si>
  <si>
    <t>107.58648</t>
  </si>
  <si>
    <t>FO thuê#VNPT#DGDM06-DGDM34</t>
  </si>
  <si>
    <t>Công an xã Thuận An - Phòng PC02 - Tổ địa bàn số 2</t>
  </si>
  <si>
    <t>622.58</t>
  </si>
  <si>
    <t>620.10</t>
  </si>
  <si>
    <t>12.410084</t>
  </si>
  <si>
    <t>107.581077</t>
  </si>
  <si>
    <t>2.48</t>
  </si>
  <si>
    <t>12.411950</t>
  </si>
  <si>
    <t>107.580064</t>
  </si>
  <si>
    <t>full_h04/Đắk Nông/Ring 4 Final.kmz/Ring 4/Công an xã Thuận An - Phòng PC02 - Tổ địa bàn số 2/Hạ thế</t>
  </si>
  <si>
    <t>DGDM09-Phòng PC02 - Tổ địa bàn số 2</t>
  </si>
  <si>
    <t>12.43548</t>
  </si>
  <si>
    <t>107.5931</t>
  </si>
  <si>
    <t>FO thuê#VNPT#DGDM09-DGDM34</t>
  </si>
  <si>
    <t>654.42</t>
  </si>
  <si>
    <t>122.04</t>
  </si>
  <si>
    <t>12.436080</t>
  </si>
  <si>
    <t>107.592159</t>
  </si>
  <si>
    <t>DGDS03-Đội CSGT Đường bộ số 4 - II (trụ sở công an thị trấn đức an)</t>
  </si>
  <si>
    <t>12.26043</t>
  </si>
  <si>
    <t>107.61169</t>
  </si>
  <si>
    <t>FO thuê#VNPT#DGDS03-DGDS02</t>
  </si>
  <si>
    <t>210.27</t>
  </si>
  <si>
    <t>65.91</t>
  </si>
  <si>
    <t>12.260488</t>
  </si>
  <si>
    <t>107.611086</t>
  </si>
  <si>
    <t>144.36</t>
  </si>
  <si>
    <t>12.254780</t>
  </si>
  <si>
    <t>107.609988</t>
  </si>
  <si>
    <t>DGCJ19-Công an xã Nam Dong</t>
  </si>
  <si>
    <t>12.63855</t>
  </si>
  <si>
    <t>107.85212</t>
  </si>
  <si>
    <t>FO thuê#VNPT#DGCJ19-DGCJ01</t>
  </si>
  <si>
    <t>1025.89</t>
  </si>
  <si>
    <t>93.89</t>
  </si>
  <si>
    <t>12.639130</t>
  </si>
  <si>
    <t>107.851491</t>
  </si>
  <si>
    <t>932.00</t>
  </si>
  <si>
    <t>12.649492</t>
  </si>
  <si>
    <t>107.864970</t>
  </si>
  <si>
    <t>full_h04/Đắk Nông/DakNong_Cap IV_Ring 1.kmz/DakNong_Cap IV_Ring 1/Công an xã Nam Dong - Công an xã Đắk Mil/trung thế</t>
  </si>
  <si>
    <t>DGTD21-Công an xã Quảng Trực</t>
  </si>
  <si>
    <t>12.26524</t>
  </si>
  <si>
    <t>107.36315</t>
  </si>
  <si>
    <t>FO thuê#VNPT#DGTD21-DGTD04</t>
  </si>
  <si>
    <t>1620.03</t>
  </si>
  <si>
    <t>1617.32</t>
  </si>
  <si>
    <t>12.263942</t>
  </si>
  <si>
    <t>107.377975</t>
  </si>
  <si>
    <t>2.71</t>
  </si>
  <si>
    <t>full_h04/Đắk Nông/Ring 6 - Final.kmz/Ring 6/Thuận Hạnh - Quảng Trực/Hạ thế</t>
  </si>
  <si>
    <t>DGDS20-Công an xã Trường Xuân</t>
  </si>
  <si>
    <t>12.13064</t>
  </si>
  <si>
    <t>107.64932</t>
  </si>
  <si>
    <t>FO thuê#VNPT#DGDS20-DGDS21</t>
  </si>
  <si>
    <t>760.50</t>
  </si>
  <si>
    <t>395.69</t>
  </si>
  <si>
    <t>12.131571</t>
  </si>
  <si>
    <t>107.652833</t>
  </si>
  <si>
    <t>DGDS18-Công an xã Trường Xuân</t>
  </si>
  <si>
    <t>12.10023</t>
  </si>
  <si>
    <t>107.66409</t>
  </si>
  <si>
    <t>FO thuê#VNPT#DGDS18-DGDS21</t>
  </si>
  <si>
    <t>Đội CSGT Đường bộ số 4 - II  - Trường Xuân</t>
  </si>
  <si>
    <t>638.96</t>
  </si>
  <si>
    <t>632.88</t>
  </si>
  <si>
    <t>12.101863</t>
  </si>
  <si>
    <t>107.658514</t>
  </si>
  <si>
    <t>6.08</t>
  </si>
  <si>
    <t>12.102447</t>
  </si>
  <si>
    <t>107.654394</t>
  </si>
  <si>
    <t>full_h04/Đắk Nông/Ring 5 - Final.kmz/Ring 5/Đội CSGT Đường bộ số 4 - II  - Trường Xuân/Trồng trụ mới</t>
  </si>
  <si>
    <t>DGCJ25-Công an xã Nam Dong</t>
  </si>
  <si>
    <t>12.67186</t>
  </si>
  <si>
    <t>107.87318</t>
  </si>
  <si>
    <t>FO thuê#VNPT#DGCJ25-DGCJ01</t>
  </si>
  <si>
    <t>Công an xã Đắk Wil - Công an xã Nam Dong</t>
  </si>
  <si>
    <t>1445.14</t>
  </si>
  <si>
    <t>1390.95</t>
  </si>
  <si>
    <t>12.663349</t>
  </si>
  <si>
    <t>107.863784</t>
  </si>
  <si>
    <t>54.19</t>
  </si>
  <si>
    <t>12.650290</t>
  </si>
  <si>
    <t>107.873033</t>
  </si>
  <si>
    <t>full_h04/Đắk Nông/DakNong_Cap IV_Ring 1.kmz/DakNong_Cap IV_Ring 1/Công an xã Đắk Wil - Công an xã Nam Dong/trung thế</t>
  </si>
  <si>
    <t>DGDM41-Công an xã Đắk Sắk</t>
  </si>
  <si>
    <t>12.43345</t>
  </si>
  <si>
    <t>107.65</t>
  </si>
  <si>
    <t>FO thuê#VNPT#DGDM41-DGDM22</t>
  </si>
  <si>
    <t>1137.61</t>
  </si>
  <si>
    <t>744.02</t>
  </si>
  <si>
    <t>12.430532</t>
  </si>
  <si>
    <t>107.656166</t>
  </si>
  <si>
    <t>DGDM19-Phòng PC02 - Tổ địa bàn số 2</t>
  </si>
  <si>
    <t>12.39277</t>
  </si>
  <si>
    <t>107.56847</t>
  </si>
  <si>
    <t>FO thuê#VNPT#DGDM19-DGDM34</t>
  </si>
  <si>
    <t>520.62</t>
  </si>
  <si>
    <t>470.55</t>
  </si>
  <si>
    <t>12.395092</t>
  </si>
  <si>
    <t>107.572092</t>
  </si>
  <si>
    <t>50.07</t>
  </si>
  <si>
    <t>12.411679</t>
  </si>
  <si>
    <t>107.580425</t>
  </si>
  <si>
    <t>full_h04/Đắk Nông/Đắk Nông - Ring 1.kmz/Đắk Nông - Ring 1/Công an tỉnh Lâm Đồng - TT2
- Công an xã Đức Lập (Trụ sở 2 CAH Đắk Mil cũ)/Hạ thế</t>
  </si>
  <si>
    <t>DGGN16-Phòng PK02 - Tổ địa bàn số 2</t>
  </si>
  <si>
    <t>11.99441</t>
  </si>
  <si>
    <t>107.66364</t>
  </si>
  <si>
    <t>FO thuê#VNPT#DGGN16-DGGN07</t>
  </si>
  <si>
    <t>Phòng PK02 - Tổ địa bàn số 2 - Phòng PA06 - Tổ địa bàn số 2</t>
  </si>
  <si>
    <t>250.43</t>
  </si>
  <si>
    <t>245.75</t>
  </si>
  <si>
    <t>11.992292</t>
  </si>
  <si>
    <t>107.664286</t>
  </si>
  <si>
    <t>11.982702</t>
  </si>
  <si>
    <t>107.655608</t>
  </si>
  <si>
    <t>full_h04/Đắk Nông/Đăk Nông - Mục III - Ring 8.kmz/Đăk Nông - Mục III - Ring 8/Phòng PK02 - Tổ địa bàn số 2 - Phòng PA06 - Tổ địa bàn số 2/trung thế</t>
  </si>
  <si>
    <t>DGGN32-Công an tỉnh Lâm Đồng - Trụ sở 2</t>
  </si>
  <si>
    <t>12.00522</t>
  </si>
  <si>
    <t>107.67665</t>
  </si>
  <si>
    <t>FO thuê#VNPT#DGGN32-DGGN03</t>
  </si>
  <si>
    <t>Phòng PA06 - Tổ địa bàn số 2 - Công an tỉnh Lâm Đồng - TT2</t>
  </si>
  <si>
    <t>229.03</t>
  </si>
  <si>
    <t>213.63</t>
  </si>
  <si>
    <t>12.006126</t>
  </si>
  <si>
    <t>107.674918</t>
  </si>
  <si>
    <t>15.40</t>
  </si>
  <si>
    <t>12.023471</t>
  </si>
  <si>
    <t>107.686087</t>
  </si>
  <si>
    <t>full_h04/Đắk Nông/Đăk Nông - Mục III - Ring 8.kmz/Đăk Nông - Mục III - Ring 8/Phòng PA06 - Tổ địa bàn số 2 - Công an tỉnh Lâm Đồng - TT2/trung thế</t>
  </si>
  <si>
    <t>DGGN33-Công an Xã Nhân Cơ</t>
  </si>
  <si>
    <t>12.00955</t>
  </si>
  <si>
    <t>107.60201</t>
  </si>
  <si>
    <t>FO thuê#VNPT#DGGN33-DGDL19</t>
  </si>
  <si>
    <t>3244.70</t>
  </si>
  <si>
    <t>3114.51</t>
  </si>
  <si>
    <t>11.981562</t>
  </si>
  <si>
    <t>107.600892</t>
  </si>
  <si>
    <t>DGDL10-Trụ sở Công an xã Kiến Đức là trụ sở CAH Đắk R'Lấp (cũ) - TTCMKV Đắk R'Lấp</t>
  </si>
  <si>
    <t>11.97456</t>
  </si>
  <si>
    <t>107.49229</t>
  </si>
  <si>
    <t>FO thuê#VNPT#DGDL10-DGDL37</t>
  </si>
  <si>
    <t>1706.19</t>
  </si>
  <si>
    <t>93.95</t>
  </si>
  <si>
    <t>11.973898</t>
  </si>
  <si>
    <t>107.492827</t>
  </si>
  <si>
    <t>1612.24</t>
  </si>
  <si>
    <t>11.992825</t>
  </si>
  <si>
    <t>107.510738</t>
  </si>
  <si>
    <t>DGDL20-Công an Xã Nhân Cơ</t>
  </si>
  <si>
    <t>11.97632</t>
  </si>
  <si>
    <t>107.62622</t>
  </si>
  <si>
    <t>FO thuê#VNPT#DGDL20-DGDL19</t>
  </si>
  <si>
    <t>204.06</t>
  </si>
  <si>
    <t>73.87</t>
  </si>
  <si>
    <t>11.976922</t>
  </si>
  <si>
    <t>107.625933</t>
  </si>
  <si>
    <t>DGDL58-Phòng PK02 - Tổ địa bàn số 2</t>
  </si>
  <si>
    <t>11.96381</t>
  </si>
  <si>
    <t>107.6366</t>
  </si>
  <si>
    <t>FO thuê#VNPT#DGDL58-DGGN07</t>
  </si>
  <si>
    <t>Công an xã Kiến Đức (Trụ sở CAH Đắk R'Lấp cũ) - Công an tỉnh Lâm Đồng - TT2</t>
  </si>
  <si>
    <t>1804.94</t>
  </si>
  <si>
    <t>1506.47</t>
  </si>
  <si>
    <t>11.977278</t>
  </si>
  <si>
    <t>107.638107</t>
  </si>
  <si>
    <t>298.48</t>
  </si>
  <si>
    <t>11.981714</t>
  </si>
  <si>
    <t>107.658194</t>
  </si>
  <si>
    <t>full_h04/Đắk Nông/Đăk Nông - Ring 3.kmz/Đăk Nông - Ring 3/Công an xã Kiến Đức (Trụ sở CAH Đắk R'Lấp cũ) - Công an tỉnh Lâm Đồng - TT2/trung thế</t>
  </si>
  <si>
    <t>DGGN14-Công an phường Đông Gia Nghĩa</t>
  </si>
  <si>
    <t>11.98273</t>
  </si>
  <si>
    <t>107.73865</t>
  </si>
  <si>
    <t>11.959972</t>
  </si>
  <si>
    <t>107.728583</t>
  </si>
  <si>
    <t>FO thuê#VNPT#DGGN14-DGGN06</t>
  </si>
  <si>
    <t>2068.52</t>
  </si>
  <si>
    <t>2062.38</t>
  </si>
  <si>
    <t>11.964795</t>
  </si>
  <si>
    <t>107.733818</t>
  </si>
  <si>
    <t>6.14</t>
  </si>
  <si>
    <t>11.959954</t>
  </si>
  <si>
    <t>107.728636</t>
  </si>
  <si>
    <t>DGGN29-Công an phường Đông Gia Nghĩa</t>
  </si>
  <si>
    <t>11.99205</t>
  </si>
  <si>
    <t>107.76289</t>
  </si>
  <si>
    <t>FO thuê#VNPT#DGGN29-DGGN06</t>
  </si>
  <si>
    <t>4386.16</t>
  </si>
  <si>
    <t>4380.02</t>
  </si>
  <si>
    <t>DGDL45-Đồn CA KCN Nhân Cơ</t>
  </si>
  <si>
    <t>11.9645</t>
  </si>
  <si>
    <t>107.5874</t>
  </si>
  <si>
    <t>FO thuê#VNPT#DGDL45-DGDL05</t>
  </si>
  <si>
    <t>Công An xã Quảng Tín - Đồn CA KCN Nhân Cơ</t>
  </si>
  <si>
    <t>1381.74</t>
  </si>
  <si>
    <t>1378.88</t>
  </si>
  <si>
    <t>11.975606</t>
  </si>
  <si>
    <t>107.581761</t>
  </si>
  <si>
    <t>2.86</t>
  </si>
  <si>
    <t>full_h04/Đắk Nông/Đăk Nông - Mục IV - Ring 8.kmz/Đăk Nông - Mục IV - Ring 8/Công An xã Quảng Tín - Đồn CA KCN Nhân Cơ/Tuyến ngầm xây dựng mới</t>
  </si>
  <si>
    <t>DGDL06-Công an Xã Nhân Cơ</t>
  </si>
  <si>
    <t>11.98649</t>
  </si>
  <si>
    <t>107.60946</t>
  </si>
  <si>
    <t>FO thuê#VNPT#DGDL06-DGDL19</t>
  </si>
  <si>
    <t>850.09</t>
  </si>
  <si>
    <t>719.90</t>
  </si>
  <si>
    <t>11.980341</t>
  </si>
  <si>
    <t>107.607388</t>
  </si>
  <si>
    <t>DG_DWDM_DKGGNA-Trụ sở Công an xã Tuy Đức là trụ sở CAH Tuy Đức (cũ) - TTCMKV Tuy Đức</t>
  </si>
  <si>
    <t>12.00254</t>
  </si>
  <si>
    <t>107.69232</t>
  </si>
  <si>
    <t>FO thuê#VNPT#DG_DWDM_DKGGNA-DGTD24</t>
  </si>
  <si>
    <t>18691.84</t>
  </si>
  <si>
    <t>2437.89</t>
  </si>
  <si>
    <t>12.023574</t>
  </si>
  <si>
    <t>16253.95</t>
  </si>
  <si>
    <t>12.205288</t>
  </si>
  <si>
    <t>107.626506</t>
  </si>
  <si>
    <t>DGDS05-Công an tỉnh Lâm Đồng - Trụ sở 2</t>
  </si>
  <si>
    <t>FO thuê#VNPT#DGDS05-DGGN03</t>
  </si>
  <si>
    <t>404.43</t>
  </si>
  <si>
    <t>403.68</t>
  </si>
  <si>
    <t>12.202097</t>
  </si>
  <si>
    <t>107.633785</t>
  </si>
  <si>
    <t>DGDM17-Phòng PC07 - Đội CC&amp;CNCH khu vực 14</t>
  </si>
  <si>
    <t>FO thuê#VNPT#DGDM17-DGDM23</t>
  </si>
  <si>
    <t>141.31</t>
  </si>
  <si>
    <t>138.32</t>
  </si>
  <si>
    <t>12.447314</t>
  </si>
  <si>
    <t>107.609429</t>
  </si>
  <si>
    <t>DGDM31-Công an xã Đắk Mil</t>
  </si>
  <si>
    <t>12.47789</t>
  </si>
  <si>
    <t>107.69952</t>
  </si>
  <si>
    <t>FO thuê#VNPT#DGDM31-DGDM07</t>
  </si>
  <si>
    <t>2939.26</t>
  </si>
  <si>
    <t>2936.68</t>
  </si>
  <si>
    <t>12.489154</t>
  </si>
  <si>
    <t>107.723986</t>
  </si>
  <si>
    <t>DGDM35-Công an xã Đức Lập (Trụ sở 2 CAH Đắk Mil cũ)</t>
  </si>
  <si>
    <t>12.44234</t>
  </si>
  <si>
    <t>107.63013</t>
  </si>
  <si>
    <t>FO thuê#VNPT#DGDM35-DGDM29</t>
  </si>
  <si>
    <t>96.65</t>
  </si>
  <si>
    <t>80.05</t>
  </si>
  <si>
    <t>12.441776</t>
  </si>
  <si>
    <t>107.629672</t>
  </si>
  <si>
    <t>16.60</t>
  </si>
  <si>
    <t>12.447270</t>
  </si>
  <si>
    <t>107.621786</t>
  </si>
  <si>
    <t>full_h04/Đắk Nông/Ring 4 Final.kmz/Ring 4/Công an xã Đắk Song - Công an xã Thuận An/Trung thế</t>
  </si>
  <si>
    <t>DGDS08-Đội CSGT Đường bộ số 4 - II (trụ sở công an thị trấn đức an)</t>
  </si>
  <si>
    <t>12.30471</t>
  </si>
  <si>
    <t>107.59354</t>
  </si>
  <si>
    <t>FO thuê#VNPT#DGDS08-DGDS02</t>
  </si>
  <si>
    <t>272.70</t>
  </si>
  <si>
    <t>128.34</t>
  </si>
  <si>
    <t>12.303564</t>
  </si>
  <si>
    <t>107.593400</t>
  </si>
  <si>
    <t>DGDL29-Công an xã Quảng Tân</t>
  </si>
  <si>
    <t>FO thuê#VNPT#DGDL29-DGTD11</t>
  </si>
  <si>
    <t>796.62</t>
  </si>
  <si>
    <t>647.81</t>
  </si>
  <si>
    <t>DGTD09-Trụ sở Công an xã Tuy Đức là trụ sở CAH Tuy Đức (cũ) - TTCMKV Tuy Đức</t>
  </si>
  <si>
    <t>FO thuê#VNPT#DGTD09-DGTD24</t>
  </si>
  <si>
    <t>97.91</t>
  </si>
  <si>
    <t>DGDS17-Công an xã Trường Xuân</t>
  </si>
  <si>
    <t>12.14824</t>
  </si>
  <si>
    <t>107.63949</t>
  </si>
  <si>
    <t>FO thuê#VNPT#DGDS17-DGDS21</t>
  </si>
  <si>
    <t>826.18</t>
  </si>
  <si>
    <t>452.80</t>
  </si>
  <si>
    <t>12.150210</t>
  </si>
  <si>
    <t>107.643135</t>
  </si>
  <si>
    <t>373.39</t>
  </si>
  <si>
    <t>12.099854</t>
  </si>
  <si>
    <t>107.656595</t>
  </si>
  <si>
    <t>DGGN13-Công an tỉnh Lâm Đồng - Trụ sở 2</t>
  </si>
  <si>
    <t>12.03377</t>
  </si>
  <si>
    <t>107.68668</t>
  </si>
  <si>
    <t>FO thuê#VNPT#DGGN13-DGGN03</t>
  </si>
  <si>
    <t>63.71</t>
  </si>
  <si>
    <t>62.95</t>
  </si>
  <si>
    <t>12.033684</t>
  </si>
  <si>
    <t>107.687252</t>
  </si>
  <si>
    <t>DGGN11-Công an tỉnh Lâm Đồng - Trụ sở 2</t>
  </si>
  <si>
    <t>12.02508</t>
  </si>
  <si>
    <t>107.74028</t>
  </si>
  <si>
    <t>FO thuê#VNPT#DGGN11-DGGN03</t>
  </si>
  <si>
    <t>Công an xã Quảng Sơn - Trại tạm giam cơ sở 2</t>
  </si>
  <si>
    <t>4548.84</t>
  </si>
  <si>
    <t>466.02</t>
  </si>
  <si>
    <t>12.021367</t>
  </si>
  <si>
    <t>107.738292</t>
  </si>
  <si>
    <t>4082.82</t>
  </si>
  <si>
    <t>12.006174</t>
  </si>
  <si>
    <t>107.719054</t>
  </si>
  <si>
    <t>full_h04/Đắk Nông/Đắk Nông - Ring 1.kmz/Đắk Nông - Ring 1/Công an xã Quảng Sơn - Trại tạm giam cơ sở 2/trung thế</t>
  </si>
  <si>
    <t>DGDL44-Đồn CA KCN Nhân Cơ</t>
  </si>
  <si>
    <t>11.97153</t>
  </si>
  <si>
    <t>107.57687</t>
  </si>
  <si>
    <t>FO thuê#PITC#DGDL44-DGDL05</t>
  </si>
  <si>
    <t>204.91</t>
  </si>
  <si>
    <t>108.08</t>
  </si>
  <si>
    <t>11.970678</t>
  </si>
  <si>
    <t>107.576391</t>
  </si>
  <si>
    <t>96.83</t>
  </si>
  <si>
    <t>11.976427</t>
  </si>
  <si>
    <t>107.581530</t>
  </si>
  <si>
    <t>full_h04/Đắk Nông/Đăk Nông - Mục IV - Ring 8.kmz/Đăk Nông - Mục IV - Ring 8/Công An xã Quảng Tín - Đồn CA KCN Nhân Cơ/trung thế</t>
  </si>
  <si>
    <t>DGDL15-Trụ sở Công an xã Kiến Đức là trụ sở CAH Đắk R'Lấp (cũ) - TTCMKV Đắk R'Lấp</t>
  </si>
  <si>
    <t>11.96196</t>
  </si>
  <si>
    <t>107.51798</t>
  </si>
  <si>
    <t>FO thuê#PITC#DGDL15-DGDL37</t>
  </si>
  <si>
    <t>3604.33</t>
  </si>
  <si>
    <t>3532.75</t>
  </si>
  <si>
    <t>11.992852</t>
  </si>
  <si>
    <t>107.510395</t>
  </si>
  <si>
    <t>71.58</t>
  </si>
  <si>
    <t>12.006530</t>
  </si>
  <si>
    <t>107.513014</t>
  </si>
  <si>
    <t>full_h04/Đắk Nông/Đăk Nông - Mục IV - Ring 8.kmz/Đăk Nông - Mục IV - Ring 8/Đội CC&amp;CNCH khu vực 13 - Công an xã Quảng Tín/hạ thế</t>
  </si>
  <si>
    <t>DGDL18-Trụ sở Công an xã Kiến Đức là trụ sở CAH Đắk R'Lấp (cũ) - TTCMKV Đắk R'Lấp</t>
  </si>
  <si>
    <t>11.95198</t>
  </si>
  <si>
    <t>107.47943</t>
  </si>
  <si>
    <t>FO thuê#PITC#DGDL18-DGDL37</t>
  </si>
  <si>
    <t>2602.99</t>
  </si>
  <si>
    <t>990.75</t>
  </si>
  <si>
    <t>11.955950</t>
  </si>
  <si>
    <t>107.471277</t>
  </si>
  <si>
    <t>DG_DWDM_DKGGNA-Công an Xã Nhân Cơ</t>
  </si>
  <si>
    <t>FO thuê#PITC#DG_DWDM_DKGGNA-DGDL19</t>
  </si>
  <si>
    <t>1891.62</t>
  </si>
  <si>
    <t>1761.43</t>
  </si>
  <si>
    <t>12.001449</t>
  </si>
  <si>
    <t>107.676164</t>
  </si>
  <si>
    <t>DGDL09-Trụ sở Công an xã Kiến Đức là trụ sở CAH Đắk R'Lấp (cũ) - TTCMKV Đắk R'Lấp</t>
  </si>
  <si>
    <t>11.99235</t>
  </si>
  <si>
    <t>107.54496</t>
  </si>
  <si>
    <t>FO thuê#PITC#DGDL09-DGDL37</t>
  </si>
  <si>
    <t>878.46</t>
  </si>
  <si>
    <t>222.28</t>
  </si>
  <si>
    <t>11.993557</t>
  </si>
  <si>
    <t>107.546589</t>
  </si>
  <si>
    <t>656.18</t>
  </si>
  <si>
    <t>12.001529</t>
  </si>
  <si>
    <t>107.511134</t>
  </si>
  <si>
    <t>DG_DWDM_DKGGNA-Phòng PK02 - Tổ địa bàn số 2</t>
  </si>
  <si>
    <t>FO thuê#PITC#DG_DWDM_DKGGNA-DGGN07</t>
  </si>
  <si>
    <t>Công an xã Nhân Cơ - Công an tỉnh Lâm Đồng - TT2</t>
  </si>
  <si>
    <t>1887.02</t>
  </si>
  <si>
    <t>1596.34</t>
  </si>
  <si>
    <t>12.013104</t>
  </si>
  <si>
    <t>107.682381</t>
  </si>
  <si>
    <t>290.69</t>
  </si>
  <si>
    <t>11.981328</t>
  </si>
  <si>
    <t>107.657925</t>
  </si>
  <si>
    <t>full_h04/Đắk Nông/Đăk Nông - Mục IV - Ring 8.kmz/Đăk Nông - Mục IV - Ring 8/Công an xã Nhân Cơ - Công an tỉnh Lâm Đồng - TT2/trung thế</t>
  </si>
  <si>
    <t>DGDL16-Trụ sở Công an xã Kiến Đức là trụ sở CAH Đắk R'Lấp (cũ) - TTCMKV Đắk R'Lấp</t>
  </si>
  <si>
    <t>12.011</t>
  </si>
  <si>
    <t>107.52691</t>
  </si>
  <si>
    <t>FO thuê#PITC#DGDL16-DGDL37</t>
  </si>
  <si>
    <t>1580.52</t>
  </si>
  <si>
    <t>1573.51</t>
  </si>
  <si>
    <t>12.007192</t>
  </si>
  <si>
    <t>107.512976</t>
  </si>
  <si>
    <t>7.01</t>
  </si>
  <si>
    <t>full_h04/Đắk Nông/Ring 7 - Final.kmz/Ring 7/Đường Quảng Tân - TTCMKV Đắk R'Lấp/Trung thế</t>
  </si>
  <si>
    <t>DGDL32-Công an xã Quảng Tín</t>
  </si>
  <si>
    <t>11.87666</t>
  </si>
  <si>
    <t>107.41516</t>
  </si>
  <si>
    <t>FO thuê#PITC#DGDL32-DGDL07</t>
  </si>
  <si>
    <t>1133.31</t>
  </si>
  <si>
    <t>163.54</t>
  </si>
  <si>
    <t>11.877683</t>
  </si>
  <si>
    <t>107.416240</t>
  </si>
  <si>
    <t>969.77</t>
  </si>
  <si>
    <t>11.904558</t>
  </si>
  <si>
    <t>107.395252</t>
  </si>
  <si>
    <t>DGDL22-Trụ sở Công an xã Kiến Đức là trụ sở CAH Đắk R'Lấp (cũ) - TTCMKV Đắk R'Lấp</t>
  </si>
  <si>
    <t>11.93348</t>
  </si>
  <si>
    <t>107.43347</t>
  </si>
  <si>
    <t>FO thuê#PITC#DGDL22-DGDL37</t>
  </si>
  <si>
    <t>1706.80</t>
  </si>
  <si>
    <t>94.57</t>
  </si>
  <si>
    <t>11.932662</t>
  </si>
  <si>
    <t>107.433708</t>
  </si>
  <si>
    <t>22DG033-Công an phường Đông Gia Nghĩa</t>
  </si>
  <si>
    <t>11.95716</t>
  </si>
  <si>
    <t>107.72809</t>
  </si>
  <si>
    <t>FO thuê#PITC#22DG033-DGGN06</t>
  </si>
  <si>
    <t>Công an phường Đông Gia Nghĩa - Công an phường Nam Gia Nghĩa</t>
  </si>
  <si>
    <t>162.14</t>
  </si>
  <si>
    <t>157.93</t>
  </si>
  <si>
    <t>11.958558</t>
  </si>
  <si>
    <t>107.727834</t>
  </si>
  <si>
    <t>4.21</t>
  </si>
  <si>
    <t>11.959940</t>
  </si>
  <si>
    <t>107.728562</t>
  </si>
  <si>
    <t>full_h04/Đắk Nông/Đăk Nông - Mục IV - Ring 9.kmz/Đăk Nông - Mục IV - Ring 9/Công an phường Đông Gia Nghĩa - Công an phường Nam Gia Nghĩa/trung thế</t>
  </si>
  <si>
    <t>DGGN01-Công an tỉnh Lâm Đồng - Trụ sở 2</t>
  </si>
  <si>
    <t>11.99045</t>
  </si>
  <si>
    <t>107.67281</t>
  </si>
  <si>
    <t>FO DT#MBF#DGGN01-DGGN03</t>
  </si>
  <si>
    <t>364.07</t>
  </si>
  <si>
    <t>348.67</t>
  </si>
  <si>
    <t>11.992517</t>
  </si>
  <si>
    <t>107.670400</t>
  </si>
  <si>
    <t>Công an tỉnh Lâm Đồng - Trụ sở 2-DGGN01</t>
  </si>
  <si>
    <t>FO DT#MBF#DGGN03-DGGN01</t>
  </si>
  <si>
    <t>Công an tỉnh Lâm Đồng - Trụ sở 2-DG_DWDM_DKGGNA</t>
  </si>
  <si>
    <t>FO DT#MBF#DGGN03-DG_DWDM_DKGGNA</t>
  </si>
  <si>
    <t>90.99</t>
  </si>
  <si>
    <t>89.63</t>
  </si>
  <si>
    <t>12.002910</t>
  </si>
  <si>
    <t>107.693052</t>
  </si>
  <si>
    <t>DGGN01-Trụ sở Công an xã Kiến Đức là trụ sở CAH Đắk R'Lấp (cũ) - TTCMKV Đắk R'Lấp</t>
  </si>
  <si>
    <t>FO DT#MBF#DGGN01-DGDL37</t>
  </si>
  <si>
    <t>1003.78</t>
  </si>
  <si>
    <t>347.59</t>
  </si>
  <si>
    <t>11.992581</t>
  </si>
  <si>
    <t>107.670472</t>
  </si>
  <si>
    <t>Trụ sở Công an xã Kiến Đức là trụ sở CAH Đắk R'Lấp (cũ) - TTCMKV Đắk R'Lấp-Công an tỉnh Lâm Đồng - Trụ sở 2</t>
  </si>
  <si>
    <t>FO DT#MBF#DGDL37-DGGN03</t>
  </si>
  <si>
    <t>3155.90</t>
  </si>
  <si>
    <t>2499.72</t>
  </si>
  <si>
    <t>12.003711</t>
  </si>
  <si>
    <t>107.675248</t>
  </si>
  <si>
    <t>Công an phường Đông Gia Nghĩa-DGGN17</t>
  </si>
  <si>
    <t>11.9366</t>
  </si>
  <si>
    <t>107.74814</t>
  </si>
  <si>
    <t>FO DT#MBF#DGGN06-DGGN17</t>
  </si>
  <si>
    <t>1177.03</t>
  </si>
  <si>
    <t>588.55</t>
  </si>
  <si>
    <t>11.965243</t>
  </si>
  <si>
    <t>107.729074</t>
  </si>
  <si>
    <t>588.48</t>
  </si>
  <si>
    <t>11.940144</t>
  </si>
  <si>
    <t>107.752158</t>
  </si>
  <si>
    <t>DGGN01-Công an phường Nam Gia Nghĩa</t>
  </si>
  <si>
    <t>12.000556</t>
  </si>
  <si>
    <t>107.676333</t>
  </si>
  <si>
    <t>FO DT#MBF#DGGN01-DGGN08</t>
  </si>
  <si>
    <t>448.57</t>
  </si>
  <si>
    <t>100.98</t>
  </si>
  <si>
    <t>Công an phường Nam Gia Nghĩa-DGGN04</t>
  </si>
  <si>
    <t>12.01548</t>
  </si>
  <si>
    <t>107.68506</t>
  </si>
  <si>
    <t>FO DT#MBF#DGGN08-DGGN04</t>
  </si>
  <si>
    <t>469.85</t>
  </si>
  <si>
    <t>361.91</t>
  </si>
  <si>
    <t>12.001927</t>
  </si>
  <si>
    <t>107.673315</t>
  </si>
  <si>
    <t>107.94</t>
  </si>
  <si>
    <t>12.016175</t>
  </si>
  <si>
    <t>107.684367</t>
  </si>
  <si>
    <t>Công an phường Bắc Gia Nghĩa-DGGN02</t>
  </si>
  <si>
    <t>11.99812</t>
  </si>
  <si>
    <t>107.70333</t>
  </si>
  <si>
    <t>FO DT#MBF#DGGN15-DGGN02</t>
  </si>
  <si>
    <t>720.29</t>
  </si>
  <si>
    <t>647.55</t>
  </si>
  <si>
    <t>12.003776</t>
  </si>
  <si>
    <t>107.691926</t>
  </si>
  <si>
    <t>72.74</t>
  </si>
  <si>
    <t>11.998570</t>
  </si>
  <si>
    <t>107.703815</t>
  </si>
  <si>
    <t>DG_DWDM_DKGGNA-Công an tỉnh Lâm Đồng - Trụ sở 2</t>
  </si>
  <si>
    <t>FO DT#MBF#DG_DWDM_DKGGNA-DGGN03</t>
  </si>
  <si>
    <t>DGGN22-Công an phường Đông Gia Nghĩa</t>
  </si>
  <si>
    <t>11.95141</t>
  </si>
  <si>
    <t>107.70277</t>
  </si>
  <si>
    <t>FO DT#MBF#DGGN22-DGGN06</t>
  </si>
  <si>
    <t>1680.11</t>
  </si>
  <si>
    <t>1675.90</t>
  </si>
  <si>
    <t>11.965643</t>
  </si>
  <si>
    <t>107.707839</t>
  </si>
  <si>
    <t>DGGN20-Công an tỉnh Lâm Đồng - Trụ sở 2</t>
  </si>
  <si>
    <t>11.98377</t>
  </si>
  <si>
    <t>107.69812</t>
  </si>
  <si>
    <t>FO DT#MBF#DGGN20-DGGN03</t>
  </si>
  <si>
    <t>392.76</t>
  </si>
  <si>
    <t>391.41</t>
  </si>
  <si>
    <t>11.985188</t>
  </si>
  <si>
    <t>107.701414</t>
  </si>
  <si>
    <t>DGGN04-Công an phường Bắc Gia Nghĩa</t>
  </si>
  <si>
    <t>FO DT#MBF#DGGN04-DGGN15</t>
  </si>
  <si>
    <t>Công an tỉnh Lâm Đồng - TT2 - Công an phường Bắc Gia Nghĩa</t>
  </si>
  <si>
    <t>301.29</t>
  </si>
  <si>
    <t>244.46</t>
  </si>
  <si>
    <t>12.015499</t>
  </si>
  <si>
    <t>107.687308</t>
  </si>
  <si>
    <t>56.83</t>
  </si>
  <si>
    <t>12.009066</t>
  </si>
  <si>
    <t>107.694038</t>
  </si>
  <si>
    <t>full_h04/Đắk Nông/Đăk Nông - Mục IV - Ring 9.kmz/Đăk Nông - Mục IV - Ring 9/Công an tỉnh Lâm Đồng - TT2 - Công an phường Bắc Gia Nghĩa/trung thế</t>
  </si>
  <si>
    <t>DGGN25-Công an tỉnh Lâm Đồng - Trụ sở 2</t>
  </si>
  <si>
    <t>11.99761</t>
  </si>
  <si>
    <t>107.69206</t>
  </si>
  <si>
    <t>FO DT#MBF#DGGN25-DGGN03</t>
  </si>
  <si>
    <t>481.47</t>
  </si>
  <si>
    <t>480.12</t>
  </si>
  <si>
    <t>12.001100</t>
  </si>
  <si>
    <t>107.694659</t>
  </si>
  <si>
    <t>DGDM24-Công an xã Đức Lập (Trụ sở 2 CAH Đắk Mil cũ)</t>
  </si>
  <si>
    <t>FO DT#MBF#DGDM24-DGDM29</t>
  </si>
  <si>
    <t>Cơ sở cai nghiện Ma Túy số 4 tỉnh Lâm Đồng-DGTD18</t>
  </si>
  <si>
    <t>12.07051</t>
  </si>
  <si>
    <t>107.47558</t>
  </si>
  <si>
    <t>FO DT#MBF#DGTD05-DGTD18</t>
  </si>
  <si>
    <t>Đường Cơ sở cai nghiện số 4 - Quảng Tân</t>
  </si>
  <si>
    <t>219.67</t>
  </si>
  <si>
    <t>53.32</t>
  </si>
  <si>
    <t>12.095286</t>
  </si>
  <si>
    <t>107.480866</t>
  </si>
  <si>
    <t>166.35</t>
  </si>
  <si>
    <t>12.069982</t>
  </si>
  <si>
    <t>107.474149</t>
  </si>
  <si>
    <t>full_h04/Đắk Nông/Ring 7 - Final.kmz/Ring 7/Đường Cơ sở cai nghiện số 4 - Quảng Tân/Trung thế</t>
  </si>
  <si>
    <t>Đội CSGT Đường bộ số 4 - II (trụ sở công an thị trấn đức an)-DGDS49</t>
  </si>
  <si>
    <t>12.25274</t>
  </si>
  <si>
    <t>107.61461</t>
  </si>
  <si>
    <t>FO DT#MBF#DGDS02-DGDS49</t>
  </si>
  <si>
    <t>248.83</t>
  </si>
  <si>
    <t>147.20</t>
  </si>
  <si>
    <t>12.251628</t>
  </si>
  <si>
    <t>107.613875</t>
  </si>
  <si>
    <t>DGDL01-Trụ sở Công an xã Kiến Đức là trụ sở CAH Đắk R'Lấp (cũ) - TTCMKV Đắk R'Lấp</t>
  </si>
  <si>
    <t>11.99667</t>
  </si>
  <si>
    <t>107.51188</t>
  </si>
  <si>
    <t>FO DT#MBF#DGDL01-DGDL37</t>
  </si>
  <si>
    <t>120.28</t>
  </si>
  <si>
    <t>77.29</t>
  </si>
  <si>
    <t>11.996240</t>
  </si>
  <si>
    <t>107.512438</t>
  </si>
  <si>
    <t>42.99</t>
  </si>
  <si>
    <t>12.006998</t>
  </si>
  <si>
    <t>107.512562</t>
  </si>
  <si>
    <t>full_h04/Đắk Nông/Đăk Nông - Ring 3.kmz/Đăk Nông - Ring 3/Công an xã Kiến Đức (Trụ sở CAH Đắk R'Lấp cũ) - Công an tỉnh Lâm Đồng - TT2/hạ thế</t>
  </si>
  <si>
    <t>DGGN27-Phòng PK02 - Tổ địa bàn số 2</t>
  </si>
  <si>
    <t>11.99786</t>
  </si>
  <si>
    <t>107.64402</t>
  </si>
  <si>
    <t>FO DT#MBF#DGGN27-DGGN07</t>
  </si>
  <si>
    <t>2109.31</t>
  </si>
  <si>
    <t>2104.63</t>
  </si>
  <si>
    <t>21DG017-Công an phường Đông Gia Nghĩa</t>
  </si>
  <si>
    <t>11.97792</t>
  </si>
  <si>
    <t>107.75672</t>
  </si>
  <si>
    <t>FO DT#MBF#21DG017-DGGN06</t>
  </si>
  <si>
    <t>2885.78</t>
  </si>
  <si>
    <t>2879.64</t>
  </si>
  <si>
    <t>11.964401</t>
  </si>
  <si>
    <t>107.734140</t>
  </si>
  <si>
    <t>21DG019-Đội CSGT Đường bộ số 4 - II (trụ sở công an thị trấn đức an)</t>
  </si>
  <si>
    <t>12.23711</t>
  </si>
  <si>
    <t>107.627</t>
  </si>
  <si>
    <t>FO DT#MBF#21DG019-DGDS02</t>
  </si>
  <si>
    <t>353.36</t>
  </si>
  <si>
    <t>251.73</t>
  </si>
  <si>
    <t>12.234887</t>
  </si>
  <si>
    <t>107.627437</t>
  </si>
  <si>
    <t>22DG011-Công an xã Đắk Sắk</t>
  </si>
  <si>
    <t>12.43101</t>
  </si>
  <si>
    <t>107.6594</t>
  </si>
  <si>
    <t>FO DT#MBF#22DG011-DGDM22</t>
  </si>
  <si>
    <t>534.69</t>
  </si>
  <si>
    <t>141.10</t>
  </si>
  <si>
    <t>12.432173</t>
  </si>
  <si>
    <t>107.659920</t>
  </si>
  <si>
    <t>DGTD01-Cơ sở cai nghiện Ma Túy số 4 tỉnh Lâm Đồng</t>
  </si>
  <si>
    <t>12.1318</t>
  </si>
  <si>
    <t>107.47094</t>
  </si>
  <si>
    <t>FO DT#MBF#DGTD01-DGTD05</t>
  </si>
  <si>
    <t>101.25</t>
  </si>
  <si>
    <t>12.131737</t>
  </si>
  <si>
    <t>107.471434</t>
  </si>
  <si>
    <t>DGTD18-Công an xã Quảng Tân</t>
  </si>
  <si>
    <t>FO DT#MBF#DGTD18-DGTD11</t>
  </si>
  <si>
    <t>311.76</t>
  </si>
  <si>
    <t>162.95</t>
  </si>
  <si>
    <t>12.069726</t>
  </si>
  <si>
    <t>107.474314</t>
  </si>
  <si>
    <t>DGTD12-Công an xã Quảng Tân</t>
  </si>
  <si>
    <t>12.02781</t>
  </si>
  <si>
    <t>107.47677</t>
  </si>
  <si>
    <t>FO DT#MBF#DGTD12-DGTD11</t>
  </si>
  <si>
    <t>1796.42</t>
  </si>
  <si>
    <t>1777.72</t>
  </si>
  <si>
    <t>12.024914</t>
  </si>
  <si>
    <t>107.492846</t>
  </si>
  <si>
    <t>18.70</t>
  </si>
  <si>
    <t>12.044472</t>
  </si>
  <si>
    <t>107.490295</t>
  </si>
  <si>
    <t>DGDG12-Công an xã Quảng Khê</t>
  </si>
  <si>
    <t>11.8967</t>
  </si>
  <si>
    <t>107.79486</t>
  </si>
  <si>
    <t>FO DT#MBF#DGDG12-DGDG04</t>
  </si>
  <si>
    <t>Công an xã Quảng Khê - Công an xã Tà Đùng</t>
  </si>
  <si>
    <t>1397.07</t>
  </si>
  <si>
    <t>1304.84</t>
  </si>
  <si>
    <t>11.907869</t>
  </si>
  <si>
    <t>107.798538</t>
  </si>
  <si>
    <t>92.23</t>
  </si>
  <si>
    <t>11.912007</t>
  </si>
  <si>
    <t>107.792113</t>
  </si>
  <si>
    <t>full_h04/Đắk Nông/Đăk Nông - Mục IV - Ring 10.kmz/Đăk Nông - Mục IV - Ring 10/Công an xã Quảng Khê - Công an xã Tà Đùng/trung thế</t>
  </si>
  <si>
    <t>DGDG11-Công an xã Quảng Khê</t>
  </si>
  <si>
    <t>11.90708</t>
  </si>
  <si>
    <t>107.81754</t>
  </si>
  <si>
    <t>FO DT#MBF#DGDG11-DGDG04</t>
  </si>
  <si>
    <t>1151.92</t>
  </si>
  <si>
    <t>1059.69</t>
  </si>
  <si>
    <t>11.900826</t>
  </si>
  <si>
    <t>107.824889</t>
  </si>
  <si>
    <t>Ngọc Hồi-Sa Thầy</t>
  </si>
  <si>
    <t>14.72453</t>
  </si>
  <si>
    <t>107.6878</t>
  </si>
  <si>
    <t>14.39803</t>
  </si>
  <si>
    <t>107.7961</t>
  </si>
  <si>
    <t>FO thuê#VNPT#KTNH01-KTST_newsite1</t>
  </si>
  <si>
    <t>2358.26</t>
  </si>
  <si>
    <t>2321.40</t>
  </si>
  <si>
    <t>14.703706</t>
  </si>
  <si>
    <t>107.686259</t>
  </si>
  <si>
    <t>36.87</t>
  </si>
  <si>
    <t>14.398239</t>
  </si>
  <si>
    <t>107.796366</t>
  </si>
  <si>
    <t>full_h04/KonTum/Mạng cấp III Kon Tum/Ring 3/Ngọc Hồi-Sa Thầy/Trung Thế</t>
  </si>
  <si>
    <t>Kon Đào-KTDT17</t>
  </si>
  <si>
    <t>14.69842</t>
  </si>
  <si>
    <t>107.8363</t>
  </si>
  <si>
    <t>14.7280737</t>
  </si>
  <si>
    <t>107.7528482</t>
  </si>
  <si>
    <t>FO thuê#VNPT#KTDT04-KTDT17</t>
  </si>
  <si>
    <t>Đăk Mar - Ngọk Tụ</t>
  </si>
  <si>
    <t>4806.48</t>
  </si>
  <si>
    <t>52.76</t>
  </si>
  <si>
    <t>14.698688</t>
  </si>
  <si>
    <t>107.836705</t>
  </si>
  <si>
    <t>4753.72</t>
  </si>
  <si>
    <t>14.716917</t>
  </si>
  <si>
    <t>107.795519</t>
  </si>
  <si>
    <t>full_h04/KonTum/Mạng Cấp IV Kon Tum/Kon Tum - Cấp 4 - Ring 5.kmz/Đăk Mar - Ngọk Tụ/Trung thế | EVN</t>
  </si>
  <si>
    <t>Ngọc Hồi-KTNH12</t>
  </si>
  <si>
    <t>14.69709</t>
  </si>
  <si>
    <t>107.66606</t>
  </si>
  <si>
    <t>FO thuê#VNPT#KTNH01-KTNH12</t>
  </si>
  <si>
    <t>TTCMKV Ngọc Hồi - Sa Loong</t>
  </si>
  <si>
    <t>2202.55</t>
  </si>
  <si>
    <t>14.724419</t>
  </si>
  <si>
    <t>107.687892</t>
  </si>
  <si>
    <t>2186.74</t>
  </si>
  <si>
    <t>14.694341</t>
  </si>
  <si>
    <t>107.686191</t>
  </si>
  <si>
    <t>full_h04/KonTum/Mạng Cấp IV Kon Tum/Kon Tum - Cấp 4 - Ring 8.kmz/Kon Tum - Ring 8/TTCMKV Ngọc Hồi - Sa Loong/Trụ trung thế EVN</t>
  </si>
  <si>
    <t>Sa Thầy-KTST14</t>
  </si>
  <si>
    <t>14.40478</t>
  </si>
  <si>
    <t>107.81391</t>
  </si>
  <si>
    <t>FO thuê#VNPT#KTST_newsite1-KTST14</t>
  </si>
  <si>
    <t>TTCMKV Sa Thầy - Sa Bình</t>
  </si>
  <si>
    <t>971.36</t>
  </si>
  <si>
    <t>2.28</t>
  </si>
  <si>
    <t>14.398050</t>
  </si>
  <si>
    <t>107.796096</t>
  </si>
  <si>
    <t>969.08</t>
  </si>
  <si>
    <t>14.396425</t>
  </si>
  <si>
    <t>107.816470</t>
  </si>
  <si>
    <t>full_h04/KonTum/Mạng Cấp IV Kon Tum/Kon Tum - Cấp 4 - Ring 10.kmz/Kon Tum - Ring 10/TTCMKV Sa Thầy - Sa Bình/Trung thê EVN</t>
  </si>
  <si>
    <t>TT2 Kon Tum-KTDH09</t>
  </si>
  <si>
    <t>14.353</t>
  </si>
  <si>
    <t>108.0079</t>
  </si>
  <si>
    <t>14.518508</t>
  </si>
  <si>
    <t>107.946291</t>
  </si>
  <si>
    <t>FO thuê#VNPT#KTKT19-KTDH09</t>
  </si>
  <si>
    <t>TT2 Kon Tum - PC11</t>
  </si>
  <si>
    <t>2086.91</t>
  </si>
  <si>
    <t>77.01</t>
  </si>
  <si>
    <t>14.352309</t>
  </si>
  <si>
    <t>108.007857</t>
  </si>
  <si>
    <t>2009.89</t>
  </si>
  <si>
    <t>14.500681</t>
  </si>
  <si>
    <t>107.943207</t>
  </si>
  <si>
    <t>full_h04/KonTum/Mạng cấp III Kon Tum/Ring 6/TT2 Kon Tum - PC11.kmz/TT2 Kon Tum - PC11/TT2 Kon Tum - PC11_Trung thế</t>
  </si>
  <si>
    <t>Đăk Ui-Đăk Mar</t>
  </si>
  <si>
    <t>14.53098</t>
  </si>
  <si>
    <t>107.9402</t>
  </si>
  <si>
    <t>14.54562</t>
  </si>
  <si>
    <t>107.92</t>
  </si>
  <si>
    <t>FO thuê#VNPT#KTDH15-KTDH06</t>
  </si>
  <si>
    <t>Đăk Ui - Đăk Mar</t>
  </si>
  <si>
    <t>141.22</t>
  </si>
  <si>
    <t>50.16</t>
  </si>
  <si>
    <t>14.530880</t>
  </si>
  <si>
    <t>107.940654</t>
  </si>
  <si>
    <t>91.06</t>
  </si>
  <si>
    <t>14.545250</t>
  </si>
  <si>
    <t>107.920755</t>
  </si>
  <si>
    <t>full_h04/KonTum/Mạng Cấp IV Kon Tum/Kon Tum - Cấp 4 - Ring 5.kmz/Đăk Ui - Đăk Mar/Trung thế| EVN</t>
  </si>
  <si>
    <t>Đăk Mar-KTDH22</t>
  </si>
  <si>
    <t>14.5199</t>
  </si>
  <si>
    <t>107.91507</t>
  </si>
  <si>
    <t>FO thuê#VNPT#KTDH06-KTDH22</t>
  </si>
  <si>
    <t>499.47</t>
  </si>
  <si>
    <t>79.93</t>
  </si>
  <si>
    <t>14.545744</t>
  </si>
  <si>
    <t>107.920731</t>
  </si>
  <si>
    <t>419.54</t>
  </si>
  <si>
    <t>14.521151</t>
  </si>
  <si>
    <t>107.918747</t>
  </si>
  <si>
    <t>Đăk Hà-KTDH04</t>
  </si>
  <si>
    <t>14.49126</t>
  </si>
  <si>
    <t>107.9251</t>
  </si>
  <si>
    <t>14.46181</t>
  </si>
  <si>
    <t>107.91134</t>
  </si>
  <si>
    <t>FO thuê#VNPT#KTDH01-KTDH04</t>
  </si>
  <si>
    <t>Đăk Pxi - CAT Kon Tum</t>
  </si>
  <si>
    <t>2835.25</t>
  </si>
  <si>
    <t>80.02</t>
  </si>
  <si>
    <t>14.491634</t>
  </si>
  <si>
    <t>107.925735</t>
  </si>
  <si>
    <t>2755.23</t>
  </si>
  <si>
    <t>14.475080</t>
  </si>
  <si>
    <t>107.932951</t>
  </si>
  <si>
    <t>full_h04/KonTum/Mạng Cấp IV Kon Tum/Kon Tum - Cấp 4 - Ring 6.kmz/Đăk Pxi - CAT Kon Tum/Trung thế 3 | EVN</t>
  </si>
  <si>
    <t>Đăk Hà-PC11</t>
  </si>
  <si>
    <t>15.55858</t>
  </si>
  <si>
    <t>108.45</t>
  </si>
  <si>
    <t>FO thuê#VNPT#KTDH01-KTDH18</t>
  </si>
  <si>
    <t>Bắc Trà My - Phú Ninh</t>
  </si>
  <si>
    <t>103344.28</t>
  </si>
  <si>
    <t>99366.74</t>
  </si>
  <si>
    <t>15.340258</t>
  </si>
  <si>
    <t>108.213703</t>
  </si>
  <si>
    <t>3977.54</t>
  </si>
  <si>
    <t>15.550722</t>
  </si>
  <si>
    <t>108.413776</t>
  </si>
  <si>
    <t>full_h04/TP Đà Nẵng/TP Đà Nẵng/Mạng cấp 3_ DN và Quảng Nam/Cấp 3 - Ring 4 - Quảng Nam cũ/Bắc Trà My - Phú Ninh/Đoạn trung thế 2</t>
  </si>
  <si>
    <t>PC11-KTDH08</t>
  </si>
  <si>
    <t>14.50654</t>
  </si>
  <si>
    <t>108.00968</t>
  </si>
  <si>
    <t>FO thuê#VNPT#KTDH18-KTDH08</t>
  </si>
  <si>
    <t>99239.15</t>
  </si>
  <si>
    <t>95261.61</t>
  </si>
  <si>
    <t>Kon Đào-KTDT19</t>
  </si>
  <si>
    <t>14.69485</t>
  </si>
  <si>
    <t>107.83867</t>
  </si>
  <si>
    <t>FO thuê#VNPT#KTDT04-KTDT19</t>
  </si>
  <si>
    <t>TTCMKV Đăk Tô - Kon Đào</t>
  </si>
  <si>
    <t>0.99</t>
  </si>
  <si>
    <t>14.698413</t>
  </si>
  <si>
    <t>107.836294</t>
  </si>
  <si>
    <t>92.90</t>
  </si>
  <si>
    <t>14.695057</t>
  </si>
  <si>
    <t>107.837833</t>
  </si>
  <si>
    <t>full_h04/KonTum/Mạng Cấp IV Kon Tum/Kon Tum - Cấp 4 - Ring 7.kmz/Kon Tum - Ring 7/TTCMKV Đăk Tô - Kon Đào/Trung thế 1</t>
  </si>
  <si>
    <t>Ngọc Hồi-KTNH10</t>
  </si>
  <si>
    <t>14.6869118</t>
  </si>
  <si>
    <t>107.6878178</t>
  </si>
  <si>
    <t>FO thuê#VNPT#KTNH01-KTNH10</t>
  </si>
  <si>
    <t>55.91</t>
  </si>
  <si>
    <t>40.10</t>
  </si>
  <si>
    <t>14.687182</t>
  </si>
  <si>
    <t>107.687571</t>
  </si>
  <si>
    <t>KTDH _newsite1-Ngọc Hồi</t>
  </si>
  <si>
    <t>14.49433</t>
  </si>
  <si>
    <t>107.92508</t>
  </si>
  <si>
    <t>FO thuê#VNPT#KTDH _newsite1-KTNH01</t>
  </si>
  <si>
    <t>Đak Hà- Ngọc Hồi</t>
  </si>
  <si>
    <t>191.92</t>
  </si>
  <si>
    <t>110.28</t>
  </si>
  <si>
    <t>14.493388</t>
  </si>
  <si>
    <t>107.924759</t>
  </si>
  <si>
    <t>81.64</t>
  </si>
  <si>
    <t>14.724747</t>
  </si>
  <si>
    <t>107.688525</t>
  </si>
  <si>
    <t>full_h04/KonTum/Mạng cấp III Kon Tum/Ring 3/Đak Hà- Ngọc Hồi/Trung Thế</t>
  </si>
  <si>
    <t>KTNH13-Ngọc Hồi</t>
  </si>
  <si>
    <t>14.7059</t>
  </si>
  <si>
    <t>107.69823</t>
  </si>
  <si>
    <t>FO thuê#VNPT#KTNH13-KTNH01</t>
  </si>
  <si>
    <t>Pô Kô - TTCMKV Ngọc Hồi</t>
  </si>
  <si>
    <t>161.46</t>
  </si>
  <si>
    <t>145.96</t>
  </si>
  <si>
    <t>14.704893</t>
  </si>
  <si>
    <t>107.697359</t>
  </si>
  <si>
    <t>15.50</t>
  </si>
  <si>
    <t>14.724414</t>
  </si>
  <si>
    <t>107.687880</t>
  </si>
  <si>
    <t>full_h04/KonTum/Mạng Cấp IV Kon Tum/Kon Tum - Cấp 4 - Ring 10.kmz/Kon Tum - Ring 10/Pô Kô - TTCMKV Ngọc Hồi/Trung thế EVN</t>
  </si>
  <si>
    <t>KTDH01 (KTDH_newsite1)-Kon Đào</t>
  </si>
  <si>
    <t>FO thuê#VNPT#KTDH01 (KTDH_newsite1)-KTDT04</t>
  </si>
  <si>
    <t>4425.24</t>
  </si>
  <si>
    <t>109.89</t>
  </si>
  <si>
    <t>14.493391</t>
  </si>
  <si>
    <t>107.924763</t>
  </si>
  <si>
    <t>4315.35</t>
  </si>
  <si>
    <t>14.659758</t>
  </si>
  <si>
    <t>107.839785</t>
  </si>
  <si>
    <t>KTNH17-Ngọc Hồi</t>
  </si>
  <si>
    <t>14.7320628</t>
  </si>
  <si>
    <t>107.6928822</t>
  </si>
  <si>
    <t>FO thuê#VNPT#KTNH17-KTNH01</t>
  </si>
  <si>
    <t>Bờ Y - Đăk Môn</t>
  </si>
  <si>
    <t>131.09</t>
  </si>
  <si>
    <t>114.38</t>
  </si>
  <si>
    <t>14.732032</t>
  </si>
  <si>
    <t>107.691819</t>
  </si>
  <si>
    <t>16.71</t>
  </si>
  <si>
    <t>14.724416</t>
  </si>
  <si>
    <t>107.687901</t>
  </si>
  <si>
    <t>full_h04/KonTum/Mạng Cấp IV Kon Tum/Kon Tum - Cấp 4 - Ring 13.kmz/Kon Tum - Ring 13/Bờ Y - Đăk Môn/EVN 1 trung thế</t>
  </si>
  <si>
    <t>KTNH08-Ngọc Hồi</t>
  </si>
  <si>
    <t>14.6871</t>
  </si>
  <si>
    <t>107.7168</t>
  </si>
  <si>
    <t>FO thuê#VNPT#KTNH08-KTNH01</t>
  </si>
  <si>
    <t>135.58</t>
  </si>
  <si>
    <t>120.08</t>
  </si>
  <si>
    <t>14.688022</t>
  </si>
  <si>
    <t>107.717382</t>
  </si>
  <si>
    <t>KTKT75-Đăk BLa</t>
  </si>
  <si>
    <t>14.30219</t>
  </si>
  <si>
    <t>107.99275</t>
  </si>
  <si>
    <t>14.30277</t>
  </si>
  <si>
    <t>107.9937</t>
  </si>
  <si>
    <t>FO thuê#VNPT#KTKT75-KTKT05</t>
  </si>
  <si>
    <t>CAT Kon TUm - Đăk Bla</t>
  </si>
  <si>
    <t>87.67</t>
  </si>
  <si>
    <t>55.13</t>
  </si>
  <si>
    <t>14.302493</t>
  </si>
  <si>
    <t>107.993155</t>
  </si>
  <si>
    <t>32.54</t>
  </si>
  <si>
    <t>14.302560</t>
  </si>
  <si>
    <t>107.993490</t>
  </si>
  <si>
    <t>full_h04/KonTum/Mạng Cấp IV Kon Tum/Kon Tum - Cấp 4 - Ring 1.kmz/Kon Tum - Ring 1/CAT Kon TUm - Đăk Bla/Thiết kế CAT Kon Tum - Đăk Bla | EVN</t>
  </si>
  <si>
    <t>KTKT81-Đăk BLa</t>
  </si>
  <si>
    <t>14.3195</t>
  </si>
  <si>
    <t>107.98656</t>
  </si>
  <si>
    <t>FO thuê#VNPT#KTKT81-KTKT05</t>
  </si>
  <si>
    <t>178.46</t>
  </si>
  <si>
    <t>145.92</t>
  </si>
  <si>
    <t>14.319242</t>
  </si>
  <si>
    <t>107.987888</t>
  </si>
  <si>
    <t>KTKT90-PC07</t>
  </si>
  <si>
    <t>14.36893</t>
  </si>
  <si>
    <t>107.99563</t>
  </si>
  <si>
    <t>FO thuê#VNPT#KTKT90-KTKT10</t>
  </si>
  <si>
    <t>252756.48</t>
  </si>
  <si>
    <t>172.28</t>
  </si>
  <si>
    <t>14.367519</t>
  </si>
  <si>
    <t>107.994969</t>
  </si>
  <si>
    <t>KTKT91-PC08</t>
  </si>
  <si>
    <t>14.36803</t>
  </si>
  <si>
    <t>108.00502</t>
  </si>
  <si>
    <t>16.00757</t>
  </si>
  <si>
    <t>108.2176</t>
  </si>
  <si>
    <t>FO thuê#VNPT#KTKT91-KTKT30</t>
  </si>
  <si>
    <t>156046.13</t>
  </si>
  <si>
    <t>796.64</t>
  </si>
  <si>
    <t>14.363782</t>
  </si>
  <si>
    <t>107.999065</t>
  </si>
  <si>
    <t>155249.48</t>
  </si>
  <si>
    <t>KTKT56-PK02/PX03</t>
  </si>
  <si>
    <t>14.38025</t>
  </si>
  <si>
    <t>108.0317</t>
  </si>
  <si>
    <t>14.37695</t>
  </si>
  <si>
    <t>108.0199</t>
  </si>
  <si>
    <t>FO thuê#VNPT#KTKT56-KTKT50</t>
  </si>
  <si>
    <t>Ia chim - Đăk Rơ Wa</t>
  </si>
  <si>
    <t>331.13</t>
  </si>
  <si>
    <t>290.43</t>
  </si>
  <si>
    <t>14.381186</t>
  </si>
  <si>
    <t>108.029183</t>
  </si>
  <si>
    <t>40.70</t>
  </si>
  <si>
    <t>14.377232</t>
  </si>
  <si>
    <t>108.020140</t>
  </si>
  <si>
    <t>full_h04/KonTum/Mạng Cấp IV Kon Tum/Kon Tum - Cấp 4 - Ring 1.kmz/Kon Tum - Ring 1/Ia chim - Đăk Rơ Wa/Trung thế EVN</t>
  </si>
  <si>
    <t>KTDH09-Đăk Ui</t>
  </si>
  <si>
    <t>FO thuê#VNPT#KTDH09-KTDH15</t>
  </si>
  <si>
    <t>Đăk Hà - Đăk Ui</t>
  </si>
  <si>
    <t>1111.72</t>
  </si>
  <si>
    <t>1055.28</t>
  </si>
  <si>
    <t>14.519339</t>
  </si>
  <si>
    <t>107.936525</t>
  </si>
  <si>
    <t>56.44</t>
  </si>
  <si>
    <t>14.530480</t>
  </si>
  <si>
    <t>107.940293</t>
  </si>
  <si>
    <t>full_h04/KonTum/Mạng Cấp IV Kon Tum/Kon Tum - Cấp 4 - Ring 5.kmz/Đăk Hà - Đăk Ui/Trung thế 2 |EVN</t>
  </si>
  <si>
    <t>KTDH22-Đăk Hà</t>
  </si>
  <si>
    <t>FO thuê#VNPT#KTDH22-KTDH01</t>
  </si>
  <si>
    <t>500.13</t>
  </si>
  <si>
    <t>80.59</t>
  </si>
  <si>
    <t>14.491771</t>
  </si>
  <si>
    <t>107.925631</t>
  </si>
  <si>
    <t>KTDH08-TT2 Kon Tum</t>
  </si>
  <si>
    <t>FO thuê#VNPT#KTDH08-KTKT19</t>
  </si>
  <si>
    <t>5661.56</t>
  </si>
  <si>
    <t>5584.54</t>
  </si>
  <si>
    <t>14.494221</t>
  </si>
  <si>
    <t>107.959389</t>
  </si>
  <si>
    <t>KTKT18-PC08</t>
  </si>
  <si>
    <t>14.36003</t>
  </si>
  <si>
    <t>108.00946</t>
  </si>
  <si>
    <t>FO thuê#VNPT#KTKT18-KTKT30</t>
  </si>
  <si>
    <t>156124.86</t>
  </si>
  <si>
    <t>875.38</t>
  </si>
  <si>
    <t>KTKT02-PC07</t>
  </si>
  <si>
    <t>14.37239</t>
  </si>
  <si>
    <t>108.00749</t>
  </si>
  <si>
    <t>FO thuê#VNPT#KTKT02-KTKT10</t>
  </si>
  <si>
    <t>253903.22</t>
  </si>
  <si>
    <t>1319.03</t>
  </si>
  <si>
    <t>KTKT49-PC07</t>
  </si>
  <si>
    <t>14.36116</t>
  </si>
  <si>
    <t>107.9987485</t>
  </si>
  <si>
    <t>FO thuê#VNPT#KTKT49-KTKT10</t>
  </si>
  <si>
    <t>252723.12</t>
  </si>
  <si>
    <t>138.93</t>
  </si>
  <si>
    <t>14.360534</t>
  </si>
  <si>
    <t>107.999864</t>
  </si>
  <si>
    <t>KTKT09-Ngọk Bay</t>
  </si>
  <si>
    <t>14.35694</t>
  </si>
  <si>
    <t>107.99499</t>
  </si>
  <si>
    <t>14.35821</t>
  </si>
  <si>
    <t>107.9793</t>
  </si>
  <si>
    <t>FO thuê#VNPT#KTKT09-KTKT39</t>
  </si>
  <si>
    <t>CAT Kon Tum - Ngọk Bay</t>
  </si>
  <si>
    <t>58.43</t>
  </si>
  <si>
    <t>52.82</t>
  </si>
  <si>
    <t>14.356554</t>
  </si>
  <si>
    <t>107.994704</t>
  </si>
  <si>
    <t>5.61</t>
  </si>
  <si>
    <t>14.358169</t>
  </si>
  <si>
    <t>107.979270</t>
  </si>
  <si>
    <t>full_h04/KonTum/Mạng Cấp IV Kon Tum/Kon Tum - Cấp 4 - Ring 9.kmz/Kon Tum - Ring 9/CAT Kon Tum - Ngọk Bay/Trung thế EVN</t>
  </si>
  <si>
    <t>KTKT14-Ngọk Bay</t>
  </si>
  <si>
    <t>14.35791</t>
  </si>
  <si>
    <t>107.97344</t>
  </si>
  <si>
    <t>FO thuê#VNPT#KTKT14-KTKT39</t>
  </si>
  <si>
    <t>Ngọk Bay - Ya Ly</t>
  </si>
  <si>
    <t>303.87</t>
  </si>
  <si>
    <t>303.15</t>
  </si>
  <si>
    <t>14.360420</t>
  </si>
  <si>
    <t>107.974538</t>
  </si>
  <si>
    <t>0.72</t>
  </si>
  <si>
    <t>14.358211</t>
  </si>
  <si>
    <t>107.979293</t>
  </si>
  <si>
    <t>full_h04/KonTum/Mạng Cấp IV Kon Tum/Kon Tum - Cấp 4 - Ring 9.kmz/Kon Tum - Ring 9/Ngọk Bay - Ya Ly/Trung the EVN</t>
  </si>
  <si>
    <t>KTKT31-Khối CS (PC01, PC02, PC03, PC04)</t>
  </si>
  <si>
    <t>14.36494</t>
  </si>
  <si>
    <t>107.99072</t>
  </si>
  <si>
    <t>14.38014</t>
  </si>
  <si>
    <t>107.9868</t>
  </si>
  <si>
    <t>FO thuê#VNPT#KTKT31-KTKT33</t>
  </si>
  <si>
    <t>Sa Thầy-TT2 Kon Tum</t>
  </si>
  <si>
    <t>462.93</t>
  </si>
  <si>
    <t>37.48</t>
  </si>
  <si>
    <t>14.364989</t>
  </si>
  <si>
    <t>107.990376</t>
  </si>
  <si>
    <t>425.45</t>
  </si>
  <si>
    <t>14.377385</t>
  </si>
  <si>
    <t>107.984059</t>
  </si>
  <si>
    <t>full_h04/KonTum/Mạng cấp III Kon Tum/Ring 3/Sa Thầy-TT2 Kon Tum/Trung Thế</t>
  </si>
  <si>
    <t>KTKT26-PH10</t>
  </si>
  <si>
    <t>14.34501</t>
  </si>
  <si>
    <t>108.01521</t>
  </si>
  <si>
    <t>14.35304</t>
  </si>
  <si>
    <t>108.0101</t>
  </si>
  <si>
    <t>FO thuê#VNPT#KTKT26-KTKT57</t>
  </si>
  <si>
    <t>397.23</t>
  </si>
  <si>
    <t>142.83</t>
  </si>
  <si>
    <t>14.346040</t>
  </si>
  <si>
    <t>108.014417</t>
  </si>
  <si>
    <t>254.40</t>
  </si>
  <si>
    <t>14.352304</t>
  </si>
  <si>
    <t>108.007864</t>
  </si>
  <si>
    <t>full_h04/KonTum/Mạng Cấp IV Kon Tum/Kon Tum - Cấp 4 - Ring 1.kmz/Kon Tum - Ring 1/CAT Kon TUm - Đăk Bla/Thiết kế CAT Kon Tum - Đăk Bla | EVN 2</t>
  </si>
  <si>
    <t>KTKT72-PK02/PX03</t>
  </si>
  <si>
    <t>14.3777013</t>
  </si>
  <si>
    <t>108.0211741</t>
  </si>
  <si>
    <t>FO thuê#VNPT#KTKT72-KTKT50</t>
  </si>
  <si>
    <t>64.91</t>
  </si>
  <si>
    <t>24.22</t>
  </si>
  <si>
    <t>14.377484</t>
  </si>
  <si>
    <t>108.021191</t>
  </si>
  <si>
    <t>KTKT27-Ia Chim</t>
  </si>
  <si>
    <t>14.27736</t>
  </si>
  <si>
    <t>107.92882</t>
  </si>
  <si>
    <t>14.314</t>
  </si>
  <si>
    <t>107.925</t>
  </si>
  <si>
    <t>FO thuê#VNPT#KTKT27-KTKT11</t>
  </si>
  <si>
    <t>Đăk Bla - Ia Chim</t>
  </si>
  <si>
    <t>684.03</t>
  </si>
  <si>
    <t>61.17</t>
  </si>
  <si>
    <t>14.276998</t>
  </si>
  <si>
    <t>107.929247</t>
  </si>
  <si>
    <t>622.86</t>
  </si>
  <si>
    <t>14.309680</t>
  </si>
  <si>
    <t>107.928680</t>
  </si>
  <si>
    <t>full_h04/KonTum/Mạng Cấp IV Kon Tum/Kon Tum - Cấp 4 - Ring 1.kmz/Kon Tum - Ring 1/Đăk Bla - Ia Chim/Trung thế 4 | EVN</t>
  </si>
  <si>
    <t>KTDT10-Kon Đào</t>
  </si>
  <si>
    <t>14.71612</t>
  </si>
  <si>
    <t>107.79311</t>
  </si>
  <si>
    <t>FO thuê#VNPT#KTDT10-KTDT04</t>
  </si>
  <si>
    <t>326.56</t>
  </si>
  <si>
    <t>273.80</t>
  </si>
  <si>
    <t>KTST20-Sa Thầy</t>
  </si>
  <si>
    <t>14.39325</t>
  </si>
  <si>
    <t>107.8091</t>
  </si>
  <si>
    <t>FO thuê#VNPT#KTST20-KTST_newsite1</t>
  </si>
  <si>
    <t>127.71</t>
  </si>
  <si>
    <t>125.43</t>
  </si>
  <si>
    <t>14.394170</t>
  </si>
  <si>
    <t>107.809774</t>
  </si>
  <si>
    <t>KTST05-Sa Thầy</t>
  </si>
  <si>
    <t>14.38093</t>
  </si>
  <si>
    <t>107.80149</t>
  </si>
  <si>
    <t>FO thuê#VNPT#KTST05-KTST_newsite1</t>
  </si>
  <si>
    <t>Ya Ly - Sa Thầy</t>
  </si>
  <si>
    <t>93.50</t>
  </si>
  <si>
    <t>91.99</t>
  </si>
  <si>
    <t>14.381275</t>
  </si>
  <si>
    <t>107.802266</t>
  </si>
  <si>
    <t>1.51</t>
  </si>
  <si>
    <t>14.398033</t>
  </si>
  <si>
    <t>107.796086</t>
  </si>
  <si>
    <t>full_h04/KonTum/Mạng Cấp IV Kon Tum/Kon Tum - Cấp 4 - Ring 9.kmz/Kon Tum - Ring 9/Ya Ly - Sa Thầy/Trung thế EVN</t>
  </si>
  <si>
    <t>KTST04-Sa Thầy</t>
  </si>
  <si>
    <t>14.40839</t>
  </si>
  <si>
    <t>107.76738</t>
  </si>
  <si>
    <t>FO thuê#VNPT#KTST04-KTST_newsite1</t>
  </si>
  <si>
    <t>2070.45</t>
  </si>
  <si>
    <t>2033.58</t>
  </si>
  <si>
    <t>14.410907</t>
  </si>
  <si>
    <t>107.786083</t>
  </si>
  <si>
    <t>VNPOST Kon Tum-TT2 Kon Tum</t>
  </si>
  <si>
    <t>14.35357</t>
  </si>
  <si>
    <t>108.00216</t>
  </si>
  <si>
    <t>FO DT#MBF#VNPOST Kon Tum-KTKT19</t>
  </si>
  <si>
    <t>178.47</t>
  </si>
  <si>
    <t>102.19</t>
  </si>
  <si>
    <t>14.354221</t>
  </si>
  <si>
    <t>108.002830</t>
  </si>
  <si>
    <t>76.28</t>
  </si>
  <si>
    <t>TT2 Kon Tum-PK02/PX03</t>
  </si>
  <si>
    <t>FO DT#MBF#KTKT19-KTKT50</t>
  </si>
  <si>
    <t>PX05</t>
  </si>
  <si>
    <t>345.25</t>
  </si>
  <si>
    <t>341.75</t>
  </si>
  <si>
    <t>14.349970</t>
  </si>
  <si>
    <t>108.007367</t>
  </si>
  <si>
    <t>3.50</t>
  </si>
  <si>
    <t>14.376951</t>
  </si>
  <si>
    <t>108.019868</t>
  </si>
  <si>
    <t>full_h04/KonTum/Mạng cấp III Kon Tum/Ring 6/PK02PX03 - PA05PC10PX05PX06.kmz/PK02/PX03 - PA05/PC10/PX05/PX06/PK02/PX03 - PA05/PC10/PX05/PX06_Trung thế</t>
  </si>
  <si>
    <t>KTKT51-Khối CS (PC01, PC02, PC03, PC04)</t>
  </si>
  <si>
    <t>14.380341</t>
  </si>
  <si>
    <t>107.97553</t>
  </si>
  <si>
    <t>FO DT#MBF#KTKT51-KTKT33</t>
  </si>
  <si>
    <t>519.50</t>
  </si>
  <si>
    <t>94.05</t>
  </si>
  <si>
    <t>14.381167</t>
  </si>
  <si>
    <t>107.975342</t>
  </si>
  <si>
    <t>VNPOST Kon Tum-PA06</t>
  </si>
  <si>
    <t>16.0661</t>
  </si>
  <si>
    <t>108.2218</t>
  </si>
  <si>
    <t>FO DT#MBF#VNPOST Kon Tum-KTKT44</t>
  </si>
  <si>
    <t>161755.38</t>
  </si>
  <si>
    <t>161653.19</t>
  </si>
  <si>
    <t>PA06-PC07</t>
  </si>
  <si>
    <t>FO DT#MBF#KTKT44-KTKT10</t>
  </si>
  <si>
    <t>Ring 1 Chân Mây_Lăng Cô-Phú Lộc</t>
  </si>
  <si>
    <t>126697.95</t>
  </si>
  <si>
    <t>24952.22</t>
  </si>
  <si>
    <t>16.242724</t>
  </si>
  <si>
    <t>108.077691</t>
  </si>
  <si>
    <t>101745.73</t>
  </si>
  <si>
    <t>16.274787</t>
  </si>
  <si>
    <t>107.860466</t>
  </si>
  <si>
    <t>full_h04/Huế/Mang cap 4/Ring 1/Ring 1 Chân Mây_Lăng Cô-Phú Lộc/Tuyến trung thế 1</t>
  </si>
  <si>
    <t>PC07-PC08</t>
  </si>
  <si>
    <t>FO DT#MBF#KTKT10-KTKT30</t>
  </si>
  <si>
    <t>131863.31</t>
  </si>
  <si>
    <t>30117.58</t>
  </si>
  <si>
    <t>PC08-TT2 Kon Tum</t>
  </si>
  <si>
    <t>FO DT#MBF#KTKT30-KTKT19</t>
  </si>
  <si>
    <t>155325.76</t>
  </si>
  <si>
    <t>KTKT29-Ngọk Bay</t>
  </si>
  <si>
    <t>14.37494</t>
  </si>
  <si>
    <t>107.9586</t>
  </si>
  <si>
    <t>FO DT#MBF#KTKT29-KTKT39</t>
  </si>
  <si>
    <t>1449.39</t>
  </si>
  <si>
    <t>231.40</t>
  </si>
  <si>
    <t>14.377012</t>
  </si>
  <si>
    <t>107.958400</t>
  </si>
  <si>
    <t>1217.98</t>
  </si>
  <si>
    <t>14.359938</t>
  </si>
  <si>
    <t>107.990465</t>
  </si>
  <si>
    <t>VNPOST Kon Tum-PA05/PC10/PX05/PX06</t>
  </si>
  <si>
    <t>14.34967</t>
  </si>
  <si>
    <t>108.0075</t>
  </si>
  <si>
    <t>FO DT#MBF#VNPOST Kon Tum-KTKT48</t>
  </si>
  <si>
    <t>111.73</t>
  </si>
  <si>
    <t>103.97</t>
  </si>
  <si>
    <t>14.354256</t>
  </si>
  <si>
    <t>108.002816</t>
  </si>
  <si>
    <t>7.76</t>
  </si>
  <si>
    <t>14.349694</t>
  </si>
  <si>
    <t>108.007432</t>
  </si>
  <si>
    <t>KTKT60-TT2 Kon Tum</t>
  </si>
  <si>
    <t>14.35019</t>
  </si>
  <si>
    <t>108.02217</t>
  </si>
  <si>
    <t>FO DT#MBF#KTKT60-KTKT19</t>
  </si>
  <si>
    <t>Đăk Rơ Wa - Kon Tum</t>
  </si>
  <si>
    <t>420.80</t>
  </si>
  <si>
    <t>353.62</t>
  </si>
  <si>
    <t>14.352606</t>
  </si>
  <si>
    <t>108.020035</t>
  </si>
  <si>
    <t>67.18</t>
  </si>
  <si>
    <t>14.352398</t>
  </si>
  <si>
    <t>108.007853</t>
  </si>
  <si>
    <t>full_h04/KonTum/Mạng Cấp IV Kon Tum/Kon Tum - Cấp 4 - Ring 1.kmz/Kon Tum - Ring 1/Đăk Rơ Wa - Kon Tum/Trung thế EVN 3</t>
  </si>
  <si>
    <t>KTKT66-PH10</t>
  </si>
  <si>
    <t>14.33481</t>
  </si>
  <si>
    <t>107.9959</t>
  </si>
  <si>
    <t>FO DT#MBF#KTKT66-KTKT57</t>
  </si>
  <si>
    <t>1588.27</t>
  </si>
  <si>
    <t>14.334608</t>
  </si>
  <si>
    <t>107.996469</t>
  </si>
  <si>
    <t>1523.00</t>
  </si>
  <si>
    <t>14.343186</t>
  </si>
  <si>
    <t>108.000281</t>
  </si>
  <si>
    <t>PH10-TT2 Kon Tum</t>
  </si>
  <si>
    <t>FO DT#MBF#KTKT57-KTKT19</t>
  </si>
  <si>
    <t>142.76</t>
  </si>
  <si>
    <t>75.58</t>
  </si>
  <si>
    <t>14.352362</t>
  </si>
  <si>
    <t>108.010153</t>
  </si>
  <si>
    <t>KTKT35-Ia Chim</t>
  </si>
  <si>
    <t>14.33936</t>
  </si>
  <si>
    <t>107.98691</t>
  </si>
  <si>
    <t>FO DT#MBF#KTKT35-KTKT11</t>
  </si>
  <si>
    <t>663.49</t>
  </si>
  <si>
    <t>582.83</t>
  </si>
  <si>
    <t>14.342360</t>
  </si>
  <si>
    <t>107.982474</t>
  </si>
  <si>
    <t>80.65</t>
  </si>
  <si>
    <t>14.313443</t>
  </si>
  <si>
    <t>107.925479</t>
  </si>
  <si>
    <t>Ia Chim-Đăk BLa</t>
  </si>
  <si>
    <t>FO DT#MBF#KTKT11-KTKT05</t>
  </si>
  <si>
    <t>2670.38</t>
  </si>
  <si>
    <t>2047.52</t>
  </si>
  <si>
    <t>14.296118</t>
  </si>
  <si>
    <t>107.975981</t>
  </si>
  <si>
    <t>KTKT37-TT2 Kon Tum</t>
  </si>
  <si>
    <t>14.34399</t>
  </si>
  <si>
    <t>108.03759</t>
  </si>
  <si>
    <t>FO DT#MBF#KTKT37-KTKT19</t>
  </si>
  <si>
    <t>TT2 Kon Tum - Kon Rẫy</t>
  </si>
  <si>
    <t>2136.34</t>
  </si>
  <si>
    <t>2061.18</t>
  </si>
  <si>
    <t>14.356558</t>
  </si>
  <si>
    <t>108.023526</t>
  </si>
  <si>
    <t>75.15</t>
  </si>
  <si>
    <t>14.352325</t>
  </si>
  <si>
    <t>108.007865</t>
  </si>
  <si>
    <t>full_h04/KonTum/Mạng cấp III Kon Tum/Ring 4/TT2 Kon Tum - Kon Rẫy.kmz/TT2 Kon Tum - Kon Rẫy/TT2 Kon Tum - Kon Rẫy_Trung thế</t>
  </si>
  <si>
    <t>KTKT45-TT2 Kon Tum</t>
  </si>
  <si>
    <t>14.32868</t>
  </si>
  <si>
    <t>107.99419</t>
  </si>
  <si>
    <t>FO DT#MBF#KTKT45-KTKT19</t>
  </si>
  <si>
    <t>1576.93</t>
  </si>
  <si>
    <t>211.43</t>
  </si>
  <si>
    <t>14.329800</t>
  </si>
  <si>
    <t>107.992604</t>
  </si>
  <si>
    <t>1365.50</t>
  </si>
  <si>
    <t>KTDH25-Đăk Mar</t>
  </si>
  <si>
    <t>14.5609769</t>
  </si>
  <si>
    <t>107.9221856</t>
  </si>
  <si>
    <t>FO DT#MBF#KTDH25-KTDH06</t>
  </si>
  <si>
    <t>256.69</t>
  </si>
  <si>
    <t>177.82</t>
  </si>
  <si>
    <t>14.561059</t>
  </si>
  <si>
    <t>107.920536</t>
  </si>
  <si>
    <t>78.87</t>
  </si>
  <si>
    <t>14.545739</t>
  </si>
  <si>
    <t>107.920722</t>
  </si>
  <si>
    <t>full_h04/KonTum/Mạng Cấp IV Kon Tum/Kon Tum - Cấp 4 - Ring 6.kmz/Đăk Pxi - CAT Kon Tum/Trung thế 1 |  EVN</t>
  </si>
  <si>
    <t>KTDH23-Đăk Mar</t>
  </si>
  <si>
    <t>14.5383</t>
  </si>
  <si>
    <t>107.89056</t>
  </si>
  <si>
    <t>FO DT#MBF#KTDH23-KTDH06</t>
  </si>
  <si>
    <t>3270.38</t>
  </si>
  <si>
    <t>3268.72</t>
  </si>
  <si>
    <t>14.545508</t>
  </si>
  <si>
    <t>107.920002</t>
  </si>
  <si>
    <t>1.66</t>
  </si>
  <si>
    <t>14.545607</t>
  </si>
  <si>
    <t>107.920008</t>
  </si>
  <si>
    <t>full_h04/KonTum/Mạng Cấp IV Kon Tum/Kon Tum - Cấp 4 - Ring 5.kmz/Đăk Ui - Đăk Mar/Trồng trụ mới 2</t>
  </si>
  <si>
    <t>KTDH41-Đăk Ui</t>
  </si>
  <si>
    <t>14.54931</t>
  </si>
  <si>
    <t>107.97935</t>
  </si>
  <si>
    <t>FO DT#MBF#KTDH41-KTDH15</t>
  </si>
  <si>
    <t>4607.21</t>
  </si>
  <si>
    <t>4557.05</t>
  </si>
  <si>
    <t>14.533442</t>
  </si>
  <si>
    <t>107.940314</t>
  </si>
  <si>
    <t>KTKT62-Ia Chim</t>
  </si>
  <si>
    <t>14.30913</t>
  </si>
  <si>
    <t>107.90777</t>
  </si>
  <si>
    <t>FO DT#MBF#KTKT62-KTKT11</t>
  </si>
  <si>
    <t>1000.26</t>
  </si>
  <si>
    <t>918.95</t>
  </si>
  <si>
    <t>14.309400</t>
  </si>
  <si>
    <t>107.916294</t>
  </si>
  <si>
    <t>81.31</t>
  </si>
  <si>
    <t>14.313441</t>
  </si>
  <si>
    <t>107.925487</t>
  </si>
  <si>
    <t>full_h04/KonTum/Mạng Cấp IV Kon Tum/Kon Tum - Cấp 4 - Ring 1.kmz/Kon Tum - Ring 1/Đăk Bla - Ia Chim/Trung thế 5 | EVN</t>
  </si>
  <si>
    <t>KTKT86-TT2 Kon Tum</t>
  </si>
  <si>
    <t>14.36532</t>
  </si>
  <si>
    <t>108.0237</t>
  </si>
  <si>
    <t>FO DT#MBF#KTKT86-KTKT19</t>
  </si>
  <si>
    <t>392.20</t>
  </si>
  <si>
    <t>317.04</t>
  </si>
  <si>
    <t>14.364977</t>
  </si>
  <si>
    <t>108.026622</t>
  </si>
  <si>
    <t>KTKT06-PA05/PC10/PX05/PX06</t>
  </si>
  <si>
    <t>14.346196</t>
  </si>
  <si>
    <t>108.002538</t>
  </si>
  <si>
    <t>FO DT#MBF#KTKT06-KTKT48</t>
  </si>
  <si>
    <t>65.04</t>
  </si>
  <si>
    <t>27.95</t>
  </si>
  <si>
    <t>14.345952</t>
  </si>
  <si>
    <t>108.002474</t>
  </si>
  <si>
    <t>37.09</t>
  </si>
  <si>
    <t>14.349981</t>
  </si>
  <si>
    <t>108.007375</t>
  </si>
  <si>
    <t>KTKT46-PH10</t>
  </si>
  <si>
    <t>14.34228</t>
  </si>
  <si>
    <t>108.01003</t>
  </si>
  <si>
    <t>FO DT#MBF#KTKT46-KTKT57</t>
  </si>
  <si>
    <t>596.60</t>
  </si>
  <si>
    <t>342.20</t>
  </si>
  <si>
    <t>14.345356</t>
  </si>
  <si>
    <t>108.009923</t>
  </si>
  <si>
    <t>KTKT98-TT2 Kon Tum</t>
  </si>
  <si>
    <t>14.35688</t>
  </si>
  <si>
    <t>108.01431</t>
  </si>
  <si>
    <t>FO DT#MBF#KTKT98-KTKT19</t>
  </si>
  <si>
    <t>CAT Kon Tum - Đăk Cấm</t>
  </si>
  <si>
    <t>228.58</t>
  </si>
  <si>
    <t>152.50</t>
  </si>
  <si>
    <t>14.356747</t>
  </si>
  <si>
    <t>108.012901</t>
  </si>
  <si>
    <t>76.08</t>
  </si>
  <si>
    <t>14.352316</t>
  </si>
  <si>
    <t>108.007886</t>
  </si>
  <si>
    <t>full_h04/KonTum/Mạng Cấp IV Kon Tum/Kon Tum - Cấp 4 - Ring 4.kmz/CAT Kon Tum - Đăk Cấm/Trung thế | evn</t>
  </si>
  <si>
    <t>KTNH14-Ngọc Hồi</t>
  </si>
  <si>
    <t>14.7142937</t>
  </si>
  <si>
    <t>107.690928</t>
  </si>
  <si>
    <t>FO DT#MBF#KTNH14-KTNH01</t>
  </si>
  <si>
    <t>126.73</t>
  </si>
  <si>
    <t>111.23</t>
  </si>
  <si>
    <t>14.714510</t>
  </si>
  <si>
    <t>107.689918</t>
  </si>
  <si>
    <t>22KT020-Khối CS (PC01, PC02, PC03, PC04)</t>
  </si>
  <si>
    <t>14.377198</t>
  </si>
  <si>
    <t>107.989602</t>
  </si>
  <si>
    <t>FO DT#MBF#22KT020-KTKT33</t>
  </si>
  <si>
    <t>Khối CS (PC01, PC02, PC03, PC04) - PC08</t>
  </si>
  <si>
    <t>445.22</t>
  </si>
  <si>
    <t>445.06</t>
  </si>
  <si>
    <t>14.380141</t>
  </si>
  <si>
    <t>107.986801</t>
  </si>
  <si>
    <t>0.16</t>
  </si>
  <si>
    <t>full_h04/KonTum/Mạng cấp III Kon Tum/Ring 5/Khối CS (PC01, PC02, PC03, PC04) - PC08.kmz/Khối CS (PC01, PC02, PC03, PC04) - PC08/Khối CS (PC01, PC02, PC03, PC04) - PC08_Hạ thế</t>
  </si>
  <si>
    <t>21KT024-PH10</t>
  </si>
  <si>
    <t>FO DT#MBF#21KT024-KTKT57</t>
  </si>
  <si>
    <t>ERROR</t>
  </si>
  <si>
    <t>Lỗi Tọa độ: Cột 'lat1' ('#N/A') không phải là số hợp lệ. | Cột 'lon1' ('#N/A') không phải là số hợp lệ.</t>
  </si>
  <si>
    <t>22KT002-PC11</t>
  </si>
  <si>
    <t>14.51086</t>
  </si>
  <si>
    <t>107.98543</t>
  </si>
  <si>
    <t>FO DT#MBF#22KT002-KTDH18</t>
  </si>
  <si>
    <t>99407.86</t>
  </si>
  <si>
    <t>95430.33</t>
  </si>
  <si>
    <t>22KT023-Kon Đào</t>
  </si>
  <si>
    <t>14.72112</t>
  </si>
  <si>
    <t>107.80965</t>
  </si>
  <si>
    <t>FO DT#MBF#22KT023-KTDT04</t>
  </si>
  <si>
    <t>100.11</t>
  </si>
  <si>
    <t>47.35</t>
  </si>
  <si>
    <t>14.721538</t>
  </si>
  <si>
    <t>107.809734</t>
  </si>
  <si>
    <t>CAT-PA05/PC10/PX05/PX06</t>
  </si>
  <si>
    <t>FO DT#MBF#CAT-KTKT48</t>
  </si>
  <si>
    <t>42.47</t>
  </si>
  <si>
    <t>4.76</t>
  </si>
  <si>
    <t>14.352999</t>
  </si>
  <si>
    <t>108.007856</t>
  </si>
  <si>
    <t>37.70</t>
  </si>
  <si>
    <t>14.349993</t>
  </si>
  <si>
    <t>108.007393</t>
  </si>
  <si>
    <t>TT1 Quảng Ngãi-Nghĩa hành</t>
  </si>
  <si>
    <t>15.121</t>
  </si>
  <si>
    <t>108.79205</t>
  </si>
  <si>
    <t>15.04397</t>
  </si>
  <si>
    <t>108.77664</t>
  </si>
  <si>
    <t>FO thuê#CMC#QNQN02-QNNH21</t>
  </si>
  <si>
    <t>TT1 Quảng Ngãi - Minh Long</t>
  </si>
  <si>
    <t>1060.35</t>
  </si>
  <si>
    <t>860.10</t>
  </si>
  <si>
    <t>15.113571</t>
  </si>
  <si>
    <t>108.789819</t>
  </si>
  <si>
    <t>200.25</t>
  </si>
  <si>
    <t>15.044577</t>
  </si>
  <si>
    <t>108.774884</t>
  </si>
  <si>
    <t>full_h04/Quảng Ngãi/Quảng Ngãi Cấp III - IV/Quảng Ngãi Cấp III/Cấp 3- Ring 2/TT1 Quảng Ngãi - Minh Long/trung thế 2</t>
  </si>
  <si>
    <t>TT1 Quảng Ngãi-Sơn Tịnh</t>
  </si>
  <si>
    <t>15.15466</t>
  </si>
  <si>
    <t>108.7366</t>
  </si>
  <si>
    <t>FO thuê#CMC#QNQN02-QNST07</t>
  </si>
  <si>
    <t>PC07 - Sơn Tịnh</t>
  </si>
  <si>
    <t>2329.72</t>
  </si>
  <si>
    <t>2213.11</t>
  </si>
  <si>
    <t>15.139444</t>
  </si>
  <si>
    <t>108.784302</t>
  </si>
  <si>
    <t>116.62</t>
  </si>
  <si>
    <t>15.155536</t>
  </si>
  <si>
    <t>108.736003</t>
  </si>
  <si>
    <t>full_h04/Quảng Ngãi/Quảng Ngãi Cấp III - IV/Quảng Ngãi Cấp III/Phòng - Ring 1/PC07 - Sơn Tịnh/PC07 - Sơn Tịnh_1</t>
  </si>
  <si>
    <t>TT1 Quảng Ngãi-Trà Giang</t>
  </si>
  <si>
    <t>15.1323</t>
  </si>
  <si>
    <t>108.71287</t>
  </si>
  <si>
    <t>FO thuê#FFC#QNQN02-QNTN06</t>
  </si>
  <si>
    <t>Sơn Tịnh - TT1 QUẢNG NGÃI</t>
  </si>
  <si>
    <t>2119.48</t>
  </si>
  <si>
    <t>38.96</t>
  </si>
  <si>
    <t>15.120827</t>
  </si>
  <si>
    <t>108.791734</t>
  </si>
  <si>
    <t>2080.52</t>
  </si>
  <si>
    <t>15.129204</t>
  </si>
  <si>
    <t>108.731985</t>
  </si>
  <si>
    <t>full_h04/Quảng Ngãi/Quảng Ngãi Cấp III - IV/Quảng Ngãi Cấp IV/Cấp 4 Ring 2/Sơn Tịnh - TT1 QUẢNG NGÃI/Trung thế</t>
  </si>
  <si>
    <t>TT1 Quảng Ngãi-QNST02</t>
  </si>
  <si>
    <t>15.20067</t>
  </si>
  <si>
    <t>108.79055</t>
  </si>
  <si>
    <t>FO thuê#CMC#QNQN02-QNST02</t>
  </si>
  <si>
    <t>E23)</t>
  </si>
  <si>
    <t>2461.24</t>
  </si>
  <si>
    <t>2350.67</t>
  </si>
  <si>
    <t>15.140404</t>
  </si>
  <si>
    <t>108.800742</t>
  </si>
  <si>
    <t>110.57</t>
  </si>
  <si>
    <t>15.201007</t>
  </si>
  <si>
    <t>108.789580</t>
  </si>
  <si>
    <t>full_h04/Quảng Ngãi/Quảng Ngãi Cấp III - IV/Quảng Ngãi Cấp III/Phòng - Ring 2/khối phòng CAT KV P.NL - K02 (D3/E23)/trung thế 2</t>
  </si>
  <si>
    <t>TT1 Quảng Ngãi-QNST19</t>
  </si>
  <si>
    <t>15.1437</t>
  </si>
  <si>
    <t>108.7682</t>
  </si>
  <si>
    <t>FO thuê#CMC#QNQN02-QNST19</t>
  </si>
  <si>
    <t>Ba Gia - TT1 QUẢNG NGÃI</t>
  </si>
  <si>
    <t>2312.32</t>
  </si>
  <si>
    <t>56.31</t>
  </si>
  <si>
    <t>15.121472</t>
  </si>
  <si>
    <t>108.791859</t>
  </si>
  <si>
    <t>2256.01</t>
  </si>
  <si>
    <t>15.126612</t>
  </si>
  <si>
    <t>108.779531</t>
  </si>
  <si>
    <t>full_h04/Quảng Ngãi/Quảng Ngãi Cấp III - IV/Quảng Ngãi Cấp IV/Cấp 4 Ring 8/Ba Gia - TT1 QUẢNG NGÃI/Trung thế</t>
  </si>
  <si>
    <t>TT1 Quảng Ngãi-QNST36</t>
  </si>
  <si>
    <t>15.13794</t>
  </si>
  <si>
    <t>108.7793</t>
  </si>
  <si>
    <t>FO thuê#CMC#QNQN02-QNST36</t>
  </si>
  <si>
    <t>1301.12</t>
  </si>
  <si>
    <t>1244.81</t>
  </si>
  <si>
    <t>15.127291</t>
  </si>
  <si>
    <t>108.782879</t>
  </si>
  <si>
    <t>TT1 Quảng Ngãi-QNST18</t>
  </si>
  <si>
    <t>15.15531</t>
  </si>
  <si>
    <t>108.70619</t>
  </si>
  <si>
    <t>FO thuê#CMC#QNQN02-QNST18</t>
  </si>
  <si>
    <t>3827.45</t>
  </si>
  <si>
    <t>3788.49</t>
  </si>
  <si>
    <t>15.132574</t>
  </si>
  <si>
    <t>108.732478</t>
  </si>
  <si>
    <t>TT1 Quảng Ngãi-QNQN15</t>
  </si>
  <si>
    <t>15.12444</t>
  </si>
  <si>
    <t>108.77788</t>
  </si>
  <si>
    <t>FO thuê#CMC#QNQN02-QNQN15</t>
  </si>
  <si>
    <t>324.62</t>
  </si>
  <si>
    <t>268.31</t>
  </si>
  <si>
    <t>15.126121</t>
  </si>
  <si>
    <t>108.779673</t>
  </si>
  <si>
    <t>TT1 Quảng Ngãi-QNQN17</t>
  </si>
  <si>
    <t>15.11357</t>
  </si>
  <si>
    <t>108.77094</t>
  </si>
  <si>
    <t>FO thuê#CMC#QNQN02-QNQN17</t>
  </si>
  <si>
    <t>154.49</t>
  </si>
  <si>
    <t>115.53</t>
  </si>
  <si>
    <t>15.114606</t>
  </si>
  <si>
    <t>108.771015</t>
  </si>
  <si>
    <t>TT1 Quảng Ngãi-QNQN61</t>
  </si>
  <si>
    <t>15.12551</t>
  </si>
  <si>
    <t>108.7708</t>
  </si>
  <si>
    <t>FO thuê#CMC#QNQN02-QNQN61</t>
  </si>
  <si>
    <t>1001.53</t>
  </si>
  <si>
    <t>945.21</t>
  </si>
  <si>
    <t>TT1 Quảng Ngãi-QNQN44</t>
  </si>
  <si>
    <t>15.10594</t>
  </si>
  <si>
    <t>108.76747</t>
  </si>
  <si>
    <t>FO thuê#FFC#QNQN02-QNQN44</t>
  </si>
  <si>
    <t>994.30</t>
  </si>
  <si>
    <t>134.20</t>
  </si>
  <si>
    <t>15.104920</t>
  </si>
  <si>
    <t>108.766801</t>
  </si>
  <si>
    <t>TT1 Quảng Ngãi-QNTN26</t>
  </si>
  <si>
    <t>15.11727</t>
  </si>
  <si>
    <t>108.75462</t>
  </si>
  <si>
    <t>FO thuê#FFC#QNQN02-QNTN26</t>
  </si>
  <si>
    <t>171.71</t>
  </si>
  <si>
    <t>132.75</t>
  </si>
  <si>
    <t>15.118464</t>
  </si>
  <si>
    <t>108.754596</t>
  </si>
  <si>
    <t>QNQN30-TT1 Quảng Ngãi</t>
  </si>
  <si>
    <t>15.11891</t>
  </si>
  <si>
    <t>108.77932</t>
  </si>
  <si>
    <t>FO thuê#FFC#QNQN30-QNQN02</t>
  </si>
  <si>
    <t>628.67</t>
  </si>
  <si>
    <t>589.72</t>
  </si>
  <si>
    <t>15.113611</t>
  </si>
  <si>
    <t>108.779097</t>
  </si>
  <si>
    <t>QNQN2J-TT1 Quảng Ngãi</t>
  </si>
  <si>
    <t>15.132932</t>
  </si>
  <si>
    <t>108.795251</t>
  </si>
  <si>
    <t>FO DT#MBF#QNQN2J-QNQN02</t>
  </si>
  <si>
    <t>Khối Cảnh sát - Khối Phòng CAT KV P.Nghĩa Lộ</t>
  </si>
  <si>
    <t>606.29</t>
  </si>
  <si>
    <t>556.46</t>
  </si>
  <si>
    <t>15.127977</t>
  </si>
  <si>
    <t>108.795976</t>
  </si>
  <si>
    <t>49.84</t>
  </si>
  <si>
    <t>15.121444</t>
  </si>
  <si>
    <t>108.792112</t>
  </si>
  <si>
    <t>full_h04/Quảng Ngãi/Quảng Ngãi Cấp III - IV/Quảng Ngãi Cấp III/Phòng - Ring 2/Khối Cảnh sát - Khối Phòng CAT KV P.Nghĩa Lộ/hạ thế 1</t>
  </si>
  <si>
    <t>TT1 Quảng Ngãi-QNQN2J</t>
  </si>
  <si>
    <t>FO DT#MBF#QNQN02-QNQN2J</t>
  </si>
  <si>
    <t>FO DT#MBF#QNQN02-QNNH21</t>
  </si>
  <si>
    <t>TT1 Quảng Ngãi-Khối Phòng PA08,PA05</t>
  </si>
  <si>
    <t>15.11382</t>
  </si>
  <si>
    <t>108.7964</t>
  </si>
  <si>
    <t>FO DT#MBF#QNQN02-QNQN09</t>
  </si>
  <si>
    <t>Khối Phòng PA08_PA05 - TT1 Quảng Ngãi</t>
  </si>
  <si>
    <t>49.18</t>
  </si>
  <si>
    <t>37.50</t>
  </si>
  <si>
    <t>15.120826</t>
  </si>
  <si>
    <t>108.791751</t>
  </si>
  <si>
    <t>11.68</t>
  </si>
  <si>
    <t>15.113891</t>
  </si>
  <si>
    <t>108.796320</t>
  </si>
  <si>
    <t>full_h04/Quảng Ngãi/Quảng Ngãi Cấp III - IV/Quảng Ngãi Cấp III/Phòng - Ring 2/Khối Phòng PA08_PA05 - TT1 Quảng Ngãi/hạ thế 1</t>
  </si>
  <si>
    <t>Mộ Đức-QNTN05</t>
  </si>
  <si>
    <t>14.94789</t>
  </si>
  <si>
    <t>108.88789</t>
  </si>
  <si>
    <t>15.05898</t>
  </si>
  <si>
    <t>108.84332</t>
  </si>
  <si>
    <t>FO thuê#CMC#QNMD25-QNTN05</t>
  </si>
  <si>
    <t>Đức Phổ - TT1 Quảng Ngãi mới</t>
  </si>
  <si>
    <t>3196.39</t>
  </si>
  <si>
    <t>757.26</t>
  </si>
  <si>
    <t>14.941793</t>
  </si>
  <si>
    <t>108.884749</t>
  </si>
  <si>
    <t>2439.13</t>
  </si>
  <si>
    <t>15.038804</t>
  </si>
  <si>
    <t>108.852233</t>
  </si>
  <si>
    <t>full_h04/Quảng Ngãi/Quảng Ngãi Cấp III - IV/Quảng Ngãi Cấp III/Cấp 3- Ring 2/Đức Phổ - TT1 Quảng Ngãi mới/trung thế 1</t>
  </si>
  <si>
    <t>Mộ Đức-QNMD05</t>
  </si>
  <si>
    <t>14.92405</t>
  </si>
  <si>
    <t>108.89965</t>
  </si>
  <si>
    <t>FO thuê#CMC#QNMD25-QNMD05</t>
  </si>
  <si>
    <t>Trà Câu - Mộ Đức</t>
  </si>
  <si>
    <t>653.54</t>
  </si>
  <si>
    <t>321.69</t>
  </si>
  <si>
    <t>14.948860</t>
  </si>
  <si>
    <t>108.885069</t>
  </si>
  <si>
    <t>331.85</t>
  </si>
  <si>
    <t>14.923200</t>
  </si>
  <si>
    <t>108.902611</t>
  </si>
  <si>
    <t>full_h04/Quảng Ngãi/Quảng Ngãi Cấp III - IV/Quảng Ngãi Cấp IV/Cấp 4 Ring 16/Trà Câu - Mộ Đức/Trụ trung thế 1</t>
  </si>
  <si>
    <t>Mộ Đức-QNNH03</t>
  </si>
  <si>
    <t>14.98693</t>
  </si>
  <si>
    <t>108.83602</t>
  </si>
  <si>
    <t>FO thuê#CMC#QNMD25-QNNH03</t>
  </si>
  <si>
    <t>Mộ Đức - Vệ Giang</t>
  </si>
  <si>
    <t>2747.46</t>
  </si>
  <si>
    <t>683.74</t>
  </si>
  <si>
    <t>14.953834</t>
  </si>
  <si>
    <t>108.886260</t>
  </si>
  <si>
    <t>2063.72</t>
  </si>
  <si>
    <t>14.996030</t>
  </si>
  <si>
    <t>108.852765</t>
  </si>
  <si>
    <t>full_h04/Quảng Ngãi/Quảng Ngãi Cấp III - IV/Quảng Ngãi Cấp IV/Cấp 4 Ring 16/Mộ Đức - Vệ Giang/Trụ trung thế 2</t>
  </si>
  <si>
    <t>Mộ Đức-QNMD10</t>
  </si>
  <si>
    <t>15.01246</t>
  </si>
  <si>
    <t>108.87124</t>
  </si>
  <si>
    <t>FO thuê#CMC#QNMD25-QNMD10</t>
  </si>
  <si>
    <t>951.83</t>
  </si>
  <si>
    <t>194.57</t>
  </si>
  <si>
    <t>15.011333</t>
  </si>
  <si>
    <t>108.869854</t>
  </si>
  <si>
    <t>Mộ Đức-Lân Phong</t>
  </si>
  <si>
    <t>14.92761</t>
  </si>
  <si>
    <t>108.91794</t>
  </si>
  <si>
    <t>FO thuê#CMC#QNMD25-QNMD24</t>
  </si>
  <si>
    <t>1972.89</t>
  </si>
  <si>
    <t>1651.20</t>
  </si>
  <si>
    <t>14.920210</t>
  </si>
  <si>
    <t>108.904616</t>
  </si>
  <si>
    <t>Mộ Đức-QNMD01</t>
  </si>
  <si>
    <t>14.95727</t>
  </si>
  <si>
    <t>108.8876</t>
  </si>
  <si>
    <t>FO thuê#CMC#QNMD25-QNMD01</t>
  </si>
  <si>
    <t>636.90</t>
  </si>
  <si>
    <t>228.52</t>
  </si>
  <si>
    <t>14.949937</t>
  </si>
  <si>
    <t>108.887698</t>
  </si>
  <si>
    <t>408.38</t>
  </si>
  <si>
    <t>108.886257</t>
  </si>
  <si>
    <t>full_h04/Quảng Ngãi/Quảng Ngãi Cấp III - IV/Quảng Ngãi Cấp IV/Cấp 4 Ring 16/Mộ Đức - Vệ Giang/Trụ hạ thế 1</t>
  </si>
  <si>
    <t>FO thuê#TPComs#QNMD25-QNNH03</t>
  </si>
  <si>
    <t>FO thuê#TPComs#QNMD25-QNTN05</t>
  </si>
  <si>
    <t>Nghĩa hành-Mộ Đức</t>
  </si>
  <si>
    <t>FO thuê#CMC#QNNH21-QNMD25</t>
  </si>
  <si>
    <t>8758.42</t>
  </si>
  <si>
    <t>8074.67</t>
  </si>
  <si>
    <t>15.008498</t>
  </si>
  <si>
    <t>108.842247</t>
  </si>
  <si>
    <t>QNMD12-Mộ Đức</t>
  </si>
  <si>
    <t>14.94605</t>
  </si>
  <si>
    <t>108.86027</t>
  </si>
  <si>
    <t>FO thuê#CMC#QNMD12-QNMD25</t>
  </si>
  <si>
    <t>2814.66</t>
  </si>
  <si>
    <t>2675.01</t>
  </si>
  <si>
    <t>14.946976</t>
  </si>
  <si>
    <t>108.885151</t>
  </si>
  <si>
    <t>139.65</t>
  </si>
  <si>
    <t>14.946636</t>
  </si>
  <si>
    <t>108.887959</t>
  </si>
  <si>
    <t>full_h04/Quảng Ngãi/Quảng Ngãi Cấp III - IV/Quảng Ngãi Cấp IV/Cấp 4 Ring 16/Trà Câu - Mộ Đức/hạ thế</t>
  </si>
  <si>
    <t>QNMD19-Mộ Đức</t>
  </si>
  <si>
    <t>14.90552</t>
  </si>
  <si>
    <t>108.91163</t>
  </si>
  <si>
    <t>FO thuê#CMC#QNMD19-QNMD25</t>
  </si>
  <si>
    <t>498.47</t>
  </si>
  <si>
    <t>176.78</t>
  </si>
  <si>
    <t>14.904020</t>
  </si>
  <si>
    <t>108.911083</t>
  </si>
  <si>
    <t>QNMD36-Mộ Đức</t>
  </si>
  <si>
    <t>14.94028</t>
  </si>
  <si>
    <t>108.89194</t>
  </si>
  <si>
    <t>FO thuê#CMC#QNMD36-QNMD25</t>
  </si>
  <si>
    <t>915.70</t>
  </si>
  <si>
    <t>913.32</t>
  </si>
  <si>
    <t>14.947109</t>
  </si>
  <si>
    <t>108.887216</t>
  </si>
  <si>
    <t>2.39</t>
  </si>
  <si>
    <t>14.947894</t>
  </si>
  <si>
    <t>108.887912</t>
  </si>
  <si>
    <t>full_h04/Quảng Ngãi/Quảng Ngãi Cấp III - IV/Quảng Ngãi Cấp IV/Cấp 4 Ring 16/Trà Câu - Mộ Đức/Trồng trụ mới 1</t>
  </si>
  <si>
    <t>QNMD34-Mộ Đức</t>
  </si>
  <si>
    <t>14.92471</t>
  </si>
  <si>
    <t>108.87507</t>
  </si>
  <si>
    <t>FO thuê#CMC#QNMD34-QNMD25</t>
  </si>
  <si>
    <t>2292.33</t>
  </si>
  <si>
    <t>1970.64</t>
  </si>
  <si>
    <t>14.934362</t>
  </si>
  <si>
    <t>108.890453</t>
  </si>
  <si>
    <t>Nghĩa hành-Phước Giang</t>
  </si>
  <si>
    <t>15.04567</t>
  </si>
  <si>
    <t>108.74218</t>
  </si>
  <si>
    <t>FO thuê#CMC#QNNH21-QNNH05</t>
  </si>
  <si>
    <t>Phước Giang - Trà Giang</t>
  </si>
  <si>
    <t>3435.33</t>
  </si>
  <si>
    <t>3098.74</t>
  </si>
  <si>
    <t>15.047854</t>
  </si>
  <si>
    <t>108.748065</t>
  </si>
  <si>
    <t>336.59</t>
  </si>
  <si>
    <t>15.045444</t>
  </si>
  <si>
    <t>108.745306</t>
  </si>
  <si>
    <t>full_h04/Quảng Ngãi/Quảng Ngãi Cấp III - IV/Quảng Ngãi Cấp IV/Cấp 4 Ring 13/Phước Giang - Trà Giang/Trụ trung thế 1</t>
  </si>
  <si>
    <t>Nghĩa hành-QNMD02</t>
  </si>
  <si>
    <t>14.885983</t>
  </si>
  <si>
    <t>108.918403</t>
  </si>
  <si>
    <t>FO thuê#CMC#QNNH21-QNMD02</t>
  </si>
  <si>
    <t>9066.16</t>
  </si>
  <si>
    <t>8137.92</t>
  </si>
  <si>
    <t>928.24</t>
  </si>
  <si>
    <t>14.889078</t>
  </si>
  <si>
    <t>108.926425</t>
  </si>
  <si>
    <t>Nghĩa hành-QNNH16</t>
  </si>
  <si>
    <t>15.04128</t>
  </si>
  <si>
    <t>108.79722</t>
  </si>
  <si>
    <t>FO thuê#CMC#QNNH21-QNNH16</t>
  </si>
  <si>
    <t>Đình Cương - Nghĩa Hành</t>
  </si>
  <si>
    <t>445.83</t>
  </si>
  <si>
    <t>224.35</t>
  </si>
  <si>
    <t>15.043967</t>
  </si>
  <si>
    <t>108.778729</t>
  </si>
  <si>
    <t>221.48</t>
  </si>
  <si>
    <t>15.040720</t>
  </si>
  <si>
    <t>108.795241</t>
  </si>
  <si>
    <t>full_h04/Quảng Ngãi/Quảng Ngãi Cấp III - IV/Quảng Ngãi Cấp IV/Cấp 4 Ring 12/Đình Cương - Nghĩa Hành/Trụ trung thế 1</t>
  </si>
  <si>
    <t>QNNH04-Nghĩa hành</t>
  </si>
  <si>
    <t>15.07944</t>
  </si>
  <si>
    <t>108.77991</t>
  </si>
  <si>
    <t>FO thuê#FFC#QNNH04-QNNH21</t>
  </si>
  <si>
    <t>Nghĩa Hành - Nghĩa Lộ</t>
  </si>
  <si>
    <t>447.13</t>
  </si>
  <si>
    <t>425.67</t>
  </si>
  <si>
    <t>15.079531</t>
  </si>
  <si>
    <t>108.783874</t>
  </si>
  <si>
    <t>21.46</t>
  </si>
  <si>
    <t>15.043846</t>
  </si>
  <si>
    <t>108.776487</t>
  </si>
  <si>
    <t>full_h04/Quảng Ngãi/Quảng Ngãi Cấp III - IV/Quảng Ngãi Cấp IV/Cấp 4 Ring 12/Nghĩa Hành - Nghĩa Lộ/Trụ trung thế 1</t>
  </si>
  <si>
    <t>QNTN10-Nghĩa hành</t>
  </si>
  <si>
    <t>15.094146</t>
  </si>
  <si>
    <t>108.75043</t>
  </si>
  <si>
    <t>FO thuê#FFC#QNTN10-QNNH21</t>
  </si>
  <si>
    <t>1836.28</t>
  </si>
  <si>
    <t>1814.82</t>
  </si>
  <si>
    <t>15.105012</t>
  </si>
  <si>
    <t>108.763044</t>
  </si>
  <si>
    <t>QNTN43-Nghĩa hành</t>
  </si>
  <si>
    <t>15.110232</t>
  </si>
  <si>
    <t>108.719926</t>
  </si>
  <si>
    <t>FO thuê#FFC#QNTN43-QNNH21</t>
  </si>
  <si>
    <t>4686.51</t>
  </si>
  <si>
    <t>4665.05</t>
  </si>
  <si>
    <t>QNNH25-Nghĩa hành</t>
  </si>
  <si>
    <t>15.057965</t>
  </si>
  <si>
    <t>108.76246</t>
  </si>
  <si>
    <t>FO thuê#FFC#QNNH25-QNNH21</t>
  </si>
  <si>
    <t>1608.16</t>
  </si>
  <si>
    <t>1586.70</t>
  </si>
  <si>
    <t>15.056607</t>
  </si>
  <si>
    <t>108.777170</t>
  </si>
  <si>
    <t>QNNH09-Nghĩa hành</t>
  </si>
  <si>
    <t>15.024073</t>
  </si>
  <si>
    <t>108.746454</t>
  </si>
  <si>
    <t>FO thuê#FFC#QNNH09-QNNH21</t>
  </si>
  <si>
    <t>3430.77</t>
  </si>
  <si>
    <t>3230.52</t>
  </si>
  <si>
    <t>15.030418</t>
  </si>
  <si>
    <t>108.775809</t>
  </si>
  <si>
    <t>Nghĩa hành-QNTN05</t>
  </si>
  <si>
    <t>FO DT#MBF#QNNH21-QNTN05</t>
  </si>
  <si>
    <t>5623.29</t>
  </si>
  <si>
    <t>5423.04</t>
  </si>
  <si>
    <t>15.023048</t>
  </si>
  <si>
    <t>108.809173</t>
  </si>
  <si>
    <t>Nghĩa hành-QNNH01</t>
  </si>
  <si>
    <t>15.043935</t>
  </si>
  <si>
    <t>108.776</t>
  </si>
  <si>
    <t>FO DT#MBF#QNNH21-QNNH01</t>
  </si>
  <si>
    <t>55.33</t>
  </si>
  <si>
    <t>1.47</t>
  </si>
  <si>
    <t>15.043957</t>
  </si>
  <si>
    <t>108.776638</t>
  </si>
  <si>
    <t>15.043850</t>
  </si>
  <si>
    <t>108.776494</t>
  </si>
  <si>
    <t>full_h04/Quảng Ngãi/Quảng Ngãi Cấp III - IV/Quảng Ngãi Cấp IV/Cấp 4 Ring 12/Đình Cương - Nghĩa Hành/trồng mới 2</t>
  </si>
  <si>
    <t>Nghĩa hành-QNNH24</t>
  </si>
  <si>
    <t>15.02602</t>
  </si>
  <si>
    <t>108.78711</t>
  </si>
  <si>
    <t>FO DT#MBF#QNNH21-QNNH24</t>
  </si>
  <si>
    <t>1302.25</t>
  </si>
  <si>
    <t>1101.99</t>
  </si>
  <si>
    <t>15.023507</t>
  </si>
  <si>
    <t>108.777184</t>
  </si>
  <si>
    <t>Nghĩa hành-QNNH14</t>
  </si>
  <si>
    <t>15.056707</t>
  </si>
  <si>
    <t>108.779292</t>
  </si>
  <si>
    <t>FO DT#MBF#QNNH21-QNNH14</t>
  </si>
  <si>
    <t>239.17</t>
  </si>
  <si>
    <t>217.71</t>
  </si>
  <si>
    <t>15.057552</t>
  </si>
  <si>
    <t>108.777463</t>
  </si>
  <si>
    <t>Nghĩa hành-QNNH36</t>
  </si>
  <si>
    <t>15.04484</t>
  </si>
  <si>
    <t>108.76303</t>
  </si>
  <si>
    <t>FO DT#MBF#QNNH21-QNNH36</t>
  </si>
  <si>
    <t>1301.59</t>
  </si>
  <si>
    <t>1280.13</t>
  </si>
  <si>
    <t>15.044572</t>
  </si>
  <si>
    <t>108.774948</t>
  </si>
  <si>
    <t>TTCMKV Bình Sơn-QNBS26</t>
  </si>
  <si>
    <t>15.29712</t>
  </si>
  <si>
    <t>108.7621</t>
  </si>
  <si>
    <t>15.30152</t>
  </si>
  <si>
    <t>108.82293</t>
  </si>
  <si>
    <t>FO thuê#CMC#QNBS23-QNBS26</t>
  </si>
  <si>
    <t>Quảng Ngãi - Ring 1_CAH Bình Sơn - Vạn Tường</t>
  </si>
  <si>
    <t>2839.20</t>
  </si>
  <si>
    <t>47.26</t>
  </si>
  <si>
    <t>15.297487</t>
  </si>
  <si>
    <t>108.761878</t>
  </si>
  <si>
    <t>2791.94</t>
  </si>
  <si>
    <t>15.324786</t>
  </si>
  <si>
    <t>108.813141</t>
  </si>
  <si>
    <t>full_h04/Quảng Ngãi/Quảng Ngãi Cấp III - IV/Quảng Ngãi Cấp IV/Cấp 4 Ring 1/Quảng Ngãi - Ring 1_CAH Bình Sơn - Vạn Tường.kmz/Quảng Ngãi - Ring 1_CAH Bình Sơn - Vạn Tường/ĐL TT_1</t>
  </si>
  <si>
    <t>TTCMKV Bình Sơn-QNBS07</t>
  </si>
  <si>
    <t>15.32259</t>
  </si>
  <si>
    <t>108.76814</t>
  </si>
  <si>
    <t>FO thuê#CMC#QNBS23-QNBS07</t>
  </si>
  <si>
    <t>2217.81</t>
  </si>
  <si>
    <t>2170.55</t>
  </si>
  <si>
    <t>15.306986</t>
  </si>
  <si>
    <t>108.780300</t>
  </si>
  <si>
    <t>TTCMKV Bình Sơn-QNBS16</t>
  </si>
  <si>
    <t>15.29159</t>
  </si>
  <si>
    <t>108.79627</t>
  </si>
  <si>
    <t>FO thuê#CMC#QNBS23-QNBS16</t>
  </si>
  <si>
    <t>2344.83</t>
  </si>
  <si>
    <t>2297.57</t>
  </si>
  <si>
    <t>15.309248</t>
  </si>
  <si>
    <t>108.785146</t>
  </si>
  <si>
    <t>TTCMKV Bình Sơn-QNBS54</t>
  </si>
  <si>
    <t>15.31067</t>
  </si>
  <si>
    <t>108.75268</t>
  </si>
  <si>
    <t>FO thuê#CMC#QNBS23-QNBS54</t>
  </si>
  <si>
    <t>TTCMKV Bình Sơn - Bình Sơn</t>
  </si>
  <si>
    <t>1201.71</t>
  </si>
  <si>
    <t>61.38</t>
  </si>
  <si>
    <t>15.297667</t>
  </si>
  <si>
    <t>108.762175</t>
  </si>
  <si>
    <t>1140.34</t>
  </si>
  <si>
    <t>15.301571</t>
  </si>
  <si>
    <t>108.757585</t>
  </si>
  <si>
    <t>full_h04/Quảng Ngãi/Quảng Ngãi Cấp III - IV/Quảng Ngãi Cấp IV/Cấp 4 Ring 3/TTCMKV Bình Sơn - Bình Sơn/ĐL HT_1</t>
  </si>
  <si>
    <t>TTCMKV Bình Sơn-QNBS52</t>
  </si>
  <si>
    <t>15.299702</t>
  </si>
  <si>
    <t>108.752375</t>
  </si>
  <si>
    <t>FO thuê#CMC#QNBS23-QNBS52</t>
  </si>
  <si>
    <t>657.54</t>
  </si>
  <si>
    <t>596.16</t>
  </si>
  <si>
    <t>TTCMKV Bình Sơn-Vạn Tường</t>
  </si>
  <si>
    <t>15.33626</t>
  </si>
  <si>
    <t>108.84145</t>
  </si>
  <si>
    <t>FO thuê#CMC#QNBS23-QNBS03</t>
  </si>
  <si>
    <t>62.36</t>
  </si>
  <si>
    <t>15.336200</t>
  </si>
  <si>
    <t>108.841576</t>
  </si>
  <si>
    <t>FO thuê#TPComs#QNBS23-QNBS26</t>
  </si>
  <si>
    <t>QNST02-TTCMKV Bình Sơn</t>
  </si>
  <si>
    <t>FO thuê#CMC#QNST02-QNBS23</t>
  </si>
  <si>
    <t>Bình Sơn - TT1 Quảng Ngãi</t>
  </si>
  <si>
    <t>2455.37</t>
  </si>
  <si>
    <t>2075.35</t>
  </si>
  <si>
    <t>15.219080</t>
  </si>
  <si>
    <t>108.787367</t>
  </si>
  <si>
    <t>380.02</t>
  </si>
  <si>
    <t>15.294290</t>
  </si>
  <si>
    <t>108.764086</t>
  </si>
  <si>
    <t>full_h04/Quảng Ngãi/Quảng Ngãi Cấp III - IV/Quảng Ngãi Cấp III/Cấp 3 - Ring 1/Bình Sơn - TT1 Quảng Ngãi/trung thế 2</t>
  </si>
  <si>
    <t>Bình Chương-TTCMKV Bình Sơn</t>
  </si>
  <si>
    <t>15.272988</t>
  </si>
  <si>
    <t>108.721409</t>
  </si>
  <si>
    <t>FO thuê#CMC#QNBS28-QNBS23</t>
  </si>
  <si>
    <t>Trà Bồng - Bình Sơn</t>
  </si>
  <si>
    <t>259.84</t>
  </si>
  <si>
    <t>216.30</t>
  </si>
  <si>
    <t>15.274777</t>
  </si>
  <si>
    <t>108.720617</t>
  </si>
  <si>
    <t>43.54</t>
  </si>
  <si>
    <t>15.297448</t>
  </si>
  <si>
    <t>108.761879</t>
  </si>
  <si>
    <t>full_h04/Quảng Ngãi/Quảng Ngãi Cấp III - IV/Quảng Ngãi Cấp III/Cấp 3 - Ring 1/Trà Bồng - Bình Sơn/trung thế 1</t>
  </si>
  <si>
    <t>QNBS15-TTCMKV Bình Sơn</t>
  </si>
  <si>
    <t>15.28448</t>
  </si>
  <si>
    <t>108.74049</t>
  </si>
  <si>
    <t>FO thuê#CMC#QNBS15-QNBS23</t>
  </si>
  <si>
    <t>419.88</t>
  </si>
  <si>
    <t>376.34</t>
  </si>
  <si>
    <t>15.281186</t>
  </si>
  <si>
    <t>108.739684</t>
  </si>
  <si>
    <t>QNBS25-TTCMKV Bình Sơn</t>
  </si>
  <si>
    <t>15.274461</t>
  </si>
  <si>
    <t>108.770897</t>
  </si>
  <si>
    <t>FO thuê#CMC#QNBS25-QNBS23</t>
  </si>
  <si>
    <t>Bình Sơn - Thọ Phong</t>
  </si>
  <si>
    <t>676.53</t>
  </si>
  <si>
    <t>337.48</t>
  </si>
  <si>
    <t>15.275721</t>
  </si>
  <si>
    <t>108.773759</t>
  </si>
  <si>
    <t>339.06</t>
  </si>
  <si>
    <t>15.294823</t>
  </si>
  <si>
    <t>108.760021</t>
  </si>
  <si>
    <t>full_h04/Quảng Ngãi/Quảng Ngãi Cấp III - IV/Quảng Ngãi Cấp IV/Cấp 4 Ring 3/Bình Sơn - Thọ Phong/ĐL TT_1</t>
  </si>
  <si>
    <t>QNBS58-TTCMKV Bình Sơn</t>
  </si>
  <si>
    <t>15.303476</t>
  </si>
  <si>
    <t>108.762572</t>
  </si>
  <si>
    <t>FO thuê#CMC#QNBS58-QNBS23</t>
  </si>
  <si>
    <t>565.66</t>
  </si>
  <si>
    <t>522.11</t>
  </si>
  <si>
    <t>15.298811</t>
  </si>
  <si>
    <t>108.763128</t>
  </si>
  <si>
    <t>QNBS1D-TTCMKV Bình Sơn</t>
  </si>
  <si>
    <t>15.290408</t>
  </si>
  <si>
    <t>108.75877</t>
  </si>
  <si>
    <t>FO DT#MBF#QNBS1D-QNBS23</t>
  </si>
  <si>
    <t>214.98</t>
  </si>
  <si>
    <t>171.44</t>
  </si>
  <si>
    <t>15.291643</t>
  </si>
  <si>
    <t>108.757813</t>
  </si>
  <si>
    <t>QNQN26-TTCMKV Tư Nghĩa</t>
  </si>
  <si>
    <t>15.11033</t>
  </si>
  <si>
    <t>108.84444</t>
  </si>
  <si>
    <t>15.08352</t>
  </si>
  <si>
    <t>108.8265</t>
  </si>
  <si>
    <t>FO thuê#FFC#QNQN26-QNTN_newsite1</t>
  </si>
  <si>
    <t>2588.46</t>
  </si>
  <si>
    <t>2242.49</t>
  </si>
  <si>
    <t>15.117129</t>
  </si>
  <si>
    <t>108.824773</t>
  </si>
  <si>
    <t>345.97</t>
  </si>
  <si>
    <t>15.084956</t>
  </si>
  <si>
    <t>108.829359</t>
  </si>
  <si>
    <t>full_h04/Quảng Ngãi/Quảng Ngãi Cấp III - IV/Quảng Ngãi Cấp III/Cấp 3- Ring 2/Đức Phổ - TT1 Quảng Ngãi mới/trung thế 2</t>
  </si>
  <si>
    <t>QNTN13-TTCMKV Tư Nghĩa</t>
  </si>
  <si>
    <t>15.07724</t>
  </si>
  <si>
    <t>108.83239</t>
  </si>
  <si>
    <t>FO thuê#FFC#QNTN13-QNTN_newsite1</t>
  </si>
  <si>
    <t>Vệ Giang - Cẩm Thành</t>
  </si>
  <si>
    <t>537.49</t>
  </si>
  <si>
    <t>192.46</t>
  </si>
  <si>
    <t>15.078923</t>
  </si>
  <si>
    <t>108.832810</t>
  </si>
  <si>
    <t>345.03</t>
  </si>
  <si>
    <t>15.085029</t>
  </si>
  <si>
    <t>108.829308</t>
  </si>
  <si>
    <t>full_h04/Quảng Ngãi/Quảng Ngãi Cấp III - IV/Quảng Ngãi Cấp IV/Cấp 4 Ring 16/Vệ Giang - Cẩm Thành/Trụ trung thế 2</t>
  </si>
  <si>
    <t>Tư Nghĩa-TTCMKV Tư Nghĩa</t>
  </si>
  <si>
    <t>15.09092</t>
  </si>
  <si>
    <t>108.82178</t>
  </si>
  <si>
    <t>FO thuê#FFC#QNTN39-QNTN_newsite1</t>
  </si>
  <si>
    <t>Cơ sở cai nghiện (X. Nghĩa Kỳ, H. Tư Nghĩa) - TTCMKV Tư Nghĩa</t>
  </si>
  <si>
    <t>369.01</t>
  </si>
  <si>
    <t>321.62</t>
  </si>
  <si>
    <t>15.088100</t>
  </si>
  <si>
    <t>108.821113</t>
  </si>
  <si>
    <t>47.39</t>
  </si>
  <si>
    <t>15.083940</t>
  </si>
  <si>
    <t>108.826428</t>
  </si>
  <si>
    <t>full_h04/Quảng Ngãi/Quảng Ngãi Cấp III - IV/Quảng Ngãi Cấp III/Phòng - Ring 4/Cơ sở cai nghiện (X. Nghĩa Kỳ, H. Tư Nghĩa) - TTCMKV Tư Nghĩa/trung thế 1</t>
  </si>
  <si>
    <t>QNTN05-TTCMKV Tư Nghĩa</t>
  </si>
  <si>
    <t>FO DT#MBF#QNTN05-QNTN_newsite1</t>
  </si>
  <si>
    <t>Long Phụng - Tư Nghĩa</t>
  </si>
  <si>
    <t>380.61</t>
  </si>
  <si>
    <t>104.88</t>
  </si>
  <si>
    <t>15.058428</t>
  </si>
  <si>
    <t>108.842528</t>
  </si>
  <si>
    <t>275.73</t>
  </si>
  <si>
    <t>15.081044</t>
  </si>
  <si>
    <t>108.826357</t>
  </si>
  <si>
    <t>full_h04/Quảng Ngãi/Quảng Ngãi Cấp III - IV/Quảng Ngãi Cấp IV/Cấp 4 Ring17/Long Phụng - Tư Nghĩa/Trụ trung thế 2</t>
  </si>
  <si>
    <t>TTCMKV Tư Nghĩa-QNQN2J</t>
  </si>
  <si>
    <t>FO DT#MBF#QNTN_newsite1-QNQN2J</t>
  </si>
  <si>
    <t>2770.12</t>
  </si>
  <si>
    <t>2722.73</t>
  </si>
  <si>
    <t>15.109165</t>
  </si>
  <si>
    <t>108.789150</t>
  </si>
  <si>
    <t>Vạn Tường-QNBS50</t>
  </si>
  <si>
    <t>15.32723</t>
  </si>
  <si>
    <t>108.85823</t>
  </si>
  <si>
    <t>FO thuê#CMC#QNBS03-QNBS50</t>
  </si>
  <si>
    <t>Quảng Ngãi - Ring 1_Vạn Tường - Đông Sơn</t>
  </si>
  <si>
    <t>312.98</t>
  </si>
  <si>
    <t>78.48</t>
  </si>
  <si>
    <t>15.336315</t>
  </si>
  <si>
    <t>108.842180</t>
  </si>
  <si>
    <t>234.50</t>
  </si>
  <si>
    <t>15.325720</t>
  </si>
  <si>
    <t>108.859756</t>
  </si>
  <si>
    <t>full_h04/Quảng Ngãi/Quảng Ngãi Cấp III - IV/Quảng Ngãi Cấp IV/Cấp 4 Ring 1/Quảng Ngãi - Ring 1_Vạn Tường - Đông Sơn.kmz/Quảng Ngãi - Ring 1_Vạn Tường - Đông Sơn/ĐL TT_1</t>
  </si>
  <si>
    <t>QNBS45-Vạn Tường</t>
  </si>
  <si>
    <t>15.33596</t>
  </si>
  <si>
    <t>108.84093</t>
  </si>
  <si>
    <t>FO thuê#CMC#QNBS45-QNBS03</t>
  </si>
  <si>
    <t>K02 (D3</t>
  </si>
  <si>
    <t>66.65</t>
  </si>
  <si>
    <t>41.49</t>
  </si>
  <si>
    <t>15.336204</t>
  </si>
  <si>
    <t>108.841223</t>
  </si>
  <si>
    <t>25.16</t>
  </si>
  <si>
    <t>full_h04/Quảng Ngãi/Quảng Ngãi Cấp III - IV/Quảng Ngãi Cấp III/Phòng - Ring 2/K02 (D3/E23) - Đội CSGT Đường Thuỷ/K02 (D3/E23) - Đội CSGT Đường Thuỷ</t>
  </si>
  <si>
    <t>QNBS59-Vạn Tường</t>
  </si>
  <si>
    <t>15.34418</t>
  </si>
  <si>
    <t>108.84667</t>
  </si>
  <si>
    <t>FO thuê#CMC#QNBS59-QNBS03</t>
  </si>
  <si>
    <t>950.54</t>
  </si>
  <si>
    <t>925.38</t>
  </si>
  <si>
    <t>15.336482</t>
  </si>
  <si>
    <t>108.843392</t>
  </si>
  <si>
    <t>QNBS36-Vạn Tường</t>
  </si>
  <si>
    <t>15.34005</t>
  </si>
  <si>
    <t>108.86195</t>
  </si>
  <si>
    <t>FO thuê#CMC#QNBS36-QNBS03</t>
  </si>
  <si>
    <t>747.00</t>
  </si>
  <si>
    <t>668.52</t>
  </si>
  <si>
    <t>15.334077</t>
  </si>
  <si>
    <t>108.862662</t>
  </si>
  <si>
    <t>Đông Sơn-QNQN85</t>
  </si>
  <si>
    <t>15.22855</t>
  </si>
  <si>
    <t>108.84648</t>
  </si>
  <si>
    <t>15.214391</t>
  </si>
  <si>
    <t>108.884787</t>
  </si>
  <si>
    <t>FO thuê#CMC#QNBS21-QNQN85</t>
  </si>
  <si>
    <t>4050.85</t>
  </si>
  <si>
    <t>127.84</t>
  </si>
  <si>
    <t>15.228390</t>
  </si>
  <si>
    <t>108.847660</t>
  </si>
  <si>
    <t>3923.01</t>
  </si>
  <si>
    <t>15.243731</t>
  </si>
  <si>
    <t>108.864482</t>
  </si>
  <si>
    <t>QNST02-Đông Sơn</t>
  </si>
  <si>
    <t>FO thuê#CMC#QNST02-QNBS21</t>
  </si>
  <si>
    <t>Quảng Ngãi - Ring 1_Đông Sơn - Tịnh Khê</t>
  </si>
  <si>
    <t>4855.92</t>
  </si>
  <si>
    <t>4770.16</t>
  </si>
  <si>
    <t>15.197280</t>
  </si>
  <si>
    <t>108.834865</t>
  </si>
  <si>
    <t>85.76</t>
  </si>
  <si>
    <t>15.227816</t>
  </si>
  <si>
    <t>108.846234</t>
  </si>
  <si>
    <t>full_h04/Quảng Ngãi/Quảng Ngãi Cấp III - IV/Quảng Ngãi Cấp IV/Cấp 4 Ring 1/Quảng Ngãi - Ring 1_Đông Sơn - Tịnh Khê.kmz/Quảng Ngãi - Ring 1_Đông Sơn - Tịnh Khê/ĐL TT_1</t>
  </si>
  <si>
    <t>QNBS79-Đông Sơn</t>
  </si>
  <si>
    <t>15.24803</t>
  </si>
  <si>
    <t>108.85221</t>
  </si>
  <si>
    <t>FO thuê#CMC#QNBS79-QNBS21</t>
  </si>
  <si>
    <t>1218.79</t>
  </si>
  <si>
    <t>1090.95</t>
  </si>
  <si>
    <t>15.239502</t>
  </si>
  <si>
    <t>108.857239</t>
  </si>
  <si>
    <t>QNQN1A-Đông Sơn</t>
  </si>
  <si>
    <t>15.22556</t>
  </si>
  <si>
    <t>108.8676267</t>
  </si>
  <si>
    <t>FO thuê#CMC#QNQN1A-QNBS21</t>
  </si>
  <si>
    <t>2025.51</t>
  </si>
  <si>
    <t>1897.68</t>
  </si>
  <si>
    <t>15.239879</t>
  </si>
  <si>
    <t>108.858002</t>
  </si>
  <si>
    <t>QNBS10-Đội csgt đường thủy, PC08</t>
  </si>
  <si>
    <t>15.258455</t>
  </si>
  <si>
    <t>108.874644</t>
  </si>
  <si>
    <t>15.22061</t>
  </si>
  <si>
    <t>108.9128</t>
  </si>
  <si>
    <t>FO thuê#CMC#QNBS10-QNBS05</t>
  </si>
  <si>
    <t>104.25</t>
  </si>
  <si>
    <t>91.23</t>
  </si>
  <si>
    <t>15.259275</t>
  </si>
  <si>
    <t>108.874608</t>
  </si>
  <si>
    <t>13.03</t>
  </si>
  <si>
    <t>15.220718</t>
  </si>
  <si>
    <t>108.912846</t>
  </si>
  <si>
    <t>Đội csgt đường thủy, PC08-QNQN78</t>
  </si>
  <si>
    <t>15.187291</t>
  </si>
  <si>
    <t>108.885475</t>
  </si>
  <si>
    <t>FO thuê#CMC#QNBS05-QNQN78</t>
  </si>
  <si>
    <t>Đội CSGT Đường Thuỷ - PC08</t>
  </si>
  <si>
    <t>1734.08</t>
  </si>
  <si>
    <t>12.87</t>
  </si>
  <si>
    <t>15.220719</t>
  </si>
  <si>
    <t>108.912841</t>
  </si>
  <si>
    <t>1721.22</t>
  </si>
  <si>
    <t>15.189964</t>
  </si>
  <si>
    <t>108.869676</t>
  </si>
  <si>
    <t>full_h04/Quảng Ngãi/Quảng Ngãi Cấp III - IV/Quảng Ngãi Cấp III/Phòng - Ring 2/Đội CSGT Đường Thuỷ - PC08/trung thế 1</t>
  </si>
  <si>
    <t>QNBS41-Đội csgt đường thủy, PC08</t>
  </si>
  <si>
    <t>15.23925</t>
  </si>
  <si>
    <t>108.898275</t>
  </si>
  <si>
    <t>FO thuê#CMC#QNBS41-QNBS05</t>
  </si>
  <si>
    <t>333.34</t>
  </si>
  <si>
    <t>320.32</t>
  </si>
  <si>
    <t>15.241512</t>
  </si>
  <si>
    <t>108.900124</t>
  </si>
  <si>
    <t>QNQN72-Đội csgt đường thủy, PC08</t>
  </si>
  <si>
    <t>15.21923</t>
  </si>
  <si>
    <t>108.8989</t>
  </si>
  <si>
    <t>FO thuê#CMC#QNQN72-QNBS05</t>
  </si>
  <si>
    <t>70.31</t>
  </si>
  <si>
    <t>57.44</t>
  </si>
  <si>
    <t>15.219685</t>
  </si>
  <si>
    <t>108.899153</t>
  </si>
  <si>
    <t>QNBS24-Đội csgt đường thủy, PC08</t>
  </si>
  <si>
    <t>15.24197</t>
  </si>
  <si>
    <t>108.92384</t>
  </si>
  <si>
    <t>FO thuê#CMC#QNBS24-QNBS05</t>
  </si>
  <si>
    <t>1132.93</t>
  </si>
  <si>
    <t>1119.91</t>
  </si>
  <si>
    <t>15.232543</t>
  </si>
  <si>
    <t>108.920166</t>
  </si>
  <si>
    <t>QNBS57-Đội csgt đường thủy, PC08</t>
  </si>
  <si>
    <t>15.230562</t>
  </si>
  <si>
    <t>108.93366</t>
  </si>
  <si>
    <t>FO thuê#CMC#QNBS57-QNBS05</t>
  </si>
  <si>
    <t>1028.31</t>
  </si>
  <si>
    <t>1015.28</t>
  </si>
  <si>
    <t>15.230960</t>
  </si>
  <si>
    <t>108.924206</t>
  </si>
  <si>
    <t>Đội csgt đường thủy, PC08-QNBS1M</t>
  </si>
  <si>
    <t>15.21754</t>
  </si>
  <si>
    <t>108.9158</t>
  </si>
  <si>
    <t>FO DT#MBF#QNBS05-QNBS1M</t>
  </si>
  <si>
    <t>235.23</t>
  </si>
  <si>
    <t>222.20</t>
  </si>
  <si>
    <t>15.219538</t>
  </si>
  <si>
    <t>108.915858</t>
  </si>
  <si>
    <t>QNBS09-Bình Chương</t>
  </si>
  <si>
    <t>15.262502</t>
  </si>
  <si>
    <t>108.676315</t>
  </si>
  <si>
    <t>FO thuê#CMC#QNBS09-QNBS28</t>
  </si>
  <si>
    <t>TTCMKV Bình Sơn - Đông Trà Bồng</t>
  </si>
  <si>
    <t>480.51</t>
  </si>
  <si>
    <t>274.22</t>
  </si>
  <si>
    <t>15.260039</t>
  </si>
  <si>
    <t>108.676447</t>
  </si>
  <si>
    <t>206.29</t>
  </si>
  <si>
    <t>15.274650</t>
  </si>
  <si>
    <t>108.720556</t>
  </si>
  <si>
    <t>full_h04/Quảng Ngãi/Quảng Ngãi Cấp III - IV/Quảng Ngãi Cấp IV/Cấp 4 Ring4/TTCMKV Bình Sơn - Đông Trà Bồng/trung thế 2</t>
  </si>
  <si>
    <t>QNBS66-Bình Chương</t>
  </si>
  <si>
    <t>15.27585</t>
  </si>
  <si>
    <t>108.7234</t>
  </si>
  <si>
    <t>FO thuê#CMC#QNBS66-QNBS28</t>
  </si>
  <si>
    <t>Bình Minh - Bình Chương</t>
  </si>
  <si>
    <t>264.32</t>
  </si>
  <si>
    <t>256.81</t>
  </si>
  <si>
    <t>15.273688</t>
  </si>
  <si>
    <t>108.724241</t>
  </si>
  <si>
    <t>7.51</t>
  </si>
  <si>
    <t>15.272958</t>
  </si>
  <si>
    <t>108.721472</t>
  </si>
  <si>
    <t>full_h04/Quảng Ngãi/Quảng Ngãi Cấp III - IV/Quảng Ngãi Cấp IV/Cấp 4 Ring 2/Bình Minh - Bình Chương/trồng mới 2</t>
  </si>
  <si>
    <t>QNST70-Bình Chương</t>
  </si>
  <si>
    <t>15.25154</t>
  </si>
  <si>
    <t>108.70158</t>
  </si>
  <si>
    <t>FO thuê#CMC#QNST70-QNBS28</t>
  </si>
  <si>
    <t>Bình Chương - Sơn Tịnh</t>
  </si>
  <si>
    <t>406.43</t>
  </si>
  <si>
    <t>373.56</t>
  </si>
  <si>
    <t>15.254826</t>
  </si>
  <si>
    <t>108.700857</t>
  </si>
  <si>
    <t>32.87</t>
  </si>
  <si>
    <t>15.273280</t>
  </si>
  <si>
    <t>108.721460</t>
  </si>
  <si>
    <t>full_h04/Quảng Ngãi/Quảng Ngãi Cấp III - IV/Quảng Ngãi Cấp IV/Cấp 4 Ring 2/Bình Chương - Sơn Tịnh/Hạ thế</t>
  </si>
  <si>
    <t>QNDP39-Đức Phổ</t>
  </si>
  <si>
    <t>14.818233</t>
  </si>
  <si>
    <t>108.957663</t>
  </si>
  <si>
    <t>14.80887</t>
  </si>
  <si>
    <t>108.95685</t>
  </si>
  <si>
    <t>FO thuê#CMC#QNDP39-QNDP04</t>
  </si>
  <si>
    <t>Đức Phổ - Trà Câu</t>
  </si>
  <si>
    <t>390.45</t>
  </si>
  <si>
    <t>368.97</t>
  </si>
  <si>
    <t>14.815465</t>
  </si>
  <si>
    <t>108.959556</t>
  </si>
  <si>
    <t>21.47</t>
  </si>
  <si>
    <t>14.808831</t>
  </si>
  <si>
    <t>108.957046</t>
  </si>
  <si>
    <t>full_h04/Quảng Ngãi/Quảng Ngãi Cấp III - IV/Quảng Ngãi Cấp IV/Cấp 4 Ring 16/Đức Phổ - Trà Câu/Trụ hạ thế 1</t>
  </si>
  <si>
    <t>QNDP03-Đức Phổ</t>
  </si>
  <si>
    <t>14.789145</t>
  </si>
  <si>
    <t>108.966788</t>
  </si>
  <si>
    <t>FO thuê#CMC#QNDP03-QNDP04</t>
  </si>
  <si>
    <t>Trạm csgt Đức Phổ, PC08 - TTCMKV TX Đức Phổ</t>
  </si>
  <si>
    <t>482.60</t>
  </si>
  <si>
    <t>136.83</t>
  </si>
  <si>
    <t>14.789779</t>
  </si>
  <si>
    <t>108.967879</t>
  </si>
  <si>
    <t>14.808942</t>
  </si>
  <si>
    <t>108.960066</t>
  </si>
  <si>
    <t>full_h04/Quảng Ngãi/Quảng Ngãi Cấp III - IV/Quảng Ngãi Cấp IV/Cấp 4 Ring 15/Trạm csgt Đức Phổ, PC08 - TTCMKV TX Đức Phổ/DL TT_2</t>
  </si>
  <si>
    <t>Đức Phổ-QNDP33</t>
  </si>
  <si>
    <t>14.82395</t>
  </si>
  <si>
    <t>108.94853</t>
  </si>
  <si>
    <t>FO thuê#CMC#QNDP04-QNDP33</t>
  </si>
  <si>
    <t>603.61</t>
  </si>
  <si>
    <t>387.32</t>
  </si>
  <si>
    <t>14.811941</t>
  </si>
  <si>
    <t>108.958550</t>
  </si>
  <si>
    <t>14.824784</t>
  </si>
  <si>
    <t>108.950348</t>
  </si>
  <si>
    <t>QNDP32-Đức Phổ</t>
  </si>
  <si>
    <t>14.808235</t>
  </si>
  <si>
    <t>108.962656</t>
  </si>
  <si>
    <t>FO thuê#CMC#QNDP32-QNDP04</t>
  </si>
  <si>
    <t>TTCMKV TX Đức Phổ - Đức Phổ</t>
  </si>
  <si>
    <t>349.87</t>
  </si>
  <si>
    <t>244.04</t>
  </si>
  <si>
    <t>14.808242</t>
  </si>
  <si>
    <t>108.960386</t>
  </si>
  <si>
    <t>105.84</t>
  </si>
  <si>
    <t>14.808667</t>
  </si>
  <si>
    <t>108.957812</t>
  </si>
  <si>
    <t>full_h04/Quảng Ngãi/Quảng Ngãi Cấp III - IV/Quảng Ngãi Cấp IV/Cấp 4 Ring 16/TTCMKV TX Đức Phổ - Đức Phổ/Trụ trung thế 1</t>
  </si>
  <si>
    <t>Đức Phổ-QNDP24</t>
  </si>
  <si>
    <t>14.82219</t>
  </si>
  <si>
    <t>108.96378</t>
  </si>
  <si>
    <t>FO thuê#TPComs#QNDP04-QNDP24</t>
  </si>
  <si>
    <t>TTCMKV TX Đức Phổ - Lân Phong</t>
  </si>
  <si>
    <t>891.13</t>
  </si>
  <si>
    <t>787.13</t>
  </si>
  <si>
    <t>14.815448</t>
  </si>
  <si>
    <t>108.959555</t>
  </si>
  <si>
    <t>104.00</t>
  </si>
  <si>
    <t>14.822528</t>
  </si>
  <si>
    <t>108.962878</t>
  </si>
  <si>
    <t>full_h04/Quảng Ngãi/Quảng Ngãi Cấp III - IV/Quảng Ngãi Cấp IV/Cấp 4 Ring17/TTCMKV TX Đức Phổ - Lân Phong/Trụ trung thế 1</t>
  </si>
  <si>
    <t>QNDP60-Đức Phổ</t>
  </si>
  <si>
    <t>14.8145</t>
  </si>
  <si>
    <t>108.9451</t>
  </si>
  <si>
    <t>FO DT#MBF#QNDP60-QNDP04</t>
  </si>
  <si>
    <t>Ba Tơ - Đức Phổ</t>
  </si>
  <si>
    <t>651.57</t>
  </si>
  <si>
    <t>333.13</t>
  </si>
  <si>
    <t>14.811826</t>
  </si>
  <si>
    <t>108.943702</t>
  </si>
  <si>
    <t>318.45</t>
  </si>
  <si>
    <t>14.811582</t>
  </si>
  <si>
    <t>108.955898</t>
  </si>
  <si>
    <t>full_h04/Quảng Ngãi/Quảng Ngãi Cấp III - IV/Quảng Ngãi Cấp III/Cấp 3- Ring 2/Ba Tơ - Đức Phổ/trung thế 2</t>
  </si>
  <si>
    <t>Lân Phong-Mỏ Cày</t>
  </si>
  <si>
    <t>14.98548</t>
  </si>
  <si>
    <t>108.91271</t>
  </si>
  <si>
    <t>FO thuê#CMC#QNMD24-QNMD11</t>
  </si>
  <si>
    <t>3599.60</t>
  </si>
  <si>
    <t>3594.73</t>
  </si>
  <si>
    <t>14.959303</t>
  </si>
  <si>
    <t>108.924539</t>
  </si>
  <si>
    <t>4.87</t>
  </si>
  <si>
    <t>14.985490</t>
  </si>
  <si>
    <t>108.912754</t>
  </si>
  <si>
    <t>full_h04/Quảng Ngãi/Quảng Ngãi Cấp III - IV/Quảng Ngãi Cấp IV/Cấp 4 Ring17/Lân Phong-Mỏ Cày/Trụ trung thế 2</t>
  </si>
  <si>
    <t>Mỏ Cày-QNMD06</t>
  </si>
  <si>
    <t>15.02182</t>
  </si>
  <si>
    <t>108.90242</t>
  </si>
  <si>
    <t>FO thuê#CMC#QNMD11-QNMD06</t>
  </si>
  <si>
    <t>Mỏ Cày - Long Phụng</t>
  </si>
  <si>
    <t>2417.92</t>
  </si>
  <si>
    <t>4.86</t>
  </si>
  <si>
    <t>14.985491</t>
  </si>
  <si>
    <t>2413.06</t>
  </si>
  <si>
    <t>15.001199</t>
  </si>
  <si>
    <t>108.909421</t>
  </si>
  <si>
    <t>full_h04/Quảng Ngãi/Quảng Ngãi Cấp III - IV/Quảng Ngãi Cấp IV/Cấp 4 Ring17/Mỏ Cày - Long Phụng/Trụ trung thế 1</t>
  </si>
  <si>
    <t>QNMD45-Mỏ Cày</t>
  </si>
  <si>
    <t>14.98421</t>
  </si>
  <si>
    <t>108.89432</t>
  </si>
  <si>
    <t>FO thuê#CMC#QNMD45-QNMD11</t>
  </si>
  <si>
    <t>1920.32</t>
  </si>
  <si>
    <t>1915.46</t>
  </si>
  <si>
    <t>14.989230</t>
  </si>
  <si>
    <t>108.911379</t>
  </si>
  <si>
    <t>QNMD31-Mỏ Cày</t>
  </si>
  <si>
    <t>14.96919</t>
  </si>
  <si>
    <t>108.90408</t>
  </si>
  <si>
    <t>FO thuê#CMC#QNMD31-QNMD11</t>
  </si>
  <si>
    <t>1540.45</t>
  </si>
  <si>
    <t>1535.58</t>
  </si>
  <si>
    <t>14.973222</t>
  </si>
  <si>
    <t>108.917752</t>
  </si>
  <si>
    <t>QNMD06-Long Phụng</t>
  </si>
  <si>
    <t>15.04167</t>
  </si>
  <si>
    <t>108.8642</t>
  </si>
  <si>
    <t>FO thuê#CMC#QNMD06-QNMD27</t>
  </si>
  <si>
    <t>351.61</t>
  </si>
  <si>
    <t>75.63</t>
  </si>
  <si>
    <t>15.021850</t>
  </si>
  <si>
    <t>108.903124</t>
  </si>
  <si>
    <t>275.98</t>
  </si>
  <si>
    <t>15.040078</t>
  </si>
  <si>
    <t>108.866172</t>
  </si>
  <si>
    <t>full_h04/Quảng Ngãi/Quảng Ngãi Cấp III - IV/Quảng Ngãi Cấp IV/Cấp 4 Ring17/Mỏ Cày - Long Phụng/Trụ trung thế 2</t>
  </si>
  <si>
    <t>Long Phụng-QNTN05</t>
  </si>
  <si>
    <t>FO thuê#CMC#QNMD27-QNTN05</t>
  </si>
  <si>
    <t>1673.65</t>
  </si>
  <si>
    <t>1568.77</t>
  </si>
  <si>
    <t>15.043934</t>
  </si>
  <si>
    <t>108.849780</t>
  </si>
  <si>
    <t>QNMD16-Long Phụng</t>
  </si>
  <si>
    <t>15.03913</t>
  </si>
  <si>
    <t>108.87859</t>
  </si>
  <si>
    <t>FO thuê#FFC#QNMD16-QNMD27</t>
  </si>
  <si>
    <t>649.64</t>
  </si>
  <si>
    <t>373.66</t>
  </si>
  <si>
    <t>15.035770</t>
  </si>
  <si>
    <t>108.878610</t>
  </si>
  <si>
    <t>Long Phụng-QNMD20</t>
  </si>
  <si>
    <t>15.02875</t>
  </si>
  <si>
    <t>108.858955</t>
  </si>
  <si>
    <t>FO DT#MBF#QNMD27-QNMD20</t>
  </si>
  <si>
    <t>581.88</t>
  </si>
  <si>
    <t>216.52</t>
  </si>
  <si>
    <t>15.040836</t>
  </si>
  <si>
    <t>108.862378</t>
  </si>
  <si>
    <t>365.36</t>
  </si>
  <si>
    <t>15.030893</t>
  </si>
  <si>
    <t>108.861534</t>
  </si>
  <si>
    <t>full_h04/Quảng Ngãi/Quảng Ngãi Cấp III - IV/Quảng Ngãi Cấp IV/Cấp 4 Ring17/Long Phụng - Tư Nghĩa/Trụ trung thế 1</t>
  </si>
  <si>
    <t>Phước Giang-Sơn Mai</t>
  </si>
  <si>
    <t>15.00387</t>
  </si>
  <si>
    <t>108.71807</t>
  </si>
  <si>
    <t>FO thuê#CMC#QNNH05-QNNH15</t>
  </si>
  <si>
    <t>Sơn Mai - Phước Giang</t>
  </si>
  <si>
    <t>630.80</t>
  </si>
  <si>
    <t>347.80</t>
  </si>
  <si>
    <t>15.042566</t>
  </si>
  <si>
    <t>108.742581</t>
  </si>
  <si>
    <t>283.00</t>
  </si>
  <si>
    <t>15.006115</t>
  </si>
  <si>
    <t>108.719311</t>
  </si>
  <si>
    <t>full_h04/Quảng Ngãi/Quảng Ngãi Cấp III - IV/Quảng Ngãi Cấp IV/Cấp 4 Ring 13/Sơn Mai - Phước Giang/Trụ trung thế 1</t>
  </si>
  <si>
    <t>QNNH26-Phước Giang</t>
  </si>
  <si>
    <t>15.03821</t>
  </si>
  <si>
    <t>108.73287</t>
  </si>
  <si>
    <t>FO thuê#FFC#QNNH26-QNNH05</t>
  </si>
  <si>
    <t>1084.01</t>
  </si>
  <si>
    <t>736.21</t>
  </si>
  <si>
    <t>15.031617</t>
  </si>
  <si>
    <t>108.733498</t>
  </si>
  <si>
    <t>QNNH36-Phước Giang</t>
  </si>
  <si>
    <t>FO DT#MBF#QNNH36-QNNH05</t>
  </si>
  <si>
    <t>1977.81</t>
  </si>
  <si>
    <t>1641.22</t>
  </si>
  <si>
    <t>15.047104</t>
  </si>
  <si>
    <t>108.747927</t>
  </si>
  <si>
    <t>Phước Giang-QNNH10</t>
  </si>
  <si>
    <t>15.066842</t>
  </si>
  <si>
    <t>108.75176</t>
  </si>
  <si>
    <t>FO DT#MBF#QNNH05-QNNH10</t>
  </si>
  <si>
    <t>480.75</t>
  </si>
  <si>
    <t>144.16</t>
  </si>
  <si>
    <t>15.066254</t>
  </si>
  <si>
    <t>108.750563</t>
  </si>
  <si>
    <t>QNNH07-Thiện Tín</t>
  </si>
  <si>
    <t>15.00982</t>
  </si>
  <si>
    <t>108.78337</t>
  </si>
  <si>
    <t>14.95658</t>
  </si>
  <si>
    <t>108.775098</t>
  </si>
  <si>
    <t>FO thuê#CMC#QNNH07-QNNH06</t>
  </si>
  <si>
    <t>3533.33</t>
  </si>
  <si>
    <t>3228.48</t>
  </si>
  <si>
    <t>15.007661</t>
  </si>
  <si>
    <t>108.813347</t>
  </si>
  <si>
    <t>304.84</t>
  </si>
  <si>
    <t>14.956894</t>
  </si>
  <si>
    <t>108.777917</t>
  </si>
  <si>
    <t>full_h04/Quảng Ngãi/Quảng Ngãi Cấp III - IV/Quảng Ngãi Cấp III/Cấp 3- Ring 2/TT1 Quảng Ngãi - Minh Long/trung thế 3</t>
  </si>
  <si>
    <t>Thiện Tín-QNMD28</t>
  </si>
  <si>
    <t>14.956813</t>
  </si>
  <si>
    <t>108.847593</t>
  </si>
  <si>
    <t>FO thuê#CMC#QNNH06-QNMD28</t>
  </si>
  <si>
    <t>TTCMKV Minh Long - Đình Cương</t>
  </si>
  <si>
    <t>5553.40</t>
  </si>
  <si>
    <t>248.44</t>
  </si>
  <si>
    <t>14.958562</t>
  </si>
  <si>
    <t>108.776166</t>
  </si>
  <si>
    <t>5304.96</t>
  </si>
  <si>
    <t>14.982705</t>
  </si>
  <si>
    <t>108.806114</t>
  </si>
  <si>
    <t>full_h04/Quảng Ngãi/Quảng Ngãi Cấp III - IV/Quảng Ngãi Cấp IV/Cấp 4 Ring 12/TTCMKV Minh Long - Đình Cương/Trụ trung thế 1</t>
  </si>
  <si>
    <t>QNNH02-Thiện Tín</t>
  </si>
  <si>
    <t>14.92046</t>
  </si>
  <si>
    <t>108.77181</t>
  </si>
  <si>
    <t>FO thuê#CMC#QNNH02-QNNH06</t>
  </si>
  <si>
    <t>Ba Động - Thiện Tín</t>
  </si>
  <si>
    <t>268.15</t>
  </si>
  <si>
    <t>157.23</t>
  </si>
  <si>
    <t>14.919520</t>
  </si>
  <si>
    <t>108.772904</t>
  </si>
  <si>
    <t>110.92</t>
  </si>
  <si>
    <t>14.955847</t>
  </si>
  <si>
    <t>108.774397</t>
  </si>
  <si>
    <t>full_h04/Quảng Ngãi/Quảng Ngãi Cấp III - IV/Quảng Ngãi Cấp IV/Cấp 4 Ring 11/Ba Động - Thiện Tín/Trung thế</t>
  </si>
  <si>
    <t>QNML02-Thiện Tín</t>
  </si>
  <si>
    <t>14.96255</t>
  </si>
  <si>
    <t>108.7386202</t>
  </si>
  <si>
    <t>FO DT#MBF#QNML02-QNNH06</t>
  </si>
  <si>
    <t>Thiện Tín - TTCMKV Minh Long</t>
  </si>
  <si>
    <t>154.85</t>
  </si>
  <si>
    <t>25.27</t>
  </si>
  <si>
    <t>14.962543</t>
  </si>
  <si>
    <t>108.738855</t>
  </si>
  <si>
    <t>129.58</t>
  </si>
  <si>
    <t>14.957691</t>
  </si>
  <si>
    <t>108.774734</t>
  </si>
  <si>
    <t>full_h04/Quảng Ngãi/Quảng Ngãi Cấp III - IV/Quảng Ngãi Cấp IV/Cấp 4 Ring 11/Thiện Tín - TTCMKV Minh Long/Trung thế</t>
  </si>
  <si>
    <t>QNNH16-Đình Cương</t>
  </si>
  <si>
    <t>15.01525</t>
  </si>
  <si>
    <t>108.82158</t>
  </si>
  <si>
    <t>FO thuê#CMC#QNNH16-QNNH17</t>
  </si>
  <si>
    <t>1809.87</t>
  </si>
  <si>
    <t>1588.40</t>
  </si>
  <si>
    <t>108.809188</t>
  </si>
  <si>
    <t>Đình Cương-QNNH08</t>
  </si>
  <si>
    <t>15.03804</t>
  </si>
  <si>
    <t>108.82046</t>
  </si>
  <si>
    <t>FO thuê#CMC#QNNH17-QNNH08</t>
  </si>
  <si>
    <t>2000.25</t>
  </si>
  <si>
    <t>25.40</t>
  </si>
  <si>
    <t>15.015248</t>
  </si>
  <si>
    <t>108.821816</t>
  </si>
  <si>
    <t>1974.86</t>
  </si>
  <si>
    <t>15.021352</t>
  </si>
  <si>
    <t>108.814167</t>
  </si>
  <si>
    <t>full_h04/Quảng Ngãi/Quảng Ngãi Cấp III - IV/Quảng Ngãi Cấp IV/Cấp 4 Ring 12/Đình Cương - Nghĩa Hành/Trụ hạ thế 1</t>
  </si>
  <si>
    <t>QNNH11-Đình Cương</t>
  </si>
  <si>
    <t>15.011313</t>
  </si>
  <si>
    <t>108.818012</t>
  </si>
  <si>
    <t>FO thuê#FFC#QNNH11-QNNH17</t>
  </si>
  <si>
    <t>492.08</t>
  </si>
  <si>
    <t>466.45</t>
  </si>
  <si>
    <t>15.013532</t>
  </si>
  <si>
    <t>108.821697</t>
  </si>
  <si>
    <t>25.63</t>
  </si>
  <si>
    <t>15.015243</t>
  </si>
  <si>
    <t>108.821819</t>
  </si>
  <si>
    <t>QNNH38-Đình Cương</t>
  </si>
  <si>
    <t>15.0179</t>
  </si>
  <si>
    <t>108.7974</t>
  </si>
  <si>
    <t>FO thuê#FFC#QNNH38-QNNH17</t>
  </si>
  <si>
    <t>1414.49</t>
  </si>
  <si>
    <t>1389.10</t>
  </si>
  <si>
    <t>15.023050</t>
  </si>
  <si>
    <t>108.809184</t>
  </si>
  <si>
    <t>QNNH24-Đình Cương</t>
  </si>
  <si>
    <t>FO DT#MBF#QNNH24-QNNH17</t>
  </si>
  <si>
    <t>2418.92</t>
  </si>
  <si>
    <t>2393.52</t>
  </si>
  <si>
    <t>Đình Cương-QNNH27</t>
  </si>
  <si>
    <t>15.01828</t>
  </si>
  <si>
    <t>108.83235</t>
  </si>
  <si>
    <t>FO DT#MBF#QNNH17-QNNH27</t>
  </si>
  <si>
    <t>1179.57</t>
  </si>
  <si>
    <t>0.38</t>
  </si>
  <si>
    <t>15.015252</t>
  </si>
  <si>
    <t>108.821583</t>
  </si>
  <si>
    <t>1179.19</t>
  </si>
  <si>
    <t>15.015311</t>
  </si>
  <si>
    <t>108.821809</t>
  </si>
  <si>
    <t>full_h04/Quảng Ngãi/Quảng Ngãi Cấp III - IV/Quảng Ngãi Cấp IV/Cấp 4 Ring 12/TTCMKV Minh Long - Đình Cương/trồng mới 2</t>
  </si>
  <si>
    <t>Sơn Mai-QNNH07</t>
  </si>
  <si>
    <t>FO thuê#CMC#QNNH15-QNNH07</t>
  </si>
  <si>
    <t>5538.80</t>
  </si>
  <si>
    <t>5255.80</t>
  </si>
  <si>
    <t>15.041462</t>
  </si>
  <si>
    <t>108.747014</t>
  </si>
  <si>
    <t>QNML03-Sơn Mai</t>
  </si>
  <si>
    <t>15.00338</t>
  </si>
  <si>
    <t>108.72064</t>
  </si>
  <si>
    <t>FO thuê#CMC#QNML03-QNNH15</t>
  </si>
  <si>
    <t>TTCMKV Minh Long - Sơn Mai</t>
  </si>
  <si>
    <t>256.44</t>
  </si>
  <si>
    <t>235.36</t>
  </si>
  <si>
    <t>15.003126</t>
  </si>
  <si>
    <t>108.718464</t>
  </si>
  <si>
    <t>21.07</t>
  </si>
  <si>
    <t>15.003926</t>
  </si>
  <si>
    <t>108.718257</t>
  </si>
  <si>
    <t>full_h04/Quảng Ngãi/Quảng Ngãi Cấp III - IV/Quảng Ngãi Cấp IV/Cấp 4 Ring 13/TTCMKV Minh Long - Sơn Mai/Trụ trung thế 2</t>
  </si>
  <si>
    <t>QNNH19-Sơn Mai</t>
  </si>
  <si>
    <t>15.03353</t>
  </si>
  <si>
    <t>108.74694</t>
  </si>
  <si>
    <t>FO DT#MBF#QNNH19-QNNH15</t>
  </si>
  <si>
    <t>929.87</t>
  </si>
  <si>
    <t>646.87</t>
  </si>
  <si>
    <t>15.038031</t>
  </si>
  <si>
    <t>108.743124</t>
  </si>
  <si>
    <t>CS113-QNQN47</t>
  </si>
  <si>
    <t>15.1186</t>
  </si>
  <si>
    <t>108.8064</t>
  </si>
  <si>
    <t>15.124493</t>
  </si>
  <si>
    <t>108.80507</t>
  </si>
  <si>
    <t>FO thuê#CMC#QNQN16-QNQN47</t>
  </si>
  <si>
    <t>PC01 - CS113_TRỤ HT_TRỤ III</t>
  </si>
  <si>
    <t>634.07</t>
  </si>
  <si>
    <t>28.63</t>
  </si>
  <si>
    <t>15.118627</t>
  </si>
  <si>
    <t>108.806135</t>
  </si>
  <si>
    <t>605.44</t>
  </si>
  <si>
    <t>15.119050</t>
  </si>
  <si>
    <t>108.804942</t>
  </si>
  <si>
    <t>full_h04/Quảng Ngãi/Quảng Ngãi Cấp III - IV/Quảng Ngãi Cấp III/Phòng - Ring 2/PC01 - CS113/PC01 - CS113_TRỤ HT_TRỤ III/6</t>
  </si>
  <si>
    <t>QNQN27-CS113</t>
  </si>
  <si>
    <t>15.11186</t>
  </si>
  <si>
    <t>108.80451</t>
  </si>
  <si>
    <t>FO thuê#FFC#QNQN27-QNQN16</t>
  </si>
  <si>
    <t>Cẩm Thành - TT1 QUẢNG NGÃI</t>
  </si>
  <si>
    <t>631.58</t>
  </si>
  <si>
    <t>201.22</t>
  </si>
  <si>
    <t>15.113094</t>
  </si>
  <si>
    <t>108.803139</t>
  </si>
  <si>
    <t>430.36</t>
  </si>
  <si>
    <t>15.118891</t>
  </si>
  <si>
    <t>108.802402</t>
  </si>
  <si>
    <t>full_h04/Quảng Ngãi/Quảng Ngãi Cấp III - IV/Quảng Ngãi Cấp IV/Cấp 4 Ring 16/Cẩm Thành - TT1 QUẢNG NGÃI/Trụ hạ thế 1</t>
  </si>
  <si>
    <t>QNQN33-CS113</t>
  </si>
  <si>
    <t>15.11729</t>
  </si>
  <si>
    <t>108.80927</t>
  </si>
  <si>
    <t>FO thuê#FFC#QNQN33-QNQN16</t>
  </si>
  <si>
    <t>CS113 - PK02</t>
  </si>
  <si>
    <t>81.26</t>
  </si>
  <si>
    <t>56.81</t>
  </si>
  <si>
    <t>15.117743</t>
  </si>
  <si>
    <t>108.809515</t>
  </si>
  <si>
    <t>24.45</t>
  </si>
  <si>
    <t>15.118425</t>
  </si>
  <si>
    <t>108.806263</t>
  </si>
  <si>
    <t>full_h04/Quảng Ngãi/Quảng Ngãi Cấp III - IV/Quảng Ngãi Cấp III/Phòng - Ring 2/CS113 - PK02/hạ thế 1</t>
  </si>
  <si>
    <t>QNQN03-CS113</t>
  </si>
  <si>
    <t>15.11312</t>
  </si>
  <si>
    <t>108.8081</t>
  </si>
  <si>
    <t>FO DT#MBF#QNQN03-QNQN16</t>
  </si>
  <si>
    <t>461.53</t>
  </si>
  <si>
    <t>31.17</t>
  </si>
  <si>
    <t>15.113121</t>
  </si>
  <si>
    <t>108.808390</t>
  </si>
  <si>
    <t>CS113-QNQN2J</t>
  </si>
  <si>
    <t>FO DT#MBF#QNQN16-QNQN2J</t>
  </si>
  <si>
    <t>Trương Quang Trọng - TT1 QUẢNG NGÃI</t>
  </si>
  <si>
    <t>1647.78</t>
  </si>
  <si>
    <t>971.41</t>
  </si>
  <si>
    <t>15.126534</t>
  </si>
  <si>
    <t>108.802613</t>
  </si>
  <si>
    <t>676.37</t>
  </si>
  <si>
    <t>15.132671</t>
  </si>
  <si>
    <t>108.801546</t>
  </si>
  <si>
    <t>full_h04/Quảng Ngãi/Quảng Ngãi Cấp III - IV/Quảng Ngãi Cấp IV/Cấp 4 Ring 3/Trương Quang Trọng - TT1 QUẢNG NGÃI/DL TT_2</t>
  </si>
  <si>
    <t>QNQN58-PC03</t>
  </si>
  <si>
    <t>15.10897</t>
  </si>
  <si>
    <t>108.82925</t>
  </si>
  <si>
    <t>15.12274</t>
  </si>
  <si>
    <t>108.8181</t>
  </si>
  <si>
    <t>FO thuê#FFC#QNQN58-QNQN22</t>
  </si>
  <si>
    <t>1570.23</t>
  </si>
  <si>
    <t>1216.32</t>
  </si>
  <si>
    <t>15.108153</t>
  </si>
  <si>
    <t>108.817951</t>
  </si>
  <si>
    <t>353.92</t>
  </si>
  <si>
    <t>15.122006</t>
  </si>
  <si>
    <t>108.814892</t>
  </si>
  <si>
    <t>full_h04/Quảng Ngãi/Quảng Ngãi Cấp III - IV/Quảng Ngãi Cấp III/Phòng - Ring 2/Đội CSGT Đường Thuỷ - PC08/K02 (D3/E23) - Đội CSGT Đường Thuỷ - PC08</t>
  </si>
  <si>
    <t>TT Quảng Ngãi (mới)-PC03</t>
  </si>
  <si>
    <t>15.12304</t>
  </si>
  <si>
    <t>108.82559</t>
  </si>
  <si>
    <t>FO DT#MBF#QNQN41-QNQN22</t>
  </si>
  <si>
    <t>TT1 Quảng Ngãi mới - TT1 Quảng Ngãi</t>
  </si>
  <si>
    <t>514.13</t>
  </si>
  <si>
    <t>135.80</t>
  </si>
  <si>
    <t>15.122529</t>
  </si>
  <si>
    <t>108.824441</t>
  </si>
  <si>
    <t>378.33</t>
  </si>
  <si>
    <t>15.120935</t>
  </si>
  <si>
    <t>108.821087</t>
  </si>
  <si>
    <t>full_h04/Quảng Ngãi/Quảng Ngãi Cấp III - IV/Quảng Ngãi Cấp III/Cấp 3- Ring 2/TT1 Quảng Ngãi mới - TT1 Quảng Ngãi/Hạ thé 1</t>
  </si>
  <si>
    <t>PC03-QNQN2J</t>
  </si>
  <si>
    <t>FO DT#MBF#QNQN22-QNQN2J</t>
  </si>
  <si>
    <t>PC03 - PC10</t>
  </si>
  <si>
    <t>1061.82</t>
  </si>
  <si>
    <t>383.51</t>
  </si>
  <si>
    <t>15.124038</t>
  </si>
  <si>
    <t>108.814790</t>
  </si>
  <si>
    <t>678.32</t>
  </si>
  <si>
    <t>15.132805</t>
  </si>
  <si>
    <t>108.801569</t>
  </si>
  <si>
    <t>full_h04/Quảng Ngãi/Quảng Ngãi Cấp III - IV/Quảng Ngãi Cấp III/Phòng - Ring 3/PC03 - PC10/trung thế 1</t>
  </si>
  <si>
    <t>Nghĩa Lộ-PC07</t>
  </si>
  <si>
    <t>15.12072</t>
  </si>
  <si>
    <t>108.78696</t>
  </si>
  <si>
    <t>15.12796</t>
  </si>
  <si>
    <t>108.7873</t>
  </si>
  <si>
    <t>FO thuê#CMC#QNQN12-QNQN08</t>
  </si>
  <si>
    <t>TT1 Quảng Ngãi - PC07</t>
  </si>
  <si>
    <t>52.84</t>
  </si>
  <si>
    <t>7.72</t>
  </si>
  <si>
    <t>15.120788</t>
  </si>
  <si>
    <t>108.786946</t>
  </si>
  <si>
    <t>45.11</t>
  </si>
  <si>
    <t>15.128276</t>
  </si>
  <si>
    <t>108.787037</t>
  </si>
  <si>
    <t>full_h04/Quảng Ngãi/Quảng Ngãi Cấp III - IV/Quảng Ngãi Cấp III/Phòng - Ring 1/TT1 Quảng Ngãi - PC07/TT1 Quảng Ngãi - PC07</t>
  </si>
  <si>
    <t>PC07-khối phòng CAT KV P.NL</t>
  </si>
  <si>
    <t>15.12811</t>
  </si>
  <si>
    <t>108.79552</t>
  </si>
  <si>
    <t>FO thuê#CMC#QNQN08-QNQN31</t>
  </si>
  <si>
    <t>631.68</t>
  </si>
  <si>
    <t>46.45</t>
  </si>
  <si>
    <t>15.128370</t>
  </si>
  <si>
    <t>108.787385</t>
  </si>
  <si>
    <t>585.24</t>
  </si>
  <si>
    <t>15.129201</t>
  </si>
  <si>
    <t>108.790186</t>
  </si>
  <si>
    <t>full_h04/Quảng Ngãi/Quảng Ngãi Cấp III - IV/Quảng Ngãi Cấp III/Phòng - Ring 1/PC07 - Sơn Tịnh/PC07 - Sơn Tịnh</t>
  </si>
  <si>
    <t>PC07-QNQN63</t>
  </si>
  <si>
    <t>15.14384</t>
  </si>
  <si>
    <t>108.78564</t>
  </si>
  <si>
    <t>FO thuê#CMC#QNQN08-QNQN63</t>
  </si>
  <si>
    <t>TT1 Quảng Ngãi - Sơn hà</t>
  </si>
  <si>
    <t>954.07</t>
  </si>
  <si>
    <t>443.79</t>
  </si>
  <si>
    <t>15.131817</t>
  </si>
  <si>
    <t>108.788362</t>
  </si>
  <si>
    <t>510.28</t>
  </si>
  <si>
    <t>15.139509</t>
  </si>
  <si>
    <t>108.784069</t>
  </si>
  <si>
    <t>full_h04/Quảng Ngãi/Quảng Ngãi Cấp III - IV/Quảng Ngãi Cấp III/Cấp 3 - Ring 1/TT1 Quảng Ngãi - Sơn hà/hào kỹ thuật</t>
  </si>
  <si>
    <t>QNQN51-Nghĩa Giang</t>
  </si>
  <si>
    <t>15.12125</t>
  </si>
  <si>
    <t>108.78855</t>
  </si>
  <si>
    <t>15.09571</t>
  </si>
  <si>
    <t>108.78259</t>
  </si>
  <si>
    <t>FO thuê#FFC#QNQN51-QNQN10</t>
  </si>
  <si>
    <t>999.69</t>
  </si>
  <si>
    <t>864.68</t>
  </si>
  <si>
    <t>135.01</t>
  </si>
  <si>
    <t>15.094535</t>
  </si>
  <si>
    <t>108.782274</t>
  </si>
  <si>
    <t>QNTN23-Nghĩa Giang</t>
  </si>
  <si>
    <t>15.09048</t>
  </si>
  <si>
    <t>FO DT#MBF#QNTN23-QNQN10</t>
  </si>
  <si>
    <t>1247.84</t>
  </si>
  <si>
    <t>1115.89</t>
  </si>
  <si>
    <t>15.089324</t>
  </si>
  <si>
    <t>108.785945</t>
  </si>
  <si>
    <t>131.95</t>
  </si>
  <si>
    <t>15.094568</t>
  </si>
  <si>
    <t>108.782255</t>
  </si>
  <si>
    <t>Nghĩa Giang-QNQN2J</t>
  </si>
  <si>
    <t>FO DT#MBF#QNQN10-QNQN2J</t>
  </si>
  <si>
    <t>Nghĩa Giang - TT1 QUẢNG NGÃI</t>
  </si>
  <si>
    <t>2066.14</t>
  </si>
  <si>
    <t>693.13</t>
  </si>
  <si>
    <t>15.098264</t>
  </si>
  <si>
    <t>108.788479</t>
  </si>
  <si>
    <t>1373.01</t>
  </si>
  <si>
    <t>15.120973</t>
  </si>
  <si>
    <t>108.792068</t>
  </si>
  <si>
    <t>full_h04/Quảng Ngãi/Quảng Ngãi Cấp III - IV/Quảng Ngãi Cấp IV/Cấp 4 Ring 13/Nghĩa Giang - TT1 QUẢNG NGÃI/Trụ hạ thế 1</t>
  </si>
  <si>
    <t>QNQN15-Nghĩa Lộ</t>
  </si>
  <si>
    <t>FO thuê#CMC#QNQN15-QNQN12</t>
  </si>
  <si>
    <t>285.20</t>
  </si>
  <si>
    <t>16.89</t>
  </si>
  <si>
    <t>15.120800</t>
  </si>
  <si>
    <t>108.786826</t>
  </si>
  <si>
    <t>Nghĩa Lộ-QNQN50</t>
  </si>
  <si>
    <t>15.12592</t>
  </si>
  <si>
    <t>108.78827</t>
  </si>
  <si>
    <t>FO thuê#CMC#QNQN12-QNQN50</t>
  </si>
  <si>
    <t>212.76</t>
  </si>
  <si>
    <t>195.87</t>
  </si>
  <si>
    <t>15.125795</t>
  </si>
  <si>
    <t>108.786450</t>
  </si>
  <si>
    <t>Khối Phòng PA08,PA05-QNQN45</t>
  </si>
  <si>
    <t>15.11456</t>
  </si>
  <si>
    <t>108.7962</t>
  </si>
  <si>
    <t>FO thuê#CMC#QNQN09-QNQN45</t>
  </si>
  <si>
    <t>16.58</t>
  </si>
  <si>
    <t>4.90</t>
  </si>
  <si>
    <t>15.114583</t>
  </si>
  <si>
    <t>108.796239</t>
  </si>
  <si>
    <t>Khối Phòng PA08,PA05-QNQN46</t>
  </si>
  <si>
    <t>15.12132</t>
  </si>
  <si>
    <t>108.79524</t>
  </si>
  <si>
    <t>FO thuê#CMC#QNQN09-QNQN46</t>
  </si>
  <si>
    <t>311.37</t>
  </si>
  <si>
    <t>299.69</t>
  </si>
  <si>
    <t>15.118803</t>
  </si>
  <si>
    <t>Khối Phòng PA08,PA05-QNQN55</t>
  </si>
  <si>
    <t>15.10853</t>
  </si>
  <si>
    <t>108.79265</t>
  </si>
  <si>
    <t>FO thuê#CMC#QNQN09-QNQN55</t>
  </si>
  <si>
    <t>Tư Nghĩa - TT1 QUẢNG NGÃI</t>
  </si>
  <si>
    <t>600.64</t>
  </si>
  <si>
    <t>309.87</t>
  </si>
  <si>
    <t>15.112746</t>
  </si>
  <si>
    <t>108.793737</t>
  </si>
  <si>
    <t>290.77</t>
  </si>
  <si>
    <t>15.107789</t>
  </si>
  <si>
    <t>108.790053</t>
  </si>
  <si>
    <t>full_h04/Quảng Ngãi/Quảng Ngãi Cấp III - IV/Quảng Ngãi Cấp IV/Cấp 4 Ring17/Tư Nghĩa - TT1 QUẢNG NGÃI/Trụ hạ thế 3</t>
  </si>
  <si>
    <t>QNQN18-Khối Phòng PA08,PA05</t>
  </si>
  <si>
    <t>15.11905</t>
  </si>
  <si>
    <t>108.79941</t>
  </si>
  <si>
    <t>FO thuê#FFC#QNQN18-QNQN09</t>
  </si>
  <si>
    <t>121.29</t>
  </si>
  <si>
    <t>109.61</t>
  </si>
  <si>
    <t>15.118825</t>
  </si>
  <si>
    <t>108.798416</t>
  </si>
  <si>
    <t>Khối Phòng PA08,PA05-PA03</t>
  </si>
  <si>
    <t>15.12074</t>
  </si>
  <si>
    <t>108.7989</t>
  </si>
  <si>
    <t>FO DT#MBF#QNQN09-QNQN37</t>
  </si>
  <si>
    <t>229.16</t>
  </si>
  <si>
    <t>217.48</t>
  </si>
  <si>
    <t>15.118927</t>
  </si>
  <si>
    <t>108.798140</t>
  </si>
  <si>
    <t>Trung tâm HLBD NV- PX01-Cẩm Thành</t>
  </si>
  <si>
    <t>15.12194</t>
  </si>
  <si>
    <t>108.817</t>
  </si>
  <si>
    <t>15.11488</t>
  </si>
  <si>
    <t>108.81338</t>
  </si>
  <si>
    <t>FO DT#MBF#QNQN43-QNQN19</t>
  </si>
  <si>
    <t>560.87</t>
  </si>
  <si>
    <t>226.41</t>
  </si>
  <si>
    <t>334.46</t>
  </si>
  <si>
    <t>15.115344</t>
  </si>
  <si>
    <t>108.816458</t>
  </si>
  <si>
    <t>Cẩm Thành-QNQN35</t>
  </si>
  <si>
    <t>15.13094</t>
  </si>
  <si>
    <t>108.80621</t>
  </si>
  <si>
    <t>FO DT#MBF#QNQN19-QNQN35</t>
  </si>
  <si>
    <t>351.74</t>
  </si>
  <si>
    <t>17.29</t>
  </si>
  <si>
    <t>15.131022</t>
  </si>
  <si>
    <t>108.806347</t>
  </si>
  <si>
    <t>QNTN04-An Phú</t>
  </si>
  <si>
    <t>15.09575</t>
  </si>
  <si>
    <t>108.87724</t>
  </si>
  <si>
    <t>15.12683</t>
  </si>
  <si>
    <t>108.88441</t>
  </si>
  <si>
    <t>FO thuê#FFC#QNTN04-QNQN2D</t>
  </si>
  <si>
    <t>Quảng Ngãi - Ring 1_An Phú-CAT Quảng Ngãi</t>
  </si>
  <si>
    <t>3533.57</t>
  </si>
  <si>
    <t>3521.99</t>
  </si>
  <si>
    <t>15.126675</t>
  </si>
  <si>
    <t>108.884335</t>
  </si>
  <si>
    <t>11.58</t>
  </si>
  <si>
    <t>15.126736</t>
  </si>
  <si>
    <t>108.884363</t>
  </si>
  <si>
    <t>full_h04/Quảng Ngãi/Quảng Ngãi Cấp III - IV/Quảng Ngãi Cấp IV/Cấp 4 Ring 1/Quảng Ngãi - Ring 1_An Phú-CAT Quảng Ngãi/DL TT_1</t>
  </si>
  <si>
    <t>An Phú-QNQN26</t>
  </si>
  <si>
    <t>FO thuê#FFC#QNQN2D-QNQN26</t>
  </si>
  <si>
    <t>1642.30</t>
  </si>
  <si>
    <t>1630.72</t>
  </si>
  <si>
    <t>15.124923</t>
  </si>
  <si>
    <t>108.845949</t>
  </si>
  <si>
    <t>QNQN66-An Phú</t>
  </si>
  <si>
    <t>15.134818</t>
  </si>
  <si>
    <t>108.880393</t>
  </si>
  <si>
    <t>FO thuê#FFC#QNQN66-QNQN2D</t>
  </si>
  <si>
    <t>Quảng Ngãi - Ring 1_Tịnh Khê - An Phú</t>
  </si>
  <si>
    <t>504.66</t>
  </si>
  <si>
    <t>469.96</t>
  </si>
  <si>
    <t>15.132929</t>
  </si>
  <si>
    <t>108.876476</t>
  </si>
  <si>
    <t>34.70</t>
  </si>
  <si>
    <t>15.127030</t>
  </si>
  <si>
    <t>108.884162</t>
  </si>
  <si>
    <t>full_h04/Quảng Ngãi/Quảng Ngãi Cấp III - IV/Quảng Ngãi Cấp IV/Cấp 4 Ring 1/Quảng Ngãi - Ring 1_Tịnh Khê - An Phú.kmz/Quảng Ngãi - Ring 1_Tịnh Khê - An Phú/ĐL_TT</t>
  </si>
  <si>
    <t>QNQN2G-An Phú</t>
  </si>
  <si>
    <t>15.12609</t>
  </si>
  <si>
    <t>108.87932</t>
  </si>
  <si>
    <t>FO thuê#FFC#QNQN2G-QNQN2D</t>
  </si>
  <si>
    <t>293.08</t>
  </si>
  <si>
    <t>281.50</t>
  </si>
  <si>
    <t>15.128410</t>
  </si>
  <si>
    <t>108.880370</t>
  </si>
  <si>
    <t>QNQN2H-An Phú</t>
  </si>
  <si>
    <t>15.12614</t>
  </si>
  <si>
    <t>108.85972</t>
  </si>
  <si>
    <t>FO thuê#FFC#QNQN2H-QNQN2D</t>
  </si>
  <si>
    <t>197.17</t>
  </si>
  <si>
    <t>185.59</t>
  </si>
  <si>
    <t>15.124615</t>
  </si>
  <si>
    <t>108.860423</t>
  </si>
  <si>
    <t>QNQN67-An Phú</t>
  </si>
  <si>
    <t>15.12467</t>
  </si>
  <si>
    <t>108.86877</t>
  </si>
  <si>
    <t>FO thuê#FFC#QNQN67-QNQN2D</t>
  </si>
  <si>
    <t>338.94</t>
  </si>
  <si>
    <t>327.36</t>
  </si>
  <si>
    <t>15.127604</t>
  </si>
  <si>
    <t>108.869018</t>
  </si>
  <si>
    <t>QNQN38-PC08</t>
  </si>
  <si>
    <t>15.1052</t>
  </si>
  <si>
    <t>108.8112</t>
  </si>
  <si>
    <t>15.10006</t>
  </si>
  <si>
    <t>108.8068</t>
  </si>
  <si>
    <t>FO thuê#FFC#QNQN38-QNQN25</t>
  </si>
  <si>
    <t>483.19</t>
  </si>
  <si>
    <t>443.89</t>
  </si>
  <si>
    <t>15.104867</t>
  </si>
  <si>
    <t>108.815320</t>
  </si>
  <si>
    <t>39.30</t>
  </si>
  <si>
    <t>15.099724</t>
  </si>
  <si>
    <t>108.806913</t>
  </si>
  <si>
    <t>TTCMKV Tư Nghĩa-PC08</t>
  </si>
  <si>
    <t>FO DT#MBF#QNTN_Newsite1-QNQN25</t>
  </si>
  <si>
    <t>515.21</t>
  </si>
  <si>
    <t>467.82</t>
  </si>
  <si>
    <t>15.104257</t>
  </si>
  <si>
    <t>108.807107</t>
  </si>
  <si>
    <t>PC08-QNQN03</t>
  </si>
  <si>
    <t>FO DT#MBF#QNQN25-QNQN03</t>
  </si>
  <si>
    <t>PC08 - Khối Phòng PA08_PA05</t>
  </si>
  <si>
    <t>581.97</t>
  </si>
  <si>
    <t>49.13</t>
  </si>
  <si>
    <t>15.100458</t>
  </si>
  <si>
    <t>108.806602</t>
  </si>
  <si>
    <t>532.84</t>
  </si>
  <si>
    <t>15.113075</t>
  </si>
  <si>
    <t>108.803137</t>
  </si>
  <si>
    <t>full_h04/Quảng Ngãi/Quảng Ngãi Cấp III - IV/Quảng Ngãi Cấp III/Phòng - Ring 2/PC08 - Khối Phòng PA08_PA05/PC08 - Khối Phòng PA08_PA05</t>
  </si>
  <si>
    <t>PC08-QNQN2L</t>
  </si>
  <si>
    <t>15.107173</t>
  </si>
  <si>
    <t>108.802827</t>
  </si>
  <si>
    <t>FO DT#MBF#QNQN25-QNQN2L</t>
  </si>
  <si>
    <t>90.92</t>
  </si>
  <si>
    <t>41.79</t>
  </si>
  <si>
    <t>15.107366</t>
  </si>
  <si>
    <t>108.803161</t>
  </si>
  <si>
    <t>TT Quảng Ngãi (mới)-QNQN59</t>
  </si>
  <si>
    <t>15.11917</t>
  </si>
  <si>
    <t>108.8368</t>
  </si>
  <si>
    <t>FO thuê#CMC#QNQN41-QNQN59</t>
  </si>
  <si>
    <t>799.29</t>
  </si>
  <si>
    <t>443.88</t>
  </si>
  <si>
    <t>15.119071</t>
  </si>
  <si>
    <t>108.825151</t>
  </si>
  <si>
    <t>355.41</t>
  </si>
  <si>
    <t>15.121620</t>
  </si>
  <si>
    <t>108.834674</t>
  </si>
  <si>
    <t>full_h04/Quảng Ngãi/Quảng Ngãi Cấp III - IV/Quảng Ngãi Cấp IV/Cấp 4 Ring 1/Quảng Ngãi - Ring 1_Tịnh Khê - An Phú.kmz/Quảng Ngãi - Ring 1_Tịnh Khê - An Phú/ĐL_HT</t>
  </si>
  <si>
    <t>QNQN07-TT Quảng Ngãi (mới)</t>
  </si>
  <si>
    <t>15.13104</t>
  </si>
  <si>
    <t>108.84247</t>
  </si>
  <si>
    <t>FO DT#MBF#QNQN07-QNQN41</t>
  </si>
  <si>
    <t>589.25</t>
  </si>
  <si>
    <t>145.37</t>
  </si>
  <si>
    <t>15.132324</t>
  </si>
  <si>
    <t>108.842215</t>
  </si>
  <si>
    <t>QNQN05-PA03</t>
  </si>
  <si>
    <t>15.12261</t>
  </si>
  <si>
    <t>108.80157</t>
  </si>
  <si>
    <t>FO thuê#FFC#QNQN05-QNQN37</t>
  </si>
  <si>
    <t>PA03 - PC03</t>
  </si>
  <si>
    <t>78.84</t>
  </si>
  <si>
    <t>65.99</t>
  </si>
  <si>
    <t>15.122650</t>
  </si>
  <si>
    <t>108.800957</t>
  </si>
  <si>
    <t>12.86</t>
  </si>
  <si>
    <t>15.120733</t>
  </si>
  <si>
    <t>108.798780</t>
  </si>
  <si>
    <t>full_h04/Quảng Ngãi/Quảng Ngãi Cấp III - IV/Quảng Ngãi Cấp III/Phòng - Ring 3/PA03 - PC03/Hạ thế 1</t>
  </si>
  <si>
    <t>PA03-QNQN2J</t>
  </si>
  <si>
    <t>FO DT#MBF#QNQN37-QNQN2J</t>
  </si>
  <si>
    <t>1026.17</t>
  </si>
  <si>
    <t>926.76</t>
  </si>
  <si>
    <t>15.128491</t>
  </si>
  <si>
    <t>108.795727</t>
  </si>
  <si>
    <t>99.41</t>
  </si>
  <si>
    <t>15.132609</t>
  </si>
  <si>
    <t>108.796115</t>
  </si>
  <si>
    <t>full_h04/Quảng Ngãi/Quảng Ngãi Cấp III - IV/Quảng Ngãi Cấp III/Phòng - Ring 2/khối phòng CAT KV P.NL - K02 (D3/E23)/trung thế 1</t>
  </si>
  <si>
    <t>QNQN53-Trung tâm HLBD NV- PX01</t>
  </si>
  <si>
    <t>108.82013</t>
  </si>
  <si>
    <t>FO thuê#FFC#QNQN53-QNQN43</t>
  </si>
  <si>
    <t>587.94</t>
  </si>
  <si>
    <t>361.53</t>
  </si>
  <si>
    <t>15.112512</t>
  </si>
  <si>
    <t>108.817047</t>
  </si>
  <si>
    <t>TTCMKV Tư Nghĩa-Trung tâm HLBD NV- PX01</t>
  </si>
  <si>
    <t>FO DT#MBF#QNTN_Newsite1-QNQN43</t>
  </si>
  <si>
    <t>971.37</t>
  </si>
  <si>
    <t>626.34</t>
  </si>
  <si>
    <t>15.116374</t>
  </si>
  <si>
    <t>108.816103</t>
  </si>
  <si>
    <t>khối phòng CAT KV P.NL-QNQN2J</t>
  </si>
  <si>
    <t>FO thuê#CMC#QNQN31-QNQN2J</t>
  </si>
  <si>
    <t>147.31</t>
  </si>
  <si>
    <t>47.91</t>
  </si>
  <si>
    <t>QNQN90-Tịnh Khê</t>
  </si>
  <si>
    <t>15.20055</t>
  </si>
  <si>
    <t>108.83577</t>
  </si>
  <si>
    <t>15.18297</t>
  </si>
  <si>
    <t>108.85261</t>
  </si>
  <si>
    <t>FO thuê#CMC#QNQN90-QNQN81</t>
  </si>
  <si>
    <t>127.32</t>
  </si>
  <si>
    <t>52.80</t>
  </si>
  <si>
    <t>15.200166</t>
  </si>
  <si>
    <t>108.836060</t>
  </si>
  <si>
    <t>74.52</t>
  </si>
  <si>
    <t>15.182303</t>
  </si>
  <si>
    <t>108.852679</t>
  </si>
  <si>
    <t>Tịnh Khê-QNQN78</t>
  </si>
  <si>
    <t>FO thuê#CMC#QNQN81-QNQN78</t>
  </si>
  <si>
    <t>1869.73</t>
  </si>
  <si>
    <t>148.51</t>
  </si>
  <si>
    <t>15.181643</t>
  </si>
  <si>
    <t>108.852451</t>
  </si>
  <si>
    <t>QNQN2N-Tịnh Khê</t>
  </si>
  <si>
    <t>15.1844</t>
  </si>
  <si>
    <t>108.8397</t>
  </si>
  <si>
    <t>FO DT#MBF#QNQN2N-QNQN81</t>
  </si>
  <si>
    <t>918.81</t>
  </si>
  <si>
    <t>844.29</t>
  </si>
  <si>
    <t>15.191810</t>
  </si>
  <si>
    <t>108.841418</t>
  </si>
  <si>
    <t>QNQN80-Trương Quang Trọng</t>
  </si>
  <si>
    <t>15.15256</t>
  </si>
  <si>
    <t>108.78601</t>
  </si>
  <si>
    <t>15.15547</t>
  </si>
  <si>
    <t>108.79689</t>
  </si>
  <si>
    <t>FO thuê#CMC#QNQN80-QNQN94</t>
  </si>
  <si>
    <t>PC10-PA06</t>
  </si>
  <si>
    <t>721.72</t>
  </si>
  <si>
    <t>192.61</t>
  </si>
  <si>
    <t>15.151139</t>
  </si>
  <si>
    <t>108.787036</t>
  </si>
  <si>
    <t>529.11</t>
  </si>
  <si>
    <t>15.150714</t>
  </si>
  <si>
    <t>108.796720</t>
  </si>
  <si>
    <t>full_h04/Quảng Ngãi/Quảng Ngãi Cấp III - IV/Quảng Ngãi Cấp III/Phòng - Ring 3/PC10-PA06/trung thế 1</t>
  </si>
  <si>
    <t>Trương Quang Trọng-QNST02</t>
  </si>
  <si>
    <t>FO thuê#CMC#QNQN94-QNST02</t>
  </si>
  <si>
    <t>209.25</t>
  </si>
  <si>
    <t>98.68</t>
  </si>
  <si>
    <t>15.156208</t>
  </si>
  <si>
    <t>108.797400</t>
  </si>
  <si>
    <t>full_h04/Quảng Ngãi/Quảng Ngãi Cấp III - IV/Quảng Ngãi Cấp III/Cấp 3 - Ring 1/Bình Sơn - TT1 Quảng Ngãi/trung thế 3</t>
  </si>
  <si>
    <t>QNST36-PC10</t>
  </si>
  <si>
    <t>15.14859</t>
  </si>
  <si>
    <t>108.7971</t>
  </si>
  <si>
    <t>FO thuê#CMC#QNST36-QNQN82</t>
  </si>
  <si>
    <t>1549.89</t>
  </si>
  <si>
    <t>1518.70</t>
  </si>
  <si>
    <t>15.151586</t>
  </si>
  <si>
    <t>108.778709</t>
  </si>
  <si>
    <t>31.19</t>
  </si>
  <si>
    <t>15.148739</t>
  </si>
  <si>
    <t>108.797346</t>
  </si>
  <si>
    <t>PC10-QNST10</t>
  </si>
  <si>
    <t>15.1764373</t>
  </si>
  <si>
    <t>108.7914256</t>
  </si>
  <si>
    <t>FO thuê#CMC#QNQN82-QNST10</t>
  </si>
  <si>
    <t>871.29</t>
  </si>
  <si>
    <t>244.90</t>
  </si>
  <si>
    <t>15.146458</t>
  </si>
  <si>
    <t>108.797673</t>
  </si>
  <si>
    <t>626.39</t>
  </si>
  <si>
    <t>15.177980</t>
  </si>
  <si>
    <t>108.797039</t>
  </si>
  <si>
    <t>QNST02-Thọ Phong</t>
  </si>
  <si>
    <t>15.2163</t>
  </si>
  <si>
    <t>108.76149</t>
  </si>
  <si>
    <t>FO thuê#CMC#QNST02-QNST08</t>
  </si>
  <si>
    <t>Thọ Phong - Trương Quang Trọng</t>
  </si>
  <si>
    <t>427.25</t>
  </si>
  <si>
    <t>365.07</t>
  </si>
  <si>
    <t>15.197609</t>
  </si>
  <si>
    <t>108.789320</t>
  </si>
  <si>
    <t>62.18</t>
  </si>
  <si>
    <t>15.216231</t>
  </si>
  <si>
    <t>108.762065</t>
  </si>
  <si>
    <t>full_h04/Quảng Ngãi/Quảng Ngãi Cấp III - IV/Quảng Ngãi Cấp IV/Cấp 4 Ring 3/Thọ Phong - Trương Quang Trọng/ĐL TT_1</t>
  </si>
  <si>
    <t>Thọ Phong-QNST46</t>
  </si>
  <si>
    <t>15.24031</t>
  </si>
  <si>
    <t>108.74738</t>
  </si>
  <si>
    <t>FO thuê#CMC#QNST08-QNST46</t>
  </si>
  <si>
    <t>1405.98</t>
  </si>
  <si>
    <t>61.70</t>
  </si>
  <si>
    <t>15.216234</t>
  </si>
  <si>
    <t>108.762061</t>
  </si>
  <si>
    <t>1344.28</t>
  </si>
  <si>
    <t>15.239759</t>
  </si>
  <si>
    <t>108.759897</t>
  </si>
  <si>
    <t>full_h04/Quảng Ngãi/Quảng Ngãi Cấp III - IV/Quảng Ngãi Cấp IV/Cấp 4 Ring 3/Bình Sơn - Thọ Phong/ĐL TT_2</t>
  </si>
  <si>
    <t>QNST64-Thọ Phong</t>
  </si>
  <si>
    <t>15.24004</t>
  </si>
  <si>
    <t>108.76299</t>
  </si>
  <si>
    <t>FO thuê#CMC#QNST64-QNST08</t>
  </si>
  <si>
    <t>117.83</t>
  </si>
  <si>
    <t>56.14</t>
  </si>
  <si>
    <t>15.240517</t>
  </si>
  <si>
    <t>108.763161</t>
  </si>
  <si>
    <t>QNST46-Thọ Phong</t>
  </si>
  <si>
    <t>FO thuê#TPComs#QNST46-QNST08</t>
  </si>
  <si>
    <t>Sơn Tịnh-QNST25</t>
  </si>
  <si>
    <t>15.19974</t>
  </si>
  <si>
    <t>108.76285</t>
  </si>
  <si>
    <t>FO thuê#CMC#QNST07-QNST25</t>
  </si>
  <si>
    <t>4295.74</t>
  </si>
  <si>
    <t>78.06</t>
  </si>
  <si>
    <t>15.155013</t>
  </si>
  <si>
    <t>108.735971</t>
  </si>
  <si>
    <t>4217.68</t>
  </si>
  <si>
    <t>15.190061</t>
  </si>
  <si>
    <t>108.724847</t>
  </si>
  <si>
    <t>full_h04/Quảng Ngãi/Quảng Ngãi Cấp III - IV/Quảng Ngãi Cấp IV/Cấp 4 Ring 2/Bình Chương - Sơn Tịnh/Trung thế</t>
  </si>
  <si>
    <t>QNST47-Sơn Tịnh</t>
  </si>
  <si>
    <t>15.15761</t>
  </si>
  <si>
    <t>108.76909</t>
  </si>
  <si>
    <t>FO thuê#CMC#QNST47-QNST07</t>
  </si>
  <si>
    <t>907.42</t>
  </si>
  <si>
    <t>790.80</t>
  </si>
  <si>
    <t>15.151778</t>
  </si>
  <si>
    <t>108.773307</t>
  </si>
  <si>
    <t>Trà Giang-QNTN09</t>
  </si>
  <si>
    <t>15.137501</t>
  </si>
  <si>
    <t>108.691212</t>
  </si>
  <si>
    <t>FO thuê#FFC#QNTN06-QNTN09</t>
  </si>
  <si>
    <t>Trà Giang - Nghĩa Giang</t>
  </si>
  <si>
    <t>2326.13</t>
  </si>
  <si>
    <t>1.62</t>
  </si>
  <si>
    <t>15.132306</t>
  </si>
  <si>
    <t>108.712856</t>
  </si>
  <si>
    <t>2324.52</t>
  </si>
  <si>
    <t>15.132866</t>
  </si>
  <si>
    <t>108.712329</t>
  </si>
  <si>
    <t>full_h04/Quảng Ngãi/Quảng Ngãi Cấp III - IV/Quảng Ngãi Cấp IV/Cấp 4 Ring 13/Trà Giang - Nghĩa Giang/Trồng trụ mới 1</t>
  </si>
  <si>
    <t>QNTN36-Trà Giang</t>
  </si>
  <si>
    <t>15.12321</t>
  </si>
  <si>
    <t>108.70959</t>
  </si>
  <si>
    <t>FO thuê#FFC#QNTN36-QNTN06</t>
  </si>
  <si>
    <t>749.14</t>
  </si>
  <si>
    <t>682.80</t>
  </si>
  <si>
    <t>15.129135</t>
  </si>
  <si>
    <t>108.711259</t>
  </si>
  <si>
    <t>66.34</t>
  </si>
  <si>
    <t>15.132634</t>
  </si>
  <si>
    <t>108.712358</t>
  </si>
  <si>
    <t>full_h04/Quảng Ngãi/Quảng Ngãi Cấp III - IV/Quảng Ngãi Cấp IV/Cấp 4 Ring 13/Phước Giang - Trà Giang/Trụ trung thế 2</t>
  </si>
  <si>
    <t>QNTN20-Trà Giang</t>
  </si>
  <si>
    <t>15.144255</t>
  </si>
  <si>
    <t>108.728825</t>
  </si>
  <si>
    <t>FO thuê#FFC#QNTN20-QNTN06</t>
  </si>
  <si>
    <t>1664.54</t>
  </si>
  <si>
    <t>1579.29</t>
  </si>
  <si>
    <t>15.132004</t>
  </si>
  <si>
    <t>108.721380</t>
  </si>
  <si>
    <t>85.26</t>
  </si>
  <si>
    <t>15.132867</t>
  </si>
  <si>
    <t>108.712336</t>
  </si>
  <si>
    <t>full_h04/Quảng Ngãi/Quảng Ngãi Cấp III - IV/Quảng Ngãi Cấp IV/Cấp 4 Ring 13/Trà Giang - Nghĩa Giang/Trụ trung thế 1</t>
  </si>
  <si>
    <t>PC11 (X. Nghĩa Kỳ, H. Tư Nghĩa)-Trà Giang</t>
  </si>
  <si>
    <t>15.11711</t>
  </si>
  <si>
    <t>108.7462</t>
  </si>
  <si>
    <t>FO DT#MBF#QNTN66-QNTN06</t>
  </si>
  <si>
    <t>376.76</t>
  </si>
  <si>
    <t>291.51</t>
  </si>
  <si>
    <t>15.119568</t>
  </si>
  <si>
    <t>108.747144</t>
  </si>
  <si>
    <t>QNTN38-Vệ Giang</t>
  </si>
  <si>
    <t>15.030881</t>
  </si>
  <si>
    <t>108.839769</t>
  </si>
  <si>
    <t>15.04918</t>
  </si>
  <si>
    <t>108.8491</t>
  </si>
  <si>
    <t>FO DT#MBF#QNTN38-QNTN12</t>
  </si>
  <si>
    <t>358.00</t>
  </si>
  <si>
    <t>62.50</t>
  </si>
  <si>
    <t>15.030848</t>
  </si>
  <si>
    <t>108.839188</t>
  </si>
  <si>
    <t>295.50</t>
  </si>
  <si>
    <t>15.047159</t>
  </si>
  <si>
    <t>108.847313</t>
  </si>
  <si>
    <t>full_h04/Quảng Ngãi/Quảng Ngãi Cấp III - IV/Quảng Ngãi Cấp IV/Cấp 4 Ring 16/Mộ Đức - Vệ Giang/Trụ trung thế 3</t>
  </si>
  <si>
    <t>Vệ Giang-QNTN_NEWSITE2</t>
  </si>
  <si>
    <t>FO DT#MBF#QNTN12-QNTN_NEWSITE2</t>
  </si>
  <si>
    <t>220.25</t>
  </si>
  <si>
    <t>115.37</t>
  </si>
  <si>
    <t>15.048644</t>
  </si>
  <si>
    <t>108.848180</t>
  </si>
  <si>
    <t>QNMD20-Vệ Giang</t>
  </si>
  <si>
    <t>FO DT#MBF#QNMD20-QNTN12</t>
  </si>
  <si>
    <t>1566.80</t>
  </si>
  <si>
    <t>1201.45</t>
  </si>
  <si>
    <t>15.038814</t>
  </si>
  <si>
    <t>108.852256</t>
  </si>
  <si>
    <t>QNTN40-PC11 (X. Nghĩa Kỳ, H. Tư Nghĩa)</t>
  </si>
  <si>
    <t>15.11258</t>
  </si>
  <si>
    <t>108.73561</t>
  </si>
  <si>
    <t>FO thuê#FFC#QNTN40-QNTN66</t>
  </si>
  <si>
    <t>598.44</t>
  </si>
  <si>
    <t>100.68</t>
  </si>
  <si>
    <t>15.111948</t>
  </si>
  <si>
    <t>108.734939</t>
  </si>
  <si>
    <t>497.76</t>
  </si>
  <si>
    <t>15.112887</t>
  </si>
  <si>
    <t>108.744661</t>
  </si>
  <si>
    <t>QNTN26-PC11 (X. Nghĩa Kỳ, H. Tư Nghĩa)</t>
  </si>
  <si>
    <t>FO thuê#FFC#QNTN26-QNTN66</t>
  </si>
  <si>
    <t>Trường Giang - TT1 QUẢNG NGÃI</t>
  </si>
  <si>
    <t>303.81</t>
  </si>
  <si>
    <t>97.22</t>
  </si>
  <si>
    <t>15.116405</t>
  </si>
  <si>
    <t>108.754485</t>
  </si>
  <si>
    <t>206.60</t>
  </si>
  <si>
    <t>15.118936</t>
  </si>
  <si>
    <t>108.746558</t>
  </si>
  <si>
    <t>full_h04/Quảng Ngãi/Quảng Ngãi Cấp III - IV/Quảng Ngãi Cấp IV/Cấp 4 Ring 7/Trường Giang - TT1 QUẢNG NGÃI/Hạ thế</t>
  </si>
  <si>
    <t>PC11 (X. Nghĩa Kỳ, H. Tư Nghĩa)-QNTN10</t>
  </si>
  <si>
    <t>FO thuê#FFC#QNTN66-QNTN10</t>
  </si>
  <si>
    <t>564.60</t>
  </si>
  <si>
    <t>66.83</t>
  </si>
  <si>
    <t>15.093600</t>
  </si>
  <si>
    <t>108.750170</t>
  </si>
  <si>
    <t>QNQN2B-Tư Nghĩa</t>
  </si>
  <si>
    <t>15.11337</t>
  </si>
  <si>
    <t>108.8636</t>
  </si>
  <si>
    <t>FO thuê#FFC#QNQN2B-QNTN39</t>
  </si>
  <si>
    <t>4454.04</t>
  </si>
  <si>
    <t>1296.06</t>
  </si>
  <si>
    <t>3157.98</t>
  </si>
  <si>
    <t>15.119130</t>
  </si>
  <si>
    <t>108.825180</t>
  </si>
  <si>
    <t>QNTN08-Tư Nghĩa</t>
  </si>
  <si>
    <t>15.093257</t>
  </si>
  <si>
    <t>108.849189</t>
  </si>
  <si>
    <t>FO thuê#FFC#QNTN08-QNTN39</t>
  </si>
  <si>
    <t>2723.56</t>
  </si>
  <si>
    <t>2001.09</t>
  </si>
  <si>
    <t>15.089960</t>
  </si>
  <si>
    <t>108.830865</t>
  </si>
  <si>
    <t>722.47</t>
  </si>
  <si>
    <t>15.093293</t>
  </si>
  <si>
    <t>108.828044</t>
  </si>
  <si>
    <t>CAT TT Huế mới-HUPV01</t>
  </si>
  <si>
    <t>16.47699</t>
  </si>
  <si>
    <t>107.6256</t>
  </si>
  <si>
    <t>16.54695</t>
  </si>
  <si>
    <t>107.63797</t>
  </si>
  <si>
    <t>FO DT#MBF#HUPV08-HUPV09</t>
  </si>
  <si>
    <t>Ring 7 Hóa Châu-Mỹ Thượng</t>
  </si>
  <si>
    <t>3507.62</t>
  </si>
  <si>
    <t>1903.66</t>
  </si>
  <si>
    <t>16.493866</t>
  </si>
  <si>
    <t>107.622596</t>
  </si>
  <si>
    <t>1603.95</t>
  </si>
  <si>
    <t>16.534875</t>
  </si>
  <si>
    <t>107.629738</t>
  </si>
  <si>
    <t>full_h04/Huế/Mang cap 4/Ring 7/Ring 7 Hóa Châu-Mỹ Thượng/Tuyến trung thế 2</t>
  </si>
  <si>
    <t>TTCMKV Phú Vang-HUPLMA02</t>
  </si>
  <si>
    <t>16.44</t>
  </si>
  <si>
    <t>107.7165</t>
  </si>
  <si>
    <t>16.269802</t>
  </si>
  <si>
    <t>107.8984</t>
  </si>
  <si>
    <t>FO DT#MBF#HUPV48-HUPLMA02</t>
  </si>
  <si>
    <t>TTCMKV_Ring 1_Phú Vang-Phú Lộc</t>
  </si>
  <si>
    <t>14876.49</t>
  </si>
  <si>
    <t>6451.64</t>
  </si>
  <si>
    <t>16.432221</t>
  </si>
  <si>
    <t>107.776447</t>
  </si>
  <si>
    <t>8424.86</t>
  </si>
  <si>
    <t>16.345566</t>
  </si>
  <si>
    <t>107.899031</t>
  </si>
  <si>
    <t>full_h04/Huế/Mạng cấp 3/Ring 1 TTCMKV/TTCMKV_Ring 1_Phú Vang-Phú Lộc/Trung thế</t>
  </si>
  <si>
    <t>TTCMKV Phú Lộc-HUPLMA01</t>
  </si>
  <si>
    <t>16.277</t>
  </si>
  <si>
    <t>107.8626</t>
  </si>
  <si>
    <t>16.339514</t>
  </si>
  <si>
    <t>107.743756</t>
  </si>
  <si>
    <t>FO DT#MBF#HUPLMA02-HUHTMA01</t>
  </si>
  <si>
    <t>Ring 13_Hương Phú-TTCMKV Phú Lộc</t>
  </si>
  <si>
    <t>4467.69</t>
  </si>
  <si>
    <t>710.67</t>
  </si>
  <si>
    <t>16.282230</t>
  </si>
  <si>
    <t>107.858773</t>
  </si>
  <si>
    <t>3757.02</t>
  </si>
  <si>
    <t>16.321273</t>
  </si>
  <si>
    <t>107.773392</t>
  </si>
  <si>
    <t>full_h04/Huế/Mang cap 4/Ring 13/Ring 13_Hương Phú-TTCMKV Phú Lộc/Trung thế</t>
  </si>
  <si>
    <t>TTCMKV Hương Thủy-HUPV08</t>
  </si>
  <si>
    <t>16.4092</t>
  </si>
  <si>
    <t>107.6814</t>
  </si>
  <si>
    <t>16.49516</t>
  </si>
  <si>
    <t>107.62916</t>
  </si>
  <si>
    <t>FO DT#MBF#HUHT01-HUTH2N</t>
  </si>
  <si>
    <t>TTCMKV_Ring 1_Hương Thủy-CAT Huế mới</t>
  </si>
  <si>
    <t>5362.34</t>
  </si>
  <si>
    <t>281.25</t>
  </si>
  <si>
    <t>16.410369</t>
  </si>
  <si>
    <t>107.679062</t>
  </si>
  <si>
    <t>5081.09</t>
  </si>
  <si>
    <t>16.449481</t>
  </si>
  <si>
    <t>107.627885</t>
  </si>
  <si>
    <t>full_h04/Huế/Mạng cấp 3/Ring 1 TTCMKV/TTCMKV_Ring 1_Hương Thủy-CAT Huế mới/Trung thế</t>
  </si>
  <si>
    <t>TTCMKV Quảng Điền-HUHA09</t>
  </si>
  <si>
    <t>16.48623</t>
  </si>
  <si>
    <t>107.49847</t>
  </si>
  <si>
    <t>FO DT#MBF#HUHA01-HUHA08</t>
  </si>
  <si>
    <t>Ring 6 TTCMKV Quảng Điền-Kim Trà</t>
  </si>
  <si>
    <t>3050.43</t>
  </si>
  <si>
    <t>1525.21</t>
  </si>
  <si>
    <t>16.496891</t>
  </si>
  <si>
    <t>107.507471</t>
  </si>
  <si>
    <t>full_h04/Huế/Mang cap 4/Ring 6/Ring 6 TTCMKV Quảng Điền-Kim Trà/Tuyến trung thế 1</t>
  </si>
  <si>
    <t>TTCMKV Phong Điền-TTCMKV Quảng Điền</t>
  </si>
  <si>
    <t>16.5703</t>
  </si>
  <si>
    <t>107.3823</t>
  </si>
  <si>
    <t>16.56874</t>
  </si>
  <si>
    <t>107.5136</t>
  </si>
  <si>
    <t>FO DT#MBF#TTCMKV Phong Điền-TTCMKV Quảng Điền</t>
  </si>
  <si>
    <t>TTCMKV_Ring 2_Quảng Điền-Phong Điền</t>
  </si>
  <si>
    <t>1763.15</t>
  </si>
  <si>
    <t>504.24</t>
  </si>
  <si>
    <t>16.568887</t>
  </si>
  <si>
    <t>107.386796</t>
  </si>
  <si>
    <t>1258.90</t>
  </si>
  <si>
    <t>16.580060</t>
  </si>
  <si>
    <t>107.513435</t>
  </si>
  <si>
    <t>full_h04/Huế/Mạng cấp 3/Ring 2 TTCMKV/TTCMKV_Ring 2_Quảng Điền-Phong Điền/Trung thế</t>
  </si>
  <si>
    <t>PK02-HUHU1K</t>
  </si>
  <si>
    <t>16.46507</t>
  </si>
  <si>
    <t>107.5959</t>
  </si>
  <si>
    <t>16.462433</t>
  </si>
  <si>
    <t>107.59441</t>
  </si>
  <si>
    <t>FO thuê#PITC#HUTH89-HUHU1K</t>
  </si>
  <si>
    <t>Ring 1 CA TP Huế-PK02</t>
  </si>
  <si>
    <t>116.41</t>
  </si>
  <si>
    <t>24.59</t>
  </si>
  <si>
    <t>16.465113</t>
  </si>
  <si>
    <t>107.595674</t>
  </si>
  <si>
    <t>91.82</t>
  </si>
  <si>
    <t>16.463172</t>
  </si>
  <si>
    <t>107.594795</t>
  </si>
  <si>
    <t>full_h04/Huế/Mạng cấp 3/Ring phòng 1/Ring 1 CA TP Huế-PK02/Tuyến cống bể ngầm có sẵn 1</t>
  </si>
  <si>
    <t>Phú Xuân-HUHU21</t>
  </si>
  <si>
    <t>16.4873</t>
  </si>
  <si>
    <t>107.5877</t>
  </si>
  <si>
    <t>16.48302</t>
  </si>
  <si>
    <t>107.5866</t>
  </si>
  <si>
    <t>FO thuê#PITC#HUPX23-HUHU21</t>
  </si>
  <si>
    <t>Ring 1 Nguyễn Thái Học- Phú Xuân</t>
  </si>
  <si>
    <t>40.65</t>
  </si>
  <si>
    <t>23.03</t>
  </si>
  <si>
    <t>16.487349</t>
  </si>
  <si>
    <t>107.587490</t>
  </si>
  <si>
    <t>17.61</t>
  </si>
  <si>
    <t>16.482998</t>
  </si>
  <si>
    <t>107.586436</t>
  </si>
  <si>
    <t>full_h04/Huế/Mạng cấp 3/Ring phòng 1/Ring 1 Nguyễn Thái Học- Phú Xuân/Tuyến trung thế 1</t>
  </si>
  <si>
    <t>PA07-HUPV08</t>
  </si>
  <si>
    <t>16.49574</t>
  </si>
  <si>
    <t>107.5986</t>
  </si>
  <si>
    <t>FO thuê#PITC#HUTH2N-HUPV08</t>
  </si>
  <si>
    <t>Ring 3 CAT TT Huế - PA07</t>
  </si>
  <si>
    <t>772.53</t>
  </si>
  <si>
    <t>18.86</t>
  </si>
  <si>
    <t>16.495902</t>
  </si>
  <si>
    <t>107.598653</t>
  </si>
  <si>
    <t>753.68</t>
  </si>
  <si>
    <t>16.493954</t>
  </si>
  <si>
    <t>107.622204</t>
  </si>
  <si>
    <t>full_h04/Huế/Mạng cấp 3/Ring phòng 3/Ring 3 CAT TT Huế - PA07/Tuyến trung thế 1</t>
  </si>
  <si>
    <t>PC01-HUHT25</t>
  </si>
  <si>
    <t>16.47548</t>
  </si>
  <si>
    <t>107.6031</t>
  </si>
  <si>
    <t>16.476389</t>
  </si>
  <si>
    <t>107.60625</t>
  </si>
  <si>
    <t>FO thuê#PITC#HUTH1M-HUHT25</t>
  </si>
  <si>
    <t>Ring 3 PA07 - PC01</t>
  </si>
  <si>
    <t>346.19</t>
  </si>
  <si>
    <t>13.97</t>
  </si>
  <si>
    <t>16.475571</t>
  </si>
  <si>
    <t>107.603190</t>
  </si>
  <si>
    <t>332.22</t>
  </si>
  <si>
    <t>16.475852</t>
  </si>
  <si>
    <t>107.603185</t>
  </si>
  <si>
    <t>full_h04/Huế/Mạng cấp 3/Ring phòng 3/Ring 3 PA07 - PC01/Tuyến hạ thế EVN 1</t>
  </si>
  <si>
    <t>PC08 (CS1)-HUHU92</t>
  </si>
  <si>
    <t>16.45136</t>
  </si>
  <si>
    <t>107.6125</t>
  </si>
  <si>
    <t>16.45792</t>
  </si>
  <si>
    <t>107.59661</t>
  </si>
  <si>
    <t>FO thuê#PITC#HUTH05-HUHU92</t>
  </si>
  <si>
    <t>TTCMKV_Ring 2_Phong Điền-CAT Huế mới</t>
  </si>
  <si>
    <t>493.30</t>
  </si>
  <si>
    <t>111.91</t>
  </si>
  <si>
    <t>16.452243</t>
  </si>
  <si>
    <t>107.613004</t>
  </si>
  <si>
    <t>381.39</t>
  </si>
  <si>
    <t>16.457075</t>
  </si>
  <si>
    <t>107.600076</t>
  </si>
  <si>
    <t>full_h04/Huế/Mạng cấp 3/Ring 2 TTCMKV/TTCMKV_Ring 2_Phong Điền-CAT Huế mới/Hạ thế</t>
  </si>
  <si>
    <t>PC06 (54 Hùng Vương)-HUHU02</t>
  </si>
  <si>
    <t>16.46196</t>
  </si>
  <si>
    <t>107.5961</t>
  </si>
  <si>
    <t>16.464639</t>
  </si>
  <si>
    <t>107.589694</t>
  </si>
  <si>
    <t>FO thuê#PITC#HUTH01-HUHU02</t>
  </si>
  <si>
    <t>684.71</t>
  </si>
  <si>
    <t>143.93</t>
  </si>
  <si>
    <t>16.463032</t>
  </si>
  <si>
    <t>107.595343</t>
  </si>
  <si>
    <t>540.78</t>
  </si>
  <si>
    <t>16.464183</t>
  </si>
  <si>
    <t>107.594743</t>
  </si>
  <si>
    <t>Trung tâm SHLX PC08-HUHA33</t>
  </si>
  <si>
    <t>16.40444</t>
  </si>
  <si>
    <t>107.6318</t>
  </si>
  <si>
    <t>16.37601</t>
  </si>
  <si>
    <t>107.56237</t>
  </si>
  <si>
    <t>FO thuê#PITC#HUHT27-HUHA33</t>
  </si>
  <si>
    <t>Ring 12_Bình Điền-TTCMKV Hương Thủy</t>
  </si>
  <si>
    <t>6284.57</t>
  </si>
  <si>
    <t>3752.34</t>
  </si>
  <si>
    <t>16.397697</t>
  </si>
  <si>
    <t>107.597332</t>
  </si>
  <si>
    <t>2532.23</t>
  </si>
  <si>
    <t>16.393180</t>
  </si>
  <si>
    <t>107.577963</t>
  </si>
  <si>
    <t>full_h04/Huế/Mang cap 4/Ring 12/Ring 12_Bình Điền-TTCMKV Hương Thủy/Trung thế</t>
  </si>
  <si>
    <t>PC04 (trung tâm cái nghiện)-HUHA01</t>
  </si>
  <si>
    <t>16.42841</t>
  </si>
  <si>
    <t>107.5107</t>
  </si>
  <si>
    <t>16.5252</t>
  </si>
  <si>
    <t>107.47588</t>
  </si>
  <si>
    <t>FO thuê#PITC#HUHA09-HUHA01</t>
  </si>
  <si>
    <t>7974.80</t>
  </si>
  <si>
    <t>7414.04</t>
  </si>
  <si>
    <t>16.483526</t>
  </si>
  <si>
    <t>107.549825</t>
  </si>
  <si>
    <t>16.523812</t>
  </si>
  <si>
    <t>107.480937</t>
  </si>
  <si>
    <t>full_h04/Huế/Mạng cấp 3/Ring 2 TTCMKV/TTCMKV_Ring 2_Phong Điền-CAT Huế mới/Trung thế</t>
  </si>
  <si>
    <t>PC07 (52 Hùng Vương)-HUHU1K</t>
  </si>
  <si>
    <t>16.4625</t>
  </si>
  <si>
    <t>107.5951</t>
  </si>
  <si>
    <t>FO thuê#PITC#HUTH48-HUHU1K</t>
  </si>
  <si>
    <t>PC07 (52 Hùng Vương) - TT Huế</t>
  </si>
  <si>
    <t>16.462487</t>
  </si>
  <si>
    <t>107.594978</t>
  </si>
  <si>
    <t>60.87</t>
  </si>
  <si>
    <t>full_h04/Huế/Mạng cấp 3/Các đơn vị vị CA TP - Đơn nhánh/PC07 (52 Hùng Vương) - TT Huế/Tuyến cống bể xây mới 2</t>
  </si>
  <si>
    <t>Nhà Ga Sân bay Phú Bài-HUHT28</t>
  </si>
  <si>
    <t>16.39632</t>
  </si>
  <si>
    <t>107.7031</t>
  </si>
  <si>
    <t>16.39312</t>
  </si>
  <si>
    <t>107.60934</t>
  </si>
  <si>
    <t>FO thuê#PITC#HUHT24-HUHT28</t>
  </si>
  <si>
    <t>4055.05</t>
  </si>
  <si>
    <t>3002.96</t>
  </si>
  <si>
    <t>16.410386</t>
  </si>
  <si>
    <t>107.679068</t>
  </si>
  <si>
    <t>1052.09</t>
  </si>
  <si>
    <t>16.398535</t>
  </si>
  <si>
    <t>107.617428</t>
  </si>
  <si>
    <t>Nguyễn Thái Học-HUHU1K</t>
  </si>
  <si>
    <t>16.46768</t>
  </si>
  <si>
    <t>107.595</t>
  </si>
  <si>
    <t>FO thuê#PITC#HUTH49-HUHU1K</t>
  </si>
  <si>
    <t>Ring 1 PK02 - Nguyễn Thái Học</t>
  </si>
  <si>
    <t>338.80</t>
  </si>
  <si>
    <t>21.06</t>
  </si>
  <si>
    <t>16.467756</t>
  </si>
  <si>
    <t>107.595181</t>
  </si>
  <si>
    <t>317.75</t>
  </si>
  <si>
    <t>16.465074</t>
  </si>
  <si>
    <t>107.595547</t>
  </si>
  <si>
    <t>full_h04/Huế/Mạng cấp 3/Ring phòng 1/Ring 1 PK02 - Nguyễn Thái Học/Tuyến cống bể có sẵn</t>
  </si>
  <si>
    <t>Phong Quảng-HUHA27</t>
  </si>
  <si>
    <t>16.66898</t>
  </si>
  <si>
    <t>107.4792</t>
  </si>
  <si>
    <t>16.59592</t>
  </si>
  <si>
    <t>107.57578</t>
  </si>
  <si>
    <t>FO thuê#PITC#HUQD06-HUHA27</t>
  </si>
  <si>
    <t>Ring 4 Phong Quảng-TTCMKV Quảng
Điền</t>
  </si>
  <si>
    <t>146.69</t>
  </si>
  <si>
    <t>81.43</t>
  </si>
  <si>
    <t>16.668636</t>
  </si>
  <si>
    <t>107.478525</t>
  </si>
  <si>
    <t>65.26</t>
  </si>
  <si>
    <t>16.595823</t>
  </si>
  <si>
    <t>107.575176</t>
  </si>
  <si>
    <t>full_h04/Huế/Mang cap 4/Ring 4/Ring 4 Phong Quảng-TTCMKV Quảng
Điền/Tuyến trung thế 1</t>
  </si>
  <si>
    <t>Hương Trà-HUHA21</t>
  </si>
  <si>
    <t>16.5235</t>
  </si>
  <si>
    <t>107.4753</t>
  </si>
  <si>
    <t>16.49953</t>
  </si>
  <si>
    <t>107.44453</t>
  </si>
  <si>
    <t>FO thuê#PITC#HUHA01-HUHA21</t>
  </si>
  <si>
    <t>Ring 5 Phong Thái-Hương Trà</t>
  </si>
  <si>
    <t>3949.23</t>
  </si>
  <si>
    <t>75.87</t>
  </si>
  <si>
    <t>16.523371</t>
  </si>
  <si>
    <t>107.474601</t>
  </si>
  <si>
    <t>3873.36</t>
  </si>
  <si>
    <t>16.525274</t>
  </si>
  <si>
    <t>107.469005</t>
  </si>
  <si>
    <t>full_h04/Huế/Mang cap 4/Ring 5/Ring 5 Phong Thái-Hương Trà/Tuyến trung thế 1</t>
  </si>
  <si>
    <t>Đan Điền-HUHA01</t>
  </si>
  <si>
    <t>16.53095</t>
  </si>
  <si>
    <t>107.4919</t>
  </si>
  <si>
    <t>FO thuê#PITC#HUQD08-HUHA01</t>
  </si>
  <si>
    <t>Ring 5 Hương Trà-Đan Điền</t>
  </si>
  <si>
    <t>926.13</t>
  </si>
  <si>
    <t>362.13</t>
  </si>
  <si>
    <t>16.528243</t>
  </si>
  <si>
    <t>107.493789</t>
  </si>
  <si>
    <t>564.00</t>
  </si>
  <si>
    <t>16.523380</t>
  </si>
  <si>
    <t>107.480818</t>
  </si>
  <si>
    <t>full_h04/Huế/Mang cap 4/Ring 5/Ring 5 Hương Trà-Đan Điền/Tuyến trung thế 1</t>
  </si>
  <si>
    <t>Kim Trà-HUHA08</t>
  </si>
  <si>
    <t>16.4913</t>
  </si>
  <si>
    <t>107.5208</t>
  </si>
  <si>
    <t>16.50409</t>
  </si>
  <si>
    <t>107.51433</t>
  </si>
  <si>
    <t>FO thuê#PITC#HUHA35-HUHA08</t>
  </si>
  <si>
    <t>115.09</t>
  </si>
  <si>
    <t>32.30</t>
  </si>
  <si>
    <t>16.491366</t>
  </si>
  <si>
    <t>107.521095</t>
  </si>
  <si>
    <t>82.79</t>
  </si>
  <si>
    <t>16.503764</t>
  </si>
  <si>
    <t>107.513632</t>
  </si>
  <si>
    <t>Hương An-HUHA35</t>
  </si>
  <si>
    <t>16.4687</t>
  </si>
  <si>
    <t>107.5243</t>
  </si>
  <si>
    <t>16.48894</t>
  </si>
  <si>
    <t>107.52013</t>
  </si>
  <si>
    <t>FO thuê#PITC#HUPX18-HUHA35</t>
  </si>
  <si>
    <t>Ring 6 Kim Trà-Hương An</t>
  </si>
  <si>
    <t>190.84</t>
  </si>
  <si>
    <t>59.18</t>
  </si>
  <si>
    <t>16.468193</t>
  </si>
  <si>
    <t>107.524468</t>
  </si>
  <si>
    <t>131.65</t>
  </si>
  <si>
    <t>16.487960</t>
  </si>
  <si>
    <t>107.520823</t>
  </si>
  <si>
    <t>full_h04/Huế/Mang cap 4/Ring 6/Ring 6 Kim Trà-Hương An/Tuyến trung thế 1</t>
  </si>
  <si>
    <t>Kim Long-HUHA05</t>
  </si>
  <si>
    <t>16.4395</t>
  </si>
  <si>
    <t>107.5244</t>
  </si>
  <si>
    <t>16.45876</t>
  </si>
  <si>
    <t>107.52106</t>
  </si>
  <si>
    <t>FO thuê#PITC#HUPX73-HUHA05</t>
  </si>
  <si>
    <t>Ring 6 Hương An-Kim Long</t>
  </si>
  <si>
    <t>129.84</t>
  </si>
  <si>
    <t>66.18</t>
  </si>
  <si>
    <t>16.439848</t>
  </si>
  <si>
    <t>107.523897</t>
  </si>
  <si>
    <t>63.66</t>
  </si>
  <si>
    <t>16.458561</t>
  </si>
  <si>
    <t>107.520500</t>
  </si>
  <si>
    <t>full_h04/Huế/Mang cap 4/Ring 6/Ring 6 Hương An-Kim Long/Tuyến trung thế 1</t>
  </si>
  <si>
    <t>Hóa Châu-HUPV01</t>
  </si>
  <si>
    <t>16.5544</t>
  </si>
  <si>
    <t>107.5804</t>
  </si>
  <si>
    <t>FO thuê#PITC#HUTH98-HUPV01</t>
  </si>
  <si>
    <t>2241.22</t>
  </si>
  <si>
    <t>36.64</t>
  </si>
  <si>
    <t>16.554606</t>
  </si>
  <si>
    <t>107.580668</t>
  </si>
  <si>
    <t>2204.58</t>
  </si>
  <si>
    <t>16.549902</t>
  </si>
  <si>
    <t>107.617518</t>
  </si>
  <si>
    <t>full_h04/Huế/Mang cap 4/Ring 7/Ring 7 Hóa Châu-Mỹ Thượng/Tuyến trung thế 1</t>
  </si>
  <si>
    <t>Mỹ Thượng-HUPV09</t>
  </si>
  <si>
    <t>16.5046</t>
  </si>
  <si>
    <t>107.6264</t>
  </si>
  <si>
    <t>16.48118</t>
  </si>
  <si>
    <t>107.68446</t>
  </si>
  <si>
    <t>FO thuê#PITC#HUPV08-HUPV09</t>
  </si>
  <si>
    <t>TTCMKV_Ring 1_CAT Huế mới-Phú Vang</t>
  </si>
  <si>
    <t>2918.39</t>
  </si>
  <si>
    <t>2714.13</t>
  </si>
  <si>
    <t>16.487858</t>
  </si>
  <si>
    <t>107.644924</t>
  </si>
  <si>
    <t>204.26</t>
  </si>
  <si>
    <t>16.480133</t>
  </si>
  <si>
    <t>107.682886</t>
  </si>
  <si>
    <t>full_h04/Huế/Mạng cấp 3/Ring 1 TTCMKV/TTCMKV_Ring 1_CAT Huế mới-Phú Vang/Trung thế</t>
  </si>
  <si>
    <t>Dương Nỗ-HUPV19</t>
  </si>
  <si>
    <t>16.5127</t>
  </si>
  <si>
    <t>107.5997</t>
  </si>
  <si>
    <t>16.5376</t>
  </si>
  <si>
    <t>107.59998</t>
  </si>
  <si>
    <t>FO thuê#PITC#HUTH1F-HUPV19</t>
  </si>
  <si>
    <t>Ring 8 Dương Nỗ-Thuận An</t>
  </si>
  <si>
    <t>2010.03</t>
  </si>
  <si>
    <t>14.74</t>
  </si>
  <si>
    <t>16.512826</t>
  </si>
  <si>
    <t>107.599742</t>
  </si>
  <si>
    <t>1995.28</t>
  </si>
  <si>
    <t>16.529237</t>
  </si>
  <si>
    <t>107.616541</t>
  </si>
  <si>
    <t>full_h04/Huế/Mang cap 4/Ring 8/Ring 8 Dương Nỗ-Thuận An/Tuyến trung thế 1</t>
  </si>
  <si>
    <t>Thuận An-HUPV16</t>
  </si>
  <si>
    <t>16.54379</t>
  </si>
  <si>
    <t>107.6362</t>
  </si>
  <si>
    <t>16.53545</t>
  </si>
  <si>
    <t>107.6181</t>
  </si>
  <si>
    <t>FO thuê#PITC#HUTH1E-HUPV16</t>
  </si>
  <si>
    <t>521.73</t>
  </si>
  <si>
    <t>16.543879</t>
  </si>
  <si>
    <t>107.636127</t>
  </si>
  <si>
    <t>509.17</t>
  </si>
  <si>
    <t>16.530933</t>
  </si>
  <si>
    <t>107.618884</t>
  </si>
  <si>
    <t>An Cựu-HUHU79</t>
  </si>
  <si>
    <t>16.4588</t>
  </si>
  <si>
    <t>107.6088</t>
  </si>
  <si>
    <t>16.46218</t>
  </si>
  <si>
    <t>107.60086</t>
  </si>
  <si>
    <t>FO thuê#PITC#HUTH53-HUHU79</t>
  </si>
  <si>
    <t>150.99</t>
  </si>
  <si>
    <t>144.19</t>
  </si>
  <si>
    <t>16.459177</t>
  </si>
  <si>
    <t>107.607506</t>
  </si>
  <si>
    <t>6.80</t>
  </si>
  <si>
    <t>16.462241</t>
  </si>
  <si>
    <t>107.600860</t>
  </si>
  <si>
    <t>full_h04/Huế/Mạng cấp 3/Ring phòng 1/Ring 1 CA TP Huế-PK02/Tuyến trung thế 1</t>
  </si>
  <si>
    <t>Phú Hồ-HUHT19</t>
  </si>
  <si>
    <t>16.45432</t>
  </si>
  <si>
    <t>107.6804</t>
  </si>
  <si>
    <t>16.44568</t>
  </si>
  <si>
    <t>107.64968</t>
  </si>
  <si>
    <t>FO thuê#PITC#HUPV27-HUHT19</t>
  </si>
  <si>
    <t>Ring 9 An Cựu-Phú Hồ</t>
  </si>
  <si>
    <t>1947.88</t>
  </si>
  <si>
    <t>16.07</t>
  </si>
  <si>
    <t>16.454187</t>
  </si>
  <si>
    <t>107.680341</t>
  </si>
  <si>
    <t>1931.81</t>
  </si>
  <si>
    <t>16.443624</t>
  </si>
  <si>
    <t>107.667667</t>
  </si>
  <si>
    <t>full_h04/Huế/Mang cap 4/Ring 9/Ring 9 An Cựu-Phú Hồ/Tuyến trung thế 2</t>
  </si>
  <si>
    <t>Vỹ Dạ-HUHU94</t>
  </si>
  <si>
    <t>16.4783</t>
  </si>
  <si>
    <t>107.5993</t>
  </si>
  <si>
    <t>16.47032</t>
  </si>
  <si>
    <t>107.59989</t>
  </si>
  <si>
    <t>FO thuê#PITC#HUTH30-HUHU94</t>
  </si>
  <si>
    <t>491.00</t>
  </si>
  <si>
    <t>314.15</t>
  </si>
  <si>
    <t>16.479895</t>
  </si>
  <si>
    <t>107.601732</t>
  </si>
  <si>
    <t>176.85</t>
  </si>
  <si>
    <t>16.471789</t>
  </si>
  <si>
    <t>107.600525</t>
  </si>
  <si>
    <t>full_h04/Huế/Mạng cấp 3/Các đơn vị vị CA TP - Đơn nhánh/PC07 (52 Hùng Vương) - TT Huế/Tuyến trung thế 1</t>
  </si>
  <si>
    <t>Thanh Thủy (CS1)-HUHT18</t>
  </si>
  <si>
    <t>16.4431</t>
  </si>
  <si>
    <t>107.6164</t>
  </si>
  <si>
    <t>16.46042</t>
  </si>
  <si>
    <t>107.61993</t>
  </si>
  <si>
    <t>FO thuê#PITC#HUHT32-HUHT18</t>
  </si>
  <si>
    <t>1256.68</t>
  </si>
  <si>
    <t>814.52</t>
  </si>
  <si>
    <t>16.450233</t>
  </si>
  <si>
    <t>107.618140</t>
  </si>
  <si>
    <t>442.16</t>
  </si>
  <si>
    <t>16.460461</t>
  </si>
  <si>
    <t>107.624076</t>
  </si>
  <si>
    <t>Hương Thủy-HUHT32</t>
  </si>
  <si>
    <t>16.43964</t>
  </si>
  <si>
    <t>107.614</t>
  </si>
  <si>
    <t>FO thuê#PITC#HUHT15-HUHT32</t>
  </si>
  <si>
    <t>Ring 11 "Thủy Xuân-TTCMKV TX Hương
Thủy"</t>
  </si>
  <si>
    <t>669.52</t>
  </si>
  <si>
    <t>68.68</t>
  </si>
  <si>
    <t>16.408671</t>
  </si>
  <si>
    <t>107.681068</t>
  </si>
  <si>
    <t>600.84</t>
  </si>
  <si>
    <t>16.434963</t>
  </si>
  <si>
    <t>107.611178</t>
  </si>
  <si>
    <t>full_h04/Huế/Mang cap 4/Ring 11/Ring 11 "Thủy Xuân-TTCMKV TX Hương
Thủy"/Tuyến trung thế 1</t>
  </si>
  <si>
    <t>Thủy Xuân-HUHU1K</t>
  </si>
  <si>
    <t>16.4447</t>
  </si>
  <si>
    <t>107.5441</t>
  </si>
  <si>
    <t>FO thuê#PITC#HUTH35-HUHU1K</t>
  </si>
  <si>
    <t>Ring 11 CAT Thừa Thiên Huế-Thủy Xuân</t>
  </si>
  <si>
    <t>3150.34</t>
  </si>
  <si>
    <t>459.56</t>
  </si>
  <si>
    <t>16.442993</t>
  </si>
  <si>
    <t>107.540175</t>
  </si>
  <si>
    <t>2690.77</t>
  </si>
  <si>
    <t>16.439700</t>
  </si>
  <si>
    <t>107.585761</t>
  </si>
  <si>
    <t>full_h04/Huế/Mang cap 4/Ring 11/Ring 11 CAT Thừa Thiên Huế-Thủy Xuân/Tuyến trung thế 1</t>
  </si>
  <si>
    <t>Bình Điền-HUHU86</t>
  </si>
  <si>
    <t>16.34926</t>
  </si>
  <si>
    <t>107.5051</t>
  </si>
  <si>
    <t>16.43848</t>
  </si>
  <si>
    <t>107.59922</t>
  </si>
  <si>
    <t>FO thuê#PITC#HUPX72-HUHU86</t>
  </si>
  <si>
    <t>Ring 12_CAT Huế mới-Bình Điền</t>
  </si>
  <si>
    <t>6002.95</t>
  </si>
  <si>
    <t>53.04</t>
  </si>
  <si>
    <t>16.349127</t>
  </si>
  <si>
    <t>107.504623</t>
  </si>
  <si>
    <t>5949.91</t>
  </si>
  <si>
    <t>16.396788</t>
  </si>
  <si>
    <t>107.564254</t>
  </si>
  <si>
    <t>full_h04/Huế/Mang cap 4/Ring 12/Ring 12_CAT Huế mới-Bình Điền/Trung thế</t>
  </si>
  <si>
    <t>Thanh Thủy (CS2)-HUHU08</t>
  </si>
  <si>
    <t>16.4432</t>
  </si>
  <si>
    <t>107.6205</t>
  </si>
  <si>
    <t>16.44969</t>
  </si>
  <si>
    <t>107.60714</t>
  </si>
  <si>
    <t>FO thuê#PITC#HUHT12-HUHU08</t>
  </si>
  <si>
    <t>Ring 2 Phú Xuân - Hương Thủy</t>
  </si>
  <si>
    <t>172.60</t>
  </si>
  <si>
    <t>117.37</t>
  </si>
  <si>
    <t>16.444256</t>
  </si>
  <si>
    <t>107.620498</t>
  </si>
  <si>
    <t>55.23</t>
  </si>
  <si>
    <t>16.449211</t>
  </si>
  <si>
    <t>107.607276</t>
  </si>
  <si>
    <t>full_h04/Huế/Mạng cấp 3/Ring phòng 2/Ring 2 Phú Xuân - Hương Thủy/Tuyến hạ thế EVN 2</t>
  </si>
  <si>
    <t>HUHU60-CAT Huế mới</t>
  </si>
  <si>
    <t>16.48497</t>
  </si>
  <si>
    <t>107.56901</t>
  </si>
  <si>
    <t>FO thuê#PITC#HUHU60-HUHU88</t>
  </si>
  <si>
    <t>Ring 1 Phú Xuân - CAT TT Huế</t>
  </si>
  <si>
    <t>3057.31</t>
  </si>
  <si>
    <t>2854.68</t>
  </si>
  <si>
    <t>16.493091</t>
  </si>
  <si>
    <t>107.594409</t>
  </si>
  <si>
    <t>202.64</t>
  </si>
  <si>
    <t>16.478172</t>
  </si>
  <si>
    <t>107.624154</t>
  </si>
  <si>
    <t>full_h04/Huế/Mạng cấp 3/Ring phòng 1/Ring 1 Phú Xuân - CAT TT Huế/Tuyến trung thế 2</t>
  </si>
  <si>
    <t>Hóa Châu-Hóa Châu</t>
  </si>
  <si>
    <t>16.47512</t>
  </si>
  <si>
    <t>107.56109</t>
  </si>
  <si>
    <t>FO thuê#PITC#HUHA06-HUQD10</t>
  </si>
  <si>
    <t>Ring 7 TTCMKV Quảng Điền-Hóa Châu</t>
  </si>
  <si>
    <t>6923.49</t>
  </si>
  <si>
    <t>6905.29</t>
  </si>
  <si>
    <t>16.537220</t>
  </si>
  <si>
    <t>107.561479</t>
  </si>
  <si>
    <t>18.20</t>
  </si>
  <si>
    <t>16.554478</t>
  </si>
  <si>
    <t>107.580550</t>
  </si>
  <si>
    <t>full_h04/Huế/Mang cap 4/Ring 7/Ring 7 TTCMKV Quảng Điền-Hóa Châu/Tuyến trung thế 1</t>
  </si>
  <si>
    <t>HUHT25-PC01</t>
  </si>
  <si>
    <t>FO thuê#PITC#HUPV34-HUHT25</t>
  </si>
  <si>
    <t>FO thuê#PITC#HUHT25-HUHU58</t>
  </si>
  <si>
    <t>HUHU86-Thủy Xuân</t>
  </si>
  <si>
    <t>FO thuê#PITC#HUHU86-HUHT32</t>
  </si>
  <si>
    <t>827.83</t>
  </si>
  <si>
    <t>368.27</t>
  </si>
  <si>
    <t>16.435271</t>
  </si>
  <si>
    <t>107.600075</t>
  </si>
  <si>
    <t>HUHU99-CAT Huế mới</t>
  </si>
  <si>
    <t>16.45983</t>
  </si>
  <si>
    <t>107.60544</t>
  </si>
  <si>
    <t>FO thuê#PITC#HUHU99-HUHU79</t>
  </si>
  <si>
    <t>2170.08</t>
  </si>
  <si>
    <t>345.85</t>
  </si>
  <si>
    <t>16.456905</t>
  </si>
  <si>
    <t>107.606543</t>
  </si>
  <si>
    <t>1824.23</t>
  </si>
  <si>
    <t>16.460649</t>
  </si>
  <si>
    <t>107.624078</t>
  </si>
  <si>
    <t>PC11-PC11</t>
  </si>
  <si>
    <t>16.42334</t>
  </si>
  <si>
    <t>107.5887</t>
  </si>
  <si>
    <t>FO thuê#PITC#HUHU27-HUHU35</t>
  </si>
  <si>
    <t>Ring 3 PC10 - PC11</t>
  </si>
  <si>
    <t>39.70</t>
  </si>
  <si>
    <t>16.423394</t>
  </si>
  <si>
    <t>107.588523</t>
  </si>
  <si>
    <t>full_h04/Huế/Mạng cấp 3/Ring phòng 3/Ring 3 PC10 - PC11/Tuyến ngầm đầu tư mới 2</t>
  </si>
  <si>
    <t>Quảng Điền-HUHA27</t>
  </si>
  <si>
    <t>2328.67</t>
  </si>
  <si>
    <t>126.69</t>
  </si>
  <si>
    <t>16.569879</t>
  </si>
  <si>
    <t>107.513603</t>
  </si>
  <si>
    <t>2201.98</t>
  </si>
  <si>
    <t>16.579503</t>
  </si>
  <si>
    <t>107.587335</t>
  </si>
  <si>
    <t>full_h04/Huế/Mang cap 4/Ring 4/Ring 4 Phong Quảng-TTCMKV Quảng
Điền/Tuyến trung thế 2</t>
  </si>
  <si>
    <t>Thủy Xuân-HUHU49</t>
  </si>
  <si>
    <t>16.435611</t>
  </si>
  <si>
    <t>107.565278</t>
  </si>
  <si>
    <t>FO thuê#PITC#HUHT32-HUHU49</t>
  </si>
  <si>
    <t>560.18</t>
  </si>
  <si>
    <t>100.62</t>
  </si>
  <si>
    <t>16.434708</t>
  </si>
  <si>
    <t>107.565218</t>
  </si>
  <si>
    <t>CAT Huế mới-HUHU03</t>
  </si>
  <si>
    <t>16.46536</t>
  </si>
  <si>
    <t>107.56277</t>
  </si>
  <si>
    <t>FO thuê#PITC#HUHU88-HUHU03</t>
  </si>
  <si>
    <t>PC04 (trung tâm cái nghiện) - Phú Xuân</t>
  </si>
  <si>
    <t>4689.78</t>
  </si>
  <si>
    <t>3828.14</t>
  </si>
  <si>
    <t>16.478937</t>
  </si>
  <si>
    <t>107.589756</t>
  </si>
  <si>
    <t>861.64</t>
  </si>
  <si>
    <t>16.460555</t>
  </si>
  <si>
    <t>107.569109</t>
  </si>
  <si>
    <t>full_h04/Huế/Mạng cấp 3/Các đơn vị vị CA TP - Đơn nhánh/PC04 (trung tâm cái nghiện) - Phú Xuân/Tuyến cống bể ngầm có sẵn 2</t>
  </si>
  <si>
    <t>CAT Huế mới-HUHU1D</t>
  </si>
  <si>
    <t>16.47696</t>
  </si>
  <si>
    <t>107.56467</t>
  </si>
  <si>
    <t>FO thuê#PITC#HUHU60-HUHU1D</t>
  </si>
  <si>
    <t>3845.70</t>
  </si>
  <si>
    <t>3643.07</t>
  </si>
  <si>
    <t>Phú Xuân-HUHU1N</t>
  </si>
  <si>
    <t>16.475679</t>
  </si>
  <si>
    <t>107.579793</t>
  </si>
  <si>
    <t>FO thuê#PITC#HUHU74-HUHU1N</t>
  </si>
  <si>
    <t>812.40</t>
  </si>
  <si>
    <t>21.39</t>
  </si>
  <si>
    <t>16.487358</t>
  </si>
  <si>
    <t>107.587509</t>
  </si>
  <si>
    <t>791.01</t>
  </si>
  <si>
    <t>16.479980</t>
  </si>
  <si>
    <t>107.585702</t>
  </si>
  <si>
    <t>full_h04/Huế/Mạng cấp 3/Các đơn vị vị CA TP - Đơn nhánh/PC04 (trung tâm cái nghiện) - Phú Xuân/Tuyến trung thế 3</t>
  </si>
  <si>
    <t>HUQD15-Quảng Điền</t>
  </si>
  <si>
    <t>16.61121</t>
  </si>
  <si>
    <t>107.54668</t>
  </si>
  <si>
    <t>FO thuê#PITC#HUQD15-HUQD02</t>
  </si>
  <si>
    <t>Ring 3_Phong Dinh-TTCMKV Quảng Điền</t>
  </si>
  <si>
    <t>5064.17</t>
  </si>
  <si>
    <t>5010.44</t>
  </si>
  <si>
    <t>16.579531</t>
  </si>
  <si>
    <t>107.513243</t>
  </si>
  <si>
    <t>53.73</t>
  </si>
  <si>
    <t>16.569083</t>
  </si>
  <si>
    <t>107.513955</t>
  </si>
  <si>
    <t>full_h04/Huế/Mang cap 4/Ring 3/Ring 3_Phong Dinh-TTCMKV Quảng Điền/Trung thế</t>
  </si>
  <si>
    <t>HUHU82-Thuận Hóa</t>
  </si>
  <si>
    <t>16.45435</t>
  </si>
  <si>
    <t>107.59201</t>
  </si>
  <si>
    <t>16.4514</t>
  </si>
  <si>
    <t>107.5892</t>
  </si>
  <si>
    <t>FO thuê#PITC#HUHU82-HUHU38</t>
  </si>
  <si>
    <t>Ring 9 CAT Thừa Thiên Huế-Thuận Hóa</t>
  </si>
  <si>
    <t>190.52</t>
  </si>
  <si>
    <t>157.80</t>
  </si>
  <si>
    <t>16.452961</t>
  </si>
  <si>
    <t>107.592315</t>
  </si>
  <si>
    <t>32.72</t>
  </si>
  <si>
    <t>16.451110</t>
  </si>
  <si>
    <t>107.589151</t>
  </si>
  <si>
    <t>full_h04/Huế/Mang cap 4/Ring 9/Ring 9 CAT Thừa Thiên Huế-Thuận Hóa/Tuyến trung thế 1</t>
  </si>
  <si>
    <t>FO thuê#PITC#HUHU86-HUHU47</t>
  </si>
  <si>
    <t>HUHU17-PC11</t>
  </si>
  <si>
    <t>16.460556</t>
  </si>
  <si>
    <t>107.588222</t>
  </si>
  <si>
    <t>FO thuê#PITC#HUHU17-HUHU51</t>
  </si>
  <si>
    <t>2596.10</t>
  </si>
  <si>
    <t>1787.78</t>
  </si>
  <si>
    <t>16.451485</t>
  </si>
  <si>
    <t>107.574380</t>
  </si>
  <si>
    <t>808.32</t>
  </si>
  <si>
    <t>16.430464</t>
  </si>
  <si>
    <t>107.587190</t>
  </si>
  <si>
    <t>full_h04/Huế/Mạng cấp 3/Ring phòng 3/Ring 3 PC10 - PC11/Tuyến trung thế 1</t>
  </si>
  <si>
    <t>HUHU49-Thủy Xuân</t>
  </si>
  <si>
    <t>FO thuê#PITC#HUHU49-HUHU57</t>
  </si>
  <si>
    <t>FO thuê#PITC#HUHU60-HUHU59</t>
  </si>
  <si>
    <t>4278.71</t>
  </si>
  <si>
    <t>4076.07</t>
  </si>
  <si>
    <t>HUHU89-PC11</t>
  </si>
  <si>
    <t>16.45382</t>
  </si>
  <si>
    <t>107.57707</t>
  </si>
  <si>
    <t>FO thuê#PITC#HUHU89-HUHU63</t>
  </si>
  <si>
    <t>1195.21</t>
  </si>
  <si>
    <t>386.89</t>
  </si>
  <si>
    <t>HUHU88-CAT Huế mới</t>
  </si>
  <si>
    <t>16.46525</t>
  </si>
  <si>
    <t>FO thuê#PITC#HUHU88-HUHU3U</t>
  </si>
  <si>
    <t>4315.85</t>
  </si>
  <si>
    <t>4113.21</t>
  </si>
  <si>
    <t>HUHU12-Quảng Điền</t>
  </si>
  <si>
    <t>FO thuê#PITC#HUHU12-HUHU2D</t>
  </si>
  <si>
    <t>5227.70</t>
  </si>
  <si>
    <t>5158.09</t>
  </si>
  <si>
    <t>69.61</t>
  </si>
  <si>
    <t>16.568550</t>
  </si>
  <si>
    <t>107.514222</t>
  </si>
  <si>
    <t>FO thuê#PITC#HUHU60-HUHU93</t>
  </si>
  <si>
    <t>Quảng Điền-HUHU33</t>
  </si>
  <si>
    <t>16.4975</t>
  </si>
  <si>
    <t>107.563</t>
  </si>
  <si>
    <t>FO thuê#PITC#HUHU67-HUHU33</t>
  </si>
  <si>
    <t>4485.49</t>
  </si>
  <si>
    <t>65.89</t>
  </si>
  <si>
    <t>16.568568</t>
  </si>
  <si>
    <t>107.514192</t>
  </si>
  <si>
    <t>4419.60</t>
  </si>
  <si>
    <t>Phong Quảng-HUPD59</t>
  </si>
  <si>
    <t>16.68336</t>
  </si>
  <si>
    <t>107.41351</t>
  </si>
  <si>
    <t>FO thuê#PITC#HUPD05-HUPD59</t>
  </si>
  <si>
    <t>Ring 4 Phong Phú-Phong Quảng</t>
  </si>
  <si>
    <t>253.75</t>
  </si>
  <si>
    <t>67.10</t>
  </si>
  <si>
    <t>16.668463</t>
  </si>
  <si>
    <t>107.478875</t>
  </si>
  <si>
    <t>186.65</t>
  </si>
  <si>
    <t>16.684887</t>
  </si>
  <si>
    <t>107.412782</t>
  </si>
  <si>
    <t>full_h04/Huế/Mang cap 4/Ring 4/Ring 4 Phong Phú-Phong Quảng/Tuyến trung thế 1</t>
  </si>
  <si>
    <t>Quảng Điền-HUQD26</t>
  </si>
  <si>
    <t>16.5486</t>
  </si>
  <si>
    <t>107.50362</t>
  </si>
  <si>
    <t>FO thuê#PITC#HUQD08-HUQD26</t>
  </si>
  <si>
    <t>Ring 5 Đan Điền-Quảng Điền</t>
  </si>
  <si>
    <t>1022.75</t>
  </si>
  <si>
    <t>93.33</t>
  </si>
  <si>
    <t>16.569546</t>
  </si>
  <si>
    <t>107.513842</t>
  </si>
  <si>
    <t>929.42</t>
  </si>
  <si>
    <t>16.544544</t>
  </si>
  <si>
    <t>107.495996</t>
  </si>
  <si>
    <t>full_h04/Huế/Mang cap 4/Ring 5/Ring 5 Đan Điền-Quảng Điền/Tuyến trung thế 1</t>
  </si>
  <si>
    <t>Quảng Điền-HUQD11</t>
  </si>
  <si>
    <t>16.53978</t>
  </si>
  <si>
    <t>107.49397</t>
  </si>
  <si>
    <t>FO thuê#PITC#HUQD08-HUQD11</t>
  </si>
  <si>
    <t>566.15</t>
  </si>
  <si>
    <t>472.82</t>
  </si>
  <si>
    <t>16.542022</t>
  </si>
  <si>
    <t>107.497739</t>
  </si>
  <si>
    <t>Hương Thủy-HUHT48</t>
  </si>
  <si>
    <t>16.39594</t>
  </si>
  <si>
    <t>107.62514</t>
  </si>
  <si>
    <t>FO thuê#PITC#HUHT27-HUHT48</t>
  </si>
  <si>
    <t>967.32</t>
  </si>
  <si>
    <t>281.56</t>
  </si>
  <si>
    <t>685.77</t>
  </si>
  <si>
    <t>16.400524</t>
  </si>
  <si>
    <t>107.620839</t>
  </si>
  <si>
    <t>HUHU70-Phú Xuân</t>
  </si>
  <si>
    <t>16.46085</t>
  </si>
  <si>
    <t>107.55659</t>
  </si>
  <si>
    <t>FO thuê#PITC#HUHU70-HUHU2X</t>
  </si>
  <si>
    <t>2290.84</t>
  </si>
  <si>
    <t>1335.43</t>
  </si>
  <si>
    <t>955.41</t>
  </si>
  <si>
    <t>CAT Huế mới-HUHU41</t>
  </si>
  <si>
    <t>16.469694</t>
  </si>
  <si>
    <t>107.569556</t>
  </si>
  <si>
    <t>FO thuê#PITC#HUHU88-HUHU41</t>
  </si>
  <si>
    <t>3916.26</t>
  </si>
  <si>
    <t>3713.62</t>
  </si>
  <si>
    <t>CAT Huế mới-HUHU3T</t>
  </si>
  <si>
    <t>16.4713509</t>
  </si>
  <si>
    <t>107.57297</t>
  </si>
  <si>
    <t>FO thuê#PITC#HUHU41-HUHU3T</t>
  </si>
  <si>
    <t>3529.71</t>
  </si>
  <si>
    <t>3327.08</t>
  </si>
  <si>
    <t>CAT Huế mới-HUHU09</t>
  </si>
  <si>
    <t>16.47542</t>
  </si>
  <si>
    <t>107.56889</t>
  </si>
  <si>
    <t>FO thuê#PITC#HUHU3T-HUHU09</t>
  </si>
  <si>
    <t>3558.91</t>
  </si>
  <si>
    <t>3356.28</t>
  </si>
  <si>
    <t>HUHU09-CAT Huế mới</t>
  </si>
  <si>
    <t>FO thuê#PITC#HUHU09-HUHU1V</t>
  </si>
  <si>
    <t>HUHU1V-CAT Huế mới</t>
  </si>
  <si>
    <t>16.473798</t>
  </si>
  <si>
    <t>107.56476</t>
  </si>
  <si>
    <t>FO thuê#PITC#HUHU1V-HUHU60</t>
  </si>
  <si>
    <t>4023.15</t>
  </si>
  <si>
    <t>3820.51</t>
  </si>
  <si>
    <t>HUQD30-Phú Xuân</t>
  </si>
  <si>
    <t>16.5567</t>
  </si>
  <si>
    <t>107.539</t>
  </si>
  <si>
    <t>FO thuê#PITC#HUHU2R-HUHU70</t>
  </si>
  <si>
    <t>TTCMKV_Ring 2_CAT Huế mới-Quảng Điền</t>
  </si>
  <si>
    <t>6264.39</t>
  </si>
  <si>
    <t>4904.61</t>
  </si>
  <si>
    <t>16.512765</t>
  </si>
  <si>
    <t>107.534930</t>
  </si>
  <si>
    <t>1359.78</t>
  </si>
  <si>
    <t>16.494384</t>
  </si>
  <si>
    <t>107.577304</t>
  </si>
  <si>
    <t>full_h04/Huế/Mạng cấp 3/Ring 2 TTCMKV/TTCMKV_Ring 2_CAT Huế mới-Quảng Điền/Trung thế</t>
  </si>
  <si>
    <t>HUPL76-Hóa Châu</t>
  </si>
  <si>
    <t>16.37535</t>
  </si>
  <si>
    <t>107.86373</t>
  </si>
  <si>
    <t>FO thuê#PITC#HUQD30-HUQD10</t>
  </si>
  <si>
    <t>Ring 8 Thuận An-TTCMKV Phú Vang</t>
  </si>
  <si>
    <t>18685.63</t>
  </si>
  <si>
    <t>11240.10</t>
  </si>
  <si>
    <t>16.432163</t>
  </si>
  <si>
    <t>107.776574</t>
  </si>
  <si>
    <t>7445.52</t>
  </si>
  <si>
    <t>16.556288</t>
  </si>
  <si>
    <t>107.650227</t>
  </si>
  <si>
    <t>full_h04/Huế/Mang cap 4/Ring 8/Ring 8 Thuận An-TTCMKV Phú Vang/Tuyến trung thế 2</t>
  </si>
  <si>
    <t>HUPL85-Phú Lộc</t>
  </si>
  <si>
    <t>16.35537</t>
  </si>
  <si>
    <t>107.89708</t>
  </si>
  <si>
    <t>FO thuê#PITC#HUPL76-HUPL23</t>
  </si>
  <si>
    <t>5426.63</t>
  </si>
  <si>
    <t>2372.01</t>
  </si>
  <si>
    <t>16.349120</t>
  </si>
  <si>
    <t>107.918336</t>
  </si>
  <si>
    <t>3054.62</t>
  </si>
  <si>
    <t>16.264000</t>
  </si>
  <si>
    <t>107.887810</t>
  </si>
  <si>
    <t>HUHA03-Phú Lộc</t>
  </si>
  <si>
    <t>16.505</t>
  </si>
  <si>
    <t>107.574222</t>
  </si>
  <si>
    <t>FO thuê#PITC#HUPL85-HUPL06</t>
  </si>
  <si>
    <t>29450.85</t>
  </si>
  <si>
    <t>9907.93</t>
  </si>
  <si>
    <t>19542.92</t>
  </si>
  <si>
    <t>Quảng Điền-Quảng Điền</t>
  </si>
  <si>
    <t>FO thuê#PITC#HUHA03-HUHU67</t>
  </si>
  <si>
    <t>67.46</t>
  </si>
  <si>
    <t>33.73</t>
  </si>
  <si>
    <t>16.568541</t>
  </si>
  <si>
    <t>107.513361</t>
  </si>
  <si>
    <t>full_h04/Huế/Mang cap 4/Ring 5/Ring 5 Đan Điền-Quảng Điền/Tuyến ngầm đầu tư mới 1</t>
  </si>
  <si>
    <t>Kim Trà-HUHA09</t>
  </si>
  <si>
    <t>FO thuê#PITC#HUHA55-HUHA09</t>
  </si>
  <si>
    <t>1557.52</t>
  </si>
  <si>
    <t>Quảng Điền-HUHU12</t>
  </si>
  <si>
    <t>FO thuê#PITC#HUHA56-HUHU12</t>
  </si>
  <si>
    <t>887.99</t>
  </si>
  <si>
    <t>444.00</t>
  </si>
  <si>
    <t>16.488940</t>
  </si>
  <si>
    <t>107.569457</t>
  </si>
  <si>
    <t>PC11-HUHU35</t>
  </si>
  <si>
    <t>16.44311</t>
  </si>
  <si>
    <t>107.58189</t>
  </si>
  <si>
    <t>FO thuê#PITC#HUHU20-HUHU35</t>
  </si>
  <si>
    <t>439.21</t>
  </si>
  <si>
    <t>219.61</t>
  </si>
  <si>
    <t>16.443131</t>
  </si>
  <si>
    <t>107.579831</t>
  </si>
  <si>
    <t>PC01-HUHU58</t>
  </si>
  <si>
    <t>16.476861</t>
  </si>
  <si>
    <t>107.597694</t>
  </si>
  <si>
    <t>FO thuê#PITC#HUHU2Y-HUHU58</t>
  </si>
  <si>
    <t>412.51</t>
  </si>
  <si>
    <t>206.26</t>
  </si>
  <si>
    <t>16.478684</t>
  </si>
  <si>
    <t>107.598051</t>
  </si>
  <si>
    <t>CAT Huế mới-HUHUMA01</t>
  </si>
  <si>
    <t>16.481683</t>
  </si>
  <si>
    <t>107.555913</t>
  </si>
  <si>
    <t>FO thuê#PITC#HUHU3G-HUHUMA01</t>
  </si>
  <si>
    <t>22.42</t>
  </si>
  <si>
    <t>11.21</t>
  </si>
  <si>
    <t>16.481582</t>
  </si>
  <si>
    <t>107.555908</t>
  </si>
  <si>
    <t>PC11-HUHU17</t>
  </si>
  <si>
    <t>FO thuê#PITC#HUHU3J-HUHU17</t>
  </si>
  <si>
    <t>816.87</t>
  </si>
  <si>
    <t>408.43</t>
  </si>
  <si>
    <t>16.463817</t>
  </si>
  <si>
    <t>107.586459</t>
  </si>
  <si>
    <t>full_h04/Huế/Mạng cấp 3/Ring phòng 3/Ring 3 PC10 - PC11/Tuyến cống bể có sẵn  1</t>
  </si>
  <si>
    <t>CAT Huế mới-HUHU99</t>
  </si>
  <si>
    <t>FO thuê#PITC#HUHU3M-HUHU99</t>
  </si>
  <si>
    <t>PC06 (54 Hùng Vương) - TT Huế</t>
  </si>
  <si>
    <t>35.35</t>
  </si>
  <si>
    <t>17.67</t>
  </si>
  <si>
    <t>16.459884</t>
  </si>
  <si>
    <t>107.605284</t>
  </si>
  <si>
    <t>full_h04/Huế/Mạng cấp 3/Các đơn vị vị CA TP - Đơn nhánh/PC06 (54 Hùng Vương) - TT Huế/Tuyến trung thế 1</t>
  </si>
  <si>
    <t>HUHU42-Phú Xuân</t>
  </si>
  <si>
    <t>16.47144</t>
  </si>
  <si>
    <t>107.587</t>
  </si>
  <si>
    <t>FO thuê#PITC#HUHU42-HUHU64</t>
  </si>
  <si>
    <t>743.01</t>
  </si>
  <si>
    <t>92.14</t>
  </si>
  <si>
    <t>16.470612</t>
  </si>
  <si>
    <t>107.587018</t>
  </si>
  <si>
    <t>650.87</t>
  </si>
  <si>
    <t>16.481928</t>
  </si>
  <si>
    <t>107.590125</t>
  </si>
  <si>
    <t>full_h04/Huế/Mạng cấp 3/Ring phòng 1/Ring 1 Nguyễn Thái Học- Phú Xuân/Tuyến cống bể có sẵn</t>
  </si>
  <si>
    <t>HUPL75-Chân Mây_Lăng Cô</t>
  </si>
  <si>
    <t>16.28224</t>
  </si>
  <si>
    <t>107.97319</t>
  </si>
  <si>
    <t>16.2408</t>
  </si>
  <si>
    <t>108.0784</t>
  </si>
  <si>
    <t>FO thuê#PITC#HUPL75-HUPL03</t>
  </si>
  <si>
    <t>Ring 1 Vinh Lộc-Chân Mây_Lăng Cô</t>
  </si>
  <si>
    <t>1322.43</t>
  </si>
  <si>
    <t>1095.65</t>
  </si>
  <si>
    <t>16.272388</t>
  </si>
  <si>
    <t>107.972993</t>
  </si>
  <si>
    <t>226.78</t>
  </si>
  <si>
    <t>108.077697</t>
  </si>
  <si>
    <t>full_h04/Huế/Mang cap 4/Ring 1/Ring 1 Vinh Lộc-Chân Mây_Lăng Cô/Tuyến trung thế 2</t>
  </si>
  <si>
    <t>HUPV49-Thuận An</t>
  </si>
  <si>
    <t>16.51874</t>
  </si>
  <si>
    <t>107.59314</t>
  </si>
  <si>
    <t>FO thuê#PITC#HUPV49-HUPV04</t>
  </si>
  <si>
    <t>975.75</t>
  </si>
  <si>
    <t>963.19</t>
  </si>
  <si>
    <t>HUPV55-Phú Vang</t>
  </si>
  <si>
    <t>16.48612</t>
  </si>
  <si>
    <t>107.63836</t>
  </si>
  <si>
    <t>FO thuê#PITC#HUPV55-HUPV08</t>
  </si>
  <si>
    <t>783.80</t>
  </si>
  <si>
    <t>726.09</t>
  </si>
  <si>
    <t>57.71</t>
  </si>
  <si>
    <t>16.439834</t>
  </si>
  <si>
    <t>107.715987</t>
  </si>
  <si>
    <t>HUQD18-Quảng Điền</t>
  </si>
  <si>
    <t>16.56605</t>
  </si>
  <si>
    <t>107.50242</t>
  </si>
  <si>
    <t>FO thuê#PITC#HUQD18-HUQD08</t>
  </si>
  <si>
    <t>478.44</t>
  </si>
  <si>
    <t>385.11</t>
  </si>
  <si>
    <t>16.566453</t>
  </si>
  <si>
    <t>107.498831</t>
  </si>
  <si>
    <t>HUQD21-Quảng Điền</t>
  </si>
  <si>
    <t>16.63416</t>
  </si>
  <si>
    <t>107.5269</t>
  </si>
  <si>
    <t>FO thuê#PITC#HUQD21-HUQD06</t>
  </si>
  <si>
    <t>6198.63</t>
  </si>
  <si>
    <t>4938.23</t>
  </si>
  <si>
    <t>16.596873</t>
  </si>
  <si>
    <t>107.501725</t>
  </si>
  <si>
    <t>1260.40</t>
  </si>
  <si>
    <t>16.580074</t>
  </si>
  <si>
    <t>107.513431</t>
  </si>
  <si>
    <t>HUHU3L-Phú Xuân</t>
  </si>
  <si>
    <t>16.45988</t>
  </si>
  <si>
    <t>107.56071</t>
  </si>
  <si>
    <t>FO thuê#PITC#HUHU3L-HUHU70</t>
  </si>
  <si>
    <t>1854.24</t>
  </si>
  <si>
    <t>898.82</t>
  </si>
  <si>
    <t>HUHU98-PC11</t>
  </si>
  <si>
    <t>16.462061</t>
  </si>
  <si>
    <t>107.586992</t>
  </si>
  <si>
    <t>FO thuê#PITC#HUHU98-HUHU17</t>
  </si>
  <si>
    <t>2594.86</t>
  </si>
  <si>
    <t>1786.54</t>
  </si>
  <si>
    <t>FO thuê#PITC#HUQD15-HUHA27</t>
  </si>
  <si>
    <t>HUHT42-Hương Thủy</t>
  </si>
  <si>
    <t>16.378465</t>
  </si>
  <si>
    <t>107.590175</t>
  </si>
  <si>
    <t>FO thuê#PITC#HUHT42-HUHT28</t>
  </si>
  <si>
    <t>3946.60</t>
  </si>
  <si>
    <t>3665.05</t>
  </si>
  <si>
    <t>HUHU32-Phú Xuân</t>
  </si>
  <si>
    <t>16.47476</t>
  </si>
  <si>
    <t>107.57679</t>
  </si>
  <si>
    <t>FO thuê#PITC#HUHU32-HUHU74</t>
  </si>
  <si>
    <t>1134.90</t>
  </si>
  <si>
    <t>1113.51</t>
  </si>
  <si>
    <t>HUQD19-Quảng Điền</t>
  </si>
  <si>
    <t>16.61322</t>
  </si>
  <si>
    <t>107.46735</t>
  </si>
  <si>
    <t>FO thuê#PITC#HUQD19-HUQD25</t>
  </si>
  <si>
    <t>1446.38</t>
  </si>
  <si>
    <t>185.98</t>
  </si>
  <si>
    <t>16.612981</t>
  </si>
  <si>
    <t>107.465622</t>
  </si>
  <si>
    <t>HUHA50-Hương Trà</t>
  </si>
  <si>
    <t>16.51332</t>
  </si>
  <si>
    <t>107.45016</t>
  </si>
  <si>
    <t>FO thuê#PITC#HUHA50-HUHA21</t>
  </si>
  <si>
    <t>2398.43</t>
  </si>
  <si>
    <t>2322.56</t>
  </si>
  <si>
    <t>16.527670</t>
  </si>
  <si>
    <t>107.465991</t>
  </si>
  <si>
    <t>HUHT36-Thủy Xuân</t>
  </si>
  <si>
    <t>16.42364</t>
  </si>
  <si>
    <t>107.56673</t>
  </si>
  <si>
    <t>FO thuê#PITC#HUHT36-HUHU49</t>
  </si>
  <si>
    <t>1649.43</t>
  </si>
  <si>
    <t>1189.87</t>
  </si>
  <si>
    <t>16.433597</t>
  </si>
  <si>
    <t>107.570817</t>
  </si>
  <si>
    <t>HUHU23-Quảng Điền</t>
  </si>
  <si>
    <t>16.48042</t>
  </si>
  <si>
    <t>107.57292</t>
  </si>
  <si>
    <t>FO thuê#PITC#HUHU23-HUHU56</t>
  </si>
  <si>
    <t>5727.86</t>
  </si>
  <si>
    <t>5658.25</t>
  </si>
  <si>
    <t>HUHU2B-Hương Thủy</t>
  </si>
  <si>
    <t>16.451587</t>
  </si>
  <si>
    <t>107.603839</t>
  </si>
  <si>
    <t>FO thuê#PITC#HUHU2B-HUHU08</t>
  </si>
  <si>
    <t>1843.49</t>
  </si>
  <si>
    <t>1774.82</t>
  </si>
  <si>
    <t>16.436325</t>
  </si>
  <si>
    <t>107.608712</t>
  </si>
  <si>
    <t>HUHU2D-Quảng Điền</t>
  </si>
  <si>
    <t>16.48087</t>
  </si>
  <si>
    <t>107.56986</t>
  </si>
  <si>
    <t>FO thuê#PITC#HUHU2D-HUHU12</t>
  </si>
  <si>
    <t>5398.50</t>
  </si>
  <si>
    <t>5328.89</t>
  </si>
  <si>
    <t>HUHU31-PC01</t>
  </si>
  <si>
    <t>16.48113</t>
  </si>
  <si>
    <t>107.597</t>
  </si>
  <si>
    <t>FO thuê#PITC#HUHU31-HUPV34</t>
  </si>
  <si>
    <t>146.82</t>
  </si>
  <si>
    <t>132.85</t>
  </si>
  <si>
    <t>16.481053</t>
  </si>
  <si>
    <t>107.598243</t>
  </si>
  <si>
    <t>HUHU54-CAT Huế mới</t>
  </si>
  <si>
    <t>16.460306</t>
  </si>
  <si>
    <t>107.593472</t>
  </si>
  <si>
    <t>FO thuê#PITC#HUHU54-HUHU1K</t>
  </si>
  <si>
    <t>2614.82</t>
  </si>
  <si>
    <t>790.60</t>
  </si>
  <si>
    <t>HUHU84-PC01</t>
  </si>
  <si>
    <t>16.47566</t>
  </si>
  <si>
    <t>107.59565</t>
  </si>
  <si>
    <t>FO thuê#PITC#HUHU84-HUPV34</t>
  </si>
  <si>
    <t>436.60</t>
  </si>
  <si>
    <t>422.63</t>
  </si>
  <si>
    <t>HUPL69-Hương Thủy</t>
  </si>
  <si>
    <t>16.32873</t>
  </si>
  <si>
    <t>107.78561</t>
  </si>
  <si>
    <t>FO thuê#PITC#HUPL69-HUPL10</t>
  </si>
  <si>
    <t>E28)</t>
  </si>
  <si>
    <t>5061.25</t>
  </si>
  <si>
    <t>5002.00</t>
  </si>
  <si>
    <t>16.335578</t>
  </si>
  <si>
    <t>107.739281</t>
  </si>
  <si>
    <t>59.25</t>
  </si>
  <si>
    <t>16.408867</t>
  </si>
  <si>
    <t>107.680966</t>
  </si>
  <si>
    <t>full_h04/Huế/Mạng cấp 3/Ring phòng 2/Ring 2 Hương Thủy - K02 (D2/E28)/Tuyến trung thế 1</t>
  </si>
  <si>
    <t>HUPL71-Phú Lộc</t>
  </si>
  <si>
    <t>16.39692</t>
  </si>
  <si>
    <t>107.84841</t>
  </si>
  <si>
    <t>FO thuê#PITC#HUPL71-HUPL23</t>
  </si>
  <si>
    <t>10224.05</t>
  </si>
  <si>
    <t>1722.27</t>
  </si>
  <si>
    <t>16.387333</t>
  </si>
  <si>
    <t>107.835729</t>
  </si>
  <si>
    <t>8501.78</t>
  </si>
  <si>
    <t>16.346129</t>
  </si>
  <si>
    <t>107.896635</t>
  </si>
  <si>
    <t>HUPV40-Phú Vang</t>
  </si>
  <si>
    <t>16.48409</t>
  </si>
  <si>
    <t>107.66801</t>
  </si>
  <si>
    <t>FO thuê#PITC#HUPV40-HUPV09</t>
  </si>
  <si>
    <t>80.32</t>
  </si>
  <si>
    <t>22.61</t>
  </si>
  <si>
    <t>16.484102</t>
  </si>
  <si>
    <t>107.668222</t>
  </si>
  <si>
    <t>HUQD22-Quảng Điền</t>
  </si>
  <si>
    <t>16.61971</t>
  </si>
  <si>
    <t>107.53406</t>
  </si>
  <si>
    <t>FO thuê#PITC#HUQD22-HUQD06</t>
  </si>
  <si>
    <t>5041.82</t>
  </si>
  <si>
    <t>4988.09</t>
  </si>
  <si>
    <t>HUQD23-Quảng Điền</t>
  </si>
  <si>
    <t>16.63571</t>
  </si>
  <si>
    <t>107.50407</t>
  </si>
  <si>
    <t>FO thuê#PITC#HUQD23-HUQD06</t>
  </si>
  <si>
    <t>5586.14</t>
  </si>
  <si>
    <t>4325.74</t>
  </si>
  <si>
    <t>HUPD69-Phong Dinh</t>
  </si>
  <si>
    <t>16.57362</t>
  </si>
  <si>
    <t>107.35367</t>
  </si>
  <si>
    <t>16.66089</t>
  </si>
  <si>
    <t>107.3833</t>
  </si>
  <si>
    <t>FO thuê#PITC#HUPD69-HUPD02</t>
  </si>
  <si>
    <t>Ring 4 TTCMKV Phong Điền-Phong Phú</t>
  </si>
  <si>
    <t>2697.99</t>
  </si>
  <si>
    <t>2498.12</t>
  </si>
  <si>
    <t>16.595790</t>
  </si>
  <si>
    <t>107.357463</t>
  </si>
  <si>
    <t>199.86</t>
  </si>
  <si>
    <t>16.661760</t>
  </si>
  <si>
    <t>107.381658</t>
  </si>
  <si>
    <t>full_h04/Huế/Mang cap 4/Ring 4/Ring 4 TTCMKV Phong Điền-Phong Phú/Tuyến trung thế 2</t>
  </si>
  <si>
    <t>HUPX83-Quảng Điền</t>
  </si>
  <si>
    <t>16.49626</t>
  </si>
  <si>
    <t>107.5751</t>
  </si>
  <si>
    <t>FO thuê#PITC#HUPX83-HUPX24</t>
  </si>
  <si>
    <t>4815.21</t>
  </si>
  <si>
    <t>4749.32</t>
  </si>
  <si>
    <t>16.537596</t>
  </si>
  <si>
    <t>107.563883</t>
  </si>
  <si>
    <t>HUPL92-Phú Lộc</t>
  </si>
  <si>
    <t>16.3816</t>
  </si>
  <si>
    <t>107.8501</t>
  </si>
  <si>
    <t>FO thuê#PITC#HUPL92-HUPL23</t>
  </si>
  <si>
    <t>8845.82</t>
  </si>
  <si>
    <t>344.04</t>
  </si>
  <si>
    <t>16.378901</t>
  </si>
  <si>
    <t>107.851676</t>
  </si>
  <si>
    <t>HUPD70-Phong Dinh</t>
  </si>
  <si>
    <t>16.57375</t>
  </si>
  <si>
    <t>107.38503</t>
  </si>
  <si>
    <t>FO thuê#PITC#22HU002-HUPD19</t>
  </si>
  <si>
    <t>3937.89</t>
  </si>
  <si>
    <t>3738.03</t>
  </si>
  <si>
    <t>16.597567</t>
  </si>
  <si>
    <t>107.360275</t>
  </si>
  <si>
    <t>HUPX43-CAT Huế mới</t>
  </si>
  <si>
    <t>16.47857</t>
  </si>
  <si>
    <t>107.56806</t>
  </si>
  <si>
    <t>FO thuê#PITC#HUHU2K-HUHU1D</t>
  </si>
  <si>
    <t>3443.02</t>
  </si>
  <si>
    <t>3240.38</t>
  </si>
  <si>
    <t>HUHA01-CAT Huế mới</t>
  </si>
  <si>
    <t>FO thuê#PITC#HUHA01-HUHA20</t>
  </si>
  <si>
    <t>7950.65</t>
  </si>
  <si>
    <t>7389.89</t>
  </si>
  <si>
    <t>16.479613</t>
  </si>
  <si>
    <t>107.556349</t>
  </si>
  <si>
    <t>HUHA34-Kim Long</t>
  </si>
  <si>
    <t>16.45156</t>
  </si>
  <si>
    <t>107.5304</t>
  </si>
  <si>
    <t>FO thuê#PITC#HUHA34-HUHA05</t>
  </si>
  <si>
    <t>248.10</t>
  </si>
  <si>
    <t>181.92</t>
  </si>
  <si>
    <t>107.529519</t>
  </si>
  <si>
    <t>HUHT15-CAT Huế mới</t>
  </si>
  <si>
    <t>16.42381</t>
  </si>
  <si>
    <t>107.6514</t>
  </si>
  <si>
    <t>FO thuê#PITC#HUHT15-HUHT05</t>
  </si>
  <si>
    <t>3373.19</t>
  </si>
  <si>
    <t>304.64</t>
  </si>
  <si>
    <t>16.426506</t>
  </si>
  <si>
    <t>107.651908</t>
  </si>
  <si>
    <t>3068.55</t>
  </si>
  <si>
    <t>HUHTMA01-Hương Thủy</t>
  </si>
  <si>
    <t>16.4112</t>
  </si>
  <si>
    <t>107.674</t>
  </si>
  <si>
    <t>FO thuê#PITC#HUHTMA01-HUHT16</t>
  </si>
  <si>
    <t>207.23</t>
  </si>
  <si>
    <t>132.15</t>
  </si>
  <si>
    <t>16.412330</t>
  </si>
  <si>
    <t>107.673615</t>
  </si>
  <si>
    <t>75.08</t>
  </si>
  <si>
    <t>16.408631</t>
  </si>
  <si>
    <t>107.681020</t>
  </si>
  <si>
    <t>full_h04/Huế/Mạng cấp 3/Ring phòng 2/Ring 2 Phú Xuân - Hương Thủy/Tuyến trung thế 3</t>
  </si>
  <si>
    <t>HUPV20-Phú Vang</t>
  </si>
  <si>
    <t>16.52614</t>
  </si>
  <si>
    <t>107.70167</t>
  </si>
  <si>
    <t>FO thuê#PITC#HUPV20-HUPV05</t>
  </si>
  <si>
    <t>5198.95</t>
  </si>
  <si>
    <t>53.01</t>
  </si>
  <si>
    <t>16.526154</t>
  </si>
  <si>
    <t>107.702167</t>
  </si>
  <si>
    <t>5145.94</t>
  </si>
  <si>
    <t>16.471926</t>
  </si>
  <si>
    <t>107.751434</t>
  </si>
  <si>
    <t>HUPV18-Dương Nỗ</t>
  </si>
  <si>
    <t>16.49246</t>
  </si>
  <si>
    <t>107.60472</t>
  </si>
  <si>
    <t>FO thuê#PITC#HUPV18-HUPV30</t>
  </si>
  <si>
    <t>Ring 8 CAT Thừa Thiên Huế-Dương Nỗ</t>
  </si>
  <si>
    <t>108.71</t>
  </si>
  <si>
    <t>94.82</t>
  </si>
  <si>
    <t>16.492583</t>
  </si>
  <si>
    <t>107.605600</t>
  </si>
  <si>
    <t>13.89</t>
  </si>
  <si>
    <t>16.512819</t>
  </si>
  <si>
    <t>107.599738</t>
  </si>
  <si>
    <t>full_h04/Huế/Mang cap 4/Ring 8/Ring 8 CAT Thừa Thiên Huế-Dương Nỗ/Tuyến trung thế 1</t>
  </si>
  <si>
    <t>HUQD10-Hóa Châu</t>
  </si>
  <si>
    <t>16.55901</t>
  </si>
  <si>
    <t>107.52924</t>
  </si>
  <si>
    <t>FO thuê#PITC#HUQD10-HUQD17</t>
  </si>
  <si>
    <t>97.13</t>
  </si>
  <si>
    <t>78.92</t>
  </si>
  <si>
    <t>16.558936</t>
  </si>
  <si>
    <t>107.529976</t>
  </si>
  <si>
    <t>PYDH09-Sơn Thành</t>
  </si>
  <si>
    <t>13.034347</t>
  </si>
  <si>
    <t>109.297636</t>
  </si>
  <si>
    <t>12.984385</t>
  </si>
  <si>
    <t>109.095316</t>
  </si>
  <si>
    <t>FO thuê#VNPT#PYDH09-PYTH01</t>
  </si>
  <si>
    <t>ILA Sơn Thành - TT2 Đăk Lăk (Tuy Hòa)</t>
  </si>
  <si>
    <t>2472.34</t>
  </si>
  <si>
    <t>2321.14</t>
  </si>
  <si>
    <t>13.021641</t>
  </si>
  <si>
    <t>109.280637</t>
  </si>
  <si>
    <t>151.21</t>
  </si>
  <si>
    <t>12.983107</t>
  </si>
  <si>
    <t>109.095792</t>
  </si>
  <si>
    <t>full_h04/Đắk Lắk/Mạng cấp II Đắk Lắk.kmz/Link 2/ILA Sơn Thành - TT2 Đăk Lăk (Tuy Hòa)/trung thế</t>
  </si>
  <si>
    <t>Sơn Thành-TT2 Tuy Hòa</t>
  </si>
  <si>
    <t>13.09474</t>
  </si>
  <si>
    <t>109.293</t>
  </si>
  <si>
    <t>FO thuê#VNPT#PYTH01-PYPY01</t>
  </si>
  <si>
    <t>8389.08</t>
  </si>
  <si>
    <t>8237.87</t>
  </si>
  <si>
    <t>PYSA10-Phú Hòa</t>
  </si>
  <si>
    <t>13.06365</t>
  </si>
  <si>
    <t>109.02528</t>
  </si>
  <si>
    <t>13.0231</t>
  </si>
  <si>
    <t>109.207</t>
  </si>
  <si>
    <t>FO thuê#VNPT#PYSA10-PYPH04</t>
  </si>
  <si>
    <t>ILA Sông Hinh - TT2 Đăk Lăk (Tuy Hòa)</t>
  </si>
  <si>
    <t>1023.35</t>
  </si>
  <si>
    <t>196.77</t>
  </si>
  <si>
    <t>13.064997</t>
  </si>
  <si>
    <t>109.026458</t>
  </si>
  <si>
    <t>826.58</t>
  </si>
  <si>
    <t>13.017183</t>
  </si>
  <si>
    <t>109.202381</t>
  </si>
  <si>
    <t>full_h04/Đắk Lắk/Mạng cấp II Đắk Lắk.kmz/Link 1/ILA Sông Hinh - TT2 Đăk Lăk (Tuy Hòa)/Trung thế</t>
  </si>
  <si>
    <t>Phú Hòa-TT2 Tuy Hòa</t>
  </si>
  <si>
    <t>FO thuê#VNPT#PYPH04-PYPY01</t>
  </si>
  <si>
    <t>Tuy Hòa - Sơn Hòa</t>
  </si>
  <si>
    <t>5411.44</t>
  </si>
  <si>
    <t>533.28</t>
  </si>
  <si>
    <t>13.018408</t>
  </si>
  <si>
    <t>109.208019</t>
  </si>
  <si>
    <t>4878.16</t>
  </si>
  <si>
    <t>13.063355</t>
  </si>
  <si>
    <t>109.261531</t>
  </si>
  <si>
    <t>full_h04/Đắk Lắk/Mạng cấp III Đắk Lắk.kmz/Mạng cấp III Phú Yên/Ring 5/Tuy Hòa - Sơn Hòa/Tuy Hòa - Sơn Hòa-TT02</t>
  </si>
  <si>
    <t>VNPOST Hòa Đa-Tuy An Bắc</t>
  </si>
  <si>
    <t>13.20203</t>
  </si>
  <si>
    <t>109.27016</t>
  </si>
  <si>
    <t>13.308276</t>
  </si>
  <si>
    <t>109.215649</t>
  </si>
  <si>
    <t>FO thuê#VNPT#VNPOST Hòa Đa-PYTA14</t>
  </si>
  <si>
    <t>Sông Cầu - TT2 Tuy Hòa</t>
  </si>
  <si>
    <t>367.94</t>
  </si>
  <si>
    <t>234.35</t>
  </si>
  <si>
    <t>13.203866</t>
  </si>
  <si>
    <t>109.269097</t>
  </si>
  <si>
    <t>133.60</t>
  </si>
  <si>
    <t>13.308895</t>
  </si>
  <si>
    <t>109.214591</t>
  </si>
  <si>
    <t>full_h04/Đắk Lắk/Mạng cấp III Đắk Lắk.kmz/Mạng cấp III Phú Yên/Ring 5/Sông Cầu - TT2 Tuy Hòa/Trung thế</t>
  </si>
  <si>
    <t>Tuy An Bắc-Đồng Xuân</t>
  </si>
  <si>
    <t>13.3773</t>
  </si>
  <si>
    <t>109.1081</t>
  </si>
  <si>
    <t>FO thuê#VNPT#PYTA14-PYDX01</t>
  </si>
  <si>
    <t>Xuân Đài - Tuy An Bắc</t>
  </si>
  <si>
    <t>3838.71</t>
  </si>
  <si>
    <t>61.31</t>
  </si>
  <si>
    <t>13.307845</t>
  </si>
  <si>
    <t>109.215296</t>
  </si>
  <si>
    <t>3777.40</t>
  </si>
  <si>
    <t>13.366142</t>
  </si>
  <si>
    <t>109.141080</t>
  </si>
  <si>
    <t>full_h04/Đắk Lắk/Mạng cấp IV Đắk Lắk.kmz/Mạng cấp IV Phú Yên/Phú Yên_Ring 5/Xuân Đài - Tuy An Bắc/Trung thế</t>
  </si>
  <si>
    <t>Đồng Xuân-PYSA09</t>
  </si>
  <si>
    <t>13.2048</t>
  </si>
  <si>
    <t>109.0634</t>
  </si>
  <si>
    <t>FO thuê#VNPT#PYDX01-PYSA09</t>
  </si>
  <si>
    <t>CAX Sơn Định (Sơn Hòa) - Đồng Xuân</t>
  </si>
  <si>
    <t>12956.23</t>
  </si>
  <si>
    <t>2136.63</t>
  </si>
  <si>
    <t>13.361313</t>
  </si>
  <si>
    <t>109.097143</t>
  </si>
  <si>
    <t>10819.60</t>
  </si>
  <si>
    <t>13.301635</t>
  </si>
  <si>
    <t>109.073190</t>
  </si>
  <si>
    <t>full_h04/Đắk Lắk/Mạng cấp III Đắk Lắk.kmz/Mạng cấp III Phú Yên/Ring 5/CAX Sơn Định (Sơn Hòa) - Đồng Xuân/Trung thế</t>
  </si>
  <si>
    <t>PYSA09-TT2 Tuy Hòa</t>
  </si>
  <si>
    <t>FO thuê#VNPT#PYSA09-PYPY01</t>
  </si>
  <si>
    <t>Xuân Phước - Vân Hòa</t>
  </si>
  <si>
    <t>19263.05</t>
  </si>
  <si>
    <t>98.50</t>
  </si>
  <si>
    <t>13.205010</t>
  </si>
  <si>
    <t>109.064284</t>
  </si>
  <si>
    <t>19164.55</t>
  </si>
  <si>
    <t>13.163214</t>
  </si>
  <si>
    <t>109.130590</t>
  </si>
  <si>
    <t>full_h04/Đắk Lắk/Mạng cấp IV Đắk Lắk.kmz/Mạng cấp IV Phú Yên/Phú Yên_Ring 6/Xuân Phước - Vân Hòa/Trung thế</t>
  </si>
  <si>
    <t>DLKB04-Pơng Drang</t>
  </si>
  <si>
    <t>12.975388</t>
  </si>
  <si>
    <t>108.239222</t>
  </si>
  <si>
    <t>12.97057</t>
  </si>
  <si>
    <t>108.2454</t>
  </si>
  <si>
    <t>FO thuê#VNPT#DLKB04-DLKB36</t>
  </si>
  <si>
    <t>Buôn Hồ - Ea H'Leo</t>
  </si>
  <si>
    <t>322.97</t>
  </si>
  <si>
    <t>220.97</t>
  </si>
  <si>
    <t>12.976204</t>
  </si>
  <si>
    <t>108.241081</t>
  </si>
  <si>
    <t>102.00</t>
  </si>
  <si>
    <t>12.970822</t>
  </si>
  <si>
    <t>108.244495</t>
  </si>
  <si>
    <t>full_h04/Đắk Lắk/Mạng cấp III Đắk Lắk.kmz/Mạng cấp III Đắk Lắk/Ring 1/Buôn Hồ - Ea H'Leo/Trung Thế</t>
  </si>
  <si>
    <t>DLBT13-Tân Lập</t>
  </si>
  <si>
    <t>12.64495</t>
  </si>
  <si>
    <t>108.079933</t>
  </si>
  <si>
    <t>12.65451</t>
  </si>
  <si>
    <t>108.1073</t>
  </si>
  <si>
    <t>FO thuê#VNPT#DLBT13-DLBT05</t>
  </si>
  <si>
    <t>CAT Đắk Lắk - Tân Lập</t>
  </si>
  <si>
    <t>2602.67</t>
  </si>
  <si>
    <t>2478.59</t>
  </si>
  <si>
    <t>12.651996</t>
  </si>
  <si>
    <t>108.101606</t>
  </si>
  <si>
    <t>124.09</t>
  </si>
  <si>
    <t>12.653543</t>
  </si>
  <si>
    <t>108.107871</t>
  </si>
  <si>
    <t>full_h04/Đắk Lắk/Mạng cấp IV Đắk Lắk.kmz/Mạng cấp IV Đắk Lắk/Đắk Lắk Ring 1.kmz/Đắk Lắk Ring 1/CAT Đắk Lắk - Tân Lập/Trung thế 472BMT</t>
  </si>
  <si>
    <t>DLBT2V-Tân An</t>
  </si>
  <si>
    <t>12.697356</t>
  </si>
  <si>
    <t>108.072389</t>
  </si>
  <si>
    <t>12.69684</t>
  </si>
  <si>
    <t>108.0724</t>
  </si>
  <si>
    <t>FO thuê#VNPT#DLBT2V-DLBT24</t>
  </si>
  <si>
    <t>Tân An - Cuôr Đăng</t>
  </si>
  <si>
    <t>41.73</t>
  </si>
  <si>
    <t>20.57</t>
  </si>
  <si>
    <t>12.697199</t>
  </si>
  <si>
    <t>108.072289</t>
  </si>
  <si>
    <t>21.17</t>
  </si>
  <si>
    <t>12.696991</t>
  </si>
  <si>
    <t>108.072281</t>
  </si>
  <si>
    <t>full_h04/Đắk Lắk/Mạng cấp IV Đắk Lắk.kmz/Mạng cấp IV Đắk Lắk/Đắk Lắk Ring 13.kmz/ring 13/Tân An - Cuôr Đăng/Hạ Thê Băng Đường</t>
  </si>
  <si>
    <t>DLBT97-Tân Lập</t>
  </si>
  <si>
    <t>12.67132</t>
  </si>
  <si>
    <t>108.09959</t>
  </si>
  <si>
    <t>FO thuê#VNPT#DLBT97-DLBT05</t>
  </si>
  <si>
    <t>Tân Lập - Ea Knuec</t>
  </si>
  <si>
    <t>446.98</t>
  </si>
  <si>
    <t>328.00</t>
  </si>
  <si>
    <t>12.668918</t>
  </si>
  <si>
    <t>108.097835</t>
  </si>
  <si>
    <t>118.99</t>
  </si>
  <si>
    <t>12.655568</t>
  </si>
  <si>
    <t>108.107465</t>
  </si>
  <si>
    <t>full_h04/Đắk Lắk/Mạng cấp IV Đắk Lắk.kmz/Mạng cấp IV Đắk Lắk/Đắk Lắk Ring 1.kmz/Đắk Lắk Ring 1/Tân Lập - Ea Knuec/Trung thế 472BMT</t>
  </si>
  <si>
    <t>DLEH35-Dliê Ya</t>
  </si>
  <si>
    <t>13.13788</t>
  </si>
  <si>
    <t>108.30443</t>
  </si>
  <si>
    <t>13.11643</t>
  </si>
  <si>
    <t>108.3293</t>
  </si>
  <si>
    <t>FO thuê#VNPT#DLEH35-DLKN15</t>
  </si>
  <si>
    <t>11(472KRN)__127</t>
  </si>
  <si>
    <t>2604.93</t>
  </si>
  <si>
    <t>2332.11</t>
  </si>
  <si>
    <t>13.132066</t>
  </si>
  <si>
    <t>108.325123</t>
  </si>
  <si>
    <t>272.81</t>
  </si>
  <si>
    <t>13.118877</t>
  </si>
  <si>
    <t>108.329477</t>
  </si>
  <si>
    <t>full_h04/Đắk Lắk/Mạng cấp IV Đắk Lắk.kmz/Mạng cấp IV Đắk Lắk/Đắk Lắk Ring 19.kmz/Dliê Ya - Ea Hiao/Trung thế 172/10/11(472KRN)__127/41(472KRN)</t>
  </si>
  <si>
    <t>DLKB21-Krông Búk</t>
  </si>
  <si>
    <t>13.04281</t>
  </si>
  <si>
    <t>108.19348</t>
  </si>
  <si>
    <t>13.03864</t>
  </si>
  <si>
    <t>108.2186</t>
  </si>
  <si>
    <t>FO thuê#VNPT#DLKB21-DLKB31</t>
  </si>
  <si>
    <t>Trung thế 170</t>
  </si>
  <si>
    <t>865.89</t>
  </si>
  <si>
    <t>39.79</t>
  </si>
  <si>
    <t>13.043096</t>
  </si>
  <si>
    <t>108.193259</t>
  </si>
  <si>
    <t>826.10</t>
  </si>
  <si>
    <t>13.043447</t>
  </si>
  <si>
    <t>108.212785</t>
  </si>
  <si>
    <t>full_h04/Đắk Lắk/Mạng cấp IV Đắk Lắk.kmz/Mạng cấp IV Đắk Lắk/Đắk Lắk Ring 17.kmz/Cư Pơng - Krông Búk/Trung thế 170/17(476T2KBU)</t>
  </si>
  <si>
    <t>DLBT2X-Tân Lập</t>
  </si>
  <si>
    <t>12.656512</t>
  </si>
  <si>
    <t>108.122707</t>
  </si>
  <si>
    <t>FO thuê#VNPT#DLBT2X-DLBT05</t>
  </si>
  <si>
    <t>1653.43</t>
  </si>
  <si>
    <t>1644.17</t>
  </si>
  <si>
    <t>12.654529</t>
  </si>
  <si>
    <t>108.107689</t>
  </si>
  <si>
    <t>9.25</t>
  </si>
  <si>
    <t>12.654433</t>
  </si>
  <si>
    <t>108.107332</t>
  </si>
  <si>
    <t>full_h04/Đắk Lắk/Mạng cấp IV Đắk Lắk.kmz/Mạng cấp IV Đắk Lắk/Đắk Lắk Ring 1.kmz/Đắk Lắk Ring 1/CAT Đắk Lắk - Tân Lập/Trồng mới</t>
  </si>
  <si>
    <t>DLKN01-KRông Năng</t>
  </si>
  <si>
    <t>12.95247</t>
  </si>
  <si>
    <t>108.34291</t>
  </si>
  <si>
    <t>12.951746</t>
  </si>
  <si>
    <t>108.34468</t>
  </si>
  <si>
    <t>FO thuê#VNPT#DLKN01-DLKN27</t>
  </si>
  <si>
    <t>22</t>
  </si>
  <si>
    <t>118.57</t>
  </si>
  <si>
    <t>82.58</t>
  </si>
  <si>
    <t>12.951738</t>
  </si>
  <si>
    <t>108.342784</t>
  </si>
  <si>
    <t>35.99</t>
  </si>
  <si>
    <t>12.951675</t>
  </si>
  <si>
    <t>108.344356</t>
  </si>
  <si>
    <t>full_h04/Đắk Lắk/Mạng cấp IV Đắk Lắk.kmz/Mạng cấp IV Đắk Lắk/Đắk Lắk Ring 20.kmz/Tam Giang - TTCMKV Krông Năng/Trung thế 55/22/5(474KRN)__KrongNang</t>
  </si>
  <si>
    <t>DLCG28-Ea M’Droh</t>
  </si>
  <si>
    <t>12.83875</t>
  </si>
  <si>
    <t>107.94651</t>
  </si>
  <si>
    <t>12.86058</t>
  </si>
  <si>
    <t>107.9652</t>
  </si>
  <si>
    <t>FO thuê#VNPT#DLCG28-DLCG33</t>
  </si>
  <si>
    <t>Quảng Phú - Ea M’Droh</t>
  </si>
  <si>
    <t>3053.22</t>
  </si>
  <si>
    <t>2975.67</t>
  </si>
  <si>
    <t>12.858968</t>
  </si>
  <si>
    <t>107.964492</t>
  </si>
  <si>
    <t>77.55</t>
  </si>
  <si>
    <t>12.860792</t>
  </si>
  <si>
    <t>107.964518</t>
  </si>
  <si>
    <t>full_h04/Đắk Lắk/Mạng cấp IV Đắk Lắk.kmz/Mạng cấp IV Đắk Lắk/Đắk Lắk Ring 15.kmz/Ring Đắk Lắk 15/Quảng Phú - Ea M’Droh/Trung Thế 474</t>
  </si>
  <si>
    <t>DLCG45-Cư M’gar</t>
  </si>
  <si>
    <t>12.8589</t>
  </si>
  <si>
    <t>108.12099</t>
  </si>
  <si>
    <t>12.85251</t>
  </si>
  <si>
    <t>108.1049</t>
  </si>
  <si>
    <t>FO thuê#VNPT#DLCG45-DLCG06</t>
  </si>
  <si>
    <t>Cư M'ga - Buôn Hồ</t>
  </si>
  <si>
    <t>1733.38</t>
  </si>
  <si>
    <t>1616.38</t>
  </si>
  <si>
    <t>12.861892</t>
  </si>
  <si>
    <t>108.106399</t>
  </si>
  <si>
    <t>117.01</t>
  </si>
  <si>
    <t>12.853419</t>
  </si>
  <si>
    <t>108.104357</t>
  </si>
  <si>
    <t>full_h04/Đắk Lắk/Mạng cấp III Đắk Lắk.kmz/Mạng cấp III Đắk Lắk/Ring 1/Cư M'ga - Buôn Hồ/Trung thế</t>
  </si>
  <si>
    <t>DLEH55-Ea Hiao</t>
  </si>
  <si>
    <t>13.237291</t>
  </si>
  <si>
    <t>108.296399</t>
  </si>
  <si>
    <t>13.26653</t>
  </si>
  <si>
    <t>108.2872</t>
  </si>
  <si>
    <t>FO thuê#VNPT#DLEH55-DLEH07</t>
  </si>
  <si>
    <t>Trung thế __200</t>
  </si>
  <si>
    <t>1016.45</t>
  </si>
  <si>
    <t>965.45</t>
  </si>
  <si>
    <t>13.245973</t>
  </si>
  <si>
    <t>108.296445</t>
  </si>
  <si>
    <t>51.00</t>
  </si>
  <si>
    <t>13.266173</t>
  </si>
  <si>
    <t>108.287495</t>
  </si>
  <si>
    <t>full_h04/Đắk Lắk/Mạng cấp IV Đắk Lắk.kmz/Mạng cấp IV Đắk Lắk/Đắk Lắk Ring 19.kmz/Dliê Ya - Ea Hiao/Trung thế __200/137(475EHL)</t>
  </si>
  <si>
    <t>DLCG16-Ea M’Droh</t>
  </si>
  <si>
    <t>12.896765</t>
  </si>
  <si>
    <t>107.94482</t>
  </si>
  <si>
    <t>FO thuê#VNPT#DLCG16-DLCG33</t>
  </si>
  <si>
    <t>4539.86</t>
  </si>
  <si>
    <t>4491.00</t>
  </si>
  <si>
    <t>12.861238</t>
  </si>
  <si>
    <t>107.964528</t>
  </si>
  <si>
    <t>48.86</t>
  </si>
  <si>
    <t>12.861019</t>
  </si>
  <si>
    <t>107.965223</t>
  </si>
  <si>
    <t>full_h04/Đắk Lắk/Mạng cấp IV Đắk Lắk.kmz/Mạng cấp IV Đắk Lắk/Đắk Lắk Ring 15.kmz/Ring Đắk Lắk 15/Quảng Phú - Ea M’Droh/Hạ thế</t>
  </si>
  <si>
    <t>DLBH27-Buôn Hồ</t>
  </si>
  <si>
    <t>12.9099</t>
  </si>
  <si>
    <t>108.26515</t>
  </si>
  <si>
    <t>12.916187</t>
  </si>
  <si>
    <t>108.26651</t>
  </si>
  <si>
    <t>FO thuê#VNPT#DLBH27-DLBH15</t>
  </si>
  <si>
    <t>Trung thế 477T2KBU__R56</t>
  </si>
  <si>
    <t>211.52</t>
  </si>
  <si>
    <t>153.57</t>
  </si>
  <si>
    <t>12.909005</t>
  </si>
  <si>
    <t>108.266229</t>
  </si>
  <si>
    <t>57.95</t>
  </si>
  <si>
    <t>12.916483</t>
  </si>
  <si>
    <t>108.266070</t>
  </si>
  <si>
    <t>full_h04/Đắk Lắk/Mạng cấp III Đắk Lắk.kmz/Mạng cấp III Đắk Lắk/Ring 2/KRông Năng - TT1 Đăk Lăk/Trung thế 477T2KBU__R56/13__164__475BHO</t>
  </si>
  <si>
    <t>DLBT1F-PC08</t>
  </si>
  <si>
    <t>12.693274</t>
  </si>
  <si>
    <t>108.055156</t>
  </si>
  <si>
    <t>13.071469</t>
  </si>
  <si>
    <t>109.275869</t>
  </si>
  <si>
    <t>FO thuê#VNPT#DLBT1F-DLBT80</t>
  </si>
  <si>
    <t>TT1 Đăk Lăk - ILA Ea Kar</t>
  </si>
  <si>
    <t>91981.11</t>
  </si>
  <si>
    <t>1359.62</t>
  </si>
  <si>
    <t>12.690893</t>
  </si>
  <si>
    <t>108.067450</t>
  </si>
  <si>
    <t>90621.49</t>
  </si>
  <si>
    <t>12.811566</t>
  </si>
  <si>
    <t>108.483311</t>
  </si>
  <si>
    <t>full_h04/Đắk Lắk/Mạng cấp II Đắk Lắk.kmz/Link 1/TT1 Đăk Lăk - ILA Ea Kar/Trung thế</t>
  </si>
  <si>
    <t>DLBT43-Thành Nhất</t>
  </si>
  <si>
    <t>12.68948</t>
  </si>
  <si>
    <t>108.01239</t>
  </si>
  <si>
    <t>12.68287</t>
  </si>
  <si>
    <t>108.0158</t>
  </si>
  <si>
    <t>FO thuê#VNPT#DLBT43-DLBT89</t>
  </si>
  <si>
    <t>Thành Nhất - Ea Nuôl</t>
  </si>
  <si>
    <t>844.35</t>
  </si>
  <si>
    <t>775.90</t>
  </si>
  <si>
    <t>12.682521</t>
  </si>
  <si>
    <t>108.011870</t>
  </si>
  <si>
    <t>68.45</t>
  </si>
  <si>
    <t>12.682445</t>
  </si>
  <si>
    <t>108.016256</t>
  </si>
  <si>
    <t>full_h04/Đắk Lắk/Mạng cấp IV Đắk Lắk.kmz/Mạng cấp IV Đắk Lắk/Đắk Lắk Ring 12.kmz/Đắk Lắk Ring 12/Thành Nhất - Ea Nuôl/Hạ Thế Nguyễn Thị Định Thành Nhất</t>
  </si>
  <si>
    <t>DLBT2F-PK02</t>
  </si>
  <si>
    <t>12.70708</t>
  </si>
  <si>
    <t>108.04527</t>
  </si>
  <si>
    <t>13.14724</t>
  </si>
  <si>
    <t>109.2846</t>
  </si>
  <si>
    <t>FO thuê#VNPT#DLBT2F-DLBT53</t>
  </si>
  <si>
    <t>97510.54</t>
  </si>
  <si>
    <t>3004.72</t>
  </si>
  <si>
    <t>94505.82</t>
  </si>
  <si>
    <t>DLBT2J-Tân An</t>
  </si>
  <si>
    <t>12.70474</t>
  </si>
  <si>
    <t>108.08224</t>
  </si>
  <si>
    <t>FO thuê#VNPT#DLBT2J-DLBT24</t>
  </si>
  <si>
    <t>277.89</t>
  </si>
  <si>
    <t>244.30</t>
  </si>
  <si>
    <t>12.706446</t>
  </si>
  <si>
    <t>108.080821</t>
  </si>
  <si>
    <t>33.59</t>
  </si>
  <si>
    <t>12.697137</t>
  </si>
  <si>
    <t>108.072342</t>
  </si>
  <si>
    <t>DLCG49-Cư M’gar</t>
  </si>
  <si>
    <t>12.83685</t>
  </si>
  <si>
    <t>108.08927</t>
  </si>
  <si>
    <t>FO thuê#VNPT#DLCG49-DLCG06</t>
  </si>
  <si>
    <t>176.16</t>
  </si>
  <si>
    <t>58.60</t>
  </si>
  <si>
    <t>12.836508</t>
  </si>
  <si>
    <t>108.089682</t>
  </si>
  <si>
    <t>117.56</t>
  </si>
  <si>
    <t>12.853426</t>
  </si>
  <si>
    <t>108.104358</t>
  </si>
  <si>
    <t>full_h04/Đắk Lắk/Mạng cấp III Đắk Lắk.kmz/Mạng cấp III Đắk Lắk/Ring 1/Cư M'ga - Buôn Hồ/Trung Thế</t>
  </si>
  <si>
    <t>DLEH22-Ea Hiao</t>
  </si>
  <si>
    <t>13.26235</t>
  </si>
  <si>
    <t>108.27593</t>
  </si>
  <si>
    <t>FO thuê#VNPT#DLEH22-DLEH07</t>
  </si>
  <si>
    <t>Trung thế 200</t>
  </si>
  <si>
    <t>105.32</t>
  </si>
  <si>
    <t>61.08</t>
  </si>
  <si>
    <t>13.262590</t>
  </si>
  <si>
    <t>108.276438</t>
  </si>
  <si>
    <t>44.24</t>
  </si>
  <si>
    <t>13.266167</t>
  </si>
  <si>
    <t>108.287032</t>
  </si>
  <si>
    <t>full_h04/Đắk Lắk/Mạng cấp IV Đắk Lắk.kmz/Mạng cấp IV Đắk Lắk/Đắk Lắk Ring 19.kmz/Ea Hiao - TTCMKV Ea H'leo/Trung thế 200/136(475EHL)__EaDrang</t>
  </si>
  <si>
    <t>DLCG04-Ea M’Droh</t>
  </si>
  <si>
    <t>12.874635</t>
  </si>
  <si>
    <t>107.987798</t>
  </si>
  <si>
    <t>FO thuê#VNPT#DLCG04-DLCG33</t>
  </si>
  <si>
    <t>Ea M’Droh - Ea Kiết</t>
  </si>
  <si>
    <t>404.88</t>
  </si>
  <si>
    <t>76.32</t>
  </si>
  <si>
    <t>12.874235</t>
  </si>
  <si>
    <t>107.988370</t>
  </si>
  <si>
    <t>328.56</t>
  </si>
  <si>
    <t>12.861001</t>
  </si>
  <si>
    <t>107.968200</t>
  </si>
  <si>
    <t>full_h04/Đắk Lắk/Mạng cấp IV Đắk Lắk.kmz/Mạng cấp IV Đắk Lắk/Đắk Lắk Ring 15.kmz/Ring Đắk Lắk 15/Ea M’Droh - Ea Kiết/Trung thế 474_471</t>
  </si>
  <si>
    <t>DLCG27-Ea M’Droh</t>
  </si>
  <si>
    <t>12.8385734</t>
  </si>
  <si>
    <t>107.9832697</t>
  </si>
  <si>
    <t>FO thuê#VNPT#DLCG27-DLCG33</t>
  </si>
  <si>
    <t>343.09</t>
  </si>
  <si>
    <t>265.54</t>
  </si>
  <si>
    <t>12.840204</t>
  </si>
  <si>
    <t>107.985059</t>
  </si>
  <si>
    <t>DLCK02-Cư Kuin</t>
  </si>
  <si>
    <t>108.175533</t>
  </si>
  <si>
    <t>12.55998</t>
  </si>
  <si>
    <t>108.1639</t>
  </si>
  <si>
    <t>FO thuê#VNPT#DLCK02-DLCK11</t>
  </si>
  <si>
    <t>TTCMKV Cư Kuin - Dang Kang</t>
  </si>
  <si>
    <t>1086.22</t>
  </si>
  <si>
    <t>528.90</t>
  </si>
  <si>
    <t>12.553849</t>
  </si>
  <si>
    <t>108.180274</t>
  </si>
  <si>
    <t>557.32</t>
  </si>
  <si>
    <t>12.561992</t>
  </si>
  <si>
    <t>108.168603</t>
  </si>
  <si>
    <t>full_h04/Đắk Lắk/Mạng cấp IV Đắk Lắk.kmz/Mạng cấp IV Đắk Lắk/Đắk Lắk Ring 4.kmz/Đắk Lắk Ring 4/TTCMKV Cư Kuin - Dang Kang/Trung thế 473KNA</t>
  </si>
  <si>
    <t>DLCK30-Cư Kuin</t>
  </si>
  <si>
    <t>12.57712</t>
  </si>
  <si>
    <t>108.16603</t>
  </si>
  <si>
    <t>FO thuê#VNPT#DLCK30-DLCK11</t>
  </si>
  <si>
    <t>Ea Ning - TTCMKV Cư Kuin</t>
  </si>
  <si>
    <t>1010.67</t>
  </si>
  <si>
    <t>452.05</t>
  </si>
  <si>
    <t>12.573183</t>
  </si>
  <si>
    <t>108.164991</t>
  </si>
  <si>
    <t>558.62</t>
  </si>
  <si>
    <t>12.561987</t>
  </si>
  <si>
    <t>108.168619</t>
  </si>
  <si>
    <t>full_h04/Đắk Lắk/Mạng cấp IV Đắk Lắk.kmz/Mạng cấp IV Đắk Lắk/Đắk Lắk Ring 2.kmz/Đắk Lắk Ring 2/Ea Ning - TTCMKV Cư Kuin/Trung thế 474KNA-473KNA</t>
  </si>
  <si>
    <t>DLEK50-Ea Kar</t>
  </si>
  <si>
    <t>12.80792</t>
  </si>
  <si>
    <t>108.43335</t>
  </si>
  <si>
    <t>12.81206</t>
  </si>
  <si>
    <t>108.4837</t>
  </si>
  <si>
    <t>FO thuê#VNPT#DLEK50-DLEK01</t>
  </si>
  <si>
    <t>161.05</t>
  </si>
  <si>
    <t>91.81</t>
  </si>
  <si>
    <t>12.807167</t>
  </si>
  <si>
    <t>108.433002</t>
  </si>
  <si>
    <t>69.25</t>
  </si>
  <si>
    <t>DLKN18-KRông Năng</t>
  </si>
  <si>
    <t>12.9566265</t>
  </si>
  <si>
    <t>108.3327644</t>
  </si>
  <si>
    <t>FO thuê#VNPT#DLKN18-DLKN27</t>
  </si>
  <si>
    <t>315.25</t>
  </si>
  <si>
    <t>279.26</t>
  </si>
  <si>
    <t>12.954125</t>
  </si>
  <si>
    <t>108.332991</t>
  </si>
  <si>
    <t>DLKN42-Dliê Ya</t>
  </si>
  <si>
    <t>13.13766</t>
  </si>
  <si>
    <t>108.3298</t>
  </si>
  <si>
    <t>FO thuê#VNPT#DLKN42-DLKN15</t>
  </si>
  <si>
    <t>565.14</t>
  </si>
  <si>
    <t>292.32</t>
  </si>
  <si>
    <t>13.136281</t>
  </si>
  <si>
    <t>108.327502</t>
  </si>
  <si>
    <t>DLKN47-Dliê Ya</t>
  </si>
  <si>
    <t>13.09118</t>
  </si>
  <si>
    <t>108.34029</t>
  </si>
  <si>
    <t>FO thuê#VNPT#DLKN47-DLKN15</t>
  </si>
  <si>
    <t>TTCMKV Buôn Hồ - Dliê Ya</t>
  </si>
  <si>
    <t>315.45</t>
  </si>
  <si>
    <t>132.01</t>
  </si>
  <si>
    <t>13.092209</t>
  </si>
  <si>
    <t>108.340898</t>
  </si>
  <si>
    <t>183.44</t>
  </si>
  <si>
    <t>13.114953</t>
  </si>
  <si>
    <t>108.330055</t>
  </si>
  <si>
    <t>full_h04/Đắk Lắk/Mạng cấp IV Đắk Lắk.kmz/Mạng cấp IV Đắk Lắk/Đắk Lắk Ring 19.kmz/TTCMKV Buôn Hồ - Dliê Ya/Trung thế BuonHo_116(472KRN)</t>
  </si>
  <si>
    <t>DLKP64-Cơ sở cai nghiện (X. Tân Tiến, H. Kron Pắc)</t>
  </si>
  <si>
    <t>12.6752961</t>
  </si>
  <si>
    <t>108.3412936</t>
  </si>
  <si>
    <t>12.65602</t>
  </si>
  <si>
    <t>108.3431</t>
  </si>
  <si>
    <t>FO thuê#VNPT#DLKP64-DLKP17</t>
  </si>
  <si>
    <t>Cơ sở cai nghiện (X. Tân Tiến, H. Kron Pắc) - TTCMKV Krong Pắc</t>
  </si>
  <si>
    <t>159.73</t>
  </si>
  <si>
    <t>90.58</t>
  </si>
  <si>
    <t>12.674484</t>
  </si>
  <si>
    <t>108.341233</t>
  </si>
  <si>
    <t>69.15</t>
  </si>
  <si>
    <t>12.655667</t>
  </si>
  <si>
    <t>108.343625</t>
  </si>
  <si>
    <t>full_h04/Đắk Lắk/Mạng cấp III Đắk Lắk.kmz/Mạng cấp III Đắk Lắk/Cơ sở cai nghiện (X. Tân Tiến, H. Kron Pắc) - TTCMKV Krong Pắc/Trung thế</t>
  </si>
  <si>
    <t>DLCG26-Cư M’gar</t>
  </si>
  <si>
    <t>12.886938</t>
  </si>
  <si>
    <t>108.108867</t>
  </si>
  <si>
    <t>FO thuê#VNPT#DLCG26-DLCG06</t>
  </si>
  <si>
    <t>324.75</t>
  </si>
  <si>
    <t>207.75</t>
  </si>
  <si>
    <t>12.887229</t>
  </si>
  <si>
    <t>108.110760</t>
  </si>
  <si>
    <t>DLKB38-Krông Búk</t>
  </si>
  <si>
    <t>13.06275</t>
  </si>
  <si>
    <t>108.22011</t>
  </si>
  <si>
    <t>FO thuê#VNPT#DLKB38-DLKB31</t>
  </si>
  <si>
    <t>Krông Búk - Ea Khăl</t>
  </si>
  <si>
    <t>1073.34</t>
  </si>
  <si>
    <t>847.69</t>
  </si>
  <si>
    <t>13.059899</t>
  </si>
  <si>
    <t>108.227368</t>
  </si>
  <si>
    <t>225.65</t>
  </si>
  <si>
    <t>13.038637</t>
  </si>
  <si>
    <t>108.220683</t>
  </si>
  <si>
    <t>full_h04/Đắk Lắk/Mạng cấp IV Đắk Lắk.kmz/Mạng cấp IV Đắk Lắk/Đắk Lắk Ring 17.kmz/Krông Búk - Ea Khăl/Trung thế</t>
  </si>
  <si>
    <t>DLBH11-Buôn Hồ</t>
  </si>
  <si>
    <t>12.903898</t>
  </si>
  <si>
    <t>108.262718</t>
  </si>
  <si>
    <t>FO thuê#VNPT#DLBH11-DLBH15</t>
  </si>
  <si>
    <t>381.06</t>
  </si>
  <si>
    <t>323.11</t>
  </si>
  <si>
    <t>12.904659</t>
  </si>
  <si>
    <t>108.265595</t>
  </si>
  <si>
    <t>DLBT82-TT1 Đăk Lăk</t>
  </si>
  <si>
    <t>12.67953</t>
  </si>
  <si>
    <t>108.04331</t>
  </si>
  <si>
    <t>12.6843</t>
  </si>
  <si>
    <t>108.0528</t>
  </si>
  <si>
    <t>FO thuê#CMC#DLBT82-DLBT09</t>
  </si>
  <si>
    <t>TT1 Đăk Lăk - KRông Ana</t>
  </si>
  <si>
    <t>531.51</t>
  </si>
  <si>
    <t>458.29</t>
  </si>
  <si>
    <t>12.681184</t>
  </si>
  <si>
    <t>108.047180</t>
  </si>
  <si>
    <t>73.21</t>
  </si>
  <si>
    <t>12.684740</t>
  </si>
  <si>
    <t>108.052298</t>
  </si>
  <si>
    <t>full_h04/Đắk Lắk/Mạng cấp III Đắk Lắk.kmz/Mạng cấp III Đắk Lắk/Ring 3/TT1 Đăk Lăk - KRông Ana/Cống bể Ban QLDA</t>
  </si>
  <si>
    <t>DLBT54-Trại tạm giam Buôn Mê Thuột</t>
  </si>
  <si>
    <t>12.6884</t>
  </si>
  <si>
    <t>108.035</t>
  </si>
  <si>
    <t>12.71203</t>
  </si>
  <si>
    <t>108.0661</t>
  </si>
  <si>
    <t>FO thuê#CMC#DLBT54-DLBT84</t>
  </si>
  <si>
    <t>CAT Đắk Lắk - Buôn Ma Thuột</t>
  </si>
  <si>
    <t>1548.06</t>
  </si>
  <si>
    <t>1247.22</t>
  </si>
  <si>
    <t>12.685477</t>
  </si>
  <si>
    <t>108.046100</t>
  </si>
  <si>
    <t>300.84</t>
  </si>
  <si>
    <t>12.710325</t>
  </si>
  <si>
    <t>108.068253</t>
  </si>
  <si>
    <t>full_h04/Đắk Lắk/Mạng cấp IV Đắk Lắk.kmz/Mạng cấp IV Đắk Lắk/Đắk Lắk Ring 23.kmz/Đắk Lắk Ring 23/CAT Đắk Lắk - Buôn Ma Thuột/trung Thế</t>
  </si>
  <si>
    <t>Trại tạm giam Buôn Mê Thuột-PC08</t>
  </si>
  <si>
    <t>FO thuê#CMC#DLBT84-DLBT80</t>
  </si>
  <si>
    <t>92205.65</t>
  </si>
  <si>
    <t>1584.15</t>
  </si>
  <si>
    <t>12.701527</t>
  </si>
  <si>
    <t>108.075967</t>
  </si>
  <si>
    <t>PC08-TT1 Đăk Lăk</t>
  </si>
  <si>
    <t>FO thuê#CMC#DLBT80-DLBT09</t>
  </si>
  <si>
    <t>92371.60</t>
  </si>
  <si>
    <t>1750.11</t>
  </si>
  <si>
    <t>TT1 Đăk Lăk-DLBT30</t>
  </si>
  <si>
    <t>12.65778</t>
  </si>
  <si>
    <t>108.04707</t>
  </si>
  <si>
    <t>FO thuê#CMC#DLBT09-DLBT30</t>
  </si>
  <si>
    <t>1974.77</t>
  </si>
  <si>
    <t>699.16</t>
  </si>
  <si>
    <t>12.681206</t>
  </si>
  <si>
    <t>108.047189</t>
  </si>
  <si>
    <t>1275.61</t>
  </si>
  <si>
    <t>12.668707</t>
  </si>
  <si>
    <t>108.043490</t>
  </si>
  <si>
    <t>full_h04/Đắk Lắk/Mạng cấp III Đắk Lắk.kmz/Mạng cấp III Đắk Lắk/Ring 3/TT1 Đăk Lăk - KRông Ana/Trung thế 478BMT</t>
  </si>
  <si>
    <t>TT1 Đăk Lăk-DLBT26</t>
  </si>
  <si>
    <t>12.6321944</t>
  </si>
  <si>
    <t>108.0273379</t>
  </si>
  <si>
    <t>FO thuê#CMC#DLBT09-DLBT26</t>
  </si>
  <si>
    <t>Ea Kao - Ea Ktur</t>
  </si>
  <si>
    <t>4391.47</t>
  </si>
  <si>
    <t>4070.81</t>
  </si>
  <si>
    <t>12.656804</t>
  </si>
  <si>
    <t>108.028026</t>
  </si>
  <si>
    <t>320.66</t>
  </si>
  <si>
    <t>12.632830</t>
  </si>
  <si>
    <t>108.030221</t>
  </si>
  <si>
    <t>full_h04/Đắk Lắk/Mạng cấp IV Đắk Lắk.kmz/Mạng cấp IV Đắk Lắk/Đắk Lắk Ring 2.kmz/Đắk Lắk Ring 2/Ea Kao - Ea Ktur/Trung thế</t>
  </si>
  <si>
    <t>DLBT07-TT1 Đăk Lăk</t>
  </si>
  <si>
    <t>12.690778</t>
  </si>
  <si>
    <t>108.06661</t>
  </si>
  <si>
    <t>FO thuê#CMC#DLBT07-DLBT09</t>
  </si>
  <si>
    <t>CAT Đắk Lắk - Tân An</t>
  </si>
  <si>
    <t>362.98</t>
  </si>
  <si>
    <t>284.67</t>
  </si>
  <si>
    <t>12.692307</t>
  </si>
  <si>
    <t>108.064505</t>
  </si>
  <si>
    <t>78.31</t>
  </si>
  <si>
    <t>12.684724</t>
  </si>
  <si>
    <t>108.052223</t>
  </si>
  <si>
    <t>full_h04/Đắk Lắk/Mạng cấp IV Đắk Lắk.kmz/Mạng cấp IV Đắk Lắk/Đắk Lắk Ring 13.kmz/ring 13/CAT Đắk Lắk - Tân An/Bể Ngầm BQL DA</t>
  </si>
  <si>
    <t>DLKN08-KRông Năng</t>
  </si>
  <si>
    <t>12.984655</t>
  </si>
  <si>
    <t>108.434933</t>
  </si>
  <si>
    <t>FO thuê#CMC#DLKN08-DLKN27</t>
  </si>
  <si>
    <t>TTCMKV Krông Năng - Tam Giang</t>
  </si>
  <si>
    <t>813.21</t>
  </si>
  <si>
    <t>784.60</t>
  </si>
  <si>
    <t>12.984244</t>
  </si>
  <si>
    <t>108.427704</t>
  </si>
  <si>
    <t>28.61</t>
  </si>
  <si>
    <t>12.951984</t>
  </si>
  <si>
    <t>108.344781</t>
  </si>
  <si>
    <t>full_h04/Đắk Lắk/Mạng cấp IV Đắk Lắk.kmz/Mạng cấp IV Đắk Lắk/Đắk Lắk Ring 20.kmz/TTCMKV Krông Năng - Tam Giang/Trung thế TamGiang__126</t>
  </si>
  <si>
    <t>Ea Tul-DLEH27</t>
  </si>
  <si>
    <t>12.9107</t>
  </si>
  <si>
    <t>108.1902</t>
  </si>
  <si>
    <t>13.147942</t>
  </si>
  <si>
    <t>108.128962</t>
  </si>
  <si>
    <t>FO thuê#CMC#DLCG03-DLEH27</t>
  </si>
  <si>
    <t>17290.89</t>
  </si>
  <si>
    <t>7793.81</t>
  </si>
  <si>
    <t>12.951309</t>
  </si>
  <si>
    <t>108.248815</t>
  </si>
  <si>
    <t>9497.08</t>
  </si>
  <si>
    <t>13.192185</t>
  </si>
  <si>
    <t>108.203992</t>
  </si>
  <si>
    <t>Buôn Hồ-DLBH10</t>
  </si>
  <si>
    <t>12.9208963</t>
  </si>
  <si>
    <t>108.2648507</t>
  </si>
  <si>
    <t>FO thuê#CMC#DLBH15-DLBH10</t>
  </si>
  <si>
    <t>Trung thế 318(477T2KBU)__15</t>
  </si>
  <si>
    <t>93.35</t>
  </si>
  <si>
    <t>56.69</t>
  </si>
  <si>
    <t>12.916477</t>
  </si>
  <si>
    <t>108.266079</t>
  </si>
  <si>
    <t>36.66</t>
  </si>
  <si>
    <t>12.920687</t>
  </si>
  <si>
    <t>108.264589</t>
  </si>
  <si>
    <t>full_h04/Đắk Lắk/Mạng cấp IV Đắk Lắk.kmz/Mạng cấp IV Đắk Lắk/Đắk Lắk Ring 17.kmz/"TTCMKV Thị xã Buôn Hồ - Pơng
Drang"/Trung thế 318(477T2KBU)__15/32(477T2KBU)</t>
  </si>
  <si>
    <t>PC08-DLBT2K</t>
  </si>
  <si>
    <t>12.6993</t>
  </si>
  <si>
    <t>108.0517</t>
  </si>
  <si>
    <t>FO thuê#CMC#DLBT80-DLBT2K</t>
  </si>
  <si>
    <t>92569.00</t>
  </si>
  <si>
    <t>1947.51</t>
  </si>
  <si>
    <t>Buôn Ma Thuột-DLBT96</t>
  </si>
  <si>
    <t>12.712313</t>
  </si>
  <si>
    <t>108.06892</t>
  </si>
  <si>
    <t>12.73505</t>
  </si>
  <si>
    <t>108.078</t>
  </si>
  <si>
    <t>FO thuê#CMC#DLBT11-DLBT96</t>
  </si>
  <si>
    <t>"Buôn Ma Thuột - TTCMKV Cư
M'gar"</t>
  </si>
  <si>
    <t>260.27</t>
  </si>
  <si>
    <t>75.59</t>
  </si>
  <si>
    <t>12.712070</t>
  </si>
  <si>
    <t>108.069571</t>
  </si>
  <si>
    <t>184.68</t>
  </si>
  <si>
    <t>12.733822</t>
  </si>
  <si>
    <t>108.079147</t>
  </si>
  <si>
    <t>full_h04/Đắk Lắk/Mạng cấp IV Đắk Lắk.kmz/Mạng cấp IV Đắk Lắk/Đắk Lắk Ring 23.kmz/Đắk Lắk Ring 23/"Buôn Ma Thuột - TTCMKV Cư
M'gar"/Trung Thế</t>
  </si>
  <si>
    <t>Krông Búk-DLKB30</t>
  </si>
  <si>
    <t>13.05126</t>
  </si>
  <si>
    <t>108.2152</t>
  </si>
  <si>
    <t>FO thuê#CMC#DLKB31-DLKB30</t>
  </si>
  <si>
    <t>Cư Pơng - Krông Búk</t>
  </si>
  <si>
    <t>1015.69</t>
  </si>
  <si>
    <t>115.74</t>
  </si>
  <si>
    <t>13.038184</t>
  </si>
  <si>
    <t>108.217640</t>
  </si>
  <si>
    <t>899.95</t>
  </si>
  <si>
    <t>13.043448</t>
  </si>
  <si>
    <t>108.213028</t>
  </si>
  <si>
    <t>full_h04/Đắk Lắk/Mạng cấp IV Đắk Lắk.kmz/Mạng cấp IV Đắk Lắk/Đắk Lắk Ring 17.kmz/Cư Pơng - Krông Búk/Hạ thế</t>
  </si>
  <si>
    <t>Pơng Drang-DLKB19</t>
  </si>
  <si>
    <t>12.9482705</t>
  </si>
  <si>
    <t>108.2535349</t>
  </si>
  <si>
    <t>FO thuê#CMC#DLKB36-DLKB19</t>
  </si>
  <si>
    <t>288.27</t>
  </si>
  <si>
    <t>186.28</t>
  </si>
  <si>
    <t>12.947990</t>
  </si>
  <si>
    <t>108.251840</t>
  </si>
  <si>
    <t>Krông Búk-Cư Pơng</t>
  </si>
  <si>
    <t>13.00979</t>
  </si>
  <si>
    <t>108.1509</t>
  </si>
  <si>
    <t>FO thuê#CMC#DLKB31-DLKB22</t>
  </si>
  <si>
    <t>938.27</t>
  </si>
  <si>
    <t>112.17</t>
  </si>
  <si>
    <t>13.008883</t>
  </si>
  <si>
    <t>108.150448</t>
  </si>
  <si>
    <t>Pơng Drang-Krông Búk</t>
  </si>
  <si>
    <t>FO thuê#CMC#DLKB36-DLKB31</t>
  </si>
  <si>
    <t>821.95</t>
  </si>
  <si>
    <t>719.96</t>
  </si>
  <si>
    <t>13.039525</t>
  </si>
  <si>
    <t>108.225184</t>
  </si>
  <si>
    <t>DLKB14-Pơng Drang</t>
  </si>
  <si>
    <t>12.940084</t>
  </si>
  <si>
    <t>108.23028</t>
  </si>
  <si>
    <t>FO thuê#CMC#DLKB14-DLKB36</t>
  </si>
  <si>
    <t>Ea Tul - Buôn Hồ</t>
  </si>
  <si>
    <t>1917.70</t>
  </si>
  <si>
    <t>126.75</t>
  </si>
  <si>
    <t>12.939247</t>
  </si>
  <si>
    <t>108.231073</t>
  </si>
  <si>
    <t>1790.95</t>
  </si>
  <si>
    <t>12.954533</t>
  </si>
  <si>
    <t>108.246934</t>
  </si>
  <si>
    <t>full_h04/Đắk Lắk/Mạng cấp IV Đắk Lắk.kmz/Mạng cấp IV Đắk Lắk/Đắk Lắk Ring 16.kmz/Đắk Lắk ring 16/Ea Tul - Buôn Hồ/Trung Thế</t>
  </si>
  <si>
    <t>DLKN03-KRông Năng</t>
  </si>
  <si>
    <t>13.04259</t>
  </si>
  <si>
    <t>108.3324</t>
  </si>
  <si>
    <t>FO thuê#CMC#DLKN03-DLKN27</t>
  </si>
  <si>
    <t>121.03</t>
  </si>
  <si>
    <t>85.03</t>
  </si>
  <si>
    <t>13.041829</t>
  </si>
  <si>
    <t>108.332318</t>
  </si>
  <si>
    <t>Buôn Hồ-DLEH08</t>
  </si>
  <si>
    <t>13.174432</t>
  </si>
  <si>
    <t>108.218662</t>
  </si>
  <si>
    <t>FO thuê#CMC#DLBH15-DLEH08</t>
  </si>
  <si>
    <t>150.20</t>
  </si>
  <si>
    <t>58.27</t>
  </si>
  <si>
    <t>12.916486</t>
  </si>
  <si>
    <t>108.266068</t>
  </si>
  <si>
    <t>91.93</t>
  </si>
  <si>
    <t>13.175211</t>
  </si>
  <si>
    <t>108.218376</t>
  </si>
  <si>
    <t>DLKN14-KRông Năng</t>
  </si>
  <si>
    <t>12.950532</t>
  </si>
  <si>
    <t>108.306427</t>
  </si>
  <si>
    <t>FO thuê#CMC#DLKN14-DLKN27</t>
  </si>
  <si>
    <t>Trung thế 474T2KBU__126__R56</t>
  </si>
  <si>
    <t>196.50</t>
  </si>
  <si>
    <t>165.63</t>
  </si>
  <si>
    <t>12.951854</t>
  </si>
  <si>
    <t>108.305722</t>
  </si>
  <si>
    <t>30.87</t>
  </si>
  <si>
    <t>12.951996</t>
  </si>
  <si>
    <t>108.344803</t>
  </si>
  <si>
    <t>full_h04/Đắk Lắk/Mạng cấp III Đắk Lắk.kmz/Mạng cấp III Đắk Lắk/Ring 2/KRông Năng - TT1 Đăk Lăk/Trung thế 474T2KBU__126__R56/13__477T2KBU</t>
  </si>
  <si>
    <t>Buôn Hồ-DLKN14</t>
  </si>
  <si>
    <t>FO thuê#CMC#DLBH15-DLKN14</t>
  </si>
  <si>
    <t>223.08</t>
  </si>
  <si>
    <t>58.00</t>
  </si>
  <si>
    <t>12.916521</t>
  </si>
  <si>
    <t>108.266099</t>
  </si>
  <si>
    <t>165.08</t>
  </si>
  <si>
    <t>12.951842</t>
  </si>
  <si>
    <t>108.305711</t>
  </si>
  <si>
    <t>Dliê Ya-KRông Năng</t>
  </si>
  <si>
    <t>FO thuê#CMC#DLKN15-DLKN27</t>
  </si>
  <si>
    <t>4309.11</t>
  </si>
  <si>
    <t>4125.67</t>
  </si>
  <si>
    <t>12.959835</t>
  </si>
  <si>
    <t>108.307524</t>
  </si>
  <si>
    <t>Ea Hiao-Dliê Ya</t>
  </si>
  <si>
    <t>FO thuê#CMC#DLEH07-DLKN15</t>
  </si>
  <si>
    <t>Trung thế __235</t>
  </si>
  <si>
    <t>8933.98</t>
  </si>
  <si>
    <t>4630.83</t>
  </si>
  <si>
    <t>13.225431</t>
  </si>
  <si>
    <t>108.294114</t>
  </si>
  <si>
    <t>4303.16</t>
  </si>
  <si>
    <t>13.154978</t>
  </si>
  <si>
    <t>108.325789</t>
  </si>
  <si>
    <t>full_h04/Đắk Lắk/Mạng cấp IV Đắk Lắk.kmz/Mạng cấp IV Đắk Lắk/Đắk Lắk Ring 19.kmz/Dliê Ya - Ea Hiao/Trung thế __235/27(475EHL)</t>
  </si>
  <si>
    <t>DLEH18-Ea Hiao</t>
  </si>
  <si>
    <t>13.20129</t>
  </si>
  <si>
    <t>108.21557</t>
  </si>
  <si>
    <t>FO thuê#CMC#DLEH18-DLEH07</t>
  </si>
  <si>
    <t>153.88</t>
  </si>
  <si>
    <t>109.64</t>
  </si>
  <si>
    <t>13.201871</t>
  </si>
  <si>
    <t>108.214752</t>
  </si>
  <si>
    <t>Buôn Hồ-DLEH18</t>
  </si>
  <si>
    <t>FO thuê#CMC#DLBH15-DLEH18</t>
  </si>
  <si>
    <t>1026.28</t>
  </si>
  <si>
    <t>968.01</t>
  </si>
  <si>
    <t>13.204206</t>
  </si>
  <si>
    <t>108.207145</t>
  </si>
  <si>
    <t>Buôn Hồ-DLKN02</t>
  </si>
  <si>
    <t>12.8819829</t>
  </si>
  <si>
    <t>108.3861617</t>
  </si>
  <si>
    <t>FO thuê#CMC#DLBH15-DLKN02</t>
  </si>
  <si>
    <t>Ea Kar - KRông Năng</t>
  </si>
  <si>
    <t>9422.79</t>
  </si>
  <si>
    <t>9287.61</t>
  </si>
  <si>
    <t>12.924610</t>
  </si>
  <si>
    <t>108.351768</t>
  </si>
  <si>
    <t>135.18</t>
  </si>
  <si>
    <t>12.880810</t>
  </si>
  <si>
    <t>108.386491</t>
  </si>
  <si>
    <t>full_h04/Đắk Lắk/Mạng cấp III Đắk Lắk.kmz/Mạng cấp III Đắk Lắk/Ring 2/Ea Kar - KRông Năng/Trung thế 475EKA__103__386__475EKA</t>
  </si>
  <si>
    <t>Buôn Ma Thuột-DLBT22</t>
  </si>
  <si>
    <t>12.6978</t>
  </si>
  <si>
    <t>108.02938</t>
  </si>
  <si>
    <t>FO thuê#CMC#DLBT11-DLBT22</t>
  </si>
  <si>
    <t>2274.60</t>
  </si>
  <si>
    <t>76.38</t>
  </si>
  <si>
    <t>12.711752</t>
  </si>
  <si>
    <t>108.069326</t>
  </si>
  <si>
    <t>2198.21</t>
  </si>
  <si>
    <t>12.687672</t>
  </si>
  <si>
    <t>108.046783</t>
  </si>
  <si>
    <t>DLBT52-Buôn Ma Thuột</t>
  </si>
  <si>
    <t>12.68915</t>
  </si>
  <si>
    <t>108.04834</t>
  </si>
  <si>
    <t>FO thuê#CMC#DLBT52-DLBT11</t>
  </si>
  <si>
    <t>137.86</t>
  </si>
  <si>
    <t>61.48</t>
  </si>
  <si>
    <t>12.688961</t>
  </si>
  <si>
    <t>108.047808</t>
  </si>
  <si>
    <t>TT1 Đăk Lăk-DLBT45</t>
  </si>
  <si>
    <t>12.722173</t>
  </si>
  <si>
    <t>108.091853</t>
  </si>
  <si>
    <t>FO thuê#CMC#DLBT09-DLBT45</t>
  </si>
  <si>
    <t>1899.34</t>
  </si>
  <si>
    <t>149.24</t>
  </si>
  <si>
    <t>12.721553</t>
  </si>
  <si>
    <t>108.093073</t>
  </si>
  <si>
    <t>DLCG32-Ea Tul</t>
  </si>
  <si>
    <t>12.9595</t>
  </si>
  <si>
    <t>108.08953</t>
  </si>
  <si>
    <t>FO thuê#CMC#DLCG32-DLCG03</t>
  </si>
  <si>
    <t>7353.97</t>
  </si>
  <si>
    <t>7309.52</t>
  </si>
  <si>
    <t>12.899435</t>
  </si>
  <si>
    <t>108.116934</t>
  </si>
  <si>
    <t>44.45</t>
  </si>
  <si>
    <t>12.910539</t>
  </si>
  <si>
    <t>108.190575</t>
  </si>
  <si>
    <t>Cư Pơng-DLCG32</t>
  </si>
  <si>
    <t>FO thuê#CMC#DLKB22-DLCG32</t>
  </si>
  <si>
    <t>8547.33</t>
  </si>
  <si>
    <t>8435.16</t>
  </si>
  <si>
    <t>13.010324</t>
  </si>
  <si>
    <t>108.147325</t>
  </si>
  <si>
    <t>Buôn Hồ-DLBH02</t>
  </si>
  <si>
    <t>12.931363</t>
  </si>
  <si>
    <t>108.264228</t>
  </si>
  <si>
    <t>FO thuê#CMC#DLBH15-DLBH02</t>
  </si>
  <si>
    <t>259.18</t>
  </si>
  <si>
    <t>55.16</t>
  </si>
  <si>
    <t>12.916409</t>
  </si>
  <si>
    <t>108.266055</t>
  </si>
  <si>
    <t>204.02</t>
  </si>
  <si>
    <t>12.930183</t>
  </si>
  <si>
    <t>108.262786</t>
  </si>
  <si>
    <t>Cư M’gar-DLCG30</t>
  </si>
  <si>
    <t>12.8166</t>
  </si>
  <si>
    <t>108.071</t>
  </si>
  <si>
    <t>FO thuê#CMC#DLCG06-DLCG30</t>
  </si>
  <si>
    <t>1172.31</t>
  </si>
  <si>
    <t>1054.75</t>
  </si>
  <si>
    <t>12.823486</t>
  </si>
  <si>
    <t>DLCG41-Cư M’gar</t>
  </si>
  <si>
    <t>12.89177</t>
  </si>
  <si>
    <t>108.17996</t>
  </si>
  <si>
    <t>FO thuê#CMC#DLCG41-DLCG06</t>
  </si>
  <si>
    <t>235.06</t>
  </si>
  <si>
    <t>118.05</t>
  </si>
  <si>
    <t>12.892032</t>
  </si>
  <si>
    <t>108.181015</t>
  </si>
  <si>
    <t>Ea M’Droh-DLCG14</t>
  </si>
  <si>
    <t>12.830697</t>
  </si>
  <si>
    <t>108.033728</t>
  </si>
  <si>
    <t>FO thuê#CMC#DLCG33-DLCG14</t>
  </si>
  <si>
    <t>141.74</t>
  </si>
  <si>
    <t>64.19</t>
  </si>
  <si>
    <t>12.831251</t>
  </si>
  <si>
    <t>108.033561</t>
  </si>
  <si>
    <t>DLCG08-Ea M’Droh</t>
  </si>
  <si>
    <t>12.89577</t>
  </si>
  <si>
    <t>108.06609</t>
  </si>
  <si>
    <t>FO thuê#CMC#DLCG08-DLCG33</t>
  </si>
  <si>
    <t>7409.13</t>
  </si>
  <si>
    <t>7331.58</t>
  </si>
  <si>
    <t>12.831722</t>
  </si>
  <si>
    <t>108.050026</t>
  </si>
  <si>
    <t>Ea Tul-DLCG08</t>
  </si>
  <si>
    <t>FO thuê#CMC#DLCG03-DLCG08</t>
  </si>
  <si>
    <t>4978.63</t>
  </si>
  <si>
    <t>4934.18</t>
  </si>
  <si>
    <t>DLBH31-Ea Tul</t>
  </si>
  <si>
    <t>12.86139</t>
  </si>
  <si>
    <t>108.25827</t>
  </si>
  <si>
    <t>FO thuê#CMC#DLBH31-DLCG03</t>
  </si>
  <si>
    <t>6231.31</t>
  </si>
  <si>
    <t>6175.76</t>
  </si>
  <si>
    <t>55.55</t>
  </si>
  <si>
    <t>12.910633</t>
  </si>
  <si>
    <t>108.190708</t>
  </si>
  <si>
    <t>PYPY07-TT2 Tuy Hòa</t>
  </si>
  <si>
    <t>13.09204</t>
  </si>
  <si>
    <t>109.29591</t>
  </si>
  <si>
    <t>FO thuê#CMC#PYPY07-PYPY01</t>
  </si>
  <si>
    <t>TT2 Đăk Lăk (Tuy Hòa) - Cơ quan điều tra
 Tuy Hòa</t>
  </si>
  <si>
    <t>108.78</t>
  </si>
  <si>
    <t>102.57</t>
  </si>
  <si>
    <t>13.091844</t>
  </si>
  <si>
    <t>109.294985</t>
  </si>
  <si>
    <t>6.20</t>
  </si>
  <si>
    <t>13.094789</t>
  </si>
  <si>
    <t>109.292973</t>
  </si>
  <si>
    <t>full_h04/Đắk Lắk/Mạng cấp III Đắk Lắk.kmz/Mạng cấp III Phú Yên/Phú Yên_Ring phòng 2/TT2 Đăk Lăk (Tuy Hòa) - Cơ quan điều tra
 Tuy Hòa/Hạ thế</t>
  </si>
  <si>
    <t>Phú Yên-PYTH21</t>
  </si>
  <si>
    <t>13.0529675</t>
  </si>
  <si>
    <t>109.3105219</t>
  </si>
  <si>
    <t>13.0316</t>
  </si>
  <si>
    <t>109.2852</t>
  </si>
  <si>
    <t>FO thuê#CMC#PYPY33-PYTH21</t>
  </si>
  <si>
    <t>Phú Hòa 2 - Phú Yên</t>
  </si>
  <si>
    <t>2358.93</t>
  </si>
  <si>
    <t>13.052982</t>
  </si>
  <si>
    <t>109.310524</t>
  </si>
  <si>
    <t>2357.26</t>
  </si>
  <si>
    <t>13.045337</t>
  </si>
  <si>
    <t>109.301774</t>
  </si>
  <si>
    <t>full_h04/Đắk Lắk/Mạng cấp IV Đắk Lắk.kmz/Mạng cấp IV Phú Yên/Phú Yên_Ring 10/Phú Hòa 2 - Phú Yên/Hạ thế</t>
  </si>
  <si>
    <t>DLBHMA01-Buôn Hồ</t>
  </si>
  <si>
    <t>12.788935</t>
  </si>
  <si>
    <t>108.217171</t>
  </si>
  <si>
    <t>FO thuê#CMC#DLBHMA01-DLBH15</t>
  </si>
  <si>
    <t>Cư Bao - Ea Drông</t>
  </si>
  <si>
    <t>7373.48</t>
  </si>
  <si>
    <t>6845.67</t>
  </si>
  <si>
    <t>12.841982</t>
  </si>
  <si>
    <t>108.249215</t>
  </si>
  <si>
    <t>527.81</t>
  </si>
  <si>
    <t>12.911440</t>
  </si>
  <si>
    <t>108.266550</t>
  </si>
  <si>
    <t>full_h04/Đắk Lắk/Mạng cấp IV Đắk Lắk.kmz/Mạng cấp IV Đắk Lắk/Đắk Lắk Ring 13.kmz/ring 13/Cư Bao - Ea Drông/Trung thế</t>
  </si>
  <si>
    <t>TT1 Đăk Lăk-DLBHMA01</t>
  </si>
  <si>
    <t>FO thuê#CMC#DLBT09-DLBHMA01</t>
  </si>
  <si>
    <t>1807.41</t>
  </si>
  <si>
    <t>57.30</t>
  </si>
  <si>
    <t>12.789365</t>
  </si>
  <si>
    <t>108.217463</t>
  </si>
  <si>
    <t>Buôn Hồ-Ea Tul</t>
  </si>
  <si>
    <t>FO thuê#CMC#DLBH15-DLCG03</t>
  </si>
  <si>
    <t>110.70</t>
  </si>
  <si>
    <t>KRông Năng-Buôn Hồ</t>
  </si>
  <si>
    <t>FO thuê#CMC#DLKN27-DLBH15</t>
  </si>
  <si>
    <t>3821.65</t>
  </si>
  <si>
    <t>3790.77</t>
  </si>
  <si>
    <t>12.941436</t>
  </si>
  <si>
    <t>108.290012</t>
  </si>
  <si>
    <t>DLBT39-Hòa Phú</t>
  </si>
  <si>
    <t>12.614217</t>
  </si>
  <si>
    <t>107.946967</t>
  </si>
  <si>
    <t>12.61763</t>
  </si>
  <si>
    <t>107.9401</t>
  </si>
  <si>
    <t>FO thuê#CMC#DLBT39-DLBT1T</t>
  </si>
  <si>
    <t>Hòa Phú - Ea Na</t>
  </si>
  <si>
    <t>557.95</t>
  </si>
  <si>
    <t>527.65</t>
  </si>
  <si>
    <t>12.618945</t>
  </si>
  <si>
    <t>107.946550</t>
  </si>
  <si>
    <t>30.30</t>
  </si>
  <si>
    <t>12.617361</t>
  </si>
  <si>
    <t>107.940058</t>
  </si>
  <si>
    <t>full_h04/Đắk Lắk/Mạng cấp IV Đắk Lắk.kmz/Mạng cấp IV Đắk Lắk/Đắk Lắk Ring 11.kmz/Đắk Lắk Ring 11/Hòa Phú - Ea Na/hạ thế</t>
  </si>
  <si>
    <t>TT1 Đăk Lăk-DLBT1E</t>
  </si>
  <si>
    <t>12.68783</t>
  </si>
  <si>
    <t>108.06131</t>
  </si>
  <si>
    <t>FO thuê#CMC#DLBT09-DLBT1E</t>
  </si>
  <si>
    <t>TT1 Đak Lak - Krong Pak</t>
  </si>
  <si>
    <t>355.97</t>
  </si>
  <si>
    <t>72.49</t>
  </si>
  <si>
    <t>12.684662</t>
  </si>
  <si>
    <t>108.052244</t>
  </si>
  <si>
    <t>283.47</t>
  </si>
  <si>
    <t>12.689913</t>
  </si>
  <si>
    <t>108.059804</t>
  </si>
  <si>
    <t>full_h04/Đắk Lắk/Mạng cấp III Đắk Lắk.kmz/Mạng cấp III Đắk Lắk/Ring 2/TT1 Đak Lak - Krong Pak/CAT</t>
  </si>
  <si>
    <t>DLBT07-Tân An</t>
  </si>
  <si>
    <t>FO thuê#CMC#DLBT07-DLBT24</t>
  </si>
  <si>
    <t>125.55</t>
  </si>
  <si>
    <t>91.96</t>
  </si>
  <si>
    <t>PC08-PK02</t>
  </si>
  <si>
    <t>FO thuê#CMC#DLBT80-DLBT53</t>
  </si>
  <si>
    <t>3136.08</t>
  </si>
  <si>
    <t>2642.09</t>
  </si>
  <si>
    <t>13.091364</t>
  </si>
  <si>
    <t>109.289206</t>
  </si>
  <si>
    <t>493.99</t>
  </si>
  <si>
    <t>13.147905</t>
  </si>
  <si>
    <t>109.280089</t>
  </si>
  <si>
    <t>DLBT26-PC11</t>
  </si>
  <si>
    <t>13.09377</t>
  </si>
  <si>
    <t>109.2912</t>
  </si>
  <si>
    <t>FO thuê#CMC#DLBT26-DLBT60</t>
  </si>
  <si>
    <t>100845.75</t>
  </si>
  <si>
    <t>7844.66</t>
  </si>
  <si>
    <t>93001.10</t>
  </si>
  <si>
    <t>DLBT10-Trung tâm huấn luyện PX01</t>
  </si>
  <si>
    <t>12.66579</t>
  </si>
  <si>
    <t>108.03123</t>
  </si>
  <si>
    <t>12.67325</t>
  </si>
  <si>
    <t>108.0336</t>
  </si>
  <si>
    <t>FO thuê#CMC#DLBT10-DLBT72</t>
  </si>
  <si>
    <t>Trung tâm huấn luyện PX01 - TT1 Đăk Lăk</t>
  </si>
  <si>
    <t>870.47</t>
  </si>
  <si>
    <t>867.07</t>
  </si>
  <si>
    <t>12.673182</t>
  </si>
  <si>
    <t>108.033775</t>
  </si>
  <si>
    <t>3.41</t>
  </si>
  <si>
    <t>12.673265</t>
  </si>
  <si>
    <t>108.033628</t>
  </si>
  <si>
    <t>full_h04/Đắk Lắk/Mạng cấp III Đắk Lắk.kmz/Mạng cấp III Đắk Lắk/Trung tâm huấn luyện PX01 - TT1 Đăk Lăk/Nhập trạm</t>
  </si>
  <si>
    <t>TT1 Đăk Lăk-DLBT75</t>
  </si>
  <si>
    <t>12.68365</t>
  </si>
  <si>
    <t>108.0597</t>
  </si>
  <si>
    <t>FO thuê#CMC#DLBT09-DLBT75</t>
  </si>
  <si>
    <t>TT1 Đăk Lăk - ILA Ea Pal</t>
  </si>
  <si>
    <t>278.42</t>
  </si>
  <si>
    <t>225.88</t>
  </si>
  <si>
    <t>12.683053</t>
  </si>
  <si>
    <t>108.051156</t>
  </si>
  <si>
    <t>52.55</t>
  </si>
  <si>
    <t>12.683981</t>
  </si>
  <si>
    <t>108.059354</t>
  </si>
  <si>
    <t>full_h04/Đắk Lắk/Mạng cấp II Đắk Lắk.kmz/Link 2/TT1 Đăk Lăk - ILA Ea Pal/Trung thế</t>
  </si>
  <si>
    <t>DLBT10-Ea Kao</t>
  </si>
  <si>
    <t>12.66006</t>
  </si>
  <si>
    <t>108.0303</t>
  </si>
  <si>
    <t>FO thuê#CMC#DLBT10-DLBT88</t>
  </si>
  <si>
    <t>CAT Đắk Lắk - Ea Kao</t>
  </si>
  <si>
    <t>560.96</t>
  </si>
  <si>
    <t>471.01</t>
  </si>
  <si>
    <t>12.662886</t>
  </si>
  <si>
    <t>108.034390</t>
  </si>
  <si>
    <t>89.95</t>
  </si>
  <si>
    <t>12.660361</t>
  </si>
  <si>
    <t>108.031069</t>
  </si>
  <si>
    <t>full_h04/Đắk Lắk/Mạng cấp IV Đắk Lắk.kmz/Mạng cấp IV Đắk Lắk/Đắk Lắk Ring 2.kmz/Đắk Lắk Ring 2/CAT Đắk Lắk - Ea Kao/Trung thế -477BMT</t>
  </si>
  <si>
    <t>DLBT29-Tân Lập</t>
  </si>
  <si>
    <t>12.68652</t>
  </si>
  <si>
    <t>108.09521</t>
  </si>
  <si>
    <t>FO thuê#CMC#DLBT29-DLBT05</t>
  </si>
  <si>
    <t>1300.24</t>
  </si>
  <si>
    <t>1181.25</t>
  </si>
  <si>
    <t>12.679326</t>
  </si>
  <si>
    <t>108.087198</t>
  </si>
  <si>
    <t>DLBT20-Thành Nhất</t>
  </si>
  <si>
    <t>12.67664</t>
  </si>
  <si>
    <t>107.99387</t>
  </si>
  <si>
    <t>FO thuê#CMC#DLBT20-DLBT89</t>
  </si>
  <si>
    <t>434.70</t>
  </si>
  <si>
    <t>22.72</t>
  </si>
  <si>
    <t>12.676813</t>
  </si>
  <si>
    <t>107.993981</t>
  </si>
  <si>
    <t>411.98</t>
  </si>
  <si>
    <t>12.682619</t>
  </si>
  <si>
    <t>108.012011</t>
  </si>
  <si>
    <t>full_h04/Đắk Lắk/Mạng cấp IV Đắk Lắk.kmz/Mạng cấp IV Đắk Lắk/Đắk Lắk Ring 12.kmz/Đắk Lắk Ring 12/Thành Nhất - Ea Nuôl/Trung thế Buôn Đôn Ea Nuôil</t>
  </si>
  <si>
    <t>Trại tạm giam Buôn Mê Thuột-DLBT44</t>
  </si>
  <si>
    <t>12.7249</t>
  </si>
  <si>
    <t>108.0505</t>
  </si>
  <si>
    <t>FO thuê#CMC#DLBT84-DLBT44</t>
  </si>
  <si>
    <t>Trại tạm giam Buôn Mê Thuột  - TT1 Đăk Lăk</t>
  </si>
  <si>
    <t>2288.04</t>
  </si>
  <si>
    <t>37.88</t>
  </si>
  <si>
    <t>12.711841</t>
  </si>
  <si>
    <t>108.066391</t>
  </si>
  <si>
    <t>2250.16</t>
  </si>
  <si>
    <t>12.712285</t>
  </si>
  <si>
    <t>108.066721</t>
  </si>
  <si>
    <t>full_h04/Đắk Lắk/Mạng cấp III Đắk Lắk.kmz/Mạng cấp III Đắk Lắk/Trại tạm giam Buôn Mê Thuột  - TT1 Đăk Lăk/Trụ nhập trạm</t>
  </si>
  <si>
    <t>DLBT36-Cuôr Đăng</t>
  </si>
  <si>
    <t>12.73621</t>
  </si>
  <si>
    <t>108.14301</t>
  </si>
  <si>
    <t>12.75332</t>
  </si>
  <si>
    <t>108.1683</t>
  </si>
  <si>
    <t>FO thuê#CMC#DLBT36-DLBT25</t>
  </si>
  <si>
    <t>190.27</t>
  </si>
  <si>
    <t>88.89</t>
  </si>
  <si>
    <t>12.736509</t>
  </si>
  <si>
    <t>108.142250</t>
  </si>
  <si>
    <t>101.38</t>
  </si>
  <si>
    <t>12.753319</t>
  </si>
  <si>
    <t>108.169235</t>
  </si>
  <si>
    <t>Buôn Hồ-DLBH07</t>
  </si>
  <si>
    <t>12.909897</t>
  </si>
  <si>
    <t>108.270875</t>
  </si>
  <si>
    <t>FO thuê#CMC#DLBH15-DLBH07</t>
  </si>
  <si>
    <t>547.86</t>
  </si>
  <si>
    <t>489.91</t>
  </si>
  <si>
    <t>12.911094</t>
  </si>
  <si>
    <t>108.266525</t>
  </si>
  <si>
    <t>PYDH36-Phú Yên</t>
  </si>
  <si>
    <t>13.0395</t>
  </si>
  <si>
    <t>109.3046</t>
  </si>
  <si>
    <t>FO thuê#VNPT#PYDH36-PYPY33</t>
  </si>
  <si>
    <t>602.63</t>
  </si>
  <si>
    <t>600.95</t>
  </si>
  <si>
    <t>13.044897</t>
  </si>
  <si>
    <t>109.304889</t>
  </si>
  <si>
    <t>PYDH09-Phú Yên</t>
  </si>
  <si>
    <t>FO thuê#VNPT#PYDH09-PYPY33</t>
  </si>
  <si>
    <t>1303.29</t>
  </si>
  <si>
    <t>1301.62</t>
  </si>
  <si>
    <t>Phú Yên-PYDH05</t>
  </si>
  <si>
    <t>13.01722</t>
  </si>
  <si>
    <t>109.33051</t>
  </si>
  <si>
    <t>FO thuê#VNPT#PYPY33-PYDH05</t>
  </si>
  <si>
    <t>CAT PHÚ YÊN - Cảng hàng không Tuy Hòa</t>
  </si>
  <si>
    <t>3368.71</t>
  </si>
  <si>
    <t>1421.45</t>
  </si>
  <si>
    <t>13.052278</t>
  </si>
  <si>
    <t>109.323625</t>
  </si>
  <si>
    <t>1947.25</t>
  </si>
  <si>
    <t>13.033217</t>
  </si>
  <si>
    <t>109.323196</t>
  </si>
  <si>
    <t>full_h04/Đắk Lắk/Mạng cấp III Đắk Lắk.kmz/Mạng cấp III Phú Yên/Phú Yên_Ring phòng 4/CAT PHÚ YÊN - Cảng hàng không Tuy Hòa/Trung thế</t>
  </si>
  <si>
    <t>PYDH19-Hòa Xuân</t>
  </si>
  <si>
    <t>12.97522</t>
  </si>
  <si>
    <t>109.32653</t>
  </si>
  <si>
    <t>12.908726</t>
  </si>
  <si>
    <t>109.36974</t>
  </si>
  <si>
    <t>FO thuê#VNPT#PYDH19-PYDH11</t>
  </si>
  <si>
    <t>Đông Hòa - Hòa Xuân</t>
  </si>
  <si>
    <t>3778.71</t>
  </si>
  <si>
    <t>3773.93</t>
  </si>
  <si>
    <t>12.953796</t>
  </si>
  <si>
    <t>109.353542</t>
  </si>
  <si>
    <t>4.77</t>
  </si>
  <si>
    <t>12.908752</t>
  </si>
  <si>
    <t>109.369775</t>
  </si>
  <si>
    <t>full_h04/Đắk Lắk/Mạng cấp IV Đắk Lắk.kmz/Mạng cấp IV Phú Yên/Phú Yên_Ring 11/Đông Hòa - Hòa Xuân/Trung thế</t>
  </si>
  <si>
    <t>Hòa Xuân-PYDH17</t>
  </si>
  <si>
    <t>12.95934</t>
  </si>
  <si>
    <t>109.40238</t>
  </si>
  <si>
    <t>FO thuê#VNPT#PYDH11-PYDH17</t>
  </si>
  <si>
    <t>4854.89</t>
  </si>
  <si>
    <t>4850.12</t>
  </si>
  <si>
    <t>12.948195</t>
  </si>
  <si>
    <t>109.359108</t>
  </si>
  <si>
    <t>PYDH09-TTCMKV Đông Hòa</t>
  </si>
  <si>
    <t>12.990696</t>
  </si>
  <si>
    <t>109.33169</t>
  </si>
  <si>
    <t>FO thuê#VNPT#PYDH09-PYDH20</t>
  </si>
  <si>
    <t>TTCMKV Tây Hòa - Đông Hòa</t>
  </si>
  <si>
    <t>4456.05</t>
  </si>
  <si>
    <t>4090.97</t>
  </si>
  <si>
    <t>12.998060</t>
  </si>
  <si>
    <t>109.303864</t>
  </si>
  <si>
    <t>12.993864</t>
  </si>
  <si>
    <t>109.330805</t>
  </si>
  <si>
    <t>full_h04/Đắk Lắk/Mạng cấp IV Đắk Lắk.kmz/Mạng cấp IV Phú Yên/Phú Yên_Ring 11/TTCMKV Tây Hòa - Đông Hòa/Trung thế</t>
  </si>
  <si>
    <t>TTCMKV Đông Hòa-PYDH12</t>
  </si>
  <si>
    <t>12.94611</t>
  </si>
  <si>
    <t>109.33923</t>
  </si>
  <si>
    <t>FO thuê#VNPT#PYDH20-PYDH12</t>
  </si>
  <si>
    <t>3130.16</t>
  </si>
  <si>
    <t>34.04</t>
  </si>
  <si>
    <t>12.990998</t>
  </si>
  <si>
    <t>109.331638</t>
  </si>
  <si>
    <t>3096.11</t>
  </si>
  <si>
    <t>12.973879</t>
  </si>
  <si>
    <t>109.337135</t>
  </si>
  <si>
    <t>PYDH30-Hòa Hiệp (CS2)</t>
  </si>
  <si>
    <t>12.99888</t>
  </si>
  <si>
    <t>109.36395</t>
  </si>
  <si>
    <t>12.99784</t>
  </si>
  <si>
    <t>109.3701</t>
  </si>
  <si>
    <t>FO thuê#VNPT#PYDH30-PYDH24</t>
  </si>
  <si>
    <t>Hòa Hiệp - Hòa Hiệp CS2</t>
  </si>
  <si>
    <t>172.82</t>
  </si>
  <si>
    <t>142.46</t>
  </si>
  <si>
    <t>12.997872</t>
  </si>
  <si>
    <t>109.363138</t>
  </si>
  <si>
    <t>12.997567</t>
  </si>
  <si>
    <t>109.370097</t>
  </si>
  <si>
    <t>full_h04/Đắk Lắk/Mạng cấp IV Đắk Lắk.kmz/Mạng cấp IV Phú Yên/Phú Yên_Ring 11/Hòa Hiệp - Hòa Hiệp CS2/Trung thế</t>
  </si>
  <si>
    <t>Hòa Hiệp (CS2)-PYPY09</t>
  </si>
  <si>
    <t>13.06397</t>
  </si>
  <si>
    <t>109.32752</t>
  </si>
  <si>
    <t>FO thuê#VNPT#PYDH24-PYPY09</t>
  </si>
  <si>
    <t>Cảng hàng không Tuy Hòa - TTCMKV Đông
 Hòa</t>
  </si>
  <si>
    <t>3338.19</t>
  </si>
  <si>
    <t>769.43</t>
  </si>
  <si>
    <t>12.998116</t>
  </si>
  <si>
    <t>109.363004</t>
  </si>
  <si>
    <t>2568.76</t>
  </si>
  <si>
    <t>13.050817</t>
  </si>
  <si>
    <t>109.347016</t>
  </si>
  <si>
    <t>full_h04/Đắk Lắk/Mạng cấp III Đắk Lắk.kmz/Mạng cấp III Phú Yên/Phú Yên_Ring phòng 4/Cảng hàng không Tuy Hòa - TTCMKV Đông
 Hòa/Trung thế</t>
  </si>
  <si>
    <t>PYPY35-TT2 Tuy Hòa</t>
  </si>
  <si>
    <t>13.066879</t>
  </si>
  <si>
    <t>109.335538</t>
  </si>
  <si>
    <t>FO thuê#VNPT#PYPY35-PYPY01</t>
  </si>
  <si>
    <t>2396.39</t>
  </si>
  <si>
    <t>475.78</t>
  </si>
  <si>
    <t>13.065352</t>
  </si>
  <si>
    <t>109.331435</t>
  </si>
  <si>
    <t>1920.62</t>
  </si>
  <si>
    <t>13.087067</t>
  </si>
  <si>
    <t>109.308887</t>
  </si>
  <si>
    <t>full_h04/Đắk Lắk/Mạng cấp III Đắk Lắk.kmz/Mạng cấp III Phú Yên/Phú Yên_Ring phòng 4/CAT PHÚ YÊN - Cảng hàng không Tuy Hòa/CAT PHÚ YÊN - Cảng hàng không Tuy Hòa-Ngầm vnpt</t>
  </si>
  <si>
    <t>PYTH17-Sơn Thành</t>
  </si>
  <si>
    <t>12.99271</t>
  </si>
  <si>
    <t>109.13042</t>
  </si>
  <si>
    <t>FO thuê#VNPT#PYTH17-PYTH01</t>
  </si>
  <si>
    <t>Sơn Thành - Hòa Mỹ</t>
  </si>
  <si>
    <t>387.99</t>
  </si>
  <si>
    <t>235.18</t>
  </si>
  <si>
    <t>12.990932</t>
  </si>
  <si>
    <t>109.129245</t>
  </si>
  <si>
    <t>152.82</t>
  </si>
  <si>
    <t>12.983090</t>
  </si>
  <si>
    <t>109.095788</t>
  </si>
  <si>
    <t>full_h04/Đắk Lắk/Mạng cấp IV Đắk Lắk.kmz/Mạng cấp IV Phú Yên/Phú Yên_Ring 8/Sơn Thành - Hòa Mỹ/Trung thế</t>
  </si>
  <si>
    <t>PYDH10-Đức Bình</t>
  </si>
  <si>
    <t>12.98791</t>
  </si>
  <si>
    <t>109.27635</t>
  </si>
  <si>
    <t>12.932763</t>
  </si>
  <si>
    <t>109.239138</t>
  </si>
  <si>
    <t>FO thuê#VNPT#PYDH10-PYTH03</t>
  </si>
  <si>
    <t>Hòa Thịnh - TTCMKV Tây Hòa</t>
  </si>
  <si>
    <t>5803.89</t>
  </si>
  <si>
    <t>2824.82</t>
  </si>
  <si>
    <t>12.997174</t>
  </si>
  <si>
    <t>109.252074</t>
  </si>
  <si>
    <t>2979.08</t>
  </si>
  <si>
    <t>12.957408</t>
  </si>
  <si>
    <t>109.228356</t>
  </si>
  <si>
    <t>full_h04/Đắk Lắk/Mạng cấp IV Đắk Lắk.kmz/Mạng cấp IV Phú Yên/Phú Yên_Ring 8/Hòa Thịnh - TTCMKV Tây Hòa/Trung thế</t>
  </si>
  <si>
    <t>Đức Bình-Hòa Mỹ</t>
  </si>
  <si>
    <t>12.96442</t>
  </si>
  <si>
    <t>109.18387</t>
  </si>
  <si>
    <t>FO thuê#VNPT#PYTH03-PYTH06</t>
  </si>
  <si>
    <t>Hòa Mỹ - Hòa Thịnh</t>
  </si>
  <si>
    <t>1229.79</t>
  </si>
  <si>
    <t>1217.93</t>
  </si>
  <si>
    <t>12.936411</t>
  </si>
  <si>
    <t>109.228541</t>
  </si>
  <si>
    <t>11.86</t>
  </si>
  <si>
    <t>12.964506</t>
  </si>
  <si>
    <t>109.183935</t>
  </si>
  <si>
    <t>full_h04/Đắk Lắk/Mạng cấp IV Đắk Lắk.kmz/Mạng cấp IV Phú Yên/Phú Yên_Ring 8/Hòa Mỹ - Hòa Thịnh/Trung thế</t>
  </si>
  <si>
    <t>Hòa Mỹ-Sơn Thành</t>
  </si>
  <si>
    <t>FO thuê#VNPT#PYTH06-PYTH01</t>
  </si>
  <si>
    <t>2614.81</t>
  </si>
  <si>
    <t>2463.61</t>
  </si>
  <si>
    <t>12.979671</t>
  </si>
  <si>
    <t>109.167378</t>
  </si>
  <si>
    <t>PYTH12-Sơn Thành</t>
  </si>
  <si>
    <t>12.93258</t>
  </si>
  <si>
    <t>109.15484</t>
  </si>
  <si>
    <t>FO thuê#VNPT#PYTH12-PYTH01</t>
  </si>
  <si>
    <t>4957.51</t>
  </si>
  <si>
    <t>4806.30</t>
  </si>
  <si>
    <t>12.975726</t>
  </si>
  <si>
    <t>109.157507</t>
  </si>
  <si>
    <t>Sơn Thành-PYTH10</t>
  </si>
  <si>
    <t>12.9638</t>
  </si>
  <si>
    <t>109.0539</t>
  </si>
  <si>
    <t>FO thuê#VNPT#PYTH01-PYTH10</t>
  </si>
  <si>
    <t>Đức Bình - Sơn Thành</t>
  </si>
  <si>
    <t>155.02</t>
  </si>
  <si>
    <t>109.65</t>
  </si>
  <si>
    <t>12.984125</t>
  </si>
  <si>
    <t>109.094340</t>
  </si>
  <si>
    <t>45.37</t>
  </si>
  <si>
    <t>12.963513</t>
  </si>
  <si>
    <t>109.054197</t>
  </si>
  <si>
    <t>full_h04/Đắk Lắk/Mạng cấp IV Đắk Lắk.kmz/Mạng cấp IV Phú Yên/Phú Yên_Ring 8/Đức Bình - Sơn Thành/Trung thế</t>
  </si>
  <si>
    <t>PYTH10-Sơn Thành</t>
  </si>
  <si>
    <t>FO thuê#VNPT#PYTH10-PYTH01</t>
  </si>
  <si>
    <t>PYSA14-Vân Hòa</t>
  </si>
  <si>
    <t>13.085069</t>
  </si>
  <si>
    <t>108.954368</t>
  </si>
  <si>
    <t>13.0497487</t>
  </si>
  <si>
    <t>108.9789</t>
  </si>
  <si>
    <t>FO thuê#VNPT#PYSA14-PYSA16</t>
  </si>
  <si>
    <t>Suối Trai - Sơn Hòa</t>
  </si>
  <si>
    <t>131.52</t>
  </si>
  <si>
    <t>104.16</t>
  </si>
  <si>
    <t>13.085635</t>
  </si>
  <si>
    <t>108.955135</t>
  </si>
  <si>
    <t>27.36</t>
  </si>
  <si>
    <t>13.049846</t>
  </si>
  <si>
    <t>108.978668</t>
  </si>
  <si>
    <t>full_h04/Đắk Lắk/Mạng cấp IV Đắk Lắk.kmz/Mạng cấp IV Phú Yên/Phú Yên_Ring 6/Suối Trai - Sơn Hòa/Trung thế</t>
  </si>
  <si>
    <t>Vân Hòa-PYSA10</t>
  </si>
  <si>
    <t>FO thuê#VNPT#PYSA16-PYSA10</t>
  </si>
  <si>
    <t>Sơn Hòa - CAX Sơn Định (Sơn Hòa)</t>
  </si>
  <si>
    <t>244.22</t>
  </si>
  <si>
    <t>26.55</t>
  </si>
  <si>
    <t>13.049869</t>
  </si>
  <si>
    <t>108.978688</t>
  </si>
  <si>
    <t>217.67</t>
  </si>
  <si>
    <t>13.065547</t>
  </si>
  <si>
    <t>109.024782</t>
  </si>
  <si>
    <t>full_h04/Đắk Lắk/Mạng cấp III Đắk Lắk.kmz/Mạng cấp III Phú Yên/Ring 5/Sơn Hòa - CAX Sơn Định (Sơn Hòa)/Sơn Hòa - CAX Sơn Định (Sơn Hòa)-TT-01</t>
  </si>
  <si>
    <t>PYPH26-Phú Hòa</t>
  </si>
  <si>
    <t>13.010007</t>
  </si>
  <si>
    <t>109.161929</t>
  </si>
  <si>
    <t>FO thuê#VNPT#PYPH26-PYPH04</t>
  </si>
  <si>
    <t>677.65</t>
  </si>
  <si>
    <t>144.37</t>
  </si>
  <si>
    <t>13.011045</t>
  </si>
  <si>
    <t>109.162729</t>
  </si>
  <si>
    <t>Phú Hòa-PYPH09</t>
  </si>
  <si>
    <t>13.05668</t>
  </si>
  <si>
    <t>109.19698</t>
  </si>
  <si>
    <t>FO thuê#VNPT#PYPH04-PYPH09</t>
  </si>
  <si>
    <t>TTCMKV Phú Hòa - Phú Hòa 2</t>
  </si>
  <si>
    <t>3389.35</t>
  </si>
  <si>
    <t>147.21</t>
  </si>
  <si>
    <t>13.023841</t>
  </si>
  <si>
    <t>109.205874</t>
  </si>
  <si>
    <t>3242.14</t>
  </si>
  <si>
    <t>13.028377</t>
  </si>
  <si>
    <t>109.204170</t>
  </si>
  <si>
    <t>full_h04/Đắk Lắk/Mạng cấp IV Đắk Lắk.kmz/Mạng cấp IV Phú Yên/Phú Yên_Ring 10/TTCMKV Phú Hòa - Phú Hòa 2/Hạ thế</t>
  </si>
  <si>
    <t>PYPH13-TT2 Tuy Hòa</t>
  </si>
  <si>
    <t>13.08552</t>
  </si>
  <si>
    <t>109.27605</t>
  </si>
  <si>
    <t>FO thuê#VNPT#PYPH13-PYPY01</t>
  </si>
  <si>
    <t>862.52</t>
  </si>
  <si>
    <t>857.20</t>
  </si>
  <si>
    <t>13.081012</t>
  </si>
  <si>
    <t>109.282470</t>
  </si>
  <si>
    <t>13.094755</t>
  </si>
  <si>
    <t>109.292953</t>
  </si>
  <si>
    <t>PYPH06-Phú Hòa</t>
  </si>
  <si>
    <t>13.0148</t>
  </si>
  <si>
    <t>FO thuê#VNPT#PYPH06-PYPH04</t>
  </si>
  <si>
    <t>584.06</t>
  </si>
  <si>
    <t>50.78</t>
  </si>
  <si>
    <t>13.014644</t>
  </si>
  <si>
    <t>109.194960</t>
  </si>
  <si>
    <t>Phú Hòa 2-PYPH18</t>
  </si>
  <si>
    <t>13.082015</t>
  </si>
  <si>
    <t>109.216297</t>
  </si>
  <si>
    <t>13.079425</t>
  </si>
  <si>
    <t>109.259634</t>
  </si>
  <si>
    <t>FO thuê#VNPT#PYPH03-PYPH18</t>
  </si>
  <si>
    <t>3413.53</t>
  </si>
  <si>
    <t>2620.96</t>
  </si>
  <si>
    <t>13.078117</t>
  </si>
  <si>
    <t>109.240162</t>
  </si>
  <si>
    <t>792.57</t>
  </si>
  <si>
    <t>13.075572</t>
  </si>
  <si>
    <t>109.253478</t>
  </si>
  <si>
    <t>full_h04/Đắk Lắk/Mạng cấp IV Đắk Lắk.kmz/Mạng cấp IV Phú Yên/Phú Yên_Ring 10/Phú Hòa 2 - Phú Yên/Trung thế</t>
  </si>
  <si>
    <t>PYPY05-TT2 Tuy Hòa</t>
  </si>
  <si>
    <t>13.07887</t>
  </si>
  <si>
    <t>109.29451</t>
  </si>
  <si>
    <t>FO thuê#VNPT#PYPY05-PYPY01</t>
  </si>
  <si>
    <t>Tây Hòa - TT2 Tuy Hòa</t>
  </si>
  <si>
    <t>379.27</t>
  </si>
  <si>
    <t>373.33</t>
  </si>
  <si>
    <t>13.081463</t>
  </si>
  <si>
    <t>109.292321</t>
  </si>
  <si>
    <t>5.94</t>
  </si>
  <si>
    <t>13.094739</t>
  </si>
  <si>
    <t>109.292945</t>
  </si>
  <si>
    <t>full_h04/Đắk Lắk/Mạng cấp III Đắk Lắk.kmz/Mạng cấp III Phú Yên/Ring 4/Tây Hòa - TT2 Tuy Hòa/Trung thế</t>
  </si>
  <si>
    <t>Phú Hòa-Phú Hòa 2</t>
  </si>
  <si>
    <t>FO thuê#VNPT#PYPH04-PYPH03</t>
  </si>
  <si>
    <t>TT2 Tuy Hòa - Phú Hòa</t>
  </si>
  <si>
    <t>5360.61</t>
  </si>
  <si>
    <t>11.26</t>
  </si>
  <si>
    <t>13.023193</t>
  </si>
  <si>
    <t>109.206958</t>
  </si>
  <si>
    <t>5349.35</t>
  </si>
  <si>
    <t>13.045888</t>
  </si>
  <si>
    <t>109.248909</t>
  </si>
  <si>
    <t>full_h04/Đắk Lắk/Mạng cấp III Đắk Lắk.kmz/Mạng cấp III Phú Yên/Ring 4/TT2 Tuy Hòa - Phú Hòa/Trung thế</t>
  </si>
  <si>
    <t>Phú Hòa-PYPH02</t>
  </si>
  <si>
    <t>13.056406</t>
  </si>
  <si>
    <t>109.245334</t>
  </si>
  <si>
    <t>FO thuê#VNPT#PYPH04-PYPH02</t>
  </si>
  <si>
    <t>1203.59</t>
  </si>
  <si>
    <t>1192.33</t>
  </si>
  <si>
    <t>13.046706</t>
  </si>
  <si>
    <t>109.250027</t>
  </si>
  <si>
    <t>PYPH19-TT2 Tuy Hòa</t>
  </si>
  <si>
    <t>13.05061</t>
  </si>
  <si>
    <t>109.27054</t>
  </si>
  <si>
    <t>FO thuê#VNPT#PYPH19-PYPY01</t>
  </si>
  <si>
    <t>556.29</t>
  </si>
  <si>
    <t>13.055089</t>
  </si>
  <si>
    <t>109.268252</t>
  </si>
  <si>
    <t>12.26</t>
  </si>
  <si>
    <t>13.094693</t>
  </si>
  <si>
    <t>109.292897</t>
  </si>
  <si>
    <t>Phú Hòa-PYPH08</t>
  </si>
  <si>
    <t>13.024902</t>
  </si>
  <si>
    <t>109.219833</t>
  </si>
  <si>
    <t>FO thuê#VNPT#PYPH04-PYPH08</t>
  </si>
  <si>
    <t>98.77</t>
  </si>
  <si>
    <t>87.51</t>
  </si>
  <si>
    <t>13.024115</t>
  </si>
  <si>
    <t>109.219852</t>
  </si>
  <si>
    <t>PYPH07-PC08</t>
  </si>
  <si>
    <t>13.03807</t>
  </si>
  <si>
    <t>109.257045</t>
  </si>
  <si>
    <t>FO thuê#VNPT#PYPH07-PYPH17</t>
  </si>
  <si>
    <t>1531.80</t>
  </si>
  <si>
    <t>1526.00</t>
  </si>
  <si>
    <t>13.051769</t>
  </si>
  <si>
    <t>109.257884</t>
  </si>
  <si>
    <t>5.80</t>
  </si>
  <si>
    <t>13.071420</t>
  </si>
  <si>
    <t>109.275852</t>
  </si>
  <si>
    <t>full_h04/Đắk Lắk/Mạng cấp III Đắk Lắk.kmz/Mạng cấp III Phú Yên/Phú Yên_Ring phòng 1/PC08-PK02/Trung thế</t>
  </si>
  <si>
    <t>PC08-TT2 Tuy Hòa</t>
  </si>
  <si>
    <t>FO thuê#VNPT#PYPH17-PYPY01</t>
  </si>
  <si>
    <t>PC11 - PC08</t>
  </si>
  <si>
    <t>97.72</t>
  </si>
  <si>
    <t>15.88</t>
  </si>
  <si>
    <t>13.071588</t>
  </si>
  <si>
    <t>109.275789</t>
  </si>
  <si>
    <t>81.84</t>
  </si>
  <si>
    <t>13.094095</t>
  </si>
  <si>
    <t>109.292637</t>
  </si>
  <si>
    <t>full_h04/Đắk Lắk/Mạng cấp III Đắk Lắk.kmz/Mạng cấp III Phú Yên/Phú Yên_Ring phòng 1/PC11 - PC08/Trung thế</t>
  </si>
  <si>
    <t>PYPY38-Tuy An Nam</t>
  </si>
  <si>
    <t>13.163281</t>
  </si>
  <si>
    <t>109.29197</t>
  </si>
  <si>
    <t>13.181704</t>
  </si>
  <si>
    <t>109.28728</t>
  </si>
  <si>
    <t>FO thuê#VNPT#PYPY38-PYTA12</t>
  </si>
  <si>
    <t>CAT Phú Yên - Tuy An Nam</t>
  </si>
  <si>
    <t>413.21</t>
  </si>
  <si>
    <t>412.87</t>
  </si>
  <si>
    <t>13.164842</t>
  </si>
  <si>
    <t>109.288510</t>
  </si>
  <si>
    <t>0.34</t>
  </si>
  <si>
    <t>109.287283</t>
  </si>
  <si>
    <t>full_h04/Đắk Lắk/Mạng cấp IV Đắk Lắk.kmz/Mạng cấp IV Phú Yên/Phú Yên_Ring 4/CAT Phú Yên - Tuy An Nam/Trung thế</t>
  </si>
  <si>
    <t>Tuy An Nam-PYTA19</t>
  </si>
  <si>
    <t>13.202164</t>
  </si>
  <si>
    <t>109.275974</t>
  </si>
  <si>
    <t>FO thuê#VNPT#PYTA12-PYTA19</t>
  </si>
  <si>
    <t>Tuy An Nam - Ô Loan</t>
  </si>
  <si>
    <t>222.54</t>
  </si>
  <si>
    <t>175.83</t>
  </si>
  <si>
    <t>13.183259</t>
  </si>
  <si>
    <t>109.286983</t>
  </si>
  <si>
    <t>46.71</t>
  </si>
  <si>
    <t>13.201929</t>
  </si>
  <si>
    <t>109.276332</t>
  </si>
  <si>
    <t>full_h04/Đắk Lắk/Mạng cấp IV Đắk Lắk.kmz/Mạng cấp IV Phú Yên/Phú Yên_Ring 4/Tuy An Nam - Ô Loan/Trung thế</t>
  </si>
  <si>
    <t>PYTA33-Tuy An Đông</t>
  </si>
  <si>
    <t>13.35202</t>
  </si>
  <si>
    <t>109.24627</t>
  </si>
  <si>
    <t>13.340476</t>
  </si>
  <si>
    <t>109.254179</t>
  </si>
  <si>
    <t>FO thuê#VNPT#PYTA33-PYTA05</t>
  </si>
  <si>
    <t>Tuy An Đông - TTCMKV TX Sông Cầu</t>
  </si>
  <si>
    <t>1135.25</t>
  </si>
  <si>
    <t>1102.79</t>
  </si>
  <si>
    <t>13.342204</t>
  </si>
  <si>
    <t>109.247726</t>
  </si>
  <si>
    <t>32.46</t>
  </si>
  <si>
    <t>13.340761</t>
  </si>
  <si>
    <t>109.254114</t>
  </si>
  <si>
    <t>full_h04/Đắk Lắk/Mạng cấp IV Đắk Lắk.kmz/Mạng cấp IV Phú Yên/Phú Yên_Ring 4/Tuy An Đông - TTCMKV TX Sông Cầu/Trung thế</t>
  </si>
  <si>
    <t>Tuy An Đông-Tuy An Bắc</t>
  </si>
  <si>
    <t>FO thuê#VNPT#PYTA05-PYTA14</t>
  </si>
  <si>
    <t>2601.32</t>
  </si>
  <si>
    <t>2568.86</t>
  </si>
  <si>
    <t>13.331121</t>
  </si>
  <si>
    <t>109.219181</t>
  </si>
  <si>
    <t>VNPOST Hòa Đa-Ô Loan</t>
  </si>
  <si>
    <t>13.240071</t>
  </si>
  <si>
    <t>109.257643</t>
  </si>
  <si>
    <t>FO thuê#VNPT#VNPOST Hòa Đa-PYTA32</t>
  </si>
  <si>
    <t>491.83</t>
  </si>
  <si>
    <t>257.48</t>
  </si>
  <si>
    <t>13.240807</t>
  </si>
  <si>
    <t>109.255388</t>
  </si>
  <si>
    <t>Ô Loan-PYTA07</t>
  </si>
  <si>
    <t>13.262696</t>
  </si>
  <si>
    <t>109.252363</t>
  </si>
  <si>
    <t>FO thuê#VNPT#PYTA32-PYTA07</t>
  </si>
  <si>
    <t>472.31</t>
  </si>
  <si>
    <t>214.83</t>
  </si>
  <si>
    <t>13.262246</t>
  </si>
  <si>
    <t>109.250433</t>
  </si>
  <si>
    <t>PYTA01-Tuy An Bắc</t>
  </si>
  <si>
    <t>13.295067</t>
  </si>
  <si>
    <t>109.233463</t>
  </si>
  <si>
    <t>FO thuê#VNPT#PYTA01-PYTA14</t>
  </si>
  <si>
    <t>248.97</t>
  </si>
  <si>
    <t>13.295128</t>
  </si>
  <si>
    <t>109.234527</t>
  </si>
  <si>
    <t>PYTA06-Tuy An Bắc</t>
  </si>
  <si>
    <t>13.31995</t>
  </si>
  <si>
    <t>109.21291</t>
  </si>
  <si>
    <t>FO thuê#VNPT#PYTA06-PYTA14</t>
  </si>
  <si>
    <t>376.04</t>
  </si>
  <si>
    <t>242.45</t>
  </si>
  <si>
    <t>13.322130</t>
  </si>
  <si>
    <t>109.212871</t>
  </si>
  <si>
    <t>Tuy An Bắc-PYDX08</t>
  </si>
  <si>
    <t>13.33919171</t>
  </si>
  <si>
    <t>109.1711022</t>
  </si>
  <si>
    <t>FO thuê#VNPT#PYTA14-PYDX08</t>
  </si>
  <si>
    <t>776.74</t>
  </si>
  <si>
    <t>715.43</t>
  </si>
  <si>
    <t>13.335480</t>
  </si>
  <si>
    <t>109.165701</t>
  </si>
  <si>
    <t>PYDX04-Đồng Xuân</t>
  </si>
  <si>
    <t>13.39901</t>
  </si>
  <si>
    <t>109.1053</t>
  </si>
  <si>
    <t>FO thuê#VNPT#PYDX04-PYDX01</t>
  </si>
  <si>
    <t>Xuân Lãnh - Đồng Xuân</t>
  </si>
  <si>
    <t>120.95</t>
  </si>
  <si>
    <t>106.03</t>
  </si>
  <si>
    <t>13.398467</t>
  </si>
  <si>
    <t>109.104494</t>
  </si>
  <si>
    <t>14.92</t>
  </si>
  <si>
    <t>13.377415</t>
  </si>
  <si>
    <t>109.108029</t>
  </si>
  <si>
    <t>full_h04/Đắk Lắk/Mạng cấp IV Đắk Lắk.kmz/Mạng cấp IV Phú Yên/Phú Yên_Ring 3/Xuân Lãnh - Đồng Xuân/Hạ thế</t>
  </si>
  <si>
    <t>Tuy An Bắc-PYTA09</t>
  </si>
  <si>
    <t>13.31682</t>
  </si>
  <si>
    <t>109.18458</t>
  </si>
  <si>
    <t>FO thuê#VNPT#PYTA14-PYTA09</t>
  </si>
  <si>
    <t>227.93</t>
  </si>
  <si>
    <t>166.62</t>
  </si>
  <si>
    <t>13.318313</t>
  </si>
  <si>
    <t>109.184711</t>
  </si>
  <si>
    <t>PYDX25-Đồng Xuân</t>
  </si>
  <si>
    <t>13.364473</t>
  </si>
  <si>
    <t>109.125588</t>
  </si>
  <si>
    <t>FO thuê#VNPT#PYDX25-PYDX01</t>
  </si>
  <si>
    <t>Tuy An Tây - TTCMKV Đồng
 Xuân</t>
  </si>
  <si>
    <t>1147.72</t>
  </si>
  <si>
    <t>57.21</t>
  </si>
  <si>
    <t>13.364935</t>
  </si>
  <si>
    <t>109.125821</t>
  </si>
  <si>
    <t>1090.51</t>
  </si>
  <si>
    <t>13.369785</t>
  </si>
  <si>
    <t>109.114576</t>
  </si>
  <si>
    <t>full_h04/Đắk Lắk/Mạng cấp IV Đắk Lắk.kmz/Mạng cấp IV Phú Yên/Phú Yên_Ring 5/Tuy An Tây - TTCMKV Đồng
 Xuân/Trung thế</t>
  </si>
  <si>
    <t>Tuy An Bắc-PYTA16</t>
  </si>
  <si>
    <t>13.294215</t>
  </si>
  <si>
    <t>109.14735</t>
  </si>
  <si>
    <t>FO thuê#VNPT#PYTA14-PYTA16</t>
  </si>
  <si>
    <t>4426.98</t>
  </si>
  <si>
    <t>4365.67</t>
  </si>
  <si>
    <t>13.322787</t>
  </si>
  <si>
    <t>109.175021</t>
  </si>
  <si>
    <t>PYTA11-Đồng Xuân</t>
  </si>
  <si>
    <t>13.250362</t>
  </si>
  <si>
    <t>109.118627</t>
  </si>
  <si>
    <t>FO thuê#VNPT#PYTA11-PYDX01</t>
  </si>
  <si>
    <t>6852.70</t>
  </si>
  <si>
    <t>5762.19</t>
  </si>
  <si>
    <t>13.256083</t>
  </si>
  <si>
    <t>109.171540</t>
  </si>
  <si>
    <t>Đồng Xuân-PYDX20</t>
  </si>
  <si>
    <t>13.3725216</t>
  </si>
  <si>
    <t>109.0860598</t>
  </si>
  <si>
    <t>FO thuê#VNPT#PYDX01-PYDX20</t>
  </si>
  <si>
    <t>Trại giam Xuân Phước (C10) - TTCMKV Đồng Xuân</t>
  </si>
  <si>
    <t>1483.39</t>
  </si>
  <si>
    <t>276.61</t>
  </si>
  <si>
    <t>13.378349</t>
  </si>
  <si>
    <t>109.110418</t>
  </si>
  <si>
    <t>1206.78</t>
  </si>
  <si>
    <t>13.363510</t>
  </si>
  <si>
    <t>109.092275</t>
  </si>
  <si>
    <t>full_h04/Đắk Lắk/Mạng cấp III Đắk Lắk.kmz/Mạng cấp III Phú Yên/Trại giam Xuân Phước (C10) - TTCMKV Đồng Xuân/Trung thế</t>
  </si>
  <si>
    <t>PYDX23-Xuân Phước</t>
  </si>
  <si>
    <t>13.32346431</t>
  </si>
  <si>
    <t>109.0784358</t>
  </si>
  <si>
    <t>13.298438</t>
  </si>
  <si>
    <t>109.066</t>
  </si>
  <si>
    <t>FO thuê#VNPT#PYDX23-PYDX03</t>
  </si>
  <si>
    <t>944.40</t>
  </si>
  <si>
    <t>98.12</t>
  </si>
  <si>
    <t>13.322913</t>
  </si>
  <si>
    <t>109.079144</t>
  </si>
  <si>
    <t>846.29</t>
  </si>
  <si>
    <t>13.301697</t>
  </si>
  <si>
    <t>109.073067</t>
  </si>
  <si>
    <t>Xuân Phước-PYSA09</t>
  </si>
  <si>
    <t>FO thuê#VNPT#PYDX03-PYSA09</t>
  </si>
  <si>
    <t>7155.68</t>
  </si>
  <si>
    <t>125.14</t>
  </si>
  <si>
    <t>13.298520</t>
  </si>
  <si>
    <t>109.064847</t>
  </si>
  <si>
    <t>7030.55</t>
  </si>
  <si>
    <t>13.266185</t>
  </si>
  <si>
    <t>109.047833</t>
  </si>
  <si>
    <t>PYDH27-Hòa Xuân</t>
  </si>
  <si>
    <t>12.88348</t>
  </si>
  <si>
    <t>109.37289</t>
  </si>
  <si>
    <t>FO thuê#VNPT#PYDH27-PYDH11</t>
  </si>
  <si>
    <t>Hòa Xuân - Hòa Hiệp</t>
  </si>
  <si>
    <t>2829.47</t>
  </si>
  <si>
    <t>2821.78</t>
  </si>
  <si>
    <t>12.908676</t>
  </si>
  <si>
    <t>109.369789</t>
  </si>
  <si>
    <t>7.69</t>
  </si>
  <si>
    <t>full_h04/Đắk Lắk/Mạng cấp IV Đắk Lắk.kmz/Mạng cấp IV Phú Yên/Phú Yên_Ring 11/Hòa Xuân - Hòa Hiệp/Trung thế</t>
  </si>
  <si>
    <t>PYDH40-Hòa Xuân</t>
  </si>
  <si>
    <t>12.942915</t>
  </si>
  <si>
    <t>109.357607</t>
  </si>
  <si>
    <t>FO thuê#VNPT#PYDH40-PYDH11</t>
  </si>
  <si>
    <t>469.73</t>
  </si>
  <si>
    <t>464.96</t>
  </si>
  <si>
    <t>12.946677</t>
  </si>
  <si>
    <t>109.359479</t>
  </si>
  <si>
    <t>PYDH26-Hòa Hiệp (CS2)</t>
  </si>
  <si>
    <t>12.990427</t>
  </si>
  <si>
    <t>109.384613</t>
  </si>
  <si>
    <t>FO thuê#VNPT#PYDH26-PYDH24</t>
  </si>
  <si>
    <t>Hòa Hiệp CS2 - CAT Phú Yên</t>
  </si>
  <si>
    <t>1461.24</t>
  </si>
  <si>
    <t>1431.52</t>
  </si>
  <si>
    <t>12.999019</t>
  </si>
  <si>
    <t>109.374774</t>
  </si>
  <si>
    <t>29.72</t>
  </si>
  <si>
    <t>12.997832</t>
  </si>
  <si>
    <t>109.370374</t>
  </si>
  <si>
    <t>full_h04/Đắk Lắk/Mạng cấp IV Đắk Lắk.kmz/Mạng cấp IV Phú Yên/Phú Yên_Ring 11/Hòa Hiệp CS2 - CAT Phú Yên/Trung thế</t>
  </si>
  <si>
    <t>PYPY50-PC07</t>
  </si>
  <si>
    <t>13.09966</t>
  </si>
  <si>
    <t>109.2876</t>
  </si>
  <si>
    <t>13.09501</t>
  </si>
  <si>
    <t>109.2916</t>
  </si>
  <si>
    <t>FO thuê#VNPT#PYPY50-PYPY67</t>
  </si>
  <si>
    <t>PA06-TT2 Đắk Lắk (Tuy Hòa)</t>
  </si>
  <si>
    <t>263.62</t>
  </si>
  <si>
    <t>215.09</t>
  </si>
  <si>
    <t>13.099017</t>
  </si>
  <si>
    <t>109.289473</t>
  </si>
  <si>
    <t>48.53</t>
  </si>
  <si>
    <t>13.095419</t>
  </si>
  <si>
    <t>109.291755</t>
  </si>
  <si>
    <t>full_h04/Đắk Lắk/Mạng cấp III Đắk Lắk.kmz/Mạng cấp III Phú Yên/Phú Yên_Ring phòng 2/PA06-TT2 Đắk Lắk (Tuy Hòa)/Hạ thế</t>
  </si>
  <si>
    <t>PYTA26-Tuy An Đông</t>
  </si>
  <si>
    <t>13.342178</t>
  </si>
  <si>
    <t>109.255988</t>
  </si>
  <si>
    <t>FO thuê#VNPT#PYTA26-PYTA05</t>
  </si>
  <si>
    <t>Ô Loan - Tuy An Đông</t>
  </si>
  <si>
    <t>248.59</t>
  </si>
  <si>
    <t>212.95</t>
  </si>
  <si>
    <t>13.341809</t>
  </si>
  <si>
    <t>109.254057</t>
  </si>
  <si>
    <t>35.63</t>
  </si>
  <si>
    <t>13.340781</t>
  </si>
  <si>
    <t>109.254279</t>
  </si>
  <si>
    <t>full_h04/Đắk Lắk/Mạng cấp IV Đắk Lắk.kmz/Mạng cấp IV Phú Yên/Phú Yên_Ring 4/Ô Loan - Tuy An Đông/trung thế</t>
  </si>
  <si>
    <t>PYTA50-Ô Loan</t>
  </si>
  <si>
    <t>13.256024</t>
  </si>
  <si>
    <t>109.262114</t>
  </si>
  <si>
    <t>FO thuê#VNPT#PYTA50-PYTA32</t>
  </si>
  <si>
    <t>1451.42</t>
  </si>
  <si>
    <t>1193.94</t>
  </si>
  <si>
    <t>13.251925</t>
  </si>
  <si>
    <t>109.251918</t>
  </si>
  <si>
    <t>PYTA41-Ô Loan</t>
  </si>
  <si>
    <t>13.239361</t>
  </si>
  <si>
    <t>109.233434</t>
  </si>
  <si>
    <t>FO thuê#VNPT#PYTA41-PYTA32</t>
  </si>
  <si>
    <t>2584.96</t>
  </si>
  <si>
    <t>2327.48</t>
  </si>
  <si>
    <t>13.246875</t>
  </si>
  <si>
    <t>109.253504</t>
  </si>
  <si>
    <t>PYDX30-Đồng Xuân</t>
  </si>
  <si>
    <t>13.36221165</t>
  </si>
  <si>
    <t>109.1015693</t>
  </si>
  <si>
    <t>FO thuê#VNPT#PYDX30-PYDX01</t>
  </si>
  <si>
    <t>692.49</t>
  </si>
  <si>
    <t>415.89</t>
  </si>
  <si>
    <t>13.364878</t>
  </si>
  <si>
    <t>109.098874</t>
  </si>
  <si>
    <t>PYTH23-Hòa Mỹ</t>
  </si>
  <si>
    <t>12.96368</t>
  </si>
  <si>
    <t>109.18201</t>
  </si>
  <si>
    <t>FO thuê#VNPT#PYTH23-PYTH06</t>
  </si>
  <si>
    <t>151.40</t>
  </si>
  <si>
    <t>130.26</t>
  </si>
  <si>
    <t>12.964807</t>
  </si>
  <si>
    <t>109.181684</t>
  </si>
  <si>
    <t>21.14</t>
  </si>
  <si>
    <t>12.964557</t>
  </si>
  <si>
    <t>109.183734</t>
  </si>
  <si>
    <t>PYTH26-Hòa Mỹ</t>
  </si>
  <si>
    <t>12.94095</t>
  </si>
  <si>
    <t>109.21328</t>
  </si>
  <si>
    <t>FO thuê#VNPT#PYTH26-PYTH06</t>
  </si>
  <si>
    <t>677.37</t>
  </si>
  <si>
    <t>665.51</t>
  </si>
  <si>
    <t>12.943085</t>
  </si>
  <si>
    <t>109.207543</t>
  </si>
  <si>
    <t>Đức Bình-PYTH08</t>
  </si>
  <si>
    <t>12.94556</t>
  </si>
  <si>
    <t>109.26331</t>
  </si>
  <si>
    <t>FO thuê#VNPT#PYTH03-PYTH08</t>
  </si>
  <si>
    <t>2798.35</t>
  </si>
  <si>
    <t>3.63</t>
  </si>
  <si>
    <t>12.932778</t>
  </si>
  <si>
    <t>109.239168</t>
  </si>
  <si>
    <t>2794.71</t>
  </si>
  <si>
    <t>12.939657</t>
  </si>
  <si>
    <t>109.238243</t>
  </si>
  <si>
    <t>PYSA01-Vân Hòa</t>
  </si>
  <si>
    <t>13.05001</t>
  </si>
  <si>
    <t>108.97463</t>
  </si>
  <si>
    <t>FO thuê#VNPT#PYSA01-PYSA16</t>
  </si>
  <si>
    <t>54.42</t>
  </si>
  <si>
    <t>27.87</t>
  </si>
  <si>
    <t>13.049759</t>
  </si>
  <si>
    <t>108.974624</t>
  </si>
  <si>
    <t>PYPH30-Phú Hòa 2</t>
  </si>
  <si>
    <t>13.07447</t>
  </si>
  <si>
    <t>109.22572</t>
  </si>
  <si>
    <t>FO thuê#VNPT#PYPH30-PYPH03</t>
  </si>
  <si>
    <t>796.65</t>
  </si>
  <si>
    <t>785.41</t>
  </si>
  <si>
    <t>13.078198</t>
  </si>
  <si>
    <t>109.219561</t>
  </si>
  <si>
    <t>11.24</t>
  </si>
  <si>
    <t>13.081939</t>
  </si>
  <si>
    <t>109.216229</t>
  </si>
  <si>
    <t>PYTA20-Tuy An Đông</t>
  </si>
  <si>
    <t>13.334197</t>
  </si>
  <si>
    <t>109.227122</t>
  </si>
  <si>
    <t>FO thuê#VNPT#PYTA20-PYTA05</t>
  </si>
  <si>
    <t>80.45</t>
  </si>
  <si>
    <t>47.99</t>
  </si>
  <si>
    <t>13.333803</t>
  </si>
  <si>
    <t>109.227303</t>
  </si>
  <si>
    <t>PYTA03-Ô Loan</t>
  </si>
  <si>
    <t>13.22776</t>
  </si>
  <si>
    <t>109.26069</t>
  </si>
  <si>
    <t>FO thuê#VNPT#PYTA03-PYTA32</t>
  </si>
  <si>
    <t>365.18</t>
  </si>
  <si>
    <t>363.62</t>
  </si>
  <si>
    <t>13.226704</t>
  </si>
  <si>
    <t>109.263869</t>
  </si>
  <si>
    <t>1.57</t>
  </si>
  <si>
    <t>13.240077</t>
  </si>
  <si>
    <t>109.257630</t>
  </si>
  <si>
    <t>full_h04/Đắk Lắk/Mạng cấp IV Đắk Lắk.kmz/Mạng cấp IV Phú Yên/Phú Yên_Ring 4/Ô Loan - Tuy An Đông/Trung thế</t>
  </si>
  <si>
    <t>PYPY15-Tuy An Nam</t>
  </si>
  <si>
    <t>13.175283</t>
  </si>
  <si>
    <t>109.2919</t>
  </si>
  <si>
    <t>FO thuê#VNPT#PYPY15-PYTA12</t>
  </si>
  <si>
    <t>78.67</t>
  </si>
  <si>
    <t>78.33</t>
  </si>
  <si>
    <t>13.174819</t>
  </si>
  <si>
    <t>109.291356</t>
  </si>
  <si>
    <t>PYDX26-Xuân Phước</t>
  </si>
  <si>
    <t>13.31223331</t>
  </si>
  <si>
    <t>109.0475878</t>
  </si>
  <si>
    <t>FO thuê#VNPT#PYDX26-PYDX03</t>
  </si>
  <si>
    <t>Phú Mỡ - Xuân Phước</t>
  </si>
  <si>
    <t>172.66</t>
  </si>
  <si>
    <t>118.95</t>
  </si>
  <si>
    <t>13.311693</t>
  </si>
  <si>
    <t>109.046639</t>
  </si>
  <si>
    <t>53.71</t>
  </si>
  <si>
    <t>13.298667</t>
  </si>
  <si>
    <t>109.065563</t>
  </si>
  <si>
    <t>full_h04/Đắk Lắk/Mạng cấp IV Đắk Lắk.kmz/Mạng cấp IV Phú Yên/Phú Yên_Ring 6/Phú Mỡ - Xuân Phước/Trung thế</t>
  </si>
  <si>
    <t>PYDX24-Xuân Phước</t>
  </si>
  <si>
    <t>13.27302</t>
  </si>
  <si>
    <t>109.06723</t>
  </si>
  <si>
    <t>FO thuê#VNPT#PYDX24-PYDX03</t>
  </si>
  <si>
    <t>602.78</t>
  </si>
  <si>
    <t>13.275760</t>
  </si>
  <si>
    <t>109.062424</t>
  </si>
  <si>
    <t>DLKN53-Dliê Ya</t>
  </si>
  <si>
    <t>13.12196</t>
  </si>
  <si>
    <t>108.30064</t>
  </si>
  <si>
    <t>FO thuê#VNPT#DLKN53-DLKN15</t>
  </si>
  <si>
    <t>2927.54</t>
  </si>
  <si>
    <t>2654.73</t>
  </si>
  <si>
    <t>13.128857</t>
  </si>
  <si>
    <t>108.324110</t>
  </si>
  <si>
    <t>DLCG60-Cuôr Đăng</t>
  </si>
  <si>
    <t>12.75128</t>
  </si>
  <si>
    <t>108.16562</t>
  </si>
  <si>
    <t>FO thuê#VNPT#DLCG60-DLBT25</t>
  </si>
  <si>
    <t>193.16</t>
  </si>
  <si>
    <t>91.78</t>
  </si>
  <si>
    <t>12.750474</t>
  </si>
  <si>
    <t>108.165804</t>
  </si>
  <si>
    <t>DLBH36-Buôn Hồ</t>
  </si>
  <si>
    <t>12.91687</t>
  </si>
  <si>
    <t>108.26619</t>
  </si>
  <si>
    <t>FO thuê#VNPT#DLBH36-DLBH15</t>
  </si>
  <si>
    <t>Ea Drông - TTCMKV Thị xã Buôn
Hồ"</t>
  </si>
  <si>
    <t>64.79</t>
  </si>
  <si>
    <t>53.24</t>
  </si>
  <si>
    <t>12.916411</t>
  </si>
  <si>
    <t>108.266050</t>
  </si>
  <si>
    <t>11.55</t>
  </si>
  <si>
    <t>12.916282</t>
  </si>
  <si>
    <t>108.266552</t>
  </si>
  <si>
    <t>full_h04/Đắk Lắk/Mạng cấp IV Đắk Lắk.kmz/Mạng cấp IV Đắk Lắk/Đắk Lắk Ring 13.kmz/ring 13/Ea Drông - TTCMKV Thị xã Buôn
Hồ"/Bể ngầm nhập trạm</t>
  </si>
  <si>
    <t>DLBT3F-Trại tạm giam Buôn Mê Thuột</t>
  </si>
  <si>
    <t>12.706347</t>
  </si>
  <si>
    <t>108.074345</t>
  </si>
  <si>
    <t>FO thuê#VNPT#DLBT3F-DLBT84</t>
  </si>
  <si>
    <t>433.61</t>
  </si>
  <si>
    <t>360.14</t>
  </si>
  <si>
    <t>12.703111</t>
  </si>
  <si>
    <t>108.074478</t>
  </si>
  <si>
    <t>73.47</t>
  </si>
  <si>
    <t>12.712295</t>
  </si>
  <si>
    <t>108.066720</t>
  </si>
  <si>
    <t>full_h04/Đắk Lắk/Mạng cấp III Đắk Lắk.kmz/Mạng cấp III Đắk Lắk/Trại tạm giam Buôn Mê Thuột  - TT1 Đăk Lăk/Trung thế 474HT</t>
  </si>
  <si>
    <t>PYPY60-Điểm đăng ký sát hạch lái xe (PC08)</t>
  </si>
  <si>
    <t>13.131223</t>
  </si>
  <si>
    <t>109.276418</t>
  </si>
  <si>
    <t>13.1123</t>
  </si>
  <si>
    <t>109.2845</t>
  </si>
  <si>
    <t>FO DT#MBF#PYPY60-PYPY66</t>
  </si>
  <si>
    <t>392.55</t>
  </si>
  <si>
    <t>192.47</t>
  </si>
  <si>
    <t>13.130394</t>
  </si>
  <si>
    <t>109.274858</t>
  </si>
  <si>
    <t>200.08</t>
  </si>
  <si>
    <t>13.111753</t>
  </si>
  <si>
    <t>109.282740</t>
  </si>
  <si>
    <t>Điểm đăng ký sát hạch lái xe (PC08)-PC07</t>
  </si>
  <si>
    <t>FO DT#MBF#PYPY66-PYPY67</t>
  </si>
  <si>
    <t>347.65</t>
  </si>
  <si>
    <t>147.58</t>
  </si>
  <si>
    <t>13.094139</t>
  </si>
  <si>
    <t>109.292628</t>
  </si>
  <si>
    <t>PC07-PC11</t>
  </si>
  <si>
    <t>FO DT#MBF#PYPY67-PYPY58</t>
  </si>
  <si>
    <t>PC07 - PC11</t>
  </si>
  <si>
    <t>18.81</t>
  </si>
  <si>
    <t>6.02</t>
  </si>
  <si>
    <t>13.094963</t>
  </si>
  <si>
    <t>109.291572</t>
  </si>
  <si>
    <t>12.79</t>
  </si>
  <si>
    <t>13.093813</t>
  </si>
  <si>
    <t>109.291091</t>
  </si>
  <si>
    <t>full_h04/Đắk Lắk/Mạng cấp III Đắk Lắk.kmz/Mạng cấp III Phú Yên/Phú Yên_Ring phòng 1/PC07 - PC11/Trung thế</t>
  </si>
  <si>
    <t>PC11-PC06</t>
  </si>
  <si>
    <t>13.0888</t>
  </si>
  <si>
    <t>109.2993</t>
  </si>
  <si>
    <t>FO DT#MBF#PYPY58-PYPY10</t>
  </si>
  <si>
    <t>TT2 Đăk Lăk (Tuy Hòa) - PC06</t>
  </si>
  <si>
    <t>165.06</t>
  </si>
  <si>
    <t>161.49</t>
  </si>
  <si>
    <t>13.094086</t>
  </si>
  <si>
    <t>109.292655</t>
  </si>
  <si>
    <t>13.088816</t>
  </si>
  <si>
    <t>109.299329</t>
  </si>
  <si>
    <t>full_h04/Đắk Lắk/Mạng cấp III Đắk Lắk.kmz/Mạng cấp III Phú Yên/Phú Yên_Ring phòng 3/TT2 Đăk Lăk (Tuy Hòa) - PC06/Trung thế</t>
  </si>
  <si>
    <t>PC06-PYPY49</t>
  </si>
  <si>
    <t>13.0867</t>
  </si>
  <si>
    <t>109.3027</t>
  </si>
  <si>
    <t>FO DT#MBF#PYPY10-PYPY49</t>
  </si>
  <si>
    <t>196.33</t>
  </si>
  <si>
    <t>43.30</t>
  </si>
  <si>
    <t>13.089169</t>
  </si>
  <si>
    <t>109.299428</t>
  </si>
  <si>
    <t>153.02</t>
  </si>
  <si>
    <t>13.086256</t>
  </si>
  <si>
    <t>109.301363</t>
  </si>
  <si>
    <t>PYPY46-PA05</t>
  </si>
  <si>
    <t>13.09323</t>
  </si>
  <si>
    <t>109.31645</t>
  </si>
  <si>
    <t>13.08964</t>
  </si>
  <si>
    <t>109.3095</t>
  </si>
  <si>
    <t>FO DT#MBF#PYPY46-PYPY47</t>
  </si>
  <si>
    <t>Phú Yên - CAT Phú Yên</t>
  </si>
  <si>
    <t>305.94</t>
  </si>
  <si>
    <t>289.02</t>
  </si>
  <si>
    <t>13.094658</t>
  </si>
  <si>
    <t>109.314221</t>
  </si>
  <si>
    <t>16.92</t>
  </si>
  <si>
    <t>13.089726</t>
  </si>
  <si>
    <t>109.309629</t>
  </si>
  <si>
    <t>full_h04/Đắk Lắk/Mạng cấp IV Đắk Lắk.kmz/Mạng cấp IV Phú Yên/Phú Yên_Ring 10/Phú Yên - CAT Phú Yên/Trung thế</t>
  </si>
  <si>
    <t>PA05-VNPOST Tuy Hòa</t>
  </si>
  <si>
    <t>13.08701</t>
  </si>
  <si>
    <t>109.30702</t>
  </si>
  <si>
    <t>FO DT#MBF#PYPY47-VNPOST Tuy Hòa</t>
  </si>
  <si>
    <t>225.82</t>
  </si>
  <si>
    <t>208.90</t>
  </si>
  <si>
    <t>13.088728</t>
  </si>
  <si>
    <t>109.306239</t>
  </si>
  <si>
    <t>PYPY16-PA06</t>
  </si>
  <si>
    <t>13.1428</t>
  </si>
  <si>
    <t>109.28118</t>
  </si>
  <si>
    <t>13.1166</t>
  </si>
  <si>
    <t>109.310536</t>
  </si>
  <si>
    <t>FO DT#MBF#PYPY16-PYPY40</t>
  </si>
  <si>
    <t>1502.01</t>
  </si>
  <si>
    <t>656.90</t>
  </si>
  <si>
    <t>13.141820</t>
  </si>
  <si>
    <t>109.287163</t>
  </si>
  <si>
    <t>845.11</t>
  </si>
  <si>
    <t>13.117717</t>
  </si>
  <si>
    <t>109.302817</t>
  </si>
  <si>
    <t>full_h04/Đắk Lắk/Mạng cấp IV Đắk Lắk.kmz/Mạng cấp IV Phú Yên/Phú Yên_Ring 4/CAT Phú Yên - Tuy An Nam/CAT Phú Yên - Tuy An Nam-Ngầm MBF</t>
  </si>
  <si>
    <t>PA06-PYPY68</t>
  </si>
  <si>
    <t>13.10766</t>
  </si>
  <si>
    <t>109.30158</t>
  </si>
  <si>
    <t>FO DT#MBF#PYPY40-PYPY68</t>
  </si>
  <si>
    <t>1033.82</t>
  </si>
  <si>
    <t>745.28</t>
  </si>
  <si>
    <t>13.116629</t>
  </si>
  <si>
    <t>109.303654</t>
  </si>
  <si>
    <t>288.54</t>
  </si>
  <si>
    <t>13.108523</t>
  </si>
  <si>
    <t>109.304092</t>
  </si>
  <si>
    <t>PYPY16-Cơ quan điều tra Tuy Hòa</t>
  </si>
  <si>
    <t>13.0951</t>
  </si>
  <si>
    <t>109.3202</t>
  </si>
  <si>
    <t>FO DT#MBF#PYPY16-PYPY20</t>
  </si>
  <si>
    <t>3290.52</t>
  </si>
  <si>
    <t>342.96</t>
  </si>
  <si>
    <t>13.143237</t>
  </si>
  <si>
    <t>109.278045</t>
  </si>
  <si>
    <t>2947.56</t>
  </si>
  <si>
    <t>13.093350</t>
  </si>
  <si>
    <t>109.293044</t>
  </si>
  <si>
    <t>Cơ quan điều tra Tuy Hòa-PA08</t>
  </si>
  <si>
    <t>13.08809</t>
  </si>
  <si>
    <t>109.3123</t>
  </si>
  <si>
    <t>FO DT#MBF#PYPY20-PYPY06</t>
  </si>
  <si>
    <t>74.53</t>
  </si>
  <si>
    <t>20.20</t>
  </si>
  <si>
    <t>13.094966</t>
  </si>
  <si>
    <t>109.320326</t>
  </si>
  <si>
    <t>54.33</t>
  </si>
  <si>
    <t>13.087905</t>
  </si>
  <si>
    <t>109.311836</t>
  </si>
  <si>
    <t>full_h04/Đắk Lắk/Mạng cấp III Đắk Lắk.kmz/Mạng cấp III Phú Yên/Phú Yên_Ring phòng 2/TT2 Đăk Lăk (Tuy Hòa) - Cơ quan điều tra
 Tuy Hòa/Trung thế</t>
  </si>
  <si>
    <t>PA08-PA08</t>
  </si>
  <si>
    <t>FO DT#MBF#PYPY06-PYPY32</t>
  </si>
  <si>
    <t>Cơ quan điều tra Tuy Hòa - PA08</t>
  </si>
  <si>
    <t>8.68</t>
  </si>
  <si>
    <t>4.34</t>
  </si>
  <si>
    <t>13.088093</t>
  </si>
  <si>
    <t>109.312260</t>
  </si>
  <si>
    <t>full_h04/Đắk Lắk/Mạng cấp III Đắk Lắk.kmz/Mạng cấp III Phú Yên/Phú Yên_Ring phòng 2/Cơ quan điều tra Tuy Hòa - PA08/Trung thế</t>
  </si>
  <si>
    <t>PA08-VNPOST Tuy Hòa</t>
  </si>
  <si>
    <t>FO DT#MBF#PYPY32-VNPOST Tuy Hòa</t>
  </si>
  <si>
    <t>306.38</t>
  </si>
  <si>
    <t>104.02</t>
  </si>
  <si>
    <t>13.088291</t>
  </si>
  <si>
    <t>109.313238</t>
  </si>
  <si>
    <t>202.36</t>
  </si>
  <si>
    <t>PYPH14-PC08</t>
  </si>
  <si>
    <t>13.0752</t>
  </si>
  <si>
    <t>109.2865</t>
  </si>
  <si>
    <t>FO DT#MBF#PYPH14-PYPH17</t>
  </si>
  <si>
    <t>738.12</t>
  </si>
  <si>
    <t>722.25</t>
  </si>
  <si>
    <t>13.074518</t>
  </si>
  <si>
    <t>109.279869</t>
  </si>
  <si>
    <t>PYPY02-Phú Yên</t>
  </si>
  <si>
    <t>13.048528</t>
  </si>
  <si>
    <t>109.311034</t>
  </si>
  <si>
    <t>FO DT#MBF#PYPY02-PYPY33</t>
  </si>
  <si>
    <t>83.30</t>
  </si>
  <si>
    <t>81.63</t>
  </si>
  <si>
    <t>13.049013</t>
  </si>
  <si>
    <t>109.310469</t>
  </si>
  <si>
    <t>PYPY79-TT2 Tuy Hòa</t>
  </si>
  <si>
    <t>13.08933</t>
  </si>
  <si>
    <t>109.30385</t>
  </si>
  <si>
    <t>FO DT#MBF#PYPY79-PYPY01</t>
  </si>
  <si>
    <t>482.86</t>
  </si>
  <si>
    <t>481.90</t>
  </si>
  <si>
    <t>13.088972</t>
  </si>
  <si>
    <t>109.299416</t>
  </si>
  <si>
    <t>0.95</t>
  </si>
  <si>
    <t>13.094738</t>
  </si>
  <si>
    <t>109.293009</t>
  </si>
  <si>
    <t>21PY006-Điểm đăng ký sát hạch lái xe (PC08)</t>
  </si>
  <si>
    <t>13.109544</t>
  </si>
  <si>
    <t>109.285226</t>
  </si>
  <si>
    <t>FO DT#MBF#21PY006-PYPY66</t>
  </si>
  <si>
    <t>Điểm đăng ký sát hạch lái xe (PC08) - TT2
 Đăk Lăk (Tuy Hòa)</t>
  </si>
  <si>
    <t>89.32</t>
  </si>
  <si>
    <t>83.47</t>
  </si>
  <si>
    <t>13.110292</t>
  </si>
  <si>
    <t>109.285296</t>
  </si>
  <si>
    <t>5.85</t>
  </si>
  <si>
    <t>13.112349</t>
  </si>
  <si>
    <t>109.284520</t>
  </si>
  <si>
    <t>full_h04/Đắk Lắk/Mạng cấp III Đắk Lắk.kmz/Mạng cấp III Phú Yên/Điểm đăng ký sát hạch lái xe (PC08) - TT2
 Đăk Lăk (Tuy Hòa)/Hạ thế</t>
  </si>
  <si>
    <t>PYTH33-Đức Bình</t>
  </si>
  <si>
    <t>12.922141</t>
  </si>
  <si>
    <t>109.240506</t>
  </si>
  <si>
    <t>FO DT#MBF#PYTH33-PYTH03</t>
  </si>
  <si>
    <t>857.89</t>
  </si>
  <si>
    <t>853.99</t>
  </si>
  <si>
    <t>12.929770</t>
  </si>
  <si>
    <t>109.239602</t>
  </si>
  <si>
    <t>3.90</t>
  </si>
  <si>
    <t>12.932771</t>
  </si>
  <si>
    <t>109.239173</t>
  </si>
  <si>
    <t>PC07-PYPY72</t>
  </si>
  <si>
    <t>13.093438</t>
  </si>
  <si>
    <t>109.292208</t>
  </si>
  <si>
    <t>FO DT#MBF#PYPY67-PYPY72</t>
  </si>
  <si>
    <t>84.83</t>
  </si>
  <si>
    <t>78.81</t>
  </si>
  <si>
    <t>13.093843</t>
  </si>
  <si>
    <t>109.291611</t>
  </si>
  <si>
    <t>PA06-PYPY61</t>
  </si>
  <si>
    <t>13.117866</t>
  </si>
  <si>
    <t>109.294728</t>
  </si>
  <si>
    <t>FO DT#MBF#PYPY40-PYPY61</t>
  </si>
  <si>
    <t>1319.10</t>
  </si>
  <si>
    <t>573.82</t>
  </si>
  <si>
    <t>13.115219</t>
  </si>
  <si>
    <t>109.299276</t>
  </si>
  <si>
    <t>PA06-PYPY08</t>
  </si>
  <si>
    <t>13.1169</t>
  </si>
  <si>
    <t>109.298</t>
  </si>
  <si>
    <t>FO DT#MBF#PYPY40-PYPY08</t>
  </si>
  <si>
    <t>977.79</t>
  </si>
  <si>
    <t>232.51</t>
  </si>
  <si>
    <t>PC07-PYPY11</t>
  </si>
  <si>
    <t>13.10562</t>
  </si>
  <si>
    <t>109.28768</t>
  </si>
  <si>
    <t>FO DT#MBF#PYPY67-PYPY11</t>
  </si>
  <si>
    <t>PK02 - TT2 Đăk Lăk (Tuy Hòa)</t>
  </si>
  <si>
    <t>89.51</t>
  </si>
  <si>
    <t>44.00</t>
  </si>
  <si>
    <t>13.094901</t>
  </si>
  <si>
    <t>109.291991</t>
  </si>
  <si>
    <t>45.51</t>
  </si>
  <si>
    <t>13.105965</t>
  </si>
  <si>
    <t>109.287906</t>
  </si>
  <si>
    <t>full_h04/Đắk Lắk/Mạng cấp III Đắk Lắk.kmz/Mạng cấp III Phú Yên/Phú Yên_Ring phòng 1/PK02 - TT2 Đăk Lăk (Tuy Hòa)/Trung thế</t>
  </si>
  <si>
    <t>PYTA48-Tuy An Bắc</t>
  </si>
  <si>
    <t>13.262749</t>
  </si>
  <si>
    <t>109.203296</t>
  </si>
  <si>
    <t>FO DT#MBF#PYTA48-PYTA14</t>
  </si>
  <si>
    <t>Tuy An Bắc - Tuy An Tây</t>
  </si>
  <si>
    <t>342.65</t>
  </si>
  <si>
    <t>128.98</t>
  </si>
  <si>
    <t>13.263899</t>
  </si>
  <si>
    <t>109.203452</t>
  </si>
  <si>
    <t>213.67</t>
  </si>
  <si>
    <t>13.306805</t>
  </si>
  <si>
    <t>109.214379</t>
  </si>
  <si>
    <t>full_h04/Đắk Lắk/Mạng cấp IV Đắk Lắk.kmz/Mạng cấp IV Phú Yên/Phú Yên_Ring 5/Tuy An Bắc - Tuy An Tây/Trung thế</t>
  </si>
  <si>
    <t>PYPY76-PA05</t>
  </si>
  <si>
    <t>13.090889</t>
  </si>
  <si>
    <t>109.31281</t>
  </si>
  <si>
    <t>FO DT#MBF#PYPY76-PYPY47</t>
  </si>
  <si>
    <t>197.97</t>
  </si>
  <si>
    <t>181.29</t>
  </si>
  <si>
    <t>13.090186</t>
  </si>
  <si>
    <t>109.311300</t>
  </si>
  <si>
    <t>16.68</t>
  </si>
  <si>
    <t>13.089724</t>
  </si>
  <si>
    <t>109.309628</t>
  </si>
  <si>
    <t>full_h04/Đắk Lắk/Mạng cấp III Đắk Lắk.kmz/Mạng cấp III Phú Yên/Phú Yên_Ring phòng 2/Cơ quan điều tra Tuy Hòa - PA08/Hạ thế</t>
  </si>
  <si>
    <t>Sơn Thành-PYDH09</t>
  </si>
  <si>
    <t>FO DT#MBF#PYTH01-PYDH09</t>
  </si>
  <si>
    <t>DLBTMA01-TT1 Đăk Lăk</t>
  </si>
  <si>
    <t>108.0352</t>
  </si>
  <si>
    <t>FO DT#MBF#DLBTMA01-DLBT09</t>
  </si>
  <si>
    <t>CAT Đắk Lắk - Thành Nhất</t>
  </si>
  <si>
    <t>1284.02</t>
  </si>
  <si>
    <t>581.76</t>
  </si>
  <si>
    <t>12.682363</t>
  </si>
  <si>
    <t>108.040537</t>
  </si>
  <si>
    <t>702.27</t>
  </si>
  <si>
    <t>12.681629</t>
  </si>
  <si>
    <t>108.046934</t>
  </si>
  <si>
    <t>full_h04/Đắk Lắk/Mạng cấp IV Đắk Lắk.kmz/Mạng cấp IV Đắk Lắk/Đắk Lắk Ring 12.kmz/Đắk Lắk Ring 12/CAT Đắk Lắk - Thành Nhất/Trung Thế Phan Bội Châu</t>
  </si>
  <si>
    <t>TT1 Đăk Lăk-DLBTMA01</t>
  </si>
  <si>
    <t>FO DT#MBF#DLBT09-DLBTMA01</t>
  </si>
  <si>
    <t>DLCG07-Ea Tul</t>
  </si>
  <si>
    <t>12.781192</t>
  </si>
  <si>
    <t>108.069675</t>
  </si>
  <si>
    <t>FO DT#MBF#DLCG07-DLCG03</t>
  </si>
  <si>
    <t>8912.47</t>
  </si>
  <si>
    <t>8868.01</t>
  </si>
  <si>
    <t>DLBHMA012-Ea Tul</t>
  </si>
  <si>
    <t>12.788846</t>
  </si>
  <si>
    <t>108.21658</t>
  </si>
  <si>
    <t>FO DT#MBF#DLBHMA012-DLCG03</t>
  </si>
  <si>
    <t>Cuôr Đăng - Cư Bao</t>
  </si>
  <si>
    <t>10015.73</t>
  </si>
  <si>
    <t>73.57</t>
  </si>
  <si>
    <t>12.788780</t>
  </si>
  <si>
    <t>108.217255</t>
  </si>
  <si>
    <t>9942.16</t>
  </si>
  <si>
    <t>12.840891</t>
  </si>
  <si>
    <t>108.247509</t>
  </si>
  <si>
    <t>full_h04/Đắk Lắk/Mạng cấp IV Đắk Lắk.kmz/Mạng cấp IV Đắk Lắk/Đắk Lắk Ring 13.kmz/ring 13/Cuôr Đăng - Cư Bao/Trung Thế Cư Mgar - Buôn Hồ</t>
  </si>
  <si>
    <t>TT1 Đăk Lăk-DLBHMA012</t>
  </si>
  <si>
    <t>FO DT#MBF#DLBT09-DLBHMA012</t>
  </si>
  <si>
    <t>1861.86</t>
  </si>
  <si>
    <t>111.75</t>
  </si>
  <si>
    <t>DLBTMA01-Ea Tul</t>
  </si>
  <si>
    <t>FO DT#MBF#DLBTMA01-DLCG03</t>
  </si>
  <si>
    <t>15390.47</t>
  </si>
  <si>
    <t>3610.38</t>
  </si>
  <si>
    <t>11780.09</t>
  </si>
  <si>
    <t>12.813562</t>
  </si>
  <si>
    <t>108.233570</t>
  </si>
  <si>
    <t>Ea Tul-KRông Năng</t>
  </si>
  <si>
    <t>FO DT#MBF#DLCG03-DLKN27</t>
  </si>
  <si>
    <t>9248.62</t>
  </si>
  <si>
    <t>9193.08</t>
  </si>
  <si>
    <t>KRông Năng-DLKN02</t>
  </si>
  <si>
    <t>FO DT#MBF#DLKN27-DLKN02</t>
  </si>
  <si>
    <t>3248.76</t>
  </si>
  <si>
    <t>3113.58</t>
  </si>
  <si>
    <t>DLKN02-Buôn Hồ</t>
  </si>
  <si>
    <t>FO DT#MBF#DLKN02-DLBH15</t>
  </si>
  <si>
    <t>Buôn Hồ-TT1 Đăk Lăk</t>
  </si>
  <si>
    <t>FO DT#MBF#DLBH15-DLBT09</t>
  </si>
  <si>
    <t>13265.44</t>
  </si>
  <si>
    <t>11515.33</t>
  </si>
  <si>
    <t>12.815362</t>
  </si>
  <si>
    <t>108.242258</t>
  </si>
  <si>
    <t>Ea Kar-DLKN02</t>
  </si>
  <si>
    <t>FO DT#MBF#DLEK01-DLKN02</t>
  </si>
  <si>
    <t>Trung thế 14(373(EKA)__418</t>
  </si>
  <si>
    <t>5249.55</t>
  </si>
  <si>
    <t>70.81</t>
  </si>
  <si>
    <t>12.811550</t>
  </si>
  <si>
    <t>108.483309</t>
  </si>
  <si>
    <t>5178.75</t>
  </si>
  <si>
    <t>12.852958</t>
  </si>
  <si>
    <t>108.423523</t>
  </si>
  <si>
    <t>full_h04/Đắk Lắk/Mạng cấp IV Đắk Lắk.kmz/Mạng cấp IV Đắk Lắk/Đắk Lắk Ring 18.kmz/TTCMKV Ea Kar - Phú Xuân/Trung thế 14(373(EKA)__418/35(</t>
  </si>
  <si>
    <t>DLKP01-Ea Kar</t>
  </si>
  <si>
    <t>12.715607</t>
  </si>
  <si>
    <t>108.241525</t>
  </si>
  <si>
    <t>FO DT#MBF#DLKP01-DLEK01</t>
  </si>
  <si>
    <t>8086.60</t>
  </si>
  <si>
    <t>8017.36</t>
  </si>
  <si>
    <t>12.778797</t>
  </si>
  <si>
    <t>108.205924</t>
  </si>
  <si>
    <t>TT1 Đăk Lăk-DLKP01</t>
  </si>
  <si>
    <t>FO DT#MBF#DLBT09-DLKP01</t>
  </si>
  <si>
    <t>2711.82</t>
  </si>
  <si>
    <t>2489.64</t>
  </si>
  <si>
    <t>12.684058</t>
  </si>
  <si>
    <t>108.075749</t>
  </si>
  <si>
    <t>222.19</t>
  </si>
  <si>
    <t>12.716179</t>
  </si>
  <si>
    <t>108.239562</t>
  </si>
  <si>
    <t>DLCK17-Cư Kuin</t>
  </si>
  <si>
    <t>12.6381269</t>
  </si>
  <si>
    <t>108.1201019</t>
  </si>
  <si>
    <t>FO DT#MBF#DLCK17-DLCK11</t>
  </si>
  <si>
    <t>KRông Ana - Cư Kuin</t>
  </si>
  <si>
    <t>7948.64</t>
  </si>
  <si>
    <t>7831.89</t>
  </si>
  <si>
    <t>12.567697</t>
  </si>
  <si>
    <t>108.120884</t>
  </si>
  <si>
    <t>116.75</t>
  </si>
  <si>
    <t>12.559718</t>
  </si>
  <si>
    <t>108.162858</t>
  </si>
  <si>
    <t>full_h04/Đắk Lắk/Mạng cấp III Đắk Lắk.kmz/Mạng cấp III Đắk Lắk/Ring 3/KRông Ana - Cư Kuin/Trung thế 478KNA</t>
  </si>
  <si>
    <t>Cư Kuin-Cơ sở cai nghiện (X. Tân Tiến, H. Kron Pắc)</t>
  </si>
  <si>
    <t>FO DT#MBF#DLCK11-DLKP17</t>
  </si>
  <si>
    <t>16251.38</t>
  </si>
  <si>
    <t>15501.01</t>
  </si>
  <si>
    <t>12.699287</t>
  </si>
  <si>
    <t>108.169227</t>
  </si>
  <si>
    <t>750.37</t>
  </si>
  <si>
    <t>12.661210</t>
  </si>
  <si>
    <t>108.347521</t>
  </si>
  <si>
    <t>Cơ sở cai nghiện (X. Tân Tiến, H. Kron Pắc)-DLKP01</t>
  </si>
  <si>
    <t>FO DT#MBF#DLKP17-DLKP01</t>
  </si>
  <si>
    <t>972.56</t>
  </si>
  <si>
    <t>DLEK27-Ea Knốp</t>
  </si>
  <si>
    <t>12.814122</t>
  </si>
  <si>
    <t>108.518682</t>
  </si>
  <si>
    <t>12.80333</t>
  </si>
  <si>
    <t>108.5412</t>
  </si>
  <si>
    <t>FO DT#MBF#DLEK27-DLEK03</t>
  </si>
  <si>
    <t>Ea Knốp - TTCMKV Ea Kar</t>
  </si>
  <si>
    <t>119.77</t>
  </si>
  <si>
    <t>117.93</t>
  </si>
  <si>
    <t>12.813067</t>
  </si>
  <si>
    <t>108.518796</t>
  </si>
  <si>
    <t>1.84</t>
  </si>
  <si>
    <t>12.803341</t>
  </si>
  <si>
    <t>108.541213</t>
  </si>
  <si>
    <t>full_h04/Đắk Lắk/Mạng cấp IV Đắk Lắk.kmz/Mạng cấp IV Đắk Lắk/Đắk Lắk Ring 24.kmz/Ea Knốp - TTCMKV Ea Kar/Trung thế</t>
  </si>
  <si>
    <t>Ea Knốp-DLEK29</t>
  </si>
  <si>
    <t>12.8125985</t>
  </si>
  <si>
    <t>108.4600826</t>
  </si>
  <si>
    <t>FO DT#MBF#DLEK03-DLEK29</t>
  </si>
  <si>
    <t>Trung thế 472EKA__1-2-3_C5__5</t>
  </si>
  <si>
    <t>1343.96</t>
  </si>
  <si>
    <t>226.79</t>
  </si>
  <si>
    <t>12.805264</t>
  </si>
  <si>
    <t>108.541863</t>
  </si>
  <si>
    <t>1117.17</t>
  </si>
  <si>
    <t>12.811744</t>
  </si>
  <si>
    <t>108.470349</t>
  </si>
  <si>
    <t>full_h04/Đắk Lắk/Mạng cấp III Đắk Lắk.kmz/Mạng cấp III Đắk Lắk/Ring 2/KRông Păk - Trại giam Đăk Tân (C10)/Trung thế 472EKA__1-2-3_C5__5/29__471F1</t>
  </si>
  <si>
    <t>Ea Kar-DLEK29</t>
  </si>
  <si>
    <t>FO DT#MBF#DLEK01-DLEK29</t>
  </si>
  <si>
    <t>116.89</t>
  </si>
  <si>
    <t>47.64</t>
  </si>
  <si>
    <t>12.812188</t>
  </si>
  <si>
    <t>108.459956</t>
  </si>
  <si>
    <t>Ea Kar-DLEK10</t>
  </si>
  <si>
    <t>12.84153</t>
  </si>
  <si>
    <t>108.43094</t>
  </si>
  <si>
    <t>FO DT#MBF#DLEK01-DLEK10</t>
  </si>
  <si>
    <t>175.65</t>
  </si>
  <si>
    <t>104.85</t>
  </si>
  <si>
    <t>12.841301</t>
  </si>
  <si>
    <t>108.430002</t>
  </si>
  <si>
    <t>Ea Kly-Ea Kar</t>
  </si>
  <si>
    <t>12.76228</t>
  </si>
  <si>
    <t>108.4145</t>
  </si>
  <si>
    <t>FO DT#MBF#DLKP05-DLEK01</t>
  </si>
  <si>
    <t>1380.85</t>
  </si>
  <si>
    <t>1311.61</t>
  </si>
  <si>
    <t>12.770509</t>
  </si>
  <si>
    <t>108.405835</t>
  </si>
  <si>
    <t>Ea Phê-Ea Kly</t>
  </si>
  <si>
    <t>12.72793</t>
  </si>
  <si>
    <t>108.3632</t>
  </si>
  <si>
    <t>FO DT#MBF#DLKP37-DLKP05</t>
  </si>
  <si>
    <t>KRông Păk - Trại giam Đăk Tân (C10)</t>
  </si>
  <si>
    <t>1467.87</t>
  </si>
  <si>
    <t>85.40</t>
  </si>
  <si>
    <t>12.727708</t>
  </si>
  <si>
    <t>108.363954</t>
  </si>
  <si>
    <t>1382.47</t>
  </si>
  <si>
    <t>12.769828</t>
  </si>
  <si>
    <t>108.404370</t>
  </si>
  <si>
    <t>full_h04/Đắk Lắk/Mạng cấp III Đắk Lắk.kmz/Mạng cấp III Đắk Lắk/Ring 2/KRông Păk - Trại giam Đăk Tân (C10)/Trung thế 40__258</t>
  </si>
  <si>
    <t>DLKP01-Ea Phê</t>
  </si>
  <si>
    <t>FO DT#MBF#DLKP01-DLKP37</t>
  </si>
  <si>
    <t>5159.71</t>
  </si>
  <si>
    <t>4937.53</t>
  </si>
  <si>
    <t>12.699309</t>
  </si>
  <si>
    <t>108.328397</t>
  </si>
  <si>
    <t>Ea Kar-DLKP07</t>
  </si>
  <si>
    <t>12.71014</t>
  </si>
  <si>
    <t>108.43604</t>
  </si>
  <si>
    <t>FO DT#MBF#DLEK01-DLKP07</t>
  </si>
  <si>
    <t>Ea Ô - TTCMKV Ea Kar</t>
  </si>
  <si>
    <t>5101.38</t>
  </si>
  <si>
    <t>70.50</t>
  </si>
  <si>
    <t>12.811557</t>
  </si>
  <si>
    <t>108.483304</t>
  </si>
  <si>
    <t>5030.89</t>
  </si>
  <si>
    <t>12.721521</t>
  </si>
  <si>
    <t>108.480930</t>
  </si>
  <si>
    <t>full_h04/Đắk Lắk/Mạng cấp IV Đắk Lắk.kmz/Mạng cấp IV Đắk Lắk/Đắk Lắk Ring 8.kmz/Ea Ô - TTCMKV Ea Kar/Trung thế 14__473EKA</t>
  </si>
  <si>
    <t>Vụ Bổn-DLKP38</t>
  </si>
  <si>
    <t>12.6589</t>
  </si>
  <si>
    <t>108.4328</t>
  </si>
  <si>
    <t>12.5817425</t>
  </si>
  <si>
    <t>108.4300584</t>
  </si>
  <si>
    <t>FO DT#MBF#DLKP06-DLKP38</t>
  </si>
  <si>
    <t>77</t>
  </si>
  <si>
    <t>7268.34</t>
  </si>
  <si>
    <t>127.41</t>
  </si>
  <si>
    <t>12.658647</t>
  </si>
  <si>
    <t>108.431655</t>
  </si>
  <si>
    <t>7140.93</t>
  </si>
  <si>
    <t>12.634971</t>
  </si>
  <si>
    <t>108.393240</t>
  </si>
  <si>
    <t>full_h04/Đắk Lắk/Mạng cấp IV Đắk Lắk.kmz/Mạng cấp IV Đắk Lắk/Đắk Lắk Ring 8.kmz/Tân Tiến - Vụ Bổn/Trung thế 474KRP__243/18/11__243/77/19__474KRP</t>
  </si>
  <si>
    <t>DLKP11-Vụ Bổn</t>
  </si>
  <si>
    <t>12.69252</t>
  </si>
  <si>
    <t>108.38369</t>
  </si>
  <si>
    <t>FO DT#MBF#DLKP11-DLKP06</t>
  </si>
  <si>
    <t>4715.50</t>
  </si>
  <si>
    <t>4559.54</t>
  </si>
  <si>
    <t>12.654074</t>
  </si>
  <si>
    <t>108.369075</t>
  </si>
  <si>
    <t>155.96</t>
  </si>
  <si>
    <t>12.658018</t>
  </si>
  <si>
    <t>108.431682</t>
  </si>
  <si>
    <t>Ea Kar-DLEK34</t>
  </si>
  <si>
    <t>12.75627</t>
  </si>
  <si>
    <t>108.51017</t>
  </si>
  <si>
    <t>FO DT#MBF#DLEK01-DLEK34</t>
  </si>
  <si>
    <t>Trung thế 373EKA__15__331</t>
  </si>
  <si>
    <t>3730.16</t>
  </si>
  <si>
    <t>110.23</t>
  </si>
  <si>
    <t>12.811240</t>
  </si>
  <si>
    <t>108.484271</t>
  </si>
  <si>
    <t>3619.92</t>
  </si>
  <si>
    <t>12.749832</t>
  </si>
  <si>
    <t>108.542889</t>
  </si>
  <si>
    <t>full_h04/Đắk Lắk/Mạng cấp IV Đắk Lắk.kmz/Mạng cấp IV Đắk Lắk/Đắk Lắk Ring 5.kmz/TTCMKV Ea Kar - Ea Păl/Trung thế 373EKA__15__331/2__474EKA</t>
  </si>
  <si>
    <t>DLEK34-Ea Păl</t>
  </si>
  <si>
    <t>12.7257</t>
  </si>
  <si>
    <t>108.5551</t>
  </si>
  <si>
    <t>FO DT#MBF#DLEK34-DLEK04</t>
  </si>
  <si>
    <t>3788.40</t>
  </si>
  <si>
    <t>168.48</t>
  </si>
  <si>
    <t>12.726937</t>
  </si>
  <si>
    <t>108.554203</t>
  </si>
  <si>
    <t>DLEK30-Ea Păl</t>
  </si>
  <si>
    <t>12.6403801</t>
  </si>
  <si>
    <t>108.5144039</t>
  </si>
  <si>
    <t>FO DT#MBF#DLEK30-DLEK04</t>
  </si>
  <si>
    <t>6977.86</t>
  </si>
  <si>
    <t>6805.83</t>
  </si>
  <si>
    <t>12.700711</t>
  </si>
  <si>
    <t>108.503832</t>
  </si>
  <si>
    <t>172.02</t>
  </si>
  <si>
    <t>12.726613</t>
  </si>
  <si>
    <t>108.553820</t>
  </si>
  <si>
    <t>TT1 Đăk Lăk-Ea Knuếc</t>
  </si>
  <si>
    <t>12.70389</t>
  </si>
  <si>
    <t>108.1564</t>
  </si>
  <si>
    <t>FO DT#MBF#DLBT09-DLKP03</t>
  </si>
  <si>
    <t>KRông Bông - TT1 Đăk Lăk</t>
  </si>
  <si>
    <t>1847.74</t>
  </si>
  <si>
    <t>1752.00</t>
  </si>
  <si>
    <t>12.690887</t>
  </si>
  <si>
    <t>108.067472</t>
  </si>
  <si>
    <t>12.703134</t>
  </si>
  <si>
    <t>108.156822</t>
  </si>
  <si>
    <t>full_h04/Đắk Lắk/Mạng cấp III Đắk Lắk.kmz/Mạng cấp III Đắk Lắk/Ring 3/KRông Bông - TT1 Đăk Lăk/Trung thế 474-476BMT</t>
  </si>
  <si>
    <t>Ea Knuếc-DLKP14</t>
  </si>
  <si>
    <t>12.702408</t>
  </si>
  <si>
    <t>108.197138</t>
  </si>
  <si>
    <t>FO DT#MBF#DLKP03-DLKP14</t>
  </si>
  <si>
    <t>2</t>
  </si>
  <si>
    <t>170.58</t>
  </si>
  <si>
    <t>96.45</t>
  </si>
  <si>
    <t>12.703130</t>
  </si>
  <si>
    <t>108.156829</t>
  </si>
  <si>
    <t>74.14</t>
  </si>
  <si>
    <t>12.703072</t>
  </si>
  <si>
    <t>108.197072</t>
  </si>
  <si>
    <t>full_h04/Đắk Lắk/Mạng cấp III Đắk Lắk.kmz/Mạng cấp III Đắk Lắk/Ring 2/TT1 Đak Lak - Krong Pak/Trung thế 295/2/8-C17</t>
  </si>
  <si>
    <t>DLCK03-Cư Kuin</t>
  </si>
  <si>
    <t>12.59915</t>
  </si>
  <si>
    <t>108.160133</t>
  </si>
  <si>
    <t>FO DT#MBF#DLCK03-DLCK11</t>
  </si>
  <si>
    <t>3493.74</t>
  </si>
  <si>
    <t>2935.12</t>
  </si>
  <si>
    <t>Cơ sở cai nghiện (X. Tân Tiến, H. Kron Pắc)-DLKP32</t>
  </si>
  <si>
    <t>12.70365</t>
  </si>
  <si>
    <t>108.32346</t>
  </si>
  <si>
    <t>FO DT#MBF#DLKP17-DLKP32</t>
  </si>
  <si>
    <t>273.46</t>
  </si>
  <si>
    <t>204.32</t>
  </si>
  <si>
    <t>12.703611</t>
  </si>
  <si>
    <t>108.321577</t>
  </si>
  <si>
    <t>DLBT51-PC08</t>
  </si>
  <si>
    <t>12.69374</t>
  </si>
  <si>
    <t>108.05976</t>
  </si>
  <si>
    <t>FO DT#MBF#DLBT51-DLBT80</t>
  </si>
  <si>
    <t>91513.71</t>
  </si>
  <si>
    <t>892.22</t>
  </si>
  <si>
    <t>DLBH17-Buôn Hồ</t>
  </si>
  <si>
    <t>12.91985</t>
  </si>
  <si>
    <t>108.2575</t>
  </si>
  <si>
    <t>FO DT#MBF#DLBH17-DLBH15</t>
  </si>
  <si>
    <t>830.55</t>
  </si>
  <si>
    <t>772.28</t>
  </si>
  <si>
    <t>12.920682</t>
  </si>
  <si>
    <t>108.264574</t>
  </si>
  <si>
    <t>DLKN49-Dliê Ya</t>
  </si>
  <si>
    <t>13.12455</t>
  </si>
  <si>
    <t>108.35996</t>
  </si>
  <si>
    <t>FO DT#MBF#DLKN49-DLKN15</t>
  </si>
  <si>
    <t>10</t>
  </si>
  <si>
    <t>3378.13</t>
  </si>
  <si>
    <t>3360.45</t>
  </si>
  <si>
    <t>13.118842</t>
  </si>
  <si>
    <t>108.329487</t>
  </si>
  <si>
    <t>17.68</t>
  </si>
  <si>
    <t>13.116583</t>
  </si>
  <si>
    <t>108.329257</t>
  </si>
  <si>
    <t>full_h04/Đắk Lắk/Mạng cấp IV Đắk Lắk.kmz/Mạng cấp IV Đắk Lắk/Đắk Lắk Ring 19.kmz/Dliê Ya - Ea Hiao/Hạ thế Dile Ya__127/10/11(472KRN)</t>
  </si>
  <si>
    <t>DLKN05-KRông Năng</t>
  </si>
  <si>
    <t>12.98617</t>
  </si>
  <si>
    <t>108.3397</t>
  </si>
  <si>
    <t>FO DT#MBF#DLKN05-DLKN27</t>
  </si>
  <si>
    <t>2069.59</t>
  </si>
  <si>
    <t>2033.59</t>
  </si>
  <si>
    <t>12.989837</t>
  </si>
  <si>
    <t>108.321312</t>
  </si>
  <si>
    <t>Ea Tul-DLCG41</t>
  </si>
  <si>
    <t>FO DT#MBF#DLCG03-DLCG41</t>
  </si>
  <si>
    <t>162.51</t>
  </si>
  <si>
    <t>DLCG29-Ea Tul</t>
  </si>
  <si>
    <t>12.92228</t>
  </si>
  <si>
    <t>108.15975</t>
  </si>
  <si>
    <t>FO DT#MBF#DLCG29-DLCG03</t>
  </si>
  <si>
    <t>1958.36</t>
  </si>
  <si>
    <t>1913.91</t>
  </si>
  <si>
    <t>12.906500</t>
  </si>
  <si>
    <t>108.152697</t>
  </si>
  <si>
    <t>DLKA03-Hòa Phú</t>
  </si>
  <si>
    <t>12.582007</t>
  </si>
  <si>
    <t>107.934377</t>
  </si>
  <si>
    <t>FO DT#MBF#DLKA03-DLBT1T</t>
  </si>
  <si>
    <t>3377.85</t>
  </si>
  <si>
    <t>2662.74</t>
  </si>
  <si>
    <t>12.600441</t>
  </si>
  <si>
    <t>107.950039</t>
  </si>
  <si>
    <t>715.11</t>
  </si>
  <si>
    <t>12.618955</t>
  </si>
  <si>
    <t>107.946549</t>
  </si>
  <si>
    <t>full_h04/Đắk Lắk/Mạng cấp IV Đắk Lắk.kmz/Mạng cấp IV Đắk Lắk/Đắk Lắk Ring 11.kmz/Đắk Lắk Ring 11/Hòa Phú - Ea Na/Trung thế 475CJU</t>
  </si>
  <si>
    <t>DLKB35-Pơng Drang</t>
  </si>
  <si>
    <t>12.95423</t>
  </si>
  <si>
    <t>108.22635</t>
  </si>
  <si>
    <t>FO DT#MBF#DLKB35-DLKB36</t>
  </si>
  <si>
    <t>Trung thế 5</t>
  </si>
  <si>
    <t>1286.07</t>
  </si>
  <si>
    <t>211.30</t>
  </si>
  <si>
    <t>12.955921</t>
  </si>
  <si>
    <t>108.227239</t>
  </si>
  <si>
    <t>1074.77</t>
  </si>
  <si>
    <t>12.961758</t>
  </si>
  <si>
    <t>108.241324</t>
  </si>
  <si>
    <t>full_h04/Đắk Lắk/Mạng cấp IV Đắk Lắk.kmz/Mạng cấp IV Đắk Lắk/Đắk Lắk Ring 17.kmz/Pơng Drang - Cư Pơng/Trung thế 5/4(475T2KBU)__81(475T2KBU)</t>
  </si>
  <si>
    <t>Cư Pơng-DLKB13</t>
  </si>
  <si>
    <t>12.973813</t>
  </si>
  <si>
    <t>108.16369</t>
  </si>
  <si>
    <t>FO DT#MBF#DLKB22-DLKB13</t>
  </si>
  <si>
    <t>1(475T2KBU)__126</t>
  </si>
  <si>
    <t>2462.79</t>
  </si>
  <si>
    <t>2013.20</t>
  </si>
  <si>
    <t>12.994935</t>
  </si>
  <si>
    <t>108.161522</t>
  </si>
  <si>
    <t>449.59</t>
  </si>
  <si>
    <t>12.976003</t>
  </si>
  <si>
    <t>108.167178</t>
  </si>
  <si>
    <t>full_h04/Đắk Lắk/Mạng cấp IV Đắk Lắk.kmz/Mạng cấp IV Đắk Lắk/Đắk Lắk Ring 17.kmz/Pơng Drang - Cư Pơng/Trung thế 126/1(475T2KBU)__126/52(475T2KBU)</t>
  </si>
  <si>
    <t>Ea Kar-DLEK31</t>
  </si>
  <si>
    <t>12.80491</t>
  </si>
  <si>
    <t>108.45256</t>
  </si>
  <si>
    <t>FO DT#MBF#DLEK01-DLEK31</t>
  </si>
  <si>
    <t>764.99</t>
  </si>
  <si>
    <t>695.74</t>
  </si>
  <si>
    <t>12.809038</t>
  </si>
  <si>
    <t>108.447738</t>
  </si>
  <si>
    <t>DLEK53-Ea Knốp</t>
  </si>
  <si>
    <t>12.80813</t>
  </si>
  <si>
    <t>108.56272</t>
  </si>
  <si>
    <t>FO DT#MBF#DLEK53-DLEK03</t>
  </si>
  <si>
    <t>44</t>
  </si>
  <si>
    <t>337.09</t>
  </si>
  <si>
    <t>107.36</t>
  </si>
  <si>
    <t>12.808430</t>
  </si>
  <si>
    <t>108.563661</t>
  </si>
  <si>
    <t>229.73</t>
  </si>
  <si>
    <t>12.805197</t>
  </si>
  <si>
    <t>108.542107</t>
  </si>
  <si>
    <t>full_h04/Đắk Lắk/Mạng cấp III Đắk Lắk.kmz/Mạng cấp III Đắk Lắk/Ring 2/KRông Păk - Trại giam Đăk Tân (C10)/Trung thế 471F1__5/29__25/44/147__472F18</t>
  </si>
  <si>
    <t>DLEK35-Ea Knốp</t>
  </si>
  <si>
    <t>12.78457</t>
  </si>
  <si>
    <t>108.54173</t>
  </si>
  <si>
    <t>FO DT#MBF#DLEK35-DLEK03</t>
  </si>
  <si>
    <t>411.86</t>
  </si>
  <si>
    <t>229.90</t>
  </si>
  <si>
    <t>12.785001</t>
  </si>
  <si>
    <t>108.543803</t>
  </si>
  <si>
    <t>181.96</t>
  </si>
  <si>
    <t>12.803478</t>
  </si>
  <si>
    <t>108.539529</t>
  </si>
  <si>
    <t>DLEK41-Ea Păl</t>
  </si>
  <si>
    <t>12.747125</t>
  </si>
  <si>
    <t>108.580095</t>
  </si>
  <si>
    <t>FO DT#MBF#DLEK41-DLEK04</t>
  </si>
  <si>
    <t>ILA Ea Pal - ILA Sơn Thành</t>
  </si>
  <si>
    <t>3543.63</t>
  </si>
  <si>
    <t>3525.09</t>
  </si>
  <si>
    <t>12.726099</t>
  </si>
  <si>
    <t>108.555770</t>
  </si>
  <si>
    <t>18.55</t>
  </si>
  <si>
    <t>12.725867</t>
  </si>
  <si>
    <t>108.555091</t>
  </si>
  <si>
    <t>full_h04/Đắk Lắk/Mạng cấp II Đắk Lắk.kmz/Link 2/ILA Ea Pal - ILA Sơn Thành/hạ thế</t>
  </si>
  <si>
    <t>DLEK36-Ea Păl</t>
  </si>
  <si>
    <t>12.70653</t>
  </si>
  <si>
    <t>108.58205</t>
  </si>
  <si>
    <t>FO DT#MBF#DLEK36-DLEK04</t>
  </si>
  <si>
    <t>476.08</t>
  </si>
  <si>
    <t>389.47</t>
  </si>
  <si>
    <t>12.703554</t>
  </si>
  <si>
    <t>108.583943</t>
  </si>
  <si>
    <t>86.61</t>
  </si>
  <si>
    <t>12.726106</t>
  </si>
  <si>
    <t>108.555781</t>
  </si>
  <si>
    <t>full_h04/Đắk Lắk/Mạng cấp II Đắk Lắk.kmz/Link 2/ILA Ea Pal - ILA Sơn Thành/Trung thế</t>
  </si>
  <si>
    <t>DLKP43-Ea Kly</t>
  </si>
  <si>
    <t>12.784863</t>
  </si>
  <si>
    <t>108.412868</t>
  </si>
  <si>
    <t>FO DT#MBF#DLKP43-DLKP05</t>
  </si>
  <si>
    <t>Ea Kly - Ea Kar</t>
  </si>
  <si>
    <t>306.67</t>
  </si>
  <si>
    <t>255.67</t>
  </si>
  <si>
    <t>12.785982</t>
  </si>
  <si>
    <t>108.410808</t>
  </si>
  <si>
    <t>51.01</t>
  </si>
  <si>
    <t>12.762475</t>
  </si>
  <si>
    <t>108.414926</t>
  </si>
  <si>
    <t>full_h04/Đắk Lắk/Mạng cấp IV Đắk Lắk.kmz/Mạng cấp IV Đắk Lắk/Đắk Lắk Ring 7.kmz/Đắk Lắk Ring 7/Ea Kly - Ea Kar/Trung thế 471EKA</t>
  </si>
  <si>
    <t>DLKP35-Ea Kly</t>
  </si>
  <si>
    <t>12.7712431</t>
  </si>
  <si>
    <t>108.3912947</t>
  </si>
  <si>
    <t>FO DT#MBF#DLKP35-DLKP05</t>
  </si>
  <si>
    <t>1432.09</t>
  </si>
  <si>
    <t>120.49</t>
  </si>
  <si>
    <t>12.770160</t>
  </si>
  <si>
    <t>108.391271</t>
  </si>
  <si>
    <t>DLKP40-Ea Kly</t>
  </si>
  <si>
    <t>12.75757</t>
  </si>
  <si>
    <t>108.43493</t>
  </si>
  <si>
    <t>FO DT#MBF#DLKP40-DLKP05</t>
  </si>
  <si>
    <t>Ea Phê - Ea Kly</t>
  </si>
  <si>
    <t>1811.48</t>
  </si>
  <si>
    <t>1748.06</t>
  </si>
  <si>
    <t>12.749114</t>
  </si>
  <si>
    <t>108.421342</t>
  </si>
  <si>
    <t>63.42</t>
  </si>
  <si>
    <t>12.762024</t>
  </si>
  <si>
    <t>108.415022</t>
  </si>
  <si>
    <t>full_h04/Đắk Lắk/Mạng cấp IV Đắk Lắk.kmz/Mạng cấp IV Đắk Lắk/Đắk Lắk Ring 7.kmz/Đắk Lắk Ring 7/Ea Phê - Ea Kly/Trung thế 471EKA</t>
  </si>
  <si>
    <t>DLKP20-Ea Kly</t>
  </si>
  <si>
    <t>12.74335</t>
  </si>
  <si>
    <t>108.4257</t>
  </si>
  <si>
    <t>FO DT#MBF#DLKP20-DLKP05</t>
  </si>
  <si>
    <t>818.05</t>
  </si>
  <si>
    <t>754.63</t>
  </si>
  <si>
    <t>12.748787</t>
  </si>
  <si>
    <t>108.421536</t>
  </si>
  <si>
    <t>DLKP10-Ea Phê</t>
  </si>
  <si>
    <t>12.76683</t>
  </si>
  <si>
    <t>108.36705</t>
  </si>
  <si>
    <t>FO DT#MBF#DLKP10-DLKP37</t>
  </si>
  <si>
    <t>407.09</t>
  </si>
  <si>
    <t>306.63</t>
  </si>
  <si>
    <t>12.766622</t>
  </si>
  <si>
    <t>108.369870</t>
  </si>
  <si>
    <t>100.46</t>
  </si>
  <si>
    <t>12.727857</t>
  </si>
  <si>
    <t>108.364123</t>
  </si>
  <si>
    <t>full_h04/Đắk Lắk/Mạng cấp IV Đắk Lắk.kmz/Mạng cấp IV Đắk Lắk/Đắk Lắk Ring 7.kmz/Đắk Lắk Ring 7/Ea Phê - Ea Kly/Trung thế 482KRP</t>
  </si>
  <si>
    <t>DLKP61-Ea Phê</t>
  </si>
  <si>
    <t>12.752233</t>
  </si>
  <si>
    <t>108.34403</t>
  </si>
  <si>
    <t>FO DT#MBF#DLKP61-DLKP37</t>
  </si>
  <si>
    <t>2940.95</t>
  </si>
  <si>
    <t>2855.55</t>
  </si>
  <si>
    <t>12.760440</t>
  </si>
  <si>
    <t>108.368980</t>
  </si>
  <si>
    <t>DLKP49-Vụ Bổn</t>
  </si>
  <si>
    <t>12.64308</t>
  </si>
  <si>
    <t>108.43206</t>
  </si>
  <si>
    <t>FO DT#MBF#DLKP49-DLKP06</t>
  </si>
  <si>
    <t>957.88</t>
  </si>
  <si>
    <t>830.47</t>
  </si>
  <si>
    <t>12.650548</t>
  </si>
  <si>
    <t>108.432001</t>
  </si>
  <si>
    <t>DLKP54-Cơ sở cai nghiện (X. Tân Tiến, H. Kron Pắc)</t>
  </si>
  <si>
    <t>12.65106615</t>
  </si>
  <si>
    <t>108.3756681</t>
  </si>
  <si>
    <t>FO DT#MBF#DLKP54-DLKP17</t>
  </si>
  <si>
    <t>889.08</t>
  </si>
  <si>
    <t>138.70</t>
  </si>
  <si>
    <t>12.651728</t>
  </si>
  <si>
    <t>108.374584</t>
  </si>
  <si>
    <t>DLKP50-Cơ sở cai nghiện (X. Tân Tiến, H. Kron Pắc)</t>
  </si>
  <si>
    <t>12.63735</t>
  </si>
  <si>
    <t>108.33829</t>
  </si>
  <si>
    <t>FO DT#MBF#DLKP50-DLKP17</t>
  </si>
  <si>
    <t>750.43</t>
  </si>
  <si>
    <t>328.86</t>
  </si>
  <si>
    <t>12.635908</t>
  </si>
  <si>
    <t>108.340936</t>
  </si>
  <si>
    <t>421.57</t>
  </si>
  <si>
    <t>12.652396</t>
  </si>
  <si>
    <t>108.341959</t>
  </si>
  <si>
    <t>full_h04/Đắk Lắk/Mạng cấp III Đắk Lắk.kmz/Mạng cấp III Đắk Lắk/Ring 3/KRông Bông - TT1 Đăk Lăk/Trung thế 472KRP</t>
  </si>
  <si>
    <t>DLKP15-Ea Knuếc</t>
  </si>
  <si>
    <t>12.68463</t>
  </si>
  <si>
    <t>108.14154</t>
  </si>
  <si>
    <t>FO DT#MBF#DLKP15-DLKP03</t>
  </si>
  <si>
    <t>1709.26</t>
  </si>
  <si>
    <t>1612.81</t>
  </si>
  <si>
    <t>12.698812</t>
  </si>
  <si>
    <t>108.138423</t>
  </si>
  <si>
    <t>DLKP31-Ea Knuếc</t>
  </si>
  <si>
    <t>12.695225</t>
  </si>
  <si>
    <t>108.16629</t>
  </si>
  <si>
    <t>FO DT#MBF#DLKP31-DLKP03</t>
  </si>
  <si>
    <t>580.85</t>
  </si>
  <si>
    <t>485.10</t>
  </si>
  <si>
    <t>12.699388</t>
  </si>
  <si>
    <t>108.167626</t>
  </si>
  <si>
    <t>DLKP63-Ea Knuếc</t>
  </si>
  <si>
    <t>12.6996</t>
  </si>
  <si>
    <t>108.1818</t>
  </si>
  <si>
    <t>FO DT#MBF#DLKP63-DLKP03</t>
  </si>
  <si>
    <t>264.11</t>
  </si>
  <si>
    <t>167.66</t>
  </si>
  <si>
    <t>12.701106</t>
  </si>
  <si>
    <t>108.181884</t>
  </si>
  <si>
    <t>DLCK06-Cư Kuin</t>
  </si>
  <si>
    <t>12.553652</t>
  </si>
  <si>
    <t>108.201457</t>
  </si>
  <si>
    <t>FO DT#MBF#DLCK06-DLCK11</t>
  </si>
  <si>
    <t>733.33</t>
  </si>
  <si>
    <t>176.01</t>
  </si>
  <si>
    <t>12.553972</t>
  </si>
  <si>
    <t>108.203045</t>
  </si>
  <si>
    <t>Dang Kang-DLKG26</t>
  </si>
  <si>
    <t>12.57304</t>
  </si>
  <si>
    <t>108.3352</t>
  </si>
  <si>
    <t>12.59148</t>
  </si>
  <si>
    <t>108.32722</t>
  </si>
  <si>
    <t>FO DT#MBF#DLKG16-DLKG26</t>
  </si>
  <si>
    <t>208.69</t>
  </si>
  <si>
    <t>77.94</t>
  </si>
  <si>
    <t>12.572417</t>
  </si>
  <si>
    <t>108.334871</t>
  </si>
  <si>
    <t>130.75</t>
  </si>
  <si>
    <t>12.590354</t>
  </si>
  <si>
    <t>108.327568</t>
  </si>
  <si>
    <t>full_h04/Đắk Lắk/Mạng cấp III Đắk Lắk.kmz/Mạng cấp III Đắk Lắk/Ring 3/KRông Bông - TT1 Đăk Lăk/Trung thế 475KBO</t>
  </si>
  <si>
    <t>DLKG15-Dang Kang</t>
  </si>
  <si>
    <t>12.552535</t>
  </si>
  <si>
    <t>108.335333</t>
  </si>
  <si>
    <t>FO DT#MBF#DLKG15-DLKG16</t>
  </si>
  <si>
    <t>1111.03</t>
  </si>
  <si>
    <t>1033.09</t>
  </si>
  <si>
    <t>12.554666</t>
  </si>
  <si>
    <t>108.326068</t>
  </si>
  <si>
    <t>DLBT16-PK02</t>
  </si>
  <si>
    <t>12.703804</t>
  </si>
  <si>
    <t>108.062996</t>
  </si>
  <si>
    <t>FO DT#MBF#DLBT16-DLBT53</t>
  </si>
  <si>
    <t>95655.21</t>
  </si>
  <si>
    <t>1149.39</t>
  </si>
  <si>
    <t>12.697469</t>
  </si>
  <si>
    <t>108.071369</t>
  </si>
  <si>
    <t>DLBT1X-Thành Nhất</t>
  </si>
  <si>
    <t>12.689068</t>
  </si>
  <si>
    <t>107.997459</t>
  </si>
  <si>
    <t>FO DT#MBF#DLBT1X-DLBT89</t>
  </si>
  <si>
    <t>1637.45</t>
  </si>
  <si>
    <t>1225.47</t>
  </si>
  <si>
    <t>12.682732</t>
  </si>
  <si>
    <t>108.006702</t>
  </si>
  <si>
    <t>DLEH23-Ea Hiao</t>
  </si>
  <si>
    <t>13.28094</t>
  </si>
  <si>
    <t>108.29054</t>
  </si>
  <si>
    <t>FO DT#MBF#DLEH23-DLEH07</t>
  </si>
  <si>
    <t>1584.32</t>
  </si>
  <si>
    <t>1533.33</t>
  </si>
  <si>
    <t>13.267206</t>
  </si>
  <si>
    <t>108.291806</t>
  </si>
  <si>
    <t>DLEH41-Ea Hiao</t>
  </si>
  <si>
    <t>13.2623351</t>
  </si>
  <si>
    <t>108.3022922</t>
  </si>
  <si>
    <t>FO DT#MBF#DLEH41-DLEH07</t>
  </si>
  <si>
    <t>967.46</t>
  </si>
  <si>
    <t>916.47</t>
  </si>
  <si>
    <t>13.259208</t>
  </si>
  <si>
    <t>108.294458</t>
  </si>
  <si>
    <t>DLBT19-Trung tâm huấn luyện PX01</t>
  </si>
  <si>
    <t>12.67339</t>
  </si>
  <si>
    <t>108.031887</t>
  </si>
  <si>
    <t>FO DT#MBF#DLBT19-DLBT72</t>
  </si>
  <si>
    <t>192.74</t>
  </si>
  <si>
    <t>189.33</t>
  </si>
  <si>
    <t>DLBT2P-Ea Kao</t>
  </si>
  <si>
    <t>12.66226</t>
  </si>
  <si>
    <t>108.03421</t>
  </si>
  <si>
    <t>FO DT#MBF#DLBT2P-DLBT88</t>
  </si>
  <si>
    <t>162.20</t>
  </si>
  <si>
    <t>72.25</t>
  </si>
  <si>
    <t>DLBT46-TT1 Đăk Lăk</t>
  </si>
  <si>
    <t>12.688336</t>
  </si>
  <si>
    <t>108.052178</t>
  </si>
  <si>
    <t>FO DT#MBF#DLBT46-DLBT09</t>
  </si>
  <si>
    <t>TT1 Đăk Lăk - PA07</t>
  </si>
  <si>
    <t>371.48</t>
  </si>
  <si>
    <t>77.88</t>
  </si>
  <si>
    <t>12.687636</t>
  </si>
  <si>
    <t>108.052170</t>
  </si>
  <si>
    <t>293.60</t>
  </si>
  <si>
    <t>12.686939</t>
  </si>
  <si>
    <t>108.052724</t>
  </si>
  <si>
    <t>full_h04/Đắk Lắk/Mạng cấp III Đắk Lắk.kmz/Mạng cấp III Đắk Lắk/Đơn vị Ring 6/TT1 Đăk Lăk - PA07/Trung thế 473BMT</t>
  </si>
  <si>
    <t>DLEK11-Ea Păl</t>
  </si>
  <si>
    <t>12.7359313</t>
  </si>
  <si>
    <t>108.5365641</t>
  </si>
  <si>
    <t>FO DT#MBF#DLEK11-DLEK04</t>
  </si>
  <si>
    <t>302.65</t>
  </si>
  <si>
    <t>130.63</t>
  </si>
  <si>
    <t>12.735425</t>
  </si>
  <si>
    <t>108.537651</t>
  </si>
  <si>
    <t>DLEK42-Ea Păl</t>
  </si>
  <si>
    <t>12.70297</t>
  </si>
  <si>
    <t>108.5402</t>
  </si>
  <si>
    <t>FO DT#MBF#DLEK42-DLEK04</t>
  </si>
  <si>
    <t>1558.06</t>
  </si>
  <si>
    <t>1386.04</t>
  </si>
  <si>
    <t>12.709548</t>
  </si>
  <si>
    <t>108.529346</t>
  </si>
  <si>
    <t>Hòa Sơn-DLKG33</t>
  </si>
  <si>
    <t>12.50337</t>
  </si>
  <si>
    <t>108.2297</t>
  </si>
  <si>
    <t>12.50759</t>
  </si>
  <si>
    <t>108.21877</t>
  </si>
  <si>
    <t>FO DT#MBF#DLKG05-DLKG33</t>
  </si>
  <si>
    <t>TTCMKV Cư Kuin - Hòa Sơn</t>
  </si>
  <si>
    <t>250.35</t>
  </si>
  <si>
    <t>99.57</t>
  </si>
  <si>
    <t>12.504058</t>
  </si>
  <si>
    <t>108.230287</t>
  </si>
  <si>
    <t>150.79</t>
  </si>
  <si>
    <t>12.508934</t>
  </si>
  <si>
    <t>108.218582</t>
  </si>
  <si>
    <t>full_h04/Đắk Lắk/Mạng cấp IV Đắk Lắk.kmz/Mạng cấp IV Đắk Lắk/Đắk Lắk Ring 3.kmz/Đắk Lắk Ring 3/TTCMKV Cư Kuin - Hòa Sơn/Trung thế 471KBO</t>
  </si>
  <si>
    <t>DLKG13-Hòa Sơn</t>
  </si>
  <si>
    <t>12.490573</t>
  </si>
  <si>
    <t>108.2625</t>
  </si>
  <si>
    <t>FO DT#MBF#DLKG13-DLKG05</t>
  </si>
  <si>
    <t>Hòa Sơn - Krông Bông</t>
  </si>
  <si>
    <t>252.85</t>
  </si>
  <si>
    <t>150.01</t>
  </si>
  <si>
    <t>12.491547</t>
  </si>
  <si>
    <t>108.263456</t>
  </si>
  <si>
    <t>102.84</t>
  </si>
  <si>
    <t>12.503901</t>
  </si>
  <si>
    <t>108.230475</t>
  </si>
  <si>
    <t>full_h04/Đắk Lắk/Mạng cấp IV Đắk Lắk.kmz/Mạng cấp IV Đắk Lắk/Đắk Lắk Ring 3.kmz/Đắk Lắk Ring 3/Hòa Sơn - Krông Bông/Trung thế 471KBO</t>
  </si>
  <si>
    <t>DLKG27-Hòa Sơn</t>
  </si>
  <si>
    <t>12.48956</t>
  </si>
  <si>
    <t>108.23199</t>
  </si>
  <si>
    <t>FO DT#MBF#DLKG27-DLKG05</t>
  </si>
  <si>
    <t>Lăk - KRông Bông</t>
  </si>
  <si>
    <t>1326.43</t>
  </si>
  <si>
    <t>316.24</t>
  </si>
  <si>
    <t>12.486843</t>
  </si>
  <si>
    <t>108.231129</t>
  </si>
  <si>
    <t>1010.20</t>
  </si>
  <si>
    <t>12.494372</t>
  </si>
  <si>
    <t>108.228418</t>
  </si>
  <si>
    <t>full_h04/Đắk Lắk/Mạng cấp III Đắk Lắk.kmz/Mạng cấp III Đắk Lắk/Ring 3/Lăk - KRông Bông/Trung thế 371KBO</t>
  </si>
  <si>
    <t>DLKG29-Dang Kang</t>
  </si>
  <si>
    <t>12.54975</t>
  </si>
  <si>
    <t>108.30959</t>
  </si>
  <si>
    <t>FO DT#MBF#DLKG29-DLKG16</t>
  </si>
  <si>
    <t>1680.26</t>
  </si>
  <si>
    <t>1602.32</t>
  </si>
  <si>
    <t>12.547163</t>
  </si>
  <si>
    <t>108.324113</t>
  </si>
  <si>
    <t>DLBT3U-Tân Lập</t>
  </si>
  <si>
    <t>12.66316</t>
  </si>
  <si>
    <t>108.10313</t>
  </si>
  <si>
    <t>FO DT#MBF#DLBT3U-DLBT05</t>
  </si>
  <si>
    <t>149.16</t>
  </si>
  <si>
    <t>30.17</t>
  </si>
  <si>
    <t>12.662906</t>
  </si>
  <si>
    <t>108.103032</t>
  </si>
  <si>
    <t>DLKN58-KRông Năng</t>
  </si>
  <si>
    <t>12.9761</t>
  </si>
  <si>
    <t>108.3447</t>
  </si>
  <si>
    <t>FO DT#MBF#DLKN58-DLKN27</t>
  </si>
  <si>
    <t>2466.69</t>
  </si>
  <si>
    <t>2435.82</t>
  </si>
  <si>
    <t>12.954212</t>
  </si>
  <si>
    <t>108.343787</t>
  </si>
  <si>
    <t>DLKN54-KRông Năng</t>
  </si>
  <si>
    <t>12.94232</t>
  </si>
  <si>
    <t>108.34872</t>
  </si>
  <si>
    <t>FO DT#MBF#DLKN54-DLKN27</t>
  </si>
  <si>
    <t>213.85</t>
  </si>
  <si>
    <t>172.21</t>
  </si>
  <si>
    <t>12.943000</t>
  </si>
  <si>
    <t>108.350148</t>
  </si>
  <si>
    <t>41.65</t>
  </si>
  <si>
    <t>12.951939</t>
  </si>
  <si>
    <t>108.344351</t>
  </si>
  <si>
    <t>full_h04/Đắk Lắk/Mạng cấp III Đắk Lắk.kmz/Mạng cấp III Đắk Lắk/Ring 2/Ea Kar - KRông Năng/Trung thế 475EKA__386__125A__474T2KBU</t>
  </si>
  <si>
    <t>DLKB43-Pơng Drang</t>
  </si>
  <si>
    <t>12.95499</t>
  </si>
  <si>
    <t>108.24368</t>
  </si>
  <si>
    <t>FO DT#MBF#DLKB43-DLKB36</t>
  </si>
  <si>
    <t>430.75</t>
  </si>
  <si>
    <t>328.76</t>
  </si>
  <si>
    <t>12.955263</t>
  </si>
  <si>
    <t>108.246701</t>
  </si>
  <si>
    <t>DLEK72-Ea Kar</t>
  </si>
  <si>
    <t>12.7907</t>
  </si>
  <si>
    <t>108.4663</t>
  </si>
  <si>
    <t>FO DT#MBF#DLEK72-DLEK01</t>
  </si>
  <si>
    <t>469.53</t>
  </si>
  <si>
    <t>399.03</t>
  </si>
  <si>
    <t>12.790459</t>
  </si>
  <si>
    <t>108.462628</t>
  </si>
  <si>
    <t>22DL039-Vụ Bổn</t>
  </si>
  <si>
    <t>12.65192</t>
  </si>
  <si>
    <t>108.41569</t>
  </si>
  <si>
    <t>FO DT#MBF#22DL039-DLKP06</t>
  </si>
  <si>
    <t>572.53</t>
  </si>
  <si>
    <t>445.11</t>
  </si>
  <si>
    <t>12.648235</t>
  </si>
  <si>
    <t>108.417293</t>
  </si>
  <si>
    <t>DLCK22-Cư Kuin</t>
  </si>
  <si>
    <t>12.5778</t>
  </si>
  <si>
    <t>108.148617</t>
  </si>
  <si>
    <t>FO DT#MBF#DLCK22-DLCK11</t>
  </si>
  <si>
    <t>1685.75</t>
  </si>
  <si>
    <t>1569.00</t>
  </si>
  <si>
    <t>12.563748</t>
  </si>
  <si>
    <t>108.149928</t>
  </si>
  <si>
    <t>DLCK25-Cư Kuin</t>
  </si>
  <si>
    <t>12.54218</t>
  </si>
  <si>
    <t>108.1715</t>
  </si>
  <si>
    <t>FO DT#MBF#DLCK25-DLCK11</t>
  </si>
  <si>
    <t>Cư Kuin - Lăk</t>
  </si>
  <si>
    <t>632.69</t>
  </si>
  <si>
    <t>76.46</t>
  </si>
  <si>
    <t>12.542708</t>
  </si>
  <si>
    <t>108.171049</t>
  </si>
  <si>
    <t>556.22</t>
  </si>
  <si>
    <t>12.561978</t>
  </si>
  <si>
    <t>108.168598</t>
  </si>
  <si>
    <t>full_h04/Đắk Lắk/Mạng cấp III Đắk Lắk.kmz/Mạng cấp III Đắk Lắk/Ring 3/Cư Kuin - Lăk/Trung thế 473KNA</t>
  </si>
  <si>
    <t>DLEK31-Ea Kar</t>
  </si>
  <si>
    <t>FO DT#MBF#DLEK31-DLEK01</t>
  </si>
  <si>
    <t>DLEK16-Ea Kar</t>
  </si>
  <si>
    <t>12.801062</t>
  </si>
  <si>
    <t>108.427822</t>
  </si>
  <si>
    <t>FO DT#MBF#DLEK16-DLEK01</t>
  </si>
  <si>
    <t>419.66</t>
  </si>
  <si>
    <t>350.41</t>
  </si>
  <si>
    <t>12.802802</t>
  </si>
  <si>
    <t>108.425128</t>
  </si>
  <si>
    <t>Cửa hàng MobiFone huyện Buôn Hồ-Buôn Hồ</t>
  </si>
  <si>
    <t>12.918133</t>
  </si>
  <si>
    <t>108.267549</t>
  </si>
  <si>
    <t>FO DT#MBF#Cửa hàng MobiFone huyện Buôn Hồ-DLBH15</t>
  </si>
  <si>
    <t>100.61</t>
  </si>
  <si>
    <t>12.917756</t>
  </si>
  <si>
    <t>108.267475</t>
  </si>
  <si>
    <t>DLKG36-Hòa Sơn</t>
  </si>
  <si>
    <t>12.50487</t>
  </si>
  <si>
    <t>108.25758</t>
  </si>
  <si>
    <t>FO DT#MBF#DLKG36-DLKG05</t>
  </si>
  <si>
    <t>106.77</t>
  </si>
  <si>
    <t>3.93</t>
  </si>
  <si>
    <t>12.504905</t>
  </si>
  <si>
    <t>108.257575</t>
  </si>
  <si>
    <t>DLKP76-Ea Phê</t>
  </si>
  <si>
    <t>12.74027</t>
  </si>
  <si>
    <t>108.35783</t>
  </si>
  <si>
    <t>FO DT#MBF#DLKP76-DLKP37</t>
  </si>
  <si>
    <t>1443.71</t>
  </si>
  <si>
    <t>1358.31</t>
  </si>
  <si>
    <t>12.738009</t>
  </si>
  <si>
    <t>108.370137</t>
  </si>
  <si>
    <t>DLBT3N-Tân Lập</t>
  </si>
  <si>
    <t>12.665113</t>
  </si>
  <si>
    <t>108.116556</t>
  </si>
  <si>
    <t>FO DT#MBF#DLBT3N-DLBT05</t>
  </si>
  <si>
    <t>Cảng hàng không Buôn Mê Thuột - TT1 Đăk
Lăk</t>
  </si>
  <si>
    <t>1183.43</t>
  </si>
  <si>
    <t>229.70</t>
  </si>
  <si>
    <t>12.664429</t>
  </si>
  <si>
    <t>108.114558</t>
  </si>
  <si>
    <t>953.73</t>
  </si>
  <si>
    <t>12.662739</t>
  </si>
  <si>
    <t>108.104819</t>
  </si>
  <si>
    <t>full_h04/Đắk Lắk/Mạng cấp III Đắk Lắk.kmz/Mạng cấp III Đắk Lắk/Cảng hàng không Buôn Mê Thuột - TT1 Đăk
Lăk/Trung thế 476-472BMT</t>
  </si>
  <si>
    <t>DLBT3T-Ea Kao</t>
  </si>
  <si>
    <t>12.65746</t>
  </si>
  <si>
    <t>108.0363</t>
  </si>
  <si>
    <t>FO DT#MBF#DLBT3T-DLBT88</t>
  </si>
  <si>
    <t>680.65</t>
  </si>
  <si>
    <t>654.73</t>
  </si>
  <si>
    <t>12.660381</t>
  </si>
  <si>
    <t>108.031060</t>
  </si>
  <si>
    <t>25.93</t>
  </si>
  <si>
    <t>12.659843</t>
  </si>
  <si>
    <t>108.030387</t>
  </si>
  <si>
    <t>full_h04/Đắk Lắk/Mạng cấp IV Đắk Lắk.kmz/Mạng cấp IV Đắk Lắk/Đắk Lắk Ring 2.kmz/Đắk Lắk Ring 2/CAT Đắk Lắk - Ea Kao/Cống bể MBF</t>
  </si>
  <si>
    <t>PK02-DLBT3Y</t>
  </si>
  <si>
    <t>12.710684</t>
  </si>
  <si>
    <t>108.052174</t>
  </si>
  <si>
    <t>FO DT#MBF#DLBT53-DLBT3Y</t>
  </si>
  <si>
    <t>97054.24</t>
  </si>
  <si>
    <t>2548.42</t>
  </si>
  <si>
    <t>DLBT4B-TT1 Đăk Lăk</t>
  </si>
  <si>
    <t>12.68581</t>
  </si>
  <si>
    <t>108.052</t>
  </si>
  <si>
    <t>FO DT#MBF#DLBT4B-DLBT09</t>
  </si>
  <si>
    <t>154.06</t>
  </si>
  <si>
    <t>121.17</t>
  </si>
  <si>
    <t>12.684739</t>
  </si>
  <si>
    <t>108.052206</t>
  </si>
  <si>
    <t>32.89</t>
  </si>
  <si>
    <t>12.684351</t>
  </si>
  <si>
    <t>108.052501</t>
  </si>
  <si>
    <t>full_h04/Đắk Lắk/Mạng cấp IV Đắk Lắk.kmz/Mạng cấp IV Đắk Lắk/Đắk Lắk Ring 12.kmz/Đắk Lắk Ring 12/CAT Đắk Lắk - Thành Nhất/Bể nội CAT</t>
  </si>
  <si>
    <t>DLBT5B-TT1 Đăk Lăk</t>
  </si>
  <si>
    <t>12.68038</t>
  </si>
  <si>
    <t>108.05556</t>
  </si>
  <si>
    <t>FO DT#MBF#DLBT5B-DLBT09</t>
  </si>
  <si>
    <t>520.25</t>
  </si>
  <si>
    <t>294.37</t>
  </si>
  <si>
    <t>12.682585</t>
  </si>
  <si>
    <t>108.054059</t>
  </si>
  <si>
    <t>Trung tâm huấn luyện PX01-DLBT86</t>
  </si>
  <si>
    <t>12.67646</t>
  </si>
  <si>
    <t>108.02686</t>
  </si>
  <si>
    <t>FO DT#MBF#DLBT72-DLBT86</t>
  </si>
  <si>
    <t>819.03</t>
  </si>
  <si>
    <t>815.63</t>
  </si>
  <si>
    <t>DLBT34-Ea Kao</t>
  </si>
  <si>
    <t>12.653292</t>
  </si>
  <si>
    <t>108.029603</t>
  </si>
  <si>
    <t>FO DT#MBF#DLBT34-DLBT88</t>
  </si>
  <si>
    <t>458.86</t>
  </si>
  <si>
    <t>425.30</t>
  </si>
  <si>
    <t>12.654410</t>
  </si>
  <si>
    <t>108.025854</t>
  </si>
  <si>
    <t>33.56</t>
  </si>
  <si>
    <t>12.659758</t>
  </si>
  <si>
    <t>108.030310</t>
  </si>
  <si>
    <t>full_h04/Đắk Lắk/Mạng cấp III Đắk Lắk.kmz/Mạng cấp III Đắk Lắk/Ring 3/TT1 Đăk Lăk - KRông Ana/Cống bể MBF</t>
  </si>
  <si>
    <t>DLBT52-TT1 Đăk Lăk</t>
  </si>
  <si>
    <t>FO DT#MBF#DLBT52-DLBT09</t>
  </si>
  <si>
    <t>678.26</t>
  </si>
  <si>
    <t>645.36</t>
  </si>
  <si>
    <t>PC04-DLBT52</t>
  </si>
  <si>
    <t>12.68355</t>
  </si>
  <si>
    <t>108.0445</t>
  </si>
  <si>
    <t>FO DT#MBF#DLBT17-DLBT52</t>
  </si>
  <si>
    <t>337.19</t>
  </si>
  <si>
    <t>275.71</t>
  </si>
  <si>
    <t>DLBTMA01-PC04</t>
  </si>
  <si>
    <t>FO DT#MBF#DLBTMA01-DLBT17</t>
  </si>
  <si>
    <t>494.22</t>
  </si>
  <si>
    <t>44.83</t>
  </si>
  <si>
    <t>12.682617</t>
  </si>
  <si>
    <t>108.034878</t>
  </si>
  <si>
    <t>449.38</t>
  </si>
  <si>
    <t>12.682357</t>
  </si>
  <si>
    <t>108.040542</t>
  </si>
  <si>
    <t>full_h04/Đắk Lắk/Mạng cấp IV Đắk Lắk.kmz/Mạng cấp IV Đắk Lắk/Đắk Lắk Ring 12.kmz/Đắk Lắk Ring 12/CAT Đắk Lắk - Thành Nhất/Cống bể MBF</t>
  </si>
  <si>
    <t>Đà Nẵng#TTCMKV#Cẩm Lệ-DNCL85</t>
  </si>
  <si>
    <t>16.01692</t>
  </si>
  <si>
    <t>108.2035</t>
  </si>
  <si>
    <t>16.02172</t>
  </si>
  <si>
    <t>108.19318</t>
  </si>
  <si>
    <t>FO thuê#CMC#DNCL85-DNCL28</t>
  </si>
  <si>
    <t>A06 (CS1) - H03</t>
  </si>
  <si>
    <t>659.88</t>
  </si>
  <si>
    <t>44.67</t>
  </si>
  <si>
    <t>16.016590</t>
  </si>
  <si>
    <t>108.203738</t>
  </si>
  <si>
    <t>615.21</t>
  </si>
  <si>
    <t>16.018669</t>
  </si>
  <si>
    <t>108.197982</t>
  </si>
  <si>
    <t>full_h04/TP Đà Nẵng/TP Đà Nẵng/Mạng cấp 2/Cấp 2 - Ring 2/Ring 2 - hiệu chỉnh - ok/A06 (CS1) - H03/Trung thế</t>
  </si>
  <si>
    <t>Đà Nẵng#TTCMKV#Cẩm Lệ-DNCL09</t>
  </si>
  <si>
    <t>16.03661</t>
  </si>
  <si>
    <t>108.20921</t>
  </si>
  <si>
    <t>FO thuê#PITC#DNCL28-DNCL09</t>
  </si>
  <si>
    <t>TT1 Đà Nẵng - Cẩm Lệ</t>
  </si>
  <si>
    <t>1023.05</t>
  </si>
  <si>
    <t>959.24</t>
  </si>
  <si>
    <t>16.020675</t>
  </si>
  <si>
    <t>108.211580</t>
  </si>
  <si>
    <t>63.82</t>
  </si>
  <si>
    <t>16.036673</t>
  </si>
  <si>
    <t>108.209804</t>
  </si>
  <si>
    <t>full_h04/TP Đà Nẵng/TP Đà Nẵng/Mạng cấp 3_ DN và Quảng Nam/Cấp 3 - Ring 1 - Đà Nẵng cũ/TT1 Đà Nẵng - Cẩm Lệ/Trung thế</t>
  </si>
  <si>
    <t>Đà Nẵng#TTCMKV#Cẩm Lệ-DNCL01</t>
  </si>
  <si>
    <t>16.012964</t>
  </si>
  <si>
    <t>108.19103</t>
  </si>
  <si>
    <t>FO thuê#CMC#DNCL28-DNCL01</t>
  </si>
  <si>
    <t>Hòa Xuân - TTKV Cẩm Lệ</t>
  </si>
  <si>
    <t>404.42</t>
  </si>
  <si>
    <t>2.15</t>
  </si>
  <si>
    <t>16.016921</t>
  </si>
  <si>
    <t>108.203480</t>
  </si>
  <si>
    <t>402.26</t>
  </si>
  <si>
    <t>16.010182</t>
  </si>
  <si>
    <t>108.193436</t>
  </si>
  <si>
    <t>full_h04/TP Đà Nẵng/TP Đà Nẵng/Mạng cấp 4 - ĐN cũ/Ring 3 - DN/Hòa Xuân - TTKV Cẩm Lệ/Trung thế</t>
  </si>
  <si>
    <t>Đà Nẵng#TTCMKV#Cẩm Lệ-DNCL16</t>
  </si>
  <si>
    <t>16.01738</t>
  </si>
  <si>
    <t>108.19576</t>
  </si>
  <si>
    <t>FO thuê#CMC#DNCL28-DNCL16</t>
  </si>
  <si>
    <t>318.84</t>
  </si>
  <si>
    <t>274.17</t>
  </si>
  <si>
    <t>16.018421</t>
  </si>
  <si>
    <t>108.198085</t>
  </si>
  <si>
    <t>Đà Nẵng#TTCMKV#TT1 Đà Nẵng-DNHC27</t>
  </si>
  <si>
    <t>16.07756</t>
  </si>
  <si>
    <t>108.2192</t>
  </si>
  <si>
    <t>16.067517</t>
  </si>
  <si>
    <t>108.215971</t>
  </si>
  <si>
    <t>FO thuê#CMC#DNHC17-DNHC27</t>
  </si>
  <si>
    <t>Nhánh 1</t>
  </si>
  <si>
    <t>43.62</t>
  </si>
  <si>
    <t>27.45</t>
  </si>
  <si>
    <t>16.077317</t>
  </si>
  <si>
    <t>108.219248</t>
  </si>
  <si>
    <t>16.17</t>
  </si>
  <si>
    <t>16.067586</t>
  </si>
  <si>
    <t>108.215838</t>
  </si>
  <si>
    <t>full_h04/TP Đà Nẵng/TP Đà Nẵng/Mạng cấp 3_ DN và Quảng Nam/Ring Nhánh/Đồn Công an cảng hàng không (Sân bay Đà
Nẵng) - TT1 Đà Nẵng"/Nhánh 1/Trung thế 1</t>
  </si>
  <si>
    <t>Đà Nẵng#TTCMKV#TT1 Đà Nẵng-DNHC62</t>
  </si>
  <si>
    <t>16.082465</t>
  </si>
  <si>
    <t>108.21869</t>
  </si>
  <si>
    <t>FO thuê#CMC#DNHC17-DNHC62</t>
  </si>
  <si>
    <t>Sơn Trà - TT1 Đà Nẵng</t>
  </si>
  <si>
    <t>144.82</t>
  </si>
  <si>
    <t>23.59</t>
  </si>
  <si>
    <t>16.077626</t>
  </si>
  <si>
    <t>108.219410</t>
  </si>
  <si>
    <t>121.23</t>
  </si>
  <si>
    <t>16.081697</t>
  </si>
  <si>
    <t>108.219495</t>
  </si>
  <si>
    <t>full_h04/TP Đà Nẵng/TP Đà Nẵng/Mạng cấp 3_ DN và Quảng Nam/Cấp 3 - Ring 1 - Đà Nẵng cũ/Sơn Trà - TT1 Đà Nẵng/Cống bể VNPT 4</t>
  </si>
  <si>
    <t>Đà Nẵng#TTCMKV#TT1 Đà Nẵng-DNHC73</t>
  </si>
  <si>
    <t>16.07745</t>
  </si>
  <si>
    <t>108.22386</t>
  </si>
  <si>
    <t>FO thuê#CMC#DNHC17-DNHC73</t>
  </si>
  <si>
    <t>TT1 Đà Nẵng - Hải Châu</t>
  </si>
  <si>
    <t>241.02</t>
  </si>
  <si>
    <t>7.02</t>
  </si>
  <si>
    <t>16.077608</t>
  </si>
  <si>
    <t>108.219243</t>
  </si>
  <si>
    <t>233.99</t>
  </si>
  <si>
    <t>16.077649</t>
  </si>
  <si>
    <t>108.221680</t>
  </si>
  <si>
    <t>full_h04/TP Đà Nẵng/TP Đà Nẵng/Mạng cấp 4 - ĐN cũ/Ring 7 - DN/TT1 Đà Nẵng - Hải Châu/Trung thế</t>
  </si>
  <si>
    <t>Đà Nẵng#TTCMKV#Hòa Vang-DNHV60</t>
  </si>
  <si>
    <t>15.9881</t>
  </si>
  <si>
    <t>108.1402</t>
  </si>
  <si>
    <t>15.99802</t>
  </si>
  <si>
    <t>108.13792</t>
  </si>
  <si>
    <t>FO thuê#CMC#DNHV60-DNHV01</t>
  </si>
  <si>
    <t>"Cơ sở cai nghiện (X. Hòa Bắc, Hòa Vang) -
TTCMKV Hòa Vang"</t>
  </si>
  <si>
    <t>15.25</t>
  </si>
  <si>
    <t>3.35</t>
  </si>
  <si>
    <t>15.988075</t>
  </si>
  <si>
    <t>108.140218</t>
  </si>
  <si>
    <t>15.997970</t>
  </si>
  <si>
    <t>108.138018</t>
  </si>
  <si>
    <t>full_h04/TP Đà Nẵng/TP Đà Nẵng/Mạng cấp 3_ DN và Quảng Nam/Ring Nhánh/"Cơ sở cai nghiện (X. Hòa Bắc, Hòa Vang) -
TTCMKV Hòa Vang"/Hạ thế 5</t>
  </si>
  <si>
    <t>Đà Nẵng#TTCMKV#Hòa Vang-DNHV78</t>
  </si>
  <si>
    <t>16.00809</t>
  </si>
  <si>
    <t>108.15424</t>
  </si>
  <si>
    <t>FO thuê#CMC#DNHV78-DNHV01</t>
  </si>
  <si>
    <t>Hòa Vang - TT1 Đà Nẵng</t>
  </si>
  <si>
    <t>1343.33</t>
  </si>
  <si>
    <t>1240.61</t>
  </si>
  <si>
    <t>15.997909</t>
  </si>
  <si>
    <t>108.145731</t>
  </si>
  <si>
    <t>102.73</t>
  </si>
  <si>
    <t>16.009000</t>
  </si>
  <si>
    <t>108.154405</t>
  </si>
  <si>
    <t>full_h04/TP Đà Nẵng/TP Đà Nẵng/Mạng cấp 3_ DN và Quảng Nam/Cấp 3 - Ring 2 - Đà Nẵng cũ/Hòa Vang - TT1 Đà Nẵng/Trung Thế Hòa Vang - TT1 Đà Nẵng  8</t>
  </si>
  <si>
    <t>Đà Nẵng#TTCMKV#Hòa Vang-DNHV11</t>
  </si>
  <si>
    <t>15.983611</t>
  </si>
  <si>
    <t>108.126417</t>
  </si>
  <si>
    <t>FO thuê#CMC#DNHV01-DNHV11</t>
  </si>
  <si>
    <t>Sông Vàng - TTCMKV Đại Lộc</t>
  </si>
  <si>
    <t>968.06</t>
  </si>
  <si>
    <t>588.26</t>
  </si>
  <si>
    <t>15.983065</t>
  </si>
  <si>
    <t>108.138511</t>
  </si>
  <si>
    <t>379.79</t>
  </si>
  <si>
    <t>15.980283</t>
  </si>
  <si>
    <t>108.127217</t>
  </si>
  <si>
    <t>full_h04/TP Đà Nẵng/TP Đà Nẵng/Mạng cấp 4 - Quảng Nam/Quảng Nam - Ring 16/Sông Vàng - TTCMKV Đại Lộc/Trung thế 2</t>
  </si>
  <si>
    <t>Đà Nẵng#TTCMKV#Hòa Vang-DNHV18</t>
  </si>
  <si>
    <t>15.98991</t>
  </si>
  <si>
    <t>108.14337</t>
  </si>
  <si>
    <t>FO thuê#CMC#DNHV01-DNHV18</t>
  </si>
  <si>
    <t>76.80</t>
  </si>
  <si>
    <t>10.30</t>
  </si>
  <si>
    <t>15.988042</t>
  </si>
  <si>
    <t>108.140275</t>
  </si>
  <si>
    <t>66.50</t>
  </si>
  <si>
    <t>15.989824</t>
  </si>
  <si>
    <t>108.142754</t>
  </si>
  <si>
    <t>full_h04/TP Đà Nẵng/TP Đà Nẵng/Mạng cấp 3_ DN và Quảng Nam/Cấp 3 - Ring 2 - Đà Nẵng cũ/Hòa Vang - TT1 Đà Nẵng/Cống bể xd mới Hòa Vang - TT1 Đà Nẵng  9</t>
  </si>
  <si>
    <t>Đà Nẵng#TTCMKV#Hòa Vang-DNHV87</t>
  </si>
  <si>
    <t>15.99286</t>
  </si>
  <si>
    <t>108.14823</t>
  </si>
  <si>
    <t>FO thuê#VNPT#DNHV87-DNHV01</t>
  </si>
  <si>
    <t>493.67</t>
  </si>
  <si>
    <t>483.38</t>
  </si>
  <si>
    <t>15.992659</t>
  </si>
  <si>
    <t>108.143713</t>
  </si>
  <si>
    <t>Đà Nẵng#TTCMKV#Liên Chiểu-DNLC91</t>
  </si>
  <si>
    <t>16.07427</t>
  </si>
  <si>
    <t>108.1583</t>
  </si>
  <si>
    <t>16.08057</t>
  </si>
  <si>
    <t>108.16043</t>
  </si>
  <si>
    <t>FO thuê#VNPT#DNLC91-DNLC15</t>
  </si>
  <si>
    <t>TT1 Đà Nẵng - Liên Chiểu</t>
  </si>
  <si>
    <t>438.56</t>
  </si>
  <si>
    <t>317.12</t>
  </si>
  <si>
    <t>16.076901</t>
  </si>
  <si>
    <t>108.159444</t>
  </si>
  <si>
    <t>16.081569</t>
  </si>
  <si>
    <t>108.160889</t>
  </si>
  <si>
    <t>full_h04/TP Đà Nẵng/TP Đà Nẵng/Mạng cấp 3_ DN và Quảng Nam/Cấp 3 - Ring 2 - Đà Nẵng cũ/TT1 Đà Nẵng - Liên Chiểu/Trung thế TT1 Đà nẵng - Liên chiểu 1</t>
  </si>
  <si>
    <t>Đà Nẵng#TTCMKV#Liên Chiểu-DNLC26</t>
  </si>
  <si>
    <t>16.08078</t>
  </si>
  <si>
    <t>108.16388</t>
  </si>
  <si>
    <t>FO thuê#CMC#DNLC15-DNLC26</t>
  </si>
  <si>
    <t>463.93</t>
  </si>
  <si>
    <t>146.80</t>
  </si>
  <si>
    <t>16.080865</t>
  </si>
  <si>
    <t>108.162509</t>
  </si>
  <si>
    <t>Đà Nẵng#TTCMKV#Liên Chiểu-DNTK31</t>
  </si>
  <si>
    <t>16.07298</t>
  </si>
  <si>
    <t>108.17773</t>
  </si>
  <si>
    <t>FO thuê#PITC#DNLC15-DNTK31</t>
  </si>
  <si>
    <t>TT1 Đà Nẵng-Hải Vân</t>
  </si>
  <si>
    <t>823.71</t>
  </si>
  <si>
    <t>792.46</t>
  </si>
  <si>
    <t>16.077791</t>
  </si>
  <si>
    <t>108.164749</t>
  </si>
  <si>
    <t>31.26</t>
  </si>
  <si>
    <t>16.073207</t>
  </si>
  <si>
    <t>108.177558</t>
  </si>
  <si>
    <t>full_h04/TP Đà Nẵng/TP Đà Nẵng/Mạng cấp 4 - ĐN cũ/Ring 5 - DN/TT1 Đà Nẵng-Hải Vân/Trung thế 1</t>
  </si>
  <si>
    <t>Đà Nẵng#TTCMKV#Liên Chiểu-Đà Nẵng#CAX#Liên Chiểu</t>
  </si>
  <si>
    <t>16.07665</t>
  </si>
  <si>
    <t>108.1457</t>
  </si>
  <si>
    <t>#PITC#DNLC1P-DNLC15</t>
  </si>
  <si>
    <t>TTCMKV Liên Chiểu - Trạm CSGT Hòa Hiệp</t>
  </si>
  <si>
    <t>490.42</t>
  </si>
  <si>
    <t>27.31</t>
  </si>
  <si>
    <t>16.074274</t>
  </si>
  <si>
    <t>108.158044</t>
  </si>
  <si>
    <t>463.11</t>
  </si>
  <si>
    <t>16.074614</t>
  </si>
  <si>
    <t>108.149481</t>
  </si>
  <si>
    <t>full_h04/TP Đà Nẵng/TP Đà Nẵng/Mạng cấp 3_ DN và Quảng Nam/Phòng - Ring 3 (ĐN ).kmz/Phòng - Ring 3 (ĐN )/TTCMKV Liên Chiểu - Trạm CSGT Hòa Hiệp/TTCMKV Liên Chiểu - Trạm CSGT Hòa Hiệp-Trung thế 1</t>
  </si>
  <si>
    <t>Đà Nẵng#TTCMKV#Liên Chiểu-DNLC07</t>
  </si>
  <si>
    <t>16.09007</t>
  </si>
  <si>
    <t>108.14254</t>
  </si>
  <si>
    <t>FO thuê#PITC#DNLC07-DNLC15</t>
  </si>
  <si>
    <t>98.86</t>
  </si>
  <si>
    <t>71.55</t>
  </si>
  <si>
    <t>16.090608</t>
  </si>
  <si>
    <t>108.142908</t>
  </si>
  <si>
    <t>Đà Nẵng#TTCMKV#Ngũ Hành Sơn-DNNH35</t>
  </si>
  <si>
    <t>16.01516</t>
  </si>
  <si>
    <t>108.2544</t>
  </si>
  <si>
    <t>16.00213</t>
  </si>
  <si>
    <t>108.26813</t>
  </si>
  <si>
    <t>FO thuê#CMC#DNNH02-DNNH35</t>
  </si>
  <si>
    <t>Hội An - Ngũ Hành Sơn</t>
  </si>
  <si>
    <t>824.18</t>
  </si>
  <si>
    <t>14.34</t>
  </si>
  <si>
    <t>16.015280</t>
  </si>
  <si>
    <t>108.254448</t>
  </si>
  <si>
    <t>809.84</t>
  </si>
  <si>
    <t>15.998049</t>
  </si>
  <si>
    <t>108.261855</t>
  </si>
  <si>
    <t>full_h04/TP Đà Nẵng/TP Đà Nẵng/Mạng cấp 3_ DN và Quảng Nam/Cấp 3 - Ring 1 - Đà Nẵng cũ/Hội An - Ngũ Hành Sơn/Tuyến cột trung thế 2</t>
  </si>
  <si>
    <t>Đà Nẵng#TTCMKV#Ngũ Hành Sơn-DNNH44</t>
  </si>
  <si>
    <t>16.014111</t>
  </si>
  <si>
    <t>108.26259</t>
  </si>
  <si>
    <t>FO thuê#CMC#DNNH02-DNNH44</t>
  </si>
  <si>
    <t>714.37</t>
  </si>
  <si>
    <t>700.04</t>
  </si>
  <si>
    <t>16.012158</t>
  </si>
  <si>
    <t>108.256363</t>
  </si>
  <si>
    <t>Đà Nẵng#TTCMKV#Sơn Trà-DNST2G</t>
  </si>
  <si>
    <t>16.0701</t>
  </si>
  <si>
    <t>108.2336</t>
  </si>
  <si>
    <t>16.067989</t>
  </si>
  <si>
    <t>108.244997</t>
  </si>
  <si>
    <t>FO thuê#PITC#DNST87-DNST2G</t>
  </si>
  <si>
    <t>An Hải - Sơn Trà</t>
  </si>
  <si>
    <t>674.89</t>
  </si>
  <si>
    <t>208.25</t>
  </si>
  <si>
    <t>16.071846</t>
  </si>
  <si>
    <t>108.234304</t>
  </si>
  <si>
    <t>466.64</t>
  </si>
  <si>
    <t>16.069942</t>
  </si>
  <si>
    <t>108.241132</t>
  </si>
  <si>
    <t>full_h04/TP Đà Nẵng/TP Đà Nẵng/Mạng cấp 4 - ĐN cũ/Ring 1 -DN/An Hải - Sơn Trà/Ngầm VNPT</t>
  </si>
  <si>
    <t>Đà Nẵng#TTCMKV#Sơn Trà-DNST53</t>
  </si>
  <si>
    <t>16.068671</t>
  </si>
  <si>
    <t>108.244933</t>
  </si>
  <si>
    <t>FO thuê#CMC#DNST87-DNST53</t>
  </si>
  <si>
    <t>638.32</t>
  </si>
  <si>
    <t>430.07</t>
  </si>
  <si>
    <t>Đà Nẵng#TTCMKV#Sơn Trà-DNST94</t>
  </si>
  <si>
    <t>16.059008</t>
  </si>
  <si>
    <t>108.233981</t>
  </si>
  <si>
    <t>FO thuê#CMC#DNST87-DNST94</t>
  </si>
  <si>
    <t>Ngũ Hành Sơn - Sơn Trà</t>
  </si>
  <si>
    <t>330.30</t>
  </si>
  <si>
    <t>231.85</t>
  </si>
  <si>
    <t>16.068319</t>
  </si>
  <si>
    <t>108.232472</t>
  </si>
  <si>
    <t>98.45</t>
  </si>
  <si>
    <t>16.059259</t>
  </si>
  <si>
    <t>108.234865</t>
  </si>
  <si>
    <t>full_h04/TP Đà Nẵng/TP Đà Nẵng/Mạng cấp 3_ DN và Quảng Nam/Cấp 3 - Ring 1 - Đà Nẵng cũ/Ngũ Hành Sơn - Sơn Trà/cống bể VNPT</t>
  </si>
  <si>
    <t>Đà Nẵng#TTCMKV#Sơn Trà-DNST68</t>
  </si>
  <si>
    <t>16.06805</t>
  </si>
  <si>
    <t>108.244</t>
  </si>
  <si>
    <t>FO thuê#CMC#DNST87-DNST68</t>
  </si>
  <si>
    <t>580.01</t>
  </si>
  <si>
    <t>371.75</t>
  </si>
  <si>
    <t>Đà Nẵng#TTCMKV#Sơn Trà-DNST65</t>
  </si>
  <si>
    <t>16.06062</t>
  </si>
  <si>
    <t>108.23319</t>
  </si>
  <si>
    <t>FO thuê#CMC#DNST87-DNST65</t>
  </si>
  <si>
    <t>358.42</t>
  </si>
  <si>
    <t>126.58</t>
  </si>
  <si>
    <t>16.061031</t>
  </si>
  <si>
    <t>108.234295</t>
  </si>
  <si>
    <t>Đà Nẵng#TTCMKV#Sơn Trà-DNST1D</t>
  </si>
  <si>
    <t>16.0657</t>
  </si>
  <si>
    <t>108.24492</t>
  </si>
  <si>
    <t>FO thuê#CMC#DNST87-DNST1D</t>
  </si>
  <si>
    <t>TTCMKV Sơn Trà-An Hải</t>
  </si>
  <si>
    <t>730.15</t>
  </si>
  <si>
    <t>340.44</t>
  </si>
  <si>
    <t>16.067178</t>
  </si>
  <si>
    <t>108.234552</t>
  </si>
  <si>
    <t>389.71</t>
  </si>
  <si>
    <t>16.066327</t>
  </si>
  <si>
    <t>108.241332</t>
  </si>
  <si>
    <t>full_h04/TP Đà Nẵng/TP Đà Nẵng/Mạng cấp 4 - ĐN cũ/Ring 1 -DN/TTCMKV Sơn Trà-An Hải/Trung thế</t>
  </si>
  <si>
    <t>Đà Nẵng#TTCMKV#Sơn Trà-DNST28</t>
  </si>
  <si>
    <t>16.05768</t>
  </si>
  <si>
    <t>108.24085</t>
  </si>
  <si>
    <t>FO thuê#PITC#DNST87-DNST28</t>
  </si>
  <si>
    <t>806.13</t>
  </si>
  <si>
    <t>574.28</t>
  </si>
  <si>
    <t>16.056984</t>
  </si>
  <si>
    <t>108.235525</t>
  </si>
  <si>
    <t>Quảng Nam#TTCMKV#Hội An-QAHA03</t>
  </si>
  <si>
    <t>15.88074</t>
  </si>
  <si>
    <t>108.3319</t>
  </si>
  <si>
    <t>15.87225</t>
  </si>
  <si>
    <t>108.33853</t>
  </si>
  <si>
    <t>FO thuê#CMC#QAHA03-QAHA06</t>
  </si>
  <si>
    <t>1028.99</t>
  </si>
  <si>
    <t>32.13</t>
  </si>
  <si>
    <t>15.880691</t>
  </si>
  <si>
    <t>108.332196</t>
  </si>
  <si>
    <t>996.86</t>
  </si>
  <si>
    <t>15.881037</t>
  </si>
  <si>
    <t>108.336680</t>
  </si>
  <si>
    <t>full_h04/TP Đà Nẵng/TP Đà Nẵng/Mạng cấp 3_ DN và Quảng Nam/Cấp 3 - Ring 1 - Đà Nẵng cũ/Hội An - Ngũ Hành Sơn/Tuyến trung thế 1</t>
  </si>
  <si>
    <t>Quảng Nam#TTCMKV#Hội An-QAHA32</t>
  </si>
  <si>
    <t>15.90198</t>
  </si>
  <si>
    <t>108.31081</t>
  </si>
  <si>
    <t>FO thuê#CMC#QAHA32-QAHA06</t>
  </si>
  <si>
    <t>điện bàn-Hội An</t>
  </si>
  <si>
    <t>859.69</t>
  </si>
  <si>
    <t>30.36</t>
  </si>
  <si>
    <t>15.880702</t>
  </si>
  <si>
    <t>108.332181</t>
  </si>
  <si>
    <t>829.33</t>
  </si>
  <si>
    <t>15.896825</t>
  </si>
  <si>
    <t>108.305206</t>
  </si>
  <si>
    <t>full_h04/TP Đà Nẵng/TP Đà Nẵng/Mạng cấp 3_ DN và Quảng Nam/Cấp 3 - Ring 1 - Đà Nẵng cũ/điện bàn-Hội An/tuyến trung thế</t>
  </si>
  <si>
    <t>Quảng Nam#TTCMKV#Hội An-QAHA27</t>
  </si>
  <si>
    <t>15.881811</t>
  </si>
  <si>
    <t>108.327432</t>
  </si>
  <si>
    <t>FO thuê#CMC#QAHA06-QAHA27</t>
  </si>
  <si>
    <t>218.75</t>
  </si>
  <si>
    <t>188.38</t>
  </si>
  <si>
    <t>15.883503</t>
  </si>
  <si>
    <t>108.327519</t>
  </si>
  <si>
    <t>Quảng Nam#TTCMKV#Hội An-QAHA25</t>
  </si>
  <si>
    <t>15.89294</t>
  </si>
  <si>
    <t>108.3288</t>
  </si>
  <si>
    <t>FO thuê#CMC#QAHA25-QAHA06</t>
  </si>
  <si>
    <t>221.47</t>
  </si>
  <si>
    <t>189.34</t>
  </si>
  <si>
    <t>15.891702</t>
  </si>
  <si>
    <t>108.330015</t>
  </si>
  <si>
    <t>Quảng Nam#TTCMKV#Hội An-QAHA05</t>
  </si>
  <si>
    <t>15.88142</t>
  </si>
  <si>
    <t>108.32143</t>
  </si>
  <si>
    <t>FO thuê#PITC#QAHA05-QAHA06</t>
  </si>
  <si>
    <t>512.65</t>
  </si>
  <si>
    <t>482.29</t>
  </si>
  <si>
    <t>15.885270</t>
  </si>
  <si>
    <t>108.323506</t>
  </si>
  <si>
    <t>Quảng Nam#CAX#Núi Thành-QANT37</t>
  </si>
  <si>
    <t>15.43312</t>
  </si>
  <si>
    <t>108.6605</t>
  </si>
  <si>
    <t>15.42247</t>
  </si>
  <si>
    <t>108.66733</t>
  </si>
  <si>
    <t>FO thuê#PITC#QANT37-QANT01</t>
  </si>
  <si>
    <t>Tam Anh - Núi Thành</t>
  </si>
  <si>
    <t>1384.24</t>
  </si>
  <si>
    <t>3.91</t>
  </si>
  <si>
    <t>15.433142</t>
  </si>
  <si>
    <t>108.660472</t>
  </si>
  <si>
    <t>1380.33</t>
  </si>
  <si>
    <t>15.432864</t>
  </si>
  <si>
    <t>108.660290</t>
  </si>
  <si>
    <t>full_h04/TP Đà Nẵng/TP Đà Nẵng/Mạng cấp 4 - Quảng Nam/Quảng Nam - Ring 15/Tam Anh - Núi Thành/Cột trồng mới</t>
  </si>
  <si>
    <t>Quảng Nam#TTCMKV#Thăng Bình-QATB10</t>
  </si>
  <si>
    <t>15.73582</t>
  </si>
  <si>
    <t>108.3517</t>
  </si>
  <si>
    <t>15.73394</t>
  </si>
  <si>
    <t>108.34846</t>
  </si>
  <si>
    <t>FO thuê#PITC#QATB_newsite 2-QATB10</t>
  </si>
  <si>
    <t>Thăng Bình - Quế Sơn</t>
  </si>
  <si>
    <t>96.86</t>
  </si>
  <si>
    <t>70.69</t>
  </si>
  <si>
    <t>15.736033</t>
  </si>
  <si>
    <t>108.352322</t>
  </si>
  <si>
    <t>26.17</t>
  </si>
  <si>
    <t>15.734149</t>
  </si>
  <si>
    <t>108.348348</t>
  </si>
  <si>
    <t>full_h04/TP Đà Nẵng/TP Đà Nẵng/Mạng cấp 3_ DN và Quảng Nam/Cấp 3 - Ring 4 - Quảng Nam cũ/Thăng Bình - Quế Sơn/Đoạn trung thế 1</t>
  </si>
  <si>
    <t>Quảng Nam#TTCMKV#Thăng Bình-QATB18</t>
  </si>
  <si>
    <t>15.7571</t>
  </si>
  <si>
    <t>108.35266</t>
  </si>
  <si>
    <t>FO thuê#PITC#QATB_newsite 2-QATB18</t>
  </si>
  <si>
    <t>Duy Xuyên - TT2 Tam Kỳ</t>
  </si>
  <si>
    <t>1254.67</t>
  </si>
  <si>
    <t>813.22</t>
  </si>
  <si>
    <t>15.741393</t>
  </si>
  <si>
    <t>108.356620</t>
  </si>
  <si>
    <t>441.44</t>
  </si>
  <si>
    <t>15.754938</t>
  </si>
  <si>
    <t>108.349200</t>
  </si>
  <si>
    <t>full_h04/TP Đà Nẵng/TP Đà Nẵng/Mạng cấp 3_ DN và Quảng Nam/Cấp 3 - Ring 3 - Quảng Nam cũ/Duy Xuyên - TT2 Tam Kỳ/Trung thế 2</t>
  </si>
  <si>
    <t>Quảng Nam#TTCMKV#Thăng Bình-QATB25</t>
  </si>
  <si>
    <t>15.73733894</t>
  </si>
  <si>
    <t>108.3844111</t>
  </si>
  <si>
    <t>FO thuê#PITC#QATB_newsite 2-QATB25</t>
  </si>
  <si>
    <t>Trạm CSGT Thăng Bình (X. Bình Phục, Thăng
Bình) - TTCMKV Thăng Bình</t>
  </si>
  <si>
    <t>2191.16</t>
  </si>
  <si>
    <t>69.42</t>
  </si>
  <si>
    <t>15.736057</t>
  </si>
  <si>
    <t>108.352300</t>
  </si>
  <si>
    <t>2121.74</t>
  </si>
  <si>
    <t>15.720257</t>
  </si>
  <si>
    <t>108.375578</t>
  </si>
  <si>
    <t>full_h04/TP Đà Nẵng/TP Đà Nẵng/Mạng cấp 3_ DN và Quảng Nam/Ring Nhánh/Trạm CSGT Thăng Bình (X. Bình Phục, Thăng
Bình) - TTCMKV Thăng Bình/Trung thế</t>
  </si>
  <si>
    <t>Quảng Nam#TTCMKV#Thăng Bình-Quảng Nam#CAX#Quế Sơn Trung</t>
  </si>
  <si>
    <t>15.73686</t>
  </si>
  <si>
    <t>108.2884</t>
  </si>
  <si>
    <t>#CMC#QAQS10-QATB_newsite 2</t>
  </si>
  <si>
    <t>3862.47</t>
  </si>
  <si>
    <t>3791.78</t>
  </si>
  <si>
    <t>15.702866</t>
  </si>
  <si>
    <t>108.285609</t>
  </si>
  <si>
    <t>Quảng Nam#TTCMKV#Thăng Bình-QAQS03</t>
  </si>
  <si>
    <t>15.71113</t>
  </si>
  <si>
    <t>108.26722</t>
  </si>
  <si>
    <t>FO thuê#CMC#QAQS03-QATB_newsite 2</t>
  </si>
  <si>
    <t>2243.00</t>
  </si>
  <si>
    <t>2172.31</t>
  </si>
  <si>
    <t>Quảng Nam#TTCMKV#Thăng Bình-QAQS19</t>
  </si>
  <si>
    <t>15.76923</t>
  </si>
  <si>
    <t>108.32967</t>
  </si>
  <si>
    <t>FO thuê#CMC#QAQS19-QATB_newsite 2</t>
  </si>
  <si>
    <t>1524.45</t>
  </si>
  <si>
    <t>711.23</t>
  </si>
  <si>
    <t>15.772945</t>
  </si>
  <si>
    <t>108.335080</t>
  </si>
  <si>
    <t>Quảng Nam#TTCMKV#Thăng Bình-QATB01</t>
  </si>
  <si>
    <t>15.74258</t>
  </si>
  <si>
    <t>108.35948</t>
  </si>
  <si>
    <t>FO thuê#PITC#QATB01-QATB_newsite 2</t>
  </si>
  <si>
    <t>868.63</t>
  </si>
  <si>
    <t>55.40</t>
  </si>
  <si>
    <t>15.742511</t>
  </si>
  <si>
    <t>108.358967</t>
  </si>
  <si>
    <t>Quảng Nam#TTCMKV#Thăng Bình-QATB1D</t>
  </si>
  <si>
    <t>15.74886</t>
  </si>
  <si>
    <t>108.37764</t>
  </si>
  <si>
    <t>FO thuê#PITC#QATB1D-QATB_newsite 2</t>
  </si>
  <si>
    <t>E28 - Thăng An</t>
  </si>
  <si>
    <t>1289.89</t>
  </si>
  <si>
    <t>1063.79</t>
  </si>
  <si>
    <t>15.742058</t>
  </si>
  <si>
    <t>108.359236</t>
  </si>
  <si>
    <t>226.10</t>
  </si>
  <si>
    <t>15.747146</t>
  </si>
  <si>
    <t>108.376503</t>
  </si>
  <si>
    <t>full_h04/TP Đà Nẵng/TP Đà Nẵng/Mạng cấp 4 - Quảng Nam/Quảng Nam - Ring 7_them E28/Quảng Nam - Ring 7 - ok/E28 - Thăng An/Trung thế</t>
  </si>
  <si>
    <t>Quảng Nam#CAX#Thăng Trường-QANT04</t>
  </si>
  <si>
    <t>15.65096</t>
  </si>
  <si>
    <t>108.4856</t>
  </si>
  <si>
    <t>15.58422</t>
  </si>
  <si>
    <t>108.55311</t>
  </si>
  <si>
    <t>FO thuê#PITC#QANT04-QATB35</t>
  </si>
  <si>
    <t>Thăng Trường - Quảng Phú</t>
  </si>
  <si>
    <t>5860.24</t>
  </si>
  <si>
    <t>2867.84</t>
  </si>
  <si>
    <t>15.643529</t>
  </si>
  <si>
    <t>108.511248</t>
  </si>
  <si>
    <t>2992.40</t>
  </si>
  <si>
    <t>15.606150</t>
  </si>
  <si>
    <t>108.536916</t>
  </si>
  <si>
    <t>full_h04/TP Đà Nẵng/TP Đà Nẵng/Mạng cấp 4 - Quảng Nam/Quảng Nam - Ring 12/Quảng Nam - Ring 12_fix.kmz/Quảng Nam - Ring 12 - ok/Thăng Trường - Quảng Phú/hạ thế 4</t>
  </si>
  <si>
    <t>Quảng Nam#CAX#Thăng Trường-QATB32</t>
  </si>
  <si>
    <t>15.718</t>
  </si>
  <si>
    <t>108.46406</t>
  </si>
  <si>
    <t>FO thuê#PITC#QATB35-QATB32</t>
  </si>
  <si>
    <t>TTCMKV Thăng Bình - Thăng
Trường</t>
  </si>
  <si>
    <t>7674.26</t>
  </si>
  <si>
    <t>9.80</t>
  </si>
  <si>
    <t>15.650872</t>
  </si>
  <si>
    <t>108.485605</t>
  </si>
  <si>
    <t>7664.46</t>
  </si>
  <si>
    <t>15.649153</t>
  </si>
  <si>
    <t>108.467534</t>
  </si>
  <si>
    <t>full_h04/TP Đà Nẵng/TP Đà Nẵng/Mạng cấp 4 - Quảng Nam/Quảng Nam - Ring 12/Quảng Nam - Ring 12_fix.kmz/Quảng Nam - Ring 12 - ok/TTCMKV Thăng Bình - Thăng
Trường/hạ thế 1</t>
  </si>
  <si>
    <t>Quảng Nam#CAX#Thăng Trường-Quảng Nam#TTCMKV#TT2 Tam Kỳ</t>
  </si>
  <si>
    <t>15.57447</t>
  </si>
  <si>
    <t>108.4746</t>
  </si>
  <si>
    <t>#PITC#QATB35-QATK39</t>
  </si>
  <si>
    <t>TT2 Tam Kỳ - Thăng Bình</t>
  </si>
  <si>
    <t>5601.75</t>
  </si>
  <si>
    <t>5524.52</t>
  </si>
  <si>
    <t>15.621184</t>
  </si>
  <si>
    <t>108.444299</t>
  </si>
  <si>
    <t>77.23</t>
  </si>
  <si>
    <t>15.574672</t>
  </si>
  <si>
    <t>108.473910</t>
  </si>
  <si>
    <t>full_h04/TP Đà Nẵng/TP Đà Nẵng/Mạng cấp 3_ DN và Quảng Nam/Cấp 3 - Ring 4 - Quảng Nam cũ/TT2 Tam Kỳ - Thăng Bình/Đoạn trung thế</t>
  </si>
  <si>
    <t>Quảng Nam#CAX#Thăng Trường-QADX35</t>
  </si>
  <si>
    <t>15.83046</t>
  </si>
  <si>
    <t>108.37688</t>
  </si>
  <si>
    <t>FO thuê#PITC#QADX35-QATB35</t>
  </si>
  <si>
    <t>13367.54</t>
  </si>
  <si>
    <t>2543.98</t>
  </si>
  <si>
    <t>15.646301</t>
  </si>
  <si>
    <t>108.462339</t>
  </si>
  <si>
    <t>10823.56</t>
  </si>
  <si>
    <t>15.736029</t>
  </si>
  <si>
    <t>108.352341</t>
  </si>
  <si>
    <t>full_h04/TP Đà Nẵng/TP Đà Nẵng/Mạng cấp 4 - Quảng Nam/Quảng Nam - Ring 12/Quảng Nam - Ring 12_fix.kmz/Quảng Nam - Ring 12 - ok/TTCMKV Thăng Bình - Thăng
Trường/trung thế 1</t>
  </si>
  <si>
    <t>Quảng Nam#CAX#Thăng Trường-QATB03</t>
  </si>
  <si>
    <t>15.77736</t>
  </si>
  <si>
    <t>108.42229</t>
  </si>
  <si>
    <t>FO thuê#PITC#QATB03-QATB35</t>
  </si>
  <si>
    <t>11307.44</t>
  </si>
  <si>
    <t>8763.46</t>
  </si>
  <si>
    <t>15.706669</t>
  </si>
  <si>
    <t>108.386088</t>
  </si>
  <si>
    <t>Quảng Nam#CAX#Thăng Điền-QATB94</t>
  </si>
  <si>
    <t>15.64444</t>
  </si>
  <si>
    <t>108.4255</t>
  </si>
  <si>
    <t>15.67128</t>
  </si>
  <si>
    <t>108.42281</t>
  </si>
  <si>
    <t>FO thuê#PITC#QATB94-QATB31</t>
  </si>
  <si>
    <t>1806.64</t>
  </si>
  <si>
    <t>569.96</t>
  </si>
  <si>
    <t>15.646900</t>
  </si>
  <si>
    <t>108.430170</t>
  </si>
  <si>
    <t>1236.69</t>
  </si>
  <si>
    <t>15.666873</t>
  </si>
  <si>
    <t>108.412204</t>
  </si>
  <si>
    <t>Quảng Nam#CAX#Thăng Điền-QATB1B</t>
  </si>
  <si>
    <t>15.6532</t>
  </si>
  <si>
    <t>108.43851</t>
  </si>
  <si>
    <t>FO thuê#PITC#QATB1B-QATB31</t>
  </si>
  <si>
    <t>1333.52</t>
  </si>
  <si>
    <t>709.57</t>
  </si>
  <si>
    <t>15.650188</t>
  </si>
  <si>
    <t>108.428378</t>
  </si>
  <si>
    <t>623.95</t>
  </si>
  <si>
    <t>15.647589</t>
  </si>
  <si>
    <t>108.438421</t>
  </si>
  <si>
    <t>Quảng Nam#CAX#Thăng Điền-Quảng Nam#Phòng#Trạm CSGT Thăng Bình (X. Bình Phục, Thăng Bình)</t>
  </si>
  <si>
    <t>15.72009</t>
  </si>
  <si>
    <t>108.3759</t>
  </si>
  <si>
    <t>#PITC#QATB14-QATB31</t>
  </si>
  <si>
    <t>875.94</t>
  </si>
  <si>
    <t>574.59</t>
  </si>
  <si>
    <t>15.646918</t>
  </si>
  <si>
    <t>108.430209</t>
  </si>
  <si>
    <t>301.35</t>
  </si>
  <si>
    <t>15.717450</t>
  </si>
  <si>
    <t>108.375263</t>
  </si>
  <si>
    <t>full_h04/TP Đà Nẵng/TP Đà Nẵng/Mạng cấp 3_ DN và Quảng Nam/Cấp 3 - Ring 3 - Quảng Nam cũ/Duy Xuyên - TT2 Tam Kỳ/Trung thế 4</t>
  </si>
  <si>
    <t>Quảng Nam#CAX#Thăng Điền-QATK43</t>
  </si>
  <si>
    <t>15.58715</t>
  </si>
  <si>
    <t>108.47165</t>
  </si>
  <si>
    <t>FO thuê#PITC#QATB31-QATK43</t>
  </si>
  <si>
    <t>1039.18</t>
  </si>
  <si>
    <t>469.22</t>
  </si>
  <si>
    <t>15.584040</t>
  </si>
  <si>
    <t>108.468689</t>
  </si>
  <si>
    <t>Quảng Nam#CAX#Thăng Điền-QATB73</t>
  </si>
  <si>
    <t>15.66191</t>
  </si>
  <si>
    <t>108.41513</t>
  </si>
  <si>
    <t>FO thuê#PITC#QATB31-QATB73</t>
  </si>
  <si>
    <t>630.56</t>
  </si>
  <si>
    <t>60.61</t>
  </si>
  <si>
    <t>15.661580</t>
  </si>
  <si>
    <t>108.414679</t>
  </si>
  <si>
    <t>Quảng Nam#CAX#Thăng Điền-QAQS05</t>
  </si>
  <si>
    <t>15.78838</t>
  </si>
  <si>
    <t>108.32133</t>
  </si>
  <si>
    <t>FO thuê#CMC#QATB31-QAQS05</t>
  </si>
  <si>
    <t>7272.64</t>
  </si>
  <si>
    <t>6702.69</t>
  </si>
  <si>
    <t>15.736011</t>
  </si>
  <si>
    <t>108.352346</t>
  </si>
  <si>
    <t>Quảng Nam#CAX#Thăng Điền-QATK71</t>
  </si>
  <si>
    <t>15.579387</t>
  </si>
  <si>
    <t>108.473777</t>
  </si>
  <si>
    <t>FO thuê#CMC#QATK71-QATB31</t>
  </si>
  <si>
    <t>605.12</t>
  </si>
  <si>
    <t>35.17</t>
  </si>
  <si>
    <t>15.579652</t>
  </si>
  <si>
    <t>108.473956</t>
  </si>
  <si>
    <t>Quảng Nam#TTCMKV#TT2 Tam Kỳ-QATK02</t>
  </si>
  <si>
    <t>15.55261</t>
  </si>
  <si>
    <t>108.50901</t>
  </si>
  <si>
    <t>FO thuê#PITC#QATK39-QATK02</t>
  </si>
  <si>
    <t>TT2 Tam Kỳ - Tam Xuân</t>
  </si>
  <si>
    <t>1749.52</t>
  </si>
  <si>
    <t>1431.84</t>
  </si>
  <si>
    <t>15.570172</t>
  </si>
  <si>
    <t>108.487201</t>
  </si>
  <si>
    <t>317.68</t>
  </si>
  <si>
    <t>15.553040</t>
  </si>
  <si>
    <t>108.506078</t>
  </si>
  <si>
    <t>full_h04/TP Đà Nẵng/TP Đà Nẵng/Mạng cấp 4 - Quảng Nam/Quảng Nam - Ring 15/TT2 Tam Kỳ - Tam Xuân/Trung thế</t>
  </si>
  <si>
    <t>Quảng Nam#TTCMKV#TT2 Tam Kỳ-QATK04</t>
  </si>
  <si>
    <t>15.56801</t>
  </si>
  <si>
    <t>108.49109</t>
  </si>
  <si>
    <t>FO thuê#PITC#QATK39-QATK04</t>
  </si>
  <si>
    <t>621.57</t>
  </si>
  <si>
    <t>67.82</t>
  </si>
  <si>
    <t>15.574916</t>
  </si>
  <si>
    <t>108.475032</t>
  </si>
  <si>
    <t>553.75</t>
  </si>
  <si>
    <t>15.570620</t>
  </si>
  <si>
    <t>108.486687</t>
  </si>
  <si>
    <t>Quảng Nam#TTCMKV#TT2 Tam Kỳ-QATK32</t>
  </si>
  <si>
    <t>15.55785</t>
  </si>
  <si>
    <t>108.49531</t>
  </si>
  <si>
    <t>FO thuê#PITC#QATK39-QATK32</t>
  </si>
  <si>
    <t>1761.77</t>
  </si>
  <si>
    <t>1693.95</t>
  </si>
  <si>
    <t>Quảng Nam#TTCMKV#TT2 Tam Kỳ-QAPN06</t>
  </si>
  <si>
    <t>15.56467</t>
  </si>
  <si>
    <t>108.37149</t>
  </si>
  <si>
    <t>FO thuê#PITC#QAPN06-QATK39</t>
  </si>
  <si>
    <t>TT2 Tam Kỳ - CAX Tiên Sơn (Tiên Phước)</t>
  </si>
  <si>
    <t>3418.04</t>
  </si>
  <si>
    <t>3259.01</t>
  </si>
  <si>
    <t>15.575377</t>
  </si>
  <si>
    <t>108.444188</t>
  </si>
  <si>
    <t>159.03</t>
  </si>
  <si>
    <t>15.563253</t>
  </si>
  <si>
    <t>108.371691</t>
  </si>
  <si>
    <t>full_h04/TP Đà Nẵng/TP Đà Nẵng/Mạng cấp 3_ DN và Quảng Nam/Cấp 3 - Ring 3 - Quảng Nam cũ/TT2 Tam Kỳ - CAX Tiên Sơn (Tiên Phước)/Đoạn trung thế 2</t>
  </si>
  <si>
    <t>Quảng Nam#TTCMKV#TT2 Tam Kỳ-QATK23</t>
  </si>
  <si>
    <t>15.56199</t>
  </si>
  <si>
    <t>108.49074</t>
  </si>
  <si>
    <t>FO thuê#PITC#QATK23-QATK39</t>
  </si>
  <si>
    <t>1121.08</t>
  </si>
  <si>
    <t>1053.25</t>
  </si>
  <si>
    <t>Quảng Nam#TTCMKV#TT2 Tam Kỳ-QATK34</t>
  </si>
  <si>
    <t>15.556093</t>
  </si>
  <si>
    <t>108.478029</t>
  </si>
  <si>
    <t>FO thuê#PITC#QATK34-QATK39</t>
  </si>
  <si>
    <t>Tam Kỳ - TT2 Đà Nẵng (Tam Kỳ)</t>
  </si>
  <si>
    <t>1163.38</t>
  </si>
  <si>
    <t>114.00</t>
  </si>
  <si>
    <t>15.574221</t>
  </si>
  <si>
    <t>108.473568</t>
  </si>
  <si>
    <t>1049.39</t>
  </si>
  <si>
    <t>15.565076</t>
  </si>
  <si>
    <t>108.481030</t>
  </si>
  <si>
    <t>full_h04/TP Đà Nẵng/TP Đà Nẵng/Mạng cấp 4 - Quảng Nam/Quảng Nam - Ring 14/Tam Kỳ - TT2 Đà Nẵng (Tam Kỳ)/trung thế 1</t>
  </si>
  <si>
    <t>Quảng Nam#TTCMKV#TT2 Tam Kỳ-QATK41</t>
  </si>
  <si>
    <t>15.54792</t>
  </si>
  <si>
    <t>108.4943</t>
  </si>
  <si>
    <t>FO thuê#PITC#QATK41-QATK39</t>
  </si>
  <si>
    <t>Hương Trà - Tam Kỳ</t>
  </si>
  <si>
    <t>1902.84</t>
  </si>
  <si>
    <t>1446.78</t>
  </si>
  <si>
    <t>15.563969</t>
  </si>
  <si>
    <t>108.482575</t>
  </si>
  <si>
    <t>456.06</t>
  </si>
  <si>
    <t>15.546304</t>
  </si>
  <si>
    <t>108.490387</t>
  </si>
  <si>
    <t>full_h04/TP Đà Nẵng/TP Đà Nẵng/Mạng cấp 4 - Quảng Nam/Quảng Nam - Ring 14/Hương Trà - Tam Kỳ/trung thế 1</t>
  </si>
  <si>
    <t>Quảng Nam#TTCMKV#TT2 Tam Kỳ-Quảng Nam#CAX#Hương Trà</t>
  </si>
  <si>
    <t>15.54533</t>
  </si>
  <si>
    <t>108.4841</t>
  </si>
  <si>
    <t>#PITC#QATK03-QATK39</t>
  </si>
  <si>
    <t>1876.33</t>
  </si>
  <si>
    <t>429.55</t>
  </si>
  <si>
    <t>15.544557</t>
  </si>
  <si>
    <t>108.488028</t>
  </si>
  <si>
    <t>Quảng Nam#TTCMKV#TT2 Tam Kỳ-Quảng Nam#CAX#Thăng Trường</t>
  </si>
  <si>
    <t>Đà Nẵng#Phòng#PC07-DNCL33</t>
  </si>
  <si>
    <t>16.03569</t>
  </si>
  <si>
    <t>108.213</t>
  </si>
  <si>
    <t>16.03388</t>
  </si>
  <si>
    <t>108.21247</t>
  </si>
  <si>
    <t>FO thuê#CMC#DNCL08-DNCL33</t>
  </si>
  <si>
    <t>PC08-PC07</t>
  </si>
  <si>
    <t>251.51</t>
  </si>
  <si>
    <t>37.74</t>
  </si>
  <si>
    <t>16.035793</t>
  </si>
  <si>
    <t>108.212664</t>
  </si>
  <si>
    <t>213.77</t>
  </si>
  <si>
    <t>full_h04/TP Đà Nẵng/TP Đà Nẵng/Mạng cấp 3_ DN và Quảng Nam/Phòng - Ring 1 ( ĐN )4.kmz/Phòng - Ring 1 ( ĐN )/PC08-PC07/hạ thế 2</t>
  </si>
  <si>
    <t>Đà Nẵng#CAX#Cẩm Lệ-DNCL53</t>
  </si>
  <si>
    <t>16.01187</t>
  </si>
  <si>
    <t>108.1974</t>
  </si>
  <si>
    <t>16.00729</t>
  </si>
  <si>
    <t>108.19923</t>
  </si>
  <si>
    <t>FO thuê#CMC#DNCL53-DNCL30</t>
  </si>
  <si>
    <t>Ngũ Hành Sơn - Cẩm Lệ</t>
  </si>
  <si>
    <t>512.45</t>
  </si>
  <si>
    <t>2.19</t>
  </si>
  <si>
    <t>16.011855</t>
  </si>
  <si>
    <t>108.197387</t>
  </si>
  <si>
    <t>510.27</t>
  </si>
  <si>
    <t>16.011552</t>
  </si>
  <si>
    <t>108.197460</t>
  </si>
  <si>
    <t>full_h04/TP Đà Nẵng/TP Đà Nẵng/Mạng cấp 4 - ĐN cũ/Ring 2 -DN/Ngũ Hành Sơn - Cẩm Lệ/Cột trồng mới</t>
  </si>
  <si>
    <t>Đà Nẵng#CAX#Cẩm Lệ-DNCL14</t>
  </si>
  <si>
    <t>16.009639</t>
  </si>
  <si>
    <t>108.196167</t>
  </si>
  <si>
    <t>FO thuê#CMC#DNCL14-DNCL30</t>
  </si>
  <si>
    <t>188.49</t>
  </si>
  <si>
    <t>33.95</t>
  </si>
  <si>
    <t>16.011571</t>
  </si>
  <si>
    <t>108.197464</t>
  </si>
  <si>
    <t>154.54</t>
  </si>
  <si>
    <t>16.010859</t>
  </si>
  <si>
    <t>108.195474</t>
  </si>
  <si>
    <t>Đà Nẵng#CAX#Cẩm Lệ-DNCL70</t>
  </si>
  <si>
    <t>16.00975</t>
  </si>
  <si>
    <t>108.20303</t>
  </si>
  <si>
    <t>FO thuê#CMC#DNCL30-DNCL70</t>
  </si>
  <si>
    <t>570.08</t>
  </si>
  <si>
    <t>536.13</t>
  </si>
  <si>
    <t>16.012028</t>
  </si>
  <si>
    <t>108.198609</t>
  </si>
  <si>
    <t>Đà Nẵng#Phòng#PC08-DNCL93</t>
  </si>
  <si>
    <t>16.020977</t>
  </si>
  <si>
    <t>108.232066</t>
  </si>
  <si>
    <t>FO thuê#VNPT#DNCL93-DNCL56</t>
  </si>
  <si>
    <t>1975.84</t>
  </si>
  <si>
    <t>18.12</t>
  </si>
  <si>
    <t>16.007725</t>
  </si>
  <si>
    <t>108.217546</t>
  </si>
  <si>
    <t>1957.72</t>
  </si>
  <si>
    <t>16.010805</t>
  </si>
  <si>
    <t>108.217115</t>
  </si>
  <si>
    <t>full_h04/TP Đà Nẵng/TP Đà Nẵng/Mạng cấp 3_ DN và Quảng Nam/Phòng - Ring 1 ( ĐN )4.kmz/Phòng - Ring 1 ( ĐN )/PC08-PC07/Hạ thế 1</t>
  </si>
  <si>
    <t>Đà Nẵng#Phòng#PC08-DNCL78</t>
  </si>
  <si>
    <t>16.014493</t>
  </si>
  <si>
    <t>108.222335</t>
  </si>
  <si>
    <t>FO thuê#CMC#DNCL78-DNCL56</t>
  </si>
  <si>
    <t>710.52</t>
  </si>
  <si>
    <t>692.39</t>
  </si>
  <si>
    <t>Đà Nẵng#Phòng#PC08-DNCL83</t>
  </si>
  <si>
    <t>16.00935</t>
  </si>
  <si>
    <t>108.22971</t>
  </si>
  <si>
    <t>FO thuê#CMC#DNCL83-DNCL56</t>
  </si>
  <si>
    <t>1232.94</t>
  </si>
  <si>
    <t>1214.82</t>
  </si>
  <si>
    <t>16.008358</t>
  </si>
  <si>
    <t>108.218391</t>
  </si>
  <si>
    <t>Đà Nẵng#Phòng#PC08-DNCL96</t>
  </si>
  <si>
    <t>16.01568</t>
  </si>
  <si>
    <t>108.22912</t>
  </si>
  <si>
    <t>FO thuê#VNPT#DNCL96-DNCL56</t>
  </si>
  <si>
    <t>1411.01</t>
  </si>
  <si>
    <t>1392.89</t>
  </si>
  <si>
    <t>Đà Nẵng#Phòng#PA06-DNHC86</t>
  </si>
  <si>
    <t>16.06659</t>
  </si>
  <si>
    <t>108.222239</t>
  </si>
  <si>
    <t>FO thuê#CMC#DNHC86-DNHC02</t>
  </si>
  <si>
    <t>PA07 - PA06</t>
  </si>
  <si>
    <t>86.32</t>
  </si>
  <si>
    <t>16.066120</t>
  </si>
  <si>
    <t>108.221645</t>
  </si>
  <si>
    <t>69.62</t>
  </si>
  <si>
    <t>16.066290</t>
  </si>
  <si>
    <t>108.221667</t>
  </si>
  <si>
    <t>full_h04/TP Đà Nẵng/TP Đà Nẵng/Mạng cấp 3_ DN và Quảng Nam/Phòng - Ring 2 ( ĐN ).kmz/Phòng - Ring 2 ( ĐN )/PA07 - PA06/PA07 - PA06_hạ thế_3</t>
  </si>
  <si>
    <t>Đà Nẵng#Phòng#PA06-DNHC87</t>
  </si>
  <si>
    <t>16.064716</t>
  </si>
  <si>
    <t>108.223753</t>
  </si>
  <si>
    <t>FO thuê#CMC#DNHC87-DNHC02</t>
  </si>
  <si>
    <t>174.97</t>
  </si>
  <si>
    <t>158.27</t>
  </si>
  <si>
    <t>16.066134</t>
  </si>
  <si>
    <t>108.223629</t>
  </si>
  <si>
    <t>Đà Nẵng#Phòng#PA06-DNHC85</t>
  </si>
  <si>
    <t>16.066686</t>
  </si>
  <si>
    <t>108.224526</t>
  </si>
  <si>
    <t>FO thuê#CMC#DNHC85-DNHC02</t>
  </si>
  <si>
    <t>130.54</t>
  </si>
  <si>
    <t>113.84</t>
  </si>
  <si>
    <t>Đà Nẵng#Phòng#PA06-DNHC23</t>
  </si>
  <si>
    <t>16.06194</t>
  </si>
  <si>
    <t>108.22153</t>
  </si>
  <si>
    <t>FO thuê#PITC#DNHC23-DNHC02</t>
  </si>
  <si>
    <t>Hải Châu - Hòa Cường</t>
  </si>
  <si>
    <t>273.16</t>
  </si>
  <si>
    <t>70.85</t>
  </si>
  <si>
    <t>16.065806</t>
  </si>
  <si>
    <t>108.222388</t>
  </si>
  <si>
    <t>202.32</t>
  </si>
  <si>
    <t>16.062224</t>
  </si>
  <si>
    <t>108.219660</t>
  </si>
  <si>
    <t>full_h04/TP Đà Nẵng/TP Đà Nẵng/Mạng cấp 4 - ĐN cũ/Ring 7 - DN/Hải Châu - Hòa Cường/Trung thế</t>
  </si>
  <si>
    <t>Đà Nẵng#Phòng#PA06-DNHC16</t>
  </si>
  <si>
    <t>16.07118</t>
  </si>
  <si>
    <t>108.22124</t>
  </si>
  <si>
    <t>FO thuê#PITC#DNHC02-DNHC16</t>
  </si>
  <si>
    <t>90.31</t>
  </si>
  <si>
    <t>19.47</t>
  </si>
  <si>
    <t>16.071146</t>
  </si>
  <si>
    <t>108.221061</t>
  </si>
  <si>
    <t>Đà Nẵng#CAX#Hải Châu-Đà Nẵng#Phòng#PA07</t>
  </si>
  <si>
    <t>16.07896</t>
  </si>
  <si>
    <t>108.2222</t>
  </si>
  <si>
    <t>16.07437</t>
  </si>
  <si>
    <t>108.2226</t>
  </si>
  <si>
    <t>#CMC#DNHC50-DNHC24</t>
  </si>
  <si>
    <t>276.48</t>
  </si>
  <si>
    <t>68.41</t>
  </si>
  <si>
    <t>16.078868</t>
  </si>
  <si>
    <t>108.221567</t>
  </si>
  <si>
    <t>208.08</t>
  </si>
  <si>
    <t>16.073931</t>
  </si>
  <si>
    <t>108.220707</t>
  </si>
  <si>
    <t>Đà Nẵng#CAX#Hòa Cường-DNHC97</t>
  </si>
  <si>
    <t>16.0378</t>
  </si>
  <si>
    <t>108.2154</t>
  </si>
  <si>
    <t>16.03632</t>
  </si>
  <si>
    <t>108.21815</t>
  </si>
  <si>
    <t>FO thuê#CMC#DNHC97-DNHC46</t>
  </si>
  <si>
    <t>Hòa CƯờng - TTKV Cẩm Lệ</t>
  </si>
  <si>
    <t>172.38</t>
  </si>
  <si>
    <t>11.45</t>
  </si>
  <si>
    <t>16.037827</t>
  </si>
  <si>
    <t>108.215503</t>
  </si>
  <si>
    <t>160.93</t>
  </si>
  <si>
    <t>16.036907</t>
  </si>
  <si>
    <t>108.216774</t>
  </si>
  <si>
    <t>full_h04/TP Đà Nẵng/TP Đà Nẵng/Mạng cấp 4 - ĐN cũ/Ring 7 - DN/Hòa CƯờng - TTKV Cẩm Lệ/Hạ thế</t>
  </si>
  <si>
    <t>Đà Nẵng#CAX#Hòa Cường-DNHC43</t>
  </si>
  <si>
    <t>16.0389</t>
  </si>
  <si>
    <t>108.21496</t>
  </si>
  <si>
    <t>FO thuê#CMC#DNHC46-DNHC43</t>
  </si>
  <si>
    <t>45.27</t>
  </si>
  <si>
    <t>7.13</t>
  </si>
  <si>
    <t>16.037737</t>
  </si>
  <si>
    <t>108.215386</t>
  </si>
  <si>
    <t>38.14</t>
  </si>
  <si>
    <t>16.039169</t>
  </si>
  <si>
    <t>108.215182</t>
  </si>
  <si>
    <t>Đà Nẵng#Phòng#PA07-Đà Nẵng#CAX#Hải Châu</t>
  </si>
  <si>
    <t>Đà Nẵng#Phòng#Đồn Công an cảng hàng không (Sân bay Đà Nẵng)-DNHC76</t>
  </si>
  <si>
    <t>16.05277</t>
  </si>
  <si>
    <t>108.2032</t>
  </si>
  <si>
    <t>16.05145</t>
  </si>
  <si>
    <t>108.21021</t>
  </si>
  <si>
    <t>FO thuê#CMC#DNHC76-DNHC54</t>
  </si>
  <si>
    <t>50.42</t>
  </si>
  <si>
    <t>16.052781</t>
  </si>
  <si>
    <t>108.203267</t>
  </si>
  <si>
    <t>43.20</t>
  </si>
  <si>
    <t>16.051763</t>
  </si>
  <si>
    <t>108.209971</t>
  </si>
  <si>
    <t>full_h04/TP Đà Nẵng/TP Đà Nẵng/Mạng cấp 3_ DN và Quảng Nam/Ring Nhánh/Đồn Công an cảng hàng không (Sân bay Đà
Nẵng) - TT1 Đà Nẵng"/Nhánh 1/Ngầm mới</t>
  </si>
  <si>
    <t>Đà Nẵng#Phòng#Đồn Công an cảng hàng không (Sân bay Đà Nẵng)-DNHC2O</t>
  </si>
  <si>
    <t>16.04698</t>
  </si>
  <si>
    <t>108.207</t>
  </si>
  <si>
    <t>FO thuê#VNPT#DNHC2O-DNHC54</t>
  </si>
  <si>
    <t>434.20</t>
  </si>
  <si>
    <t>426.99</t>
  </si>
  <si>
    <t>16.050820</t>
  </si>
  <si>
    <t>108.206950</t>
  </si>
  <si>
    <t>Đà Nẵng#CAX#Hòa Xuân-DNCL41</t>
  </si>
  <si>
    <t>15.98567</t>
  </si>
  <si>
    <t>108.2016</t>
  </si>
  <si>
    <t>15.97891</t>
  </si>
  <si>
    <t>108.21407</t>
  </si>
  <si>
    <t>FO thuê#CMC#DNCL41-DNHV12</t>
  </si>
  <si>
    <t>C09 - A06</t>
  </si>
  <si>
    <t>1313.57</t>
  </si>
  <si>
    <t>878.82</t>
  </si>
  <si>
    <t>15.981011</t>
  </si>
  <si>
    <t>108.208241</t>
  </si>
  <si>
    <t>434.75</t>
  </si>
  <si>
    <t>15.981518</t>
  </si>
  <si>
    <t>108.211040</t>
  </si>
  <si>
    <t>full_h04/TP Đà Nẵng/TP Đà Nẵng/Mạng cấp 2/Cấp 2 - Ring 3/C09 - A06 (CS3).kmz/C09 - A06/C09 - A06_Hạ thế</t>
  </si>
  <si>
    <t>Đà Nẵng#CAX#Hòa Xuân-DNCL69</t>
  </si>
  <si>
    <t>15.97526</t>
  </si>
  <si>
    <t>108.21393</t>
  </si>
  <si>
    <t>FO thuê#CMC#DNHV12-DNCL69</t>
  </si>
  <si>
    <t>Cẩm Lệ - Điện Bàn</t>
  </si>
  <si>
    <t>1383.89</t>
  </si>
  <si>
    <t>764.05</t>
  </si>
  <si>
    <t>15.982776</t>
  </si>
  <si>
    <t>108.208083</t>
  </si>
  <si>
    <t>619.83</t>
  </si>
  <si>
    <t>15.972878</t>
  </si>
  <si>
    <t>108.208688</t>
  </si>
  <si>
    <t>full_h04/TP Đà Nẵng/TP Đà Nẵng/Mạng cấp 3_ DN và Quảng Nam/Cấp 3 - Ring 1 - Đà Nẵng cũ/Cẩm Lệ - Điện Bàn/Tuyến cột trung thế</t>
  </si>
  <si>
    <t>Đà Nẵng#CAX#Hòa Xuân-DNCL71</t>
  </si>
  <si>
    <t>15.98306</t>
  </si>
  <si>
    <t>108.2112</t>
  </si>
  <si>
    <t>FO thuê#CMC#DNHV12-DNCL71</t>
  </si>
  <si>
    <t>970.19</t>
  </si>
  <si>
    <t>91.37</t>
  </si>
  <si>
    <t>15.982246</t>
  </si>
  <si>
    <t>108.211079</t>
  </si>
  <si>
    <t>Đà Nẵng#CAX#Hòa Xuân-DNHV64</t>
  </si>
  <si>
    <t>15.98528</t>
  </si>
  <si>
    <t>108.20109</t>
  </si>
  <si>
    <t>FO thuê#CMC#DNHV12-DNHV64</t>
  </si>
  <si>
    <t>TTKV Ngũ Hành Sơn - Hòa Xuân</t>
  </si>
  <si>
    <t>71.22</t>
  </si>
  <si>
    <t>3.69</t>
  </si>
  <si>
    <t>15.985679</t>
  </si>
  <si>
    <t>108.201567</t>
  </si>
  <si>
    <t>67.53</t>
  </si>
  <si>
    <t>full_h04/TP Đà Nẵng/TP Đà Nẵng/Mạng cấp 4 - ĐN cũ/Ring 3 - DN/TTKV Ngũ Hành Sơn - Hòa Xuân/Trung thế</t>
  </si>
  <si>
    <t>Đà Nẵng#CAX#Hòa Xuân-DNCL67</t>
  </si>
  <si>
    <t>15.98092</t>
  </si>
  <si>
    <t>108.21241</t>
  </si>
  <si>
    <t>FO thuê#CMC#DNHV12-DNCL67</t>
  </si>
  <si>
    <t>1039.66</t>
  </si>
  <si>
    <t>160.84</t>
  </si>
  <si>
    <t>Đà Nẵng#CAX#Hòa Xuân-22DN015</t>
  </si>
  <si>
    <t>FO thuê#PITC#22DN015-DNHV12</t>
  </si>
  <si>
    <t>Lỗi Tọa độ: Cột 'lat2' ('#N/A') không phải là số hợp lệ. | Cột 'lon2' ('#N/A') không phải là số hợp lệ.</t>
  </si>
  <si>
    <t>Đà Nẵng#CAX#Hòa Xuân-22DN067</t>
  </si>
  <si>
    <t>FO thuê#PITC#22DN067-DNHV12</t>
  </si>
  <si>
    <t>Đà Nẵng#Phòng#Trại giam CATP-DNHW10</t>
  </si>
  <si>
    <t>16.07797</t>
  </si>
  <si>
    <t>108.1151</t>
  </si>
  <si>
    <t>16.07799</t>
  </si>
  <si>
    <t>108.11456</t>
  </si>
  <si>
    <t>FO thuê#CMC#DNHW22-DNHW10</t>
  </si>
  <si>
    <t>Trạm CSGT Hòa Hiệp - Trại giam CATP</t>
  </si>
  <si>
    <t>56.27</t>
  </si>
  <si>
    <t>12.02</t>
  </si>
  <si>
    <t>16.078044</t>
  </si>
  <si>
    <t>108.115018</t>
  </si>
  <si>
    <t>44.25</t>
  </si>
  <si>
    <t>16.077950</t>
  </si>
  <si>
    <t>108.114972</t>
  </si>
  <si>
    <t>full_h04/TP Đà Nẵng/TP Đà Nẵng/Mạng cấp 3_ DN và Quảng Nam/Phòng - Ring 3 (ĐN ).kmz/Phòng - Ring 3 (ĐN )/Trạm CSGT Hòa Hiệp - Trại giam CATP/Trạm CSGT Hòa Hiệp - Trại giam CATP - Trung thế 3</t>
  </si>
  <si>
    <t>Đà Nẵng#Phòng#PK02-DNCL31</t>
  </si>
  <si>
    <t>16.04673</t>
  </si>
  <si>
    <t>108.1571</t>
  </si>
  <si>
    <t>16.04747</t>
  </si>
  <si>
    <t>108.17698</t>
  </si>
  <si>
    <t>FO thuê#PITC#DNCL31-DNLC06</t>
  </si>
  <si>
    <t>TT1 Đà Nẵng - PK02</t>
  </si>
  <si>
    <t>1791.00</t>
  </si>
  <si>
    <t>41.12</t>
  </si>
  <si>
    <t>16.046609</t>
  </si>
  <si>
    <t>108.157463</t>
  </si>
  <si>
    <t>1749.89</t>
  </si>
  <si>
    <t>16.049126</t>
  </si>
  <si>
    <t>108.160696</t>
  </si>
  <si>
    <t>full_h04/TP Đà Nẵng/TP Đà Nẵng/Mạng cấp 3_ DN và Quảng Nam/Phòng - Ring 1 ( ĐN )4.kmz/Phòng - Ring 1 ( ĐN )/TT1 Đà Nẵng - PK02/TT1 Đà Nẵng - PK02_hạ thế ( trụ chiếu sáng) _1</t>
  </si>
  <si>
    <t>Đà Nẵng#Phòng#PK02-DNLC21</t>
  </si>
  <si>
    <t>16.05435</t>
  </si>
  <si>
    <t>108.15813</t>
  </si>
  <si>
    <t>FO thuê#PITC#DNLC06-DNLC21</t>
  </si>
  <si>
    <t>PK02 - TTCMKV Liên Chiểu</t>
  </si>
  <si>
    <t>121.93</t>
  </si>
  <si>
    <t>33.35</t>
  </si>
  <si>
    <t>16.046617</t>
  </si>
  <si>
    <t>108.157389</t>
  </si>
  <si>
    <t>88.58</t>
  </si>
  <si>
    <t>16.053638</t>
  </si>
  <si>
    <t>108.157757</t>
  </si>
  <si>
    <t>full_h04/TP Đà Nẵng/TP Đà Nẵng/Mạng cấp 3_ DN và Quảng Nam/Phòng - Ring 3 (ĐN ).kmz/Phòng - Ring 3 (ĐN )/PK02 - TTCMKV Liên Chiểu/PK02 - TTCMKV Liên Chiểu_hạ thế 1</t>
  </si>
  <si>
    <t>Đà Nẵng#Phòng#Trạm CSGT Hòa Hiệp-DNLC31</t>
  </si>
  <si>
    <t>16.14062</t>
  </si>
  <si>
    <t>108.1196</t>
  </si>
  <si>
    <t>16.11658</t>
  </si>
  <si>
    <t>108.10466</t>
  </si>
  <si>
    <t>FO thuê#VNPT#DNLC31-DNLC11</t>
  </si>
  <si>
    <t>1713.56</t>
  </si>
  <si>
    <t>20.38</t>
  </si>
  <si>
    <t>16.140616</t>
  </si>
  <si>
    <t>108.119791</t>
  </si>
  <si>
    <t>1693.18</t>
  </si>
  <si>
    <t>16.128189</t>
  </si>
  <si>
    <t>108.114917</t>
  </si>
  <si>
    <t>full_h04/TP Đà Nẵng/TP Đà Nẵng/Mạng cấp 3_ DN và Quảng Nam/Phòng - Ring 3 (ĐN ).kmz/Phòng - Ring 3 (ĐN )/Trạm CSGT Hòa Hiệp - Trại giam CATP/Trạm CSGT Hòa Hiệp - Trại giam CATP - Trung thế 1</t>
  </si>
  <si>
    <t>Đà Nẵng#Phòng#Trạm CSGT Hòa Hiệp-DNLC28</t>
  </si>
  <si>
    <t>16.12582</t>
  </si>
  <si>
    <t>108.12071</t>
  </si>
  <si>
    <t>FO thuê#CMC#DNLC28-DNLC11</t>
  </si>
  <si>
    <t>129.50</t>
  </si>
  <si>
    <t>109.11</t>
  </si>
  <si>
    <t>16.125029</t>
  </si>
  <si>
    <t>108.120106</t>
  </si>
  <si>
    <t>Đà Nẵng#Phòng#Trạm CSGT Hòa Hiệp-DNLC1E</t>
  </si>
  <si>
    <t>16.124568</t>
  </si>
  <si>
    <t>108.113549</t>
  </si>
  <si>
    <t>FO thuê#CMC#DNLC11-DNLC1E</t>
  </si>
  <si>
    <t>448.73</t>
  </si>
  <si>
    <t>428.35</t>
  </si>
  <si>
    <t>Đà Nẵng#Phòng#Trạm CSGT Hòa Hiệp-DNLC64</t>
  </si>
  <si>
    <t>16.12799</t>
  </si>
  <si>
    <t>108.12224</t>
  </si>
  <si>
    <t>FO thuê#CMC#DNLC11-DNLC64</t>
  </si>
  <si>
    <t>329.95</t>
  </si>
  <si>
    <t>16.23</t>
  </si>
  <si>
    <t>108.119752</t>
  </si>
  <si>
    <t>313.73</t>
  </si>
  <si>
    <t>16.127396</t>
  </si>
  <si>
    <t>108.119369</t>
  </si>
  <si>
    <t>Đà Nẵng#Phòng#Trạm CSGT Hòa Hiệp-DNHW23</t>
  </si>
  <si>
    <t>16.11111</t>
  </si>
  <si>
    <t>108.08781</t>
  </si>
  <si>
    <t>FO thuê#PITC#DNHW23-DNLC11</t>
  </si>
  <si>
    <t>3483.25</t>
  </si>
  <si>
    <t>3462.87</t>
  </si>
  <si>
    <t>Đà Nẵng#Phòng#Trạm CSGT Hòa Hiệp-Đà Nẵng#CAX#Hải Vân</t>
  </si>
  <si>
    <t>16.10747</t>
  </si>
  <si>
    <t>108.1261</t>
  </si>
  <si>
    <t>#PITC#DNLC11-DNLC22</t>
  </si>
  <si>
    <t>270.03</t>
  </si>
  <si>
    <t>249.65</t>
  </si>
  <si>
    <t>16.107706</t>
  </si>
  <si>
    <t>108.128424</t>
  </si>
  <si>
    <t>Đà Nẵng#CAX#Liên Chiểu-DNLC36</t>
  </si>
  <si>
    <t>16.07482</t>
  </si>
  <si>
    <t>108.13389</t>
  </si>
  <si>
    <t>FO thuê#PITC#DNLC36-DNLC1P</t>
  </si>
  <si>
    <t>PK02 - Trại giam CATP</t>
  </si>
  <si>
    <t>734.04</t>
  </si>
  <si>
    <t>674.86</t>
  </si>
  <si>
    <t>16.071720</t>
  </si>
  <si>
    <t>108.142016</t>
  </si>
  <si>
    <t>16.074544</t>
  </si>
  <si>
    <t>108.134364</t>
  </si>
  <si>
    <t>full_h04/TP Đà Nẵng/TP Đà Nẵng/Mạng cấp 3_ DN và Quảng Nam/Phòng - Ring 1 ( ĐN )4.kmz/Phòng - Ring 1 ( ĐN )/PK02 - Trại giam CATP/hạ thế 1</t>
  </si>
  <si>
    <t>Đà Nẵng#CAX#Liên Chiểu-Đà Nẵng#TTCMKV#Liên Chiểu</t>
  </si>
  <si>
    <t>Đà Nẵng#CAX#Hải Vân-DNLC10</t>
  </si>
  <si>
    <t>16.11484</t>
  </si>
  <si>
    <t>108.12662</t>
  </si>
  <si>
    <t>FO thuê#CMC#DNLC10-DNLC22</t>
  </si>
  <si>
    <t>365.21</t>
  </si>
  <si>
    <t>115.56</t>
  </si>
  <si>
    <t>16.114078</t>
  </si>
  <si>
    <t>108.127355</t>
  </si>
  <si>
    <t>Đà Nẵng#CAX#Hải Vân-DNLC33</t>
  </si>
  <si>
    <t>16.1127078</t>
  </si>
  <si>
    <t>108.1286299</t>
  </si>
  <si>
    <t>FO thuê#CMC#DNLC33-DNLC22</t>
  </si>
  <si>
    <t>263.79</t>
  </si>
  <si>
    <t>14.14</t>
  </si>
  <si>
    <t>16.112758</t>
  </si>
  <si>
    <t>108.128508</t>
  </si>
  <si>
    <t>Đà Nẵng#CAX#Hải Vân-DNLC1C</t>
  </si>
  <si>
    <t>16.12752</t>
  </si>
  <si>
    <t>108.11735</t>
  </si>
  <si>
    <t>FO thuê#CMC#DNLC1C-DNLC22</t>
  </si>
  <si>
    <t>323.51</t>
  </si>
  <si>
    <t>73.85</t>
  </si>
  <si>
    <t>16.128005</t>
  </si>
  <si>
    <t>108.116878</t>
  </si>
  <si>
    <t>Đà Nẵng#CAX#Hải Vân-DNLC68</t>
  </si>
  <si>
    <t>16.10466</t>
  </si>
  <si>
    <t>108.12659</t>
  </si>
  <si>
    <t>FO thuê#CMC#DNLC22-DNLC68</t>
  </si>
  <si>
    <t>Hải Vân - Liên Chiểu</t>
  </si>
  <si>
    <t>212.85</t>
  </si>
  <si>
    <t>60.02</t>
  </si>
  <si>
    <t>16.107116</t>
  </si>
  <si>
    <t>108.125676</t>
  </si>
  <si>
    <t>152.83</t>
  </si>
  <si>
    <t>16.106024</t>
  </si>
  <si>
    <t>108.126414</t>
  </si>
  <si>
    <t>full_h04/TP Đà Nẵng/TP Đà Nẵng/Mạng cấp 4 - ĐN cũ/Ring 5 - DN/Hải Vân - Liên Chiểu/Cống bể mới</t>
  </si>
  <si>
    <t>Đà Nẵng#CAX#Hải Vân-Đà Nẵng#Phòng#Trạm CSGT Hòa Hiệp</t>
  </si>
  <si>
    <t>Đà Nẵng#CAX#Hải Vân-DNLC13</t>
  </si>
  <si>
    <t>16.10014</t>
  </si>
  <si>
    <t>108.13362</t>
  </si>
  <si>
    <t>FO thuê#PITC#DNLC22-DNLC13</t>
  </si>
  <si>
    <t>194.31</t>
  </si>
  <si>
    <t>14.62</t>
  </si>
  <si>
    <t>16.107544</t>
  </si>
  <si>
    <t>108.125987</t>
  </si>
  <si>
    <t>179.69</t>
  </si>
  <si>
    <t>16.100844</t>
  </si>
  <si>
    <t>108.135134</t>
  </si>
  <si>
    <t>full_h04/TP Đà Nẵng/TP Đà Nẵng/Mạng cấp 4 - ĐN cũ/Ring 5 - DN/TT1 Đà Nẵng-Hải Vân/Trung thế</t>
  </si>
  <si>
    <t>Đà Nẵng#CAX#Ngũ Hành Sơn-DNNH08</t>
  </si>
  <si>
    <t>16.03888</t>
  </si>
  <si>
    <t>108.2423</t>
  </si>
  <si>
    <t>16.03887</t>
  </si>
  <si>
    <t>108.24853</t>
  </si>
  <si>
    <t>FO thuê#CMC#DNNH08-DNNH59</t>
  </si>
  <si>
    <t>A01 - A06 (CS1) -new</t>
  </si>
  <si>
    <t>577.95</t>
  </si>
  <si>
    <t>16.040160</t>
  </si>
  <si>
    <t>108.242241</t>
  </si>
  <si>
    <t>435.49</t>
  </si>
  <si>
    <t>16.042145</t>
  </si>
  <si>
    <t>108.246294</t>
  </si>
  <si>
    <t>full_h04/TP Đà Nẵng/TP Đà Nẵng/Mạng cấp 2/Cấp 2 - Ring 1 - Hiệu chỉnh/Ring 1/A01 - A06 (CS1) -new/Trung Thế</t>
  </si>
  <si>
    <t>Đà Nẵng#CAX#Ngũ Hành Sơn-DNNH1T</t>
  </si>
  <si>
    <t>16.0397921</t>
  </si>
  <si>
    <t>108.2456869</t>
  </si>
  <si>
    <t>FO thuê#CMC#DNNH1T-DNNH59</t>
  </si>
  <si>
    <t>K01 - A01</t>
  </si>
  <si>
    <t>363.23</t>
  </si>
  <si>
    <t>50.98</t>
  </si>
  <si>
    <t>16.038462</t>
  </si>
  <si>
    <t>108.242496</t>
  </si>
  <si>
    <t>312.25</t>
  </si>
  <si>
    <t>16.042570</t>
  </si>
  <si>
    <t>108.245257</t>
  </si>
  <si>
    <t>full_h04/TP Đà Nẵng/TP Đà Nẵng/Mạng cấp 2/Cấp 2 - Ring 3/K01 - A01/Ngầm hiện hữu</t>
  </si>
  <si>
    <t>Đà Nẵng#CAX#Ngũ Hành Sơn-DNNH63</t>
  </si>
  <si>
    <t>16.049395</t>
  </si>
  <si>
    <t>108.248625</t>
  </si>
  <si>
    <t>FO thuê#CMC#DNNH63-DNNH59</t>
  </si>
  <si>
    <t>Bệnh viện 199 - A01 - ok</t>
  </si>
  <si>
    <t>676.28</t>
  </si>
  <si>
    <t>560.01</t>
  </si>
  <si>
    <t>16.042152</t>
  </si>
  <si>
    <t>108.246284</t>
  </si>
  <si>
    <t>116.27</t>
  </si>
  <si>
    <t>16.049909</t>
  </si>
  <si>
    <t>108.247678</t>
  </si>
  <si>
    <t>full_h04/TP Đà Nẵng/TP Đà Nẵng/Mạng cấp 2/Cấp 2 - Ring 1 - Hiệu chỉnh/Ring 1/Bệnh viện 199 - A01 - ok/Trung thế</t>
  </si>
  <si>
    <t>Đà Nẵng#CAX#Ngũ Hành Sơn-DNNH64</t>
  </si>
  <si>
    <t>FO thuê#PITC#DNNH59-DNNH64</t>
  </si>
  <si>
    <t>Đà Nẵng#CAX#Ngũ Hành Sơn-DNNH65</t>
  </si>
  <si>
    <t>16.04351</t>
  </si>
  <si>
    <t>108.2424</t>
  </si>
  <si>
    <t>FO thuê#CMC#DNNH59-DNNH65</t>
  </si>
  <si>
    <t>142.65</t>
  </si>
  <si>
    <t>91.67</t>
  </si>
  <si>
    <t>16.043058</t>
  </si>
  <si>
    <t>108.243117</t>
  </si>
  <si>
    <t>Đà Nẵng#CAX#Ngũ Hành Sơn-DNNH74</t>
  </si>
  <si>
    <t>16.04887</t>
  </si>
  <si>
    <t>108.24847</t>
  </si>
  <si>
    <t>FO thuê#CMC#DNNH59-DNNH74</t>
  </si>
  <si>
    <t>631.40</t>
  </si>
  <si>
    <t>71.39</t>
  </si>
  <si>
    <t>16.048372</t>
  </si>
  <si>
    <t>108.248048</t>
  </si>
  <si>
    <t>Đà Nẵng#CAX#Ngũ Hành Sơn-DNNH80</t>
  </si>
  <si>
    <t>16.041505</t>
  </si>
  <si>
    <t>108.248295</t>
  </si>
  <si>
    <t>FO thuê#CMC#DNNH59-DNNH80</t>
  </si>
  <si>
    <t>367.76</t>
  </si>
  <si>
    <t>225.31</t>
  </si>
  <si>
    <t>Đà Nẵng#CAX#An Khê-DNCL74</t>
  </si>
  <si>
    <t>16.05719</t>
  </si>
  <si>
    <t>108.1815</t>
  </si>
  <si>
    <t>16.05673</t>
  </si>
  <si>
    <t>108.18025</t>
  </si>
  <si>
    <t>FO thuê#CMC#DNCL74-DNTK08</t>
  </si>
  <si>
    <t>Hòa Khánh - An Khê</t>
  </si>
  <si>
    <t>56.62</t>
  </si>
  <si>
    <t>6.41</t>
  </si>
  <si>
    <t>16.057247</t>
  </si>
  <si>
    <t>108.181504</t>
  </si>
  <si>
    <t>50.21</t>
  </si>
  <si>
    <t>16.056949</t>
  </si>
  <si>
    <t>108.180661</t>
  </si>
  <si>
    <t>full_h04/TP Đà Nẵng/TP Đà Nẵng/Mạng cấp 4 - ĐN cũ/Ring 6 - DN/Hòa Khánh - An Khê/Trung thế</t>
  </si>
  <si>
    <t>Đà Nẵng#CAX#Thanh Khê-DNTK32</t>
  </si>
  <si>
    <t>16.07077</t>
  </si>
  <si>
    <t>108.1924</t>
  </si>
  <si>
    <t>16.06952</t>
  </si>
  <si>
    <t>108.18445</t>
  </si>
  <si>
    <t>FO thuê#CMC#DNTK32-DNTK10</t>
  </si>
  <si>
    <t>75.76</t>
  </si>
  <si>
    <t>52.73</t>
  </si>
  <si>
    <t>16.071179</t>
  </si>
  <si>
    <t>108.192150</t>
  </si>
  <si>
    <t>16.069703</t>
  </si>
  <si>
    <t>108.184551</t>
  </si>
  <si>
    <t>Đà Nẵng#CAX#Thanh Khê-DNTK75</t>
  </si>
  <si>
    <t>108.19159</t>
  </si>
  <si>
    <t>FO thuê#CMC#DNTK10-DNTK75</t>
  </si>
  <si>
    <t>An Khê - Thanh Khê</t>
  </si>
  <si>
    <t>32.79</t>
  </si>
  <si>
    <t>10.87</t>
  </si>
  <si>
    <t>16.070730</t>
  </si>
  <si>
    <t>108.192493</t>
  </si>
  <si>
    <t>21.92</t>
  </si>
  <si>
    <t>16.070101</t>
  </si>
  <si>
    <t>108.191766</t>
  </si>
  <si>
    <t>full_h04/TP Đà Nẵng/TP Đà Nẵng/Mạng cấp 4 - ĐN cũ/Ring 6 - DN/An Khê - Thanh Khê/Trung thế</t>
  </si>
  <si>
    <t>Đà Nẵng#CAX#Thanh Khê-DNTK76</t>
  </si>
  <si>
    <t>16.07399</t>
  </si>
  <si>
    <t>108.18022</t>
  </si>
  <si>
    <t>FO thuê#CMC#DNTK10-DNTK76</t>
  </si>
  <si>
    <t>284.45</t>
  </si>
  <si>
    <t>195.19</t>
  </si>
  <si>
    <t>16.072437</t>
  </si>
  <si>
    <t>108.191826</t>
  </si>
  <si>
    <t>89.26</t>
  </si>
  <si>
    <t>16.073190</t>
  </si>
  <si>
    <t>108.180293</t>
  </si>
  <si>
    <t>full_h04/TP Đà Nẵng/TP Đà Nẵng/Mạng cấp 3_ DN và Quảng Nam/Cấp 3 - Ring 2 - Đà Nẵng cũ/TT1 Đà Nẵng - Liên Chiểu/Trung thế TT1 Đà nẵng - Liên chiểu 2</t>
  </si>
  <si>
    <t>Đà Nẵng#CAX#Thanh Khê-DNTK13</t>
  </si>
  <si>
    <t>16.071265</t>
  </si>
  <si>
    <t>108.200369</t>
  </si>
  <si>
    <t>FO thuê#PITC#DNTK13-DNTK10</t>
  </si>
  <si>
    <t>Thanh Khê - TT1 Đà Nẵng</t>
  </si>
  <si>
    <t>69.67</t>
  </si>
  <si>
    <t>11.25</t>
  </si>
  <si>
    <t>16.070743</t>
  </si>
  <si>
    <t>108.192502</t>
  </si>
  <si>
    <t>58.42</t>
  </si>
  <si>
    <t>16.071004</t>
  </si>
  <si>
    <t>108.200844</t>
  </si>
  <si>
    <t>full_h04/TP Đà Nẵng/TP Đà Nẵng/Mạng cấp 4 - ĐN cũ/Ring 6 - DN/Thanh Khê - TT1 Đà Nẵng/Trung thế</t>
  </si>
  <si>
    <t>Đà Nẵng#CAX#Thanh Khê-DNTK14</t>
  </si>
  <si>
    <t>16.06531</t>
  </si>
  <si>
    <t>108.20105</t>
  </si>
  <si>
    <t>FO thuê#PITC#DNTK10-DNTK14</t>
  </si>
  <si>
    <t>644.80</t>
  </si>
  <si>
    <t>633.54</t>
  </si>
  <si>
    <t>Quảng Nam#CAX#Điện Bàn Đông-QADB34</t>
  </si>
  <si>
    <t>15.949</t>
  </si>
  <si>
    <t>108.2549</t>
  </si>
  <si>
    <t>15.93552</t>
  </si>
  <si>
    <t>108.25534</t>
  </si>
  <si>
    <t>FO thuê#PITC#QADB02-QADB34</t>
  </si>
  <si>
    <t>An Thắng - Điện Bàn Đông</t>
  </si>
  <si>
    <t>50.99</t>
  </si>
  <si>
    <t>15.948992</t>
  </si>
  <si>
    <t>108.254724</t>
  </si>
  <si>
    <t>32.19</t>
  </si>
  <si>
    <t>15.935429</t>
  </si>
  <si>
    <t>108.255054</t>
  </si>
  <si>
    <t>full_h04/TP Đà Nẵng/TP Đà Nẵng/Mạng cấp 4 - Quảng Nam/Quảng Nam - Ring 1/An Thắng - Điện Bàn Đông/trung thế</t>
  </si>
  <si>
    <t>Quảng Nam#CAX#Điện Bàn Đông-QADB35</t>
  </si>
  <si>
    <t>15.92581</t>
  </si>
  <si>
    <t>108.28296</t>
  </si>
  <si>
    <t>FO thuê#PITC#QADB02-QADB35</t>
  </si>
  <si>
    <t>Điện Bàn Đông - Hội An Tây</t>
  </si>
  <si>
    <t>2934.09</t>
  </si>
  <si>
    <t>18.85</t>
  </si>
  <si>
    <t>15.948995</t>
  </si>
  <si>
    <t>2915.24</t>
  </si>
  <si>
    <t>15.929613</t>
  </si>
  <si>
    <t>108.255984</t>
  </si>
  <si>
    <t>full_h04/TP Đà Nẵng/TP Đà Nẵng/Mạng cấp 4 - Quảng Nam/Quảng Nam - Ring 1/Điện Bàn Đông - Hội An Tây/hạ thế</t>
  </si>
  <si>
    <t>Quảng Nam#CAX#Điện Bàn Đông-QADB59</t>
  </si>
  <si>
    <t>15.94121</t>
  </si>
  <si>
    <t>108.26717</t>
  </si>
  <si>
    <t>FO thuê#PITC#QADB02-QADB59</t>
  </si>
  <si>
    <t>1353.26</t>
  </si>
  <si>
    <t>1334.46</t>
  </si>
  <si>
    <t>15.942147</t>
  </si>
  <si>
    <t>108.254727</t>
  </si>
  <si>
    <t>Quảng Nam#CAX#Điện Bàn Đông-QADB64</t>
  </si>
  <si>
    <t>15.94834</t>
  </si>
  <si>
    <t>108.26868</t>
  </si>
  <si>
    <t>FO thuê#PITC#QADB02-QADB64</t>
  </si>
  <si>
    <t>1475.32</t>
  </si>
  <si>
    <t>1.42</t>
  </si>
  <si>
    <t>15.949006</t>
  </si>
  <si>
    <t>108.254912</t>
  </si>
  <si>
    <t>1473.90</t>
  </si>
  <si>
    <t>full_h04/TP Đà Nẵng/TP Đà Nẵng/Mạng cấp 4 - Quảng Nam/Quảng Nam - Ring 1/Điện Bàn Đông - Hội An Tây/trồng mới 1</t>
  </si>
  <si>
    <t>Quảng Nam#CAX#Điện Bàn Đông-QADB11</t>
  </si>
  <si>
    <t>15.92736</t>
  </si>
  <si>
    <t>108.26009</t>
  </si>
  <si>
    <t>FO thuê#CMC#QADB11-QADB02</t>
  </si>
  <si>
    <t>524.31</t>
  </si>
  <si>
    <t>505.47</t>
  </si>
  <si>
    <t>Quảng Nam#CAX#Điện Bàn Đông-QADB16</t>
  </si>
  <si>
    <t>15.93443</t>
  </si>
  <si>
    <t>108.23181</t>
  </si>
  <si>
    <t>FO thuê#CMC#QADB02-QADB16</t>
  </si>
  <si>
    <t>345.33</t>
  </si>
  <si>
    <t>326.53</t>
  </si>
  <si>
    <t>15.935865</t>
  </si>
  <si>
    <t>108.229145</t>
  </si>
  <si>
    <t>Quảng Nam#CAX#Điện Bàn Đông-QADB53</t>
  </si>
  <si>
    <t>15.96575</t>
  </si>
  <si>
    <t>108.25373</t>
  </si>
  <si>
    <t>FO thuê#CMC#QADB53-QADB02</t>
  </si>
  <si>
    <t>Điện Bàn Bắc - TTCMKV Hội An</t>
  </si>
  <si>
    <t>1756.61</t>
  </si>
  <si>
    <t>707.06</t>
  </si>
  <si>
    <t>15.955358</t>
  </si>
  <si>
    <t>108.254784</t>
  </si>
  <si>
    <t>1049.55</t>
  </si>
  <si>
    <t>15.956380</t>
  </si>
  <si>
    <t>108.254917</t>
  </si>
  <si>
    <t>full_h04/TP Đà Nẵng/TP Đà Nẵng/Mạng cấp 4 - Quảng Nam/Quảng Nam - Ring 2/Điện Bàn Bắc - TTCMKV Hội An/trung thế 2</t>
  </si>
  <si>
    <t>Quảng Nam#CAX#Điện Bàn Đông-QADB36</t>
  </si>
  <si>
    <t>15.95881344</t>
  </si>
  <si>
    <t>108.2381446</t>
  </si>
  <si>
    <t>FO thuê#CMC#QADB36-QADB02</t>
  </si>
  <si>
    <t>1258.81</t>
  </si>
  <si>
    <t>551.75</t>
  </si>
  <si>
    <t>15.954058</t>
  </si>
  <si>
    <t>108.239617</t>
  </si>
  <si>
    <t>Quảng Nam#CAX#Điện Bàn Đông-20QA168</t>
  </si>
  <si>
    <t>FO thuê#PITC#20QA168-QADB02</t>
  </si>
  <si>
    <t>Quảng Nam#CAX#Thu Bồn-QADX70</t>
  </si>
  <si>
    <t>15.82998</t>
  </si>
  <si>
    <t>108.1244</t>
  </si>
  <si>
    <t>15.82794</t>
  </si>
  <si>
    <t>108.10744</t>
  </si>
  <si>
    <t>FO thuê#PITC#QADX70-QADX19</t>
  </si>
  <si>
    <t>Thu Bồn - Gò Nổi</t>
  </si>
  <si>
    <t>1816.05</t>
  </si>
  <si>
    <t>47.71</t>
  </si>
  <si>
    <t>15.829673</t>
  </si>
  <si>
    <t>108.124711</t>
  </si>
  <si>
    <t>1768.33</t>
  </si>
  <si>
    <t>15.828954</t>
  </si>
  <si>
    <t>108.123936</t>
  </si>
  <si>
    <t>full_h04/TP Đà Nẵng/TP Đà Nẵng/Mạng cấp 4 - Quảng Nam/Quảng Nam - Ring 3/Thu Bồn - Gò Nổi/hạ thế 1</t>
  </si>
  <si>
    <t>Quảng Nam#CAX#Hội An Đông-QAHA02</t>
  </si>
  <si>
    <t>15.88636</t>
  </si>
  <si>
    <t>108.3625</t>
  </si>
  <si>
    <t>15.90245084</t>
  </si>
  <si>
    <t>108.3546292</t>
  </si>
  <si>
    <t>FO thuê#CMC#QAHA02-QAHA18</t>
  </si>
  <si>
    <t>Hội An Đông - TTCMKV Hội An</t>
  </si>
  <si>
    <t>15.886374</t>
  </si>
  <si>
    <t>108.362518</t>
  </si>
  <si>
    <t>1379.26</t>
  </si>
  <si>
    <t>15.890886</t>
  </si>
  <si>
    <t>108.359292</t>
  </si>
  <si>
    <t>full_h04/TP Đà Nẵng/TP Đà Nẵng/Mạng cấp 4 - Quảng Nam/Quảng Nam - Ring 7_them E28/Quảng Nam - Ring 7 - ok/Hội An Đông - TTCMKV Hội An/trung thế 1</t>
  </si>
  <si>
    <t>Quảng Nam#CAX#Hội An Đông-QAHA04</t>
  </si>
  <si>
    <t>15.8812723</t>
  </si>
  <si>
    <t>108.3430994</t>
  </si>
  <si>
    <t>FO thuê#CMC#QAHA18-QAHA04</t>
  </si>
  <si>
    <t>40.75</t>
  </si>
  <si>
    <t>38.27</t>
  </si>
  <si>
    <t>15.881281</t>
  </si>
  <si>
    <t>108.343457</t>
  </si>
  <si>
    <t>Quảng Nam#CAX#Phú Ninh-QAPN05</t>
  </si>
  <si>
    <t>15.52352</t>
  </si>
  <si>
    <t>108.4193</t>
  </si>
  <si>
    <t>15.5174</t>
  </si>
  <si>
    <t>108.402</t>
  </si>
  <si>
    <t>FO thuê#VNPT#QAPN05-QAPN04</t>
  </si>
  <si>
    <t>239.53</t>
  </si>
  <si>
    <t>141.94</t>
  </si>
  <si>
    <t>15.524393</t>
  </si>
  <si>
    <t>108.418333</t>
  </si>
  <si>
    <t>97.60</t>
  </si>
  <si>
    <t>15.518005</t>
  </si>
  <si>
    <t>108.401340</t>
  </si>
  <si>
    <t>Quảng Nam#CAX#Phú Ninh-QAPN42</t>
  </si>
  <si>
    <t>15.5409</t>
  </si>
  <si>
    <t>108.4251</t>
  </si>
  <si>
    <t>FO thuê#PITC#QAPN42-QAPN04</t>
  </si>
  <si>
    <t>Chiên Đàn - Phú Ninh</t>
  </si>
  <si>
    <t>512.29</t>
  </si>
  <si>
    <t>293.67</t>
  </si>
  <si>
    <t>15.525581</t>
  </si>
  <si>
    <t>108.421014</t>
  </si>
  <si>
    <t>218.61</t>
  </si>
  <si>
    <t>15.538947</t>
  </si>
  <si>
    <t>108.425337</t>
  </si>
  <si>
    <t>full_h04/TP Đà Nẵng/TP Đà Nẵng/Mạng cấp 4 - Quảng Nam/Quảng Nam - Ring 14/Chiên Đàn - Phú Ninh/trung thế 2</t>
  </si>
  <si>
    <t>Quảng Nam#CAX#Phú Ninh-QAPN32</t>
  </si>
  <si>
    <t>15.5285</t>
  </si>
  <si>
    <t>108.4678</t>
  </si>
  <si>
    <t>FO thuê#PITC#QAPN32-QAPN04</t>
  </si>
  <si>
    <t>Phú Ninh - Hương Trà</t>
  </si>
  <si>
    <t>1997.04</t>
  </si>
  <si>
    <t>44.75</t>
  </si>
  <si>
    <t>15.523185</t>
  </si>
  <si>
    <t>108.419532</t>
  </si>
  <si>
    <t>1952.29</t>
  </si>
  <si>
    <t>15.544160</t>
  </si>
  <si>
    <t>108.459559</t>
  </si>
  <si>
    <t>full_h04/TP Đà Nẵng/TP Đà Nẵng/Mạng cấp 4 - Quảng Nam/Quảng Nam - Ring 14/Phú Ninh - Hương Trà/trung thế 1</t>
  </si>
  <si>
    <t>Quảng Nam#CAX#Phú Ninh-QAPN39</t>
  </si>
  <si>
    <t>15.5139</t>
  </si>
  <si>
    <t>108.4235</t>
  </si>
  <si>
    <t>FO thuê#PITC#QAPN39-QAPN04</t>
  </si>
  <si>
    <t>904.06</t>
  </si>
  <si>
    <t>859.31</t>
  </si>
  <si>
    <t>15.521298</t>
  </si>
  <si>
    <t>108.421182</t>
  </si>
  <si>
    <t>Quảng Nam#CAX#Phú Ninh-QATK41</t>
  </si>
  <si>
    <t>FO thuê#PITC#QAPN04-QATK41</t>
  </si>
  <si>
    <t>Đức phú - Phú Ninh</t>
  </si>
  <si>
    <t>628.92</t>
  </si>
  <si>
    <t>558.49</t>
  </si>
  <si>
    <t>15.528066</t>
  </si>
  <si>
    <t>108.421516</t>
  </si>
  <si>
    <t>70.43</t>
  </si>
  <si>
    <t>15.548544</t>
  </si>
  <si>
    <t>108.494412</t>
  </si>
  <si>
    <t>full_h04/TP Đà Nẵng/TP Đà Nẵng/Mạng cấp 4 - Quảng Nam/Quảng Nam - Ring 15/Đức phú - Phú Ninh/Trung thế</t>
  </si>
  <si>
    <t>Quảng Nam#CAX#Phú Ninh-QAPN22</t>
  </si>
  <si>
    <t>15.56253</t>
  </si>
  <si>
    <t>108.42493</t>
  </si>
  <si>
    <t>FO thuê#PITC#QAPN22-QAPN04</t>
  </si>
  <si>
    <t>1915.07</t>
  </si>
  <si>
    <t>1773.13</t>
  </si>
  <si>
    <t>15.550876</t>
  </si>
  <si>
    <t>108.413632</t>
  </si>
  <si>
    <t>Quảng Nam#CAX#Quế Sơn Trung-QAQS36</t>
  </si>
  <si>
    <t>15.7261</t>
  </si>
  <si>
    <t>108.27801</t>
  </si>
  <si>
    <t>FO thuê#VNPT#QAQS36-QAQS10</t>
  </si>
  <si>
    <t>Quế Sơn - Quế Sơn Trung</t>
  </si>
  <si>
    <t>460.28</t>
  </si>
  <si>
    <t>72.98</t>
  </si>
  <si>
    <t>15.736276</t>
  </si>
  <si>
    <t>108.288711</t>
  </si>
  <si>
    <t>387.30</t>
  </si>
  <si>
    <t>15.729505</t>
  </si>
  <si>
    <t>108.278774</t>
  </si>
  <si>
    <t>full_h04/TP Đà Nẵng/TP Đà Nẵng/Mạng cấp 4 - Quảng Nam/Quảng Nam - Ring 8 - ok/Quế Sơn - Quế Sơn Trung/trung thế 1</t>
  </si>
  <si>
    <t>Quảng Nam#CAX#Quế Sơn Trung-QATB42</t>
  </si>
  <si>
    <t>15.62891</t>
  </si>
  <si>
    <t>108.22826</t>
  </si>
  <si>
    <t>FO thuê#PITC#QATB42-QAQS10</t>
  </si>
  <si>
    <t>4995.92</t>
  </si>
  <si>
    <t>4922.94</t>
  </si>
  <si>
    <t>15.670724</t>
  </si>
  <si>
    <t>108.213151</t>
  </si>
  <si>
    <t>Quảng Nam#CAX#Quế Sơn Trung-QAQS49</t>
  </si>
  <si>
    <t>15.73266</t>
  </si>
  <si>
    <t>108.3063</t>
  </si>
  <si>
    <t>FO thuê#PITC#QAQS10-QAQS49</t>
  </si>
  <si>
    <t>Quế Sơn Trung - TTCMKV Thăng
 Bình</t>
  </si>
  <si>
    <t>789.81</t>
  </si>
  <si>
    <t>737.28</t>
  </si>
  <si>
    <t>15.740909</t>
  </si>
  <si>
    <t>108.293855</t>
  </si>
  <si>
    <t>52.52</t>
  </si>
  <si>
    <t>15.732188</t>
  </si>
  <si>
    <t>108.306318</t>
  </si>
  <si>
    <t>full_h04/TP Đà Nẵng/TP Đà Nẵng/Mạng cấp 4 - Quảng Nam/Quảng Nam - Ring 8 - ok/Quế Sơn Trung - TTCMKV Thăng
 Bình/hạ thế 2</t>
  </si>
  <si>
    <t>Quảng Nam#CAX#Quế Sơn Trung-Quảng Nam#TTCMKV#Thăng Bình</t>
  </si>
  <si>
    <t>Quảng Nam#CAX#Quế Sơn Trung-QAQS33</t>
  </si>
  <si>
    <t>15.748974</t>
  </si>
  <si>
    <t>108.303345</t>
  </si>
  <si>
    <t>FO thuê#CMC#QAQS33-QAQS10</t>
  </si>
  <si>
    <t>Quế Sơn - Đại Lộc</t>
  </si>
  <si>
    <t>634.34</t>
  </si>
  <si>
    <t>150.32</t>
  </si>
  <si>
    <t>108.289530</t>
  </si>
  <si>
    <t>484.02</t>
  </si>
  <si>
    <t>15.750251</t>
  </si>
  <si>
    <t>108.299021</t>
  </si>
  <si>
    <t>full_h04/TP Đà Nẵng/TP Đà Nẵng/Mạng cấp 3_ DN và Quảng Nam/Cấp 3 - Ring 3 - Quảng Nam cũ/Quế Sơn - Đại Lộc_ring 3_ cấp 3.kmz/Quế Sơn - Đại Lộc/trung thế 2</t>
  </si>
  <si>
    <t>Quảng Nam#CAX#Quế Sơn Trung-QAQS16</t>
  </si>
  <si>
    <t>15.71764</t>
  </si>
  <si>
    <t>108.30676</t>
  </si>
  <si>
    <t>FO thuê#CMC#QAQS16-QAQS10</t>
  </si>
  <si>
    <t>2252.62</t>
  </si>
  <si>
    <t>1515.33</t>
  </si>
  <si>
    <t>15.730776</t>
  </si>
  <si>
    <t>108.302993</t>
  </si>
  <si>
    <t>Quảng Nam#CAX#Xuân Phú-QAQS19</t>
  </si>
  <si>
    <t>15.77703</t>
  </si>
  <si>
    <t>108.3351</t>
  </si>
  <si>
    <t>FO thuê#PITC#QAQS19-QATB11</t>
  </si>
  <si>
    <t>Nam Phước - Xuân Phú</t>
  </si>
  <si>
    <t>827.40</t>
  </si>
  <si>
    <t>15.777139</t>
  </si>
  <si>
    <t>108.335114</t>
  </si>
  <si>
    <t>815.13</t>
  </si>
  <si>
    <t>15.776539</t>
  </si>
  <si>
    <t>108.330249</t>
  </si>
  <si>
    <t>full_h04/TP Đà Nẵng/TP Đà Nẵng/Mạng cấp 4 - Quảng Nam/Quảng Nam - Ring 7_them E28/Quảng Nam - Ring 7 - ok/Nam Phước - Xuân Phú/trung thế 1</t>
  </si>
  <si>
    <t>Quảng Nam#Phòng#Trạm CSGT Thăng Bình (X. Bình Phục, Thăng Bình)-QATB74</t>
  </si>
  <si>
    <t>15.72259</t>
  </si>
  <si>
    <t>108.36884</t>
  </si>
  <si>
    <t>FO thuê#PITC#QATB74-QATB14</t>
  </si>
  <si>
    <t>246.01</t>
  </si>
  <si>
    <t>15.720182</t>
  </si>
  <si>
    <t>108.375708</t>
  </si>
  <si>
    <t>223.11</t>
  </si>
  <si>
    <t>15.720674</t>
  </si>
  <si>
    <t>108.369459</t>
  </si>
  <si>
    <t>Quảng Nam#Phòng#Trạm CSGT Thăng Bình (X. Bình Phục, Thăng Bình)-QATB_ newsite 2</t>
  </si>
  <si>
    <t>15.745207</t>
  </si>
  <si>
    <t>108.359478</t>
  </si>
  <si>
    <t>FO thuê#PITC#QATB_ newsite 2-QATB14</t>
  </si>
  <si>
    <t>1297.81</t>
  </si>
  <si>
    <t>1274.91</t>
  </si>
  <si>
    <t>Quảng Nam#Phòng#Trạm CSGT Thăng Bình (X. Bình Phục, Thăng Bình)-Quảng Nam#CAX#Thăng Điền</t>
  </si>
  <si>
    <t>Quảng Nam#Phòng#Trạm CSGT Thăng Bình (X. Bình Phục, Thăng Bình)-QATB49</t>
  </si>
  <si>
    <t>15.70423</t>
  </si>
  <si>
    <t>108.38293</t>
  </si>
  <si>
    <t>FO thuê#PITC#QATB14-QATB49</t>
  </si>
  <si>
    <t>772.35</t>
  </si>
  <si>
    <t>471.00</t>
  </si>
  <si>
    <t>15.707373</t>
  </si>
  <si>
    <t>108.385880</t>
  </si>
  <si>
    <t>Quảng Nam#Phòng#Trạm CSGT Thăng Bình (X. Bình Phục, Thăng Bình)-QATB26</t>
  </si>
  <si>
    <t>15.69828</t>
  </si>
  <si>
    <t>108.39686</t>
  </si>
  <si>
    <t>FO thuê#PITC#QATB14-QATB26</t>
  </si>
  <si>
    <t>719.69</t>
  </si>
  <si>
    <t>418.34</t>
  </si>
  <si>
    <t>15.696898</t>
  </si>
  <si>
    <t>108.393225</t>
  </si>
  <si>
    <t>Quảng Nam#Phòng#Trạm CSGT Thăng Bình (X. Bình Phục, Thăng Bình)-QATB25</t>
  </si>
  <si>
    <t>FO thuê#PITC#QATB25-QATB14</t>
  </si>
  <si>
    <t>2144.64</t>
  </si>
  <si>
    <t>Quảng Nam#CAX#Thăng Phú-QATB1A</t>
  </si>
  <si>
    <t>15.6326</t>
  </si>
  <si>
    <t>108.3741</t>
  </si>
  <si>
    <t>15.62735</t>
  </si>
  <si>
    <t>108.388</t>
  </si>
  <si>
    <t>FO thuê#PITC#QATB1A-QATB34</t>
  </si>
  <si>
    <t>Thăng Phú - Tây Hồ</t>
  </si>
  <si>
    <t>724.10</t>
  </si>
  <si>
    <t>58.91</t>
  </si>
  <si>
    <t>15.632675</t>
  </si>
  <si>
    <t>108.374645</t>
  </si>
  <si>
    <t>665.19</t>
  </si>
  <si>
    <t>15.624164</t>
  </si>
  <si>
    <t>108.382743</t>
  </si>
  <si>
    <t>full_h04/TP Đà Nẵng/TP Đà Nẵng/Mạng cấp 4 - Quảng Nam/Quảng Nam - Ring 11 - ok/Thăng Phú - Tây Hồ/trung thế 1</t>
  </si>
  <si>
    <t>Quảng Nam#CAX#Thăng Phú-QATB59</t>
  </si>
  <si>
    <t>15.636993</t>
  </si>
  <si>
    <t>108.378782</t>
  </si>
  <si>
    <t>FO thuê#PITC#QATB59-QATB34</t>
  </si>
  <si>
    <t>576.87</t>
  </si>
  <si>
    <t>517.96</t>
  </si>
  <si>
    <t>15.633737</t>
  </si>
  <si>
    <t>108.375322</t>
  </si>
  <si>
    <t>Quảng Nam#CAX#Thăng Phú-QATB06</t>
  </si>
  <si>
    <t>15.66507</t>
  </si>
  <si>
    <t>108.35354</t>
  </si>
  <si>
    <t>FO thuê#PITC#QATB06-QATB34</t>
  </si>
  <si>
    <t>Thăng Bình - Thăng Phú</t>
  </si>
  <si>
    <t>1356.14</t>
  </si>
  <si>
    <t>55.98</t>
  </si>
  <si>
    <t>15.632129</t>
  </si>
  <si>
    <t>108.374284</t>
  </si>
  <si>
    <t>1300.16</t>
  </si>
  <si>
    <t>15.660126</t>
  </si>
  <si>
    <t>108.342536</t>
  </si>
  <si>
    <t>full_h04/TP Đà Nẵng/TP Đà Nẵng/Mạng cấp 4 - Quảng Nam/Quảng Nam - Ring 11 - ok/Thăng Bình - Thăng Phú/trung thế 1</t>
  </si>
  <si>
    <t>Quảng Nam#CAX#Thăng Phú-QATK71</t>
  </si>
  <si>
    <t>FO thuê#PITC#QATB34-QATK71</t>
  </si>
  <si>
    <t>5310.74</t>
  </si>
  <si>
    <t>5275.58</t>
  </si>
  <si>
    <t>15.651601</t>
  </si>
  <si>
    <t>108.419245</t>
  </si>
  <si>
    <t>Quảng Nam#CAX#Thăng Phú-QATB47</t>
  </si>
  <si>
    <t>15.65022</t>
  </si>
  <si>
    <t>108.39257</t>
  </si>
  <si>
    <t>FO thuê#PITC#QATB34-QATB47</t>
  </si>
  <si>
    <t>2660.80</t>
  </si>
  <si>
    <t>2601.89</t>
  </si>
  <si>
    <t>Quảng Nam#CAX#Hương Trà-Quảng Nam#TTCMKV#TT2 Tam Kỳ</t>
  </si>
  <si>
    <t>Quảng Nam#CAX#Hương Trà-Quảng Nam#Phòng#PC07</t>
  </si>
  <si>
    <t>15.57504</t>
  </si>
  <si>
    <t>108.4772</t>
  </si>
  <si>
    <t>#PITC#QATK18-QATK03</t>
  </si>
  <si>
    <t>1788.57</t>
  </si>
  <si>
    <t>1359.02</t>
  </si>
  <si>
    <t>Quảng Nam#CAX#Hương Trà-QATK70</t>
  </si>
  <si>
    <t>15.5518</t>
  </si>
  <si>
    <t>108.4921</t>
  </si>
  <si>
    <t>FO thuê#PITC#QATK70-QATK03</t>
  </si>
  <si>
    <t>812.28</t>
  </si>
  <si>
    <t>15.545833</t>
  </si>
  <si>
    <t>108.484005</t>
  </si>
  <si>
    <t>755.45</t>
  </si>
  <si>
    <t>15.547324</t>
  </si>
  <si>
    <t>108.486795</t>
  </si>
  <si>
    <t>full_h04/TP Đà Nẵng/TP Đà Nẵng/Mạng cấp 4 - Quảng Nam/Quảng Nam - Ring 14/Hương Trà - Tam Kỳ/hạ thế 1</t>
  </si>
  <si>
    <t>Quảng Nam#CAX#Tam Kỳ-QATK24</t>
  </si>
  <si>
    <t>15.56684</t>
  </si>
  <si>
    <t>108.47923</t>
  </si>
  <si>
    <t>FO thuê#PITC#QATK24-QATK05</t>
  </si>
  <si>
    <t>PC06 - PC07</t>
  </si>
  <si>
    <t>166.84</t>
  </si>
  <si>
    <t>153.25</t>
  </si>
  <si>
    <t>15.565082</t>
  </si>
  <si>
    <t>108.481034</t>
  </si>
  <si>
    <t>13.59</t>
  </si>
  <si>
    <t>15.566740</t>
  </si>
  <si>
    <t>108.479157</t>
  </si>
  <si>
    <t>full_h04/TP Đà Nẵng/TP Đà Nẵng/Mạng cấp 3_ DN và Quảng Nam/Phòng -  Ring 5 ( Quảng Nam)/PC06 - PC07/Trung thế 1</t>
  </si>
  <si>
    <t>Quảng Nam#Phòng#PK02-QATK57</t>
  </si>
  <si>
    <t>15.58243</t>
  </si>
  <si>
    <t>108.4643</t>
  </si>
  <si>
    <t>15.5733</t>
  </si>
  <si>
    <t>108.45273</t>
  </si>
  <si>
    <t>FO thuê#PITC#QATK15-QATK57</t>
  </si>
  <si>
    <t>PK02 - PC11</t>
  </si>
  <si>
    <t>1220.00</t>
  </si>
  <si>
    <t>218.62</t>
  </si>
  <si>
    <t>15.580760</t>
  </si>
  <si>
    <t>108.463223</t>
  </si>
  <si>
    <t>1001.38</t>
  </si>
  <si>
    <t>15.575601</t>
  </si>
  <si>
    <t>108.461769</t>
  </si>
  <si>
    <t>full_h04/TP Đà Nẵng/TP Đà Nẵng/Mạng cấp 3_ DN và Quảng Nam/Phòng -  Ring 4 ( Quảng Nam)/PK02 - PC11/Trung thế 1</t>
  </si>
  <si>
    <t>Quảng Nam#Phòng#PK02-QAPN22</t>
  </si>
  <si>
    <t>FO thuê#PITC#QATK15-QAPN22</t>
  </si>
  <si>
    <t>2366.52</t>
  </si>
  <si>
    <t>2292.22</t>
  </si>
  <si>
    <t>15.575385</t>
  </si>
  <si>
    <t>74.30</t>
  </si>
  <si>
    <t>15.562578</t>
  </si>
  <si>
    <t>108.425622</t>
  </si>
  <si>
    <t>Quảng Nam#Phòng#PK02-QATK71</t>
  </si>
  <si>
    <t>FO thuê#PITC#QATK71-QATK15</t>
  </si>
  <si>
    <t>448.32</t>
  </si>
  <si>
    <t>413.15</t>
  </si>
  <si>
    <t>15.585190</t>
  </si>
  <si>
    <t>108.466882</t>
  </si>
  <si>
    <t>Quảng Nam#Phòng#PC07-QATK71</t>
  </si>
  <si>
    <t>FO thuê#PITC#QATK71-QATK18</t>
  </si>
  <si>
    <t>TT2 Tam Kỳ - PC08</t>
  </si>
  <si>
    <t>133.14</t>
  </si>
  <si>
    <t>95.80</t>
  </si>
  <si>
    <t>15.575644</t>
  </si>
  <si>
    <t>108.476562</t>
  </si>
  <si>
    <t>37.33</t>
  </si>
  <si>
    <t>15.579679</t>
  </si>
  <si>
    <t>108.473950</t>
  </si>
  <si>
    <t>full_h04/TP Đà Nẵng/TP Đà Nẵng/Mạng cấp 3_ DN và Quảng Nam/Phòng -  Ring 5 ( Quảng Nam)/TT2 Tam Kỳ - PC08/Trung thế 1</t>
  </si>
  <si>
    <t>Quảng Nam#Phòng#PC07-Quảng Nam#CAX#Hương Trà</t>
  </si>
  <si>
    <t>Quảng Nam#Phòng#PC11-QATK36</t>
  </si>
  <si>
    <t>15.56439</t>
  </si>
  <si>
    <t>108.46027</t>
  </si>
  <si>
    <t>FO thuê#VNPT#QATK36-QATK22</t>
  </si>
  <si>
    <t>64.92</t>
  </si>
  <si>
    <t>19.86</t>
  </si>
  <si>
    <t>15.558758</t>
  </si>
  <si>
    <t>108.450018</t>
  </si>
  <si>
    <t>45.06</t>
  </si>
  <si>
    <t>15.564654</t>
  </si>
  <si>
    <t>108.459951</t>
  </si>
  <si>
    <t>full_h04/TP Đà Nẵng/TP Đà Nẵng/Mạng cấp 3_ DN và Quảng Nam/Phòng -  Ring 4 ( Quảng Nam)/PK02 - PC11/Hạ thế 2</t>
  </si>
  <si>
    <t>Quảng Nam#Phòng#PC11-QAPN17</t>
  </si>
  <si>
    <t>15.55249</t>
  </si>
  <si>
    <t>108.43562</t>
  </si>
  <si>
    <t>FO thuê#PITC#QATK22-QAPN17</t>
  </si>
  <si>
    <t>Phú Ninh - TT2 Tam Kỳ</t>
  </si>
  <si>
    <t>1025.56</t>
  </si>
  <si>
    <t>362.26</t>
  </si>
  <si>
    <t>15.560487</t>
  </si>
  <si>
    <t>108.447258</t>
  </si>
  <si>
    <t>663.31</t>
  </si>
  <si>
    <t>15.558166</t>
  </si>
  <si>
    <t>108.433716</t>
  </si>
  <si>
    <t>full_h04/TP Đà Nẵng/TP Đà Nẵng/Mạng cấp 3_ DN và Quảng Nam/Cấp 3 - Ring 4 - Quảng Nam cũ/Phú Ninh - TT2 Tam Kỳ/Đoạn hạ thế 2</t>
  </si>
  <si>
    <t>Quảng Nam#Phòng#PC11-QATK49</t>
  </si>
  <si>
    <t>15.55891</t>
  </si>
  <si>
    <t>108.4681</t>
  </si>
  <si>
    <t>FO thuê#PITC#QATK22-QATK49</t>
  </si>
  <si>
    <t>1061.48</t>
  </si>
  <si>
    <t>1041.62</t>
  </si>
  <si>
    <t>15.565383</t>
  </si>
  <si>
    <t>108.461071</t>
  </si>
  <si>
    <t>Quảng Nam#Phòng#PC11-QAPN41</t>
  </si>
  <si>
    <t>15.5499</t>
  </si>
  <si>
    <t>108.4525</t>
  </si>
  <si>
    <t>FO thuê#PITC#QATK22-QAPN41</t>
  </si>
  <si>
    <t>PC11 - TT2 Tam Kỳ</t>
  </si>
  <si>
    <t>961.83</t>
  </si>
  <si>
    <t>1.72</t>
  </si>
  <si>
    <t>15.558594</t>
  </si>
  <si>
    <t>108.450006</t>
  </si>
  <si>
    <t>960.11</t>
  </si>
  <si>
    <t>15.558470</t>
  </si>
  <si>
    <t>108.451409</t>
  </si>
  <si>
    <t>full_h04/TP Đà Nẵng/TP Đà Nẵng/Mạng cấp 3_ DN và Quảng Nam/Phòng -  Ring 4 ( Quảng Nam)/PC11 - TT2 Tam Kỳ/Trồng mới 1</t>
  </si>
  <si>
    <t>Quảng Nam#Phòng#PC11-QAPN21</t>
  </si>
  <si>
    <t>15.546</t>
  </si>
  <si>
    <t>108.4109</t>
  </si>
  <si>
    <t>FO thuê#PITC#QATK22-QAPN21</t>
  </si>
  <si>
    <t>1462.28</t>
  </si>
  <si>
    <t>1100.02</t>
  </si>
  <si>
    <t>15.553033</t>
  </si>
  <si>
    <t>108.418121</t>
  </si>
  <si>
    <t>Quảng Nam#Phòng#PC11-QATK71</t>
  </si>
  <si>
    <t>FO thuê#PITC#QATK71-QATK22</t>
  </si>
  <si>
    <t>2023.35</t>
  </si>
  <si>
    <t>1440.83</t>
  </si>
  <si>
    <t>15.565669</t>
  </si>
  <si>
    <t>108.461260</t>
  </si>
  <si>
    <t>582.51</t>
  </si>
  <si>
    <t>15.574359</t>
  </si>
  <si>
    <t>108.475303</t>
  </si>
  <si>
    <t>full_h04/TP Đà Nẵng/TP Đà Nẵng/Mạng cấp 3_ DN và Quảng Nam/Cấp 3 - Ring 4 - Quảng Nam cũ/Phú Ninh - TT2 Tam Kỳ/Đoạn trung thế 2</t>
  </si>
  <si>
    <t>Quảng Nam#Phòng#PA06-QAPN09</t>
  </si>
  <si>
    <t>15.58103</t>
  </si>
  <si>
    <t>108.4692</t>
  </si>
  <si>
    <t>15.58944</t>
  </si>
  <si>
    <t>108.44667</t>
  </si>
  <si>
    <t>FO thuê#PITC#QATK37-QAPN09</t>
  </si>
  <si>
    <t>1634.33</t>
  </si>
  <si>
    <t>212.68</t>
  </si>
  <si>
    <t>15.582588</t>
  </si>
  <si>
    <t>108.470351</t>
  </si>
  <si>
    <t>1421.65</t>
  </si>
  <si>
    <t>15.594262</t>
  </si>
  <si>
    <t>108.458964</t>
  </si>
  <si>
    <t>Quảng Nam#Phòng#PA06-QATK71</t>
  </si>
  <si>
    <t>FO thuê#PITC#QATK71-QATK37</t>
  </si>
  <si>
    <t>247.84</t>
  </si>
  <si>
    <t>Quảng Nam#CAX#Bàn Thạch-QATK71</t>
  </si>
  <si>
    <t>15.57577</t>
  </si>
  <si>
    <t>108.4771</t>
  </si>
  <si>
    <t>FO thuê#PITC#QATK71-QATK47</t>
  </si>
  <si>
    <t>72.52</t>
  </si>
  <si>
    <t>35.18</t>
  </si>
  <si>
    <t>15.575923</t>
  </si>
  <si>
    <t>108.476812</t>
  </si>
  <si>
    <t>Đà Nẵng#TTCMKV#Cẩm Lệ-DNHC07</t>
  </si>
  <si>
    <t>16.03716</t>
  </si>
  <si>
    <t>108.22093</t>
  </si>
  <si>
    <t>FO DT#MBF#DNHC07-DNCL28</t>
  </si>
  <si>
    <t>972.01</t>
  </si>
  <si>
    <t>958.72</t>
  </si>
  <si>
    <t>16.020700</t>
  </si>
  <si>
    <t>108.211562</t>
  </si>
  <si>
    <t>13.29</t>
  </si>
  <si>
    <t>16.037234</t>
  </si>
  <si>
    <t>108.221028</t>
  </si>
  <si>
    <t>full_h04/TP Đà Nẵng/TP Đà Nẵng/Mạng cấp 4 - ĐN cũ/Ring 7 - DN/Hòa CƯờng - TTKV Cẩm Lệ/Trung thế</t>
  </si>
  <si>
    <t>Đà Nẵng#TTCMKV#Cẩm Lệ-DNTK16</t>
  </si>
  <si>
    <t>16.04685</t>
  </si>
  <si>
    <t>108.18472</t>
  </si>
  <si>
    <t>FO DT#MBF#DNCL28-DNTK16</t>
  </si>
  <si>
    <t>H03 - Đ1 E28</t>
  </si>
  <si>
    <t>717.46</t>
  </si>
  <si>
    <t>428.05</t>
  </si>
  <si>
    <t>16.014690</t>
  </si>
  <si>
    <t>108.200235</t>
  </si>
  <si>
    <t>289.41</t>
  </si>
  <si>
    <t>16.046088</t>
  </si>
  <si>
    <t>108.182130</t>
  </si>
  <si>
    <t>full_h04/TP Đà Nẵng/TP Đà Nẵng/Mạng cấp 2/Cấp 2 - Ring 2/Ring 2 - hiệu chỉnh - ok/H03 - Đ1 E28/hạ Thế</t>
  </si>
  <si>
    <t>Đà Nẵng#TTCMKV#Cẩm Lệ-DNCL48</t>
  </si>
  <si>
    <t>16.0188</t>
  </si>
  <si>
    <t>108.20392</t>
  </si>
  <si>
    <t>FO DT#MBF#DNCL28-DNCL48</t>
  </si>
  <si>
    <t>207.17</t>
  </si>
  <si>
    <t>9.05</t>
  </si>
  <si>
    <t>16.016858</t>
  </si>
  <si>
    <t>108.203554</t>
  </si>
  <si>
    <t>198.12</t>
  </si>
  <si>
    <t>16.017104</t>
  </si>
  <si>
    <t>108.204489</t>
  </si>
  <si>
    <t>Đà Nẵng#TTCMKV#Cẩm Lệ-DNCL26</t>
  </si>
  <si>
    <t>16.01664</t>
  </si>
  <si>
    <t>108.20834</t>
  </si>
  <si>
    <t>FO DT#MBF#DNCL26-DNCL28</t>
  </si>
  <si>
    <t>238.81</t>
  </si>
  <si>
    <t>229.77</t>
  </si>
  <si>
    <t>16.018496</t>
  </si>
  <si>
    <t>108.207394</t>
  </si>
  <si>
    <t>Đà Nẵng#TTCMKV#Cẩm Lệ-DNCL12</t>
  </si>
  <si>
    <t>16.006349</t>
  </si>
  <si>
    <t>108.1905407</t>
  </si>
  <si>
    <t>FO DT#MBF#DNCL28-DNCL12</t>
  </si>
  <si>
    <t>167.87</t>
  </si>
  <si>
    <t>165.72</t>
  </si>
  <si>
    <t>16.004993</t>
  </si>
  <si>
    <t>108.191183</t>
  </si>
  <si>
    <t>Đà Nẵng#TTCMKV#Cẩm Lệ-Đà Nẵng#CAX#Cẩm Lệ</t>
  </si>
  <si>
    <t>#MBF#DNCL28-DNCL30</t>
  </si>
  <si>
    <t>36.11</t>
  </si>
  <si>
    <t>Đà Nẵng#TTCMKV#TT1 Đà Nẵng-DNTK01</t>
  </si>
  <si>
    <t>16.05868</t>
  </si>
  <si>
    <t>108.2069</t>
  </si>
  <si>
    <t>FO DT#MBF#DNHC17-DNTK01</t>
  </si>
  <si>
    <t>490.06</t>
  </si>
  <si>
    <t>462.61</t>
  </si>
  <si>
    <t>16.059672</t>
  </si>
  <si>
    <t>108.211104</t>
  </si>
  <si>
    <t>Đà Nẵng#TTCMKV#TT1 Đà Nẵng-DNHC13</t>
  </si>
  <si>
    <t>16.05762</t>
  </si>
  <si>
    <t>108.2205</t>
  </si>
  <si>
    <t>FO DT#MBF#DNHC13-DNHC17</t>
  </si>
  <si>
    <t>420.32</t>
  </si>
  <si>
    <t>3.82</t>
  </si>
  <si>
    <t>16.077578</t>
  </si>
  <si>
    <t>108.219231</t>
  </si>
  <si>
    <t>416.50</t>
  </si>
  <si>
    <t>16.061254</t>
  </si>
  <si>
    <t>108.219557</t>
  </si>
  <si>
    <t>full_h04/TP Đà Nẵng/TP Đà Nẵng/Mạng cấp 3_ DN và Quảng Nam/Cấp 3 - Ring 2 - Đà Nẵng cũ/Hòa Vang - TT1 Đà Nẵng/Trung Thế Hòa Vang - TT1 Đà Nẵng  1</t>
  </si>
  <si>
    <t>Đà Nẵng#TTCMKV#TT1 Đà Nẵng-DNHC20</t>
  </si>
  <si>
    <t>16.0746</t>
  </si>
  <si>
    <t>108.20979</t>
  </si>
  <si>
    <t>FO DT#MBF#DNHC17-DNHC20</t>
  </si>
  <si>
    <t>222.10</t>
  </si>
  <si>
    <t>8.34</t>
  </si>
  <si>
    <t>16.077586</t>
  </si>
  <si>
    <t>108.219273</t>
  </si>
  <si>
    <t>213.76</t>
  </si>
  <si>
    <t>16.072687</t>
  </si>
  <si>
    <t>108.209984</t>
  </si>
  <si>
    <t>Đà Nẵng#TTCMKV#TT1 Đà Nẵng-DNTK12</t>
  </si>
  <si>
    <t>16.07002</t>
  </si>
  <si>
    <t>108.21181</t>
  </si>
  <si>
    <t>FO DT#MBF#DNTK12-DNHC17</t>
  </si>
  <si>
    <t>C08 - TTV2</t>
  </si>
  <si>
    <t>304.75</t>
  </si>
  <si>
    <t>158.28</t>
  </si>
  <si>
    <t>16.077041</t>
  </si>
  <si>
    <t>108.217821</t>
  </si>
  <si>
    <t>146.47</t>
  </si>
  <si>
    <t>16.071301</t>
  </si>
  <si>
    <t>108.211493</t>
  </si>
  <si>
    <t>full_h04/TP Đà Nẵng/TP Đà Nẵng/Mạng cấp 2/Cấp 2 - Ring 1 - Hiệu chỉnh/Ring 1/C08 - TTV2/Trung thế</t>
  </si>
  <si>
    <t>Đà Nẵng#TTCMKV#TT1 Đà Nẵng-DNTK05</t>
  </si>
  <si>
    <t>16.07057</t>
  </si>
  <si>
    <t>108.20532</t>
  </si>
  <si>
    <t>FO DT#MBF#DNHC17-DNTK05</t>
  </si>
  <si>
    <t>136.51</t>
  </si>
  <si>
    <t>6.64</t>
  </si>
  <si>
    <t>16.077612</t>
  </si>
  <si>
    <t>129.87</t>
  </si>
  <si>
    <t>16.071612</t>
  </si>
  <si>
    <t>108.204770</t>
  </si>
  <si>
    <t>Đà Nẵng#TTCMKV#TT1 Đà Nẵng-DNHC28</t>
  </si>
  <si>
    <t>16.076546</t>
  </si>
  <si>
    <t>108.2199</t>
  </si>
  <si>
    <t>FO DT#MBF#DNHC17-DNHC28</t>
  </si>
  <si>
    <t>37.57</t>
  </si>
  <si>
    <t>30.94</t>
  </si>
  <si>
    <t>16.076634</t>
  </si>
  <si>
    <t>108.219625</t>
  </si>
  <si>
    <t>Đà Nẵng#TTCMKV#TT1 Đà Nẵng-DNHC75</t>
  </si>
  <si>
    <t>16.08204</t>
  </si>
  <si>
    <t>108.21335</t>
  </si>
  <si>
    <t>FO DT#MBF#DNHC75-DNHC17</t>
  </si>
  <si>
    <t>336.26</t>
  </si>
  <si>
    <t>26.76</t>
  </si>
  <si>
    <t>16.077609</t>
  </si>
  <si>
    <t>108.219445</t>
  </si>
  <si>
    <t>309.50</t>
  </si>
  <si>
    <t>16.079284</t>
  </si>
  <si>
    <t>108.212947</t>
  </si>
  <si>
    <t>Đà Nẵng#TTCMKV#Hòa Vang-DNCL03</t>
  </si>
  <si>
    <t>16.009583</t>
  </si>
  <si>
    <t>108.174444</t>
  </si>
  <si>
    <t>FO DT#MBF#DNCL03-DNHV01</t>
  </si>
  <si>
    <t>1486.53</t>
  </si>
  <si>
    <t>245.92</t>
  </si>
  <si>
    <t>16.011703</t>
  </si>
  <si>
    <t>108.173788</t>
  </si>
  <si>
    <t>Đà Nẵng#TTCMKV#Hòa Vang-DNHW02</t>
  </si>
  <si>
    <t>16.10168</t>
  </si>
  <si>
    <t>108.09895</t>
  </si>
  <si>
    <t>FO DT#MBF#DNHV01-DNHW02</t>
  </si>
  <si>
    <t>Liên Chiểu - Hòa Vang</t>
  </si>
  <si>
    <t>8293.39</t>
  </si>
  <si>
    <t>13.23</t>
  </si>
  <si>
    <t>15.987992</t>
  </si>
  <si>
    <t>108.140253</t>
  </si>
  <si>
    <t>8280.15</t>
  </si>
  <si>
    <t>16.028785</t>
  </si>
  <si>
    <t>108.114780</t>
  </si>
  <si>
    <t>full_h04/TP Đà Nẵng/TP Đà Nẵng/Mạng cấp 3_ DN và Quảng Nam/Cấp 3 - Ring 2 - Đà Nẵng cũ/Liên Chiểu - Hòa Vang/Hạ Thế Liên Chiểu - Hòa Vang 1</t>
  </si>
  <si>
    <t>Đà Nẵng#TTCMKV#Hòa Vang-DNHV73</t>
  </si>
  <si>
    <t>16.01416</t>
  </si>
  <si>
    <t>108.1425</t>
  </si>
  <si>
    <t>FO DT#MBF#DNHV73-DNHV01</t>
  </si>
  <si>
    <t>1222.31</t>
  </si>
  <si>
    <t>1209.07</t>
  </si>
  <si>
    <t>16.005428</t>
  </si>
  <si>
    <t>108.135759</t>
  </si>
  <si>
    <t>Đà Nẵng#TTCMKV#Hòa Vang-DNHV44</t>
  </si>
  <si>
    <t>15.96325</t>
  </si>
  <si>
    <t>108.12164</t>
  </si>
  <si>
    <t>FO DT#MBF#DNHV01-DNHV44</t>
  </si>
  <si>
    <t>2295.56</t>
  </si>
  <si>
    <t>1707.29</t>
  </si>
  <si>
    <t>15.978596</t>
  </si>
  <si>
    <t>108.122163</t>
  </si>
  <si>
    <t>Đà Nẵng#TTCMKV#Hòa Vang-DNHV34</t>
  </si>
  <si>
    <t>15.99919</t>
  </si>
  <si>
    <t>108.12607</t>
  </si>
  <si>
    <t>FO DT#MBF#DNHV01-DNHV34</t>
  </si>
  <si>
    <t>945.44</t>
  </si>
  <si>
    <t>932.20</t>
  </si>
  <si>
    <t>16.007447</t>
  </si>
  <si>
    <t>108.127578</t>
  </si>
  <si>
    <t>Đà Nẵng#TTCMKV#Hòa Vang-DNHV13</t>
  </si>
  <si>
    <t>15.96875</t>
  </si>
  <si>
    <t>108.13869</t>
  </si>
  <si>
    <t>FO DT#MBF#DNHV13-DNHV01</t>
  </si>
  <si>
    <t>676.79</t>
  </si>
  <si>
    <t>88.53</t>
  </si>
  <si>
    <t>15.968469</t>
  </si>
  <si>
    <t>108.139465</t>
  </si>
  <si>
    <t>Đà Nẵng#TTCMKV#Hòa Vang-DNHV9A</t>
  </si>
  <si>
    <t>15.988117</t>
  </si>
  <si>
    <t>108.138945</t>
  </si>
  <si>
    <t>FO DT#MBF#DNHV9A-DNHV01</t>
  </si>
  <si>
    <t>Hòa Vang - Hòa Tiến</t>
  </si>
  <si>
    <t>135.38</t>
  </si>
  <si>
    <t>15.988111</t>
  </si>
  <si>
    <t>108.140200</t>
  </si>
  <si>
    <t>134.11</t>
  </si>
  <si>
    <t>full_h04/TP Đà Nẵng/TP Đà Nẵng/Mạng cấp 4 - ĐN cũ/Ring 4 - DN/Hòa Vang - Hòa Tiến/Cống bể xây mới</t>
  </si>
  <si>
    <t>Đà Nẵng#CAX#Hòa Tiến-DNNH12</t>
  </si>
  <si>
    <t>15.97039</t>
  </si>
  <si>
    <t>108.1807</t>
  </si>
  <si>
    <t>15.985639</t>
  </si>
  <si>
    <t>108.239806</t>
  </si>
  <si>
    <t>FO DT#MBF#DNNH12-DNHV04</t>
  </si>
  <si>
    <t>Hòa Tiến - Bà Nà</t>
  </si>
  <si>
    <t>5137.18</t>
  </si>
  <si>
    <t>28.03</t>
  </si>
  <si>
    <t>15.970610</t>
  </si>
  <si>
    <t>108.180829</t>
  </si>
  <si>
    <t>5109.15</t>
  </si>
  <si>
    <t>15.994001</t>
  </si>
  <si>
    <t>108.192807</t>
  </si>
  <si>
    <t>full_h04/TP Đà Nẵng/TP Đà Nẵng/Mạng cấp 4 - ĐN cũ/Ring 4 - DN/Hòa Tiến - Bà Nà/Trung thế</t>
  </si>
  <si>
    <t>Đà Nẵng#CAX#Hòa Tiến-DNCL92</t>
  </si>
  <si>
    <t>16.023908</t>
  </si>
  <si>
    <t>108.208655</t>
  </si>
  <si>
    <t>FO DT#MBF#DNHV04-DNCL92</t>
  </si>
  <si>
    <t>3469.92</t>
  </si>
  <si>
    <t>3441.89</t>
  </si>
  <si>
    <t>15.997654</t>
  </si>
  <si>
    <t>108.191596</t>
  </si>
  <si>
    <t>Đà Nẵng#CAX#Hòa Tiến-DNHV22</t>
  </si>
  <si>
    <t>15.98523</t>
  </si>
  <si>
    <t>108.18906</t>
  </si>
  <si>
    <t>FO DT#MBF#DNHV22-DNHV04</t>
  </si>
  <si>
    <t>114.03</t>
  </si>
  <si>
    <t>85.99</t>
  </si>
  <si>
    <t>15.985526</t>
  </si>
  <si>
    <t>108.188317</t>
  </si>
  <si>
    <t>Đà Nẵng#CAX#Hòa Tiến-DNHV29</t>
  </si>
  <si>
    <t>15.946556</t>
  </si>
  <si>
    <t>108.179833</t>
  </si>
  <si>
    <t>FO DT#MBF#DNHV29-DNHV04</t>
  </si>
  <si>
    <t>2648.70</t>
  </si>
  <si>
    <t>25.23</t>
  </si>
  <si>
    <t>15.970608</t>
  </si>
  <si>
    <t>108.180635</t>
  </si>
  <si>
    <t>2623.47</t>
  </si>
  <si>
    <t>15.970139</t>
  </si>
  <si>
    <t>108.180554</t>
  </si>
  <si>
    <t>full_h04/TP Đà Nẵng/TP Đà Nẵng/Mạng cấp 4 - ĐN cũ/Ring 4 - DN/Hòa Vang - Hòa Tiến/Cột trồng mới</t>
  </si>
  <si>
    <t>Đà Nẵng#CAX#Hòa Tiến-DNHV52</t>
  </si>
  <si>
    <t>15.97569</t>
  </si>
  <si>
    <t>108.1996</t>
  </si>
  <si>
    <t>FO DT#MBF#DNHV52-DNHV04</t>
  </si>
  <si>
    <t>1540.94</t>
  </si>
  <si>
    <t>1512.91</t>
  </si>
  <si>
    <t>15.979906</t>
  </si>
  <si>
    <t>108.186144</t>
  </si>
  <si>
    <t>Đà Nẵng#CAX#Hòa Tiến-DT-DN06</t>
  </si>
  <si>
    <t>FO DT#MBF#DT-DN06-DNHV04</t>
  </si>
  <si>
    <t>FO DT#MBF#DNCL92-DNHV04</t>
  </si>
  <si>
    <t>Đà Nẵng#TTCMKV#Liên Chiểu-DNHW02</t>
  </si>
  <si>
    <t>FO DT#MBF#DNHW02-DNLC15</t>
  </si>
  <si>
    <t>3335.25</t>
  </si>
  <si>
    <t>3307.94</t>
  </si>
  <si>
    <t>16.116260</t>
  </si>
  <si>
    <t>108.125941</t>
  </si>
  <si>
    <t>FO DT#MBF#DNLC15-DNTK31</t>
  </si>
  <si>
    <t>FO DT#MBF#DNLC07-DNLC15</t>
  </si>
  <si>
    <t>#MBF#DNLC1P-DNLC15</t>
  </si>
  <si>
    <t>Đà Nẵng#TTCMKV#Liên Chiểu-DNLC25</t>
  </si>
  <si>
    <t>16.07936</t>
  </si>
  <si>
    <t>108.15781</t>
  </si>
  <si>
    <t>FO DT#MBF#DNLC15-DNLC25</t>
  </si>
  <si>
    <t>366.88</t>
  </si>
  <si>
    <t>16.074251</t>
  </si>
  <si>
    <t>108.157936</t>
  </si>
  <si>
    <t>327.89</t>
  </si>
  <si>
    <t>16.076884</t>
  </si>
  <si>
    <t>108.159477</t>
  </si>
  <si>
    <t>full_h04/TP Đà Nẵng/TP Đà Nẵng/Mạng cấp 3_ DN và Quảng Nam/Cấp 3 - Ring 2 - Đà Nẵng cũ/TT1 Đà Nẵng - Liên Chiểu/Cống bể mới TT1 Đà Nẵng - Liên Chiểu</t>
  </si>
  <si>
    <t>Đà Nẵng#TTCMKV#Liên Chiểu-DNLC16</t>
  </si>
  <si>
    <t>16.07304</t>
  </si>
  <si>
    <t>108.15131</t>
  </si>
  <si>
    <t>FO DT#MBF#DNLC15-DNLC16</t>
  </si>
  <si>
    <t>278.69</t>
  </si>
  <si>
    <t>251.38</t>
  </si>
  <si>
    <t>16.075294</t>
  </si>
  <si>
    <t>108.151125</t>
  </si>
  <si>
    <t>Đà Nẵng#TTCMKV#Ngũ Hành Sơn-DNNH11</t>
  </si>
  <si>
    <t>16.04248</t>
  </si>
  <si>
    <t>108.24477</t>
  </si>
  <si>
    <t>FO DT#MBF#DNNH11-DNNH02</t>
  </si>
  <si>
    <t>125.49</t>
  </si>
  <si>
    <t>16.015794</t>
  </si>
  <si>
    <t>108.254242</t>
  </si>
  <si>
    <t>52.95</t>
  </si>
  <si>
    <t>Đà Nẵng#TTCMKV#Ngũ Hành Sơn-DNNH12</t>
  </si>
  <si>
    <t>FO DT#MBF#DNNH02-DNNH12</t>
  </si>
  <si>
    <t>1679.80</t>
  </si>
  <si>
    <t>23.38</t>
  </si>
  <si>
    <t>16.015270</t>
  </si>
  <si>
    <t>108.254587</t>
  </si>
  <si>
    <t>1656.42</t>
  </si>
  <si>
    <t>15.999196</t>
  </si>
  <si>
    <t>108.233384</t>
  </si>
  <si>
    <t>full_h04/TP Đà Nẵng/TP Đà Nẵng/Mạng cấp 4 - ĐN cũ/Ring 3 - DN/TTKV Ngũ Hành Sơn - Hòa Xuân/Ngầm VNPT</t>
  </si>
  <si>
    <t>Đà Nẵng#TTCMKV#Ngũ Hành Sơn-DNNH30</t>
  </si>
  <si>
    <t>15.9967</t>
  </si>
  <si>
    <t>108.26281</t>
  </si>
  <si>
    <t>FO DT#MBF#DNNH02-DNNH30</t>
  </si>
  <si>
    <t>35.39</t>
  </si>
  <si>
    <t>21.05</t>
  </si>
  <si>
    <t>15.996881</t>
  </si>
  <si>
    <t>108.262869</t>
  </si>
  <si>
    <t>Đà Nẵng#TTCMKV#Ngũ Hành Sơn-DNNH26</t>
  </si>
  <si>
    <t>16.01551</t>
  </si>
  <si>
    <t>108.25593</t>
  </si>
  <si>
    <t>FO DT#MBF#DNNH26-DNNH02</t>
  </si>
  <si>
    <t>120.29</t>
  </si>
  <si>
    <t>105.95</t>
  </si>
  <si>
    <t>16.015132</t>
  </si>
  <si>
    <t>108.255020</t>
  </si>
  <si>
    <t>Đà Nẵng#TTCMKV#Ngũ Hành Sơn-DNNH31</t>
  </si>
  <si>
    <t>16.0075</t>
  </si>
  <si>
    <t>108.25652</t>
  </si>
  <si>
    <t>FO DT#MBF#DNNH31-DNNH02</t>
  </si>
  <si>
    <t>245.67</t>
  </si>
  <si>
    <t>173.13</t>
  </si>
  <si>
    <t>16.008153</t>
  </si>
  <si>
    <t>108.257991</t>
  </si>
  <si>
    <t>Đà Nẵng#TTCMKV#Ngũ Hành Sơn-DNNH38</t>
  </si>
  <si>
    <t>16.01245</t>
  </si>
  <si>
    <t>108.2547</t>
  </si>
  <si>
    <t>FO DT#MBF#DNNH38-DNNH02</t>
  </si>
  <si>
    <t>188.33</t>
  </si>
  <si>
    <t>16.012621</t>
  </si>
  <si>
    <t>108.255769</t>
  </si>
  <si>
    <t>Đà Nẵng#TTCMKV#Ngũ Hành Sơn-DNNH1X</t>
  </si>
  <si>
    <t>15.998705</t>
  </si>
  <si>
    <t>108.255302</t>
  </si>
  <si>
    <t>FO DT#MBF#DNNH02-DNNH1X</t>
  </si>
  <si>
    <t>538.37</t>
  </si>
  <si>
    <t>524.03</t>
  </si>
  <si>
    <t>16.000471</t>
  </si>
  <si>
    <t>108.259847</t>
  </si>
  <si>
    <t>Đà Nẵng#TTCMKV#Sơn Trà-DNST18</t>
  </si>
  <si>
    <t>16.094028</t>
  </si>
  <si>
    <t>108.251083</t>
  </si>
  <si>
    <t>FO DT#MBF#DNST18-DNST87</t>
  </si>
  <si>
    <t>K01 (CS2) - Bệnh viện 199 - ok</t>
  </si>
  <si>
    <t>1731.73</t>
  </si>
  <si>
    <t>248.80</t>
  </si>
  <si>
    <t>16.068177</t>
  </si>
  <si>
    <t>108.232409</t>
  </si>
  <si>
    <t>1482.93</t>
  </si>
  <si>
    <t>16.086011</t>
  </si>
  <si>
    <t>108.239991</t>
  </si>
  <si>
    <t>full_h04/TP Đà Nẵng/TP Đà Nẵng/Mạng cấp 2/Cấp 2 - Ring 1 - Hiệu chỉnh/Ring 1/K01 (CS2) - Bệnh viện 199 - ok/Ngầm VNPT</t>
  </si>
  <si>
    <t>Đà Nẵng#TTCMKV#Sơn Trà-DNTK01</t>
  </si>
  <si>
    <t>FO DT#MBF#DNST87-DNTK01</t>
  </si>
  <si>
    <t>2017.40</t>
  </si>
  <si>
    <t>1554.78</t>
  </si>
  <si>
    <t>16.074739</t>
  </si>
  <si>
    <t>108.219873</t>
  </si>
  <si>
    <t>Đà Nẵng#TTCMKV#Sơn Trà-DNST15</t>
  </si>
  <si>
    <t>16.07939</t>
  </si>
  <si>
    <t>108.24348</t>
  </si>
  <si>
    <t>FO DT#MBF#DNST15-DNST87</t>
  </si>
  <si>
    <t>1073.37</t>
  </si>
  <si>
    <t>824.57</t>
  </si>
  <si>
    <t>16.082334</t>
  </si>
  <si>
    <t>108.236397</t>
  </si>
  <si>
    <t>Đà Nẵng#TTCMKV#Sơn Trà-DNST47</t>
  </si>
  <si>
    <t>16.06756</t>
  </si>
  <si>
    <t>108.24014</t>
  </si>
  <si>
    <t>FO DT#MBF#DNST47-DNST87</t>
  </si>
  <si>
    <t>493.53</t>
  </si>
  <si>
    <t>285.27</t>
  </si>
  <si>
    <t>Đà Nẵng#TTCMKV#Sơn Trà-DNST25</t>
  </si>
  <si>
    <t>16.06104</t>
  </si>
  <si>
    <t>108.24428</t>
  </si>
  <si>
    <t>FO DT#MBF#DNST87-DNST25</t>
  </si>
  <si>
    <t>796.60</t>
  </si>
  <si>
    <t>617.65</t>
  </si>
  <si>
    <t>16.065455</t>
  </si>
  <si>
    <t>108.236769</t>
  </si>
  <si>
    <t>178.95</t>
  </si>
  <si>
    <t>16.060064</t>
  </si>
  <si>
    <t>108.245611</t>
  </si>
  <si>
    <t>FO DT#MBF#DNST87-DNST28</t>
  </si>
  <si>
    <t>Đà Nẵng#TTCMKV#Sơn Trà-DNST2H</t>
  </si>
  <si>
    <t>16.06717</t>
  </si>
  <si>
    <t>108.24618</t>
  </si>
  <si>
    <t>FO DT#MBF#DNST2H-DNST87</t>
  </si>
  <si>
    <t>829.54</t>
  </si>
  <si>
    <t>621.28</t>
  </si>
  <si>
    <t>Quảng Nam#TTCMKV#Điện Bàn-QAQS05</t>
  </si>
  <si>
    <t>15.88756</t>
  </si>
  <si>
    <t>108.254</t>
  </si>
  <si>
    <t>FO DT#MBF#QADB15-QAQS05</t>
  </si>
  <si>
    <t>6347.58</t>
  </si>
  <si>
    <t>6069.45</t>
  </si>
  <si>
    <t>15.839861</t>
  </si>
  <si>
    <t>108.281587</t>
  </si>
  <si>
    <t>278.13</t>
  </si>
  <si>
    <t>15.787193</t>
  </si>
  <si>
    <t>108.323618</t>
  </si>
  <si>
    <t>Quảng Nam#TTCMKV#Điện Bàn-QADB04</t>
  </si>
  <si>
    <t>15.88972</t>
  </si>
  <si>
    <t>108.18124</t>
  </si>
  <si>
    <t>FO DT#MBF#QADB15-QADB04</t>
  </si>
  <si>
    <t>Điện Bàn - Điện Bàn Tây</t>
  </si>
  <si>
    <t>1753.20</t>
  </si>
  <si>
    <t>1505.28</t>
  </si>
  <si>
    <t>15.888445</t>
  </si>
  <si>
    <t>108.239955</t>
  </si>
  <si>
    <t>247.93</t>
  </si>
  <si>
    <t>15.888390</t>
  </si>
  <si>
    <t>108.179380</t>
  </si>
  <si>
    <t>full_h04/TP Đà Nẵng/TP Đà Nẵng/Mạng cấp 4 - Quảng Nam/Quảng Nam - Ring 2/Điện Bàn - Điện Bàn Tây/trung thế 2</t>
  </si>
  <si>
    <t>Quảng Nam#TTCMKV#Điện Bàn-Quảng Nam#CAX#An Thắng</t>
  </si>
  <si>
    <t>15.92015</t>
  </si>
  <si>
    <t>108.2215</t>
  </si>
  <si>
    <t>#MBF#QADB15-QADB08</t>
  </si>
  <si>
    <t>TTCMKV Điện Bàn - An Thắng</t>
  </si>
  <si>
    <t>312.47</t>
  </si>
  <si>
    <t>294.45</t>
  </si>
  <si>
    <t>15.889352</t>
  </si>
  <si>
    <t>108.256027</t>
  </si>
  <si>
    <t>18.02</t>
  </si>
  <si>
    <t>15.919997</t>
  </si>
  <si>
    <t>108.221555</t>
  </si>
  <si>
    <t>full_h04/TP Đà Nẵng/TP Đà Nẵng/Mạng cấp 4 - Quảng Nam/Quảng Nam - Ring 1/TTCMKV Điện Bàn - An Thắng/trung thế</t>
  </si>
  <si>
    <t>Quảng Nam#TTCMKV#Điện Bàn-QADB07</t>
  </si>
  <si>
    <t>15.88473</t>
  </si>
  <si>
    <t>108.22689</t>
  </si>
  <si>
    <t>FO DT#MBF#QADB15-QADB07</t>
  </si>
  <si>
    <t>1566.06</t>
  </si>
  <si>
    <t>60.78</t>
  </si>
  <si>
    <t>15.884274</t>
  </si>
  <si>
    <t>108.226576</t>
  </si>
  <si>
    <t>Quảng Nam#TTCMKV#Điện Bàn-QADX12</t>
  </si>
  <si>
    <t>15.85308</t>
  </si>
  <si>
    <t>108.27552</t>
  </si>
  <si>
    <t>FO DT#MBF#QADB15-QADX12</t>
  </si>
  <si>
    <t>TTCMKV Điện Bàn - Nam Phước</t>
  </si>
  <si>
    <t>13.57</t>
  </si>
  <si>
    <t>15.887679</t>
  </si>
  <si>
    <t>108.254028</t>
  </si>
  <si>
    <t>1488.43</t>
  </si>
  <si>
    <t>15.865550</t>
  </si>
  <si>
    <t>108.270460</t>
  </si>
  <si>
    <t>full_h04/TP Đà Nẵng/TP Đà Nẵng/Mạng cấp 4 - Quảng Nam/Quảng Nam - Ring 7_them E28/Quảng Nam - Ring 7 - ok/TTCMKV Điện Bàn - Nam Phước/trung thế 1</t>
  </si>
  <si>
    <t>Quảng Nam#TTCMKV#Điện Bàn-QADB13</t>
  </si>
  <si>
    <t>15.86851</t>
  </si>
  <si>
    <t>108.26307</t>
  </si>
  <si>
    <t>FO DT#MBF#QADB15-QADB13</t>
  </si>
  <si>
    <t>39.02</t>
  </si>
  <si>
    <t>25.45</t>
  </si>
  <si>
    <t>15.868352</t>
  </si>
  <si>
    <t>108.263243</t>
  </si>
  <si>
    <t>Quảng Nam#TTCMKV#Điện Bàn-QADB85</t>
  </si>
  <si>
    <t>15.878183</t>
  </si>
  <si>
    <t>108.264772</t>
  </si>
  <si>
    <t>FO DT#MBF#QADB85-QADB15</t>
  </si>
  <si>
    <t>1118.85</t>
  </si>
  <si>
    <t>1105.28</t>
  </si>
  <si>
    <t>Quảng Nam#TTCMKV#Điện Bàn-QADB01</t>
  </si>
  <si>
    <t>15.88926</t>
  </si>
  <si>
    <t>108.2494</t>
  </si>
  <si>
    <t>FO DT#MBF#QADB01-QADB15</t>
  </si>
  <si>
    <t>354.28</t>
  </si>
  <si>
    <t>15.886761</t>
  </si>
  <si>
    <t>108.251258</t>
  </si>
  <si>
    <t>47.90</t>
  </si>
  <si>
    <t>15.888949</t>
  </si>
  <si>
    <t>108.249090</t>
  </si>
  <si>
    <t>Quảng Nam#TTCMKV#Điện Bàn-QADB39</t>
  </si>
  <si>
    <t>15.8773</t>
  </si>
  <si>
    <t>108.23961</t>
  </si>
  <si>
    <t>FO DT#MBF#QADB39-QADB15</t>
  </si>
  <si>
    <t>1338.63</t>
  </si>
  <si>
    <t>69.79</t>
  </si>
  <si>
    <t>15.887834</t>
  </si>
  <si>
    <t>108.253413</t>
  </si>
  <si>
    <t>1268.84</t>
  </si>
  <si>
    <t>15.884628</t>
  </si>
  <si>
    <t>108.248704</t>
  </si>
  <si>
    <t>full_h04/TP Đà Nẵng/TP Đà Nẵng/Mạng cấp 4 - Quảng Nam/Quảng Nam - Ring 2/Điện Bàn - Điện Bàn Tây/hạ thế 1</t>
  </si>
  <si>
    <t>Quảng Nam#TTCMKV#Đại Lộc-QADB04</t>
  </si>
  <si>
    <t>15.88297</t>
  </si>
  <si>
    <t>108.1158</t>
  </si>
  <si>
    <t>FO DT#MBF#QADB04-QADLMA01</t>
  </si>
  <si>
    <t>3949.71</t>
  </si>
  <si>
    <t>3701.29</t>
  </si>
  <si>
    <t>15.888811</t>
  </si>
  <si>
    <t>108.149871</t>
  </si>
  <si>
    <t>248.42</t>
  </si>
  <si>
    <t>15.888381</t>
  </si>
  <si>
    <t>full_h04/TP Đà Nẵng/TP Đà Nẵng/Mạng cấp 4 - Quảng Nam/Quảng Nam - Ring 2/Điện Bàn - Điện Bàn Tây/hạ thế 4</t>
  </si>
  <si>
    <t>Quảng Nam#TTCMKV#Đại Lộc-Quảng Nam#TTCMKV#Duy Xuyên</t>
  </si>
  <si>
    <t>15.82266</t>
  </si>
  <si>
    <t>108.2464</t>
  </si>
  <si>
    <t>#MBF#QADLMA01-QADX04</t>
  </si>
  <si>
    <t>3133.76</t>
  </si>
  <si>
    <t>3081.84</t>
  </si>
  <si>
    <t>15.855328</t>
  </si>
  <si>
    <t>108.113702</t>
  </si>
  <si>
    <t>51.92</t>
  </si>
  <si>
    <t>Quảng Nam#TTCMKV#Đại Lộc-QADL19</t>
  </si>
  <si>
    <t>15.90587</t>
  </si>
  <si>
    <t>108.12176</t>
  </si>
  <si>
    <t>FO DT#MBF#QADL19-QADLMA01</t>
  </si>
  <si>
    <t>578.62</t>
  </si>
  <si>
    <t>27.76</t>
  </si>
  <si>
    <t>15.882748</t>
  </si>
  <si>
    <t>108.115681</t>
  </si>
  <si>
    <t>550.86</t>
  </si>
  <si>
    <t>15.906772</t>
  </si>
  <si>
    <t>108.126825</t>
  </si>
  <si>
    <t>Quảng Nam#TTCMKV#Đại Lộc-QADL11</t>
  </si>
  <si>
    <t>15.87941</t>
  </si>
  <si>
    <t>108.07823</t>
  </si>
  <si>
    <t>FO DT#MBF#QADLMA01-QADL11</t>
  </si>
  <si>
    <t>Đại Lộc - Phước Sơn</t>
  </si>
  <si>
    <t>743.31</t>
  </si>
  <si>
    <t>576.69</t>
  </si>
  <si>
    <t>15.882273</t>
  </si>
  <si>
    <t>108.110457</t>
  </si>
  <si>
    <t>15.878144</t>
  </si>
  <si>
    <t>108.077396</t>
  </si>
  <si>
    <t>full_h04/TP Đà Nẵng/TP Đà Nẵng/Mạng cấp 3_ DN và Quảng Nam/Cấp 3 - Ring 3 - Quảng Nam cũ/Đại Lộc - Phước Sơn_ring 3_ cấp 3.kmz/Đại Lộc - Phước Sơn/trung thế 1</t>
  </si>
  <si>
    <t>Quảng Nam#TTCMKV#Đại Lộc-QADL14</t>
  </si>
  <si>
    <t>15.8789</t>
  </si>
  <si>
    <t>108.1048</t>
  </si>
  <si>
    <t>FO DT#MBF#QADLMA01-QADL14</t>
  </si>
  <si>
    <t>634.18</t>
  </si>
  <si>
    <t>57.49</t>
  </si>
  <si>
    <t>15.878699</t>
  </si>
  <si>
    <t>108.105295</t>
  </si>
  <si>
    <t>Quảng Nam#TTCMKV#Đại Lộc-QADL31</t>
  </si>
  <si>
    <t>15.87734</t>
  </si>
  <si>
    <t>108.0925</t>
  </si>
  <si>
    <t>FO DT#MBF#QADLMA01-QADL31</t>
  </si>
  <si>
    <t>TTCMKV Đại Lộc - Hà Nha</t>
  </si>
  <si>
    <t>840.34</t>
  </si>
  <si>
    <t>578.28</t>
  </si>
  <si>
    <t>15.882272</t>
  </si>
  <si>
    <t>108.110442</t>
  </si>
  <si>
    <t>262.07</t>
  </si>
  <si>
    <t>15.875380</t>
  </si>
  <si>
    <t>108.091140</t>
  </si>
  <si>
    <t>full_h04/TP Đà Nẵng/TP Đà Nẵng/Mạng cấp 4 - Quảng Nam/Quảng Nam - Ring 5_fix.kmz/Quảng Nam - Ring 5 - ok/TTCMKV Đại Lộc - Hà Nha/trung thế 1</t>
  </si>
  <si>
    <t>Quảng Nam#TTCMKV#Đại Lộc-QADL22</t>
  </si>
  <si>
    <t>15.8754236</t>
  </si>
  <si>
    <t>108.126505</t>
  </si>
  <si>
    <t>FO DT#MBF#QADL22-QADLMA01</t>
  </si>
  <si>
    <t>Đại Lộc - Thu Bồn</t>
  </si>
  <si>
    <t>704.32</t>
  </si>
  <si>
    <t>36.07</t>
  </si>
  <si>
    <t>15.882703</t>
  </si>
  <si>
    <t>108.115991</t>
  </si>
  <si>
    <t>668.25</t>
  </si>
  <si>
    <t>15.878918</t>
  </si>
  <si>
    <t>108.121422</t>
  </si>
  <si>
    <t>full_h04/TP Đà Nẵng/TP Đà Nẵng/Mạng cấp 4 - Quảng Nam/Quảng Nam - Ring 3/Đại Lộc - Thu Bồn/trung thế 1</t>
  </si>
  <si>
    <t>Quảng Nam#TTCMKV#Đại Lộc-QADL37</t>
  </si>
  <si>
    <t>15.86699</t>
  </si>
  <si>
    <t>108.1138</t>
  </si>
  <si>
    <t>FO DT#MBF#QADLMA01-QADL37</t>
  </si>
  <si>
    <t>858.93</t>
  </si>
  <si>
    <t>822.86</t>
  </si>
  <si>
    <t>15.868013</t>
  </si>
  <si>
    <t>108.121419</t>
  </si>
  <si>
    <t>Quảng Nam#TTCMKV#Đại Lộc-QADL67</t>
  </si>
  <si>
    <t>15.884982</t>
  </si>
  <si>
    <t>108.116816</t>
  </si>
  <si>
    <t>FO DT#MBF#QADL67-QADLMA01</t>
  </si>
  <si>
    <t>253.54</t>
  </si>
  <si>
    <t>4.24</t>
  </si>
  <si>
    <t>15.882982</t>
  </si>
  <si>
    <t>108.115762</t>
  </si>
  <si>
    <t>249.30</t>
  </si>
  <si>
    <t>full_h04/TP Đà Nẵng/TP Đà Nẵng/Mạng cấp 4 - Quảng Nam/Quảng Nam - Ring 3/Đại Lộc - Thu Bồn/trồng mới 1</t>
  </si>
  <si>
    <t>Quảng Nam#TTCMKV#Đại Lộc-QADL01</t>
  </si>
  <si>
    <t>15.88424</t>
  </si>
  <si>
    <t>108.1116</t>
  </si>
  <si>
    <t>FO DT#MBF#QADL01-QADLMA01</t>
  </si>
  <si>
    <t>311.29</t>
  </si>
  <si>
    <t>152.30</t>
  </si>
  <si>
    <t>15.882797</t>
  </si>
  <si>
    <t>108.114387</t>
  </si>
  <si>
    <t>158.99</t>
  </si>
  <si>
    <t>15.882905</t>
  </si>
  <si>
    <t>108.112134</t>
  </si>
  <si>
    <t>full_h04/TP Đà Nẵng/TP Đà Nẵng/Mạng cấp 4 - Quảng Nam/Quảng Nam - Ring 5_fix.kmz/Quảng Nam - Ring 5 - ok/TTCMKV Đại Lộc - Hà Nha/ngầm mới 1</t>
  </si>
  <si>
    <t>Quảng Nam#TTCMKV#Duy Xuyên-Quảng Nam#TTCMKV#Đại Lộc</t>
  </si>
  <si>
    <t>Quảng Nam#TTCMKV#Duy Xuyên-QAQS06</t>
  </si>
  <si>
    <t>15.82296</t>
  </si>
  <si>
    <t>108.29238</t>
  </si>
  <si>
    <t>FO DT#MBF#QADX04-QAQS06</t>
  </si>
  <si>
    <t>"Đội CSĐT (X. Duy Nghĩa, Duyên Xuyên) -
TTCMKV Duy Xuyên"</t>
  </si>
  <si>
    <t>866.41</t>
  </si>
  <si>
    <t>39.62</t>
  </si>
  <si>
    <t>15.822771</t>
  </si>
  <si>
    <t>108.246752</t>
  </si>
  <si>
    <t>826.79</t>
  </si>
  <si>
    <t>15.830395</t>
  </si>
  <si>
    <t>108.292408</t>
  </si>
  <si>
    <t>full_h04/TP Đà Nẵng/TP Đà Nẵng/Mạng cấp 3_ DN và Quảng Nam/Ring Nhánh/"Đội CSĐT (X. Duy Nghĩa, Duyên Xuyên) -
TTCMKV Duy Xuyên"/Trung thế</t>
  </si>
  <si>
    <t>Quảng Nam#TTCMKV#Duy Xuyên-QADX03</t>
  </si>
  <si>
    <t>15.83824</t>
  </si>
  <si>
    <t>108.14389</t>
  </si>
  <si>
    <t>FO DT#MBF#QADX03-QADX04</t>
  </si>
  <si>
    <t>200.43</t>
  </si>
  <si>
    <t>15.836906</t>
  </si>
  <si>
    <t>108.143949</t>
  </si>
  <si>
    <t>Quảng Nam#TTCMKV#Duy Xuyên-QADX34</t>
  </si>
  <si>
    <t>15.82321</t>
  </si>
  <si>
    <t>108.2002</t>
  </si>
  <si>
    <t>FO DT#MBF#QADX34-QADX04</t>
  </si>
  <si>
    <t>759.63</t>
  </si>
  <si>
    <t>707.71</t>
  </si>
  <si>
    <t>15.829068</t>
  </si>
  <si>
    <t>108.202787</t>
  </si>
  <si>
    <t>Quảng Nam#TTCMKV#Duy Xuyên-Quảng Nam#CAX#Thu Bồn</t>
  </si>
  <si>
    <t>#MBF#QADX19-QADX04</t>
  </si>
  <si>
    <t>Phú Thuận - Duy Xuyên</t>
  </si>
  <si>
    <t>799.31</t>
  </si>
  <si>
    <t>15.822854</t>
  </si>
  <si>
    <t>108.246860</t>
  </si>
  <si>
    <t>745.60</t>
  </si>
  <si>
    <t>15.836685</t>
  </si>
  <si>
    <t>108.124303</t>
  </si>
  <si>
    <t>full_h04/TP Đà Nẵng/TP Đà Nẵng/Mạng cấp 4 - Quảng Nam/Quảng Nam - Ring 6_fix.kmz/Quảng Nam - Ring 6/Phú Thuận - Duy Xuyên/trung thế 7</t>
  </si>
  <si>
    <t>Quảng Nam#TTCMKV#Duy Xuyên-QADB54</t>
  </si>
  <si>
    <t>15.85333</t>
  </si>
  <si>
    <t>108.19631</t>
  </si>
  <si>
    <t>FO DT#MBF#QADX04-QADB54</t>
  </si>
  <si>
    <t>2543.68</t>
  </si>
  <si>
    <t>2491.76</t>
  </si>
  <si>
    <t>15.830925</t>
  </si>
  <si>
    <t>108.195851</t>
  </si>
  <si>
    <t>Quảng Nam#TTCMKV#Duy Xuyên-QADX24</t>
  </si>
  <si>
    <t>15.82483</t>
  </si>
  <si>
    <t>108.23177</t>
  </si>
  <si>
    <t>FO DT#MBF#QADX04-QADX24</t>
  </si>
  <si>
    <t>238.93</t>
  </si>
  <si>
    <t>185.23</t>
  </si>
  <si>
    <t>15.826288</t>
  </si>
  <si>
    <t>108.232608</t>
  </si>
  <si>
    <t>Quảng Nam#TTCMKV#Duy Xuyên-QADX50</t>
  </si>
  <si>
    <t>15.80961</t>
  </si>
  <si>
    <t>108.21095</t>
  </si>
  <si>
    <t>FO DT#MBF#QADX04-QADX50</t>
  </si>
  <si>
    <t>2279.56</t>
  </si>
  <si>
    <t>2227.63</t>
  </si>
  <si>
    <t>15.828367</t>
  </si>
  <si>
    <t>108.218264</t>
  </si>
  <si>
    <t>Quảng Nam#TTCMKV#Duy Xuyên-QADX63</t>
  </si>
  <si>
    <t>15.83456</t>
  </si>
  <si>
    <t>108.23333</t>
  </si>
  <si>
    <t>FO DT#MBF#QADX63-QADX04</t>
  </si>
  <si>
    <t>955.02</t>
  </si>
  <si>
    <t>903.10</t>
  </si>
  <si>
    <t>15.826549</t>
  </si>
  <si>
    <t>108.231941</t>
  </si>
  <si>
    <t>Quảng Nam#TTCMKV#Duy Xuyên-QADX61</t>
  </si>
  <si>
    <t>15.83011</t>
  </si>
  <si>
    <t>108.18051</t>
  </si>
  <si>
    <t>FO DT#MBF#QADX61-QADX04</t>
  </si>
  <si>
    <t>357.17</t>
  </si>
  <si>
    <t>305.25</t>
  </si>
  <si>
    <t>15.827369</t>
  </si>
  <si>
    <t>108.180673</t>
  </si>
  <si>
    <t>Quảng Nam#TTCMKV#Hội An-QAHA02</t>
  </si>
  <si>
    <t>FO DT#MBF#QAHA02-QAHA06</t>
  </si>
  <si>
    <t>1430.15</t>
  </si>
  <si>
    <t>50.89</t>
  </si>
  <si>
    <t>15.881015</t>
  </si>
  <si>
    <t>108.332280</t>
  </si>
  <si>
    <t>Quảng Nam#TTCMKV#Hội An-QADB46</t>
  </si>
  <si>
    <t>15.89361</t>
  </si>
  <si>
    <t>108.24381</t>
  </si>
  <si>
    <t>FO DT#MBF#QAHA06-QADB46</t>
  </si>
  <si>
    <t>1430.12</t>
  </si>
  <si>
    <t>1399.76</t>
  </si>
  <si>
    <t>15.889308</t>
  </si>
  <si>
    <t>108.256110</t>
  </si>
  <si>
    <t>Quảng Nam#TTCMKV#Hội An-QAHA41</t>
  </si>
  <si>
    <t>FO DT#MBF#QAHA06-QAHA41</t>
  </si>
  <si>
    <t>Quảng Nam#CAX#Núi Thành-QANT03</t>
  </si>
  <si>
    <t>15.46107301</t>
  </si>
  <si>
    <t>108.603811</t>
  </si>
  <si>
    <t>FO DT#MBF#QANT03-QANT01</t>
  </si>
  <si>
    <t>151.55</t>
  </si>
  <si>
    <t>35.22</t>
  </si>
  <si>
    <t>15.432839</t>
  </si>
  <si>
    <t>108.660348</t>
  </si>
  <si>
    <t>116.34</t>
  </si>
  <si>
    <t>15.460558</t>
  </si>
  <si>
    <t>108.602866</t>
  </si>
  <si>
    <t>full_h04/TP Đà Nẵng/TP Đà Nẵng/Mạng cấp 4 - Quảng Nam/Quảng Nam - Ring 15/Tam Anh - Núi Thành/Trung thế</t>
  </si>
  <si>
    <t>Quảng Nam#CAX#Núi Thành-QATK71</t>
  </si>
  <si>
    <t>FO DT#MBF#QANT01-QATK71</t>
  </si>
  <si>
    <t>11891.46</t>
  </si>
  <si>
    <t>8872.81</t>
  </si>
  <si>
    <t>15.446864</t>
  </si>
  <si>
    <t>108.578954</t>
  </si>
  <si>
    <t>3018.65</t>
  </si>
  <si>
    <t>15.553322</t>
  </si>
  <si>
    <t>108.481654</t>
  </si>
  <si>
    <t>Quảng Nam#CAX#Núi Thành-QANT38</t>
  </si>
  <si>
    <t>15.43534</t>
  </si>
  <si>
    <t>108.65253</t>
  </si>
  <si>
    <t>FO DT#MBF#QANT38-QANT01</t>
  </si>
  <si>
    <t>326.87</t>
  </si>
  <si>
    <t>291.66</t>
  </si>
  <si>
    <t>15.432786</t>
  </si>
  <si>
    <t>108.651911</t>
  </si>
  <si>
    <t>Quảng Nam#CAX#Núi Thành-QANT14</t>
  </si>
  <si>
    <t>15.4479</t>
  </si>
  <si>
    <t>108.683</t>
  </si>
  <si>
    <t>FO DT#MBF#QANT14-QANT01</t>
  </si>
  <si>
    <t>2923.33</t>
  </si>
  <si>
    <t>2919.42</t>
  </si>
  <si>
    <t>Quảng Nam#CAX#Núi Thành-QANT31</t>
  </si>
  <si>
    <t>15.4334047</t>
  </si>
  <si>
    <t>108.68669</t>
  </si>
  <si>
    <t>FO DT#MBF#QANT01-QANT31</t>
  </si>
  <si>
    <t>2814.25</t>
  </si>
  <si>
    <t>2810.34</t>
  </si>
  <si>
    <t>Quảng Nam#CAX#Núi Thành-QANT53</t>
  </si>
  <si>
    <t>15.40065</t>
  </si>
  <si>
    <t>108.68678</t>
  </si>
  <si>
    <t>FO DT#MBF#QANT01-QANT53</t>
  </si>
  <si>
    <t>4574.96</t>
  </si>
  <si>
    <t>4571.05</t>
  </si>
  <si>
    <t>Quảng Nam#TTCMKV#Thăng Bình-QAQS05</t>
  </si>
  <si>
    <t>FO DT#MBF#QAQS05-QATB_newsite 2</t>
  </si>
  <si>
    <t>895.37</t>
  </si>
  <si>
    <t>82.15</t>
  </si>
  <si>
    <t>15.788897</t>
  </si>
  <si>
    <t>108.321879</t>
  </si>
  <si>
    <t>Quảng Nam#TTCMKV#Thăng Bình-QATB03</t>
  </si>
  <si>
    <t>FO DT#MBF#QATB_newsite 2-QATB03</t>
  </si>
  <si>
    <t>4729.40</t>
  </si>
  <si>
    <t>3665.60</t>
  </si>
  <si>
    <t>15.759016</t>
  </si>
  <si>
    <t>108.393829</t>
  </si>
  <si>
    <t>Quảng Nam#TTCMKV#Thăng Bình-CHGD huyện Thăng Bình</t>
  </si>
  <si>
    <t>FO DT#MBF#CHGD huyện Thăng Bình-QATB_newsite 2</t>
  </si>
  <si>
    <t>Quảng Nam#TTCMKV#Thăng Bình-QATB43</t>
  </si>
  <si>
    <t>15.74392</t>
  </si>
  <si>
    <t>108.3542</t>
  </si>
  <si>
    <t>FO DT#MBF#QATB43-QATB_newsite 2</t>
  </si>
  <si>
    <t>899.30</t>
  </si>
  <si>
    <t>4.69</t>
  </si>
  <si>
    <t>15.735824</t>
  </si>
  <si>
    <t>108.351744</t>
  </si>
  <si>
    <t>894.61</t>
  </si>
  <si>
    <t>15.736126</t>
  </si>
  <si>
    <t>108.352128</t>
  </si>
  <si>
    <t>full_h04/TP Đà Nẵng/TP Đà Nẵng/Mạng cấp 3_ DN và Quảng Nam/Cấp 3 - Ring 4 - Quảng Nam cũ/Thăng Bình - Quế Sơn/Đoạn nhập CA Thăng Bình</t>
  </si>
  <si>
    <t>FO DT#MBF#QATB03-QATB35</t>
  </si>
  <si>
    <t>Quảng Nam#CAX#Thăng Trường-QATKMA01</t>
  </si>
  <si>
    <t>FO DT#MBF#QATB35-QATKMA01</t>
  </si>
  <si>
    <t>Quảng Nam#CAX#Thăng Trường-QATB12</t>
  </si>
  <si>
    <t>15.68838</t>
  </si>
  <si>
    <t>108.48233</t>
  </si>
  <si>
    <t>FO DT#MBF#QATB12-QATB35</t>
  </si>
  <si>
    <t>4102.84</t>
  </si>
  <si>
    <t>9.00</t>
  </si>
  <si>
    <t>15.650879</t>
  </si>
  <si>
    <t>108.485607</t>
  </si>
  <si>
    <t>4093.84</t>
  </si>
  <si>
    <t>15.651888</t>
  </si>
  <si>
    <t>108.487395</t>
  </si>
  <si>
    <t>full_h04/TP Đà Nẵng/TP Đà Nẵng/Mạng cấp 4 - Quảng Nam/Quảng Nam - Ring 12/Quảng Nam - Ring 12_fix.kmz/Quảng Nam - Ring 12 - ok/Thăng Trường - Quảng Phú/hạ thế 1</t>
  </si>
  <si>
    <t>Quảng Nam#CAX#Thăng Trường-QATK62</t>
  </si>
  <si>
    <t>15.6370667</t>
  </si>
  <si>
    <t>108.5156807</t>
  </si>
  <si>
    <t>FO DT#MBF#QATB35-QATK62</t>
  </si>
  <si>
    <t>2608.59</t>
  </si>
  <si>
    <t>1745.63</t>
  </si>
  <si>
    <t>15.658691</t>
  </si>
  <si>
    <t>108.499790</t>
  </si>
  <si>
    <t>862.96</t>
  </si>
  <si>
    <t>15.643542</t>
  </si>
  <si>
    <t>108.511238</t>
  </si>
  <si>
    <t>full_h04/TP Đà Nẵng/TP Đà Nẵng/Mạng cấp 4 - Quảng Nam/Quảng Nam - Ring 12/Quảng Nam - Ring 12_fix.kmz/Quảng Nam - Ring 12 - ok/Thăng Trường - Quảng Phú/trung thế 2</t>
  </si>
  <si>
    <t>Quảng Nam#CAX#Thăng Trường-MX QATKMA01-QADX35 hướng cầu Bình Nam</t>
  </si>
  <si>
    <t>FO DT#MBF#MX QATKMA01-QADX35 hướng cầu Bình Nam-QATB35</t>
  </si>
  <si>
    <t>Quảng Nam#CAX#Thăng Trường-QADX35 hướng cầu Tỉnh Thủy</t>
  </si>
  <si>
    <t>FO DT#MBF#QATB35-MX QATKMA01-QADX35 hướng cầu Tỉnh Thủy</t>
  </si>
  <si>
    <t>Quảng Nam#CAX#Thăng Điền-QAQS06</t>
  </si>
  <si>
    <t>FO DT#MBF#QAQS06-QATB31</t>
  </si>
  <si>
    <t>12173.80</t>
  </si>
  <si>
    <t>11603.84</t>
  </si>
  <si>
    <t>FO DT#MBF#QATB31-QATK71</t>
  </si>
  <si>
    <t>FO DT#MBF#QATB1B-QATB31</t>
  </si>
  <si>
    <t>Đà Nẵng#Phòng#PC07-DNHC92</t>
  </si>
  <si>
    <t>16.036997</t>
  </si>
  <si>
    <t>108.215225</t>
  </si>
  <si>
    <t>FO DT#MBF#DNHC92-DNCL08</t>
  </si>
  <si>
    <t>201.40</t>
  </si>
  <si>
    <t>163.66</t>
  </si>
  <si>
    <t>16.035915</t>
  </si>
  <si>
    <t>108.214187</t>
  </si>
  <si>
    <t>Đà Nẵng#Phòng#PC07-DNHC49</t>
  </si>
  <si>
    <t>16.03479</t>
  </si>
  <si>
    <t>108.21748</t>
  </si>
  <si>
    <t>FO DT#MBF#DNHC49-DNCL08</t>
  </si>
  <si>
    <t>392.31</t>
  </si>
  <si>
    <t>354.57</t>
  </si>
  <si>
    <t>16.033328</t>
  </si>
  <si>
    <t>108.214531</t>
  </si>
  <si>
    <t>Đà Nẵng#Phòng#PC07-DNCL09</t>
  </si>
  <si>
    <t>FO DT#MBF#DNCL08-DNCL09</t>
  </si>
  <si>
    <t>PC07 - PX04</t>
  </si>
  <si>
    <t>114.96</t>
  </si>
  <si>
    <t>39.99</t>
  </si>
  <si>
    <t>16.035855</t>
  </si>
  <si>
    <t>108.212668</t>
  </si>
  <si>
    <t>74.97</t>
  </si>
  <si>
    <t>16.036910</t>
  </si>
  <si>
    <t>108.209838</t>
  </si>
  <si>
    <t>full_h04/TP Đà Nẵng/TP Đà Nẵng/Mạng cấp 3_ DN và Quảng Nam/Phòng - Ring 1 ( ĐN )4.kmz/Phòng - Ring 1 ( ĐN )/PC07 - PX04/Trung Thế 1</t>
  </si>
  <si>
    <t>Đà Nẵng#CAX#Cẩm Lệ-DNCL80</t>
  </si>
  <si>
    <t>16.00525</t>
  </si>
  <si>
    <t>108.1979</t>
  </si>
  <si>
    <t>FO DT#MBF#DNCL80-DNCL30</t>
  </si>
  <si>
    <t>694.83</t>
  </si>
  <si>
    <t>660.88</t>
  </si>
  <si>
    <t>16.007458</t>
  </si>
  <si>
    <t>108.192159</t>
  </si>
  <si>
    <t>Đà Nẵng#CAX#Cẩm Lệ-Đà Nẵng#TTCMKV#Cẩm Lệ</t>
  </si>
  <si>
    <t>Đà Nẵng#CAX#Cẩm Lệ-DNCL18</t>
  </si>
  <si>
    <t>16.02548</t>
  </si>
  <si>
    <t>108.20952</t>
  </si>
  <si>
    <t>FO DT#MBF#DNCL18-DNCL30</t>
  </si>
  <si>
    <t>672.37</t>
  </si>
  <si>
    <t>36.42</t>
  </si>
  <si>
    <t>16.011546</t>
  </si>
  <si>
    <t>108.197452</t>
  </si>
  <si>
    <t>635.96</t>
  </si>
  <si>
    <t>16.019794</t>
  </si>
  <si>
    <t>108.210158</t>
  </si>
  <si>
    <t>full_h04/TP Đà Nẵng/TP Đà Nẵng/Mạng cấp 4 - ĐN cũ/Ring 2 -DN/Ngũ Hành Sơn - Cẩm Lệ/Trung thế</t>
  </si>
  <si>
    <t>Đà Nẵng#Phòng#PC08-DNCL58</t>
  </si>
  <si>
    <t>16.01059</t>
  </si>
  <si>
    <t>108.22422</t>
  </si>
  <si>
    <t>FO DT#MBF#DNCL58-DNCL56</t>
  </si>
  <si>
    <t>688.74</t>
  </si>
  <si>
    <t>670.62</t>
  </si>
  <si>
    <t>Đà Nẵng#Phòng#PC08-DNCL47</t>
  </si>
  <si>
    <t>16.0032</t>
  </si>
  <si>
    <t>108.22732</t>
  </si>
  <si>
    <t>FO DT#MBF#DNCL56-DNCL47</t>
  </si>
  <si>
    <t>795.77</t>
  </si>
  <si>
    <t>702.61</t>
  </si>
  <si>
    <t>16.004119</t>
  </si>
  <si>
    <t>108.223106</t>
  </si>
  <si>
    <t>93.15</t>
  </si>
  <si>
    <t>16.002381</t>
  </si>
  <si>
    <t>108.227505</t>
  </si>
  <si>
    <t>Đà Nẵng#Phòng#PC08-DNNH18</t>
  </si>
  <si>
    <t>15.99568</t>
  </si>
  <si>
    <t>108.23896</t>
  </si>
  <si>
    <t>FO DT#MBF#DNNH18-DNCL56</t>
  </si>
  <si>
    <t>1109.73</t>
  </si>
  <si>
    <t>706.37</t>
  </si>
  <si>
    <t>16.004256</t>
  </si>
  <si>
    <t>108.223238</t>
  </si>
  <si>
    <t>403.36</t>
  </si>
  <si>
    <t>15.993741</t>
  </si>
  <si>
    <t>108.235771</t>
  </si>
  <si>
    <t>full_h04/TP Đà Nẵng/TP Đà Nẵng/Mạng cấp 2/Cấp 2 - Ring 3/C09 - A06 (CS3).kmz/C09 - A06/C09 - A06_Cống bể VNPT</t>
  </si>
  <si>
    <t>Đà Nẵng#Phòng#PC08-DNCL24</t>
  </si>
  <si>
    <t>16.00206</t>
  </si>
  <si>
    <t>108.21279</t>
  </si>
  <si>
    <t>FO DT#MBF#DNCL56-DNCL24</t>
  </si>
  <si>
    <t>Trạm CSGT Hòa Nhơn - PC08</t>
  </si>
  <si>
    <t>328.06</t>
  </si>
  <si>
    <t>3.42</t>
  </si>
  <si>
    <t>16.007584</t>
  </si>
  <si>
    <t>108.217628</t>
  </si>
  <si>
    <t>324.64</t>
  </si>
  <si>
    <t>16.004862</t>
  </si>
  <si>
    <t>108.211937</t>
  </si>
  <si>
    <t>full_h04/TP Đà Nẵng/TP Đà Nẵng/Mạng cấp 3_ DN và Quảng Nam/Phòng - Ring 1 ( ĐN )4.kmz/Phòng - Ring 1 ( ĐN )/Trạm CSGT Hòa Nhơn - PC08/Trung thế 2</t>
  </si>
  <si>
    <t>Đà Nẵng#Phòng#PA06-Phan Chu Trinh</t>
  </si>
  <si>
    <t>FO DT#MBF#DNHC02-MX Lê Hồng Phong-Phan Chu Trinh</t>
  </si>
  <si>
    <t>Đà Nẵng#Phòng#PA06-MX Yên Bái – Nguyễn Thái Học</t>
  </si>
  <si>
    <t>FO DT#MBF#MX Yên Bái – Nguyễn Thái Học-DNHC02</t>
  </si>
  <si>
    <t>FO DT#MBF#DNHC23-DNHC02</t>
  </si>
  <si>
    <t>FO DT#MBF#DNHC16-DNHC02</t>
  </si>
  <si>
    <t>Đà Nẵng#Phòng#PA06-DNHC2S</t>
  </si>
  <si>
    <t>16.0654959</t>
  </si>
  <si>
    <t>108.2234554</t>
  </si>
  <si>
    <t>FO DT#MBF#DNHC02-DNHC2S</t>
  </si>
  <si>
    <t>90.06</t>
  </si>
  <si>
    <t>73.36</t>
  </si>
  <si>
    <t>Đà Nẵng#CAX#Hải Châu-DNHC79</t>
  </si>
  <si>
    <t>16.08083</t>
  </si>
  <si>
    <t>108.22337</t>
  </si>
  <si>
    <t>FO DT#MBF#DNHC79-DNHC24</t>
  </si>
  <si>
    <t>245.68</t>
  </si>
  <si>
    <t>2.80</t>
  </si>
  <si>
    <t>16.078945</t>
  </si>
  <si>
    <t>108.222221</t>
  </si>
  <si>
    <t>242.88</t>
  </si>
  <si>
    <t>full_h04/TP Đà Nẵng/TP Đà Nẵng/Mạng cấp 4 - ĐN cũ/Ring 7 - DN/TT1 Đà Nẵng - Hải Châu/Hạ thế</t>
  </si>
  <si>
    <t>Đà Nẵng#CAX#Hải Châu-DNHC75</t>
  </si>
  <si>
    <t>FO DT#MBF#DNHC24-DNHC75</t>
  </si>
  <si>
    <t>639.96</t>
  </si>
  <si>
    <t>330.46</t>
  </si>
  <si>
    <t>Đà Nẵng#CAX#Hải Châu-DNHC13</t>
  </si>
  <si>
    <t>FO DT#MBF#DNHC13-DNHC24</t>
  </si>
  <si>
    <t>747.73</t>
  </si>
  <si>
    <t>331.23</t>
  </si>
  <si>
    <t>16.077589</t>
  </si>
  <si>
    <t>108.219448</t>
  </si>
  <si>
    <t>Đà Nẵng#CAX#Hải Châu-DNHC60</t>
  </si>
  <si>
    <t>16.08183</t>
  </si>
  <si>
    <t>108.22022</t>
  </si>
  <si>
    <t>FO DT#MBF#DNHC60-DNHC24</t>
  </si>
  <si>
    <t>TTV 2 - K01 (CS2) - ok</t>
  </si>
  <si>
    <t>343.98</t>
  </si>
  <si>
    <t>267.55</t>
  </si>
  <si>
    <t>16.081336</t>
  </si>
  <si>
    <t>108.221802</t>
  </si>
  <si>
    <t>76.43</t>
  </si>
  <si>
    <t>16.081187</t>
  </si>
  <si>
    <t>108.219967</t>
  </si>
  <si>
    <t>full_h04/TP Đà Nẵng/TP Đà Nẵng/Mạng cấp 2/Cấp 2 - Ring 1 - Hiệu chỉnh/Ring 1/TTV 2 - K01 (CS2) - ok/Trung Thế</t>
  </si>
  <si>
    <t>Đà Nẵng#CAX#Hòa Cường-DNHC61</t>
  </si>
  <si>
    <t>16.04153</t>
  </si>
  <si>
    <t>108.21908</t>
  </si>
  <si>
    <t>FO DT#MBF#DNHC46-DNHC61</t>
  </si>
  <si>
    <t>494.42</t>
  </si>
  <si>
    <t>487.29</t>
  </si>
  <si>
    <t>16.039113</t>
  </si>
  <si>
    <t>108.215276</t>
  </si>
  <si>
    <t>Đà Nẵng#CAX#Hòa Cường-DNHC30</t>
  </si>
  <si>
    <t>16.0415</t>
  </si>
  <si>
    <t>108.21228</t>
  </si>
  <si>
    <t>FO DT#MBF#DNHC30-DNHC46</t>
  </si>
  <si>
    <t>309.78</t>
  </si>
  <si>
    <t>302.64</t>
  </si>
  <si>
    <t>16.039200</t>
  </si>
  <si>
    <t>108.213795</t>
  </si>
  <si>
    <t>Đà Nẵng#Phòng#Đồn Công an cảng hàng không (Sân bay Đà Nẵng)-DNHC05</t>
  </si>
  <si>
    <t>16.04609</t>
  </si>
  <si>
    <t>108.21013</t>
  </si>
  <si>
    <t>FO DT#MBF#DNHC54-DNHC05</t>
  </si>
  <si>
    <t>547.77</t>
  </si>
  <si>
    <t>540.55</t>
  </si>
  <si>
    <t>16.050824</t>
  </si>
  <si>
    <t>108.208978</t>
  </si>
  <si>
    <t>Đà Nẵng#Phòng#Đồn Công an cảng hàng không (Sân bay Đà Nẵng)-DNHC34</t>
  </si>
  <si>
    <t>16.05341</t>
  </si>
  <si>
    <t>108.206081</t>
  </si>
  <si>
    <t>FO DT#MBF#DNHC54-DNHC34</t>
  </si>
  <si>
    <t>309.84</t>
  </si>
  <si>
    <t>302.62</t>
  </si>
  <si>
    <t>Đà Nẵng#Phòng#PX04-DNTK17</t>
  </si>
  <si>
    <t>16.06706</t>
  </si>
  <si>
    <t>108.2201</t>
  </si>
  <si>
    <t>16.06821</t>
  </si>
  <si>
    <t>108.21302</t>
  </si>
  <si>
    <t>FO DT#MBF#DNTK17-DNHC77</t>
  </si>
  <si>
    <t>600.85</t>
  </si>
  <si>
    <t>291.87</t>
  </si>
  <si>
    <t>16.068057</t>
  </si>
  <si>
    <t>108.217573</t>
  </si>
  <si>
    <t>308.98</t>
  </si>
  <si>
    <t>Đà Nẵng#Phòng#PX04-DNHC01</t>
  </si>
  <si>
    <t>16.06398</t>
  </si>
  <si>
    <t>108.2142</t>
  </si>
  <si>
    <t>FO DT#MBF#DNHC01-DNHC77</t>
  </si>
  <si>
    <t>558.03</t>
  </si>
  <si>
    <t>266.16</t>
  </si>
  <si>
    <t>16.064010</t>
  </si>
  <si>
    <t>108.216691</t>
  </si>
  <si>
    <t>Đà Nẵng#CAX#Hòa Xuân-DNHV52</t>
  </si>
  <si>
    <t>FO DT#MBF#DNHV12-DNHV52</t>
  </si>
  <si>
    <t>1134.09</t>
  </si>
  <si>
    <t>1130.40</t>
  </si>
  <si>
    <t>Đà Nẵng#CAX#Hòa Xuân-DNNH12</t>
  </si>
  <si>
    <t>FO DT#MBF#DNNH12-DNHV12</t>
  </si>
  <si>
    <t>2650.34</t>
  </si>
  <si>
    <t>2646.66</t>
  </si>
  <si>
    <t>16.002027</t>
  </si>
  <si>
    <t>108.221849</t>
  </si>
  <si>
    <t>Đà Nẵng#Phòng#Trại giam CATP-DNHW03</t>
  </si>
  <si>
    <t>16.06129</t>
  </si>
  <si>
    <t>108.10001</t>
  </si>
  <si>
    <t>FO DT#MBF#DNHW03-DNHW22</t>
  </si>
  <si>
    <t>Trại giam CATP - Trạm CSGT Hòa Nhơn</t>
  </si>
  <si>
    <t>78.28</t>
  </si>
  <si>
    <t>13.44</t>
  </si>
  <si>
    <t>16.077966</t>
  </si>
  <si>
    <t>108.114974</t>
  </si>
  <si>
    <t>64.84</t>
  </si>
  <si>
    <t>16.061855</t>
  </si>
  <si>
    <t>108.099862</t>
  </si>
  <si>
    <t>full_h04/TP Đà Nẵng/TP Đà Nẵng/Mạng cấp 3_ DN và Quảng Nam/Phòng - Ring 1 ( ĐN )4.kmz/Phòng - Ring 1 ( ĐN )/Trại giam CATP - Trạm CSGT Hòa Nhơn/Trung thế 1</t>
  </si>
  <si>
    <t>Đà Nẵng#Phòng#Trại giam CATP-DNHW06</t>
  </si>
  <si>
    <t>16.08476</t>
  </si>
  <si>
    <t>108.09725</t>
  </si>
  <si>
    <t>FO DT#MBF#DNHW22-DNHW06</t>
  </si>
  <si>
    <t>1886.83</t>
  </si>
  <si>
    <t>1270.84</t>
  </si>
  <si>
    <t>16.073209</t>
  </si>
  <si>
    <t>108.104287</t>
  </si>
  <si>
    <t>616.00</t>
  </si>
  <si>
    <t>16.079285</t>
  </si>
  <si>
    <t>108.098132</t>
  </si>
  <si>
    <t>full_h04/TP Đà Nẵng/TP Đà Nẵng/Mạng cấp 3_ DN và Quảng Nam/Ring Nhánh/"Cơ sở cai nghiện (X. Hòa Bắc, Hòa Vang) -
TTCMKV Hòa Vang"/Trung thế 2</t>
  </si>
  <si>
    <t>Đà Nẵng#CAX#Hòa Khánh-DNTK31</t>
  </si>
  <si>
    <t>16.06367</t>
  </si>
  <si>
    <t>108.1573</t>
  </si>
  <si>
    <t>FO DT#MBF#DNLC02-DNTK31</t>
  </si>
  <si>
    <t>1776.98</t>
  </si>
  <si>
    <t>1745.72</t>
  </si>
  <si>
    <t>16.076751</t>
  </si>
  <si>
    <t>108.166334</t>
  </si>
  <si>
    <t>Đà Nẵng#CAX#Hòa Khánh-DNLC18</t>
  </si>
  <si>
    <t>16.06392</t>
  </si>
  <si>
    <t>108.15302</t>
  </si>
  <si>
    <t>FO DT#MBF#DNLC18-DNLC02</t>
  </si>
  <si>
    <t>TTCMKV Liên Chiểu-Hòa Khánh</t>
  </si>
  <si>
    <t>263.72</t>
  </si>
  <si>
    <t>14.24</t>
  </si>
  <si>
    <t>16.063764</t>
  </si>
  <si>
    <t>108.157391</t>
  </si>
  <si>
    <t>249.49</t>
  </si>
  <si>
    <t>16.065524</t>
  </si>
  <si>
    <t>108.154652</t>
  </si>
  <si>
    <t>full_h04/TP Đà Nẵng/TP Đà Nẵng/Mạng cấp 4 - ĐN cũ/Ring 6 - DN/TTCMKV Liên Chiểu-Hòa Khánh/Cống bể VNPT</t>
  </si>
  <si>
    <t>Đà Nẵng#CAX#Hòa Khánh-21DN013</t>
  </si>
  <si>
    <t>FO DT#MBF#21DN013-DNLC02</t>
  </si>
  <si>
    <t>Đà Nẵng#Phòng#PK02-DNLC55</t>
  </si>
  <si>
    <t>16.04903</t>
  </si>
  <si>
    <t>108.14654</t>
  </si>
  <si>
    <t>FO DT#MBF#DNLC06-DNLC55</t>
  </si>
  <si>
    <t>778.79</t>
  </si>
  <si>
    <t>730.71</t>
  </si>
  <si>
    <t>16.053222</t>
  </si>
  <si>
    <t>108.156038</t>
  </si>
  <si>
    <t>48.08</t>
  </si>
  <si>
    <t>16.048704</t>
  </si>
  <si>
    <t>108.146836</t>
  </si>
  <si>
    <t>full_h04/TP Đà Nẵng/TP Đà Nẵng/Mạng cấp 3_ DN và Quảng Nam/Cấp 3 - Ring 2 - Đà Nẵng cũ/Liên Chiểu - Hòa Vang/cống bể Liên Chiểu - Hòa Vang 5</t>
  </si>
  <si>
    <t>Đà Nẵng#Phòng#PK02-DNLC82</t>
  </si>
  <si>
    <t>16.04909</t>
  </si>
  <si>
    <t>108.15778</t>
  </si>
  <si>
    <t>FO DT#MBF#DNLC82-DNLC06</t>
  </si>
  <si>
    <t>80.86</t>
  </si>
  <si>
    <t>47.50</t>
  </si>
  <si>
    <t>16.048882</t>
  </si>
  <si>
    <t>108.158168</t>
  </si>
  <si>
    <t>FO DT#MBF#DNLC06-DNLC21</t>
  </si>
  <si>
    <t>FO DT#MBF#DNCL31-DNLC06</t>
  </si>
  <si>
    <t>Đà Nẵng#Phòng#PK02-DNLC1Y</t>
  </si>
  <si>
    <t>16.041847</t>
  </si>
  <si>
    <t>108.148335</t>
  </si>
  <si>
    <t>FO DT#MBF#DNLC1Y-DNLC06</t>
  </si>
  <si>
    <t>Trại giam CATP - PK02</t>
  </si>
  <si>
    <t>1122.18</t>
  </si>
  <si>
    <t>16.046562</t>
  </si>
  <si>
    <t>108.157310</t>
  </si>
  <si>
    <t>1093.01</t>
  </si>
  <si>
    <t>full_h04/TP Đà Nẵng/TP Đà Nẵng/Mạng cấp 3_ DN và Quảng Nam/Phòng - Ring 3 (ĐN ).kmz/Phòng - Ring 3 (ĐN )/Trại giam CATP - PK02/Trại giam CATP - PK02_hạ thế 1</t>
  </si>
  <si>
    <t>FO DT#MBF#DNHW23-DNLC11</t>
  </si>
  <si>
    <t>#MBF#DNLC11-DNLC22</t>
  </si>
  <si>
    <t>Đà Nẵng#CAX#Liên Chiểu-DNLC1W</t>
  </si>
  <si>
    <t>16.084881</t>
  </si>
  <si>
    <t>108.149884</t>
  </si>
  <si>
    <t>FO DT#MBF#DNLC1W-DNLC1P</t>
  </si>
  <si>
    <t>605.01</t>
  </si>
  <si>
    <t>492.71</t>
  </si>
  <si>
    <t>16.081017</t>
  </si>
  <si>
    <t>108.146484</t>
  </si>
  <si>
    <t>112.31</t>
  </si>
  <si>
    <t>16.084243</t>
  </si>
  <si>
    <t>108.150699</t>
  </si>
  <si>
    <t>Đà Nẵng#CAX#Hải Vân-DNLC50</t>
  </si>
  <si>
    <t>16.10666</t>
  </si>
  <si>
    <t>108.13393</t>
  </si>
  <si>
    <t>FO DT#MBF#DNLC22-DNLC50</t>
  </si>
  <si>
    <t>177.02</t>
  </si>
  <si>
    <t>162.41</t>
  </si>
  <si>
    <t>16.105843</t>
  </si>
  <si>
    <t>108.132670</t>
  </si>
  <si>
    <t>FO DT#MBF#DNLC22-DNLC13</t>
  </si>
  <si>
    <t>Đà Nẵng#CAX#Ngũ Hành Sơn-DNNH39</t>
  </si>
  <si>
    <t>16.04533</t>
  </si>
  <si>
    <t>108.24728</t>
  </si>
  <si>
    <t>FO DT#MBF#DNNH39-DNNH59</t>
  </si>
  <si>
    <t>366.33</t>
  </si>
  <si>
    <t>315.35</t>
  </si>
  <si>
    <t>16.043773</t>
  </si>
  <si>
    <t>108.244814</t>
  </si>
  <si>
    <t>Đà Nẵng#CAX#Ngũ Hành Sơn-DNNH11</t>
  </si>
  <si>
    <t>FO DT#MBF#DNNH11-DNNH59</t>
  </si>
  <si>
    <t>103.93</t>
  </si>
  <si>
    <t>Đà Nẵng#CAX#Ngũ Hành Sơn-DNNH09</t>
  </si>
  <si>
    <t>16.027659</t>
  </si>
  <si>
    <t>108.254858</t>
  </si>
  <si>
    <t>FO DT#MBF#DNNH59-DNNH09</t>
  </si>
  <si>
    <t>711.92</t>
  </si>
  <si>
    <t>660.94</t>
  </si>
  <si>
    <t>16.026435</t>
  </si>
  <si>
    <t>108.248806</t>
  </si>
  <si>
    <t>Đà Nẵng#CAX#Ngũ Hành Sơn-22DN042</t>
  </si>
  <si>
    <t>FO DT#MBF#22DN042-DNNH59</t>
  </si>
  <si>
    <t>Đà Nẵng#CAX#Sơn Trà-DNST1W</t>
  </si>
  <si>
    <t>16.08304</t>
  </si>
  <si>
    <t>108.2291</t>
  </si>
  <si>
    <t>16.08027</t>
  </si>
  <si>
    <t>108.23138</t>
  </si>
  <si>
    <t>FO DT#MBF#DNST1W-DNST12</t>
  </si>
  <si>
    <t>45.28</t>
  </si>
  <si>
    <t>22.93</t>
  </si>
  <si>
    <t>16.082997</t>
  </si>
  <si>
    <t>108.229310</t>
  </si>
  <si>
    <t>22.35</t>
  </si>
  <si>
    <t>16.080313</t>
  </si>
  <si>
    <t>108.231584</t>
  </si>
  <si>
    <t>full_h04/TP Đà Nẵng/TP Đà Nẵng/Mạng cấp 4 - ĐN cũ/Ring 1 -DN/An Hải - Sơn Trà/Trung thế</t>
  </si>
  <si>
    <t>Đà Nẵng#CAX#Sơn Trà-DNST27</t>
  </si>
  <si>
    <t>16.07834</t>
  </si>
  <si>
    <t>108.22934</t>
  </si>
  <si>
    <t>FO DT#MBF#DNST27-DNST12</t>
  </si>
  <si>
    <t>Sơn Trà - TT1 Đà Nẵng - check ngầm</t>
  </si>
  <si>
    <t>85.23</t>
  </si>
  <si>
    <t>12.83</t>
  </si>
  <si>
    <t>16.082982</t>
  </si>
  <si>
    <t>108.228996</t>
  </si>
  <si>
    <t>72.39</t>
  </si>
  <si>
    <t>16.078888</t>
  </si>
  <si>
    <t>108.228974</t>
  </si>
  <si>
    <t>full_h04/TP Đà Nẵng/TP Đà Nẵng/Mạng cấp 4 - ĐN cũ/Ring 1 -DN/Sơn Trà - TT1 Đà Nẵng - check ngầm/Cống bể VNPT</t>
  </si>
  <si>
    <t>Đà Nẵng#CAX#Sơn Trà-DNST01</t>
  </si>
  <si>
    <t>16.0804063</t>
  </si>
  <si>
    <t>108.2359264</t>
  </si>
  <si>
    <t>FO DT#MBF#DNST01-DNST12</t>
  </si>
  <si>
    <t>398.28</t>
  </si>
  <si>
    <t>375.36</t>
  </si>
  <si>
    <t>16.078872</t>
  </si>
  <si>
    <t>108.232797</t>
  </si>
  <si>
    <t>Đà Nẵng#CAX#Sơn Trà-DNST42</t>
  </si>
  <si>
    <t>16.08566</t>
  </si>
  <si>
    <t>108.23013</t>
  </si>
  <si>
    <t>FO DT#MBF#DNST12-DNST42</t>
  </si>
  <si>
    <t>297.76</t>
  </si>
  <si>
    <t>2.32</t>
  </si>
  <si>
    <t>16.083035</t>
  </si>
  <si>
    <t>108.229079</t>
  </si>
  <si>
    <t>295.44</t>
  </si>
  <si>
    <t>16.083126</t>
  </si>
  <si>
    <t>108.229298</t>
  </si>
  <si>
    <t>full_h04/TP Đà Nẵng/TP Đà Nẵng/Mạng cấp 4 - ĐN cũ/Ring 1 -DN/An Hải - Sơn Trà/Trồng mới</t>
  </si>
  <si>
    <t>Đà Nẵng#CAX#An Khê-DNCL20</t>
  </si>
  <si>
    <t>16.05333</t>
  </si>
  <si>
    <t>108.17861</t>
  </si>
  <si>
    <t>FO DT#MBF#DNCL20-DNTK08</t>
  </si>
  <si>
    <t>449.92</t>
  </si>
  <si>
    <t>443.51</t>
  </si>
  <si>
    <t>16.056746</t>
  </si>
  <si>
    <t>108.180753</t>
  </si>
  <si>
    <t>Đà Nẵng#CAX#An Khê-DNCL04</t>
  </si>
  <si>
    <t>16.05701</t>
  </si>
  <si>
    <t>108.17522</t>
  </si>
  <si>
    <t>FO DT#MBF#DNCL04-DNTK08</t>
  </si>
  <si>
    <t>558.79</t>
  </si>
  <si>
    <t>552.39</t>
  </si>
  <si>
    <t>16.058513</t>
  </si>
  <si>
    <t>108.180147</t>
  </si>
  <si>
    <t>Đà Nẵng#CAX#An Khê-DNTK26</t>
  </si>
  <si>
    <t>16.05043</t>
  </si>
  <si>
    <t>108.18414</t>
  </si>
  <si>
    <t>FO DT#MBF#DNTK08-DNTK26</t>
  </si>
  <si>
    <t>786.67</t>
  </si>
  <si>
    <t>4.51</t>
  </si>
  <si>
    <t>16.057228</t>
  </si>
  <si>
    <t>108.181516</t>
  </si>
  <si>
    <t>782.16</t>
  </si>
  <si>
    <t>16.057034</t>
  </si>
  <si>
    <t>108.181619</t>
  </si>
  <si>
    <t>Đà Nẵng#CAX#Thanh Khê-DNTK62</t>
  </si>
  <si>
    <t>16.07248</t>
  </si>
  <si>
    <t>108.19066</t>
  </si>
  <si>
    <t>FO DT#MBF#DNTK10-DNTK62</t>
  </si>
  <si>
    <t>191.85</t>
  </si>
  <si>
    <t>180.97</t>
  </si>
  <si>
    <t>16.071201</t>
  </si>
  <si>
    <t>108.191708</t>
  </si>
  <si>
    <t>Đà Nẵng#CAX#Thanh Khê-DNTK58</t>
  </si>
  <si>
    <t>16.07334</t>
  </si>
  <si>
    <t>108.1857</t>
  </si>
  <si>
    <t>FO DT#MBF#DNTK58-DNTK10</t>
  </si>
  <si>
    <t>226.88</t>
  </si>
  <si>
    <t>31.69</t>
  </si>
  <si>
    <t>16.073625</t>
  </si>
  <si>
    <t>108.185683</t>
  </si>
  <si>
    <t>FO DT#MBF#DNTK13-DNTK10</t>
  </si>
  <si>
    <t>FO DT#MBF#DNTK14-DNTK10</t>
  </si>
  <si>
    <t>Quảng Nam#CAX#Điện Bàn Đông-QADB57</t>
  </si>
  <si>
    <t>15.946625</t>
  </si>
  <si>
    <t>108.255544</t>
  </si>
  <si>
    <t>FO DT#MBF#QADB57-QADB02</t>
  </si>
  <si>
    <t>274.68</t>
  </si>
  <si>
    <t>273.26</t>
  </si>
  <si>
    <t>Quảng Nam#CAX#An Thắng-Quảng Nam#TTCMKV#Điện Bàn</t>
  </si>
  <si>
    <t>Quảng Nam#CAX#An Thắng-QADB73</t>
  </si>
  <si>
    <t>15.93896</t>
  </si>
  <si>
    <t>108.20789</t>
  </si>
  <si>
    <t>FO DT#MBF#QADB08-QADB73</t>
  </si>
  <si>
    <t>2005.71</t>
  </si>
  <si>
    <t>1342.73</t>
  </si>
  <si>
    <t>15.932121</t>
  </si>
  <si>
    <t>108.223150</t>
  </si>
  <si>
    <t>662.98</t>
  </si>
  <si>
    <t>15.933014</t>
  </si>
  <si>
    <t>108.208342</t>
  </si>
  <si>
    <t>full_h04/TP Đà Nẵng/TP Đà Nẵng/Mạng cấp 4 - Quảng Nam/Quảng Nam - Ring 2/Điện Bàn Bắc - TTCMKV Hội An/trung thế 1</t>
  </si>
  <si>
    <t>Quảng Nam#CAX#Điện Bàn Bắc-QADB04</t>
  </si>
  <si>
    <t>15.92376</t>
  </si>
  <si>
    <t>FO DT#MBF#QADB04-QADB52</t>
  </si>
  <si>
    <t>Điện Bàn Tây - Điện Bàn Bắc</t>
  </si>
  <si>
    <t>3162.64</t>
  </si>
  <si>
    <t>40.38</t>
  </si>
  <si>
    <t>15.923459</t>
  </si>
  <si>
    <t>108.157512</t>
  </si>
  <si>
    <t>3122.25</t>
  </si>
  <si>
    <t>15.909742</t>
  </si>
  <si>
    <t>108.160770</t>
  </si>
  <si>
    <t>full_h04/TP Đà Nẵng/TP Đà Nẵng/Mạng cấp 4 - Quảng Nam/Quảng Nam - Ring 2/Điện Bàn Tây - Điện Bàn Bắc/hạ thế 2</t>
  </si>
  <si>
    <t>Quảng Nam#CAX#Điện Bàn Bắc-QADL09</t>
  </si>
  <si>
    <t>15.92042</t>
  </si>
  <si>
    <t>108.1326</t>
  </si>
  <si>
    <t>FO DT#MBF#QADB52-QADL09</t>
  </si>
  <si>
    <t>2587.93</t>
  </si>
  <si>
    <t>2547.55</t>
  </si>
  <si>
    <t>15.921165</t>
  </si>
  <si>
    <t>108.156412</t>
  </si>
  <si>
    <t>Quảng Nam#CAX#Điện Bàn Bắc-QADB17</t>
  </si>
  <si>
    <t>15.92097</t>
  </si>
  <si>
    <t>108.15602</t>
  </si>
  <si>
    <t>FO DT#MBF#QADB17-QADB52</t>
  </si>
  <si>
    <t>87.58</t>
  </si>
  <si>
    <t>47.20</t>
  </si>
  <si>
    <t>Quảng Nam#CAX#Vu Gia-QADL34</t>
  </si>
  <si>
    <t>15.84647</t>
  </si>
  <si>
    <t>108.0867</t>
  </si>
  <si>
    <t>15.8488</t>
  </si>
  <si>
    <t>107.94628</t>
  </si>
  <si>
    <t>FO DT#MBF#QADL34-QADL15</t>
  </si>
  <si>
    <t>863.95</t>
  </si>
  <si>
    <t>556.94</t>
  </si>
  <si>
    <t>15.846783</t>
  </si>
  <si>
    <t>108.091896</t>
  </si>
  <si>
    <t>307.02</t>
  </si>
  <si>
    <t>15.851334</t>
  </si>
  <si>
    <t>107.945141</t>
  </si>
  <si>
    <t>Quảng Nam#CAX#Vu Gia-QADX34</t>
  </si>
  <si>
    <t>FO DT#MBF#QADL15-QADX34</t>
  </si>
  <si>
    <t>1264.65</t>
  </si>
  <si>
    <t>Quảng Nam#CAX#Vu Gia-QADL32</t>
  </si>
  <si>
    <t>15.83759</t>
  </si>
  <si>
    <t>108.10099</t>
  </si>
  <si>
    <t>FO DT#MBF#QADL32-QADL15</t>
  </si>
  <si>
    <t>TTCMKV Đại Lộc - Vu Gia</t>
  </si>
  <si>
    <t>1160.95</t>
  </si>
  <si>
    <t>54.34</t>
  </si>
  <si>
    <t>15.846954</t>
  </si>
  <si>
    <t>108.086629</t>
  </si>
  <si>
    <t>1106.61</t>
  </si>
  <si>
    <t>15.846134</t>
  </si>
  <si>
    <t>108.106295</t>
  </si>
  <si>
    <t>full_h04/TP Đà Nẵng/TP Đà Nẵng/Mạng cấp 4 - Quảng Nam/Quảng Nam - Ring 6_fix.kmz/Quảng Nam - Ring 6/TTCMKV Đại Lộc - Vu Gia/trung thế 1</t>
  </si>
  <si>
    <t>Quảng Nam#CAX#Vu Gia-QADL62</t>
  </si>
  <si>
    <t>15.83245</t>
  </si>
  <si>
    <t>108.08489</t>
  </si>
  <si>
    <t>FO DT#MBF#QADL62-QADL15</t>
  </si>
  <si>
    <t>1245.09</t>
  </si>
  <si>
    <t>1026.37</t>
  </si>
  <si>
    <t>15.837248</t>
  </si>
  <si>
    <t>108.086302</t>
  </si>
  <si>
    <t>218.72</t>
  </si>
  <si>
    <t>15.830485</t>
  </si>
  <si>
    <t>108.084808</t>
  </si>
  <si>
    <t>full_h04/TP Đà Nẵng/TP Đà Nẵng/Mạng cấp 4 - Quảng Nam/Quảng Nam - Ring 6_fix.kmz/Quảng Nam - Ring 6/Phú Thuận - Duy Xuyên/hạ thế 4</t>
  </si>
  <si>
    <t>Quảng Nam#CAX#Vu Gia-QADL33</t>
  </si>
  <si>
    <t>15.85889</t>
  </si>
  <si>
    <t>108.08336</t>
  </si>
  <si>
    <t>FO DT#MBF#QADL33-QADL15</t>
  </si>
  <si>
    <t>751.85</t>
  </si>
  <si>
    <t>194.91</t>
  </si>
  <si>
    <t>15.857137</t>
  </si>
  <si>
    <t>108.083394</t>
  </si>
  <si>
    <t>Quảng Nam#CAX#Thu Bồn-QADL05</t>
  </si>
  <si>
    <t>15.85561</t>
  </si>
  <si>
    <t>107.9979</t>
  </si>
  <si>
    <t>FO DT#MBF#QADL05-QADX19</t>
  </si>
  <si>
    <t>1436.57</t>
  </si>
  <si>
    <t>784.84</t>
  </si>
  <si>
    <t>15.837038</t>
  </si>
  <si>
    <t>108.124410</t>
  </si>
  <si>
    <t>651.74</t>
  </si>
  <si>
    <t>15.859436</t>
  </si>
  <si>
    <t>108.002516</t>
  </si>
  <si>
    <t>Quảng Nam#CAX#Thu Bồn-Quảng Nam#TTCMKV#Duy Xuyên</t>
  </si>
  <si>
    <t>Quảng Nam#CAX#Nam Phước-QADX39</t>
  </si>
  <si>
    <t>15.83042</t>
  </si>
  <si>
    <t>108.2721</t>
  </si>
  <si>
    <t>15.81984</t>
  </si>
  <si>
    <t>108.24974</t>
  </si>
  <si>
    <t>FO DT#MBF#QADX39-QADX20</t>
  </si>
  <si>
    <t>664.09</t>
  </si>
  <si>
    <t>207.58</t>
  </si>
  <si>
    <t>15.828560</t>
  </si>
  <si>
    <t>108.271935</t>
  </si>
  <si>
    <t>456.51</t>
  </si>
  <si>
    <t>Quảng Nam#CAX#Nam Phước-QAQS06</t>
  </si>
  <si>
    <t>FO DT#MBF#QADX20-QAQS06</t>
  </si>
  <si>
    <t>1034.37</t>
  </si>
  <si>
    <t>Quảng Nam#CAX#Nam Phước-QADX30</t>
  </si>
  <si>
    <t>15.836748</t>
  </si>
  <si>
    <t>108.256463</t>
  </si>
  <si>
    <t>FO DT#MBF#QADX30-QADX20</t>
  </si>
  <si>
    <t>1318.25</t>
  </si>
  <si>
    <t>1110.67</t>
  </si>
  <si>
    <t>15.826947</t>
  </si>
  <si>
    <t>108.258463</t>
  </si>
  <si>
    <t>Quảng Nam#CAX#Nam Phước-QADX08</t>
  </si>
  <si>
    <t>15.8198</t>
  </si>
  <si>
    <t>108.2588</t>
  </si>
  <si>
    <t>FO DT#MBF#QADX08-QADX20</t>
  </si>
  <si>
    <t>802.75</t>
  </si>
  <si>
    <t>595.17</t>
  </si>
  <si>
    <t>15.823723</t>
  </si>
  <si>
    <t>108.255015</t>
  </si>
  <si>
    <t>Quảng Nam#CAX#Hội An Đông-18QA083</t>
  </si>
  <si>
    <t>FO DT#MBF#18QA083-QAHA18</t>
  </si>
  <si>
    <t>Quảng Nam#CAX#Tam Xuân-QATK07</t>
  </si>
  <si>
    <t>15.54565</t>
  </si>
  <si>
    <t>108.5216</t>
  </si>
  <si>
    <t>15.56074</t>
  </si>
  <si>
    <t>108.50045</t>
  </si>
  <si>
    <t>FO DT#MBF#QATK07-QANT49</t>
  </si>
  <si>
    <t>1071.17</t>
  </si>
  <si>
    <t>13.48</t>
  </si>
  <si>
    <t>15.545696</t>
  </si>
  <si>
    <t>108.521484</t>
  </si>
  <si>
    <t>1057.68</t>
  </si>
  <si>
    <t>15.552980</t>
  </si>
  <si>
    <t>108.506161</t>
  </si>
  <si>
    <t>full_h04/TP Đà Nẵng/TP Đà Nẵng/Mạng cấp 4 - Quảng Nam/Quảng Nam - Ring 15/TT2 Tam Kỳ - Tam Xuân/Hạ thế</t>
  </si>
  <si>
    <t>Quảng Nam#CAX#Tam Xuân-QANT06</t>
  </si>
  <si>
    <t>15.51584</t>
  </si>
  <si>
    <t>108.55952</t>
  </si>
  <si>
    <t>FO DT#MBF#QANT49-QANT06</t>
  </si>
  <si>
    <t>Tam Xuân - Tam Anh</t>
  </si>
  <si>
    <t>1092.49</t>
  </si>
  <si>
    <t>755.06</t>
  </si>
  <si>
    <t>15.541767</t>
  </si>
  <si>
    <t>108.527382</t>
  </si>
  <si>
    <t>337.43</t>
  </si>
  <si>
    <t>15.513627</t>
  </si>
  <si>
    <t>108.557365</t>
  </si>
  <si>
    <t>full_h04/TP Đà Nẵng/TP Đà Nẵng/Mạng cấp 4 - Quảng Nam/Quảng Nam - Ring 15/Tam Xuân - Tam Anh/Trung thế</t>
  </si>
  <si>
    <t>Quảng Nam#CAX#Tam Xuân-QANT29</t>
  </si>
  <si>
    <t>15.54721</t>
  </si>
  <si>
    <t>108.53362</t>
  </si>
  <si>
    <t>FO DT#MBF#QANT29-QANT49</t>
  </si>
  <si>
    <t>907.91</t>
  </si>
  <si>
    <t>8.84</t>
  </si>
  <si>
    <t>15.545572</t>
  </si>
  <si>
    <t>108.521613</t>
  </si>
  <si>
    <t>899.07</t>
  </si>
  <si>
    <t>15.541735</t>
  </si>
  <si>
    <t>108.527445</t>
  </si>
  <si>
    <t>full_h04/TP Đà Nẵng/TP Đà Nẵng/Mạng cấp 4 - Quảng Nam/Quảng Nam - Ring 15/Tam Xuân - Tam Anh/Hạ thế</t>
  </si>
  <si>
    <t>Quảng Nam#CAX#Phú Ninh-QAPN14</t>
  </si>
  <si>
    <t>15.52385</t>
  </si>
  <si>
    <t>108.42056</t>
  </si>
  <si>
    <t>FO DT#MBF#QAPN04-QAPN14</t>
  </si>
  <si>
    <t>58.49</t>
  </si>
  <si>
    <t>44.16</t>
  </si>
  <si>
    <t>15.523190</t>
  </si>
  <si>
    <t>108.419530</t>
  </si>
  <si>
    <t>14.32</t>
  </si>
  <si>
    <t>15.523827</t>
  </si>
  <si>
    <t>108.420692</t>
  </si>
  <si>
    <t>full_h04/TP Đà Nẵng/TP Đà Nẵng/Mạng cấp 4 - Quảng Nam/Quảng Nam - Ring 14/Chiên Đàn - Phú Ninh/hạ thế 3</t>
  </si>
  <si>
    <t>Quảng Nam#CAX#Phú Ninh-21QA013</t>
  </si>
  <si>
    <t>FO DT#MBF#21QA013-QAPN04</t>
  </si>
  <si>
    <t>Quảng Nam#CAX#Quế Sơn Trung-QAQS38</t>
  </si>
  <si>
    <t>15.72096</t>
  </si>
  <si>
    <t>108.29183</t>
  </si>
  <si>
    <t>FO DT#MBF#QAQS38-QAQS10</t>
  </si>
  <si>
    <t>1524.16</t>
  </si>
  <si>
    <t>1373.84</t>
  </si>
  <si>
    <t>15.722346</t>
  </si>
  <si>
    <t>108.279076</t>
  </si>
  <si>
    <t>Quảng Nam#CAX#Xuân Phú-QATB52</t>
  </si>
  <si>
    <t>15.7487</t>
  </si>
  <si>
    <t>108.33968</t>
  </si>
  <si>
    <t>FO DT#MBF#QATB52-QATB11</t>
  </si>
  <si>
    <t>1489.19</t>
  </si>
  <si>
    <t>266.18</t>
  </si>
  <si>
    <t>15.775742</t>
  </si>
  <si>
    <t>108.333003</t>
  </si>
  <si>
    <t>1223.01</t>
  </si>
  <si>
    <t>15.756098</t>
  </si>
  <si>
    <t>108.348137</t>
  </si>
  <si>
    <t>Quảng Nam#Phòng#Trạm CSGT Thăng Bình (X. Bình Phục, Thăng Bình)-21QA048</t>
  </si>
  <si>
    <t>FO DT#MBF#21QA048-QATB14</t>
  </si>
  <si>
    <t>FO DT#MBF#QATB59-QATB34</t>
  </si>
  <si>
    <t>Quảng Nam#CAX#Thăng Phú-QAPN43</t>
  </si>
  <si>
    <t>15.61997</t>
  </si>
  <si>
    <t>108.39905</t>
  </si>
  <si>
    <t>FO DT#MBF#QAPN43-QATB34</t>
  </si>
  <si>
    <t>1507.93</t>
  </si>
  <si>
    <t>1350.84</t>
  </si>
  <si>
    <t>15.624055</t>
  </si>
  <si>
    <t>108.383067</t>
  </si>
  <si>
    <t>157.09</t>
  </si>
  <si>
    <t>15.621383</t>
  </si>
  <si>
    <t>108.399039</t>
  </si>
  <si>
    <t>full_h04/TP Đà Nẵng/TP Đà Nẵng/Mạng cấp 4 - Quảng Nam/Quảng Nam - Ring 11 - ok/Thăng Phú - Tây Hồ/hạ thế 1</t>
  </si>
  <si>
    <t>Quảng Nam#CAX#Hương Trà-QATK46</t>
  </si>
  <si>
    <t>15.55759</t>
  </si>
  <si>
    <t>108.49099</t>
  </si>
  <si>
    <t>FO DT#MBF#QATK03-QATK46</t>
  </si>
  <si>
    <t>1064.20</t>
  </si>
  <si>
    <t>634.65</t>
  </si>
  <si>
    <t>15.560666</t>
  </si>
  <si>
    <t>108.485999</t>
  </si>
  <si>
    <t>Quảng Nam#Phòng#PC07-QATK24</t>
  </si>
  <si>
    <t>FO DT#MBF#QATK18-QATK24</t>
  </si>
  <si>
    <t>478.99</t>
  </si>
  <si>
    <t>15.575647</t>
  </si>
  <si>
    <t>108.476566</t>
  </si>
  <si>
    <t>383.25</t>
  </si>
  <si>
    <t>15.569207</t>
  </si>
  <si>
    <t>108.476629</t>
  </si>
  <si>
    <t>full_h04/TP Đà Nẵng/TP Đà Nẵng/Mạng cấp 3_ DN và Quảng Nam/Phòng -  Ring 5 ( Quảng Nam)/PC06 - PC07/Hạ thế 2</t>
  </si>
  <si>
    <t>Quảng Nam#Phòng#PC07-NH Nam Á Bank</t>
  </si>
  <si>
    <t>FO DT#MBF#NH Nam Á Bank-QATK18</t>
  </si>
  <si>
    <t>Quảng Nam#Phòng#PC11-QAPN20</t>
  </si>
  <si>
    <t>15.5647</t>
  </si>
  <si>
    <t>108.4398</t>
  </si>
  <si>
    <t>FO DT#MBF#QAPN20-QATK22</t>
  </si>
  <si>
    <t>941.53</t>
  </si>
  <si>
    <t>579.27</t>
  </si>
  <si>
    <t>15.559533</t>
  </si>
  <si>
    <t>108.440489</t>
  </si>
  <si>
    <t>FO thuê</t>
  </si>
  <si>
    <t>VNPT</t>
  </si>
  <si>
    <t>KHNT60-KHNT3A</t>
  </si>
  <si>
    <t>KHNT79-KHNT03</t>
  </si>
  <si>
    <t>CMC</t>
  </si>
  <si>
    <t>KHDK13-KHDK06</t>
  </si>
  <si>
    <t>KHDK06-KHCL23</t>
  </si>
  <si>
    <t>KHNTMA01-KHNT59</t>
  </si>
  <si>
    <t>KHNT83-KHNT24</t>
  </si>
  <si>
    <t>KHNTMA01-KHNT1F</t>
  </si>
  <si>
    <t>KHNTMA01-KHNT26</t>
  </si>
  <si>
    <t>KHNT25-KHNT84</t>
  </si>
  <si>
    <t>KHNT84-KHNT60</t>
  </si>
  <si>
    <t>KHNT60-KHNT24</t>
  </si>
  <si>
    <t>KHNT94-KHNT79</t>
  </si>
  <si>
    <t>KHNT79-KHNT28</t>
  </si>
  <si>
    <t>KHDK08-KHNT07</t>
  </si>
  <si>
    <t>KHNT88-KHNT1N</t>
  </si>
  <si>
    <t>KHNT1N-KHNT17</t>
  </si>
  <si>
    <t>KHNT17-KHNT24</t>
  </si>
  <si>
    <t>KHNT88-KHNT3Q</t>
  </si>
  <si>
    <t>KHNT55-KHNT68</t>
  </si>
  <si>
    <t>KHNT79-KHNT3G</t>
  </si>
  <si>
    <t>KHNT05-KHNT3C</t>
  </si>
  <si>
    <t>KHNT90-KHNT4Z</t>
  </si>
  <si>
    <t>KHDK13-KHDK38</t>
  </si>
  <si>
    <t>KHDK08-KHDK30</t>
  </si>
  <si>
    <t>KHDK13-KHDK05</t>
  </si>
  <si>
    <t>KHNTMA01-KHNT74</t>
  </si>
  <si>
    <t>KHNT88-KHNT77</t>
  </si>
  <si>
    <t>KHCR47-KHCR05</t>
  </si>
  <si>
    <t>KHCR02-KHCR16</t>
  </si>
  <si>
    <t>KHDK13-KHDK10</t>
  </si>
  <si>
    <t>KHDK13-KHDK23</t>
  </si>
  <si>
    <t>KHDK25-KHDK17</t>
  </si>
  <si>
    <t>KHDK06-KHDK28</t>
  </si>
  <si>
    <t>KHDK25-KHDK24</t>
  </si>
  <si>
    <t>KHDK25-KHDK09</t>
  </si>
  <si>
    <t>KHDK08-KHDK33</t>
  </si>
  <si>
    <t>KHNT88-KHNT4A</t>
  </si>
  <si>
    <t>KHNTMA01-KHNT3L</t>
  </si>
  <si>
    <t>KHNT94-KHNT95</t>
  </si>
  <si>
    <t>KHNT88-KHNT1S</t>
  </si>
  <si>
    <t>KHNTMA01-KHNT4K</t>
  </si>
  <si>
    <t>KHNT17-KHNT3D</t>
  </si>
  <si>
    <t>KHNT79-KHNT21</t>
  </si>
  <si>
    <t>KHNT90-KHNT4B</t>
  </si>
  <si>
    <t>KHNTMA01-KHNT4Q</t>
  </si>
  <si>
    <t>KHNT17-KHNT4M</t>
  </si>
  <si>
    <t>KHDK06-KHDK25</t>
  </si>
  <si>
    <t>KHNTMA01-KHDK06</t>
  </si>
  <si>
    <t>KHNH06-KHNH93</t>
  </si>
  <si>
    <t>KHNH54-KHNH1C</t>
  </si>
  <si>
    <t>KHNH54-KHNH96</t>
  </si>
  <si>
    <t>KHCR27-KHCL55</t>
  </si>
  <si>
    <t>KHCR52-KHCR77</t>
  </si>
  <si>
    <t>KHNH54-KHNH1E</t>
  </si>
  <si>
    <t>KHNT90-KHNT6D</t>
  </si>
  <si>
    <t>KHNT90-KHNT2B</t>
  </si>
  <si>
    <t>KHNT90-KHNT1H</t>
  </si>
  <si>
    <t>KHNT25-KHNT1I</t>
  </si>
  <si>
    <t>KHNT25-KHNT1J</t>
  </si>
  <si>
    <t>KHNT05-KHNT1K</t>
  </si>
  <si>
    <t>KHNT55-KHNT1U</t>
  </si>
  <si>
    <t>KHNT25-KHNT1V</t>
  </si>
  <si>
    <t>KHNT25-KHNT47</t>
  </si>
  <si>
    <t>KHNT55-KHNT89</t>
  </si>
  <si>
    <t>KHNT79-KHNT4P</t>
  </si>
  <si>
    <t>KHCL02-KHCL40</t>
  </si>
  <si>
    <t>KHNH54-KHNH84</t>
  </si>
  <si>
    <t>KHNH54-KHNH85</t>
  </si>
  <si>
    <t>KHVN04-KHVN39</t>
  </si>
  <si>
    <t>KHCR52-KHCL03</t>
  </si>
  <si>
    <t>KHNTMA01-KHCLMA01</t>
  </si>
  <si>
    <t>KHCR47-KHCR19</t>
  </si>
  <si>
    <t>KHCR52-KHCR49</t>
  </si>
  <si>
    <t>KHCL02-KHCL47</t>
  </si>
  <si>
    <t>KHCR27-KHCL02</t>
  </si>
  <si>
    <t>KHCR52-KHCR14</t>
  </si>
  <si>
    <t>KHCR18-KHCR04</t>
  </si>
  <si>
    <t>KHCR52-KHCR18</t>
  </si>
  <si>
    <t>KHCR02-KHCL18</t>
  </si>
  <si>
    <t>KHCLMA01-KHCL17</t>
  </si>
  <si>
    <t>KHCR02-KHCR53</t>
  </si>
  <si>
    <t>KHCR10-KHCR02</t>
  </si>
  <si>
    <t>KHCLMA01-KHCR10</t>
  </si>
  <si>
    <t>KHCR10-KHCL33</t>
  </si>
  <si>
    <t>KHCL02-KHCL09</t>
  </si>
  <si>
    <t>KHCL02-KHCL13</t>
  </si>
  <si>
    <t>KHCR52-KHCR17</t>
  </si>
  <si>
    <t>KHCR18-KHCR34</t>
  </si>
  <si>
    <t>KHCR52-KHCR33</t>
  </si>
  <si>
    <t>KHCR02-KHCR25</t>
  </si>
  <si>
    <t>KHCR18-KHCR36</t>
  </si>
  <si>
    <t>KHCR52-KHCR37</t>
  </si>
  <si>
    <t>KHCR27-KHCR70</t>
  </si>
  <si>
    <t>KHVN53-KHVN04</t>
  </si>
  <si>
    <t>KHVN38-KHVN04</t>
  </si>
  <si>
    <t>KHVN50-KHVN04</t>
  </si>
  <si>
    <t>KHVN22-KHVN04</t>
  </si>
  <si>
    <t>KHVN47-KHVN04</t>
  </si>
  <si>
    <t>KHDK44-KHDK25</t>
  </si>
  <si>
    <t>KHDK41-KHDK13</t>
  </si>
  <si>
    <t>KHDK47-KHDK06</t>
  </si>
  <si>
    <t>KHCL36-KHCL02</t>
  </si>
  <si>
    <t>KHCL65-KHCLMA01</t>
  </si>
  <si>
    <t>KHCL66-KHCLMA01</t>
  </si>
  <si>
    <t>KHCR64-KHCR18</t>
  </si>
  <si>
    <t>KHCR71-KHCR47</t>
  </si>
  <si>
    <t>KHNT20-KHNT84</t>
  </si>
  <si>
    <t>KHNT5S-KHNT55</t>
  </si>
  <si>
    <t>KHNT6V-KHNT25</t>
  </si>
  <si>
    <t>KHNH18-KHNH54</t>
  </si>
  <si>
    <t>KHNH1I-KHNH10</t>
  </si>
  <si>
    <t>KHNH1O-KHNH06</t>
  </si>
  <si>
    <t>KHNH1S-KHNH06</t>
  </si>
  <si>
    <t>KHNH89-KHNH12</t>
  </si>
  <si>
    <t>KHNT85-KHNT84</t>
  </si>
  <si>
    <t>KHNT86-KHNT60</t>
  </si>
  <si>
    <t>KHNT49-KHNT1N</t>
  </si>
  <si>
    <t>KHNT2K-KHNT83</t>
  </si>
  <si>
    <t>KHNT6N-KHNT83</t>
  </si>
  <si>
    <t>KHNT6Q-KHNT4Z</t>
  </si>
  <si>
    <t>KHNT4T-KHNT83</t>
  </si>
  <si>
    <t>KHCL22-KHDK06</t>
  </si>
  <si>
    <t>KHCL10-KHCR10</t>
  </si>
  <si>
    <t>KHCR76-KHCR47</t>
  </si>
  <si>
    <t>KHCL54-KHCR47</t>
  </si>
  <si>
    <t>KHCR01-KHCR18</t>
  </si>
  <si>
    <t>KHNT7N-KHNT79</t>
  </si>
  <si>
    <t>KHNT7Q-KHNT42</t>
  </si>
  <si>
    <t>KHNT7P-KHNT05</t>
  </si>
  <si>
    <t>KHCR56-KHCR10</t>
  </si>
  <si>
    <t>KHDK37-KHDK25</t>
  </si>
  <si>
    <t>KHNT1E-KHNT05</t>
  </si>
  <si>
    <t>KHDKMA01-KHDK13</t>
  </si>
  <si>
    <t>KHDK12-KHDK25</t>
  </si>
  <si>
    <t>KHNT1R-KHNT83</t>
  </si>
  <si>
    <t>KHNT56-KHNT90</t>
  </si>
  <si>
    <t>KHNT26-KHNT55</t>
  </si>
  <si>
    <t>KHNT62-KHNT94</t>
  </si>
  <si>
    <t>KHDKMA01-KHDK08</t>
  </si>
  <si>
    <t>KHNT07-KHNT88</t>
  </si>
  <si>
    <t>KHCL35-KHCLMA01</t>
  </si>
  <si>
    <t>KHNH52-KHNH32</t>
  </si>
  <si>
    <t>KHNT59-KHNT72</t>
  </si>
  <si>
    <t>KHNT56-KHNT4D</t>
  </si>
  <si>
    <t>KHNT07-KHNT78</t>
  </si>
  <si>
    <t>KHNT32-KHNT42</t>
  </si>
  <si>
    <t>KHCR49-KHCR47</t>
  </si>
  <si>
    <t>KHCR14-KHCR27</t>
  </si>
  <si>
    <t>KHCR50-KHCR52</t>
  </si>
  <si>
    <t>FO DT</t>
  </si>
  <si>
    <t>MBF</t>
  </si>
  <si>
    <t>KHNTMA01-KHNT24</t>
  </si>
  <si>
    <t>KHCLMA01-KHNT24</t>
  </si>
  <si>
    <t>KHNH06-KHVN04</t>
  </si>
  <si>
    <t>KHVN04-KHVN23</t>
  </si>
  <si>
    <t>KHNH54-KHNT24</t>
  </si>
  <si>
    <t>KHNH06-KHNH54</t>
  </si>
  <si>
    <t>KHDK25-KHNTMA01</t>
  </si>
  <si>
    <t>KHCR52-KHCR02</t>
  </si>
  <si>
    <t>KHCR02-KHCLMA01</t>
  </si>
  <si>
    <t>KHNH06-KHNH14</t>
  </si>
  <si>
    <t>KHNH10-KHNH54</t>
  </si>
  <si>
    <t>KHNH06-KHNH09</t>
  </si>
  <si>
    <t>KHNH54-KHNH04</t>
  </si>
  <si>
    <t>KHNT13-KHNT24</t>
  </si>
  <si>
    <t>KHNH06-KHNH44</t>
  </si>
  <si>
    <t>KHNH12-KHNH54</t>
  </si>
  <si>
    <t>KHVN04-KHVN41</t>
  </si>
  <si>
    <t>KHVN03-KHVN55</t>
  </si>
  <si>
    <t>KHVN55-KHVN23</t>
  </si>
  <si>
    <t>KHVN04-KHVN29</t>
  </si>
  <si>
    <t>KHNH32-KHNH02</t>
  </si>
  <si>
    <t>KHNH20-KHNH19</t>
  </si>
  <si>
    <t>KHDKMA01-KHDK25</t>
  </si>
  <si>
    <t>KHDKMA01-KHNH06</t>
  </si>
  <si>
    <t>KHVN13-KHNH54</t>
  </si>
  <si>
    <t>KHCL47-KHCR52</t>
  </si>
  <si>
    <t>KHNH14-KHNH10</t>
  </si>
  <si>
    <t>KHNH09-KHNH54</t>
  </si>
  <si>
    <t>KHNH04-KHNT13</t>
  </si>
  <si>
    <t>KHNH44-KHNH12</t>
  </si>
  <si>
    <t>KHVN41-KHVN03</t>
  </si>
  <si>
    <t>KHVN13-KHNH32</t>
  </si>
  <si>
    <t>KHNH55-KHNH54</t>
  </si>
  <si>
    <t>KHNH76-KHNH20</t>
  </si>
  <si>
    <t>KHNH19-KHNH54</t>
  </si>
  <si>
    <t>KHDKMA01-KHDK15</t>
  </si>
  <si>
    <t>KHDKMA01-KHNT1M</t>
  </si>
  <si>
    <t>KHDKMA01-KHNT62</t>
  </si>
  <si>
    <t>KHDKMA01-KHDK26</t>
  </si>
  <si>
    <t>KHDKMA01-KHDK20</t>
  </si>
  <si>
    <t>KHDKMA01-KHDK27</t>
  </si>
  <si>
    <t>KHDKMA01-KHDK36</t>
  </si>
  <si>
    <t>KHDK34-KHDKMA01</t>
  </si>
  <si>
    <t>KHDK40-KHDKMA01</t>
  </si>
  <si>
    <t>KHDK01-KHDKMA01</t>
  </si>
  <si>
    <t>KHCL23-KHDKMA01</t>
  </si>
  <si>
    <t>KHDKMA01-KHNT24</t>
  </si>
  <si>
    <t>KHDKMA01-KHCL47</t>
  </si>
  <si>
    <t>KHDKMA01-KHDK14</t>
  </si>
  <si>
    <t>KHNT24-KHDKMA01</t>
  </si>
  <si>
    <t>KHNT05-KHNT25</t>
  </si>
  <si>
    <t>KHNT25-KHNT55</t>
  </si>
  <si>
    <t>KHNT55-KHNT90</t>
  </si>
  <si>
    <t>KHNT90-KHNT83</t>
  </si>
  <si>
    <t>KHNT83-KHNT1R</t>
  </si>
  <si>
    <t>KHNT79-KHNT53</t>
  </si>
  <si>
    <t>KHNT79-KHNT99</t>
  </si>
  <si>
    <t>KHNH10-KHNH80</t>
  </si>
  <si>
    <t>KHNH32-KHNH78</t>
  </si>
  <si>
    <t>KHNH12-KHNH01</t>
  </si>
  <si>
    <t>KHNH20-KHNH39</t>
  </si>
  <si>
    <t>KHNH12-KHNH82</t>
  </si>
  <si>
    <t>KHNH20-KHNH33</t>
  </si>
  <si>
    <t>KHNH20-KHNH72</t>
  </si>
  <si>
    <t>KHVN55-KHVN02</t>
  </si>
  <si>
    <t>KHNT83-KHNT1W</t>
  </si>
  <si>
    <t>KHKV08-KHKV25</t>
  </si>
  <si>
    <t>KHCR10-KHCR88</t>
  </si>
  <si>
    <t>KHNT05-KHNT7M</t>
  </si>
  <si>
    <t>KHNT05-KHNT24</t>
  </si>
  <si>
    <t>KHVN55-KHVN59</t>
  </si>
  <si>
    <t>KHNT42-Trạm điện 220 KVA_VINPEARL_ĐẤT LIỀN</t>
  </si>
  <si>
    <t>KHNT01-KHNT05</t>
  </si>
  <si>
    <t>KHCR62-KHCR02</t>
  </si>
  <si>
    <t>KHNT3F-KHNT90</t>
  </si>
  <si>
    <t>KHNT65-KHNTMA01</t>
  </si>
  <si>
    <t>KHNT34-KHNTMA01</t>
  </si>
  <si>
    <t>KHNT11-KHNTMA01</t>
  </si>
  <si>
    <t>KHNT93-KHNT05</t>
  </si>
  <si>
    <t>KHNT67-KHNT1N</t>
  </si>
  <si>
    <t>KHNT41-KHNT94</t>
  </si>
  <si>
    <t>KHNT15-KHNT1N</t>
  </si>
  <si>
    <t>KHNT4I-KHNT94</t>
  </si>
  <si>
    <t>KHNT2D-KHNT88</t>
  </si>
  <si>
    <t>KHNT45-KHNTMA01</t>
  </si>
  <si>
    <t>KHNT3M-KHNT05</t>
  </si>
  <si>
    <t>KHNT6M-KHNT88</t>
  </si>
  <si>
    <t>KHNT6C-KHNT83</t>
  </si>
  <si>
    <t>KHCL20-KHCR27</t>
  </si>
  <si>
    <t>KHCL61-KHCR02</t>
  </si>
  <si>
    <t>KHCL19-KHCLMA01</t>
  </si>
  <si>
    <t>KHCL62-KHCLMA01</t>
  </si>
  <si>
    <t>KHCL31-KHCLMA01</t>
  </si>
  <si>
    <t>KHDK49-KHDK08</t>
  </si>
  <si>
    <t>KHDK46-KHDK06</t>
  </si>
  <si>
    <t>KHDK14-KHDKMA01</t>
  </si>
  <si>
    <t>KHNH59-KHNH12</t>
  </si>
  <si>
    <t>KHNH23-KHNH10</t>
  </si>
  <si>
    <t>KHNH24-KHNH12</t>
  </si>
  <si>
    <t>KHNH15-KHNH32</t>
  </si>
  <si>
    <t>KHNH64-KHNH12</t>
  </si>
  <si>
    <t>KHNH31-KHNH10</t>
  </si>
  <si>
    <t>KHNT44-KHNT13</t>
  </si>
  <si>
    <t>KHNH13-KHNT13</t>
  </si>
  <si>
    <t>KHNH62-KHNH06</t>
  </si>
  <si>
    <t>KHNH43-KHNH06</t>
  </si>
  <si>
    <t>KHVN51-KHVN04</t>
  </si>
  <si>
    <t>KHVN20-KHVN03</t>
  </si>
  <si>
    <t>KHVN43-KHVN03</t>
  </si>
  <si>
    <t>KHNT6I-KHNT90</t>
  </si>
  <si>
    <t>KHNT3P-KHNT25</t>
  </si>
  <si>
    <t>KHNT5U-KHNT60</t>
  </si>
  <si>
    <t>KHDK22-KHDK25</t>
  </si>
  <si>
    <t>KHNH65-KHNH54</t>
  </si>
  <si>
    <t>KHNT2W-KHNT94</t>
  </si>
  <si>
    <t>KHNT69-KHNT55</t>
  </si>
  <si>
    <t>KHNT1T-KHNT60</t>
  </si>
  <si>
    <t>KHNT12-KHNT83</t>
  </si>
  <si>
    <t>KHNT2V-KHNT17</t>
  </si>
  <si>
    <t>KHNT5R-KHNT17</t>
  </si>
  <si>
    <t>KHNT58-KHNT17</t>
  </si>
  <si>
    <t>KHNT2Z-KHNT84</t>
  </si>
  <si>
    <t>17KH025-KHNT1N</t>
  </si>
  <si>
    <t>KHKV10-KHKV05</t>
  </si>
  <si>
    <t>KHKV25-KHKV05</t>
  </si>
  <si>
    <t>KHKV23-KHKV05</t>
  </si>
  <si>
    <t>KHDK03-KHDK25</t>
  </si>
  <si>
    <t>KHNT3O-KHNT88</t>
  </si>
  <si>
    <t>KHDK30-KHDK08</t>
  </si>
  <si>
    <t>KHVN44-KHVN55</t>
  </si>
  <si>
    <t>KHVN18-KHVN55</t>
  </si>
  <si>
    <t>KHVN28-KHVN55</t>
  </si>
  <si>
    <t>KHCR26-KHCR47</t>
  </si>
  <si>
    <t>KHCR70-KHCR47</t>
  </si>
  <si>
    <t>KHNH95-KHNH20</t>
  </si>
  <si>
    <t>KHNT8P-KHNT83</t>
  </si>
  <si>
    <t>KHNT8V-KHNTMA01</t>
  </si>
  <si>
    <t>KHNT8D-KHNT4D</t>
  </si>
  <si>
    <t>KHNT8B-KHNT1N</t>
  </si>
  <si>
    <t>KHNT57-KHNT4D</t>
  </si>
  <si>
    <t>KHNT8F-KHNT25</t>
  </si>
  <si>
    <t>QTTP35-QTDH14</t>
  </si>
  <si>
    <t>QTCL02-QTDH14</t>
  </si>
  <si>
    <t>QTDH50-QTDH14</t>
  </si>
  <si>
    <t>QTQT09-QTDH14</t>
  </si>
  <si>
    <t>QTTP23-QTDH14</t>
  </si>
  <si>
    <t>QTCL20-QTCL13</t>
  </si>
  <si>
    <t>QTCL17-QTCL13</t>
  </si>
  <si>
    <t>QTGL42-QTGL03</t>
  </si>
  <si>
    <t>QTDH10-QTCL13</t>
  </si>
  <si>
    <t>QTCL13-QTCL34</t>
  </si>
  <si>
    <t>VNPOST Lương An-QTGL03</t>
  </si>
  <si>
    <t>QTGL03-QTGL15</t>
  </si>
  <si>
    <t>QTGL15-QTGL12</t>
  </si>
  <si>
    <t>QTGL12-QTGL44</t>
  </si>
  <si>
    <t>QTCL08-QTCL34</t>
  </si>
  <si>
    <t>QTCL34-QTCL09</t>
  </si>
  <si>
    <t>QTDH17-QTDH08</t>
  </si>
  <si>
    <t>QTTP08-QTHL25</t>
  </si>
  <si>
    <t>QTHL25-QTQT09</t>
  </si>
  <si>
    <t>QTHL22-QTHL10</t>
  </si>
  <si>
    <t>QTHL10-QTHL25</t>
  </si>
  <si>
    <t>QTHL25-QTHL03</t>
  </si>
  <si>
    <t>QTHL03-QTHL17</t>
  </si>
  <si>
    <t>QTHL17-QTTP05</t>
  </si>
  <si>
    <t>QTTP05-QTHL19</t>
  </si>
  <si>
    <t>QTHL19-QTQT09</t>
  </si>
  <si>
    <t>QTHL25-QTHL06</t>
  </si>
  <si>
    <t>QTHL12-QTQT09</t>
  </si>
  <si>
    <t>QTHL25-QTHL28</t>
  </si>
  <si>
    <t>QTHL28-QTHL05</t>
  </si>
  <si>
    <t>QTHL05-QTQT09</t>
  </si>
  <si>
    <t>QTTP21-QTQT09</t>
  </si>
  <si>
    <t>QTTP47-QTTP10</t>
  </si>
  <si>
    <t>QTTP10-QTQT05</t>
  </si>
  <si>
    <t>QTQT05-QTQT09</t>
  </si>
  <si>
    <t>QTTP48-QTQT06</t>
  </si>
  <si>
    <t>QTQT06-QTQT09</t>
  </si>
  <si>
    <t>QTQT09-QTQT03</t>
  </si>
  <si>
    <t>QTQT03-QTQT09</t>
  </si>
  <si>
    <t>QTHL50-QTHL05</t>
  </si>
  <si>
    <t>QTDH56-QTDH07</t>
  </si>
  <si>
    <t>QTGL19-QTGL03</t>
  </si>
  <si>
    <t>QTDH33-QTDH34</t>
  </si>
  <si>
    <t>QTDH24-QTDH50</t>
  </si>
  <si>
    <t>QTDH52-QTDH50</t>
  </si>
  <si>
    <t>QTDH38-QTDH17</t>
  </si>
  <si>
    <t>QTDH60-QTDH34</t>
  </si>
  <si>
    <t>QTDH61-QTDH04</t>
  </si>
  <si>
    <t>QTGL20-QTGL12</t>
  </si>
  <si>
    <t>QTTP45-QTTP10</t>
  </si>
  <si>
    <t>QTQT06-QTQT02</t>
  </si>
  <si>
    <t>QTHL19-QTHL42</t>
  </si>
  <si>
    <t>QTTP20-QTTP05</t>
  </si>
  <si>
    <t>QTTP05-QTHL43</t>
  </si>
  <si>
    <t>QTHL34-QTHL10</t>
  </si>
  <si>
    <t>QTQT10-QTQT06</t>
  </si>
  <si>
    <t>QTHL04-QTHL10</t>
  </si>
  <si>
    <t>QTHL39-QTHL25</t>
  </si>
  <si>
    <t>VNPOST Lương An-QTDH14</t>
  </si>
  <si>
    <t>QTCL_newsite1-QTDH14</t>
  </si>
  <si>
    <t>QTDH35-QTDH14</t>
  </si>
  <si>
    <t>QTDH32-QTDH14</t>
  </si>
  <si>
    <t>VNPOST Lương An-QTDH17</t>
  </si>
  <si>
    <t>QTDH08-QTDH34</t>
  </si>
  <si>
    <t>QTDH34-QTDH14</t>
  </si>
  <si>
    <t>QTDH36-QTDH05</t>
  </si>
  <si>
    <t>QTDH05-QTDH14</t>
  </si>
  <si>
    <t>QTDH27-QTDH14</t>
  </si>
  <si>
    <t>QTDH09-QTDH07</t>
  </si>
  <si>
    <t>QTDH07-QTDH19</t>
  </si>
  <si>
    <t>QTDH19-QTDH04</t>
  </si>
  <si>
    <t>QTDH04-QTDH50</t>
  </si>
  <si>
    <t>QTCL01-QTCL34</t>
  </si>
  <si>
    <t>QTCL04-QTCL34</t>
  </si>
  <si>
    <t>QTTP37-QTDH14</t>
  </si>
  <si>
    <t>QTGL49-QTGL12</t>
  </si>
  <si>
    <t>QTVL06-QTVL01</t>
  </si>
  <si>
    <t>QTVL22-QTVL01</t>
  </si>
  <si>
    <t>QTQT04-QTQT09</t>
  </si>
  <si>
    <t>DGDS21-DGDS46</t>
  </si>
  <si>
    <t>DGDM29-DGDM01</t>
  </si>
  <si>
    <t>DGCJ01-DGCJ11</t>
  </si>
  <si>
    <t>DGTD05-DGTD23</t>
  </si>
  <si>
    <t>DGDM07-DGDM13</t>
  </si>
  <si>
    <t>DGDG04-DGDG09</t>
  </si>
  <si>
    <t>DGTD24-DGDM29</t>
  </si>
  <si>
    <t>DGDM29-DGDS05</t>
  </si>
  <si>
    <t>DGDL37-DGTD24</t>
  </si>
  <si>
    <t>DGTD24-DGDS05</t>
  </si>
  <si>
    <t>DGTD24-DGDS11</t>
  </si>
  <si>
    <t>DGTD24-DGDM34</t>
  </si>
  <si>
    <t>DGDM34-DGDM17</t>
  </si>
  <si>
    <t>DGDM23-DGDM29</t>
  </si>
  <si>
    <t>DGDM29-DGDM24</t>
  </si>
  <si>
    <t>DGDM07-DGKN37</t>
  </si>
  <si>
    <t>DGDM29-DGDM10</t>
  </si>
  <si>
    <t>DGTD24-DGDM15</t>
  </si>
  <si>
    <t>DGDM29-DGDM22</t>
  </si>
  <si>
    <t>DGDM22-DGDS30</t>
  </si>
  <si>
    <t>DGDS30-DGDS07</t>
  </si>
  <si>
    <t>DGTD24-DGTD04</t>
  </si>
  <si>
    <t>DGTD04-DGTD03</t>
  </si>
  <si>
    <t>DGDS02-DGDS05</t>
  </si>
  <si>
    <t>DGDL37-DGDL29</t>
  </si>
  <si>
    <t>DGTD11-DGTD05</t>
  </si>
  <si>
    <t>DGTD05-DGTD09</t>
  </si>
  <si>
    <t>DGTD24-DGTD02</t>
  </si>
  <si>
    <t>DGDS21-DGGN05</t>
  </si>
  <si>
    <t>PITC</t>
  </si>
  <si>
    <t>DGGN15-DGGN24</t>
  </si>
  <si>
    <t>DGGN03-DGGN31</t>
  </si>
  <si>
    <t>DGDL19-DGDL03</t>
  </si>
  <si>
    <t>DGGN07-DGDL05</t>
  </si>
  <si>
    <t>DGDL05-DGDL30</t>
  </si>
  <si>
    <t>DGDL07-DGDL43</t>
  </si>
  <si>
    <t>DGDM20-DGDM07</t>
  </si>
  <si>
    <t>DGDM30-DGDM07</t>
  </si>
  <si>
    <t>DGDM06-DGDM34</t>
  </si>
  <si>
    <t>DGDM09-DGDM34</t>
  </si>
  <si>
    <t>DGDS03-DGDS02</t>
  </si>
  <si>
    <t>DGCJ19-DGCJ01</t>
  </si>
  <si>
    <t>DGTD21-DGTD04</t>
  </si>
  <si>
    <t>DGDS20-DGDS21</t>
  </si>
  <si>
    <t>DGDS18-DGDS21</t>
  </si>
  <si>
    <t>DGCJ25-DGCJ01</t>
  </si>
  <si>
    <t>DGDM41-DGDM22</t>
  </si>
  <si>
    <t>DGDM19-DGDM34</t>
  </si>
  <si>
    <t>DGGN16-DGGN07</t>
  </si>
  <si>
    <t>DGGN32-DGGN03</t>
  </si>
  <si>
    <t>DGGN33-DGDL19</t>
  </si>
  <si>
    <t>DGDL10-DGDL37</t>
  </si>
  <si>
    <t>DGDL20-DGDL19</t>
  </si>
  <si>
    <t>DGDL58-DGGN07</t>
  </si>
  <si>
    <t>DGGN14-DGGN06</t>
  </si>
  <si>
    <t>DGGN29-DGGN06</t>
  </si>
  <si>
    <t>DGDL45-DGDL05</t>
  </si>
  <si>
    <t>DGDL06-DGDL19</t>
  </si>
  <si>
    <t>DG_DWDM_DKGGNA-DGTD24</t>
  </si>
  <si>
    <t>DGDS05-DGGN03</t>
  </si>
  <si>
    <t>DGDM17-DGDM23</t>
  </si>
  <si>
    <t>DGDM31-DGDM07</t>
  </si>
  <si>
    <t>DGDM35-DGDM29</t>
  </si>
  <si>
    <t>DGDS08-DGDS02</t>
  </si>
  <si>
    <t>DGDL29-DGTD11</t>
  </si>
  <si>
    <t>DGTD09-DGTD24</t>
  </si>
  <si>
    <t>DGDS17-DGDS21</t>
  </si>
  <si>
    <t>DGGN13-DGGN03</t>
  </si>
  <si>
    <t>DGGN11-DGGN03</t>
  </si>
  <si>
    <t>DGDL44-DGDL05</t>
  </si>
  <si>
    <t>DGDL15-DGDL37</t>
  </si>
  <si>
    <t>DGDL18-DGDL37</t>
  </si>
  <si>
    <t>DG_DWDM_DKGGNA-DGDL19</t>
  </si>
  <si>
    <t>DGDL09-DGDL37</t>
  </si>
  <si>
    <t>DG_DWDM_DKGGNA-DGGN07</t>
  </si>
  <si>
    <t>DGDL16-DGDL37</t>
  </si>
  <si>
    <t>DGDL32-DGDL07</t>
  </si>
  <si>
    <t>DGDL22-DGDL37</t>
  </si>
  <si>
    <t>22DG033-DGGN06</t>
  </si>
  <si>
    <t>DGGN01-DGGN03</t>
  </si>
  <si>
    <t>DGGN03-DGGN01</t>
  </si>
  <si>
    <t>DGGN03-DG_DWDM_DKGGNA</t>
  </si>
  <si>
    <t>DGGN01-DGDL37</t>
  </si>
  <si>
    <t>DGDL37-DGGN03</t>
  </si>
  <si>
    <t>DGGN06-DGGN17</t>
  </si>
  <si>
    <t>DGGN01-DGGN08</t>
  </si>
  <si>
    <t>DGGN08-DGGN04</t>
  </si>
  <si>
    <t>DGGN15-DGGN02</t>
  </si>
  <si>
    <t>DG_DWDM_DKGGNA-DGGN03</t>
  </si>
  <si>
    <t>DGGN22-DGGN06</t>
  </si>
  <si>
    <t>DGGN20-DGGN03</t>
  </si>
  <si>
    <t>DGGN04-DGGN15</t>
  </si>
  <si>
    <t>DGGN25-DGGN03</t>
  </si>
  <si>
    <t>DGDM24-DGDM29</t>
  </si>
  <si>
    <t>DGTD05-DGTD18</t>
  </si>
  <si>
    <t>DGDS02-DGDS49</t>
  </si>
  <si>
    <t>DGDL01-DGDL37</t>
  </si>
  <si>
    <t>DGGN27-DGGN07</t>
  </si>
  <si>
    <t>21DG017-DGGN06</t>
  </si>
  <si>
    <t>21DG019-DGDS02</t>
  </si>
  <si>
    <t>22DG011-DGDM22</t>
  </si>
  <si>
    <t>DGTD01-DGTD05</t>
  </si>
  <si>
    <t>DGTD18-DGTD11</t>
  </si>
  <si>
    <t>DGTD12-DGTD11</t>
  </si>
  <si>
    <t>DGDG12-DGDG04</t>
  </si>
  <si>
    <t>DGDG11-DGDG04</t>
  </si>
  <si>
    <t>KTNH01-KTST_newsite1</t>
  </si>
  <si>
    <t>KTDT04-KTDT17</t>
  </si>
  <si>
    <t>KTNH01-KTNH12</t>
  </si>
  <si>
    <t>KTST_newsite1-KTST14</t>
  </si>
  <si>
    <t>KTKT19-KTDH09</t>
  </si>
  <si>
    <t>KTDH15-KTDH06</t>
  </si>
  <si>
    <t>KTDH06-KTDH22</t>
  </si>
  <si>
    <t>KTDH01-KTDH04</t>
  </si>
  <si>
    <t>KTDH01-KTDH18</t>
  </si>
  <si>
    <t>KTDH18-KTDH08</t>
  </si>
  <si>
    <t>KTDT04-KTDT19</t>
  </si>
  <si>
    <t>KTNH01-KTNH10</t>
  </si>
  <si>
    <t>KTDH _newsite1-KTNH01</t>
  </si>
  <si>
    <t>KTNH13-KTNH01</t>
  </si>
  <si>
    <t>KTDH01 (KTDH_newsite1)-KTDT04</t>
  </si>
  <si>
    <t>KTNH17-KTNH01</t>
  </si>
  <si>
    <t>KTNH08-KTNH01</t>
  </si>
  <si>
    <t>KTKT75-KTKT05</t>
  </si>
  <si>
    <t>KTKT81-KTKT05</t>
  </si>
  <si>
    <t>KTKT90-KTKT10</t>
  </si>
  <si>
    <t>KTKT91-KTKT30</t>
  </si>
  <si>
    <t>KTKT56-KTKT50</t>
  </si>
  <si>
    <t>KTDH09-KTDH15</t>
  </si>
  <si>
    <t>KTDH22-KTDH01</t>
  </si>
  <si>
    <t>KTDH08-KTKT19</t>
  </si>
  <si>
    <t>KTKT18-KTKT30</t>
  </si>
  <si>
    <t>KTKT02-KTKT10</t>
  </si>
  <si>
    <t>KTKT49-KTKT10</t>
  </si>
  <si>
    <t>KTKT09-KTKT39</t>
  </si>
  <si>
    <t>KTKT14-KTKT39</t>
  </si>
  <si>
    <t>KTKT31-KTKT33</t>
  </si>
  <si>
    <t>KTKT26-KTKT57</t>
  </si>
  <si>
    <t>KTKT72-KTKT50</t>
  </si>
  <si>
    <t>KTKT27-KTKT11</t>
  </si>
  <si>
    <t>KTDT10-KTDT04</t>
  </si>
  <si>
    <t>KTST20-KTST_newsite1</t>
  </si>
  <si>
    <t>KTST05-KTST_newsite1</t>
  </si>
  <si>
    <t>KTST04-KTST_newsite1</t>
  </si>
  <si>
    <t>VNPOST Kon Tum-KTKT19</t>
  </si>
  <si>
    <t>KTKT19-KTKT50</t>
  </si>
  <si>
    <t>KTKT51-KTKT33</t>
  </si>
  <si>
    <t>VNPOST Kon Tum-KTKT44</t>
  </si>
  <si>
    <t>KTKT44-KTKT10</t>
  </si>
  <si>
    <t>KTKT10-KTKT30</t>
  </si>
  <si>
    <t>KTKT30-KTKT19</t>
  </si>
  <si>
    <t>KTKT29-KTKT39</t>
  </si>
  <si>
    <t>VNPOST Kon Tum-KTKT48</t>
  </si>
  <si>
    <t>KTKT60-KTKT19</t>
  </si>
  <si>
    <t>KTKT66-KTKT57</t>
  </si>
  <si>
    <t>KTKT57-KTKT19</t>
  </si>
  <si>
    <t>KTKT35-KTKT11</t>
  </si>
  <si>
    <t>KTKT11-KTKT05</t>
  </si>
  <si>
    <t>KTKT37-KTKT19</t>
  </si>
  <si>
    <t>KTKT45-KTKT19</t>
  </si>
  <si>
    <t>KTDH25-KTDH06</t>
  </si>
  <si>
    <t>KTDH23-KTDH06</t>
  </si>
  <si>
    <t>KTDH41-KTDH15</t>
  </si>
  <si>
    <t>KTKT62-KTKT11</t>
  </si>
  <si>
    <t>KTKT86-KTKT19</t>
  </si>
  <si>
    <t>KTKT06-KTKT48</t>
  </si>
  <si>
    <t>KTKT46-KTKT57</t>
  </si>
  <si>
    <t>KTKT98-KTKT19</t>
  </si>
  <si>
    <t>KTNH14-KTNH01</t>
  </si>
  <si>
    <t>22KT020-KTKT33</t>
  </si>
  <si>
    <t>21KT024-KTKT57</t>
  </si>
  <si>
    <t>22KT002-KTDH18</t>
  </si>
  <si>
    <t>22KT023-KTDT04</t>
  </si>
  <si>
    <t>CAT-KTKT48</t>
  </si>
  <si>
    <t>QNQN02-QNNH21</t>
  </si>
  <si>
    <t>QNQN02-QNST07</t>
  </si>
  <si>
    <t>FFC</t>
  </si>
  <si>
    <t>QNQN02-QNTN06</t>
  </si>
  <si>
    <t>QNQN02-QNST02</t>
  </si>
  <si>
    <t>QNQN02-QNST19</t>
  </si>
  <si>
    <t>QNQN02-QNST36</t>
  </si>
  <si>
    <t>QNQN02-QNST18</t>
  </si>
  <si>
    <t>QNQN02-QNQN15</t>
  </si>
  <si>
    <t>QNQN02-QNQN17</t>
  </si>
  <si>
    <t>QNQN02-QNQN61</t>
  </si>
  <si>
    <t>QNQN02-QNQN44</t>
  </si>
  <si>
    <t>QNQN02-QNTN26</t>
  </si>
  <si>
    <t>QNQN30-QNQN02</t>
  </si>
  <si>
    <t>QNQN2J-QNQN02</t>
  </si>
  <si>
    <t>QNQN02-QNQN2J</t>
  </si>
  <si>
    <t>QNQN02-QNQN09</t>
  </si>
  <si>
    <t>QNMD25-QNTN05</t>
  </si>
  <si>
    <t>QNMD25-QNMD05</t>
  </si>
  <si>
    <t>QNMD25-QNNH03</t>
  </si>
  <si>
    <t>QNMD25-QNMD10</t>
  </si>
  <si>
    <t>QNMD25-QNMD24</t>
  </si>
  <si>
    <t>QNMD25-QNMD01</t>
  </si>
  <si>
    <t>TPComs</t>
  </si>
  <si>
    <t>QNNH21-QNMD25</t>
  </si>
  <si>
    <t>QNMD12-QNMD25</t>
  </si>
  <si>
    <t>QNMD19-QNMD25</t>
  </si>
  <si>
    <t>QNMD36-QNMD25</t>
  </si>
  <si>
    <t>QNMD34-QNMD25</t>
  </si>
  <si>
    <t>QNNH21-QNNH05</t>
  </si>
  <si>
    <t>QNNH21-QNMD02</t>
  </si>
  <si>
    <t>QNNH21-QNNH16</t>
  </si>
  <si>
    <t>QNNH04-QNNH21</t>
  </si>
  <si>
    <t>QNTN10-QNNH21</t>
  </si>
  <si>
    <t>QNTN43-QNNH21</t>
  </si>
  <si>
    <t>QNNH25-QNNH21</t>
  </si>
  <si>
    <t>QNNH09-QNNH21</t>
  </si>
  <si>
    <t>QNNH21-QNTN05</t>
  </si>
  <si>
    <t>QNNH21-QNNH01</t>
  </si>
  <si>
    <t>QNNH21-QNNH24</t>
  </si>
  <si>
    <t>QNNH21-QNNH14</t>
  </si>
  <si>
    <t>QNNH21-QNNH36</t>
  </si>
  <si>
    <t>QNBS23-QNBS26</t>
  </si>
  <si>
    <t>QNBS23-QNBS07</t>
  </si>
  <si>
    <t>QNBS23-QNBS16</t>
  </si>
  <si>
    <t>QNBS23-QNBS54</t>
  </si>
  <si>
    <t>QNBS23-QNBS52</t>
  </si>
  <si>
    <t>QNBS23-QNBS03</t>
  </si>
  <si>
    <t>QNST02-QNBS23</t>
  </si>
  <si>
    <t>QNBS28-QNBS23</t>
  </si>
  <si>
    <t>QNBS15-QNBS23</t>
  </si>
  <si>
    <t>QNBS25-QNBS23</t>
  </si>
  <si>
    <t>QNBS58-QNBS23</t>
  </si>
  <si>
    <t>QNBS1D-QNBS23</t>
  </si>
  <si>
    <t>QNQN26-QNTN_newsite1</t>
  </si>
  <si>
    <t>QNTN13-QNTN_newsite1</t>
  </si>
  <si>
    <t>QNTN39-QNTN_newsite1</t>
  </si>
  <si>
    <t>QNTN05-QNTN_newsite1</t>
  </si>
  <si>
    <t>QNTN_newsite1-QNQN2J</t>
  </si>
  <si>
    <t>QNBS03-QNBS50</t>
  </si>
  <si>
    <t>QNBS45-QNBS03</t>
  </si>
  <si>
    <t>QNBS59-QNBS03</t>
  </si>
  <si>
    <t>QNBS36-QNBS03</t>
  </si>
  <si>
    <t>QNBS21-QNQN85</t>
  </si>
  <si>
    <t>QNST02-QNBS21</t>
  </si>
  <si>
    <t>QNBS79-QNBS21</t>
  </si>
  <si>
    <t>QNQN1A-QNBS21</t>
  </si>
  <si>
    <t>QNBS10-QNBS05</t>
  </si>
  <si>
    <t>QNBS05-QNQN78</t>
  </si>
  <si>
    <t>QNBS41-QNBS05</t>
  </si>
  <si>
    <t>QNQN72-QNBS05</t>
  </si>
  <si>
    <t>QNBS24-QNBS05</t>
  </si>
  <si>
    <t>QNBS57-QNBS05</t>
  </si>
  <si>
    <t>QNBS05-QNBS1M</t>
  </si>
  <si>
    <t>QNBS09-QNBS28</t>
  </si>
  <si>
    <t>QNBS66-QNBS28</t>
  </si>
  <si>
    <t>QNST70-QNBS28</t>
  </si>
  <si>
    <t>QNDP39-QNDP04</t>
  </si>
  <si>
    <t>QNDP03-QNDP04</t>
  </si>
  <si>
    <t>QNDP04-QNDP33</t>
  </si>
  <si>
    <t>QNDP32-QNDP04</t>
  </si>
  <si>
    <t>QNDP04-QNDP24</t>
  </si>
  <si>
    <t>QNDP60-QNDP04</t>
  </si>
  <si>
    <t>QNMD24-QNMD11</t>
  </si>
  <si>
    <t>QNMD11-QNMD06</t>
  </si>
  <si>
    <t>QNMD45-QNMD11</t>
  </si>
  <si>
    <t>QNMD31-QNMD11</t>
  </si>
  <si>
    <t>QNMD06-QNMD27</t>
  </si>
  <si>
    <t>QNMD27-QNTN05</t>
  </si>
  <si>
    <t>QNMD16-QNMD27</t>
  </si>
  <si>
    <t>QNMD27-QNMD20</t>
  </si>
  <si>
    <t>QNNH05-QNNH15</t>
  </si>
  <si>
    <t>QNNH26-QNNH05</t>
  </si>
  <si>
    <t>QNNH36-QNNH05</t>
  </si>
  <si>
    <t>QNNH05-QNNH10</t>
  </si>
  <si>
    <t>QNNH07-QNNH06</t>
  </si>
  <si>
    <t>QNNH06-QNMD28</t>
  </si>
  <si>
    <t>QNNH02-QNNH06</t>
  </si>
  <si>
    <t>QNML02-QNNH06</t>
  </si>
  <si>
    <t>QNNH16-QNNH17</t>
  </si>
  <si>
    <t>QNNH17-QNNH08</t>
  </si>
  <si>
    <t>QNNH11-QNNH17</t>
  </si>
  <si>
    <t>QNNH38-QNNH17</t>
  </si>
  <si>
    <t>QNNH24-QNNH17</t>
  </si>
  <si>
    <t>QNNH17-QNNH27</t>
  </si>
  <si>
    <t>QNNH15-QNNH07</t>
  </si>
  <si>
    <t>QNML03-QNNH15</t>
  </si>
  <si>
    <t>QNNH19-QNNH15</t>
  </si>
  <si>
    <t>QNQN16-QNQN47</t>
  </si>
  <si>
    <t>QNQN27-QNQN16</t>
  </si>
  <si>
    <t>QNQN33-QNQN16</t>
  </si>
  <si>
    <t>QNQN03-QNQN16</t>
  </si>
  <si>
    <t>QNQN16-QNQN2J</t>
  </si>
  <si>
    <t>QNQN58-QNQN22</t>
  </si>
  <si>
    <t>QNQN41-QNQN22</t>
  </si>
  <si>
    <t>QNQN22-QNQN2J</t>
  </si>
  <si>
    <t>QNQN12-QNQN08</t>
  </si>
  <si>
    <t>QNQN08-QNQN31</t>
  </si>
  <si>
    <t>QNQN08-QNQN63</t>
  </si>
  <si>
    <t>QNQN51-QNQN10</t>
  </si>
  <si>
    <t>QNTN23-QNQN10</t>
  </si>
  <si>
    <t>QNQN10-QNQN2J</t>
  </si>
  <si>
    <t>QNQN15-QNQN12</t>
  </si>
  <si>
    <t>QNQN12-QNQN50</t>
  </si>
  <si>
    <t>QNQN09-QNQN45</t>
  </si>
  <si>
    <t>QNQN09-QNQN46</t>
  </si>
  <si>
    <t>QNQN09-QNQN55</t>
  </si>
  <si>
    <t>QNQN18-QNQN09</t>
  </si>
  <si>
    <t>QNQN09-QNQN37</t>
  </si>
  <si>
    <t>QNQN43-QNQN19</t>
  </si>
  <si>
    <t>QNQN19-QNQN35</t>
  </si>
  <si>
    <t>QNTN04-QNQN2D</t>
  </si>
  <si>
    <t>QNQN2D-QNQN26</t>
  </si>
  <si>
    <t>QNQN66-QNQN2D</t>
  </si>
  <si>
    <t>QNQN2G-QNQN2D</t>
  </si>
  <si>
    <t>QNQN2H-QNQN2D</t>
  </si>
  <si>
    <t>QNQN67-QNQN2D</t>
  </si>
  <si>
    <t>QNQN38-QNQN25</t>
  </si>
  <si>
    <t>QNTN_Newsite1-QNQN25</t>
  </si>
  <si>
    <t>QNQN25-QNQN03</t>
  </si>
  <si>
    <t>QNQN25-QNQN2L</t>
  </si>
  <si>
    <t>QNQN41-QNQN59</t>
  </si>
  <si>
    <t>QNQN07-QNQN41</t>
  </si>
  <si>
    <t>QNQN05-QNQN37</t>
  </si>
  <si>
    <t>QNQN37-QNQN2J</t>
  </si>
  <si>
    <t>QNQN53-QNQN43</t>
  </si>
  <si>
    <t>QNTN_Newsite1-QNQN43</t>
  </si>
  <si>
    <t>QNQN31-QNQN2J</t>
  </si>
  <si>
    <t>QNQN90-QNQN81</t>
  </si>
  <si>
    <t>QNQN81-QNQN78</t>
  </si>
  <si>
    <t>QNQN2N-QNQN81</t>
  </si>
  <si>
    <t>QNQN80-QNQN94</t>
  </si>
  <si>
    <t>QNQN94-QNST02</t>
  </si>
  <si>
    <t>QNST36-QNQN82</t>
  </si>
  <si>
    <t>QNQN82-QNST10</t>
  </si>
  <si>
    <t>QNST02-QNST08</t>
  </si>
  <si>
    <t>QNST08-QNST46</t>
  </si>
  <si>
    <t>QNST64-QNST08</t>
  </si>
  <si>
    <t>QNST46-QNST08</t>
  </si>
  <si>
    <t>QNST07-QNST25</t>
  </si>
  <si>
    <t>QNST47-QNST07</t>
  </si>
  <si>
    <t>QNTN06-QNTN09</t>
  </si>
  <si>
    <t>QNTN36-QNTN06</t>
  </si>
  <si>
    <t>QNTN20-QNTN06</t>
  </si>
  <si>
    <t>QNTN66-QNTN06</t>
  </si>
  <si>
    <t>QNTN38-QNTN12</t>
  </si>
  <si>
    <t>QNTN12-QNTN_NEWSITE2</t>
  </si>
  <si>
    <t>QNMD20-QNTN12</t>
  </si>
  <si>
    <t>QNTN40-QNTN66</t>
  </si>
  <si>
    <t>QNTN26-QNTN66</t>
  </si>
  <si>
    <t>QNTN66-QNTN10</t>
  </si>
  <si>
    <t>QNQN2B-QNTN39</t>
  </si>
  <si>
    <t>QNTN08-QNTN39</t>
  </si>
  <si>
    <t>HUPV08-HUPV09</t>
  </si>
  <si>
    <t>HUPV48-HUPLMA02</t>
  </si>
  <si>
    <t>HUPLMA02-HUHTMA01</t>
  </si>
  <si>
    <t>HUHT01-HUTH2N</t>
  </si>
  <si>
    <t>HUHA01-HUHA08</t>
  </si>
  <si>
    <t>HUTH89-HUHU1K</t>
  </si>
  <si>
    <t>HUPX23-HUHU21</t>
  </si>
  <si>
    <t>HUTH2N-HUPV08</t>
  </si>
  <si>
    <t>HUTH1M-HUHT25</t>
  </si>
  <si>
    <t>HUTH05-HUHU92</t>
  </si>
  <si>
    <t>HUTH01-HUHU02</t>
  </si>
  <si>
    <t>HUHT27-HUHA33</t>
  </si>
  <si>
    <t>HUHA09-HUHA01</t>
  </si>
  <si>
    <t>HUTH48-HUHU1K</t>
  </si>
  <si>
    <t>HUHT24-HUHT28</t>
  </si>
  <si>
    <t>HUTH49-HUHU1K</t>
  </si>
  <si>
    <t>HUQD06-HUHA27</t>
  </si>
  <si>
    <t>HUHA01-HUHA21</t>
  </si>
  <si>
    <t>HUQD08-HUHA01</t>
  </si>
  <si>
    <t>HUHA35-HUHA08</t>
  </si>
  <si>
    <t>HUPX18-HUHA35</t>
  </si>
  <si>
    <t>HUPX73-HUHA05</t>
  </si>
  <si>
    <t>HUTH98-HUPV01</t>
  </si>
  <si>
    <t>HUTH1F-HUPV19</t>
  </si>
  <si>
    <t>HUTH1E-HUPV16</t>
  </si>
  <si>
    <t>HUTH53-HUHU79</t>
  </si>
  <si>
    <t>HUPV27-HUHT19</t>
  </si>
  <si>
    <t>HUTH30-HUHU94</t>
  </si>
  <si>
    <t>HUHT32-HUHT18</t>
  </si>
  <si>
    <t>HUHT15-HUHT32</t>
  </si>
  <si>
    <t>HUTH35-HUHU1K</t>
  </si>
  <si>
    <t>HUPX72-HUHU86</t>
  </si>
  <si>
    <t>HUHT12-HUHU08</t>
  </si>
  <si>
    <t>HUHU60-HUHU88</t>
  </si>
  <si>
    <t>HUHA06-HUQD10</t>
  </si>
  <si>
    <t>HUPV34-HUHT25</t>
  </si>
  <si>
    <t>HUHT25-HUHU58</t>
  </si>
  <si>
    <t>HUHU86-HUHT32</t>
  </si>
  <si>
    <t>HUHU99-HUHU79</t>
  </si>
  <si>
    <t>HUHU27-HUHU35</t>
  </si>
  <si>
    <t>HUHT32-HUHU49</t>
  </si>
  <si>
    <t>HUHU88-HUHU03</t>
  </si>
  <si>
    <t>HUHU60-HUHU1D</t>
  </si>
  <si>
    <t>HUHU74-HUHU1N</t>
  </si>
  <si>
    <t>HUQD15-HUQD02</t>
  </si>
  <si>
    <t>HUHU82-HUHU38</t>
  </si>
  <si>
    <t>HUHU86-HUHU47</t>
  </si>
  <si>
    <t>HUHU17-HUHU51</t>
  </si>
  <si>
    <t>HUHU49-HUHU57</t>
  </si>
  <si>
    <t>HUHU60-HUHU59</t>
  </si>
  <si>
    <t>HUHU89-HUHU63</t>
  </si>
  <si>
    <t>HUHU88-HUHU3U</t>
  </si>
  <si>
    <t>HUHU12-HUHU2D</t>
  </si>
  <si>
    <t>HUHU60-HUHU93</t>
  </si>
  <si>
    <t>HUHU67-HUHU33</t>
  </si>
  <si>
    <t>HUPD05-HUPD59</t>
  </si>
  <si>
    <t>HUQD08-HUQD26</t>
  </si>
  <si>
    <t>HUQD08-HUQD11</t>
  </si>
  <si>
    <t>HUHT27-HUHT48</t>
  </si>
  <si>
    <t>HUHU70-HUHU2X</t>
  </si>
  <si>
    <t>HUHU88-HUHU41</t>
  </si>
  <si>
    <t>HUHU41-HUHU3T</t>
  </si>
  <si>
    <t>HUHU3T-HUHU09</t>
  </si>
  <si>
    <t>HUHU09-HUHU1V</t>
  </si>
  <si>
    <t>HUHU1V-HUHU60</t>
  </si>
  <si>
    <t>HUHU2R-HUHU70</t>
  </si>
  <si>
    <t>HUQD30-HUQD10</t>
  </si>
  <si>
    <t>HUPL76-HUPL23</t>
  </si>
  <si>
    <t>HUPL85-HUPL06</t>
  </si>
  <si>
    <t>HUHA03-HUHU67</t>
  </si>
  <si>
    <t>HUHA55-HUHA09</t>
  </si>
  <si>
    <t>HUHA56-HUHU12</t>
  </si>
  <si>
    <t>HUHU20-HUHU35</t>
  </si>
  <si>
    <t>HUHU2Y-HUHU58</t>
  </si>
  <si>
    <t>HUHU3G-HUHUMA01</t>
  </si>
  <si>
    <t>HUHU3J-HUHU17</t>
  </si>
  <si>
    <t>HUHU3M-HUHU99</t>
  </si>
  <si>
    <t>HUHU42-HUHU64</t>
  </si>
  <si>
    <t>HUPL75-HUPL03</t>
  </si>
  <si>
    <t>HUPV49-HUPV04</t>
  </si>
  <si>
    <t>HUPV55-HUPV08</t>
  </si>
  <si>
    <t>HUQD18-HUQD08</t>
  </si>
  <si>
    <t>HUQD21-HUQD06</t>
  </si>
  <si>
    <t>HUHU3L-HUHU70</t>
  </si>
  <si>
    <t>HUHU98-HUHU17</t>
  </si>
  <si>
    <t>HUQD15-HUHA27</t>
  </si>
  <si>
    <t>HUHT42-HUHT28</t>
  </si>
  <si>
    <t>HUHU32-HUHU74</t>
  </si>
  <si>
    <t>HUQD19-HUQD25</t>
  </si>
  <si>
    <t>HUHA50-HUHA21</t>
  </si>
  <si>
    <t>HUHT36-HUHU49</t>
  </si>
  <si>
    <t>HUHU23-HUHU56</t>
  </si>
  <si>
    <t>HUHU2B-HUHU08</t>
  </si>
  <si>
    <t>HUHU2D-HUHU12</t>
  </si>
  <si>
    <t>HUHU31-HUPV34</t>
  </si>
  <si>
    <t>HUHU54-HUHU1K</t>
  </si>
  <si>
    <t>HUHU84-HUPV34</t>
  </si>
  <si>
    <t>HUPL69-HUPL10</t>
  </si>
  <si>
    <t>HUPL71-HUPL23</t>
  </si>
  <si>
    <t>HUPV40-HUPV09</t>
  </si>
  <si>
    <t>HUQD22-HUQD06</t>
  </si>
  <si>
    <t>HUQD23-HUQD06</t>
  </si>
  <si>
    <t>HUPD69-HUPD02</t>
  </si>
  <si>
    <t>HUPX83-HUPX24</t>
  </si>
  <si>
    <t>HUPL92-HUPL23</t>
  </si>
  <si>
    <t>22HU002-HUPD19</t>
  </si>
  <si>
    <t>HUHU2K-HUHU1D</t>
  </si>
  <si>
    <t>HUHA01-HUHA20</t>
  </si>
  <si>
    <t>HUHA34-HUHA05</t>
  </si>
  <si>
    <t>HUHT15-HUHT05</t>
  </si>
  <si>
    <t>HUHTMA01-HUHT16</t>
  </si>
  <si>
    <t>HUPV20-HUPV05</t>
  </si>
  <si>
    <t>HUPV18-HUPV30</t>
  </si>
  <si>
    <t>HUQD10-HUQD17</t>
  </si>
  <si>
    <t>PYDH09-PYTH01</t>
  </si>
  <si>
    <t>PYTH01-PYPY01</t>
  </si>
  <si>
    <t>PYSA10-PYPH04</t>
  </si>
  <si>
    <t>PYPH04-PYPY01</t>
  </si>
  <si>
    <t>VNPOST Hòa Đa-PYTA14</t>
  </si>
  <si>
    <t>PYTA14-PYDX01</t>
  </si>
  <si>
    <t>PYDX01-PYSA09</t>
  </si>
  <si>
    <t>PYSA09-PYPY01</t>
  </si>
  <si>
    <t>DLKB04-DLKB36</t>
  </si>
  <si>
    <t>DLBT13-DLBT05</t>
  </si>
  <si>
    <t>DLBT2V-DLBT24</t>
  </si>
  <si>
    <t>DLBT97-DLBT05</t>
  </si>
  <si>
    <t>DLEH35-DLKN15</t>
  </si>
  <si>
    <t>DLKB21-DLKB31</t>
  </si>
  <si>
    <t>DLBT2X-DLBT05</t>
  </si>
  <si>
    <t>DLKN01-DLKN27</t>
  </si>
  <si>
    <t>DLCG28-DLCG33</t>
  </si>
  <si>
    <t>DLCG45-DLCG06</t>
  </si>
  <si>
    <t>DLEH55-DLEH07</t>
  </si>
  <si>
    <t>DLCG16-DLCG33</t>
  </si>
  <si>
    <t>DLBH27-DLBH15</t>
  </si>
  <si>
    <t>DLBT1F-DLBT80</t>
  </si>
  <si>
    <t>DLBT43-DLBT89</t>
  </si>
  <si>
    <t>DLBT2F-DLBT53</t>
  </si>
  <si>
    <t>DLBT2J-DLBT24</t>
  </si>
  <si>
    <t>DLCG49-DLCG06</t>
  </si>
  <si>
    <t>DLEH22-DLEH07</t>
  </si>
  <si>
    <t>DLCG04-DLCG33</t>
  </si>
  <si>
    <t>DLCG27-DLCG33</t>
  </si>
  <si>
    <t>DLCK02-DLCK11</t>
  </si>
  <si>
    <t>DLCK30-DLCK11</t>
  </si>
  <si>
    <t>DLEK50-DLEK01</t>
  </si>
  <si>
    <t>DLKN18-DLKN27</t>
  </si>
  <si>
    <t>DLKN42-DLKN15</t>
  </si>
  <si>
    <t>DLKN47-DLKN15</t>
  </si>
  <si>
    <t>DLKP64-DLKP17</t>
  </si>
  <si>
    <t>DLCG26-DLCG06</t>
  </si>
  <si>
    <t>DLKB38-DLKB31</t>
  </si>
  <si>
    <t>DLBH11-DLBH15</t>
  </si>
  <si>
    <t>DLBT82-DLBT09</t>
  </si>
  <si>
    <t>DLBT54-DLBT84</t>
  </si>
  <si>
    <t>DLBT84-DLBT80</t>
  </si>
  <si>
    <t>DLBT80-DLBT09</t>
  </si>
  <si>
    <t>DLBT09-DLBT30</t>
  </si>
  <si>
    <t>DLBT09-DLBT26</t>
  </si>
  <si>
    <t>DLBT07-DLBT09</t>
  </si>
  <si>
    <t>DLKN08-DLKN27</t>
  </si>
  <si>
    <t>DLCG03-DLEH27</t>
  </si>
  <si>
    <t>DLBH15-DLBH10</t>
  </si>
  <si>
    <t>DLBT80-DLBT2K</t>
  </si>
  <si>
    <t>DLBT11-DLBT96</t>
  </si>
  <si>
    <t>DLKB31-DLKB30</t>
  </si>
  <si>
    <t>DLKB36-DLKB19</t>
  </si>
  <si>
    <t>DLKB31-DLKB22</t>
  </si>
  <si>
    <t>DLKB36-DLKB31</t>
  </si>
  <si>
    <t>DLKB14-DLKB36</t>
  </si>
  <si>
    <t>DLKN03-DLKN27</t>
  </si>
  <si>
    <t>DLBH15-DLEH08</t>
  </si>
  <si>
    <t>DLKN14-DLKN27</t>
  </si>
  <si>
    <t>DLBH15-DLKN14</t>
  </si>
  <si>
    <t>DLKN15-DLKN27</t>
  </si>
  <si>
    <t>DLEH07-DLKN15</t>
  </si>
  <si>
    <t>DLEH18-DLEH07</t>
  </si>
  <si>
    <t>DLBH15-DLEH18</t>
  </si>
  <si>
    <t>DLBH15-DLKN02</t>
  </si>
  <si>
    <t>DLBT11-DLBT22</t>
  </si>
  <si>
    <t>DLBT52-DLBT11</t>
  </si>
  <si>
    <t>DLBT09-DLBT45</t>
  </si>
  <si>
    <t>DLCG32-DLCG03</t>
  </si>
  <si>
    <t>DLKB22-DLCG32</t>
  </si>
  <si>
    <t>DLBH15-DLBH02</t>
  </si>
  <si>
    <t>DLCG06-DLCG30</t>
  </si>
  <si>
    <t>DLCG41-DLCG06</t>
  </si>
  <si>
    <t>DLCG33-DLCG14</t>
  </si>
  <si>
    <t>DLCG08-DLCG33</t>
  </si>
  <si>
    <t>DLCG03-DLCG08</t>
  </si>
  <si>
    <t>DLBH31-DLCG03</t>
  </si>
  <si>
    <t>PYPY07-PYPY01</t>
  </si>
  <si>
    <t>PYPY33-PYTH21</t>
  </si>
  <si>
    <t>DLBHMA01-DLBH15</t>
  </si>
  <si>
    <t>DLBT09-DLBHMA01</t>
  </si>
  <si>
    <t>DLBH15-DLCG03</t>
  </si>
  <si>
    <t>DLKN27-DLBH15</t>
  </si>
  <si>
    <t>DLBT39-DLBT1T</t>
  </si>
  <si>
    <t>DLBT09-DLBT1E</t>
  </si>
  <si>
    <t>DLBT07-DLBT24</t>
  </si>
  <si>
    <t>DLBT80-DLBT53</t>
  </si>
  <si>
    <t>DLBT26-DLBT60</t>
  </si>
  <si>
    <t>DLBT10-DLBT72</t>
  </si>
  <si>
    <t>DLBT09-DLBT75</t>
  </si>
  <si>
    <t>DLBT10-DLBT88</t>
  </si>
  <si>
    <t>DLBT29-DLBT05</t>
  </si>
  <si>
    <t>DLBT20-DLBT89</t>
  </si>
  <si>
    <t>DLBT84-DLBT44</t>
  </si>
  <si>
    <t>DLBT36-DLBT25</t>
  </si>
  <si>
    <t>DLBH15-DLBH07</t>
  </si>
  <si>
    <t>PYDH36-PYPY33</t>
  </si>
  <si>
    <t>PYDH09-PYPY33</t>
  </si>
  <si>
    <t>PYPY33-PYDH05</t>
  </si>
  <si>
    <t>PYDH19-PYDH11</t>
  </si>
  <si>
    <t>PYDH11-PYDH17</t>
  </si>
  <si>
    <t>PYDH09-PYDH20</t>
  </si>
  <si>
    <t>PYDH20-PYDH12</t>
  </si>
  <si>
    <t>PYDH30-PYDH24</t>
  </si>
  <si>
    <t>PYDH24-PYPY09</t>
  </si>
  <si>
    <t>PYPY35-PYPY01</t>
  </si>
  <si>
    <t>PYTH17-PYTH01</t>
  </si>
  <si>
    <t>PYDH10-PYTH03</t>
  </si>
  <si>
    <t>PYTH03-PYTH06</t>
  </si>
  <si>
    <t>PYTH06-PYTH01</t>
  </si>
  <si>
    <t>PYTH12-PYTH01</t>
  </si>
  <si>
    <t>PYTH01-PYTH10</t>
  </si>
  <si>
    <t>PYTH10-PYTH01</t>
  </si>
  <si>
    <t>PYSA14-PYSA16</t>
  </si>
  <si>
    <t>PYSA16-PYSA10</t>
  </si>
  <si>
    <t>PYPH26-PYPH04</t>
  </si>
  <si>
    <t>PYPH04-PYPH09</t>
  </si>
  <si>
    <t>PYPH13-PYPY01</t>
  </si>
  <si>
    <t>PYPH06-PYPH04</t>
  </si>
  <si>
    <t>PYPH03-PYPH18</t>
  </si>
  <si>
    <t>PYPY05-PYPY01</t>
  </si>
  <si>
    <t>PYPH04-PYPH03</t>
  </si>
  <si>
    <t>PYPH04-PYPH02</t>
  </si>
  <si>
    <t>PYPH19-PYPY01</t>
  </si>
  <si>
    <t>PYPH04-PYPH08</t>
  </si>
  <si>
    <t>PYPH07-PYPH17</t>
  </si>
  <si>
    <t>PYPH17-PYPY01</t>
  </si>
  <si>
    <t>PYPY38-PYTA12</t>
  </si>
  <si>
    <t>PYTA12-PYTA19</t>
  </si>
  <si>
    <t>PYTA33-PYTA05</t>
  </si>
  <si>
    <t>PYTA05-PYTA14</t>
  </si>
  <si>
    <t>VNPOST Hòa Đa-PYTA32</t>
  </si>
  <si>
    <t>PYTA32-PYTA07</t>
  </si>
  <si>
    <t>PYTA01-PYTA14</t>
  </si>
  <si>
    <t>PYTA06-PYTA14</t>
  </si>
  <si>
    <t>PYTA14-PYDX08</t>
  </si>
  <si>
    <t>PYDX04-PYDX01</t>
  </si>
  <si>
    <t>PYTA14-PYTA09</t>
  </si>
  <si>
    <t>PYDX25-PYDX01</t>
  </si>
  <si>
    <t>PYTA14-PYTA16</t>
  </si>
  <si>
    <t>PYTA11-PYDX01</t>
  </si>
  <si>
    <t>PYDX01-PYDX20</t>
  </si>
  <si>
    <t>PYDX23-PYDX03</t>
  </si>
  <si>
    <t>PYDX03-PYSA09</t>
  </si>
  <si>
    <t>PYDH27-PYDH11</t>
  </si>
  <si>
    <t>PYDH40-PYDH11</t>
  </si>
  <si>
    <t>PYDH26-PYDH24</t>
  </si>
  <si>
    <t>PYPY50-PYPY67</t>
  </si>
  <si>
    <t>PYTA26-PYTA05</t>
  </si>
  <si>
    <t>PYTA50-PYTA32</t>
  </si>
  <si>
    <t>PYTA41-PYTA32</t>
  </si>
  <si>
    <t>PYDX30-PYDX01</t>
  </si>
  <si>
    <t>PYTH23-PYTH06</t>
  </si>
  <si>
    <t>PYTH26-PYTH06</t>
  </si>
  <si>
    <t>PYTH03-PYTH08</t>
  </si>
  <si>
    <t>PYSA01-PYSA16</t>
  </si>
  <si>
    <t>PYPH30-PYPH03</t>
  </si>
  <si>
    <t>PYTA20-PYTA05</t>
  </si>
  <si>
    <t>PYTA03-PYTA32</t>
  </si>
  <si>
    <t>PYPY15-PYTA12</t>
  </si>
  <si>
    <t>PYDX26-PYDX03</t>
  </si>
  <si>
    <t>PYDX24-PYDX03</t>
  </si>
  <si>
    <t>DLKN53-DLKN15</t>
  </si>
  <si>
    <t>DLCG60-DLBT25</t>
  </si>
  <si>
    <t>DLBH36-DLBH15</t>
  </si>
  <si>
    <t>DLBT3F-DLBT84</t>
  </si>
  <si>
    <t>PYPY60-PYPY66</t>
  </si>
  <si>
    <t>PYPY66-PYPY67</t>
  </si>
  <si>
    <t>PYPY67-PYPY58</t>
  </si>
  <si>
    <t>PYPY58-PYPY10</t>
  </si>
  <si>
    <t>PYPY10-PYPY49</t>
  </si>
  <si>
    <t>PYPY46-PYPY47</t>
  </si>
  <si>
    <t>PYPY47-VNPOST Tuy Hòa</t>
  </si>
  <si>
    <t>PYPY16-PYPY40</t>
  </si>
  <si>
    <t>PYPY40-PYPY68</t>
  </si>
  <si>
    <t>PYPY16-PYPY20</t>
  </si>
  <si>
    <t>PYPY20-PYPY06</t>
  </si>
  <si>
    <t>PYPY06-PYPY32</t>
  </si>
  <si>
    <t>PYPY32-VNPOST Tuy Hòa</t>
  </si>
  <si>
    <t>PYPH14-PYPH17</t>
  </si>
  <si>
    <t>PYPY02-PYPY33</t>
  </si>
  <si>
    <t>PYPY79-PYPY01</t>
  </si>
  <si>
    <t>21PY006-PYPY66</t>
  </si>
  <si>
    <t>PYTH33-PYTH03</t>
  </si>
  <si>
    <t>PYPY67-PYPY72</t>
  </si>
  <si>
    <t>PYPY40-PYPY61</t>
  </si>
  <si>
    <t>PYPY40-PYPY08</t>
  </si>
  <si>
    <t>PYPY67-PYPY11</t>
  </si>
  <si>
    <t>PYTA48-PYTA14</t>
  </si>
  <si>
    <t>PYPY76-PYPY47</t>
  </si>
  <si>
    <t>PYTH01-PYDH09</t>
  </si>
  <si>
    <t>DLBTMA01-DLBT09</t>
  </si>
  <si>
    <t>DLBT09-DLBTMA01</t>
  </si>
  <si>
    <t>DLCG07-DLCG03</t>
  </si>
  <si>
    <t>DLBHMA012-DLCG03</t>
  </si>
  <si>
    <t>DLBT09-DLBHMA012</t>
  </si>
  <si>
    <t>DLBTMA01-DLCG03</t>
  </si>
  <si>
    <t>DLCG03-DLKN27</t>
  </si>
  <si>
    <t>DLKN27-DLKN02</t>
  </si>
  <si>
    <t>DLKN02-DLBH15</t>
  </si>
  <si>
    <t>DLBH15-DLBT09</t>
  </si>
  <si>
    <t>DLEK01-DLKN02</t>
  </si>
  <si>
    <t>DLKP01-DLEK01</t>
  </si>
  <si>
    <t>DLBT09-DLKP01</t>
  </si>
  <si>
    <t>DLCK17-DLCK11</t>
  </si>
  <si>
    <t>DLCK11-DLKP17</t>
  </si>
  <si>
    <t>DLKP17-DLKP01</t>
  </si>
  <si>
    <t>DLEK27-DLEK03</t>
  </si>
  <si>
    <t>DLEK03-DLEK29</t>
  </si>
  <si>
    <t>DLEK01-DLEK29</t>
  </si>
  <si>
    <t>DLEK01-DLEK10</t>
  </si>
  <si>
    <t>DLKP05-DLEK01</t>
  </si>
  <si>
    <t>DLKP37-DLKP05</t>
  </si>
  <si>
    <t>DLKP01-DLKP37</t>
  </si>
  <si>
    <t>DLEK01-DLKP07</t>
  </si>
  <si>
    <t>DLKP06-DLKP38</t>
  </si>
  <si>
    <t>DLKP11-DLKP06</t>
  </si>
  <si>
    <t>DLEK01-DLEK34</t>
  </si>
  <si>
    <t>DLEK34-DLEK04</t>
  </si>
  <si>
    <t>DLEK30-DLEK04</t>
  </si>
  <si>
    <t>DLBT09-DLKP03</t>
  </si>
  <si>
    <t>DLKP03-DLKP14</t>
  </si>
  <si>
    <t>DLCK03-DLCK11</t>
  </si>
  <si>
    <t>DLKP17-DLKP32</t>
  </si>
  <si>
    <t>DLBT51-DLBT80</t>
  </si>
  <si>
    <t>DLBH17-DLBH15</t>
  </si>
  <si>
    <t>DLKN49-DLKN15</t>
  </si>
  <si>
    <t>DLKN05-DLKN27</t>
  </si>
  <si>
    <t>DLCG03-DLCG41</t>
  </si>
  <si>
    <t>DLCG29-DLCG03</t>
  </si>
  <si>
    <t>DLKA03-DLBT1T</t>
  </si>
  <si>
    <t>DLKB35-DLKB36</t>
  </si>
  <si>
    <t>DLKB22-DLKB13</t>
  </si>
  <si>
    <t>DLEK01-DLEK31</t>
  </si>
  <si>
    <t>DLEK53-DLEK03</t>
  </si>
  <si>
    <t>DLEK35-DLEK03</t>
  </si>
  <si>
    <t>DLEK41-DLEK04</t>
  </si>
  <si>
    <t>DLEK36-DLEK04</t>
  </si>
  <si>
    <t>DLKP43-DLKP05</t>
  </si>
  <si>
    <t>DLKP35-DLKP05</t>
  </si>
  <si>
    <t>DLKP40-DLKP05</t>
  </si>
  <si>
    <t>DLKP20-DLKP05</t>
  </si>
  <si>
    <t>DLKP10-DLKP37</t>
  </si>
  <si>
    <t>DLKP61-DLKP37</t>
  </si>
  <si>
    <t>DLKP49-DLKP06</t>
  </si>
  <si>
    <t>DLKP54-DLKP17</t>
  </si>
  <si>
    <t>DLKP50-DLKP17</t>
  </si>
  <si>
    <t>DLKP15-DLKP03</t>
  </si>
  <si>
    <t>DLKP31-DLKP03</t>
  </si>
  <si>
    <t>DLKP63-DLKP03</t>
  </si>
  <si>
    <t>DLCK06-DLCK11</t>
  </si>
  <si>
    <t>DLKG16-DLKG26</t>
  </si>
  <si>
    <t>DLKG15-DLKG16</t>
  </si>
  <si>
    <t>DLBT16-DLBT53</t>
  </si>
  <si>
    <t>DLBT1X-DLBT89</t>
  </si>
  <si>
    <t>DLEH23-DLEH07</t>
  </si>
  <si>
    <t>DLEH41-DLEH07</t>
  </si>
  <si>
    <t>DLBT19-DLBT72</t>
  </si>
  <si>
    <t>DLBT2P-DLBT88</t>
  </si>
  <si>
    <t>DLBT46-DLBT09</t>
  </si>
  <si>
    <t>DLEK11-DLEK04</t>
  </si>
  <si>
    <t>DLEK42-DLEK04</t>
  </si>
  <si>
    <t>DLKG05-DLKG33</t>
  </si>
  <si>
    <t>DLKG13-DLKG05</t>
  </si>
  <si>
    <t>DLKG27-DLKG05</t>
  </si>
  <si>
    <t>DLKG29-DLKG16</t>
  </si>
  <si>
    <t>DLBT3U-DLBT05</t>
  </si>
  <si>
    <t>DLKN58-DLKN27</t>
  </si>
  <si>
    <t>DLKN54-DLKN27</t>
  </si>
  <si>
    <t>DLKB43-DLKB36</t>
  </si>
  <si>
    <t>DLEK72-DLEK01</t>
  </si>
  <si>
    <t>22DL039-DLKP06</t>
  </si>
  <si>
    <t>DLCK22-DLCK11</t>
  </si>
  <si>
    <t>DLCK25-DLCK11</t>
  </si>
  <si>
    <t>DLEK31-DLEK01</t>
  </si>
  <si>
    <t>DLEK16-DLEK01</t>
  </si>
  <si>
    <t>Cửa hàng MobiFone huyện Buôn Hồ-DLBH15</t>
  </si>
  <si>
    <t>DLKG36-DLKG05</t>
  </si>
  <si>
    <t>DLKP76-DLKP37</t>
  </si>
  <si>
    <t>DLBT3N-DLBT05</t>
  </si>
  <si>
    <t>DLBT3T-DLBT88</t>
  </si>
  <si>
    <t>DLBT53-DLBT3Y</t>
  </si>
  <si>
    <t>DLBT4B-DLBT09</t>
  </si>
  <si>
    <t>DLBT5B-DLBT09</t>
  </si>
  <si>
    <t>DLBT72-DLBT86</t>
  </si>
  <si>
    <t>DLBT34-DLBT88</t>
  </si>
  <si>
    <t>DLBT52-DLBT09</t>
  </si>
  <si>
    <t>DLBT17-DLBT52</t>
  </si>
  <si>
    <t>DLBTMA01-DLBT17</t>
  </si>
  <si>
    <t>DNCL85-DNCL28</t>
  </si>
  <si>
    <t>DNCL28-DNCL09</t>
  </si>
  <si>
    <t>DNCL28-DNCL01</t>
  </si>
  <si>
    <t>DNCL28-DNCL16</t>
  </si>
  <si>
    <t>DNHC17-DNHC27</t>
  </si>
  <si>
    <t>DNHC17-DNHC62</t>
  </si>
  <si>
    <t>DNHC17-DNHC73</t>
  </si>
  <si>
    <t>DNHV60-DNHV01</t>
  </si>
  <si>
    <t>DNHV78-DNHV01</t>
  </si>
  <si>
    <t>DNHV01-DNHV11</t>
  </si>
  <si>
    <t>DNHV01-DNHV18</t>
  </si>
  <si>
    <t>DNHV87-DNHV01</t>
  </si>
  <si>
    <t>DNLC91-DNLC15</t>
  </si>
  <si>
    <t>DNLC15-DNLC26</t>
  </si>
  <si>
    <t>DNLC15-DNTK31</t>
  </si>
  <si>
    <t>DNLC1P-DNLC15</t>
  </si>
  <si>
    <t>DNLC07-DNLC15</t>
  </si>
  <si>
    <t>DNNH02-DNNH35</t>
  </si>
  <si>
    <t>DNNH02-DNNH44</t>
  </si>
  <si>
    <t>DNST87-DNST2G</t>
  </si>
  <si>
    <t>DNST87-DNST53</t>
  </si>
  <si>
    <t>DNST87-DNST94</t>
  </si>
  <si>
    <t>DNST87-DNST68</t>
  </si>
  <si>
    <t>DNST87-DNST65</t>
  </si>
  <si>
    <t>DNST87-DNST1D</t>
  </si>
  <si>
    <t>DNST87-DNST28</t>
  </si>
  <si>
    <t>QAHA03-QAHA06</t>
  </si>
  <si>
    <t>QAHA32-QAHA06</t>
  </si>
  <si>
    <t>QAHA06-QAHA27</t>
  </si>
  <si>
    <t>QAHA25-QAHA06</t>
  </si>
  <si>
    <t>QAHA05-QAHA06</t>
  </si>
  <si>
    <t>QANT37-QANT01</t>
  </si>
  <si>
    <t>QATB_newsite 2-QATB10</t>
  </si>
  <si>
    <t>QATB_newsite 2-QATB18</t>
  </si>
  <si>
    <t>QATB_newsite 2-QATB25</t>
  </si>
  <si>
    <t>QAQS10-QATB_newsite 2</t>
  </si>
  <si>
    <t>QAQS03-QATB_newsite 2</t>
  </si>
  <si>
    <t>QAQS19-QATB_newsite 2</t>
  </si>
  <si>
    <t>QATB01-QATB_newsite 2</t>
  </si>
  <si>
    <t>QATB1D-QATB_newsite 2</t>
  </si>
  <si>
    <t>QANT04-QATB35</t>
  </si>
  <si>
    <t>QATB35-QATB32</t>
  </si>
  <si>
    <t>QATB35-QATK39</t>
  </si>
  <si>
    <t>QADX35-QATB35</t>
  </si>
  <si>
    <t>QATB03-QATB35</t>
  </si>
  <si>
    <t>QATB94-QATB31</t>
  </si>
  <si>
    <t>QATB1B-QATB31</t>
  </si>
  <si>
    <t>QATB14-QATB31</t>
  </si>
  <si>
    <t>QATB31-QATK43</t>
  </si>
  <si>
    <t>QATB31-QATB73</t>
  </si>
  <si>
    <t>QATB31-QAQS05</t>
  </si>
  <si>
    <t>QATK71-QATB31</t>
  </si>
  <si>
    <t>QATK39-QATK02</t>
  </si>
  <si>
    <t>QATK39-QATK04</t>
  </si>
  <si>
    <t>QATK39-QATK32</t>
  </si>
  <si>
    <t>QAPN06-QATK39</t>
  </si>
  <si>
    <t>QATK23-QATK39</t>
  </si>
  <si>
    <t>QATK34-QATK39</t>
  </si>
  <si>
    <t>QATK41-QATK39</t>
  </si>
  <si>
    <t>QATK03-QATK39</t>
  </si>
  <si>
    <t>DNCL08-DNCL33</t>
  </si>
  <si>
    <t>DNCL53-DNCL30</t>
  </si>
  <si>
    <t>DNCL14-DNCL30</t>
  </si>
  <si>
    <t>DNCL30-DNCL70</t>
  </si>
  <si>
    <t>DNCL93-DNCL56</t>
  </si>
  <si>
    <t>DNCL78-DNCL56</t>
  </si>
  <si>
    <t>DNCL83-DNCL56</t>
  </si>
  <si>
    <t>DNCL96-DNCL56</t>
  </si>
  <si>
    <t>DNHC86-DNHC02</t>
  </si>
  <si>
    <t>DNHC87-DNHC02</t>
  </si>
  <si>
    <t>DNHC85-DNHC02</t>
  </si>
  <si>
    <t>DNHC23-DNHC02</t>
  </si>
  <si>
    <t>DNHC02-DNHC16</t>
  </si>
  <si>
    <t>DNHC50-DNHC24</t>
  </si>
  <si>
    <t>DNHC97-DNHC46</t>
  </si>
  <si>
    <t>DNHC46-DNHC43</t>
  </si>
  <si>
    <t>DNHC76-DNHC54</t>
  </si>
  <si>
    <t>DNHC2O-DNHC54</t>
  </si>
  <si>
    <t>DNCL41-DNHV12</t>
  </si>
  <si>
    <t>DNHV12-DNCL69</t>
  </si>
  <si>
    <t>DNHV12-DNCL71</t>
  </si>
  <si>
    <t>DNHV12-DNHV64</t>
  </si>
  <si>
    <t>DNHV12-DNCL67</t>
  </si>
  <si>
    <t>22DN015-DNHV12</t>
  </si>
  <si>
    <t>22DN067-DNHV12</t>
  </si>
  <si>
    <t>DNHW22-DNHW10</t>
  </si>
  <si>
    <t>DNCL31-DNLC06</t>
  </si>
  <si>
    <t>DNLC06-DNLC21</t>
  </si>
  <si>
    <t>DNLC31-DNLC11</t>
  </si>
  <si>
    <t>DNLC28-DNLC11</t>
  </si>
  <si>
    <t>DNLC11-DNLC1E</t>
  </si>
  <si>
    <t>DNLC11-DNLC64</t>
  </si>
  <si>
    <t>DNHW23-DNLC11</t>
  </si>
  <si>
    <t>DNLC11-DNLC22</t>
  </si>
  <si>
    <t>DNLC36-DNLC1P</t>
  </si>
  <si>
    <t>DNLC10-DNLC22</t>
  </si>
  <si>
    <t>DNLC33-DNLC22</t>
  </si>
  <si>
    <t>DNLC1C-DNLC22</t>
  </si>
  <si>
    <t>DNLC22-DNLC68</t>
  </si>
  <si>
    <t>DNLC22-DNLC13</t>
  </si>
  <si>
    <t>DNNH08-DNNH59</t>
  </si>
  <si>
    <t>DNNH1T-DNNH59</t>
  </si>
  <si>
    <t>DNNH63-DNNH59</t>
  </si>
  <si>
    <t>DNNH59-DNNH64</t>
  </si>
  <si>
    <t>DNNH59-DNNH65</t>
  </si>
  <si>
    <t>DNNH59-DNNH74</t>
  </si>
  <si>
    <t>DNNH59-DNNH80</t>
  </si>
  <si>
    <t>DNCL74-DNTK08</t>
  </si>
  <si>
    <t>DNTK32-DNTK10</t>
  </si>
  <si>
    <t>DNTK10-DNTK75</t>
  </si>
  <si>
    <t>DNTK10-DNTK76</t>
  </si>
  <si>
    <t>DNTK13-DNTK10</t>
  </si>
  <si>
    <t>DNTK10-DNTK14</t>
  </si>
  <si>
    <t>QADB02-QADB34</t>
  </si>
  <si>
    <t>QADB02-QADB35</t>
  </si>
  <si>
    <t>QADB02-QADB59</t>
  </si>
  <si>
    <t>QADB02-QADB64</t>
  </si>
  <si>
    <t>QADB11-QADB02</t>
  </si>
  <si>
    <t>QADB02-QADB16</t>
  </si>
  <si>
    <t>QADB53-QADB02</t>
  </si>
  <si>
    <t>QADB36-QADB02</t>
  </si>
  <si>
    <t>20QA168-QADB02</t>
  </si>
  <si>
    <t>QADX70-QADX19</t>
  </si>
  <si>
    <t>QAHA02-QAHA18</t>
  </si>
  <si>
    <t>QAHA18-QAHA04</t>
  </si>
  <si>
    <t>QAPN05-QAPN04</t>
  </si>
  <si>
    <t>QAPN42-QAPN04</t>
  </si>
  <si>
    <t>QAPN32-QAPN04</t>
  </si>
  <si>
    <t>QAPN39-QAPN04</t>
  </si>
  <si>
    <t>QAPN04-QATK41</t>
  </si>
  <si>
    <t>QAPN22-QAPN04</t>
  </si>
  <si>
    <t>QAQS36-QAQS10</t>
  </si>
  <si>
    <t>QATB42-QAQS10</t>
  </si>
  <si>
    <t>QAQS10-QAQS49</t>
  </si>
  <si>
    <t>QAQS33-QAQS10</t>
  </si>
  <si>
    <t>QAQS16-QAQS10</t>
  </si>
  <si>
    <t>QAQS19-QATB11</t>
  </si>
  <si>
    <t>QATB74-QATB14</t>
  </si>
  <si>
    <t>QATB_ newsite 2-QATB14</t>
  </si>
  <si>
    <t>QATB14-QATB49</t>
  </si>
  <si>
    <t>QATB14-QATB26</t>
  </si>
  <si>
    <t>QATB25-QATB14</t>
  </si>
  <si>
    <t>QATB1A-QATB34</t>
  </si>
  <si>
    <t>QATB59-QATB34</t>
  </si>
  <si>
    <t>QATB06-QATB34</t>
  </si>
  <si>
    <t>QATB34-QATK71</t>
  </si>
  <si>
    <t>QATB34-QATB47</t>
  </si>
  <si>
    <t>QATK18-QATK03</t>
  </si>
  <si>
    <t>QATK70-QATK03</t>
  </si>
  <si>
    <t>QATK24-QATK05</t>
  </si>
  <si>
    <t>QATK15-QATK57</t>
  </si>
  <si>
    <t>QATK15-QAPN22</t>
  </si>
  <si>
    <t>QATK71-QATK15</t>
  </si>
  <si>
    <t>QATK71-QATK18</t>
  </si>
  <si>
    <t>QATK36-QATK22</t>
  </si>
  <si>
    <t>QATK22-QAPN17</t>
  </si>
  <si>
    <t>QATK22-QATK49</t>
  </si>
  <si>
    <t>QATK22-QAPN41</t>
  </si>
  <si>
    <t>QATK22-QAPN21</t>
  </si>
  <si>
    <t>QATK71-QATK22</t>
  </si>
  <si>
    <t>QATK37-QAPN09</t>
  </si>
  <si>
    <t>QATK71-QATK37</t>
  </si>
  <si>
    <t>QATK71-QATK47</t>
  </si>
  <si>
    <t>DNHC07-DNCL28</t>
  </si>
  <si>
    <t>DNCL28-DNTK16</t>
  </si>
  <si>
    <t>DNCL28-DNCL48</t>
  </si>
  <si>
    <t>DNCL26-DNCL28</t>
  </si>
  <si>
    <t>DNCL28-DNCL12</t>
  </si>
  <si>
    <t>DNCL28-DNCL30</t>
  </si>
  <si>
    <t>DNHC17-DNTK01</t>
  </si>
  <si>
    <t>DNHC13-DNHC17</t>
  </si>
  <si>
    <t>DNHC17-DNHC20</t>
  </si>
  <si>
    <t>DNTK12-DNHC17</t>
  </si>
  <si>
    <t>DNHC17-DNTK05</t>
  </si>
  <si>
    <t>DNHC17-DNHC28</t>
  </si>
  <si>
    <t>DNHC75-DNHC17</t>
  </si>
  <si>
    <t>DNCL03-DNHV01</t>
  </si>
  <si>
    <t>DNHV01-DNHW02</t>
  </si>
  <si>
    <t>DNHV73-DNHV01</t>
  </si>
  <si>
    <t>DNHV01-DNHV44</t>
  </si>
  <si>
    <t>DNHV01-DNHV34</t>
  </si>
  <si>
    <t>DNHV13-DNHV01</t>
  </si>
  <si>
    <t>DNHV9A-DNHV01</t>
  </si>
  <si>
    <t>DNNH12-DNHV04</t>
  </si>
  <si>
    <t>DNHV04-DNCL92</t>
  </si>
  <si>
    <t>DNHV22-DNHV04</t>
  </si>
  <si>
    <t>DNHV29-DNHV04</t>
  </si>
  <si>
    <t>DNHV52-DNHV04</t>
  </si>
  <si>
    <t>DT-DN06-DNHV04</t>
  </si>
  <si>
    <t>DNCL92-DNHV04</t>
  </si>
  <si>
    <t>DNHW02-DNLC15</t>
  </si>
  <si>
    <t>DNLC15-DNLC25</t>
  </si>
  <si>
    <t>DNLC15-DNLC16</t>
  </si>
  <si>
    <t>DNNH11-DNNH02</t>
  </si>
  <si>
    <t>DNNH02-DNNH12</t>
  </si>
  <si>
    <t>DNNH02-DNNH30</t>
  </si>
  <si>
    <t>DNNH26-DNNH02</t>
  </si>
  <si>
    <t>DNNH31-DNNH02</t>
  </si>
  <si>
    <t>DNNH38-DNNH02</t>
  </si>
  <si>
    <t>DNNH02-DNNH1X</t>
  </si>
  <si>
    <t>DNST18-DNST87</t>
  </si>
  <si>
    <t>DNST87-DNTK01</t>
  </si>
  <si>
    <t>DNST15-DNST87</t>
  </si>
  <si>
    <t>DNST47-DNST87</t>
  </si>
  <si>
    <t>DNST87-DNST25</t>
  </si>
  <si>
    <t>DNST2H-DNST87</t>
  </si>
  <si>
    <t>QADB15-QAQS05</t>
  </si>
  <si>
    <t>QADB15-QADB04</t>
  </si>
  <si>
    <t>QADB15-QADB08</t>
  </si>
  <si>
    <t>QADB15-QADB07</t>
  </si>
  <si>
    <t>QADB15-QADX12</t>
  </si>
  <si>
    <t>QADB15-QADB13</t>
  </si>
  <si>
    <t>QADB85-QADB15</t>
  </si>
  <si>
    <t>QADB01-QADB15</t>
  </si>
  <si>
    <t>QADB39-QADB15</t>
  </si>
  <si>
    <t>QADB04-QADLMA01</t>
  </si>
  <si>
    <t>QADLMA01-QADX04</t>
  </si>
  <si>
    <t>QADL19-QADLMA01</t>
  </si>
  <si>
    <t>QADLMA01-QADL11</t>
  </si>
  <si>
    <t>QADLMA01-QADL14</t>
  </si>
  <si>
    <t>QADLMA01-QADL31</t>
  </si>
  <si>
    <t>QADL22-QADLMA01</t>
  </si>
  <si>
    <t>QADLMA01-QADL37</t>
  </si>
  <si>
    <t>QADL67-QADLMA01</t>
  </si>
  <si>
    <t>QADL01-QADLMA01</t>
  </si>
  <si>
    <t>QADX04-QAQS06</t>
  </si>
  <si>
    <t>QADX03-QADX04</t>
  </si>
  <si>
    <t>QADX34-QADX04</t>
  </si>
  <si>
    <t>QADX19-QADX04</t>
  </si>
  <si>
    <t>QADX04-QADB54</t>
  </si>
  <si>
    <t>QADX04-QADX24</t>
  </si>
  <si>
    <t>QADX04-QADX50</t>
  </si>
  <si>
    <t>QADX63-QADX04</t>
  </si>
  <si>
    <t>QADX61-QADX04</t>
  </si>
  <si>
    <t>QAHA02-QAHA06</t>
  </si>
  <si>
    <t>QAHA06-QADB46</t>
  </si>
  <si>
    <t>QAHA06-QAHA41</t>
  </si>
  <si>
    <t>QANT03-QANT01</t>
  </si>
  <si>
    <t>QANT01-QATK71</t>
  </si>
  <si>
    <t>QANT38-QANT01</t>
  </si>
  <si>
    <t>QANT14-QANT01</t>
  </si>
  <si>
    <t>QANT01-QANT31</t>
  </si>
  <si>
    <t>QANT01-QANT53</t>
  </si>
  <si>
    <t>QAQS05-QATB_newsite 2</t>
  </si>
  <si>
    <t>QATB_newsite 2-QATB03</t>
  </si>
  <si>
    <t>CHGD huyện Thăng Bình-QATB_newsite 2</t>
  </si>
  <si>
    <t>QATB43-QATB_newsite 2</t>
  </si>
  <si>
    <t>QATB35-QATKMA01</t>
  </si>
  <si>
    <t>QATB12-QATB35</t>
  </si>
  <si>
    <t>QATB35-QATK62</t>
  </si>
  <si>
    <t>MX QATKMA01-QADX35 hướng cầu Bình Nam-QATB35</t>
  </si>
  <si>
    <t>QATB35-MX QATKMA01-QADX35 hướng cầu Tỉnh Thủy</t>
  </si>
  <si>
    <t>QAQS06-QATB31</t>
  </si>
  <si>
    <t>QATB31-QATK71</t>
  </si>
  <si>
    <t>DNHC92-DNCL08</t>
  </si>
  <si>
    <t>DNHC49-DNCL08</t>
  </si>
  <si>
    <t>DNCL08-DNCL09</t>
  </si>
  <si>
    <t>DNCL80-DNCL30</t>
  </si>
  <si>
    <t>DNCL18-DNCL30</t>
  </si>
  <si>
    <t>DNCL58-DNCL56</t>
  </si>
  <si>
    <t>DNCL56-DNCL47</t>
  </si>
  <si>
    <t>DNNH18-DNCL56</t>
  </si>
  <si>
    <t>DNCL56-DNCL24</t>
  </si>
  <si>
    <t>DNHC02-MX Lê Hồng Phong-Phan Chu Trinh</t>
  </si>
  <si>
    <t>MX Yên Bái – Nguyễn Thái Học-DNHC02</t>
  </si>
  <si>
    <t>DNHC16-DNHC02</t>
  </si>
  <si>
    <t>DNHC02-DNHC2S</t>
  </si>
  <si>
    <t>DNHC79-DNHC24</t>
  </si>
  <si>
    <t>DNHC24-DNHC75</t>
  </si>
  <si>
    <t>DNHC13-DNHC24</t>
  </si>
  <si>
    <t>DNHC60-DNHC24</t>
  </si>
  <si>
    <t>DNHC46-DNHC61</t>
  </si>
  <si>
    <t>DNHC30-DNHC46</t>
  </si>
  <si>
    <t>DNHC54-DNHC05</t>
  </si>
  <si>
    <t>DNHC54-DNHC34</t>
  </si>
  <si>
    <t>DNTK17-DNHC77</t>
  </si>
  <si>
    <t>DNHC01-DNHC77</t>
  </si>
  <si>
    <t>DNHV12-DNHV52</t>
  </si>
  <si>
    <t>DNNH12-DNHV12</t>
  </si>
  <si>
    <t>DNHW03-DNHW22</t>
  </si>
  <si>
    <t>DNHW22-DNHW06</t>
  </si>
  <si>
    <t>DNLC02-DNTK31</t>
  </si>
  <si>
    <t>DNLC18-DNLC02</t>
  </si>
  <si>
    <t>21DN013-DNLC02</t>
  </si>
  <si>
    <t>DNLC06-DNLC55</t>
  </si>
  <si>
    <t>DNLC82-DNLC06</t>
  </si>
  <si>
    <t>DNLC1Y-DNLC06</t>
  </si>
  <si>
    <t>DNLC1W-DNLC1P</t>
  </si>
  <si>
    <t>DNLC22-DNLC50</t>
  </si>
  <si>
    <t>DNNH39-DNNH59</t>
  </si>
  <si>
    <t>DNNH11-DNNH59</t>
  </si>
  <si>
    <t>DNNH59-DNNH09</t>
  </si>
  <si>
    <t>22DN042-DNNH59</t>
  </si>
  <si>
    <t>DNST1W-DNST12</t>
  </si>
  <si>
    <t>DNST27-DNST12</t>
  </si>
  <si>
    <t>DNST01-DNST12</t>
  </si>
  <si>
    <t>DNST12-DNST42</t>
  </si>
  <si>
    <t>DNCL20-DNTK08</t>
  </si>
  <si>
    <t>DNCL04-DNTK08</t>
  </si>
  <si>
    <t>DNTK08-DNTK26</t>
  </si>
  <si>
    <t>DNTK10-DNTK62</t>
  </si>
  <si>
    <t>DNTK58-DNTK10</t>
  </si>
  <si>
    <t>DNTK14-DNTK10</t>
  </si>
  <si>
    <t>QADB57-QADB02</t>
  </si>
  <si>
    <t>QADB08-QADB73</t>
  </si>
  <si>
    <t>QADB04-QADB52</t>
  </si>
  <si>
    <t>QADB52-QADL09</t>
  </si>
  <si>
    <t>QADB17-QADB52</t>
  </si>
  <si>
    <t>QADL34-QADL15</t>
  </si>
  <si>
    <t>QADL15-QADX34</t>
  </si>
  <si>
    <t>QADL32-QADL15</t>
  </si>
  <si>
    <t>QADL62-QADL15</t>
  </si>
  <si>
    <t>QADL33-QADL15</t>
  </si>
  <si>
    <t>QADL05-QADX19</t>
  </si>
  <si>
    <t>QADX39-QADX20</t>
  </si>
  <si>
    <t>QADX20-QAQS06</t>
  </si>
  <si>
    <t>QADX30-QADX20</t>
  </si>
  <si>
    <t>QADX08-QADX20</t>
  </si>
  <si>
    <t>18QA083-QAHA18</t>
  </si>
  <si>
    <t>QATK07-QANT49</t>
  </si>
  <si>
    <t>QANT49-QANT06</t>
  </si>
  <si>
    <t>QANT29-QANT49</t>
  </si>
  <si>
    <t>QAPN04-QAPN14</t>
  </si>
  <si>
    <t>21QA013-QAPN04</t>
  </si>
  <si>
    <t>QAQS38-QAQS10</t>
  </si>
  <si>
    <t>QATB52-QATB11</t>
  </si>
  <si>
    <t>21QA048-QATB14</t>
  </si>
  <si>
    <t>QAPN43-QATB34</t>
  </si>
  <si>
    <t>QATK03-QATK46</t>
  </si>
  <si>
    <t>QATK18-QATK24</t>
  </si>
  <si>
    <t>NH Nam Á Bank-QATK18</t>
  </si>
  <si>
    <t>QAPN20-QATK22</t>
  </si>
  <si>
    <t>Loại cáp</t>
  </si>
  <si>
    <t>Đơn vị sở hữu</t>
  </si>
  <si>
    <t>Tuyến cáp thuê gốc</t>
  </si>
  <si>
    <t>A</t>
  </si>
  <si>
    <t>B</t>
  </si>
  <si>
    <t>Chọn Tổng kéo &lt;3km</t>
  </si>
  <si>
    <t>Dist (m) P1-&gt;R + DP</t>
  </si>
  <si>
    <t>Dist (m) P2-&gt;R + DP</t>
  </si>
  <si>
    <t>km cáp H04 ( vlookup)</t>
  </si>
  <si>
    <t>Cấp 3/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</si>
</sst>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obifone888-my.sharepoint.com/personal/nghiem_nguyen_mobifone_vn/Documents/QLTD/Quy%20ho&#7841;ch%20m&#7841;ng%20v&#244;%20tuy&#7871;n/C&#193;C%20C&#212;NG%20VI&#7878;C%20T&#7892;%20QH%20TD/2025/&#272;&#7873;%20xu&#7845;t%20c&#225;p%20l&#432;&#7905;ng%20d&#7909;ng/Mau%20thong%20ke%20danh%20sach%20tuyen%20cap%20luong%20dung_TH_BC%20v1_4_du%20lieu%2028112025_TH_final_03122025.xlsx" TargetMode="External"/><Relationship Id="rId2" Type="http://schemas.microsoft.com/office/2019/04/relationships/externalLinkLongPath" Target="https://mobifone888-my.sharepoint.com/personal/nghiem_nguyen_mobifone_vn/Documents/QLTD/Quy%20ho&#7841;ch%20m&#7841;ng%20v&#244;%20tuy&#7871;n/C&#193;C%20C&#212;NG%20VI&#7878;C%20T&#7892;%20QH%20TD/2025/&#272;&#7873;%20xu&#7845;t%20c&#225;p%20l&#432;&#7905;ng%20d&#7909;ng/Mau%20thong%20ke%20danh%20sach%20tuyen%20cap%20luong%20dung_TH_BC%20v1_4_du%20lieu%2028112025_TH_final_03122025.xlsx?59669D47" TargetMode="External"/><Relationship Id="rId1" Type="http://schemas.openxmlformats.org/officeDocument/2006/relationships/externalLinkPath" Target="file:///\\59669D47\Mau%20thong%20ke%20danh%20sach%20tuyen%20cap%20luong%20dung_TH_BC%20v1_4_du%20lieu%2028112025_TH_final_03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ien do"/>
      <sheetName val="TH PA su dung cap H04-nội tỉnh"/>
      <sheetName val="TH Swap cáp thuê PA1"/>
      <sheetName val="TH"/>
      <sheetName val="Chi tiet (2)"/>
      <sheetName val="QH nut metro"/>
      <sheetName val="QH cap metro di doi"/>
      <sheetName val="QH cap metro mo rong"/>
      <sheetName val="Cellfile"/>
      <sheetName val="Toa do H04"/>
      <sheetName val="Toa do Metro"/>
      <sheetName val="Thiet bi metro"/>
      <sheetName val="TH nut metro"/>
      <sheetName val="Chi tiết FO đầu tư"/>
      <sheetName val="Các tuyến cáp quang thuê"/>
      <sheetName val="ma tram Hue"/>
      <sheetName val="Chi phí"/>
      <sheetName val="TH_Cáp thuê FO"/>
      <sheetName val="Chi tiet FO thuê"/>
      <sheetName val="chi tiet FO thue_tọa độ trạm"/>
      <sheetName val="Metro mo rong"/>
      <sheetName val="QH cap metro di doi_Nghiem"/>
      <sheetName val="Chi tiet"/>
      <sheetName val="Tuyến cáp H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B1" t="str">
            <v>Tuyến cáp</v>
          </cell>
          <cell r="C1" t="str">
            <v>Tỉnh/ Thành phố</v>
          </cell>
          <cell r="D1" t="str">
            <v>Tổng chiều dài tuyến (m)</v>
          </cell>
        </row>
        <row r="4">
          <cell r="B4" t="str">
            <v>TT1 Quảng Trị (Đồng Hới) - Lệ Thủy</v>
          </cell>
          <cell r="D4">
            <v>41124</v>
          </cell>
          <cell r="E4" t="str">
            <v>Mạng cấp 3</v>
          </cell>
        </row>
        <row r="5">
          <cell r="B5" t="str">
            <v>Lệ Thủy - Quảng Ninh</v>
          </cell>
          <cell r="D5">
            <v>41224</v>
          </cell>
          <cell r="E5" t="str">
            <v>Mạng cấp 3</v>
          </cell>
        </row>
        <row r="6">
          <cell r="B6" t="str">
            <v>Quảng Ninh - TT1 Quảng Trị (Đồng Hới)</v>
          </cell>
          <cell r="D6">
            <v>13444</v>
          </cell>
          <cell r="E6" t="str">
            <v>Mạng cấp 3</v>
          </cell>
        </row>
        <row r="7">
          <cell r="B7" t="str">
            <v>TT1 Quảng Trị (Đồng Hới) - CAX Phú Định (Bố Trạch)</v>
          </cell>
          <cell r="D7">
            <v>30248</v>
          </cell>
          <cell r="E7" t="str">
            <v>Mạng cấp 3</v>
          </cell>
        </row>
        <row r="8">
          <cell r="B8" t="str">
            <v>CAX Phú Định (Bố Trạch) - CAX Xuân Trạch (Bố Trạch)</v>
          </cell>
          <cell r="D8">
            <v>26851</v>
          </cell>
          <cell r="E8" t="str">
            <v>Mạng cấp 3</v>
          </cell>
        </row>
        <row r="9">
          <cell r="B9" t="str">
            <v>CAX Xuân Trạch (Bố Trạch) - Minh Hóa</v>
          </cell>
          <cell r="D9">
            <v>51203</v>
          </cell>
          <cell r="E9" t="str">
            <v>Mạng cấp 3</v>
          </cell>
        </row>
        <row r="10">
          <cell r="B10" t="str">
            <v>Minh Hóa - Tuyên Hóa</v>
          </cell>
          <cell r="D10">
            <v>15701</v>
          </cell>
          <cell r="E10" t="str">
            <v>Mạng cấp 3</v>
          </cell>
        </row>
        <row r="11">
          <cell r="B11" t="str">
            <v>Tuyên Hóa - Ba Đồn</v>
          </cell>
          <cell r="D11">
            <v>52143</v>
          </cell>
          <cell r="E11" t="str">
            <v>Mạng cấp 3</v>
          </cell>
        </row>
        <row r="12">
          <cell r="B12" t="str">
            <v>Ba Đồn - Bố Trạch</v>
          </cell>
          <cell r="D12">
            <v>25423</v>
          </cell>
          <cell r="E12" t="str">
            <v>Mạng cấp 3</v>
          </cell>
        </row>
        <row r="13">
          <cell r="B13" t="str">
            <v>Bố Trạch - TT1 Quảng Trị (Đồng Hới)</v>
          </cell>
          <cell r="D13">
            <v>14643</v>
          </cell>
          <cell r="E13" t="str">
            <v>Mạng cấp 3</v>
          </cell>
        </row>
        <row r="14">
          <cell r="B14" t="str">
            <v>TT2 Quảng Trị - TX Quảng Trị</v>
          </cell>
          <cell r="C14" t="str">
            <v>Quảng Trị</v>
          </cell>
          <cell r="D14">
            <v>16726.43</v>
          </cell>
          <cell r="E14" t="str">
            <v>Mạng cấp 3</v>
          </cell>
        </row>
        <row r="15">
          <cell r="B15" t="str">
            <v>TX Quảng Trị - Hải Lăng</v>
          </cell>
          <cell r="C15" t="str">
            <v>Quảng Trị</v>
          </cell>
          <cell r="D15">
            <v>9683.7609999999986</v>
          </cell>
          <cell r="E15" t="str">
            <v>Mạng cấp 3</v>
          </cell>
        </row>
        <row r="16">
          <cell r="B16" t="str">
            <v>Hải Lăng - TT2 Quảng Trị</v>
          </cell>
          <cell r="C16" t="str">
            <v>Quảng Trị</v>
          </cell>
          <cell r="D16">
            <v>23995.881000000005</v>
          </cell>
          <cell r="E16" t="str">
            <v>Mạng cấp 3</v>
          </cell>
        </row>
        <row r="17">
          <cell r="B17" t="str">
            <v>TT2 Quảng Trị - Đăk Rông</v>
          </cell>
          <cell r="C17" t="str">
            <v>Quảng Trị</v>
          </cell>
          <cell r="D17">
            <v>39223.027999999998</v>
          </cell>
          <cell r="E17" t="str">
            <v>Mạng cấp 3</v>
          </cell>
        </row>
        <row r="18">
          <cell r="B18" t="str">
            <v>Đăk Rông - Cam Lộ</v>
          </cell>
          <cell r="C18" t="str">
            <v>Quảng Trị</v>
          </cell>
          <cell r="D18">
            <v>25625.966999999997</v>
          </cell>
          <cell r="E18" t="str">
            <v>Mạng cấp 3</v>
          </cell>
        </row>
        <row r="19">
          <cell r="B19" t="str">
            <v>Cam Lộ - Vĩnh Linh</v>
          </cell>
          <cell r="C19" t="str">
            <v>Quảng Trị</v>
          </cell>
          <cell r="D19">
            <v>50119.462</v>
          </cell>
          <cell r="E19" t="str">
            <v>Mạng cấp 3</v>
          </cell>
        </row>
        <row r="20">
          <cell r="B20" t="str">
            <v>Vĩnh Linh - TT2 Quảng Trị</v>
          </cell>
          <cell r="C20" t="str">
            <v>Quảng Trị</v>
          </cell>
          <cell r="D20">
            <v>36346.195999999996</v>
          </cell>
          <cell r="E20" t="str">
            <v>Mạng cấp 3</v>
          </cell>
        </row>
        <row r="21">
          <cell r="B21" t="str">
            <v>TT1 Quảng Trị (Đồng Hới) - PA08</v>
          </cell>
          <cell r="D21">
            <v>380</v>
          </cell>
          <cell r="E21" t="str">
            <v>Mạng cấp 3</v>
          </cell>
        </row>
        <row r="22">
          <cell r="B22" t="str">
            <v>PA08 - PC07</v>
          </cell>
          <cell r="D22">
            <v>205</v>
          </cell>
          <cell r="E22" t="str">
            <v>Mạng cấp 3</v>
          </cell>
        </row>
        <row r="23">
          <cell r="B23" t="str">
            <v>PC07 - PA07</v>
          </cell>
          <cell r="D23">
            <v>179</v>
          </cell>
          <cell r="E23" t="str">
            <v>Mạng cấp 3</v>
          </cell>
        </row>
        <row r="24">
          <cell r="B24" t="str">
            <v>PA07 - PC06</v>
          </cell>
          <cell r="D24">
            <v>575</v>
          </cell>
          <cell r="E24" t="str">
            <v>Mạng cấp 3</v>
          </cell>
        </row>
        <row r="25">
          <cell r="B25" t="str">
            <v>PC06 - PC06_02</v>
          </cell>
          <cell r="D25">
            <v>195</v>
          </cell>
          <cell r="E25" t="str">
            <v>Mạng cấp 3</v>
          </cell>
        </row>
        <row r="26">
          <cell r="B26" t="str">
            <v>PC06_02 - TT1 Quảng Trị (Đồng Hới)</v>
          </cell>
          <cell r="D26">
            <v>1120</v>
          </cell>
          <cell r="E26" t="str">
            <v>Mạng cấp 3</v>
          </cell>
        </row>
        <row r="27">
          <cell r="B27" t="str">
            <v>TT1 Quảng Trị (Đồng Hới) - PC09</v>
          </cell>
          <cell r="D27">
            <v>1230</v>
          </cell>
          <cell r="E27" t="str">
            <v>Mạng cấp 3</v>
          </cell>
        </row>
        <row r="28">
          <cell r="B28" t="str">
            <v>PC09 - Đội Cảng hàng không</v>
          </cell>
          <cell r="D28">
            <v>3360</v>
          </cell>
          <cell r="E28" t="str">
            <v>Mạng cấp 3</v>
          </cell>
        </row>
        <row r="29">
          <cell r="B29" t="str">
            <v>Đội Cảng hàng không - PX01</v>
          </cell>
          <cell r="D29">
            <v>1102</v>
          </cell>
          <cell r="E29" t="str">
            <v>Mạng cấp 3</v>
          </cell>
        </row>
        <row r="30">
          <cell r="B30" t="str">
            <v>PX01 - PC11</v>
          </cell>
          <cell r="D30">
            <v>6606</v>
          </cell>
          <cell r="E30" t="str">
            <v>Mạng cấp 3</v>
          </cell>
        </row>
        <row r="31">
          <cell r="B31" t="str">
            <v>PC11 - Cơ sở cai nghiện (Quảng Bình)</v>
          </cell>
          <cell r="D31">
            <v>9513</v>
          </cell>
          <cell r="E31" t="str">
            <v>Mạng cấp 3</v>
          </cell>
        </row>
        <row r="32">
          <cell r="B32" t="str">
            <v>Cơ sở cai nghiện (Quảng Bình) - Trại giam Đông Sơn (C10)</v>
          </cell>
          <cell r="D32">
            <v>4427</v>
          </cell>
          <cell r="E32" t="str">
            <v>Mạng cấp 3</v>
          </cell>
        </row>
        <row r="33">
          <cell r="B33" t="str">
            <v>Trại giam Đông Sơn (C10) - PC08</v>
          </cell>
          <cell r="D33">
            <v>13604</v>
          </cell>
          <cell r="E33" t="str">
            <v>Mạng cấp 3</v>
          </cell>
        </row>
        <row r="34">
          <cell r="B34" t="str">
            <v>PC08 - Quảng Ninh</v>
          </cell>
          <cell r="D34">
            <v>15.7</v>
          </cell>
          <cell r="E34" t="str">
            <v>Mạng cấp 3</v>
          </cell>
        </row>
        <row r="35">
          <cell r="B35" t="str">
            <v>Cửa khẩu quốc tế Cha Lo (PA08) - Xã Dân Hóa</v>
          </cell>
          <cell r="D35">
            <v>16339</v>
          </cell>
          <cell r="E35" t="str">
            <v>Mạng cấp 3</v>
          </cell>
        </row>
        <row r="36">
          <cell r="B36" t="str">
            <v>TT1 Quảng Trị (Đồng Hới) - PC01, PC02</v>
          </cell>
          <cell r="D36">
            <v>1916</v>
          </cell>
          <cell r="E36" t="str">
            <v>Mạng cấp 3</v>
          </cell>
        </row>
        <row r="37">
          <cell r="B37" t="str">
            <v>PC01, PC02 - PC10</v>
          </cell>
          <cell r="D37">
            <v>579</v>
          </cell>
          <cell r="E37" t="str">
            <v>Mạng cấp 3</v>
          </cell>
        </row>
        <row r="38">
          <cell r="B38" t="str">
            <v>PC10 - PA09</v>
          </cell>
          <cell r="D38">
            <v>368</v>
          </cell>
          <cell r="E38" t="str">
            <v>Mạng cấp 3</v>
          </cell>
        </row>
        <row r="39">
          <cell r="B39" t="str">
            <v>PA09 - PK02</v>
          </cell>
          <cell r="D39">
            <v>464</v>
          </cell>
          <cell r="E39" t="str">
            <v>Mạng cấp 3</v>
          </cell>
        </row>
        <row r="40">
          <cell r="B40" t="str">
            <v>PK02 - PC04</v>
          </cell>
          <cell r="D40">
            <v>827</v>
          </cell>
          <cell r="E40" t="str">
            <v>Mạng cấp 3</v>
          </cell>
        </row>
        <row r="41">
          <cell r="B41" t="str">
            <v>PC04 - PC02/PC04</v>
          </cell>
          <cell r="D41">
            <v>1278</v>
          </cell>
          <cell r="E41" t="str">
            <v>Mạng cấp 3</v>
          </cell>
        </row>
        <row r="42">
          <cell r="B42" t="str">
            <v>PC02/PC04 - TT1 Quảng Trị (Đồng Hới)</v>
          </cell>
          <cell r="D42">
            <v>3452</v>
          </cell>
          <cell r="E42" t="str">
            <v>Mạng cấp 3</v>
          </cell>
        </row>
        <row r="43">
          <cell r="B43" t="str">
            <v>PH10_Bệnh xá - PC10</v>
          </cell>
          <cell r="D43">
            <v>842</v>
          </cell>
          <cell r="E43" t="str">
            <v>Mạng cấp 3</v>
          </cell>
        </row>
        <row r="44">
          <cell r="B44" t="str">
            <v>PC08_Đội CSGT Đường thủy - PH10_Nhà nghỉ</v>
          </cell>
          <cell r="D44">
            <v>1823</v>
          </cell>
          <cell r="E44" t="str">
            <v>Mạng cấp 3</v>
          </cell>
        </row>
        <row r="45">
          <cell r="B45" t="str">
            <v>PH10_Nhà nghỉ - PC10</v>
          </cell>
          <cell r="D45">
            <v>2882</v>
          </cell>
          <cell r="E45" t="str">
            <v>Mạng cấp 3</v>
          </cell>
        </row>
        <row r="46">
          <cell r="B46" t="str">
            <v>TT2 Quảng Trị - PC11 (Trại tạm giam)</v>
          </cell>
          <cell r="C46" t="str">
            <v>Quảng Trị</v>
          </cell>
          <cell r="D46">
            <v>4210.9679999999998</v>
          </cell>
          <cell r="E46" t="str">
            <v>Mạng cấp 3</v>
          </cell>
        </row>
        <row r="47">
          <cell r="B47" t="str">
            <v>PC11 (Trại tạm giam) - Trung tâm sát hạch lái xe</v>
          </cell>
          <cell r="C47" t="str">
            <v>Quảng Trị</v>
          </cell>
          <cell r="D47">
            <v>1871.171</v>
          </cell>
          <cell r="E47" t="str">
            <v>Mạng cấp 3</v>
          </cell>
        </row>
        <row r="48">
          <cell r="B48" t="str">
            <v>Trung tâm sát hạch lái xe - TX Quảng Trị</v>
          </cell>
          <cell r="C48" t="str">
            <v>Quảng Trị</v>
          </cell>
          <cell r="D48">
            <v>15808.576000000001</v>
          </cell>
          <cell r="E48" t="str">
            <v>Mạng cấp 3</v>
          </cell>
        </row>
        <row r="49">
          <cell r="B49" t="str">
            <v>TT2 Quảng Trị - PC07</v>
          </cell>
          <cell r="C49" t="str">
            <v>Quảng Trị</v>
          </cell>
          <cell r="D49">
            <v>4837.3490000000002</v>
          </cell>
          <cell r="E49" t="str">
            <v>Mạng cấp 3</v>
          </cell>
        </row>
        <row r="50">
          <cell r="B50" t="str">
            <v>PC07 - Khối CS</v>
          </cell>
          <cell r="C50" t="str">
            <v>Quảng Trị</v>
          </cell>
          <cell r="D50">
            <v>5255.8410000000003</v>
          </cell>
          <cell r="E50" t="str">
            <v>Mạng cấp 3</v>
          </cell>
        </row>
        <row r="51">
          <cell r="B51" t="str">
            <v>Khối CS - PC04/PA07</v>
          </cell>
          <cell r="C51" t="str">
            <v>Quảng Trị</v>
          </cell>
          <cell r="D51">
            <v>4537.1949999999997</v>
          </cell>
          <cell r="E51" t="str">
            <v>Mạng cấp 3</v>
          </cell>
        </row>
        <row r="52">
          <cell r="B52" t="str">
            <v>PC04/PA07 - TT2 Quảng Trị</v>
          </cell>
          <cell r="C52" t="str">
            <v>Quảng Trị</v>
          </cell>
          <cell r="D52">
            <v>5092.7070000000003</v>
          </cell>
          <cell r="E52" t="str">
            <v>Mạng cấp 3</v>
          </cell>
        </row>
        <row r="53">
          <cell r="B53" t="str">
            <v>Khối CS - PA08</v>
          </cell>
          <cell r="C53" t="str">
            <v>Quảng Trị</v>
          </cell>
          <cell r="E53" t="str">
            <v>Mạng cấp 3</v>
          </cell>
        </row>
        <row r="54">
          <cell r="B54" t="str">
            <v>PA08 - PA09</v>
          </cell>
          <cell r="C54" t="str">
            <v>Quảng Trị</v>
          </cell>
          <cell r="E54" t="str">
            <v>Mạng cấp 3</v>
          </cell>
        </row>
        <row r="55">
          <cell r="B55" t="str">
            <v>PA09 - TP Đông Hà</v>
          </cell>
          <cell r="C55" t="str">
            <v>Quảng Trị</v>
          </cell>
          <cell r="D55">
            <v>4119.1640000000007</v>
          </cell>
          <cell r="E55" t="str">
            <v>Mạng cấp 3</v>
          </cell>
        </row>
        <row r="56">
          <cell r="B56" t="str">
            <v>Đăk Rông - Trại giam Nghĩa An (C10)</v>
          </cell>
          <cell r="C56" t="str">
            <v>Quảng Trị</v>
          </cell>
          <cell r="D56">
            <v>29042.787</v>
          </cell>
          <cell r="E56" t="str">
            <v>Mạng cấp 3</v>
          </cell>
        </row>
        <row r="57">
          <cell r="B57" t="str">
            <v>Trại giam Nghĩa An (C10) - Cam Lộ</v>
          </cell>
          <cell r="C57" t="str">
            <v>Quảng Trị</v>
          </cell>
          <cell r="D57">
            <v>15291.852000000001</v>
          </cell>
          <cell r="E57" t="str">
            <v>Mạng cấp 3</v>
          </cell>
        </row>
        <row r="58">
          <cell r="B58" t="str">
            <v>Cơ sở cai nghiện (Cam Hiếu, Cam Lộ) - TTCMKV Cam Lộ</v>
          </cell>
          <cell r="C58" t="str">
            <v>Quảng Trị</v>
          </cell>
          <cell r="D58">
            <v>8266.1389999999992</v>
          </cell>
          <cell r="E58" t="str">
            <v>Mạng cấp 3</v>
          </cell>
        </row>
        <row r="59">
          <cell r="B59" t="str">
            <v>PK02 (TT. Ái Tử, Triệu Phong) - TTCMKV Triệu Phong</v>
          </cell>
          <cell r="C59" t="str">
            <v>Quảng Trị</v>
          </cell>
          <cell r="D59">
            <v>1252.7449999999999</v>
          </cell>
          <cell r="E59" t="str">
            <v>Mạng cấp 3</v>
          </cell>
        </row>
        <row r="60">
          <cell r="B60" t="str">
            <v>TTCMKV Triệu Phong - TX Quảng Trị</v>
          </cell>
          <cell r="C60" t="str">
            <v>Quảng Trị</v>
          </cell>
          <cell r="D60">
            <v>4985.6530000000002</v>
          </cell>
          <cell r="E60" t="str">
            <v>Mạng cấp 3</v>
          </cell>
        </row>
        <row r="61">
          <cell r="B61" t="str">
            <v>Đăk Rông-PC07 (Đội PCCC khu vực 6)</v>
          </cell>
          <cell r="C61" t="str">
            <v>Quảng Trị</v>
          </cell>
          <cell r="D61">
            <v>1379.527</v>
          </cell>
          <cell r="E61" t="str">
            <v>Mạng cấp 3</v>
          </cell>
        </row>
        <row r="62">
          <cell r="B62" t="str">
            <v>La Lay-PA08 (Trạm cửa khẩu La Lay)</v>
          </cell>
          <cell r="C62" t="str">
            <v>Quảng Trị</v>
          </cell>
          <cell r="D62">
            <v>11979.688</v>
          </cell>
          <cell r="E62" t="str">
            <v>Mạng cấp 3</v>
          </cell>
        </row>
        <row r="63">
          <cell r="B63" t="str">
            <v>Phòng PC07 (Đội PCCC khu vực 3)-Vĩnh Linh</v>
          </cell>
          <cell r="C63" t="str">
            <v>Quảng Trị</v>
          </cell>
          <cell r="D63">
            <v>3077.7519999999995</v>
          </cell>
          <cell r="E63" t="str">
            <v>Mạng cấp 3</v>
          </cell>
        </row>
        <row r="64">
          <cell r="B64" t="str">
            <v>Phòng PC08 (trạm Hải Lăng)-Hải Lăng</v>
          </cell>
          <cell r="C64" t="str">
            <v>Quảng Trị</v>
          </cell>
          <cell r="D64">
            <v>3898.6079999999997</v>
          </cell>
          <cell r="E64" t="str">
            <v>Mạng cấp 3</v>
          </cell>
        </row>
        <row r="65">
          <cell r="B65" t="str">
            <v>PC07 (Đội PCCC khu vực Hải lăng)-Hải Lăng</v>
          </cell>
          <cell r="C65" t="str">
            <v>Quảng Trị</v>
          </cell>
          <cell r="D65">
            <v>3384.0390000000002</v>
          </cell>
          <cell r="E65" t="str">
            <v>Mạng cấp 3</v>
          </cell>
        </row>
        <row r="66">
          <cell r="B66" t="str">
            <v>CAT TT Huế - Phú Vang</v>
          </cell>
          <cell r="C66" t="str">
            <v>Huế</v>
          </cell>
          <cell r="D66">
            <v>16950</v>
          </cell>
          <cell r="E66" t="str">
            <v>Mạng cấp 3</v>
          </cell>
        </row>
        <row r="67">
          <cell r="B67" t="str">
            <v>Phú Vang - Phú Lộc</v>
          </cell>
          <cell r="C67" t="str">
            <v>Huế</v>
          </cell>
          <cell r="D67">
            <v>46600</v>
          </cell>
          <cell r="E67" t="str">
            <v>Mạng cấp 3</v>
          </cell>
        </row>
        <row r="68">
          <cell r="B68" t="str">
            <v>Phú Lộc - Hương Thủy</v>
          </cell>
          <cell r="C68" t="str">
            <v>Huế</v>
          </cell>
          <cell r="D68">
            <v>29650</v>
          </cell>
          <cell r="E68" t="str">
            <v>Mạng cấp 3</v>
          </cell>
        </row>
        <row r="69">
          <cell r="B69" t="str">
            <v>Hương Thủy - CAT TT Huế</v>
          </cell>
          <cell r="C69" t="str">
            <v>Huế</v>
          </cell>
          <cell r="D69">
            <v>13050</v>
          </cell>
          <cell r="E69" t="str">
            <v>Mạng cấp 3</v>
          </cell>
        </row>
        <row r="70">
          <cell r="B70" t="str">
            <v>CAT TT Huế - Quảng Điền</v>
          </cell>
          <cell r="C70" t="str">
            <v>Huế</v>
          </cell>
          <cell r="D70">
            <v>25900</v>
          </cell>
          <cell r="E70" t="str">
            <v>Mạng cấp 3</v>
          </cell>
        </row>
        <row r="71">
          <cell r="B71" t="str">
            <v>Quảng Điền - Phong Điền</v>
          </cell>
          <cell r="C71" t="str">
            <v>Huế</v>
          </cell>
          <cell r="D71">
            <v>23400</v>
          </cell>
          <cell r="E71" t="str">
            <v>Mạng cấp 3</v>
          </cell>
        </row>
        <row r="72">
          <cell r="B72" t="str">
            <v>Phong Điền - CAT TT Huế</v>
          </cell>
          <cell r="C72" t="str">
            <v>Huế</v>
          </cell>
          <cell r="D72">
            <v>39750</v>
          </cell>
          <cell r="E72" t="str">
            <v>Mạng cấp 3</v>
          </cell>
        </row>
        <row r="73">
          <cell r="B73" t="str">
            <v>CAT TT Huế - PK02</v>
          </cell>
          <cell r="C73" t="str">
            <v>Huế</v>
          </cell>
          <cell r="D73">
            <v>7650</v>
          </cell>
          <cell r="E73" t="str">
            <v>Mạng cấp 3</v>
          </cell>
        </row>
        <row r="74">
          <cell r="B74" t="str">
            <v>PK02 - Nguyễn Thái Học</v>
          </cell>
          <cell r="C74" t="str">
            <v>Huế</v>
          </cell>
          <cell r="D74">
            <v>400</v>
          </cell>
          <cell r="E74" t="str">
            <v>Mạng cấp 3</v>
          </cell>
        </row>
        <row r="75">
          <cell r="B75" t="str">
            <v>Nguyễn Thái Học - Phú Xuân</v>
          </cell>
          <cell r="C75" t="str">
            <v>Huế</v>
          </cell>
          <cell r="D75">
            <v>3700</v>
          </cell>
          <cell r="E75" t="str">
            <v>Mạng cấp 3</v>
          </cell>
        </row>
        <row r="76">
          <cell r="B76" t="str">
            <v>Phú Xuân - CAT TT Huế</v>
          </cell>
          <cell r="C76" t="str">
            <v>Huế</v>
          </cell>
          <cell r="D76">
            <v>7165</v>
          </cell>
          <cell r="E76" t="str">
            <v>Mạng cấp 3</v>
          </cell>
        </row>
        <row r="77">
          <cell r="B77" t="str">
            <v>Phú Xuân - Hương Thủy</v>
          </cell>
          <cell r="C77" t="str">
            <v>Huế</v>
          </cell>
          <cell r="D77">
            <v>16260</v>
          </cell>
          <cell r="E77" t="str">
            <v>Mạng cấp 3</v>
          </cell>
        </row>
        <row r="78">
          <cell r="B78" t="str">
            <v>Hương Thủy - K02 (D2/E28)</v>
          </cell>
          <cell r="C78" t="str">
            <v>Huế</v>
          </cell>
          <cell r="D78">
            <v>38550</v>
          </cell>
          <cell r="E78" t="str">
            <v>Mạng cấp 3</v>
          </cell>
        </row>
        <row r="79">
          <cell r="B79" t="str">
            <v>K02 (D2/E28) - Phú Vang</v>
          </cell>
          <cell r="C79" t="str">
            <v>Huế</v>
          </cell>
          <cell r="D79">
            <v>43340</v>
          </cell>
          <cell r="E79" t="str">
            <v>Mạng cấp 3</v>
          </cell>
        </row>
        <row r="80">
          <cell r="B80" t="str">
            <v>CAT TT Huế - PA07</v>
          </cell>
          <cell r="C80" t="str">
            <v>Huế</v>
          </cell>
          <cell r="D80">
            <v>6085</v>
          </cell>
          <cell r="E80" t="str">
            <v>Mạng cấp 3</v>
          </cell>
        </row>
        <row r="81">
          <cell r="B81" t="str">
            <v>PA07 - PC01</v>
          </cell>
          <cell r="C81" t="str">
            <v>Huế</v>
          </cell>
          <cell r="D81">
            <v>3714</v>
          </cell>
          <cell r="E81" t="str">
            <v>Mạng cấp 3</v>
          </cell>
        </row>
        <row r="82">
          <cell r="B82" t="str">
            <v>PC01 - PC10</v>
          </cell>
          <cell r="C82" t="str">
            <v>Huế</v>
          </cell>
          <cell r="D82">
            <v>2030</v>
          </cell>
          <cell r="E82" t="str">
            <v>Mạng cấp 3</v>
          </cell>
        </row>
        <row r="83">
          <cell r="B83" t="str">
            <v>PC10 - PC11</v>
          </cell>
          <cell r="C83" t="str">
            <v>Huế</v>
          </cell>
          <cell r="D83">
            <v>12060</v>
          </cell>
          <cell r="E83" t="str">
            <v>Mạng cấp 3</v>
          </cell>
        </row>
        <row r="84">
          <cell r="B84" t="str">
            <v>PC11 - PC08 (CS1)</v>
          </cell>
          <cell r="C84" t="str">
            <v>Huế</v>
          </cell>
          <cell r="D84">
            <v>5670</v>
          </cell>
          <cell r="E84" t="str">
            <v>Mạng cấp 3</v>
          </cell>
        </row>
        <row r="85">
          <cell r="B85" t="str">
            <v>PC08 (CS1) - CAT TT Huế</v>
          </cell>
          <cell r="C85" t="str">
            <v>Huế</v>
          </cell>
          <cell r="D85">
            <v>6000</v>
          </cell>
          <cell r="E85" t="str">
            <v>Mạng cấp 3</v>
          </cell>
        </row>
        <row r="86">
          <cell r="B86" t="str">
            <v>CAT TT Huế - Trại giam Bình Điền
(C10)</v>
          </cell>
          <cell r="C86" t="str">
            <v>Huế</v>
          </cell>
          <cell r="D86">
            <v>29065</v>
          </cell>
          <cell r="E86" t="str">
            <v>Mạng cấp 3</v>
          </cell>
        </row>
        <row r="87">
          <cell r="B87" t="str">
            <v>PC06 (54 Hùng Vương) - TT Huế</v>
          </cell>
          <cell r="C87" t="str">
            <v>Huế</v>
          </cell>
          <cell r="D87">
            <v>6710</v>
          </cell>
          <cell r="E87" t="str">
            <v>Mạng cấp 3</v>
          </cell>
        </row>
        <row r="88">
          <cell r="B88" t="str">
            <v>Trung tâm SHLX PC08 - TT Huế</v>
          </cell>
          <cell r="C88" t="str">
            <v>Huế</v>
          </cell>
          <cell r="D88">
            <v>13835</v>
          </cell>
          <cell r="E88" t="str">
            <v>Mạng cấp 3</v>
          </cell>
        </row>
        <row r="89">
          <cell r="B89" t="str">
            <v>PC04 (trung tâm cái nghiện) - Phú Xuân</v>
          </cell>
          <cell r="C89" t="str">
            <v>Huế</v>
          </cell>
          <cell r="D89">
            <v>13400</v>
          </cell>
          <cell r="E89" t="str">
            <v>Mạng cấp 3</v>
          </cell>
        </row>
        <row r="90">
          <cell r="B90" t="str">
            <v>PC07 (52 Hùng Vương) - TT Huế</v>
          </cell>
          <cell r="C90" t="str">
            <v>Huế</v>
          </cell>
          <cell r="D90">
            <v>6200</v>
          </cell>
          <cell r="E90" t="str">
            <v>Mạng cấp 3</v>
          </cell>
        </row>
        <row r="91">
          <cell r="B91" t="str">
            <v>Trạm CSGT Phú Lộc - Phú Lộc</v>
          </cell>
          <cell r="C91" t="str">
            <v>Huế</v>
          </cell>
          <cell r="D91">
            <v>9600</v>
          </cell>
          <cell r="E91" t="str">
            <v>Mạng cấp 3</v>
          </cell>
        </row>
        <row r="92">
          <cell r="B92" t="str">
            <v>Nhà Ga Sân bay Phú Bài - Hương Thủy</v>
          </cell>
          <cell r="C92" t="str">
            <v>Huế</v>
          </cell>
          <cell r="D92">
            <v>4100</v>
          </cell>
          <cell r="E92" t="str">
            <v>Mạng cấp 3</v>
          </cell>
        </row>
        <row r="93">
          <cell r="B93" t="str">
            <v>TT1 Đà Nẵng - Cẩm Lệ</v>
          </cell>
          <cell r="D93">
            <v>8498</v>
          </cell>
          <cell r="E93" t="str">
            <v>Mạng cấp 3</v>
          </cell>
        </row>
        <row r="94">
          <cell r="B94" t="str">
            <v>Cẩm Lệ - Điện Bàn</v>
          </cell>
          <cell r="D94">
            <v>17334</v>
          </cell>
          <cell r="E94" t="str">
            <v>Mạng cấp 3</v>
          </cell>
        </row>
        <row r="95">
          <cell r="B95" t="str">
            <v>Điện Bàn - Hội An</v>
          </cell>
          <cell r="D95">
            <v>11027</v>
          </cell>
          <cell r="E95" t="str">
            <v>Mạng cấp 3</v>
          </cell>
        </row>
        <row r="96">
          <cell r="B96" t="str">
            <v>Hội An - Ngũ Hành Sơn</v>
          </cell>
          <cell r="D96">
            <v>20160</v>
          </cell>
          <cell r="E96" t="str">
            <v>Mạng cấp 3</v>
          </cell>
        </row>
        <row r="97">
          <cell r="B97" t="str">
            <v>Ngũ Hành Sơn - Sơn Trà</v>
          </cell>
          <cell r="D97">
            <v>6730</v>
          </cell>
          <cell r="E97" t="str">
            <v>Mạng cấp 3</v>
          </cell>
        </row>
        <row r="98">
          <cell r="B98" t="str">
            <v>Sơn Trà - TT1 Đà Nẵng</v>
          </cell>
          <cell r="D98">
            <v>8640</v>
          </cell>
          <cell r="E98" t="str">
            <v>Mạng cấp 3</v>
          </cell>
        </row>
        <row r="99">
          <cell r="B99" t="str">
            <v>TT1 Đà Nẵng - Liên Chiểu</v>
          </cell>
          <cell r="D99">
            <v>9869.9</v>
          </cell>
          <cell r="E99" t="str">
            <v>Mạng cấp 3</v>
          </cell>
        </row>
        <row r="100">
          <cell r="B100" t="str">
            <v>Liên Chiểu - Hòa Vang</v>
          </cell>
          <cell r="D100">
            <v>15870</v>
          </cell>
          <cell r="E100" t="str">
            <v>Mạng cấp 3</v>
          </cell>
        </row>
        <row r="101">
          <cell r="B101" t="str">
            <v>Hòa Vang - TT1 Đà Nẵng</v>
          </cell>
          <cell r="D101">
            <v>17654</v>
          </cell>
          <cell r="E101" t="str">
            <v>Mạng cấp 3</v>
          </cell>
        </row>
        <row r="102">
          <cell r="B102" t="str">
            <v>TT2 Tam Kỳ - CAX Tiên Sơn (Tiên Phước)</v>
          </cell>
          <cell r="D102">
            <v>28587</v>
          </cell>
          <cell r="E102" t="str">
            <v>Mạng cấp 3</v>
          </cell>
        </row>
        <row r="103">
          <cell r="B103" t="str">
            <v>CAX Tiên Sơn (Tiên Phước) - Quế Sơn</v>
          </cell>
          <cell r="D103">
            <v>20682</v>
          </cell>
          <cell r="E103" t="str">
            <v>Mạng cấp 3</v>
          </cell>
        </row>
        <row r="104">
          <cell r="B104" t="str">
            <v>Quế Sơn - Đại Lộc</v>
          </cell>
          <cell r="D104">
            <v>47832</v>
          </cell>
          <cell r="E104" t="str">
            <v>Mạng cấp 3</v>
          </cell>
        </row>
        <row r="105">
          <cell r="B105" t="str">
            <v>Đại Lộc - Phước Sơn</v>
          </cell>
          <cell r="D105">
            <v>95215</v>
          </cell>
          <cell r="E105" t="str">
            <v>Mạng cấp 3</v>
          </cell>
        </row>
        <row r="106">
          <cell r="B106" t="str">
            <v>Phước Sơn - Nam Giang</v>
          </cell>
          <cell r="D106">
            <v>55928</v>
          </cell>
          <cell r="E106" t="str">
            <v>Mạng cấp 3</v>
          </cell>
        </row>
        <row r="107">
          <cell r="B107" t="str">
            <v>Nam Giang - Đông Giang</v>
          </cell>
          <cell r="D107">
            <v>44158</v>
          </cell>
          <cell r="E107" t="str">
            <v>Mạng cấp 3</v>
          </cell>
        </row>
        <row r="108">
          <cell r="B108" t="str">
            <v>Đông Giang - Trại giam An Điềm (C10)</v>
          </cell>
          <cell r="D108">
            <v>37567</v>
          </cell>
          <cell r="E108" t="str">
            <v>Mạng cấp 3</v>
          </cell>
        </row>
        <row r="109">
          <cell r="B109" t="str">
            <v>Trại giam An Điềm (C10) - Duy Xuyên</v>
          </cell>
          <cell r="D109">
            <v>48999</v>
          </cell>
          <cell r="E109" t="str">
            <v>Mạng cấp 3</v>
          </cell>
        </row>
        <row r="110">
          <cell r="B110" t="str">
            <v>Duy Xuyên - TT2 Tam Kỳ</v>
          </cell>
          <cell r="D110">
            <v>44616</v>
          </cell>
          <cell r="E110" t="str">
            <v>Mạng cấp 3</v>
          </cell>
        </row>
        <row r="111">
          <cell r="B111" t="str">
            <v>TT2 Tam Kỳ - Thăng Bình</v>
          </cell>
          <cell r="D111">
            <v>24648</v>
          </cell>
          <cell r="E111" t="str">
            <v>Mạng cấp 3</v>
          </cell>
        </row>
        <row r="112">
          <cell r="B112" t="str">
            <v>Thăng Bình - Quế Sơn</v>
          </cell>
          <cell r="D112">
            <v>20538</v>
          </cell>
          <cell r="E112" t="str">
            <v>Mạng cấp 3</v>
          </cell>
        </row>
        <row r="113">
          <cell r="B113" t="str">
            <v>Quế Sơn - Hiệp Đức</v>
          </cell>
          <cell r="D113">
            <v>18046</v>
          </cell>
          <cell r="E113" t="str">
            <v>Mạng cấp 3</v>
          </cell>
        </row>
        <row r="114">
          <cell r="B114" t="str">
            <v>Hiệp Đức - Bắc Trà My</v>
          </cell>
          <cell r="D114">
            <v>54325</v>
          </cell>
          <cell r="E114" t="str">
            <v>Mạng cấp 3</v>
          </cell>
        </row>
        <row r="115">
          <cell r="B115" t="str">
            <v>Bắc Trà My - Phú Ninh</v>
          </cell>
          <cell r="D115">
            <v>44340</v>
          </cell>
          <cell r="E115" t="str">
            <v>Mạng cấp 3</v>
          </cell>
        </row>
        <row r="116">
          <cell r="B116" t="str">
            <v>Phú Ninh - TT2 Tam Kỳ</v>
          </cell>
          <cell r="D116">
            <v>8460</v>
          </cell>
          <cell r="E116" t="str">
            <v>Mạng cấp 3</v>
          </cell>
        </row>
        <row r="117">
          <cell r="B117" t="str">
            <v>TT1 Đà Nẵng - PK02</v>
          </cell>
          <cell r="D117">
            <v>8916</v>
          </cell>
          <cell r="E117" t="str">
            <v>Mạng cấp 3</v>
          </cell>
        </row>
        <row r="118">
          <cell r="B118" t="str">
            <v>PK02 - Trại giam CATP</v>
          </cell>
          <cell r="D118">
            <v>7007</v>
          </cell>
          <cell r="E118" t="str">
            <v>Mạng cấp 3</v>
          </cell>
        </row>
        <row r="119">
          <cell r="B119" t="str">
            <v>Trại giam CATP -Trạm CSGT Hòa Nhơn</v>
          </cell>
          <cell r="D119">
            <v>13847</v>
          </cell>
          <cell r="E119" t="str">
            <v>Mạng cấp 3</v>
          </cell>
        </row>
        <row r="120">
          <cell r="B120" t="str">
            <v>Trạm CSGT Hòa Nhơn - PC08</v>
          </cell>
          <cell r="D120">
            <v>10692</v>
          </cell>
          <cell r="E120" t="str">
            <v>Mạng cấp 3</v>
          </cell>
        </row>
        <row r="121">
          <cell r="B121" t="str">
            <v>PC08 - PC07</v>
          </cell>
          <cell r="D121">
            <v>4321</v>
          </cell>
          <cell r="E121" t="str">
            <v>Mạng cấp 3</v>
          </cell>
        </row>
        <row r="122">
          <cell r="B122" t="str">
            <v>PC07 - PX04</v>
          </cell>
          <cell r="D122">
            <v>4231</v>
          </cell>
          <cell r="E122" t="str">
            <v>Mạng cấp 3</v>
          </cell>
        </row>
        <row r="123">
          <cell r="B123" t="str">
            <v>PX04 - TT1 Đà Nẵng</v>
          </cell>
          <cell r="D123">
            <v>1344</v>
          </cell>
          <cell r="E123" t="str">
            <v>Mạng cấp 3</v>
          </cell>
        </row>
        <row r="124">
          <cell r="B124" t="str">
            <v>TT1 Đà Nẵng - PA07</v>
          </cell>
          <cell r="D124">
            <v>735</v>
          </cell>
          <cell r="E124" t="str">
            <v>Mạng cấp 3</v>
          </cell>
        </row>
        <row r="125">
          <cell r="B125" t="str">
            <v>PA07 - PA06</v>
          </cell>
          <cell r="D125">
            <v>1259</v>
          </cell>
          <cell r="E125" t="str">
            <v>Mạng cấp 3</v>
          </cell>
        </row>
        <row r="126">
          <cell r="B126" t="str">
            <v>PA06 - TT1 Đà Nẵng</v>
          </cell>
          <cell r="D126">
            <v>1805</v>
          </cell>
          <cell r="E126" t="str">
            <v>Mạng cấp 3</v>
          </cell>
        </row>
        <row r="127">
          <cell r="B127" t="str">
            <v>TTCMKV Liên Chiểu - Trạm CSGT Hòa Hiệp</v>
          </cell>
          <cell r="D127">
            <v>9517</v>
          </cell>
          <cell r="E127" t="str">
            <v>Mạng cấp 3</v>
          </cell>
        </row>
        <row r="128">
          <cell r="B128" t="str">
            <v>Trạm CSGT Hòa Hiệp - Trại giam CATP</v>
          </cell>
          <cell r="D128">
            <v>9792</v>
          </cell>
          <cell r="E128" t="str">
            <v>Mạng cấp 3</v>
          </cell>
        </row>
        <row r="129">
          <cell r="B129" t="str">
            <v>Trại giam CATP - PK02</v>
          </cell>
          <cell r="D129">
            <v>6879</v>
          </cell>
          <cell r="E129" t="str">
            <v>Mạng cấp 3</v>
          </cell>
        </row>
        <row r="130">
          <cell r="B130" t="str">
            <v>PK02 - TTCMKV Liên Chiểu</v>
          </cell>
          <cell r="D130">
            <v>5165</v>
          </cell>
          <cell r="E130" t="str">
            <v>Mạng cấp 3</v>
          </cell>
        </row>
        <row r="131">
          <cell r="B131" t="str">
            <v>TT2 Tam Kỳ - PK02</v>
          </cell>
          <cell r="C131" t="str">
            <v>Quảng Nam</v>
          </cell>
          <cell r="D131">
            <v>2457</v>
          </cell>
          <cell r="E131" t="str">
            <v>Mạng cấp 3</v>
          </cell>
        </row>
        <row r="132">
          <cell r="B132" t="str">
            <v>PK02 - PC11</v>
          </cell>
          <cell r="C132" t="str">
            <v>Quảng Nam</v>
          </cell>
          <cell r="D132">
            <v>4521</v>
          </cell>
          <cell r="E132" t="str">
            <v>Mạng cấp 3</v>
          </cell>
        </row>
        <row r="133">
          <cell r="B133" t="str">
            <v>PC11 - TT2 Tam Kỳ</v>
          </cell>
          <cell r="C133" t="str">
            <v>Quảng Nam</v>
          </cell>
          <cell r="D133">
            <v>3833</v>
          </cell>
          <cell r="E133" t="str">
            <v>Mạng cấp 3</v>
          </cell>
        </row>
        <row r="134">
          <cell r="B134" t="str">
            <v>TT2 Tam Kỳ - PC08</v>
          </cell>
          <cell r="C134" t="str">
            <v>Quảng Nam</v>
          </cell>
          <cell r="D134">
            <v>1420</v>
          </cell>
          <cell r="E134" t="str">
            <v>Mạng cấp 3</v>
          </cell>
        </row>
        <row r="135">
          <cell r="B135" t="str">
            <v>PC08 - PC06</v>
          </cell>
          <cell r="C135" t="str">
            <v>Quảng Nam</v>
          </cell>
          <cell r="D135">
            <v>3266</v>
          </cell>
          <cell r="E135" t="str">
            <v>Mạng cấp 3</v>
          </cell>
        </row>
        <row r="136">
          <cell r="B136" t="str">
            <v>PC06 - PC07</v>
          </cell>
          <cell r="C136" t="str">
            <v>Quảng Nam</v>
          </cell>
          <cell r="D136">
            <v>2005</v>
          </cell>
          <cell r="E136" t="str">
            <v>Mạng cấp 3</v>
          </cell>
        </row>
        <row r="137">
          <cell r="B137" t="str">
            <v>PC07 - PA06</v>
          </cell>
          <cell r="C137" t="str">
            <v>Quảng Nam</v>
          </cell>
          <cell r="D137">
            <v>1374</v>
          </cell>
          <cell r="E137" t="str">
            <v>Mạng cấp 3</v>
          </cell>
        </row>
        <row r="138">
          <cell r="B138" t="str">
            <v>PA06 - TT2 Tam Kỳ</v>
          </cell>
          <cell r="C138" t="str">
            <v>Quảng Nam</v>
          </cell>
          <cell r="D138">
            <v>1783</v>
          </cell>
          <cell r="E138" t="str">
            <v>Mạng cấp 3</v>
          </cell>
        </row>
        <row r="139">
          <cell r="B139" t="str">
            <v>Đồn Công an cảng hàng không (Sân bay Đà
Nẵng) - TT1 Đà Nẵng</v>
          </cell>
          <cell r="D139">
            <v>5161</v>
          </cell>
          <cell r="E139" t="str">
            <v>Mạng cấp 3</v>
          </cell>
        </row>
        <row r="140">
          <cell r="B140" t="str">
            <v>Cơ sở cai nghiện (X. Hòa Bắc, Hòa Vang) -
TTCMKV Hòa Vang</v>
          </cell>
          <cell r="D140">
            <v>27486</v>
          </cell>
          <cell r="E140" t="str">
            <v>Mạng cấp 3</v>
          </cell>
        </row>
        <row r="141">
          <cell r="B141" t="str">
            <v>Đội An ninh hàng không (TT. Núi Thành, Núi
Thành) - TTCMKV Núi Thành</v>
          </cell>
          <cell r="D141">
            <v>0</v>
          </cell>
          <cell r="E141" t="str">
            <v>Mạng cấp 3</v>
          </cell>
        </row>
        <row r="142">
          <cell r="B142" t="str">
            <v>Cơ sở cai nghiện (X. Sông Trà, Hiệp Đức) -
TTCMKV Hiệp Đức</v>
          </cell>
          <cell r="D142">
            <v>9800</v>
          </cell>
          <cell r="E142" t="str">
            <v>Mạng cấp 3</v>
          </cell>
        </row>
        <row r="143">
          <cell r="B143" t="str">
            <v>Trạm CSGT Thăng Bình (X. Bình Phục, Thăng
Bình) - TTCMKV Thăng Bình</v>
          </cell>
          <cell r="D143">
            <v>4190</v>
          </cell>
          <cell r="E143" t="str">
            <v>Mạng cấp 3</v>
          </cell>
        </row>
        <row r="144">
          <cell r="B144" t="str">
            <v>Đội CSĐT (X. Duy Nghĩa, Duyên Xuyên) -
TTCMKV Duy Xuyên</v>
          </cell>
          <cell r="D144">
            <v>21126</v>
          </cell>
          <cell r="E144" t="str">
            <v>Mạng cấp 3</v>
          </cell>
        </row>
        <row r="145">
          <cell r="B145" t="str">
            <v>TT1 Quảng Ngãi - Sơn Hà</v>
          </cell>
          <cell r="C145" t="str">
            <v>Quảng Ngãi</v>
          </cell>
          <cell r="D145">
            <v>48545</v>
          </cell>
          <cell r="E145" t="str">
            <v>Mạng cấp 3</v>
          </cell>
        </row>
        <row r="146">
          <cell r="B146" t="str">
            <v>Sơn Hà - Sơn Tây</v>
          </cell>
          <cell r="C146" t="str">
            <v>Quảng Ngãi</v>
          </cell>
          <cell r="D146">
            <v>21209</v>
          </cell>
          <cell r="E146" t="str">
            <v>Mạng cấp 3</v>
          </cell>
        </row>
        <row r="147">
          <cell r="B147" t="str">
            <v>Sơn Tây - Trà Bồng</v>
          </cell>
          <cell r="C147" t="str">
            <v>Quảng Ngãi</v>
          </cell>
          <cell r="D147">
            <v>68170</v>
          </cell>
          <cell r="E147" t="str">
            <v>Mạng cấp 3</v>
          </cell>
        </row>
        <row r="148">
          <cell r="B148" t="str">
            <v>Trà Bồng - Bình Sơn</v>
          </cell>
          <cell r="C148" t="str">
            <v>Quảng Ngãi</v>
          </cell>
          <cell r="D148">
            <v>30912</v>
          </cell>
          <cell r="E148" t="str">
            <v>Mạng cấp 3</v>
          </cell>
        </row>
        <row r="149">
          <cell r="B149" t="str">
            <v>Bình Sơn - TT1 Quảng Ngãi</v>
          </cell>
          <cell r="C149" t="str">
            <v>Quảng Ngãi</v>
          </cell>
          <cell r="D149">
            <v>25261</v>
          </cell>
          <cell r="E149" t="str">
            <v>Mạng cấp 3</v>
          </cell>
        </row>
        <row r="150">
          <cell r="B150" t="str">
            <v>TT1 Quảng Ngãi - Minh Long</v>
          </cell>
          <cell r="C150" t="str">
            <v>Quảng Ngãi</v>
          </cell>
          <cell r="D150">
            <v>45045</v>
          </cell>
          <cell r="E150" t="str">
            <v>Mạng cấp 3</v>
          </cell>
        </row>
        <row r="151">
          <cell r="B151" t="str">
            <v>Minh Long - Ba Tơ</v>
          </cell>
          <cell r="C151" t="str">
            <v>Quảng Ngãi</v>
          </cell>
          <cell r="D151">
            <v>33173</v>
          </cell>
          <cell r="E151" t="str">
            <v>Mạng cấp 3</v>
          </cell>
        </row>
        <row r="152">
          <cell r="B152" t="str">
            <v>Ba Tơ - Đức Phổ</v>
          </cell>
          <cell r="C152" t="str">
            <v>Quảng Ngãi</v>
          </cell>
          <cell r="D152">
            <v>37998</v>
          </cell>
          <cell r="E152" t="str">
            <v>Mạng cấp 3</v>
          </cell>
        </row>
        <row r="153">
          <cell r="B153" t="str">
            <v>Đức Phổ - TT1 Quảng Ngãi (mới)</v>
          </cell>
          <cell r="C153" t="str">
            <v>Quảng Ngãi</v>
          </cell>
          <cell r="D153">
            <v>45055</v>
          </cell>
          <cell r="E153" t="str">
            <v>Mạng cấp 3</v>
          </cell>
        </row>
        <row r="154">
          <cell r="B154" t="str">
            <v>TT Quảng Ngãi (mới) - TT1 Quảng Ngãi</v>
          </cell>
          <cell r="C154" t="str">
            <v>Quảng Ngãi</v>
          </cell>
          <cell r="D154">
            <v>5152</v>
          </cell>
          <cell r="E154" t="str">
            <v>Mạng cấp 3</v>
          </cell>
        </row>
        <row r="155">
          <cell r="B155" t="str">
            <v>TT2 Kon Tum - Đăk Hà</v>
          </cell>
          <cell r="D155">
            <v>19853</v>
          </cell>
          <cell r="E155" t="str">
            <v>Mạng cấp 3</v>
          </cell>
        </row>
        <row r="156">
          <cell r="B156" t="str">
            <v>Đăk Hà - Ngọc Hồi</v>
          </cell>
          <cell r="D156">
            <v>46738.3</v>
          </cell>
          <cell r="E156" t="str">
            <v>Mạng cấp 3</v>
          </cell>
        </row>
        <row r="157">
          <cell r="B157" t="str">
            <v>Ngọc Hồi - Sa Thầy</v>
          </cell>
          <cell r="D157">
            <v>51208.1</v>
          </cell>
          <cell r="E157" t="str">
            <v>Mạng cấp 3</v>
          </cell>
        </row>
        <row r="158">
          <cell r="B158" t="str">
            <v>Sa Thầy - TT2 Kon Tum</v>
          </cell>
          <cell r="D158">
            <v>30358.799999999999</v>
          </cell>
          <cell r="E158" t="str">
            <v>Mạng cấp 3</v>
          </cell>
        </row>
        <row r="159">
          <cell r="B159" t="str">
            <v>TT2 Kon Tum - Kon Rẫy</v>
          </cell>
          <cell r="D159">
            <v>29132.3</v>
          </cell>
          <cell r="E159" t="str">
            <v>Mạng cấp 3</v>
          </cell>
        </row>
        <row r="160">
          <cell r="B160" t="str">
            <v>Kon Rẫy - CAX Đăk Kôi (Kon Rẫy)</v>
          </cell>
          <cell r="D160">
            <v>7951</v>
          </cell>
          <cell r="E160" t="str">
            <v>Mạng cấp 3</v>
          </cell>
        </row>
        <row r="161">
          <cell r="B161" t="str">
            <v>CAX Đăk Kôi (Kon Rẫy) - Tu Mơ Rông</v>
          </cell>
          <cell r="D161">
            <v>96768</v>
          </cell>
          <cell r="E161" t="str">
            <v>Mạng cấp 3</v>
          </cell>
        </row>
        <row r="162">
          <cell r="B162" t="str">
            <v>Tu Mơ Rông - Đăk Tô</v>
          </cell>
          <cell r="D162">
            <v>30961</v>
          </cell>
          <cell r="E162" t="str">
            <v>Mạng cấp 3</v>
          </cell>
        </row>
        <row r="163">
          <cell r="B163" t="str">
            <v>Đăk Tô - TT2 Kon Tum</v>
          </cell>
          <cell r="D163">
            <v>43960.2</v>
          </cell>
          <cell r="E163" t="str">
            <v>Mạng cấp 3</v>
          </cell>
        </row>
        <row r="164">
          <cell r="B164" t="str">
            <v>TT1 Quảng Ngãi - PC07</v>
          </cell>
          <cell r="C164" t="str">
            <v>Quảng Ngãi</v>
          </cell>
          <cell r="D164">
            <v>1958</v>
          </cell>
          <cell r="E164" t="str">
            <v>Mạng cấp 3</v>
          </cell>
        </row>
        <row r="165">
          <cell r="B165" t="str">
            <v>PC07 - Sơn Tịnh</v>
          </cell>
          <cell r="C165" t="str">
            <v>Quảng Ngãi</v>
          </cell>
          <cell r="D165">
            <v>9134</v>
          </cell>
          <cell r="E165" t="str">
            <v>Mạng cấp 3</v>
          </cell>
        </row>
        <row r="166">
          <cell r="B166" t="str">
            <v>TT1 Quảng Ngãi - PC01</v>
          </cell>
          <cell r="C166" t="str">
            <v>Quảng Ngãi</v>
          </cell>
          <cell r="D166">
            <v>0</v>
          </cell>
          <cell r="E166" t="str">
            <v>Mạng cấp 3</v>
          </cell>
        </row>
        <row r="167">
          <cell r="B167" t="str">
            <v>PC01 - CS113</v>
          </cell>
          <cell r="C167" t="str">
            <v>Quảng Ngãi</v>
          </cell>
          <cell r="D167">
            <v>1741</v>
          </cell>
          <cell r="E167" t="str">
            <v>Mạng cấp 3</v>
          </cell>
        </row>
        <row r="168">
          <cell r="B168" t="str">
            <v>CS113 - PK02</v>
          </cell>
          <cell r="C168" t="str">
            <v>Quảng Ngãi</v>
          </cell>
          <cell r="D168">
            <v>1874</v>
          </cell>
          <cell r="E168" t="str">
            <v>Mạng cấp 3</v>
          </cell>
        </row>
        <row r="169">
          <cell r="B169" t="str">
            <v>PK02 - Trung tâm HLBD NV_PX01</v>
          </cell>
          <cell r="C169" t="str">
            <v>Quảng Ngãi</v>
          </cell>
          <cell r="D169">
            <v>136</v>
          </cell>
          <cell r="E169" t="str">
            <v>Mạng cấp 3</v>
          </cell>
        </row>
        <row r="170">
          <cell r="B170" t="str">
            <v>Trung tâm HLBD NV_PX01 - Khối Cảnh sát</v>
          </cell>
          <cell r="C170" t="str">
            <v>Quảng Ngãi</v>
          </cell>
          <cell r="D170">
            <v>3155</v>
          </cell>
          <cell r="E170" t="str">
            <v>Mạng cấp 3</v>
          </cell>
        </row>
        <row r="171">
          <cell r="B171" t="str">
            <v>Khối Cảnh sát - Khối Phòng CAT KV P.NL</v>
          </cell>
          <cell r="C171" t="str">
            <v>Quảng Ngãi</v>
          </cell>
          <cell r="D171">
            <v>1545</v>
          </cell>
          <cell r="E171" t="str">
            <v>Mạng cấp 3</v>
          </cell>
        </row>
        <row r="172">
          <cell r="B172" t="str">
            <v>Khối Phòng CAT KV P.NL
 - K02 (D3/E23)</v>
          </cell>
          <cell r="C172" t="str">
            <v>Quảng Ngãi</v>
          </cell>
          <cell r="D172">
            <v>31647</v>
          </cell>
          <cell r="E172" t="str">
            <v>Mạng cấp 3</v>
          </cell>
        </row>
        <row r="173">
          <cell r="B173" t="str">
            <v>K02 (D3/E23) - Đội CSGT Đường Thuỷ, PC08</v>
          </cell>
          <cell r="C173" t="str">
            <v>Quảng Ngãi</v>
          </cell>
          <cell r="D173">
            <v>23372</v>
          </cell>
          <cell r="E173" t="str">
            <v>Mạng cấp 3</v>
          </cell>
        </row>
        <row r="174">
          <cell r="B174" t="str">
            <v xml:space="preserve"> Đội CSGT Đường Thuỷ, PC08 - PC08</v>
          </cell>
          <cell r="C174" t="str">
            <v>Quảng Ngãi</v>
          </cell>
          <cell r="D174">
            <v>27579</v>
          </cell>
          <cell r="E174" t="str">
            <v>Mạng cấp 3</v>
          </cell>
        </row>
        <row r="175">
          <cell r="B175" t="str">
            <v>PC08 - Khối Phòng PA08, PA05</v>
          </cell>
          <cell r="C175" t="str">
            <v>Quảng Ngãi</v>
          </cell>
          <cell r="D175">
            <v>2875</v>
          </cell>
          <cell r="E175" t="str">
            <v>Mạng cấp 3</v>
          </cell>
        </row>
        <row r="176">
          <cell r="B176" t="str">
            <v>Khối Phòng PA08, PA05 - TT1 Quảng Ngãi</v>
          </cell>
          <cell r="C176" t="str">
            <v>Quảng Ngãi</v>
          </cell>
          <cell r="D176">
            <v>1769</v>
          </cell>
          <cell r="E176" t="str">
            <v>Mạng cấp 3</v>
          </cell>
        </row>
        <row r="177">
          <cell r="B177" t="str">
            <v>PA03 - PC03</v>
          </cell>
          <cell r="C177" t="str">
            <v>Quảng Ngãi</v>
          </cell>
          <cell r="D177">
            <v>2760</v>
          </cell>
          <cell r="E177" t="str">
            <v>Mạng cấp 3</v>
          </cell>
        </row>
        <row r="178">
          <cell r="B178" t="str">
            <v>PC03 - PC10</v>
          </cell>
          <cell r="C178" t="str">
            <v>Quảng Ngãi</v>
          </cell>
          <cell r="D178">
            <v>4218</v>
          </cell>
          <cell r="E178" t="str">
            <v>Mạng cấp 3</v>
          </cell>
        </row>
        <row r="179">
          <cell r="B179" t="str">
            <v>PC10 - PA06</v>
          </cell>
          <cell r="C179" t="str">
            <v>Quảng Ngãi</v>
          </cell>
          <cell r="D179">
            <v>7072</v>
          </cell>
          <cell r="E179" t="str">
            <v>Mạng cấp 3</v>
          </cell>
        </row>
        <row r="180">
          <cell r="B180" t="str">
            <v>PA06 - Công an tỉnh</v>
          </cell>
          <cell r="C180" t="str">
            <v>Quảng Ngãi</v>
          </cell>
          <cell r="D180">
            <v>2169</v>
          </cell>
          <cell r="E180" t="str">
            <v>Mạng cấp 3</v>
          </cell>
        </row>
        <row r="181">
          <cell r="B181" t="str">
            <v>Công an tỉnh - PC11 (X. Nghĩa Kỳ, H. Tư Nghĩa)</v>
          </cell>
          <cell r="C181" t="str">
            <v>Quảng Ngãi</v>
          </cell>
          <cell r="D181">
            <v>6733</v>
          </cell>
          <cell r="E181" t="str">
            <v>Mạng cấp 3</v>
          </cell>
        </row>
        <row r="182">
          <cell r="B182" t="str">
            <v>PC11 (X. Nghĩa Kỳ, H. Tư Nghĩa) - Cơ sở cai nghiện (X. Nghĩa Kỳ, H. Tư Nghĩa)</v>
          </cell>
          <cell r="C182" t="str">
            <v>Quảng Ngãi</v>
          </cell>
          <cell r="D182">
            <v>967</v>
          </cell>
          <cell r="E182" t="str">
            <v>Mạng cấp 3</v>
          </cell>
        </row>
        <row r="183">
          <cell r="B183" t="str">
            <v>Cơ sở cai nghiện (X. Nghĩa Kỳ, H. Tư Nghĩa) - TTCMKV Tư Nghĩa</v>
          </cell>
          <cell r="C183" t="str">
            <v>Quảng Ngãi</v>
          </cell>
          <cell r="D183">
            <v>12400</v>
          </cell>
          <cell r="E183" t="str">
            <v>Mạng cấp 3</v>
          </cell>
        </row>
        <row r="184">
          <cell r="B184" t="str">
            <v>TT2 Kon Tum - PC06</v>
          </cell>
          <cell r="D184">
            <v>419.4</v>
          </cell>
          <cell r="E184" t="str">
            <v>Mạng cấp 3</v>
          </cell>
        </row>
        <row r="185">
          <cell r="B185" t="str">
            <v>PC06 - PA06</v>
          </cell>
          <cell r="D185">
            <v>1631</v>
          </cell>
          <cell r="E185" t="str">
            <v>Mạng cấp 3</v>
          </cell>
        </row>
        <row r="186">
          <cell r="B186" t="str">
            <v>PA06 - PC07</v>
          </cell>
          <cell r="D186">
            <v>1262</v>
          </cell>
          <cell r="E186" t="str">
            <v>Mạng cấp 3</v>
          </cell>
        </row>
        <row r="187">
          <cell r="B187" t="str">
            <v>PC07 - Khối CS (PC01, PC02, PC03, PC04)</v>
          </cell>
          <cell r="D187">
            <v>2659</v>
          </cell>
          <cell r="E187" t="str">
            <v>Mạng cấp 3</v>
          </cell>
        </row>
        <row r="188">
          <cell r="B188" t="str">
            <v>Khối CS (PC01, PC02, PC03, PC04) - PC08</v>
          </cell>
          <cell r="D188">
            <v>8302</v>
          </cell>
          <cell r="E188" t="str">
            <v>Mạng cấp 3</v>
          </cell>
        </row>
        <row r="189">
          <cell r="B189" t="str">
            <v>PC08 - TT2 Kon Tum</v>
          </cell>
          <cell r="D189">
            <v>3161.5</v>
          </cell>
          <cell r="E189" t="str">
            <v>Mạng cấp 3</v>
          </cell>
        </row>
        <row r="190">
          <cell r="B190" t="str">
            <v>TT2 Kon Tum - PC11</v>
          </cell>
          <cell r="D190">
            <v>24687</v>
          </cell>
          <cell r="E190" t="str">
            <v>Mạng cấp 3</v>
          </cell>
        </row>
        <row r="191">
          <cell r="B191" t="str">
            <v>PC11 - PC08</v>
          </cell>
          <cell r="D191">
            <v>26952</v>
          </cell>
          <cell r="E191" t="str">
            <v>Mạng cấp 3</v>
          </cell>
        </row>
        <row r="192">
          <cell r="B192" t="str">
            <v>TT2 Kon Tum - PK02/PX03</v>
          </cell>
          <cell r="D192">
            <v>4316</v>
          </cell>
          <cell r="E192" t="str">
            <v>Mạng cấp 3</v>
          </cell>
        </row>
        <row r="193">
          <cell r="B193" t="str">
            <v>PK02/PX03 - PA05/PC10/PX05/PX06</v>
          </cell>
          <cell r="D193">
            <v>5757</v>
          </cell>
          <cell r="E193" t="str">
            <v>Mạng cấp 3</v>
          </cell>
        </row>
        <row r="194">
          <cell r="B194" t="str">
            <v>PA05/PC10/PX05/PX06 - TT2 Kon Tum</v>
          </cell>
          <cell r="D194">
            <v>640</v>
          </cell>
          <cell r="E194" t="str">
            <v>Mạng cấp 3</v>
          </cell>
        </row>
        <row r="195">
          <cell r="B195" t="str">
            <v>PC09 - PH10</v>
          </cell>
          <cell r="D195">
            <v>3108.1000000000004</v>
          </cell>
          <cell r="E195" t="str">
            <v>Mạng cấp 3</v>
          </cell>
        </row>
        <row r="196">
          <cell r="B196" t="str">
            <v>PH10 - TT2 Kon Tum</v>
          </cell>
          <cell r="D196">
            <v>413.6</v>
          </cell>
          <cell r="E196" t="str">
            <v>Mạng cấp 3</v>
          </cell>
        </row>
        <row r="197">
          <cell r="B197" t="str">
            <v>TT1 Gia Lai - Cát Tiến</v>
          </cell>
          <cell r="C197" t="str">
            <v>BD</v>
          </cell>
          <cell r="D197">
            <v>27838</v>
          </cell>
          <cell r="E197" t="str">
            <v>Mạng cấp 3</v>
          </cell>
        </row>
        <row r="198">
          <cell r="B198" t="str">
            <v>Cát Tiến - Phù Mỹ</v>
          </cell>
          <cell r="C198" t="str">
            <v>BD</v>
          </cell>
          <cell r="D198">
            <v>43217</v>
          </cell>
          <cell r="E198" t="str">
            <v>Mạng cấp 3</v>
          </cell>
        </row>
        <row r="199">
          <cell r="B199" t="str">
            <v>Phù Mỹ - Hoài Ân</v>
          </cell>
          <cell r="C199" t="str">
            <v>BD</v>
          </cell>
          <cell r="D199">
            <v>29769</v>
          </cell>
          <cell r="E199" t="str">
            <v>Mạng cấp 3</v>
          </cell>
        </row>
        <row r="200">
          <cell r="B200" t="str">
            <v>Hoài Ân - Vĩnh Kim</v>
          </cell>
          <cell r="C200" t="str">
            <v>BD</v>
          </cell>
          <cell r="D200">
            <v>141150.79999999999</v>
          </cell>
          <cell r="E200" t="str">
            <v>Mạng cấp 3</v>
          </cell>
        </row>
        <row r="201">
          <cell r="B201" t="str">
            <v>Vĩnh Kim - Vĩnh Thạnh</v>
          </cell>
          <cell r="C201" t="str">
            <v>BD</v>
          </cell>
          <cell r="D201">
            <v>35268</v>
          </cell>
          <cell r="E201" t="str">
            <v>Mạng cấp 3</v>
          </cell>
        </row>
        <row r="202">
          <cell r="B202" t="str">
            <v>Vĩnh Thạnh - Tây Sơn</v>
          </cell>
          <cell r="C202" t="str">
            <v>BD</v>
          </cell>
          <cell r="D202">
            <v>31261</v>
          </cell>
          <cell r="E202" t="str">
            <v>Mạng cấp 3</v>
          </cell>
        </row>
        <row r="203">
          <cell r="B203" t="str">
            <v>Tây Sơn - An Nhơn</v>
          </cell>
          <cell r="C203" t="str">
            <v>BD</v>
          </cell>
          <cell r="D203">
            <v>26616</v>
          </cell>
          <cell r="E203" t="str">
            <v>Mạng cấp 3</v>
          </cell>
        </row>
        <row r="204">
          <cell r="B204" t="str">
            <v>An Nhơn - TT1 Gia Lai</v>
          </cell>
          <cell r="C204" t="str">
            <v>BD</v>
          </cell>
          <cell r="D204">
            <v>23350</v>
          </cell>
          <cell r="E204" t="str">
            <v>Mạng cấp 3</v>
          </cell>
        </row>
        <row r="205">
          <cell r="B205" t="str">
            <v>TT1 Gia Lai - Vân Canh</v>
          </cell>
          <cell r="C205" t="str">
            <v>BD</v>
          </cell>
          <cell r="D205">
            <v>42208</v>
          </cell>
          <cell r="E205" t="str">
            <v>Mạng cấp 3</v>
          </cell>
        </row>
        <row r="206">
          <cell r="B206" t="str">
            <v>Vân Canh - TT1 Gia Lai</v>
          </cell>
          <cell r="C206" t="str">
            <v>BD</v>
          </cell>
          <cell r="D206">
            <v>44535</v>
          </cell>
          <cell r="E206" t="str">
            <v>Mạng cấp 3</v>
          </cell>
        </row>
        <row r="207">
          <cell r="B207" t="str">
            <v>TT2 Gia Lai - Ia Grai</v>
          </cell>
          <cell r="C207" t="str">
            <v>GL</v>
          </cell>
          <cell r="D207">
            <v>17992</v>
          </cell>
          <cell r="E207" t="str">
            <v>Mạng cấp 3</v>
          </cell>
        </row>
        <row r="208">
          <cell r="B208" t="str">
            <v>IA Grai - Đức Cơ</v>
          </cell>
          <cell r="C208" t="str">
            <v>GL</v>
          </cell>
          <cell r="D208">
            <v>39220</v>
          </cell>
          <cell r="E208" t="str">
            <v>Mạng cấp 3</v>
          </cell>
        </row>
        <row r="209">
          <cell r="B209" t="str">
            <v>Đức Cơ - Chư Prông</v>
          </cell>
          <cell r="C209" t="str">
            <v>GL</v>
          </cell>
          <cell r="D209">
            <v>40370</v>
          </cell>
          <cell r="E209" t="str">
            <v>Mạng cấp 3</v>
          </cell>
        </row>
        <row r="210">
          <cell r="B210" t="str">
            <v>Chư Prông - Chư Pưh</v>
          </cell>
          <cell r="C210" t="str">
            <v>GL</v>
          </cell>
          <cell r="D210">
            <v>55252</v>
          </cell>
          <cell r="E210" t="str">
            <v>Mạng cấp 3</v>
          </cell>
        </row>
        <row r="211">
          <cell r="B211" t="str">
            <v>Chư Pưh - Hàm Rồng</v>
          </cell>
          <cell r="C211" t="str">
            <v>GL</v>
          </cell>
          <cell r="D211">
            <v>45350</v>
          </cell>
          <cell r="E211" t="str">
            <v>Mạng cấp 3</v>
          </cell>
        </row>
        <row r="212">
          <cell r="B212" t="str">
            <v>Hàm Rồng - TT2 Gia Lai</v>
          </cell>
          <cell r="C212" t="str">
            <v>GL</v>
          </cell>
          <cell r="D212">
            <v>13475</v>
          </cell>
          <cell r="E212" t="str">
            <v>Mạng cấp 3</v>
          </cell>
        </row>
        <row r="213">
          <cell r="B213" t="str">
            <v>TT2 Gia Lai - Chư Sê</v>
          </cell>
          <cell r="C213" t="str">
            <v>GL</v>
          </cell>
          <cell r="D213">
            <v>41852</v>
          </cell>
          <cell r="E213" t="str">
            <v>Mạng cấp 3</v>
          </cell>
        </row>
        <row r="214">
          <cell r="B214" t="str">
            <v>Chư Sê - Phú Thiện</v>
          </cell>
          <cell r="C214" t="str">
            <v>GL</v>
          </cell>
          <cell r="D214">
            <v>35973</v>
          </cell>
          <cell r="E214" t="str">
            <v>Mạng cấp 3</v>
          </cell>
        </row>
        <row r="215">
          <cell r="B215" t="str">
            <v>Phú Thiện - IA Pa</v>
          </cell>
          <cell r="C215" t="str">
            <v>GL</v>
          </cell>
          <cell r="D215">
            <v>30164</v>
          </cell>
          <cell r="E215" t="str">
            <v>Mạng cấp 3</v>
          </cell>
        </row>
        <row r="216">
          <cell r="B216" t="str">
            <v>Ia Pa - Kông Chro</v>
          </cell>
          <cell r="C216" t="str">
            <v>GL</v>
          </cell>
          <cell r="D216">
            <v>46091</v>
          </cell>
          <cell r="E216" t="str">
            <v>Mạng cấp 3</v>
          </cell>
        </row>
        <row r="217">
          <cell r="B217" t="str">
            <v>Kông Chro - An Khê</v>
          </cell>
          <cell r="C217" t="str">
            <v>GL</v>
          </cell>
          <cell r="D217">
            <v>29540</v>
          </cell>
          <cell r="E217" t="str">
            <v>Mạng cấp 3</v>
          </cell>
        </row>
        <row r="218">
          <cell r="B218" t="str">
            <v>An Khê - Đak Pơ</v>
          </cell>
          <cell r="C218" t="str">
            <v>GL</v>
          </cell>
          <cell r="D218">
            <v>13001</v>
          </cell>
          <cell r="E218" t="str">
            <v>Mạng cấp 3</v>
          </cell>
        </row>
        <row r="219">
          <cell r="B219" t="str">
            <v>Đak Pơ - Mang Yang</v>
          </cell>
          <cell r="C219" t="str">
            <v>GL</v>
          </cell>
          <cell r="D219">
            <v>40793</v>
          </cell>
          <cell r="E219" t="str">
            <v>Mạng cấp 3</v>
          </cell>
        </row>
        <row r="220">
          <cell r="B220" t="str">
            <v>Mang Yang - TT2 Gia Lai</v>
          </cell>
          <cell r="C220" t="str">
            <v>GL</v>
          </cell>
          <cell r="D220">
            <v>33812</v>
          </cell>
          <cell r="E220" t="str">
            <v>Mạng cấp 3</v>
          </cell>
        </row>
        <row r="221">
          <cell r="B221" t="str">
            <v>TT1 Gia Lai - PX05</v>
          </cell>
          <cell r="C221" t="str">
            <v>BD</v>
          </cell>
          <cell r="D221">
            <v>1012</v>
          </cell>
          <cell r="E221" t="str">
            <v>Mạng cấp 3</v>
          </cell>
        </row>
        <row r="222">
          <cell r="B222" t="str">
            <v>PX05 - Khối CQ CSĐT</v>
          </cell>
          <cell r="C222" t="str">
            <v>BD</v>
          </cell>
          <cell r="D222">
            <v>3700</v>
          </cell>
          <cell r="E222" t="str">
            <v>Mạng cấp 3</v>
          </cell>
        </row>
        <row r="223">
          <cell r="B223" t="str">
            <v>Khối CQ CSĐT - PA07 cũ</v>
          </cell>
          <cell r="C223" t="str">
            <v>BD</v>
          </cell>
          <cell r="D223">
            <v>4080</v>
          </cell>
          <cell r="E223" t="str">
            <v>Mạng cấp 3</v>
          </cell>
        </row>
        <row r="224">
          <cell r="B224" t="str">
            <v>PA07 cũ - PC06</v>
          </cell>
          <cell r="C224" t="str">
            <v>BD</v>
          </cell>
          <cell r="D224">
            <v>1090</v>
          </cell>
          <cell r="E224" t="str">
            <v>Mạng cấp 3</v>
          </cell>
        </row>
        <row r="225">
          <cell r="B225" t="str">
            <v>PC06 - TT1 Gia Lai</v>
          </cell>
          <cell r="C225" t="str">
            <v>BD</v>
          </cell>
          <cell r="D225">
            <v>480</v>
          </cell>
          <cell r="E225" t="str">
            <v>Mạng cấp 3</v>
          </cell>
        </row>
        <row r="226">
          <cell r="B226" t="str">
            <v>TT1 Gia Lai - PC07</v>
          </cell>
          <cell r="C226" t="str">
            <v>BD</v>
          </cell>
          <cell r="D226">
            <v>505</v>
          </cell>
          <cell r="E226" t="str">
            <v>Mạng cấp 3</v>
          </cell>
        </row>
        <row r="227">
          <cell r="B227" t="str">
            <v>PC07 - PK02</v>
          </cell>
          <cell r="C227" t="str">
            <v>BD</v>
          </cell>
          <cell r="D227">
            <v>780</v>
          </cell>
          <cell r="E227" t="str">
            <v>Mạng cấp 3</v>
          </cell>
        </row>
        <row r="228">
          <cell r="B228" t="str">
            <v>PK02 - PC08</v>
          </cell>
          <cell r="C228" t="str">
            <v>BD</v>
          </cell>
          <cell r="D228">
            <v>11440</v>
          </cell>
          <cell r="E228" t="str">
            <v>Mạng cấp 3</v>
          </cell>
        </row>
        <row r="229">
          <cell r="B229" t="str">
            <v>PC08 - PC11B</v>
          </cell>
          <cell r="C229" t="str">
            <v>BD</v>
          </cell>
          <cell r="D229">
            <v>8300</v>
          </cell>
          <cell r="E229" t="str">
            <v>Mạng cấp 3</v>
          </cell>
        </row>
        <row r="230">
          <cell r="B230" t="str">
            <v>PC11B - K02 (E23)</v>
          </cell>
          <cell r="C230" t="str">
            <v>BD</v>
          </cell>
          <cell r="D230">
            <v>800</v>
          </cell>
          <cell r="E230" t="str">
            <v>Mạng cấp 3</v>
          </cell>
        </row>
        <row r="231">
          <cell r="B231" t="str">
            <v>K02 (E23) - TT1 Gia Lai</v>
          </cell>
          <cell r="C231" t="str">
            <v>BD</v>
          </cell>
          <cell r="D231">
            <v>17200</v>
          </cell>
          <cell r="E231" t="str">
            <v>Mạng cấp 3</v>
          </cell>
        </row>
        <row r="232">
          <cell r="B232" t="str">
            <v>Mang Yang - Trại Giam Gia Trung</v>
          </cell>
          <cell r="C232" t="str">
            <v>GL</v>
          </cell>
          <cell r="D232">
            <v>13539</v>
          </cell>
          <cell r="E232" t="str">
            <v>Mạng cấp 3</v>
          </cell>
        </row>
        <row r="233">
          <cell r="B233" t="str">
            <v>Trại Giam Gia Trung - Đak Pơ</v>
          </cell>
          <cell r="C233" t="str">
            <v>GL</v>
          </cell>
          <cell r="D233">
            <v>32045</v>
          </cell>
          <cell r="E233" t="str">
            <v>Mạng cấp 3</v>
          </cell>
        </row>
        <row r="234">
          <cell r="B234" t="str">
            <v>TT2 Gia Lai - K02 (D1/E20)</v>
          </cell>
          <cell r="C234" t="str">
            <v>GL</v>
          </cell>
          <cell r="D234">
            <v>6635</v>
          </cell>
          <cell r="E234" t="str">
            <v>Mạng cấp 3</v>
          </cell>
        </row>
        <row r="235">
          <cell r="B235" t="str">
            <v>K02 (D1/E20) - PC11A</v>
          </cell>
          <cell r="C235" t="str">
            <v>GL</v>
          </cell>
          <cell r="D235">
            <v>2516</v>
          </cell>
          <cell r="E235" t="str">
            <v>Mạng cấp 3</v>
          </cell>
        </row>
        <row r="236">
          <cell r="B236" t="str">
            <v>PC11A - Chư Sê</v>
          </cell>
          <cell r="C236" t="str">
            <v>GL</v>
          </cell>
          <cell r="D236">
            <v>35700.699999999997</v>
          </cell>
          <cell r="E236" t="str">
            <v>Mạng cấp 3</v>
          </cell>
        </row>
        <row r="237">
          <cell r="B237" t="str">
            <v>Cảng hàng không Phù Cát - TTCM An Nhơn</v>
          </cell>
          <cell r="C237" t="str">
            <v>BD</v>
          </cell>
          <cell r="D237">
            <v>12302</v>
          </cell>
          <cell r="E237" t="str">
            <v>Mạng cấp 3</v>
          </cell>
        </row>
        <row r="238">
          <cell r="B238" t="str">
            <v>Cơ sở cai nghiện ma tuý (PC04) - TT1 Gia Lai (Quy nhơn)</v>
          </cell>
          <cell r="C238" t="str">
            <v>BD</v>
          </cell>
          <cell r="D238">
            <v>16900</v>
          </cell>
          <cell r="E238" t="str">
            <v>Mạng cấp 3</v>
          </cell>
        </row>
        <row r="239">
          <cell r="B239" t="str">
            <v>TT1 Đăk Lăk - Cư M'ga</v>
          </cell>
          <cell r="C239" t="str">
            <v>Đắk Lắk</v>
          </cell>
          <cell r="D239">
            <v>18735</v>
          </cell>
          <cell r="E239" t="str">
            <v>Mạng cấp 3</v>
          </cell>
        </row>
        <row r="240">
          <cell r="B240" t="str">
            <v>Cư M'ga - Buôn Hồ</v>
          </cell>
          <cell r="C240" t="str">
            <v>Đắk Lắk</v>
          </cell>
          <cell r="D240">
            <v>38145</v>
          </cell>
          <cell r="E240" t="str">
            <v>Mạng cấp 3</v>
          </cell>
        </row>
        <row r="241">
          <cell r="B241" t="str">
            <v>Buôn Hồ - Ea H'Leo</v>
          </cell>
          <cell r="C241" t="str">
            <v>Đắk Lắk</v>
          </cell>
          <cell r="D241">
            <v>36590</v>
          </cell>
          <cell r="E241" t="str">
            <v>Mạng cấp 3</v>
          </cell>
        </row>
        <row r="242">
          <cell r="B242" t="str">
            <v>Ea H'Leo - Ea Súp</v>
          </cell>
          <cell r="C242" t="str">
            <v>Đắk Lắk</v>
          </cell>
          <cell r="D242">
            <v>51572</v>
          </cell>
          <cell r="E242" t="str">
            <v>Mạng cấp 3</v>
          </cell>
        </row>
        <row r="243">
          <cell r="B243" t="str">
            <v>Ea Súp - Buôn Đôn</v>
          </cell>
          <cell r="C243" t="str">
            <v>Đắk Lắk</v>
          </cell>
          <cell r="D243">
            <v>42662</v>
          </cell>
          <cell r="E243" t="str">
            <v>Mạng cấp 3</v>
          </cell>
        </row>
        <row r="244">
          <cell r="B244" t="str">
            <v>Buôn Đôn - TT1 Đăk Lăk</v>
          </cell>
          <cell r="C244" t="str">
            <v>Đắk Lắk</v>
          </cell>
          <cell r="D244">
            <v>26578</v>
          </cell>
          <cell r="E244" t="str">
            <v>Mạng cấp 3</v>
          </cell>
        </row>
        <row r="245">
          <cell r="B245" t="str">
            <v>TT1 Đăk Lăk - KRông Păk</v>
          </cell>
          <cell r="C245" t="str">
            <v>Đắk Lắk</v>
          </cell>
          <cell r="D245">
            <v>29188</v>
          </cell>
          <cell r="E245" t="str">
            <v>Mạng cấp 3</v>
          </cell>
        </row>
        <row r="246">
          <cell r="B246" t="str">
            <v>KRông Păk - Trại giam Đăk Tân (C10)</v>
          </cell>
          <cell r="C246" t="str">
            <v>Đắk Lắk</v>
          </cell>
          <cell r="D246">
            <v>53560</v>
          </cell>
          <cell r="E246" t="str">
            <v>Mạng cấp 3</v>
          </cell>
        </row>
        <row r="247">
          <cell r="B247" t="str">
            <v>Trại giam Đăk Tân (C10) - M' Đrăk</v>
          </cell>
          <cell r="C247" t="str">
            <v>Đắk Lắk</v>
          </cell>
          <cell r="D247">
            <v>29430</v>
          </cell>
          <cell r="E247" t="str">
            <v>Mạng cấp 3</v>
          </cell>
        </row>
        <row r="248">
          <cell r="B248" t="str">
            <v>M' Đrăk - Ea Kar</v>
          </cell>
          <cell r="C248" t="str">
            <v>Đắk Lắk</v>
          </cell>
          <cell r="D248">
            <v>31217</v>
          </cell>
          <cell r="E248" t="str">
            <v>Mạng cấp 3</v>
          </cell>
        </row>
        <row r="249">
          <cell r="B249" t="str">
            <v>Ea Kar - KRông Năng</v>
          </cell>
          <cell r="C249" t="str">
            <v>Đắk Lắk</v>
          </cell>
          <cell r="D249">
            <v>28914</v>
          </cell>
          <cell r="E249" t="str">
            <v>Mạng cấp 3</v>
          </cell>
        </row>
        <row r="250">
          <cell r="B250" t="str">
            <v>KRông Năng - TT1 Đăk Lăk</v>
          </cell>
          <cell r="C250" t="str">
            <v>Đắk Lắk</v>
          </cell>
          <cell r="D250">
            <v>51618</v>
          </cell>
          <cell r="E250" t="str">
            <v>Mạng cấp 3</v>
          </cell>
        </row>
        <row r="251">
          <cell r="B251" t="str">
            <v>TT1 Đăk Lăk - KRông Ana</v>
          </cell>
          <cell r="C251" t="str">
            <v>Đắk Lắk</v>
          </cell>
          <cell r="D251">
            <v>30666</v>
          </cell>
          <cell r="E251" t="str">
            <v>Mạng cấp 3</v>
          </cell>
        </row>
        <row r="252">
          <cell r="B252" t="str">
            <v>KRông Ana - Cư Kuin</v>
          </cell>
          <cell r="C252" t="str">
            <v>Đắk Lắk</v>
          </cell>
          <cell r="D252">
            <v>31129</v>
          </cell>
          <cell r="E252" t="str">
            <v>Mạng cấp 3</v>
          </cell>
        </row>
        <row r="253">
          <cell r="B253" t="str">
            <v>Cư Kuin - Lăk</v>
          </cell>
          <cell r="C253" t="str">
            <v>Đắk Lắk</v>
          </cell>
          <cell r="D253">
            <v>31872</v>
          </cell>
          <cell r="E253" t="str">
            <v>Mạng cấp 3</v>
          </cell>
        </row>
        <row r="254">
          <cell r="B254" t="str">
            <v>Lăk - KRông Bông</v>
          </cell>
          <cell r="C254" t="str">
            <v>Đắk Lắk</v>
          </cell>
          <cell r="D254">
            <v>25133</v>
          </cell>
          <cell r="E254" t="str">
            <v>Mạng cấp 3</v>
          </cell>
        </row>
        <row r="255">
          <cell r="B255" t="str">
            <v>KRông Bông - TT1 Đăk Lăk</v>
          </cell>
          <cell r="C255" t="str">
            <v>Đắk Lắk</v>
          </cell>
          <cell r="D255">
            <v>58272</v>
          </cell>
          <cell r="E255" t="str">
            <v>Mạng cấp 3</v>
          </cell>
        </row>
        <row r="256">
          <cell r="B256" t="str">
            <v>TT2 Tuy Hòa - Phú Hòa - Phú Hòa</v>
          </cell>
          <cell r="C256" t="str">
            <v>Phú Yên</v>
          </cell>
          <cell r="D256">
            <v>14600</v>
          </cell>
          <cell r="E256" t="str">
            <v>Mạng cấp 3</v>
          </cell>
        </row>
        <row r="257">
          <cell r="B257" t="str">
            <v>Phú Hòa - Sông Hinh</v>
          </cell>
          <cell r="C257" t="str">
            <v>Phú Yên</v>
          </cell>
          <cell r="D257">
            <v>47852</v>
          </cell>
          <cell r="E257" t="str">
            <v>Mạng cấp 3</v>
          </cell>
        </row>
        <row r="258">
          <cell r="B258" t="str">
            <v>Sông Hinh - Tây Hòa</v>
          </cell>
          <cell r="C258" t="str">
            <v>Phú Yên</v>
          </cell>
          <cell r="D258">
            <v>48546</v>
          </cell>
          <cell r="E258" t="str">
            <v>Mạng cấp 3</v>
          </cell>
        </row>
        <row r="259">
          <cell r="B259" t="str">
            <v>Tây Hòa - TT2 Tuy Hòa</v>
          </cell>
          <cell r="C259" t="str">
            <v>Phú Yên</v>
          </cell>
          <cell r="D259">
            <v>16552</v>
          </cell>
          <cell r="E259" t="str">
            <v>Mạng cấp 3</v>
          </cell>
        </row>
        <row r="260">
          <cell r="B260" t="str">
            <v>TT2 Tuy Hòa - Tuy Hòa</v>
          </cell>
          <cell r="C260" t="str">
            <v>Phú Yên</v>
          </cell>
          <cell r="D260">
            <v>0</v>
          </cell>
          <cell r="E260" t="str">
            <v>Mạng cấp 3</v>
          </cell>
        </row>
        <row r="261">
          <cell r="B261" t="str">
            <v>Tuy Hòa - Sơn Hòa</v>
          </cell>
          <cell r="C261" t="str">
            <v>Phú Yên</v>
          </cell>
          <cell r="D261">
            <v>46666</v>
          </cell>
          <cell r="E261" t="str">
            <v>Mạng cấp 3</v>
          </cell>
        </row>
        <row r="262">
          <cell r="B262" t="str">
            <v>Sơn Hòa - CAX Sơn Định (Sơn Hòa)</v>
          </cell>
          <cell r="C262" t="str">
            <v>Phú Yên</v>
          </cell>
          <cell r="D262">
            <v>38550</v>
          </cell>
          <cell r="E262" t="str">
            <v>Mạng cấp 3</v>
          </cell>
        </row>
        <row r="263">
          <cell r="B263" t="str">
            <v>CAX Sơn Định (Sơn Hòa) - Đồng Xuân</v>
          </cell>
          <cell r="C263" t="str">
            <v>Phú Yên</v>
          </cell>
          <cell r="D263">
            <v>26630</v>
          </cell>
          <cell r="E263" t="str">
            <v>Mạng cấp 3</v>
          </cell>
        </row>
        <row r="264">
          <cell r="B264" t="str">
            <v>Đồng Xuân - Sông Cầu</v>
          </cell>
          <cell r="C264" t="str">
            <v>Phú Yên</v>
          </cell>
          <cell r="D264">
            <v>51719</v>
          </cell>
          <cell r="E264" t="str">
            <v>Mạng cấp 3</v>
          </cell>
        </row>
        <row r="265">
          <cell r="B265" t="str">
            <v>Sông Cầu - TT2 Tuy Hòa</v>
          </cell>
          <cell r="C265" t="str">
            <v>Phú Yên</v>
          </cell>
          <cell r="D265">
            <v>48266</v>
          </cell>
          <cell r="E265" t="str">
            <v>Mạng cấp 3</v>
          </cell>
        </row>
        <row r="266">
          <cell r="B266" t="str">
            <v>TT2 Đăk Lăk (Tuy Hòa) - PC07</v>
          </cell>
          <cell r="C266" t="str">
            <v>Phú Yên</v>
          </cell>
          <cell r="D266">
            <v>208</v>
          </cell>
          <cell r="E266" t="str">
            <v>Mạng cấp 3</v>
          </cell>
        </row>
        <row r="267">
          <cell r="B267" t="str">
            <v>PC07 - PC11</v>
          </cell>
          <cell r="C267" t="str">
            <v>Phú Yên</v>
          </cell>
          <cell r="D267">
            <v>372</v>
          </cell>
          <cell r="E267" t="str">
            <v>Mạng cấp 3</v>
          </cell>
        </row>
        <row r="268">
          <cell r="B268" t="str">
            <v>PC11 - PC08</v>
          </cell>
          <cell r="C268" t="str">
            <v>Phú Yên</v>
          </cell>
          <cell r="D268">
            <v>3900</v>
          </cell>
          <cell r="E268" t="str">
            <v>Mạng cấp 3</v>
          </cell>
        </row>
        <row r="269">
          <cell r="B269" t="str">
            <v>PC08 - PK02</v>
          </cell>
          <cell r="C269" t="str">
            <v>Phú Yên</v>
          </cell>
          <cell r="D269">
            <v>21431</v>
          </cell>
          <cell r="E269" t="str">
            <v>Mạng cấp 3</v>
          </cell>
        </row>
        <row r="270">
          <cell r="B270" t="str">
            <v>PK02 - TT2 Đăk Lăk (Tuy Hòa)</v>
          </cell>
          <cell r="C270" t="str">
            <v>Phú Yên</v>
          </cell>
          <cell r="D270">
            <v>8305</v>
          </cell>
          <cell r="E270" t="str">
            <v>Mạng cấp 3</v>
          </cell>
        </row>
        <row r="271">
          <cell r="B271" t="str">
            <v>TT2 Đăk Lăk (Tuy Hòa) - Cơ quan điều tra
Tuy Hòa</v>
          </cell>
          <cell r="C271" t="str">
            <v>Phú Yên</v>
          </cell>
          <cell r="D271">
            <v>5050</v>
          </cell>
          <cell r="E271" t="str">
            <v>Mạng cấp 3</v>
          </cell>
        </row>
        <row r="272">
          <cell r="B272" t="str">
            <v>Cơ quan điều tra Tuy Hòa - PA08</v>
          </cell>
          <cell r="C272" t="str">
            <v>Phú Yên</v>
          </cell>
          <cell r="D272">
            <v>2270</v>
          </cell>
          <cell r="E272" t="str">
            <v>Mạng cấp 3</v>
          </cell>
        </row>
        <row r="273">
          <cell r="B273" t="str">
            <v>PA08 - PA05</v>
          </cell>
          <cell r="C273" t="str">
            <v>Phú Yên</v>
          </cell>
          <cell r="D273">
            <v>489</v>
          </cell>
          <cell r="E273" t="str">
            <v>Mạng cấp 3</v>
          </cell>
        </row>
        <row r="274">
          <cell r="B274" t="str">
            <v>PA05 - PA06</v>
          </cell>
          <cell r="C274" t="str">
            <v>Phú Yên</v>
          </cell>
          <cell r="D274">
            <v>3147</v>
          </cell>
          <cell r="E274" t="str">
            <v>Mạng cấp 3</v>
          </cell>
        </row>
        <row r="275">
          <cell r="B275" t="str">
            <v>PA06 - TT2 Đăk Lăk (Tuy Hòa)</v>
          </cell>
          <cell r="C275" t="str">
            <v>Phú Yên</v>
          </cell>
          <cell r="D275">
            <v>3877</v>
          </cell>
          <cell r="E275" t="str">
            <v>Mạng cấp 3</v>
          </cell>
        </row>
        <row r="276">
          <cell r="B276" t="str">
            <v>TT2 Đăk Lăk (Tuy Hòa) - PC06</v>
          </cell>
          <cell r="C276" t="str">
            <v>Phú Yên</v>
          </cell>
          <cell r="D276">
            <v>1960</v>
          </cell>
          <cell r="E276" t="str">
            <v>Mạng cấp 3</v>
          </cell>
        </row>
        <row r="277">
          <cell r="B277" t="str">
            <v>PC06  -  CAT(Phú Yên)</v>
          </cell>
          <cell r="C277" t="str">
            <v>Phú Yên</v>
          </cell>
          <cell r="D277">
            <v>4815</v>
          </cell>
          <cell r="E277" t="str">
            <v>Mạng cấp 3</v>
          </cell>
        </row>
        <row r="278">
          <cell r="B278" t="str">
            <v xml:space="preserve"> CAT(Phú Yên) -  Cảng hàng không Tuy Hòa</v>
          </cell>
          <cell r="C278" t="str">
            <v>Phú Yên</v>
          </cell>
          <cell r="D278">
            <v>17837</v>
          </cell>
          <cell r="E278" t="str">
            <v>Mạng cấp 3</v>
          </cell>
        </row>
        <row r="279">
          <cell r="B279" t="str">
            <v>Cảng hàng không Tuy Hòa - TTCMKV Đông Hòa</v>
          </cell>
          <cell r="C279" t="str">
            <v>Phú Yên</v>
          </cell>
          <cell r="D279">
            <v>12180</v>
          </cell>
          <cell r="E279" t="str">
            <v>Mạng cấp 3</v>
          </cell>
        </row>
        <row r="280">
          <cell r="B280" t="str">
            <v>TT1 Đăk Lăk - PC07</v>
          </cell>
          <cell r="C280" t="str">
            <v>Đắk Lắk</v>
          </cell>
          <cell r="D280">
            <v>7923</v>
          </cell>
          <cell r="E280" t="str">
            <v>Mạng cấp 3</v>
          </cell>
        </row>
        <row r="281">
          <cell r="B281" t="str">
            <v>PC07 - PK02</v>
          </cell>
          <cell r="C281" t="str">
            <v>Đắk Lắk</v>
          </cell>
          <cell r="D281">
            <v>1112</v>
          </cell>
          <cell r="E281" t="str">
            <v>Mạng cấp 3</v>
          </cell>
        </row>
        <row r="282">
          <cell r="B282" t="str">
            <v>PK02 - PC11</v>
          </cell>
          <cell r="C282" t="str">
            <v>Đắk Lắk</v>
          </cell>
          <cell r="D282">
            <v>10491</v>
          </cell>
          <cell r="E282" t="str">
            <v>Mạng cấp 3</v>
          </cell>
        </row>
        <row r="283">
          <cell r="B283" t="str">
            <v>PC11 - TTCMKV Krong Ana</v>
          </cell>
          <cell r="C283" t="str">
            <v>Đắk Lắk</v>
          </cell>
          <cell r="D283">
            <v>29192</v>
          </cell>
          <cell r="E283" t="str">
            <v>Mạng cấp 3</v>
          </cell>
        </row>
        <row r="284">
          <cell r="B284" t="str">
            <v>TT1 Đăk Lăk - PA07</v>
          </cell>
          <cell r="C284" t="str">
            <v>Đắk Lắk</v>
          </cell>
          <cell r="D284">
            <v>1147</v>
          </cell>
          <cell r="E284" t="str">
            <v>Mạng cấp 3</v>
          </cell>
        </row>
        <row r="285">
          <cell r="B285" t="str">
            <v>PA07 - PA08-PC06</v>
          </cell>
          <cell r="C285" t="str">
            <v>Đắk Lắk</v>
          </cell>
          <cell r="D285">
            <v>1680</v>
          </cell>
          <cell r="E285" t="str">
            <v>Mạng cấp 3</v>
          </cell>
        </row>
        <row r="286">
          <cell r="B286" t="str">
            <v>PA08-PC06 - PC08</v>
          </cell>
          <cell r="C286" t="str">
            <v>Đắk Lắk</v>
          </cell>
          <cell r="D286">
            <v>663</v>
          </cell>
          <cell r="E286" t="str">
            <v>Mạng cấp 3</v>
          </cell>
        </row>
        <row r="287">
          <cell r="B287" t="str">
            <v>PC08 - PC04</v>
          </cell>
          <cell r="C287" t="str">
            <v>Đắk Lắk</v>
          </cell>
          <cell r="D287">
            <v>2528</v>
          </cell>
          <cell r="E287" t="str">
            <v>Mạng cấp 3</v>
          </cell>
        </row>
        <row r="288">
          <cell r="B288" t="str">
            <v>PC04 - TT1 Đăk Lăk</v>
          </cell>
          <cell r="C288" t="str">
            <v>Đắk Lắk</v>
          </cell>
          <cell r="D288">
            <v>1343</v>
          </cell>
          <cell r="E288" t="str">
            <v>Mạng cấp 3</v>
          </cell>
        </row>
        <row r="289">
          <cell r="B289" t="str">
            <v>Trại giam Xuân Phước (C10) - TTCMKV Đồng Xuân</v>
          </cell>
          <cell r="C289" t="str">
            <v>Phú Yên</v>
          </cell>
          <cell r="D289">
            <v>14550</v>
          </cell>
          <cell r="E289" t="str">
            <v>Mạng cấp 3</v>
          </cell>
        </row>
        <row r="290">
          <cell r="B290" t="str">
            <v>Trại giam Xuân Phước (C10) - TTCMKV Sơn Hòa</v>
          </cell>
          <cell r="C290" t="str">
            <v>Phú Yên</v>
          </cell>
          <cell r="D290">
            <v>51364</v>
          </cell>
          <cell r="E290" t="str">
            <v>Mạng cấp 3</v>
          </cell>
        </row>
        <row r="291">
          <cell r="B291" t="str">
            <v>Điểm đăng ký sát hạch lái xe (PC08) - TT2 Đăk Lăk (Tuy Hòa)</v>
          </cell>
          <cell r="C291" t="str">
            <v>Phú Yên</v>
          </cell>
          <cell r="D291">
            <v>2433</v>
          </cell>
          <cell r="E291" t="str">
            <v>Mạng cấp 3</v>
          </cell>
        </row>
        <row r="292">
          <cell r="B292" t="str">
            <v>Trại tạm giam Buôn Mê Thuột  - TT1 Đăk Lăk</v>
          </cell>
          <cell r="C292" t="str">
            <v>Đắk Lắk</v>
          </cell>
          <cell r="D292">
            <v>5378</v>
          </cell>
          <cell r="E292" t="str">
            <v>Mạng cấp 3</v>
          </cell>
        </row>
        <row r="293">
          <cell r="B293" t="str">
            <v>Cơ sở cai nghiện (X. Tân Tiến, H. Kron Pắc) - TTCMKV Krong Pắc</v>
          </cell>
          <cell r="C293" t="str">
            <v>Đắk Lắk</v>
          </cell>
          <cell r="D293">
            <v>8807</v>
          </cell>
          <cell r="E293" t="str">
            <v>Mạng cấp 3</v>
          </cell>
        </row>
        <row r="294">
          <cell r="B294" t="str">
            <v>Cảng hàng không Buôn Mê Thuột - TT1 Đăk
Lăk</v>
          </cell>
          <cell r="C294" t="str">
            <v>Đắk Lắk</v>
          </cell>
          <cell r="D294">
            <v>8735</v>
          </cell>
          <cell r="E294" t="str">
            <v>Mạng cấp 3</v>
          </cell>
        </row>
        <row r="295">
          <cell r="B295" t="str">
            <v>Trung tâm huấn luyện PX01 - TT1 Đăk Lăk</v>
          </cell>
          <cell r="C295" t="str">
            <v>Đắk Lắk</v>
          </cell>
          <cell r="D295">
            <v>3352</v>
          </cell>
          <cell r="E295" t="str">
            <v>Mạng cấp 3</v>
          </cell>
        </row>
        <row r="296">
          <cell r="B296" t="str">
            <v>Tuyến cáp CAT Khánh Hòa - Diên Khánh</v>
          </cell>
          <cell r="C296" t="str">
            <v>Khánh Hòa</v>
          </cell>
          <cell r="D296">
            <v>12983</v>
          </cell>
          <cell r="E296" t="str">
            <v>Mạng cấp 3</v>
          </cell>
        </row>
        <row r="297">
          <cell r="B297" t="str">
            <v>Tuyến cáp Diên Khánh - Khánh Vĩnh</v>
          </cell>
          <cell r="C297" t="str">
            <v>Khánh Hòa</v>
          </cell>
          <cell r="D297">
            <v>24447</v>
          </cell>
          <cell r="E297" t="str">
            <v>Mạng cấp 3</v>
          </cell>
        </row>
        <row r="298">
          <cell r="B298" t="str">
            <v>Tuyến cáp Khánh Vĩnh - Ninh Hòa</v>
          </cell>
          <cell r="C298" t="str">
            <v>Khánh Hòa</v>
          </cell>
          <cell r="D298">
            <v>56245</v>
          </cell>
          <cell r="E298" t="str">
            <v>Mạng cấp 3</v>
          </cell>
        </row>
        <row r="299">
          <cell r="B299" t="str">
            <v>Tuyến cáp Ninh Hòa - Vạn Ninh</v>
          </cell>
          <cell r="C299" t="str">
            <v>Khánh Hòa</v>
          </cell>
          <cell r="D299">
            <v>27105</v>
          </cell>
          <cell r="E299" t="str">
            <v>Mạng cấp 3</v>
          </cell>
        </row>
        <row r="300">
          <cell r="B300" t="str">
            <v>Tuyến cáp Vạn Ninh - CAT Khánh Hòa</v>
          </cell>
          <cell r="C300" t="str">
            <v>Khánh Hòa</v>
          </cell>
          <cell r="D300">
            <v>64849</v>
          </cell>
          <cell r="E300" t="str">
            <v>Mạng cấp 3</v>
          </cell>
        </row>
        <row r="301">
          <cell r="B301" t="str">
            <v>Tuyến cáp CAT Khánh Hòa - Cam Lâm</v>
          </cell>
          <cell r="C301" t="str">
            <v>Khánh Hòa</v>
          </cell>
          <cell r="D301">
            <v>28796</v>
          </cell>
          <cell r="E301" t="str">
            <v>Mạng cấp 3</v>
          </cell>
        </row>
        <row r="302">
          <cell r="B302" t="str">
            <v>Tuyến cáp Cam Lâm - Cam Ranh</v>
          </cell>
          <cell r="C302" t="str">
            <v>Khánh Hòa</v>
          </cell>
          <cell r="D302">
            <v>20902</v>
          </cell>
          <cell r="E302" t="str">
            <v>Mạng cấp 3</v>
          </cell>
        </row>
        <row r="303">
          <cell r="B303" t="str">
            <v>Tuyến cáp Cam Ranh - Khánh Sơn</v>
          </cell>
          <cell r="C303" t="str">
            <v>Khánh Hòa</v>
          </cell>
          <cell r="D303">
            <v>34599</v>
          </cell>
          <cell r="E303" t="str">
            <v>Mạng cấp 3</v>
          </cell>
        </row>
        <row r="304">
          <cell r="B304" t="str">
            <v>Tuyến cáp Khánh Sơn - Cam Phước Đông</v>
          </cell>
          <cell r="C304" t="str">
            <v>Khánh Hòa</v>
          </cell>
          <cell r="D304">
            <v>25375</v>
          </cell>
          <cell r="E304" t="str">
            <v>Mạng cấp 3</v>
          </cell>
        </row>
        <row r="305">
          <cell r="B305" t="str">
            <v>Tuyến cáp Cam Phước Đông - CAT Khánh Hòa</v>
          </cell>
          <cell r="C305" t="str">
            <v>Khánh Hòa</v>
          </cell>
          <cell r="D305">
            <v>52121</v>
          </cell>
          <cell r="E305" t="str">
            <v>Mạng cấp 3</v>
          </cell>
        </row>
        <row r="306">
          <cell r="B306" t="str">
            <v>TT Phan Rang - Đông Hải</v>
          </cell>
          <cell r="C306" t="str">
            <v>Khánh Hòa</v>
          </cell>
          <cell r="D306">
            <v>6121.8</v>
          </cell>
          <cell r="E306" t="str">
            <v>Mạng cấp 3</v>
          </cell>
        </row>
        <row r="307">
          <cell r="B307" t="str">
            <v>Đông Hải - PC07 cơ sở 2</v>
          </cell>
          <cell r="C307" t="str">
            <v>Khánh Hòa</v>
          </cell>
          <cell r="D307">
            <v>1585.6</v>
          </cell>
          <cell r="E307" t="str">
            <v>Mạng cấp 3</v>
          </cell>
        </row>
        <row r="308">
          <cell r="B308" t="str">
            <v>PC07 cơ sở 2 - PC10 cơ sở 2</v>
          </cell>
          <cell r="C308" t="str">
            <v>Khánh Hòa</v>
          </cell>
          <cell r="D308">
            <v>3505.4</v>
          </cell>
          <cell r="E308" t="str">
            <v>Mạng cấp 3</v>
          </cell>
        </row>
        <row r="309">
          <cell r="B309" t="str">
            <v>PC10 cơ sở 2 - CAP Phan Rang</v>
          </cell>
          <cell r="C309" t="str">
            <v>Khánh Hòa</v>
          </cell>
          <cell r="D309">
            <v>2236.8000000000002</v>
          </cell>
          <cell r="E309" t="str">
            <v>Mạng cấp 3</v>
          </cell>
        </row>
        <row r="310">
          <cell r="B310" t="str">
            <v>TT Phan Rang 2 - Ninh Phước</v>
          </cell>
          <cell r="C310" t="str">
            <v>Khánh Hòa</v>
          </cell>
          <cell r="D310">
            <v>12379.6</v>
          </cell>
          <cell r="E310" t="str">
            <v>Mạng cấp 3</v>
          </cell>
        </row>
        <row r="311">
          <cell r="B311" t="str">
            <v>Ninh Phước - Thuận Nam</v>
          </cell>
          <cell r="C311" t="str">
            <v>Khánh Hòa</v>
          </cell>
          <cell r="D311">
            <v>8499</v>
          </cell>
          <cell r="E311" t="str">
            <v>Mạng cấp 3</v>
          </cell>
        </row>
        <row r="312">
          <cell r="B312" t="str">
            <v>Thuận Nam - PC10 cơ sở 2</v>
          </cell>
          <cell r="C312" t="str">
            <v>Khánh Hòa</v>
          </cell>
          <cell r="D312">
            <v>18266</v>
          </cell>
          <cell r="E312" t="str">
            <v>Mạng cấp 3</v>
          </cell>
        </row>
        <row r="313">
          <cell r="B313" t="str">
            <v>PC10 cơ sở 2 - CAP Phan Rang</v>
          </cell>
          <cell r="C313" t="str">
            <v>Khánh Hòa</v>
          </cell>
          <cell r="D313">
            <v>2236.8000000000002</v>
          </cell>
          <cell r="E313" t="str">
            <v>Mạng cấp 3</v>
          </cell>
        </row>
        <row r="314">
          <cell r="B314" t="str">
            <v>TT2 Phan Rang - Ninh Hải</v>
          </cell>
          <cell r="C314" t="str">
            <v>Khánh Hòa</v>
          </cell>
          <cell r="D314">
            <v>5322</v>
          </cell>
          <cell r="E314" t="str">
            <v>Mạng cấp 3</v>
          </cell>
        </row>
        <row r="315">
          <cell r="B315" t="str">
            <v>Ninh Hải - Thuận Bắc</v>
          </cell>
          <cell r="C315" t="str">
            <v>Khánh Hòa</v>
          </cell>
          <cell r="D315">
            <v>16403.2</v>
          </cell>
          <cell r="E315" t="str">
            <v>Mạng cấp 3</v>
          </cell>
        </row>
        <row r="316">
          <cell r="B316" t="str">
            <v>TT2 Phan Rang - Ninh Phước</v>
          </cell>
          <cell r="C316" t="str">
            <v>Khánh Hòa</v>
          </cell>
          <cell r="D316">
            <v>12154.2</v>
          </cell>
          <cell r="E316" t="str">
            <v>Mạng cấp 3</v>
          </cell>
        </row>
        <row r="317">
          <cell r="B317" t="str">
            <v>Ninh Phước - Ninh Sơn</v>
          </cell>
          <cell r="C317" t="str">
            <v>Khánh Hòa</v>
          </cell>
          <cell r="D317">
            <v>40114.800000000003</v>
          </cell>
          <cell r="E317" t="str">
            <v>Mạng cấp 3</v>
          </cell>
        </row>
        <row r="318">
          <cell r="B318" t="str">
            <v>Ninh Sơn - Bác Ái</v>
          </cell>
          <cell r="C318" t="str">
            <v>Khánh Hòa</v>
          </cell>
          <cell r="D318">
            <v>22864</v>
          </cell>
          <cell r="E318" t="str">
            <v>Mạng cấp 3</v>
          </cell>
        </row>
        <row r="319">
          <cell r="B319" t="str">
            <v>Bác Ái - Thuận Bắc</v>
          </cell>
          <cell r="C319" t="str">
            <v>Khánh Hòa</v>
          </cell>
          <cell r="D319">
            <v>45181</v>
          </cell>
          <cell r="E319" t="str">
            <v>Mạng cấp 3</v>
          </cell>
        </row>
        <row r="320">
          <cell r="B320" t="str">
            <v>Thuận Bắc - Bảo An</v>
          </cell>
          <cell r="C320" t="str">
            <v>Khánh Hòa</v>
          </cell>
          <cell r="D320">
            <v>22377</v>
          </cell>
          <cell r="E320" t="str">
            <v>Mạng cấp 3</v>
          </cell>
        </row>
        <row r="321">
          <cell r="B321" t="str">
            <v>Ninh Sơn - Đội CSPCCC Ninh Sơn</v>
          </cell>
          <cell r="C321" t="str">
            <v>Khánh Hòa</v>
          </cell>
          <cell r="D321">
            <v>2169.9</v>
          </cell>
          <cell r="E321" t="str">
            <v>Mạng cấp 3</v>
          </cell>
        </row>
        <row r="322">
          <cell r="B322" t="str">
            <v>Đội CSPCCC Ninh Sơn - Trại giam Sông Cái</v>
          </cell>
          <cell r="C322" t="str">
            <v>Khánh Hòa</v>
          </cell>
          <cell r="D322">
            <v>9792</v>
          </cell>
          <cell r="E322" t="str">
            <v>Mạng cấp 3</v>
          </cell>
        </row>
        <row r="323">
          <cell r="B323" t="str">
            <v>Trại giam Sông Cái - TTCM Bắc Ái</v>
          </cell>
          <cell r="C323" t="str">
            <v>Khánh Hòa</v>
          </cell>
          <cell r="D323">
            <v>16681</v>
          </cell>
          <cell r="E323" t="str">
            <v>Mạng cấp 3</v>
          </cell>
        </row>
        <row r="324">
          <cell r="B324" t="str">
            <v>TTCM Bắc Ái - PC11B</v>
          </cell>
          <cell r="C324" t="str">
            <v>Khánh Hòa</v>
          </cell>
          <cell r="D324">
            <v>33257</v>
          </cell>
          <cell r="E324" t="str">
            <v>Mạng cấp 3</v>
          </cell>
        </row>
        <row r="325">
          <cell r="B325" t="str">
            <v>PC11B - Trạm CSGT 15/1</v>
          </cell>
          <cell r="C325" t="str">
            <v>Khánh Hòa</v>
          </cell>
          <cell r="D325">
            <v>14538.1</v>
          </cell>
          <cell r="E325" t="str">
            <v>Mạng cấp 3</v>
          </cell>
        </row>
        <row r="326">
          <cell r="B326" t="str">
            <v>Trạm CSGT 15/1 - Thuận Bắc</v>
          </cell>
          <cell r="C326" t="str">
            <v>Khánh Hòa</v>
          </cell>
          <cell r="D326">
            <v>13100.2</v>
          </cell>
          <cell r="E326" t="str">
            <v>Mạng cấp 3</v>
          </cell>
        </row>
        <row r="327">
          <cell r="B327" t="str">
            <v>Tuyến cáp CAT Khánh Hòa - CATP Nha Trang cũ</v>
          </cell>
          <cell r="C327" t="str">
            <v>Khánh Hòa</v>
          </cell>
          <cell r="D327">
            <v>2476</v>
          </cell>
          <cell r="E327" t="str">
            <v>Mạng cấp 3</v>
          </cell>
        </row>
        <row r="328">
          <cell r="B328" t="str">
            <v>Tuyến cáp CATP Nha trang cũ - PC06</v>
          </cell>
          <cell r="C328" t="str">
            <v>Khánh Hòa</v>
          </cell>
          <cell r="D328">
            <v>143</v>
          </cell>
          <cell r="E328" t="str">
            <v>Mạng cấp 3</v>
          </cell>
        </row>
        <row r="329">
          <cell r="B329" t="str">
            <v>Tuyến cáp PC06 - PA08</v>
          </cell>
          <cell r="C329" t="str">
            <v>Khánh Hòa</v>
          </cell>
          <cell r="D329">
            <v>65</v>
          </cell>
          <cell r="E329" t="str">
            <v>Mạng cấp 3</v>
          </cell>
        </row>
        <row r="330">
          <cell r="B330" t="str">
            <v>Tuyến cáp PA08 - PA06 cs1</v>
          </cell>
          <cell r="C330" t="str">
            <v>Khánh Hòa</v>
          </cell>
          <cell r="D330">
            <v>1163</v>
          </cell>
          <cell r="E330" t="str">
            <v>Mạng cấp 3</v>
          </cell>
        </row>
        <row r="331">
          <cell r="B331" t="str">
            <v>Tuyến cáp PA06 cs1 - PC08 csc</v>
          </cell>
          <cell r="C331" t="str">
            <v>Khánh Hòa</v>
          </cell>
          <cell r="D331">
            <v>1439</v>
          </cell>
          <cell r="E331" t="str">
            <v>Mạng cấp 3</v>
          </cell>
        </row>
        <row r="332">
          <cell r="B332" t="str">
            <v>Tuyến cáp PC08 csc - CAT Khánh Hòa</v>
          </cell>
          <cell r="C332" t="str">
            <v>Khánh Hòa</v>
          </cell>
          <cell r="D332">
            <v>3510</v>
          </cell>
          <cell r="E332" t="str">
            <v>Mạng cấp 3</v>
          </cell>
        </row>
        <row r="333">
          <cell r="B333" t="str">
            <v>Tuyến cáp PA06 cs1 - Nhà nghỉ dưỡng 378 BCA</v>
          </cell>
          <cell r="C333" t="str">
            <v>Khánh Hòa</v>
          </cell>
          <cell r="D333">
            <v>843</v>
          </cell>
          <cell r="E333" t="str">
            <v>Mạng cấp 3</v>
          </cell>
        </row>
        <row r="334">
          <cell r="B334" t="str">
            <v>Tuyến cáp PC08 csc - PC08 (xử lý vi phạm)</v>
          </cell>
          <cell r="C334" t="str">
            <v>Khánh Hòa</v>
          </cell>
          <cell r="D334">
            <v>252</v>
          </cell>
          <cell r="E334" t="str">
            <v>Mạng cấp 3</v>
          </cell>
        </row>
        <row r="335">
          <cell r="B335" t="str">
            <v>Tuyến cáp Khánh Vĩnh - Nhà tạm giam Diên Khánh</v>
          </cell>
          <cell r="C335" t="str">
            <v>Khánh Hòa</v>
          </cell>
          <cell r="D335">
            <v>20905</v>
          </cell>
          <cell r="E335" t="str">
            <v>Mạng cấp 3</v>
          </cell>
        </row>
        <row r="336">
          <cell r="B336" t="str">
            <v>Tuyến cáp Nhà tạm giam Diên Khánh - Trại giam A2</v>
          </cell>
          <cell r="C336" t="str">
            <v>Khánh Hòa</v>
          </cell>
          <cell r="D336">
            <v>15027</v>
          </cell>
          <cell r="E336" t="str">
            <v>Mạng cấp 3</v>
          </cell>
        </row>
        <row r="337">
          <cell r="B337" t="str">
            <v>Tuyến cáp Trại giam A2 - CATP Nha trang cũ</v>
          </cell>
          <cell r="C337" t="str">
            <v>Khánh Hòa</v>
          </cell>
          <cell r="D337">
            <v>29275</v>
          </cell>
          <cell r="E337" t="str">
            <v>Mạng cấp 3</v>
          </cell>
        </row>
        <row r="338">
          <cell r="B338" t="str">
            <v>Tuyến cáp CATP Nha trang cũ - PC07</v>
          </cell>
          <cell r="C338" t="str">
            <v>Khánh Hòa</v>
          </cell>
          <cell r="D338">
            <v>1374</v>
          </cell>
          <cell r="E338" t="str">
            <v>Mạng cấp 3</v>
          </cell>
        </row>
        <row r="339">
          <cell r="B339" t="str">
            <v>Tuyến cáp PC07 - PA06 cs2</v>
          </cell>
          <cell r="C339" t="str">
            <v>Khánh Hòa</v>
          </cell>
          <cell r="D339">
            <v>470</v>
          </cell>
          <cell r="E339" t="str">
            <v>Mạng cấp 3</v>
          </cell>
        </row>
        <row r="340">
          <cell r="B340" t="str">
            <v>Tuyến cáp PA06 cs2 - PC11a</v>
          </cell>
          <cell r="C340" t="str">
            <v>Khánh Hòa</v>
          </cell>
          <cell r="D340">
            <v>9113</v>
          </cell>
          <cell r="E340" t="str">
            <v>Mạng cấp 3</v>
          </cell>
        </row>
        <row r="341">
          <cell r="B341" t="str">
            <v>Tuyến cáp PC11a - PC02</v>
          </cell>
          <cell r="C341" t="str">
            <v>Khánh Hòa</v>
          </cell>
          <cell r="D341">
            <v>7493</v>
          </cell>
          <cell r="E341" t="str">
            <v>Mạng cấp 3</v>
          </cell>
        </row>
        <row r="342">
          <cell r="B342" t="str">
            <v>Tuyến cáp PC02 - CAT Khánh Hòa</v>
          </cell>
          <cell r="C342" t="str">
            <v>Khánh Hòa</v>
          </cell>
          <cell r="D342">
            <v>2029</v>
          </cell>
          <cell r="E342" t="str">
            <v>Mạng cấp 3</v>
          </cell>
        </row>
        <row r="343">
          <cell r="B343" t="str">
            <v>Tuyến cáp PC02 - PC08 (CSGT đường thủy)</v>
          </cell>
          <cell r="C343" t="str">
            <v>Khánh Hòa</v>
          </cell>
          <cell r="D343">
            <v>225</v>
          </cell>
          <cell r="E343" t="str">
            <v>Mạng cấp 3</v>
          </cell>
        </row>
        <row r="344">
          <cell r="B344" t="str">
            <v>Tuyến cáp CAT Khánh Hòa - PK02 cs1</v>
          </cell>
          <cell r="C344" t="str">
            <v>Khánh Hòa</v>
          </cell>
          <cell r="D344">
            <v>7555</v>
          </cell>
          <cell r="E344" t="str">
            <v>Mạng cấp 3</v>
          </cell>
        </row>
        <row r="345">
          <cell r="B345" t="str">
            <v>Tuyến cáp PK02 cs1 - Trung đoàn CSCĐ-E23</v>
          </cell>
          <cell r="C345" t="str">
            <v>Khánh Hòa</v>
          </cell>
          <cell r="D345">
            <v>3553</v>
          </cell>
          <cell r="E345" t="str">
            <v>Mạng cấp 3</v>
          </cell>
        </row>
        <row r="346">
          <cell r="B346" t="str">
            <v>Tuyến cáp Trung đoàn CSCĐ-E23 - PK02 cs2</v>
          </cell>
          <cell r="C346" t="str">
            <v>Khánh Hòa</v>
          </cell>
          <cell r="D346">
            <v>8780</v>
          </cell>
          <cell r="E346" t="str">
            <v>Mạng cấp 3</v>
          </cell>
        </row>
        <row r="347">
          <cell r="B347" t="str">
            <v>Tuyến cáp PK02 cs2 - Trạm CSGT Ninh An cũ</v>
          </cell>
          <cell r="C347" t="str">
            <v>Khánh Hòa</v>
          </cell>
          <cell r="D347">
            <v>29700</v>
          </cell>
          <cell r="E347" t="str">
            <v>Mạng cấp 3</v>
          </cell>
        </row>
        <row r="348">
          <cell r="B348" t="str">
            <v>Tuyến cáp Trạm CSGT Ninh An cũ - Ninh Hòa</v>
          </cell>
          <cell r="C348" t="str">
            <v>Khánh Hòa</v>
          </cell>
          <cell r="D348">
            <v>7571</v>
          </cell>
          <cell r="E348" t="str">
            <v>Mạng cấp 3</v>
          </cell>
        </row>
        <row r="349">
          <cell r="B349" t="str">
            <v>Tuyến cáp PK02 cs1 - NTG Nha Trang cũ</v>
          </cell>
          <cell r="C349" t="str">
            <v>Khánh Hòa</v>
          </cell>
          <cell r="D349">
            <v>289</v>
          </cell>
          <cell r="E349" t="str">
            <v>Mạng cấp 3</v>
          </cell>
        </row>
        <row r="350">
          <cell r="B350" t="str">
            <v>Tuyến cáp Trung đoàn CSCĐ-E23 - Cục Trang bị và Kho vận</v>
          </cell>
          <cell r="C350" t="str">
            <v>Khánh Hòa</v>
          </cell>
          <cell r="D350">
            <v>2203</v>
          </cell>
          <cell r="E350" t="str">
            <v>Mạng cấp 3</v>
          </cell>
        </row>
        <row r="351">
          <cell r="B351" t="str">
            <v>Ninh Sơn - Trại giam Sông Cái</v>
          </cell>
          <cell r="C351" t="str">
            <v>Khánh Hòa</v>
          </cell>
          <cell r="D351">
            <v>9623</v>
          </cell>
          <cell r="E351" t="str">
            <v>Mạng cấp 3</v>
          </cell>
        </row>
        <row r="352">
          <cell r="B352" t="str">
            <v>Trại giam Sông Cái - Bác Ái</v>
          </cell>
          <cell r="C352" t="str">
            <v>Khánh Hòa</v>
          </cell>
          <cell r="D352">
            <v>16681</v>
          </cell>
          <cell r="E352" t="str">
            <v>Mạng cấp 3</v>
          </cell>
        </row>
        <row r="353">
          <cell r="B353" t="str">
            <v>Bác Ái - PC11B</v>
          </cell>
          <cell r="C353" t="str">
            <v>Khánh Hòa</v>
          </cell>
          <cell r="D353">
            <v>33257</v>
          </cell>
          <cell r="E353" t="str">
            <v>Mạng cấp 3</v>
          </cell>
        </row>
        <row r="354">
          <cell r="B354" t="str">
            <v>PC11B - Thuận Bắc</v>
          </cell>
          <cell r="C354" t="str">
            <v>Khánh Hòa</v>
          </cell>
          <cell r="D354">
            <v>7411</v>
          </cell>
          <cell r="E354" t="str">
            <v>Mạng cấp 3</v>
          </cell>
        </row>
        <row r="355">
          <cell r="B355" t="str">
            <v>TT2 Lâm Đồng - Đắk Mil</v>
          </cell>
          <cell r="D355">
            <v>62549</v>
          </cell>
          <cell r="E355" t="str">
            <v>Mạng cấp 3</v>
          </cell>
        </row>
        <row r="356">
          <cell r="B356" t="str">
            <v>Đắk Mil - Cư Jut</v>
          </cell>
          <cell r="D356">
            <v>37338</v>
          </cell>
          <cell r="E356" t="str">
            <v>Mạng cấp 3</v>
          </cell>
        </row>
        <row r="357">
          <cell r="B357" t="str">
            <v>Cư Jut - K Rông Nô</v>
          </cell>
          <cell r="D357">
            <v>18115</v>
          </cell>
          <cell r="E357" t="str">
            <v>Mạng cấp 3</v>
          </cell>
        </row>
        <row r="358">
          <cell r="B358" t="str">
            <v>K Rông Nô - Quảng Sơn</v>
          </cell>
          <cell r="D358">
            <v>56780</v>
          </cell>
          <cell r="E358" t="str">
            <v>Mạng cấp 3</v>
          </cell>
        </row>
        <row r="359">
          <cell r="B359" t="str">
            <v>Quảng Sơn - PC11</v>
          </cell>
          <cell r="D359">
            <v>28603</v>
          </cell>
          <cell r="E359" t="str">
            <v>Mạng cấp 3</v>
          </cell>
        </row>
        <row r="360">
          <cell r="B360" t="str">
            <v>PC11- PC07</v>
          </cell>
          <cell r="D360">
            <v>1437</v>
          </cell>
          <cell r="E360" t="str">
            <v>Mạng cấp 3</v>
          </cell>
        </row>
        <row r="361">
          <cell r="B361" t="str">
            <v>PC07-TT2 Lâm Đồng</v>
          </cell>
          <cell r="D361">
            <v>6703</v>
          </cell>
          <cell r="E361" t="str">
            <v>Mạng cấp 3</v>
          </cell>
        </row>
        <row r="362">
          <cell r="B362" t="str">
            <v>TT2 Lâm Đồng - Đắk Song</v>
          </cell>
          <cell r="D362">
            <v>36246</v>
          </cell>
          <cell r="E362" t="str">
            <v>Mạng cấp 3</v>
          </cell>
        </row>
        <row r="363">
          <cell r="B363" t="str">
            <v>Đắk Song - Tuy Đức</v>
          </cell>
          <cell r="D363">
            <v>25369</v>
          </cell>
          <cell r="E363" t="str">
            <v>Mạng cấp 3</v>
          </cell>
        </row>
        <row r="364">
          <cell r="B364" t="str">
            <v>Tuy Đức - Đắk R'Lấp</v>
          </cell>
          <cell r="D364">
            <v>33023</v>
          </cell>
          <cell r="E364" t="str">
            <v>Mạng cấp 3</v>
          </cell>
        </row>
        <row r="365">
          <cell r="B365" t="str">
            <v>Đắk R'Lấp - TT2 Lâm Đồng</v>
          </cell>
          <cell r="D365">
            <v>26650</v>
          </cell>
          <cell r="E365" t="str">
            <v>Mạng cấp 3</v>
          </cell>
        </row>
        <row r="366">
          <cell r="B366" t="str">
            <v>TT2 Lâm Đồng (Đắc Nông) - PC08 (Đắc Nông)</v>
          </cell>
          <cell r="D366">
            <v>3975</v>
          </cell>
          <cell r="E366" t="str">
            <v>Mạng cấp 3</v>
          </cell>
        </row>
        <row r="367">
          <cell r="B367" t="str">
            <v>PC08 (Đắc Nông) - TT Huấn Luyện PX01</v>
          </cell>
          <cell r="D367">
            <v>6091</v>
          </cell>
          <cell r="E367" t="str">
            <v>Mạng cấp 3</v>
          </cell>
        </row>
        <row r="368">
          <cell r="B368" t="str">
            <v>TT Huấn Luyện PX01 - PC10 (Đắc Nông)</v>
          </cell>
          <cell r="D368">
            <v>870</v>
          </cell>
          <cell r="E368" t="str">
            <v>Mạng cấp 3</v>
          </cell>
        </row>
        <row r="369">
          <cell r="B369" t="str">
            <v>PC10 (Đắc Nông) - PK02 (Đắc Nông)</v>
          </cell>
          <cell r="D369">
            <v>7286</v>
          </cell>
          <cell r="E369" t="str">
            <v>Mạng cấp 3</v>
          </cell>
        </row>
        <row r="370">
          <cell r="B370" t="str">
            <v>PK02 (Đắc Nông) - PA06 (Đắc Nông)</v>
          </cell>
          <cell r="D370">
            <v>1981</v>
          </cell>
          <cell r="E370" t="str">
            <v>Mạng cấp 3</v>
          </cell>
        </row>
        <row r="371">
          <cell r="B371" t="str">
            <v>PA06 (Đắc Nông) - TT2 Lâm Đồng (Đắc Nông)</v>
          </cell>
          <cell r="D371">
            <v>4920</v>
          </cell>
          <cell r="E371" t="str">
            <v>Mạng cấp 3</v>
          </cell>
        </row>
        <row r="372">
          <cell r="B372" t="str">
            <v>TTCMKV Vĩnh Linh-Vĩnh Linh</v>
          </cell>
          <cell r="C372" t="str">
            <v>Quảng Trị</v>
          </cell>
          <cell r="E372" t="str">
            <v>Mạng cấp 4</v>
          </cell>
        </row>
        <row r="373">
          <cell r="B373" t="str">
            <v>Vĩnh Linh-Vĩnh Hoàng</v>
          </cell>
          <cell r="C373" t="str">
            <v>Quảng Trị</v>
          </cell>
          <cell r="D373">
            <v>4946.7089999999998</v>
          </cell>
          <cell r="E373" t="str">
            <v>Mạng cấp 4</v>
          </cell>
        </row>
        <row r="374">
          <cell r="B374" t="str">
            <v>Vĩnh Hoàng-Bến Quan</v>
          </cell>
          <cell r="C374" t="str">
            <v>Quảng Trị</v>
          </cell>
          <cell r="D374">
            <v>24307.358</v>
          </cell>
          <cell r="E374" t="str">
            <v>Mạng cấp 4</v>
          </cell>
        </row>
        <row r="375">
          <cell r="B375" t="str">
            <v>Bến Quan-Cồn Tiên</v>
          </cell>
          <cell r="C375" t="str">
            <v>Quảng Trị</v>
          </cell>
          <cell r="D375">
            <v>22834.636999999999</v>
          </cell>
          <cell r="E375" t="str">
            <v>Mạng cấp 4</v>
          </cell>
        </row>
        <row r="376">
          <cell r="B376" t="str">
            <v>Cồn Tiên-TTCMKV Cam Lộ</v>
          </cell>
          <cell r="C376" t="str">
            <v>Quảng Trị</v>
          </cell>
          <cell r="D376">
            <v>16054.729999999998</v>
          </cell>
          <cell r="E376" t="str">
            <v>Mạng cấp 4</v>
          </cell>
        </row>
        <row r="377">
          <cell r="B377" t="str">
            <v>TTCMKV Vĩnh Linh-Cửa Tùng</v>
          </cell>
          <cell r="C377" t="str">
            <v>Quảng Trị</v>
          </cell>
          <cell r="D377">
            <v>11903.996999999999</v>
          </cell>
          <cell r="E377" t="str">
            <v>Mạng cấp 4</v>
          </cell>
        </row>
        <row r="378">
          <cell r="B378" t="str">
            <v>Cửa Việt-Hiếu Giang</v>
          </cell>
          <cell r="C378" t="str">
            <v>Quảng Trị</v>
          </cell>
          <cell r="D378">
            <v>22654.578000000005</v>
          </cell>
          <cell r="E378" t="str">
            <v>Mạng cấp 4</v>
          </cell>
        </row>
        <row r="379">
          <cell r="B379" t="str">
            <v>Hiếu Giang-CA Công an Quảng Trị</v>
          </cell>
          <cell r="C379" t="str">
            <v>Quảng Trị</v>
          </cell>
          <cell r="D379">
            <v>8378.6169999999984</v>
          </cell>
          <cell r="E379" t="str">
            <v>Mạng cấp 4</v>
          </cell>
        </row>
        <row r="380">
          <cell r="B380" t="str">
            <v>Cửa Tùng-Phòng PH10 (Nhà Nghỉ dưỡng Cửa Việt)</v>
          </cell>
          <cell r="C380" t="str">
            <v>Quảng Trị</v>
          </cell>
          <cell r="D380">
            <v>21485.168000000001</v>
          </cell>
          <cell r="E380" t="str">
            <v>Mạng cấp 4</v>
          </cell>
        </row>
        <row r="381">
          <cell r="B381" t="str">
            <v>Phòng PH10 (Nhà Nghỉ dưỡng Cửa Việt)-Cửa Việt</v>
          </cell>
          <cell r="C381" t="str">
            <v>Quảng Trị</v>
          </cell>
          <cell r="D381">
            <v>1673.7919999999999</v>
          </cell>
          <cell r="E381" t="str">
            <v>Mạng cấp 4</v>
          </cell>
        </row>
        <row r="382">
          <cell r="B382" t="str">
            <v>TTCMKV Vĩnh Linh-Vĩnh Thủy</v>
          </cell>
          <cell r="C382" t="str">
            <v>Quảng Trị</v>
          </cell>
          <cell r="D382">
            <v>10666.606</v>
          </cell>
          <cell r="E382" t="str">
            <v>Mạng cấp 4</v>
          </cell>
        </row>
        <row r="383">
          <cell r="B383" t="str">
            <v>Vĩnh Thủy-Bến Hải</v>
          </cell>
          <cell r="C383" t="str">
            <v>Quảng Trị</v>
          </cell>
          <cell r="D383">
            <v>11591.893</v>
          </cell>
          <cell r="E383" t="str">
            <v>Mạng cấp 4</v>
          </cell>
        </row>
        <row r="384">
          <cell r="B384" t="str">
            <v>Bến Hải-PC07 (Đội PCCC khu vực 4)</v>
          </cell>
          <cell r="C384" t="str">
            <v>Quảng Trị</v>
          </cell>
          <cell r="D384">
            <v>12900.144</v>
          </cell>
          <cell r="E384" t="str">
            <v>Mạng cấp 4</v>
          </cell>
        </row>
        <row r="385">
          <cell r="B385" t="str">
            <v>PC11A Phân Trại Gio Linh-Gio Linh</v>
          </cell>
          <cell r="C385" t="str">
            <v>Quảng Trị</v>
          </cell>
          <cell r="D385">
            <v>262.42500000000001</v>
          </cell>
          <cell r="E385" t="str">
            <v>Mạng cấp 4</v>
          </cell>
        </row>
        <row r="386">
          <cell r="B386" t="str">
            <v>PC11A Phân Trại Gio Linh-PC07 (Đội PCCC khu vực 4)</v>
          </cell>
          <cell r="C386" t="str">
            <v>Quảng Trị</v>
          </cell>
          <cell r="D386">
            <v>1628.663</v>
          </cell>
          <cell r="E386" t="str">
            <v>Mạng cấp 4</v>
          </cell>
        </row>
        <row r="387">
          <cell r="B387" t="str">
            <v>Gio Linh-Đông Hà</v>
          </cell>
          <cell r="C387" t="str">
            <v>Quảng Trị</v>
          </cell>
          <cell r="D387">
            <v>16852.661000000004</v>
          </cell>
          <cell r="E387" t="str">
            <v>Mạng cấp 4</v>
          </cell>
        </row>
        <row r="388">
          <cell r="B388" t="str">
            <v>Đông Hà-CA Công an Quảng Trị</v>
          </cell>
          <cell r="C388" t="str">
            <v>Quảng Trị</v>
          </cell>
          <cell r="D388">
            <v>6113.5149999999994</v>
          </cell>
          <cell r="E388" t="str">
            <v>Mạng cấp 4</v>
          </cell>
        </row>
        <row r="389">
          <cell r="B389" t="str">
            <v>TTCMKV Hải Lăng-Diên Sanh</v>
          </cell>
          <cell r="C389" t="str">
            <v>Quảng Trị</v>
          </cell>
          <cell r="E389" t="str">
            <v>Mạng cấp 4</v>
          </cell>
        </row>
        <row r="390">
          <cell r="B390" t="str">
            <v>Diên Sanh-Nam Hải Lăng</v>
          </cell>
          <cell r="C390" t="str">
            <v>Quảng Trị</v>
          </cell>
          <cell r="D390">
            <v>10531.88</v>
          </cell>
          <cell r="E390" t="str">
            <v>Mạng cấp 4</v>
          </cell>
        </row>
        <row r="391">
          <cell r="B391" t="str">
            <v>Nam Hải Lăng-Mỹ Thủy</v>
          </cell>
          <cell r="C391" t="str">
            <v>Quảng Trị</v>
          </cell>
          <cell r="D391">
            <v>17872.247000000003</v>
          </cell>
          <cell r="E391" t="str">
            <v>Mạng cấp 4</v>
          </cell>
        </row>
        <row r="392">
          <cell r="B392" t="str">
            <v>Mỹ Thủy-Vĩnh Định</v>
          </cell>
          <cell r="C392" t="str">
            <v>Quảng Trị</v>
          </cell>
          <cell r="D392">
            <v>17456.237000000001</v>
          </cell>
          <cell r="E392" t="str">
            <v>Mạng cấp 4</v>
          </cell>
        </row>
        <row r="393">
          <cell r="B393" t="str">
            <v>Vĩnh Định-TTCMKV TX Quảng Trị</v>
          </cell>
          <cell r="C393" t="str">
            <v>Quảng Trị</v>
          </cell>
          <cell r="D393">
            <v>6088.1580000000013</v>
          </cell>
          <cell r="E393" t="str">
            <v>Mạng cấp 4</v>
          </cell>
        </row>
        <row r="394">
          <cell r="B394" t="str">
            <v>CA Công an Quảng Trị-Triệu Bình</v>
          </cell>
          <cell r="C394" t="str">
            <v>Quảng Trị</v>
          </cell>
          <cell r="D394">
            <v>10523.164000000001</v>
          </cell>
          <cell r="E394" t="str">
            <v>Mạng cấp 4</v>
          </cell>
        </row>
        <row r="395">
          <cell r="B395" t="str">
            <v>Triệu Bình-Nam Cửa Việt</v>
          </cell>
          <cell r="C395" t="str">
            <v>Quảng Trị</v>
          </cell>
          <cell r="D395">
            <v>12871.486000000003</v>
          </cell>
          <cell r="E395" t="str">
            <v>Mạng cấp 4</v>
          </cell>
        </row>
        <row r="396">
          <cell r="B396" t="str">
            <v>Nam Cửa Việt-Triệu Cơ</v>
          </cell>
          <cell r="C396" t="str">
            <v>Quảng Trị</v>
          </cell>
          <cell r="D396">
            <v>18357.006000000001</v>
          </cell>
          <cell r="E396" t="str">
            <v>Mạng cấp 4</v>
          </cell>
        </row>
        <row r="397">
          <cell r="B397" t="str">
            <v>PC07 (Đội PCCC khu vực 5)-Triệu Cơ</v>
          </cell>
          <cell r="C397" t="str">
            <v>Quảng Trị</v>
          </cell>
          <cell r="D397">
            <v>6079.4979999999996</v>
          </cell>
          <cell r="E397" t="str">
            <v>Mạng cấp 4</v>
          </cell>
        </row>
        <row r="398">
          <cell r="B398" t="str">
            <v>Quảng Trị-PC07 (Đội PCCC khu vực 5)</v>
          </cell>
          <cell r="C398" t="str">
            <v>Quảng Trị</v>
          </cell>
          <cell r="D398">
            <v>3177.616</v>
          </cell>
          <cell r="E398" t="str">
            <v>Mạng cấp 4</v>
          </cell>
        </row>
        <row r="399">
          <cell r="B399" t="str">
            <v>Quảng Trị-TTCMKV TX Quảng Trị</v>
          </cell>
          <cell r="C399" t="str">
            <v>Quảng Trị</v>
          </cell>
          <cell r="E399" t="str">
            <v>Mạng cấp 4</v>
          </cell>
        </row>
        <row r="400">
          <cell r="B400" t="str">
            <v>TTCMKV Cam Lộ-Cam Lộ</v>
          </cell>
          <cell r="C400" t="str">
            <v>Quảng Trị</v>
          </cell>
          <cell r="E400" t="str">
            <v>Mạng cấp 4</v>
          </cell>
        </row>
        <row r="401">
          <cell r="B401" t="str">
            <v>Cam Lộ-Nam Đông Hà</v>
          </cell>
          <cell r="C401" t="str">
            <v>Quảng Trị</v>
          </cell>
          <cell r="D401">
            <v>14105.838</v>
          </cell>
          <cell r="E401" t="str">
            <v>Mạng cấp 4</v>
          </cell>
        </row>
        <row r="402">
          <cell r="B402" t="str">
            <v>Nam Đông Hà-CA Công an Quảng Trị</v>
          </cell>
          <cell r="C402" t="str">
            <v>Quảng Trị</v>
          </cell>
          <cell r="D402">
            <v>4285.1750000000002</v>
          </cell>
          <cell r="E402" t="str">
            <v>Mạng cấp 4</v>
          </cell>
        </row>
        <row r="403">
          <cell r="B403" t="str">
            <v>CA Công an Quảng Trị-Triệu Phong</v>
          </cell>
          <cell r="C403" t="str">
            <v>Quảng Trị</v>
          </cell>
          <cell r="D403">
            <v>8659.753999999999</v>
          </cell>
          <cell r="E403" t="str">
            <v>Mạng cấp 4</v>
          </cell>
        </row>
        <row r="404">
          <cell r="B404" t="str">
            <v>Triệu Phong-Ái Tử</v>
          </cell>
          <cell r="C404" t="str">
            <v>Quảng Trị</v>
          </cell>
          <cell r="D404">
            <v>3473.6949999999997</v>
          </cell>
          <cell r="E404" t="str">
            <v>Mạng cấp 4</v>
          </cell>
        </row>
        <row r="405">
          <cell r="B405" t="str">
            <v>Ái Tử-TTCMKV TX Quảng Trị</v>
          </cell>
          <cell r="C405" t="str">
            <v>Quảng Trị</v>
          </cell>
          <cell r="D405">
            <v>7901.1620000000003</v>
          </cell>
          <cell r="E405" t="str">
            <v>Mạng cấp 4</v>
          </cell>
        </row>
        <row r="406">
          <cell r="B406" t="str">
            <v>TTCMKV TX Quảng Trị-Hải Lăng</v>
          </cell>
          <cell r="C406" t="str">
            <v>Quảng Trị</v>
          </cell>
          <cell r="D406">
            <v>2958.13</v>
          </cell>
          <cell r="E406" t="str">
            <v>Mạng cấp 4</v>
          </cell>
        </row>
        <row r="407">
          <cell r="B407" t="str">
            <v>Hải Lăng-TTCMKV Hải Lăng</v>
          </cell>
          <cell r="C407" t="str">
            <v>Quảng Trị</v>
          </cell>
          <cell r="D407">
            <v>6822.3589999999995</v>
          </cell>
          <cell r="E407" t="str">
            <v>Mạng cấp 4</v>
          </cell>
        </row>
        <row r="408">
          <cell r="B408" t="str">
            <v>TTCMKV Đa Krông-Hướng Hiệp</v>
          </cell>
          <cell r="C408" t="str">
            <v>Quảng Trị</v>
          </cell>
          <cell r="E408" t="str">
            <v>Mạng cấp 4</v>
          </cell>
        </row>
        <row r="409">
          <cell r="B409" t="str">
            <v>Hướng Hiệp-Ba Lòng</v>
          </cell>
          <cell r="C409" t="str">
            <v>Quảng Trị</v>
          </cell>
          <cell r="D409">
            <v>9487.6380000000008</v>
          </cell>
          <cell r="E409" t="str">
            <v>Mạng cấp 4</v>
          </cell>
        </row>
        <row r="410">
          <cell r="B410" t="str">
            <v>Ba Lòng-TTCMKV Đa Krông</v>
          </cell>
          <cell r="C410" t="str">
            <v>Quảng Trị</v>
          </cell>
          <cell r="D410">
            <v>9605.59</v>
          </cell>
          <cell r="E410" t="str">
            <v>Mạng cấp 4</v>
          </cell>
        </row>
        <row r="411">
          <cell r="B411" t="str">
            <v>TTCMKV Đa Krông-Đakrông</v>
          </cell>
          <cell r="C411" t="str">
            <v>Quảng Trị</v>
          </cell>
          <cell r="D411">
            <v>11544.849</v>
          </cell>
          <cell r="E411" t="str">
            <v>Mạng cấp 4</v>
          </cell>
        </row>
        <row r="412">
          <cell r="B412" t="str">
            <v>Đakrông-Hướng Phùng</v>
          </cell>
          <cell r="C412" t="str">
            <v>Quảng Trị</v>
          </cell>
          <cell r="D412">
            <v>35460.567000000003</v>
          </cell>
          <cell r="E412" t="str">
            <v>Mạng cấp 4</v>
          </cell>
        </row>
        <row r="413">
          <cell r="B413" t="str">
            <v>Hướng Phùng-Hướng Lập</v>
          </cell>
          <cell r="C413" t="str">
            <v>Quảng Trị</v>
          </cell>
          <cell r="D413">
            <v>28564.816999999999</v>
          </cell>
          <cell r="E413" t="str">
            <v>Mạng cấp 4</v>
          </cell>
        </row>
        <row r="414">
          <cell r="B414" t="str">
            <v>Hướng Lập-Hướng Việt</v>
          </cell>
          <cell r="C414" t="str">
            <v>Quảng Trị</v>
          </cell>
          <cell r="D414">
            <v>9699.4970000000012</v>
          </cell>
          <cell r="E414" t="str">
            <v>Mạng cấp 4</v>
          </cell>
        </row>
        <row r="415">
          <cell r="B415" t="str">
            <v>Hướng Việt-Hướng Phùng</v>
          </cell>
          <cell r="C415" t="str">
            <v>Quảng Trị</v>
          </cell>
          <cell r="D415">
            <v>19060.618000000002</v>
          </cell>
          <cell r="E415" t="str">
            <v>Mạng cấp 4</v>
          </cell>
        </row>
        <row r="416">
          <cell r="B416" t="str">
            <v>Hướng Phùng-Tân Lập</v>
          </cell>
          <cell r="C416" t="str">
            <v>Quảng Trị</v>
          </cell>
          <cell r="D416">
            <v>30391.055</v>
          </cell>
          <cell r="E416" t="str">
            <v>Mạng cấp 4</v>
          </cell>
        </row>
        <row r="417">
          <cell r="B417" t="str">
            <v>Tân Lập-TTCMKV Đa Krông</v>
          </cell>
          <cell r="C417" t="str">
            <v>Quảng Trị</v>
          </cell>
          <cell r="D417">
            <v>27826.027000000002</v>
          </cell>
          <cell r="E417" t="str">
            <v>Mạng cấp 4</v>
          </cell>
        </row>
        <row r="418">
          <cell r="B418" t="str">
            <v>TTCMKV Đa Krông-Lao Bảo</v>
          </cell>
          <cell r="C418" t="str">
            <v>Quảng Trị</v>
          </cell>
          <cell r="D418">
            <v>37866.147999999994</v>
          </cell>
          <cell r="E418" t="str">
            <v>Mạng cấp 4</v>
          </cell>
        </row>
        <row r="419">
          <cell r="B419" t="str">
            <v>Lìa-A Dơi</v>
          </cell>
          <cell r="C419" t="str">
            <v>Quảng Trị</v>
          </cell>
          <cell r="D419">
            <v>6280.0550000000003</v>
          </cell>
          <cell r="E419" t="str">
            <v>Mạng cấp 4</v>
          </cell>
        </row>
        <row r="420">
          <cell r="B420" t="str">
            <v>A Dơi-Ba Tầng</v>
          </cell>
          <cell r="C420" t="str">
            <v>Quảng Trị</v>
          </cell>
          <cell r="D420">
            <v>10115.746000000001</v>
          </cell>
          <cell r="E420" t="str">
            <v>Mạng cấp 4</v>
          </cell>
        </row>
        <row r="421">
          <cell r="B421" t="str">
            <v>Ba Tầng-Khe Sanh</v>
          </cell>
          <cell r="C421" t="str">
            <v>Quảng Trị</v>
          </cell>
          <cell r="D421">
            <v>31250.18</v>
          </cell>
          <cell r="E421" t="str">
            <v>Mạng cấp 4</v>
          </cell>
        </row>
        <row r="422">
          <cell r="B422" t="str">
            <v>Khe Sanh-TTCMKV Đa Krông</v>
          </cell>
          <cell r="C422" t="str">
            <v>Quảng Trị</v>
          </cell>
          <cell r="D422">
            <v>22980.807000000001</v>
          </cell>
          <cell r="E422" t="str">
            <v>Mạng cấp 4</v>
          </cell>
        </row>
        <row r="423">
          <cell r="B423" t="str">
            <v>Lìa-PA08 (Trạm cửa khẩu Lao Bảo)</v>
          </cell>
          <cell r="C423" t="str">
            <v>Quảng Trị</v>
          </cell>
          <cell r="D423">
            <v>27275.567000000003</v>
          </cell>
          <cell r="E423" t="str">
            <v>Mạng cấp 4</v>
          </cell>
        </row>
        <row r="424">
          <cell r="B424" t="str">
            <v>PA08 (Trạm cửa khẩu Lao Bảo)-PC07 (Đội PCCC Khu vực 2)</v>
          </cell>
          <cell r="C424" t="str">
            <v>Quảng Trị</v>
          </cell>
          <cell r="D424">
            <v>2199.2260000000001</v>
          </cell>
          <cell r="E424" t="str">
            <v>Mạng cấp 4</v>
          </cell>
        </row>
        <row r="425">
          <cell r="B425" t="str">
            <v>PC07 (Đội PCCC Khu vực 2)-Lao Bảo</v>
          </cell>
          <cell r="C425" t="str">
            <v>Quảng Trị</v>
          </cell>
          <cell r="D425">
            <v>3912.2040000000006</v>
          </cell>
          <cell r="E425" t="str">
            <v>Mạng cấp 4</v>
          </cell>
        </row>
        <row r="426">
          <cell r="B426" t="str">
            <v>TTCMKV Đa Krông-Húc Nghì</v>
          </cell>
          <cell r="C426" t="str">
            <v>Quảng Trị</v>
          </cell>
          <cell r="D426">
            <v>38636.692000000003</v>
          </cell>
          <cell r="E426" t="str">
            <v>Mạng cấp 4</v>
          </cell>
        </row>
        <row r="427">
          <cell r="B427" t="str">
            <v>Húc Nghì-Tà Rụt</v>
          </cell>
          <cell r="C427" t="str">
            <v>Quảng Trị</v>
          </cell>
          <cell r="D427">
            <v>17060.067999999999</v>
          </cell>
          <cell r="E427" t="str">
            <v>Mạng cấp 4</v>
          </cell>
        </row>
        <row r="428">
          <cell r="B428" t="str">
            <v>Tà Rụt-La Lay</v>
          </cell>
          <cell r="C428" t="str">
            <v>Quảng Trị</v>
          </cell>
          <cell r="D428">
            <v>3302.1890000000003</v>
          </cell>
          <cell r="E428" t="str">
            <v>Mạng cấp 4</v>
          </cell>
        </row>
        <row r="429">
          <cell r="B429" t="str">
            <v>La Lay-Đak Rong (CS2-Tà Long)</v>
          </cell>
          <cell r="C429" t="str">
            <v>Quảng Trị</v>
          </cell>
          <cell r="D429">
            <v>28183.628000000004</v>
          </cell>
          <cell r="E429" t="str">
            <v>Mạng cấp 4</v>
          </cell>
        </row>
        <row r="430">
          <cell r="B430" t="str">
            <v>Đak Rong (CS2-Tà Long)-CAH Đa Krông</v>
          </cell>
          <cell r="C430" t="str">
            <v>Quảng Trị</v>
          </cell>
          <cell r="D430">
            <v>28851.736000000001</v>
          </cell>
          <cell r="E430" t="str">
            <v>Mạng cấp 4</v>
          </cell>
        </row>
        <row r="431">
          <cell r="B431" t="str">
            <v>TTCMKV Quảng Ninh - CA xã Trường Ninh</v>
          </cell>
          <cell r="C431" t="str">
            <v>Quảng Trị</v>
          </cell>
          <cell r="D431">
            <v>13145</v>
          </cell>
          <cell r="E431" t="str">
            <v>Mạng cấp 4</v>
          </cell>
        </row>
        <row r="432">
          <cell r="B432" t="str">
            <v>CA xã Trường Ninh - CA xã Lệ Ninh</v>
          </cell>
          <cell r="C432" t="str">
            <v>Quảng Trị</v>
          </cell>
          <cell r="D432">
            <v>16001</v>
          </cell>
          <cell r="E432" t="str">
            <v>Mạng cấp 4</v>
          </cell>
        </row>
        <row r="433">
          <cell r="B433" t="str">
            <v>CA xã Lệ Ninh - CA xã Trường Phú</v>
          </cell>
          <cell r="C433" t="str">
            <v>Quảng Trị</v>
          </cell>
          <cell r="D433">
            <v>20584</v>
          </cell>
          <cell r="E433" t="str">
            <v>Mạng cấp 4</v>
          </cell>
        </row>
        <row r="434">
          <cell r="B434" t="str">
            <v>CA xã Trường Phú - TTCMKV Lệ Thủy</v>
          </cell>
          <cell r="C434" t="str">
            <v>Quảng Trị</v>
          </cell>
          <cell r="D434">
            <v>12859</v>
          </cell>
          <cell r="E434" t="str">
            <v>Mạng cấp 4</v>
          </cell>
        </row>
        <row r="435">
          <cell r="B435" t="str">
            <v>TTCMKV Đồng Hới - CA xã Trường Sơn</v>
          </cell>
          <cell r="C435" t="str">
            <v>Quảng Trị</v>
          </cell>
          <cell r="D435">
            <v>54643</v>
          </cell>
          <cell r="E435" t="str">
            <v>Mạng cấp 4</v>
          </cell>
        </row>
        <row r="436">
          <cell r="B436" t="str">
            <v>CA xã Trường Sơn - CA xã Kim Ngân</v>
          </cell>
          <cell r="C436" t="str">
            <v>Quảng Trị</v>
          </cell>
          <cell r="D436">
            <v>51854</v>
          </cell>
          <cell r="E436" t="str">
            <v>Mạng cấp 4</v>
          </cell>
        </row>
        <row r="437">
          <cell r="B437" t="str">
            <v>CA xã Kim Ngân - TTCMKV Lệ Thủy</v>
          </cell>
          <cell r="C437" t="str">
            <v>Quảng Trị</v>
          </cell>
          <cell r="D437">
            <v>18137</v>
          </cell>
          <cell r="E437" t="str">
            <v>Mạng cấp 4</v>
          </cell>
        </row>
        <row r="438">
          <cell r="B438" t="str">
            <v>TTCMKV Lệ Thủy - CA xã Lệ Thủy</v>
          </cell>
          <cell r="C438" t="str">
            <v>Quảng Trị</v>
          </cell>
          <cell r="D438">
            <v>0</v>
          </cell>
          <cell r="E438" t="str">
            <v>Mạng cấp 4</v>
          </cell>
        </row>
        <row r="439">
          <cell r="B439" t="str">
            <v>CA xã Lệ Thủy - CA xã Cam Hồng</v>
          </cell>
          <cell r="C439" t="str">
            <v>Quảng Trị</v>
          </cell>
          <cell r="D439">
            <v>6957</v>
          </cell>
          <cell r="E439" t="str">
            <v>Mạng cấp 4</v>
          </cell>
        </row>
        <row r="440">
          <cell r="B440" t="str">
            <v>CA xã Cam Hồng - CA xã Tân Mỹ</v>
          </cell>
          <cell r="C440" t="str">
            <v>Quảng Trị</v>
          </cell>
          <cell r="D440">
            <v>6736</v>
          </cell>
          <cell r="E440" t="str">
            <v>Mạng cấp 4</v>
          </cell>
        </row>
        <row r="441">
          <cell r="B441" t="str">
            <v>CA xã Tân Mỹ - CA xã Sen Ngư</v>
          </cell>
          <cell r="C441" t="str">
            <v>Quảng Trị</v>
          </cell>
          <cell r="D441">
            <v>18526</v>
          </cell>
          <cell r="E441" t="str">
            <v>Mạng cấp 4</v>
          </cell>
        </row>
        <row r="442">
          <cell r="B442" t="str">
            <v>CA xã Sen Ngư - CA xã Ninh Châu</v>
          </cell>
          <cell r="C442" t="str">
            <v>Quảng Trị</v>
          </cell>
          <cell r="D442">
            <v>44648</v>
          </cell>
          <cell r="E442" t="str">
            <v>Mạng cấp 4</v>
          </cell>
        </row>
        <row r="443">
          <cell r="B443" t="str">
            <v>CA xã Ninh Châu - TTCMKV Quảng Ninh</v>
          </cell>
          <cell r="C443" t="str">
            <v>Quảng Trị</v>
          </cell>
          <cell r="D443">
            <v>13837</v>
          </cell>
          <cell r="E443" t="str">
            <v>Mạng cấp 4</v>
          </cell>
        </row>
        <row r="444">
          <cell r="B444" t="str">
            <v>TTCMKV Quảng Ninh - CA xã Quảng Ninh</v>
          </cell>
          <cell r="C444" t="str">
            <v>Quảng Trị</v>
          </cell>
          <cell r="D444">
            <v>2805</v>
          </cell>
          <cell r="E444" t="str">
            <v>Mạng cấp 4</v>
          </cell>
        </row>
        <row r="445">
          <cell r="B445" t="str">
            <v>CA xã Quảng Ninh - CA phường Đồng Hới</v>
          </cell>
          <cell r="C445" t="str">
            <v>Quảng Trị</v>
          </cell>
          <cell r="D445">
            <v>8198</v>
          </cell>
          <cell r="E445" t="str">
            <v>Mạng cấp 4</v>
          </cell>
        </row>
        <row r="446">
          <cell r="B446" t="str">
            <v>CA phường Đồng Hới - CA phường Đồng Sơn</v>
          </cell>
          <cell r="C446" t="str">
            <v>Quảng Trị</v>
          </cell>
          <cell r="D446">
            <v>6336</v>
          </cell>
          <cell r="E446" t="str">
            <v>Mạng cấp 4</v>
          </cell>
        </row>
        <row r="447">
          <cell r="B447" t="str">
            <v>CA phường Đồng Sơn - CA phường Đồng Thuận</v>
          </cell>
          <cell r="C447" t="str">
            <v>Quảng Trị</v>
          </cell>
          <cell r="D447">
            <v>9451</v>
          </cell>
          <cell r="E447" t="str">
            <v>Mạng cấp 4</v>
          </cell>
        </row>
        <row r="448">
          <cell r="B448" t="str">
            <v>CA phường Đồng Thuận - TTCMKV Đồng Hới</v>
          </cell>
          <cell r="C448" t="str">
            <v>Quảng Trị</v>
          </cell>
          <cell r="D448">
            <v>7681</v>
          </cell>
          <cell r="E448" t="str">
            <v>Mạng cấp 4</v>
          </cell>
        </row>
        <row r="449">
          <cell r="B449" t="str">
            <v>TTCMKV  Ba Đồn - CA xã Nam Ba Đồn</v>
          </cell>
          <cell r="C449" t="str">
            <v>Quảng Trị</v>
          </cell>
          <cell r="D449">
            <v>11240</v>
          </cell>
          <cell r="E449" t="str">
            <v>Mạng cấp 4</v>
          </cell>
        </row>
        <row r="450">
          <cell r="B450" t="str">
            <v>CA xã Nam Ba Đồn - CA xã Nam Gianh</v>
          </cell>
          <cell r="C450" t="str">
            <v>Quảng Trị</v>
          </cell>
          <cell r="D450">
            <v>0</v>
          </cell>
          <cell r="E450" t="str">
            <v>Mạng cấp 4</v>
          </cell>
        </row>
        <row r="451">
          <cell r="B451" t="str">
            <v>CA xã Nam Gianh - CA xã Phong Nha</v>
          </cell>
          <cell r="C451" t="str">
            <v>Quảng Trị</v>
          </cell>
          <cell r="D451">
            <v>27242</v>
          </cell>
          <cell r="E451" t="str">
            <v>Mạng cấp 4</v>
          </cell>
        </row>
        <row r="452">
          <cell r="B452" t="str">
            <v>CA xã Phong Nha - CA xã Thượng Trạch</v>
          </cell>
          <cell r="C452" t="str">
            <v>Quảng Trị</v>
          </cell>
          <cell r="D452">
            <v>41096</v>
          </cell>
          <cell r="E452" t="str">
            <v>Mạng cấp 4</v>
          </cell>
        </row>
        <row r="453">
          <cell r="B453" t="str">
            <v>CA xã Thượng Trạch - CA xã Bố Trạch</v>
          </cell>
          <cell r="C453" t="str">
            <v>Quảng Trị</v>
          </cell>
          <cell r="D453">
            <v>48386</v>
          </cell>
          <cell r="E453" t="str">
            <v>Mạng cấp 4</v>
          </cell>
        </row>
        <row r="454">
          <cell r="B454" t="str">
            <v>CA xã Bố Trạch - TTCMKV Bố Trạch</v>
          </cell>
          <cell r="C454" t="str">
            <v>Quảng Trị</v>
          </cell>
          <cell r="D454">
            <v>22296</v>
          </cell>
          <cell r="E454" t="str">
            <v>Mạng cấp 4</v>
          </cell>
        </row>
        <row r="455">
          <cell r="B455" t="str">
            <v>TTCMKV Bố Trạch - CA xã Hoàn Lão</v>
          </cell>
          <cell r="C455" t="str">
            <v>Quảng Trị</v>
          </cell>
          <cell r="D455">
            <v>0</v>
          </cell>
          <cell r="E455" t="str">
            <v>Mạng cấp 4</v>
          </cell>
        </row>
        <row r="456">
          <cell r="B456" t="str">
            <v>CA xã Hoàn Lão - CA xã Nam Trạch</v>
          </cell>
          <cell r="C456" t="str">
            <v>Quảng Trị</v>
          </cell>
          <cell r="D456">
            <v>10176</v>
          </cell>
          <cell r="E456" t="str">
            <v>Mạng cấp 4</v>
          </cell>
        </row>
        <row r="457">
          <cell r="B457" t="str">
            <v>CA xã Nam Trạch - CA xã Đông Trạch</v>
          </cell>
          <cell r="C457" t="str">
            <v>Quảng Trị</v>
          </cell>
          <cell r="D457">
            <v>16016</v>
          </cell>
          <cell r="E457" t="str">
            <v>Mạng cấp 4</v>
          </cell>
        </row>
        <row r="458">
          <cell r="B458" t="str">
            <v>CA xã Đông Trạch - CA xã Bắc Trạch</v>
          </cell>
          <cell r="C458" t="str">
            <v>Quảng Trị</v>
          </cell>
          <cell r="D458">
            <v>14576</v>
          </cell>
          <cell r="E458" t="str">
            <v>Mạng cấp 4</v>
          </cell>
        </row>
        <row r="459">
          <cell r="B459" t="str">
            <v>CA xã Bắc Trạch - TTCMKV  Ba Đồn</v>
          </cell>
          <cell r="C459" t="str">
            <v>Quảng Trị</v>
          </cell>
          <cell r="D459">
            <v>6964</v>
          </cell>
          <cell r="E459" t="str">
            <v>Mạng cấp 4</v>
          </cell>
        </row>
        <row r="460">
          <cell r="B460" t="str">
            <v>PC07_Đội KV8 - CA Phường Ba Đồn</v>
          </cell>
          <cell r="C460" t="str">
            <v>Quảng Trị</v>
          </cell>
          <cell r="D460">
            <v>1416</v>
          </cell>
          <cell r="E460" t="str">
            <v>Mạng cấp 4</v>
          </cell>
        </row>
        <row r="461">
          <cell r="B461" t="str">
            <v>TTCMKV  Ba Đồn - CA phường Ba Đồn</v>
          </cell>
          <cell r="C461" t="str">
            <v>Quảng Trị</v>
          </cell>
          <cell r="D461">
            <v>5237</v>
          </cell>
          <cell r="E461" t="str">
            <v>Mạng cấp 4</v>
          </cell>
        </row>
        <row r="462">
          <cell r="B462" t="str">
            <v>CA phường Ba Đồn - CA xã Tân Gianh</v>
          </cell>
          <cell r="C462" t="str">
            <v>Quảng Trị</v>
          </cell>
          <cell r="D462">
            <v>2157</v>
          </cell>
          <cell r="E462" t="str">
            <v>Mạng cấp 4</v>
          </cell>
        </row>
        <row r="463">
          <cell r="B463" t="str">
            <v>CA xã Tân Gianh - CA xã Tuyên Hóa</v>
          </cell>
          <cell r="C463" t="str">
            <v>Quảng Trị</v>
          </cell>
          <cell r="D463">
            <v>19467</v>
          </cell>
          <cell r="E463" t="str">
            <v>Mạng cấp 4</v>
          </cell>
        </row>
        <row r="464">
          <cell r="B464" t="str">
            <v>CA xã Tuyên Hóa - CA xã Tuyên Bình</v>
          </cell>
          <cell r="C464" t="str">
            <v>Quảng Trị</v>
          </cell>
          <cell r="D464">
            <v>4506</v>
          </cell>
          <cell r="E464" t="str">
            <v>Mạng cấp 4</v>
          </cell>
        </row>
        <row r="465">
          <cell r="B465" t="str">
            <v>CA xã Tuyên Bình - CA xã Tuyên Phú</v>
          </cell>
          <cell r="C465" t="str">
            <v>Quảng Trị</v>
          </cell>
          <cell r="D465">
            <v>12717</v>
          </cell>
          <cell r="E465" t="str">
            <v>Mạng cấp 4</v>
          </cell>
        </row>
        <row r="466">
          <cell r="B466" t="str">
            <v>CA xã Tuyên Phú - TTCMKV Tuyên Hóa</v>
          </cell>
          <cell r="C466" t="str">
            <v>Quảng Trị</v>
          </cell>
          <cell r="D466">
            <v>9430</v>
          </cell>
          <cell r="E466" t="str">
            <v>Mạng cấp 4</v>
          </cell>
        </row>
        <row r="467">
          <cell r="B467" t="str">
            <v>TTCMKV  Ba Đồn - CA phường Bắc Gianh</v>
          </cell>
          <cell r="C467" t="str">
            <v>Quảng Trị</v>
          </cell>
          <cell r="D467">
            <v>0</v>
          </cell>
          <cell r="E467" t="str">
            <v>Mạng cấp 4</v>
          </cell>
        </row>
        <row r="468">
          <cell r="B468" t="str">
            <v>CA phường Bắc Gianh - CA xã Hòa Trạch</v>
          </cell>
          <cell r="C468" t="str">
            <v>Quảng Trị</v>
          </cell>
          <cell r="D468">
            <v>18012</v>
          </cell>
          <cell r="E468" t="str">
            <v>Mạng cấp 4</v>
          </cell>
        </row>
        <row r="469">
          <cell r="B469" t="str">
            <v>CA xã Hòa Trạch - CA xã Phú Trạch</v>
          </cell>
          <cell r="C469" t="str">
            <v>Quảng Trị</v>
          </cell>
          <cell r="D469">
            <v>10021</v>
          </cell>
          <cell r="E469" t="str">
            <v>Mạng cấp 4</v>
          </cell>
        </row>
        <row r="470">
          <cell r="B470" t="str">
            <v>CA xã Phú Trạch - CA xã Trung Thuần</v>
          </cell>
          <cell r="C470" t="str">
            <v>Quảng Trị</v>
          </cell>
          <cell r="D470">
            <v>20417</v>
          </cell>
          <cell r="E470" t="str">
            <v>Mạng cấp 4</v>
          </cell>
        </row>
        <row r="471">
          <cell r="B471" t="str">
            <v>CA xã Trung Thuần - CA xã Quảng Trạch</v>
          </cell>
          <cell r="C471" t="str">
            <v>Quảng Trị</v>
          </cell>
          <cell r="D471">
            <v>10847</v>
          </cell>
          <cell r="E471" t="str">
            <v>Mạng cấp 4</v>
          </cell>
        </row>
        <row r="472">
          <cell r="B472" t="str">
            <v>CA xã Quảng Trạch - TTCMKV  Ba Đồn</v>
          </cell>
          <cell r="C472" t="str">
            <v>Quảng Trị</v>
          </cell>
          <cell r="D472">
            <v>8862</v>
          </cell>
          <cell r="E472" t="str">
            <v>Mạng cấp 4</v>
          </cell>
        </row>
        <row r="473">
          <cell r="B473" t="str">
            <v>TTCMKV Minh Hóa - CA xã Minh Hóa</v>
          </cell>
          <cell r="C473" t="str">
            <v>Quảng Trị</v>
          </cell>
          <cell r="D473">
            <v>2008</v>
          </cell>
          <cell r="E473" t="str">
            <v>Mạng cấp 4</v>
          </cell>
        </row>
        <row r="474">
          <cell r="B474" t="str">
            <v>CA xã Minh Hóa - CA xã Kim Phú</v>
          </cell>
          <cell r="C474" t="str">
            <v>Quảng Trị</v>
          </cell>
          <cell r="D474">
            <v>8711</v>
          </cell>
          <cell r="E474" t="str">
            <v>Mạng cấp 4</v>
          </cell>
        </row>
        <row r="475">
          <cell r="B475" t="str">
            <v>CA xã Kim Phú - CA xã Kim Điền</v>
          </cell>
          <cell r="C475" t="str">
            <v>Quảng Trị</v>
          </cell>
          <cell r="D475">
            <v>21630</v>
          </cell>
          <cell r="E475" t="str">
            <v>Mạng cấp 4</v>
          </cell>
        </row>
        <row r="476">
          <cell r="B476" t="str">
            <v>CA xã Kim Điền - CA Xã Tân Thành</v>
          </cell>
          <cell r="C476" t="str">
            <v>Quảng Trị</v>
          </cell>
          <cell r="D476">
            <v>23456</v>
          </cell>
          <cell r="E476" t="str">
            <v>Mạng cấp 4</v>
          </cell>
        </row>
        <row r="477">
          <cell r="B477" t="str">
            <v>CA Xã Tân Thành - TTCMKV Tuyên Hóa</v>
          </cell>
          <cell r="C477" t="str">
            <v>Quảng Trị</v>
          </cell>
          <cell r="D477">
            <v>52733</v>
          </cell>
          <cell r="E477" t="str">
            <v>Mạng cấp 4</v>
          </cell>
        </row>
        <row r="478">
          <cell r="B478" t="str">
            <v>TTCMKV Tuyên Hóa - CA xã Đồng Lê</v>
          </cell>
          <cell r="C478" t="str">
            <v>Quảng Trị</v>
          </cell>
          <cell r="D478">
            <v>0</v>
          </cell>
          <cell r="E478" t="str">
            <v>Mạng cấp 4</v>
          </cell>
        </row>
        <row r="479">
          <cell r="B479" t="str">
            <v>CA xã Đồng Lê - CA xã Tuyên Sơn</v>
          </cell>
          <cell r="C479" t="str">
            <v>Quảng Trị</v>
          </cell>
          <cell r="D479">
            <v>27547</v>
          </cell>
          <cell r="E479" t="str">
            <v>Mạng cấp 4</v>
          </cell>
        </row>
        <row r="480">
          <cell r="B480" t="str">
            <v>CA xã Tuyên Sơn - CA xã Tuyên Lâm</v>
          </cell>
          <cell r="C480" t="str">
            <v>Quảng Trị</v>
          </cell>
          <cell r="D480">
            <v>19372</v>
          </cell>
          <cell r="E480" t="str">
            <v>Mạng cấp 4</v>
          </cell>
        </row>
        <row r="481">
          <cell r="B481" t="str">
            <v>CA xã Tuyên Lâm - CA xã Dân Hóa</v>
          </cell>
          <cell r="C481" t="str">
            <v>Quảng Trị</v>
          </cell>
          <cell r="D481">
            <v>20766</v>
          </cell>
          <cell r="E481" t="str">
            <v>Mạng cấp 4</v>
          </cell>
        </row>
        <row r="482">
          <cell r="B482" t="str">
            <v>CA xã Dân Hóa - TTCMKV Minh Hóa</v>
          </cell>
          <cell r="C482" t="str">
            <v>Quảng Trị</v>
          </cell>
          <cell r="D482">
            <v>45522</v>
          </cell>
          <cell r="E482" t="str">
            <v>Mạng cấp 4</v>
          </cell>
        </row>
        <row r="483">
          <cell r="B483" t="str">
            <v>TTCMKV Phú Vang-Phú Vinh</v>
          </cell>
          <cell r="C483" t="str">
            <v>Huế</v>
          </cell>
          <cell r="D483">
            <v>9660</v>
          </cell>
          <cell r="E483" t="str">
            <v>Mạng cấp 4</v>
          </cell>
        </row>
        <row r="484">
          <cell r="B484" t="str">
            <v>Phú Vinh-Vinh Lộc</v>
          </cell>
          <cell r="C484" t="str">
            <v>Huế</v>
          </cell>
          <cell r="D484">
            <v>14300</v>
          </cell>
          <cell r="E484" t="str">
            <v>Mạng cấp 4</v>
          </cell>
        </row>
        <row r="485">
          <cell r="B485" t="str">
            <v>Vinh Lộc-Chân Mây_Lăng Cô</v>
          </cell>
          <cell r="C485" t="str">
            <v>Huế</v>
          </cell>
          <cell r="D485">
            <v>34360</v>
          </cell>
          <cell r="E485" t="str">
            <v>Mạng cấp 4</v>
          </cell>
        </row>
        <row r="486">
          <cell r="B486" t="str">
            <v>Chân Mây_Lăng Cô-Phú Lộc</v>
          </cell>
          <cell r="C486" t="str">
            <v>Huế</v>
          </cell>
          <cell r="D486">
            <v>28873</v>
          </cell>
          <cell r="E486" t="str">
            <v>Mạng cấp 4</v>
          </cell>
        </row>
        <row r="487">
          <cell r="B487" t="str">
            <v>Phú Lộc-CA TTCMKV Phú Lộc</v>
          </cell>
          <cell r="C487" t="str">
            <v>Huế</v>
          </cell>
          <cell r="D487">
            <v>0</v>
          </cell>
          <cell r="E487" t="str">
            <v>Mạng cấp 4</v>
          </cell>
        </row>
        <row r="488">
          <cell r="B488" t="str">
            <v>TTCMKV TX Hương Thủy-Phú Bài</v>
          </cell>
          <cell r="C488" t="str">
            <v>Huế</v>
          </cell>
          <cell r="D488">
            <v>0</v>
          </cell>
          <cell r="E488" t="str">
            <v>Mạng cấp 4</v>
          </cell>
        </row>
        <row r="489">
          <cell r="B489" t="str">
            <v>Phú Bài-Hưng Lộc</v>
          </cell>
          <cell r="C489" t="str">
            <v>Huế</v>
          </cell>
          <cell r="D489">
            <v>23891</v>
          </cell>
          <cell r="E489" t="str">
            <v>Mạng cấp 4</v>
          </cell>
        </row>
        <row r="490">
          <cell r="B490" t="str">
            <v>Hưng Lộc-Lộc An</v>
          </cell>
          <cell r="C490" t="str">
            <v>Huế</v>
          </cell>
          <cell r="D490">
            <v>23961</v>
          </cell>
          <cell r="E490" t="str">
            <v>Mạng cấp 4</v>
          </cell>
        </row>
        <row r="491">
          <cell r="B491" t="str">
            <v>Lộc An-CA TTCMKV Phú Lộc</v>
          </cell>
          <cell r="C491" t="str">
            <v>Huế</v>
          </cell>
          <cell r="D491">
            <v>11710</v>
          </cell>
          <cell r="E491" t="str">
            <v>Mạng cấp 4</v>
          </cell>
        </row>
        <row r="492">
          <cell r="B492" t="str">
            <v>TTCMKV Phong Điền-Phong Điền</v>
          </cell>
          <cell r="C492" t="str">
            <v>Huế</v>
          </cell>
          <cell r="D492">
            <v>0</v>
          </cell>
          <cell r="E492" t="str">
            <v>Mạng cấp 4</v>
          </cell>
        </row>
        <row r="493">
          <cell r="B493" t="str">
            <v>Phong Điền-Phong Dinh</v>
          </cell>
          <cell r="C493" t="str">
            <v>Huế</v>
          </cell>
          <cell r="D493">
            <v>13475</v>
          </cell>
          <cell r="E493" t="str">
            <v>Mạng cấp 4</v>
          </cell>
        </row>
        <row r="494">
          <cell r="B494" t="str">
            <v>Phong Dinh-TTCMKV Quảng Điền</v>
          </cell>
          <cell r="C494" t="str">
            <v>Huế</v>
          </cell>
          <cell r="D494">
            <v>20000</v>
          </cell>
          <cell r="E494" t="str">
            <v>Mạng cấp 4</v>
          </cell>
        </row>
        <row r="495">
          <cell r="B495" t="str">
            <v>TTCMKV Phong Điền-Phong Phú</v>
          </cell>
          <cell r="C495" t="str">
            <v>Huế</v>
          </cell>
          <cell r="D495">
            <v>22115</v>
          </cell>
          <cell r="E495" t="str">
            <v>Mạng cấp 4</v>
          </cell>
        </row>
        <row r="496">
          <cell r="B496" t="str">
            <v>Phong Phú-Phong Quảng</v>
          </cell>
          <cell r="C496" t="str">
            <v>Huế</v>
          </cell>
          <cell r="D496">
            <v>15744</v>
          </cell>
          <cell r="E496" t="str">
            <v>Mạng cấp 4</v>
          </cell>
        </row>
        <row r="497">
          <cell r="B497" t="str">
            <v>Phong Quảng-TTCMKV Quảng
Điền</v>
          </cell>
          <cell r="C497" t="str">
            <v>Huế</v>
          </cell>
          <cell r="D497">
            <v>31960</v>
          </cell>
          <cell r="E497" t="str">
            <v>Mạng cấp 4</v>
          </cell>
        </row>
        <row r="498">
          <cell r="B498" t="str">
            <v>TTCMKV Phong Điền-Phong Thái</v>
          </cell>
          <cell r="C498" t="str">
            <v>Huế</v>
          </cell>
          <cell r="D498">
            <v>10450</v>
          </cell>
          <cell r="E498" t="str">
            <v>Mạng cấp 4</v>
          </cell>
        </row>
        <row r="499">
          <cell r="B499" t="str">
            <v>Phong Thái-Hương Trà</v>
          </cell>
          <cell r="C499" t="str">
            <v>Huế</v>
          </cell>
          <cell r="D499">
            <v>5926</v>
          </cell>
          <cell r="E499" t="str">
            <v>Mạng cấp 4</v>
          </cell>
        </row>
        <row r="500">
          <cell r="B500" t="str">
            <v>Hương Trà-Đan Điền</v>
          </cell>
          <cell r="C500" t="str">
            <v>Huế</v>
          </cell>
          <cell r="D500">
            <v>3203</v>
          </cell>
          <cell r="E500" t="str">
            <v>Mạng cấp 4</v>
          </cell>
        </row>
        <row r="501">
          <cell r="B501" t="str">
            <v>Đan Điền-Quảng Điền</v>
          </cell>
          <cell r="C501" t="str">
            <v>Huế</v>
          </cell>
          <cell r="D501">
            <v>8022</v>
          </cell>
          <cell r="E501" t="str">
            <v>Mạng cấp 4</v>
          </cell>
        </row>
        <row r="502">
          <cell r="B502" t="str">
            <v>Quảng Điền-TTCMKV Quảng Điền</v>
          </cell>
          <cell r="C502" t="str">
            <v>Huế</v>
          </cell>
          <cell r="D502">
            <v>0</v>
          </cell>
          <cell r="E502" t="str">
            <v>Mạng cấp 4</v>
          </cell>
        </row>
        <row r="503">
          <cell r="B503" t="str">
            <v>TTCMKV Quảng Điền-Kim Trà</v>
          </cell>
          <cell r="C503" t="str">
            <v>Huế</v>
          </cell>
          <cell r="D503">
            <v>15519</v>
          </cell>
          <cell r="E503" t="str">
            <v>Mạng cấp 4</v>
          </cell>
        </row>
        <row r="504">
          <cell r="B504" t="str">
            <v>Kim Trà-Hương An</v>
          </cell>
          <cell r="C504" t="str">
            <v>Huế</v>
          </cell>
          <cell r="D504">
            <v>4275</v>
          </cell>
          <cell r="E504" t="str">
            <v>Mạng cấp 4</v>
          </cell>
        </row>
        <row r="505">
          <cell r="B505" t="str">
            <v>Hương An-Kim Long</v>
          </cell>
          <cell r="C505" t="str">
            <v>Huế</v>
          </cell>
          <cell r="D505">
            <v>5600</v>
          </cell>
          <cell r="E505" t="str">
            <v>Mạng cấp 4</v>
          </cell>
        </row>
        <row r="506">
          <cell r="B506" t="str">
            <v>Kim Long-CAT Thừa Thiên Huế</v>
          </cell>
          <cell r="C506" t="str">
            <v>Huế</v>
          </cell>
          <cell r="D506">
            <v>17965</v>
          </cell>
          <cell r="E506" t="str">
            <v>Mạng cấp 4</v>
          </cell>
        </row>
        <row r="507">
          <cell r="B507" t="str">
            <v>TTCMKV Quảng Điền-Hóa Châu</v>
          </cell>
          <cell r="C507" t="str">
            <v>Huế</v>
          </cell>
          <cell r="D507">
            <v>10955</v>
          </cell>
          <cell r="E507" t="str">
            <v>Mạng cấp 4</v>
          </cell>
        </row>
        <row r="508">
          <cell r="B508" t="str">
            <v>Hóa Châu-Mỹ Thượng</v>
          </cell>
          <cell r="C508" t="str">
            <v>Huế</v>
          </cell>
          <cell r="D508">
            <v>15695</v>
          </cell>
          <cell r="E508" t="str">
            <v>Mạng cấp 4</v>
          </cell>
        </row>
        <row r="509">
          <cell r="B509" t="str">
            <v>Mỹ Thượng-Phú Xuân</v>
          </cell>
          <cell r="C509" t="str">
            <v>Huế</v>
          </cell>
          <cell r="D509">
            <v>5811</v>
          </cell>
          <cell r="E509" t="str">
            <v>Mạng cấp 4</v>
          </cell>
        </row>
        <row r="510">
          <cell r="B510" t="str">
            <v>Phú Xuân-CAT Thừa Thiên Huế</v>
          </cell>
          <cell r="C510" t="str">
            <v>Huế</v>
          </cell>
          <cell r="D510">
            <v>7165</v>
          </cell>
          <cell r="E510" t="str">
            <v>Mạng cấp 4</v>
          </cell>
        </row>
        <row r="511">
          <cell r="B511" t="str">
            <v>CAT Thừa Thiên Huế-Dương Nỗ</v>
          </cell>
          <cell r="C511" t="str">
            <v>Huế</v>
          </cell>
          <cell r="D511">
            <v>7792</v>
          </cell>
          <cell r="E511" t="str">
            <v>Mạng cấp 4</v>
          </cell>
        </row>
        <row r="512">
          <cell r="B512" t="str">
            <v>Dương Nỗ-Thuận An</v>
          </cell>
          <cell r="C512" t="str">
            <v>Huế</v>
          </cell>
          <cell r="D512">
            <v>5999</v>
          </cell>
          <cell r="E512" t="str">
            <v>Mạng cấp 4</v>
          </cell>
        </row>
        <row r="513">
          <cell r="B513" t="str">
            <v>Thuận An-TTCMKV Phú Vang</v>
          </cell>
          <cell r="C513" t="str">
            <v>Huế</v>
          </cell>
          <cell r="D513">
            <v>33013</v>
          </cell>
          <cell r="E513" t="str">
            <v>Mạng cấp 4</v>
          </cell>
        </row>
        <row r="514">
          <cell r="B514" t="str">
            <v>CAT Thừa Thiên Huế-Thuận Hóa</v>
          </cell>
          <cell r="C514" t="str">
            <v>Huế</v>
          </cell>
          <cell r="D514">
            <v>10596</v>
          </cell>
          <cell r="E514" t="str">
            <v>Mạng cấp 4</v>
          </cell>
        </row>
        <row r="515">
          <cell r="B515" t="str">
            <v>Thuận Hóa-An Cựu</v>
          </cell>
          <cell r="C515" t="str">
            <v>Huế</v>
          </cell>
          <cell r="D515">
            <v>3592</v>
          </cell>
          <cell r="E515" t="str">
            <v>Mạng cấp 4</v>
          </cell>
        </row>
        <row r="516">
          <cell r="B516" t="str">
            <v>An Cựu-Phú Hồ</v>
          </cell>
          <cell r="C516" t="str">
            <v>Huế</v>
          </cell>
          <cell r="D516">
            <v>12200</v>
          </cell>
          <cell r="E516" t="str">
            <v>Mạng cấp 4</v>
          </cell>
        </row>
        <row r="517">
          <cell r="B517" t="str">
            <v>Phú Hồ-Phú Vang</v>
          </cell>
          <cell r="C517" t="str">
            <v>Huế</v>
          </cell>
          <cell r="D517">
            <v>7650</v>
          </cell>
          <cell r="E517" t="str">
            <v>Mạng cấp 4</v>
          </cell>
        </row>
        <row r="518">
          <cell r="B518" t="str">
            <v>Phú Vang-TTCMKV Phú Vang</v>
          </cell>
          <cell r="C518" t="str">
            <v>Huế</v>
          </cell>
          <cell r="D518">
            <v>0</v>
          </cell>
          <cell r="E518" t="str">
            <v>Mạng cấp 4</v>
          </cell>
        </row>
        <row r="519">
          <cell r="B519" t="str">
            <v>CAT Thừa Thiên Huế-Vỹ Dạ</v>
          </cell>
          <cell r="C519" t="str">
            <v>Huế</v>
          </cell>
          <cell r="D519">
            <v>4452</v>
          </cell>
          <cell r="E519" t="str">
            <v>Mạng cấp 4</v>
          </cell>
        </row>
        <row r="520">
          <cell r="B520" t="str">
            <v>Vỹ Dạ-Thanh Thủy (CS1)</v>
          </cell>
          <cell r="C520" t="str">
            <v>Huế</v>
          </cell>
          <cell r="D520">
            <v>6300</v>
          </cell>
          <cell r="E520" t="str">
            <v>Mạng cấp 4</v>
          </cell>
        </row>
        <row r="521">
          <cell r="B521" t="str">
            <v>Thanh Thủy (CS1)-Thanh Thủy
(CS2)</v>
          </cell>
          <cell r="C521" t="str">
            <v>Huế</v>
          </cell>
          <cell r="D521">
            <v>800</v>
          </cell>
          <cell r="E521" t="str">
            <v>Mạng cấp 4</v>
          </cell>
        </row>
        <row r="522">
          <cell r="B522" t="str">
            <v>Thanh Thủy (CS2)-Hương Thủy</v>
          </cell>
          <cell r="C522" t="str">
            <v>Huế</v>
          </cell>
          <cell r="D522">
            <v>6500</v>
          </cell>
          <cell r="E522" t="str">
            <v>Mạng cấp 4</v>
          </cell>
        </row>
        <row r="523">
          <cell r="B523" t="str">
            <v>Hương Thủy-TTCMKV TX Hương
Thủy</v>
          </cell>
          <cell r="C523" t="str">
            <v>Huế</v>
          </cell>
          <cell r="D523">
            <v>4030</v>
          </cell>
          <cell r="E523" t="str">
            <v>Mạng cấp 4</v>
          </cell>
        </row>
        <row r="524">
          <cell r="B524" t="str">
            <v>CAT Thừa Thiên Huế-Thủy Xuân</v>
          </cell>
          <cell r="C524" t="str">
            <v>Huế</v>
          </cell>
          <cell r="D524">
            <v>17462</v>
          </cell>
          <cell r="E524" t="str">
            <v>Mạng cấp 4</v>
          </cell>
        </row>
        <row r="525">
          <cell r="B525" t="str">
            <v>Thủy Xuân-TTCMKV TX Hương
Thủy</v>
          </cell>
          <cell r="C525" t="str">
            <v>Huế</v>
          </cell>
          <cell r="D525">
            <v>21050</v>
          </cell>
          <cell r="E525" t="str">
            <v>Mạng cấp 4</v>
          </cell>
        </row>
        <row r="526">
          <cell r="B526" t="str">
            <v>CAT Thừa Thiên Huế-Bình Điền</v>
          </cell>
          <cell r="C526" t="str">
            <v>Huế</v>
          </cell>
          <cell r="D526">
            <v>29700</v>
          </cell>
          <cell r="E526" t="str">
            <v>Mạng cấp 4</v>
          </cell>
        </row>
        <row r="527">
          <cell r="B527" t="str">
            <v>Bình Điền-A Lưới 5</v>
          </cell>
          <cell r="C527" t="str">
            <v>Huế</v>
          </cell>
          <cell r="D527">
            <v>22650</v>
          </cell>
          <cell r="E527" t="str">
            <v>Mạng cấp 4</v>
          </cell>
        </row>
        <row r="528">
          <cell r="B528" t="str">
            <v>A Lưới 5-A Lưới 2</v>
          </cell>
          <cell r="C528" t="str">
            <v>Huế</v>
          </cell>
          <cell r="D528">
            <v>18500</v>
          </cell>
          <cell r="E528" t="str">
            <v>Mạng cấp 4</v>
          </cell>
        </row>
        <row r="529">
          <cell r="B529" t="str">
            <v>A Lưới 2-A Lưới 1</v>
          </cell>
          <cell r="C529" t="str">
            <v>Huế</v>
          </cell>
          <cell r="D529">
            <v>6600</v>
          </cell>
          <cell r="E529" t="str">
            <v>Mạng cấp 4</v>
          </cell>
        </row>
        <row r="530">
          <cell r="B530" t="str">
            <v>A Lưới 1-A Lưới 4</v>
          </cell>
          <cell r="C530" t="str">
            <v>Huế</v>
          </cell>
          <cell r="D530">
            <v>30300</v>
          </cell>
          <cell r="E530" t="str">
            <v>Mạng cấp 4</v>
          </cell>
        </row>
        <row r="531">
          <cell r="B531" t="str">
            <v>A Lưới 4-A Lưới 3</v>
          </cell>
          <cell r="C531" t="str">
            <v>Huế</v>
          </cell>
          <cell r="D531">
            <v>17450</v>
          </cell>
          <cell r="E531" t="str">
            <v>Mạng cấp 4</v>
          </cell>
        </row>
        <row r="532">
          <cell r="B532" t="str">
            <v>A Lưới 3-Bình Điền</v>
          </cell>
          <cell r="C532" t="str">
            <v>Huế</v>
          </cell>
          <cell r="D532">
            <v>36150</v>
          </cell>
          <cell r="E532" t="str">
            <v>Mạng cấp 4</v>
          </cell>
        </row>
        <row r="533">
          <cell r="B533" t="str">
            <v>Bình Điền-TTCMKV TX Hương
Thủy</v>
          </cell>
          <cell r="C533" t="str">
            <v>Huế</v>
          </cell>
          <cell r="D533">
            <v>27200</v>
          </cell>
          <cell r="E533" t="str">
            <v>Mạng cấp 4</v>
          </cell>
        </row>
        <row r="534">
          <cell r="B534" t="str">
            <v>TTCMKV TX Hương Thủy-Khe
Tre</v>
          </cell>
          <cell r="C534" t="str">
            <v>Huế</v>
          </cell>
          <cell r="D534">
            <v>32255</v>
          </cell>
          <cell r="E534" t="str">
            <v>Mạng cấp 4</v>
          </cell>
        </row>
        <row r="535">
          <cell r="B535" t="str">
            <v>Khe Tre-Nam Đông</v>
          </cell>
          <cell r="C535" t="str">
            <v>Huế</v>
          </cell>
          <cell r="D535">
            <v>1939</v>
          </cell>
          <cell r="E535" t="str">
            <v>Mạng cấp 4</v>
          </cell>
        </row>
        <row r="536">
          <cell r="B536" t="str">
            <v>Nam Đông-Long Quảng</v>
          </cell>
          <cell r="C536" t="str">
            <v>Huế</v>
          </cell>
          <cell r="D536">
            <v>11750</v>
          </cell>
          <cell r="E536" t="str">
            <v>Mạng cấp 4</v>
          </cell>
        </row>
        <row r="537">
          <cell r="B537" t="str">
            <v>Long Quảng-Hương Phú</v>
          </cell>
          <cell r="C537" t="str">
            <v>Huế</v>
          </cell>
          <cell r="D537">
            <v>15725</v>
          </cell>
          <cell r="E537" t="str">
            <v>Mạng cấp 4</v>
          </cell>
        </row>
        <row r="538">
          <cell r="B538" t="str">
            <v>Hương Phú-TTCMKV Phú Lộc</v>
          </cell>
          <cell r="C538" t="str">
            <v>Huế</v>
          </cell>
          <cell r="D538">
            <v>35570</v>
          </cell>
          <cell r="E538" t="str">
            <v>Mạng cấp 4</v>
          </cell>
        </row>
        <row r="539">
          <cell r="B539" t="str">
            <v>TTCMKV Sơn Trà-An Hải</v>
          </cell>
          <cell r="D539">
            <v>1393</v>
          </cell>
          <cell r="E539" t="str">
            <v>Mạng cấp 4</v>
          </cell>
        </row>
        <row r="540">
          <cell r="B540" t="str">
            <v>An Hải-Sơn Trà</v>
          </cell>
          <cell r="D540">
            <v>3025</v>
          </cell>
          <cell r="E540" t="str">
            <v>Mạng cấp 4</v>
          </cell>
        </row>
        <row r="541">
          <cell r="B541" t="str">
            <v>Sơn Trà-TT1 Đà Nẵng</v>
          </cell>
          <cell r="D541">
            <v>5391</v>
          </cell>
          <cell r="E541" t="str">
            <v>Mạng cấp 4</v>
          </cell>
        </row>
        <row r="542">
          <cell r="B542" t="str">
            <v>TTCMKV Ngũ Hành Sơn-Ngũ
Hành Sơn</v>
          </cell>
          <cell r="D542">
            <v>3051.3</v>
          </cell>
          <cell r="E542" t="str">
            <v>Mạng cấp 4</v>
          </cell>
        </row>
        <row r="543">
          <cell r="B543" t="str">
            <v>Ngũ Hành Sơn-Cẩm Lệ</v>
          </cell>
          <cell r="D543">
            <v>6432</v>
          </cell>
          <cell r="E543" t="str">
            <v>Mạng cấp 4</v>
          </cell>
        </row>
        <row r="544">
          <cell r="B544" t="str">
            <v>Cẩm Lệ-TTCMKV Cẩm Lệ</v>
          </cell>
          <cell r="D544">
            <v>1013</v>
          </cell>
          <cell r="E544" t="str">
            <v>Mạng cấp 4</v>
          </cell>
        </row>
        <row r="545">
          <cell r="B545" t="str">
            <v>TTCMKV Ngũ Hành Sơn-Hòa
Xuân</v>
          </cell>
          <cell r="D545">
            <v>8433</v>
          </cell>
          <cell r="E545" t="str">
            <v>Mạng cấp 4</v>
          </cell>
        </row>
        <row r="546">
          <cell r="B546" t="str">
            <v>Hòa Xuân-TTCMKV Cẩm Lệ</v>
          </cell>
          <cell r="D546">
            <v>4736</v>
          </cell>
          <cell r="E546" t="str">
            <v>Mạng cấp 4</v>
          </cell>
        </row>
        <row r="547">
          <cell r="B547" t="str">
            <v>TTCMKV Hòa Vang-Hòa Vang</v>
          </cell>
          <cell r="D547">
            <v>0</v>
          </cell>
          <cell r="E547" t="str">
            <v>Mạng cấp 4</v>
          </cell>
        </row>
        <row r="548">
          <cell r="B548" t="str">
            <v>Hòa Vang-Hòa Tiến</v>
          </cell>
          <cell r="D548">
            <v>7134</v>
          </cell>
          <cell r="E548" t="str">
            <v>Mạng cấp 4</v>
          </cell>
        </row>
        <row r="549">
          <cell r="B549" t="str">
            <v>Hòa Tiến-Bà Nà</v>
          </cell>
          <cell r="D549">
            <v>10684</v>
          </cell>
          <cell r="E549" t="str">
            <v>Mạng cấp 4</v>
          </cell>
        </row>
        <row r="550">
          <cell r="B550" t="str">
            <v>Bà Nà-TTCMKV Liên Chiểu</v>
          </cell>
          <cell r="D550">
            <v>14329</v>
          </cell>
          <cell r="E550" t="str">
            <v>Mạng cấp 4</v>
          </cell>
        </row>
        <row r="551">
          <cell r="B551" t="str">
            <v>TT1 Đà Nẵng-Hải Vân</v>
          </cell>
          <cell r="D551">
            <v>14760</v>
          </cell>
          <cell r="E551" t="str">
            <v>Mạng cấp 4</v>
          </cell>
        </row>
        <row r="552">
          <cell r="B552" t="str">
            <v>Hải Vân-Liên Chiểu</v>
          </cell>
          <cell r="D552">
            <v>5961</v>
          </cell>
          <cell r="E552" t="str">
            <v>Mạng cấp 4</v>
          </cell>
        </row>
        <row r="553">
          <cell r="B553" t="str">
            <v>Liên Chiểu-TTCMKV Liên Chiểu</v>
          </cell>
          <cell r="D553">
            <v>2187</v>
          </cell>
          <cell r="E553" t="str">
            <v>Mạng cấp 4</v>
          </cell>
        </row>
        <row r="554">
          <cell r="B554" t="str">
            <v>TTCMKV Liên Chiểu-Hòa Khánh</v>
          </cell>
          <cell r="D554">
            <v>1916</v>
          </cell>
          <cell r="E554" t="str">
            <v>Mạng cấp 4</v>
          </cell>
        </row>
        <row r="555">
          <cell r="B555" t="str">
            <v>Hòa Khánh-An Khê</v>
          </cell>
          <cell r="D555">
            <v>3619</v>
          </cell>
          <cell r="E555" t="str">
            <v>Mạng cấp 4</v>
          </cell>
        </row>
        <row r="556">
          <cell r="B556" t="str">
            <v>An Khê-Thanh Khê</v>
          </cell>
          <cell r="D556">
            <v>2495</v>
          </cell>
          <cell r="E556" t="str">
            <v>Mạng cấp 4</v>
          </cell>
        </row>
        <row r="557">
          <cell r="B557" t="str">
            <v>Thanh Khê-TT1 Đà Nẵng</v>
          </cell>
          <cell r="D557">
            <v>3380</v>
          </cell>
          <cell r="E557" t="str">
            <v>Mạng cấp 4</v>
          </cell>
        </row>
        <row r="558">
          <cell r="B558" t="str">
            <v>TT1 Đà Nẵng-Hải Châu</v>
          </cell>
          <cell r="D558">
            <v>516</v>
          </cell>
          <cell r="E558" t="str">
            <v>Mạng cấp 4</v>
          </cell>
        </row>
        <row r="559">
          <cell r="B559" t="str">
            <v>Hải Châu-Hòa Cường</v>
          </cell>
          <cell r="D559">
            <v>6210</v>
          </cell>
          <cell r="E559" t="str">
            <v>Mạng cấp 4</v>
          </cell>
        </row>
        <row r="560">
          <cell r="B560" t="str">
            <v>Hòa Cường-TTCMKV Cẩm Lệ</v>
          </cell>
          <cell r="D560">
            <v>4480</v>
          </cell>
          <cell r="E560" t="str">
            <v>Mạng cấp 4</v>
          </cell>
        </row>
        <row r="561">
          <cell r="B561" t="str">
            <v>TTCMKV Điện Bàn - An Thắng</v>
          </cell>
          <cell r="D561">
            <v>8124</v>
          </cell>
          <cell r="E561" t="str">
            <v>Mạng cấp 4</v>
          </cell>
        </row>
        <row r="562">
          <cell r="B562" t="str">
            <v>An Thắng - Điện Bàn Đông</v>
          </cell>
          <cell r="D562">
            <v>7818</v>
          </cell>
          <cell r="E562" t="str">
            <v>Mạng cấp 4</v>
          </cell>
        </row>
        <row r="563">
          <cell r="B563" t="str">
            <v>Điện Bàn Đông - Hội An Tây</v>
          </cell>
          <cell r="D563">
            <v>11548</v>
          </cell>
          <cell r="E563" t="str">
            <v>Mạng cấp 4</v>
          </cell>
        </row>
        <row r="564">
          <cell r="B564" t="str">
            <v>Hội An Tây - Hội An</v>
          </cell>
          <cell r="D564">
            <v>3945</v>
          </cell>
          <cell r="E564" t="str">
            <v>Mạng cấp 4</v>
          </cell>
        </row>
        <row r="565">
          <cell r="B565" t="str">
            <v>Hội An - TTCMKV Hội An</v>
          </cell>
          <cell r="D565">
            <v>0</v>
          </cell>
          <cell r="E565" t="str">
            <v>Mạng cấp 4</v>
          </cell>
        </row>
        <row r="566">
          <cell r="B566" t="str">
            <v>TTCMKV Điện Bàn - Điện Bàn</v>
          </cell>
          <cell r="D566">
            <v>0</v>
          </cell>
          <cell r="E566" t="str">
            <v>Mạng cấp 4</v>
          </cell>
        </row>
        <row r="567">
          <cell r="B567" t="str">
            <v>Điện Bàn - Điện Bàn Tây</v>
          </cell>
          <cell r="D567">
            <v>12833</v>
          </cell>
          <cell r="E567" t="str">
            <v>Mạng cấp 4</v>
          </cell>
        </row>
        <row r="568">
          <cell r="B568" t="str">
            <v>Điện Bàn Tây - Điện Bàn Bắc</v>
          </cell>
          <cell r="D568">
            <v>6269</v>
          </cell>
          <cell r="E568" t="str">
            <v>Mạng cấp 4</v>
          </cell>
        </row>
        <row r="569">
          <cell r="B569" t="str">
            <v>Điện Bàn Bắc - TTCMKV Hội An</v>
          </cell>
          <cell r="D569">
            <v>31427</v>
          </cell>
          <cell r="E569" t="str">
            <v>Mạng cấp 4</v>
          </cell>
        </row>
        <row r="570">
          <cell r="B570" t="str">
            <v>TTCMKV Đại Lộc - Đại Lộc</v>
          </cell>
          <cell r="D570">
            <v>0</v>
          </cell>
          <cell r="E570" t="str">
            <v>Mạng cấp 4</v>
          </cell>
        </row>
        <row r="571">
          <cell r="B571" t="str">
            <v>Đại Lộc - Thu Bồn</v>
          </cell>
          <cell r="D571">
            <v>6986</v>
          </cell>
          <cell r="E571" t="str">
            <v>Mạng cấp 4</v>
          </cell>
        </row>
        <row r="572">
          <cell r="B572" t="str">
            <v>Thu Bồn - Gò Nổi</v>
          </cell>
          <cell r="D572">
            <v>10567</v>
          </cell>
          <cell r="E572" t="str">
            <v>Mạng cấp 4</v>
          </cell>
        </row>
        <row r="573">
          <cell r="B573" t="str">
            <v>Gò Nổi - TTCMKV Duy Xuyên</v>
          </cell>
          <cell r="D573">
            <v>15999</v>
          </cell>
          <cell r="E573" t="str">
            <v>Mạng cấp 4</v>
          </cell>
        </row>
        <row r="574">
          <cell r="B574" t="str">
            <v>TTCMKV Quế Sơn - Nông Sơn</v>
          </cell>
          <cell r="D574">
            <v>21769</v>
          </cell>
          <cell r="E574" t="str">
            <v>Mạng cấp 4</v>
          </cell>
        </row>
        <row r="575">
          <cell r="B575" t="str">
            <v>Nông Sơn - Quế Phước</v>
          </cell>
          <cell r="D575">
            <v>5819</v>
          </cell>
          <cell r="E575" t="str">
            <v>Mạng cấp 4</v>
          </cell>
        </row>
        <row r="576">
          <cell r="B576" t="str">
            <v>Quế Phước - Phước Trà</v>
          </cell>
          <cell r="D576">
            <v>36843</v>
          </cell>
          <cell r="E576" t="str">
            <v>Mạng cấp 4</v>
          </cell>
        </row>
        <row r="577">
          <cell r="B577" t="str">
            <v>Phước Trà - TTCMKV Hiệp Đức</v>
          </cell>
          <cell r="D577">
            <v>10159</v>
          </cell>
          <cell r="E577" t="str">
            <v>Mạng cấp 4</v>
          </cell>
        </row>
        <row r="578">
          <cell r="B578" t="str">
            <v>TTCMKV Đại Lộc - Hà Nha</v>
          </cell>
          <cell r="D578">
            <v>7514</v>
          </cell>
          <cell r="E578" t="str">
            <v>Mạng cấp 4</v>
          </cell>
        </row>
        <row r="579">
          <cell r="B579" t="str">
            <v>Hà Nha - Thượng Đức</v>
          </cell>
          <cell r="D579">
            <v>18037</v>
          </cell>
          <cell r="E579" t="str">
            <v>Mạng cấp 4</v>
          </cell>
        </row>
        <row r="580">
          <cell r="B580" t="str">
            <v>Thượng Đức - Thạnh Mỹ</v>
          </cell>
          <cell r="D580">
            <v>23355</v>
          </cell>
          <cell r="E580" t="str">
            <v>Mạng cấp 4</v>
          </cell>
        </row>
        <row r="581">
          <cell r="B581" t="str">
            <v>Thạnh Mỹ - TTCMKV Nam Giang</v>
          </cell>
          <cell r="D581">
            <v>0</v>
          </cell>
          <cell r="E581" t="str">
            <v>Mạng cấp 4</v>
          </cell>
        </row>
        <row r="582">
          <cell r="B582" t="str">
            <v>TTCMKV Đại Lộc - Vu Gia</v>
          </cell>
          <cell r="D582">
            <v>8630</v>
          </cell>
          <cell r="E582" t="str">
            <v>Mạng cấp 4</v>
          </cell>
        </row>
        <row r="583">
          <cell r="B583" t="str">
            <v>Vu Gia - Phú Thuận</v>
          </cell>
          <cell r="D583">
            <v>12833</v>
          </cell>
          <cell r="E583" t="str">
            <v>Mạng cấp 4</v>
          </cell>
        </row>
        <row r="584">
          <cell r="B584" t="str">
            <v>Phú Thuận - Duy Xuyên</v>
          </cell>
          <cell r="D584">
            <v>30079</v>
          </cell>
          <cell r="E584" t="str">
            <v>Mạng cấp 4</v>
          </cell>
        </row>
        <row r="585">
          <cell r="B585" t="str">
            <v>Duy Xuyên - TTCMKV Duy Xuyên</v>
          </cell>
          <cell r="E585" t="str">
            <v>Mạng cấp 4</v>
          </cell>
        </row>
        <row r="586">
          <cell r="B586" t="str">
            <v>TTCMKV Điện Bàn - Nam Phước</v>
          </cell>
          <cell r="D586">
            <v>11981</v>
          </cell>
          <cell r="E586" t="str">
            <v>Mạng cấp 4</v>
          </cell>
        </row>
        <row r="587">
          <cell r="B587" t="str">
            <v>Nam Phước - Xuân Phú</v>
          </cell>
          <cell r="D587">
            <v>11410</v>
          </cell>
          <cell r="E587" t="str">
            <v>Mạng cấp 4</v>
          </cell>
        </row>
        <row r="588">
          <cell r="B588" t="str">
            <v>Xuân Phú - E28</v>
          </cell>
          <cell r="D588">
            <v>2846</v>
          </cell>
          <cell r="E588" t="str">
            <v>Mạng cấp 4</v>
          </cell>
        </row>
        <row r="589">
          <cell r="B589" t="str">
            <v>E28 - Thăng An</v>
          </cell>
          <cell r="D589">
            <v>7880</v>
          </cell>
          <cell r="E589" t="str">
            <v>Mạng cấp 4</v>
          </cell>
        </row>
        <row r="590">
          <cell r="B590" t="str">
            <v>Thăng An - Duy Nghĩa</v>
          </cell>
          <cell r="D590">
            <v>17539</v>
          </cell>
          <cell r="E590" t="str">
            <v>Mạng cấp 4</v>
          </cell>
        </row>
        <row r="591">
          <cell r="B591" t="str">
            <v>Duy Nghĩa - Hội An Đông</v>
          </cell>
          <cell r="D591">
            <v>5889</v>
          </cell>
          <cell r="E591" t="str">
            <v>Mạng cấp 4</v>
          </cell>
        </row>
        <row r="592">
          <cell r="B592" t="str">
            <v>Hội An Đông - TTCMKV Hội An</v>
          </cell>
          <cell r="D592">
            <v>5120</v>
          </cell>
          <cell r="E592" t="str">
            <v>Mạng cấp 4</v>
          </cell>
        </row>
        <row r="593">
          <cell r="B593" t="str">
            <v>TTCMKV Quế Sơn - Quế Sơn</v>
          </cell>
          <cell r="D593">
            <v>0</v>
          </cell>
          <cell r="E593" t="str">
            <v>Mạng cấp 4</v>
          </cell>
        </row>
        <row r="594">
          <cell r="B594" t="str">
            <v>Quế Sơn - Quế Sơn Trung</v>
          </cell>
          <cell r="D594">
            <v>12003</v>
          </cell>
          <cell r="E594" t="str">
            <v>Mạng cấp 4</v>
          </cell>
        </row>
        <row r="595">
          <cell r="B595" t="str">
            <v>Quế Sơn Trung - TTCMKV Thăng
Bình</v>
          </cell>
          <cell r="D595">
            <v>9570</v>
          </cell>
          <cell r="E595" t="str">
            <v>Mạng cấp 4</v>
          </cell>
        </row>
        <row r="596">
          <cell r="B596" t="str">
            <v>TTCMKV Quế Sơn - Việt An</v>
          </cell>
          <cell r="D596">
            <v>10374</v>
          </cell>
          <cell r="E596" t="str">
            <v>Mạng cấp 4</v>
          </cell>
        </row>
        <row r="597">
          <cell r="B597" t="str">
            <v>Việt An - Sơn Cẩm Hà</v>
          </cell>
          <cell r="D597">
            <v>17093</v>
          </cell>
          <cell r="E597" t="str">
            <v>Mạng cấp 4</v>
          </cell>
        </row>
        <row r="598">
          <cell r="B598" t="str">
            <v>Sơn Cẩm Hà - TTCMKV Phú Ninh</v>
          </cell>
          <cell r="D598">
            <v>20060</v>
          </cell>
          <cell r="E598" t="str">
            <v>Mạng cấp 4</v>
          </cell>
        </row>
        <row r="599">
          <cell r="B599" t="str">
            <v>TTCMKV Hiệp Đức - Hiệp Đức</v>
          </cell>
          <cell r="D599">
            <v>0</v>
          </cell>
          <cell r="E599" t="str">
            <v>Mạng cấp 4</v>
          </cell>
        </row>
        <row r="600">
          <cell r="B600" t="str">
            <v>Hiệp Đức - Đồng Dương</v>
          </cell>
          <cell r="D600">
            <v>25826</v>
          </cell>
          <cell r="E600" t="str">
            <v>Mạng cấp 4</v>
          </cell>
        </row>
        <row r="601">
          <cell r="B601" t="str">
            <v>Đồng Dương - TTCMKV Thăng
Bình</v>
          </cell>
          <cell r="D601">
            <v>10185</v>
          </cell>
          <cell r="E601" t="str">
            <v>Mạng cấp 4</v>
          </cell>
        </row>
        <row r="602">
          <cell r="B602" t="str">
            <v>TTCMKV Thăng Bình - Thăng Bình</v>
          </cell>
          <cell r="D602">
            <v>0</v>
          </cell>
          <cell r="E602" t="str">
            <v>Mạng cấp 4</v>
          </cell>
        </row>
        <row r="603">
          <cell r="B603" t="str">
            <v>Thăng Bình - Thăng Phú</v>
          </cell>
          <cell r="D603">
            <v>16556</v>
          </cell>
          <cell r="E603" t="str">
            <v>Mạng cấp 4</v>
          </cell>
        </row>
        <row r="604">
          <cell r="B604" t="str">
            <v>Thăng Phú - Tây Hồ</v>
          </cell>
          <cell r="D604">
            <v>5541</v>
          </cell>
          <cell r="E604" t="str">
            <v>Mạng cấp 4</v>
          </cell>
        </row>
        <row r="605">
          <cell r="B605" t="str">
            <v>Tây Hồ - Thăng Điền</v>
          </cell>
          <cell r="D605">
            <v>4337</v>
          </cell>
          <cell r="E605" t="str">
            <v>Mạng cấp 4</v>
          </cell>
        </row>
        <row r="606">
          <cell r="B606" t="str">
            <v>Thăng Điền - TT2 Đà Nẵng (Tam
Kỳ)</v>
          </cell>
          <cell r="D606">
            <v>11889</v>
          </cell>
          <cell r="E606" t="str">
            <v>Mạng cấp 4</v>
          </cell>
        </row>
        <row r="607">
          <cell r="B607" t="str">
            <v>TTCMKV Thăng Bình - Thăng
Trường</v>
          </cell>
          <cell r="D607">
            <v>20261</v>
          </cell>
          <cell r="E607" t="str">
            <v>Mạng cấp 4</v>
          </cell>
        </row>
        <row r="608">
          <cell r="B608" t="str">
            <v>Thăng Trường - Quảng Phú</v>
          </cell>
          <cell r="D608">
            <v>9484</v>
          </cell>
          <cell r="E608" t="str">
            <v>Mạng cấp 4</v>
          </cell>
        </row>
        <row r="609">
          <cell r="B609" t="str">
            <v>Quảng Phú - Bàn Thạch</v>
          </cell>
          <cell r="D609">
            <v>10067</v>
          </cell>
          <cell r="E609" t="str">
            <v>Mạng cấp 4</v>
          </cell>
        </row>
        <row r="610">
          <cell r="B610" t="str">
            <v>Bàn Thạch - TT2 Đà Nẵng (Tam
Kỳ)</v>
          </cell>
          <cell r="D610">
            <v>428</v>
          </cell>
          <cell r="E610" t="str">
            <v>Mạng cấp 4</v>
          </cell>
        </row>
        <row r="611">
          <cell r="B611" t="str">
            <v>TTCMKV Bắc Trà My - Lãnh Ngọc</v>
          </cell>
          <cell r="D611">
            <v>25274</v>
          </cell>
          <cell r="E611" t="str">
            <v>Mạng cấp 4</v>
          </cell>
        </row>
        <row r="612">
          <cell r="B612" t="str">
            <v>Lãnh Ngọc - Thạnh Bình</v>
          </cell>
          <cell r="D612">
            <v>19696</v>
          </cell>
          <cell r="E612" t="str">
            <v>Mạng cấp 4</v>
          </cell>
        </row>
        <row r="613">
          <cell r="B613" t="str">
            <v>Thạnh Bình - Tiên Phước</v>
          </cell>
          <cell r="D613">
            <v>11355</v>
          </cell>
          <cell r="E613" t="str">
            <v>Mạng cấp 4</v>
          </cell>
        </row>
        <row r="614">
          <cell r="B614" t="str">
            <v>Tiên Phước - TTCMKV Phú Ninh</v>
          </cell>
          <cell r="D614">
            <v>16948</v>
          </cell>
          <cell r="E614" t="str">
            <v>Mạng cấp 4</v>
          </cell>
        </row>
        <row r="615">
          <cell r="B615" t="str">
            <v>TTCMKV Phú Ninh - Chiên Đàn</v>
          </cell>
          <cell r="D615">
            <v>0</v>
          </cell>
          <cell r="E615" t="str">
            <v>Mạng cấp 4</v>
          </cell>
        </row>
        <row r="616">
          <cell r="B616" t="str">
            <v>Chiên Đàn - Phú Ninh</v>
          </cell>
          <cell r="D616">
            <v>4981</v>
          </cell>
          <cell r="E616" t="str">
            <v>Mạng cấp 4</v>
          </cell>
        </row>
        <row r="617">
          <cell r="B617" t="str">
            <v>Phú Ninh - Hương Trà</v>
          </cell>
          <cell r="D617">
            <v>9713</v>
          </cell>
          <cell r="E617" t="str">
            <v>Mạng cấp 4</v>
          </cell>
        </row>
        <row r="618">
          <cell r="B618" t="str">
            <v>Hương Trà - Tam Kỳ</v>
          </cell>
          <cell r="D618">
            <v>5225</v>
          </cell>
          <cell r="E618" t="str">
            <v>Mạng cấp 4</v>
          </cell>
        </row>
        <row r="619">
          <cell r="B619" t="str">
            <v>Tam Kỳ - TT2 Đà Nẵng (Tam Kỳ)</v>
          </cell>
          <cell r="D619">
            <v>1811</v>
          </cell>
          <cell r="E619" t="str">
            <v>Mạng cấp 4</v>
          </cell>
        </row>
        <row r="620">
          <cell r="B620" t="str">
            <v>TT2 Đà Nẵng (Tam Kỳ) - Tam Xuân</v>
          </cell>
          <cell r="D620">
            <v>6926</v>
          </cell>
          <cell r="E620" t="str">
            <v>Mạng cấp 4</v>
          </cell>
        </row>
        <row r="621">
          <cell r="B621" t="str">
            <v>Tam Xuân - Tam Anh</v>
          </cell>
          <cell r="D621">
            <v>15099</v>
          </cell>
          <cell r="E621" t="str">
            <v>Mạng cấp 4</v>
          </cell>
        </row>
        <row r="622">
          <cell r="B622" t="str">
            <v>Tam Anh - Núi Thành</v>
          </cell>
          <cell r="D622">
            <v>14798</v>
          </cell>
          <cell r="E622" t="str">
            <v>Mạng cấp 4</v>
          </cell>
        </row>
        <row r="623">
          <cell r="B623" t="str">
            <v>Núi Thành - Tam Mỹ</v>
          </cell>
          <cell r="D623">
            <v>4236</v>
          </cell>
          <cell r="E623" t="str">
            <v>Mạng cấp 4</v>
          </cell>
        </row>
        <row r="624">
          <cell r="B624" t="str">
            <v>Tam Mỹ - Đức Phú</v>
          </cell>
          <cell r="D624">
            <v>20340</v>
          </cell>
          <cell r="E624" t="str">
            <v>Mạng cấp 4</v>
          </cell>
        </row>
        <row r="625">
          <cell r="B625" t="str">
            <v>Đức Phú - TTCMKV Phú Ninh</v>
          </cell>
          <cell r="D625">
            <v>39067</v>
          </cell>
          <cell r="E625" t="str">
            <v>Mạng cấp 4</v>
          </cell>
        </row>
        <row r="626">
          <cell r="B626" t="str">
            <v>TTCMKV Đông Giang - Sông Kôn</v>
          </cell>
          <cell r="D626">
            <v>21194</v>
          </cell>
          <cell r="E626" t="str">
            <v>Mạng cấp 4</v>
          </cell>
        </row>
        <row r="627">
          <cell r="B627" t="str">
            <v>Sông Kôn - Sông Vàng</v>
          </cell>
          <cell r="D627">
            <v>12720</v>
          </cell>
          <cell r="E627" t="str">
            <v>Mạng cấp 4</v>
          </cell>
        </row>
        <row r="628">
          <cell r="B628" t="str">
            <v>Sông Vàng - TTCMKV Đại Lộc</v>
          </cell>
          <cell r="D628">
            <v>38832</v>
          </cell>
          <cell r="E628" t="str">
            <v>Mạng cấp 4</v>
          </cell>
        </row>
        <row r="629">
          <cell r="B629" t="str">
            <v>TTCMKV Phước Sơn - Phước Hiệp</v>
          </cell>
          <cell r="D629">
            <v>21101</v>
          </cell>
          <cell r="E629" t="str">
            <v>Mạng cấp 4</v>
          </cell>
        </row>
        <row r="630">
          <cell r="B630" t="str">
            <v>Phước Hiệp - TTCMKV Phước Sơn</v>
          </cell>
          <cell r="D630">
            <v>21101</v>
          </cell>
          <cell r="E630" t="str">
            <v>Mạng cấp 4</v>
          </cell>
        </row>
        <row r="631">
          <cell r="B631" t="str">
            <v>TTCMKV Phước Sơn - Phước Năng</v>
          </cell>
          <cell r="D631">
            <v>5032</v>
          </cell>
          <cell r="E631" t="str">
            <v>Mạng cấp 4</v>
          </cell>
        </row>
        <row r="632">
          <cell r="B632" t="str">
            <v>Phước Năng - Phước Chánh</v>
          </cell>
          <cell r="D632">
            <v>23315</v>
          </cell>
          <cell r="E632" t="str">
            <v>Mạng cấp 4</v>
          </cell>
        </row>
        <row r="633">
          <cell r="B633" t="str">
            <v>Phước Chánh - Phước Thành</v>
          </cell>
          <cell r="D633">
            <v>23459</v>
          </cell>
          <cell r="E633" t="str">
            <v>Mạng cấp 4</v>
          </cell>
        </row>
        <row r="634">
          <cell r="B634" t="str">
            <v>Phước Thành - Khâm Đức</v>
          </cell>
          <cell r="D634">
            <v>27751</v>
          </cell>
          <cell r="E634" t="str">
            <v>Mạng cấp 4</v>
          </cell>
        </row>
        <row r="635">
          <cell r="B635" t="str">
            <v>Khâm Đức - TTCMKV Phước Sơn</v>
          </cell>
          <cell r="D635">
            <v>0</v>
          </cell>
          <cell r="E635" t="str">
            <v>Mạng cấp 4</v>
          </cell>
        </row>
        <row r="636">
          <cell r="B636" t="str">
            <v>TTCMKV Đông Giang - A Vương</v>
          </cell>
          <cell r="D636">
            <v>16904</v>
          </cell>
          <cell r="E636" t="str">
            <v>Mạng cấp 4</v>
          </cell>
        </row>
        <row r="637">
          <cell r="B637" t="str">
            <v>A Vương - Hùng Sơn</v>
          </cell>
          <cell r="D637">
            <v>32908</v>
          </cell>
          <cell r="E637" t="str">
            <v>Mạng cấp 4</v>
          </cell>
        </row>
        <row r="638">
          <cell r="B638" t="str">
            <v>Hùng Sơn - Tây Giang</v>
          </cell>
          <cell r="D638">
            <v>24357</v>
          </cell>
          <cell r="E638" t="str">
            <v>Mạng cấp 4</v>
          </cell>
        </row>
        <row r="639">
          <cell r="B639" t="str">
            <v>Tây Giang - TTCMKV Đông Giang</v>
          </cell>
          <cell r="D639">
            <v>26069</v>
          </cell>
          <cell r="E639" t="str">
            <v>Mạng cấp 4</v>
          </cell>
        </row>
        <row r="640">
          <cell r="B640" t="str">
            <v>TTCMKV Đông Giang - Đông
Giang</v>
          </cell>
          <cell r="D640">
            <v>0</v>
          </cell>
          <cell r="E640" t="str">
            <v>Mạng cấp 4</v>
          </cell>
        </row>
        <row r="641">
          <cell r="B641" t="str">
            <v>Đông Giang - Bến Hiên</v>
          </cell>
          <cell r="D641">
            <v>13831</v>
          </cell>
          <cell r="E641" t="str">
            <v>Mạng cấp 4</v>
          </cell>
        </row>
        <row r="642">
          <cell r="B642" t="str">
            <v>Bến Hiên - Thạnh Mỹ</v>
          </cell>
          <cell r="D642">
            <v>32331</v>
          </cell>
          <cell r="E642" t="str">
            <v>Mạng cấp 4</v>
          </cell>
        </row>
        <row r="643">
          <cell r="B643" t="str">
            <v>Thạnh Mỹ - TTKV Nam Giang</v>
          </cell>
          <cell r="D643">
            <v>0</v>
          </cell>
          <cell r="E643" t="str">
            <v>Mạng cấp 4</v>
          </cell>
        </row>
        <row r="644">
          <cell r="B644" t="str">
            <v>TTCMKV Nam Giang - Bến Giằng</v>
          </cell>
          <cell r="D644">
            <v>10357</v>
          </cell>
          <cell r="E644" t="str">
            <v>Mạng cấp 4</v>
          </cell>
        </row>
        <row r="645">
          <cell r="B645" t="str">
            <v>Bến Giằng - Đắc Pring</v>
          </cell>
          <cell r="D645">
            <v>44665</v>
          </cell>
          <cell r="E645" t="str">
            <v>Mạng cấp 4</v>
          </cell>
        </row>
        <row r="646">
          <cell r="B646" t="str">
            <v>Đắc Pring - La Dêê</v>
          </cell>
          <cell r="D646">
            <v>14533</v>
          </cell>
          <cell r="E646" t="str">
            <v>Mạng cấp 4</v>
          </cell>
        </row>
        <row r="647">
          <cell r="B647" t="str">
            <v>La Dêê - La Êê</v>
          </cell>
          <cell r="D647">
            <v>24900</v>
          </cell>
          <cell r="E647" t="str">
            <v>Mạng cấp 4</v>
          </cell>
        </row>
        <row r="648">
          <cell r="B648" t="str">
            <v>La Êê - Nam Giang</v>
          </cell>
          <cell r="D648">
            <v>47004</v>
          </cell>
          <cell r="E648" t="str">
            <v>Mạng cấp 4</v>
          </cell>
        </row>
        <row r="649">
          <cell r="B649" t="str">
            <v>Nam Giang - Bến Giằng</v>
          </cell>
          <cell r="D649">
            <v>39595</v>
          </cell>
          <cell r="E649" t="str">
            <v>Mạng cấp 4</v>
          </cell>
        </row>
        <row r="650">
          <cell r="B650" t="str">
            <v>Bến Giằng - TTCMKV Nam Giang</v>
          </cell>
          <cell r="D650">
            <v>11455</v>
          </cell>
          <cell r="E650" t="str">
            <v>Mạng cấp 4</v>
          </cell>
        </row>
        <row r="651">
          <cell r="B651" t="str">
            <v>TTCMKV Bắc Trà My - Trà My</v>
          </cell>
          <cell r="D651">
            <v>0</v>
          </cell>
          <cell r="E651" t="str">
            <v>Mạng cấp 4</v>
          </cell>
        </row>
        <row r="652">
          <cell r="B652" t="str">
            <v>Trà My - Trà Đốc</v>
          </cell>
          <cell r="D652">
            <v>11294</v>
          </cell>
          <cell r="E652" t="str">
            <v>Mạng cấp 4</v>
          </cell>
        </row>
        <row r="653">
          <cell r="B653" t="str">
            <v>Trà Đốc - TTCMKV Bắc Trà My</v>
          </cell>
          <cell r="D653">
            <v>13813</v>
          </cell>
          <cell r="E653" t="str">
            <v>Mạng cấp 4</v>
          </cell>
        </row>
        <row r="654">
          <cell r="B654" t="str">
            <v>TTCMKV Bắc Trà My - Trà Giáp</v>
          </cell>
          <cell r="D654">
            <v>34685</v>
          </cell>
          <cell r="E654" t="str">
            <v>Mạng cấp 4</v>
          </cell>
        </row>
        <row r="655">
          <cell r="B655" t="str">
            <v>Trà Giáp - Trà Tân</v>
          </cell>
          <cell r="D655">
            <v>10190</v>
          </cell>
          <cell r="E655" t="str">
            <v>Mạng cấp 4</v>
          </cell>
        </row>
        <row r="656">
          <cell r="B656" t="str">
            <v>Trà Tân - Trà Vân</v>
          </cell>
          <cell r="D656">
            <v>27595</v>
          </cell>
          <cell r="E656" t="str">
            <v>Mạng cấp 4</v>
          </cell>
        </row>
        <row r="657">
          <cell r="B657" t="str">
            <v>Trà Vân - Trà Mai</v>
          </cell>
          <cell r="D657">
            <v>11115</v>
          </cell>
          <cell r="E657" t="str">
            <v>Mạng cấp 4</v>
          </cell>
        </row>
        <row r="658">
          <cell r="B658" t="str">
            <v>Trà Mai - Trà Linh</v>
          </cell>
          <cell r="D658">
            <v>18009</v>
          </cell>
          <cell r="E658" t="str">
            <v>Mạng cấp 4</v>
          </cell>
        </row>
        <row r="659">
          <cell r="B659" t="str">
            <v>Trà Linh - Trà Tập</v>
          </cell>
          <cell r="D659">
            <v>20346</v>
          </cell>
          <cell r="E659" t="str">
            <v>Mạng cấp 4</v>
          </cell>
        </row>
        <row r="660">
          <cell r="B660" t="str">
            <v>Trà Tập - Trà Leng</v>
          </cell>
          <cell r="D660">
            <v>18193</v>
          </cell>
          <cell r="E660" t="str">
            <v>Mạng cấp 4</v>
          </cell>
        </row>
        <row r="661">
          <cell r="B661" t="str">
            <v>Trà Leng - TTCMKV Bắc Trà My</v>
          </cell>
          <cell r="D661">
            <v>29994</v>
          </cell>
          <cell r="E661" t="str">
            <v>Mạng cấp 4</v>
          </cell>
        </row>
        <row r="662">
          <cell r="B662" t="str">
            <v>TTCMKV Bắc Trà My - Trà Liên</v>
          </cell>
          <cell r="D662">
            <v>19100</v>
          </cell>
          <cell r="E662" t="str">
            <v>Mạng cấp 4</v>
          </cell>
        </row>
        <row r="663">
          <cell r="B663" t="str">
            <v>Trà Liên - TTCMKV Bắc Trà My</v>
          </cell>
          <cell r="D663">
            <v>18605</v>
          </cell>
          <cell r="E663" t="str">
            <v>Mạng cấp 4</v>
          </cell>
        </row>
        <row r="664">
          <cell r="B664" t="str">
            <v>CAT Kon Tum - Đăk BLa</v>
          </cell>
          <cell r="C664" t="str">
            <v>Quảng Ngãi</v>
          </cell>
          <cell r="D664">
            <v>9589</v>
          </cell>
          <cell r="E664" t="str">
            <v>Mạng cấp 4</v>
          </cell>
        </row>
        <row r="665">
          <cell r="B665" t="str">
            <v>Đăk BLa - Ia Chim</v>
          </cell>
          <cell r="C665" t="str">
            <v>Quảng Ngãi</v>
          </cell>
          <cell r="D665">
            <v>20282</v>
          </cell>
          <cell r="E665" t="str">
            <v>Mạng cấp 4</v>
          </cell>
        </row>
        <row r="666">
          <cell r="B666" t="str">
            <v>Ia Chim - Đăk Rơ Wa</v>
          </cell>
          <cell r="C666" t="str">
            <v>Quảng Ngãi</v>
          </cell>
          <cell r="D666">
            <v>17221</v>
          </cell>
          <cell r="E666" t="str">
            <v>Mạng cấp 4</v>
          </cell>
        </row>
        <row r="667">
          <cell r="B667" t="str">
            <v>Đăk Rơ Wa - Kon Tum</v>
          </cell>
          <cell r="C667" t="str">
            <v>Quảng Ngãi</v>
          </cell>
          <cell r="D667">
            <v>5409</v>
          </cell>
          <cell r="E667" t="str">
            <v>Mạng cấp 4</v>
          </cell>
        </row>
        <row r="668">
          <cell r="B668" t="str">
            <v>Kon Tum - CAT Kon Tum</v>
          </cell>
          <cell r="C668" t="str">
            <v>Quảng Ngãi</v>
          </cell>
          <cell r="D668">
            <v>0</v>
          </cell>
          <cell r="E668" t="str">
            <v>Mạng cấp 4</v>
          </cell>
        </row>
        <row r="669">
          <cell r="B669" t="str">
            <v>TTCMKV Kon Rẫy - Đăk Rve</v>
          </cell>
          <cell r="C669" t="str">
            <v>Quảng Ngãi</v>
          </cell>
          <cell r="D669">
            <v>11575</v>
          </cell>
          <cell r="E669" t="str">
            <v>Mạng cấp 4</v>
          </cell>
        </row>
        <row r="670">
          <cell r="B670" t="str">
            <v>Đăk Rve - Đăk Tăng</v>
          </cell>
          <cell r="C670" t="str">
            <v>Quảng Ngãi</v>
          </cell>
          <cell r="D670">
            <v>41766</v>
          </cell>
          <cell r="E670" t="str">
            <v>Mạng cấp 4</v>
          </cell>
        </row>
        <row r="671">
          <cell r="B671" t="str">
            <v>Đăk Tăng - Măng Bút</v>
          </cell>
          <cell r="C671" t="str">
            <v>Quảng Ngãi</v>
          </cell>
          <cell r="D671">
            <v>20239</v>
          </cell>
          <cell r="E671" t="str">
            <v>Mạng cấp 4</v>
          </cell>
        </row>
        <row r="672">
          <cell r="B672" t="str">
            <v>Măng Bút - Đăk Nên</v>
          </cell>
          <cell r="C672" t="str">
            <v>Quảng Ngãi</v>
          </cell>
          <cell r="D672">
            <v>9913</v>
          </cell>
          <cell r="E672" t="str">
            <v>Mạng cấp 4</v>
          </cell>
        </row>
        <row r="673">
          <cell r="B673" t="str">
            <v>Đăk Nên - Ngọk Tem</v>
          </cell>
          <cell r="C673" t="str">
            <v>Quảng Ngãi</v>
          </cell>
          <cell r="D673">
            <v>30992</v>
          </cell>
          <cell r="E673" t="str">
            <v>Mạng cấp 4</v>
          </cell>
        </row>
        <row r="674">
          <cell r="B674" t="str">
            <v>Ngọk Tem - Kon Plông</v>
          </cell>
          <cell r="C674" t="str">
            <v>Quảng Ngãi</v>
          </cell>
          <cell r="D674">
            <v>36416</v>
          </cell>
          <cell r="E674" t="str">
            <v>Mạng cấp 4</v>
          </cell>
        </row>
        <row r="675">
          <cell r="B675" t="str">
            <v>Kon Plông - Măng đen</v>
          </cell>
          <cell r="C675" t="str">
            <v>Quảng Ngãi</v>
          </cell>
          <cell r="D675">
            <v>20356</v>
          </cell>
          <cell r="E675" t="str">
            <v>Mạng cấp 4</v>
          </cell>
        </row>
        <row r="676">
          <cell r="B676" t="str">
            <v>Măng đen - Kon Braih</v>
          </cell>
          <cell r="C676" t="str">
            <v>Quảng Ngãi</v>
          </cell>
          <cell r="D676">
            <v>27274</v>
          </cell>
          <cell r="E676" t="str">
            <v>Mạng cấp 4</v>
          </cell>
        </row>
        <row r="677">
          <cell r="B677" t="str">
            <v>Kon Braih - TTCMKV Kon Rẫy</v>
          </cell>
          <cell r="C677" t="str">
            <v>Quảng Ngãi</v>
          </cell>
          <cell r="D677">
            <v>0</v>
          </cell>
          <cell r="E677" t="str">
            <v>Mạng cấp 4</v>
          </cell>
        </row>
        <row r="678">
          <cell r="B678" t="str">
            <v>TTCMKV Kon Rẫy - Đăk Kôi</v>
          </cell>
          <cell r="C678" t="str">
            <v>Quảng Ngãi</v>
          </cell>
          <cell r="D678">
            <v>7920</v>
          </cell>
          <cell r="E678" t="str">
            <v>Mạng cấp 4</v>
          </cell>
        </row>
        <row r="679">
          <cell r="B679" t="str">
            <v>Đăk Kôi - CAX Đăk Kôi (Kon Rẫy)</v>
          </cell>
          <cell r="C679" t="str">
            <v>Quảng Ngãi</v>
          </cell>
          <cell r="D679">
            <v>0</v>
          </cell>
          <cell r="E679" t="str">
            <v>Mạng cấp 4</v>
          </cell>
        </row>
        <row r="680">
          <cell r="B680" t="str">
            <v>CAT Kon Tum - Đăk Cấm</v>
          </cell>
          <cell r="C680" t="str">
            <v>Quảng Ngãi</v>
          </cell>
          <cell r="D680">
            <v>3412</v>
          </cell>
          <cell r="E680" t="str">
            <v>Mạng cấp 4</v>
          </cell>
        </row>
        <row r="681">
          <cell r="B681" t="str">
            <v>Đăk Cấm - Ngọk Réo</v>
          </cell>
          <cell r="C681" t="str">
            <v>Quảng Ngãi</v>
          </cell>
          <cell r="D681">
            <v>15943</v>
          </cell>
          <cell r="E681" t="str">
            <v>Mạng cấp 4</v>
          </cell>
        </row>
        <row r="682">
          <cell r="B682" t="str">
            <v>Ngọk Réo - TTCMKV Đăk Hà</v>
          </cell>
          <cell r="C682" t="str">
            <v>Quảng Ngãi</v>
          </cell>
          <cell r="D682">
            <v>17181</v>
          </cell>
          <cell r="E682" t="str">
            <v>Mạng cấp 4</v>
          </cell>
        </row>
        <row r="683">
          <cell r="B683" t="str">
            <v>TTCMKV Đăk Hà - Đăk Hà</v>
          </cell>
          <cell r="C683" t="str">
            <v>Quảng Ngãi</v>
          </cell>
          <cell r="D683">
            <v>0</v>
          </cell>
          <cell r="E683" t="str">
            <v>Mạng cấp 4</v>
          </cell>
        </row>
        <row r="684">
          <cell r="B684" t="str">
            <v>Đăk Hà - Đăk Ui</v>
          </cell>
          <cell r="C684" t="str">
            <v>Quảng Ngãi</v>
          </cell>
          <cell r="D684">
            <v>5801</v>
          </cell>
          <cell r="E684" t="str">
            <v>Mạng cấp 4</v>
          </cell>
        </row>
        <row r="685">
          <cell r="B685" t="str">
            <v>Đăk Ui - Đăk Mar</v>
          </cell>
          <cell r="C685" t="str">
            <v>Quảng Ngãi</v>
          </cell>
          <cell r="D685">
            <v>4383</v>
          </cell>
          <cell r="E685" t="str">
            <v>Mạng cấp 4</v>
          </cell>
        </row>
        <row r="686">
          <cell r="B686" t="str">
            <v>Đăk Mar - Ngọk Tụ</v>
          </cell>
          <cell r="C686" t="str">
            <v>Quảng Ngãi</v>
          </cell>
          <cell r="D686">
            <v>30866</v>
          </cell>
          <cell r="E686" t="str">
            <v>Mạng cấp 4</v>
          </cell>
        </row>
        <row r="687">
          <cell r="B687" t="str">
            <v>Ngọk Tụ - TTCMKV Ngọc Hồi</v>
          </cell>
          <cell r="C687" t="str">
            <v>Quảng Ngãi</v>
          </cell>
          <cell r="D687">
            <v>17304</v>
          </cell>
          <cell r="E687" t="str">
            <v>Mạng cấp 4</v>
          </cell>
        </row>
        <row r="688">
          <cell r="B688" t="str">
            <v>TTCMKV Đăk Tô - Đăk Tô</v>
          </cell>
          <cell r="C688" t="str">
            <v>Quảng Ngãi</v>
          </cell>
          <cell r="D688">
            <v>0</v>
          </cell>
          <cell r="E688" t="str">
            <v>Mạng cấp 4</v>
          </cell>
        </row>
        <row r="689">
          <cell r="B689" t="str">
            <v>Đăk Tô - Đăk Pxi</v>
          </cell>
          <cell r="C689" t="str">
            <v>Quảng Ngãi</v>
          </cell>
          <cell r="D689">
            <v>29556</v>
          </cell>
          <cell r="E689" t="str">
            <v>Mạng cấp 4</v>
          </cell>
        </row>
        <row r="690">
          <cell r="B690" t="str">
            <v>Đăk Pxi - CAT Kon Tum</v>
          </cell>
          <cell r="C690" t="str">
            <v>Quảng Ngãi</v>
          </cell>
          <cell r="D690">
            <v>37418</v>
          </cell>
          <cell r="E690" t="str">
            <v>Mạng cấp 4</v>
          </cell>
        </row>
        <row r="691">
          <cell r="B691" t="str">
            <v>TTCMKV Đăk Tô - Kon Đào</v>
          </cell>
          <cell r="C691" t="str">
            <v>Quảng Ngãi</v>
          </cell>
          <cell r="D691">
            <v>4997</v>
          </cell>
          <cell r="E691" t="str">
            <v>Mạng cấp 4</v>
          </cell>
        </row>
        <row r="692">
          <cell r="B692" t="str">
            <v>Kon Đào - Đăk Sao</v>
          </cell>
          <cell r="C692" t="str">
            <v>Quảng Ngãi</v>
          </cell>
          <cell r="D692">
            <v>37130</v>
          </cell>
          <cell r="E692" t="str">
            <v>Mạng cấp 4</v>
          </cell>
        </row>
        <row r="693">
          <cell r="B693" t="str">
            <v>Đăk Sao - Đăk Tờ Kan</v>
          </cell>
          <cell r="C693" t="str">
            <v>Quảng Ngãi</v>
          </cell>
          <cell r="D693">
            <v>18030</v>
          </cell>
          <cell r="E693" t="str">
            <v>Mạng cấp 4</v>
          </cell>
        </row>
        <row r="694">
          <cell r="B694" t="str">
            <v>Đăk Tờ Kan - Tu Mơ Rông</v>
          </cell>
          <cell r="C694" t="str">
            <v>Quảng Ngãi</v>
          </cell>
          <cell r="D694">
            <v>22272</v>
          </cell>
          <cell r="E694" t="str">
            <v>Mạng cấp 4</v>
          </cell>
        </row>
        <row r="695">
          <cell r="B695" t="str">
            <v>Tu Mơ Rông - TTCMKV Tu Mơ Rông</v>
          </cell>
          <cell r="C695" t="str">
            <v>Quảng Ngãi</v>
          </cell>
          <cell r="D695">
            <v>0</v>
          </cell>
          <cell r="E695" t="str">
            <v>Mạng cấp 4</v>
          </cell>
        </row>
        <row r="696">
          <cell r="B696" t="str">
            <v>TTCMKV Ngọc Hồi - Sa Loong</v>
          </cell>
          <cell r="C696" t="str">
            <v>Quảng Ngãi</v>
          </cell>
          <cell r="D696">
            <v>16400</v>
          </cell>
          <cell r="E696" t="str">
            <v>Mạng cấp 4</v>
          </cell>
        </row>
        <row r="697">
          <cell r="B697" t="str">
            <v>Sa Loong - Rờ Kơi</v>
          </cell>
          <cell r="C697" t="str">
            <v>Quảng Ngãi</v>
          </cell>
          <cell r="D697">
            <v>24732</v>
          </cell>
          <cell r="E697" t="str">
            <v>Mạng cấp 4</v>
          </cell>
        </row>
        <row r="698">
          <cell r="B698" t="str">
            <v>Rờ Kơi - TTCMKV Sa Thầy</v>
          </cell>
          <cell r="C698" t="str">
            <v>Quảng Ngãi</v>
          </cell>
          <cell r="D698">
            <v>17060</v>
          </cell>
          <cell r="E698" t="str">
            <v>Mạng cấp 4</v>
          </cell>
        </row>
        <row r="699">
          <cell r="B699" t="str">
            <v>CAT Kon Tum - Ngọk Bay</v>
          </cell>
          <cell r="C699" t="str">
            <v>Quảng Ngãi</v>
          </cell>
          <cell r="D699">
            <v>4367</v>
          </cell>
          <cell r="E699" t="str">
            <v>Mạng cấp 4</v>
          </cell>
        </row>
        <row r="700">
          <cell r="B700" t="str">
            <v>Ngọk Bay - Ya Ly</v>
          </cell>
          <cell r="C700" t="str">
            <v>Quảng Ngãi</v>
          </cell>
          <cell r="D700">
            <v>31995</v>
          </cell>
          <cell r="E700" t="str">
            <v>Mạng cấp 4</v>
          </cell>
        </row>
        <row r="701">
          <cell r="B701" t="str">
            <v>Ya Ly - Sa Thầy</v>
          </cell>
          <cell r="C701" t="str">
            <v>Quảng Ngãi</v>
          </cell>
          <cell r="D701">
            <v>4949</v>
          </cell>
          <cell r="E701" t="str">
            <v>Mạng cấp 4</v>
          </cell>
        </row>
        <row r="702">
          <cell r="B702" t="str">
            <v>Sa Thầy - TTCMKV Sa Thầy</v>
          </cell>
          <cell r="C702" t="str">
            <v>Quảng Ngãi</v>
          </cell>
          <cell r="D702">
            <v>0</v>
          </cell>
          <cell r="E702" t="str">
            <v>Mạng cấp 4</v>
          </cell>
        </row>
        <row r="703">
          <cell r="B703" t="str">
            <v>TTCMKV Sa Thầy - Sa Bình</v>
          </cell>
          <cell r="C703" t="str">
            <v>Quảng Ngãi</v>
          </cell>
          <cell r="D703">
            <v>21300</v>
          </cell>
          <cell r="E703" t="str">
            <v>Mạng cấp 4</v>
          </cell>
        </row>
        <row r="704">
          <cell r="B704" t="str">
            <v>Sa Bình - Pô Kô</v>
          </cell>
          <cell r="C704" t="str">
            <v>Quảng Ngãi</v>
          </cell>
          <cell r="D704">
            <v>15698</v>
          </cell>
          <cell r="E704" t="str">
            <v>Mạng cấp 4</v>
          </cell>
        </row>
        <row r="705">
          <cell r="B705" t="str">
            <v>Pô Kô - TTCMKV Ngọc Hồi</v>
          </cell>
          <cell r="C705" t="str">
            <v>Quảng Ngãi</v>
          </cell>
          <cell r="D705">
            <v>30842</v>
          </cell>
          <cell r="E705" t="str">
            <v>Mạng cấp 4</v>
          </cell>
        </row>
        <row r="706">
          <cell r="B706" t="str">
            <v>TTCMKV Sa Thầy - Mô Rai</v>
          </cell>
          <cell r="C706" t="str">
            <v>Quảng Ngãi</v>
          </cell>
          <cell r="D706">
            <v>61260</v>
          </cell>
          <cell r="E706" t="str">
            <v>Mạng cấp 4</v>
          </cell>
        </row>
        <row r="707">
          <cell r="B707" t="str">
            <v>Mô Rai - Ia Tơi</v>
          </cell>
          <cell r="C707" t="str">
            <v>Quảng Ngãi</v>
          </cell>
          <cell r="D707">
            <v>37795</v>
          </cell>
          <cell r="E707" t="str">
            <v>Mạng cấp 4</v>
          </cell>
        </row>
        <row r="708">
          <cell r="B708" t="str">
            <v>Ia Tơi - Ia Đal</v>
          </cell>
          <cell r="C708" t="str">
            <v>Quảng Ngãi</v>
          </cell>
          <cell r="D708">
            <v>16014</v>
          </cell>
          <cell r="E708" t="str">
            <v>Mạng cấp 4</v>
          </cell>
        </row>
        <row r="709">
          <cell r="B709" t="str">
            <v>Ia Đal - Mô Rai 2</v>
          </cell>
          <cell r="C709" t="str">
            <v>Quảng Ngãi</v>
          </cell>
          <cell r="D709">
            <v>40586</v>
          </cell>
          <cell r="E709" t="str">
            <v>Mạng cấp 4</v>
          </cell>
        </row>
        <row r="710">
          <cell r="B710" t="str">
            <v>Mô Rai 2 - TTCMKV Sa Thầy</v>
          </cell>
          <cell r="C710" t="str">
            <v>Quảng Ngãi</v>
          </cell>
          <cell r="D710">
            <v>61260</v>
          </cell>
          <cell r="E710" t="str">
            <v>Mạng cấp 4</v>
          </cell>
        </row>
        <row r="711">
          <cell r="B711" t="str">
            <v>TTCMKV Đăk Tô - Dục Nông</v>
          </cell>
          <cell r="C711" t="str">
            <v>Quảng Ngãi</v>
          </cell>
          <cell r="D711">
            <v>30332</v>
          </cell>
          <cell r="E711" t="str">
            <v>Mạng cấp 4</v>
          </cell>
        </row>
        <row r="712">
          <cell r="B712" t="str">
            <v>Dục Nông - Đăk Long</v>
          </cell>
          <cell r="C712" t="str">
            <v>Quảng Ngãi</v>
          </cell>
          <cell r="D712">
            <v>29492</v>
          </cell>
          <cell r="E712" t="str">
            <v>Mạng cấp 4</v>
          </cell>
        </row>
        <row r="713">
          <cell r="B713" t="str">
            <v>Đăk Long - Đăk Kroong</v>
          </cell>
          <cell r="C713" t="str">
            <v>Quảng Ngãi</v>
          </cell>
          <cell r="D713">
            <v>27861</v>
          </cell>
          <cell r="E713" t="str">
            <v>Mạng cấp 4</v>
          </cell>
        </row>
        <row r="714">
          <cell r="B714" t="str">
            <v>Đăk Kroong - Đăk Pék</v>
          </cell>
          <cell r="C714" t="str">
            <v>Quảng Ngãi</v>
          </cell>
          <cell r="D714">
            <v>13316</v>
          </cell>
          <cell r="E714" t="str">
            <v>Mạng cấp 4</v>
          </cell>
        </row>
        <row r="715">
          <cell r="B715" t="str">
            <v>Đăk Pék - Xốp 2</v>
          </cell>
          <cell r="C715" t="str">
            <v>Quảng Ngãi</v>
          </cell>
          <cell r="D715">
            <v>18359</v>
          </cell>
          <cell r="E715" t="str">
            <v>Mạng cấp 4</v>
          </cell>
        </row>
        <row r="716">
          <cell r="B716" t="str">
            <v>Xốp 2 - Ngọc Linh</v>
          </cell>
          <cell r="C716" t="str">
            <v>Quảng Ngãi</v>
          </cell>
          <cell r="D716">
            <v>22324</v>
          </cell>
          <cell r="E716" t="str">
            <v>Mạng cấp 4</v>
          </cell>
        </row>
        <row r="717">
          <cell r="B717" t="str">
            <v>Ngọc Linh - Măng Ri (Cũ)</v>
          </cell>
          <cell r="C717" t="str">
            <v>Quảng Ngãi</v>
          </cell>
          <cell r="D717">
            <v>22059</v>
          </cell>
          <cell r="E717" t="str">
            <v>Mạng cấp 4</v>
          </cell>
        </row>
        <row r="718">
          <cell r="B718" t="str">
            <v>Măng Ri (Cũ) - TTCMKV Tu mơ rông</v>
          </cell>
          <cell r="C718" t="str">
            <v>Quảng Ngãi</v>
          </cell>
          <cell r="D718">
            <v>23247</v>
          </cell>
          <cell r="E718" t="str">
            <v>Mạng cấp 4</v>
          </cell>
        </row>
        <row r="719">
          <cell r="B719" t="str">
            <v>TTCMKV Đăk Tô - Bờ Y</v>
          </cell>
          <cell r="C719" t="str">
            <v>Quảng Ngãi</v>
          </cell>
          <cell r="D719">
            <v>22756</v>
          </cell>
          <cell r="E719" t="str">
            <v>Mạng cấp 4</v>
          </cell>
        </row>
        <row r="720">
          <cell r="B720" t="str">
            <v>Bờ Y - Đăk Môn</v>
          </cell>
          <cell r="C720" t="str">
            <v>Quảng Ngãi</v>
          </cell>
          <cell r="D720">
            <v>21480</v>
          </cell>
          <cell r="E720" t="str">
            <v>Mạng cấp 4</v>
          </cell>
        </row>
        <row r="721">
          <cell r="B721" t="str">
            <v>Đăk Môn - Đăk Nhoong</v>
          </cell>
          <cell r="C721" t="str">
            <v>Quảng Ngãi</v>
          </cell>
          <cell r="D721">
            <v>27767</v>
          </cell>
          <cell r="E721" t="str">
            <v>Mạng cấp 4</v>
          </cell>
        </row>
        <row r="722">
          <cell r="B722" t="str">
            <v>Đăk Nhoong - Đăk Plô</v>
          </cell>
          <cell r="C722" t="str">
            <v>Quảng Ngãi</v>
          </cell>
          <cell r="D722">
            <v>24130</v>
          </cell>
          <cell r="E722" t="str">
            <v>Mạng cấp 4</v>
          </cell>
        </row>
        <row r="723">
          <cell r="B723" t="str">
            <v>Đăk Plô - Xốp</v>
          </cell>
          <cell r="C723" t="str">
            <v>Quảng Ngãi</v>
          </cell>
          <cell r="D723">
            <v>17376</v>
          </cell>
          <cell r="E723" t="str">
            <v>Mạng cấp 4</v>
          </cell>
        </row>
        <row r="724">
          <cell r="B724" t="str">
            <v>Xốp - Mường Hoong</v>
          </cell>
          <cell r="C724" t="str">
            <v>Quảng Ngãi</v>
          </cell>
          <cell r="D724">
            <v>22462</v>
          </cell>
          <cell r="E724" t="str">
            <v>Mạng cấp 4</v>
          </cell>
        </row>
        <row r="725">
          <cell r="B725" t="str">
            <v>Mường Hoong - Măng Ri</v>
          </cell>
          <cell r="C725" t="str">
            <v>Quảng Ngãi</v>
          </cell>
          <cell r="D725">
            <v>22059</v>
          </cell>
          <cell r="E725" t="str">
            <v>Mạng cấp 4</v>
          </cell>
        </row>
        <row r="726">
          <cell r="B726" t="str">
            <v>Măng Ri - TTCMKV Tu mơ rông</v>
          </cell>
          <cell r="C726" t="str">
            <v>Quảng Ngãi</v>
          </cell>
          <cell r="D726">
            <v>21228</v>
          </cell>
          <cell r="E726" t="str">
            <v>Mạng cấp 4</v>
          </cell>
        </row>
        <row r="727">
          <cell r="B727" t="str">
            <v>TTCMKV Bình Sơn - Vạn Tường</v>
          </cell>
          <cell r="C727" t="str">
            <v>Quảng Ngãi</v>
          </cell>
          <cell r="D727">
            <v>11608</v>
          </cell>
          <cell r="E727" t="str">
            <v>Mạng cấp 4</v>
          </cell>
        </row>
        <row r="728">
          <cell r="B728" t="str">
            <v>Vạn Tường - Đông Sơn</v>
          </cell>
          <cell r="C728" t="str">
            <v>Quảng Ngãi</v>
          </cell>
          <cell r="D728">
            <v>18962</v>
          </cell>
          <cell r="E728" t="str">
            <v>Mạng cấp 4</v>
          </cell>
        </row>
        <row r="729">
          <cell r="B729" t="str">
            <v>Đông Sơn - Tịnh Khê</v>
          </cell>
          <cell r="C729" t="str">
            <v>Quảng Ngãi</v>
          </cell>
          <cell r="D729">
            <v>7199</v>
          </cell>
          <cell r="E729" t="str">
            <v>Mạng cấp 4</v>
          </cell>
        </row>
        <row r="730">
          <cell r="B730" t="str">
            <v>Tịnh Khê - An Phú</v>
          </cell>
          <cell r="C730" t="str">
            <v>Quảng Ngãi</v>
          </cell>
          <cell r="D730">
            <v>21468</v>
          </cell>
          <cell r="E730" t="str">
            <v>Mạng cấp 4</v>
          </cell>
        </row>
        <row r="731">
          <cell r="B731" t="str">
            <v>An Phú - TT1 QUẢNG NGÃI</v>
          </cell>
          <cell r="C731" t="str">
            <v>Quảng Ngãi</v>
          </cell>
          <cell r="D731">
            <v>11091</v>
          </cell>
          <cell r="E731" t="str">
            <v>Mạng cấp 4</v>
          </cell>
        </row>
        <row r="732">
          <cell r="B732" t="str">
            <v>TTCMKV Bình Sơn - Bình Minh</v>
          </cell>
          <cell r="C732" t="str">
            <v>Quảng Ngãi</v>
          </cell>
          <cell r="D732">
            <v>8498</v>
          </cell>
          <cell r="E732" t="str">
            <v>Mạng cấp 4</v>
          </cell>
        </row>
        <row r="733">
          <cell r="B733" t="str">
            <v>Bình Minh - Bình Chương</v>
          </cell>
          <cell r="C733" t="str">
            <v>Quảng Ngãi</v>
          </cell>
          <cell r="D733">
            <v>3593</v>
          </cell>
          <cell r="E733" t="str">
            <v>Mạng cấp 4</v>
          </cell>
        </row>
        <row r="734">
          <cell r="B734" t="str">
            <v>Bình Chương - Sơn Tịnh</v>
          </cell>
          <cell r="C734" t="str">
            <v>Quảng Ngãi</v>
          </cell>
          <cell r="D734">
            <v>16984</v>
          </cell>
          <cell r="E734" t="str">
            <v>Mạng cấp 4</v>
          </cell>
        </row>
        <row r="735">
          <cell r="B735" t="str">
            <v>Sơn Tịnh - TT1 QUẢNG NGÃI</v>
          </cell>
          <cell r="C735" t="str">
            <v>Quảng Ngãi</v>
          </cell>
          <cell r="D735">
            <v>12047</v>
          </cell>
          <cell r="E735" t="str">
            <v>Mạng cấp 4</v>
          </cell>
        </row>
        <row r="736">
          <cell r="B736" t="str">
            <v>TTCMKV Bình Sơn - Bình Sơn</v>
          </cell>
          <cell r="C736" t="str">
            <v>Quảng Ngãi</v>
          </cell>
          <cell r="D736">
            <v>1191</v>
          </cell>
          <cell r="E736" t="str">
            <v>Mạng cấp 4</v>
          </cell>
        </row>
        <row r="737">
          <cell r="B737" t="str">
            <v>Bình Sơn - Thọ Phong</v>
          </cell>
          <cell r="C737" t="str">
            <v>Quảng Ngãi</v>
          </cell>
          <cell r="D737">
            <v>16503</v>
          </cell>
          <cell r="E737" t="str">
            <v>Mạng cấp 4</v>
          </cell>
        </row>
        <row r="738">
          <cell r="B738" t="str">
            <v>Thọ Phong - Trương Quang Trọng</v>
          </cell>
          <cell r="C738" t="str">
            <v>Quảng Ngãi</v>
          </cell>
          <cell r="D738">
            <v>10209</v>
          </cell>
          <cell r="E738" t="str">
            <v>Mạng cấp 4</v>
          </cell>
        </row>
        <row r="739">
          <cell r="B739" t="str">
            <v>Trương Quang Trọng - TT1 QUẢNG NGÃI</v>
          </cell>
          <cell r="C739" t="str">
            <v>Quảng Ngãi</v>
          </cell>
          <cell r="D739">
            <v>5264</v>
          </cell>
          <cell r="E739" t="str">
            <v>Mạng cấp 4</v>
          </cell>
        </row>
        <row r="740">
          <cell r="B740" t="str">
            <v>TTCMKV Bình Sơn - Đông Trà Bồng</v>
          </cell>
          <cell r="C740" t="str">
            <v>Quảng Ngãi</v>
          </cell>
          <cell r="D740">
            <v>23524</v>
          </cell>
          <cell r="E740" t="str">
            <v>Mạng cấp 4</v>
          </cell>
        </row>
        <row r="741">
          <cell r="B741" t="str">
            <v>Đông Trà Bồng - Trà Bồng</v>
          </cell>
          <cell r="C741" t="str">
            <v>Quảng Ngãi</v>
          </cell>
          <cell r="D741">
            <v>7301</v>
          </cell>
          <cell r="E741" t="str">
            <v>Mạng cấp 4</v>
          </cell>
        </row>
        <row r="742">
          <cell r="B742" t="str">
            <v>Trà Bồng - TTCMKV Trà Bồng</v>
          </cell>
          <cell r="C742" t="str">
            <v>Quảng Ngãi</v>
          </cell>
          <cell r="D742">
            <v>0</v>
          </cell>
          <cell r="E742" t="str">
            <v>Mạng cấp 4</v>
          </cell>
        </row>
        <row r="743">
          <cell r="B743" t="str">
            <v>TTCMKV Trà Bồng - Thanh Bồng</v>
          </cell>
          <cell r="C743" t="str">
            <v>Quảng Ngãi</v>
          </cell>
          <cell r="D743">
            <v>13331</v>
          </cell>
          <cell r="E743" t="str">
            <v>Mạng cấp 4</v>
          </cell>
        </row>
        <row r="744">
          <cell r="B744" t="str">
            <v>Thanh Bồng - Tây Trà Bồng</v>
          </cell>
          <cell r="C744" t="str">
            <v>Quảng Ngãi</v>
          </cell>
          <cell r="D744">
            <v>30281</v>
          </cell>
          <cell r="E744" t="str">
            <v>Mạng cấp 4</v>
          </cell>
        </row>
        <row r="745">
          <cell r="B745" t="str">
            <v>Tây Trà Bồng - Tây Trà</v>
          </cell>
          <cell r="C745" t="str">
            <v>Quảng Ngãi</v>
          </cell>
          <cell r="D745">
            <v>14056</v>
          </cell>
          <cell r="E745" t="str">
            <v>Mạng cấp 4</v>
          </cell>
        </row>
        <row r="746">
          <cell r="B746" t="str">
            <v>Tây Trà - TTCMKV Sơn Hà</v>
          </cell>
          <cell r="C746" t="str">
            <v>Quảng Ngãi</v>
          </cell>
          <cell r="D746">
            <v>40644</v>
          </cell>
          <cell r="E746" t="str">
            <v>Mạng cấp 4</v>
          </cell>
        </row>
        <row r="747">
          <cell r="B747" t="str">
            <v>TTCMKV Sơn Hà - Sơn Hà</v>
          </cell>
          <cell r="C747" t="str">
            <v>Quảng Ngãi</v>
          </cell>
          <cell r="D747">
            <v>0</v>
          </cell>
          <cell r="E747" t="str">
            <v>Mạng cấp 4</v>
          </cell>
        </row>
        <row r="748">
          <cell r="B748" t="str">
            <v>Sơn Hà - Sơn Tây Hạ</v>
          </cell>
          <cell r="C748" t="str">
            <v>Quảng Ngãi</v>
          </cell>
          <cell r="D748">
            <v>21991</v>
          </cell>
          <cell r="E748" t="str">
            <v>Mạng cấp 4</v>
          </cell>
        </row>
        <row r="749">
          <cell r="B749" t="str">
            <v>Sơn Tây Hạ - Sơn Tây</v>
          </cell>
          <cell r="C749" t="str">
            <v>Quảng Ngãi</v>
          </cell>
          <cell r="D749">
            <v>20974</v>
          </cell>
          <cell r="E749" t="str">
            <v>Mạng cấp 4</v>
          </cell>
        </row>
        <row r="750">
          <cell r="B750" t="str">
            <v>Sơn Tây - Sơn Tây Thượng</v>
          </cell>
          <cell r="C750" t="str">
            <v>Quảng Ngãi</v>
          </cell>
          <cell r="D750">
            <v>3917</v>
          </cell>
          <cell r="E750" t="str">
            <v>Mạng cấp 4</v>
          </cell>
        </row>
        <row r="751">
          <cell r="B751" t="str">
            <v>Sơn Tây Thượng - TTCMKV Sơn Tây</v>
          </cell>
          <cell r="C751" t="str">
            <v>Quảng Ngãi</v>
          </cell>
          <cell r="D751">
            <v>0</v>
          </cell>
          <cell r="E751" t="str">
            <v>Mạng cấp 4</v>
          </cell>
        </row>
        <row r="752">
          <cell r="B752" t="str">
            <v>TTCMKV Sơn Hà - Sơn Thủy</v>
          </cell>
          <cell r="C752" t="str">
            <v>Quảng Ngãi</v>
          </cell>
          <cell r="D752">
            <v>8888</v>
          </cell>
          <cell r="E752" t="str">
            <v>Mạng cấp 4</v>
          </cell>
        </row>
        <row r="753">
          <cell r="B753" t="str">
            <v>Sơn Thủy - Sơn Linh</v>
          </cell>
          <cell r="C753" t="str">
            <v>Quảng Ngãi</v>
          </cell>
          <cell r="D753">
            <v>13768</v>
          </cell>
          <cell r="E753" t="str">
            <v>Mạng cấp 4</v>
          </cell>
        </row>
        <row r="754">
          <cell r="B754" t="str">
            <v>Sơn Linh - Trường Giang</v>
          </cell>
          <cell r="C754" t="str">
            <v>Quảng Ngãi</v>
          </cell>
          <cell r="D754">
            <v>25137</v>
          </cell>
          <cell r="E754" t="str">
            <v>Mạng cấp 4</v>
          </cell>
        </row>
        <row r="755">
          <cell r="B755" t="str">
            <v>Trường Giang - TT1 QUẢNG NGÃI</v>
          </cell>
          <cell r="C755" t="str">
            <v>Quảng Ngãi</v>
          </cell>
          <cell r="D755">
            <v>22302</v>
          </cell>
          <cell r="E755" t="str">
            <v>Mạng cấp 4</v>
          </cell>
        </row>
        <row r="756">
          <cell r="B756" t="str">
            <v>TTCMKV Sơn Hà - Sơn Hạ</v>
          </cell>
          <cell r="C756" t="str">
            <v>Quảng Ngãi</v>
          </cell>
          <cell r="D756">
            <v>15813</v>
          </cell>
          <cell r="E756" t="str">
            <v>Mạng cấp 4</v>
          </cell>
        </row>
        <row r="757">
          <cell r="B757" t="str">
            <v>Sơn Hạ - Cà Đam</v>
          </cell>
          <cell r="C757" t="str">
            <v>Quảng Ngãi</v>
          </cell>
          <cell r="D757">
            <v>12202</v>
          </cell>
          <cell r="E757" t="str">
            <v>Mạng cấp 4</v>
          </cell>
        </row>
        <row r="758">
          <cell r="B758" t="str">
            <v>Cà Đam - Ba Gia</v>
          </cell>
          <cell r="C758" t="str">
            <v>Quảng Ngãi</v>
          </cell>
          <cell r="D758">
            <v>20011</v>
          </cell>
          <cell r="E758" t="str">
            <v>Mạng cấp 4</v>
          </cell>
        </row>
        <row r="759">
          <cell r="B759" t="str">
            <v>Ba Gia - TT1 QUẢNG NGÃI</v>
          </cell>
          <cell r="C759" t="str">
            <v>Quảng Ngãi</v>
          </cell>
          <cell r="D759">
            <v>20206</v>
          </cell>
          <cell r="E759" t="str">
            <v>Mạng cấp 4</v>
          </cell>
        </row>
        <row r="760">
          <cell r="B760" t="str">
            <v>TTCMKV Ba Tơ - Ba Dinh</v>
          </cell>
          <cell r="C760" t="str">
            <v>Quảng Ngãi</v>
          </cell>
          <cell r="D760">
            <v>7417</v>
          </cell>
          <cell r="E760" t="str">
            <v>Mạng cấp 4</v>
          </cell>
        </row>
        <row r="761">
          <cell r="B761" t="str">
            <v>Ba Dinh - Ba Tô</v>
          </cell>
          <cell r="C761" t="str">
            <v>Quảng Ngãi</v>
          </cell>
          <cell r="D761">
            <v>7194</v>
          </cell>
          <cell r="E761" t="str">
            <v>Mạng cấp 4</v>
          </cell>
        </row>
        <row r="762">
          <cell r="B762" t="str">
            <v>Ba Tô - Ba Vì</v>
          </cell>
          <cell r="C762" t="str">
            <v>Quảng Ngãi</v>
          </cell>
          <cell r="D762">
            <v>8022</v>
          </cell>
          <cell r="E762" t="str">
            <v>Mạng cấp 4</v>
          </cell>
        </row>
        <row r="763">
          <cell r="B763" t="str">
            <v>Ba Vì - Ba Xa</v>
          </cell>
          <cell r="C763" t="str">
            <v>Quảng Ngãi</v>
          </cell>
          <cell r="D763">
            <v>3688</v>
          </cell>
          <cell r="E763" t="str">
            <v>Mạng cấp 4</v>
          </cell>
        </row>
        <row r="764">
          <cell r="B764" t="str">
            <v>Ba Xa - Sơn Kỳ</v>
          </cell>
          <cell r="C764" t="str">
            <v>Quảng Ngãi</v>
          </cell>
          <cell r="D764">
            <v>30711</v>
          </cell>
          <cell r="E764" t="str">
            <v>Mạng cấp 4</v>
          </cell>
        </row>
        <row r="765">
          <cell r="B765" t="str">
            <v>Sơn Kỳ - TTCMKV Minh Long</v>
          </cell>
          <cell r="C765" t="str">
            <v>Quảng Ngãi</v>
          </cell>
          <cell r="D765">
            <v>24685</v>
          </cell>
          <cell r="E765" t="str">
            <v>Mạng cấp 4</v>
          </cell>
        </row>
        <row r="766">
          <cell r="B766" t="str">
            <v>TTCMKV Ba Tơ - Ba Vinh</v>
          </cell>
          <cell r="C766" t="str">
            <v>Quảng Ngãi</v>
          </cell>
          <cell r="D766">
            <v>13212</v>
          </cell>
          <cell r="E766" t="str">
            <v>Mạng cấp 4</v>
          </cell>
        </row>
        <row r="767">
          <cell r="B767" t="str">
            <v>Ba Vinh - Minh Long</v>
          </cell>
          <cell r="C767" t="str">
            <v>Quảng Ngãi</v>
          </cell>
          <cell r="D767">
            <v>19737</v>
          </cell>
          <cell r="E767" t="str">
            <v>Mạng cấp 4</v>
          </cell>
        </row>
        <row r="768">
          <cell r="B768" t="str">
            <v>Minh Long - TTCMKV Minh Long</v>
          </cell>
          <cell r="C768" t="str">
            <v>Quảng Ngãi</v>
          </cell>
          <cell r="D768">
            <v>0</v>
          </cell>
          <cell r="E768" t="str">
            <v>Mạng cấp 4</v>
          </cell>
        </row>
        <row r="769">
          <cell r="B769" t="str">
            <v>TTCMKV Ba Tơ - Ba Động</v>
          </cell>
          <cell r="C769" t="str">
            <v>Quảng Ngãi</v>
          </cell>
          <cell r="D769">
            <v>7929</v>
          </cell>
          <cell r="E769" t="str">
            <v>Mạng cấp 4</v>
          </cell>
        </row>
        <row r="770">
          <cell r="B770" t="str">
            <v>Ba Động - Thiện Tín</v>
          </cell>
          <cell r="C770" t="str">
            <v>Quảng Ngãi</v>
          </cell>
          <cell r="D770">
            <v>20136</v>
          </cell>
          <cell r="E770" t="str">
            <v>Mạng cấp 4</v>
          </cell>
        </row>
        <row r="771">
          <cell r="B771" t="str">
            <v>Thiện Tín - TTCMKV Minh Long</v>
          </cell>
          <cell r="C771" t="str">
            <v>Quảng Ngãi</v>
          </cell>
          <cell r="D771">
            <v>10921</v>
          </cell>
          <cell r="E771" t="str">
            <v>Mạng cấp 4</v>
          </cell>
        </row>
        <row r="772">
          <cell r="B772" t="str">
            <v>TTCMKV Minh Long - Đình Cương</v>
          </cell>
          <cell r="C772" t="str">
            <v>Quảng Ngãi</v>
          </cell>
          <cell r="D772">
            <v>19981</v>
          </cell>
          <cell r="E772" t="str">
            <v>Mạng cấp 4</v>
          </cell>
        </row>
        <row r="773">
          <cell r="B773" t="str">
            <v>Đình Cương - Nghĩa Hành</v>
          </cell>
          <cell r="C773" t="str">
            <v>Quảng Ngãi</v>
          </cell>
          <cell r="D773">
            <v>7745</v>
          </cell>
          <cell r="E773" t="str">
            <v>Mạng cấp 4</v>
          </cell>
        </row>
        <row r="774">
          <cell r="B774" t="str">
            <v>Nghĩa Hành - Nghĩa Lộ</v>
          </cell>
          <cell r="C774" t="str">
            <v>Quảng Ngãi</v>
          </cell>
          <cell r="D774">
            <v>13734</v>
          </cell>
          <cell r="E774" t="str">
            <v>Mạng cấp 4</v>
          </cell>
        </row>
        <row r="775">
          <cell r="B775" t="str">
            <v>Nghĩa Lộ - TT1 QUẢNG NGÃI</v>
          </cell>
          <cell r="C775" t="str">
            <v>Quảng Ngãi</v>
          </cell>
          <cell r="D775">
            <v>610</v>
          </cell>
          <cell r="E775" t="str">
            <v>Mạng cấp 4</v>
          </cell>
        </row>
        <row r="776">
          <cell r="B776" t="str">
            <v>TTCMKV Minh Long - Sơn Mai</v>
          </cell>
          <cell r="C776" t="str">
            <v>Quảng Ngãi</v>
          </cell>
          <cell r="D776">
            <v>9698</v>
          </cell>
          <cell r="E776" t="str">
            <v>Mạng cấp 4</v>
          </cell>
        </row>
        <row r="777">
          <cell r="B777" t="str">
            <v>Sơn Mai - Phước Giang</v>
          </cell>
          <cell r="C777" t="str">
            <v>Quảng Ngãi</v>
          </cell>
          <cell r="D777">
            <v>6750</v>
          </cell>
          <cell r="E777" t="str">
            <v>Mạng cấp 4</v>
          </cell>
        </row>
        <row r="778">
          <cell r="B778" t="str">
            <v>Phước Giang - Trà Giang</v>
          </cell>
          <cell r="C778" t="str">
            <v>Quảng Ngãi</v>
          </cell>
          <cell r="D778">
            <v>15189</v>
          </cell>
          <cell r="E778" t="str">
            <v>Mạng cấp 4</v>
          </cell>
        </row>
        <row r="779">
          <cell r="B779" t="str">
            <v>Trà Giang - Nghĩa Giang</v>
          </cell>
          <cell r="C779" t="str">
            <v>Quảng Ngãi</v>
          </cell>
          <cell r="D779">
            <v>10778</v>
          </cell>
          <cell r="E779" t="str">
            <v>Mạng cấp 4</v>
          </cell>
        </row>
        <row r="780">
          <cell r="B780" t="str">
            <v>Nghĩa Giang - TT1 QUẢNG NGÃI</v>
          </cell>
          <cell r="C780" t="str">
            <v>Quảng Ngãi</v>
          </cell>
          <cell r="D780">
            <v>4782</v>
          </cell>
          <cell r="E780" t="str">
            <v>Mạng cấp 4</v>
          </cell>
        </row>
        <row r="781">
          <cell r="B781" t="str">
            <v>TTCMKV Ba Tơ - Ba Tơ</v>
          </cell>
          <cell r="C781" t="str">
            <v>Quảng Ngãi</v>
          </cell>
          <cell r="D781">
            <v>0</v>
          </cell>
          <cell r="E781" t="str">
            <v>Mạng cấp 4</v>
          </cell>
        </row>
        <row r="782">
          <cell r="B782" t="str">
            <v>Ba Tơ - Đặng Thùy Trâm</v>
          </cell>
          <cell r="C782" t="str">
            <v>Quảng Ngãi</v>
          </cell>
          <cell r="D782">
            <v>20677</v>
          </cell>
          <cell r="E782" t="str">
            <v>Mạng cấp 4</v>
          </cell>
        </row>
        <row r="783">
          <cell r="B783" t="str">
            <v>Đặng Thùy Trâm - Nguyễn Nghiêm</v>
          </cell>
          <cell r="C783" t="str">
            <v>Quảng Ngãi</v>
          </cell>
          <cell r="D783">
            <v>27688</v>
          </cell>
          <cell r="E783" t="str">
            <v>Mạng cấp 4</v>
          </cell>
        </row>
        <row r="784">
          <cell r="B784" t="str">
            <v>Nguyễn Nghiêm - TTCMKV TX Đức Phổ</v>
          </cell>
          <cell r="C784" t="str">
            <v>Quảng Ngãi</v>
          </cell>
          <cell r="D784">
            <v>15649</v>
          </cell>
          <cell r="E784" t="str">
            <v>Mạng cấp 4</v>
          </cell>
        </row>
        <row r="785">
          <cell r="B785" t="str">
            <v>TTCMKV TX Đức Phổ - Khánh Cường</v>
          </cell>
          <cell r="C785" t="str">
            <v>Quảng Ngãi</v>
          </cell>
          <cell r="D785">
            <v>13756</v>
          </cell>
          <cell r="E785" t="str">
            <v>Mạng cấp 4</v>
          </cell>
        </row>
        <row r="786">
          <cell r="B786" t="str">
            <v>Khánh Cường - Sa Huỳnh</v>
          </cell>
          <cell r="C786" t="str">
            <v>Quảng Ngãi</v>
          </cell>
          <cell r="D786">
            <v>10777</v>
          </cell>
          <cell r="E786" t="str">
            <v>Mạng cấp 4</v>
          </cell>
        </row>
        <row r="787">
          <cell r="B787" t="str">
            <v>Sa Huỳnh - Trạm csgt Đức Phổ, PC08</v>
          </cell>
          <cell r="C787" t="str">
            <v>Quảng Ngãi</v>
          </cell>
          <cell r="D787">
            <v>16722</v>
          </cell>
          <cell r="E787" t="str">
            <v>Mạng cấp 4</v>
          </cell>
        </row>
        <row r="788">
          <cell r="B788" t="str">
            <v>Trạm csgt Đức Phổ, PC08 - TTCMKV TX Đức Phổ</v>
          </cell>
          <cell r="C788" t="str">
            <v>Quảng Ngãi</v>
          </cell>
          <cell r="D788">
            <v>6537</v>
          </cell>
          <cell r="E788" t="str">
            <v>Mạng cấp 4</v>
          </cell>
        </row>
        <row r="789">
          <cell r="B789" t="str">
            <v>TTCMKV TX Đức Phổ - Đức Phổ</v>
          </cell>
          <cell r="C789" t="str">
            <v>Quảng Ngãi</v>
          </cell>
          <cell r="D789">
            <v>919</v>
          </cell>
          <cell r="E789" t="str">
            <v>Mạng cấp 4</v>
          </cell>
        </row>
        <row r="790">
          <cell r="B790" t="str">
            <v>Đức Phổ - Trà Câu</v>
          </cell>
          <cell r="C790" t="str">
            <v>Quảng Ngãi</v>
          </cell>
          <cell r="D790">
            <v>9212</v>
          </cell>
          <cell r="E790" t="str">
            <v>Mạng cấp 4</v>
          </cell>
        </row>
        <row r="791">
          <cell r="B791" t="str">
            <v>Trà Câu - Mộ Đức</v>
          </cell>
          <cell r="C791" t="str">
            <v>Quảng Ngãi</v>
          </cell>
          <cell r="D791">
            <v>12470</v>
          </cell>
          <cell r="E791" t="str">
            <v>Mạng cấp 4</v>
          </cell>
        </row>
        <row r="792">
          <cell r="B792" t="str">
            <v>Mộ Đức - Vệ Giang</v>
          </cell>
          <cell r="C792" t="str">
            <v>Quảng Ngãi</v>
          </cell>
          <cell r="D792">
            <v>17908</v>
          </cell>
          <cell r="E792" t="str">
            <v>Mạng cấp 4</v>
          </cell>
        </row>
        <row r="793">
          <cell r="B793" t="str">
            <v>Vệ Giang - Cẩm Thành</v>
          </cell>
          <cell r="C793" t="str">
            <v>Quảng Ngãi</v>
          </cell>
          <cell r="D793">
            <v>11173</v>
          </cell>
          <cell r="E793" t="str">
            <v>Mạng cấp 4</v>
          </cell>
        </row>
        <row r="794">
          <cell r="B794" t="str">
            <v>Cẩm Thành - TT1 QUẢNG NGÃI</v>
          </cell>
          <cell r="C794" t="str">
            <v>Quảng Ngãi</v>
          </cell>
          <cell r="D794">
            <v>3118</v>
          </cell>
          <cell r="E794" t="str">
            <v>Mạng cấp 4</v>
          </cell>
        </row>
        <row r="795">
          <cell r="B795" t="str">
            <v>TTCMKV TX Đức Phổ - Lân Phong</v>
          </cell>
          <cell r="C795" t="str">
            <v>Quảng Ngãi</v>
          </cell>
          <cell r="D795">
            <v>20709</v>
          </cell>
          <cell r="E795" t="str">
            <v>Mạng cấp 4</v>
          </cell>
        </row>
        <row r="796">
          <cell r="B796" t="str">
            <v>Lân Phong - Mỏ Cày</v>
          </cell>
          <cell r="C796" t="str">
            <v>Quảng Ngãi</v>
          </cell>
          <cell r="D796">
            <v>8477</v>
          </cell>
          <cell r="E796" t="str">
            <v>Mạng cấp 4</v>
          </cell>
        </row>
        <row r="797">
          <cell r="B797" t="str">
            <v>Mỏ Cày - Long Phụng</v>
          </cell>
          <cell r="C797" t="str">
            <v>Quảng Ngãi</v>
          </cell>
          <cell r="D797">
            <v>11798</v>
          </cell>
          <cell r="E797" t="str">
            <v>Mạng cấp 4</v>
          </cell>
        </row>
        <row r="798">
          <cell r="B798" t="str">
            <v>Long Phụng - Tư Nghĩa</v>
          </cell>
          <cell r="C798" t="str">
            <v>Quảng Ngãi</v>
          </cell>
          <cell r="D798">
            <v>11252</v>
          </cell>
          <cell r="E798" t="str">
            <v>Mạng cấp 4</v>
          </cell>
        </row>
        <row r="799">
          <cell r="B799" t="str">
            <v>Tư Nghĩa - TT1 QUẢNG NGÃI</v>
          </cell>
          <cell r="C799" t="str">
            <v>Quảng Ngãi</v>
          </cell>
          <cell r="D799">
            <v>7335</v>
          </cell>
          <cell r="E799" t="str">
            <v>Mạng cấp 4</v>
          </cell>
        </row>
        <row r="800">
          <cell r="B800" t="str">
            <v>Tuyến cáp từ TT 2 Gia Lai (Pleiku) đến Gào</v>
          </cell>
          <cell r="C800" t="str">
            <v>Gia Lai</v>
          </cell>
          <cell r="D800">
            <v>17113</v>
          </cell>
          <cell r="E800" t="str">
            <v>Mạng cấp 4</v>
          </cell>
        </row>
        <row r="801">
          <cell r="B801" t="str">
            <v>Tuyến cáp từ Gào đến Bàu Cạn</v>
          </cell>
          <cell r="C801" t="str">
            <v>Gia Lai</v>
          </cell>
          <cell r="D801">
            <v>13101</v>
          </cell>
          <cell r="E801" t="str">
            <v>Mạng cấp 4</v>
          </cell>
        </row>
        <row r="802">
          <cell r="B802" t="str">
            <v>Tuyến cáp từ Bàu Cạn đến Ia Krêl</v>
          </cell>
          <cell r="C802" t="str">
            <v>Gia Lai</v>
          </cell>
          <cell r="D802">
            <v>10055</v>
          </cell>
          <cell r="E802" t="str">
            <v>Mạng cấp 4</v>
          </cell>
        </row>
        <row r="803">
          <cell r="B803" t="str">
            <v>Tuyến cáp từ Ia Krêl đến Đức Cơ</v>
          </cell>
          <cell r="C803" t="str">
            <v>Gia Lai</v>
          </cell>
          <cell r="D803">
            <v>14699</v>
          </cell>
          <cell r="E803" t="str">
            <v>Mạng cấp 4</v>
          </cell>
        </row>
        <row r="804">
          <cell r="B804" t="str">
            <v>Tuyến cáp từ Đức Cơ đến TTCMKV Đức Cơ</v>
          </cell>
          <cell r="C804" t="str">
            <v>Gia Lai</v>
          </cell>
          <cell r="D804">
            <v>0</v>
          </cell>
          <cell r="E804" t="str">
            <v>Mạng cấp 4</v>
          </cell>
        </row>
        <row r="805">
          <cell r="B805" t="str">
            <v>Tuyến cáp từ TT2 Gia Lai (Pleiku) đến Diên Hồng</v>
          </cell>
          <cell r="C805" t="str">
            <v>Gia Lai</v>
          </cell>
          <cell r="D805">
            <v>2495</v>
          </cell>
          <cell r="E805" t="str">
            <v>Mạng cấp 4</v>
          </cell>
        </row>
        <row r="806">
          <cell r="B806" t="str">
            <v>Tuyến cáp từ Diên Hồng đến Thống Nhất</v>
          </cell>
          <cell r="C806" t="str">
            <v>Gia Lai</v>
          </cell>
          <cell r="D806">
            <v>6847</v>
          </cell>
          <cell r="E806" t="str">
            <v>Mạng cấp 4</v>
          </cell>
        </row>
        <row r="807">
          <cell r="B807" t="str">
            <v>Tuyến cáp từ Thống Nhất đến Ia Hrung</v>
          </cell>
          <cell r="C807" t="str">
            <v>Gia Lai</v>
          </cell>
          <cell r="D807">
            <v>15583</v>
          </cell>
          <cell r="E807" t="str">
            <v>Mạng cấp 4</v>
          </cell>
        </row>
        <row r="808">
          <cell r="B808" t="str">
            <v>Tuyến cáp từ Ia Hrung đến Ia Grai</v>
          </cell>
          <cell r="C808" t="str">
            <v>Gia Lai</v>
          </cell>
          <cell r="D808">
            <v>20735</v>
          </cell>
          <cell r="E808" t="str">
            <v>Mạng cấp 4</v>
          </cell>
        </row>
        <row r="809">
          <cell r="B809" t="str">
            <v>Tuyến cáp từ Ia Grai đến TTCMKV Ia Grai</v>
          </cell>
          <cell r="C809" t="str">
            <v>Gia Lai</v>
          </cell>
          <cell r="D809">
            <v>0</v>
          </cell>
          <cell r="E809" t="str">
            <v>Mạng cấp 4</v>
          </cell>
        </row>
        <row r="810">
          <cell r="B810" t="str">
            <v>Tuyến cáp từ TT2 Gia Lai (Pleiku) đến Pleiku</v>
          </cell>
          <cell r="C810" t="str">
            <v>Gia Lai</v>
          </cell>
          <cell r="D810">
            <v>1745</v>
          </cell>
          <cell r="E810" t="str">
            <v>Mạng cấp 4</v>
          </cell>
        </row>
        <row r="811">
          <cell r="B811" t="str">
            <v>Tuyến cáp từ Pleiku đến Biển Hồ</v>
          </cell>
          <cell r="C811" t="str">
            <v>Gia Lai</v>
          </cell>
          <cell r="D811">
            <v>12652</v>
          </cell>
          <cell r="E811" t="str">
            <v>Mạng cấp 4</v>
          </cell>
        </row>
        <row r="812">
          <cell r="B812" t="str">
            <v>Tuyến cáp từ Biển Hồ đến Kon Gang</v>
          </cell>
          <cell r="C812" t="str">
            <v>Gia Lai</v>
          </cell>
          <cell r="D812">
            <v>7004</v>
          </cell>
          <cell r="E812" t="str">
            <v>Mạng cấp 4</v>
          </cell>
        </row>
        <row r="813">
          <cell r="B813" t="str">
            <v>Tuyến cáp từ Kon Gang đến TTCMKV Mang Yang</v>
          </cell>
          <cell r="C813" t="str">
            <v>Gia Lai</v>
          </cell>
          <cell r="D813">
            <v>30113</v>
          </cell>
          <cell r="E813" t="str">
            <v>Mạng cấp 4</v>
          </cell>
        </row>
        <row r="814">
          <cell r="B814" t="str">
            <v>Tuyến cáp từ TT2 Gia Lai (Pleiku) đến Hội Phú</v>
          </cell>
          <cell r="C814" t="str">
            <v>Gia Lai</v>
          </cell>
          <cell r="D814">
            <v>7988</v>
          </cell>
          <cell r="E814" t="str">
            <v>Mạng cấp 4</v>
          </cell>
        </row>
        <row r="815">
          <cell r="B815" t="str">
            <v>Tuyến cáp từ Hội Phú đến Ia Băng</v>
          </cell>
          <cell r="C815" t="str">
            <v>Gia Lai</v>
          </cell>
          <cell r="D815">
            <v>15797</v>
          </cell>
          <cell r="E815" t="str">
            <v>Mạng cấp 4</v>
          </cell>
        </row>
        <row r="816">
          <cell r="B816" t="str">
            <v>Tuyến cáp từ Ia Băng đến Đăk Đoa</v>
          </cell>
          <cell r="C816" t="str">
            <v>Gia Lai</v>
          </cell>
          <cell r="D816">
            <v>16540</v>
          </cell>
          <cell r="E816" t="str">
            <v>Mạng cấp 4</v>
          </cell>
        </row>
        <row r="817">
          <cell r="B817" t="str">
            <v>Tuyến cáp từ Đăk Đoa đến TTCMKV Mang Yang</v>
          </cell>
          <cell r="C817" t="str">
            <v>Gia Lai</v>
          </cell>
          <cell r="D817">
            <v>19928.599999999999</v>
          </cell>
          <cell r="E817" t="str">
            <v>Mạng cấp 4</v>
          </cell>
        </row>
        <row r="818">
          <cell r="B818" t="str">
            <v>Tuyến cáp từ TT 2 Gia Lai (Pleiku) đến Chư Pah</v>
          </cell>
          <cell r="C818" t="str">
            <v>Gia Lai</v>
          </cell>
          <cell r="D818">
            <v>16666</v>
          </cell>
          <cell r="E818" t="str">
            <v>Mạng cấp 4</v>
          </cell>
        </row>
        <row r="819">
          <cell r="B819" t="str">
            <v>Tuyến cáp từ chư Pah đến Ia Phí</v>
          </cell>
          <cell r="C819" t="str">
            <v>Gia Lai</v>
          </cell>
          <cell r="D819">
            <v>10362</v>
          </cell>
          <cell r="E819" t="str">
            <v>Mạng cấp 4</v>
          </cell>
        </row>
        <row r="820">
          <cell r="B820" t="str">
            <v>Tuyến cáp từ Ia Phí đến Ia Ly</v>
          </cell>
          <cell r="C820" t="str">
            <v>Gia Lai</v>
          </cell>
          <cell r="D820">
            <v>10849</v>
          </cell>
          <cell r="E820" t="str">
            <v>Mạng cấp 4</v>
          </cell>
        </row>
        <row r="821">
          <cell r="B821" t="str">
            <v>Tuyến cáp từ Ia Ly đến Ia Khươl</v>
          </cell>
          <cell r="C821" t="str">
            <v>Gia Lai</v>
          </cell>
          <cell r="D821">
            <v>30176</v>
          </cell>
          <cell r="E821" t="str">
            <v>Mạng cấp 4</v>
          </cell>
        </row>
        <row r="822">
          <cell r="B822" t="str">
            <v>Tuyến cáp từ Ia Khươl đến Đăk Sơ Mei</v>
          </cell>
          <cell r="C822" t="str">
            <v>Gia Lai</v>
          </cell>
          <cell r="D822">
            <v>13259</v>
          </cell>
          <cell r="E822" t="str">
            <v>Mạng cấp 4</v>
          </cell>
        </row>
        <row r="823">
          <cell r="B823" t="str">
            <v>Tuyến cáp từ Đăk Sơ Mei đến TTCMKV Mang Yang</v>
          </cell>
          <cell r="C823" t="str">
            <v>Gia Lai</v>
          </cell>
          <cell r="D823">
            <v>23313</v>
          </cell>
          <cell r="E823" t="str">
            <v>Mạng cấp 4</v>
          </cell>
        </row>
        <row r="824">
          <cell r="B824" t="str">
            <v>Tuyến cáp từ TTCMKV IaGrai đến Ia Krái</v>
          </cell>
          <cell r="C824" t="str">
            <v>Gia Lai</v>
          </cell>
          <cell r="D824">
            <v>13388</v>
          </cell>
          <cell r="E824" t="str">
            <v>Mạng cấp 4</v>
          </cell>
        </row>
        <row r="825">
          <cell r="B825" t="str">
            <v>Tuyến cáp từ Ia Krái đến Ia O</v>
          </cell>
          <cell r="C825" t="str">
            <v>Gia Lai</v>
          </cell>
          <cell r="D825">
            <v>29850</v>
          </cell>
          <cell r="E825" t="str">
            <v>Mạng cấp 4</v>
          </cell>
        </row>
        <row r="826">
          <cell r="B826" t="str">
            <v>Tuyến cáp từ Ia O đến Ia Chía</v>
          </cell>
          <cell r="C826" t="str">
            <v>Gia Lai</v>
          </cell>
          <cell r="D826">
            <v>27230</v>
          </cell>
          <cell r="E826" t="str">
            <v>Mạng cấp 4</v>
          </cell>
        </row>
        <row r="827">
          <cell r="B827" t="str">
            <v>Tuyến cáp từ Ia Chía đến Ia Đơk</v>
          </cell>
          <cell r="C827" t="str">
            <v>Gia Lai</v>
          </cell>
          <cell r="D827">
            <v>18173</v>
          </cell>
          <cell r="E827" t="str">
            <v>Mạng cấp 4</v>
          </cell>
        </row>
        <row r="828">
          <cell r="B828" t="str">
            <v>Tuyến cáp từ Ia Đơk đến TTCMKV Đức Cơ</v>
          </cell>
          <cell r="C828" t="str">
            <v>Gia Lai</v>
          </cell>
          <cell r="D828">
            <v>4503</v>
          </cell>
          <cell r="E828" t="str">
            <v>Mạng cấp 4</v>
          </cell>
        </row>
        <row r="829">
          <cell r="B829" t="str">
            <v>Tuyến cáp từ TTCMKV Đức Cơ đến Ia Dom</v>
          </cell>
          <cell r="C829" t="str">
            <v>Gia Lai</v>
          </cell>
          <cell r="D829">
            <v>8043</v>
          </cell>
          <cell r="E829" t="str">
            <v>Mạng cấp 4</v>
          </cell>
        </row>
        <row r="830">
          <cell r="B830" t="str">
            <v>Tuyến cáp từ Ia Dom đến Ia Pnon</v>
          </cell>
          <cell r="C830" t="str">
            <v>Gia Lai</v>
          </cell>
          <cell r="D830">
            <v>5504</v>
          </cell>
          <cell r="E830" t="str">
            <v>Mạng cấp 4</v>
          </cell>
        </row>
        <row r="831">
          <cell r="B831" t="str">
            <v>Tuyến cáp từ Ia Pnon đến Ia Nan</v>
          </cell>
          <cell r="C831" t="str">
            <v>Gia Lai</v>
          </cell>
          <cell r="D831">
            <v>8321</v>
          </cell>
          <cell r="E831" t="str">
            <v>Mạng cấp 4</v>
          </cell>
        </row>
        <row r="832">
          <cell r="B832" t="str">
            <v>Tuyến cáp từ Ia Nan đến Ia Púch</v>
          </cell>
          <cell r="C832" t="str">
            <v>Gia Lai</v>
          </cell>
          <cell r="D832">
            <v>29526</v>
          </cell>
          <cell r="E832" t="str">
            <v>Mạng cấp 4</v>
          </cell>
        </row>
        <row r="833">
          <cell r="B833" t="str">
            <v>Tuyến cáp từ Ia Púch đến Ia Bòong</v>
          </cell>
          <cell r="C833" t="str">
            <v>Gia Lai</v>
          </cell>
          <cell r="D833">
            <v>24610</v>
          </cell>
          <cell r="E833" t="str">
            <v>Mạng cấp 4</v>
          </cell>
        </row>
        <row r="834">
          <cell r="B834" t="str">
            <v>Tuyến cáp từ Ia Bòong đến TTCMKV Chư Prong</v>
          </cell>
          <cell r="C834" t="str">
            <v>Gia Lai</v>
          </cell>
          <cell r="D834">
            <v>20977</v>
          </cell>
          <cell r="E834" t="str">
            <v>Mạng cấp 4</v>
          </cell>
        </row>
        <row r="835">
          <cell r="B835" t="str">
            <v>Tuyến cáp từ TTCMKV Chư Prong đến Ia Pia</v>
          </cell>
          <cell r="C835" t="str">
            <v>Gia Lai</v>
          </cell>
          <cell r="D835">
            <v>28684</v>
          </cell>
          <cell r="E835" t="str">
            <v>Mạng cấp 4</v>
          </cell>
        </row>
        <row r="836">
          <cell r="B836" t="str">
            <v>Tuyến cáp từ Ia Pia đến Ia Mơ</v>
          </cell>
          <cell r="C836" t="str">
            <v>Gia Lai</v>
          </cell>
          <cell r="D836">
            <v>21806</v>
          </cell>
          <cell r="E836" t="str">
            <v>Mạng cấp 4</v>
          </cell>
        </row>
        <row r="837">
          <cell r="B837" t="str">
            <v>Tuyến cáp từ Ia Mơ đến Ia Lâu</v>
          </cell>
          <cell r="C837" t="str">
            <v>Gia Lai</v>
          </cell>
          <cell r="D837">
            <v>29407</v>
          </cell>
          <cell r="E837" t="str">
            <v>Mạng cấp 4</v>
          </cell>
        </row>
        <row r="838">
          <cell r="B838" t="str">
            <v>Tuyến cáp từ Ia Lâu đến Ia Le</v>
          </cell>
          <cell r="C838" t="str">
            <v>Gia Lai</v>
          </cell>
          <cell r="D838">
            <v>37641</v>
          </cell>
          <cell r="E838" t="str">
            <v>Mạng cấp 4</v>
          </cell>
        </row>
        <row r="839">
          <cell r="B839" t="str">
            <v>Tuyến cáp từ Ia Le đến TTCMKV Chư Pưh</v>
          </cell>
          <cell r="C839" t="str">
            <v>Gia Lai</v>
          </cell>
          <cell r="D839">
            <v>11573</v>
          </cell>
          <cell r="E839" t="str">
            <v>Mạng cấp 4</v>
          </cell>
        </row>
        <row r="840">
          <cell r="B840" t="str">
            <v>Tuyến cáp từ TTCMKV Chư Prong đến Chư Prong</v>
          </cell>
          <cell r="C840" t="str">
            <v>Gia Lai</v>
          </cell>
          <cell r="D840">
            <v>2469</v>
          </cell>
          <cell r="E840" t="str">
            <v>Mạng cấp 4</v>
          </cell>
        </row>
        <row r="841">
          <cell r="B841" t="str">
            <v>Tuyến cáp từ Chư Prong đến Ia Tôr</v>
          </cell>
          <cell r="C841" t="str">
            <v>Gia Lai</v>
          </cell>
          <cell r="D841">
            <v>10759</v>
          </cell>
          <cell r="E841" t="str">
            <v>Mạng cấp 4</v>
          </cell>
        </row>
        <row r="842">
          <cell r="B842" t="str">
            <v>Tuyến cáp từ Ia Tôr đến Ia Ko</v>
          </cell>
          <cell r="C842" t="str">
            <v>Gia Lai</v>
          </cell>
          <cell r="D842">
            <v>26329</v>
          </cell>
          <cell r="E842" t="str">
            <v>Mạng cấp 4</v>
          </cell>
        </row>
        <row r="843">
          <cell r="B843" t="str">
            <v>Tuyến cáp từ Ia Ko đến Ia Hrú</v>
          </cell>
          <cell r="C843" t="str">
            <v>Gia Lai</v>
          </cell>
          <cell r="D843">
            <v>17145</v>
          </cell>
          <cell r="E843" t="str">
            <v>Mạng cấp 4</v>
          </cell>
        </row>
        <row r="844">
          <cell r="B844" t="str">
            <v>Tuyến cáp từ Ia Hrú đến Chư Pưh</v>
          </cell>
          <cell r="C844" t="str">
            <v>Gia Lai</v>
          </cell>
          <cell r="D844">
            <v>9471</v>
          </cell>
          <cell r="E844" t="str">
            <v>Mạng cấp 4</v>
          </cell>
        </row>
        <row r="845">
          <cell r="B845" t="str">
            <v>Tuyến cáp từ Chư Pưh đến TTCMKV Chư Pưh</v>
          </cell>
          <cell r="C845" t="str">
            <v>Gia Lai</v>
          </cell>
          <cell r="D845">
            <v>0</v>
          </cell>
          <cell r="E845" t="str">
            <v>Mạng cấp 4</v>
          </cell>
        </row>
        <row r="846">
          <cell r="B846" t="str">
            <v>Tuyến cáp từ TTCMKV Chư Sê đến Chư A Thai</v>
          </cell>
          <cell r="C846" t="str">
            <v>Gia Lai</v>
          </cell>
          <cell r="D846">
            <v>37037</v>
          </cell>
          <cell r="E846" t="str">
            <v>Mạng cấp 4</v>
          </cell>
        </row>
        <row r="847">
          <cell r="B847" t="str">
            <v>Tuyến cáp từ Chư A Thai đến Phú Thiện</v>
          </cell>
          <cell r="C847" t="str">
            <v>Gia Lai</v>
          </cell>
          <cell r="D847">
            <v>10131</v>
          </cell>
          <cell r="E847" t="str">
            <v>Mạng cấp 4</v>
          </cell>
        </row>
        <row r="848">
          <cell r="B848" t="str">
            <v>Tuyến cáp từ Phú Thiện đến TTCMKV Phú Thiện</v>
          </cell>
          <cell r="C848" t="str">
            <v>Gia Lai</v>
          </cell>
          <cell r="D848">
            <v>0</v>
          </cell>
          <cell r="E848" t="str">
            <v>Mạng cấp 4</v>
          </cell>
        </row>
        <row r="849">
          <cell r="B849" t="str">
            <v>Tuyến cáp từ TTCMKV Mang Yang đến Kdang</v>
          </cell>
          <cell r="C849" t="str">
            <v>Gia Lai</v>
          </cell>
          <cell r="D849">
            <v>12229</v>
          </cell>
          <cell r="E849" t="str">
            <v>Mạng cấp 4</v>
          </cell>
        </row>
        <row r="850">
          <cell r="B850" t="str">
            <v>Tuyến cáp từ Kdang đến Bờ Ngoong</v>
          </cell>
          <cell r="C850" t="str">
            <v>Gia Lai</v>
          </cell>
          <cell r="D850">
            <v>28402</v>
          </cell>
          <cell r="E850" t="str">
            <v>Mạng cấp 4</v>
          </cell>
        </row>
        <row r="851">
          <cell r="B851" t="str">
            <v>Tuyến cáp từ Bờ Ngoong đến AlBá</v>
          </cell>
          <cell r="C851" t="str">
            <v>Gia Lai</v>
          </cell>
          <cell r="D851">
            <v>11806</v>
          </cell>
          <cell r="E851" t="str">
            <v>Mạng cấp 4</v>
          </cell>
        </row>
        <row r="852">
          <cell r="B852" t="str">
            <v>Tuyến cáp từ AlBá đến Chư Sê</v>
          </cell>
          <cell r="C852" t="str">
            <v>Gia Lai</v>
          </cell>
          <cell r="D852">
            <v>12125</v>
          </cell>
          <cell r="E852" t="str">
            <v>Mạng cấp 4</v>
          </cell>
        </row>
        <row r="853">
          <cell r="B853" t="str">
            <v>Tuyến cáp từ Chư Sê đến TTCMKV Chư Sê</v>
          </cell>
          <cell r="C853" t="str">
            <v>Gia Lai</v>
          </cell>
          <cell r="D853">
            <v>0</v>
          </cell>
          <cell r="E853" t="str">
            <v>Mạng cấp 4</v>
          </cell>
        </row>
        <row r="854">
          <cell r="B854" t="str">
            <v>TTCMKV Mang Yang - Lơ Pang</v>
          </cell>
          <cell r="C854" t="str">
            <v>Gia Lai</v>
          </cell>
          <cell r="D854">
            <v>15926</v>
          </cell>
          <cell r="E854" t="str">
            <v>Mạng cấp 4</v>
          </cell>
        </row>
        <row r="855">
          <cell r="B855" t="str">
            <v>Lơ Pang - Kon Chiêng</v>
          </cell>
          <cell r="C855" t="str">
            <v>Gia Lai</v>
          </cell>
          <cell r="D855">
            <v>25223</v>
          </cell>
          <cell r="E855" t="str">
            <v>Mạng cấp 4</v>
          </cell>
        </row>
        <row r="856">
          <cell r="B856" t="str">
            <v>Kon Chiêng - Pờ Tó</v>
          </cell>
          <cell r="C856" t="str">
            <v>Gia Lai</v>
          </cell>
          <cell r="D856">
            <v>34640.199999999997</v>
          </cell>
          <cell r="E856" t="str">
            <v>Mạng cấp 4</v>
          </cell>
        </row>
        <row r="857">
          <cell r="B857" t="str">
            <v>Pờ Tó - TTCMKV Ia Pa</v>
          </cell>
          <cell r="C857" t="str">
            <v>Gia Lai</v>
          </cell>
          <cell r="D857">
            <v>10182.200000000001</v>
          </cell>
          <cell r="E857" t="str">
            <v>Mạng cấp 4</v>
          </cell>
        </row>
        <row r="858">
          <cell r="B858" t="str">
            <v>TTCMKV Mang Yang - Mang Yang</v>
          </cell>
          <cell r="C858" t="str">
            <v>Gia Lai</v>
          </cell>
          <cell r="D858">
            <v>0</v>
          </cell>
          <cell r="E858" t="str">
            <v>Mạng cấp 4</v>
          </cell>
        </row>
        <row r="859">
          <cell r="B859" t="str">
            <v>Mang Yang - Ayun</v>
          </cell>
          <cell r="C859" t="str">
            <v>Gia Lai</v>
          </cell>
          <cell r="D859">
            <v>13497.300000000001</v>
          </cell>
          <cell r="E859" t="str">
            <v>Mạng cấp 4</v>
          </cell>
        </row>
        <row r="860">
          <cell r="B860" t="str">
            <v>Ayun - Hra</v>
          </cell>
          <cell r="C860" t="str">
            <v>Gia Lai</v>
          </cell>
          <cell r="D860">
            <v>17736</v>
          </cell>
          <cell r="E860" t="str">
            <v>Mạng cấp 4</v>
          </cell>
        </row>
        <row r="861">
          <cell r="B861" t="str">
            <v>Hra - TTCMKV Đak Pơ</v>
          </cell>
          <cell r="C861" t="str">
            <v>Gia Lai</v>
          </cell>
          <cell r="D861">
            <v>23076</v>
          </cell>
          <cell r="E861" t="str">
            <v>Mạng cấp 4</v>
          </cell>
        </row>
        <row r="862">
          <cell r="B862" t="str">
            <v>TTCMKV Đak Pơ - An Bình</v>
          </cell>
          <cell r="C862" t="str">
            <v>Gia Lai</v>
          </cell>
          <cell r="D862">
            <v>8391</v>
          </cell>
          <cell r="E862" t="str">
            <v>Mạng cấp 4</v>
          </cell>
        </row>
        <row r="863">
          <cell r="B863" t="str">
            <v>An Bình - An Khê</v>
          </cell>
          <cell r="C863" t="str">
            <v>Gia Lai</v>
          </cell>
          <cell r="D863">
            <v>4839</v>
          </cell>
          <cell r="E863" t="str">
            <v>Mạng cấp 4</v>
          </cell>
        </row>
        <row r="864">
          <cell r="B864" t="str">
            <v>An Khê - TTCMKV An Khê</v>
          </cell>
          <cell r="C864" t="str">
            <v>Gia Lai</v>
          </cell>
          <cell r="D864">
            <v>0</v>
          </cell>
          <cell r="E864" t="str">
            <v>Mạng cấp 4</v>
          </cell>
        </row>
        <row r="865">
          <cell r="B865" t="str">
            <v>TTCMKV Đak Pơ - Kông Bơ La</v>
          </cell>
          <cell r="C865" t="str">
            <v>Gia Lai</v>
          </cell>
          <cell r="D865">
            <v>22803</v>
          </cell>
          <cell r="E865" t="str">
            <v>Mạng cấp 4</v>
          </cell>
        </row>
        <row r="866">
          <cell r="B866" t="str">
            <v>Kông Bơ La - An Khê</v>
          </cell>
          <cell r="C866" t="str">
            <v>Gia Lai</v>
          </cell>
          <cell r="D866">
            <v>13316</v>
          </cell>
          <cell r="E866" t="str">
            <v>Mạng cấp 4</v>
          </cell>
        </row>
        <row r="867">
          <cell r="B867" t="str">
            <v>An Khê - TTCMKV An Khê</v>
          </cell>
          <cell r="C867" t="str">
            <v>Gia Lai</v>
          </cell>
          <cell r="D867">
            <v>0</v>
          </cell>
          <cell r="E867" t="str">
            <v>Mạng cấp 4</v>
          </cell>
        </row>
        <row r="868">
          <cell r="B868" t="str">
            <v>TTCMKV Đak Pơ - Tơ Tung</v>
          </cell>
          <cell r="C868" t="str">
            <v>Gia Lai</v>
          </cell>
          <cell r="D868">
            <v>11623</v>
          </cell>
          <cell r="E868" t="str">
            <v>Mạng cấp 4</v>
          </cell>
        </row>
        <row r="869">
          <cell r="B869" t="str">
            <v>Tơ Tung - Lơ Ku</v>
          </cell>
          <cell r="C869" t="str">
            <v>Gia Lai</v>
          </cell>
          <cell r="D869">
            <v>24097.4</v>
          </cell>
          <cell r="E869" t="str">
            <v>Mạng cấp 4</v>
          </cell>
        </row>
        <row r="870">
          <cell r="B870" t="str">
            <v>Lơ Ku - Krong</v>
          </cell>
          <cell r="C870" t="str">
            <v>Gia Lai</v>
          </cell>
          <cell r="D870">
            <v>27922</v>
          </cell>
          <cell r="E870" t="str">
            <v>Mạng cấp 4</v>
          </cell>
        </row>
        <row r="871">
          <cell r="B871" t="str">
            <v>Krong - Đak Rong</v>
          </cell>
          <cell r="C871" t="str">
            <v>Gia Lai</v>
          </cell>
          <cell r="D871">
            <v>21977</v>
          </cell>
          <cell r="E871" t="str">
            <v>Mạng cấp 4</v>
          </cell>
        </row>
        <row r="872">
          <cell r="B872" t="str">
            <v>Đak Rong - Sơn Lang</v>
          </cell>
          <cell r="C872" t="str">
            <v>Gia Lai</v>
          </cell>
          <cell r="D872">
            <v>33174</v>
          </cell>
          <cell r="E872" t="str">
            <v>Mạng cấp 4</v>
          </cell>
        </row>
        <row r="873">
          <cell r="B873" t="str">
            <v>Sơn Lang - Kbang</v>
          </cell>
          <cell r="C873" t="str">
            <v>Gia Lai</v>
          </cell>
          <cell r="D873">
            <v>18739</v>
          </cell>
          <cell r="E873" t="str">
            <v>Mạng cấp 4</v>
          </cell>
        </row>
        <row r="874">
          <cell r="B874" t="str">
            <v>Kbang - Cửu An</v>
          </cell>
          <cell r="C874" t="str">
            <v>Gia Lai</v>
          </cell>
          <cell r="D874">
            <v>26428</v>
          </cell>
          <cell r="E874" t="str">
            <v>Mạng cấp 4</v>
          </cell>
        </row>
        <row r="875">
          <cell r="B875" t="str">
            <v>Cửu An - TTCMKV An Khê</v>
          </cell>
          <cell r="C875" t="str">
            <v>Gia Lai</v>
          </cell>
          <cell r="D875">
            <v>7394</v>
          </cell>
          <cell r="E875" t="str">
            <v>Mạng cấp 4</v>
          </cell>
        </row>
        <row r="876">
          <cell r="B876" t="str">
            <v>TTCMKV Đak Pơ - Đak Pơ</v>
          </cell>
          <cell r="C876" t="str">
            <v>Gia Lai</v>
          </cell>
          <cell r="D876">
            <v>0</v>
          </cell>
          <cell r="E876" t="str">
            <v>Mạng cấp 4</v>
          </cell>
        </row>
        <row r="877">
          <cell r="B877" t="str">
            <v>Đak Pơ - Chư Krey</v>
          </cell>
          <cell r="C877" t="str">
            <v>Gia Lai</v>
          </cell>
          <cell r="D877">
            <v>24723</v>
          </cell>
          <cell r="E877" t="str">
            <v>Mạng cấp 4</v>
          </cell>
        </row>
        <row r="878">
          <cell r="B878" t="str">
            <v>Chư Krey - TTCMKV Kông Chro</v>
          </cell>
          <cell r="C878" t="str">
            <v>Gia Lai</v>
          </cell>
          <cell r="D878">
            <v>19179</v>
          </cell>
          <cell r="E878" t="str">
            <v>Mạng cấp 4</v>
          </cell>
        </row>
        <row r="879">
          <cell r="B879" t="str">
            <v>TTCMKV An Khê - Ya Hội</v>
          </cell>
          <cell r="C879" t="str">
            <v>Gia Lai</v>
          </cell>
          <cell r="D879">
            <v>5889.8</v>
          </cell>
          <cell r="E879" t="str">
            <v>Mạng cấp 4</v>
          </cell>
        </row>
        <row r="880">
          <cell r="B880" t="str">
            <v>Ya Hội - Ya Ma</v>
          </cell>
          <cell r="C880" t="str">
            <v>Gia Lai</v>
          </cell>
          <cell r="D880">
            <v>24009</v>
          </cell>
          <cell r="E880" t="str">
            <v>Mạng cấp 4</v>
          </cell>
        </row>
        <row r="881">
          <cell r="B881" t="str">
            <v>Ya Ma - Sró</v>
          </cell>
          <cell r="C881" t="str">
            <v>Gia Lai</v>
          </cell>
          <cell r="D881">
            <v>11647</v>
          </cell>
          <cell r="E881" t="str">
            <v>Mạng cấp 4</v>
          </cell>
        </row>
        <row r="882">
          <cell r="B882" t="str">
            <v>Sró - Đăk Song</v>
          </cell>
          <cell r="C882" t="str">
            <v>Gia Lai</v>
          </cell>
          <cell r="D882">
            <v>21855</v>
          </cell>
          <cell r="E882" t="str">
            <v>Mạng cấp 4</v>
          </cell>
        </row>
        <row r="883">
          <cell r="B883" t="str">
            <v>Đăk Song - TTCMKV Kông Chro</v>
          </cell>
          <cell r="C883" t="str">
            <v>Gia Lai</v>
          </cell>
          <cell r="D883">
            <v>38431</v>
          </cell>
          <cell r="E883" t="str">
            <v>Mạng cấp 4</v>
          </cell>
        </row>
        <row r="884">
          <cell r="B884" t="str">
            <v>TTCMKV Kông Chro - Kông Chro</v>
          </cell>
          <cell r="C884" t="str">
            <v>Gia Lai</v>
          </cell>
          <cell r="D884">
            <v>0</v>
          </cell>
          <cell r="E884" t="str">
            <v>Mạng cấp 4</v>
          </cell>
        </row>
        <row r="885">
          <cell r="B885" t="str">
            <v>Kông Chro - Chơ Long</v>
          </cell>
          <cell r="C885" t="str">
            <v>Gia Lai</v>
          </cell>
          <cell r="D885">
            <v>13535</v>
          </cell>
          <cell r="E885" t="str">
            <v>Mạng cấp 4</v>
          </cell>
        </row>
        <row r="886">
          <cell r="B886" t="str">
            <v>Chơ Long - TTCMKV Ia Pa</v>
          </cell>
          <cell r="C886" t="str">
            <v>Gia Lai</v>
          </cell>
          <cell r="D886">
            <v>45587</v>
          </cell>
          <cell r="E886" t="str">
            <v>Mạng cấp 4</v>
          </cell>
        </row>
        <row r="887">
          <cell r="B887" t="str">
            <v>TTCMKV Phú Thiện - Ia Rbol</v>
          </cell>
          <cell r="C887" t="str">
            <v>Gia Lai</v>
          </cell>
          <cell r="D887">
            <v>25049</v>
          </cell>
          <cell r="E887" t="str">
            <v>Mạng cấp 4</v>
          </cell>
        </row>
        <row r="888">
          <cell r="B888" t="str">
            <v>Ia Rbol - Ia Rsai</v>
          </cell>
          <cell r="C888" t="str">
            <v>Gia Lai</v>
          </cell>
          <cell r="D888">
            <v>27644</v>
          </cell>
          <cell r="E888" t="str">
            <v>Mạng cấp 4</v>
          </cell>
        </row>
        <row r="889">
          <cell r="B889" t="str">
            <v>Ia Rsai - Phú túc</v>
          </cell>
          <cell r="C889" t="str">
            <v>Gia Lai</v>
          </cell>
          <cell r="D889">
            <v>15992</v>
          </cell>
          <cell r="E889" t="str">
            <v>Mạng cấp 4</v>
          </cell>
        </row>
        <row r="890">
          <cell r="B890" t="str">
            <v>Phú túc - Ia Dreh</v>
          </cell>
          <cell r="C890" t="str">
            <v>Gia Lai</v>
          </cell>
          <cell r="D890">
            <v>10549</v>
          </cell>
          <cell r="E890" t="str">
            <v>Mạng cấp 4</v>
          </cell>
        </row>
        <row r="891">
          <cell r="B891" t="str">
            <v>Ia Dreh - Uar</v>
          </cell>
          <cell r="C891" t="str">
            <v>Gia Lai</v>
          </cell>
          <cell r="D891">
            <v>30220</v>
          </cell>
          <cell r="E891" t="str">
            <v>Mạng cấp 4</v>
          </cell>
        </row>
        <row r="892">
          <cell r="B892" t="str">
            <v>Uar - Ia Sao</v>
          </cell>
          <cell r="C892" t="str">
            <v>Gia Lai</v>
          </cell>
          <cell r="D892">
            <v>18300</v>
          </cell>
          <cell r="E892" t="str">
            <v>Mạng cấp 4</v>
          </cell>
        </row>
        <row r="893">
          <cell r="B893" t="str">
            <v>Ia Sao - TTCMKV Ia Pa</v>
          </cell>
          <cell r="C893" t="str">
            <v>Gia Lai</v>
          </cell>
          <cell r="D893">
            <v>19472</v>
          </cell>
          <cell r="E893" t="str">
            <v>Mạng cấp 4</v>
          </cell>
        </row>
        <row r="894">
          <cell r="B894" t="str">
            <v>TTCMKV Ia Pa - Ia Pa</v>
          </cell>
          <cell r="C894" t="str">
            <v>Gia Lai</v>
          </cell>
          <cell r="D894">
            <v>0</v>
          </cell>
          <cell r="E894" t="str">
            <v>Mạng cấp 4</v>
          </cell>
        </row>
        <row r="895">
          <cell r="B895" t="str">
            <v>Ia Pa - Ia Tul</v>
          </cell>
          <cell r="C895" t="str">
            <v>Gia Lai</v>
          </cell>
          <cell r="D895">
            <v>9774</v>
          </cell>
          <cell r="E895" t="str">
            <v>Mạng cấp 4</v>
          </cell>
        </row>
        <row r="896">
          <cell r="B896" t="str">
            <v>Ia Tul - Ayun Pa</v>
          </cell>
          <cell r="C896" t="str">
            <v>Gia Lai</v>
          </cell>
          <cell r="D896">
            <v>8381.9</v>
          </cell>
          <cell r="E896" t="str">
            <v>Mạng cấp 4</v>
          </cell>
        </row>
        <row r="897">
          <cell r="B897" t="str">
            <v>Ayun Pa - Ia Hiao</v>
          </cell>
          <cell r="C897" t="str">
            <v>Gia Lai</v>
          </cell>
          <cell r="D897">
            <v>8616.2000000000007</v>
          </cell>
          <cell r="E897" t="str">
            <v>Mạng cấp 4</v>
          </cell>
        </row>
        <row r="898">
          <cell r="B898" t="str">
            <v>Ia Hiao - TTCMKV Phú Thiện</v>
          </cell>
          <cell r="C898" t="str">
            <v>Gia Lai</v>
          </cell>
          <cell r="D898">
            <v>14296</v>
          </cell>
          <cell r="E898" t="str">
            <v>Mạng cấp 4</v>
          </cell>
        </row>
        <row r="899">
          <cell r="B899" t="str">
            <v>CA Công an tỉnh - Quy Nhơn Nam</v>
          </cell>
          <cell r="C899" t="str">
            <v>Gia Lai</v>
          </cell>
          <cell r="D899">
            <v>4436</v>
          </cell>
          <cell r="E899" t="str">
            <v>Mạng cấp 4</v>
          </cell>
        </row>
        <row r="900">
          <cell r="B900" t="str">
            <v>Quy Nhơn Nam - Quy Nhơn</v>
          </cell>
          <cell r="C900" t="str">
            <v>Gia Lai</v>
          </cell>
          <cell r="D900">
            <v>3287</v>
          </cell>
          <cell r="E900" t="str">
            <v>Mạng cấp 4</v>
          </cell>
        </row>
        <row r="901">
          <cell r="B901" t="str">
            <v>Quy Nhơn - Quy Nhơn Bắc</v>
          </cell>
          <cell r="C901" t="str">
            <v>Gia Lai</v>
          </cell>
          <cell r="D901">
            <v>11886</v>
          </cell>
          <cell r="E901" t="str">
            <v>Mạng cấp 4</v>
          </cell>
        </row>
        <row r="902">
          <cell r="B902" t="str">
            <v>Quy Nhơn Bắc - TTCMKV An Nhơn</v>
          </cell>
          <cell r="C902" t="str">
            <v>Gia Lai</v>
          </cell>
          <cell r="D902">
            <v>13548.5</v>
          </cell>
          <cell r="E902" t="str">
            <v>Mạng cấp 4</v>
          </cell>
        </row>
        <row r="903">
          <cell r="B903" t="str">
            <v>TTCMKV Vân Canh - Vân Canh</v>
          </cell>
          <cell r="C903" t="str">
            <v>Gia Lai</v>
          </cell>
          <cell r="D903">
            <v>0</v>
          </cell>
          <cell r="E903" t="str">
            <v>Mạng cấp 4</v>
          </cell>
        </row>
        <row r="904">
          <cell r="B904" t="str">
            <v>Vân Canh - Canh Vinh</v>
          </cell>
          <cell r="C904" t="str">
            <v>Gia Lai</v>
          </cell>
          <cell r="D904">
            <v>17678</v>
          </cell>
          <cell r="E904" t="str">
            <v>Mạng cấp 4</v>
          </cell>
        </row>
        <row r="905">
          <cell r="B905" t="str">
            <v>Canh Vinh - Quy Nhơn Tây</v>
          </cell>
          <cell r="C905" t="str">
            <v>Gia Lai</v>
          </cell>
          <cell r="D905">
            <v>9706</v>
          </cell>
          <cell r="E905" t="str">
            <v>Mạng cấp 4</v>
          </cell>
        </row>
        <row r="906">
          <cell r="B906" t="str">
            <v>Quy Nhơn Tây - CA Công an tỉnh</v>
          </cell>
          <cell r="C906" t="str">
            <v>Gia Lai</v>
          </cell>
          <cell r="D906">
            <v>15549.5</v>
          </cell>
          <cell r="E906" t="str">
            <v>Mạng cấp 4</v>
          </cell>
        </row>
        <row r="907">
          <cell r="B907" t="str">
            <v>TTCMKV Vân Canh - Canh Liên</v>
          </cell>
          <cell r="C907" t="str">
            <v>Gia Lai</v>
          </cell>
          <cell r="D907">
            <v>22315</v>
          </cell>
          <cell r="E907" t="str">
            <v>Mạng cấp 4</v>
          </cell>
        </row>
        <row r="908">
          <cell r="B908" t="str">
            <v>Canh Liên - TTCMKV Vân Canh
(chung tuyến trên)</v>
          </cell>
          <cell r="C908" t="str">
            <v>Gia Lai</v>
          </cell>
          <cell r="D908">
            <v>22315</v>
          </cell>
          <cell r="E908" t="str">
            <v>Mạng cấp 4</v>
          </cell>
        </row>
        <row r="909">
          <cell r="B909" t="str">
            <v>CA Tỉnh - Quy Nhơn Đông</v>
          </cell>
          <cell r="C909" t="str">
            <v>Gia Lai</v>
          </cell>
          <cell r="D909">
            <v>11122</v>
          </cell>
          <cell r="E909" t="str">
            <v>Mạng cấp 4</v>
          </cell>
        </row>
        <row r="910">
          <cell r="B910" t="str">
            <v>Quy Nhơn Đông - Cát Tiến</v>
          </cell>
          <cell r="C910" t="str">
            <v>Gia Lai</v>
          </cell>
          <cell r="D910">
            <v>15775</v>
          </cell>
          <cell r="E910" t="str">
            <v>Mạng cấp 4</v>
          </cell>
        </row>
        <row r="911">
          <cell r="B911" t="str">
            <v>Cát Tiến - Đề Gi</v>
          </cell>
          <cell r="C911" t="str">
            <v>Gia Lai</v>
          </cell>
          <cell r="D911">
            <v>22579</v>
          </cell>
          <cell r="E911" t="str">
            <v>Mạng cấp 4</v>
          </cell>
        </row>
        <row r="912">
          <cell r="B912" t="str">
            <v>Đề Gi - An Lương</v>
          </cell>
          <cell r="C912" t="str">
            <v>Gia Lai</v>
          </cell>
          <cell r="D912">
            <v>10460</v>
          </cell>
          <cell r="E912" t="str">
            <v>Mạng cấp 4</v>
          </cell>
        </row>
        <row r="913">
          <cell r="B913" t="str">
            <v>An Lương - Phù Mỹ Nam</v>
          </cell>
          <cell r="C913" t="str">
            <v>Gia Lai</v>
          </cell>
          <cell r="D913">
            <v>14146</v>
          </cell>
          <cell r="E913" t="str">
            <v>Mạng cấp 4</v>
          </cell>
        </row>
        <row r="914">
          <cell r="B914" t="str">
            <v>Phù Mỹ Nam - TTCMKV Phù Mỹ</v>
          </cell>
          <cell r="C914" t="str">
            <v>Gia Lai</v>
          </cell>
          <cell r="D914">
            <v>6692</v>
          </cell>
          <cell r="E914" t="str">
            <v>Mạng cấp 4</v>
          </cell>
        </row>
        <row r="915">
          <cell r="B915" t="str">
            <v>CA Tỉnh - Tuy Phước Tây</v>
          </cell>
          <cell r="C915" t="str">
            <v>Gia Lai</v>
          </cell>
          <cell r="D915">
            <v>19421</v>
          </cell>
          <cell r="E915" t="str">
            <v>Mạng cấp 4</v>
          </cell>
        </row>
        <row r="916">
          <cell r="B916" t="str">
            <v>Tuy Phước Tây - An Nhơn Nam</v>
          </cell>
          <cell r="C916" t="str">
            <v>Gia Lai</v>
          </cell>
          <cell r="D916">
            <v>20443</v>
          </cell>
          <cell r="E916" t="str">
            <v>Mạng cấp 4</v>
          </cell>
        </row>
        <row r="917">
          <cell r="B917" t="str">
            <v>An Nhơn Nam - An Nhơn Tây</v>
          </cell>
          <cell r="C917" t="str">
            <v>Gia Lai</v>
          </cell>
          <cell r="D917">
            <v>7775</v>
          </cell>
          <cell r="E917" t="str">
            <v>Mạng cấp 4</v>
          </cell>
        </row>
        <row r="918">
          <cell r="B918" t="str">
            <v>An Nhơn Tây - An Nhơn Đông</v>
          </cell>
          <cell r="C918" t="str">
            <v>Gia Lai</v>
          </cell>
          <cell r="D918">
            <v>10296</v>
          </cell>
          <cell r="E918" t="str">
            <v>Mạng cấp 4</v>
          </cell>
        </row>
        <row r="919">
          <cell r="B919" t="str">
            <v>An Nhơn Đông - An Nhơn</v>
          </cell>
          <cell r="C919" t="str">
            <v>Gia Lai</v>
          </cell>
          <cell r="D919">
            <v>5913</v>
          </cell>
          <cell r="E919" t="str">
            <v>Mạng cấp 4</v>
          </cell>
        </row>
        <row r="920">
          <cell r="B920" t="str">
            <v>An Nhơn - An Nhơn Bắc</v>
          </cell>
          <cell r="C920" t="str">
            <v>Gia Lai</v>
          </cell>
          <cell r="D920">
            <v>8455.5</v>
          </cell>
          <cell r="E920" t="str">
            <v>Mạng cấp 4</v>
          </cell>
        </row>
        <row r="921">
          <cell r="B921" t="str">
            <v>An Nhơn Bắc - TTCMKV An Nhơn</v>
          </cell>
          <cell r="C921" t="str">
            <v>Gia Lai</v>
          </cell>
          <cell r="D921">
            <v>11781</v>
          </cell>
          <cell r="E921" t="str">
            <v>Mạng cấp 4</v>
          </cell>
        </row>
        <row r="922">
          <cell r="B922" t="str">
            <v>CA Tỉnh - Tuy Phước</v>
          </cell>
          <cell r="C922" t="str">
            <v>Gia Lai</v>
          </cell>
          <cell r="D922">
            <v>10697</v>
          </cell>
          <cell r="E922" t="str">
            <v>Mạng cấp 4</v>
          </cell>
        </row>
        <row r="923">
          <cell r="B923" t="str">
            <v>Tuy Phước - Tuy Phước Đông</v>
          </cell>
          <cell r="C923" t="str">
            <v>Gia Lai</v>
          </cell>
          <cell r="D923">
            <v>7607</v>
          </cell>
          <cell r="E923" t="str">
            <v>Mạng cấp 4</v>
          </cell>
        </row>
        <row r="924">
          <cell r="B924" t="str">
            <v>Tuy Phước Đông - Tuy Phước Bắc</v>
          </cell>
          <cell r="C924" t="str">
            <v>Gia Lai</v>
          </cell>
          <cell r="D924">
            <v>11050</v>
          </cell>
          <cell r="E924" t="str">
            <v>Mạng cấp 4</v>
          </cell>
        </row>
        <row r="925">
          <cell r="B925" t="str">
            <v>Tuy Phước Bắc - Bình Định</v>
          </cell>
          <cell r="C925" t="str">
            <v>Gia Lai</v>
          </cell>
          <cell r="D925">
            <v>4615</v>
          </cell>
          <cell r="E925" t="str">
            <v>Mạng cấp 4</v>
          </cell>
        </row>
        <row r="926">
          <cell r="B926" t="str">
            <v>Bình Định - TTCMKV An Nhơn</v>
          </cell>
          <cell r="C926" t="str">
            <v>Gia Lai</v>
          </cell>
          <cell r="D926">
            <v>0</v>
          </cell>
          <cell r="E926" t="str">
            <v>Mạng cấp 4</v>
          </cell>
        </row>
        <row r="927">
          <cell r="B927" t="str">
            <v>TTCMKV Tây Sơn - Tây Sơn</v>
          </cell>
          <cell r="C927" t="str">
            <v>Gia Lai</v>
          </cell>
          <cell r="D927">
            <v>0</v>
          </cell>
          <cell r="E927" t="str">
            <v>Mạng cấp 4</v>
          </cell>
        </row>
        <row r="928">
          <cell r="B928" t="str">
            <v>Tây Sơn - Bình Phú</v>
          </cell>
          <cell r="C928" t="str">
            <v>Gia Lai</v>
          </cell>
          <cell r="D928">
            <v>1476</v>
          </cell>
          <cell r="E928" t="str">
            <v>Mạng cấp 4</v>
          </cell>
        </row>
        <row r="929">
          <cell r="B929" t="str">
            <v>Bình Phú - Bình Khê</v>
          </cell>
          <cell r="C929" t="str">
            <v>Gia Lai</v>
          </cell>
          <cell r="D929">
            <v>15620</v>
          </cell>
          <cell r="E929" t="str">
            <v>Mạng cấp 4</v>
          </cell>
        </row>
        <row r="930">
          <cell r="B930" t="str">
            <v>Bình Khê - Vĩnh Quang</v>
          </cell>
          <cell r="C930" t="str">
            <v>Gia Lai</v>
          </cell>
          <cell r="D930">
            <v>10919</v>
          </cell>
          <cell r="E930" t="str">
            <v>Mạng cấp 4</v>
          </cell>
        </row>
        <row r="931">
          <cell r="B931" t="str">
            <v>Vĩnh Quang - Vĩnh Thịnh</v>
          </cell>
          <cell r="C931" t="str">
            <v>Gia Lai</v>
          </cell>
          <cell r="D931">
            <v>9094</v>
          </cell>
          <cell r="E931" t="str">
            <v>Mạng cấp 4</v>
          </cell>
        </row>
        <row r="932">
          <cell r="B932" t="str">
            <v>Vĩnh Thịnh - Vĩnh Thạnh</v>
          </cell>
          <cell r="C932" t="str">
            <v>Gia Lai</v>
          </cell>
          <cell r="D932">
            <v>5165</v>
          </cell>
          <cell r="E932" t="str">
            <v>Mạng cấp 4</v>
          </cell>
        </row>
        <row r="933">
          <cell r="B933" t="str">
            <v>Vĩnh Thạnh - TTCMKV Vĩnh Thạnh</v>
          </cell>
          <cell r="C933" t="str">
            <v>Gia Lai</v>
          </cell>
          <cell r="D933">
            <v>0</v>
          </cell>
          <cell r="E933" t="str">
            <v>Mạng cấp 4</v>
          </cell>
        </row>
        <row r="934">
          <cell r="B934" t="str">
            <v>TTCMKV Vĩnh Thạnh - Vĩnh Sơn</v>
          </cell>
          <cell r="C934" t="str">
            <v>Gia Lai</v>
          </cell>
          <cell r="D934">
            <v>35425</v>
          </cell>
          <cell r="E934" t="str">
            <v>Mạng cấp 4</v>
          </cell>
        </row>
        <row r="935">
          <cell r="B935" t="str">
            <v>Vĩnh Sơn - TTCMKV Vĩnh Thạnh
(trùng tuyến trên)</v>
          </cell>
          <cell r="C935" t="str">
            <v>Gia Lai</v>
          </cell>
          <cell r="D935">
            <v>35425</v>
          </cell>
          <cell r="E935" t="str">
            <v>Mạng cấp 4</v>
          </cell>
        </row>
        <row r="936">
          <cell r="B936" t="str">
            <v>TTCMKV Tây Sơn - Bình An</v>
          </cell>
          <cell r="C936" t="str">
            <v>Gia Lai</v>
          </cell>
          <cell r="D936">
            <v>7691</v>
          </cell>
          <cell r="E936" t="str">
            <v>Mạng cấp 4</v>
          </cell>
        </row>
        <row r="937">
          <cell r="B937" t="str">
            <v>Bình An - Bình Hiệp</v>
          </cell>
          <cell r="C937" t="str">
            <v>Gia Lai</v>
          </cell>
          <cell r="D937">
            <v>6761</v>
          </cell>
          <cell r="E937" t="str">
            <v>Mạng cấp 4</v>
          </cell>
        </row>
        <row r="938">
          <cell r="B938" t="str">
            <v>Bình Hiệp - Hội Sơn</v>
          </cell>
          <cell r="C938" t="str">
            <v>Gia Lai</v>
          </cell>
          <cell r="D938">
            <v>20603.400000000001</v>
          </cell>
          <cell r="E938" t="str">
            <v>Mạng cấp 4</v>
          </cell>
        </row>
        <row r="939">
          <cell r="B939" t="str">
            <v>Hội Sơn - Hòa Hội</v>
          </cell>
          <cell r="C939" t="str">
            <v>Gia Lai</v>
          </cell>
          <cell r="D939">
            <v>13807</v>
          </cell>
          <cell r="E939" t="str">
            <v>Mạng cấp 4</v>
          </cell>
        </row>
        <row r="940">
          <cell r="B940" t="str">
            <v>Hòa Hội - Phù Cát</v>
          </cell>
          <cell r="C940" t="str">
            <v>Gia Lai</v>
          </cell>
          <cell r="D940">
            <v>11384</v>
          </cell>
          <cell r="E940" t="str">
            <v>Mạng cấp 4</v>
          </cell>
        </row>
        <row r="941">
          <cell r="B941" t="str">
            <v>Phù Cát - Xuân An</v>
          </cell>
          <cell r="C941" t="str">
            <v>Gia Lai</v>
          </cell>
          <cell r="D941">
            <v>6817</v>
          </cell>
          <cell r="E941" t="str">
            <v>Mạng cấp 4</v>
          </cell>
        </row>
        <row r="942">
          <cell r="B942" t="str">
            <v>Xuân An - Ngô Mây</v>
          </cell>
          <cell r="C942" t="str">
            <v>Gia Lai</v>
          </cell>
          <cell r="D942">
            <v>10715</v>
          </cell>
          <cell r="E942" t="str">
            <v>Mạng cấp 4</v>
          </cell>
        </row>
        <row r="943">
          <cell r="B943" t="str">
            <v>Ngô Mây - TTCMKV An Nhơn</v>
          </cell>
          <cell r="C943" t="str">
            <v>Gia Lai</v>
          </cell>
          <cell r="D943">
            <v>12893</v>
          </cell>
          <cell r="E943" t="str">
            <v>Mạng cấp 4</v>
          </cell>
        </row>
        <row r="944">
          <cell r="B944" t="str">
            <v>TTCMKV Phù Mỹ - Phù Mỹ</v>
          </cell>
          <cell r="C944" t="str">
            <v>Gia Lai</v>
          </cell>
          <cell r="D944">
            <v>0</v>
          </cell>
          <cell r="E944" t="str">
            <v>Mạng cấp 4</v>
          </cell>
        </row>
        <row r="945">
          <cell r="B945" t="str">
            <v>Phù Mỹ - Phù Mỹ Tây</v>
          </cell>
          <cell r="C945" t="str">
            <v>Gia Lai</v>
          </cell>
          <cell r="D945">
            <v>6611.1</v>
          </cell>
          <cell r="E945" t="str">
            <v>Mạng cấp 4</v>
          </cell>
        </row>
        <row r="946">
          <cell r="B946" t="str">
            <v>Phù Mỹ Tây - Phù Mỹ Đông</v>
          </cell>
          <cell r="C946" t="str">
            <v>Gia Lai</v>
          </cell>
          <cell r="D946">
            <v>21694.6</v>
          </cell>
          <cell r="E946" t="str">
            <v>Mạng cấp 4</v>
          </cell>
        </row>
        <row r="947">
          <cell r="B947" t="str">
            <v>Phù Mỹ Đông - Bình Dương</v>
          </cell>
          <cell r="C947" t="str">
            <v>Gia Lai</v>
          </cell>
          <cell r="D947">
            <v>14202</v>
          </cell>
          <cell r="E947" t="str">
            <v>Mạng cấp 4</v>
          </cell>
        </row>
        <row r="948">
          <cell r="B948" t="str">
            <v>Bình Dương - Phù Mỹ Bắc</v>
          </cell>
          <cell r="C948" t="str">
            <v>Gia Lai</v>
          </cell>
          <cell r="D948">
            <v>1681</v>
          </cell>
          <cell r="E948" t="str">
            <v>Mạng cấp 4</v>
          </cell>
        </row>
        <row r="949">
          <cell r="B949" t="str">
            <v>Phù Mỹ Bắc - TTCMKV Hoài Ân</v>
          </cell>
          <cell r="C949" t="str">
            <v>Gia Lai</v>
          </cell>
          <cell r="D949">
            <v>22564</v>
          </cell>
          <cell r="E949" t="str">
            <v>Mạng cấp 4</v>
          </cell>
        </row>
        <row r="950">
          <cell r="B950" t="str">
            <v>TTCMKV Hoài Ân - Ân Tường</v>
          </cell>
          <cell r="C950" t="str">
            <v>Gia Lai</v>
          </cell>
          <cell r="D950">
            <v>9558.5999999999985</v>
          </cell>
          <cell r="E950" t="str">
            <v>Mạng cấp 4</v>
          </cell>
        </row>
        <row r="951">
          <cell r="B951" t="str">
            <v>Ân Tường - Kim Sơn</v>
          </cell>
          <cell r="C951" t="str">
            <v>Gia Lai</v>
          </cell>
          <cell r="D951">
            <v>6054</v>
          </cell>
          <cell r="E951" t="str">
            <v>Mạng cấp 4</v>
          </cell>
        </row>
        <row r="952">
          <cell r="B952" t="str">
            <v>Kim Sơn - Hoài Ân</v>
          </cell>
          <cell r="C952" t="str">
            <v>Gia Lai</v>
          </cell>
          <cell r="D952">
            <v>13719</v>
          </cell>
          <cell r="E952" t="str">
            <v>Mạng cấp 4</v>
          </cell>
        </row>
        <row r="953">
          <cell r="B953" t="str">
            <v>Hoài Ân - Vạn Đức</v>
          </cell>
          <cell r="C953" t="str">
            <v>Gia Lai</v>
          </cell>
          <cell r="D953">
            <v>10163.799999999999</v>
          </cell>
          <cell r="E953" t="str">
            <v>Mạng cấp 4</v>
          </cell>
        </row>
        <row r="954">
          <cell r="B954" t="str">
            <v>Vạn Đức - Ân Hảo</v>
          </cell>
          <cell r="C954" t="str">
            <v>Gia Lai</v>
          </cell>
          <cell r="D954">
            <v>8635</v>
          </cell>
          <cell r="E954" t="str">
            <v>Mạng cấp 4</v>
          </cell>
        </row>
        <row r="955">
          <cell r="B955" t="str">
            <v>Ân Hảo - Bồng Sơn</v>
          </cell>
          <cell r="C955" t="str">
            <v>Gia Lai</v>
          </cell>
          <cell r="D955">
            <v>7339</v>
          </cell>
          <cell r="E955" t="str">
            <v>Mạng cấp 4</v>
          </cell>
        </row>
        <row r="956">
          <cell r="B956" t="str">
            <v>Bồng Sơn - TTCMKV Hoài Ân</v>
          </cell>
          <cell r="C956" t="str">
            <v>Gia Lai</v>
          </cell>
          <cell r="D956">
            <v>12158</v>
          </cell>
          <cell r="E956" t="str">
            <v>Mạng cấp 4</v>
          </cell>
        </row>
        <row r="957">
          <cell r="B957" t="str">
            <v>TTCMKV Hoài Ân - Hoài Nhơn Nam</v>
          </cell>
          <cell r="C957" t="str">
            <v>Gia Lai</v>
          </cell>
          <cell r="D957">
            <v>15995.3</v>
          </cell>
          <cell r="E957" t="str">
            <v>Mạng cấp 4</v>
          </cell>
        </row>
        <row r="958">
          <cell r="B958" t="str">
            <v>Hoài Nhơn Nam - Hoài Nhơn</v>
          </cell>
          <cell r="C958" t="str">
            <v>Gia Lai</v>
          </cell>
          <cell r="D958">
            <v>11244</v>
          </cell>
          <cell r="E958" t="str">
            <v>Mạng cấp 4</v>
          </cell>
        </row>
        <row r="959">
          <cell r="B959" t="str">
            <v>Hoài Nhơn - Hoài Nhơn Tây</v>
          </cell>
          <cell r="C959" t="str">
            <v>Gia Lai</v>
          </cell>
          <cell r="D959">
            <v>7855</v>
          </cell>
          <cell r="E959" t="str">
            <v>Mạng cấp 4</v>
          </cell>
        </row>
        <row r="960">
          <cell r="B960" t="str">
            <v>Hoài Nhơn Tây - Tam Quan</v>
          </cell>
          <cell r="C960" t="str">
            <v>Gia Lai</v>
          </cell>
          <cell r="D960">
            <v>6532</v>
          </cell>
          <cell r="E960" t="str">
            <v>Mạng cấp 4</v>
          </cell>
        </row>
        <row r="961">
          <cell r="B961" t="str">
            <v>Tam Quan - Hoài Nhơn Bắc</v>
          </cell>
          <cell r="C961" t="str">
            <v>Gia Lai</v>
          </cell>
          <cell r="D961">
            <v>2112</v>
          </cell>
          <cell r="E961" t="str">
            <v>Mạng cấp 4</v>
          </cell>
        </row>
        <row r="962">
          <cell r="B962" t="str">
            <v>Hoài Nhơn Bắc - Hoài Nhơn Đông</v>
          </cell>
          <cell r="C962" t="str">
            <v>Gia Lai</v>
          </cell>
          <cell r="D962">
            <v>10628.5</v>
          </cell>
          <cell r="E962" t="str">
            <v>Mạng cấp 4</v>
          </cell>
        </row>
        <row r="963">
          <cell r="B963" t="str">
            <v>Hoài Nhơn Đông - TTCMKV Hoài Ân</v>
          </cell>
          <cell r="C963" t="str">
            <v>Gia Lai</v>
          </cell>
          <cell r="D963">
            <v>24589.600000000002</v>
          </cell>
          <cell r="E963" t="str">
            <v>Mạng cấp 4</v>
          </cell>
        </row>
        <row r="964">
          <cell r="B964" t="str">
            <v>TTCMKV Hoài Ân - An Vinh</v>
          </cell>
          <cell r="C964" t="str">
            <v>Gia Lai</v>
          </cell>
          <cell r="D964">
            <v>42056.6</v>
          </cell>
          <cell r="E964" t="str">
            <v>Mạng cấp 4</v>
          </cell>
        </row>
        <row r="965">
          <cell r="B965" t="str">
            <v>An Vinh - An Lão</v>
          </cell>
          <cell r="C965" t="str">
            <v>Gia Lai</v>
          </cell>
          <cell r="D965">
            <v>6469.6</v>
          </cell>
          <cell r="E965" t="str">
            <v>Mạng cấp 4</v>
          </cell>
        </row>
        <row r="966">
          <cell r="B966" t="str">
            <v>An Lão - An Hòa</v>
          </cell>
          <cell r="C966" t="str">
            <v>Gia Lai</v>
          </cell>
          <cell r="D966">
            <v>6740</v>
          </cell>
          <cell r="E966" t="str">
            <v>Mạng cấp 4</v>
          </cell>
        </row>
        <row r="967">
          <cell r="B967" t="str">
            <v>An Hòa - TTCMKV Hoài Ân</v>
          </cell>
          <cell r="C967" t="str">
            <v>Gia Lai</v>
          </cell>
          <cell r="D967">
            <v>29870.5</v>
          </cell>
          <cell r="E967" t="str">
            <v>Mạng cấp 4</v>
          </cell>
        </row>
        <row r="968">
          <cell r="B968" t="str">
            <v>TTCMKV Hoài Ân - Ân Hảo Tây</v>
          </cell>
          <cell r="C968" t="str">
            <v>Gia Lai</v>
          </cell>
          <cell r="D968">
            <v>18349.8</v>
          </cell>
          <cell r="E968" t="str">
            <v>Mạng cấp 4</v>
          </cell>
        </row>
        <row r="969">
          <cell r="B969" t="str">
            <v>Ân Hảo Tây - An Toàn</v>
          </cell>
          <cell r="C969" t="str">
            <v>Gia Lai</v>
          </cell>
          <cell r="D969">
            <v>36314</v>
          </cell>
          <cell r="E969" t="str">
            <v>Mạng cấp 4</v>
          </cell>
        </row>
        <row r="970">
          <cell r="B970" t="str">
            <v>An Toàn - An Quang</v>
          </cell>
          <cell r="C970" t="str">
            <v>Gia Lai</v>
          </cell>
          <cell r="D970">
            <v>22118</v>
          </cell>
          <cell r="E970" t="str">
            <v>Mạng cấp 4</v>
          </cell>
        </row>
        <row r="971">
          <cell r="B971" t="str">
            <v>An Quang - TTCMKV Hoài Ân</v>
          </cell>
          <cell r="C971" t="str">
            <v>Gia Lai</v>
          </cell>
          <cell r="D971">
            <v>34148.6</v>
          </cell>
          <cell r="E971" t="str">
            <v>Mạng cấp 4</v>
          </cell>
        </row>
        <row r="972">
          <cell r="B972" t="str">
            <v>CAT Đắk Lắk - Tân Lập</v>
          </cell>
          <cell r="C972" t="str">
            <v>Đắk Lắk</v>
          </cell>
          <cell r="D972">
            <v>12104</v>
          </cell>
          <cell r="E972" t="str">
            <v>Mạng cấp 4</v>
          </cell>
        </row>
        <row r="973">
          <cell r="B973" t="str">
            <v>Tân Lập - Ea Knuếc</v>
          </cell>
          <cell r="C973" t="str">
            <v>Đắk Lắk</v>
          </cell>
          <cell r="D973">
            <v>13657</v>
          </cell>
          <cell r="E973" t="str">
            <v>Mạng cấp 4</v>
          </cell>
        </row>
        <row r="974">
          <cell r="B974" t="str">
            <v>Ea Knuếc - Krông Pắc</v>
          </cell>
          <cell r="C974" t="str">
            <v>Đắk Lắk</v>
          </cell>
          <cell r="D974">
            <v>16985</v>
          </cell>
          <cell r="E974" t="str">
            <v>Mạng cấp 4</v>
          </cell>
        </row>
        <row r="975">
          <cell r="B975" t="str">
            <v>Krông Pắc - TTCMKV Krông
Pắc</v>
          </cell>
          <cell r="C975" t="str">
            <v>Đắk Lắk</v>
          </cell>
          <cell r="E975" t="str">
            <v>Mạng cấp 4</v>
          </cell>
        </row>
        <row r="976">
          <cell r="B976" t="str">
            <v>CAT Đắk Lắk - Ea Kao</v>
          </cell>
          <cell r="C976" t="str">
            <v>Đắk Lắk</v>
          </cell>
          <cell r="D976">
            <v>4133</v>
          </cell>
          <cell r="E976" t="str">
            <v>Mạng cấp 4</v>
          </cell>
        </row>
        <row r="977">
          <cell r="B977" t="str">
            <v>Ea Kao - Ea Ktur</v>
          </cell>
          <cell r="C977" t="str">
            <v>Đắk Lắk</v>
          </cell>
          <cell r="D977">
            <v>19509</v>
          </cell>
          <cell r="E977" t="str">
            <v>Mạng cấp 4</v>
          </cell>
        </row>
        <row r="978">
          <cell r="B978" t="str">
            <v>Ea Ktur - Ea Ning</v>
          </cell>
          <cell r="C978" t="str">
            <v>Đắk Lắk</v>
          </cell>
          <cell r="D978">
            <v>10302</v>
          </cell>
          <cell r="E978" t="str">
            <v>Mạng cấp 4</v>
          </cell>
        </row>
        <row r="979">
          <cell r="B979" t="str">
            <v>Ea Ning - TTCMKV Cư Kuin</v>
          </cell>
          <cell r="C979" t="str">
            <v>Đắk Lắk</v>
          </cell>
          <cell r="D979">
            <v>11569</v>
          </cell>
          <cell r="E979" t="str">
            <v>Mạng cấp 4</v>
          </cell>
        </row>
        <row r="980">
          <cell r="B980" t="str">
            <v>TTCMKV Cư Kuin - Hòa Sơn</v>
          </cell>
          <cell r="C980" t="str">
            <v>Đắk Lắk</v>
          </cell>
          <cell r="D980">
            <v>11905</v>
          </cell>
          <cell r="E980" t="str">
            <v>Mạng cấp 4</v>
          </cell>
        </row>
        <row r="981">
          <cell r="B981" t="str">
            <v>Hòa Sơn - Krông Bông</v>
          </cell>
          <cell r="C981" t="str">
            <v>Đắk Lắk</v>
          </cell>
          <cell r="D981">
            <v>14200</v>
          </cell>
          <cell r="E981" t="str">
            <v>Mạng cấp 4</v>
          </cell>
        </row>
        <row r="982">
          <cell r="B982" t="str">
            <v>Krông Bông - TTCMKV Krông
Bông</v>
          </cell>
          <cell r="C982" t="str">
            <v>Đắk Lắk</v>
          </cell>
          <cell r="E982" t="str">
            <v>Mạng cấp 4</v>
          </cell>
        </row>
        <row r="983">
          <cell r="B983" t="str">
            <v>TTCMKV Cư Kuin - Dang Kang</v>
          </cell>
          <cell r="C983" t="str">
            <v>Đắk Lắk</v>
          </cell>
          <cell r="D983">
            <v>24331</v>
          </cell>
          <cell r="E983" t="str">
            <v>Mạng cấp 4</v>
          </cell>
        </row>
        <row r="984">
          <cell r="B984" t="str">
            <v>Dang Kang - TTCMKV Krông
Bông</v>
          </cell>
          <cell r="C984" t="str">
            <v>Đắk Lắk</v>
          </cell>
          <cell r="D984">
            <v>10562</v>
          </cell>
          <cell r="E984" t="str">
            <v>Mạng cấp 4</v>
          </cell>
        </row>
        <row r="985">
          <cell r="B985" t="str">
            <v>TTCMKV Ea Kar - Ea Păl</v>
          </cell>
          <cell r="C985" t="str">
            <v>Đắk Lắk</v>
          </cell>
          <cell r="D985">
            <v>16909</v>
          </cell>
          <cell r="E985" t="str">
            <v>Mạng cấp 4</v>
          </cell>
        </row>
        <row r="986">
          <cell r="B986" t="str">
            <v>Ea Păl - Cư Yang</v>
          </cell>
          <cell r="C986" t="str">
            <v>Đắk Lắk</v>
          </cell>
          <cell r="D986">
            <v>11724</v>
          </cell>
          <cell r="E986" t="str">
            <v>Mạng cấp 4</v>
          </cell>
        </row>
        <row r="987">
          <cell r="B987" t="str">
            <v>Cư Yang - Krông Á</v>
          </cell>
          <cell r="C987" t="str">
            <v>Đắk Lắk</v>
          </cell>
          <cell r="D987">
            <v>42891</v>
          </cell>
          <cell r="E987" t="str">
            <v>Mạng cấp 4</v>
          </cell>
        </row>
        <row r="988">
          <cell r="B988" t="str">
            <v>Krông Á - Ea Trang</v>
          </cell>
          <cell r="C988" t="str">
            <v>Đắk Lắk</v>
          </cell>
          <cell r="D988">
            <v>26044</v>
          </cell>
          <cell r="E988" t="str">
            <v>Mạng cấp 4</v>
          </cell>
        </row>
        <row r="989">
          <cell r="B989" t="str">
            <v>Ea Trang - Cư M'ta</v>
          </cell>
          <cell r="C989" t="str">
            <v>Đắk Lắk</v>
          </cell>
          <cell r="D989">
            <v>16468</v>
          </cell>
          <cell r="E989" t="str">
            <v>Mạng cấp 4</v>
          </cell>
        </row>
        <row r="990">
          <cell r="B990" t="str">
            <v>Cư M'ta - Ea Riêng</v>
          </cell>
          <cell r="C990" t="str">
            <v>Đắk Lắk</v>
          </cell>
          <cell r="D990">
            <v>8123</v>
          </cell>
          <cell r="E990" t="str">
            <v>Mạng cấp 4</v>
          </cell>
        </row>
        <row r="991">
          <cell r="B991" t="str">
            <v>Ea Riêng - TTCMKV M'Đrắk</v>
          </cell>
          <cell r="C991" t="str">
            <v>Đắk Lắk</v>
          </cell>
          <cell r="D991">
            <v>9837</v>
          </cell>
          <cell r="E991" t="str">
            <v>Mạng cấp 4</v>
          </cell>
        </row>
        <row r="992">
          <cell r="B992" t="str">
            <v>TTCMKV Krông Bông - Cư Pui</v>
          </cell>
          <cell r="C992" t="str">
            <v>Đắk Lắk</v>
          </cell>
          <cell r="D992">
            <v>24187</v>
          </cell>
          <cell r="E992" t="str">
            <v>Mạng cấp 4</v>
          </cell>
        </row>
        <row r="993">
          <cell r="B993" t="str">
            <v>Cư Pui - Yang Mao</v>
          </cell>
          <cell r="C993" t="str">
            <v>Đắk Lắk</v>
          </cell>
          <cell r="D993">
            <v>11381</v>
          </cell>
          <cell r="E993" t="str">
            <v>Mạng cấp 4</v>
          </cell>
        </row>
        <row r="994">
          <cell r="B994" t="str">
            <v>Yang Mao - TTCMKV Krông Bông</v>
          </cell>
          <cell r="C994" t="str">
            <v>Đắk Lắk</v>
          </cell>
          <cell r="D994">
            <v>40900</v>
          </cell>
          <cell r="E994" t="str">
            <v>Mạng cấp 4</v>
          </cell>
        </row>
        <row r="995">
          <cell r="B995" t="str">
            <v>TTCMKV Krông Pắc - Ea Phê</v>
          </cell>
          <cell r="C995" t="str">
            <v>Đắk Lắk</v>
          </cell>
          <cell r="D995">
            <v>7393</v>
          </cell>
          <cell r="E995" t="str">
            <v>Mạng cấp 4</v>
          </cell>
        </row>
        <row r="996">
          <cell r="B996" t="str">
            <v>Ea Phê - Ea Kly</v>
          </cell>
          <cell r="C996" t="str">
            <v>Đắk Lắk</v>
          </cell>
          <cell r="D996">
            <v>14612</v>
          </cell>
          <cell r="E996" t="str">
            <v>Mạng cấp 4</v>
          </cell>
        </row>
        <row r="997">
          <cell r="B997" t="str">
            <v>Ea Kly - Ea Kar</v>
          </cell>
          <cell r="C997" t="str">
            <v>Đắk Lắk</v>
          </cell>
          <cell r="D997">
            <v>12216</v>
          </cell>
          <cell r="E997" t="str">
            <v>Mạng cấp 4</v>
          </cell>
        </row>
        <row r="998">
          <cell r="B998" t="str">
            <v>Ea Kar - TTCMKV Ea Kar</v>
          </cell>
          <cell r="C998" t="str">
            <v>Đắk Lắk</v>
          </cell>
          <cell r="E998" t="str">
            <v>Mạng cấp 4</v>
          </cell>
        </row>
        <row r="999">
          <cell r="B999" t="str">
            <v>TTCMKV Krông Pắc - Tân Tiến</v>
          </cell>
          <cell r="C999" t="str">
            <v>Đắk Lắk</v>
          </cell>
          <cell r="D999">
            <v>13247</v>
          </cell>
          <cell r="E999" t="str">
            <v>Mạng cấp 4</v>
          </cell>
        </row>
        <row r="1000">
          <cell r="B1000" t="str">
            <v>Tân Tiến - Vụ Bổn</v>
          </cell>
          <cell r="C1000" t="str">
            <v>Đắk Lắk</v>
          </cell>
          <cell r="D1000">
            <v>8491</v>
          </cell>
          <cell r="E1000" t="str">
            <v>Mạng cấp 4</v>
          </cell>
        </row>
        <row r="1001">
          <cell r="B1001" t="str">
            <v>Vụ Bổn - Ea Ô</v>
          </cell>
          <cell r="C1001" t="str">
            <v>Đắk Lắk</v>
          </cell>
          <cell r="D1001">
            <v>9202</v>
          </cell>
          <cell r="E1001" t="str">
            <v>Mạng cấp 4</v>
          </cell>
        </row>
        <row r="1002">
          <cell r="B1002" t="str">
            <v>Ea Ô - TTCMKV Ea Kar</v>
          </cell>
          <cell r="C1002" t="str">
            <v>Đắk Lắk</v>
          </cell>
          <cell r="D1002">
            <v>15553</v>
          </cell>
          <cell r="E1002" t="str">
            <v>Mạng cấp 4</v>
          </cell>
        </row>
        <row r="1003">
          <cell r="B1003" t="str">
            <v>TTCMKV Cư Kuin - Dray Bhăng</v>
          </cell>
          <cell r="C1003" t="str">
            <v>Đắk Lắk</v>
          </cell>
          <cell r="E1003" t="str">
            <v>Mạng cấp 4</v>
          </cell>
        </row>
        <row r="1004">
          <cell r="B1004" t="str">
            <v>Dray Bhăng - Dur Kmăl</v>
          </cell>
          <cell r="C1004" t="str">
            <v>Đắk Lắk</v>
          </cell>
          <cell r="D1004">
            <v>21860</v>
          </cell>
          <cell r="E1004" t="str">
            <v>Mạng cấp 4</v>
          </cell>
        </row>
        <row r="1005">
          <cell r="B1005" t="str">
            <v>Dur Kmăl - TTCMKV Krông A
Na</v>
          </cell>
          <cell r="C1005" t="str">
            <v>Đắk Lắk</v>
          </cell>
          <cell r="D1005">
            <v>8588</v>
          </cell>
          <cell r="E1005" t="str">
            <v>Mạng cấp 4</v>
          </cell>
        </row>
        <row r="1006">
          <cell r="B1006" t="str">
            <v>TTCMKV Krông A Na - Krông
Ana</v>
          </cell>
          <cell r="C1006" t="str">
            <v>Đắk Lắk</v>
          </cell>
          <cell r="D1006">
            <v>0</v>
          </cell>
          <cell r="E1006" t="str">
            <v>Mạng cấp 4</v>
          </cell>
        </row>
        <row r="1007">
          <cell r="B1007" t="str">
            <v>Krông Ana - Đắk Liêng</v>
          </cell>
          <cell r="C1007" t="str">
            <v>Đắk Lắk</v>
          </cell>
          <cell r="D1007">
            <v>31543</v>
          </cell>
          <cell r="E1007" t="str">
            <v>Mạng cấp 4</v>
          </cell>
        </row>
        <row r="1008">
          <cell r="B1008" t="str">
            <v>Đắk Liêng - Liên Sơn Lắk</v>
          </cell>
          <cell r="C1008" t="str">
            <v>Đắk Lắk</v>
          </cell>
          <cell r="D1008">
            <v>3363</v>
          </cell>
          <cell r="E1008" t="str">
            <v>Mạng cấp 4</v>
          </cell>
        </row>
        <row r="1009">
          <cell r="B1009" t="str">
            <v>Liên Sơn Lắk - TTCMKV Lắk</v>
          </cell>
          <cell r="C1009" t="str">
            <v>Đắk Lắk</v>
          </cell>
          <cell r="D1009">
            <v>0</v>
          </cell>
          <cell r="E1009" t="str">
            <v>Mạng cấp 4</v>
          </cell>
        </row>
        <row r="1010">
          <cell r="B1010" t="str">
            <v>CAT Đắk Lắk - Hòa Phú</v>
          </cell>
          <cell r="C1010" t="str">
            <v>Đắk Lắk</v>
          </cell>
          <cell r="D1010">
            <v>15731</v>
          </cell>
          <cell r="E1010" t="str">
            <v>Mạng cấp 4</v>
          </cell>
        </row>
        <row r="1011">
          <cell r="B1011" t="str">
            <v>Hòa Phú - Ea Na</v>
          </cell>
          <cell r="C1011" t="str">
            <v>Đắk Lắk</v>
          </cell>
          <cell r="D1011">
            <v>19419</v>
          </cell>
          <cell r="E1011" t="str">
            <v>Mạng cấp 4</v>
          </cell>
        </row>
        <row r="1012">
          <cell r="B1012" t="str">
            <v>Ea Na - TTCMKV Krông A Na</v>
          </cell>
          <cell r="C1012" t="str">
            <v>Đắk Lắk</v>
          </cell>
          <cell r="D1012">
            <v>5724</v>
          </cell>
          <cell r="E1012" t="str">
            <v>Mạng cấp 4</v>
          </cell>
        </row>
        <row r="1013">
          <cell r="B1013" t="str">
            <v>CAT Đắk Lắk - Thành Nhất</v>
          </cell>
          <cell r="C1013" t="str">
            <v>Đắk Lắk</v>
          </cell>
          <cell r="D1013">
            <v>4242</v>
          </cell>
          <cell r="E1013" t="str">
            <v>Mạng cấp 4</v>
          </cell>
        </row>
        <row r="1014">
          <cell r="B1014" t="str">
            <v>Thành Nhất - Ea Nuôl</v>
          </cell>
          <cell r="C1014" t="str">
            <v>Đắk Lắk</v>
          </cell>
          <cell r="D1014">
            <v>7931</v>
          </cell>
          <cell r="E1014" t="str">
            <v>Mạng cấp 4</v>
          </cell>
        </row>
        <row r="1015">
          <cell r="B1015" t="str">
            <v>Ea Nuôl - Ea Wer</v>
          </cell>
          <cell r="C1015" t="str">
            <v>Đắk Lắk</v>
          </cell>
          <cell r="D1015">
            <v>14492</v>
          </cell>
          <cell r="E1015" t="str">
            <v>Mạng cấp 4</v>
          </cell>
        </row>
        <row r="1016">
          <cell r="B1016" t="str">
            <v>Ea Wer - TTCMKV Buôn Đôn</v>
          </cell>
          <cell r="E1016" t="str">
            <v>Mạng cấp 4</v>
          </cell>
        </row>
        <row r="1017">
          <cell r="B1017" t="str">
            <v>CAT Đắk Lắk - Tân An</v>
          </cell>
          <cell r="C1017" t="str">
            <v>Đắk Lắk</v>
          </cell>
          <cell r="D1017">
            <v>3086</v>
          </cell>
          <cell r="E1017" t="str">
            <v>Mạng cấp 4</v>
          </cell>
        </row>
        <row r="1018">
          <cell r="B1018" t="str">
            <v>Tân An - Cuôr Đăng</v>
          </cell>
          <cell r="C1018" t="str">
            <v>Đắk Lắk</v>
          </cell>
          <cell r="D1018">
            <v>13172</v>
          </cell>
          <cell r="E1018" t="str">
            <v>Mạng cấp 4</v>
          </cell>
        </row>
        <row r="1019">
          <cell r="B1019" t="str">
            <v>Cuôr Đăng - Cư Bao</v>
          </cell>
          <cell r="C1019" t="str">
            <v>Đắk Lắk</v>
          </cell>
          <cell r="D1019">
            <v>15755</v>
          </cell>
          <cell r="E1019" t="str">
            <v>Mạng cấp 4</v>
          </cell>
        </row>
        <row r="1020">
          <cell r="B1020" t="str">
            <v>Cư Bao - Ea Drông</v>
          </cell>
          <cell r="C1020" t="str">
            <v>Đắk Lắk</v>
          </cell>
          <cell r="D1020">
            <v>15976</v>
          </cell>
          <cell r="E1020" t="str">
            <v>Mạng cấp 4</v>
          </cell>
        </row>
        <row r="1021">
          <cell r="B1021" t="str">
            <v>Ea Drông - TTCMKV Thị xã Buôn
Hồ</v>
          </cell>
          <cell r="C1021" t="str">
            <v>Đắk Lắk</v>
          </cell>
          <cell r="D1021">
            <v>12771</v>
          </cell>
          <cell r="E1021" t="str">
            <v>Mạng cấp 4</v>
          </cell>
        </row>
        <row r="1022">
          <cell r="B1022" t="str">
            <v>TTCMKV Buôn Đôn - Buôn Đôn</v>
          </cell>
          <cell r="C1022" t="str">
            <v>Đắk Lắk</v>
          </cell>
          <cell r="D1022">
            <v>16284</v>
          </cell>
          <cell r="E1022" t="str">
            <v>Mạng cấp 4</v>
          </cell>
        </row>
        <row r="1023">
          <cell r="B1023" t="str">
            <v>Buôn Đôn - Ea Súp</v>
          </cell>
          <cell r="C1023" t="str">
            <v>Đắk Lắk</v>
          </cell>
          <cell r="D1023">
            <v>26461</v>
          </cell>
          <cell r="E1023" t="str">
            <v>Mạng cấp 4</v>
          </cell>
        </row>
        <row r="1024">
          <cell r="B1024" t="str">
            <v>Ea Súp - TTCMKV Ea Súp</v>
          </cell>
          <cell r="C1024" t="str">
            <v>Đắk Lắk</v>
          </cell>
          <cell r="D1024">
            <v>0</v>
          </cell>
          <cell r="E1024" t="str">
            <v>Mạng cấp 4</v>
          </cell>
        </row>
        <row r="1025">
          <cell r="B1025" t="str">
            <v>TTCMKV Cư M'gar - Quảng Phú</v>
          </cell>
          <cell r="C1025" t="str">
            <v>Đắk Lắk</v>
          </cell>
          <cell r="E1025" t="str">
            <v>Mạng cấp 4</v>
          </cell>
        </row>
        <row r="1026">
          <cell r="B1026" t="str">
            <v>Quảng Phú - Ea M’Droh</v>
          </cell>
          <cell r="C1026" t="str">
            <v>Đắk Lắk</v>
          </cell>
          <cell r="D1026">
            <v>14443</v>
          </cell>
          <cell r="E1026" t="str">
            <v>Mạng cấp 4</v>
          </cell>
        </row>
        <row r="1027">
          <cell r="B1027" t="str">
            <v>Ea M’Droh - Ea Kiết</v>
          </cell>
          <cell r="C1027" t="str">
            <v>Đắk Lắk</v>
          </cell>
          <cell r="D1027">
            <v>13020</v>
          </cell>
          <cell r="E1027" t="str">
            <v>Mạng cấp 4</v>
          </cell>
        </row>
        <row r="1028">
          <cell r="B1028" t="str">
            <v>Ea Kiết - TTCMKV Ea Súp</v>
          </cell>
          <cell r="C1028" t="str">
            <v>Đắk Lắk</v>
          </cell>
          <cell r="D1028">
            <v>28195</v>
          </cell>
          <cell r="E1028" t="str">
            <v>Mạng cấp 4</v>
          </cell>
        </row>
        <row r="1029">
          <cell r="B1029" t="str">
            <v>TTCMKV Cư M'gar - Cư M’gar</v>
          </cell>
          <cell r="C1029" t="str">
            <v>Đắk Lắk</v>
          </cell>
          <cell r="D1029">
            <v>4640</v>
          </cell>
          <cell r="E1029" t="str">
            <v>Mạng cấp 4</v>
          </cell>
        </row>
        <row r="1030">
          <cell r="B1030" t="str">
            <v>Cư M’gar - Ea Tul</v>
          </cell>
          <cell r="C1030" t="str">
            <v>Đắk Lắk</v>
          </cell>
          <cell r="D1030">
            <v>19067</v>
          </cell>
          <cell r="E1030" t="str">
            <v>Mạng cấp 4</v>
          </cell>
        </row>
        <row r="1031">
          <cell r="B1031" t="str">
            <v>Ea Tul - Buôn Hồ</v>
          </cell>
          <cell r="C1031" t="str">
            <v>Đắk Lắk</v>
          </cell>
          <cell r="D1031">
            <v>13703</v>
          </cell>
          <cell r="E1031" t="str">
            <v>Mạng cấp 4</v>
          </cell>
        </row>
        <row r="1032">
          <cell r="B1032" t="str">
            <v>Buôn Hồ - TTCMKV Thị xã Buôn Hồ</v>
          </cell>
          <cell r="C1032" t="str">
            <v>Đắk Lắk</v>
          </cell>
          <cell r="E1032" t="str">
            <v>Mạng cấp 4</v>
          </cell>
        </row>
        <row r="1033">
          <cell r="B1033" t="str">
            <v>TTCMKV Thị xã Buôn Hồ - Pơng
Drang</v>
          </cell>
          <cell r="C1033" t="str">
            <v>Đắk Lắk</v>
          </cell>
          <cell r="D1033">
            <v>6988</v>
          </cell>
          <cell r="E1033" t="str">
            <v>Mạng cấp 4</v>
          </cell>
        </row>
        <row r="1034">
          <cell r="B1034" t="str">
            <v>Pơng Drang - Cư Pơng</v>
          </cell>
          <cell r="C1034" t="str">
            <v>Đắk Lắk</v>
          </cell>
          <cell r="D1034">
            <v>16252</v>
          </cell>
          <cell r="E1034" t="str">
            <v>Mạng cấp 4</v>
          </cell>
        </row>
        <row r="1035">
          <cell r="B1035" t="str">
            <v>Cư Pơng - Krông Búk</v>
          </cell>
          <cell r="C1035" t="str">
            <v>Đắk Lắk</v>
          </cell>
          <cell r="D1035">
            <v>11002</v>
          </cell>
          <cell r="E1035" t="str">
            <v>Mạng cấp 4</v>
          </cell>
        </row>
        <row r="1036">
          <cell r="B1036" t="str">
            <v>Krông Búk - Ea Khăl</v>
          </cell>
          <cell r="C1036" t="str">
            <v>Đắk Lắk</v>
          </cell>
          <cell r="D1036">
            <v>24032</v>
          </cell>
          <cell r="E1036" t="str">
            <v>Mạng cấp 4</v>
          </cell>
        </row>
        <row r="1037">
          <cell r="B1037" t="str">
            <v>Ea Khăl - Ea Drăng</v>
          </cell>
          <cell r="C1037" t="str">
            <v>Đắk Lắk</v>
          </cell>
          <cell r="D1037">
            <v>6424</v>
          </cell>
          <cell r="E1037" t="str">
            <v>Mạng cấp 4</v>
          </cell>
        </row>
        <row r="1038">
          <cell r="B1038" t="str">
            <v>Ea Drăng - TTCMKV Ea H'leo</v>
          </cell>
          <cell r="C1038" t="str">
            <v>Đắk Lắk</v>
          </cell>
          <cell r="E1038" t="str">
            <v>Mạng cấp 4</v>
          </cell>
        </row>
        <row r="1039">
          <cell r="B1039" t="str">
            <v>TTCMKV Ea Kar - Phú Xuân</v>
          </cell>
          <cell r="C1039" t="str">
            <v>Đắk Lắk</v>
          </cell>
          <cell r="D1039">
            <v>23257</v>
          </cell>
          <cell r="E1039" t="str">
            <v>Mạng cấp 4</v>
          </cell>
        </row>
        <row r="1040">
          <cell r="B1040" t="str">
            <v>Phú Xuân - Krông Năng</v>
          </cell>
          <cell r="C1040" t="str">
            <v>Đắk Lắk</v>
          </cell>
          <cell r="D1040">
            <v>14527</v>
          </cell>
          <cell r="E1040" t="str">
            <v>Mạng cấp 4</v>
          </cell>
        </row>
        <row r="1041">
          <cell r="B1041" t="str">
            <v>Krông Năng - TTCMKV Krông
Năng</v>
          </cell>
          <cell r="C1041" t="str">
            <v>Đắk Lắk</v>
          </cell>
          <cell r="E1041" t="str">
            <v>Mạng cấp 4</v>
          </cell>
        </row>
        <row r="1042">
          <cell r="B1042" t="str">
            <v>TTCMKV Buôn Hồ - Dliê Ya</v>
          </cell>
          <cell r="C1042" t="str">
            <v>Đắk Lắk</v>
          </cell>
          <cell r="D1042">
            <v>30356</v>
          </cell>
          <cell r="E1042" t="str">
            <v>Mạng cấp 4</v>
          </cell>
        </row>
        <row r="1043">
          <cell r="B1043" t="str">
            <v>Dliê Ya - Ea Hiao</v>
          </cell>
          <cell r="C1043" t="str">
            <v>Đắk Lắk</v>
          </cell>
          <cell r="D1043">
            <v>26677</v>
          </cell>
          <cell r="E1043" t="str">
            <v>Mạng cấp 4</v>
          </cell>
        </row>
        <row r="1044">
          <cell r="B1044" t="str">
            <v>Ea Hiao - TTCMKV Ea H'leo</v>
          </cell>
          <cell r="C1044" t="str">
            <v>Đắk Lắk</v>
          </cell>
          <cell r="D1044">
            <v>17753</v>
          </cell>
          <cell r="E1044" t="str">
            <v>Mạng cấp 4</v>
          </cell>
        </row>
        <row r="1045">
          <cell r="B1045" t="str">
            <v>TTCMKV Krông Năng - Tam
Giang</v>
          </cell>
          <cell r="C1045" t="str">
            <v>Đắk Lắk</v>
          </cell>
          <cell r="D1045">
            <v>23165</v>
          </cell>
          <cell r="E1045" t="str">
            <v>Mạng cấp 4</v>
          </cell>
        </row>
        <row r="1046">
          <cell r="B1046" t="str">
            <v>Tam Giang - TTCMKV Krông
Năng</v>
          </cell>
          <cell r="C1046" t="str">
            <v>Đắk Lắk</v>
          </cell>
          <cell r="D1046">
            <v>31901</v>
          </cell>
          <cell r="E1046" t="str">
            <v>Mạng cấp 4</v>
          </cell>
        </row>
        <row r="1047">
          <cell r="B1047" t="str">
            <v>TTCMKV Ea Súp - Ea Bung</v>
          </cell>
          <cell r="C1047" t="str">
            <v>Đắk Lắk</v>
          </cell>
          <cell r="D1047">
            <v>4597</v>
          </cell>
          <cell r="E1047" t="str">
            <v>Mạng cấp 4</v>
          </cell>
        </row>
        <row r="1048">
          <cell r="B1048" t="str">
            <v>Ea Bung - Ya Tờ Mốt</v>
          </cell>
          <cell r="C1048" t="str">
            <v>Đắk Lắk</v>
          </cell>
          <cell r="D1048">
            <v>5976</v>
          </cell>
          <cell r="E1048" t="str">
            <v>Mạng cấp 4</v>
          </cell>
        </row>
        <row r="1049">
          <cell r="B1049" t="str">
            <v>Ya Tờ Mốt - Ia Rvê</v>
          </cell>
          <cell r="C1049" t="str">
            <v>Đắk Lắk</v>
          </cell>
          <cell r="D1049">
            <v>33588</v>
          </cell>
          <cell r="E1049" t="str">
            <v>Mạng cấp 4</v>
          </cell>
        </row>
        <row r="1050">
          <cell r="B1050" t="str">
            <v>Ia Rvê - Ia Lốp</v>
          </cell>
          <cell r="C1050" t="str">
            <v>Đắk Lắk</v>
          </cell>
          <cell r="D1050">
            <v>14178</v>
          </cell>
          <cell r="E1050" t="str">
            <v>Mạng cấp 4</v>
          </cell>
        </row>
        <row r="1051">
          <cell r="B1051" t="str">
            <v>Ia Lốp - Ea Rốk</v>
          </cell>
          <cell r="C1051" t="str">
            <v>Đắk Lắk</v>
          </cell>
          <cell r="D1051">
            <v>21265</v>
          </cell>
          <cell r="E1051" t="str">
            <v>Mạng cấp 4</v>
          </cell>
        </row>
        <row r="1052">
          <cell r="B1052" t="str">
            <v>Ea Rốk - Ea Wy</v>
          </cell>
          <cell r="C1052" t="str">
            <v>Đắk Lắk</v>
          </cell>
          <cell r="D1052">
            <v>32662</v>
          </cell>
          <cell r="E1052" t="str">
            <v>Mạng cấp 4</v>
          </cell>
        </row>
        <row r="1053">
          <cell r="B1053" t="str">
            <v>Ea Wy - Ea H’leo</v>
          </cell>
          <cell r="C1053" t="str">
            <v>Đắk Lắk</v>
          </cell>
          <cell r="D1053">
            <v>26595</v>
          </cell>
          <cell r="E1053" t="str">
            <v>Mạng cấp 4</v>
          </cell>
        </row>
        <row r="1054">
          <cell r="B1054" t="str">
            <v>Ea H’leo - TTCMKV Ea H'leo</v>
          </cell>
          <cell r="C1054" t="str">
            <v>Đắk Lắk</v>
          </cell>
          <cell r="D1054">
            <v>20040</v>
          </cell>
          <cell r="E1054" t="str">
            <v>Mạng cấp 4</v>
          </cell>
        </row>
        <row r="1055">
          <cell r="B1055" t="str">
            <v>TTCMKV Lắk - Đắk Phơi</v>
          </cell>
          <cell r="C1055" t="str">
            <v>Đắk Lắk</v>
          </cell>
          <cell r="D1055">
            <v>6919</v>
          </cell>
          <cell r="E1055" t="str">
            <v>Mạng cấp 4</v>
          </cell>
        </row>
        <row r="1056">
          <cell r="B1056" t="str">
            <v>Đắk Phơi - Krông Nô</v>
          </cell>
          <cell r="C1056" t="str">
            <v>Đắk Lắk</v>
          </cell>
          <cell r="D1056">
            <v>25525</v>
          </cell>
          <cell r="E1056" t="str">
            <v>Mạng cấp 4</v>
          </cell>
        </row>
        <row r="1057">
          <cell r="B1057" t="str">
            <v>Krông Nô - Nam Ka</v>
          </cell>
          <cell r="C1057" t="str">
            <v>Đắk Lắk</v>
          </cell>
          <cell r="D1057">
            <v>21279</v>
          </cell>
          <cell r="E1057" t="str">
            <v>Mạng cấp 4</v>
          </cell>
        </row>
        <row r="1058">
          <cell r="B1058" t="str">
            <v>Nam Ka - TTCMKV Lắk</v>
          </cell>
          <cell r="C1058" t="str">
            <v>Đắk Lắk</v>
          </cell>
          <cell r="D1058">
            <v>32556</v>
          </cell>
          <cell r="E1058" t="str">
            <v>Mạng cấp 4</v>
          </cell>
        </row>
        <row r="1059">
          <cell r="B1059" t="str">
            <v>CAT Đắk Lắk - Buôn Ma Thuột</v>
          </cell>
          <cell r="C1059" t="str">
            <v>Đắk Lắk</v>
          </cell>
          <cell r="D1059">
            <v>5414</v>
          </cell>
          <cell r="E1059" t="str">
            <v>Mạng cấp 4</v>
          </cell>
        </row>
        <row r="1060">
          <cell r="B1060" t="str">
            <v>Buôn Ma Thuột - TTCMKV Cư
M'gar</v>
          </cell>
          <cell r="C1060" t="str">
            <v>Đắk Lắk</v>
          </cell>
          <cell r="D1060">
            <v>13458</v>
          </cell>
          <cell r="E1060" t="str">
            <v>Mạng cấp 4</v>
          </cell>
        </row>
        <row r="1061">
          <cell r="B1061" t="str">
            <v>TTCMKV M'Đrắk - M’Drắk</v>
          </cell>
          <cell r="C1061" t="str">
            <v>Đắk Lắk</v>
          </cell>
          <cell r="E1061" t="str">
            <v>Mạng cấp 4</v>
          </cell>
        </row>
        <row r="1062">
          <cell r="B1062" t="str">
            <v>M’Drắk - Cư Prao</v>
          </cell>
          <cell r="C1062" t="str">
            <v>Đắk Lắk</v>
          </cell>
          <cell r="D1062">
            <v>31597</v>
          </cell>
          <cell r="E1062" t="str">
            <v>Mạng cấp 4</v>
          </cell>
        </row>
        <row r="1063">
          <cell r="B1063" t="str">
            <v>Cư Prao - Ea Knốp</v>
          </cell>
          <cell r="C1063" t="str">
            <v>Đắk Lắk</v>
          </cell>
          <cell r="D1063">
            <v>31968</v>
          </cell>
          <cell r="E1063" t="str">
            <v>Mạng cấp 4</v>
          </cell>
        </row>
        <row r="1064">
          <cell r="B1064" t="str">
            <v>Ea Knốp - TTCMKV Ea Kar</v>
          </cell>
          <cell r="C1064" t="str">
            <v>Đắk Lắk</v>
          </cell>
          <cell r="D1064">
            <v>7010</v>
          </cell>
          <cell r="E1064" t="str">
            <v>Mạng cấp 4</v>
          </cell>
        </row>
        <row r="1065">
          <cell r="B1065" t="str">
            <v>CAT Phú Yên - Bình Kiến</v>
          </cell>
          <cell r="C1065" t="str">
            <v>Phú Yên</v>
          </cell>
          <cell r="D1065">
            <v>0</v>
          </cell>
          <cell r="E1065" t="str">
            <v>Mạng cấp 4</v>
          </cell>
        </row>
        <row r="1066">
          <cell r="B1066" t="str">
            <v>Bình Kiến - Tuy Hòa</v>
          </cell>
          <cell r="C1066" t="str">
            <v>Phú Yên</v>
          </cell>
          <cell r="D1066">
            <v>5233</v>
          </cell>
          <cell r="E1066" t="str">
            <v>Mạng cấp 4</v>
          </cell>
        </row>
        <row r="1067">
          <cell r="B1067" t="str">
            <v>Tuy Hòa - CATP Tuy Hòa</v>
          </cell>
          <cell r="C1067" t="str">
            <v>Phú Yên</v>
          </cell>
          <cell r="D1067">
            <v>0</v>
          </cell>
          <cell r="E1067" t="str">
            <v>Mạng cấp 4</v>
          </cell>
        </row>
        <row r="1068">
          <cell r="B1068" t="str">
            <v>TTCMKV TX Sông Cầu - Xuân
Cảnh</v>
          </cell>
          <cell r="C1068" t="str">
            <v>Phú Yên</v>
          </cell>
          <cell r="D1068">
            <v>18549</v>
          </cell>
          <cell r="E1068" t="str">
            <v>Mạng cấp 4</v>
          </cell>
        </row>
        <row r="1069">
          <cell r="B1069" t="str">
            <v>Xuân Cảnh - Xuân Lộc</v>
          </cell>
          <cell r="C1069" t="str">
            <v>Phú Yên</v>
          </cell>
          <cell r="D1069">
            <v>5063</v>
          </cell>
          <cell r="E1069" t="str">
            <v>Mạng cấp 4</v>
          </cell>
        </row>
        <row r="1070">
          <cell r="B1070" t="str">
            <v>Xuân Lộc - Sông Cầu</v>
          </cell>
          <cell r="C1070" t="str">
            <v>Phú Yên</v>
          </cell>
          <cell r="D1070">
            <v>25199</v>
          </cell>
          <cell r="E1070" t="str">
            <v>Mạng cấp 4</v>
          </cell>
        </row>
        <row r="1071">
          <cell r="B1071" t="str">
            <v>Sông Cầu - TTCMKV TX Sông
Cầu</v>
          </cell>
          <cell r="C1071" t="str">
            <v>Phú Yên</v>
          </cell>
          <cell r="D1071">
            <v>0</v>
          </cell>
          <cell r="E1071" t="str">
            <v>Mạng cấp 4</v>
          </cell>
        </row>
        <row r="1072">
          <cell r="B1072" t="str">
            <v>TTCMKV TX Sông Cầu - Xuân
Lãnh</v>
          </cell>
          <cell r="C1072" t="str">
            <v>Phú Yên</v>
          </cell>
          <cell r="D1072">
            <v>34374</v>
          </cell>
          <cell r="E1072" t="str">
            <v>Mạng cấp 4</v>
          </cell>
        </row>
        <row r="1073">
          <cell r="B1073" t="str">
            <v>Xuân Lãnh - Đồng Xuân</v>
          </cell>
          <cell r="C1073" t="str">
            <v>Phú Yên</v>
          </cell>
          <cell r="D1073">
            <v>16410</v>
          </cell>
          <cell r="E1073" t="str">
            <v>Mạng cấp 4</v>
          </cell>
        </row>
        <row r="1074">
          <cell r="B1074" t="str">
            <v>Đồng Xuân  - TTCMKV Đồng
Xuân</v>
          </cell>
          <cell r="C1074" t="str">
            <v>Phú Yên</v>
          </cell>
          <cell r="D1074">
            <v>0</v>
          </cell>
          <cell r="E1074" t="str">
            <v>Mạng cấp 4</v>
          </cell>
        </row>
        <row r="1075">
          <cell r="B1075" t="str">
            <v>CAT Phú Yên - Tuy An Nam</v>
          </cell>
          <cell r="C1075" t="str">
            <v>Phú Yên</v>
          </cell>
          <cell r="D1075">
            <v>8385</v>
          </cell>
          <cell r="E1075" t="str">
            <v>Mạng cấp 4</v>
          </cell>
        </row>
        <row r="1076">
          <cell r="B1076" t="str">
            <v>Tuy An Nam - Ô Loan</v>
          </cell>
          <cell r="C1076" t="str">
            <v>Phú Yên</v>
          </cell>
          <cell r="D1076">
            <v>8791</v>
          </cell>
          <cell r="E1076" t="str">
            <v>Mạng cấp 4</v>
          </cell>
        </row>
        <row r="1077">
          <cell r="B1077" t="str">
            <v>Ô Loan - Tuy An Đông</v>
          </cell>
          <cell r="C1077" t="str">
            <v>Phú Yên</v>
          </cell>
          <cell r="D1077">
            <v>20734</v>
          </cell>
          <cell r="E1077" t="str">
            <v>Mạng cấp 4</v>
          </cell>
        </row>
        <row r="1078">
          <cell r="B1078" t="str">
            <v>Tuy An Đông - TTCMKV TX Sông Cầu</v>
          </cell>
          <cell r="C1078" t="str">
            <v>Phú Yên</v>
          </cell>
          <cell r="D1078">
            <v>25989</v>
          </cell>
          <cell r="E1078" t="str">
            <v>Mạng cấp 4</v>
          </cell>
        </row>
        <row r="1079">
          <cell r="B1079" t="str">
            <v>TTCMKV TX Sông Cầu - Xuân
Thọ</v>
          </cell>
          <cell r="C1079" t="str">
            <v>Phú Yên</v>
          </cell>
          <cell r="D1079">
            <v>6241</v>
          </cell>
          <cell r="E1079" t="str">
            <v>Mạng cấp 4</v>
          </cell>
        </row>
        <row r="1080">
          <cell r="B1080" t="str">
            <v>Xuân Thọ - Xuân Đài</v>
          </cell>
          <cell r="C1080" t="str">
            <v>Phú Yên</v>
          </cell>
          <cell r="D1080">
            <v>1815</v>
          </cell>
          <cell r="E1080" t="str">
            <v>Mạng cấp 4</v>
          </cell>
        </row>
        <row r="1081">
          <cell r="B1081" t="str">
            <v>Xuân Đài (Khu phố Triều Sơn
Đông, P.Xuân Đài) - Tuy An
Bắc (Thôn Chí Thạnh, X.Tuy An
Bắc)</v>
          </cell>
          <cell r="C1081" t="str">
            <v>Phú Yên</v>
          </cell>
          <cell r="D1081">
            <v>23843</v>
          </cell>
          <cell r="E1081" t="str">
            <v>Mạng cấp 4</v>
          </cell>
        </row>
        <row r="1082">
          <cell r="B1082" t="str">
            <v>Tuy An Bắc - Tuy An Tây</v>
          </cell>
          <cell r="C1082" t="str">
            <v>Phú Yên</v>
          </cell>
          <cell r="D1082">
            <v>11901</v>
          </cell>
          <cell r="E1082" t="str">
            <v>Mạng cấp 4</v>
          </cell>
        </row>
        <row r="1083">
          <cell r="B1083" t="str">
            <v>Tuy An Tây - TTCMKV Đồng
Xuân</v>
          </cell>
          <cell r="C1083" t="str">
            <v>Phú Yên</v>
          </cell>
          <cell r="D1083">
            <v>23285</v>
          </cell>
          <cell r="E1083" t="str">
            <v>Mạng cấp 4</v>
          </cell>
        </row>
        <row r="1084">
          <cell r="B1084" t="str">
            <v>TTCMKV Đồng Xuân - Phú Mỡ</v>
          </cell>
          <cell r="C1084" t="str">
            <v>Phú Yên</v>
          </cell>
          <cell r="D1084">
            <v>20726</v>
          </cell>
          <cell r="E1084" t="str">
            <v>Mạng cấp 4</v>
          </cell>
        </row>
        <row r="1085">
          <cell r="B1085" t="str">
            <v>Phú Mỡ - Xuân Phước</v>
          </cell>
          <cell r="C1085" t="str">
            <v>Phú Yên</v>
          </cell>
          <cell r="D1085">
            <v>12504</v>
          </cell>
          <cell r="E1085" t="str">
            <v>Mạng cấp 4</v>
          </cell>
        </row>
        <row r="1086">
          <cell r="B1086" t="str">
            <v>Xuân Phước - Vân Hòa</v>
          </cell>
          <cell r="C1086" t="str">
            <v>Phú Yên</v>
          </cell>
          <cell r="D1086">
            <v>29954</v>
          </cell>
          <cell r="E1086" t="str">
            <v>Mạng cấp 4</v>
          </cell>
        </row>
        <row r="1087">
          <cell r="B1087" t="str">
            <v>Vân Hòa - Tây Sơn</v>
          </cell>
          <cell r="C1087" t="str">
            <v>Phú Yên</v>
          </cell>
          <cell r="D1087">
            <v>27009</v>
          </cell>
          <cell r="E1087" t="str">
            <v>Mạng cấp 4</v>
          </cell>
        </row>
        <row r="1088">
          <cell r="B1088" t="str">
            <v>Tây Sơn - Suối Trai</v>
          </cell>
          <cell r="C1088" t="str">
            <v>Phú Yên</v>
          </cell>
          <cell r="D1088">
            <v>21426</v>
          </cell>
          <cell r="E1088" t="str">
            <v>Mạng cấp 4</v>
          </cell>
        </row>
        <row r="1089">
          <cell r="B1089" t="str">
            <v>Suối Trai - Sơn Hòa</v>
          </cell>
          <cell r="C1089" t="str">
            <v>Phú Yên</v>
          </cell>
          <cell r="D1089">
            <v>14349</v>
          </cell>
          <cell r="E1089" t="str">
            <v>Mạng cấp 4</v>
          </cell>
        </row>
        <row r="1090">
          <cell r="B1090" t="str">
            <v>Sơn Hòa - TTCMKV Sơn Hòa</v>
          </cell>
          <cell r="C1090" t="str">
            <v>Phú Yên</v>
          </cell>
          <cell r="D1090">
            <v>0</v>
          </cell>
          <cell r="E1090" t="str">
            <v>Mạng cấp 4</v>
          </cell>
        </row>
        <row r="1091">
          <cell r="B1091" t="str">
            <v>TTCMKV Sông Hinh - Ea Bá</v>
          </cell>
          <cell r="C1091" t="str">
            <v>Phú Yên</v>
          </cell>
          <cell r="D1091">
            <v>13300</v>
          </cell>
          <cell r="E1091" t="str">
            <v>Mạng cấp 4</v>
          </cell>
        </row>
        <row r="1092">
          <cell r="B1092" t="str">
            <v>Ea Bá - Ea Ly</v>
          </cell>
          <cell r="C1092" t="str">
            <v>Phú Yên</v>
          </cell>
          <cell r="D1092">
            <v>6351</v>
          </cell>
          <cell r="E1092" t="str">
            <v>Mạng cấp 4</v>
          </cell>
        </row>
        <row r="1093">
          <cell r="B1093" t="str">
            <v>Ea Ly  - TTCMKV Sông Hinh</v>
          </cell>
          <cell r="C1093" t="str">
            <v>Phú Yên</v>
          </cell>
          <cell r="D1093">
            <v>29081</v>
          </cell>
          <cell r="E1093" t="str">
            <v>Mạng cấp 4</v>
          </cell>
        </row>
        <row r="1094">
          <cell r="B1094" t="str">
            <v>TTCMKV Sông Hinh - Sông
Hinh</v>
          </cell>
          <cell r="C1094" t="str">
            <v>Phú Yên</v>
          </cell>
          <cell r="D1094">
            <v>0</v>
          </cell>
          <cell r="E1094" t="str">
            <v>Mạng cấp 4</v>
          </cell>
        </row>
        <row r="1095">
          <cell r="B1095" t="str">
            <v>Sông Hinh - Đức Bình</v>
          </cell>
          <cell r="C1095" t="str">
            <v>Phú Yên</v>
          </cell>
          <cell r="D1095">
            <v>10532</v>
          </cell>
          <cell r="E1095" t="str">
            <v>Mạng cấp 4</v>
          </cell>
        </row>
        <row r="1096">
          <cell r="B1096" t="str">
            <v>Đức Bình - Sơn Thành</v>
          </cell>
          <cell r="C1096" t="str">
            <v>Phú Yên</v>
          </cell>
          <cell r="D1096">
            <v>27662</v>
          </cell>
          <cell r="E1096" t="str">
            <v>Mạng cấp 4</v>
          </cell>
        </row>
        <row r="1097">
          <cell r="B1097" t="str">
            <v>Sơn Thành - Hòa Mỹ</v>
          </cell>
          <cell r="C1097" t="str">
            <v>Phú Yên</v>
          </cell>
          <cell r="D1097">
            <v>11445</v>
          </cell>
          <cell r="E1097" t="str">
            <v>Mạng cấp 4</v>
          </cell>
        </row>
        <row r="1098">
          <cell r="B1098" t="str">
            <v>Hòa Mỹ - Hòa Thịnh</v>
          </cell>
          <cell r="C1098" t="str">
            <v>Phú Yên</v>
          </cell>
          <cell r="D1098">
            <v>13688</v>
          </cell>
          <cell r="E1098" t="str">
            <v>Mạng cấp 4</v>
          </cell>
        </row>
        <row r="1099">
          <cell r="B1099" t="str">
            <v>Hòa Thịnh - TTCMKV Tây Hòa</v>
          </cell>
          <cell r="C1099" t="str">
            <v>Phú Yên</v>
          </cell>
          <cell r="D1099">
            <v>10246</v>
          </cell>
          <cell r="E1099" t="str">
            <v>Mạng cấp 4</v>
          </cell>
        </row>
        <row r="1100">
          <cell r="B1100" t="str">
            <v>TTCMKV Tây Hòa - Tây Hòa</v>
          </cell>
          <cell r="C1100" t="str">
            <v>Phú Yên</v>
          </cell>
          <cell r="E1100" t="str">
            <v>Mạng cấp 4</v>
          </cell>
        </row>
        <row r="1101">
          <cell r="B1101" t="str">
            <v>Tây Hòa - Phú Hòa 1</v>
          </cell>
          <cell r="C1101" t="str">
            <v>Phú Yên</v>
          </cell>
          <cell r="D1101">
            <v>8015</v>
          </cell>
          <cell r="E1101" t="str">
            <v>Mạng cấp 4</v>
          </cell>
        </row>
        <row r="1102">
          <cell r="B1102" t="str">
            <v>Phú Hòa 1 - TTCMKV Phú Hòa</v>
          </cell>
          <cell r="C1102" t="str">
            <v>Phú Yên</v>
          </cell>
          <cell r="E1102" t="str">
            <v>Mạng cấp 4</v>
          </cell>
        </row>
        <row r="1103">
          <cell r="B1103" t="str">
            <v>TTCMKV Phú Hòa - Phú Hòa 2</v>
          </cell>
          <cell r="C1103" t="str">
            <v>Phú Yên</v>
          </cell>
          <cell r="D1103">
            <v>14364</v>
          </cell>
          <cell r="E1103" t="str">
            <v>Mạng cấp 4</v>
          </cell>
        </row>
        <row r="1104">
          <cell r="B1104" t="str">
            <v>Phú Hòa 2 - Phú Yên</v>
          </cell>
          <cell r="C1104" t="str">
            <v>Phú Yên</v>
          </cell>
          <cell r="D1104">
            <v>20921</v>
          </cell>
          <cell r="E1104" t="str">
            <v>Mạng cấp 4</v>
          </cell>
        </row>
        <row r="1105">
          <cell r="B1105" t="str">
            <v>Phú Yên - CAT Phú Yên</v>
          </cell>
          <cell r="C1105" t="str">
            <v>Phú Yên</v>
          </cell>
          <cell r="D1105">
            <v>9904</v>
          </cell>
          <cell r="E1105" t="str">
            <v>Mạng cấp 4</v>
          </cell>
        </row>
        <row r="1106">
          <cell r="B1106" t="str">
            <v>TTCMKV Tây Hòa - Đông Hòa</v>
          </cell>
          <cell r="C1106" t="str">
            <v>Phú Yên</v>
          </cell>
          <cell r="D1106">
            <v>10177</v>
          </cell>
          <cell r="E1106" t="str">
            <v>Mạng cấp 4</v>
          </cell>
        </row>
        <row r="1107">
          <cell r="B1107" t="str">
            <v>Đông Hòa - Hòa Xuân</v>
          </cell>
          <cell r="C1107" t="str">
            <v>Phú Yên</v>
          </cell>
          <cell r="D1107">
            <v>11543</v>
          </cell>
          <cell r="E1107" t="str">
            <v>Mạng cấp 4</v>
          </cell>
        </row>
        <row r="1108">
          <cell r="B1108" t="str">
            <v>Hòa Xuân - Hòa Hiệp</v>
          </cell>
          <cell r="C1108" t="str">
            <v>Phú Yên</v>
          </cell>
          <cell r="D1108">
            <v>15784</v>
          </cell>
          <cell r="E1108" t="str">
            <v>Mạng cấp 4</v>
          </cell>
        </row>
        <row r="1109">
          <cell r="B1109" t="str">
            <v>Hòa Hiệp - Hòa Hiệp CS2</v>
          </cell>
          <cell r="C1109" t="str">
            <v>Phú Yên</v>
          </cell>
          <cell r="D1109">
            <v>3616</v>
          </cell>
          <cell r="E1109" t="str">
            <v>Mạng cấp 4</v>
          </cell>
        </row>
        <row r="1110">
          <cell r="B1110" t="str">
            <v>Hòa Hiệp CS2 - CAT Phú Yên</v>
          </cell>
          <cell r="C1110" t="str">
            <v>Phú Yên</v>
          </cell>
          <cell r="D1110">
            <v>23792</v>
          </cell>
          <cell r="E1110" t="str">
            <v>Mạng cấp 4</v>
          </cell>
        </row>
        <row r="1111">
          <cell r="B1111" t="str">
            <v>TT Phan Rang - Đông Hải</v>
          </cell>
          <cell r="C1111" t="str">
            <v>Khánh Hòa</v>
          </cell>
          <cell r="D1111">
            <v>6121.8</v>
          </cell>
          <cell r="E1111" t="str">
            <v>Mạng cấp 4</v>
          </cell>
        </row>
        <row r="1112">
          <cell r="B1112" t="str">
            <v>Đông Hải - Phước Dinh</v>
          </cell>
          <cell r="C1112" t="str">
            <v>Khánh Hòa</v>
          </cell>
          <cell r="D1112">
            <v>18004.8</v>
          </cell>
          <cell r="E1112" t="str">
            <v>Mạng cấp 4</v>
          </cell>
        </row>
        <row r="1113">
          <cell r="B1113" t="str">
            <v>Phước Dinh - Thuận Nam</v>
          </cell>
          <cell r="C1113" t="str">
            <v>Khánh Hòa</v>
          </cell>
          <cell r="D1113">
            <v>17638</v>
          </cell>
          <cell r="E1113" t="str">
            <v>Mạng cấp 4</v>
          </cell>
        </row>
        <row r="1114">
          <cell r="B1114" t="str">
            <v>Thuận Nam - Cà Ná</v>
          </cell>
          <cell r="C1114" t="str">
            <v>Khánh Hòa</v>
          </cell>
          <cell r="D1114">
            <v>18574.400000000001</v>
          </cell>
          <cell r="E1114" t="str">
            <v>Mạng cấp 4</v>
          </cell>
        </row>
        <row r="1115">
          <cell r="B1115" t="str">
            <v>Cà Ná - Nhị Hà</v>
          </cell>
          <cell r="C1115" t="str">
            <v>Khánh Hòa</v>
          </cell>
          <cell r="D1115">
            <v>26466.400000000001</v>
          </cell>
          <cell r="E1115" t="str">
            <v>Mạng cấp 4</v>
          </cell>
        </row>
        <row r="1116">
          <cell r="B1116" t="str">
            <v>Nhị Hà - Phước Hữu</v>
          </cell>
          <cell r="C1116" t="str">
            <v>Khánh Hòa</v>
          </cell>
          <cell r="D1116">
            <v>10807.3</v>
          </cell>
          <cell r="E1116" t="str">
            <v>Mạng cấp 4</v>
          </cell>
        </row>
        <row r="1117">
          <cell r="B1117" t="str">
            <v>Ninh Phước - PC11B (phân trại NP)</v>
          </cell>
          <cell r="C1117" t="str">
            <v>Khánh Hòa</v>
          </cell>
          <cell r="D1117">
            <v>651.4</v>
          </cell>
          <cell r="E1117" t="str">
            <v>Mạng cấp 4</v>
          </cell>
        </row>
        <row r="1118">
          <cell r="B1118" t="str">
            <v>PC11B (phân trại NP) - Đội 15/1, Phòng PC08</v>
          </cell>
          <cell r="C1118" t="str">
            <v>Khánh Hòa</v>
          </cell>
          <cell r="D1118">
            <v>1220</v>
          </cell>
          <cell r="E1118" t="str">
            <v>Mạng cấp 4</v>
          </cell>
        </row>
        <row r="1119">
          <cell r="B1119" t="str">
            <v>Đội 15/1, Phòng PC08 - Phước Hữu</v>
          </cell>
          <cell r="C1119" t="str">
            <v>Khánh Hòa</v>
          </cell>
          <cell r="D1119">
            <v>5382</v>
          </cell>
          <cell r="E1119" t="str">
            <v>Mạng cấp 4</v>
          </cell>
        </row>
        <row r="1120">
          <cell r="B1120" t="str">
            <v>Phước Hữu - Phước Sơn</v>
          </cell>
          <cell r="C1120" t="str">
            <v>Khánh Hòa</v>
          </cell>
          <cell r="D1120">
            <v>17524</v>
          </cell>
          <cell r="E1120" t="str">
            <v>Mạng cấp 4</v>
          </cell>
        </row>
        <row r="1121">
          <cell r="B1121" t="str">
            <v>Ninh Sơn - Lâm Sơn</v>
          </cell>
          <cell r="C1121" t="str">
            <v>Khánh Hòa</v>
          </cell>
          <cell r="D1121">
            <v>8049</v>
          </cell>
          <cell r="E1121" t="str">
            <v>Mạng cấp 4</v>
          </cell>
        </row>
        <row r="1122">
          <cell r="B1122" t="str">
            <v>Lâm Sơn - PC08 (trạm 27/1)</v>
          </cell>
          <cell r="C1122" t="str">
            <v>Khánh Hòa</v>
          </cell>
          <cell r="D1122">
            <v>2040.5</v>
          </cell>
          <cell r="E1122" t="str">
            <v>Mạng cấp 4</v>
          </cell>
        </row>
        <row r="1123">
          <cell r="B1123" t="str">
            <v>Anh Dũng - Ninh Sơn</v>
          </cell>
          <cell r="C1123" t="str">
            <v>Khánh Hòa</v>
          </cell>
          <cell r="D1123">
            <v>21660</v>
          </cell>
          <cell r="E1123" t="str">
            <v>Mạng cấp 4</v>
          </cell>
        </row>
        <row r="1124">
          <cell r="B1124" t="str">
            <v>Ninh Sơn - Mỹ Sơn</v>
          </cell>
          <cell r="C1124" t="str">
            <v>Khánh Hòa</v>
          </cell>
          <cell r="D1124">
            <v>16398.599999999999</v>
          </cell>
          <cell r="E1124" t="str">
            <v>Mạng cấp 4</v>
          </cell>
        </row>
        <row r="1125">
          <cell r="B1125" t="str">
            <v>Mỹ Sơn - Đô Vinh</v>
          </cell>
          <cell r="C1125" t="str">
            <v>Khánh Hòa</v>
          </cell>
          <cell r="D1125">
            <v>13790.9</v>
          </cell>
          <cell r="E1125" t="str">
            <v>Mạng cấp 4</v>
          </cell>
        </row>
        <row r="1126">
          <cell r="B1126" t="str">
            <v>Đô Vinh - Bảo An</v>
          </cell>
          <cell r="C1126" t="str">
            <v>Khánh Hòa</v>
          </cell>
          <cell r="D1126">
            <v>3569</v>
          </cell>
          <cell r="E1126" t="str">
            <v>Mạng cấp 4</v>
          </cell>
        </row>
        <row r="1127">
          <cell r="B1127" t="str">
            <v>Ninh Sơn - Bác Ái Tây</v>
          </cell>
          <cell r="C1127" t="str">
            <v>Khánh Hòa</v>
          </cell>
          <cell r="D1127">
            <v>12837.2</v>
          </cell>
          <cell r="E1127" t="str">
            <v>Mạng cấp 4</v>
          </cell>
        </row>
        <row r="1128">
          <cell r="B1128" t="str">
            <v>Bác Ái Tây - Bác Ái Đông</v>
          </cell>
          <cell r="C1128" t="str">
            <v>Khánh Hòa</v>
          </cell>
          <cell r="D1128">
            <v>14613</v>
          </cell>
          <cell r="E1128" t="str">
            <v>Mạng cấp 4</v>
          </cell>
        </row>
        <row r="1129">
          <cell r="B1129" t="str">
            <v>Bác Ái Đông - Bác Ái</v>
          </cell>
          <cell r="C1129" t="str">
            <v>Khánh Hòa</v>
          </cell>
          <cell r="D1129">
            <v>6472</v>
          </cell>
          <cell r="E1129" t="str">
            <v>Mạng cấp 4</v>
          </cell>
        </row>
        <row r="1130">
          <cell r="B1130" t="str">
            <v>Bác Ái - Mỹ Sơn (Phước Trung)</v>
          </cell>
          <cell r="C1130" t="str">
            <v>Khánh Hòa</v>
          </cell>
          <cell r="D1130">
            <v>13310</v>
          </cell>
          <cell r="E1130" t="str">
            <v>Mạng cấp 4</v>
          </cell>
        </row>
        <row r="1131">
          <cell r="B1131" t="str">
            <v>Mỹ Sơn (Phước Trung) - Xuân Hải</v>
          </cell>
          <cell r="C1131" t="str">
            <v>Khánh Hòa</v>
          </cell>
          <cell r="D1131">
            <v>11862.1</v>
          </cell>
          <cell r="E1131" t="str">
            <v>Mạng cấp 4</v>
          </cell>
        </row>
        <row r="1132">
          <cell r="B1132" t="str">
            <v>Bác Ái - Bác Ái Tây</v>
          </cell>
          <cell r="C1132" t="str">
            <v>Khánh Hòa</v>
          </cell>
          <cell r="D1132">
            <v>13599.3</v>
          </cell>
          <cell r="E1132" t="str">
            <v>Mạng cấp 4</v>
          </cell>
        </row>
        <row r="1133">
          <cell r="B1133" t="str">
            <v>Bác Ái Tây -  PC08 (trạm Tà Lú 2)</v>
          </cell>
          <cell r="C1133" t="str">
            <v>Khánh Hòa</v>
          </cell>
          <cell r="D1133">
            <v>14471</v>
          </cell>
          <cell r="E1133" t="str">
            <v>Mạng cấp 4</v>
          </cell>
        </row>
        <row r="1134">
          <cell r="B1134" t="str">
            <v xml:space="preserve"> PC08 (trạm Tà Lú 2) - Bác Ái Đông</v>
          </cell>
          <cell r="C1134" t="str">
            <v>Khánh Hòa</v>
          </cell>
          <cell r="D1134">
            <v>661</v>
          </cell>
          <cell r="E1134" t="str">
            <v>Mạng cấp 4</v>
          </cell>
        </row>
        <row r="1135">
          <cell r="B1135" t="str">
            <v>Thuận Bắc - PC11B</v>
          </cell>
          <cell r="C1135" t="str">
            <v>Khánh Hòa</v>
          </cell>
          <cell r="D1135">
            <v>7291.2</v>
          </cell>
          <cell r="E1135" t="str">
            <v>Mạng cấp 4</v>
          </cell>
        </row>
        <row r="1136">
          <cell r="B1136" t="str">
            <v>PC11B - Công Hải</v>
          </cell>
          <cell r="C1136" t="str">
            <v>Khánh Hòa</v>
          </cell>
          <cell r="D1136">
            <v>5586</v>
          </cell>
          <cell r="E1136" t="str">
            <v>Mạng cấp 4</v>
          </cell>
        </row>
        <row r="1137">
          <cell r="B1137" t="str">
            <v>Công Hải - PC08 (Suối Giếng)</v>
          </cell>
          <cell r="C1137" t="str">
            <v>Khánh Hòa</v>
          </cell>
          <cell r="D1137">
            <v>4826.1000000000004</v>
          </cell>
          <cell r="E1137" t="str">
            <v>Mạng cấp 4</v>
          </cell>
        </row>
        <row r="1138">
          <cell r="B1138" t="str">
            <v>PC08 (Suối Giếng) - Ninh Hải (Bắc Sơn)</v>
          </cell>
          <cell r="C1138" t="str">
            <v>Khánh Hòa</v>
          </cell>
          <cell r="D1138">
            <v>20199.3</v>
          </cell>
          <cell r="E1138" t="str">
            <v>Mạng cấp 4</v>
          </cell>
        </row>
        <row r="1139">
          <cell r="B1139" t="str">
            <v>Ninh Chử - PX01</v>
          </cell>
          <cell r="C1139" t="str">
            <v>Khánh Hòa</v>
          </cell>
          <cell r="D1139">
            <v>820</v>
          </cell>
          <cell r="E1139" t="str">
            <v>Mạng cấp 4</v>
          </cell>
        </row>
        <row r="1140">
          <cell r="B1140" t="str">
            <v>PX01 - Xuân Hải</v>
          </cell>
          <cell r="C1140" t="str">
            <v>Khánh Hòa</v>
          </cell>
          <cell r="D1140">
            <v>9622.2000000000007</v>
          </cell>
          <cell r="E1140" t="str">
            <v>Mạng cấp 4</v>
          </cell>
        </row>
        <row r="1141">
          <cell r="B1141" t="str">
            <v>Ninh Chử - Ninh Hải (Tri Hải)</v>
          </cell>
          <cell r="C1141" t="str">
            <v>Khánh Hòa</v>
          </cell>
          <cell r="D1141">
            <v>3511</v>
          </cell>
          <cell r="E1141" t="str">
            <v>Mạng cấp 4</v>
          </cell>
        </row>
        <row r="1142">
          <cell r="B1142" t="str">
            <v>Ninh Hải (Tri Hải) - Vĩnh Hải (Nhơn Hải)</v>
          </cell>
          <cell r="C1142" t="str">
            <v>Khánh Hòa</v>
          </cell>
          <cell r="D1142">
            <v>7787</v>
          </cell>
          <cell r="E1142" t="str">
            <v>Mạng cấp 4</v>
          </cell>
        </row>
        <row r="1143">
          <cell r="B1143" t="str">
            <v>Vĩnh Hải (Nhơn Hải) - Vĩnh Hải(Thái An)</v>
          </cell>
          <cell r="C1143" t="str">
            <v>Khánh Hòa</v>
          </cell>
          <cell r="D1143">
            <v>13447.3</v>
          </cell>
          <cell r="E1143" t="str">
            <v>Mạng cấp 4</v>
          </cell>
        </row>
        <row r="1144">
          <cell r="B1144" t="str">
            <v>Vĩnh Hải (Thái An) - Ninh Hải (Bắc Sơn)</v>
          </cell>
          <cell r="C1144" t="str">
            <v>Khánh Hòa</v>
          </cell>
          <cell r="D1144">
            <v>22357</v>
          </cell>
          <cell r="E1144" t="str">
            <v>Mạng cấp 4</v>
          </cell>
        </row>
        <row r="1145">
          <cell r="B1145" t="str">
            <v>Ninh Chử - PH10</v>
          </cell>
          <cell r="C1145" t="str">
            <v>Khánh Hòa</v>
          </cell>
          <cell r="D1145">
            <v>2218.4</v>
          </cell>
          <cell r="E1145" t="str">
            <v>Mạng cấp 4</v>
          </cell>
        </row>
        <row r="1146">
          <cell r="B1146" t="str">
            <v>PH10 - T90</v>
          </cell>
          <cell r="C1146" t="str">
            <v>Khánh Hòa</v>
          </cell>
          <cell r="D1146">
            <v>7310.3</v>
          </cell>
          <cell r="E1146" t="str">
            <v>Mạng cấp 4</v>
          </cell>
        </row>
        <row r="1147">
          <cell r="B1147" t="str">
            <v>T90 - Đông Hải</v>
          </cell>
          <cell r="C1147" t="str">
            <v>Khánh Hòa</v>
          </cell>
          <cell r="D1147">
            <v>3954.4</v>
          </cell>
          <cell r="E1147" t="str">
            <v>Mạng cấp 4</v>
          </cell>
        </row>
        <row r="1148">
          <cell r="B1148" t="str">
            <v>CAT Khánh Hòa - CA Nam Nha Trang</v>
          </cell>
          <cell r="C1148" t="str">
            <v>Khánh Hòa</v>
          </cell>
          <cell r="D1148">
            <v>3661</v>
          </cell>
          <cell r="E1148" t="str">
            <v>Mạng cấp 4</v>
          </cell>
        </row>
        <row r="1149">
          <cell r="B1149" t="str">
            <v>CA Nam Nha Trang - CA Nha Trang</v>
          </cell>
          <cell r="C1149" t="str">
            <v>Khánh Hòa</v>
          </cell>
          <cell r="D1149">
            <v>6086</v>
          </cell>
          <cell r="E1149" t="str">
            <v>Mạng cấp 4</v>
          </cell>
        </row>
        <row r="1150">
          <cell r="B1150" t="str">
            <v>CA Nha Trang - CA Tây Nha Trang</v>
          </cell>
          <cell r="C1150" t="str">
            <v>Khánh Hòa</v>
          </cell>
          <cell r="D1150">
            <v>1454</v>
          </cell>
          <cell r="E1150" t="str">
            <v>Mạng cấp 4</v>
          </cell>
        </row>
        <row r="1151">
          <cell r="B1151" t="str">
            <v>CA Tây Nha Trang - TTCMKV Diên Khánh</v>
          </cell>
          <cell r="C1151" t="str">
            <v>Khánh Hòa</v>
          </cell>
          <cell r="D1151">
            <v>10818</v>
          </cell>
          <cell r="E1151" t="str">
            <v>Mạng cấp 4</v>
          </cell>
        </row>
        <row r="1152">
          <cell r="B1152" t="str">
            <v>CA Cam Ranh - CA Bắc Cam Ranh</v>
          </cell>
          <cell r="C1152" t="str">
            <v>Khánh Hòa</v>
          </cell>
          <cell r="D1152">
            <v>7849</v>
          </cell>
          <cell r="E1152" t="str">
            <v>Mạng cấp 4</v>
          </cell>
        </row>
        <row r="1153">
          <cell r="B1153" t="str">
            <v>CA Bắc Cam Ranh - CA Cam An</v>
          </cell>
          <cell r="C1153" t="str">
            <v>Khánh Hòa</v>
          </cell>
          <cell r="D1153">
            <v>14531</v>
          </cell>
          <cell r="E1153" t="str">
            <v>Mạng cấp 4</v>
          </cell>
        </row>
        <row r="1154">
          <cell r="B1154" t="str">
            <v>CA Cam An - CA Cam Hiệp</v>
          </cell>
          <cell r="C1154" t="str">
            <v>Khánh Hòa</v>
          </cell>
          <cell r="D1154">
            <v>9960</v>
          </cell>
          <cell r="E1154" t="str">
            <v>Mạng cấp 4</v>
          </cell>
        </row>
        <row r="1155">
          <cell r="B1155" t="str">
            <v>CA Cam Hiệp - CA Cam Lâm</v>
          </cell>
          <cell r="C1155" t="str">
            <v>Khánh Hòa</v>
          </cell>
          <cell r="D1155">
            <v>10544</v>
          </cell>
          <cell r="E1155" t="str">
            <v>Mạng cấp 4</v>
          </cell>
        </row>
        <row r="1156">
          <cell r="B1156" t="str">
            <v>CA Cam Ranh - CA Cam Linh</v>
          </cell>
          <cell r="C1156" t="str">
            <v>Khánh Hòa</v>
          </cell>
          <cell r="D1156">
            <v>3073</v>
          </cell>
          <cell r="E1156" t="str">
            <v>Mạng cấp 4</v>
          </cell>
        </row>
        <row r="1157">
          <cell r="B1157" t="str">
            <v>CA Cam Linh - CA Ba Ngòi</v>
          </cell>
          <cell r="C1157" t="str">
            <v>Khánh Hòa</v>
          </cell>
          <cell r="D1157">
            <v>6061</v>
          </cell>
          <cell r="E1157" t="str">
            <v>Mạng cấp 4</v>
          </cell>
        </row>
        <row r="1158">
          <cell r="B1158" t="str">
            <v>CA Ba Ngòi - CA Nam Cam Ranh</v>
          </cell>
          <cell r="C1158" t="str">
            <v>Khánh Hòa</v>
          </cell>
          <cell r="D1158">
            <v>13432</v>
          </cell>
          <cell r="E1158" t="str">
            <v>Mạng cấp 4</v>
          </cell>
        </row>
        <row r="1159">
          <cell r="B1159" t="str">
            <v>CA Nam Cam Ranh - CA Cam Ranh</v>
          </cell>
          <cell r="C1159" t="str">
            <v>Khánh Hòa</v>
          </cell>
          <cell r="D1159">
            <v>14287</v>
          </cell>
          <cell r="E1159" t="str">
            <v>Mạng cấp 4</v>
          </cell>
        </row>
        <row r="1160">
          <cell r="B1160" t="str">
            <v>CA Ninh Hòa - CA Đông Ninh Hòa</v>
          </cell>
          <cell r="C1160" t="str">
            <v>Khánh Hòa</v>
          </cell>
          <cell r="D1160">
            <v>12957</v>
          </cell>
          <cell r="E1160" t="str">
            <v>Mạng cấp 4</v>
          </cell>
        </row>
        <row r="1161">
          <cell r="B1161" t="str">
            <v>CA Đông Ninh Hòa - CA Bắc Ninh Hòa</v>
          </cell>
          <cell r="C1161" t="str">
            <v>Khánh Hòa</v>
          </cell>
          <cell r="D1161">
            <v>8175</v>
          </cell>
          <cell r="E1161" t="str">
            <v>Mạng cấp 4</v>
          </cell>
        </row>
        <row r="1162">
          <cell r="B1162" t="str">
            <v>CA Bắc Ninh Hòa - CA Vạn Hưng</v>
          </cell>
          <cell r="C1162" t="str">
            <v>Khánh Hòa</v>
          </cell>
          <cell r="D1162">
            <v>17789</v>
          </cell>
          <cell r="E1162" t="str">
            <v>Mạng cấp 4</v>
          </cell>
        </row>
        <row r="1163">
          <cell r="B1163" t="str">
            <v>CA Vạn Hưng - CA Vạn Ninh</v>
          </cell>
          <cell r="C1163" t="str">
            <v>Khánh Hòa</v>
          </cell>
          <cell r="D1163">
            <v>13282</v>
          </cell>
          <cell r="E1163" t="str">
            <v>Mạng cấp 4</v>
          </cell>
        </row>
        <row r="1164">
          <cell r="B1164" t="str">
            <v>CA Ninh Hòa - CA Hòa Thắng</v>
          </cell>
          <cell r="C1164" t="str">
            <v>Khánh Hòa</v>
          </cell>
          <cell r="D1164">
            <v>4258</v>
          </cell>
          <cell r="E1164" t="str">
            <v>Mạng cấp 4</v>
          </cell>
        </row>
        <row r="1165">
          <cell r="B1165" t="str">
            <v>CA Hòa Thắng - CA Tân Định</v>
          </cell>
          <cell r="C1165" t="str">
            <v>Khánh Hòa</v>
          </cell>
          <cell r="D1165">
            <v>3461</v>
          </cell>
          <cell r="E1165" t="str">
            <v>Mạng cấp 4</v>
          </cell>
        </row>
        <row r="1166">
          <cell r="B1166" t="str">
            <v>CA Tân Định - CA Ninh Hòa</v>
          </cell>
          <cell r="C1166" t="str">
            <v>Khánh Hòa</v>
          </cell>
          <cell r="D1166">
            <v>5536</v>
          </cell>
          <cell r="E1166" t="str">
            <v>Mạng cấp 4</v>
          </cell>
        </row>
        <row r="1167">
          <cell r="B1167" t="str">
            <v>CA Ninh Hòa - CA Nam Ninh Hòa</v>
          </cell>
          <cell r="C1167" t="str">
            <v>Khánh Hòa</v>
          </cell>
          <cell r="D1167">
            <v>10372</v>
          </cell>
          <cell r="E1167" t="str">
            <v>Mạng cấp 4</v>
          </cell>
        </row>
        <row r="1168">
          <cell r="B1168" t="str">
            <v>CA Nam Ninh Hòa - CA Tây Ninh Hòa</v>
          </cell>
          <cell r="C1168" t="str">
            <v>Khánh Hòa</v>
          </cell>
          <cell r="D1168">
            <v>23603</v>
          </cell>
          <cell r="E1168" t="str">
            <v>Mạng cấp 4</v>
          </cell>
        </row>
        <row r="1169">
          <cell r="B1169" t="str">
            <v>CA Tây Ninh Hòa - CA Hòa Trí</v>
          </cell>
          <cell r="C1169" t="str">
            <v>Khánh Hòa</v>
          </cell>
          <cell r="D1169">
            <v>13032</v>
          </cell>
          <cell r="E1169" t="str">
            <v>Mạng cấp 4</v>
          </cell>
        </row>
        <row r="1170">
          <cell r="B1170" t="str">
            <v>CA Hòa Trí - CA Ninh Hòa</v>
          </cell>
          <cell r="C1170" t="str">
            <v>Khánh Hòa</v>
          </cell>
          <cell r="D1170">
            <v>13634</v>
          </cell>
          <cell r="E1170" t="str">
            <v>Mạng cấp 4</v>
          </cell>
        </row>
        <row r="1171">
          <cell r="B1171" t="str">
            <v>CA Vạn Ninh - CA Vạn Thắng</v>
          </cell>
          <cell r="C1171" t="str">
            <v>Khánh Hòa</v>
          </cell>
          <cell r="D1171">
            <v>2910</v>
          </cell>
          <cell r="E1171" t="str">
            <v>Mạng cấp 4</v>
          </cell>
        </row>
        <row r="1172">
          <cell r="B1172" t="str">
            <v>CA Vạn Thắng - CA Tu Bông</v>
          </cell>
          <cell r="C1172" t="str">
            <v>Khánh Hòa</v>
          </cell>
          <cell r="D1172">
            <v>12136</v>
          </cell>
          <cell r="E1172" t="str">
            <v>Mạng cấp 4</v>
          </cell>
        </row>
        <row r="1173">
          <cell r="B1173" t="str">
            <v>CA Tu Bông - CA Đại Lãnh</v>
          </cell>
          <cell r="C1173" t="str">
            <v>Khánh Hòa</v>
          </cell>
          <cell r="D1173">
            <v>6628</v>
          </cell>
          <cell r="E1173" t="str">
            <v>Mạng cấp 4</v>
          </cell>
        </row>
        <row r="1174">
          <cell r="B1174" t="str">
            <v>CA Đại Lãnh - CA Vạn Ninh</v>
          </cell>
          <cell r="C1174" t="str">
            <v>Khánh Hòa</v>
          </cell>
          <cell r="D1174">
            <v>22071</v>
          </cell>
          <cell r="E1174" t="str">
            <v>Mạng cấp 4</v>
          </cell>
        </row>
        <row r="1175">
          <cell r="B1175" t="str">
            <v>CA Diên Khánh - CA Diên Điền</v>
          </cell>
          <cell r="C1175" t="str">
            <v>Khánh Hòa</v>
          </cell>
          <cell r="D1175">
            <v>4351</v>
          </cell>
          <cell r="E1175" t="str">
            <v>Mạng cấp 4</v>
          </cell>
        </row>
        <row r="1176">
          <cell r="B1176" t="str">
            <v>CA Diên Điền - CA Bắc Nha Trang</v>
          </cell>
          <cell r="C1176" t="str">
            <v>Khánh Hòa</v>
          </cell>
          <cell r="D1176">
            <v>11086</v>
          </cell>
          <cell r="E1176" t="str">
            <v>Mạng cấp 4</v>
          </cell>
        </row>
        <row r="1177">
          <cell r="B1177" t="str">
            <v>CA Bắc Nha Trang - CAT Khánh Hòa</v>
          </cell>
          <cell r="C1177" t="str">
            <v>Khánh Hòa</v>
          </cell>
          <cell r="D1177">
            <v>7364</v>
          </cell>
          <cell r="E1177" t="str">
            <v>Mạng cấp 4</v>
          </cell>
        </row>
        <row r="1178">
          <cell r="B1178" t="str">
            <v>CA Diên Khánh - CA Diên Lạc</v>
          </cell>
          <cell r="C1178" t="str">
            <v>Khánh Hòa</v>
          </cell>
          <cell r="D1178">
            <v>2931</v>
          </cell>
          <cell r="E1178" t="str">
            <v>Mạng cấp 4</v>
          </cell>
        </row>
        <row r="1179">
          <cell r="B1179" t="str">
            <v>CA Diên Lạc - CA Diên Lâm</v>
          </cell>
          <cell r="C1179" t="str">
            <v>Khánh Hòa</v>
          </cell>
          <cell r="D1179">
            <v>5131</v>
          </cell>
          <cell r="E1179" t="str">
            <v>Mạng cấp 4</v>
          </cell>
        </row>
        <row r="1180">
          <cell r="B1180" t="str">
            <v>CA Diên Lâm - CA Bắc Khánh Vĩnh</v>
          </cell>
          <cell r="C1180" t="str">
            <v>Khánh Hòa</v>
          </cell>
          <cell r="D1180">
            <v>15117</v>
          </cell>
          <cell r="E1180" t="str">
            <v>Mạng cấp 4</v>
          </cell>
        </row>
        <row r="1181">
          <cell r="B1181" t="str">
            <v>CA Bắc Khánh Vĩnh - CA Trung Khánh Vĩnh</v>
          </cell>
          <cell r="C1181" t="str">
            <v>Khánh Hòa</v>
          </cell>
          <cell r="D1181">
            <v>6131</v>
          </cell>
          <cell r="E1181" t="str">
            <v>Mạng cấp 4</v>
          </cell>
        </row>
        <row r="1182">
          <cell r="B1182" t="str">
            <v>CA Trung Khánh Vĩnh - CA Khánh Vĩnh</v>
          </cell>
          <cell r="C1182" t="str">
            <v>Khánh Hòa</v>
          </cell>
          <cell r="D1182">
            <v>15800</v>
          </cell>
          <cell r="E1182" t="str">
            <v>Mạng cấp 4</v>
          </cell>
        </row>
        <row r="1183">
          <cell r="B1183" t="str">
            <v>CA Bắc Khánh Vĩnh - Trung tâm Cai nghiện Khánh Bình</v>
          </cell>
          <cell r="C1183" t="str">
            <v>Khánh Hòa</v>
          </cell>
          <cell r="D1183">
            <v>7540</v>
          </cell>
          <cell r="E1183" t="str">
            <v>Mạng cấp 4</v>
          </cell>
        </row>
        <row r="1184">
          <cell r="B1184" t="str">
            <v>CA Diên Khánh - CA Suối Hiệp</v>
          </cell>
          <cell r="C1184" t="str">
            <v>Khánh Hòa</v>
          </cell>
          <cell r="D1184">
            <v>5506</v>
          </cell>
          <cell r="E1184" t="str">
            <v>Mạng cấp 4</v>
          </cell>
        </row>
        <row r="1185">
          <cell r="B1185" t="str">
            <v>CA Suối Hiệp - CA Suối Dầu</v>
          </cell>
          <cell r="C1185" t="str">
            <v>Khánh Hòa</v>
          </cell>
          <cell r="D1185">
            <v>4625</v>
          </cell>
          <cell r="E1185" t="str">
            <v>Mạng cấp 4</v>
          </cell>
        </row>
        <row r="1186">
          <cell r="B1186" t="str">
            <v>CA Suối Dầu - CA Diên Thọ</v>
          </cell>
          <cell r="C1186" t="str">
            <v>Khánh Hòa</v>
          </cell>
          <cell r="D1186">
            <v>15241</v>
          </cell>
          <cell r="E1186" t="str">
            <v>Mạng cấp 4</v>
          </cell>
        </row>
        <row r="1187">
          <cell r="B1187" t="str">
            <v>CA Diên Thọ - CA Diên Khánh</v>
          </cell>
          <cell r="C1187" t="str">
            <v>Khánh Hòa</v>
          </cell>
          <cell r="D1187">
            <v>15296</v>
          </cell>
          <cell r="E1187" t="str">
            <v>Mạng cấp 4</v>
          </cell>
        </row>
        <row r="1188">
          <cell r="B1188" t="str">
            <v>CA Khánh Vĩnh - CA Nam Khánh Vĩnh</v>
          </cell>
          <cell r="C1188" t="str">
            <v>Khánh Hòa</v>
          </cell>
          <cell r="D1188">
            <v>12667</v>
          </cell>
          <cell r="E1188" t="str">
            <v>Mạng cấp 4</v>
          </cell>
        </row>
        <row r="1189">
          <cell r="B1189" t="str">
            <v>CA Nam Khánh Vĩnh - CA Tây Khánh Vĩnh</v>
          </cell>
          <cell r="C1189" t="str">
            <v>Khánh Hòa</v>
          </cell>
          <cell r="D1189">
            <v>960</v>
          </cell>
          <cell r="E1189" t="str">
            <v>Mạng cấp 4</v>
          </cell>
        </row>
        <row r="1190">
          <cell r="B1190" t="str">
            <v>CA Tây Khánh Vĩnh - CA Khánh Vĩnh</v>
          </cell>
          <cell r="C1190" t="str">
            <v>Khánh Hòa</v>
          </cell>
          <cell r="D1190">
            <v>13620</v>
          </cell>
          <cell r="E1190" t="str">
            <v>Mạng cấp 4</v>
          </cell>
        </row>
        <row r="1191">
          <cell r="B1191" t="str">
            <v>CA Khánh Sơn - CA Tây Khánh Sơn</v>
          </cell>
          <cell r="C1191" t="str">
            <v>Khánh Hòa</v>
          </cell>
          <cell r="D1191">
            <v>12399</v>
          </cell>
          <cell r="E1191" t="str">
            <v>Mạng cấp 4</v>
          </cell>
        </row>
        <row r="1192">
          <cell r="B1192" t="str">
            <v>CA Tây Khánh Sơn - CA Đông Khánh Sơn</v>
          </cell>
          <cell r="C1192" t="str">
            <v>Khánh Hòa</v>
          </cell>
          <cell r="D1192">
            <v>15202</v>
          </cell>
          <cell r="E1192" t="str">
            <v>Mạng cấp 4</v>
          </cell>
        </row>
        <row r="1193">
          <cell r="B1193" t="str">
            <v>CA Đông Khánh Sơn - CA Cam Ranh</v>
          </cell>
          <cell r="C1193" t="str">
            <v>Khánh Hòa</v>
          </cell>
          <cell r="D1193">
            <v>35714</v>
          </cell>
          <cell r="E1193" t="str">
            <v>Mạng cấp 4</v>
          </cell>
        </row>
        <row r="1194">
          <cell r="B1194" t="str">
            <v>TTCMKV Cư Jút - PC07 khu vực</v>
          </cell>
          <cell r="D1194">
            <v>240</v>
          </cell>
          <cell r="E1194" t="str">
            <v>Mạng cấp 4</v>
          </cell>
        </row>
        <row r="1195">
          <cell r="B1195" t="str">
            <v>PC07 khu vực - Đắk Wil</v>
          </cell>
          <cell r="D1195">
            <v>21746</v>
          </cell>
          <cell r="E1195" t="str">
            <v>Mạng cấp 4</v>
          </cell>
        </row>
        <row r="1196">
          <cell r="B1196" t="str">
            <v>Đắk Wil - Nam Dong</v>
          </cell>
          <cell r="D1196">
            <v>8938</v>
          </cell>
          <cell r="E1196" t="str">
            <v>Mạng cấp 4</v>
          </cell>
        </row>
        <row r="1197">
          <cell r="B1197" t="str">
            <v>Nam Dong - Đắk Mil</v>
          </cell>
          <cell r="D1197">
            <v>30973</v>
          </cell>
          <cell r="E1197" t="str">
            <v>Mạng cấp 4</v>
          </cell>
        </row>
        <row r="1198">
          <cell r="B1198" t="str">
            <v>Đắk Mil - PC08 - Đội CSGT số 4</v>
          </cell>
          <cell r="D1198">
            <v>16388</v>
          </cell>
          <cell r="E1198" t="str">
            <v>Mạng cấp 4</v>
          </cell>
        </row>
        <row r="1199">
          <cell r="B1199" t="str">
            <v>PC08 - Đội CSGT số 4 - PC07 - Đội CC&amp;CNCH khu vực 14</v>
          </cell>
          <cell r="D1199">
            <v>2246</v>
          </cell>
          <cell r="E1199" t="str">
            <v>Mạng cấp 4</v>
          </cell>
        </row>
        <row r="1200">
          <cell r="B1200" t="str">
            <v>PC07 - Đội CC&amp;CNCH khu vực 14 - TTCMKV Đắk Mil</v>
          </cell>
          <cell r="D1200">
            <v>3506</v>
          </cell>
          <cell r="E1200" t="str">
            <v>Mạng cấp 4</v>
          </cell>
        </row>
        <row r="1201">
          <cell r="B1201" t="str">
            <v>TTCMKV Cư Jút - Nam Đà</v>
          </cell>
          <cell r="D1201">
            <v>14537</v>
          </cell>
          <cell r="E1201" t="str">
            <v>Mạng cấp 4</v>
          </cell>
        </row>
        <row r="1202">
          <cell r="B1202" t="str">
            <v>Nam Đà - Phòng PC08 - Đội CSGT Đường bộ số 4 - I</v>
          </cell>
          <cell r="D1202">
            <v>2934</v>
          </cell>
          <cell r="E1202" t="str">
            <v>Mạng cấp 4</v>
          </cell>
        </row>
        <row r="1203">
          <cell r="B1203" t="str">
            <v xml:space="preserve">Đội CSGT Đường bộ số 4 - I - Krông Nô </v>
          </cell>
          <cell r="D1203">
            <v>1532</v>
          </cell>
          <cell r="E1203" t="str">
            <v>Mạng cấp 4</v>
          </cell>
        </row>
        <row r="1204">
          <cell r="B1204" t="str">
            <v>TTCMKV Krông Nô - Nâm Nung</v>
          </cell>
          <cell r="D1204">
            <v>13745</v>
          </cell>
          <cell r="E1204" t="str">
            <v>Mạng cấp 4</v>
          </cell>
        </row>
        <row r="1205">
          <cell r="B1205" t="str">
            <v>Nâm Nung - Quảng Phú</v>
          </cell>
          <cell r="D1205">
            <v>23482</v>
          </cell>
          <cell r="E1205" t="str">
            <v>Mạng cấp 4</v>
          </cell>
        </row>
        <row r="1206">
          <cell r="B1206" t="str">
            <v>Quảng Phú - Quảng Hòa</v>
          </cell>
          <cell r="D1206">
            <v>30407</v>
          </cell>
          <cell r="E1206" t="str">
            <v>Mạng cấp 4</v>
          </cell>
        </row>
        <row r="1207">
          <cell r="B1207" t="str">
            <v>Quảng Hòa - Quảng Sơn</v>
          </cell>
          <cell r="D1207">
            <v>41299</v>
          </cell>
          <cell r="E1207" t="str">
            <v>Mạng cấp 4</v>
          </cell>
        </row>
        <row r="1208">
          <cell r="B1208" t="str">
            <v>TTCMKV Krông Nô - Đắk Sắk</v>
          </cell>
          <cell r="D1208">
            <v>30180</v>
          </cell>
          <cell r="E1208" t="str">
            <v>Mạng cấp 4</v>
          </cell>
        </row>
        <row r="1209">
          <cell r="B1209" t="str">
            <v>Đắk Sắk - Đắk Song</v>
          </cell>
          <cell r="D1209">
            <v>5859</v>
          </cell>
          <cell r="E1209" t="str">
            <v>Mạng cấp 4</v>
          </cell>
        </row>
        <row r="1210">
          <cell r="B1210" t="str">
            <v>Đắk Song - Thuận An</v>
          </cell>
          <cell r="D1210">
            <v>9576</v>
          </cell>
          <cell r="E1210" t="str">
            <v>Mạng cấp 4</v>
          </cell>
        </row>
        <row r="1211">
          <cell r="B1211" t="str">
            <v>Thuận An - Phòng PC02 - Tổ địa bàn số 2</v>
          </cell>
          <cell r="D1211">
            <v>4596</v>
          </cell>
          <cell r="E1211" t="str">
            <v>Mạng cấp 4</v>
          </cell>
        </row>
        <row r="1212">
          <cell r="B1212" t="str">
            <v>Phòng PC02 - Tổ địa bàn số 2 - TTCMKV Đắk Mil</v>
          </cell>
          <cell r="D1212">
            <v>7170</v>
          </cell>
          <cell r="E1212" t="str">
            <v>Mạng cấp 4</v>
          </cell>
        </row>
        <row r="1213">
          <cell r="B1213" t="str">
            <v>Đức An - Đội CSGT Đường bộ số 4 - II</v>
          </cell>
          <cell r="D1213">
            <v>524</v>
          </cell>
          <cell r="E1213" t="str">
            <v>Mạng cấp 4</v>
          </cell>
        </row>
        <row r="1214">
          <cell r="B1214" t="str">
            <v>Đội CSGT Đường bộ số 4 - II  - Trường Xuân</v>
          </cell>
          <cell r="D1214">
            <v>12122</v>
          </cell>
          <cell r="E1214" t="str">
            <v>Mạng cấp 4</v>
          </cell>
        </row>
        <row r="1215">
          <cell r="B1215" t="str">
            <v>Trường Xuân - TT2 LÂM ĐỒNG (GIA NGHĨA)</v>
          </cell>
          <cell r="D1215">
            <v>23618</v>
          </cell>
          <cell r="E1215" t="str">
            <v>Mạng cấp 4</v>
          </cell>
        </row>
        <row r="1216">
          <cell r="B1216" t="str">
            <v>TTCMKV Đắk Song - Thuận Hạnh</v>
          </cell>
          <cell r="D1216">
            <v>11418</v>
          </cell>
          <cell r="E1216" t="str">
            <v>Mạng cấp 4</v>
          </cell>
        </row>
        <row r="1217">
          <cell r="B1217" t="str">
            <v>Thuận Hạnh - Quảng Trực</v>
          </cell>
          <cell r="D1217">
            <v>23520</v>
          </cell>
          <cell r="E1217" t="str">
            <v>Mạng cấp 4</v>
          </cell>
        </row>
        <row r="1218">
          <cell r="B1218" t="str">
            <v>Quảng Trực - TTCMKV Tuy Đức</v>
          </cell>
          <cell r="D1218">
            <v>18662</v>
          </cell>
          <cell r="E1218" t="str">
            <v>Mạng cấp 4</v>
          </cell>
        </row>
        <row r="1219">
          <cell r="B1219" t="str">
            <v>Tuy Đức - PC08 đội 6</v>
          </cell>
          <cell r="D1219">
            <v>2217</v>
          </cell>
          <cell r="E1219" t="str">
            <v>Mạng cấp 4</v>
          </cell>
        </row>
        <row r="1220">
          <cell r="B1220" t="str">
            <v>PC08 đội 6 - CS Cai nghiện số 4</v>
          </cell>
          <cell r="D1220">
            <v>16414</v>
          </cell>
          <cell r="E1220" t="str">
            <v>Mạng cấp 4</v>
          </cell>
        </row>
        <row r="1221">
          <cell r="B1221" t="str">
            <v>Cơ sở cai nghiện số 4 - Quảng Tân</v>
          </cell>
          <cell r="D1221">
            <v>7171</v>
          </cell>
          <cell r="E1221" t="str">
            <v>Mạng cấp 4</v>
          </cell>
        </row>
        <row r="1222">
          <cell r="B1222" t="str">
            <v>Quảng Tân - TTCMKV Đắk R'Lấp</v>
          </cell>
          <cell r="D1222">
            <v>6438</v>
          </cell>
          <cell r="E1222" t="str">
            <v>Mạng cấp 4</v>
          </cell>
        </row>
        <row r="1223">
          <cell r="B1223" t="str">
            <v>TTCMKV Đắk R'Lấp - Kiến Đức</v>
          </cell>
          <cell r="D1223">
            <v>230</v>
          </cell>
          <cell r="E1223" t="str">
            <v>Mạng cấp 4</v>
          </cell>
        </row>
        <row r="1224">
          <cell r="B1224" t="str">
            <v>Đội CC&amp;CNCH khu vực 13 - Quảng Tín</v>
          </cell>
          <cell r="D1224">
            <v>18505</v>
          </cell>
          <cell r="E1224" t="str">
            <v>Mạng cấp 4</v>
          </cell>
        </row>
        <row r="1225">
          <cell r="B1225" t="str">
            <v>Quảng Tín - Đồn CA KCN Nhân Cơ</v>
          </cell>
          <cell r="D1225">
            <v>39226</v>
          </cell>
          <cell r="E1225" t="str">
            <v>Mạng cấp 4</v>
          </cell>
        </row>
        <row r="1226">
          <cell r="B1226" t="str">
            <v>Đồn CA KCN Nhân Cơ -Nhân Cơ</v>
          </cell>
          <cell r="D1226">
            <v>1113</v>
          </cell>
          <cell r="E1226" t="str">
            <v>Mạng cấp 4</v>
          </cell>
        </row>
        <row r="1227">
          <cell r="B1227" t="str">
            <v>Nhân Cơ - TT2 LÂM ĐỒNG (GIA NGHĨA)</v>
          </cell>
          <cell r="D1227">
            <v>14252</v>
          </cell>
          <cell r="E1227" t="str">
            <v>Mạng cấp 4</v>
          </cell>
        </row>
        <row r="1228">
          <cell r="B1228" t="str">
            <v>TT2 LÂM ĐỒNG (GIA NGHĨA) - Bắc Gia Nghĩa</v>
          </cell>
          <cell r="D1228">
            <v>4291</v>
          </cell>
          <cell r="E1228" t="str">
            <v>Mạng cấp 4</v>
          </cell>
        </row>
        <row r="1229">
          <cell r="B1229" t="str">
            <v>Bắc Gia Nghĩa - Đông Gia Nghĩa</v>
          </cell>
          <cell r="D1229">
            <v>11930</v>
          </cell>
          <cell r="E1229" t="str">
            <v>Mạng cấp 4</v>
          </cell>
        </row>
        <row r="1230">
          <cell r="B1230" t="str">
            <v>Đông Gia Nghĩa - Nam Gia Nghĩa</v>
          </cell>
          <cell r="D1230">
            <v>11231</v>
          </cell>
          <cell r="E1230" t="str">
            <v>Mạng cấp 4</v>
          </cell>
        </row>
        <row r="1231">
          <cell r="B1231" t="str">
            <v>Nam Gia Nghĩa - TTCMKV Đắk R'Lắp</v>
          </cell>
          <cell r="D1231">
            <v>21969</v>
          </cell>
          <cell r="E1231" t="str">
            <v>Mạng cấp 4</v>
          </cell>
        </row>
        <row r="1232">
          <cell r="B1232" t="str">
            <v>TT2 LÂM ĐỒNG (GIA NGHĨA) - Quảng Khê</v>
          </cell>
          <cell r="D1232">
            <v>24083</v>
          </cell>
          <cell r="E1232" t="str">
            <v>Mạng cấp 4</v>
          </cell>
        </row>
        <row r="1233">
          <cell r="B1233" t="str">
            <v>Quảng Khê - Tà Đùng</v>
          </cell>
          <cell r="D1233">
            <v>33303</v>
          </cell>
          <cell r="E1233" t="str">
            <v>Mạng cấp 4</v>
          </cell>
        </row>
        <row r="1234">
          <cell r="B1234" t="str">
            <v>Tà Đùng - Quảng Sơn</v>
          </cell>
          <cell r="D1234">
            <v>14407</v>
          </cell>
          <cell r="E1234" t="str">
            <v>Mạng cấp 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07"/>
  <sheetViews>
    <sheetView tabSelected="1" topLeftCell="H1448" zoomScale="70" zoomScaleNormal="70" workbookViewId="0">
      <selection activeCell="T1491" sqref="T1491"/>
    </sheetView>
  </sheetViews>
  <sheetFormatPr defaultRowHeight="13.8" x14ac:dyDescent="0.25"/>
  <cols>
    <col min="1" max="1" width="46.3984375" customWidth="1"/>
    <col min="6" max="9" width="31.09765625" customWidth="1"/>
    <col min="11" max="11" width="22.19921875" customWidth="1"/>
    <col min="12" max="12" width="56" customWidth="1"/>
    <col min="13" max="13" width="28" hidden="1" customWidth="1"/>
    <col min="14" max="14" width="13.8984375" hidden="1" customWidth="1"/>
    <col min="15" max="15" width="14.19921875" hidden="1" customWidth="1"/>
    <col min="16" max="16" width="14.8984375" hidden="1" customWidth="1"/>
    <col min="17" max="17" width="13.8984375" hidden="1" customWidth="1"/>
    <col min="18" max="18" width="14.19921875" hidden="1" customWidth="1"/>
    <col min="19" max="19" width="14.8984375" hidden="1" customWidth="1"/>
    <col min="20" max="20" width="80.796875" customWidth="1"/>
    <col min="21" max="21" width="28" bestFit="1" customWidth="1"/>
    <col min="22" max="22" width="20.09765625" customWidth="1"/>
    <col min="23" max="23" width="11.3984375" customWidth="1"/>
    <col min="24" max="24" width="14.296875" customWidth="1"/>
    <col min="27" max="27" width="15.69921875" customWidth="1"/>
    <col min="28" max="29" width="13.69921875" customWidth="1"/>
    <col min="30" max="30" width="21.59765625" customWidth="1"/>
    <col min="31" max="31" width="65.3984375" bestFit="1" customWidth="1"/>
    <col min="35" max="35" width="16.19921875" customWidth="1"/>
    <col min="36" max="36" width="25.09765625" customWidth="1"/>
  </cols>
  <sheetData>
    <row r="1" spans="1:36" s="4" customFormat="1" ht="55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15585</v>
      </c>
      <c r="H1" s="3" t="s">
        <v>15586</v>
      </c>
      <c r="I1" s="3" t="s">
        <v>15587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3" t="s">
        <v>9</v>
      </c>
      <c r="V1" s="3" t="s">
        <v>10</v>
      </c>
      <c r="W1" s="3" t="s">
        <v>11</v>
      </c>
      <c r="X1" s="3" t="s">
        <v>12</v>
      </c>
      <c r="Y1" s="3" t="s">
        <v>13</v>
      </c>
      <c r="Z1" s="3" t="s">
        <v>14</v>
      </c>
      <c r="AA1" s="3" t="s">
        <v>15</v>
      </c>
      <c r="AB1" s="3" t="s">
        <v>15591</v>
      </c>
      <c r="AC1" s="3" t="s">
        <v>15592</v>
      </c>
      <c r="AD1" s="2" t="s">
        <v>15588</v>
      </c>
      <c r="AE1" s="2" t="s">
        <v>15589</v>
      </c>
      <c r="AF1" s="2" t="s">
        <v>15590</v>
      </c>
      <c r="AI1" s="4" t="s">
        <v>15593</v>
      </c>
      <c r="AJ1" s="4" t="s">
        <v>15594</v>
      </c>
    </row>
    <row r="2" spans="1:36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14129</v>
      </c>
      <c r="H2" s="1" t="s">
        <v>14130</v>
      </c>
      <c r="I2" s="1" t="s">
        <v>14131</v>
      </c>
      <c r="J2" s="1" t="s">
        <v>23</v>
      </c>
      <c r="K2" s="1"/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>
        <v>344.49</v>
      </c>
      <c r="V2">
        <v>160.66999999999999</v>
      </c>
      <c r="W2">
        <v>12.249511999999999</v>
      </c>
      <c r="X2">
        <v>109.185703</v>
      </c>
      <c r="Y2">
        <v>183.82</v>
      </c>
      <c r="Z2">
        <v>12.249510000000001</v>
      </c>
      <c r="AA2">
        <v>109.18827899999999</v>
      </c>
      <c r="AB2" s="5">
        <f>V2*1.5/1000</f>
        <v>0.241005</v>
      </c>
      <c r="AC2" s="5">
        <f>Y2*1.5/1000</f>
        <v>0.27573000000000003</v>
      </c>
      <c r="AD2" s="1" t="str">
        <f>TRIM(LEFT(L2,FIND("-",L2)-1))</f>
        <v>5.PA06 cs1</v>
      </c>
      <c r="AE2" s="1" t="str">
        <f t="shared" ref="AE2" si="0">TRIM(RIGHT(L2, LEN(L2) - FIND("-", L2)))</f>
        <v>PC08 csc_Cột trung thế</v>
      </c>
      <c r="AG2">
        <f>V2/1000</f>
        <v>0.16066999999999998</v>
      </c>
      <c r="AH2">
        <f>Y2/1000</f>
        <v>0.18381999999999998</v>
      </c>
      <c r="AI2" t="e">
        <f>VLOOKUP(L2,'[1]Tuyến cáp H04'!$B:$E,3,0)/1000</f>
        <v>#N/A</v>
      </c>
      <c r="AJ2" t="e">
        <f>VLOOKUP(L2,'[1]Tuyến cáp H04'!$B:$E,4,0)</f>
        <v>#N/A</v>
      </c>
    </row>
    <row r="3" spans="1:36" x14ac:dyDescent="0.2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14129</v>
      </c>
      <c r="H3" s="1" t="s">
        <v>14130</v>
      </c>
      <c r="I3" s="1" t="s">
        <v>14132</v>
      </c>
      <c r="J3" s="1" t="s">
        <v>23</v>
      </c>
      <c r="K3" s="1"/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>
        <v>633.88</v>
      </c>
      <c r="V3">
        <v>206.48</v>
      </c>
      <c r="W3">
        <v>12.278732</v>
      </c>
      <c r="X3">
        <v>109.188858</v>
      </c>
      <c r="Y3">
        <v>427.4</v>
      </c>
      <c r="Z3">
        <v>12.27483</v>
      </c>
      <c r="AA3">
        <v>109.198125</v>
      </c>
      <c r="AB3" s="5">
        <f t="shared" ref="AB3:AB66" si="1">V3*1.5/1000</f>
        <v>0.30972</v>
      </c>
      <c r="AC3" s="5">
        <f t="shared" ref="AC3:AC66" si="2">Y3*1.5/1000</f>
        <v>0.64109999999999989</v>
      </c>
      <c r="AD3" s="1" t="str">
        <f t="shared" ref="AD3:AD66" si="3">TRIM(LEFT(L3,FIND("-",L3)-1))</f>
        <v>1.CAT Khánh Hòa</v>
      </c>
      <c r="AE3" s="1" t="str">
        <f t="shared" ref="AE3:AE66" si="4">TRIM(RIGHT(L3, LEN(L3) - FIND("-", L3)))</f>
        <v>PK02 cs1</v>
      </c>
      <c r="AG3">
        <f t="shared" ref="AG3:AG66" si="5">V3/1000</f>
        <v>0.20648</v>
      </c>
      <c r="AH3">
        <f t="shared" ref="AH3:AH66" si="6">Y3/1000</f>
        <v>0.4274</v>
      </c>
      <c r="AI3" t="e">
        <f>VLOOKUP(L3,'[1]Tuyến cáp H04'!$B:$E,3,0)/1000</f>
        <v>#N/A</v>
      </c>
      <c r="AJ3" t="e">
        <f>VLOOKUP(L3,'[1]Tuyến cáp H04'!$B:$E,4,0)</f>
        <v>#N/A</v>
      </c>
    </row>
    <row r="4" spans="1:36" x14ac:dyDescent="0.25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14129</v>
      </c>
      <c r="H4" s="1" t="s">
        <v>14133</v>
      </c>
      <c r="I4" s="1" t="s">
        <v>14134</v>
      </c>
      <c r="J4" s="1" t="s">
        <v>23</v>
      </c>
      <c r="K4" s="1"/>
      <c r="L4" s="1" t="s">
        <v>54</v>
      </c>
      <c r="M4" s="1" t="s">
        <v>55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60</v>
      </c>
      <c r="S4" s="1" t="s">
        <v>61</v>
      </c>
      <c r="T4" s="1" t="s">
        <v>62</v>
      </c>
      <c r="U4">
        <v>2420.9299999999998</v>
      </c>
      <c r="V4">
        <v>2236.48</v>
      </c>
      <c r="W4">
        <v>12.243274</v>
      </c>
      <c r="X4">
        <v>109.093239</v>
      </c>
      <c r="Y4">
        <v>184.45</v>
      </c>
      <c r="Z4">
        <v>12.222536</v>
      </c>
      <c r="AA4">
        <v>109.084489</v>
      </c>
      <c r="AB4" s="5">
        <f t="shared" si="1"/>
        <v>3.3547200000000004</v>
      </c>
      <c r="AC4" s="5">
        <f t="shared" si="2"/>
        <v>0.27667499999999995</v>
      </c>
      <c r="AD4" s="1" t="str">
        <f t="shared" si="3"/>
        <v>1.CA Diên Khánh</v>
      </c>
      <c r="AE4" s="1" t="str">
        <f t="shared" si="4"/>
        <v>CA Suối Hiệp</v>
      </c>
      <c r="AG4">
        <f t="shared" si="5"/>
        <v>2.2364799999999998</v>
      </c>
      <c r="AH4">
        <f t="shared" si="6"/>
        <v>0.18444999999999998</v>
      </c>
      <c r="AI4" t="e">
        <f>VLOOKUP(L4,'[1]Tuyến cáp H04'!$B:$E,3,0)/1000</f>
        <v>#N/A</v>
      </c>
      <c r="AJ4" t="e">
        <f>VLOOKUP(L4,'[1]Tuyến cáp H04'!$B:$E,4,0)</f>
        <v>#N/A</v>
      </c>
    </row>
    <row r="5" spans="1:36" x14ac:dyDescent="0.25">
      <c r="A5" s="1" t="s">
        <v>63</v>
      </c>
      <c r="B5" s="1" t="s">
        <v>51</v>
      </c>
      <c r="C5" s="1" t="s">
        <v>52</v>
      </c>
      <c r="D5" s="1" t="s">
        <v>64</v>
      </c>
      <c r="E5" s="1" t="s">
        <v>65</v>
      </c>
      <c r="F5" s="1" t="s">
        <v>66</v>
      </c>
      <c r="G5" s="1" t="s">
        <v>14129</v>
      </c>
      <c r="H5" s="1" t="s">
        <v>14133</v>
      </c>
      <c r="I5" s="1" t="s">
        <v>14135</v>
      </c>
      <c r="J5" s="1" t="s">
        <v>23</v>
      </c>
      <c r="K5" s="1"/>
      <c r="L5" s="1" t="s">
        <v>67</v>
      </c>
      <c r="M5" s="1" t="s">
        <v>68</v>
      </c>
      <c r="N5" s="1" t="s">
        <v>69</v>
      </c>
      <c r="O5" s="1" t="s">
        <v>70</v>
      </c>
      <c r="P5" s="1" t="s">
        <v>71</v>
      </c>
      <c r="Q5" s="1" t="s">
        <v>72</v>
      </c>
      <c r="R5" s="1" t="s">
        <v>73</v>
      </c>
      <c r="S5" s="1" t="s">
        <v>74</v>
      </c>
      <c r="T5" s="1" t="s">
        <v>75</v>
      </c>
      <c r="U5">
        <v>4356.92</v>
      </c>
      <c r="V5">
        <v>153.9</v>
      </c>
      <c r="W5">
        <v>12.220518999999999</v>
      </c>
      <c r="X5">
        <v>109.08248</v>
      </c>
      <c r="Y5">
        <v>4203.0200000000004</v>
      </c>
      <c r="Z5">
        <v>12.191492</v>
      </c>
      <c r="AA5">
        <v>109.066221</v>
      </c>
      <c r="AB5" s="5">
        <f t="shared" si="1"/>
        <v>0.23085000000000003</v>
      </c>
      <c r="AC5" s="5">
        <f t="shared" si="2"/>
        <v>6.3045300000000006</v>
      </c>
      <c r="AD5" s="1" t="str">
        <f t="shared" si="3"/>
        <v>2.CA Suối Hiệp</v>
      </c>
      <c r="AE5" s="1" t="str">
        <f t="shared" si="4"/>
        <v>CA Suối Dầu</v>
      </c>
      <c r="AG5">
        <f t="shared" si="5"/>
        <v>0.15390000000000001</v>
      </c>
      <c r="AH5">
        <f t="shared" si="6"/>
        <v>4.2030200000000004</v>
      </c>
      <c r="AI5" t="e">
        <f>VLOOKUP(L5,'[1]Tuyến cáp H04'!$B:$E,3,0)/1000</f>
        <v>#N/A</v>
      </c>
      <c r="AJ5" t="e">
        <f>VLOOKUP(L5,'[1]Tuyến cáp H04'!$B:$E,4,0)</f>
        <v>#N/A</v>
      </c>
    </row>
    <row r="6" spans="1:36" x14ac:dyDescent="0.25">
      <c r="A6" s="1" t="s">
        <v>76</v>
      </c>
      <c r="B6" s="1" t="s">
        <v>77</v>
      </c>
      <c r="C6" s="1" t="s">
        <v>78</v>
      </c>
      <c r="D6" s="1" t="s">
        <v>79</v>
      </c>
      <c r="E6" s="1" t="s">
        <v>80</v>
      </c>
      <c r="F6" s="1" t="s">
        <v>81</v>
      </c>
      <c r="G6" s="1" t="s">
        <v>14129</v>
      </c>
      <c r="H6" s="1" t="s">
        <v>14133</v>
      </c>
      <c r="I6" s="1" t="s">
        <v>14136</v>
      </c>
      <c r="J6" s="1" t="s">
        <v>23</v>
      </c>
      <c r="K6" s="1"/>
      <c r="L6" s="1" t="s">
        <v>82</v>
      </c>
      <c r="M6" s="1" t="s">
        <v>83</v>
      </c>
      <c r="N6" s="1" t="s">
        <v>84</v>
      </c>
      <c r="O6" s="1" t="s">
        <v>85</v>
      </c>
      <c r="P6" s="1" t="s">
        <v>86</v>
      </c>
      <c r="Q6" s="1" t="s">
        <v>87</v>
      </c>
      <c r="R6" s="1" t="s">
        <v>88</v>
      </c>
      <c r="S6" s="1" t="s">
        <v>89</v>
      </c>
      <c r="T6" s="1" t="s">
        <v>90</v>
      </c>
      <c r="U6">
        <v>51.3</v>
      </c>
      <c r="V6">
        <v>9.18</v>
      </c>
      <c r="W6">
        <v>12.175753</v>
      </c>
      <c r="X6">
        <v>109.173635</v>
      </c>
      <c r="Y6">
        <v>42.11</v>
      </c>
      <c r="Z6">
        <v>12.210642999999999</v>
      </c>
      <c r="AA6">
        <v>109.188391</v>
      </c>
      <c r="AB6" s="5">
        <f t="shared" si="1"/>
        <v>1.3769999999999999E-2</v>
      </c>
      <c r="AC6" s="5">
        <f t="shared" si="2"/>
        <v>6.3164999999999999E-2</v>
      </c>
      <c r="AD6" s="1" t="str">
        <f t="shared" si="3"/>
        <v>3.PA06 cs2</v>
      </c>
      <c r="AE6" s="1" t="str">
        <f t="shared" si="4"/>
        <v>PC11a</v>
      </c>
      <c r="AG6">
        <f t="shared" si="5"/>
        <v>9.1799999999999989E-3</v>
      </c>
      <c r="AH6">
        <f t="shared" si="6"/>
        <v>4.2110000000000002E-2</v>
      </c>
      <c r="AI6" t="e">
        <f>VLOOKUP(L6,'[1]Tuyến cáp H04'!$B:$E,3,0)/1000</f>
        <v>#N/A</v>
      </c>
      <c r="AJ6" t="e">
        <f>VLOOKUP(L6,'[1]Tuyến cáp H04'!$B:$E,4,0)</f>
        <v>#N/A</v>
      </c>
    </row>
    <row r="7" spans="1:36" x14ac:dyDescent="0.25">
      <c r="A7" s="1" t="s">
        <v>91</v>
      </c>
      <c r="B7" s="1" t="s">
        <v>92</v>
      </c>
      <c r="C7" s="1" t="s">
        <v>93</v>
      </c>
      <c r="D7" s="1" t="s">
        <v>94</v>
      </c>
      <c r="E7" s="1" t="s">
        <v>95</v>
      </c>
      <c r="F7" s="1" t="s">
        <v>96</v>
      </c>
      <c r="G7" s="1" t="s">
        <v>14129</v>
      </c>
      <c r="H7" s="1" t="s">
        <v>14133</v>
      </c>
      <c r="I7" s="1" t="s">
        <v>14137</v>
      </c>
      <c r="J7" s="1" t="s">
        <v>23</v>
      </c>
      <c r="K7" s="1"/>
      <c r="L7" s="1" t="s">
        <v>97</v>
      </c>
      <c r="M7" s="1" t="s">
        <v>98</v>
      </c>
      <c r="N7" s="1" t="s">
        <v>99</v>
      </c>
      <c r="O7" s="1" t="s">
        <v>100</v>
      </c>
      <c r="P7" s="1" t="s">
        <v>101</v>
      </c>
      <c r="Q7" s="1" t="s">
        <v>102</v>
      </c>
      <c r="R7" s="1" t="s">
        <v>103</v>
      </c>
      <c r="S7" s="1" t="s">
        <v>104</v>
      </c>
      <c r="T7" s="1" t="s">
        <v>105</v>
      </c>
      <c r="U7">
        <v>297.18</v>
      </c>
      <c r="V7">
        <v>227.08</v>
      </c>
      <c r="W7">
        <v>12.247764</v>
      </c>
      <c r="X7">
        <v>109.191017</v>
      </c>
      <c r="Y7">
        <v>70.099999999999994</v>
      </c>
      <c r="Z7">
        <v>12.252644</v>
      </c>
      <c r="AA7">
        <v>109.193242</v>
      </c>
      <c r="AB7" s="5">
        <f t="shared" si="1"/>
        <v>0.34061999999999998</v>
      </c>
      <c r="AC7" s="5">
        <f t="shared" si="2"/>
        <v>0.10514999999999999</v>
      </c>
      <c r="AD7" s="1" t="str">
        <f t="shared" si="3"/>
        <v>4.PA08</v>
      </c>
      <c r="AE7" s="1" t="str">
        <f t="shared" si="4"/>
        <v>PA06 cs1</v>
      </c>
      <c r="AG7">
        <f t="shared" si="5"/>
        <v>0.22708</v>
      </c>
      <c r="AH7">
        <f t="shared" si="6"/>
        <v>7.0099999999999996E-2</v>
      </c>
      <c r="AI7" t="e">
        <f>VLOOKUP(L7,'[1]Tuyến cáp H04'!$B:$E,3,0)/1000</f>
        <v>#N/A</v>
      </c>
      <c r="AJ7" t="e">
        <f>VLOOKUP(L7,'[1]Tuyến cáp H04'!$B:$E,4,0)</f>
        <v>#N/A</v>
      </c>
    </row>
    <row r="8" spans="1:36" x14ac:dyDescent="0.25">
      <c r="A8" s="1" t="s">
        <v>106</v>
      </c>
      <c r="B8" s="1" t="s">
        <v>77</v>
      </c>
      <c r="C8" s="1" t="s">
        <v>78</v>
      </c>
      <c r="D8" s="1" t="s">
        <v>107</v>
      </c>
      <c r="E8" s="1" t="s">
        <v>108</v>
      </c>
      <c r="F8" s="1" t="s">
        <v>109</v>
      </c>
      <c r="G8" s="1" t="s">
        <v>14129</v>
      </c>
      <c r="H8" s="1" t="s">
        <v>14133</v>
      </c>
      <c r="I8" s="1" t="s">
        <v>14138</v>
      </c>
      <c r="J8" s="1" t="s">
        <v>23</v>
      </c>
      <c r="K8" s="1"/>
      <c r="L8" s="1" t="s">
        <v>110</v>
      </c>
      <c r="M8" s="1" t="s">
        <v>111</v>
      </c>
      <c r="N8" s="1" t="s">
        <v>112</v>
      </c>
      <c r="O8" s="1" t="s">
        <v>113</v>
      </c>
      <c r="P8" s="1" t="s">
        <v>114</v>
      </c>
      <c r="Q8" s="1" t="s">
        <v>115</v>
      </c>
      <c r="R8" s="1" t="s">
        <v>116</v>
      </c>
      <c r="S8" s="1" t="s">
        <v>117</v>
      </c>
      <c r="T8" s="1" t="s">
        <v>118</v>
      </c>
      <c r="U8">
        <v>792.9</v>
      </c>
      <c r="V8">
        <v>3.34</v>
      </c>
      <c r="W8">
        <v>12.175723</v>
      </c>
      <c r="X8">
        <v>109.17368</v>
      </c>
      <c r="Y8">
        <v>789.55</v>
      </c>
      <c r="Z8">
        <v>12.204105</v>
      </c>
      <c r="AA8">
        <v>109.188574</v>
      </c>
      <c r="AB8" s="5">
        <f t="shared" si="1"/>
        <v>5.0099999999999997E-3</v>
      </c>
      <c r="AC8" s="5">
        <f t="shared" si="2"/>
        <v>1.1843249999999999</v>
      </c>
      <c r="AD8" s="1" t="str">
        <f t="shared" si="3"/>
        <v>4.PC11a</v>
      </c>
      <c r="AE8" s="1" t="str">
        <f t="shared" si="4"/>
        <v>PC02_Đoạn cột trung thế</v>
      </c>
      <c r="AG8">
        <f t="shared" si="5"/>
        <v>3.3399999999999997E-3</v>
      </c>
      <c r="AH8">
        <f t="shared" si="6"/>
        <v>0.78954999999999997</v>
      </c>
      <c r="AI8" t="e">
        <f>VLOOKUP(L8,'[1]Tuyến cáp H04'!$B:$E,3,0)/1000</f>
        <v>#N/A</v>
      </c>
      <c r="AJ8" t="e">
        <f>VLOOKUP(L8,'[1]Tuyến cáp H04'!$B:$E,4,0)</f>
        <v>#N/A</v>
      </c>
    </row>
    <row r="9" spans="1:36" x14ac:dyDescent="0.25">
      <c r="A9" s="1" t="s">
        <v>119</v>
      </c>
      <c r="B9" s="1" t="s">
        <v>77</v>
      </c>
      <c r="C9" s="1" t="s">
        <v>78</v>
      </c>
      <c r="D9" s="1" t="s">
        <v>120</v>
      </c>
      <c r="E9" s="1" t="s">
        <v>121</v>
      </c>
      <c r="F9" s="1" t="s">
        <v>122</v>
      </c>
      <c r="G9" s="1" t="s">
        <v>14129</v>
      </c>
      <c r="H9" s="1" t="s">
        <v>14133</v>
      </c>
      <c r="I9" s="1" t="s">
        <v>14139</v>
      </c>
      <c r="J9" s="1" t="s">
        <v>23</v>
      </c>
      <c r="K9" s="1"/>
      <c r="L9" s="1" t="s">
        <v>82</v>
      </c>
      <c r="M9" s="1" t="s">
        <v>123</v>
      </c>
      <c r="N9" s="1" t="s">
        <v>84</v>
      </c>
      <c r="O9" s="1" t="s">
        <v>85</v>
      </c>
      <c r="P9" s="1" t="s">
        <v>86</v>
      </c>
      <c r="Q9" s="1" t="s">
        <v>124</v>
      </c>
      <c r="R9" s="1" t="s">
        <v>125</v>
      </c>
      <c r="S9" s="1" t="s">
        <v>126</v>
      </c>
      <c r="T9" s="1" t="s">
        <v>90</v>
      </c>
      <c r="U9">
        <v>60.34</v>
      </c>
      <c r="V9">
        <v>9.18</v>
      </c>
      <c r="W9">
        <v>12.175753</v>
      </c>
      <c r="X9">
        <v>109.173635</v>
      </c>
      <c r="Y9">
        <v>51.16</v>
      </c>
      <c r="Z9">
        <v>12.225636</v>
      </c>
      <c r="AA9">
        <v>109.183539</v>
      </c>
      <c r="AB9" s="5">
        <f t="shared" si="1"/>
        <v>1.3769999999999999E-2</v>
      </c>
      <c r="AC9" s="5">
        <f t="shared" si="2"/>
        <v>7.6739999999999989E-2</v>
      </c>
      <c r="AD9" s="1" t="str">
        <f t="shared" si="3"/>
        <v>3.PA06 cs2</v>
      </c>
      <c r="AE9" s="1" t="str">
        <f t="shared" si="4"/>
        <v>PC11a</v>
      </c>
      <c r="AG9">
        <f t="shared" si="5"/>
        <v>9.1799999999999989E-3</v>
      </c>
      <c r="AH9">
        <f t="shared" si="6"/>
        <v>5.1159999999999997E-2</v>
      </c>
      <c r="AI9" t="e">
        <f>VLOOKUP(L9,'[1]Tuyến cáp H04'!$B:$E,3,0)/1000</f>
        <v>#N/A</v>
      </c>
      <c r="AJ9" t="e">
        <f>VLOOKUP(L9,'[1]Tuyến cáp H04'!$B:$E,4,0)</f>
        <v>#N/A</v>
      </c>
    </row>
    <row r="10" spans="1:36" x14ac:dyDescent="0.25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14129</v>
      </c>
      <c r="H10" s="1" t="s">
        <v>14133</v>
      </c>
      <c r="I10" s="1" t="s">
        <v>14140</v>
      </c>
      <c r="J10" s="1" t="s">
        <v>23</v>
      </c>
      <c r="K10" s="1"/>
      <c r="L10" s="1" t="s">
        <v>133</v>
      </c>
      <c r="M10" s="1" t="s">
        <v>134</v>
      </c>
      <c r="N10" s="1" t="s">
        <v>135</v>
      </c>
      <c r="O10" s="1" t="s">
        <v>136</v>
      </c>
      <c r="P10" s="1" t="s">
        <v>137</v>
      </c>
      <c r="Q10" s="1" t="s">
        <v>138</v>
      </c>
      <c r="R10" s="1" t="s">
        <v>139</v>
      </c>
      <c r="S10" s="1" t="s">
        <v>140</v>
      </c>
      <c r="T10" s="1" t="s">
        <v>141</v>
      </c>
      <c r="U10">
        <v>169460.33</v>
      </c>
      <c r="V10">
        <v>131244.19</v>
      </c>
      <c r="W10">
        <v>15.875012999999999</v>
      </c>
      <c r="X10">
        <v>107.880808</v>
      </c>
      <c r="Y10">
        <v>38216.129999999997</v>
      </c>
      <c r="Z10">
        <v>15.822844</v>
      </c>
      <c r="AA10">
        <v>108.24684600000001</v>
      </c>
      <c r="AB10" s="5">
        <f t="shared" si="1"/>
        <v>196.866285</v>
      </c>
      <c r="AC10" s="5">
        <f t="shared" si="2"/>
        <v>57.324194999999989</v>
      </c>
      <c r="AD10" s="1" t="str">
        <f t="shared" si="3"/>
        <v>Trại giam An Điềm (C10)</v>
      </c>
      <c r="AE10" s="1" t="str">
        <f t="shared" si="4"/>
        <v>Duy Xuyên</v>
      </c>
      <c r="AG10">
        <f t="shared" si="5"/>
        <v>131.24419</v>
      </c>
      <c r="AH10">
        <f t="shared" si="6"/>
        <v>38.21613</v>
      </c>
      <c r="AI10">
        <f>VLOOKUP(L10,'[1]Tuyến cáp H04'!$B:$E,3,0)/1000</f>
        <v>48.999000000000002</v>
      </c>
      <c r="AJ10" t="str">
        <f>VLOOKUP(L10,'[1]Tuyến cáp H04'!$B:$E,4,0)</f>
        <v>Mạng cấp 3</v>
      </c>
    </row>
    <row r="11" spans="1:36" x14ac:dyDescent="0.25">
      <c r="A11" s="1" t="s">
        <v>142</v>
      </c>
      <c r="B11" s="1" t="s">
        <v>130</v>
      </c>
      <c r="C11" s="1" t="s">
        <v>131</v>
      </c>
      <c r="D11" s="1" t="s">
        <v>18</v>
      </c>
      <c r="E11" s="1" t="s">
        <v>19</v>
      </c>
      <c r="F11" s="1" t="s">
        <v>143</v>
      </c>
      <c r="G11" s="1" t="s">
        <v>14129</v>
      </c>
      <c r="H11" s="1" t="s">
        <v>14133</v>
      </c>
      <c r="I11" s="1" t="s">
        <v>14141</v>
      </c>
      <c r="J11" s="1" t="s">
        <v>23</v>
      </c>
      <c r="K11" s="1"/>
      <c r="L11" s="1" t="s">
        <v>144</v>
      </c>
      <c r="M11" s="1" t="s">
        <v>145</v>
      </c>
      <c r="N11" s="1" t="s">
        <v>146</v>
      </c>
      <c r="O11" s="1" t="s">
        <v>147</v>
      </c>
      <c r="P11" s="1" t="s">
        <v>148</v>
      </c>
      <c r="Q11" s="1" t="s">
        <v>149</v>
      </c>
      <c r="R11" s="1" t="s">
        <v>150</v>
      </c>
      <c r="S11" s="1" t="s">
        <v>151</v>
      </c>
      <c r="T11" s="1" t="s">
        <v>152</v>
      </c>
      <c r="U11">
        <v>335568.19</v>
      </c>
      <c r="V11">
        <v>143782.79999999999</v>
      </c>
      <c r="W11">
        <v>14.360149</v>
      </c>
      <c r="X11">
        <v>108.97062</v>
      </c>
      <c r="Y11">
        <v>191785.39</v>
      </c>
      <c r="Z11">
        <v>13.966175</v>
      </c>
      <c r="AA11">
        <v>109.030287</v>
      </c>
      <c r="AB11" s="5">
        <f t="shared" si="1"/>
        <v>215.67419999999998</v>
      </c>
      <c r="AC11" s="5">
        <f t="shared" si="2"/>
        <v>287.67808500000001</v>
      </c>
      <c r="AD11" s="1" t="str">
        <f t="shared" si="3"/>
        <v>Hoài Ân</v>
      </c>
      <c r="AE11" s="1" t="str">
        <f t="shared" si="4"/>
        <v>Vĩnh Kim</v>
      </c>
      <c r="AG11">
        <f t="shared" si="5"/>
        <v>143.78279999999998</v>
      </c>
      <c r="AH11">
        <f t="shared" si="6"/>
        <v>191.78539000000001</v>
      </c>
      <c r="AI11" t="e">
        <f>VLOOKUP(L11,'[1]Tuyến cáp H04'!$B:$E,3,0)/1000</f>
        <v>#N/A</v>
      </c>
      <c r="AJ11" t="e">
        <f>VLOOKUP(L11,'[1]Tuyến cáp H04'!$B:$E,4,0)</f>
        <v>#N/A</v>
      </c>
    </row>
    <row r="12" spans="1:36" x14ac:dyDescent="0.25">
      <c r="A12" s="1" t="s">
        <v>153</v>
      </c>
      <c r="B12" s="1" t="s">
        <v>18</v>
      </c>
      <c r="C12" s="1" t="s">
        <v>19</v>
      </c>
      <c r="D12" s="1" t="s">
        <v>94</v>
      </c>
      <c r="E12" s="1" t="s">
        <v>95</v>
      </c>
      <c r="F12" s="1" t="s">
        <v>154</v>
      </c>
      <c r="G12" s="1" t="s">
        <v>14129</v>
      </c>
      <c r="H12" s="1" t="s">
        <v>14133</v>
      </c>
      <c r="I12" s="1" t="s">
        <v>14142</v>
      </c>
      <c r="J12" s="1" t="s">
        <v>23</v>
      </c>
      <c r="K12" s="1"/>
      <c r="L12" s="1" t="s">
        <v>24</v>
      </c>
      <c r="M12" s="1" t="s">
        <v>155</v>
      </c>
      <c r="N12" s="1" t="s">
        <v>26</v>
      </c>
      <c r="O12" s="1" t="s">
        <v>27</v>
      </c>
      <c r="P12" s="1" t="s">
        <v>28</v>
      </c>
      <c r="Q12" s="1" t="s">
        <v>156</v>
      </c>
      <c r="R12" s="1" t="s">
        <v>157</v>
      </c>
      <c r="S12" s="1" t="s">
        <v>158</v>
      </c>
      <c r="T12" s="1" t="s">
        <v>32</v>
      </c>
      <c r="U12">
        <v>277.70999999999998</v>
      </c>
      <c r="V12">
        <v>160.66999999999999</v>
      </c>
      <c r="W12">
        <v>12.249511999999999</v>
      </c>
      <c r="X12">
        <v>109.185703</v>
      </c>
      <c r="Y12">
        <v>117.04</v>
      </c>
      <c r="Z12">
        <v>12.253</v>
      </c>
      <c r="AA12">
        <v>109.193</v>
      </c>
      <c r="AB12" s="5">
        <f t="shared" si="1"/>
        <v>0.241005</v>
      </c>
      <c r="AC12" s="5">
        <f t="shared" si="2"/>
        <v>0.17555999999999999</v>
      </c>
      <c r="AD12" s="1" t="str">
        <f t="shared" si="3"/>
        <v>5.PA06 cs1</v>
      </c>
      <c r="AE12" s="1" t="str">
        <f t="shared" si="4"/>
        <v>PC08 csc_Cột trung thế</v>
      </c>
      <c r="AG12">
        <f t="shared" si="5"/>
        <v>0.16066999999999998</v>
      </c>
      <c r="AH12">
        <f t="shared" si="6"/>
        <v>0.11704000000000001</v>
      </c>
      <c r="AI12" t="e">
        <f>VLOOKUP(L12,'[1]Tuyến cáp H04'!$B:$E,3,0)/1000</f>
        <v>#N/A</v>
      </c>
      <c r="AJ12" t="e">
        <f>VLOOKUP(L12,'[1]Tuyến cáp H04'!$B:$E,4,0)</f>
        <v>#N/A</v>
      </c>
    </row>
    <row r="13" spans="1:36" x14ac:dyDescent="0.25">
      <c r="A13" s="1" t="s">
        <v>159</v>
      </c>
      <c r="B13" s="1" t="s">
        <v>160</v>
      </c>
      <c r="C13" s="1" t="s">
        <v>161</v>
      </c>
      <c r="D13" s="1" t="s">
        <v>34</v>
      </c>
      <c r="E13" s="1" t="s">
        <v>35</v>
      </c>
      <c r="F13" s="1" t="s">
        <v>162</v>
      </c>
      <c r="G13" s="1" t="s">
        <v>14129</v>
      </c>
      <c r="H13" s="1" t="s">
        <v>14133</v>
      </c>
      <c r="I13" s="1" t="s">
        <v>14143</v>
      </c>
      <c r="J13" s="1" t="s">
        <v>23</v>
      </c>
      <c r="K13" s="1"/>
      <c r="L13" s="1" t="s">
        <v>163</v>
      </c>
      <c r="M13" s="1" t="s">
        <v>164</v>
      </c>
      <c r="N13" s="1" t="s">
        <v>165</v>
      </c>
      <c r="O13" s="1" t="s">
        <v>166</v>
      </c>
      <c r="P13" s="1" t="s">
        <v>167</v>
      </c>
      <c r="Q13" s="1" t="s">
        <v>168</v>
      </c>
      <c r="R13" s="1" t="s">
        <v>169</v>
      </c>
      <c r="S13" s="1" t="s">
        <v>170</v>
      </c>
      <c r="T13" s="1" t="s">
        <v>171</v>
      </c>
      <c r="U13">
        <v>3.53</v>
      </c>
      <c r="V13">
        <v>1.27</v>
      </c>
      <c r="W13">
        <v>12.278760999999999</v>
      </c>
      <c r="X13">
        <v>109.188896</v>
      </c>
      <c r="Y13">
        <v>2.2599999999999998</v>
      </c>
      <c r="Z13">
        <v>12.276948000000001</v>
      </c>
      <c r="AA13">
        <v>109.18840899999999</v>
      </c>
      <c r="AB13" s="5">
        <f t="shared" si="1"/>
        <v>1.905E-3</v>
      </c>
      <c r="AC13" s="5">
        <f t="shared" si="2"/>
        <v>3.3899999999999998E-3</v>
      </c>
      <c r="AD13" s="1" t="str">
        <f t="shared" si="3"/>
        <v>Tuyến nhánh PK02 cs1</v>
      </c>
      <c r="AE13" s="1" t="str">
        <f t="shared" si="4"/>
        <v>NTG Nha Trang cũ_Cột hạ thế</v>
      </c>
      <c r="AG13">
        <f t="shared" si="5"/>
        <v>1.2700000000000001E-3</v>
      </c>
      <c r="AH13">
        <f t="shared" si="6"/>
        <v>2.2599999999999999E-3</v>
      </c>
      <c r="AI13" t="e">
        <f>VLOOKUP(L13,'[1]Tuyến cáp H04'!$B:$E,3,0)/1000</f>
        <v>#N/A</v>
      </c>
      <c r="AJ13" t="e">
        <f>VLOOKUP(L13,'[1]Tuyến cáp H04'!$B:$E,4,0)</f>
        <v>#N/A</v>
      </c>
    </row>
    <row r="14" spans="1:36" x14ac:dyDescent="0.25">
      <c r="A14" s="1" t="s">
        <v>172</v>
      </c>
      <c r="B14" s="1" t="s">
        <v>34</v>
      </c>
      <c r="C14" s="1" t="s">
        <v>35</v>
      </c>
      <c r="D14" s="1" t="s">
        <v>173</v>
      </c>
      <c r="E14" s="1" t="s">
        <v>174</v>
      </c>
      <c r="F14" s="1" t="s">
        <v>175</v>
      </c>
      <c r="G14" s="1" t="s">
        <v>14129</v>
      </c>
      <c r="H14" s="1" t="s">
        <v>14133</v>
      </c>
      <c r="I14" s="1" t="s">
        <v>14144</v>
      </c>
      <c r="J14" s="1" t="s">
        <v>23</v>
      </c>
      <c r="K14" s="1"/>
      <c r="L14" s="1" t="s">
        <v>39</v>
      </c>
      <c r="M14" s="1" t="s">
        <v>176</v>
      </c>
      <c r="N14" s="1" t="s">
        <v>41</v>
      </c>
      <c r="O14" s="1" t="s">
        <v>42</v>
      </c>
      <c r="P14" s="1" t="s">
        <v>43</v>
      </c>
      <c r="Q14" s="1" t="s">
        <v>177</v>
      </c>
      <c r="R14" s="1" t="s">
        <v>178</v>
      </c>
      <c r="S14" s="1" t="s">
        <v>179</v>
      </c>
      <c r="T14" s="1" t="s">
        <v>47</v>
      </c>
      <c r="U14">
        <v>292.88</v>
      </c>
      <c r="V14">
        <v>206.48</v>
      </c>
      <c r="W14">
        <v>12.278732</v>
      </c>
      <c r="X14">
        <v>109.188858</v>
      </c>
      <c r="Y14">
        <v>86.4</v>
      </c>
      <c r="Z14">
        <v>12.265396000000001</v>
      </c>
      <c r="AA14">
        <v>109.196152</v>
      </c>
      <c r="AB14" s="5">
        <f t="shared" si="1"/>
        <v>0.30972</v>
      </c>
      <c r="AC14" s="5">
        <f t="shared" si="2"/>
        <v>0.12960000000000002</v>
      </c>
      <c r="AD14" s="1" t="str">
        <f t="shared" si="3"/>
        <v>1.CAT Khánh Hòa</v>
      </c>
      <c r="AE14" s="1" t="str">
        <f t="shared" si="4"/>
        <v>PK02 cs1</v>
      </c>
      <c r="AG14">
        <f t="shared" si="5"/>
        <v>0.20648</v>
      </c>
      <c r="AH14">
        <f t="shared" si="6"/>
        <v>8.6400000000000005E-2</v>
      </c>
      <c r="AI14" t="e">
        <f>VLOOKUP(L14,'[1]Tuyến cáp H04'!$B:$E,3,0)/1000</f>
        <v>#N/A</v>
      </c>
      <c r="AJ14" t="e">
        <f>VLOOKUP(L14,'[1]Tuyến cáp H04'!$B:$E,4,0)</f>
        <v>#N/A</v>
      </c>
    </row>
    <row r="15" spans="1:36" x14ac:dyDescent="0.25">
      <c r="A15" s="1" t="s">
        <v>180</v>
      </c>
      <c r="B15" s="1" t="s">
        <v>181</v>
      </c>
      <c r="C15" s="1" t="s">
        <v>182</v>
      </c>
      <c r="D15" s="1" t="s">
        <v>183</v>
      </c>
      <c r="E15" s="1" t="s">
        <v>184</v>
      </c>
      <c r="F15" s="1" t="s">
        <v>185</v>
      </c>
      <c r="G15" s="1" t="s">
        <v>14129</v>
      </c>
      <c r="H15" s="1" t="s">
        <v>14133</v>
      </c>
      <c r="I15" s="1" t="s">
        <v>14145</v>
      </c>
      <c r="J15" s="1" t="s">
        <v>23</v>
      </c>
      <c r="K15" s="1"/>
      <c r="L15" s="1" t="s">
        <v>186</v>
      </c>
      <c r="M15" s="1" t="s">
        <v>187</v>
      </c>
      <c r="N15" s="1" t="s">
        <v>188</v>
      </c>
      <c r="O15" s="1" t="s">
        <v>189</v>
      </c>
      <c r="P15" s="1" t="s">
        <v>190</v>
      </c>
      <c r="Q15" s="1" t="s">
        <v>191</v>
      </c>
      <c r="R15" s="1" t="s">
        <v>192</v>
      </c>
      <c r="S15" s="1" t="s">
        <v>193</v>
      </c>
      <c r="T15" s="1" t="s">
        <v>194</v>
      </c>
      <c r="U15">
        <v>2904.54</v>
      </c>
      <c r="V15">
        <v>6.07</v>
      </c>
      <c r="W15">
        <v>12.276066999999999</v>
      </c>
      <c r="X15">
        <v>109.120259</v>
      </c>
      <c r="Y15">
        <v>2898.47</v>
      </c>
      <c r="Z15">
        <v>12.288600000000001</v>
      </c>
      <c r="AA15">
        <v>109.147541</v>
      </c>
      <c r="AB15" s="5">
        <f t="shared" si="1"/>
        <v>9.1050000000000002E-3</v>
      </c>
      <c r="AC15" s="5">
        <f t="shared" si="2"/>
        <v>4.3477049999999995</v>
      </c>
      <c r="AD15" s="1" t="str">
        <f t="shared" si="3"/>
        <v>2.CA Diên Điền</v>
      </c>
      <c r="AE15" s="1" t="str">
        <f t="shared" si="4"/>
        <v>CA Bắc Nha Trang</v>
      </c>
      <c r="AG15">
        <f t="shared" si="5"/>
        <v>6.0699999999999999E-3</v>
      </c>
      <c r="AH15">
        <f t="shared" si="6"/>
        <v>2.8984699999999997</v>
      </c>
      <c r="AI15" t="e">
        <f>VLOOKUP(L15,'[1]Tuyến cáp H04'!$B:$E,3,0)/1000</f>
        <v>#N/A</v>
      </c>
      <c r="AJ15" t="e">
        <f>VLOOKUP(L15,'[1]Tuyến cáp H04'!$B:$E,4,0)</f>
        <v>#N/A</v>
      </c>
    </row>
    <row r="16" spans="1:36" x14ac:dyDescent="0.25">
      <c r="A16" s="1" t="s">
        <v>195</v>
      </c>
      <c r="B16" s="1" t="s">
        <v>196</v>
      </c>
      <c r="C16" s="1" t="s">
        <v>197</v>
      </c>
      <c r="D16" s="1" t="s">
        <v>198</v>
      </c>
      <c r="E16" s="1" t="s">
        <v>199</v>
      </c>
      <c r="F16" s="1" t="s">
        <v>200</v>
      </c>
      <c r="G16" s="1" t="s">
        <v>14129</v>
      </c>
      <c r="H16" s="1" t="s">
        <v>14133</v>
      </c>
      <c r="I16" s="1" t="s">
        <v>14146</v>
      </c>
      <c r="J16" s="1" t="s">
        <v>23</v>
      </c>
      <c r="K16" s="1"/>
      <c r="L16" s="1" t="s">
        <v>201</v>
      </c>
      <c r="M16" s="1" t="s">
        <v>202</v>
      </c>
      <c r="N16" s="1" t="s">
        <v>203</v>
      </c>
      <c r="O16" s="1" t="s">
        <v>204</v>
      </c>
      <c r="P16" s="1" t="s">
        <v>205</v>
      </c>
      <c r="Q16" s="1" t="s">
        <v>206</v>
      </c>
      <c r="R16" s="1" t="s">
        <v>207</v>
      </c>
      <c r="S16" s="1" t="s">
        <v>208</v>
      </c>
      <c r="T16" s="1" t="s">
        <v>209</v>
      </c>
      <c r="U16">
        <v>1388.96</v>
      </c>
      <c r="V16">
        <v>414.08</v>
      </c>
      <c r="W16">
        <v>12.280430000000001</v>
      </c>
      <c r="X16">
        <v>109.194828</v>
      </c>
      <c r="Y16">
        <v>974.88</v>
      </c>
      <c r="Z16">
        <v>12.265409</v>
      </c>
      <c r="AA16">
        <v>109.196133</v>
      </c>
      <c r="AB16" s="5">
        <f t="shared" si="1"/>
        <v>0.62112000000000001</v>
      </c>
      <c r="AC16" s="5">
        <f t="shared" si="2"/>
        <v>1.4623199999999998</v>
      </c>
      <c r="AD16" s="1" t="str">
        <f t="shared" si="3"/>
        <v>3.CA Bắc Nha Trang</v>
      </c>
      <c r="AE16" s="1" t="str">
        <f t="shared" si="4"/>
        <v>CAT Khánh Hòa</v>
      </c>
      <c r="AG16">
        <f t="shared" si="5"/>
        <v>0.41408</v>
      </c>
      <c r="AH16">
        <f t="shared" si="6"/>
        <v>0.97487999999999997</v>
      </c>
      <c r="AI16" t="e">
        <f>VLOOKUP(L16,'[1]Tuyến cáp H04'!$B:$E,3,0)/1000</f>
        <v>#N/A</v>
      </c>
      <c r="AJ16" t="e">
        <f>VLOOKUP(L16,'[1]Tuyến cáp H04'!$B:$E,4,0)</f>
        <v>#N/A</v>
      </c>
    </row>
    <row r="17" spans="1:36" x14ac:dyDescent="0.25">
      <c r="A17" s="1" t="s">
        <v>210</v>
      </c>
      <c r="B17" s="1" t="s">
        <v>198</v>
      </c>
      <c r="C17" s="1" t="s">
        <v>199</v>
      </c>
      <c r="D17" s="1" t="s">
        <v>211</v>
      </c>
      <c r="E17" s="1" t="s">
        <v>212</v>
      </c>
      <c r="F17" s="1" t="s">
        <v>213</v>
      </c>
      <c r="G17" s="1" t="s">
        <v>14129</v>
      </c>
      <c r="H17" s="1" t="s">
        <v>14133</v>
      </c>
      <c r="I17" s="1" t="s">
        <v>14147</v>
      </c>
      <c r="J17" s="1" t="s">
        <v>23</v>
      </c>
      <c r="K17" s="1"/>
      <c r="L17" s="1" t="s">
        <v>214</v>
      </c>
      <c r="M17" s="1" t="s">
        <v>215</v>
      </c>
      <c r="N17" s="1" t="s">
        <v>216</v>
      </c>
      <c r="O17" s="1" t="s">
        <v>217</v>
      </c>
      <c r="P17" s="1" t="s">
        <v>218</v>
      </c>
      <c r="Q17" s="1" t="s">
        <v>219</v>
      </c>
      <c r="R17" s="1" t="s">
        <v>220</v>
      </c>
      <c r="S17" s="1" t="s">
        <v>221</v>
      </c>
      <c r="T17" s="1" t="s">
        <v>222</v>
      </c>
      <c r="U17">
        <v>663.74</v>
      </c>
      <c r="V17">
        <v>659.73</v>
      </c>
      <c r="W17">
        <v>12.252942000000001</v>
      </c>
      <c r="X17">
        <v>109.192953</v>
      </c>
      <c r="Y17">
        <v>4</v>
      </c>
      <c r="Z17">
        <v>12.251158999999999</v>
      </c>
      <c r="AA17">
        <v>109.186369</v>
      </c>
      <c r="AB17" s="5">
        <f t="shared" si="1"/>
        <v>0.989595</v>
      </c>
      <c r="AC17" s="5">
        <f t="shared" si="2"/>
        <v>6.0000000000000001E-3</v>
      </c>
      <c r="AD17" s="1" t="str">
        <f t="shared" si="3"/>
        <v>3.CA Nha Trang</v>
      </c>
      <c r="AE17" s="1" t="str">
        <f t="shared" si="4"/>
        <v>CA Tây Nha Trang_Cột trung thế</v>
      </c>
      <c r="AG17">
        <f t="shared" si="5"/>
        <v>0.65973000000000004</v>
      </c>
      <c r="AH17">
        <f t="shared" si="6"/>
        <v>4.0000000000000001E-3</v>
      </c>
      <c r="AI17" t="e">
        <f>VLOOKUP(L17,'[1]Tuyến cáp H04'!$B:$E,3,0)/1000</f>
        <v>#N/A</v>
      </c>
      <c r="AJ17" t="e">
        <f>VLOOKUP(L17,'[1]Tuyến cáp H04'!$B:$E,4,0)</f>
        <v>#N/A</v>
      </c>
    </row>
    <row r="18" spans="1:36" x14ac:dyDescent="0.25">
      <c r="A18" s="1" t="s">
        <v>223</v>
      </c>
      <c r="B18" s="1" t="s">
        <v>211</v>
      </c>
      <c r="C18" s="1" t="s">
        <v>212</v>
      </c>
      <c r="D18" s="1" t="s">
        <v>94</v>
      </c>
      <c r="E18" s="1" t="s">
        <v>95</v>
      </c>
      <c r="F18" s="1" t="s">
        <v>224</v>
      </c>
      <c r="G18" s="1" t="s">
        <v>14129</v>
      </c>
      <c r="H18" s="1" t="s">
        <v>14133</v>
      </c>
      <c r="I18" s="1" t="s">
        <v>14148</v>
      </c>
      <c r="J18" s="1" t="s">
        <v>23</v>
      </c>
      <c r="K18" s="1"/>
      <c r="L18" s="1" t="s">
        <v>214</v>
      </c>
      <c r="M18" s="1" t="s">
        <v>225</v>
      </c>
      <c r="N18" s="1" t="s">
        <v>219</v>
      </c>
      <c r="O18" s="1" t="s">
        <v>220</v>
      </c>
      <c r="P18" s="1" t="s">
        <v>221</v>
      </c>
      <c r="Q18" s="1" t="s">
        <v>226</v>
      </c>
      <c r="R18" s="1" t="s">
        <v>217</v>
      </c>
      <c r="S18" s="1" t="s">
        <v>218</v>
      </c>
      <c r="T18" s="1" t="s">
        <v>222</v>
      </c>
      <c r="U18">
        <v>119.8</v>
      </c>
      <c r="V18">
        <v>4</v>
      </c>
      <c r="W18">
        <v>12.251158999999999</v>
      </c>
      <c r="X18">
        <v>109.186369</v>
      </c>
      <c r="Y18">
        <v>115.79</v>
      </c>
      <c r="Z18">
        <v>12.252942000000001</v>
      </c>
      <c r="AA18">
        <v>109.192953</v>
      </c>
      <c r="AB18" s="5">
        <f t="shared" si="1"/>
        <v>6.0000000000000001E-3</v>
      </c>
      <c r="AC18" s="5">
        <f t="shared" si="2"/>
        <v>0.17368500000000001</v>
      </c>
      <c r="AD18" s="1" t="str">
        <f t="shared" si="3"/>
        <v>3.CA Nha Trang</v>
      </c>
      <c r="AE18" s="1" t="str">
        <f t="shared" si="4"/>
        <v>CA Tây Nha Trang_Cột trung thế</v>
      </c>
      <c r="AG18">
        <f t="shared" si="5"/>
        <v>4.0000000000000001E-3</v>
      </c>
      <c r="AH18">
        <f t="shared" si="6"/>
        <v>0.11579</v>
      </c>
      <c r="AI18" t="e">
        <f>VLOOKUP(L18,'[1]Tuyến cáp H04'!$B:$E,3,0)/1000</f>
        <v>#N/A</v>
      </c>
      <c r="AJ18" t="e">
        <f>VLOOKUP(L18,'[1]Tuyến cáp H04'!$B:$E,4,0)</f>
        <v>#N/A</v>
      </c>
    </row>
    <row r="19" spans="1:36" x14ac:dyDescent="0.25">
      <c r="A19" s="1" t="s">
        <v>227</v>
      </c>
      <c r="B19" s="1" t="s">
        <v>196</v>
      </c>
      <c r="C19" s="1" t="s">
        <v>197</v>
      </c>
      <c r="D19" s="1" t="s">
        <v>228</v>
      </c>
      <c r="E19" s="1" t="s">
        <v>229</v>
      </c>
      <c r="F19" s="1" t="s">
        <v>230</v>
      </c>
      <c r="G19" s="1" t="s">
        <v>14129</v>
      </c>
      <c r="H19" s="1" t="s">
        <v>14133</v>
      </c>
      <c r="I19" s="1" t="s">
        <v>14149</v>
      </c>
      <c r="J19" s="1" t="s">
        <v>23</v>
      </c>
      <c r="K19" s="1"/>
      <c r="L19" s="1" t="s">
        <v>201</v>
      </c>
      <c r="M19" s="1" t="s">
        <v>231</v>
      </c>
      <c r="N19" s="1" t="s">
        <v>232</v>
      </c>
      <c r="O19" s="1" t="s">
        <v>233</v>
      </c>
      <c r="P19" s="1" t="s">
        <v>234</v>
      </c>
      <c r="Q19" s="1" t="s">
        <v>235</v>
      </c>
      <c r="R19" s="1" t="s">
        <v>236</v>
      </c>
      <c r="S19" s="1" t="s">
        <v>237</v>
      </c>
      <c r="T19" s="1" t="s">
        <v>238</v>
      </c>
      <c r="U19">
        <v>1169.78</v>
      </c>
      <c r="V19">
        <v>0.85</v>
      </c>
      <c r="W19">
        <v>12.282332</v>
      </c>
      <c r="X19">
        <v>109.19810099999999</v>
      </c>
      <c r="Y19">
        <v>1168.93</v>
      </c>
      <c r="Z19">
        <v>12.282302</v>
      </c>
      <c r="AA19">
        <v>109.19833800000001</v>
      </c>
      <c r="AB19" s="5">
        <f t="shared" si="1"/>
        <v>1.2749999999999999E-3</v>
      </c>
      <c r="AC19" s="5">
        <f t="shared" si="2"/>
        <v>1.753395</v>
      </c>
      <c r="AD19" s="1" t="str">
        <f t="shared" si="3"/>
        <v>3.CA Bắc Nha Trang</v>
      </c>
      <c r="AE19" s="1" t="str">
        <f t="shared" si="4"/>
        <v>CAT Khánh Hòa</v>
      </c>
      <c r="AG19">
        <f t="shared" si="5"/>
        <v>8.4999999999999995E-4</v>
      </c>
      <c r="AH19">
        <f t="shared" si="6"/>
        <v>1.16893</v>
      </c>
      <c r="AI19" t="e">
        <f>VLOOKUP(L19,'[1]Tuyến cáp H04'!$B:$E,3,0)/1000</f>
        <v>#N/A</v>
      </c>
      <c r="AJ19" t="e">
        <f>VLOOKUP(L19,'[1]Tuyến cáp H04'!$B:$E,4,0)</f>
        <v>#N/A</v>
      </c>
    </row>
    <row r="20" spans="1:36" x14ac:dyDescent="0.25">
      <c r="A20" s="1" t="s">
        <v>239</v>
      </c>
      <c r="B20" s="1" t="s">
        <v>240</v>
      </c>
      <c r="C20" s="1" t="s">
        <v>241</v>
      </c>
      <c r="D20" s="1" t="s">
        <v>242</v>
      </c>
      <c r="E20" s="1" t="s">
        <v>243</v>
      </c>
      <c r="F20" s="1" t="s">
        <v>244</v>
      </c>
      <c r="G20" s="1" t="s">
        <v>14129</v>
      </c>
      <c r="H20" s="1" t="s">
        <v>14133</v>
      </c>
      <c r="I20" s="1" t="s">
        <v>14150</v>
      </c>
      <c r="J20" s="1" t="s">
        <v>23</v>
      </c>
      <c r="K20" s="1"/>
      <c r="L20" s="1" t="s">
        <v>245</v>
      </c>
      <c r="M20" s="1" t="s">
        <v>246</v>
      </c>
      <c r="N20" s="1" t="s">
        <v>247</v>
      </c>
      <c r="O20" s="1" t="s">
        <v>248</v>
      </c>
      <c r="P20" s="1" t="s">
        <v>249</v>
      </c>
      <c r="Q20" s="1" t="s">
        <v>250</v>
      </c>
      <c r="R20" s="1" t="s">
        <v>251</v>
      </c>
      <c r="S20" s="1" t="s">
        <v>252</v>
      </c>
      <c r="T20" s="1" t="s">
        <v>253</v>
      </c>
      <c r="U20">
        <v>613.92999999999995</v>
      </c>
      <c r="V20">
        <v>173.2</v>
      </c>
      <c r="W20">
        <v>12.235393999999999</v>
      </c>
      <c r="X20">
        <v>109.18575199999999</v>
      </c>
      <c r="Y20">
        <v>440.74</v>
      </c>
      <c r="Z20">
        <v>12.235808</v>
      </c>
      <c r="AA20">
        <v>109.176413</v>
      </c>
      <c r="AB20" s="5">
        <f t="shared" si="1"/>
        <v>0.25979999999999998</v>
      </c>
      <c r="AC20" s="5">
        <f t="shared" si="2"/>
        <v>0.66110999999999998</v>
      </c>
      <c r="AD20" s="1" t="str">
        <f t="shared" si="3"/>
        <v>5. Cam Phước Đông</v>
      </c>
      <c r="AE20" s="1" t="str">
        <f t="shared" si="4"/>
        <v>CAT Khánh Hòa</v>
      </c>
      <c r="AG20">
        <f t="shared" si="5"/>
        <v>0.17319999999999999</v>
      </c>
      <c r="AH20">
        <f t="shared" si="6"/>
        <v>0.44074000000000002</v>
      </c>
      <c r="AI20" t="e">
        <f>VLOOKUP(L20,'[1]Tuyến cáp H04'!$B:$E,3,0)/1000</f>
        <v>#N/A</v>
      </c>
      <c r="AJ20" t="e">
        <f>VLOOKUP(L20,'[1]Tuyến cáp H04'!$B:$E,4,0)</f>
        <v>#N/A</v>
      </c>
    </row>
    <row r="21" spans="1:36" x14ac:dyDescent="0.25">
      <c r="A21" s="1" t="s">
        <v>254</v>
      </c>
      <c r="B21" s="1" t="s">
        <v>34</v>
      </c>
      <c r="C21" s="1" t="s">
        <v>35</v>
      </c>
      <c r="D21" s="1" t="s">
        <v>255</v>
      </c>
      <c r="E21" s="1" t="s">
        <v>256</v>
      </c>
      <c r="F21" s="1" t="s">
        <v>257</v>
      </c>
      <c r="G21" s="1" t="s">
        <v>14129</v>
      </c>
      <c r="H21" s="1" t="s">
        <v>14133</v>
      </c>
      <c r="I21" s="1" t="s">
        <v>14151</v>
      </c>
      <c r="J21" s="1" t="s">
        <v>23</v>
      </c>
      <c r="K21" s="1"/>
      <c r="L21" s="1" t="s">
        <v>39</v>
      </c>
      <c r="M21" s="1" t="s">
        <v>258</v>
      </c>
      <c r="N21" s="1" t="s">
        <v>41</v>
      </c>
      <c r="O21" s="1" t="s">
        <v>42</v>
      </c>
      <c r="P21" s="1" t="s">
        <v>43</v>
      </c>
      <c r="Q21" s="1" t="s">
        <v>259</v>
      </c>
      <c r="R21" s="1" t="s">
        <v>260</v>
      </c>
      <c r="S21" s="1" t="s">
        <v>261</v>
      </c>
      <c r="T21" s="1" t="s">
        <v>47</v>
      </c>
      <c r="U21">
        <v>538.41999999999996</v>
      </c>
      <c r="V21">
        <v>206.48</v>
      </c>
      <c r="W21">
        <v>12.278732</v>
      </c>
      <c r="X21">
        <v>109.188858</v>
      </c>
      <c r="Y21">
        <v>331.94</v>
      </c>
      <c r="Z21">
        <v>12.276457000000001</v>
      </c>
      <c r="AA21">
        <v>109.197368</v>
      </c>
      <c r="AB21" s="5">
        <f t="shared" si="1"/>
        <v>0.30972</v>
      </c>
      <c r="AC21" s="5">
        <f t="shared" si="2"/>
        <v>0.49790999999999996</v>
      </c>
      <c r="AD21" s="1" t="str">
        <f t="shared" si="3"/>
        <v>1.CAT Khánh Hòa</v>
      </c>
      <c r="AE21" s="1" t="str">
        <f t="shared" si="4"/>
        <v>PK02 cs1</v>
      </c>
      <c r="AG21">
        <f t="shared" si="5"/>
        <v>0.20648</v>
      </c>
      <c r="AH21">
        <f t="shared" si="6"/>
        <v>0.33194000000000001</v>
      </c>
      <c r="AI21" t="e">
        <f>VLOOKUP(L21,'[1]Tuyến cáp H04'!$B:$E,3,0)/1000</f>
        <v>#N/A</v>
      </c>
      <c r="AJ21" t="e">
        <f>VLOOKUP(L21,'[1]Tuyến cáp H04'!$B:$E,4,0)</f>
        <v>#N/A</v>
      </c>
    </row>
    <row r="22" spans="1:36" x14ac:dyDescent="0.25">
      <c r="A22" s="1" t="s">
        <v>262</v>
      </c>
      <c r="B22" s="1" t="s">
        <v>263</v>
      </c>
      <c r="C22" s="1" t="s">
        <v>264</v>
      </c>
      <c r="D22" s="1" t="s">
        <v>265</v>
      </c>
      <c r="E22" s="1" t="s">
        <v>266</v>
      </c>
      <c r="F22" s="1" t="s">
        <v>267</v>
      </c>
      <c r="G22" s="1" t="s">
        <v>14129</v>
      </c>
      <c r="H22" s="1" t="s">
        <v>14133</v>
      </c>
      <c r="I22" s="1" t="s">
        <v>14152</v>
      </c>
      <c r="J22" s="1" t="s">
        <v>23</v>
      </c>
      <c r="K22" s="1"/>
      <c r="L22" s="1" t="s">
        <v>268</v>
      </c>
      <c r="M22" s="1" t="s">
        <v>269</v>
      </c>
      <c r="N22" s="1" t="s">
        <v>270</v>
      </c>
      <c r="O22" s="1" t="s">
        <v>271</v>
      </c>
      <c r="P22" s="1" t="s">
        <v>272</v>
      </c>
      <c r="Q22" s="1" t="s">
        <v>273</v>
      </c>
      <c r="R22" s="1" t="s">
        <v>274</v>
      </c>
      <c r="S22" s="1" t="s">
        <v>275</v>
      </c>
      <c r="T22" s="1" t="s">
        <v>276</v>
      </c>
      <c r="U22">
        <v>510.41</v>
      </c>
      <c r="V22">
        <v>191.02</v>
      </c>
      <c r="W22">
        <v>12.250641</v>
      </c>
      <c r="X22">
        <v>109.18473899999999</v>
      </c>
      <c r="Y22">
        <v>319.39</v>
      </c>
      <c r="Z22">
        <v>12.254597</v>
      </c>
      <c r="AA22">
        <v>109.180751</v>
      </c>
      <c r="AB22" s="5">
        <f t="shared" si="1"/>
        <v>0.28653000000000001</v>
      </c>
      <c r="AC22" s="5">
        <f t="shared" si="2"/>
        <v>0.47908499999999998</v>
      </c>
      <c r="AD22" s="1" t="str">
        <f t="shared" si="3"/>
        <v>4.CA Tây Nha Trang</v>
      </c>
      <c r="AE22" s="1" t="str">
        <f t="shared" si="4"/>
        <v>TTCMKV Diên Khánh</v>
      </c>
      <c r="AG22">
        <f t="shared" si="5"/>
        <v>0.19102000000000002</v>
      </c>
      <c r="AH22">
        <f t="shared" si="6"/>
        <v>0.31939000000000001</v>
      </c>
      <c r="AI22" t="e">
        <f>VLOOKUP(L22,'[1]Tuyến cáp H04'!$B:$E,3,0)/1000</f>
        <v>#N/A</v>
      </c>
      <c r="AJ22" t="e">
        <f>VLOOKUP(L22,'[1]Tuyến cáp H04'!$B:$E,4,0)</f>
        <v>#N/A</v>
      </c>
    </row>
    <row r="23" spans="1:36" x14ac:dyDescent="0.25">
      <c r="A23" s="1" t="s">
        <v>277</v>
      </c>
      <c r="B23" s="1" t="s">
        <v>278</v>
      </c>
      <c r="C23" s="1" t="s">
        <v>279</v>
      </c>
      <c r="D23" s="1" t="s">
        <v>280</v>
      </c>
      <c r="E23" s="1" t="s">
        <v>281</v>
      </c>
      <c r="F23" s="1" t="s">
        <v>282</v>
      </c>
      <c r="G23" s="1" t="s">
        <v>14129</v>
      </c>
      <c r="H23" s="1" t="s">
        <v>14133</v>
      </c>
      <c r="I23" s="1" t="s">
        <v>14153</v>
      </c>
      <c r="J23" s="1" t="s">
        <v>23</v>
      </c>
      <c r="K23" s="1"/>
      <c r="L23" s="1" t="s">
        <v>283</v>
      </c>
      <c r="M23" s="1" t="s">
        <v>284</v>
      </c>
      <c r="N23" s="1" t="s">
        <v>285</v>
      </c>
      <c r="O23" s="1" t="s">
        <v>286</v>
      </c>
      <c r="P23" s="1" t="s">
        <v>287</v>
      </c>
      <c r="Q23" s="1" t="s">
        <v>288</v>
      </c>
      <c r="R23" s="1" t="s">
        <v>289</v>
      </c>
      <c r="S23" s="1" t="s">
        <v>290</v>
      </c>
      <c r="T23" s="1" t="s">
        <v>291</v>
      </c>
      <c r="U23">
        <v>519260.73</v>
      </c>
      <c r="V23">
        <v>252584.19</v>
      </c>
      <c r="W23">
        <v>14.659686000000001</v>
      </c>
      <c r="X23">
        <v>107.839439</v>
      </c>
      <c r="Y23">
        <v>266676.53000000003</v>
      </c>
      <c r="Z23">
        <v>14.352316999999999</v>
      </c>
      <c r="AA23">
        <v>108.007831</v>
      </c>
      <c r="AB23" s="5">
        <f t="shared" si="1"/>
        <v>378.87628500000005</v>
      </c>
      <c r="AC23" s="5">
        <f t="shared" si="2"/>
        <v>400.01479500000005</v>
      </c>
      <c r="AD23" s="1" t="str">
        <f t="shared" si="3"/>
        <v>Đăk Tô</v>
      </c>
      <c r="AE23" s="1" t="str">
        <f t="shared" si="4"/>
        <v>TT2 Kon Tum</v>
      </c>
      <c r="AG23">
        <f t="shared" si="5"/>
        <v>252.58419000000001</v>
      </c>
      <c r="AH23">
        <f t="shared" si="6"/>
        <v>266.67653000000001</v>
      </c>
      <c r="AI23">
        <f>VLOOKUP(L23,'[1]Tuyến cáp H04'!$B:$E,3,0)/1000</f>
        <v>43.9602</v>
      </c>
      <c r="AJ23" t="str">
        <f>VLOOKUP(L23,'[1]Tuyến cáp H04'!$B:$E,4,0)</f>
        <v>Mạng cấp 3</v>
      </c>
    </row>
    <row r="24" spans="1:36" x14ac:dyDescent="0.25">
      <c r="A24" s="1" t="s">
        <v>292</v>
      </c>
      <c r="B24" s="1" t="s">
        <v>49</v>
      </c>
      <c r="C24" s="1" t="s">
        <v>50</v>
      </c>
      <c r="D24" s="1" t="s">
        <v>293</v>
      </c>
      <c r="E24" s="1" t="s">
        <v>294</v>
      </c>
      <c r="F24" s="1" t="s">
        <v>295</v>
      </c>
      <c r="G24" s="1" t="s">
        <v>14129</v>
      </c>
      <c r="H24" s="1" t="s">
        <v>14133</v>
      </c>
      <c r="I24" s="1" t="s">
        <v>14154</v>
      </c>
      <c r="J24" s="1" t="s">
        <v>23</v>
      </c>
      <c r="K24" s="1"/>
      <c r="L24" s="1" t="s">
        <v>296</v>
      </c>
      <c r="M24" s="1" t="s">
        <v>297</v>
      </c>
      <c r="N24" s="1" t="s">
        <v>298</v>
      </c>
      <c r="O24" s="1" t="s">
        <v>299</v>
      </c>
      <c r="P24" s="1" t="s">
        <v>300</v>
      </c>
      <c r="Q24" s="1" t="s">
        <v>301</v>
      </c>
      <c r="R24" s="1" t="s">
        <v>302</v>
      </c>
      <c r="S24" s="1" t="s">
        <v>303</v>
      </c>
      <c r="T24" s="1" t="s">
        <v>304</v>
      </c>
      <c r="U24">
        <v>1484.17</v>
      </c>
      <c r="V24">
        <v>1058.3900000000001</v>
      </c>
      <c r="W24">
        <v>12.251106999999999</v>
      </c>
      <c r="X24">
        <v>109.08133599999999</v>
      </c>
      <c r="Y24">
        <v>425.79</v>
      </c>
      <c r="Z24">
        <v>12.243822</v>
      </c>
      <c r="AA24">
        <v>109.09366300000001</v>
      </c>
      <c r="AB24" s="5">
        <f t="shared" si="1"/>
        <v>1.587585</v>
      </c>
      <c r="AC24" s="5">
        <f t="shared" si="2"/>
        <v>0.63868500000000006</v>
      </c>
      <c r="AD24" s="1" t="str">
        <f t="shared" si="3"/>
        <v>3. Trại giam A2</v>
      </c>
      <c r="AE24" s="1" t="str">
        <f t="shared" si="4"/>
        <v>CATP Nha trang cũ</v>
      </c>
      <c r="AG24">
        <f t="shared" si="5"/>
        <v>1.0583900000000002</v>
      </c>
      <c r="AH24">
        <f t="shared" si="6"/>
        <v>0.42579</v>
      </c>
      <c r="AI24" t="e">
        <f>VLOOKUP(L24,'[1]Tuyến cáp H04'!$B:$E,3,0)/1000</f>
        <v>#N/A</v>
      </c>
      <c r="AJ24" t="e">
        <f>VLOOKUP(L24,'[1]Tuyến cáp H04'!$B:$E,4,0)</f>
        <v>#N/A</v>
      </c>
    </row>
    <row r="25" spans="1:36" x14ac:dyDescent="0.25">
      <c r="A25" s="1" t="s">
        <v>305</v>
      </c>
      <c r="B25" s="1" t="s">
        <v>181</v>
      </c>
      <c r="C25" s="1" t="s">
        <v>182</v>
      </c>
      <c r="D25" s="1" t="s">
        <v>306</v>
      </c>
      <c r="E25" s="1" t="s">
        <v>307</v>
      </c>
      <c r="F25" s="1" t="s">
        <v>308</v>
      </c>
      <c r="G25" s="1" t="s">
        <v>14129</v>
      </c>
      <c r="H25" s="1" t="s">
        <v>14133</v>
      </c>
      <c r="I25" s="1" t="s">
        <v>14155</v>
      </c>
      <c r="J25" s="1" t="s">
        <v>23</v>
      </c>
      <c r="K25" s="1"/>
      <c r="L25" s="1" t="s">
        <v>186</v>
      </c>
      <c r="M25" s="1" t="s">
        <v>309</v>
      </c>
      <c r="N25" s="1" t="s">
        <v>188</v>
      </c>
      <c r="O25" s="1" t="s">
        <v>189</v>
      </c>
      <c r="P25" s="1" t="s">
        <v>190</v>
      </c>
      <c r="Q25" s="1" t="s">
        <v>310</v>
      </c>
      <c r="R25" s="1" t="s">
        <v>311</v>
      </c>
      <c r="S25" s="1" t="s">
        <v>312</v>
      </c>
      <c r="T25" s="1" t="s">
        <v>194</v>
      </c>
      <c r="U25">
        <v>265.61</v>
      </c>
      <c r="V25">
        <v>6.07</v>
      </c>
      <c r="W25">
        <v>12.276066999999999</v>
      </c>
      <c r="X25">
        <v>109.120259</v>
      </c>
      <c r="Y25">
        <v>259.54000000000002</v>
      </c>
      <c r="Z25">
        <v>12.278650000000001</v>
      </c>
      <c r="AA25">
        <v>109.12745</v>
      </c>
      <c r="AB25" s="5">
        <f t="shared" si="1"/>
        <v>9.1050000000000002E-3</v>
      </c>
      <c r="AC25" s="5">
        <f t="shared" si="2"/>
        <v>0.38931000000000004</v>
      </c>
      <c r="AD25" s="1" t="str">
        <f t="shared" si="3"/>
        <v>2.CA Diên Điền</v>
      </c>
      <c r="AE25" s="1" t="str">
        <f t="shared" si="4"/>
        <v>CA Bắc Nha Trang</v>
      </c>
      <c r="AG25">
        <f t="shared" si="5"/>
        <v>6.0699999999999999E-3</v>
      </c>
      <c r="AH25">
        <f t="shared" si="6"/>
        <v>0.25953999999999999</v>
      </c>
      <c r="AI25" t="e">
        <f>VLOOKUP(L25,'[1]Tuyến cáp H04'!$B:$E,3,0)/1000</f>
        <v>#N/A</v>
      </c>
      <c r="AJ25" t="e">
        <f>VLOOKUP(L25,'[1]Tuyến cáp H04'!$B:$E,4,0)</f>
        <v>#N/A</v>
      </c>
    </row>
    <row r="26" spans="1:36" x14ac:dyDescent="0.25">
      <c r="A26" s="1" t="s">
        <v>313</v>
      </c>
      <c r="B26" s="1" t="s">
        <v>49</v>
      </c>
      <c r="C26" s="1" t="s">
        <v>50</v>
      </c>
      <c r="D26" s="1" t="s">
        <v>314</v>
      </c>
      <c r="E26" s="1" t="s">
        <v>315</v>
      </c>
      <c r="F26" s="1" t="s">
        <v>316</v>
      </c>
      <c r="G26" s="1" t="s">
        <v>14129</v>
      </c>
      <c r="H26" s="1" t="s">
        <v>14133</v>
      </c>
      <c r="I26" s="1" t="s">
        <v>14156</v>
      </c>
      <c r="J26" s="1" t="s">
        <v>23</v>
      </c>
      <c r="K26" s="1"/>
      <c r="L26" s="1" t="s">
        <v>317</v>
      </c>
      <c r="M26" s="1" t="s">
        <v>318</v>
      </c>
      <c r="N26" s="1" t="s">
        <v>319</v>
      </c>
      <c r="O26" s="1" t="s">
        <v>320</v>
      </c>
      <c r="P26" s="1" t="s">
        <v>321</v>
      </c>
      <c r="Q26" s="1" t="s">
        <v>322</v>
      </c>
      <c r="R26" s="1" t="s">
        <v>323</v>
      </c>
      <c r="S26" s="1" t="s">
        <v>324</v>
      </c>
      <c r="T26" s="1" t="s">
        <v>325</v>
      </c>
      <c r="U26">
        <v>337.64</v>
      </c>
      <c r="V26">
        <v>7.22</v>
      </c>
      <c r="W26">
        <v>12.246371</v>
      </c>
      <c r="X26">
        <v>109.072963</v>
      </c>
      <c r="Y26">
        <v>330.42</v>
      </c>
      <c r="Z26">
        <v>12.256955</v>
      </c>
      <c r="AA26">
        <v>109.071253</v>
      </c>
      <c r="AB26" s="5">
        <f t="shared" si="1"/>
        <v>1.0829999999999999E-2</v>
      </c>
      <c r="AC26" s="5">
        <f t="shared" si="2"/>
        <v>0.49563000000000001</v>
      </c>
      <c r="AD26" s="1" t="str">
        <f t="shared" si="3"/>
        <v>2.Nhà tạm giam Diên Khánh</v>
      </c>
      <c r="AE26" s="1" t="str">
        <f t="shared" si="4"/>
        <v>Trại giam A2</v>
      </c>
      <c r="AG26">
        <f t="shared" si="5"/>
        <v>7.2199999999999999E-3</v>
      </c>
      <c r="AH26">
        <f t="shared" si="6"/>
        <v>0.33041999999999999</v>
      </c>
      <c r="AI26" t="e">
        <f>VLOOKUP(L26,'[1]Tuyến cáp H04'!$B:$E,3,0)/1000</f>
        <v>#N/A</v>
      </c>
      <c r="AJ26" t="e">
        <f>VLOOKUP(L26,'[1]Tuyến cáp H04'!$B:$E,4,0)</f>
        <v>#N/A</v>
      </c>
    </row>
    <row r="27" spans="1:36" x14ac:dyDescent="0.25">
      <c r="A27" s="1" t="s">
        <v>326</v>
      </c>
      <c r="B27" s="1" t="s">
        <v>77</v>
      </c>
      <c r="C27" s="1" t="s">
        <v>78</v>
      </c>
      <c r="D27" s="1" t="s">
        <v>327</v>
      </c>
      <c r="E27" s="1" t="s">
        <v>328</v>
      </c>
      <c r="F27" s="1" t="s">
        <v>329</v>
      </c>
      <c r="G27" s="1" t="s">
        <v>14129</v>
      </c>
      <c r="H27" s="1" t="s">
        <v>14133</v>
      </c>
      <c r="I27" s="1" t="s">
        <v>14157</v>
      </c>
      <c r="J27" s="1" t="s">
        <v>23</v>
      </c>
      <c r="K27" s="1"/>
      <c r="L27" s="1" t="s">
        <v>110</v>
      </c>
      <c r="M27" s="1" t="s">
        <v>330</v>
      </c>
      <c r="N27" s="1" t="s">
        <v>112</v>
      </c>
      <c r="O27" s="1" t="s">
        <v>113</v>
      </c>
      <c r="P27" s="1" t="s">
        <v>114</v>
      </c>
      <c r="Q27" s="1" t="s">
        <v>331</v>
      </c>
      <c r="R27" s="1" t="s">
        <v>332</v>
      </c>
      <c r="S27" s="1" t="s">
        <v>333</v>
      </c>
      <c r="T27" s="1" t="s">
        <v>118</v>
      </c>
      <c r="U27">
        <v>1703.55</v>
      </c>
      <c r="V27">
        <v>3.34</v>
      </c>
      <c r="W27">
        <v>12.175723</v>
      </c>
      <c r="X27">
        <v>109.17368</v>
      </c>
      <c r="Y27">
        <v>1700.2</v>
      </c>
      <c r="Z27">
        <v>12.196674</v>
      </c>
      <c r="AA27">
        <v>109.174234</v>
      </c>
      <c r="AB27" s="5">
        <f t="shared" si="1"/>
        <v>5.0099999999999997E-3</v>
      </c>
      <c r="AC27" s="5">
        <f t="shared" si="2"/>
        <v>2.5503</v>
      </c>
      <c r="AD27" s="1" t="str">
        <f t="shared" si="3"/>
        <v>4.PC11a</v>
      </c>
      <c r="AE27" s="1" t="str">
        <f t="shared" si="4"/>
        <v>PC02_Đoạn cột trung thế</v>
      </c>
      <c r="AG27">
        <f t="shared" si="5"/>
        <v>3.3399999999999997E-3</v>
      </c>
      <c r="AH27">
        <f t="shared" si="6"/>
        <v>1.7002000000000002</v>
      </c>
      <c r="AI27" t="e">
        <f>VLOOKUP(L27,'[1]Tuyến cáp H04'!$B:$E,3,0)/1000</f>
        <v>#N/A</v>
      </c>
      <c r="AJ27" t="e">
        <f>VLOOKUP(L27,'[1]Tuyến cáp H04'!$B:$E,4,0)</f>
        <v>#N/A</v>
      </c>
    </row>
    <row r="28" spans="1:36" x14ac:dyDescent="0.25">
      <c r="A28" s="1" t="s">
        <v>334</v>
      </c>
      <c r="B28" s="1" t="s">
        <v>196</v>
      </c>
      <c r="C28" s="1" t="s">
        <v>197</v>
      </c>
      <c r="D28" s="1" t="s">
        <v>335</v>
      </c>
      <c r="E28" s="1" t="s">
        <v>336</v>
      </c>
      <c r="F28" s="1" t="s">
        <v>337</v>
      </c>
      <c r="G28" s="1" t="s">
        <v>14129</v>
      </c>
      <c r="H28" s="1" t="s">
        <v>14133</v>
      </c>
      <c r="I28" s="1" t="s">
        <v>14158</v>
      </c>
      <c r="J28" s="1" t="s">
        <v>23</v>
      </c>
      <c r="K28" s="1"/>
      <c r="L28" s="1" t="s">
        <v>186</v>
      </c>
      <c r="M28" s="1" t="s">
        <v>338</v>
      </c>
      <c r="N28" s="1" t="s">
        <v>339</v>
      </c>
      <c r="O28" s="1" t="s">
        <v>340</v>
      </c>
      <c r="P28" s="1" t="s">
        <v>341</v>
      </c>
      <c r="Q28" s="1" t="s">
        <v>342</v>
      </c>
      <c r="R28" s="1" t="s">
        <v>343</v>
      </c>
      <c r="S28" s="1" t="s">
        <v>344</v>
      </c>
      <c r="T28" s="1" t="s">
        <v>345</v>
      </c>
      <c r="U28">
        <v>574.64</v>
      </c>
      <c r="V28">
        <v>0.89</v>
      </c>
      <c r="W28">
        <v>12.282335</v>
      </c>
      <c r="X28">
        <v>109.198106</v>
      </c>
      <c r="Y28">
        <v>573.75</v>
      </c>
      <c r="Z28">
        <v>12.288899000000001</v>
      </c>
      <c r="AA28">
        <v>109.18953</v>
      </c>
      <c r="AB28" s="5">
        <f t="shared" si="1"/>
        <v>1.335E-3</v>
      </c>
      <c r="AC28" s="5">
        <f t="shared" si="2"/>
        <v>0.86062499999999997</v>
      </c>
      <c r="AD28" s="1" t="str">
        <f t="shared" si="3"/>
        <v>2.CA Diên Điền</v>
      </c>
      <c r="AE28" s="1" t="str">
        <f t="shared" si="4"/>
        <v>CA Bắc Nha Trang</v>
      </c>
      <c r="AG28">
        <f t="shared" si="5"/>
        <v>8.9000000000000006E-4</v>
      </c>
      <c r="AH28">
        <f t="shared" si="6"/>
        <v>0.57374999999999998</v>
      </c>
      <c r="AI28" t="e">
        <f>VLOOKUP(L28,'[1]Tuyến cáp H04'!$B:$E,3,0)/1000</f>
        <v>#N/A</v>
      </c>
      <c r="AJ28" t="e">
        <f>VLOOKUP(L28,'[1]Tuyến cáp H04'!$B:$E,4,0)</f>
        <v>#N/A</v>
      </c>
    </row>
    <row r="29" spans="1:36" x14ac:dyDescent="0.25">
      <c r="A29" s="1" t="s">
        <v>346</v>
      </c>
      <c r="B29" s="1" t="s">
        <v>347</v>
      </c>
      <c r="C29" s="1" t="s">
        <v>348</v>
      </c>
      <c r="D29" s="1" t="s">
        <v>349</v>
      </c>
      <c r="E29" s="1" t="s">
        <v>350</v>
      </c>
      <c r="F29" s="1" t="s">
        <v>351</v>
      </c>
      <c r="G29" s="1" t="s">
        <v>14129</v>
      </c>
      <c r="H29" s="1" t="s">
        <v>14133</v>
      </c>
      <c r="I29" s="1" t="s">
        <v>14159</v>
      </c>
      <c r="J29" s="1" t="s">
        <v>23</v>
      </c>
      <c r="K29" s="1"/>
      <c r="L29" s="1" t="s">
        <v>352</v>
      </c>
      <c r="M29" s="1" t="s">
        <v>353</v>
      </c>
      <c r="N29" s="1" t="s">
        <v>354</v>
      </c>
      <c r="O29" s="1" t="s">
        <v>355</v>
      </c>
      <c r="P29" s="1" t="s">
        <v>356</v>
      </c>
      <c r="Q29" s="1" t="s">
        <v>357</v>
      </c>
      <c r="R29" s="1" t="s">
        <v>358</v>
      </c>
      <c r="S29" s="1" t="s">
        <v>359</v>
      </c>
      <c r="T29" s="1" t="s">
        <v>360</v>
      </c>
      <c r="U29">
        <v>1461.62</v>
      </c>
      <c r="V29">
        <v>100</v>
      </c>
      <c r="W29">
        <v>11.941592</v>
      </c>
      <c r="X29">
        <v>109.11218100000001</v>
      </c>
      <c r="Y29">
        <v>1361.62</v>
      </c>
      <c r="Z29">
        <v>11.955189000000001</v>
      </c>
      <c r="AA29">
        <v>109.101417</v>
      </c>
      <c r="AB29" s="5">
        <f t="shared" si="1"/>
        <v>0.15</v>
      </c>
      <c r="AC29" s="5">
        <f t="shared" si="2"/>
        <v>2.04243</v>
      </c>
      <c r="AD29" s="1" t="str">
        <f t="shared" si="3"/>
        <v>3.Cam Ranh</v>
      </c>
      <c r="AE29" s="1" t="str">
        <f t="shared" si="4"/>
        <v>Khánh Sơn</v>
      </c>
      <c r="AG29">
        <f t="shared" si="5"/>
        <v>0.1</v>
      </c>
      <c r="AH29">
        <f t="shared" si="6"/>
        <v>1.3616199999999998</v>
      </c>
      <c r="AI29" t="e">
        <f>VLOOKUP(L29,'[1]Tuyến cáp H04'!$B:$E,3,0)/1000</f>
        <v>#N/A</v>
      </c>
      <c r="AJ29" t="e">
        <f>VLOOKUP(L29,'[1]Tuyến cáp H04'!$B:$E,4,0)</f>
        <v>#N/A</v>
      </c>
    </row>
    <row r="30" spans="1:36" x14ac:dyDescent="0.25">
      <c r="A30" s="1" t="s">
        <v>361</v>
      </c>
      <c r="B30" s="1" t="s">
        <v>362</v>
      </c>
      <c r="C30" s="1" t="s">
        <v>363</v>
      </c>
      <c r="D30" s="1" t="s">
        <v>364</v>
      </c>
      <c r="E30" s="1" t="s">
        <v>365</v>
      </c>
      <c r="F30" s="1" t="s">
        <v>366</v>
      </c>
      <c r="G30" s="1" t="s">
        <v>14129</v>
      </c>
      <c r="H30" s="1" t="s">
        <v>14133</v>
      </c>
      <c r="I30" s="1" t="s">
        <v>14160</v>
      </c>
      <c r="J30" s="1" t="s">
        <v>23</v>
      </c>
      <c r="K30" s="1"/>
      <c r="L30" s="1" t="s">
        <v>367</v>
      </c>
      <c r="M30" s="1" t="s">
        <v>368</v>
      </c>
      <c r="N30" s="1" t="s">
        <v>369</v>
      </c>
      <c r="O30" s="1" t="s">
        <v>370</v>
      </c>
      <c r="P30" s="1" t="s">
        <v>371</v>
      </c>
      <c r="Q30" s="1" t="s">
        <v>372</v>
      </c>
      <c r="R30" s="1" t="s">
        <v>373</v>
      </c>
      <c r="S30" s="1" t="s">
        <v>374</v>
      </c>
      <c r="T30" s="1" t="s">
        <v>375</v>
      </c>
      <c r="U30">
        <v>672.88</v>
      </c>
      <c r="V30">
        <v>125</v>
      </c>
      <c r="W30">
        <v>11.976645</v>
      </c>
      <c r="X30">
        <v>109.19567600000001</v>
      </c>
      <c r="Y30">
        <v>547.88</v>
      </c>
      <c r="Z30">
        <v>11.977448000000001</v>
      </c>
      <c r="AA30">
        <v>109.19279899999999</v>
      </c>
      <c r="AB30" s="5">
        <f t="shared" si="1"/>
        <v>0.1875</v>
      </c>
      <c r="AC30" s="5">
        <f t="shared" si="2"/>
        <v>0.82181999999999988</v>
      </c>
      <c r="AD30" s="1" t="str">
        <f t="shared" si="3"/>
        <v>2.CA Bắc Cam Ranh</v>
      </c>
      <c r="AE30" s="1" t="str">
        <f t="shared" si="4"/>
        <v>CA Cam An</v>
      </c>
      <c r="AG30">
        <f t="shared" si="5"/>
        <v>0.125</v>
      </c>
      <c r="AH30">
        <f t="shared" si="6"/>
        <v>0.54788000000000003</v>
      </c>
      <c r="AI30" t="e">
        <f>VLOOKUP(L30,'[1]Tuyến cáp H04'!$B:$E,3,0)/1000</f>
        <v>#N/A</v>
      </c>
      <c r="AJ30" t="e">
        <f>VLOOKUP(L30,'[1]Tuyến cáp H04'!$B:$E,4,0)</f>
        <v>#N/A</v>
      </c>
    </row>
    <row r="31" spans="1:36" x14ac:dyDescent="0.25">
      <c r="A31" s="1" t="s">
        <v>376</v>
      </c>
      <c r="B31" s="1" t="s">
        <v>49</v>
      </c>
      <c r="C31" s="1" t="s">
        <v>50</v>
      </c>
      <c r="D31" s="1" t="s">
        <v>377</v>
      </c>
      <c r="E31" s="1" t="s">
        <v>378</v>
      </c>
      <c r="F31" s="1" t="s">
        <v>379</v>
      </c>
      <c r="G31" s="1" t="s">
        <v>14129</v>
      </c>
      <c r="H31" s="1" t="s">
        <v>14133</v>
      </c>
      <c r="I31" s="1" t="s">
        <v>14161</v>
      </c>
      <c r="J31" s="1" t="s">
        <v>23</v>
      </c>
      <c r="K31" s="1"/>
      <c r="L31" s="1" t="s">
        <v>317</v>
      </c>
      <c r="M31" s="1" t="s">
        <v>380</v>
      </c>
      <c r="N31" s="1" t="s">
        <v>319</v>
      </c>
      <c r="O31" s="1" t="s">
        <v>320</v>
      </c>
      <c r="P31" s="1" t="s">
        <v>321</v>
      </c>
      <c r="Q31" s="1" t="s">
        <v>381</v>
      </c>
      <c r="R31" s="1" t="s">
        <v>382</v>
      </c>
      <c r="S31" s="1" t="s">
        <v>383</v>
      </c>
      <c r="T31" s="1" t="s">
        <v>325</v>
      </c>
      <c r="U31">
        <v>2076.33</v>
      </c>
      <c r="V31">
        <v>7.22</v>
      </c>
      <c r="W31">
        <v>12.246371</v>
      </c>
      <c r="X31">
        <v>109.072963</v>
      </c>
      <c r="Y31">
        <v>2069.11</v>
      </c>
      <c r="Z31">
        <v>12.246168000000001</v>
      </c>
      <c r="AA31">
        <v>109.073882</v>
      </c>
      <c r="AB31" s="5">
        <f t="shared" si="1"/>
        <v>1.0829999999999999E-2</v>
      </c>
      <c r="AC31" s="5">
        <f t="shared" si="2"/>
        <v>3.1036649999999999</v>
      </c>
      <c r="AD31" s="1" t="str">
        <f t="shared" si="3"/>
        <v>2.Nhà tạm giam Diên Khánh</v>
      </c>
      <c r="AE31" s="1" t="str">
        <f t="shared" si="4"/>
        <v>Trại giam A2</v>
      </c>
      <c r="AG31">
        <f t="shared" si="5"/>
        <v>7.2199999999999999E-3</v>
      </c>
      <c r="AH31">
        <f t="shared" si="6"/>
        <v>2.0691100000000002</v>
      </c>
      <c r="AI31" t="e">
        <f>VLOOKUP(L31,'[1]Tuyến cáp H04'!$B:$E,3,0)/1000</f>
        <v>#N/A</v>
      </c>
      <c r="AJ31" t="e">
        <f>VLOOKUP(L31,'[1]Tuyến cáp H04'!$B:$E,4,0)</f>
        <v>#N/A</v>
      </c>
    </row>
    <row r="32" spans="1:36" x14ac:dyDescent="0.25">
      <c r="A32" s="1" t="s">
        <v>384</v>
      </c>
      <c r="B32" s="1" t="s">
        <v>49</v>
      </c>
      <c r="C32" s="1" t="s">
        <v>50</v>
      </c>
      <c r="D32" s="1" t="s">
        <v>385</v>
      </c>
      <c r="E32" s="1" t="s">
        <v>386</v>
      </c>
      <c r="F32" s="1" t="s">
        <v>387</v>
      </c>
      <c r="G32" s="1" t="s">
        <v>14129</v>
      </c>
      <c r="H32" s="1" t="s">
        <v>14133</v>
      </c>
      <c r="I32" s="1" t="s">
        <v>14162</v>
      </c>
      <c r="J32" s="1" t="s">
        <v>23</v>
      </c>
      <c r="K32" s="1"/>
      <c r="L32" s="1" t="s">
        <v>296</v>
      </c>
      <c r="M32" s="1" t="s">
        <v>388</v>
      </c>
      <c r="N32" s="1" t="s">
        <v>298</v>
      </c>
      <c r="O32" s="1" t="s">
        <v>299</v>
      </c>
      <c r="P32" s="1" t="s">
        <v>300</v>
      </c>
      <c r="Q32" s="1" t="s">
        <v>389</v>
      </c>
      <c r="R32" s="1" t="s">
        <v>390</v>
      </c>
      <c r="S32" s="1" t="s">
        <v>391</v>
      </c>
      <c r="T32" s="1" t="s">
        <v>304</v>
      </c>
      <c r="U32">
        <v>1249.28</v>
      </c>
      <c r="V32">
        <v>1058.3900000000001</v>
      </c>
      <c r="W32">
        <v>12.251106999999999</v>
      </c>
      <c r="X32">
        <v>109.08133599999999</v>
      </c>
      <c r="Y32">
        <v>190.9</v>
      </c>
      <c r="Z32">
        <v>12.251051</v>
      </c>
      <c r="AA32">
        <v>109.09642599999999</v>
      </c>
      <c r="AB32" s="5">
        <f t="shared" si="1"/>
        <v>1.587585</v>
      </c>
      <c r="AC32" s="5">
        <f t="shared" si="2"/>
        <v>0.28635000000000005</v>
      </c>
      <c r="AD32" s="1" t="str">
        <f t="shared" si="3"/>
        <v>3. Trại giam A2</v>
      </c>
      <c r="AE32" s="1" t="str">
        <f t="shared" si="4"/>
        <v>CATP Nha trang cũ</v>
      </c>
      <c r="AG32">
        <f t="shared" si="5"/>
        <v>1.0583900000000002</v>
      </c>
      <c r="AH32">
        <f t="shared" si="6"/>
        <v>0.19090000000000001</v>
      </c>
      <c r="AI32" t="e">
        <f>VLOOKUP(L32,'[1]Tuyến cáp H04'!$B:$E,3,0)/1000</f>
        <v>#N/A</v>
      </c>
      <c r="AJ32" t="e">
        <f>VLOOKUP(L32,'[1]Tuyến cáp H04'!$B:$E,4,0)</f>
        <v>#N/A</v>
      </c>
    </row>
    <row r="33" spans="1:36" x14ac:dyDescent="0.25">
      <c r="A33" s="1" t="s">
        <v>392</v>
      </c>
      <c r="B33" s="1" t="s">
        <v>393</v>
      </c>
      <c r="C33" s="1" t="s">
        <v>394</v>
      </c>
      <c r="D33" s="1" t="s">
        <v>395</v>
      </c>
      <c r="E33" s="1" t="s">
        <v>396</v>
      </c>
      <c r="F33" s="1" t="s">
        <v>397</v>
      </c>
      <c r="G33" s="1" t="s">
        <v>14129</v>
      </c>
      <c r="H33" s="1" t="s">
        <v>14133</v>
      </c>
      <c r="I33" s="1" t="s">
        <v>14163</v>
      </c>
      <c r="J33" s="1" t="s">
        <v>23</v>
      </c>
      <c r="K33" s="1"/>
      <c r="L33" s="1" t="s">
        <v>398</v>
      </c>
      <c r="M33" s="1" t="s">
        <v>399</v>
      </c>
      <c r="N33" s="1" t="s">
        <v>400</v>
      </c>
      <c r="O33" s="1" t="s">
        <v>401</v>
      </c>
      <c r="P33" s="1" t="s">
        <v>402</v>
      </c>
      <c r="Q33" s="1" t="s">
        <v>403</v>
      </c>
      <c r="R33" s="1" t="s">
        <v>404</v>
      </c>
      <c r="S33" s="1" t="s">
        <v>405</v>
      </c>
      <c r="T33" s="1" t="s">
        <v>406</v>
      </c>
      <c r="U33">
        <v>1182.1500000000001</v>
      </c>
      <c r="V33">
        <v>3.39</v>
      </c>
      <c r="W33">
        <v>12.269048</v>
      </c>
      <c r="X33">
        <v>109.03337000000001</v>
      </c>
      <c r="Y33">
        <v>1178.76</v>
      </c>
      <c r="Z33">
        <v>12.267571999999999</v>
      </c>
      <c r="AA33">
        <v>109.03755200000001</v>
      </c>
      <c r="AB33" s="5">
        <f t="shared" si="1"/>
        <v>5.0850000000000001E-3</v>
      </c>
      <c r="AC33" s="5">
        <f t="shared" si="2"/>
        <v>1.7681399999999998</v>
      </c>
      <c r="AD33" s="1" t="str">
        <f t="shared" si="3"/>
        <v>2.CA Diên Lạc</v>
      </c>
      <c r="AE33" s="1" t="str">
        <f t="shared" si="4"/>
        <v>CA Diên Lâm</v>
      </c>
      <c r="AG33">
        <f t="shared" si="5"/>
        <v>3.3900000000000002E-3</v>
      </c>
      <c r="AH33">
        <f t="shared" si="6"/>
        <v>1.17876</v>
      </c>
      <c r="AI33" t="e">
        <f>VLOOKUP(L33,'[1]Tuyến cáp H04'!$B:$E,3,0)/1000</f>
        <v>#N/A</v>
      </c>
      <c r="AJ33" t="e">
        <f>VLOOKUP(L33,'[1]Tuyến cáp H04'!$B:$E,4,0)</f>
        <v>#N/A</v>
      </c>
    </row>
    <row r="34" spans="1:36" x14ac:dyDescent="0.25">
      <c r="A34" s="1" t="s">
        <v>407</v>
      </c>
      <c r="B34" s="1" t="s">
        <v>51</v>
      </c>
      <c r="C34" s="1" t="s">
        <v>52</v>
      </c>
      <c r="D34" s="1" t="s">
        <v>408</v>
      </c>
      <c r="E34" s="1" t="s">
        <v>409</v>
      </c>
      <c r="F34" s="1" t="s">
        <v>410</v>
      </c>
      <c r="G34" s="1" t="s">
        <v>14129</v>
      </c>
      <c r="H34" s="1" t="s">
        <v>14133</v>
      </c>
      <c r="I34" s="1" t="s">
        <v>14164</v>
      </c>
      <c r="J34" s="1" t="s">
        <v>23</v>
      </c>
      <c r="K34" s="1"/>
      <c r="L34" s="1" t="s">
        <v>54</v>
      </c>
      <c r="M34" s="1" t="s">
        <v>411</v>
      </c>
      <c r="N34" s="1" t="s">
        <v>412</v>
      </c>
      <c r="O34" s="1" t="s">
        <v>413</v>
      </c>
      <c r="P34" s="1" t="s">
        <v>414</v>
      </c>
      <c r="Q34" s="1" t="s">
        <v>415</v>
      </c>
      <c r="R34" s="1" t="s">
        <v>416</v>
      </c>
      <c r="S34" s="1" t="s">
        <v>417</v>
      </c>
      <c r="T34" s="1" t="s">
        <v>418</v>
      </c>
      <c r="U34">
        <v>174.07</v>
      </c>
      <c r="V34">
        <v>2.33</v>
      </c>
      <c r="W34">
        <v>12.221002</v>
      </c>
      <c r="X34">
        <v>109.083788</v>
      </c>
      <c r="Y34">
        <v>171.74</v>
      </c>
      <c r="Z34">
        <v>12.222557999999999</v>
      </c>
      <c r="AA34">
        <v>109.08448300000001</v>
      </c>
      <c r="AB34" s="5">
        <f t="shared" si="1"/>
        <v>3.4950000000000003E-3</v>
      </c>
      <c r="AC34" s="5">
        <f t="shared" si="2"/>
        <v>0.25761000000000001</v>
      </c>
      <c r="AD34" s="1" t="str">
        <f t="shared" si="3"/>
        <v>1.CA Diên Khánh</v>
      </c>
      <c r="AE34" s="1" t="str">
        <f t="shared" si="4"/>
        <v>CA Suối Hiệp</v>
      </c>
      <c r="AG34">
        <f t="shared" si="5"/>
        <v>2.33E-3</v>
      </c>
      <c r="AH34">
        <f t="shared" si="6"/>
        <v>0.17174</v>
      </c>
      <c r="AI34" t="e">
        <f>VLOOKUP(L34,'[1]Tuyến cáp H04'!$B:$E,3,0)/1000</f>
        <v>#N/A</v>
      </c>
      <c r="AJ34" t="e">
        <f>VLOOKUP(L34,'[1]Tuyến cáp H04'!$B:$E,4,0)</f>
        <v>#N/A</v>
      </c>
    </row>
    <row r="35" spans="1:36" x14ac:dyDescent="0.25">
      <c r="A35" s="1" t="s">
        <v>419</v>
      </c>
      <c r="B35" s="1" t="s">
        <v>393</v>
      </c>
      <c r="C35" s="1" t="s">
        <v>394</v>
      </c>
      <c r="D35" s="1" t="s">
        <v>420</v>
      </c>
      <c r="E35" s="1" t="s">
        <v>421</v>
      </c>
      <c r="F35" s="1" t="s">
        <v>422</v>
      </c>
      <c r="G35" s="1" t="s">
        <v>14129</v>
      </c>
      <c r="H35" s="1" t="s">
        <v>14133</v>
      </c>
      <c r="I35" s="1" t="s">
        <v>14165</v>
      </c>
      <c r="J35" s="1" t="s">
        <v>23</v>
      </c>
      <c r="K35" s="1"/>
      <c r="L35" s="1" t="s">
        <v>317</v>
      </c>
      <c r="M35" s="1" t="s">
        <v>423</v>
      </c>
      <c r="N35" s="1" t="s">
        <v>424</v>
      </c>
      <c r="O35" s="1" t="s">
        <v>425</v>
      </c>
      <c r="P35" s="1" t="s">
        <v>426</v>
      </c>
      <c r="Q35" s="1" t="s">
        <v>427</v>
      </c>
      <c r="R35" s="1" t="s">
        <v>428</v>
      </c>
      <c r="S35" s="1" t="s">
        <v>429</v>
      </c>
      <c r="T35" s="1" t="s">
        <v>325</v>
      </c>
      <c r="U35">
        <v>894.46</v>
      </c>
      <c r="V35">
        <v>646.36</v>
      </c>
      <c r="W35">
        <v>12.263232</v>
      </c>
      <c r="X35">
        <v>109.033157</v>
      </c>
      <c r="Y35">
        <v>248.11</v>
      </c>
      <c r="Z35">
        <v>12.255091</v>
      </c>
      <c r="AA35">
        <v>109.05873699999999</v>
      </c>
      <c r="AB35" s="5">
        <f t="shared" si="1"/>
        <v>0.96953999999999996</v>
      </c>
      <c r="AC35" s="5">
        <f t="shared" si="2"/>
        <v>0.37216500000000002</v>
      </c>
      <c r="AD35" s="1" t="str">
        <f t="shared" si="3"/>
        <v>2.Nhà tạm giam Diên Khánh</v>
      </c>
      <c r="AE35" s="1" t="str">
        <f t="shared" si="4"/>
        <v>Trại giam A2</v>
      </c>
      <c r="AG35">
        <f t="shared" si="5"/>
        <v>0.64636000000000005</v>
      </c>
      <c r="AH35">
        <f t="shared" si="6"/>
        <v>0.24811000000000002</v>
      </c>
      <c r="AI35" t="e">
        <f>VLOOKUP(L35,'[1]Tuyến cáp H04'!$B:$E,3,0)/1000</f>
        <v>#N/A</v>
      </c>
      <c r="AJ35" t="e">
        <f>VLOOKUP(L35,'[1]Tuyến cáp H04'!$B:$E,4,0)</f>
        <v>#N/A</v>
      </c>
    </row>
    <row r="36" spans="1:36" x14ac:dyDescent="0.25">
      <c r="A36" s="1" t="s">
        <v>430</v>
      </c>
      <c r="B36" s="1" t="s">
        <v>393</v>
      </c>
      <c r="C36" s="1" t="s">
        <v>394</v>
      </c>
      <c r="D36" s="1" t="s">
        <v>431</v>
      </c>
      <c r="E36" s="1" t="s">
        <v>432</v>
      </c>
      <c r="F36" s="1" t="s">
        <v>433</v>
      </c>
      <c r="G36" s="1" t="s">
        <v>14129</v>
      </c>
      <c r="H36" s="1" t="s">
        <v>14133</v>
      </c>
      <c r="I36" s="1" t="s">
        <v>14166</v>
      </c>
      <c r="J36" s="1" t="s">
        <v>23</v>
      </c>
      <c r="K36" s="1"/>
      <c r="L36" s="1" t="s">
        <v>434</v>
      </c>
      <c r="M36" s="1" t="s">
        <v>435</v>
      </c>
      <c r="N36" s="1" t="s">
        <v>436</v>
      </c>
      <c r="O36" s="1" t="s">
        <v>437</v>
      </c>
      <c r="P36" s="1" t="s">
        <v>438</v>
      </c>
      <c r="Q36" s="1" t="s">
        <v>439</v>
      </c>
      <c r="R36" s="1" t="s">
        <v>440</v>
      </c>
      <c r="S36" s="1" t="s">
        <v>441</v>
      </c>
      <c r="T36" s="1" t="s">
        <v>442</v>
      </c>
      <c r="U36">
        <v>545.69000000000005</v>
      </c>
      <c r="V36">
        <v>3.2</v>
      </c>
      <c r="W36">
        <v>12.269061000000001</v>
      </c>
      <c r="X36">
        <v>109.03337999999999</v>
      </c>
      <c r="Y36">
        <v>542.49</v>
      </c>
      <c r="Z36">
        <v>12.274528999999999</v>
      </c>
      <c r="AA36">
        <v>109.01911</v>
      </c>
      <c r="AB36" s="5">
        <f t="shared" si="1"/>
        <v>4.8000000000000004E-3</v>
      </c>
      <c r="AC36" s="5">
        <f t="shared" si="2"/>
        <v>0.81373499999999999</v>
      </c>
      <c r="AD36" s="1" t="str">
        <f t="shared" si="3"/>
        <v>3.CA Diên Lâm</v>
      </c>
      <c r="AE36" s="1" t="str">
        <f t="shared" si="4"/>
        <v>CA Bắc Khánh Vĩnh_Cột trung thế</v>
      </c>
      <c r="AG36">
        <f t="shared" si="5"/>
        <v>3.2000000000000002E-3</v>
      </c>
      <c r="AH36">
        <f t="shared" si="6"/>
        <v>0.54249000000000003</v>
      </c>
      <c r="AI36" t="e">
        <f>VLOOKUP(L36,'[1]Tuyến cáp H04'!$B:$E,3,0)/1000</f>
        <v>#N/A</v>
      </c>
      <c r="AJ36" t="e">
        <f>VLOOKUP(L36,'[1]Tuyến cáp H04'!$B:$E,4,0)</f>
        <v>#N/A</v>
      </c>
    </row>
    <row r="37" spans="1:36" x14ac:dyDescent="0.25">
      <c r="A37" s="1" t="s">
        <v>443</v>
      </c>
      <c r="B37" s="1" t="s">
        <v>181</v>
      </c>
      <c r="C37" s="1" t="s">
        <v>182</v>
      </c>
      <c r="D37" s="1" t="s">
        <v>444</v>
      </c>
      <c r="E37" s="1" t="s">
        <v>445</v>
      </c>
      <c r="F37" s="1" t="s">
        <v>446</v>
      </c>
      <c r="G37" s="1" t="s">
        <v>14129</v>
      </c>
      <c r="H37" s="1" t="s">
        <v>14133</v>
      </c>
      <c r="I37" s="1" t="s">
        <v>14167</v>
      </c>
      <c r="J37" s="1" t="s">
        <v>23</v>
      </c>
      <c r="K37" s="1"/>
      <c r="L37" s="1" t="s">
        <v>447</v>
      </c>
      <c r="M37" s="1" t="s">
        <v>448</v>
      </c>
      <c r="N37" s="1" t="s">
        <v>449</v>
      </c>
      <c r="O37" s="1" t="s">
        <v>450</v>
      </c>
      <c r="P37" s="1" t="s">
        <v>451</v>
      </c>
      <c r="Q37" s="1" t="s">
        <v>452</v>
      </c>
      <c r="R37" s="1" t="s">
        <v>453</v>
      </c>
      <c r="S37" s="1" t="s">
        <v>454</v>
      </c>
      <c r="T37" s="1" t="s">
        <v>455</v>
      </c>
      <c r="U37">
        <v>1324.18</v>
      </c>
      <c r="V37">
        <v>5.44</v>
      </c>
      <c r="W37">
        <v>12.276033999999999</v>
      </c>
      <c r="X37">
        <v>109.12025</v>
      </c>
      <c r="Y37">
        <v>1318.74</v>
      </c>
      <c r="Z37">
        <v>12.273351999999999</v>
      </c>
      <c r="AA37">
        <v>109.11435899999999</v>
      </c>
      <c r="AB37" s="5">
        <f t="shared" si="1"/>
        <v>8.1600000000000006E-3</v>
      </c>
      <c r="AC37" s="5">
        <f t="shared" si="2"/>
        <v>1.97811</v>
      </c>
      <c r="AD37" s="1" t="str">
        <f t="shared" si="3"/>
        <v>1.CA Diên Khánh</v>
      </c>
      <c r="AE37" s="1" t="str">
        <f t="shared" si="4"/>
        <v>CA Diên Điền_Cột trung thế</v>
      </c>
      <c r="AG37">
        <f t="shared" si="5"/>
        <v>5.4400000000000004E-3</v>
      </c>
      <c r="AH37">
        <f t="shared" si="6"/>
        <v>1.31874</v>
      </c>
      <c r="AI37" t="e">
        <f>VLOOKUP(L37,'[1]Tuyến cáp H04'!$B:$E,3,0)/1000</f>
        <v>#N/A</v>
      </c>
      <c r="AJ37" t="e">
        <f>VLOOKUP(L37,'[1]Tuyến cáp H04'!$B:$E,4,0)</f>
        <v>#N/A</v>
      </c>
    </row>
    <row r="38" spans="1:36" x14ac:dyDescent="0.25">
      <c r="A38" s="1" t="s">
        <v>456</v>
      </c>
      <c r="B38" s="1" t="s">
        <v>196</v>
      </c>
      <c r="C38" s="1" t="s">
        <v>197</v>
      </c>
      <c r="D38" s="1" t="s">
        <v>457</v>
      </c>
      <c r="E38" s="1" t="s">
        <v>458</v>
      </c>
      <c r="F38" s="1" t="s">
        <v>459</v>
      </c>
      <c r="G38" s="1" t="s">
        <v>14129</v>
      </c>
      <c r="H38" s="1" t="s">
        <v>14133</v>
      </c>
      <c r="I38" s="1" t="s">
        <v>14168</v>
      </c>
      <c r="J38" s="1" t="s">
        <v>23</v>
      </c>
      <c r="K38" s="1"/>
      <c r="L38" s="1" t="s">
        <v>201</v>
      </c>
      <c r="M38" s="1" t="s">
        <v>460</v>
      </c>
      <c r="N38" s="1" t="s">
        <v>232</v>
      </c>
      <c r="O38" s="1" t="s">
        <v>233</v>
      </c>
      <c r="P38" s="1" t="s">
        <v>234</v>
      </c>
      <c r="Q38" s="1" t="s">
        <v>461</v>
      </c>
      <c r="R38" s="1" t="s">
        <v>462</v>
      </c>
      <c r="S38" s="1" t="s">
        <v>463</v>
      </c>
      <c r="T38" s="1" t="s">
        <v>238</v>
      </c>
      <c r="U38">
        <v>764.16</v>
      </c>
      <c r="V38">
        <v>0.85</v>
      </c>
      <c r="W38">
        <v>12.282332</v>
      </c>
      <c r="X38">
        <v>109.19810099999999</v>
      </c>
      <c r="Y38">
        <v>763.31</v>
      </c>
      <c r="Z38">
        <v>12.282397</v>
      </c>
      <c r="AA38">
        <v>109.198201</v>
      </c>
      <c r="AB38" s="5">
        <f t="shared" si="1"/>
        <v>1.2749999999999999E-3</v>
      </c>
      <c r="AC38" s="5">
        <f t="shared" si="2"/>
        <v>1.144965</v>
      </c>
      <c r="AD38" s="1" t="str">
        <f t="shared" si="3"/>
        <v>3.CA Bắc Nha Trang</v>
      </c>
      <c r="AE38" s="1" t="str">
        <f t="shared" si="4"/>
        <v>CAT Khánh Hòa</v>
      </c>
      <c r="AG38">
        <f t="shared" si="5"/>
        <v>8.4999999999999995E-4</v>
      </c>
      <c r="AH38">
        <f t="shared" si="6"/>
        <v>0.76330999999999993</v>
      </c>
      <c r="AI38" t="e">
        <f>VLOOKUP(L38,'[1]Tuyến cáp H04'!$B:$E,3,0)/1000</f>
        <v>#N/A</v>
      </c>
      <c r="AJ38" t="e">
        <f>VLOOKUP(L38,'[1]Tuyến cáp H04'!$B:$E,4,0)</f>
        <v>#N/A</v>
      </c>
    </row>
    <row r="39" spans="1:36" x14ac:dyDescent="0.25">
      <c r="A39" s="1" t="s">
        <v>464</v>
      </c>
      <c r="B39" s="1" t="s">
        <v>77</v>
      </c>
      <c r="C39" s="1" t="s">
        <v>78</v>
      </c>
      <c r="D39" s="1" t="s">
        <v>465</v>
      </c>
      <c r="E39" s="1" t="s">
        <v>466</v>
      </c>
      <c r="F39" s="1" t="s">
        <v>467</v>
      </c>
      <c r="G39" s="1" t="s">
        <v>14129</v>
      </c>
      <c r="H39" s="1" t="s">
        <v>14133</v>
      </c>
      <c r="I39" s="1" t="s">
        <v>14169</v>
      </c>
      <c r="J39" s="1" t="s">
        <v>23</v>
      </c>
      <c r="K39" s="1"/>
      <c r="L39" s="1" t="s">
        <v>110</v>
      </c>
      <c r="M39" s="1" t="s">
        <v>468</v>
      </c>
      <c r="N39" s="1" t="s">
        <v>112</v>
      </c>
      <c r="O39" s="1" t="s">
        <v>113</v>
      </c>
      <c r="P39" s="1" t="s">
        <v>114</v>
      </c>
      <c r="Q39" s="1" t="s">
        <v>469</v>
      </c>
      <c r="R39" s="1" t="s">
        <v>470</v>
      </c>
      <c r="S39" s="1" t="s">
        <v>471</v>
      </c>
      <c r="T39" s="1" t="s">
        <v>118</v>
      </c>
      <c r="U39">
        <v>1246.56</v>
      </c>
      <c r="V39">
        <v>3.34</v>
      </c>
      <c r="W39">
        <v>12.175723</v>
      </c>
      <c r="X39">
        <v>109.17368</v>
      </c>
      <c r="Y39">
        <v>1243.22</v>
      </c>
      <c r="Z39">
        <v>12.189206</v>
      </c>
      <c r="AA39">
        <v>109.169819</v>
      </c>
      <c r="AB39" s="5">
        <f t="shared" si="1"/>
        <v>5.0099999999999997E-3</v>
      </c>
      <c r="AC39" s="5">
        <f t="shared" si="2"/>
        <v>1.86483</v>
      </c>
      <c r="AD39" s="1" t="str">
        <f t="shared" si="3"/>
        <v>4.PC11a</v>
      </c>
      <c r="AE39" s="1" t="str">
        <f t="shared" si="4"/>
        <v>PC02_Đoạn cột trung thế</v>
      </c>
      <c r="AG39">
        <f t="shared" si="5"/>
        <v>3.3399999999999997E-3</v>
      </c>
      <c r="AH39">
        <f t="shared" si="6"/>
        <v>1.24322</v>
      </c>
      <c r="AI39" t="e">
        <f>VLOOKUP(L39,'[1]Tuyến cáp H04'!$B:$E,3,0)/1000</f>
        <v>#N/A</v>
      </c>
      <c r="AJ39" t="e">
        <f>VLOOKUP(L39,'[1]Tuyến cáp H04'!$B:$E,4,0)</f>
        <v>#N/A</v>
      </c>
    </row>
    <row r="40" spans="1:36" x14ac:dyDescent="0.25">
      <c r="A40" s="1" t="s">
        <v>472</v>
      </c>
      <c r="B40" s="1" t="s">
        <v>160</v>
      </c>
      <c r="C40" s="1" t="s">
        <v>161</v>
      </c>
      <c r="D40" s="1" t="s">
        <v>473</v>
      </c>
      <c r="E40" s="1" t="s">
        <v>474</v>
      </c>
      <c r="F40" s="1" t="s">
        <v>475</v>
      </c>
      <c r="G40" s="1" t="s">
        <v>14129</v>
      </c>
      <c r="H40" s="1" t="s">
        <v>14133</v>
      </c>
      <c r="I40" s="1" t="s">
        <v>14170</v>
      </c>
      <c r="J40" s="1" t="s">
        <v>23</v>
      </c>
      <c r="K40" s="1"/>
      <c r="L40" s="1" t="s">
        <v>163</v>
      </c>
      <c r="M40" s="1" t="s">
        <v>476</v>
      </c>
      <c r="N40" s="1" t="s">
        <v>165</v>
      </c>
      <c r="O40" s="1" t="s">
        <v>166</v>
      </c>
      <c r="P40" s="1" t="s">
        <v>167</v>
      </c>
      <c r="Q40" s="1" t="s">
        <v>477</v>
      </c>
      <c r="R40" s="1" t="s">
        <v>169</v>
      </c>
      <c r="S40" s="1" t="s">
        <v>170</v>
      </c>
      <c r="T40" s="1" t="s">
        <v>171</v>
      </c>
      <c r="U40">
        <v>1024.07</v>
      </c>
      <c r="V40">
        <v>1.27</v>
      </c>
      <c r="W40">
        <v>12.278760999999999</v>
      </c>
      <c r="X40">
        <v>109.188896</v>
      </c>
      <c r="Y40">
        <v>1022.79</v>
      </c>
      <c r="Z40">
        <v>12.276948000000001</v>
      </c>
      <c r="AA40">
        <v>109.18840899999999</v>
      </c>
      <c r="AB40" s="5">
        <f t="shared" si="1"/>
        <v>1.905E-3</v>
      </c>
      <c r="AC40" s="5">
        <f t="shared" si="2"/>
        <v>1.5341849999999999</v>
      </c>
      <c r="AD40" s="1" t="str">
        <f t="shared" si="3"/>
        <v>Tuyến nhánh PK02 cs1</v>
      </c>
      <c r="AE40" s="1" t="str">
        <f t="shared" si="4"/>
        <v>NTG Nha Trang cũ_Cột hạ thế</v>
      </c>
      <c r="AG40">
        <f t="shared" si="5"/>
        <v>1.2700000000000001E-3</v>
      </c>
      <c r="AH40">
        <f t="shared" si="6"/>
        <v>1.0227899999999999</v>
      </c>
      <c r="AI40" t="e">
        <f>VLOOKUP(L40,'[1]Tuyến cáp H04'!$B:$E,3,0)/1000</f>
        <v>#N/A</v>
      </c>
      <c r="AJ40" t="e">
        <f>VLOOKUP(L40,'[1]Tuyến cáp H04'!$B:$E,4,0)</f>
        <v>#N/A</v>
      </c>
    </row>
    <row r="41" spans="1:36" x14ac:dyDescent="0.25">
      <c r="A41" s="1" t="s">
        <v>478</v>
      </c>
      <c r="B41" s="1" t="s">
        <v>196</v>
      </c>
      <c r="C41" s="1" t="s">
        <v>197</v>
      </c>
      <c r="D41" s="1" t="s">
        <v>479</v>
      </c>
      <c r="E41" s="1" t="s">
        <v>480</v>
      </c>
      <c r="F41" s="1" t="s">
        <v>481</v>
      </c>
      <c r="G41" s="1" t="s">
        <v>14129</v>
      </c>
      <c r="H41" s="1" t="s">
        <v>14133</v>
      </c>
      <c r="I41" s="1" t="s">
        <v>14171</v>
      </c>
      <c r="J41" s="1" t="s">
        <v>23</v>
      </c>
      <c r="K41" s="1"/>
      <c r="L41" s="1" t="s">
        <v>186</v>
      </c>
      <c r="M41" s="1" t="s">
        <v>482</v>
      </c>
      <c r="N41" s="1" t="s">
        <v>339</v>
      </c>
      <c r="O41" s="1" t="s">
        <v>340</v>
      </c>
      <c r="P41" s="1" t="s">
        <v>341</v>
      </c>
      <c r="Q41" s="1" t="s">
        <v>483</v>
      </c>
      <c r="R41" s="1" t="s">
        <v>484</v>
      </c>
      <c r="S41" s="1" t="s">
        <v>485</v>
      </c>
      <c r="T41" s="1" t="s">
        <v>345</v>
      </c>
      <c r="U41">
        <v>234.94</v>
      </c>
      <c r="V41">
        <v>0.89</v>
      </c>
      <c r="W41">
        <v>12.282335</v>
      </c>
      <c r="X41">
        <v>109.198106</v>
      </c>
      <c r="Y41">
        <v>234.06</v>
      </c>
      <c r="Z41">
        <v>12.282329000000001</v>
      </c>
      <c r="AA41">
        <v>109.19565299999999</v>
      </c>
      <c r="AB41" s="5">
        <f t="shared" si="1"/>
        <v>1.335E-3</v>
      </c>
      <c r="AC41" s="5">
        <f t="shared" si="2"/>
        <v>0.35109000000000001</v>
      </c>
      <c r="AD41" s="1" t="str">
        <f t="shared" si="3"/>
        <v>2.CA Diên Điền</v>
      </c>
      <c r="AE41" s="1" t="str">
        <f t="shared" si="4"/>
        <v>CA Bắc Nha Trang</v>
      </c>
      <c r="AG41">
        <f t="shared" si="5"/>
        <v>8.9000000000000006E-4</v>
      </c>
      <c r="AH41">
        <f t="shared" si="6"/>
        <v>0.23405999999999999</v>
      </c>
      <c r="AI41" t="e">
        <f>VLOOKUP(L41,'[1]Tuyến cáp H04'!$B:$E,3,0)/1000</f>
        <v>#N/A</v>
      </c>
      <c r="AJ41" t="e">
        <f>VLOOKUP(L41,'[1]Tuyến cáp H04'!$B:$E,4,0)</f>
        <v>#N/A</v>
      </c>
    </row>
    <row r="42" spans="1:36" x14ac:dyDescent="0.25">
      <c r="A42" s="1" t="s">
        <v>486</v>
      </c>
      <c r="B42" s="1" t="s">
        <v>77</v>
      </c>
      <c r="C42" s="1" t="s">
        <v>78</v>
      </c>
      <c r="D42" s="1" t="s">
        <v>487</v>
      </c>
      <c r="E42" s="1" t="s">
        <v>488</v>
      </c>
      <c r="F42" s="1" t="s">
        <v>489</v>
      </c>
      <c r="G42" s="1" t="s">
        <v>14129</v>
      </c>
      <c r="H42" s="1" t="s">
        <v>14133</v>
      </c>
      <c r="I42" s="1" t="s">
        <v>14172</v>
      </c>
      <c r="J42" s="1" t="s">
        <v>23</v>
      </c>
      <c r="K42" s="1"/>
      <c r="L42" s="1" t="s">
        <v>490</v>
      </c>
      <c r="M42" s="1" t="s">
        <v>491</v>
      </c>
      <c r="N42" s="1" t="s">
        <v>492</v>
      </c>
      <c r="O42" s="1" t="s">
        <v>493</v>
      </c>
      <c r="P42" s="1" t="s">
        <v>494</v>
      </c>
      <c r="Q42" s="1" t="s">
        <v>495</v>
      </c>
      <c r="R42" s="1" t="s">
        <v>496</v>
      </c>
      <c r="S42" s="1" t="s">
        <v>497</v>
      </c>
      <c r="T42" s="1" t="s">
        <v>498</v>
      </c>
      <c r="U42">
        <v>536.66999999999996</v>
      </c>
      <c r="V42">
        <v>136.09</v>
      </c>
      <c r="W42">
        <v>12.175768</v>
      </c>
      <c r="X42">
        <v>109.17495</v>
      </c>
      <c r="Y42">
        <v>400.58</v>
      </c>
      <c r="Z42">
        <v>12.170889000000001</v>
      </c>
      <c r="AA42">
        <v>109.187518</v>
      </c>
      <c r="AB42" s="5">
        <f t="shared" si="1"/>
        <v>0.20413499999999998</v>
      </c>
      <c r="AC42" s="5">
        <f t="shared" si="2"/>
        <v>0.60087000000000002</v>
      </c>
      <c r="AD42" s="1" t="str">
        <f t="shared" si="3"/>
        <v>1.CAT Khánh Hòa</v>
      </c>
      <c r="AE42" s="1" t="str">
        <f t="shared" si="4"/>
        <v>Cam Lâm</v>
      </c>
      <c r="AG42">
        <f t="shared" si="5"/>
        <v>0.13609000000000002</v>
      </c>
      <c r="AH42">
        <f t="shared" si="6"/>
        <v>0.40057999999999999</v>
      </c>
      <c r="AI42" t="e">
        <f>VLOOKUP(L42,'[1]Tuyến cáp H04'!$B:$E,3,0)/1000</f>
        <v>#N/A</v>
      </c>
      <c r="AJ42" t="e">
        <f>VLOOKUP(L42,'[1]Tuyến cáp H04'!$B:$E,4,0)</f>
        <v>#N/A</v>
      </c>
    </row>
    <row r="43" spans="1:36" x14ac:dyDescent="0.25">
      <c r="A43" s="1" t="s">
        <v>499</v>
      </c>
      <c r="B43" s="1" t="s">
        <v>211</v>
      </c>
      <c r="C43" s="1" t="s">
        <v>212</v>
      </c>
      <c r="D43" s="1" t="s">
        <v>500</v>
      </c>
      <c r="E43" s="1" t="s">
        <v>501</v>
      </c>
      <c r="F43" s="1" t="s">
        <v>502</v>
      </c>
      <c r="G43" s="1" t="s">
        <v>14129</v>
      </c>
      <c r="H43" s="1" t="s">
        <v>14133</v>
      </c>
      <c r="I43" s="1" t="s">
        <v>14173</v>
      </c>
      <c r="J43" s="1" t="s">
        <v>23</v>
      </c>
      <c r="K43" s="1"/>
      <c r="L43" s="1" t="s">
        <v>39</v>
      </c>
      <c r="M43" s="1" t="s">
        <v>503</v>
      </c>
      <c r="N43" s="1" t="s">
        <v>504</v>
      </c>
      <c r="O43" s="1" t="s">
        <v>505</v>
      </c>
      <c r="P43" s="1" t="s">
        <v>506</v>
      </c>
      <c r="Q43" s="1" t="s">
        <v>507</v>
      </c>
      <c r="R43" s="1" t="s">
        <v>508</v>
      </c>
      <c r="S43" s="1" t="s">
        <v>509</v>
      </c>
      <c r="T43" s="1" t="s">
        <v>510</v>
      </c>
      <c r="U43">
        <v>633.82000000000005</v>
      </c>
      <c r="V43">
        <v>424.42</v>
      </c>
      <c r="W43">
        <v>12.253059</v>
      </c>
      <c r="X43">
        <v>109.18977700000001</v>
      </c>
      <c r="Y43">
        <v>209.39</v>
      </c>
      <c r="Z43">
        <v>12.259029999999999</v>
      </c>
      <c r="AA43">
        <v>109.189052</v>
      </c>
      <c r="AB43" s="5">
        <f t="shared" si="1"/>
        <v>0.63663000000000003</v>
      </c>
      <c r="AC43" s="5">
        <f t="shared" si="2"/>
        <v>0.314085</v>
      </c>
      <c r="AD43" s="1" t="str">
        <f t="shared" si="3"/>
        <v>1.CAT Khánh Hòa</v>
      </c>
      <c r="AE43" s="1" t="str">
        <f t="shared" si="4"/>
        <v>PK02 cs1</v>
      </c>
      <c r="AG43">
        <f t="shared" si="5"/>
        <v>0.42442000000000002</v>
      </c>
      <c r="AH43">
        <f t="shared" si="6"/>
        <v>0.20938999999999999</v>
      </c>
      <c r="AI43" t="e">
        <f>VLOOKUP(L43,'[1]Tuyến cáp H04'!$B:$E,3,0)/1000</f>
        <v>#N/A</v>
      </c>
      <c r="AJ43" t="e">
        <f>VLOOKUP(L43,'[1]Tuyến cáp H04'!$B:$E,4,0)</f>
        <v>#N/A</v>
      </c>
    </row>
    <row r="44" spans="1:36" x14ac:dyDescent="0.25">
      <c r="A44" s="1" t="s">
        <v>511</v>
      </c>
      <c r="B44" s="1" t="s">
        <v>34</v>
      </c>
      <c r="C44" s="1" t="s">
        <v>35</v>
      </c>
      <c r="D44" s="1" t="s">
        <v>512</v>
      </c>
      <c r="E44" s="1" t="s">
        <v>513</v>
      </c>
      <c r="F44" s="1" t="s">
        <v>514</v>
      </c>
      <c r="G44" s="1" t="s">
        <v>14129</v>
      </c>
      <c r="H44" s="1" t="s">
        <v>14133</v>
      </c>
      <c r="I44" s="1" t="s">
        <v>14174</v>
      </c>
      <c r="J44" s="1" t="s">
        <v>23</v>
      </c>
      <c r="K44" s="1"/>
      <c r="L44" s="1" t="s">
        <v>39</v>
      </c>
      <c r="M44" s="1" t="s">
        <v>515</v>
      </c>
      <c r="N44" s="1" t="s">
        <v>41</v>
      </c>
      <c r="O44" s="1" t="s">
        <v>42</v>
      </c>
      <c r="P44" s="1" t="s">
        <v>43</v>
      </c>
      <c r="Q44" s="1" t="s">
        <v>516</v>
      </c>
      <c r="R44" s="1" t="s">
        <v>517</v>
      </c>
      <c r="S44" s="1" t="s">
        <v>518</v>
      </c>
      <c r="T44" s="1" t="s">
        <v>47</v>
      </c>
      <c r="U44">
        <v>331.83</v>
      </c>
      <c r="V44">
        <v>206.48</v>
      </c>
      <c r="W44">
        <v>12.278732</v>
      </c>
      <c r="X44">
        <v>109.188858</v>
      </c>
      <c r="Y44">
        <v>125.35</v>
      </c>
      <c r="Z44">
        <v>12.279657</v>
      </c>
      <c r="AA44">
        <v>109.194971</v>
      </c>
      <c r="AB44" s="5">
        <f t="shared" si="1"/>
        <v>0.30972</v>
      </c>
      <c r="AC44" s="5">
        <f t="shared" si="2"/>
        <v>0.18802499999999997</v>
      </c>
      <c r="AD44" s="1" t="str">
        <f t="shared" si="3"/>
        <v>1.CAT Khánh Hòa</v>
      </c>
      <c r="AE44" s="1" t="str">
        <f t="shared" si="4"/>
        <v>PK02 cs1</v>
      </c>
      <c r="AG44">
        <f t="shared" si="5"/>
        <v>0.20648</v>
      </c>
      <c r="AH44">
        <f t="shared" si="6"/>
        <v>0.12534999999999999</v>
      </c>
      <c r="AI44" t="e">
        <f>VLOOKUP(L44,'[1]Tuyến cáp H04'!$B:$E,3,0)/1000</f>
        <v>#N/A</v>
      </c>
      <c r="AJ44" t="e">
        <f>VLOOKUP(L44,'[1]Tuyến cáp H04'!$B:$E,4,0)</f>
        <v>#N/A</v>
      </c>
    </row>
    <row r="45" spans="1:36" x14ac:dyDescent="0.25">
      <c r="A45" s="1" t="s">
        <v>519</v>
      </c>
      <c r="B45" s="1" t="s">
        <v>278</v>
      </c>
      <c r="C45" s="1" t="s">
        <v>279</v>
      </c>
      <c r="D45" s="1" t="s">
        <v>520</v>
      </c>
      <c r="E45" s="1" t="s">
        <v>521</v>
      </c>
      <c r="F45" s="1" t="s">
        <v>522</v>
      </c>
      <c r="G45" s="1" t="s">
        <v>14129</v>
      </c>
      <c r="H45" s="1" t="s">
        <v>14133</v>
      </c>
      <c r="I45" s="1" t="s">
        <v>14175</v>
      </c>
      <c r="J45" s="1" t="s">
        <v>23</v>
      </c>
      <c r="K45" s="1"/>
      <c r="L45" s="1" t="s">
        <v>283</v>
      </c>
      <c r="M45" s="1" t="s">
        <v>523</v>
      </c>
      <c r="N45" s="1" t="s">
        <v>285</v>
      </c>
      <c r="O45" s="1" t="s">
        <v>286</v>
      </c>
      <c r="P45" s="1" t="s">
        <v>287</v>
      </c>
      <c r="Q45" s="1" t="s">
        <v>524</v>
      </c>
      <c r="R45" s="1" t="s">
        <v>289</v>
      </c>
      <c r="S45" s="1" t="s">
        <v>290</v>
      </c>
      <c r="T45" s="1" t="s">
        <v>291</v>
      </c>
      <c r="U45">
        <v>520087.22</v>
      </c>
      <c r="V45">
        <v>252584.19</v>
      </c>
      <c r="W45">
        <v>14.659686000000001</v>
      </c>
      <c r="X45">
        <v>107.839439</v>
      </c>
      <c r="Y45">
        <v>267503.03000000003</v>
      </c>
      <c r="Z45">
        <v>14.352316999999999</v>
      </c>
      <c r="AA45">
        <v>108.007831</v>
      </c>
      <c r="AB45" s="5">
        <f t="shared" si="1"/>
        <v>378.87628500000005</v>
      </c>
      <c r="AC45" s="5">
        <f t="shared" si="2"/>
        <v>401.25454500000006</v>
      </c>
      <c r="AD45" s="1" t="str">
        <f t="shared" si="3"/>
        <v>Đăk Tô</v>
      </c>
      <c r="AE45" s="1" t="str">
        <f t="shared" si="4"/>
        <v>TT2 Kon Tum</v>
      </c>
      <c r="AG45">
        <f t="shared" si="5"/>
        <v>252.58419000000001</v>
      </c>
      <c r="AH45">
        <f t="shared" si="6"/>
        <v>267.50303000000002</v>
      </c>
      <c r="AI45">
        <f>VLOOKUP(L45,'[1]Tuyến cáp H04'!$B:$E,3,0)/1000</f>
        <v>43.9602</v>
      </c>
      <c r="AJ45" t="str">
        <f>VLOOKUP(L45,'[1]Tuyến cáp H04'!$B:$E,4,0)</f>
        <v>Mạng cấp 3</v>
      </c>
    </row>
    <row r="46" spans="1:36" x14ac:dyDescent="0.25">
      <c r="A46" s="1" t="s">
        <v>525</v>
      </c>
      <c r="B46" s="1" t="s">
        <v>77</v>
      </c>
      <c r="C46" s="1" t="s">
        <v>78</v>
      </c>
      <c r="D46" s="1" t="s">
        <v>526</v>
      </c>
      <c r="E46" s="1" t="s">
        <v>527</v>
      </c>
      <c r="F46" s="1" t="s">
        <v>528</v>
      </c>
      <c r="G46" s="1" t="s">
        <v>14129</v>
      </c>
      <c r="H46" s="1" t="s">
        <v>14133</v>
      </c>
      <c r="I46" s="1" t="s">
        <v>14176</v>
      </c>
      <c r="J46" s="1" t="s">
        <v>23</v>
      </c>
      <c r="K46" s="1"/>
      <c r="L46" s="1" t="s">
        <v>110</v>
      </c>
      <c r="M46" s="1" t="s">
        <v>529</v>
      </c>
      <c r="N46" s="1" t="s">
        <v>112</v>
      </c>
      <c r="O46" s="1" t="s">
        <v>113</v>
      </c>
      <c r="P46" s="1" t="s">
        <v>114</v>
      </c>
      <c r="Q46" s="1" t="s">
        <v>530</v>
      </c>
      <c r="R46" s="1" t="s">
        <v>531</v>
      </c>
      <c r="S46" s="1" t="s">
        <v>532</v>
      </c>
      <c r="T46" s="1" t="s">
        <v>118</v>
      </c>
      <c r="U46">
        <v>147.68</v>
      </c>
      <c r="V46">
        <v>3.34</v>
      </c>
      <c r="W46">
        <v>12.175723</v>
      </c>
      <c r="X46">
        <v>109.17368</v>
      </c>
      <c r="Y46">
        <v>144.34</v>
      </c>
      <c r="Z46">
        <v>12.1988</v>
      </c>
      <c r="AA46">
        <v>109.176728</v>
      </c>
      <c r="AB46" s="5">
        <f t="shared" si="1"/>
        <v>5.0099999999999997E-3</v>
      </c>
      <c r="AC46" s="5">
        <f t="shared" si="2"/>
        <v>0.21650999999999998</v>
      </c>
      <c r="AD46" s="1" t="str">
        <f t="shared" si="3"/>
        <v>4.PC11a</v>
      </c>
      <c r="AE46" s="1" t="str">
        <f t="shared" si="4"/>
        <v>PC02_Đoạn cột trung thế</v>
      </c>
      <c r="AG46">
        <f t="shared" si="5"/>
        <v>3.3399999999999997E-3</v>
      </c>
      <c r="AH46">
        <f t="shared" si="6"/>
        <v>0.14434</v>
      </c>
      <c r="AI46" t="e">
        <f>VLOOKUP(L46,'[1]Tuyến cáp H04'!$B:$E,3,0)/1000</f>
        <v>#N/A</v>
      </c>
      <c r="AJ46" t="e">
        <f>VLOOKUP(L46,'[1]Tuyến cáp H04'!$B:$E,4,0)</f>
        <v>#N/A</v>
      </c>
    </row>
    <row r="47" spans="1:36" x14ac:dyDescent="0.25">
      <c r="A47" s="1" t="s">
        <v>533</v>
      </c>
      <c r="B47" s="1" t="s">
        <v>211</v>
      </c>
      <c r="C47" s="1" t="s">
        <v>212</v>
      </c>
      <c r="D47" s="1" t="s">
        <v>534</v>
      </c>
      <c r="E47" s="1" t="s">
        <v>535</v>
      </c>
      <c r="F47" s="1" t="s">
        <v>536</v>
      </c>
      <c r="G47" s="1" t="s">
        <v>14129</v>
      </c>
      <c r="H47" s="1" t="s">
        <v>14133</v>
      </c>
      <c r="I47" s="1" t="s">
        <v>14177</v>
      </c>
      <c r="J47" s="1" t="s">
        <v>23</v>
      </c>
      <c r="K47" s="1"/>
      <c r="L47" s="1" t="s">
        <v>268</v>
      </c>
      <c r="M47" s="1" t="s">
        <v>537</v>
      </c>
      <c r="N47" s="1" t="s">
        <v>538</v>
      </c>
      <c r="O47" s="1" t="s">
        <v>539</v>
      </c>
      <c r="P47" s="1" t="s">
        <v>540</v>
      </c>
      <c r="Q47" s="1" t="s">
        <v>541</v>
      </c>
      <c r="R47" s="1" t="s">
        <v>274</v>
      </c>
      <c r="S47" s="1" t="s">
        <v>275</v>
      </c>
      <c r="T47" s="1" t="s">
        <v>276</v>
      </c>
      <c r="U47">
        <v>1012.35</v>
      </c>
      <c r="V47">
        <v>2.37</v>
      </c>
      <c r="W47">
        <v>12.251134</v>
      </c>
      <c r="X47">
        <v>109.186421</v>
      </c>
      <c r="Y47">
        <v>1009.98</v>
      </c>
      <c r="Z47">
        <v>12.254597</v>
      </c>
      <c r="AA47">
        <v>109.180751</v>
      </c>
      <c r="AB47" s="5">
        <f t="shared" si="1"/>
        <v>3.555E-3</v>
      </c>
      <c r="AC47" s="5">
        <f t="shared" si="2"/>
        <v>1.5149699999999999</v>
      </c>
      <c r="AD47" s="1" t="str">
        <f t="shared" si="3"/>
        <v>4.CA Tây Nha Trang</v>
      </c>
      <c r="AE47" s="1" t="str">
        <f t="shared" si="4"/>
        <v>TTCMKV Diên Khánh</v>
      </c>
      <c r="AG47">
        <f t="shared" si="5"/>
        <v>2.3700000000000001E-3</v>
      </c>
      <c r="AH47">
        <f t="shared" si="6"/>
        <v>1.0099800000000001</v>
      </c>
      <c r="AI47" t="e">
        <f>VLOOKUP(L47,'[1]Tuyến cáp H04'!$B:$E,3,0)/1000</f>
        <v>#N/A</v>
      </c>
      <c r="AJ47" t="e">
        <f>VLOOKUP(L47,'[1]Tuyến cáp H04'!$B:$E,4,0)</f>
        <v>#N/A</v>
      </c>
    </row>
    <row r="48" spans="1:36" x14ac:dyDescent="0.25">
      <c r="A48" s="1" t="s">
        <v>542</v>
      </c>
      <c r="B48" s="1" t="s">
        <v>51</v>
      </c>
      <c r="C48" s="1" t="s">
        <v>52</v>
      </c>
      <c r="D48" s="1" t="s">
        <v>393</v>
      </c>
      <c r="E48" s="1" t="s">
        <v>394</v>
      </c>
      <c r="F48" s="1" t="s">
        <v>543</v>
      </c>
      <c r="G48" s="1" t="s">
        <v>14129</v>
      </c>
      <c r="H48" s="1" t="s">
        <v>14133</v>
      </c>
      <c r="I48" s="1" t="s">
        <v>14178</v>
      </c>
      <c r="J48" s="1" t="s">
        <v>23</v>
      </c>
      <c r="K48" s="1"/>
      <c r="L48" s="1" t="s">
        <v>317</v>
      </c>
      <c r="M48" s="1" t="s">
        <v>544</v>
      </c>
      <c r="N48" s="1" t="s">
        <v>545</v>
      </c>
      <c r="O48" s="1" t="s">
        <v>382</v>
      </c>
      <c r="P48" s="1" t="s">
        <v>383</v>
      </c>
      <c r="Q48" s="1" t="s">
        <v>424</v>
      </c>
      <c r="R48" s="1" t="s">
        <v>425</v>
      </c>
      <c r="S48" s="1" t="s">
        <v>426</v>
      </c>
      <c r="T48" s="1" t="s">
        <v>325</v>
      </c>
      <c r="U48">
        <v>3643.19</v>
      </c>
      <c r="V48">
        <v>2996.83</v>
      </c>
      <c r="W48">
        <v>12.246168000000001</v>
      </c>
      <c r="X48">
        <v>109.073882</v>
      </c>
      <c r="Y48">
        <v>646.36</v>
      </c>
      <c r="Z48">
        <v>12.263232</v>
      </c>
      <c r="AA48">
        <v>109.033157</v>
      </c>
      <c r="AB48" s="5">
        <f t="shared" si="1"/>
        <v>4.4952449999999997</v>
      </c>
      <c r="AC48" s="5">
        <f t="shared" si="2"/>
        <v>0.96953999999999996</v>
      </c>
      <c r="AD48" s="1" t="str">
        <f t="shared" si="3"/>
        <v>2.Nhà tạm giam Diên Khánh</v>
      </c>
      <c r="AE48" s="1" t="str">
        <f t="shared" si="4"/>
        <v>Trại giam A2</v>
      </c>
      <c r="AG48">
        <f t="shared" si="5"/>
        <v>2.9968300000000001</v>
      </c>
      <c r="AH48">
        <f t="shared" si="6"/>
        <v>0.64636000000000005</v>
      </c>
      <c r="AI48" t="e">
        <f>VLOOKUP(L48,'[1]Tuyến cáp H04'!$B:$E,3,0)/1000</f>
        <v>#N/A</v>
      </c>
      <c r="AJ48" t="e">
        <f>VLOOKUP(L48,'[1]Tuyến cáp H04'!$B:$E,4,0)</f>
        <v>#N/A</v>
      </c>
    </row>
    <row r="49" spans="1:36" x14ac:dyDescent="0.25">
      <c r="A49" s="1" t="s">
        <v>546</v>
      </c>
      <c r="B49" s="1" t="s">
        <v>77</v>
      </c>
      <c r="C49" s="1" t="s">
        <v>78</v>
      </c>
      <c r="D49" s="1" t="s">
        <v>51</v>
      </c>
      <c r="E49" s="1" t="s">
        <v>52</v>
      </c>
      <c r="F49" s="1" t="s">
        <v>547</v>
      </c>
      <c r="G49" s="1" t="s">
        <v>14129</v>
      </c>
      <c r="H49" s="1" t="s">
        <v>14133</v>
      </c>
      <c r="I49" s="1" t="s">
        <v>14179</v>
      </c>
      <c r="J49" s="1" t="s">
        <v>23</v>
      </c>
      <c r="K49" s="1"/>
      <c r="L49" s="1" t="s">
        <v>245</v>
      </c>
      <c r="M49" s="1" t="s">
        <v>548</v>
      </c>
      <c r="N49" s="1" t="s">
        <v>549</v>
      </c>
      <c r="O49" s="1" t="s">
        <v>550</v>
      </c>
      <c r="P49" s="1" t="s">
        <v>551</v>
      </c>
      <c r="Q49" s="1" t="s">
        <v>552</v>
      </c>
      <c r="R49" s="1" t="s">
        <v>553</v>
      </c>
      <c r="S49" s="1" t="s">
        <v>554</v>
      </c>
      <c r="T49" s="1" t="s">
        <v>555</v>
      </c>
      <c r="U49">
        <v>9316.2800000000007</v>
      </c>
      <c r="V49">
        <v>4830.5600000000004</v>
      </c>
      <c r="W49">
        <v>12.209825</v>
      </c>
      <c r="X49">
        <v>109.146196</v>
      </c>
      <c r="Y49">
        <v>4485.72</v>
      </c>
      <c r="Z49">
        <v>12.183759</v>
      </c>
      <c r="AA49">
        <v>109.099619</v>
      </c>
      <c r="AB49" s="5">
        <f t="shared" si="1"/>
        <v>7.2458400000000003</v>
      </c>
      <c r="AC49" s="5">
        <f t="shared" si="2"/>
        <v>6.72858</v>
      </c>
      <c r="AD49" s="1" t="str">
        <f t="shared" si="3"/>
        <v>5. Cam Phước Đông</v>
      </c>
      <c r="AE49" s="1" t="str">
        <f t="shared" si="4"/>
        <v>CAT Khánh Hòa</v>
      </c>
      <c r="AG49">
        <f t="shared" si="5"/>
        <v>4.8305600000000002</v>
      </c>
      <c r="AH49">
        <f t="shared" si="6"/>
        <v>4.4857200000000006</v>
      </c>
      <c r="AI49" t="e">
        <f>VLOOKUP(L49,'[1]Tuyến cáp H04'!$B:$E,3,0)/1000</f>
        <v>#N/A</v>
      </c>
      <c r="AJ49" t="e">
        <f>VLOOKUP(L49,'[1]Tuyến cáp H04'!$B:$E,4,0)</f>
        <v>#N/A</v>
      </c>
    </row>
    <row r="50" spans="1:36" x14ac:dyDescent="0.25">
      <c r="A50" s="1" t="s">
        <v>556</v>
      </c>
      <c r="B50" s="1" t="s">
        <v>557</v>
      </c>
      <c r="C50" s="1" t="s">
        <v>558</v>
      </c>
      <c r="D50" s="1" t="s">
        <v>559</v>
      </c>
      <c r="E50" s="1" t="s">
        <v>560</v>
      </c>
      <c r="F50" s="1" t="s">
        <v>561</v>
      </c>
      <c r="G50" s="1" t="s">
        <v>14129</v>
      </c>
      <c r="H50" s="1" t="s">
        <v>14133</v>
      </c>
      <c r="I50" s="1" t="s">
        <v>14180</v>
      </c>
      <c r="J50" s="1" t="s">
        <v>23</v>
      </c>
      <c r="K50" s="1"/>
      <c r="L50" s="1" t="s">
        <v>562</v>
      </c>
      <c r="M50" s="1" t="s">
        <v>563</v>
      </c>
      <c r="N50" s="1" t="s">
        <v>564</v>
      </c>
      <c r="O50" s="1" t="s">
        <v>565</v>
      </c>
      <c r="P50" s="1" t="s">
        <v>566</v>
      </c>
      <c r="Q50" s="1" t="s">
        <v>567</v>
      </c>
      <c r="R50" s="1" t="s">
        <v>568</v>
      </c>
      <c r="S50" s="1" t="s">
        <v>569</v>
      </c>
      <c r="T50" s="1" t="s">
        <v>570</v>
      </c>
      <c r="U50">
        <v>145.04</v>
      </c>
      <c r="V50">
        <v>5.08</v>
      </c>
      <c r="W50">
        <v>12.540853</v>
      </c>
      <c r="X50">
        <v>109.00745999999999</v>
      </c>
      <c r="Y50">
        <v>139.96</v>
      </c>
      <c r="Z50">
        <v>12.550335</v>
      </c>
      <c r="AA50">
        <v>109.021041</v>
      </c>
      <c r="AB50" s="5">
        <f t="shared" si="1"/>
        <v>7.62E-3</v>
      </c>
      <c r="AC50" s="5">
        <f t="shared" si="2"/>
        <v>0.20993999999999999</v>
      </c>
      <c r="AD50" s="1" t="str">
        <f t="shared" si="3"/>
        <v>3.CA Tây Ninh Hòa</v>
      </c>
      <c r="AE50" s="1" t="str">
        <f t="shared" si="4"/>
        <v>CA Hòa Trí</v>
      </c>
      <c r="AG50">
        <f t="shared" si="5"/>
        <v>5.0800000000000003E-3</v>
      </c>
      <c r="AH50">
        <f t="shared" si="6"/>
        <v>0.13996</v>
      </c>
      <c r="AI50" t="e">
        <f>VLOOKUP(L50,'[1]Tuyến cáp H04'!$B:$E,3,0)/1000</f>
        <v>#N/A</v>
      </c>
      <c r="AJ50" t="e">
        <f>VLOOKUP(L50,'[1]Tuyến cáp H04'!$B:$E,4,0)</f>
        <v>#N/A</v>
      </c>
    </row>
    <row r="51" spans="1:36" x14ac:dyDescent="0.25">
      <c r="A51" s="1" t="s">
        <v>571</v>
      </c>
      <c r="B51" s="1" t="s">
        <v>572</v>
      </c>
      <c r="C51" s="1" t="s">
        <v>573</v>
      </c>
      <c r="D51" s="1" t="s">
        <v>574</v>
      </c>
      <c r="E51" s="1" t="s">
        <v>575</v>
      </c>
      <c r="F51" s="1" t="s">
        <v>576</v>
      </c>
      <c r="G51" s="1" t="s">
        <v>14129</v>
      </c>
      <c r="H51" s="1" t="s">
        <v>14133</v>
      </c>
      <c r="I51" s="1" t="s">
        <v>14181</v>
      </c>
      <c r="J51" s="1" t="s">
        <v>23</v>
      </c>
      <c r="K51" s="1"/>
      <c r="L51" s="1" t="s">
        <v>577</v>
      </c>
      <c r="M51" s="1" t="s">
        <v>578</v>
      </c>
      <c r="N51" s="1" t="s">
        <v>579</v>
      </c>
      <c r="O51" s="1" t="s">
        <v>580</v>
      </c>
      <c r="P51" s="1" t="s">
        <v>581</v>
      </c>
      <c r="Q51" s="1" t="s">
        <v>582</v>
      </c>
      <c r="R51" s="1" t="s">
        <v>583</v>
      </c>
      <c r="S51" s="1" t="s">
        <v>584</v>
      </c>
      <c r="T51" s="1" t="s">
        <v>585</v>
      </c>
      <c r="U51">
        <v>411.22</v>
      </c>
      <c r="V51">
        <v>297.85000000000002</v>
      </c>
      <c r="W51">
        <v>12.507178</v>
      </c>
      <c r="X51">
        <v>109.13666499999999</v>
      </c>
      <c r="Y51">
        <v>113.37</v>
      </c>
      <c r="Z51">
        <v>12.500529</v>
      </c>
      <c r="AA51">
        <v>109.13312000000001</v>
      </c>
      <c r="AB51" s="5">
        <f t="shared" si="1"/>
        <v>0.44677500000000003</v>
      </c>
      <c r="AC51" s="5">
        <f t="shared" si="2"/>
        <v>0.17005500000000001</v>
      </c>
      <c r="AD51" s="1" t="str">
        <f t="shared" si="3"/>
        <v>3.CA Tân Định</v>
      </c>
      <c r="AE51" s="1" t="str">
        <f t="shared" si="4"/>
        <v>CA Ninh Hòa</v>
      </c>
      <c r="AG51">
        <f t="shared" si="5"/>
        <v>0.29785</v>
      </c>
      <c r="AH51">
        <f t="shared" si="6"/>
        <v>0.11337</v>
      </c>
      <c r="AI51" t="e">
        <f>VLOOKUP(L51,'[1]Tuyến cáp H04'!$B:$E,3,0)/1000</f>
        <v>#N/A</v>
      </c>
      <c r="AJ51" t="e">
        <f>VLOOKUP(L51,'[1]Tuyến cáp H04'!$B:$E,4,0)</f>
        <v>#N/A</v>
      </c>
    </row>
    <row r="52" spans="1:36" x14ac:dyDescent="0.25">
      <c r="A52" s="1" t="s">
        <v>586</v>
      </c>
      <c r="B52" s="1" t="s">
        <v>572</v>
      </c>
      <c r="C52" s="1" t="s">
        <v>573</v>
      </c>
      <c r="D52" s="1" t="s">
        <v>587</v>
      </c>
      <c r="E52" s="1" t="s">
        <v>588</v>
      </c>
      <c r="F52" s="1" t="s">
        <v>589</v>
      </c>
      <c r="G52" s="1" t="s">
        <v>14129</v>
      </c>
      <c r="H52" s="1" t="s">
        <v>14133</v>
      </c>
      <c r="I52" s="1" t="s">
        <v>14182</v>
      </c>
      <c r="J52" s="1" t="s">
        <v>23</v>
      </c>
      <c r="K52" s="1"/>
      <c r="L52" s="1" t="s">
        <v>590</v>
      </c>
      <c r="M52" s="1" t="s">
        <v>591</v>
      </c>
      <c r="N52" s="1" t="s">
        <v>592</v>
      </c>
      <c r="O52" s="1" t="s">
        <v>593</v>
      </c>
      <c r="P52" s="1" t="s">
        <v>594</v>
      </c>
      <c r="Q52" s="1" t="s">
        <v>595</v>
      </c>
      <c r="R52" s="1" t="s">
        <v>596</v>
      </c>
      <c r="S52" s="1" t="s">
        <v>597</v>
      </c>
      <c r="T52" s="1" t="s">
        <v>598</v>
      </c>
      <c r="U52">
        <v>1582.27</v>
      </c>
      <c r="V52">
        <v>2.77</v>
      </c>
      <c r="W52">
        <v>12.509724</v>
      </c>
      <c r="X52">
        <v>109.13747499999999</v>
      </c>
      <c r="Y52">
        <v>1579.51</v>
      </c>
      <c r="Z52">
        <v>12.481318999999999</v>
      </c>
      <c r="AA52">
        <v>109.13125100000001</v>
      </c>
      <c r="AB52" s="5">
        <f t="shared" si="1"/>
        <v>4.1549999999999998E-3</v>
      </c>
      <c r="AC52" s="5">
        <f t="shared" si="2"/>
        <v>2.369265</v>
      </c>
      <c r="AD52" s="1" t="str">
        <f t="shared" si="3"/>
        <v>1.CA Ninh Hòa</v>
      </c>
      <c r="AE52" s="1" t="str">
        <f t="shared" si="4"/>
        <v>CA Hòa Thắng_Cột trung thế</v>
      </c>
      <c r="AG52">
        <f t="shared" si="5"/>
        <v>2.7699999999999999E-3</v>
      </c>
      <c r="AH52">
        <f t="shared" si="6"/>
        <v>1.57951</v>
      </c>
      <c r="AI52" t="e">
        <f>VLOOKUP(L52,'[1]Tuyến cáp H04'!$B:$E,3,0)/1000</f>
        <v>#N/A</v>
      </c>
      <c r="AJ52" t="e">
        <f>VLOOKUP(L52,'[1]Tuyến cáp H04'!$B:$E,4,0)</f>
        <v>#N/A</v>
      </c>
    </row>
    <row r="53" spans="1:36" x14ac:dyDescent="0.25">
      <c r="A53" s="1" t="s">
        <v>599</v>
      </c>
      <c r="B53" s="1" t="s">
        <v>600</v>
      </c>
      <c r="C53" s="1" t="s">
        <v>601</v>
      </c>
      <c r="D53" s="1" t="s">
        <v>602</v>
      </c>
      <c r="E53" s="1" t="s">
        <v>603</v>
      </c>
      <c r="F53" s="1" t="s">
        <v>604</v>
      </c>
      <c r="G53" s="1" t="s">
        <v>14129</v>
      </c>
      <c r="H53" s="1" t="s">
        <v>14133</v>
      </c>
      <c r="I53" s="1" t="s">
        <v>14183</v>
      </c>
      <c r="J53" s="1" t="s">
        <v>23</v>
      </c>
      <c r="K53" s="1"/>
      <c r="L53" s="1" t="s">
        <v>367</v>
      </c>
      <c r="M53" s="1" t="s">
        <v>605</v>
      </c>
      <c r="N53" s="1" t="s">
        <v>606</v>
      </c>
      <c r="O53" s="1" t="s">
        <v>607</v>
      </c>
      <c r="P53" s="1" t="s">
        <v>608</v>
      </c>
      <c r="Q53" s="1" t="s">
        <v>609</v>
      </c>
      <c r="R53" s="1" t="s">
        <v>607</v>
      </c>
      <c r="S53" s="1" t="s">
        <v>608</v>
      </c>
      <c r="T53" s="1" t="s">
        <v>610</v>
      </c>
      <c r="U53">
        <v>325.75</v>
      </c>
      <c r="V53">
        <v>3.61</v>
      </c>
      <c r="W53">
        <v>11.962966</v>
      </c>
      <c r="X53">
        <v>109.09502000000001</v>
      </c>
      <c r="Y53">
        <v>322.14</v>
      </c>
      <c r="Z53">
        <v>11.962966</v>
      </c>
      <c r="AA53">
        <v>109.09502000000001</v>
      </c>
      <c r="AB53" s="5">
        <f t="shared" si="1"/>
        <v>5.4149999999999997E-3</v>
      </c>
      <c r="AC53" s="5">
        <f t="shared" si="2"/>
        <v>0.48320999999999997</v>
      </c>
      <c r="AD53" s="1" t="str">
        <f t="shared" si="3"/>
        <v>2.CA Bắc Cam Ranh</v>
      </c>
      <c r="AE53" s="1" t="str">
        <f t="shared" si="4"/>
        <v>CA Cam An</v>
      </c>
      <c r="AG53">
        <f t="shared" si="5"/>
        <v>3.6099999999999999E-3</v>
      </c>
      <c r="AH53">
        <f t="shared" si="6"/>
        <v>0.32213999999999998</v>
      </c>
      <c r="AI53" t="e">
        <f>VLOOKUP(L53,'[1]Tuyến cáp H04'!$B:$E,3,0)/1000</f>
        <v>#N/A</v>
      </c>
      <c r="AJ53" t="e">
        <f>VLOOKUP(L53,'[1]Tuyến cáp H04'!$B:$E,4,0)</f>
        <v>#N/A</v>
      </c>
    </row>
    <row r="54" spans="1:36" x14ac:dyDescent="0.25">
      <c r="A54" s="1" t="s">
        <v>611</v>
      </c>
      <c r="B54" s="1" t="s">
        <v>612</v>
      </c>
      <c r="C54" s="1" t="s">
        <v>613</v>
      </c>
      <c r="D54" s="1" t="s">
        <v>614</v>
      </c>
      <c r="E54" s="1" t="s">
        <v>615</v>
      </c>
      <c r="F54" s="1" t="s">
        <v>616</v>
      </c>
      <c r="G54" s="1" t="s">
        <v>14129</v>
      </c>
      <c r="H54" s="1" t="s">
        <v>14133</v>
      </c>
      <c r="I54" s="1" t="s">
        <v>14184</v>
      </c>
      <c r="J54" s="1" t="s">
        <v>23</v>
      </c>
      <c r="K54" s="1"/>
      <c r="L54" s="1" t="s">
        <v>617</v>
      </c>
      <c r="M54" s="1" t="s">
        <v>618</v>
      </c>
      <c r="N54" s="1" t="s">
        <v>619</v>
      </c>
      <c r="O54" s="1" t="s">
        <v>620</v>
      </c>
      <c r="P54" s="1" t="s">
        <v>621</v>
      </c>
      <c r="Q54" s="1" t="s">
        <v>622</v>
      </c>
      <c r="R54" s="1" t="s">
        <v>623</v>
      </c>
      <c r="S54" s="1" t="s">
        <v>624</v>
      </c>
      <c r="T54" s="1" t="s">
        <v>625</v>
      </c>
      <c r="U54">
        <v>754.89</v>
      </c>
      <c r="V54">
        <v>313.88</v>
      </c>
      <c r="W54">
        <v>11.923</v>
      </c>
      <c r="X54">
        <v>109.16500000000001</v>
      </c>
      <c r="Y54">
        <v>441.01</v>
      </c>
      <c r="Z54">
        <v>11.911315999999999</v>
      </c>
      <c r="AA54">
        <v>109.152038</v>
      </c>
      <c r="AB54" s="5">
        <f t="shared" si="1"/>
        <v>0.47082000000000002</v>
      </c>
      <c r="AC54" s="5">
        <f t="shared" si="2"/>
        <v>0.66151499999999996</v>
      </c>
      <c r="AD54" s="1" t="str">
        <f t="shared" si="3"/>
        <v>1.CA Cam Ranh</v>
      </c>
      <c r="AE54" s="1" t="str">
        <f t="shared" si="4"/>
        <v>CA Cam Linh</v>
      </c>
      <c r="AG54">
        <f t="shared" si="5"/>
        <v>0.31387999999999999</v>
      </c>
      <c r="AH54">
        <f t="shared" si="6"/>
        <v>0.44101000000000001</v>
      </c>
      <c r="AI54" t="e">
        <f>VLOOKUP(L54,'[1]Tuyến cáp H04'!$B:$E,3,0)/1000</f>
        <v>#N/A</v>
      </c>
      <c r="AJ54" t="e">
        <f>VLOOKUP(L54,'[1]Tuyến cáp H04'!$B:$E,4,0)</f>
        <v>#N/A</v>
      </c>
    </row>
    <row r="55" spans="1:36" x14ac:dyDescent="0.25">
      <c r="A55" s="1" t="s">
        <v>626</v>
      </c>
      <c r="B55" s="1" t="s">
        <v>572</v>
      </c>
      <c r="C55" s="1" t="s">
        <v>573</v>
      </c>
      <c r="D55" s="1" t="s">
        <v>627</v>
      </c>
      <c r="E55" s="1" t="s">
        <v>628</v>
      </c>
      <c r="F55" s="1" t="s">
        <v>629</v>
      </c>
      <c r="G55" s="1" t="s">
        <v>14129</v>
      </c>
      <c r="H55" s="1" t="s">
        <v>14133</v>
      </c>
      <c r="I55" s="1" t="s">
        <v>14185</v>
      </c>
      <c r="J55" s="1" t="s">
        <v>23</v>
      </c>
      <c r="K55" s="1"/>
      <c r="L55" s="1" t="s">
        <v>590</v>
      </c>
      <c r="M55" s="1" t="s">
        <v>630</v>
      </c>
      <c r="N55" s="1" t="s">
        <v>592</v>
      </c>
      <c r="O55" s="1" t="s">
        <v>593</v>
      </c>
      <c r="P55" s="1" t="s">
        <v>594</v>
      </c>
      <c r="Q55" s="1" t="s">
        <v>631</v>
      </c>
      <c r="R55" s="1" t="s">
        <v>632</v>
      </c>
      <c r="S55" s="1" t="s">
        <v>633</v>
      </c>
      <c r="T55" s="1" t="s">
        <v>598</v>
      </c>
      <c r="U55">
        <v>273.39</v>
      </c>
      <c r="V55">
        <v>2.77</v>
      </c>
      <c r="W55">
        <v>12.509724</v>
      </c>
      <c r="X55">
        <v>109.13747499999999</v>
      </c>
      <c r="Y55">
        <v>270.63</v>
      </c>
      <c r="Z55">
        <v>12.486466</v>
      </c>
      <c r="AA55">
        <v>109.134191</v>
      </c>
      <c r="AB55" s="5">
        <f t="shared" si="1"/>
        <v>4.1549999999999998E-3</v>
      </c>
      <c r="AC55" s="5">
        <f t="shared" si="2"/>
        <v>0.405945</v>
      </c>
      <c r="AD55" s="1" t="str">
        <f t="shared" si="3"/>
        <v>1.CA Ninh Hòa</v>
      </c>
      <c r="AE55" s="1" t="str">
        <f t="shared" si="4"/>
        <v>CA Hòa Thắng_Cột trung thế</v>
      </c>
      <c r="AG55">
        <f t="shared" si="5"/>
        <v>2.7699999999999999E-3</v>
      </c>
      <c r="AH55">
        <f t="shared" si="6"/>
        <v>0.27062999999999998</v>
      </c>
      <c r="AI55" t="e">
        <f>VLOOKUP(L55,'[1]Tuyến cáp H04'!$B:$E,3,0)/1000</f>
        <v>#N/A</v>
      </c>
      <c r="AJ55" t="e">
        <f>VLOOKUP(L55,'[1]Tuyến cáp H04'!$B:$E,4,0)</f>
        <v>#N/A</v>
      </c>
    </row>
    <row r="56" spans="1:36" x14ac:dyDescent="0.25">
      <c r="A56" s="1" t="s">
        <v>634</v>
      </c>
      <c r="B56" s="1" t="s">
        <v>278</v>
      </c>
      <c r="C56" s="1" t="s">
        <v>279</v>
      </c>
      <c r="D56" s="1" t="s">
        <v>635</v>
      </c>
      <c r="E56" s="1" t="s">
        <v>636</v>
      </c>
      <c r="F56" s="1" t="s">
        <v>637</v>
      </c>
      <c r="G56" s="1" t="s">
        <v>14129</v>
      </c>
      <c r="H56" s="1" t="s">
        <v>14133</v>
      </c>
      <c r="I56" s="1" t="s">
        <v>14186</v>
      </c>
      <c r="J56" s="1" t="s">
        <v>23</v>
      </c>
      <c r="K56" s="1"/>
      <c r="L56" s="1" t="s">
        <v>283</v>
      </c>
      <c r="M56" s="1" t="s">
        <v>638</v>
      </c>
      <c r="N56" s="1" t="s">
        <v>285</v>
      </c>
      <c r="O56" s="1" t="s">
        <v>286</v>
      </c>
      <c r="P56" s="1" t="s">
        <v>287</v>
      </c>
      <c r="Q56" s="1" t="s">
        <v>639</v>
      </c>
      <c r="R56" s="1" t="s">
        <v>289</v>
      </c>
      <c r="S56" s="1" t="s">
        <v>290</v>
      </c>
      <c r="T56" s="1" t="s">
        <v>291</v>
      </c>
      <c r="U56">
        <v>519936.28</v>
      </c>
      <c r="V56">
        <v>252584.19</v>
      </c>
      <c r="W56">
        <v>14.659686000000001</v>
      </c>
      <c r="X56">
        <v>107.839439</v>
      </c>
      <c r="Y56">
        <v>267352.08</v>
      </c>
      <c r="Z56">
        <v>14.352316999999999</v>
      </c>
      <c r="AA56">
        <v>108.007831</v>
      </c>
      <c r="AB56" s="5">
        <f t="shared" si="1"/>
        <v>378.87628500000005</v>
      </c>
      <c r="AC56" s="5">
        <f t="shared" si="2"/>
        <v>401.02812</v>
      </c>
      <c r="AD56" s="1" t="str">
        <f t="shared" si="3"/>
        <v>Đăk Tô</v>
      </c>
      <c r="AE56" s="1" t="str">
        <f t="shared" si="4"/>
        <v>TT2 Kon Tum</v>
      </c>
      <c r="AG56">
        <f t="shared" si="5"/>
        <v>252.58419000000001</v>
      </c>
      <c r="AH56">
        <f t="shared" si="6"/>
        <v>267.35208</v>
      </c>
      <c r="AI56">
        <f>VLOOKUP(L56,'[1]Tuyến cáp H04'!$B:$E,3,0)/1000</f>
        <v>43.9602</v>
      </c>
      <c r="AJ56" t="str">
        <f>VLOOKUP(L56,'[1]Tuyến cáp H04'!$B:$E,4,0)</f>
        <v>Mạng cấp 3</v>
      </c>
    </row>
    <row r="57" spans="1:36" x14ac:dyDescent="0.25">
      <c r="A57" s="1" t="s">
        <v>640</v>
      </c>
      <c r="B57" s="1" t="s">
        <v>278</v>
      </c>
      <c r="C57" s="1" t="s">
        <v>279</v>
      </c>
      <c r="D57" s="1" t="s">
        <v>641</v>
      </c>
      <c r="E57" s="1" t="s">
        <v>642</v>
      </c>
      <c r="F57" s="1" t="s">
        <v>643</v>
      </c>
      <c r="G57" s="1" t="s">
        <v>14129</v>
      </c>
      <c r="H57" s="1" t="s">
        <v>14133</v>
      </c>
      <c r="I57" s="1" t="s">
        <v>14187</v>
      </c>
      <c r="J57" s="1" t="s">
        <v>23</v>
      </c>
      <c r="K57" s="1"/>
      <c r="L57" s="1" t="s">
        <v>283</v>
      </c>
      <c r="M57" s="1" t="s">
        <v>644</v>
      </c>
      <c r="N57" s="1" t="s">
        <v>285</v>
      </c>
      <c r="O57" s="1" t="s">
        <v>286</v>
      </c>
      <c r="P57" s="1" t="s">
        <v>287</v>
      </c>
      <c r="Q57" s="1" t="s">
        <v>645</v>
      </c>
      <c r="R57" s="1" t="s">
        <v>289</v>
      </c>
      <c r="S57" s="1" t="s">
        <v>290</v>
      </c>
      <c r="T57" s="1" t="s">
        <v>291</v>
      </c>
      <c r="U57">
        <v>519909.29</v>
      </c>
      <c r="V57">
        <v>252584.19</v>
      </c>
      <c r="W57">
        <v>14.659686000000001</v>
      </c>
      <c r="X57">
        <v>107.839439</v>
      </c>
      <c r="Y57">
        <v>267325.09000000003</v>
      </c>
      <c r="Z57">
        <v>14.352316999999999</v>
      </c>
      <c r="AA57">
        <v>108.007831</v>
      </c>
      <c r="AB57" s="5">
        <f t="shared" si="1"/>
        <v>378.87628500000005</v>
      </c>
      <c r="AC57" s="5">
        <f t="shared" si="2"/>
        <v>400.98763500000001</v>
      </c>
      <c r="AD57" s="1" t="str">
        <f t="shared" si="3"/>
        <v>Đăk Tô</v>
      </c>
      <c r="AE57" s="1" t="str">
        <f t="shared" si="4"/>
        <v>TT2 Kon Tum</v>
      </c>
      <c r="AG57">
        <f t="shared" si="5"/>
        <v>252.58419000000001</v>
      </c>
      <c r="AH57">
        <f t="shared" si="6"/>
        <v>267.32509000000005</v>
      </c>
      <c r="AI57">
        <f>VLOOKUP(L57,'[1]Tuyến cáp H04'!$B:$E,3,0)/1000</f>
        <v>43.9602</v>
      </c>
      <c r="AJ57" t="str">
        <f>VLOOKUP(L57,'[1]Tuyến cáp H04'!$B:$E,4,0)</f>
        <v>Mạng cấp 3</v>
      </c>
    </row>
    <row r="58" spans="1:36" x14ac:dyDescent="0.25">
      <c r="A58" s="1" t="s">
        <v>646</v>
      </c>
      <c r="B58" s="1" t="s">
        <v>278</v>
      </c>
      <c r="C58" s="1" t="s">
        <v>279</v>
      </c>
      <c r="D58" s="1" t="s">
        <v>647</v>
      </c>
      <c r="E58" s="1" t="s">
        <v>648</v>
      </c>
      <c r="F58" s="1" t="s">
        <v>649</v>
      </c>
      <c r="G58" s="1" t="s">
        <v>14129</v>
      </c>
      <c r="H58" s="1" t="s">
        <v>14133</v>
      </c>
      <c r="I58" s="1" t="s">
        <v>14188</v>
      </c>
      <c r="J58" s="1" t="s">
        <v>23</v>
      </c>
      <c r="K58" s="1"/>
      <c r="L58" s="1" t="s">
        <v>283</v>
      </c>
      <c r="M58" s="1" t="s">
        <v>650</v>
      </c>
      <c r="N58" s="1" t="s">
        <v>285</v>
      </c>
      <c r="O58" s="1" t="s">
        <v>286</v>
      </c>
      <c r="P58" s="1" t="s">
        <v>287</v>
      </c>
      <c r="Q58" s="1" t="s">
        <v>651</v>
      </c>
      <c r="R58" s="1" t="s">
        <v>289</v>
      </c>
      <c r="S58" s="1" t="s">
        <v>290</v>
      </c>
      <c r="T58" s="1" t="s">
        <v>291</v>
      </c>
      <c r="U58">
        <v>520201.97</v>
      </c>
      <c r="V58">
        <v>252584.19</v>
      </c>
      <c r="W58">
        <v>14.659686000000001</v>
      </c>
      <c r="X58">
        <v>107.839439</v>
      </c>
      <c r="Y58">
        <v>267617.77</v>
      </c>
      <c r="Z58">
        <v>14.352316999999999</v>
      </c>
      <c r="AA58">
        <v>108.007831</v>
      </c>
      <c r="AB58" s="5">
        <f t="shared" si="1"/>
        <v>378.87628500000005</v>
      </c>
      <c r="AC58" s="5">
        <f t="shared" si="2"/>
        <v>401.42665500000004</v>
      </c>
      <c r="AD58" s="1" t="str">
        <f t="shared" si="3"/>
        <v>Đăk Tô</v>
      </c>
      <c r="AE58" s="1" t="str">
        <f t="shared" si="4"/>
        <v>TT2 Kon Tum</v>
      </c>
      <c r="AG58">
        <f t="shared" si="5"/>
        <v>252.58419000000001</v>
      </c>
      <c r="AH58">
        <f t="shared" si="6"/>
        <v>267.61777000000001</v>
      </c>
      <c r="AI58">
        <f>VLOOKUP(L58,'[1]Tuyến cáp H04'!$B:$E,3,0)/1000</f>
        <v>43.9602</v>
      </c>
      <c r="AJ58" t="str">
        <f>VLOOKUP(L58,'[1]Tuyến cáp H04'!$B:$E,4,0)</f>
        <v>Mạng cấp 3</v>
      </c>
    </row>
    <row r="59" spans="1:36" x14ac:dyDescent="0.25">
      <c r="A59" s="1" t="s">
        <v>652</v>
      </c>
      <c r="B59" s="1" t="s">
        <v>128</v>
      </c>
      <c r="C59" s="1" t="s">
        <v>129</v>
      </c>
      <c r="D59" s="1" t="s">
        <v>653</v>
      </c>
      <c r="E59" s="1" t="s">
        <v>654</v>
      </c>
      <c r="F59" s="1" t="s">
        <v>655</v>
      </c>
      <c r="G59" s="1" t="s">
        <v>14129</v>
      </c>
      <c r="H59" s="1" t="s">
        <v>14133</v>
      </c>
      <c r="I59" s="1" t="s">
        <v>14189</v>
      </c>
      <c r="J59" s="1" t="s">
        <v>23</v>
      </c>
      <c r="K59" s="1"/>
      <c r="L59" s="1" t="s">
        <v>283</v>
      </c>
      <c r="M59" s="1" t="s">
        <v>656</v>
      </c>
      <c r="N59" s="1" t="s">
        <v>657</v>
      </c>
      <c r="O59" s="1" t="s">
        <v>286</v>
      </c>
      <c r="P59" s="1" t="s">
        <v>287</v>
      </c>
      <c r="Q59" s="1" t="s">
        <v>658</v>
      </c>
      <c r="R59" s="1" t="s">
        <v>289</v>
      </c>
      <c r="S59" s="1" t="s">
        <v>290</v>
      </c>
      <c r="T59" s="1" t="s">
        <v>291</v>
      </c>
      <c r="U59">
        <v>516735.24</v>
      </c>
      <c r="V59">
        <v>249642.72</v>
      </c>
      <c r="W59">
        <v>14.659686000000001</v>
      </c>
      <c r="X59">
        <v>107.839439</v>
      </c>
      <c r="Y59">
        <v>267092.52</v>
      </c>
      <c r="Z59">
        <v>14.352316999999999</v>
      </c>
      <c r="AA59">
        <v>108.007831</v>
      </c>
      <c r="AB59" s="5">
        <f t="shared" si="1"/>
        <v>374.46408000000002</v>
      </c>
      <c r="AC59" s="5">
        <f t="shared" si="2"/>
        <v>400.63878000000005</v>
      </c>
      <c r="AD59" s="1" t="str">
        <f t="shared" si="3"/>
        <v>Đăk Tô</v>
      </c>
      <c r="AE59" s="1" t="str">
        <f t="shared" si="4"/>
        <v>TT2 Kon Tum</v>
      </c>
      <c r="AG59">
        <f t="shared" si="5"/>
        <v>249.64272</v>
      </c>
      <c r="AH59">
        <f t="shared" si="6"/>
        <v>267.09252000000004</v>
      </c>
      <c r="AI59">
        <f>VLOOKUP(L59,'[1]Tuyến cáp H04'!$B:$E,3,0)/1000</f>
        <v>43.9602</v>
      </c>
      <c r="AJ59" t="str">
        <f>VLOOKUP(L59,'[1]Tuyến cáp H04'!$B:$E,4,0)</f>
        <v>Mạng cấp 3</v>
      </c>
    </row>
    <row r="60" spans="1:36" x14ac:dyDescent="0.25">
      <c r="A60" s="1" t="s">
        <v>659</v>
      </c>
      <c r="B60" s="1" t="s">
        <v>128</v>
      </c>
      <c r="C60" s="1" t="s">
        <v>129</v>
      </c>
      <c r="D60" s="1" t="s">
        <v>660</v>
      </c>
      <c r="E60" s="1" t="s">
        <v>661</v>
      </c>
      <c r="F60" s="1" t="s">
        <v>662</v>
      </c>
      <c r="G60" s="1" t="s">
        <v>14129</v>
      </c>
      <c r="H60" s="1" t="s">
        <v>14133</v>
      </c>
      <c r="I60" s="1" t="s">
        <v>14190</v>
      </c>
      <c r="J60" s="1" t="s">
        <v>23</v>
      </c>
      <c r="K60" s="1"/>
      <c r="L60" s="1" t="s">
        <v>283</v>
      </c>
      <c r="M60" s="1" t="s">
        <v>663</v>
      </c>
      <c r="N60" s="1" t="s">
        <v>657</v>
      </c>
      <c r="O60" s="1" t="s">
        <v>286</v>
      </c>
      <c r="P60" s="1" t="s">
        <v>287</v>
      </c>
      <c r="Q60" s="1" t="s">
        <v>664</v>
      </c>
      <c r="R60" s="1" t="s">
        <v>289</v>
      </c>
      <c r="S60" s="1" t="s">
        <v>290</v>
      </c>
      <c r="T60" s="1" t="s">
        <v>291</v>
      </c>
      <c r="U60">
        <v>516210.17</v>
      </c>
      <c r="V60">
        <v>249642.72</v>
      </c>
      <c r="W60">
        <v>14.659686000000001</v>
      </c>
      <c r="X60">
        <v>107.839439</v>
      </c>
      <c r="Y60">
        <v>266567.44</v>
      </c>
      <c r="Z60">
        <v>14.352316999999999</v>
      </c>
      <c r="AA60">
        <v>108.007831</v>
      </c>
      <c r="AB60" s="5">
        <f t="shared" si="1"/>
        <v>374.46408000000002</v>
      </c>
      <c r="AC60" s="5">
        <f t="shared" si="2"/>
        <v>399.85116000000005</v>
      </c>
      <c r="AD60" s="1" t="str">
        <f t="shared" si="3"/>
        <v>Đăk Tô</v>
      </c>
      <c r="AE60" s="1" t="str">
        <f t="shared" si="4"/>
        <v>TT2 Kon Tum</v>
      </c>
      <c r="AG60">
        <f t="shared" si="5"/>
        <v>249.64272</v>
      </c>
      <c r="AH60">
        <f t="shared" si="6"/>
        <v>266.56743999999998</v>
      </c>
      <c r="AI60">
        <f>VLOOKUP(L60,'[1]Tuyến cáp H04'!$B:$E,3,0)/1000</f>
        <v>43.9602</v>
      </c>
      <c r="AJ60" t="str">
        <f>VLOOKUP(L60,'[1]Tuyến cáp H04'!$B:$E,4,0)</f>
        <v>Mạng cấp 3</v>
      </c>
    </row>
    <row r="61" spans="1:36" x14ac:dyDescent="0.25">
      <c r="A61" s="1" t="s">
        <v>665</v>
      </c>
      <c r="B61" s="1" t="s">
        <v>263</v>
      </c>
      <c r="C61" s="1" t="s">
        <v>264</v>
      </c>
      <c r="D61" s="1" t="s">
        <v>666</v>
      </c>
      <c r="E61" s="1" t="s">
        <v>667</v>
      </c>
      <c r="F61" s="1" t="s">
        <v>668</v>
      </c>
      <c r="G61" s="1" t="s">
        <v>14129</v>
      </c>
      <c r="H61" s="1" t="s">
        <v>14133</v>
      </c>
      <c r="I61" s="1" t="s">
        <v>14191</v>
      </c>
      <c r="J61" s="1" t="s">
        <v>23</v>
      </c>
      <c r="K61" s="1"/>
      <c r="L61" s="1" t="s">
        <v>296</v>
      </c>
      <c r="M61" s="1" t="s">
        <v>669</v>
      </c>
      <c r="N61" s="1" t="s">
        <v>670</v>
      </c>
      <c r="O61" s="1" t="s">
        <v>671</v>
      </c>
      <c r="P61" s="1" t="s">
        <v>672</v>
      </c>
      <c r="Q61" s="1" t="s">
        <v>673</v>
      </c>
      <c r="R61" s="1" t="s">
        <v>674</v>
      </c>
      <c r="S61" s="1" t="s">
        <v>675</v>
      </c>
      <c r="T61" s="1" t="s">
        <v>676</v>
      </c>
      <c r="U61">
        <v>94.89</v>
      </c>
      <c r="V61">
        <v>80.62</v>
      </c>
      <c r="W61">
        <v>12.249428</v>
      </c>
      <c r="X61">
        <v>109.184727</v>
      </c>
      <c r="Y61">
        <v>14.27</v>
      </c>
      <c r="Z61">
        <v>12.250778</v>
      </c>
      <c r="AA61">
        <v>109.17798000000001</v>
      </c>
      <c r="AB61" s="5">
        <f t="shared" si="1"/>
        <v>0.12093000000000001</v>
      </c>
      <c r="AC61" s="5">
        <f t="shared" si="2"/>
        <v>2.1405E-2</v>
      </c>
      <c r="AD61" s="1" t="str">
        <f t="shared" si="3"/>
        <v>3. Trại giam A2</v>
      </c>
      <c r="AE61" s="1" t="str">
        <f t="shared" si="4"/>
        <v>CATP Nha trang cũ</v>
      </c>
      <c r="AG61">
        <f t="shared" si="5"/>
        <v>8.0620000000000011E-2</v>
      </c>
      <c r="AH61">
        <f t="shared" si="6"/>
        <v>1.427E-2</v>
      </c>
      <c r="AI61" t="e">
        <f>VLOOKUP(L61,'[1]Tuyến cáp H04'!$B:$E,3,0)/1000</f>
        <v>#N/A</v>
      </c>
      <c r="AJ61" t="e">
        <f>VLOOKUP(L61,'[1]Tuyến cáp H04'!$B:$E,4,0)</f>
        <v>#N/A</v>
      </c>
    </row>
    <row r="62" spans="1:36" x14ac:dyDescent="0.25">
      <c r="A62" s="1" t="s">
        <v>677</v>
      </c>
      <c r="B62" s="1" t="s">
        <v>240</v>
      </c>
      <c r="C62" s="1" t="s">
        <v>241</v>
      </c>
      <c r="D62" s="1" t="s">
        <v>678</v>
      </c>
      <c r="E62" s="1" t="s">
        <v>679</v>
      </c>
      <c r="F62" s="1" t="s">
        <v>680</v>
      </c>
      <c r="G62" s="1" t="s">
        <v>14129</v>
      </c>
      <c r="H62" s="1" t="s">
        <v>14133</v>
      </c>
      <c r="I62" s="1" t="s">
        <v>14192</v>
      </c>
      <c r="J62" s="1" t="s">
        <v>23</v>
      </c>
      <c r="K62" s="1"/>
      <c r="L62" s="1" t="s">
        <v>681</v>
      </c>
      <c r="M62" s="1" t="s">
        <v>682</v>
      </c>
      <c r="N62" s="1" t="s">
        <v>683</v>
      </c>
      <c r="O62" s="1" t="s">
        <v>684</v>
      </c>
      <c r="P62" s="1" t="s">
        <v>685</v>
      </c>
      <c r="Q62" s="1" t="s">
        <v>686</v>
      </c>
      <c r="R62" s="1" t="s">
        <v>687</v>
      </c>
      <c r="S62" s="1" t="s">
        <v>688</v>
      </c>
      <c r="T62" s="1" t="s">
        <v>689</v>
      </c>
      <c r="U62">
        <v>134.29</v>
      </c>
      <c r="V62">
        <v>4.67</v>
      </c>
      <c r="W62">
        <v>12.236451000000001</v>
      </c>
      <c r="X62">
        <v>109.184562</v>
      </c>
      <c r="Y62">
        <v>129.63</v>
      </c>
      <c r="Z62">
        <v>12.236749</v>
      </c>
      <c r="AA62">
        <v>109.185765</v>
      </c>
      <c r="AB62" s="5">
        <f t="shared" si="1"/>
        <v>7.0049999999999999E-3</v>
      </c>
      <c r="AC62" s="5">
        <f t="shared" si="2"/>
        <v>0.19444500000000001</v>
      </c>
      <c r="AD62" s="1" t="str">
        <f t="shared" si="3"/>
        <v>2.PC07</v>
      </c>
      <c r="AE62" s="1" t="str">
        <f t="shared" si="4"/>
        <v>PA06 cs2_Cột hạ thế</v>
      </c>
      <c r="AG62">
        <f t="shared" si="5"/>
        <v>4.6699999999999997E-3</v>
      </c>
      <c r="AH62">
        <f t="shared" si="6"/>
        <v>0.12963</v>
      </c>
      <c r="AI62" t="e">
        <f>VLOOKUP(L62,'[1]Tuyến cáp H04'!$B:$E,3,0)/1000</f>
        <v>#N/A</v>
      </c>
      <c r="AJ62" t="e">
        <f>VLOOKUP(L62,'[1]Tuyến cáp H04'!$B:$E,4,0)</f>
        <v>#N/A</v>
      </c>
    </row>
    <row r="63" spans="1:36" x14ac:dyDescent="0.25">
      <c r="A63" s="1" t="s">
        <v>690</v>
      </c>
      <c r="B63" s="1" t="s">
        <v>128</v>
      </c>
      <c r="C63" s="1" t="s">
        <v>129</v>
      </c>
      <c r="D63" s="1" t="s">
        <v>691</v>
      </c>
      <c r="E63" s="1" t="s">
        <v>692</v>
      </c>
      <c r="F63" s="1" t="s">
        <v>693</v>
      </c>
      <c r="G63" s="1" t="s">
        <v>14129</v>
      </c>
      <c r="H63" s="1" t="s">
        <v>14133</v>
      </c>
      <c r="I63" s="1" t="s">
        <v>14193</v>
      </c>
      <c r="J63" s="1" t="s">
        <v>23</v>
      </c>
      <c r="K63" s="1"/>
      <c r="L63" s="1" t="s">
        <v>283</v>
      </c>
      <c r="M63" s="1" t="s">
        <v>694</v>
      </c>
      <c r="N63" s="1" t="s">
        <v>657</v>
      </c>
      <c r="O63" s="1" t="s">
        <v>286</v>
      </c>
      <c r="P63" s="1" t="s">
        <v>287</v>
      </c>
      <c r="Q63" s="1" t="s">
        <v>695</v>
      </c>
      <c r="R63" s="1" t="s">
        <v>289</v>
      </c>
      <c r="S63" s="1" t="s">
        <v>290</v>
      </c>
      <c r="T63" s="1" t="s">
        <v>291</v>
      </c>
      <c r="U63">
        <v>516789.8</v>
      </c>
      <c r="V63">
        <v>249642.72</v>
      </c>
      <c r="W63">
        <v>14.659686000000001</v>
      </c>
      <c r="X63">
        <v>107.839439</v>
      </c>
      <c r="Y63">
        <v>267147.08</v>
      </c>
      <c r="Z63">
        <v>14.352316999999999</v>
      </c>
      <c r="AA63">
        <v>108.007831</v>
      </c>
      <c r="AB63" s="5">
        <f t="shared" si="1"/>
        <v>374.46408000000002</v>
      </c>
      <c r="AC63" s="5">
        <f t="shared" si="2"/>
        <v>400.72062</v>
      </c>
      <c r="AD63" s="1" t="str">
        <f t="shared" si="3"/>
        <v>Đăk Tô</v>
      </c>
      <c r="AE63" s="1" t="str">
        <f t="shared" si="4"/>
        <v>TT2 Kon Tum</v>
      </c>
      <c r="AG63">
        <f t="shared" si="5"/>
        <v>249.64272</v>
      </c>
      <c r="AH63">
        <f t="shared" si="6"/>
        <v>267.14708000000002</v>
      </c>
      <c r="AI63">
        <f>VLOOKUP(L63,'[1]Tuyến cáp H04'!$B:$E,3,0)/1000</f>
        <v>43.9602</v>
      </c>
      <c r="AJ63" t="str">
        <f>VLOOKUP(L63,'[1]Tuyến cáp H04'!$B:$E,4,0)</f>
        <v>Mạng cấp 3</v>
      </c>
    </row>
    <row r="64" spans="1:36" x14ac:dyDescent="0.25">
      <c r="A64" s="1" t="s">
        <v>696</v>
      </c>
      <c r="B64" s="1" t="s">
        <v>128</v>
      </c>
      <c r="C64" s="1" t="s">
        <v>129</v>
      </c>
      <c r="D64" s="1" t="s">
        <v>697</v>
      </c>
      <c r="E64" s="1" t="s">
        <v>698</v>
      </c>
      <c r="F64" s="1" t="s">
        <v>699</v>
      </c>
      <c r="G64" s="1" t="s">
        <v>14129</v>
      </c>
      <c r="H64" s="1" t="s">
        <v>14133</v>
      </c>
      <c r="I64" s="1" t="s">
        <v>14194</v>
      </c>
      <c r="J64" s="1" t="s">
        <v>23</v>
      </c>
      <c r="K64" s="1"/>
      <c r="L64" s="1" t="s">
        <v>283</v>
      </c>
      <c r="M64" s="1" t="s">
        <v>700</v>
      </c>
      <c r="N64" s="1" t="s">
        <v>657</v>
      </c>
      <c r="O64" s="1" t="s">
        <v>286</v>
      </c>
      <c r="P64" s="1" t="s">
        <v>287</v>
      </c>
      <c r="Q64" s="1" t="s">
        <v>701</v>
      </c>
      <c r="R64" s="1" t="s">
        <v>289</v>
      </c>
      <c r="S64" s="1" t="s">
        <v>290</v>
      </c>
      <c r="T64" s="1" t="s">
        <v>291</v>
      </c>
      <c r="U64">
        <v>516266.32</v>
      </c>
      <c r="V64">
        <v>249642.72</v>
      </c>
      <c r="W64">
        <v>14.659686000000001</v>
      </c>
      <c r="X64">
        <v>107.839439</v>
      </c>
      <c r="Y64">
        <v>266623.59000000003</v>
      </c>
      <c r="Z64">
        <v>14.352316999999999</v>
      </c>
      <c r="AA64">
        <v>108.007831</v>
      </c>
      <c r="AB64" s="5">
        <f t="shared" si="1"/>
        <v>374.46408000000002</v>
      </c>
      <c r="AC64" s="5">
        <f t="shared" si="2"/>
        <v>399.935385</v>
      </c>
      <c r="AD64" s="1" t="str">
        <f t="shared" si="3"/>
        <v>Đăk Tô</v>
      </c>
      <c r="AE64" s="1" t="str">
        <f t="shared" si="4"/>
        <v>TT2 Kon Tum</v>
      </c>
      <c r="AG64">
        <f t="shared" si="5"/>
        <v>249.64272</v>
      </c>
      <c r="AH64">
        <f t="shared" si="6"/>
        <v>266.62359000000004</v>
      </c>
      <c r="AI64">
        <f>VLOOKUP(L64,'[1]Tuyến cáp H04'!$B:$E,3,0)/1000</f>
        <v>43.9602</v>
      </c>
      <c r="AJ64" t="str">
        <f>VLOOKUP(L64,'[1]Tuyến cáp H04'!$B:$E,4,0)</f>
        <v>Mạng cấp 3</v>
      </c>
    </row>
    <row r="65" spans="1:36" x14ac:dyDescent="0.25">
      <c r="A65" s="1" t="s">
        <v>702</v>
      </c>
      <c r="B65" s="1" t="s">
        <v>240</v>
      </c>
      <c r="C65" s="1" t="s">
        <v>241</v>
      </c>
      <c r="D65" s="1" t="s">
        <v>703</v>
      </c>
      <c r="E65" s="1" t="s">
        <v>704</v>
      </c>
      <c r="F65" s="1" t="s">
        <v>705</v>
      </c>
      <c r="G65" s="1" t="s">
        <v>14129</v>
      </c>
      <c r="H65" s="1" t="s">
        <v>14133</v>
      </c>
      <c r="I65" s="1" t="s">
        <v>14195</v>
      </c>
      <c r="J65" s="1" t="s">
        <v>23</v>
      </c>
      <c r="K65" s="1"/>
      <c r="L65" s="1" t="s">
        <v>82</v>
      </c>
      <c r="M65" s="1" t="s">
        <v>706</v>
      </c>
      <c r="N65" s="1" t="s">
        <v>707</v>
      </c>
      <c r="O65" s="1" t="s">
        <v>708</v>
      </c>
      <c r="P65" s="1" t="s">
        <v>709</v>
      </c>
      <c r="Q65" s="1" t="s">
        <v>710</v>
      </c>
      <c r="R65" s="1" t="s">
        <v>711</v>
      </c>
      <c r="S65" s="1" t="s">
        <v>712</v>
      </c>
      <c r="T65" s="1" t="s">
        <v>713</v>
      </c>
      <c r="U65">
        <v>609.57000000000005</v>
      </c>
      <c r="V65">
        <v>15.81</v>
      </c>
      <c r="W65">
        <v>12.236330000000001</v>
      </c>
      <c r="X65">
        <v>109.18457600000001</v>
      </c>
      <c r="Y65">
        <v>593.76</v>
      </c>
      <c r="Z65">
        <v>12.235099999999999</v>
      </c>
      <c r="AA65">
        <v>109.183842</v>
      </c>
      <c r="AB65" s="5">
        <f t="shared" si="1"/>
        <v>2.3715E-2</v>
      </c>
      <c r="AC65" s="5">
        <f t="shared" si="2"/>
        <v>0.89063999999999999</v>
      </c>
      <c r="AD65" s="1" t="str">
        <f t="shared" si="3"/>
        <v>3.PA06 cs2</v>
      </c>
      <c r="AE65" s="1" t="str">
        <f t="shared" si="4"/>
        <v>PC11a</v>
      </c>
      <c r="AG65">
        <f t="shared" si="5"/>
        <v>1.5810000000000001E-2</v>
      </c>
      <c r="AH65">
        <f t="shared" si="6"/>
        <v>0.59375999999999995</v>
      </c>
      <c r="AI65" t="e">
        <f>VLOOKUP(L65,'[1]Tuyến cáp H04'!$B:$E,3,0)/1000</f>
        <v>#N/A</v>
      </c>
      <c r="AJ65" t="e">
        <f>VLOOKUP(L65,'[1]Tuyến cáp H04'!$B:$E,4,0)</f>
        <v>#N/A</v>
      </c>
    </row>
    <row r="66" spans="1:36" x14ac:dyDescent="0.25">
      <c r="A66" s="1" t="s">
        <v>714</v>
      </c>
      <c r="B66" s="1" t="s">
        <v>34</v>
      </c>
      <c r="C66" s="1" t="s">
        <v>35</v>
      </c>
      <c r="D66" s="1" t="s">
        <v>715</v>
      </c>
      <c r="E66" s="1" t="s">
        <v>716</v>
      </c>
      <c r="F66" s="1" t="s">
        <v>717</v>
      </c>
      <c r="G66" s="1" t="s">
        <v>14129</v>
      </c>
      <c r="H66" s="1" t="s">
        <v>14133</v>
      </c>
      <c r="I66" s="1" t="s">
        <v>14196</v>
      </c>
      <c r="J66" s="1" t="s">
        <v>23</v>
      </c>
      <c r="K66" s="1"/>
      <c r="L66" s="1" t="s">
        <v>39</v>
      </c>
      <c r="M66" s="1" t="s">
        <v>718</v>
      </c>
      <c r="N66" s="1" t="s">
        <v>41</v>
      </c>
      <c r="O66" s="1" t="s">
        <v>42</v>
      </c>
      <c r="P66" s="1" t="s">
        <v>43</v>
      </c>
      <c r="Q66" s="1" t="s">
        <v>719</v>
      </c>
      <c r="R66" s="1" t="s">
        <v>720</v>
      </c>
      <c r="S66" s="1" t="s">
        <v>721</v>
      </c>
      <c r="T66" s="1" t="s">
        <v>47</v>
      </c>
      <c r="U66">
        <v>478.09</v>
      </c>
      <c r="V66">
        <v>206.48</v>
      </c>
      <c r="W66">
        <v>12.278732</v>
      </c>
      <c r="X66">
        <v>109.188858</v>
      </c>
      <c r="Y66">
        <v>271.61</v>
      </c>
      <c r="Z66">
        <v>12.279788999999999</v>
      </c>
      <c r="AA66">
        <v>109.195205</v>
      </c>
      <c r="AB66" s="5">
        <f t="shared" si="1"/>
        <v>0.30972</v>
      </c>
      <c r="AC66" s="5">
        <f t="shared" si="2"/>
        <v>0.40741500000000003</v>
      </c>
      <c r="AD66" s="1" t="str">
        <f t="shared" si="3"/>
        <v>1.CAT Khánh Hòa</v>
      </c>
      <c r="AE66" s="1" t="str">
        <f t="shared" si="4"/>
        <v>PK02 cs1</v>
      </c>
      <c r="AG66">
        <f t="shared" si="5"/>
        <v>0.20648</v>
      </c>
      <c r="AH66">
        <f t="shared" si="6"/>
        <v>0.27161000000000002</v>
      </c>
      <c r="AI66" t="e">
        <f>VLOOKUP(L66,'[1]Tuyến cáp H04'!$B:$E,3,0)/1000</f>
        <v>#N/A</v>
      </c>
      <c r="AJ66" t="e">
        <f>VLOOKUP(L66,'[1]Tuyến cáp H04'!$B:$E,4,0)</f>
        <v>#N/A</v>
      </c>
    </row>
    <row r="67" spans="1:36" x14ac:dyDescent="0.25">
      <c r="A67" s="1" t="s">
        <v>722</v>
      </c>
      <c r="B67" s="1" t="s">
        <v>723</v>
      </c>
      <c r="C67" s="1" t="s">
        <v>724</v>
      </c>
      <c r="D67" s="1" t="s">
        <v>725</v>
      </c>
      <c r="E67" s="1" t="s">
        <v>726</v>
      </c>
      <c r="F67" s="1" t="s">
        <v>727</v>
      </c>
      <c r="G67" s="1" t="s">
        <v>14129</v>
      </c>
      <c r="H67" s="1" t="s">
        <v>14133</v>
      </c>
      <c r="I67" s="1" t="s">
        <v>14197</v>
      </c>
      <c r="J67" s="1" t="s">
        <v>23</v>
      </c>
      <c r="K67" s="1"/>
      <c r="L67" s="1" t="s">
        <v>728</v>
      </c>
      <c r="M67" s="1" t="s">
        <v>729</v>
      </c>
      <c r="N67" s="1" t="s">
        <v>730</v>
      </c>
      <c r="O67" s="1" t="s">
        <v>731</v>
      </c>
      <c r="P67" s="1" t="s">
        <v>732</v>
      </c>
      <c r="Q67" s="1" t="s">
        <v>733</v>
      </c>
      <c r="R67" s="1" t="s">
        <v>734</v>
      </c>
      <c r="S67" s="1" t="s">
        <v>735</v>
      </c>
      <c r="T67" s="1" t="s">
        <v>736</v>
      </c>
      <c r="U67">
        <v>140.83000000000001</v>
      </c>
      <c r="V67">
        <v>1.04</v>
      </c>
      <c r="W67">
        <v>12.031929</v>
      </c>
      <c r="X67">
        <v>109.128201</v>
      </c>
      <c r="Y67">
        <v>139.79</v>
      </c>
      <c r="Z67">
        <v>12.047109000000001</v>
      </c>
      <c r="AA67">
        <v>109.12705800000001</v>
      </c>
      <c r="AB67" s="5">
        <f t="shared" ref="AB67:AB130" si="7">V67*1.5/1000</f>
        <v>1.56E-3</v>
      </c>
      <c r="AC67" s="5">
        <f t="shared" ref="AC67:AC130" si="8">Y67*1.5/1000</f>
        <v>0.20968500000000001</v>
      </c>
      <c r="AD67" s="1" t="str">
        <f t="shared" ref="AD67:AD130" si="9">TRIM(LEFT(L67,FIND("-",L67)-1))</f>
        <v>4.CA Cam Hiệp</v>
      </c>
      <c r="AE67" s="1" t="str">
        <f t="shared" ref="AE67:AE130" si="10">TRIM(RIGHT(L67, LEN(L67) - FIND("-", L67)))</f>
        <v>CA Cam Lâm_Cột trung thế</v>
      </c>
      <c r="AG67">
        <f t="shared" ref="AG67:AG130" si="11">V67/1000</f>
        <v>1.0400000000000001E-3</v>
      </c>
      <c r="AH67">
        <f t="shared" ref="AH67:AH130" si="12">Y67/1000</f>
        <v>0.13979</v>
      </c>
      <c r="AI67" t="e">
        <f>VLOOKUP(L67,'[1]Tuyến cáp H04'!$B:$E,3,0)/1000</f>
        <v>#N/A</v>
      </c>
      <c r="AJ67" t="e">
        <f>VLOOKUP(L67,'[1]Tuyến cáp H04'!$B:$E,4,0)</f>
        <v>#N/A</v>
      </c>
    </row>
    <row r="68" spans="1:36" x14ac:dyDescent="0.25">
      <c r="A68" s="1" t="s">
        <v>737</v>
      </c>
      <c r="B68" s="1" t="s">
        <v>572</v>
      </c>
      <c r="C68" s="1" t="s">
        <v>573</v>
      </c>
      <c r="D68" s="1" t="s">
        <v>738</v>
      </c>
      <c r="E68" s="1" t="s">
        <v>739</v>
      </c>
      <c r="F68" s="1" t="s">
        <v>740</v>
      </c>
      <c r="G68" s="1" t="s">
        <v>14129</v>
      </c>
      <c r="H68" s="1" t="s">
        <v>14133</v>
      </c>
      <c r="I68" s="1" t="s">
        <v>14198</v>
      </c>
      <c r="J68" s="1" t="s">
        <v>23</v>
      </c>
      <c r="K68" s="1"/>
      <c r="L68" s="1" t="s">
        <v>590</v>
      </c>
      <c r="M68" s="1" t="s">
        <v>741</v>
      </c>
      <c r="N68" s="1" t="s">
        <v>592</v>
      </c>
      <c r="O68" s="1" t="s">
        <v>593</v>
      </c>
      <c r="P68" s="1" t="s">
        <v>594</v>
      </c>
      <c r="Q68" s="1" t="s">
        <v>742</v>
      </c>
      <c r="R68" s="1" t="s">
        <v>596</v>
      </c>
      <c r="S68" s="1" t="s">
        <v>597</v>
      </c>
      <c r="T68" s="1" t="s">
        <v>598</v>
      </c>
      <c r="U68">
        <v>571.13</v>
      </c>
      <c r="V68">
        <v>2.77</v>
      </c>
      <c r="W68">
        <v>12.509724</v>
      </c>
      <c r="X68">
        <v>109.13747499999999</v>
      </c>
      <c r="Y68">
        <v>568.36</v>
      </c>
      <c r="Z68">
        <v>12.481318999999999</v>
      </c>
      <c r="AA68">
        <v>109.13125100000001</v>
      </c>
      <c r="AB68" s="5">
        <f t="shared" si="7"/>
        <v>4.1549999999999998E-3</v>
      </c>
      <c r="AC68" s="5">
        <f t="shared" si="8"/>
        <v>0.85253999999999996</v>
      </c>
      <c r="AD68" s="1" t="str">
        <f t="shared" si="9"/>
        <v>1.CA Ninh Hòa</v>
      </c>
      <c r="AE68" s="1" t="str">
        <f t="shared" si="10"/>
        <v>CA Hòa Thắng_Cột trung thế</v>
      </c>
      <c r="AG68">
        <f t="shared" si="11"/>
        <v>2.7699999999999999E-3</v>
      </c>
      <c r="AH68">
        <f t="shared" si="12"/>
        <v>0.56835999999999998</v>
      </c>
      <c r="AI68" t="e">
        <f>VLOOKUP(L68,'[1]Tuyến cáp H04'!$B:$E,3,0)/1000</f>
        <v>#N/A</v>
      </c>
      <c r="AJ68" t="e">
        <f>VLOOKUP(L68,'[1]Tuyến cáp H04'!$B:$E,4,0)</f>
        <v>#N/A</v>
      </c>
    </row>
    <row r="69" spans="1:36" x14ac:dyDescent="0.25">
      <c r="A69" s="1" t="s">
        <v>743</v>
      </c>
      <c r="B69" s="1" t="s">
        <v>572</v>
      </c>
      <c r="C69" s="1" t="s">
        <v>573</v>
      </c>
      <c r="D69" s="1" t="s">
        <v>744</v>
      </c>
      <c r="E69" s="1" t="s">
        <v>745</v>
      </c>
      <c r="F69" s="1" t="s">
        <v>746</v>
      </c>
      <c r="G69" s="1" t="s">
        <v>14129</v>
      </c>
      <c r="H69" s="1" t="s">
        <v>14133</v>
      </c>
      <c r="I69" s="1" t="s">
        <v>14199</v>
      </c>
      <c r="J69" s="1" t="s">
        <v>23</v>
      </c>
      <c r="K69" s="1"/>
      <c r="L69" s="1" t="s">
        <v>747</v>
      </c>
      <c r="M69" s="1" t="s">
        <v>748</v>
      </c>
      <c r="N69" s="1" t="s">
        <v>749</v>
      </c>
      <c r="O69" s="1" t="s">
        <v>750</v>
      </c>
      <c r="P69" s="1" t="s">
        <v>594</v>
      </c>
      <c r="Q69" s="1" t="s">
        <v>751</v>
      </c>
      <c r="R69" s="1" t="s">
        <v>752</v>
      </c>
      <c r="S69" s="1" t="s">
        <v>753</v>
      </c>
      <c r="T69" s="1" t="s">
        <v>754</v>
      </c>
      <c r="U69">
        <v>626.52</v>
      </c>
      <c r="V69">
        <v>2.76</v>
      </c>
      <c r="W69">
        <v>12.509732</v>
      </c>
      <c r="X69">
        <v>109.13747499999999</v>
      </c>
      <c r="Y69">
        <v>623.76</v>
      </c>
      <c r="Z69">
        <v>12.504678999999999</v>
      </c>
      <c r="AA69">
        <v>109.153633</v>
      </c>
      <c r="AB69" s="5">
        <f t="shared" si="7"/>
        <v>4.1399999999999996E-3</v>
      </c>
      <c r="AC69" s="5">
        <f t="shared" si="8"/>
        <v>0.93564000000000003</v>
      </c>
      <c r="AD69" s="1" t="str">
        <f t="shared" si="9"/>
        <v>5.Trạm CSGT Ninh An cũ</v>
      </c>
      <c r="AE69" s="1" t="str">
        <f t="shared" si="10"/>
        <v>Ninh Hòa</v>
      </c>
      <c r="AG69">
        <f t="shared" si="11"/>
        <v>2.7599999999999999E-3</v>
      </c>
      <c r="AH69">
        <f t="shared" si="12"/>
        <v>0.62375999999999998</v>
      </c>
      <c r="AI69" t="e">
        <f>VLOOKUP(L69,'[1]Tuyến cáp H04'!$B:$E,3,0)/1000</f>
        <v>#N/A</v>
      </c>
      <c r="AJ69" t="e">
        <f>VLOOKUP(L69,'[1]Tuyến cáp H04'!$B:$E,4,0)</f>
        <v>#N/A</v>
      </c>
    </row>
    <row r="70" spans="1:36" x14ac:dyDescent="0.25">
      <c r="A70" s="1" t="s">
        <v>755</v>
      </c>
      <c r="B70" s="1" t="s">
        <v>756</v>
      </c>
      <c r="C70" s="1" t="s">
        <v>757</v>
      </c>
      <c r="D70" s="1" t="s">
        <v>758</v>
      </c>
      <c r="E70" s="1" t="s">
        <v>759</v>
      </c>
      <c r="F70" s="1" t="s">
        <v>760</v>
      </c>
      <c r="G70" s="1" t="s">
        <v>14129</v>
      </c>
      <c r="H70" s="1" t="s">
        <v>14133</v>
      </c>
      <c r="I70" s="1" t="s">
        <v>14200</v>
      </c>
      <c r="J70" s="1" t="s">
        <v>23</v>
      </c>
      <c r="K70" s="1"/>
      <c r="L70" s="1" t="s">
        <v>761</v>
      </c>
      <c r="M70" s="1" t="s">
        <v>762</v>
      </c>
      <c r="N70" s="1" t="s">
        <v>763</v>
      </c>
      <c r="O70" s="1" t="s">
        <v>764</v>
      </c>
      <c r="P70" s="1" t="s">
        <v>765</v>
      </c>
      <c r="Q70" s="1" t="s">
        <v>766</v>
      </c>
      <c r="R70" s="1" t="s">
        <v>764</v>
      </c>
      <c r="S70" s="1" t="s">
        <v>765</v>
      </c>
      <c r="T70" s="1" t="s">
        <v>767</v>
      </c>
      <c r="U70">
        <v>431.92</v>
      </c>
      <c r="V70">
        <v>3.45</v>
      </c>
      <c r="W70">
        <v>12.690776</v>
      </c>
      <c r="X70">
        <v>109.22086899999999</v>
      </c>
      <c r="Y70">
        <v>428.48</v>
      </c>
      <c r="Z70">
        <v>12.690776</v>
      </c>
      <c r="AA70">
        <v>109.22086899999999</v>
      </c>
      <c r="AB70" s="5">
        <f t="shared" si="7"/>
        <v>5.1750000000000008E-3</v>
      </c>
      <c r="AC70" s="5">
        <f t="shared" si="8"/>
        <v>0.64272000000000007</v>
      </c>
      <c r="AD70" s="1" t="str">
        <f t="shared" si="9"/>
        <v>4.CA Vạn Hưng</v>
      </c>
      <c r="AE70" s="1" t="str">
        <f t="shared" si="10"/>
        <v>CA Vạn Ninh</v>
      </c>
      <c r="AG70">
        <f t="shared" si="11"/>
        <v>3.4500000000000004E-3</v>
      </c>
      <c r="AH70">
        <f t="shared" si="12"/>
        <v>0.42848000000000003</v>
      </c>
      <c r="AI70" t="e">
        <f>VLOOKUP(L70,'[1]Tuyến cáp H04'!$B:$E,3,0)/1000</f>
        <v>#N/A</v>
      </c>
      <c r="AJ70" t="e">
        <f>VLOOKUP(L70,'[1]Tuyến cáp H04'!$B:$E,4,0)</f>
        <v>#N/A</v>
      </c>
    </row>
    <row r="71" spans="1:36" x14ac:dyDescent="0.25">
      <c r="A71" s="1" t="s">
        <v>768</v>
      </c>
      <c r="B71" s="1" t="s">
        <v>612</v>
      </c>
      <c r="C71" s="1" t="s">
        <v>613</v>
      </c>
      <c r="D71" s="1" t="s">
        <v>769</v>
      </c>
      <c r="E71" s="1" t="s">
        <v>770</v>
      </c>
      <c r="F71" s="1" t="s">
        <v>771</v>
      </c>
      <c r="G71" s="1" t="s">
        <v>14129</v>
      </c>
      <c r="H71" s="1" t="s">
        <v>14133</v>
      </c>
      <c r="I71" s="1" t="s">
        <v>14201</v>
      </c>
      <c r="J71" s="1" t="s">
        <v>23</v>
      </c>
      <c r="K71" s="1"/>
      <c r="L71" s="1" t="s">
        <v>352</v>
      </c>
      <c r="M71" s="1" t="s">
        <v>772</v>
      </c>
      <c r="N71" s="1" t="s">
        <v>773</v>
      </c>
      <c r="O71" s="1" t="s">
        <v>774</v>
      </c>
      <c r="P71" s="1" t="s">
        <v>775</v>
      </c>
      <c r="Q71" s="1" t="s">
        <v>776</v>
      </c>
      <c r="R71" s="1" t="s">
        <v>777</v>
      </c>
      <c r="S71" s="1" t="s">
        <v>778</v>
      </c>
      <c r="T71" s="1" t="s">
        <v>360</v>
      </c>
      <c r="U71">
        <v>5280.19</v>
      </c>
      <c r="V71">
        <v>274.23</v>
      </c>
      <c r="W71">
        <v>11.925938</v>
      </c>
      <c r="X71">
        <v>109.161216</v>
      </c>
      <c r="Y71">
        <v>5005.96</v>
      </c>
      <c r="Z71">
        <v>11.960527000000001</v>
      </c>
      <c r="AA71">
        <v>109.097217</v>
      </c>
      <c r="AB71" s="5">
        <f t="shared" si="7"/>
        <v>0.41134500000000002</v>
      </c>
      <c r="AC71" s="5">
        <f t="shared" si="8"/>
        <v>7.5089400000000008</v>
      </c>
      <c r="AD71" s="1" t="str">
        <f t="shared" si="9"/>
        <v>3.Cam Ranh</v>
      </c>
      <c r="AE71" s="1" t="str">
        <f t="shared" si="10"/>
        <v>Khánh Sơn</v>
      </c>
      <c r="AG71">
        <f t="shared" si="11"/>
        <v>0.27423000000000003</v>
      </c>
      <c r="AH71">
        <f t="shared" si="12"/>
        <v>5.00596</v>
      </c>
      <c r="AI71" t="e">
        <f>VLOOKUP(L71,'[1]Tuyến cáp H04'!$B:$E,3,0)/1000</f>
        <v>#N/A</v>
      </c>
      <c r="AJ71" t="e">
        <f>VLOOKUP(L71,'[1]Tuyến cáp H04'!$B:$E,4,0)</f>
        <v>#N/A</v>
      </c>
    </row>
    <row r="72" spans="1:36" x14ac:dyDescent="0.25">
      <c r="A72" s="1" t="s">
        <v>779</v>
      </c>
      <c r="B72" s="1" t="s">
        <v>77</v>
      </c>
      <c r="C72" s="1" t="s">
        <v>78</v>
      </c>
      <c r="D72" s="1" t="s">
        <v>780</v>
      </c>
      <c r="E72" s="1" t="s">
        <v>781</v>
      </c>
      <c r="F72" s="1" t="s">
        <v>782</v>
      </c>
      <c r="G72" s="1" t="s">
        <v>14129</v>
      </c>
      <c r="H72" s="1" t="s">
        <v>14133</v>
      </c>
      <c r="I72" s="1" t="s">
        <v>14202</v>
      </c>
      <c r="J72" s="1" t="s">
        <v>23</v>
      </c>
      <c r="K72" s="1"/>
      <c r="L72" s="1" t="s">
        <v>490</v>
      </c>
      <c r="M72" s="1" t="s">
        <v>783</v>
      </c>
      <c r="N72" s="1" t="s">
        <v>492</v>
      </c>
      <c r="O72" s="1" t="s">
        <v>493</v>
      </c>
      <c r="P72" s="1" t="s">
        <v>494</v>
      </c>
      <c r="Q72" s="1" t="s">
        <v>784</v>
      </c>
      <c r="R72" s="1" t="s">
        <v>785</v>
      </c>
      <c r="S72" s="1" t="s">
        <v>786</v>
      </c>
      <c r="T72" s="1" t="s">
        <v>498</v>
      </c>
      <c r="U72">
        <v>138.12</v>
      </c>
      <c r="V72">
        <v>136.09</v>
      </c>
      <c r="W72">
        <v>12.175768</v>
      </c>
      <c r="X72">
        <v>109.17495</v>
      </c>
      <c r="Y72">
        <v>2.0299999999999998</v>
      </c>
      <c r="Z72">
        <v>12.074439</v>
      </c>
      <c r="AA72">
        <v>109.168081</v>
      </c>
      <c r="AB72" s="5">
        <f t="shared" si="7"/>
        <v>0.20413499999999998</v>
      </c>
      <c r="AC72" s="5">
        <f t="shared" si="8"/>
        <v>3.045E-3</v>
      </c>
      <c r="AD72" s="1" t="str">
        <f t="shared" si="9"/>
        <v>1.CAT Khánh Hòa</v>
      </c>
      <c r="AE72" s="1" t="str">
        <f t="shared" si="10"/>
        <v>Cam Lâm</v>
      </c>
      <c r="AG72">
        <f t="shared" si="11"/>
        <v>0.13609000000000002</v>
      </c>
      <c r="AH72">
        <f t="shared" si="12"/>
        <v>2.0299999999999997E-3</v>
      </c>
      <c r="AI72" t="e">
        <f>VLOOKUP(L72,'[1]Tuyến cáp H04'!$B:$E,3,0)/1000</f>
        <v>#N/A</v>
      </c>
      <c r="AJ72" t="e">
        <f>VLOOKUP(L72,'[1]Tuyến cáp H04'!$B:$E,4,0)</f>
        <v>#N/A</v>
      </c>
    </row>
    <row r="73" spans="1:36" x14ac:dyDescent="0.25">
      <c r="A73" s="1" t="s">
        <v>787</v>
      </c>
      <c r="B73" s="1" t="s">
        <v>347</v>
      </c>
      <c r="C73" s="1" t="s">
        <v>348</v>
      </c>
      <c r="D73" s="1" t="s">
        <v>788</v>
      </c>
      <c r="E73" s="1" t="s">
        <v>789</v>
      </c>
      <c r="F73" s="1" t="s">
        <v>790</v>
      </c>
      <c r="G73" s="1" t="s">
        <v>14129</v>
      </c>
      <c r="H73" s="1" t="s">
        <v>14133</v>
      </c>
      <c r="I73" s="1" t="s">
        <v>14203</v>
      </c>
      <c r="J73" s="1" t="s">
        <v>23</v>
      </c>
      <c r="K73" s="1"/>
      <c r="L73" s="1" t="s">
        <v>367</v>
      </c>
      <c r="M73" s="1" t="s">
        <v>791</v>
      </c>
      <c r="N73" s="1" t="s">
        <v>792</v>
      </c>
      <c r="O73" s="1" t="s">
        <v>793</v>
      </c>
      <c r="P73" s="1" t="s">
        <v>794</v>
      </c>
      <c r="Q73" s="1" t="s">
        <v>795</v>
      </c>
      <c r="R73" s="1" t="s">
        <v>796</v>
      </c>
      <c r="S73" s="1" t="s">
        <v>797</v>
      </c>
      <c r="T73" s="1" t="s">
        <v>375</v>
      </c>
      <c r="U73">
        <v>4045.15</v>
      </c>
      <c r="V73">
        <v>3421.38</v>
      </c>
      <c r="W73">
        <v>11.972379</v>
      </c>
      <c r="X73">
        <v>109.11288999999999</v>
      </c>
      <c r="Y73">
        <v>623.77</v>
      </c>
      <c r="Z73">
        <v>11.989046</v>
      </c>
      <c r="AA73">
        <v>109.151068</v>
      </c>
      <c r="AB73" s="5">
        <f t="shared" si="7"/>
        <v>5.1320699999999997</v>
      </c>
      <c r="AC73" s="5">
        <f t="shared" si="8"/>
        <v>0.93565500000000001</v>
      </c>
      <c r="AD73" s="1" t="str">
        <f t="shared" si="9"/>
        <v>2.CA Bắc Cam Ranh</v>
      </c>
      <c r="AE73" s="1" t="str">
        <f t="shared" si="10"/>
        <v>CA Cam An</v>
      </c>
      <c r="AG73">
        <f t="shared" si="11"/>
        <v>3.4213800000000001</v>
      </c>
      <c r="AH73">
        <f t="shared" si="12"/>
        <v>0.62376999999999994</v>
      </c>
      <c r="AI73" t="e">
        <f>VLOOKUP(L73,'[1]Tuyến cáp H04'!$B:$E,3,0)/1000</f>
        <v>#N/A</v>
      </c>
      <c r="AJ73" t="e">
        <f>VLOOKUP(L73,'[1]Tuyến cáp H04'!$B:$E,4,0)</f>
        <v>#N/A</v>
      </c>
    </row>
    <row r="74" spans="1:36" x14ac:dyDescent="0.25">
      <c r="A74" s="1" t="s">
        <v>798</v>
      </c>
      <c r="B74" s="1" t="s">
        <v>612</v>
      </c>
      <c r="C74" s="1" t="s">
        <v>613</v>
      </c>
      <c r="D74" s="1" t="s">
        <v>799</v>
      </c>
      <c r="E74" s="1" t="s">
        <v>800</v>
      </c>
      <c r="F74" s="1" t="s">
        <v>801</v>
      </c>
      <c r="G74" s="1" t="s">
        <v>14129</v>
      </c>
      <c r="H74" s="1" t="s">
        <v>14133</v>
      </c>
      <c r="I74" s="1" t="s">
        <v>14204</v>
      </c>
      <c r="J74" s="1" t="s">
        <v>23</v>
      </c>
      <c r="K74" s="1"/>
      <c r="L74" s="1" t="s">
        <v>802</v>
      </c>
      <c r="M74" s="1" t="s">
        <v>803</v>
      </c>
      <c r="N74" s="1" t="s">
        <v>804</v>
      </c>
      <c r="O74" s="1" t="s">
        <v>805</v>
      </c>
      <c r="P74" s="1" t="s">
        <v>806</v>
      </c>
      <c r="Q74" s="1" t="s">
        <v>807</v>
      </c>
      <c r="R74" s="1" t="s">
        <v>808</v>
      </c>
      <c r="S74" s="1" t="s">
        <v>809</v>
      </c>
      <c r="T74" s="1" t="s">
        <v>810</v>
      </c>
      <c r="U74">
        <v>476.19</v>
      </c>
      <c r="V74">
        <v>271.76</v>
      </c>
      <c r="W74">
        <v>11.925971000000001</v>
      </c>
      <c r="X74">
        <v>109.16124499999999</v>
      </c>
      <c r="Y74">
        <v>204.42</v>
      </c>
      <c r="Z74">
        <v>11.920406</v>
      </c>
      <c r="AA74">
        <v>109.144291</v>
      </c>
      <c r="AB74" s="5">
        <f t="shared" si="7"/>
        <v>0.40764</v>
      </c>
      <c r="AC74" s="5">
        <f t="shared" si="8"/>
        <v>0.30663000000000001</v>
      </c>
      <c r="AD74" s="1" t="str">
        <f t="shared" si="9"/>
        <v>4.CA Nam Cam Ranh</v>
      </c>
      <c r="AE74" s="1" t="str">
        <f t="shared" si="10"/>
        <v>CA Cam Ranh</v>
      </c>
      <c r="AG74">
        <f t="shared" si="11"/>
        <v>0.27176</v>
      </c>
      <c r="AH74">
        <f t="shared" si="12"/>
        <v>0.20441999999999999</v>
      </c>
      <c r="AI74" t="e">
        <f>VLOOKUP(L74,'[1]Tuyến cáp H04'!$B:$E,3,0)/1000</f>
        <v>#N/A</v>
      </c>
      <c r="AJ74" t="e">
        <f>VLOOKUP(L74,'[1]Tuyến cáp H04'!$B:$E,4,0)</f>
        <v>#N/A</v>
      </c>
    </row>
    <row r="75" spans="1:36" x14ac:dyDescent="0.25">
      <c r="A75" s="1" t="s">
        <v>811</v>
      </c>
      <c r="B75" s="1" t="s">
        <v>723</v>
      </c>
      <c r="C75" s="1" t="s">
        <v>724</v>
      </c>
      <c r="D75" s="1" t="s">
        <v>812</v>
      </c>
      <c r="E75" s="1" t="s">
        <v>813</v>
      </c>
      <c r="F75" s="1" t="s">
        <v>814</v>
      </c>
      <c r="G75" s="1" t="s">
        <v>14129</v>
      </c>
      <c r="H75" s="1" t="s">
        <v>14133</v>
      </c>
      <c r="I75" s="1" t="s">
        <v>14205</v>
      </c>
      <c r="J75" s="1" t="s">
        <v>23</v>
      </c>
      <c r="K75" s="1"/>
      <c r="L75" s="1" t="s">
        <v>728</v>
      </c>
      <c r="M75" s="1" t="s">
        <v>815</v>
      </c>
      <c r="N75" s="1" t="s">
        <v>730</v>
      </c>
      <c r="O75" s="1" t="s">
        <v>731</v>
      </c>
      <c r="P75" s="1" t="s">
        <v>732</v>
      </c>
      <c r="Q75" s="1" t="s">
        <v>816</v>
      </c>
      <c r="R75" s="1" t="s">
        <v>817</v>
      </c>
      <c r="S75" s="1" t="s">
        <v>818</v>
      </c>
      <c r="T75" s="1" t="s">
        <v>736</v>
      </c>
      <c r="U75">
        <v>881.07</v>
      </c>
      <c r="V75">
        <v>1.04</v>
      </c>
      <c r="W75">
        <v>12.031929</v>
      </c>
      <c r="X75">
        <v>109.128201</v>
      </c>
      <c r="Y75">
        <v>880.03</v>
      </c>
      <c r="Z75">
        <v>12.070831</v>
      </c>
      <c r="AA75">
        <v>109.157676</v>
      </c>
      <c r="AB75" s="5">
        <f t="shared" si="7"/>
        <v>1.56E-3</v>
      </c>
      <c r="AC75" s="5">
        <f t="shared" si="8"/>
        <v>1.3200450000000001</v>
      </c>
      <c r="AD75" s="1" t="str">
        <f t="shared" si="9"/>
        <v>4.CA Cam Hiệp</v>
      </c>
      <c r="AE75" s="1" t="str">
        <f t="shared" si="10"/>
        <v>CA Cam Lâm_Cột trung thế</v>
      </c>
      <c r="AG75">
        <f t="shared" si="11"/>
        <v>1.0400000000000001E-3</v>
      </c>
      <c r="AH75">
        <f t="shared" si="12"/>
        <v>0.88002999999999998</v>
      </c>
      <c r="AI75" t="e">
        <f>VLOOKUP(L75,'[1]Tuyến cáp H04'!$B:$E,3,0)/1000</f>
        <v>#N/A</v>
      </c>
      <c r="AJ75" t="e">
        <f>VLOOKUP(L75,'[1]Tuyến cáp H04'!$B:$E,4,0)</f>
        <v>#N/A</v>
      </c>
    </row>
    <row r="76" spans="1:36" x14ac:dyDescent="0.25">
      <c r="A76" s="1" t="s">
        <v>819</v>
      </c>
      <c r="B76" s="1" t="s">
        <v>600</v>
      </c>
      <c r="C76" s="1" t="s">
        <v>601</v>
      </c>
      <c r="D76" s="1" t="s">
        <v>723</v>
      </c>
      <c r="E76" s="1" t="s">
        <v>724</v>
      </c>
      <c r="F76" s="1" t="s">
        <v>820</v>
      </c>
      <c r="G76" s="1" t="s">
        <v>14129</v>
      </c>
      <c r="H76" s="1" t="s">
        <v>14133</v>
      </c>
      <c r="I76" s="1" t="s">
        <v>14206</v>
      </c>
      <c r="J76" s="1" t="s">
        <v>23</v>
      </c>
      <c r="K76" s="1"/>
      <c r="L76" s="1" t="s">
        <v>821</v>
      </c>
      <c r="M76" s="1" t="s">
        <v>822</v>
      </c>
      <c r="N76" s="1" t="s">
        <v>823</v>
      </c>
      <c r="O76" s="1" t="s">
        <v>824</v>
      </c>
      <c r="P76" s="1" t="s">
        <v>825</v>
      </c>
      <c r="Q76" s="1" t="s">
        <v>826</v>
      </c>
      <c r="R76" s="1" t="s">
        <v>827</v>
      </c>
      <c r="S76" s="1" t="s">
        <v>828</v>
      </c>
      <c r="T76" s="1" t="s">
        <v>829</v>
      </c>
      <c r="U76">
        <v>2215.62</v>
      </c>
      <c r="V76">
        <v>2211.21</v>
      </c>
      <c r="W76">
        <v>11.97236</v>
      </c>
      <c r="X76">
        <v>109.11290200000001</v>
      </c>
      <c r="Y76">
        <v>4.41</v>
      </c>
      <c r="Z76">
        <v>12.031929999999999</v>
      </c>
      <c r="AA76">
        <v>109.12816100000001</v>
      </c>
      <c r="AB76" s="5">
        <f t="shared" si="7"/>
        <v>3.3168150000000001</v>
      </c>
      <c r="AC76" s="5">
        <f t="shared" si="8"/>
        <v>6.6150000000000002E-3</v>
      </c>
      <c r="AD76" s="1" t="str">
        <f t="shared" si="9"/>
        <v>3.CA Cam An</v>
      </c>
      <c r="AE76" s="1" t="str">
        <f t="shared" si="10"/>
        <v>CA Cam Hiệp</v>
      </c>
      <c r="AG76">
        <f t="shared" si="11"/>
        <v>2.2112099999999999</v>
      </c>
      <c r="AH76">
        <f t="shared" si="12"/>
        <v>4.4099999999999999E-3</v>
      </c>
      <c r="AI76" t="e">
        <f>VLOOKUP(L76,'[1]Tuyến cáp H04'!$B:$E,3,0)/1000</f>
        <v>#N/A</v>
      </c>
      <c r="AJ76" t="e">
        <f>VLOOKUP(L76,'[1]Tuyến cáp H04'!$B:$E,4,0)</f>
        <v>#N/A</v>
      </c>
    </row>
    <row r="77" spans="1:36" x14ac:dyDescent="0.25">
      <c r="A77" s="1" t="s">
        <v>830</v>
      </c>
      <c r="B77" s="1" t="s">
        <v>612</v>
      </c>
      <c r="C77" s="1" t="s">
        <v>613</v>
      </c>
      <c r="D77" s="1" t="s">
        <v>831</v>
      </c>
      <c r="E77" s="1" t="s">
        <v>832</v>
      </c>
      <c r="F77" s="1" t="s">
        <v>833</v>
      </c>
      <c r="G77" s="1" t="s">
        <v>14129</v>
      </c>
      <c r="H77" s="1" t="s">
        <v>14133</v>
      </c>
      <c r="I77" s="1" t="s">
        <v>14207</v>
      </c>
      <c r="J77" s="1" t="s">
        <v>23</v>
      </c>
      <c r="K77" s="1"/>
      <c r="L77" s="1" t="s">
        <v>802</v>
      </c>
      <c r="M77" s="1" t="s">
        <v>834</v>
      </c>
      <c r="N77" s="1" t="s">
        <v>804</v>
      </c>
      <c r="O77" s="1" t="s">
        <v>805</v>
      </c>
      <c r="P77" s="1" t="s">
        <v>806</v>
      </c>
      <c r="Q77" s="1" t="s">
        <v>835</v>
      </c>
      <c r="R77" s="1" t="s">
        <v>836</v>
      </c>
      <c r="S77" s="1" t="s">
        <v>837</v>
      </c>
      <c r="T77" s="1" t="s">
        <v>810</v>
      </c>
      <c r="U77">
        <v>370.23</v>
      </c>
      <c r="V77">
        <v>271.76</v>
      </c>
      <c r="W77">
        <v>11.925971000000001</v>
      </c>
      <c r="X77">
        <v>109.16124499999999</v>
      </c>
      <c r="Y77">
        <v>98.47</v>
      </c>
      <c r="Z77">
        <v>11.908733</v>
      </c>
      <c r="AA77">
        <v>109.127402</v>
      </c>
      <c r="AB77" s="5">
        <f t="shared" si="7"/>
        <v>0.40764</v>
      </c>
      <c r="AC77" s="5">
        <f t="shared" si="8"/>
        <v>0.14770499999999998</v>
      </c>
      <c r="AD77" s="1" t="str">
        <f t="shared" si="9"/>
        <v>4.CA Nam Cam Ranh</v>
      </c>
      <c r="AE77" s="1" t="str">
        <f t="shared" si="10"/>
        <v>CA Cam Ranh</v>
      </c>
      <c r="AG77">
        <f t="shared" si="11"/>
        <v>0.27176</v>
      </c>
      <c r="AH77">
        <f t="shared" si="12"/>
        <v>9.8470000000000002E-2</v>
      </c>
      <c r="AI77" t="e">
        <f>VLOOKUP(L77,'[1]Tuyến cáp H04'!$B:$E,3,0)/1000</f>
        <v>#N/A</v>
      </c>
      <c r="AJ77" t="e">
        <f>VLOOKUP(L77,'[1]Tuyến cáp H04'!$B:$E,4,0)</f>
        <v>#N/A</v>
      </c>
    </row>
    <row r="78" spans="1:36" x14ac:dyDescent="0.25">
      <c r="A78" s="1" t="s">
        <v>838</v>
      </c>
      <c r="B78" s="1" t="s">
        <v>839</v>
      </c>
      <c r="C78" s="1" t="s">
        <v>840</v>
      </c>
      <c r="D78" s="1" t="s">
        <v>841</v>
      </c>
      <c r="E78" s="1" t="s">
        <v>842</v>
      </c>
      <c r="F78" s="1" t="s">
        <v>843</v>
      </c>
      <c r="G78" s="1" t="s">
        <v>14129</v>
      </c>
      <c r="H78" s="1" t="s">
        <v>14133</v>
      </c>
      <c r="I78" s="1" t="s">
        <v>14208</v>
      </c>
      <c r="J78" s="1" t="s">
        <v>23</v>
      </c>
      <c r="K78" s="1"/>
      <c r="L78" s="1" t="s">
        <v>802</v>
      </c>
      <c r="M78" s="1" t="s">
        <v>844</v>
      </c>
      <c r="N78" s="1" t="s">
        <v>845</v>
      </c>
      <c r="O78" s="1" t="s">
        <v>846</v>
      </c>
      <c r="P78" s="1" t="s">
        <v>847</v>
      </c>
      <c r="Q78" s="1" t="s">
        <v>848</v>
      </c>
      <c r="R78" s="1" t="s">
        <v>849</v>
      </c>
      <c r="S78" s="1" t="s">
        <v>850</v>
      </c>
      <c r="T78" s="1" t="s">
        <v>810</v>
      </c>
      <c r="U78">
        <v>5756.97</v>
      </c>
      <c r="V78">
        <v>1211.77</v>
      </c>
      <c r="W78">
        <v>11.915801999999999</v>
      </c>
      <c r="X78">
        <v>109.140168</v>
      </c>
      <c r="Y78">
        <v>4545.2</v>
      </c>
      <c r="Z78">
        <v>11.878836</v>
      </c>
      <c r="AA78">
        <v>109.11086</v>
      </c>
      <c r="AB78" s="5">
        <f t="shared" si="7"/>
        <v>1.817655</v>
      </c>
      <c r="AC78" s="5">
        <f t="shared" si="8"/>
        <v>6.8177999999999992</v>
      </c>
      <c r="AD78" s="1" t="str">
        <f t="shared" si="9"/>
        <v>4.CA Nam Cam Ranh</v>
      </c>
      <c r="AE78" s="1" t="str">
        <f t="shared" si="10"/>
        <v>CA Cam Ranh</v>
      </c>
      <c r="AG78">
        <f t="shared" si="11"/>
        <v>1.21177</v>
      </c>
      <c r="AH78">
        <f t="shared" si="12"/>
        <v>4.5451999999999995</v>
      </c>
      <c r="AI78" t="e">
        <f>VLOOKUP(L78,'[1]Tuyến cáp H04'!$B:$E,3,0)/1000</f>
        <v>#N/A</v>
      </c>
      <c r="AJ78" t="e">
        <f>VLOOKUP(L78,'[1]Tuyến cáp H04'!$B:$E,4,0)</f>
        <v>#N/A</v>
      </c>
    </row>
    <row r="79" spans="1:36" x14ac:dyDescent="0.25">
      <c r="A79" s="1" t="s">
        <v>851</v>
      </c>
      <c r="B79" s="1" t="s">
        <v>612</v>
      </c>
      <c r="C79" s="1" t="s">
        <v>613</v>
      </c>
      <c r="D79" s="1" t="s">
        <v>839</v>
      </c>
      <c r="E79" s="1" t="s">
        <v>840</v>
      </c>
      <c r="F79" s="1" t="s">
        <v>852</v>
      </c>
      <c r="G79" s="1" t="s">
        <v>14129</v>
      </c>
      <c r="H79" s="1" t="s">
        <v>14133</v>
      </c>
      <c r="I79" s="1" t="s">
        <v>14209</v>
      </c>
      <c r="J79" s="1" t="s">
        <v>23</v>
      </c>
      <c r="K79" s="1"/>
      <c r="L79" s="1" t="s">
        <v>617</v>
      </c>
      <c r="M79" s="1" t="s">
        <v>853</v>
      </c>
      <c r="N79" s="1" t="s">
        <v>619</v>
      </c>
      <c r="O79" s="1" t="s">
        <v>620</v>
      </c>
      <c r="P79" s="1" t="s">
        <v>621</v>
      </c>
      <c r="Q79" s="1" t="s">
        <v>854</v>
      </c>
      <c r="R79" s="1" t="s">
        <v>855</v>
      </c>
      <c r="S79" s="1" t="s">
        <v>856</v>
      </c>
      <c r="T79" s="1" t="s">
        <v>625</v>
      </c>
      <c r="U79">
        <v>318.01</v>
      </c>
      <c r="V79">
        <v>313.88</v>
      </c>
      <c r="W79">
        <v>11.923</v>
      </c>
      <c r="X79">
        <v>109.16500000000001</v>
      </c>
      <c r="Y79">
        <v>4.13</v>
      </c>
      <c r="Z79">
        <v>11.906758</v>
      </c>
      <c r="AA79">
        <v>109.14636400000001</v>
      </c>
      <c r="AB79" s="5">
        <f t="shared" si="7"/>
        <v>0.47082000000000002</v>
      </c>
      <c r="AC79" s="5">
        <f t="shared" si="8"/>
        <v>6.195E-3</v>
      </c>
      <c r="AD79" s="1" t="str">
        <f t="shared" si="9"/>
        <v>1.CA Cam Ranh</v>
      </c>
      <c r="AE79" s="1" t="str">
        <f t="shared" si="10"/>
        <v>CA Cam Linh</v>
      </c>
      <c r="AG79">
        <f t="shared" si="11"/>
        <v>0.31387999999999999</v>
      </c>
      <c r="AH79">
        <f t="shared" si="12"/>
        <v>4.13E-3</v>
      </c>
      <c r="AI79" t="e">
        <f>VLOOKUP(L79,'[1]Tuyến cáp H04'!$B:$E,3,0)/1000</f>
        <v>#N/A</v>
      </c>
      <c r="AJ79" t="e">
        <f>VLOOKUP(L79,'[1]Tuyến cáp H04'!$B:$E,4,0)</f>
        <v>#N/A</v>
      </c>
    </row>
    <row r="80" spans="1:36" x14ac:dyDescent="0.25">
      <c r="A80" s="1" t="s">
        <v>857</v>
      </c>
      <c r="B80" s="1" t="s">
        <v>362</v>
      </c>
      <c r="C80" s="1" t="s">
        <v>363</v>
      </c>
      <c r="D80" s="1" t="s">
        <v>858</v>
      </c>
      <c r="E80" s="1" t="s">
        <v>859</v>
      </c>
      <c r="F80" s="1" t="s">
        <v>860</v>
      </c>
      <c r="G80" s="1" t="s">
        <v>14129</v>
      </c>
      <c r="H80" s="1" t="s">
        <v>14133</v>
      </c>
      <c r="I80" s="1" t="s">
        <v>14210</v>
      </c>
      <c r="J80" s="1" t="s">
        <v>23</v>
      </c>
      <c r="K80" s="1"/>
      <c r="L80" s="1" t="s">
        <v>861</v>
      </c>
      <c r="M80" s="1" t="s">
        <v>862</v>
      </c>
      <c r="N80" s="1" t="s">
        <v>863</v>
      </c>
      <c r="O80" s="1" t="s">
        <v>864</v>
      </c>
      <c r="P80" s="1" t="s">
        <v>865</v>
      </c>
      <c r="Q80" s="1" t="s">
        <v>866</v>
      </c>
      <c r="R80" s="1" t="s">
        <v>867</v>
      </c>
      <c r="S80" s="1" t="s">
        <v>868</v>
      </c>
      <c r="T80" s="1" t="s">
        <v>869</v>
      </c>
      <c r="U80">
        <v>1218.6500000000001</v>
      </c>
      <c r="V80">
        <v>674.9</v>
      </c>
      <c r="W80">
        <v>11.970426</v>
      </c>
      <c r="X80">
        <v>109.192857</v>
      </c>
      <c r="Y80">
        <v>543.75</v>
      </c>
      <c r="Z80">
        <v>12.034096999999999</v>
      </c>
      <c r="AA80">
        <v>109.174734</v>
      </c>
      <c r="AB80" s="5">
        <f t="shared" si="7"/>
        <v>1.0123499999999999</v>
      </c>
      <c r="AC80" s="5">
        <f t="shared" si="8"/>
        <v>0.81562500000000004</v>
      </c>
      <c r="AD80" s="1" t="str">
        <f t="shared" si="9"/>
        <v>2.Cam Lâm</v>
      </c>
      <c r="AE80" s="1" t="str">
        <f t="shared" si="10"/>
        <v>Cam Ranh</v>
      </c>
      <c r="AG80">
        <f t="shared" si="11"/>
        <v>0.67489999999999994</v>
      </c>
      <c r="AH80">
        <f t="shared" si="12"/>
        <v>0.54374999999999996</v>
      </c>
      <c r="AI80" t="e">
        <f>VLOOKUP(L80,'[1]Tuyến cáp H04'!$B:$E,3,0)/1000</f>
        <v>#N/A</v>
      </c>
      <c r="AJ80" t="e">
        <f>VLOOKUP(L80,'[1]Tuyến cáp H04'!$B:$E,4,0)</f>
        <v>#N/A</v>
      </c>
    </row>
    <row r="81" spans="1:36" x14ac:dyDescent="0.25">
      <c r="A81" s="1" t="s">
        <v>870</v>
      </c>
      <c r="B81" s="1" t="s">
        <v>780</v>
      </c>
      <c r="C81" s="1" t="s">
        <v>781</v>
      </c>
      <c r="D81" s="1" t="s">
        <v>871</v>
      </c>
      <c r="E81" s="1" t="s">
        <v>872</v>
      </c>
      <c r="F81" s="1" t="s">
        <v>873</v>
      </c>
      <c r="G81" s="1" t="s">
        <v>14129</v>
      </c>
      <c r="H81" s="1" t="s">
        <v>14133</v>
      </c>
      <c r="I81" s="1" t="s">
        <v>14211</v>
      </c>
      <c r="J81" s="1" t="s">
        <v>23</v>
      </c>
      <c r="K81" s="1"/>
      <c r="L81" s="1" t="s">
        <v>245</v>
      </c>
      <c r="M81" s="1" t="s">
        <v>874</v>
      </c>
      <c r="N81" s="1" t="s">
        <v>875</v>
      </c>
      <c r="O81" s="1" t="s">
        <v>876</v>
      </c>
      <c r="P81" s="1" t="s">
        <v>877</v>
      </c>
      <c r="Q81" s="1" t="s">
        <v>878</v>
      </c>
      <c r="R81" s="1" t="s">
        <v>879</v>
      </c>
      <c r="S81" s="1" t="s">
        <v>880</v>
      </c>
      <c r="T81" s="1" t="s">
        <v>881</v>
      </c>
      <c r="U81">
        <v>1833.46</v>
      </c>
      <c r="V81">
        <v>1719.35</v>
      </c>
      <c r="W81">
        <v>12.075379</v>
      </c>
      <c r="X81">
        <v>109.152317</v>
      </c>
      <c r="Y81">
        <v>114.11</v>
      </c>
      <c r="Z81">
        <v>12.118789</v>
      </c>
      <c r="AA81">
        <v>109.11237</v>
      </c>
      <c r="AB81" s="5">
        <f t="shared" si="7"/>
        <v>2.5790249999999997</v>
      </c>
      <c r="AC81" s="5">
        <f t="shared" si="8"/>
        <v>0.17116499999999998</v>
      </c>
      <c r="AD81" s="1" t="str">
        <f t="shared" si="9"/>
        <v>5. Cam Phước Đông</v>
      </c>
      <c r="AE81" s="1" t="str">
        <f t="shared" si="10"/>
        <v>CAT Khánh Hòa</v>
      </c>
      <c r="AG81">
        <f t="shared" si="11"/>
        <v>1.7193499999999999</v>
      </c>
      <c r="AH81">
        <f t="shared" si="12"/>
        <v>0.11411</v>
      </c>
      <c r="AI81" t="e">
        <f>VLOOKUP(L81,'[1]Tuyến cáp H04'!$B:$E,3,0)/1000</f>
        <v>#N/A</v>
      </c>
      <c r="AJ81" t="e">
        <f>VLOOKUP(L81,'[1]Tuyến cáp H04'!$B:$E,4,0)</f>
        <v>#N/A</v>
      </c>
    </row>
    <row r="82" spans="1:36" x14ac:dyDescent="0.25">
      <c r="A82" s="1" t="s">
        <v>882</v>
      </c>
      <c r="B82" s="1" t="s">
        <v>362</v>
      </c>
      <c r="C82" s="1" t="s">
        <v>363</v>
      </c>
      <c r="D82" s="1" t="s">
        <v>883</v>
      </c>
      <c r="E82" s="1" t="s">
        <v>884</v>
      </c>
      <c r="F82" s="1" t="s">
        <v>885</v>
      </c>
      <c r="G82" s="1" t="s">
        <v>14129</v>
      </c>
      <c r="H82" s="1" t="s">
        <v>14133</v>
      </c>
      <c r="I82" s="1" t="s">
        <v>14212</v>
      </c>
      <c r="J82" s="1" t="s">
        <v>23</v>
      </c>
      <c r="K82" s="1"/>
      <c r="L82" s="1" t="s">
        <v>886</v>
      </c>
      <c r="M82" s="1" t="s">
        <v>887</v>
      </c>
      <c r="N82" s="1" t="s">
        <v>888</v>
      </c>
      <c r="O82" s="1" t="s">
        <v>889</v>
      </c>
      <c r="P82" s="1" t="s">
        <v>890</v>
      </c>
      <c r="Q82" s="1" t="s">
        <v>891</v>
      </c>
      <c r="R82" s="1" t="s">
        <v>892</v>
      </c>
      <c r="S82" s="1" t="s">
        <v>893</v>
      </c>
      <c r="T82" s="1" t="s">
        <v>894</v>
      </c>
      <c r="U82">
        <v>297.57</v>
      </c>
      <c r="V82">
        <v>125.41</v>
      </c>
      <c r="W82">
        <v>11.976637</v>
      </c>
      <c r="X82">
        <v>109.19564699999999</v>
      </c>
      <c r="Y82">
        <v>172.16</v>
      </c>
      <c r="Z82">
        <v>11.94308</v>
      </c>
      <c r="AA82">
        <v>109.180499</v>
      </c>
      <c r="AB82" s="5">
        <f t="shared" si="7"/>
        <v>0.188115</v>
      </c>
      <c r="AC82" s="5">
        <f t="shared" si="8"/>
        <v>0.25824000000000003</v>
      </c>
      <c r="AD82" s="1" t="str">
        <f t="shared" si="9"/>
        <v>1.CA Cam Ranh</v>
      </c>
      <c r="AE82" s="1" t="str">
        <f t="shared" si="10"/>
        <v>CA Bắc Cam Ranh</v>
      </c>
      <c r="AG82">
        <f t="shared" si="11"/>
        <v>0.12540999999999999</v>
      </c>
      <c r="AH82">
        <f t="shared" si="12"/>
        <v>0.17216000000000001</v>
      </c>
      <c r="AI82" t="e">
        <f>VLOOKUP(L82,'[1]Tuyến cáp H04'!$B:$E,3,0)/1000</f>
        <v>#N/A</v>
      </c>
      <c r="AJ82" t="e">
        <f>VLOOKUP(L82,'[1]Tuyến cáp H04'!$B:$E,4,0)</f>
        <v>#N/A</v>
      </c>
    </row>
    <row r="83" spans="1:36" x14ac:dyDescent="0.25">
      <c r="A83" s="1" t="s">
        <v>895</v>
      </c>
      <c r="B83" s="1" t="s">
        <v>896</v>
      </c>
      <c r="C83" s="1" t="s">
        <v>897</v>
      </c>
      <c r="D83" s="1" t="s">
        <v>362</v>
      </c>
      <c r="E83" s="1" t="s">
        <v>363</v>
      </c>
      <c r="F83" s="1" t="s">
        <v>898</v>
      </c>
      <c r="G83" s="1" t="s">
        <v>14129</v>
      </c>
      <c r="H83" s="1" t="s">
        <v>14133</v>
      </c>
      <c r="I83" s="1" t="s">
        <v>14213</v>
      </c>
      <c r="J83" s="1" t="s">
        <v>23</v>
      </c>
      <c r="K83" s="1"/>
      <c r="L83" s="1" t="s">
        <v>899</v>
      </c>
      <c r="M83" s="1" t="s">
        <v>900</v>
      </c>
      <c r="N83" s="1" t="s">
        <v>901</v>
      </c>
      <c r="O83" s="1" t="s">
        <v>902</v>
      </c>
      <c r="P83" s="1" t="s">
        <v>903</v>
      </c>
      <c r="Q83" s="1" t="s">
        <v>904</v>
      </c>
      <c r="R83" s="1" t="s">
        <v>905</v>
      </c>
      <c r="S83" s="1" t="s">
        <v>906</v>
      </c>
      <c r="T83" s="1" t="s">
        <v>907</v>
      </c>
      <c r="U83">
        <v>2620.9299999999998</v>
      </c>
      <c r="V83">
        <v>2497.87</v>
      </c>
      <c r="W83">
        <v>11.984548999999999</v>
      </c>
      <c r="X83">
        <v>109.20057</v>
      </c>
      <c r="Y83">
        <v>123.07</v>
      </c>
      <c r="Z83">
        <v>11.976625</v>
      </c>
      <c r="AA83">
        <v>109.195673</v>
      </c>
      <c r="AB83" s="5">
        <f t="shared" si="7"/>
        <v>3.7468049999999997</v>
      </c>
      <c r="AC83" s="5">
        <f t="shared" si="8"/>
        <v>0.18460499999999999</v>
      </c>
      <c r="AD83" s="1" t="str">
        <f t="shared" si="9"/>
        <v>Tuyến nhánh CA Bắc Cam Ranh</v>
      </c>
      <c r="AE83" s="1" t="str">
        <f t="shared" si="10"/>
        <v>Cảng HKQT Cam Ranh</v>
      </c>
      <c r="AG83">
        <f t="shared" si="11"/>
        <v>2.4978699999999998</v>
      </c>
      <c r="AH83">
        <f t="shared" si="12"/>
        <v>0.12307</v>
      </c>
      <c r="AI83" t="e">
        <f>VLOOKUP(L83,'[1]Tuyến cáp H04'!$B:$E,3,0)/1000</f>
        <v>#N/A</v>
      </c>
      <c r="AJ83" t="e">
        <f>VLOOKUP(L83,'[1]Tuyến cáp H04'!$B:$E,4,0)</f>
        <v>#N/A</v>
      </c>
    </row>
    <row r="84" spans="1:36" x14ac:dyDescent="0.25">
      <c r="A84" s="1" t="s">
        <v>908</v>
      </c>
      <c r="B84" s="1" t="s">
        <v>780</v>
      </c>
      <c r="C84" s="1" t="s">
        <v>781</v>
      </c>
      <c r="D84" s="1" t="s">
        <v>896</v>
      </c>
      <c r="E84" s="1" t="s">
        <v>897</v>
      </c>
      <c r="F84" s="1" t="s">
        <v>909</v>
      </c>
      <c r="G84" s="1" t="s">
        <v>14129</v>
      </c>
      <c r="H84" s="1" t="s">
        <v>14133</v>
      </c>
      <c r="I84" s="1" t="s">
        <v>14214</v>
      </c>
      <c r="J84" s="1" t="s">
        <v>23</v>
      </c>
      <c r="K84" s="1"/>
      <c r="L84" s="1" t="s">
        <v>861</v>
      </c>
      <c r="M84" s="1" t="s">
        <v>910</v>
      </c>
      <c r="N84" s="1" t="s">
        <v>911</v>
      </c>
      <c r="O84" s="1" t="s">
        <v>912</v>
      </c>
      <c r="P84" s="1" t="s">
        <v>913</v>
      </c>
      <c r="Q84" s="1" t="s">
        <v>914</v>
      </c>
      <c r="R84" s="1" t="s">
        <v>915</v>
      </c>
      <c r="S84" s="1" t="s">
        <v>916</v>
      </c>
      <c r="T84" s="1" t="s">
        <v>869</v>
      </c>
      <c r="U84">
        <v>3017.86</v>
      </c>
      <c r="V84">
        <v>5.32</v>
      </c>
      <c r="W84">
        <v>12.074472</v>
      </c>
      <c r="X84">
        <v>109.168063</v>
      </c>
      <c r="Y84">
        <v>3012.54</v>
      </c>
      <c r="Z84">
        <v>11.992822</v>
      </c>
      <c r="AA84">
        <v>109.19165599999999</v>
      </c>
      <c r="AB84" s="5">
        <f t="shared" si="7"/>
        <v>7.980000000000001E-3</v>
      </c>
      <c r="AC84" s="5">
        <f t="shared" si="8"/>
        <v>4.5188099999999993</v>
      </c>
      <c r="AD84" s="1" t="str">
        <f t="shared" si="9"/>
        <v>2.Cam Lâm</v>
      </c>
      <c r="AE84" s="1" t="str">
        <f t="shared" si="10"/>
        <v>Cam Ranh</v>
      </c>
      <c r="AG84">
        <f t="shared" si="11"/>
        <v>5.3200000000000001E-3</v>
      </c>
      <c r="AH84">
        <f t="shared" si="12"/>
        <v>3.01254</v>
      </c>
      <c r="AI84" t="e">
        <f>VLOOKUP(L84,'[1]Tuyến cáp H04'!$B:$E,3,0)/1000</f>
        <v>#N/A</v>
      </c>
      <c r="AJ84" t="e">
        <f>VLOOKUP(L84,'[1]Tuyến cáp H04'!$B:$E,4,0)</f>
        <v>#N/A</v>
      </c>
    </row>
    <row r="85" spans="1:36" x14ac:dyDescent="0.25">
      <c r="A85" s="1" t="s">
        <v>917</v>
      </c>
      <c r="B85" s="1" t="s">
        <v>896</v>
      </c>
      <c r="C85" s="1" t="s">
        <v>897</v>
      </c>
      <c r="D85" s="1" t="s">
        <v>918</v>
      </c>
      <c r="E85" s="1" t="s">
        <v>919</v>
      </c>
      <c r="F85" s="1" t="s">
        <v>920</v>
      </c>
      <c r="G85" s="1" t="s">
        <v>14129</v>
      </c>
      <c r="H85" s="1" t="s">
        <v>14133</v>
      </c>
      <c r="I85" s="1" t="s">
        <v>14215</v>
      </c>
      <c r="J85" s="1" t="s">
        <v>23</v>
      </c>
      <c r="K85" s="1"/>
      <c r="L85" s="1" t="s">
        <v>899</v>
      </c>
      <c r="M85" s="1" t="s">
        <v>921</v>
      </c>
      <c r="N85" s="1" t="s">
        <v>922</v>
      </c>
      <c r="O85" s="1" t="s">
        <v>923</v>
      </c>
      <c r="P85" s="1" t="s">
        <v>924</v>
      </c>
      <c r="Q85" s="1" t="s">
        <v>925</v>
      </c>
      <c r="R85" s="1" t="s">
        <v>926</v>
      </c>
      <c r="S85" s="1" t="s">
        <v>927</v>
      </c>
      <c r="T85" s="1" t="s">
        <v>928</v>
      </c>
      <c r="U85">
        <v>6114.73</v>
      </c>
      <c r="V85">
        <v>5.18</v>
      </c>
      <c r="W85">
        <v>11.998255</v>
      </c>
      <c r="X85">
        <v>109.218788</v>
      </c>
      <c r="Y85">
        <v>6109.55</v>
      </c>
      <c r="Z85">
        <v>12.001106999999999</v>
      </c>
      <c r="AA85">
        <v>109.209318</v>
      </c>
      <c r="AB85" s="5">
        <f t="shared" si="7"/>
        <v>7.77E-3</v>
      </c>
      <c r="AC85" s="5">
        <f t="shared" si="8"/>
        <v>9.1643250000000016</v>
      </c>
      <c r="AD85" s="1" t="str">
        <f t="shared" si="9"/>
        <v>Tuyến nhánh CA Bắc Cam Ranh</v>
      </c>
      <c r="AE85" s="1" t="str">
        <f t="shared" si="10"/>
        <v>Cảng HKQT Cam Ranh</v>
      </c>
      <c r="AG85">
        <f t="shared" si="11"/>
        <v>5.1799999999999997E-3</v>
      </c>
      <c r="AH85">
        <f t="shared" si="12"/>
        <v>6.1095500000000005</v>
      </c>
      <c r="AI85" t="e">
        <f>VLOOKUP(L85,'[1]Tuyến cáp H04'!$B:$E,3,0)/1000</f>
        <v>#N/A</v>
      </c>
      <c r="AJ85" t="e">
        <f>VLOOKUP(L85,'[1]Tuyến cáp H04'!$B:$E,4,0)</f>
        <v>#N/A</v>
      </c>
    </row>
    <row r="86" spans="1:36" x14ac:dyDescent="0.25">
      <c r="A86" s="1" t="s">
        <v>929</v>
      </c>
      <c r="B86" s="1" t="s">
        <v>723</v>
      </c>
      <c r="C86" s="1" t="s">
        <v>724</v>
      </c>
      <c r="D86" s="1" t="s">
        <v>930</v>
      </c>
      <c r="E86" s="1" t="s">
        <v>931</v>
      </c>
      <c r="F86" s="1" t="s">
        <v>932</v>
      </c>
      <c r="G86" s="1" t="s">
        <v>14129</v>
      </c>
      <c r="H86" s="1" t="s">
        <v>14133</v>
      </c>
      <c r="I86" s="1" t="s">
        <v>14216</v>
      </c>
      <c r="J86" s="1" t="s">
        <v>23</v>
      </c>
      <c r="K86" s="1"/>
      <c r="L86" s="1" t="s">
        <v>821</v>
      </c>
      <c r="M86" s="1" t="s">
        <v>933</v>
      </c>
      <c r="N86" s="1" t="s">
        <v>826</v>
      </c>
      <c r="O86" s="1" t="s">
        <v>827</v>
      </c>
      <c r="P86" s="1" t="s">
        <v>828</v>
      </c>
      <c r="Q86" s="1" t="s">
        <v>934</v>
      </c>
      <c r="R86" s="1" t="s">
        <v>935</v>
      </c>
      <c r="S86" s="1" t="s">
        <v>936</v>
      </c>
      <c r="T86" s="1" t="s">
        <v>829</v>
      </c>
      <c r="U86">
        <v>4303.41</v>
      </c>
      <c r="V86">
        <v>4.41</v>
      </c>
      <c r="W86">
        <v>12.031929999999999</v>
      </c>
      <c r="X86">
        <v>109.12816100000001</v>
      </c>
      <c r="Y86">
        <v>4299.01</v>
      </c>
      <c r="Z86">
        <v>12.006541</v>
      </c>
      <c r="AA86">
        <v>109.125311</v>
      </c>
      <c r="AB86" s="5">
        <f t="shared" si="7"/>
        <v>6.6150000000000002E-3</v>
      </c>
      <c r="AC86" s="5">
        <f t="shared" si="8"/>
        <v>6.4485150000000004</v>
      </c>
      <c r="AD86" s="1" t="str">
        <f t="shared" si="9"/>
        <v>3.CA Cam An</v>
      </c>
      <c r="AE86" s="1" t="str">
        <f t="shared" si="10"/>
        <v>CA Cam Hiệp</v>
      </c>
      <c r="AG86">
        <f t="shared" si="11"/>
        <v>4.4099999999999999E-3</v>
      </c>
      <c r="AH86">
        <f t="shared" si="12"/>
        <v>4.29901</v>
      </c>
      <c r="AI86" t="e">
        <f>VLOOKUP(L86,'[1]Tuyến cáp H04'!$B:$E,3,0)/1000</f>
        <v>#N/A</v>
      </c>
      <c r="AJ86" t="e">
        <f>VLOOKUP(L86,'[1]Tuyến cáp H04'!$B:$E,4,0)</f>
        <v>#N/A</v>
      </c>
    </row>
    <row r="87" spans="1:36" x14ac:dyDescent="0.25">
      <c r="A87" s="1" t="s">
        <v>937</v>
      </c>
      <c r="B87" s="1" t="s">
        <v>723</v>
      </c>
      <c r="C87" s="1" t="s">
        <v>724</v>
      </c>
      <c r="D87" s="1" t="s">
        <v>938</v>
      </c>
      <c r="E87" s="1" t="s">
        <v>939</v>
      </c>
      <c r="F87" s="1" t="s">
        <v>940</v>
      </c>
      <c r="G87" s="1" t="s">
        <v>14129</v>
      </c>
      <c r="H87" s="1" t="s">
        <v>14133</v>
      </c>
      <c r="I87" s="1" t="s">
        <v>14217</v>
      </c>
      <c r="J87" s="1" t="s">
        <v>23</v>
      </c>
      <c r="K87" s="1"/>
      <c r="L87" s="1" t="s">
        <v>821</v>
      </c>
      <c r="M87" s="1" t="s">
        <v>941</v>
      </c>
      <c r="N87" s="1" t="s">
        <v>826</v>
      </c>
      <c r="O87" s="1" t="s">
        <v>827</v>
      </c>
      <c r="P87" s="1" t="s">
        <v>828</v>
      </c>
      <c r="Q87" s="1" t="s">
        <v>942</v>
      </c>
      <c r="R87" s="1" t="s">
        <v>943</v>
      </c>
      <c r="S87" s="1" t="s">
        <v>944</v>
      </c>
      <c r="T87" s="1" t="s">
        <v>829</v>
      </c>
      <c r="U87">
        <v>1580.41</v>
      </c>
      <c r="V87">
        <v>4.41</v>
      </c>
      <c r="W87">
        <v>12.031929999999999</v>
      </c>
      <c r="X87">
        <v>109.12816100000001</v>
      </c>
      <c r="Y87">
        <v>1576.01</v>
      </c>
      <c r="Z87">
        <v>12.008963</v>
      </c>
      <c r="AA87">
        <v>109.126104</v>
      </c>
      <c r="AB87" s="5">
        <f t="shared" si="7"/>
        <v>6.6150000000000002E-3</v>
      </c>
      <c r="AC87" s="5">
        <f t="shared" si="8"/>
        <v>2.3640149999999998</v>
      </c>
      <c r="AD87" s="1" t="str">
        <f t="shared" si="9"/>
        <v>3.CA Cam An</v>
      </c>
      <c r="AE87" s="1" t="str">
        <f t="shared" si="10"/>
        <v>CA Cam Hiệp</v>
      </c>
      <c r="AG87">
        <f t="shared" si="11"/>
        <v>4.4099999999999999E-3</v>
      </c>
      <c r="AH87">
        <f t="shared" si="12"/>
        <v>1.5760099999999999</v>
      </c>
      <c r="AI87" t="e">
        <f>VLOOKUP(L87,'[1]Tuyến cáp H04'!$B:$E,3,0)/1000</f>
        <v>#N/A</v>
      </c>
      <c r="AJ87" t="e">
        <f>VLOOKUP(L87,'[1]Tuyến cáp H04'!$B:$E,4,0)</f>
        <v>#N/A</v>
      </c>
    </row>
    <row r="88" spans="1:36" x14ac:dyDescent="0.25">
      <c r="A88" s="1" t="s">
        <v>945</v>
      </c>
      <c r="B88" s="1" t="s">
        <v>612</v>
      </c>
      <c r="C88" s="1" t="s">
        <v>613</v>
      </c>
      <c r="D88" s="1" t="s">
        <v>946</v>
      </c>
      <c r="E88" s="1" t="s">
        <v>947</v>
      </c>
      <c r="F88" s="1" t="s">
        <v>948</v>
      </c>
      <c r="G88" s="1" t="s">
        <v>14129</v>
      </c>
      <c r="H88" s="1" t="s">
        <v>14133</v>
      </c>
      <c r="I88" s="1" t="s">
        <v>14218</v>
      </c>
      <c r="J88" s="1" t="s">
        <v>23</v>
      </c>
      <c r="K88" s="1"/>
      <c r="L88" s="1" t="s">
        <v>802</v>
      </c>
      <c r="M88" s="1" t="s">
        <v>949</v>
      </c>
      <c r="N88" s="1" t="s">
        <v>804</v>
      </c>
      <c r="O88" s="1" t="s">
        <v>805</v>
      </c>
      <c r="P88" s="1" t="s">
        <v>806</v>
      </c>
      <c r="Q88" s="1" t="s">
        <v>950</v>
      </c>
      <c r="R88" s="1" t="s">
        <v>951</v>
      </c>
      <c r="S88" s="1" t="s">
        <v>952</v>
      </c>
      <c r="T88" s="1" t="s">
        <v>810</v>
      </c>
      <c r="U88">
        <v>557.99</v>
      </c>
      <c r="V88">
        <v>271.76</v>
      </c>
      <c r="W88">
        <v>11.925971000000001</v>
      </c>
      <c r="X88">
        <v>109.16124499999999</v>
      </c>
      <c r="Y88">
        <v>286.23</v>
      </c>
      <c r="Z88">
        <v>11.920144000000001</v>
      </c>
      <c r="AA88">
        <v>109.15036000000001</v>
      </c>
      <c r="AB88" s="5">
        <f t="shared" si="7"/>
        <v>0.40764</v>
      </c>
      <c r="AC88" s="5">
        <f t="shared" si="8"/>
        <v>0.42934500000000003</v>
      </c>
      <c r="AD88" s="1" t="str">
        <f t="shared" si="9"/>
        <v>4.CA Nam Cam Ranh</v>
      </c>
      <c r="AE88" s="1" t="str">
        <f t="shared" si="10"/>
        <v>CA Cam Ranh</v>
      </c>
      <c r="AG88">
        <f t="shared" si="11"/>
        <v>0.27176</v>
      </c>
      <c r="AH88">
        <f t="shared" si="12"/>
        <v>0.28623000000000004</v>
      </c>
      <c r="AI88" t="e">
        <f>VLOOKUP(L88,'[1]Tuyến cáp H04'!$B:$E,3,0)/1000</f>
        <v>#N/A</v>
      </c>
      <c r="AJ88" t="e">
        <f>VLOOKUP(L88,'[1]Tuyến cáp H04'!$B:$E,4,0)</f>
        <v>#N/A</v>
      </c>
    </row>
    <row r="89" spans="1:36" x14ac:dyDescent="0.25">
      <c r="A89" s="1" t="s">
        <v>953</v>
      </c>
      <c r="B89" s="1" t="s">
        <v>839</v>
      </c>
      <c r="C89" s="1" t="s">
        <v>840</v>
      </c>
      <c r="D89" s="1" t="s">
        <v>954</v>
      </c>
      <c r="E89" s="1" t="s">
        <v>955</v>
      </c>
      <c r="F89" s="1" t="s">
        <v>956</v>
      </c>
      <c r="G89" s="1" t="s">
        <v>14129</v>
      </c>
      <c r="H89" s="1" t="s">
        <v>14133</v>
      </c>
      <c r="I89" s="1" t="s">
        <v>14219</v>
      </c>
      <c r="J89" s="1" t="s">
        <v>23</v>
      </c>
      <c r="K89" s="1"/>
      <c r="L89" s="1" t="s">
        <v>957</v>
      </c>
      <c r="M89" s="1" t="s">
        <v>958</v>
      </c>
      <c r="N89" s="1" t="s">
        <v>219</v>
      </c>
      <c r="O89" s="1" t="s">
        <v>959</v>
      </c>
      <c r="P89" s="1" t="s">
        <v>960</v>
      </c>
      <c r="Q89" s="1" t="s">
        <v>961</v>
      </c>
      <c r="R89" s="1" t="s">
        <v>962</v>
      </c>
      <c r="S89" s="1" t="s">
        <v>963</v>
      </c>
      <c r="T89" s="1" t="s">
        <v>964</v>
      </c>
      <c r="U89">
        <v>314.64999999999998</v>
      </c>
      <c r="V89">
        <v>4</v>
      </c>
      <c r="W89">
        <v>11.906751</v>
      </c>
      <c r="X89">
        <v>109.14636900000001</v>
      </c>
      <c r="Y89">
        <v>310.64999999999998</v>
      </c>
      <c r="Z89">
        <v>11.905789</v>
      </c>
      <c r="AA89">
        <v>109.145025</v>
      </c>
      <c r="AB89" s="5">
        <f t="shared" si="7"/>
        <v>6.0000000000000001E-3</v>
      </c>
      <c r="AC89" s="5">
        <f t="shared" si="8"/>
        <v>0.46597499999999997</v>
      </c>
      <c r="AD89" s="1" t="str">
        <f t="shared" si="9"/>
        <v>2.CA Cam Linh</v>
      </c>
      <c r="AE89" s="1" t="str">
        <f t="shared" si="10"/>
        <v>CA Ba Ngòi</v>
      </c>
      <c r="AG89">
        <f t="shared" si="11"/>
        <v>4.0000000000000001E-3</v>
      </c>
      <c r="AH89">
        <f t="shared" si="12"/>
        <v>0.31064999999999998</v>
      </c>
      <c r="AI89" t="e">
        <f>VLOOKUP(L89,'[1]Tuyến cáp H04'!$B:$E,3,0)/1000</f>
        <v>#N/A</v>
      </c>
      <c r="AJ89" t="e">
        <f>VLOOKUP(L89,'[1]Tuyến cáp H04'!$B:$E,4,0)</f>
        <v>#N/A</v>
      </c>
    </row>
    <row r="90" spans="1:36" x14ac:dyDescent="0.25">
      <c r="A90" s="1" t="s">
        <v>965</v>
      </c>
      <c r="B90" s="1" t="s">
        <v>612</v>
      </c>
      <c r="C90" s="1" t="s">
        <v>613</v>
      </c>
      <c r="D90" s="1" t="s">
        <v>966</v>
      </c>
      <c r="E90" s="1" t="s">
        <v>967</v>
      </c>
      <c r="F90" s="1" t="s">
        <v>968</v>
      </c>
      <c r="G90" s="1" t="s">
        <v>14129</v>
      </c>
      <c r="H90" s="1" t="s">
        <v>14133</v>
      </c>
      <c r="I90" s="1" t="s">
        <v>14220</v>
      </c>
      <c r="J90" s="1" t="s">
        <v>23</v>
      </c>
      <c r="K90" s="1"/>
      <c r="L90" s="1" t="s">
        <v>617</v>
      </c>
      <c r="M90" s="1" t="s">
        <v>969</v>
      </c>
      <c r="N90" s="1" t="s">
        <v>619</v>
      </c>
      <c r="O90" s="1" t="s">
        <v>620</v>
      </c>
      <c r="P90" s="1" t="s">
        <v>621</v>
      </c>
      <c r="Q90" s="1" t="s">
        <v>970</v>
      </c>
      <c r="R90" s="1" t="s">
        <v>971</v>
      </c>
      <c r="S90" s="1" t="s">
        <v>972</v>
      </c>
      <c r="T90" s="1" t="s">
        <v>625</v>
      </c>
      <c r="U90">
        <v>1033.25</v>
      </c>
      <c r="V90">
        <v>313.88</v>
      </c>
      <c r="W90">
        <v>11.923</v>
      </c>
      <c r="X90">
        <v>109.16500000000001</v>
      </c>
      <c r="Y90">
        <v>719.36</v>
      </c>
      <c r="Z90">
        <v>11.920299999999999</v>
      </c>
      <c r="AA90">
        <v>109.16200000000001</v>
      </c>
      <c r="AB90" s="5">
        <f t="shared" si="7"/>
        <v>0.47082000000000002</v>
      </c>
      <c r="AC90" s="5">
        <f t="shared" si="8"/>
        <v>1.07904</v>
      </c>
      <c r="AD90" s="1" t="str">
        <f t="shared" si="9"/>
        <v>1.CA Cam Ranh</v>
      </c>
      <c r="AE90" s="1" t="str">
        <f t="shared" si="10"/>
        <v>CA Cam Linh</v>
      </c>
      <c r="AG90">
        <f t="shared" si="11"/>
        <v>0.31387999999999999</v>
      </c>
      <c r="AH90">
        <f t="shared" si="12"/>
        <v>0.71936</v>
      </c>
      <c r="AI90" t="e">
        <f>VLOOKUP(L90,'[1]Tuyến cáp H04'!$B:$E,3,0)/1000</f>
        <v>#N/A</v>
      </c>
      <c r="AJ90" t="e">
        <f>VLOOKUP(L90,'[1]Tuyến cáp H04'!$B:$E,4,0)</f>
        <v>#N/A</v>
      </c>
    </row>
    <row r="91" spans="1:36" x14ac:dyDescent="0.25">
      <c r="A91" s="1" t="s">
        <v>973</v>
      </c>
      <c r="B91" s="1" t="s">
        <v>362</v>
      </c>
      <c r="C91" s="1" t="s">
        <v>363</v>
      </c>
      <c r="D91" s="1" t="s">
        <v>974</v>
      </c>
      <c r="E91" s="1" t="s">
        <v>975</v>
      </c>
      <c r="F91" s="1" t="s">
        <v>976</v>
      </c>
      <c r="G91" s="1" t="s">
        <v>14129</v>
      </c>
      <c r="H91" s="1" t="s">
        <v>14133</v>
      </c>
      <c r="I91" s="1" t="s">
        <v>14221</v>
      </c>
      <c r="J91" s="1" t="s">
        <v>23</v>
      </c>
      <c r="K91" s="1"/>
      <c r="L91" s="1" t="s">
        <v>367</v>
      </c>
      <c r="M91" s="1" t="s">
        <v>977</v>
      </c>
      <c r="N91" s="1" t="s">
        <v>369</v>
      </c>
      <c r="O91" s="1" t="s">
        <v>370</v>
      </c>
      <c r="P91" s="1" t="s">
        <v>371</v>
      </c>
      <c r="Q91" s="1" t="s">
        <v>978</v>
      </c>
      <c r="R91" s="1" t="s">
        <v>979</v>
      </c>
      <c r="S91" s="1" t="s">
        <v>980</v>
      </c>
      <c r="T91" s="1" t="s">
        <v>375</v>
      </c>
      <c r="U91">
        <v>260.36</v>
      </c>
      <c r="V91">
        <v>125</v>
      </c>
      <c r="W91">
        <v>11.976645</v>
      </c>
      <c r="X91">
        <v>109.19567600000001</v>
      </c>
      <c r="Y91">
        <v>135.35</v>
      </c>
      <c r="Z91">
        <v>11.987181</v>
      </c>
      <c r="AA91">
        <v>109.17413500000001</v>
      </c>
      <c r="AB91" s="5">
        <f t="shared" si="7"/>
        <v>0.1875</v>
      </c>
      <c r="AC91" s="5">
        <f t="shared" si="8"/>
        <v>0.20302499999999998</v>
      </c>
      <c r="AD91" s="1" t="str">
        <f t="shared" si="9"/>
        <v>2.CA Bắc Cam Ranh</v>
      </c>
      <c r="AE91" s="1" t="str">
        <f t="shared" si="10"/>
        <v>CA Cam An</v>
      </c>
      <c r="AG91">
        <f t="shared" si="11"/>
        <v>0.125</v>
      </c>
      <c r="AH91">
        <f t="shared" si="12"/>
        <v>0.13535</v>
      </c>
      <c r="AI91" t="e">
        <f>VLOOKUP(L91,'[1]Tuyến cáp H04'!$B:$E,3,0)/1000</f>
        <v>#N/A</v>
      </c>
      <c r="AJ91" t="e">
        <f>VLOOKUP(L91,'[1]Tuyến cáp H04'!$B:$E,4,0)</f>
        <v>#N/A</v>
      </c>
    </row>
    <row r="92" spans="1:36" x14ac:dyDescent="0.25">
      <c r="A92" s="1" t="s">
        <v>981</v>
      </c>
      <c r="B92" s="1" t="s">
        <v>839</v>
      </c>
      <c r="C92" s="1" t="s">
        <v>840</v>
      </c>
      <c r="D92" s="1" t="s">
        <v>982</v>
      </c>
      <c r="E92" s="1" t="s">
        <v>983</v>
      </c>
      <c r="F92" s="1" t="s">
        <v>984</v>
      </c>
      <c r="G92" s="1" t="s">
        <v>14129</v>
      </c>
      <c r="H92" s="1" t="s">
        <v>14133</v>
      </c>
      <c r="I92" s="1" t="s">
        <v>14222</v>
      </c>
      <c r="J92" s="1" t="s">
        <v>23</v>
      </c>
      <c r="K92" s="1"/>
      <c r="L92" s="1" t="s">
        <v>957</v>
      </c>
      <c r="M92" s="1" t="s">
        <v>985</v>
      </c>
      <c r="N92" s="1" t="s">
        <v>219</v>
      </c>
      <c r="O92" s="1" t="s">
        <v>959</v>
      </c>
      <c r="P92" s="1" t="s">
        <v>960</v>
      </c>
      <c r="Q92" s="1" t="s">
        <v>986</v>
      </c>
      <c r="R92" s="1" t="s">
        <v>987</v>
      </c>
      <c r="S92" s="1" t="s">
        <v>988</v>
      </c>
      <c r="T92" s="1" t="s">
        <v>964</v>
      </c>
      <c r="U92">
        <v>19.850000000000001</v>
      </c>
      <c r="V92">
        <v>4</v>
      </c>
      <c r="W92">
        <v>11.906751</v>
      </c>
      <c r="X92">
        <v>109.14636900000001</v>
      </c>
      <c r="Y92">
        <v>15.86</v>
      </c>
      <c r="Z92">
        <v>11.909582</v>
      </c>
      <c r="AA92">
        <v>109.141975</v>
      </c>
      <c r="AB92" s="5">
        <f t="shared" si="7"/>
        <v>6.0000000000000001E-3</v>
      </c>
      <c r="AC92" s="5">
        <f t="shared" si="8"/>
        <v>2.3789999999999999E-2</v>
      </c>
      <c r="AD92" s="1" t="str">
        <f t="shared" si="9"/>
        <v>2.CA Cam Linh</v>
      </c>
      <c r="AE92" s="1" t="str">
        <f t="shared" si="10"/>
        <v>CA Ba Ngòi</v>
      </c>
      <c r="AG92">
        <f t="shared" si="11"/>
        <v>4.0000000000000001E-3</v>
      </c>
      <c r="AH92">
        <f t="shared" si="12"/>
        <v>1.5859999999999999E-2</v>
      </c>
      <c r="AI92" t="e">
        <f>VLOOKUP(L92,'[1]Tuyến cáp H04'!$B:$E,3,0)/1000</f>
        <v>#N/A</v>
      </c>
      <c r="AJ92" t="e">
        <f>VLOOKUP(L92,'[1]Tuyến cáp H04'!$B:$E,4,0)</f>
        <v>#N/A</v>
      </c>
    </row>
    <row r="93" spans="1:36" x14ac:dyDescent="0.25">
      <c r="A93" s="1" t="s">
        <v>989</v>
      </c>
      <c r="B93" s="1" t="s">
        <v>612</v>
      </c>
      <c r="C93" s="1" t="s">
        <v>613</v>
      </c>
      <c r="D93" s="1" t="s">
        <v>990</v>
      </c>
      <c r="E93" s="1" t="s">
        <v>991</v>
      </c>
      <c r="F93" s="1" t="s">
        <v>992</v>
      </c>
      <c r="G93" s="1" t="s">
        <v>14129</v>
      </c>
      <c r="H93" s="1" t="s">
        <v>14133</v>
      </c>
      <c r="I93" s="1" t="s">
        <v>14223</v>
      </c>
      <c r="J93" s="1" t="s">
        <v>23</v>
      </c>
      <c r="K93" s="1"/>
      <c r="L93" s="1" t="s">
        <v>617</v>
      </c>
      <c r="M93" s="1" t="s">
        <v>993</v>
      </c>
      <c r="N93" s="1" t="s">
        <v>619</v>
      </c>
      <c r="O93" s="1" t="s">
        <v>620</v>
      </c>
      <c r="P93" s="1" t="s">
        <v>621</v>
      </c>
      <c r="Q93" s="1" t="s">
        <v>994</v>
      </c>
      <c r="R93" s="1" t="s">
        <v>995</v>
      </c>
      <c r="S93" s="1" t="s">
        <v>996</v>
      </c>
      <c r="T93" s="1" t="s">
        <v>625</v>
      </c>
      <c r="U93">
        <v>636.01</v>
      </c>
      <c r="V93">
        <v>313.88</v>
      </c>
      <c r="W93">
        <v>11.923</v>
      </c>
      <c r="X93">
        <v>109.16500000000001</v>
      </c>
      <c r="Y93">
        <v>322.13</v>
      </c>
      <c r="Z93">
        <v>11.909857000000001</v>
      </c>
      <c r="AA93">
        <v>109.15031399999999</v>
      </c>
      <c r="AB93" s="5">
        <f t="shared" si="7"/>
        <v>0.47082000000000002</v>
      </c>
      <c r="AC93" s="5">
        <f t="shared" si="8"/>
        <v>0.48319499999999999</v>
      </c>
      <c r="AD93" s="1" t="str">
        <f t="shared" si="9"/>
        <v>1.CA Cam Ranh</v>
      </c>
      <c r="AE93" s="1" t="str">
        <f t="shared" si="10"/>
        <v>CA Cam Linh</v>
      </c>
      <c r="AG93">
        <f t="shared" si="11"/>
        <v>0.31387999999999999</v>
      </c>
      <c r="AH93">
        <f t="shared" si="12"/>
        <v>0.32212999999999997</v>
      </c>
      <c r="AI93" t="e">
        <f>VLOOKUP(L93,'[1]Tuyến cáp H04'!$B:$E,3,0)/1000</f>
        <v>#N/A</v>
      </c>
      <c r="AJ93" t="e">
        <f>VLOOKUP(L93,'[1]Tuyến cáp H04'!$B:$E,4,0)</f>
        <v>#N/A</v>
      </c>
    </row>
    <row r="94" spans="1:36" x14ac:dyDescent="0.25">
      <c r="A94" s="1" t="s">
        <v>997</v>
      </c>
      <c r="B94" s="1" t="s">
        <v>600</v>
      </c>
      <c r="C94" s="1" t="s">
        <v>601</v>
      </c>
      <c r="D94" s="1" t="s">
        <v>998</v>
      </c>
      <c r="E94" s="1" t="s">
        <v>999</v>
      </c>
      <c r="F94" s="1" t="s">
        <v>1000</v>
      </c>
      <c r="G94" s="1" t="s">
        <v>14129</v>
      </c>
      <c r="H94" s="1" t="s">
        <v>14133</v>
      </c>
      <c r="I94" s="1" t="s">
        <v>14224</v>
      </c>
      <c r="J94" s="1" t="s">
        <v>23</v>
      </c>
      <c r="K94" s="1"/>
      <c r="L94" s="1" t="s">
        <v>352</v>
      </c>
      <c r="M94" s="1" t="s">
        <v>1001</v>
      </c>
      <c r="N94" s="1" t="s">
        <v>1002</v>
      </c>
      <c r="O94" s="1" t="s">
        <v>1003</v>
      </c>
      <c r="P94" s="1" t="s">
        <v>1004</v>
      </c>
      <c r="Q94" s="1" t="s">
        <v>1005</v>
      </c>
      <c r="R94" s="1" t="s">
        <v>1006</v>
      </c>
      <c r="S94" s="1" t="s">
        <v>1007</v>
      </c>
      <c r="T94" s="1" t="s">
        <v>360</v>
      </c>
      <c r="U94">
        <v>221.84</v>
      </c>
      <c r="V94">
        <v>134.52000000000001</v>
      </c>
      <c r="W94">
        <v>11.962002999999999</v>
      </c>
      <c r="X94">
        <v>109.094218</v>
      </c>
      <c r="Y94">
        <v>87.33</v>
      </c>
      <c r="Z94">
        <v>11.955971</v>
      </c>
      <c r="AA94">
        <v>109.103486</v>
      </c>
      <c r="AB94" s="5">
        <f t="shared" si="7"/>
        <v>0.20178000000000004</v>
      </c>
      <c r="AC94" s="5">
        <f t="shared" si="8"/>
        <v>0.130995</v>
      </c>
      <c r="AD94" s="1" t="str">
        <f t="shared" si="9"/>
        <v>3.Cam Ranh</v>
      </c>
      <c r="AE94" s="1" t="str">
        <f t="shared" si="10"/>
        <v>Khánh Sơn</v>
      </c>
      <c r="AG94">
        <f t="shared" si="11"/>
        <v>0.13452</v>
      </c>
      <c r="AH94">
        <f t="shared" si="12"/>
        <v>8.7330000000000005E-2</v>
      </c>
      <c r="AI94" t="e">
        <f>VLOOKUP(L94,'[1]Tuyến cáp H04'!$B:$E,3,0)/1000</f>
        <v>#N/A</v>
      </c>
      <c r="AJ94" t="e">
        <f>VLOOKUP(L94,'[1]Tuyến cáp H04'!$B:$E,4,0)</f>
        <v>#N/A</v>
      </c>
    </row>
    <row r="95" spans="1:36" x14ac:dyDescent="0.25">
      <c r="A95" s="1" t="s">
        <v>1008</v>
      </c>
      <c r="B95" s="1" t="s">
        <v>1009</v>
      </c>
      <c r="C95" s="1" t="s">
        <v>1010</v>
      </c>
      <c r="D95" s="1" t="s">
        <v>756</v>
      </c>
      <c r="E95" s="1" t="s">
        <v>757</v>
      </c>
      <c r="F95" s="1" t="s">
        <v>1011</v>
      </c>
      <c r="G95" s="1" t="s">
        <v>14129</v>
      </c>
      <c r="H95" s="1" t="s">
        <v>14130</v>
      </c>
      <c r="I95" s="1" t="s">
        <v>14225</v>
      </c>
      <c r="J95" s="1" t="s">
        <v>23</v>
      </c>
      <c r="K95" s="1"/>
      <c r="L95" s="1" t="s">
        <v>1012</v>
      </c>
      <c r="M95" s="1" t="s">
        <v>1013</v>
      </c>
      <c r="N95" s="1" t="s">
        <v>1014</v>
      </c>
      <c r="O95" s="1" t="s">
        <v>1015</v>
      </c>
      <c r="P95" s="1" t="s">
        <v>1016</v>
      </c>
      <c r="Q95" s="1" t="s">
        <v>1017</v>
      </c>
      <c r="R95" s="1" t="s">
        <v>1018</v>
      </c>
      <c r="S95" s="1" t="s">
        <v>1019</v>
      </c>
      <c r="T95" s="1" t="s">
        <v>1020</v>
      </c>
      <c r="U95">
        <v>667.15</v>
      </c>
      <c r="V95">
        <v>663.57</v>
      </c>
      <c r="W95">
        <v>12.704838000000001</v>
      </c>
      <c r="X95">
        <v>109.236941</v>
      </c>
      <c r="Y95">
        <v>3.57</v>
      </c>
      <c r="Z95">
        <v>12.690783</v>
      </c>
      <c r="AA95">
        <v>109.22087000000001</v>
      </c>
      <c r="AB95" s="5">
        <f t="shared" si="7"/>
        <v>0.99535499999999999</v>
      </c>
      <c r="AC95" s="5">
        <f t="shared" si="8"/>
        <v>5.3549999999999995E-3</v>
      </c>
      <c r="AD95" s="1" t="str">
        <f t="shared" si="9"/>
        <v>1.CA Vạn Ninh</v>
      </c>
      <c r="AE95" s="1" t="str">
        <f t="shared" si="10"/>
        <v>CA Vạn Thắng_Cột trung thế</v>
      </c>
      <c r="AG95">
        <f t="shared" si="11"/>
        <v>0.6635700000000001</v>
      </c>
      <c r="AH95">
        <f t="shared" si="12"/>
        <v>3.5699999999999998E-3</v>
      </c>
      <c r="AI95" t="e">
        <f>VLOOKUP(L95,'[1]Tuyến cáp H04'!$B:$E,3,0)/1000</f>
        <v>#N/A</v>
      </c>
      <c r="AJ95" t="e">
        <f>VLOOKUP(L95,'[1]Tuyến cáp H04'!$B:$E,4,0)</f>
        <v>#N/A</v>
      </c>
    </row>
    <row r="96" spans="1:36" x14ac:dyDescent="0.25">
      <c r="A96" s="1" t="s">
        <v>1021</v>
      </c>
      <c r="B96" s="1" t="s">
        <v>1022</v>
      </c>
      <c r="C96" s="1" t="s">
        <v>1023</v>
      </c>
      <c r="D96" s="1" t="s">
        <v>756</v>
      </c>
      <c r="E96" s="1" t="s">
        <v>757</v>
      </c>
      <c r="F96" s="1" t="s">
        <v>1024</v>
      </c>
      <c r="G96" s="1" t="s">
        <v>14129</v>
      </c>
      <c r="H96" s="1" t="s">
        <v>14130</v>
      </c>
      <c r="I96" s="1" t="s">
        <v>14226</v>
      </c>
      <c r="J96" s="1" t="s">
        <v>23</v>
      </c>
      <c r="K96" s="1"/>
      <c r="L96" s="1" t="s">
        <v>1025</v>
      </c>
      <c r="M96" s="1" t="s">
        <v>1026</v>
      </c>
      <c r="N96" s="1" t="s">
        <v>1027</v>
      </c>
      <c r="O96" s="1" t="s">
        <v>1028</v>
      </c>
      <c r="P96" s="1" t="s">
        <v>1029</v>
      </c>
      <c r="Q96" s="1" t="s">
        <v>1030</v>
      </c>
      <c r="R96" s="1" t="s">
        <v>1031</v>
      </c>
      <c r="S96" s="1" t="s">
        <v>1032</v>
      </c>
      <c r="T96" s="1" t="s">
        <v>1033</v>
      </c>
      <c r="U96">
        <v>533.33000000000004</v>
      </c>
      <c r="V96">
        <v>46.3</v>
      </c>
      <c r="W96">
        <v>12.721617</v>
      </c>
      <c r="X96">
        <v>109.234646</v>
      </c>
      <c r="Y96">
        <v>487.03</v>
      </c>
      <c r="Z96">
        <v>12.693424</v>
      </c>
      <c r="AA96">
        <v>109.21732799999999</v>
      </c>
      <c r="AB96" s="5">
        <f t="shared" si="7"/>
        <v>6.9449999999999984E-2</v>
      </c>
      <c r="AC96" s="5">
        <f t="shared" si="8"/>
        <v>0.730545</v>
      </c>
      <c r="AD96" s="1" t="str">
        <f t="shared" si="9"/>
        <v>4.CA Đại Lãnh</v>
      </c>
      <c r="AE96" s="1" t="str">
        <f t="shared" si="10"/>
        <v>CA Vạn Ninh</v>
      </c>
      <c r="AG96">
        <f t="shared" si="11"/>
        <v>4.6299999999999994E-2</v>
      </c>
      <c r="AH96">
        <f t="shared" si="12"/>
        <v>0.48702999999999996</v>
      </c>
      <c r="AI96" t="e">
        <f>VLOOKUP(L96,'[1]Tuyến cáp H04'!$B:$E,3,0)/1000</f>
        <v>#N/A</v>
      </c>
      <c r="AJ96" t="e">
        <f>VLOOKUP(L96,'[1]Tuyến cáp H04'!$B:$E,4,0)</f>
        <v>#N/A</v>
      </c>
    </row>
    <row r="97" spans="1:36" x14ac:dyDescent="0.25">
      <c r="A97" s="1" t="s">
        <v>1034</v>
      </c>
      <c r="B97" s="1" t="s">
        <v>1035</v>
      </c>
      <c r="C97" s="1" t="s">
        <v>1036</v>
      </c>
      <c r="D97" s="1" t="s">
        <v>756</v>
      </c>
      <c r="E97" s="1" t="s">
        <v>757</v>
      </c>
      <c r="F97" s="1" t="s">
        <v>1037</v>
      </c>
      <c r="G97" s="1" t="s">
        <v>14129</v>
      </c>
      <c r="H97" s="1" t="s">
        <v>14130</v>
      </c>
      <c r="I97" s="1" t="s">
        <v>14227</v>
      </c>
      <c r="J97" s="1" t="s">
        <v>23</v>
      </c>
      <c r="K97" s="1"/>
      <c r="L97" s="1" t="s">
        <v>1025</v>
      </c>
      <c r="M97" s="1" t="s">
        <v>1038</v>
      </c>
      <c r="N97" s="1" t="s">
        <v>1039</v>
      </c>
      <c r="O97" s="1" t="s">
        <v>1040</v>
      </c>
      <c r="P97" s="1" t="s">
        <v>1041</v>
      </c>
      <c r="Q97" s="1" t="s">
        <v>1030</v>
      </c>
      <c r="R97" s="1" t="s">
        <v>1031</v>
      </c>
      <c r="S97" s="1" t="s">
        <v>1032</v>
      </c>
      <c r="T97" s="1" t="s">
        <v>1033</v>
      </c>
      <c r="U97">
        <v>1805.95</v>
      </c>
      <c r="V97">
        <v>1318.92</v>
      </c>
      <c r="W97">
        <v>12.726119000000001</v>
      </c>
      <c r="X97">
        <v>109.25599099999999</v>
      </c>
      <c r="Y97">
        <v>487.03</v>
      </c>
      <c r="Z97">
        <v>12.693424</v>
      </c>
      <c r="AA97">
        <v>109.21732799999999</v>
      </c>
      <c r="AB97" s="5">
        <f t="shared" si="7"/>
        <v>1.97838</v>
      </c>
      <c r="AC97" s="5">
        <f t="shared" si="8"/>
        <v>0.730545</v>
      </c>
      <c r="AD97" s="1" t="str">
        <f t="shared" si="9"/>
        <v>4.CA Đại Lãnh</v>
      </c>
      <c r="AE97" s="1" t="str">
        <f t="shared" si="10"/>
        <v>CA Vạn Ninh</v>
      </c>
      <c r="AG97">
        <f t="shared" si="11"/>
        <v>1.3189200000000001</v>
      </c>
      <c r="AH97">
        <f t="shared" si="12"/>
        <v>0.48702999999999996</v>
      </c>
      <c r="AI97" t="e">
        <f>VLOOKUP(L97,'[1]Tuyến cáp H04'!$B:$E,3,0)/1000</f>
        <v>#N/A</v>
      </c>
      <c r="AJ97" t="e">
        <f>VLOOKUP(L97,'[1]Tuyến cáp H04'!$B:$E,4,0)</f>
        <v>#N/A</v>
      </c>
    </row>
    <row r="98" spans="1:36" x14ac:dyDescent="0.25">
      <c r="A98" s="1" t="s">
        <v>1042</v>
      </c>
      <c r="B98" s="1" t="s">
        <v>1043</v>
      </c>
      <c r="C98" s="1" t="s">
        <v>1044</v>
      </c>
      <c r="D98" s="1" t="s">
        <v>756</v>
      </c>
      <c r="E98" s="1" t="s">
        <v>757</v>
      </c>
      <c r="F98" s="1" t="s">
        <v>1045</v>
      </c>
      <c r="G98" s="1" t="s">
        <v>14129</v>
      </c>
      <c r="H98" s="1" t="s">
        <v>14130</v>
      </c>
      <c r="I98" s="1" t="s">
        <v>14228</v>
      </c>
      <c r="J98" s="1" t="s">
        <v>23</v>
      </c>
      <c r="K98" s="1"/>
      <c r="L98" s="1" t="s">
        <v>1012</v>
      </c>
      <c r="M98" s="1" t="s">
        <v>1046</v>
      </c>
      <c r="N98" s="1" t="s">
        <v>1047</v>
      </c>
      <c r="O98" s="1" t="s">
        <v>1048</v>
      </c>
      <c r="P98" s="1" t="s">
        <v>1049</v>
      </c>
      <c r="Q98" s="1" t="s">
        <v>1017</v>
      </c>
      <c r="R98" s="1" t="s">
        <v>1018</v>
      </c>
      <c r="S98" s="1" t="s">
        <v>1019</v>
      </c>
      <c r="T98" s="1" t="s">
        <v>1020</v>
      </c>
      <c r="U98">
        <v>640.53</v>
      </c>
      <c r="V98">
        <v>636.96</v>
      </c>
      <c r="W98">
        <v>12.699180999999999</v>
      </c>
      <c r="X98">
        <v>109.22475300000001</v>
      </c>
      <c r="Y98">
        <v>3.57</v>
      </c>
      <c r="Z98">
        <v>12.690783</v>
      </c>
      <c r="AA98">
        <v>109.22087000000001</v>
      </c>
      <c r="AB98" s="5">
        <f t="shared" si="7"/>
        <v>0.95544000000000007</v>
      </c>
      <c r="AC98" s="5">
        <f t="shared" si="8"/>
        <v>5.3549999999999995E-3</v>
      </c>
      <c r="AD98" s="1" t="str">
        <f t="shared" si="9"/>
        <v>1.CA Vạn Ninh</v>
      </c>
      <c r="AE98" s="1" t="str">
        <f t="shared" si="10"/>
        <v>CA Vạn Thắng_Cột trung thế</v>
      </c>
      <c r="AG98">
        <f t="shared" si="11"/>
        <v>0.63696000000000008</v>
      </c>
      <c r="AH98">
        <f t="shared" si="12"/>
        <v>3.5699999999999998E-3</v>
      </c>
      <c r="AI98" t="e">
        <f>VLOOKUP(L98,'[1]Tuyến cáp H04'!$B:$E,3,0)/1000</f>
        <v>#N/A</v>
      </c>
      <c r="AJ98" t="e">
        <f>VLOOKUP(L98,'[1]Tuyến cáp H04'!$B:$E,4,0)</f>
        <v>#N/A</v>
      </c>
    </row>
    <row r="99" spans="1:36" x14ac:dyDescent="0.25">
      <c r="A99" s="1" t="s">
        <v>1050</v>
      </c>
      <c r="B99" s="1" t="s">
        <v>1051</v>
      </c>
      <c r="C99" s="1" t="s">
        <v>1052</v>
      </c>
      <c r="D99" s="1" t="s">
        <v>756</v>
      </c>
      <c r="E99" s="1" t="s">
        <v>757</v>
      </c>
      <c r="F99" s="1" t="s">
        <v>1053</v>
      </c>
      <c r="G99" s="1" t="s">
        <v>14129</v>
      </c>
      <c r="H99" s="1" t="s">
        <v>14130</v>
      </c>
      <c r="I99" s="1" t="s">
        <v>14229</v>
      </c>
      <c r="J99" s="1" t="s">
        <v>23</v>
      </c>
      <c r="K99" s="1"/>
      <c r="L99" s="1" t="s">
        <v>1012</v>
      </c>
      <c r="M99" s="1" t="s">
        <v>1054</v>
      </c>
      <c r="N99" s="1" t="s">
        <v>1055</v>
      </c>
      <c r="O99" s="1" t="s">
        <v>1056</v>
      </c>
      <c r="P99" s="1" t="s">
        <v>1057</v>
      </c>
      <c r="Q99" s="1" t="s">
        <v>1017</v>
      </c>
      <c r="R99" s="1" t="s">
        <v>1018</v>
      </c>
      <c r="S99" s="1" t="s">
        <v>1019</v>
      </c>
      <c r="T99" s="1" t="s">
        <v>1020</v>
      </c>
      <c r="U99">
        <v>1216.4100000000001</v>
      </c>
      <c r="V99">
        <v>1212.8399999999999</v>
      </c>
      <c r="W99">
        <v>12.70477</v>
      </c>
      <c r="X99">
        <v>109.2372</v>
      </c>
      <c r="Y99">
        <v>3.57</v>
      </c>
      <c r="Z99">
        <v>12.690783</v>
      </c>
      <c r="AA99">
        <v>109.22087000000001</v>
      </c>
      <c r="AB99" s="5">
        <f t="shared" si="7"/>
        <v>1.8192599999999997</v>
      </c>
      <c r="AC99" s="5">
        <f t="shared" si="8"/>
        <v>5.3549999999999995E-3</v>
      </c>
      <c r="AD99" s="1" t="str">
        <f t="shared" si="9"/>
        <v>1.CA Vạn Ninh</v>
      </c>
      <c r="AE99" s="1" t="str">
        <f t="shared" si="10"/>
        <v>CA Vạn Thắng_Cột trung thế</v>
      </c>
      <c r="AG99">
        <f t="shared" si="11"/>
        <v>1.2128399999999999</v>
      </c>
      <c r="AH99">
        <f t="shared" si="12"/>
        <v>3.5699999999999998E-3</v>
      </c>
      <c r="AI99" t="e">
        <f>VLOOKUP(L99,'[1]Tuyến cáp H04'!$B:$E,3,0)/1000</f>
        <v>#N/A</v>
      </c>
      <c r="AJ99" t="e">
        <f>VLOOKUP(L99,'[1]Tuyến cáp H04'!$B:$E,4,0)</f>
        <v>#N/A</v>
      </c>
    </row>
    <row r="100" spans="1:36" x14ac:dyDescent="0.25">
      <c r="A100" s="1" t="s">
        <v>1058</v>
      </c>
      <c r="B100" s="1" t="s">
        <v>1059</v>
      </c>
      <c r="C100" s="1" t="s">
        <v>1060</v>
      </c>
      <c r="D100" s="1" t="s">
        <v>393</v>
      </c>
      <c r="E100" s="1" t="s">
        <v>394</v>
      </c>
      <c r="F100" s="1" t="s">
        <v>1061</v>
      </c>
      <c r="G100" s="1" t="s">
        <v>14129</v>
      </c>
      <c r="H100" s="1" t="s">
        <v>14130</v>
      </c>
      <c r="I100" s="1" t="s">
        <v>14230</v>
      </c>
      <c r="J100" s="1" t="s">
        <v>23</v>
      </c>
      <c r="K100" s="1"/>
      <c r="L100" s="1" t="s">
        <v>434</v>
      </c>
      <c r="M100" s="1" t="s">
        <v>1062</v>
      </c>
      <c r="N100" s="1" t="s">
        <v>1063</v>
      </c>
      <c r="O100" s="1" t="s">
        <v>1064</v>
      </c>
      <c r="P100" s="1" t="s">
        <v>1065</v>
      </c>
      <c r="Q100" s="1" t="s">
        <v>436</v>
      </c>
      <c r="R100" s="1" t="s">
        <v>437</v>
      </c>
      <c r="S100" s="1" t="s">
        <v>438</v>
      </c>
      <c r="T100" s="1" t="s">
        <v>442</v>
      </c>
      <c r="U100">
        <v>129.19</v>
      </c>
      <c r="V100">
        <v>125.99</v>
      </c>
      <c r="W100">
        <v>12.269342</v>
      </c>
      <c r="X100">
        <v>109.033485</v>
      </c>
      <c r="Y100">
        <v>3.2</v>
      </c>
      <c r="Z100">
        <v>12.269061000000001</v>
      </c>
      <c r="AA100">
        <v>109.03337999999999</v>
      </c>
      <c r="AB100" s="5">
        <f t="shared" si="7"/>
        <v>0.18898499999999999</v>
      </c>
      <c r="AC100" s="5">
        <f t="shared" si="8"/>
        <v>4.8000000000000004E-3</v>
      </c>
      <c r="AD100" s="1" t="str">
        <f t="shared" si="9"/>
        <v>3.CA Diên Lâm</v>
      </c>
      <c r="AE100" s="1" t="str">
        <f t="shared" si="10"/>
        <v>CA Bắc Khánh Vĩnh_Cột trung thế</v>
      </c>
      <c r="AG100">
        <f t="shared" si="11"/>
        <v>0.12598999999999999</v>
      </c>
      <c r="AH100">
        <f t="shared" si="12"/>
        <v>3.2000000000000002E-3</v>
      </c>
      <c r="AI100" t="e">
        <f>VLOOKUP(L100,'[1]Tuyến cáp H04'!$B:$E,3,0)/1000</f>
        <v>#N/A</v>
      </c>
      <c r="AJ100" t="e">
        <f>VLOOKUP(L100,'[1]Tuyến cáp H04'!$B:$E,4,0)</f>
        <v>#N/A</v>
      </c>
    </row>
    <row r="101" spans="1:36" x14ac:dyDescent="0.25">
      <c r="A101" s="1" t="s">
        <v>1066</v>
      </c>
      <c r="B101" s="1" t="s">
        <v>1067</v>
      </c>
      <c r="C101" s="1" t="s">
        <v>1068</v>
      </c>
      <c r="D101" s="1" t="s">
        <v>49</v>
      </c>
      <c r="E101" s="1" t="s">
        <v>50</v>
      </c>
      <c r="F101" s="1" t="s">
        <v>1069</v>
      </c>
      <c r="G101" s="1" t="s">
        <v>14129</v>
      </c>
      <c r="H101" s="1" t="s">
        <v>14130</v>
      </c>
      <c r="I101" s="1" t="s">
        <v>14231</v>
      </c>
      <c r="J101" s="1" t="s">
        <v>23</v>
      </c>
      <c r="K101" s="1"/>
      <c r="L101" s="1" t="s">
        <v>317</v>
      </c>
      <c r="M101" s="1" t="s">
        <v>1070</v>
      </c>
      <c r="N101" s="1" t="s">
        <v>1071</v>
      </c>
      <c r="O101" s="1" t="s">
        <v>1072</v>
      </c>
      <c r="P101" s="1" t="s">
        <v>1073</v>
      </c>
      <c r="Q101" s="1" t="s">
        <v>319</v>
      </c>
      <c r="R101" s="1" t="s">
        <v>320</v>
      </c>
      <c r="S101" s="1" t="s">
        <v>321</v>
      </c>
      <c r="T101" s="1" t="s">
        <v>325</v>
      </c>
      <c r="U101">
        <v>732.69</v>
      </c>
      <c r="V101">
        <v>725.47</v>
      </c>
      <c r="W101">
        <v>12.253289000000001</v>
      </c>
      <c r="X101">
        <v>109.07729999999999</v>
      </c>
      <c r="Y101">
        <v>7.22</v>
      </c>
      <c r="Z101">
        <v>12.246371</v>
      </c>
      <c r="AA101">
        <v>109.072963</v>
      </c>
      <c r="AB101" s="5">
        <f t="shared" si="7"/>
        <v>1.0882049999999999</v>
      </c>
      <c r="AC101" s="5">
        <f t="shared" si="8"/>
        <v>1.0829999999999999E-2</v>
      </c>
      <c r="AD101" s="1" t="str">
        <f t="shared" si="9"/>
        <v>2.Nhà tạm giam Diên Khánh</v>
      </c>
      <c r="AE101" s="1" t="str">
        <f t="shared" si="10"/>
        <v>Trại giam A2</v>
      </c>
      <c r="AG101">
        <f t="shared" si="11"/>
        <v>0.72547000000000006</v>
      </c>
      <c r="AH101">
        <f t="shared" si="12"/>
        <v>7.2199999999999999E-3</v>
      </c>
      <c r="AI101" t="e">
        <f>VLOOKUP(L101,'[1]Tuyến cáp H04'!$B:$E,3,0)/1000</f>
        <v>#N/A</v>
      </c>
      <c r="AJ101" t="e">
        <f>VLOOKUP(L101,'[1]Tuyến cáp H04'!$B:$E,4,0)</f>
        <v>#N/A</v>
      </c>
    </row>
    <row r="102" spans="1:36" x14ac:dyDescent="0.25">
      <c r="A102" s="1" t="s">
        <v>1074</v>
      </c>
      <c r="B102" s="1" t="s">
        <v>1075</v>
      </c>
      <c r="C102" s="1" t="s">
        <v>1076</v>
      </c>
      <c r="D102" s="1" t="s">
        <v>51</v>
      </c>
      <c r="E102" s="1" t="s">
        <v>52</v>
      </c>
      <c r="F102" s="1" t="s">
        <v>1077</v>
      </c>
      <c r="G102" s="1" t="s">
        <v>14129</v>
      </c>
      <c r="H102" s="1" t="s">
        <v>14130</v>
      </c>
      <c r="I102" s="1" t="s">
        <v>14232</v>
      </c>
      <c r="J102" s="1" t="s">
        <v>23</v>
      </c>
      <c r="K102" s="1"/>
      <c r="L102" s="1" t="s">
        <v>67</v>
      </c>
      <c r="M102" s="1" t="s">
        <v>1078</v>
      </c>
      <c r="N102" s="1" t="s">
        <v>1079</v>
      </c>
      <c r="O102" s="1" t="s">
        <v>1080</v>
      </c>
      <c r="P102" s="1" t="s">
        <v>1081</v>
      </c>
      <c r="Q102" s="1" t="s">
        <v>69</v>
      </c>
      <c r="R102" s="1" t="s">
        <v>70</v>
      </c>
      <c r="S102" s="1" t="s">
        <v>71</v>
      </c>
      <c r="T102" s="1" t="s">
        <v>75</v>
      </c>
      <c r="U102">
        <v>845.12</v>
      </c>
      <c r="V102">
        <v>691.22</v>
      </c>
      <c r="W102">
        <v>12.197663</v>
      </c>
      <c r="X102">
        <v>109.068449</v>
      </c>
      <c r="Y102">
        <v>153.9</v>
      </c>
      <c r="Z102">
        <v>12.220518999999999</v>
      </c>
      <c r="AA102">
        <v>109.08248</v>
      </c>
      <c r="AB102" s="5">
        <f t="shared" si="7"/>
        <v>1.0368299999999999</v>
      </c>
      <c r="AC102" s="5">
        <f t="shared" si="8"/>
        <v>0.23085000000000003</v>
      </c>
      <c r="AD102" s="1" t="str">
        <f t="shared" si="9"/>
        <v>2.CA Suối Hiệp</v>
      </c>
      <c r="AE102" s="1" t="str">
        <f t="shared" si="10"/>
        <v>CA Suối Dầu</v>
      </c>
      <c r="AG102">
        <f t="shared" si="11"/>
        <v>0.69122000000000006</v>
      </c>
      <c r="AH102">
        <f t="shared" si="12"/>
        <v>0.15390000000000001</v>
      </c>
      <c r="AI102" t="e">
        <f>VLOOKUP(L102,'[1]Tuyến cáp H04'!$B:$E,3,0)/1000</f>
        <v>#N/A</v>
      </c>
      <c r="AJ102" t="e">
        <f>VLOOKUP(L102,'[1]Tuyến cáp H04'!$B:$E,4,0)</f>
        <v>#N/A</v>
      </c>
    </row>
    <row r="103" spans="1:36" x14ac:dyDescent="0.25">
      <c r="A103" s="1" t="s">
        <v>1082</v>
      </c>
      <c r="B103" s="1" t="s">
        <v>1083</v>
      </c>
      <c r="C103" s="1" t="s">
        <v>1084</v>
      </c>
      <c r="D103" s="1" t="s">
        <v>723</v>
      </c>
      <c r="E103" s="1" t="s">
        <v>724</v>
      </c>
      <c r="F103" s="1" t="s">
        <v>1085</v>
      </c>
      <c r="G103" s="1" t="s">
        <v>14129</v>
      </c>
      <c r="H103" s="1" t="s">
        <v>14130</v>
      </c>
      <c r="I103" s="1" t="s">
        <v>14233</v>
      </c>
      <c r="J103" s="1" t="s">
        <v>23</v>
      </c>
      <c r="K103" s="1"/>
      <c r="L103" s="1" t="s">
        <v>245</v>
      </c>
      <c r="M103" s="1" t="s">
        <v>1086</v>
      </c>
      <c r="N103" s="1" t="s">
        <v>1087</v>
      </c>
      <c r="O103" s="1" t="s">
        <v>1088</v>
      </c>
      <c r="P103" s="1" t="s">
        <v>1089</v>
      </c>
      <c r="Q103" s="1" t="s">
        <v>1090</v>
      </c>
      <c r="R103" s="1" t="s">
        <v>1091</v>
      </c>
      <c r="S103" s="1" t="s">
        <v>1092</v>
      </c>
      <c r="T103" s="1" t="s">
        <v>881</v>
      </c>
      <c r="U103">
        <v>586.94000000000005</v>
      </c>
      <c r="V103">
        <v>426.11</v>
      </c>
      <c r="W103">
        <v>12.012765999999999</v>
      </c>
      <c r="X103">
        <v>109.1266</v>
      </c>
      <c r="Y103">
        <v>160.83000000000001</v>
      </c>
      <c r="Z103">
        <v>12.033222</v>
      </c>
      <c r="AA103">
        <v>109.128844</v>
      </c>
      <c r="AB103" s="5">
        <f t="shared" si="7"/>
        <v>0.63916499999999998</v>
      </c>
      <c r="AC103" s="5">
        <f t="shared" si="8"/>
        <v>0.24124500000000001</v>
      </c>
      <c r="AD103" s="1" t="str">
        <f t="shared" si="9"/>
        <v>5. Cam Phước Đông</v>
      </c>
      <c r="AE103" s="1" t="str">
        <f t="shared" si="10"/>
        <v>CAT Khánh Hòa</v>
      </c>
      <c r="AG103">
        <f t="shared" si="11"/>
        <v>0.42610999999999999</v>
      </c>
      <c r="AH103">
        <f t="shared" si="12"/>
        <v>0.16083</v>
      </c>
      <c r="AI103" t="e">
        <f>VLOOKUP(L103,'[1]Tuyến cáp H04'!$B:$E,3,0)/1000</f>
        <v>#N/A</v>
      </c>
      <c r="AJ103" t="e">
        <f>VLOOKUP(L103,'[1]Tuyến cáp H04'!$B:$E,4,0)</f>
        <v>#N/A</v>
      </c>
    </row>
    <row r="104" spans="1:36" x14ac:dyDescent="0.25">
      <c r="A104" s="1" t="s">
        <v>1093</v>
      </c>
      <c r="B104" s="1" t="s">
        <v>1094</v>
      </c>
      <c r="C104" s="1" t="s">
        <v>1095</v>
      </c>
      <c r="D104" s="1" t="s">
        <v>780</v>
      </c>
      <c r="E104" s="1" t="s">
        <v>781</v>
      </c>
      <c r="F104" s="1" t="s">
        <v>1096</v>
      </c>
      <c r="G104" s="1" t="s">
        <v>14129</v>
      </c>
      <c r="H104" s="1" t="s">
        <v>14130</v>
      </c>
      <c r="I104" s="1" t="s">
        <v>14234</v>
      </c>
      <c r="J104" s="1" t="s">
        <v>23</v>
      </c>
      <c r="K104" s="1"/>
      <c r="L104" s="1" t="s">
        <v>490</v>
      </c>
      <c r="M104" s="1" t="s">
        <v>1097</v>
      </c>
      <c r="N104" s="1" t="s">
        <v>1098</v>
      </c>
      <c r="O104" s="1" t="s">
        <v>1099</v>
      </c>
      <c r="P104" s="1" t="s">
        <v>1100</v>
      </c>
      <c r="Q104" s="1" t="s">
        <v>784</v>
      </c>
      <c r="R104" s="1" t="s">
        <v>785</v>
      </c>
      <c r="S104" s="1" t="s">
        <v>786</v>
      </c>
      <c r="T104" s="1" t="s">
        <v>498</v>
      </c>
      <c r="U104">
        <v>351.58</v>
      </c>
      <c r="V104">
        <v>349.55</v>
      </c>
      <c r="W104">
        <v>12.09661</v>
      </c>
      <c r="X104">
        <v>109.188524</v>
      </c>
      <c r="Y104">
        <v>2.0299999999999998</v>
      </c>
      <c r="Z104">
        <v>12.074439</v>
      </c>
      <c r="AA104">
        <v>109.168081</v>
      </c>
      <c r="AB104" s="5">
        <f t="shared" si="7"/>
        <v>0.52432500000000004</v>
      </c>
      <c r="AC104" s="5">
        <f t="shared" si="8"/>
        <v>3.045E-3</v>
      </c>
      <c r="AD104" s="1" t="str">
        <f t="shared" si="9"/>
        <v>1.CAT Khánh Hòa</v>
      </c>
      <c r="AE104" s="1" t="str">
        <f t="shared" si="10"/>
        <v>Cam Lâm</v>
      </c>
      <c r="AG104">
        <f t="shared" si="11"/>
        <v>0.34955000000000003</v>
      </c>
      <c r="AH104">
        <f t="shared" si="12"/>
        <v>2.0299999999999997E-3</v>
      </c>
      <c r="AI104" t="e">
        <f>VLOOKUP(L104,'[1]Tuyến cáp H04'!$B:$E,3,0)/1000</f>
        <v>#N/A</v>
      </c>
      <c r="AJ104" t="e">
        <f>VLOOKUP(L104,'[1]Tuyến cáp H04'!$B:$E,4,0)</f>
        <v>#N/A</v>
      </c>
    </row>
    <row r="105" spans="1:36" x14ac:dyDescent="0.25">
      <c r="A105" s="1" t="s">
        <v>1101</v>
      </c>
      <c r="B105" s="1" t="s">
        <v>1102</v>
      </c>
      <c r="C105" s="1" t="s">
        <v>1103</v>
      </c>
      <c r="D105" s="1" t="s">
        <v>780</v>
      </c>
      <c r="E105" s="1" t="s">
        <v>781</v>
      </c>
      <c r="F105" s="1" t="s">
        <v>1104</v>
      </c>
      <c r="G105" s="1" t="s">
        <v>14129</v>
      </c>
      <c r="H105" s="1" t="s">
        <v>14130</v>
      </c>
      <c r="I105" s="1" t="s">
        <v>14235</v>
      </c>
      <c r="J105" s="1" t="s">
        <v>23</v>
      </c>
      <c r="K105" s="1"/>
      <c r="L105" s="1" t="s">
        <v>490</v>
      </c>
      <c r="M105" s="1" t="s">
        <v>1105</v>
      </c>
      <c r="N105" s="1" t="s">
        <v>1106</v>
      </c>
      <c r="O105" s="1" t="s">
        <v>1107</v>
      </c>
      <c r="P105" s="1" t="s">
        <v>1108</v>
      </c>
      <c r="Q105" s="1" t="s">
        <v>784</v>
      </c>
      <c r="R105" s="1" t="s">
        <v>785</v>
      </c>
      <c r="S105" s="1" t="s">
        <v>786</v>
      </c>
      <c r="T105" s="1" t="s">
        <v>498</v>
      </c>
      <c r="U105">
        <v>1166.83</v>
      </c>
      <c r="V105">
        <v>1164.8</v>
      </c>
      <c r="W105">
        <v>12.085070999999999</v>
      </c>
      <c r="X105">
        <v>109.188964</v>
      </c>
      <c r="Y105">
        <v>2.0299999999999998</v>
      </c>
      <c r="Z105">
        <v>12.074439</v>
      </c>
      <c r="AA105">
        <v>109.168081</v>
      </c>
      <c r="AB105" s="5">
        <f t="shared" si="7"/>
        <v>1.7471999999999999</v>
      </c>
      <c r="AC105" s="5">
        <f t="shared" si="8"/>
        <v>3.045E-3</v>
      </c>
      <c r="AD105" s="1" t="str">
        <f t="shared" si="9"/>
        <v>1.CAT Khánh Hòa</v>
      </c>
      <c r="AE105" s="1" t="str">
        <f t="shared" si="10"/>
        <v>Cam Lâm</v>
      </c>
      <c r="AG105">
        <f t="shared" si="11"/>
        <v>1.1648000000000001</v>
      </c>
      <c r="AH105">
        <f t="shared" si="12"/>
        <v>2.0299999999999997E-3</v>
      </c>
      <c r="AI105" t="e">
        <f>VLOOKUP(L105,'[1]Tuyến cáp H04'!$B:$E,3,0)/1000</f>
        <v>#N/A</v>
      </c>
      <c r="AJ105" t="e">
        <f>VLOOKUP(L105,'[1]Tuyến cáp H04'!$B:$E,4,0)</f>
        <v>#N/A</v>
      </c>
    </row>
    <row r="106" spans="1:36" x14ac:dyDescent="0.25">
      <c r="A106" s="1" t="s">
        <v>1109</v>
      </c>
      <c r="B106" s="1" t="s">
        <v>1110</v>
      </c>
      <c r="C106" s="1" t="s">
        <v>1111</v>
      </c>
      <c r="D106" s="1" t="s">
        <v>839</v>
      </c>
      <c r="E106" s="1" t="s">
        <v>840</v>
      </c>
      <c r="F106" s="1" t="s">
        <v>1112</v>
      </c>
      <c r="G106" s="1" t="s">
        <v>14129</v>
      </c>
      <c r="H106" s="1" t="s">
        <v>14130</v>
      </c>
      <c r="I106" s="1" t="s">
        <v>14236</v>
      </c>
      <c r="J106" s="1" t="s">
        <v>23</v>
      </c>
      <c r="K106" s="1"/>
      <c r="L106" s="1" t="s">
        <v>617</v>
      </c>
      <c r="M106" s="1" t="s">
        <v>1113</v>
      </c>
      <c r="N106" s="1" t="s">
        <v>1114</v>
      </c>
      <c r="O106" s="1" t="s">
        <v>1115</v>
      </c>
      <c r="P106" s="1" t="s">
        <v>1116</v>
      </c>
      <c r="Q106" s="1" t="s">
        <v>854</v>
      </c>
      <c r="R106" s="1" t="s">
        <v>855</v>
      </c>
      <c r="S106" s="1" t="s">
        <v>856</v>
      </c>
      <c r="T106" s="1" t="s">
        <v>625</v>
      </c>
      <c r="U106">
        <v>132.86000000000001</v>
      </c>
      <c r="V106">
        <v>128.72999999999999</v>
      </c>
      <c r="W106">
        <v>11.906952</v>
      </c>
      <c r="X106">
        <v>109.146519</v>
      </c>
      <c r="Y106">
        <v>4.13</v>
      </c>
      <c r="Z106">
        <v>11.906758</v>
      </c>
      <c r="AA106">
        <v>109.14636400000001</v>
      </c>
      <c r="AB106" s="5">
        <f t="shared" si="7"/>
        <v>0.19309499999999996</v>
      </c>
      <c r="AC106" s="5">
        <f t="shared" si="8"/>
        <v>6.195E-3</v>
      </c>
      <c r="AD106" s="1" t="str">
        <f t="shared" si="9"/>
        <v>1.CA Cam Ranh</v>
      </c>
      <c r="AE106" s="1" t="str">
        <f t="shared" si="10"/>
        <v>CA Cam Linh</v>
      </c>
      <c r="AG106">
        <f t="shared" si="11"/>
        <v>0.12872999999999998</v>
      </c>
      <c r="AH106">
        <f t="shared" si="12"/>
        <v>4.13E-3</v>
      </c>
      <c r="AI106" t="e">
        <f>VLOOKUP(L106,'[1]Tuyến cáp H04'!$B:$E,3,0)/1000</f>
        <v>#N/A</v>
      </c>
      <c r="AJ106" t="e">
        <f>VLOOKUP(L106,'[1]Tuyến cáp H04'!$B:$E,4,0)</f>
        <v>#N/A</v>
      </c>
    </row>
    <row r="107" spans="1:36" x14ac:dyDescent="0.25">
      <c r="A107" s="1" t="s">
        <v>1117</v>
      </c>
      <c r="B107" s="1" t="s">
        <v>1118</v>
      </c>
      <c r="C107" s="1" t="s">
        <v>1119</v>
      </c>
      <c r="D107" s="1" t="s">
        <v>347</v>
      </c>
      <c r="E107" s="1" t="s">
        <v>348</v>
      </c>
      <c r="F107" s="1" t="s">
        <v>1120</v>
      </c>
      <c r="G107" s="1" t="s">
        <v>14129</v>
      </c>
      <c r="H107" s="1" t="s">
        <v>14130</v>
      </c>
      <c r="I107" s="1" t="s">
        <v>14237</v>
      </c>
      <c r="J107" s="1" t="s">
        <v>23</v>
      </c>
      <c r="K107" s="1"/>
      <c r="L107" s="1" t="s">
        <v>352</v>
      </c>
      <c r="M107" s="1" t="s">
        <v>1121</v>
      </c>
      <c r="N107" s="1" t="s">
        <v>1122</v>
      </c>
      <c r="O107" s="1" t="s">
        <v>1123</v>
      </c>
      <c r="P107" s="1" t="s">
        <v>1124</v>
      </c>
      <c r="Q107" s="1" t="s">
        <v>354</v>
      </c>
      <c r="R107" s="1" t="s">
        <v>355</v>
      </c>
      <c r="S107" s="1" t="s">
        <v>356</v>
      </c>
      <c r="T107" s="1" t="s">
        <v>360</v>
      </c>
      <c r="U107">
        <v>1467.81</v>
      </c>
      <c r="V107">
        <v>1367.81</v>
      </c>
      <c r="W107">
        <v>11.932957</v>
      </c>
      <c r="X107">
        <v>109.11990299999999</v>
      </c>
      <c r="Y107">
        <v>100</v>
      </c>
      <c r="Z107">
        <v>11.941592</v>
      </c>
      <c r="AA107">
        <v>109.11218100000001</v>
      </c>
      <c r="AB107" s="5">
        <f t="shared" si="7"/>
        <v>2.0517150000000002</v>
      </c>
      <c r="AC107" s="5">
        <f t="shared" si="8"/>
        <v>0.15</v>
      </c>
      <c r="AD107" s="1" t="str">
        <f t="shared" si="9"/>
        <v>3.Cam Ranh</v>
      </c>
      <c r="AE107" s="1" t="str">
        <f t="shared" si="10"/>
        <v>Khánh Sơn</v>
      </c>
      <c r="AG107">
        <f t="shared" si="11"/>
        <v>1.36781</v>
      </c>
      <c r="AH107">
        <f t="shared" si="12"/>
        <v>0.1</v>
      </c>
      <c r="AI107" t="e">
        <f>VLOOKUP(L107,'[1]Tuyến cáp H04'!$B:$E,3,0)/1000</f>
        <v>#N/A</v>
      </c>
      <c r="AJ107" t="e">
        <f>VLOOKUP(L107,'[1]Tuyến cáp H04'!$B:$E,4,0)</f>
        <v>#N/A</v>
      </c>
    </row>
    <row r="108" spans="1:36" x14ac:dyDescent="0.25">
      <c r="A108" s="1" t="s">
        <v>1125</v>
      </c>
      <c r="B108" s="1" t="s">
        <v>1126</v>
      </c>
      <c r="C108" s="1" t="s">
        <v>1127</v>
      </c>
      <c r="D108" s="1" t="s">
        <v>130</v>
      </c>
      <c r="E108" s="1" t="s">
        <v>131</v>
      </c>
      <c r="F108" s="1" t="s">
        <v>1128</v>
      </c>
      <c r="G108" s="1" t="s">
        <v>14129</v>
      </c>
      <c r="H108" s="1" t="s">
        <v>14130</v>
      </c>
      <c r="I108" s="1" t="s">
        <v>14238</v>
      </c>
      <c r="J108" s="1" t="s">
        <v>23</v>
      </c>
      <c r="K108" s="1"/>
      <c r="L108" s="1" t="s">
        <v>144</v>
      </c>
      <c r="M108" s="1" t="s">
        <v>1129</v>
      </c>
      <c r="N108" s="1" t="s">
        <v>1130</v>
      </c>
      <c r="O108" s="1" t="s">
        <v>150</v>
      </c>
      <c r="P108" s="1" t="s">
        <v>151</v>
      </c>
      <c r="Q108" s="1" t="s">
        <v>146</v>
      </c>
      <c r="R108" s="1" t="s">
        <v>147</v>
      </c>
      <c r="S108" s="1" t="s">
        <v>148</v>
      </c>
      <c r="T108" s="1" t="s">
        <v>152</v>
      </c>
      <c r="U108">
        <v>336006.8</v>
      </c>
      <c r="V108">
        <v>192224</v>
      </c>
      <c r="W108">
        <v>13.966175</v>
      </c>
      <c r="X108">
        <v>109.030287</v>
      </c>
      <c r="Y108">
        <v>143782.79999999999</v>
      </c>
      <c r="Z108">
        <v>14.360149</v>
      </c>
      <c r="AA108">
        <v>108.97062</v>
      </c>
      <c r="AB108" s="5">
        <f t="shared" si="7"/>
        <v>288.33600000000001</v>
      </c>
      <c r="AC108" s="5">
        <f t="shared" si="8"/>
        <v>215.67419999999998</v>
      </c>
      <c r="AD108" s="1" t="str">
        <f t="shared" si="9"/>
        <v>Hoài Ân</v>
      </c>
      <c r="AE108" s="1" t="str">
        <f t="shared" si="10"/>
        <v>Vĩnh Kim</v>
      </c>
      <c r="AG108">
        <f t="shared" si="11"/>
        <v>192.22399999999999</v>
      </c>
      <c r="AH108">
        <f t="shared" si="12"/>
        <v>143.78279999999998</v>
      </c>
      <c r="AI108" t="e">
        <f>VLOOKUP(L108,'[1]Tuyến cáp H04'!$B:$E,3,0)/1000</f>
        <v>#N/A</v>
      </c>
      <c r="AJ108" t="e">
        <f>VLOOKUP(L108,'[1]Tuyến cáp H04'!$B:$E,4,0)</f>
        <v>#N/A</v>
      </c>
    </row>
    <row r="109" spans="1:36" x14ac:dyDescent="0.25">
      <c r="A109" s="1" t="s">
        <v>1131</v>
      </c>
      <c r="B109" s="1" t="s">
        <v>1132</v>
      </c>
      <c r="C109" s="1" t="s">
        <v>1133</v>
      </c>
      <c r="D109" s="1" t="s">
        <v>240</v>
      </c>
      <c r="E109" s="1" t="s">
        <v>241</v>
      </c>
      <c r="F109" s="1" t="s">
        <v>1134</v>
      </c>
      <c r="G109" s="1" t="s">
        <v>14129</v>
      </c>
      <c r="H109" s="1" t="s">
        <v>14130</v>
      </c>
      <c r="I109" s="1" t="s">
        <v>14239</v>
      </c>
      <c r="J109" s="1" t="s">
        <v>23</v>
      </c>
      <c r="K109" s="1"/>
      <c r="L109" s="1" t="s">
        <v>82</v>
      </c>
      <c r="M109" s="1" t="s">
        <v>1135</v>
      </c>
      <c r="N109" s="1" t="s">
        <v>1136</v>
      </c>
      <c r="O109" s="1" t="s">
        <v>711</v>
      </c>
      <c r="P109" s="1" t="s">
        <v>712</v>
      </c>
      <c r="Q109" s="1" t="s">
        <v>707</v>
      </c>
      <c r="R109" s="1" t="s">
        <v>708</v>
      </c>
      <c r="S109" s="1" t="s">
        <v>709</v>
      </c>
      <c r="T109" s="1" t="s">
        <v>713</v>
      </c>
      <c r="U109">
        <v>284.77999999999997</v>
      </c>
      <c r="V109">
        <v>268.97000000000003</v>
      </c>
      <c r="W109">
        <v>12.235099999999999</v>
      </c>
      <c r="X109">
        <v>109.183842</v>
      </c>
      <c r="Y109">
        <v>15.81</v>
      </c>
      <c r="Z109">
        <v>12.236330000000001</v>
      </c>
      <c r="AA109">
        <v>109.18457600000001</v>
      </c>
      <c r="AB109" s="5">
        <f t="shared" si="7"/>
        <v>0.40345500000000006</v>
      </c>
      <c r="AC109" s="5">
        <f t="shared" si="8"/>
        <v>2.3715E-2</v>
      </c>
      <c r="AD109" s="1" t="str">
        <f t="shared" si="9"/>
        <v>3.PA06 cs2</v>
      </c>
      <c r="AE109" s="1" t="str">
        <f t="shared" si="10"/>
        <v>PC11a</v>
      </c>
      <c r="AG109">
        <f t="shared" si="11"/>
        <v>0.26897000000000004</v>
      </c>
      <c r="AH109">
        <f t="shared" si="12"/>
        <v>1.5810000000000001E-2</v>
      </c>
      <c r="AI109" t="e">
        <f>VLOOKUP(L109,'[1]Tuyến cáp H04'!$B:$E,3,0)/1000</f>
        <v>#N/A</v>
      </c>
      <c r="AJ109" t="e">
        <f>VLOOKUP(L109,'[1]Tuyến cáp H04'!$B:$E,4,0)</f>
        <v>#N/A</v>
      </c>
    </row>
    <row r="110" spans="1:36" x14ac:dyDescent="0.25">
      <c r="A110" s="1" t="s">
        <v>1137</v>
      </c>
      <c r="B110" s="1" t="s">
        <v>1138</v>
      </c>
      <c r="C110" s="1" t="s">
        <v>1139</v>
      </c>
      <c r="D110" s="1" t="s">
        <v>128</v>
      </c>
      <c r="E110" s="1" t="s">
        <v>129</v>
      </c>
      <c r="F110" s="1" t="s">
        <v>1140</v>
      </c>
      <c r="G110" s="1" t="s">
        <v>14129</v>
      </c>
      <c r="H110" s="1" t="s">
        <v>14130</v>
      </c>
      <c r="I110" s="1" t="s">
        <v>14240</v>
      </c>
      <c r="J110" s="1" t="s">
        <v>23</v>
      </c>
      <c r="K110" s="1"/>
      <c r="L110" s="1" t="s">
        <v>283</v>
      </c>
      <c r="M110" s="1" t="s">
        <v>1141</v>
      </c>
      <c r="N110" s="1" t="s">
        <v>1142</v>
      </c>
      <c r="O110" s="1" t="s">
        <v>289</v>
      </c>
      <c r="P110" s="1" t="s">
        <v>290</v>
      </c>
      <c r="Q110" s="1" t="s">
        <v>657</v>
      </c>
      <c r="R110" s="1" t="s">
        <v>286</v>
      </c>
      <c r="S110" s="1" t="s">
        <v>287</v>
      </c>
      <c r="T110" s="1" t="s">
        <v>291</v>
      </c>
      <c r="U110">
        <v>516857.06</v>
      </c>
      <c r="V110">
        <v>267214.34000000003</v>
      </c>
      <c r="W110">
        <v>14.352316999999999</v>
      </c>
      <c r="X110">
        <v>108.007831</v>
      </c>
      <c r="Y110">
        <v>249642.72</v>
      </c>
      <c r="Z110">
        <v>14.659686000000001</v>
      </c>
      <c r="AA110">
        <v>107.839439</v>
      </c>
      <c r="AB110" s="5">
        <f t="shared" si="7"/>
        <v>400.82150999999999</v>
      </c>
      <c r="AC110" s="5">
        <f t="shared" si="8"/>
        <v>374.46408000000002</v>
      </c>
      <c r="AD110" s="1" t="str">
        <f t="shared" si="9"/>
        <v>Đăk Tô</v>
      </c>
      <c r="AE110" s="1" t="str">
        <f t="shared" si="10"/>
        <v>TT2 Kon Tum</v>
      </c>
      <c r="AG110">
        <f t="shared" si="11"/>
        <v>267.21434000000005</v>
      </c>
      <c r="AH110">
        <f t="shared" si="12"/>
        <v>249.64272</v>
      </c>
      <c r="AI110">
        <f>VLOOKUP(L110,'[1]Tuyến cáp H04'!$B:$E,3,0)/1000</f>
        <v>43.9602</v>
      </c>
      <c r="AJ110" t="str">
        <f>VLOOKUP(L110,'[1]Tuyến cáp H04'!$B:$E,4,0)</f>
        <v>Mạng cấp 3</v>
      </c>
    </row>
    <row r="111" spans="1:36" x14ac:dyDescent="0.25">
      <c r="A111" s="1" t="s">
        <v>1143</v>
      </c>
      <c r="B111" s="1" t="s">
        <v>1144</v>
      </c>
      <c r="C111" s="1" t="s">
        <v>1145</v>
      </c>
      <c r="D111" s="1" t="s">
        <v>572</v>
      </c>
      <c r="E111" s="1" t="s">
        <v>573</v>
      </c>
      <c r="F111" s="1" t="s">
        <v>1146</v>
      </c>
      <c r="G111" s="1" t="s">
        <v>14129</v>
      </c>
      <c r="H111" s="1" t="s">
        <v>14130</v>
      </c>
      <c r="I111" s="1" t="s">
        <v>14241</v>
      </c>
      <c r="J111" s="1" t="s">
        <v>23</v>
      </c>
      <c r="K111" s="1"/>
      <c r="L111" s="1" t="s">
        <v>590</v>
      </c>
      <c r="M111" s="1" t="s">
        <v>1147</v>
      </c>
      <c r="N111" s="1" t="s">
        <v>1148</v>
      </c>
      <c r="O111" s="1" t="s">
        <v>632</v>
      </c>
      <c r="P111" s="1" t="s">
        <v>633</v>
      </c>
      <c r="Q111" s="1" t="s">
        <v>592</v>
      </c>
      <c r="R111" s="1" t="s">
        <v>593</v>
      </c>
      <c r="S111" s="1" t="s">
        <v>594</v>
      </c>
      <c r="T111" s="1" t="s">
        <v>598</v>
      </c>
      <c r="U111">
        <v>1089.4000000000001</v>
      </c>
      <c r="V111">
        <v>1086.6300000000001</v>
      </c>
      <c r="W111">
        <v>12.486466</v>
      </c>
      <c r="X111">
        <v>109.134191</v>
      </c>
      <c r="Y111">
        <v>2.77</v>
      </c>
      <c r="Z111">
        <v>12.509724</v>
      </c>
      <c r="AA111">
        <v>109.13747499999999</v>
      </c>
      <c r="AB111" s="5">
        <f t="shared" si="7"/>
        <v>1.6299450000000002</v>
      </c>
      <c r="AC111" s="5">
        <f t="shared" si="8"/>
        <v>4.1549999999999998E-3</v>
      </c>
      <c r="AD111" s="1" t="str">
        <f t="shared" si="9"/>
        <v>1.CA Ninh Hòa</v>
      </c>
      <c r="AE111" s="1" t="str">
        <f t="shared" si="10"/>
        <v>CA Hòa Thắng_Cột trung thế</v>
      </c>
      <c r="AG111">
        <f t="shared" si="11"/>
        <v>1.0866300000000002</v>
      </c>
      <c r="AH111">
        <f t="shared" si="12"/>
        <v>2.7699999999999999E-3</v>
      </c>
      <c r="AI111" t="e">
        <f>VLOOKUP(L111,'[1]Tuyến cáp H04'!$B:$E,3,0)/1000</f>
        <v>#N/A</v>
      </c>
      <c r="AJ111" t="e">
        <f>VLOOKUP(L111,'[1]Tuyến cáp H04'!$B:$E,4,0)</f>
        <v>#N/A</v>
      </c>
    </row>
    <row r="112" spans="1:36" x14ac:dyDescent="0.25">
      <c r="A112" s="1" t="s">
        <v>1149</v>
      </c>
      <c r="B112" s="1" t="s">
        <v>1150</v>
      </c>
      <c r="C112" s="1" t="s">
        <v>1151</v>
      </c>
      <c r="D112" s="1" t="s">
        <v>1152</v>
      </c>
      <c r="E112" s="1" t="s">
        <v>1153</v>
      </c>
      <c r="F112" s="1" t="s">
        <v>1154</v>
      </c>
      <c r="G112" s="1" t="s">
        <v>14129</v>
      </c>
      <c r="H112" s="1" t="s">
        <v>14130</v>
      </c>
      <c r="I112" s="1" t="s">
        <v>14242</v>
      </c>
      <c r="J112" s="1" t="s">
        <v>23</v>
      </c>
      <c r="K112" s="1"/>
      <c r="L112" s="1" t="s">
        <v>1155</v>
      </c>
      <c r="M112" s="1" t="s">
        <v>1156</v>
      </c>
      <c r="N112" s="1" t="s">
        <v>1157</v>
      </c>
      <c r="O112" s="1" t="s">
        <v>1158</v>
      </c>
      <c r="P112" s="1" t="s">
        <v>1159</v>
      </c>
      <c r="Q112" s="1" t="s">
        <v>1160</v>
      </c>
      <c r="R112" s="1" t="s">
        <v>1161</v>
      </c>
      <c r="S112" s="1" t="s">
        <v>1162</v>
      </c>
      <c r="T112" s="1" t="s">
        <v>1163</v>
      </c>
      <c r="U112">
        <v>249.88</v>
      </c>
      <c r="V112">
        <v>63.93</v>
      </c>
      <c r="W112">
        <v>12.462367</v>
      </c>
      <c r="X112">
        <v>109.121967</v>
      </c>
      <c r="Y112">
        <v>185.95</v>
      </c>
      <c r="Z112">
        <v>12.481263999999999</v>
      </c>
      <c r="AA112">
        <v>109.131214</v>
      </c>
      <c r="AB112" s="5">
        <f t="shared" si="7"/>
        <v>9.5894999999999994E-2</v>
      </c>
      <c r="AC112" s="5">
        <f t="shared" si="8"/>
        <v>0.27892499999999998</v>
      </c>
      <c r="AD112" s="1" t="str">
        <f t="shared" si="9"/>
        <v>4.PK02 cs2</v>
      </c>
      <c r="AE112" s="1" t="str">
        <f t="shared" si="10"/>
        <v>Trạm CSGT Ninh An cũ</v>
      </c>
      <c r="AG112">
        <f t="shared" si="11"/>
        <v>6.3930000000000001E-2</v>
      </c>
      <c r="AH112">
        <f t="shared" si="12"/>
        <v>0.18594999999999998</v>
      </c>
      <c r="AI112" t="e">
        <f>VLOOKUP(L112,'[1]Tuyến cáp H04'!$B:$E,3,0)/1000</f>
        <v>#N/A</v>
      </c>
      <c r="AJ112" t="e">
        <f>VLOOKUP(L112,'[1]Tuyến cáp H04'!$B:$E,4,0)</f>
        <v>#N/A</v>
      </c>
    </row>
    <row r="113" spans="1:36" x14ac:dyDescent="0.25">
      <c r="A113" s="1" t="s">
        <v>1164</v>
      </c>
      <c r="B113" s="1" t="s">
        <v>1165</v>
      </c>
      <c r="C113" s="1" t="s">
        <v>1166</v>
      </c>
      <c r="D113" s="1" t="s">
        <v>557</v>
      </c>
      <c r="E113" s="1" t="s">
        <v>558</v>
      </c>
      <c r="F113" s="1" t="s">
        <v>1167</v>
      </c>
      <c r="G113" s="1" t="s">
        <v>14129</v>
      </c>
      <c r="H113" s="1" t="s">
        <v>14130</v>
      </c>
      <c r="I113" s="1" t="s">
        <v>14243</v>
      </c>
      <c r="J113" s="1" t="s">
        <v>23</v>
      </c>
      <c r="K113" s="1"/>
      <c r="L113" s="1" t="s">
        <v>1168</v>
      </c>
      <c r="M113" s="1" t="s">
        <v>1169</v>
      </c>
      <c r="N113" s="1" t="s">
        <v>1170</v>
      </c>
      <c r="O113" s="1" t="s">
        <v>1171</v>
      </c>
      <c r="P113" s="1" t="s">
        <v>1172</v>
      </c>
      <c r="Q113" s="1" t="s">
        <v>1173</v>
      </c>
      <c r="R113" s="1" t="s">
        <v>1174</v>
      </c>
      <c r="S113" s="1" t="s">
        <v>1175</v>
      </c>
      <c r="T113" s="1" t="s">
        <v>1176</v>
      </c>
      <c r="U113">
        <v>94.84</v>
      </c>
      <c r="V113">
        <v>90.25</v>
      </c>
      <c r="W113">
        <v>12.537072999999999</v>
      </c>
      <c r="X113">
        <v>109.018368</v>
      </c>
      <c r="Y113">
        <v>4.59</v>
      </c>
      <c r="Z113">
        <v>12.540865</v>
      </c>
      <c r="AA113">
        <v>109.00747800000001</v>
      </c>
      <c r="AB113" s="5">
        <f t="shared" si="7"/>
        <v>0.135375</v>
      </c>
      <c r="AC113" s="5">
        <f t="shared" si="8"/>
        <v>6.8849999999999996E-3</v>
      </c>
      <c r="AD113" s="1" t="str">
        <f t="shared" si="9"/>
        <v>2.CA Nam Ninh Hòa</v>
      </c>
      <c r="AE113" s="1" t="str">
        <f t="shared" si="10"/>
        <v>CA Tây Ninh Hòa</v>
      </c>
      <c r="AG113">
        <f t="shared" si="11"/>
        <v>9.0249999999999997E-2</v>
      </c>
      <c r="AH113">
        <f t="shared" si="12"/>
        <v>4.5899999999999995E-3</v>
      </c>
      <c r="AI113" t="e">
        <f>VLOOKUP(L113,'[1]Tuyến cáp H04'!$B:$E,3,0)/1000</f>
        <v>#N/A</v>
      </c>
      <c r="AJ113" t="e">
        <f>VLOOKUP(L113,'[1]Tuyến cáp H04'!$B:$E,4,0)</f>
        <v>#N/A</v>
      </c>
    </row>
    <row r="114" spans="1:36" x14ac:dyDescent="0.25">
      <c r="A114" s="1" t="s">
        <v>1177</v>
      </c>
      <c r="B114" s="1" t="s">
        <v>1178</v>
      </c>
      <c r="C114" s="1" t="s">
        <v>1179</v>
      </c>
      <c r="D114" s="1" t="s">
        <v>557</v>
      </c>
      <c r="E114" s="1" t="s">
        <v>558</v>
      </c>
      <c r="F114" s="1" t="s">
        <v>1180</v>
      </c>
      <c r="G114" s="1" t="s">
        <v>14129</v>
      </c>
      <c r="H114" s="1" t="s">
        <v>14130</v>
      </c>
      <c r="I114" s="1" t="s">
        <v>14244</v>
      </c>
      <c r="J114" s="1" t="s">
        <v>23</v>
      </c>
      <c r="K114" s="1"/>
      <c r="L114" s="1" t="s">
        <v>1168</v>
      </c>
      <c r="M114" s="1" t="s">
        <v>1181</v>
      </c>
      <c r="N114" s="1" t="s">
        <v>866</v>
      </c>
      <c r="O114" s="1" t="s">
        <v>1182</v>
      </c>
      <c r="P114" s="1" t="s">
        <v>1183</v>
      </c>
      <c r="Q114" s="1" t="s">
        <v>1173</v>
      </c>
      <c r="R114" s="1" t="s">
        <v>1174</v>
      </c>
      <c r="S114" s="1" t="s">
        <v>1175</v>
      </c>
      <c r="T114" s="1" t="s">
        <v>1176</v>
      </c>
      <c r="U114">
        <v>548.34</v>
      </c>
      <c r="V114">
        <v>543.75</v>
      </c>
      <c r="W114">
        <v>12.526709</v>
      </c>
      <c r="X114">
        <v>109.03269400000001</v>
      </c>
      <c r="Y114">
        <v>4.59</v>
      </c>
      <c r="Z114">
        <v>12.540865</v>
      </c>
      <c r="AA114">
        <v>109.00747800000001</v>
      </c>
      <c r="AB114" s="5">
        <f t="shared" si="7"/>
        <v>0.81562500000000004</v>
      </c>
      <c r="AC114" s="5">
        <f t="shared" si="8"/>
        <v>6.8849999999999996E-3</v>
      </c>
      <c r="AD114" s="1" t="str">
        <f t="shared" si="9"/>
        <v>2.CA Nam Ninh Hòa</v>
      </c>
      <c r="AE114" s="1" t="str">
        <f t="shared" si="10"/>
        <v>CA Tây Ninh Hòa</v>
      </c>
      <c r="AG114">
        <f t="shared" si="11"/>
        <v>0.54374999999999996</v>
      </c>
      <c r="AH114">
        <f t="shared" si="12"/>
        <v>4.5899999999999995E-3</v>
      </c>
      <c r="AI114" t="e">
        <f>VLOOKUP(L114,'[1]Tuyến cáp H04'!$B:$E,3,0)/1000</f>
        <v>#N/A</v>
      </c>
      <c r="AJ114" t="e">
        <f>VLOOKUP(L114,'[1]Tuyến cáp H04'!$B:$E,4,0)</f>
        <v>#N/A</v>
      </c>
    </row>
    <row r="115" spans="1:36" x14ac:dyDescent="0.25">
      <c r="A115" s="1" t="s">
        <v>1184</v>
      </c>
      <c r="B115" s="1" t="s">
        <v>1185</v>
      </c>
      <c r="C115" s="1" t="s">
        <v>1186</v>
      </c>
      <c r="D115" s="1" t="s">
        <v>1187</v>
      </c>
      <c r="E115" s="1" t="s">
        <v>1188</v>
      </c>
      <c r="F115" s="1" t="s">
        <v>1189</v>
      </c>
      <c r="G115" s="1" t="s">
        <v>14129</v>
      </c>
      <c r="H115" s="1" t="s">
        <v>14130</v>
      </c>
      <c r="I115" s="1" t="s">
        <v>14245</v>
      </c>
      <c r="J115" s="1" t="s">
        <v>23</v>
      </c>
      <c r="K115" s="1"/>
      <c r="L115" s="1" t="s">
        <v>577</v>
      </c>
      <c r="M115" s="1" t="s">
        <v>1190</v>
      </c>
      <c r="N115" s="1" t="s">
        <v>1191</v>
      </c>
      <c r="O115" s="1" t="s">
        <v>1192</v>
      </c>
      <c r="P115" s="1" t="s">
        <v>1193</v>
      </c>
      <c r="Q115" s="1" t="s">
        <v>1194</v>
      </c>
      <c r="R115" s="1" t="s">
        <v>1195</v>
      </c>
      <c r="S115" s="1" t="s">
        <v>1196</v>
      </c>
      <c r="T115" s="1" t="s">
        <v>1197</v>
      </c>
      <c r="U115">
        <v>2390.92</v>
      </c>
      <c r="V115">
        <v>2008.93</v>
      </c>
      <c r="W115">
        <v>12.496466</v>
      </c>
      <c r="X115">
        <v>109.12083800000001</v>
      </c>
      <c r="Y115">
        <v>381.98</v>
      </c>
      <c r="Z115">
        <v>12.49287</v>
      </c>
      <c r="AA115">
        <v>109.11403300000001</v>
      </c>
      <c r="AB115" s="5">
        <f t="shared" si="7"/>
        <v>3.013395</v>
      </c>
      <c r="AC115" s="5">
        <f t="shared" si="8"/>
        <v>0.57296999999999998</v>
      </c>
      <c r="AD115" s="1" t="str">
        <f t="shared" si="9"/>
        <v>3.CA Tân Định</v>
      </c>
      <c r="AE115" s="1" t="str">
        <f t="shared" si="10"/>
        <v>CA Ninh Hòa</v>
      </c>
      <c r="AG115">
        <f t="shared" si="11"/>
        <v>2.0089299999999999</v>
      </c>
      <c r="AH115">
        <f t="shared" si="12"/>
        <v>0.38198000000000004</v>
      </c>
      <c r="AI115" t="e">
        <f>VLOOKUP(L115,'[1]Tuyến cáp H04'!$B:$E,3,0)/1000</f>
        <v>#N/A</v>
      </c>
      <c r="AJ115" t="e">
        <f>VLOOKUP(L115,'[1]Tuyến cáp H04'!$B:$E,4,0)</f>
        <v>#N/A</v>
      </c>
    </row>
    <row r="116" spans="1:36" x14ac:dyDescent="0.25">
      <c r="A116" s="1" t="s">
        <v>1198</v>
      </c>
      <c r="B116" s="1" t="s">
        <v>1199</v>
      </c>
      <c r="C116" s="1" t="s">
        <v>1200</v>
      </c>
      <c r="D116" s="1" t="s">
        <v>130</v>
      </c>
      <c r="E116" s="1" t="s">
        <v>131</v>
      </c>
      <c r="F116" s="1" t="s">
        <v>1201</v>
      </c>
      <c r="G116" s="1" t="s">
        <v>14129</v>
      </c>
      <c r="H116" s="1" t="s">
        <v>14130</v>
      </c>
      <c r="I116" s="1" t="s">
        <v>14246</v>
      </c>
      <c r="J116" s="1" t="s">
        <v>23</v>
      </c>
      <c r="K116" s="1"/>
      <c r="L116" s="1" t="s">
        <v>144</v>
      </c>
      <c r="M116" s="1" t="s">
        <v>1202</v>
      </c>
      <c r="N116" s="1" t="s">
        <v>1203</v>
      </c>
      <c r="O116" s="1" t="s">
        <v>150</v>
      </c>
      <c r="P116" s="1" t="s">
        <v>151</v>
      </c>
      <c r="Q116" s="1" t="s">
        <v>146</v>
      </c>
      <c r="R116" s="1" t="s">
        <v>147</v>
      </c>
      <c r="S116" s="1" t="s">
        <v>148</v>
      </c>
      <c r="T116" s="1" t="s">
        <v>152</v>
      </c>
      <c r="U116">
        <v>336807.77</v>
      </c>
      <c r="V116">
        <v>193024.98</v>
      </c>
      <c r="W116">
        <v>13.966175</v>
      </c>
      <c r="X116">
        <v>109.030287</v>
      </c>
      <c r="Y116">
        <v>143782.79999999999</v>
      </c>
      <c r="Z116">
        <v>14.360149</v>
      </c>
      <c r="AA116">
        <v>108.97062</v>
      </c>
      <c r="AB116" s="5">
        <f t="shared" si="7"/>
        <v>289.53747000000004</v>
      </c>
      <c r="AC116" s="5">
        <f t="shared" si="8"/>
        <v>215.67419999999998</v>
      </c>
      <c r="AD116" s="1" t="str">
        <f t="shared" si="9"/>
        <v>Hoài Ân</v>
      </c>
      <c r="AE116" s="1" t="str">
        <f t="shared" si="10"/>
        <v>Vĩnh Kim</v>
      </c>
      <c r="AG116">
        <f t="shared" si="11"/>
        <v>193.02498</v>
      </c>
      <c r="AH116">
        <f t="shared" si="12"/>
        <v>143.78279999999998</v>
      </c>
      <c r="AI116" t="e">
        <f>VLOOKUP(L116,'[1]Tuyến cáp H04'!$B:$E,3,0)/1000</f>
        <v>#N/A</v>
      </c>
      <c r="AJ116" t="e">
        <f>VLOOKUP(L116,'[1]Tuyến cáp H04'!$B:$E,4,0)</f>
        <v>#N/A</v>
      </c>
    </row>
    <row r="117" spans="1:36" x14ac:dyDescent="0.25">
      <c r="A117" s="1" t="s">
        <v>1204</v>
      </c>
      <c r="B117" s="1" t="s">
        <v>1205</v>
      </c>
      <c r="C117" s="1" t="s">
        <v>1206</v>
      </c>
      <c r="D117" s="1" t="s">
        <v>18</v>
      </c>
      <c r="E117" s="1" t="s">
        <v>19</v>
      </c>
      <c r="F117" s="1" t="s">
        <v>1207</v>
      </c>
      <c r="G117" s="1" t="s">
        <v>14129</v>
      </c>
      <c r="H117" s="1" t="s">
        <v>14130</v>
      </c>
      <c r="I117" s="1" t="s">
        <v>14247</v>
      </c>
      <c r="J117" s="1" t="s">
        <v>23</v>
      </c>
      <c r="K117" s="1"/>
      <c r="L117" s="1" t="s">
        <v>296</v>
      </c>
      <c r="M117" s="1" t="s">
        <v>1208</v>
      </c>
      <c r="N117" s="1" t="s">
        <v>1209</v>
      </c>
      <c r="O117" s="1" t="s">
        <v>1210</v>
      </c>
      <c r="P117" s="1" t="s">
        <v>1211</v>
      </c>
      <c r="Q117" s="1" t="s">
        <v>1212</v>
      </c>
      <c r="R117" s="1" t="s">
        <v>671</v>
      </c>
      <c r="S117" s="1" t="s">
        <v>672</v>
      </c>
      <c r="T117" s="1" t="s">
        <v>676</v>
      </c>
      <c r="U117">
        <v>639.19000000000005</v>
      </c>
      <c r="V117">
        <v>448.45</v>
      </c>
      <c r="W117">
        <v>12.245355</v>
      </c>
      <c r="X117">
        <v>109.19167400000001</v>
      </c>
      <c r="Y117">
        <v>190.74</v>
      </c>
      <c r="Z117">
        <v>12.249428</v>
      </c>
      <c r="AA117">
        <v>109.184727</v>
      </c>
      <c r="AB117" s="5">
        <f t="shared" si="7"/>
        <v>0.67267499999999991</v>
      </c>
      <c r="AC117" s="5">
        <f t="shared" si="8"/>
        <v>0.28611000000000003</v>
      </c>
      <c r="AD117" s="1" t="str">
        <f t="shared" si="9"/>
        <v>3. Trại giam A2</v>
      </c>
      <c r="AE117" s="1" t="str">
        <f t="shared" si="10"/>
        <v>CATP Nha trang cũ</v>
      </c>
      <c r="AG117">
        <f t="shared" si="11"/>
        <v>0.44845000000000002</v>
      </c>
      <c r="AH117">
        <f t="shared" si="12"/>
        <v>0.19074000000000002</v>
      </c>
      <c r="AI117" t="e">
        <f>VLOOKUP(L117,'[1]Tuyến cáp H04'!$B:$E,3,0)/1000</f>
        <v>#N/A</v>
      </c>
      <c r="AJ117" t="e">
        <f>VLOOKUP(L117,'[1]Tuyến cáp H04'!$B:$E,4,0)</f>
        <v>#N/A</v>
      </c>
    </row>
    <row r="118" spans="1:36" x14ac:dyDescent="0.25">
      <c r="A118" s="1" t="s">
        <v>1213</v>
      </c>
      <c r="B118" s="1" t="s">
        <v>1214</v>
      </c>
      <c r="C118" s="1" t="s">
        <v>1215</v>
      </c>
      <c r="D118" s="1" t="s">
        <v>198</v>
      </c>
      <c r="E118" s="1" t="s">
        <v>199</v>
      </c>
      <c r="F118" s="1" t="s">
        <v>1216</v>
      </c>
      <c r="G118" s="1" t="s">
        <v>14129</v>
      </c>
      <c r="H118" s="1" t="s">
        <v>14130</v>
      </c>
      <c r="I118" s="1" t="s">
        <v>14248</v>
      </c>
      <c r="J118" s="1" t="s">
        <v>23</v>
      </c>
      <c r="K118" s="1"/>
      <c r="L118" s="1" t="s">
        <v>201</v>
      </c>
      <c r="M118" s="1" t="s">
        <v>1217</v>
      </c>
      <c r="N118" s="1" t="s">
        <v>1218</v>
      </c>
      <c r="O118" s="1" t="s">
        <v>204</v>
      </c>
      <c r="P118" s="1" t="s">
        <v>205</v>
      </c>
      <c r="Q118" s="1" t="s">
        <v>206</v>
      </c>
      <c r="R118" s="1" t="s">
        <v>207</v>
      </c>
      <c r="S118" s="1" t="s">
        <v>208</v>
      </c>
      <c r="T118" s="1" t="s">
        <v>209</v>
      </c>
      <c r="U118">
        <v>3457.82</v>
      </c>
      <c r="V118">
        <v>2482.94</v>
      </c>
      <c r="W118">
        <v>12.280430000000001</v>
      </c>
      <c r="X118">
        <v>109.194828</v>
      </c>
      <c r="Y118">
        <v>974.88</v>
      </c>
      <c r="Z118">
        <v>12.265409</v>
      </c>
      <c r="AA118">
        <v>109.196133</v>
      </c>
      <c r="AB118" s="5">
        <f t="shared" si="7"/>
        <v>3.7244099999999998</v>
      </c>
      <c r="AC118" s="5">
        <f t="shared" si="8"/>
        <v>1.4623199999999998</v>
      </c>
      <c r="AD118" s="1" t="str">
        <f t="shared" si="9"/>
        <v>3.CA Bắc Nha Trang</v>
      </c>
      <c r="AE118" s="1" t="str">
        <f t="shared" si="10"/>
        <v>CAT Khánh Hòa</v>
      </c>
      <c r="AG118">
        <f t="shared" si="11"/>
        <v>2.4829400000000001</v>
      </c>
      <c r="AH118">
        <f t="shared" si="12"/>
        <v>0.97487999999999997</v>
      </c>
      <c r="AI118" t="e">
        <f>VLOOKUP(L118,'[1]Tuyến cáp H04'!$B:$E,3,0)/1000</f>
        <v>#N/A</v>
      </c>
      <c r="AJ118" t="e">
        <f>VLOOKUP(L118,'[1]Tuyến cáp H04'!$B:$E,4,0)</f>
        <v>#N/A</v>
      </c>
    </row>
    <row r="119" spans="1:36" x14ac:dyDescent="0.25">
      <c r="A119" s="1" t="s">
        <v>1219</v>
      </c>
      <c r="B119" s="1" t="s">
        <v>1220</v>
      </c>
      <c r="C119" s="1" t="s">
        <v>1221</v>
      </c>
      <c r="D119" s="1" t="s">
        <v>92</v>
      </c>
      <c r="E119" s="1" t="s">
        <v>93</v>
      </c>
      <c r="F119" s="1" t="s">
        <v>1222</v>
      </c>
      <c r="G119" s="1" t="s">
        <v>14129</v>
      </c>
      <c r="H119" s="1" t="s">
        <v>14130</v>
      </c>
      <c r="I119" s="1" t="s">
        <v>14249</v>
      </c>
      <c r="J119" s="1" t="s">
        <v>23</v>
      </c>
      <c r="K119" s="1"/>
      <c r="L119" s="1" t="s">
        <v>1223</v>
      </c>
      <c r="M119" s="1" t="s">
        <v>1224</v>
      </c>
      <c r="N119" s="1" t="s">
        <v>1225</v>
      </c>
      <c r="O119" s="1" t="s">
        <v>1226</v>
      </c>
      <c r="P119" s="1" t="s">
        <v>1227</v>
      </c>
      <c r="Q119" s="1" t="s">
        <v>1228</v>
      </c>
      <c r="R119" s="1" t="s">
        <v>1229</v>
      </c>
      <c r="S119" s="1" t="s">
        <v>1230</v>
      </c>
      <c r="T119" s="1" t="s">
        <v>1231</v>
      </c>
      <c r="U119">
        <v>669.81</v>
      </c>
      <c r="V119">
        <v>197.51</v>
      </c>
      <c r="W119">
        <v>12.235557</v>
      </c>
      <c r="X119">
        <v>109.19560300000001</v>
      </c>
      <c r="Y119">
        <v>472.29</v>
      </c>
      <c r="Z119">
        <v>12.243200999999999</v>
      </c>
      <c r="AA119">
        <v>109.192176</v>
      </c>
      <c r="AB119" s="5">
        <f t="shared" si="7"/>
        <v>0.296265</v>
      </c>
      <c r="AC119" s="5">
        <f t="shared" si="8"/>
        <v>0.70843500000000004</v>
      </c>
      <c r="AD119" s="1" t="str">
        <f t="shared" si="9"/>
        <v>1.CAT Khánh Hòa</v>
      </c>
      <c r="AE119" s="1" t="str">
        <f t="shared" si="10"/>
        <v>CATP Nha Trang cũ</v>
      </c>
      <c r="AG119">
        <f t="shared" si="11"/>
        <v>0.19750999999999999</v>
      </c>
      <c r="AH119">
        <f t="shared" si="12"/>
        <v>0.47229000000000004</v>
      </c>
      <c r="AI119" t="e">
        <f>VLOOKUP(L119,'[1]Tuyến cáp H04'!$B:$E,3,0)/1000</f>
        <v>#N/A</v>
      </c>
      <c r="AJ119" t="e">
        <f>VLOOKUP(L119,'[1]Tuyến cáp H04'!$B:$E,4,0)</f>
        <v>#N/A</v>
      </c>
    </row>
    <row r="120" spans="1:36" x14ac:dyDescent="0.25">
      <c r="A120" s="1" t="s">
        <v>1232</v>
      </c>
      <c r="B120" s="1" t="s">
        <v>1233</v>
      </c>
      <c r="C120" s="1" t="s">
        <v>1234</v>
      </c>
      <c r="D120" s="1" t="s">
        <v>92</v>
      </c>
      <c r="E120" s="1" t="s">
        <v>93</v>
      </c>
      <c r="F120" s="1" t="s">
        <v>1235</v>
      </c>
      <c r="G120" s="1" t="s">
        <v>14129</v>
      </c>
      <c r="H120" s="1" t="s">
        <v>14130</v>
      </c>
      <c r="I120" s="1" t="s">
        <v>14250</v>
      </c>
      <c r="J120" s="1" t="s">
        <v>23</v>
      </c>
      <c r="K120" s="1"/>
      <c r="L120" s="1" t="s">
        <v>1223</v>
      </c>
      <c r="M120" s="1" t="s">
        <v>1236</v>
      </c>
      <c r="N120" s="1" t="s">
        <v>1237</v>
      </c>
      <c r="O120" s="1" t="s">
        <v>1238</v>
      </c>
      <c r="P120" s="1" t="s">
        <v>1239</v>
      </c>
      <c r="Q120" s="1" t="s">
        <v>1240</v>
      </c>
      <c r="R120" s="1" t="s">
        <v>1241</v>
      </c>
      <c r="S120" s="1" t="s">
        <v>1242</v>
      </c>
      <c r="T120" s="1" t="s">
        <v>1243</v>
      </c>
      <c r="U120">
        <v>445.51</v>
      </c>
      <c r="V120">
        <v>314.7</v>
      </c>
      <c r="W120">
        <v>12.243195999999999</v>
      </c>
      <c r="X120">
        <v>109.192182</v>
      </c>
      <c r="Y120">
        <v>130.81</v>
      </c>
      <c r="Z120">
        <v>12.245825999999999</v>
      </c>
      <c r="AA120">
        <v>109.19040800000001</v>
      </c>
      <c r="AB120" s="5">
        <f t="shared" si="7"/>
        <v>0.47204999999999997</v>
      </c>
      <c r="AC120" s="5">
        <f t="shared" si="8"/>
        <v>0.196215</v>
      </c>
      <c r="AD120" s="1" t="str">
        <f t="shared" si="9"/>
        <v>1.CAT Khánh Hòa</v>
      </c>
      <c r="AE120" s="1" t="str">
        <f t="shared" si="10"/>
        <v>CATP Nha Trang cũ</v>
      </c>
      <c r="AG120">
        <f t="shared" si="11"/>
        <v>0.31469999999999998</v>
      </c>
      <c r="AH120">
        <f t="shared" si="12"/>
        <v>0.13081000000000001</v>
      </c>
      <c r="AI120" t="e">
        <f>VLOOKUP(L120,'[1]Tuyến cáp H04'!$B:$E,3,0)/1000</f>
        <v>#N/A</v>
      </c>
      <c r="AJ120" t="e">
        <f>VLOOKUP(L120,'[1]Tuyến cáp H04'!$B:$E,4,0)</f>
        <v>#N/A</v>
      </c>
    </row>
    <row r="121" spans="1:36" x14ac:dyDescent="0.25">
      <c r="A121" s="1" t="s">
        <v>1244</v>
      </c>
      <c r="B121" s="1" t="s">
        <v>1245</v>
      </c>
      <c r="C121" s="1" t="s">
        <v>1246</v>
      </c>
      <c r="D121" s="1" t="s">
        <v>280</v>
      </c>
      <c r="E121" s="1" t="s">
        <v>281</v>
      </c>
      <c r="F121" s="1" t="s">
        <v>1247</v>
      </c>
      <c r="G121" s="1" t="s">
        <v>14129</v>
      </c>
      <c r="H121" s="1" t="s">
        <v>14130</v>
      </c>
      <c r="I121" s="1" t="s">
        <v>14251</v>
      </c>
      <c r="J121" s="1" t="s">
        <v>23</v>
      </c>
      <c r="K121" s="1"/>
      <c r="L121" s="1" t="s">
        <v>39</v>
      </c>
      <c r="M121" s="1" t="s">
        <v>1248</v>
      </c>
      <c r="N121" s="1" t="s">
        <v>1249</v>
      </c>
      <c r="O121" s="1" t="s">
        <v>1250</v>
      </c>
      <c r="P121" s="1" t="s">
        <v>1251</v>
      </c>
      <c r="Q121" s="1" t="s">
        <v>1252</v>
      </c>
      <c r="R121" s="1" t="s">
        <v>1253</v>
      </c>
      <c r="S121" s="1" t="s">
        <v>1254</v>
      </c>
      <c r="T121" s="1" t="s">
        <v>510</v>
      </c>
      <c r="U121">
        <v>512.29999999999995</v>
      </c>
      <c r="V121">
        <v>354.87</v>
      </c>
      <c r="W121">
        <v>12.235697999999999</v>
      </c>
      <c r="X121">
        <v>109.195623</v>
      </c>
      <c r="Y121">
        <v>157.43</v>
      </c>
      <c r="Z121">
        <v>12.24933</v>
      </c>
      <c r="AA121">
        <v>109.19394800000001</v>
      </c>
      <c r="AB121" s="5">
        <f t="shared" si="7"/>
        <v>0.53230500000000003</v>
      </c>
      <c r="AC121" s="5">
        <f t="shared" si="8"/>
        <v>0.23614500000000002</v>
      </c>
      <c r="AD121" s="1" t="str">
        <f t="shared" si="9"/>
        <v>1.CAT Khánh Hòa</v>
      </c>
      <c r="AE121" s="1" t="str">
        <f t="shared" si="10"/>
        <v>PK02 cs1</v>
      </c>
      <c r="AG121">
        <f t="shared" si="11"/>
        <v>0.35487000000000002</v>
      </c>
      <c r="AH121">
        <f t="shared" si="12"/>
        <v>0.15743000000000001</v>
      </c>
      <c r="AI121" t="e">
        <f>VLOOKUP(L121,'[1]Tuyến cáp H04'!$B:$E,3,0)/1000</f>
        <v>#N/A</v>
      </c>
      <c r="AJ121" t="e">
        <f>VLOOKUP(L121,'[1]Tuyến cáp H04'!$B:$E,4,0)</f>
        <v>#N/A</v>
      </c>
    </row>
    <row r="122" spans="1:36" x14ac:dyDescent="0.25">
      <c r="A122" s="1" t="s">
        <v>1255</v>
      </c>
      <c r="B122" s="1" t="s">
        <v>1256</v>
      </c>
      <c r="C122" s="1" t="s">
        <v>1257</v>
      </c>
      <c r="D122" s="1" t="s">
        <v>92</v>
      </c>
      <c r="E122" s="1" t="s">
        <v>93</v>
      </c>
      <c r="F122" s="1" t="s">
        <v>1258</v>
      </c>
      <c r="G122" s="1" t="s">
        <v>14129</v>
      </c>
      <c r="H122" s="1" t="s">
        <v>14130</v>
      </c>
      <c r="I122" s="1" t="s">
        <v>14252</v>
      </c>
      <c r="J122" s="1" t="s">
        <v>23</v>
      </c>
      <c r="K122" s="1"/>
      <c r="L122" s="1" t="s">
        <v>1223</v>
      </c>
      <c r="M122" s="1" t="s">
        <v>1259</v>
      </c>
      <c r="N122" s="1" t="s">
        <v>1260</v>
      </c>
      <c r="O122" s="1" t="s">
        <v>1226</v>
      </c>
      <c r="P122" s="1" t="s">
        <v>1227</v>
      </c>
      <c r="Q122" s="1" t="s">
        <v>1228</v>
      </c>
      <c r="R122" s="1" t="s">
        <v>1229</v>
      </c>
      <c r="S122" s="1" t="s">
        <v>1230</v>
      </c>
      <c r="T122" s="1" t="s">
        <v>1231</v>
      </c>
      <c r="U122">
        <v>586.73</v>
      </c>
      <c r="V122">
        <v>114.44</v>
      </c>
      <c r="W122">
        <v>12.235557</v>
      </c>
      <c r="X122">
        <v>109.19560300000001</v>
      </c>
      <c r="Y122">
        <v>472.29</v>
      </c>
      <c r="Z122">
        <v>12.243200999999999</v>
      </c>
      <c r="AA122">
        <v>109.192176</v>
      </c>
      <c r="AB122" s="5">
        <f t="shared" si="7"/>
        <v>0.17166000000000001</v>
      </c>
      <c r="AC122" s="5">
        <f t="shared" si="8"/>
        <v>0.70843500000000004</v>
      </c>
      <c r="AD122" s="1" t="str">
        <f t="shared" si="9"/>
        <v>1.CAT Khánh Hòa</v>
      </c>
      <c r="AE122" s="1" t="str">
        <f t="shared" si="10"/>
        <v>CATP Nha Trang cũ</v>
      </c>
      <c r="AG122">
        <f t="shared" si="11"/>
        <v>0.11444</v>
      </c>
      <c r="AH122">
        <f t="shared" si="12"/>
        <v>0.47229000000000004</v>
      </c>
      <c r="AI122" t="e">
        <f>VLOOKUP(L122,'[1]Tuyến cáp H04'!$B:$E,3,0)/1000</f>
        <v>#N/A</v>
      </c>
      <c r="AJ122" t="e">
        <f>VLOOKUP(L122,'[1]Tuyến cáp H04'!$B:$E,4,0)</f>
        <v>#N/A</v>
      </c>
    </row>
    <row r="123" spans="1:36" x14ac:dyDescent="0.25">
      <c r="A123" s="1" t="s">
        <v>1261</v>
      </c>
      <c r="B123" s="1" t="s">
        <v>1262</v>
      </c>
      <c r="C123" s="1" t="s">
        <v>1263</v>
      </c>
      <c r="D123" s="1" t="s">
        <v>51</v>
      </c>
      <c r="E123" s="1" t="s">
        <v>52</v>
      </c>
      <c r="F123" s="1" t="s">
        <v>1264</v>
      </c>
      <c r="G123" s="1" t="s">
        <v>14129</v>
      </c>
      <c r="H123" s="1" t="s">
        <v>14130</v>
      </c>
      <c r="I123" s="1" t="s">
        <v>14253</v>
      </c>
      <c r="J123" s="1" t="s">
        <v>23</v>
      </c>
      <c r="K123" s="1"/>
      <c r="L123" s="1" t="s">
        <v>67</v>
      </c>
      <c r="M123" s="1" t="s">
        <v>1265</v>
      </c>
      <c r="N123" s="1" t="s">
        <v>1266</v>
      </c>
      <c r="O123" s="1" t="s">
        <v>73</v>
      </c>
      <c r="P123" s="1" t="s">
        <v>74</v>
      </c>
      <c r="Q123" s="1" t="s">
        <v>69</v>
      </c>
      <c r="R123" s="1" t="s">
        <v>70</v>
      </c>
      <c r="S123" s="1" t="s">
        <v>71</v>
      </c>
      <c r="T123" s="1" t="s">
        <v>75</v>
      </c>
      <c r="U123">
        <v>228.27</v>
      </c>
      <c r="V123">
        <v>74.37</v>
      </c>
      <c r="W123">
        <v>12.191492</v>
      </c>
      <c r="X123">
        <v>109.066221</v>
      </c>
      <c r="Y123">
        <v>153.9</v>
      </c>
      <c r="Z123">
        <v>12.220518999999999</v>
      </c>
      <c r="AA123">
        <v>109.08248</v>
      </c>
      <c r="AB123" s="5">
        <f t="shared" si="7"/>
        <v>0.111555</v>
      </c>
      <c r="AC123" s="5">
        <f t="shared" si="8"/>
        <v>0.23085000000000003</v>
      </c>
      <c r="AD123" s="1" t="str">
        <f t="shared" si="9"/>
        <v>2.CA Suối Hiệp</v>
      </c>
      <c r="AE123" s="1" t="str">
        <f t="shared" si="10"/>
        <v>CA Suối Dầu</v>
      </c>
      <c r="AG123">
        <f t="shared" si="11"/>
        <v>7.4370000000000006E-2</v>
      </c>
      <c r="AH123">
        <f t="shared" si="12"/>
        <v>0.15390000000000001</v>
      </c>
      <c r="AI123" t="e">
        <f>VLOOKUP(L123,'[1]Tuyến cáp H04'!$B:$E,3,0)/1000</f>
        <v>#N/A</v>
      </c>
      <c r="AJ123" t="e">
        <f>VLOOKUP(L123,'[1]Tuyến cáp H04'!$B:$E,4,0)</f>
        <v>#N/A</v>
      </c>
    </row>
    <row r="124" spans="1:36" x14ac:dyDescent="0.25">
      <c r="A124" s="1" t="s">
        <v>1267</v>
      </c>
      <c r="B124" s="1" t="s">
        <v>1268</v>
      </c>
      <c r="C124" s="1" t="s">
        <v>1269</v>
      </c>
      <c r="D124" s="1" t="s">
        <v>896</v>
      </c>
      <c r="E124" s="1" t="s">
        <v>897</v>
      </c>
      <c r="F124" s="1" t="s">
        <v>1270</v>
      </c>
      <c r="G124" s="1" t="s">
        <v>14129</v>
      </c>
      <c r="H124" s="1" t="s">
        <v>14130</v>
      </c>
      <c r="I124" s="1" t="s">
        <v>14254</v>
      </c>
      <c r="J124" s="1" t="s">
        <v>23</v>
      </c>
      <c r="K124" s="1"/>
      <c r="L124" s="1" t="s">
        <v>899</v>
      </c>
      <c r="M124" s="1" t="s">
        <v>1271</v>
      </c>
      <c r="N124" s="1" t="s">
        <v>1272</v>
      </c>
      <c r="O124" s="1" t="s">
        <v>926</v>
      </c>
      <c r="P124" s="1" t="s">
        <v>927</v>
      </c>
      <c r="Q124" s="1" t="s">
        <v>922</v>
      </c>
      <c r="R124" s="1" t="s">
        <v>923</v>
      </c>
      <c r="S124" s="1" t="s">
        <v>924</v>
      </c>
      <c r="T124" s="1" t="s">
        <v>928</v>
      </c>
      <c r="U124">
        <v>4897.24</v>
      </c>
      <c r="V124">
        <v>4892.0600000000004</v>
      </c>
      <c r="W124">
        <v>12.001106999999999</v>
      </c>
      <c r="X124">
        <v>109.209318</v>
      </c>
      <c r="Y124">
        <v>5.18</v>
      </c>
      <c r="Z124">
        <v>11.998255</v>
      </c>
      <c r="AA124">
        <v>109.218788</v>
      </c>
      <c r="AB124" s="5">
        <f t="shared" si="7"/>
        <v>7.3380900000000002</v>
      </c>
      <c r="AC124" s="5">
        <f t="shared" si="8"/>
        <v>7.77E-3</v>
      </c>
      <c r="AD124" s="1" t="str">
        <f t="shared" si="9"/>
        <v>Tuyến nhánh CA Bắc Cam Ranh</v>
      </c>
      <c r="AE124" s="1" t="str">
        <f t="shared" si="10"/>
        <v>Cảng HKQT Cam Ranh</v>
      </c>
      <c r="AG124">
        <f t="shared" si="11"/>
        <v>4.8920600000000007</v>
      </c>
      <c r="AH124">
        <f t="shared" si="12"/>
        <v>5.1799999999999997E-3</v>
      </c>
      <c r="AI124" t="e">
        <f>VLOOKUP(L124,'[1]Tuyến cáp H04'!$B:$E,3,0)/1000</f>
        <v>#N/A</v>
      </c>
      <c r="AJ124" t="e">
        <f>VLOOKUP(L124,'[1]Tuyến cáp H04'!$B:$E,4,0)</f>
        <v>#N/A</v>
      </c>
    </row>
    <row r="125" spans="1:36" x14ac:dyDescent="0.25">
      <c r="A125" s="1" t="s">
        <v>1273</v>
      </c>
      <c r="B125" s="1" t="s">
        <v>1274</v>
      </c>
      <c r="C125" s="1" t="s">
        <v>1275</v>
      </c>
      <c r="D125" s="1" t="s">
        <v>347</v>
      </c>
      <c r="E125" s="1" t="s">
        <v>348</v>
      </c>
      <c r="F125" s="1" t="s">
        <v>1276</v>
      </c>
      <c r="G125" s="1" t="s">
        <v>14129</v>
      </c>
      <c r="H125" s="1" t="s">
        <v>14130</v>
      </c>
      <c r="I125" s="1" t="s">
        <v>14255</v>
      </c>
      <c r="J125" s="1" t="s">
        <v>23</v>
      </c>
      <c r="K125" s="1"/>
      <c r="L125" s="1" t="s">
        <v>245</v>
      </c>
      <c r="M125" s="1" t="s">
        <v>1277</v>
      </c>
      <c r="N125" s="1" t="s">
        <v>1278</v>
      </c>
      <c r="O125" s="1" t="s">
        <v>1279</v>
      </c>
      <c r="P125" s="1" t="s">
        <v>1280</v>
      </c>
      <c r="Q125" s="1" t="s">
        <v>1281</v>
      </c>
      <c r="R125" s="1" t="s">
        <v>1282</v>
      </c>
      <c r="S125" s="1" t="s">
        <v>1283</v>
      </c>
      <c r="T125" s="1" t="s">
        <v>1284</v>
      </c>
      <c r="U125">
        <v>2788.44</v>
      </c>
      <c r="V125">
        <v>2781.82</v>
      </c>
      <c r="W125">
        <v>11.952555</v>
      </c>
      <c r="X125">
        <v>109.104632</v>
      </c>
      <c r="Y125">
        <v>6.63</v>
      </c>
      <c r="Z125">
        <v>11.941641000000001</v>
      </c>
      <c r="AA125">
        <v>109.11304800000001</v>
      </c>
      <c r="AB125" s="5">
        <f t="shared" si="7"/>
        <v>4.1727300000000005</v>
      </c>
      <c r="AC125" s="5">
        <f t="shared" si="8"/>
        <v>9.9450000000000007E-3</v>
      </c>
      <c r="AD125" s="1" t="str">
        <f t="shared" si="9"/>
        <v>5. Cam Phước Đông</v>
      </c>
      <c r="AE125" s="1" t="str">
        <f t="shared" si="10"/>
        <v>CAT Khánh Hòa</v>
      </c>
      <c r="AG125">
        <f t="shared" si="11"/>
        <v>2.7818200000000002</v>
      </c>
      <c r="AH125">
        <f t="shared" si="12"/>
        <v>6.6299999999999996E-3</v>
      </c>
      <c r="AI125" t="e">
        <f>VLOOKUP(L125,'[1]Tuyến cáp H04'!$B:$E,3,0)/1000</f>
        <v>#N/A</v>
      </c>
      <c r="AJ125" t="e">
        <f>VLOOKUP(L125,'[1]Tuyến cáp H04'!$B:$E,4,0)</f>
        <v>#N/A</v>
      </c>
    </row>
    <row r="126" spans="1:36" x14ac:dyDescent="0.25">
      <c r="A126" s="1" t="s">
        <v>1285</v>
      </c>
      <c r="B126" s="1" t="s">
        <v>1286</v>
      </c>
      <c r="C126" s="1" t="s">
        <v>1287</v>
      </c>
      <c r="D126" s="1" t="s">
        <v>347</v>
      </c>
      <c r="E126" s="1" t="s">
        <v>348</v>
      </c>
      <c r="F126" s="1" t="s">
        <v>1288</v>
      </c>
      <c r="G126" s="1" t="s">
        <v>14129</v>
      </c>
      <c r="H126" s="1" t="s">
        <v>14130</v>
      </c>
      <c r="I126" s="1" t="s">
        <v>14256</v>
      </c>
      <c r="J126" s="1" t="s">
        <v>23</v>
      </c>
      <c r="K126" s="1"/>
      <c r="L126" s="1" t="s">
        <v>352</v>
      </c>
      <c r="M126" s="1" t="s">
        <v>1289</v>
      </c>
      <c r="N126" s="1" t="s">
        <v>1290</v>
      </c>
      <c r="O126" s="1" t="s">
        <v>1291</v>
      </c>
      <c r="P126" s="1" t="s">
        <v>1292</v>
      </c>
      <c r="Q126" s="1" t="s">
        <v>354</v>
      </c>
      <c r="R126" s="1" t="s">
        <v>355</v>
      </c>
      <c r="S126" s="1" t="s">
        <v>356</v>
      </c>
      <c r="T126" s="1" t="s">
        <v>360</v>
      </c>
      <c r="U126">
        <v>1051.47</v>
      </c>
      <c r="V126">
        <v>951.47</v>
      </c>
      <c r="W126">
        <v>11.963487000000001</v>
      </c>
      <c r="X126">
        <v>109.08228099999999</v>
      </c>
      <c r="Y126">
        <v>100</v>
      </c>
      <c r="Z126">
        <v>11.941592</v>
      </c>
      <c r="AA126">
        <v>109.11218100000001</v>
      </c>
      <c r="AB126" s="5">
        <f t="shared" si="7"/>
        <v>1.4272049999999998</v>
      </c>
      <c r="AC126" s="5">
        <f t="shared" si="8"/>
        <v>0.15</v>
      </c>
      <c r="AD126" s="1" t="str">
        <f t="shared" si="9"/>
        <v>3.Cam Ranh</v>
      </c>
      <c r="AE126" s="1" t="str">
        <f t="shared" si="10"/>
        <v>Khánh Sơn</v>
      </c>
      <c r="AG126">
        <f t="shared" si="11"/>
        <v>0.95147000000000004</v>
      </c>
      <c r="AH126">
        <f t="shared" si="12"/>
        <v>0.1</v>
      </c>
      <c r="AI126" t="e">
        <f>VLOOKUP(L126,'[1]Tuyến cáp H04'!$B:$E,3,0)/1000</f>
        <v>#N/A</v>
      </c>
      <c r="AJ126" t="e">
        <f>VLOOKUP(L126,'[1]Tuyến cáp H04'!$B:$E,4,0)</f>
        <v>#N/A</v>
      </c>
    </row>
    <row r="127" spans="1:36" x14ac:dyDescent="0.25">
      <c r="A127" s="1" t="s">
        <v>1293</v>
      </c>
      <c r="B127" s="1" t="s">
        <v>1294</v>
      </c>
      <c r="C127" s="1" t="s">
        <v>1295</v>
      </c>
      <c r="D127" s="1" t="s">
        <v>839</v>
      </c>
      <c r="E127" s="1" t="s">
        <v>840</v>
      </c>
      <c r="F127" s="1" t="s">
        <v>1296</v>
      </c>
      <c r="G127" s="1" t="s">
        <v>14129</v>
      </c>
      <c r="H127" s="1" t="s">
        <v>14130</v>
      </c>
      <c r="I127" s="1" t="s">
        <v>14257</v>
      </c>
      <c r="J127" s="1" t="s">
        <v>23</v>
      </c>
      <c r="K127" s="1"/>
      <c r="L127" s="1" t="s">
        <v>957</v>
      </c>
      <c r="M127" s="1" t="s">
        <v>1297</v>
      </c>
      <c r="N127" s="1" t="s">
        <v>1298</v>
      </c>
      <c r="O127" s="1" t="s">
        <v>1299</v>
      </c>
      <c r="P127" s="1" t="s">
        <v>1300</v>
      </c>
      <c r="Q127" s="1" t="s">
        <v>219</v>
      </c>
      <c r="R127" s="1" t="s">
        <v>959</v>
      </c>
      <c r="S127" s="1" t="s">
        <v>960</v>
      </c>
      <c r="T127" s="1" t="s">
        <v>964</v>
      </c>
      <c r="U127">
        <v>40.299999999999997</v>
      </c>
      <c r="V127">
        <v>36.31</v>
      </c>
      <c r="W127">
        <v>11.913854000000001</v>
      </c>
      <c r="X127">
        <v>109.137269</v>
      </c>
      <c r="Y127">
        <v>4</v>
      </c>
      <c r="Z127">
        <v>11.906751</v>
      </c>
      <c r="AA127">
        <v>109.14636900000001</v>
      </c>
      <c r="AB127" s="5">
        <f t="shared" si="7"/>
        <v>5.4465000000000006E-2</v>
      </c>
      <c r="AC127" s="5">
        <f t="shared" si="8"/>
        <v>6.0000000000000001E-3</v>
      </c>
      <c r="AD127" s="1" t="str">
        <f t="shared" si="9"/>
        <v>2.CA Cam Linh</v>
      </c>
      <c r="AE127" s="1" t="str">
        <f t="shared" si="10"/>
        <v>CA Ba Ngòi</v>
      </c>
      <c r="AG127">
        <f t="shared" si="11"/>
        <v>3.6310000000000002E-2</v>
      </c>
      <c r="AH127">
        <f t="shared" si="12"/>
        <v>4.0000000000000001E-3</v>
      </c>
      <c r="AI127" t="e">
        <f>VLOOKUP(L127,'[1]Tuyến cáp H04'!$B:$E,3,0)/1000</f>
        <v>#N/A</v>
      </c>
      <c r="AJ127" t="e">
        <f>VLOOKUP(L127,'[1]Tuyến cáp H04'!$B:$E,4,0)</f>
        <v>#N/A</v>
      </c>
    </row>
    <row r="128" spans="1:36" x14ac:dyDescent="0.25">
      <c r="A128" s="1" t="s">
        <v>1301</v>
      </c>
      <c r="B128" s="1" t="s">
        <v>1302</v>
      </c>
      <c r="C128" s="1" t="s">
        <v>1303</v>
      </c>
      <c r="D128" s="1" t="s">
        <v>34</v>
      </c>
      <c r="E128" s="1" t="s">
        <v>35</v>
      </c>
      <c r="F128" s="1" t="s">
        <v>1304</v>
      </c>
      <c r="G128" s="1" t="s">
        <v>14129</v>
      </c>
      <c r="H128" s="1" t="s">
        <v>14133</v>
      </c>
      <c r="I128" s="1" t="s">
        <v>14258</v>
      </c>
      <c r="J128" s="1" t="s">
        <v>23</v>
      </c>
      <c r="K128" s="1"/>
      <c r="L128" s="1" t="s">
        <v>163</v>
      </c>
      <c r="M128" s="1" t="s">
        <v>1305</v>
      </c>
      <c r="N128" s="1" t="s">
        <v>1306</v>
      </c>
      <c r="O128" s="1" t="s">
        <v>1307</v>
      </c>
      <c r="P128" s="1" t="s">
        <v>1308</v>
      </c>
      <c r="Q128" s="1" t="s">
        <v>168</v>
      </c>
      <c r="R128" s="1" t="s">
        <v>169</v>
      </c>
      <c r="S128" s="1" t="s">
        <v>170</v>
      </c>
      <c r="T128" s="1" t="s">
        <v>171</v>
      </c>
      <c r="U128">
        <v>410.93</v>
      </c>
      <c r="V128">
        <v>408.67</v>
      </c>
      <c r="W128">
        <v>12.277380000000001</v>
      </c>
      <c r="X128">
        <v>109.189222</v>
      </c>
      <c r="Y128">
        <v>2.2599999999999998</v>
      </c>
      <c r="Z128">
        <v>12.276948000000001</v>
      </c>
      <c r="AA128">
        <v>109.18840899999999</v>
      </c>
      <c r="AB128" s="5">
        <f t="shared" si="7"/>
        <v>0.61300500000000002</v>
      </c>
      <c r="AC128" s="5">
        <f t="shared" si="8"/>
        <v>3.3899999999999998E-3</v>
      </c>
      <c r="AD128" s="1" t="str">
        <f t="shared" si="9"/>
        <v>Tuyến nhánh PK02 cs1</v>
      </c>
      <c r="AE128" s="1" t="str">
        <f t="shared" si="10"/>
        <v>NTG Nha Trang cũ_Cột hạ thế</v>
      </c>
      <c r="AG128">
        <f t="shared" si="11"/>
        <v>0.40867000000000003</v>
      </c>
      <c r="AH128">
        <f t="shared" si="12"/>
        <v>2.2599999999999999E-3</v>
      </c>
      <c r="AI128" t="e">
        <f>VLOOKUP(L128,'[1]Tuyến cáp H04'!$B:$E,3,0)/1000</f>
        <v>#N/A</v>
      </c>
      <c r="AJ128" t="e">
        <f>VLOOKUP(L128,'[1]Tuyến cáp H04'!$B:$E,4,0)</f>
        <v>#N/A</v>
      </c>
    </row>
    <row r="129" spans="1:36" x14ac:dyDescent="0.25">
      <c r="A129" s="1" t="s">
        <v>1309</v>
      </c>
      <c r="B129" s="1" t="s">
        <v>1310</v>
      </c>
      <c r="C129" s="1" t="s">
        <v>1311</v>
      </c>
      <c r="D129" s="1" t="s">
        <v>1312</v>
      </c>
      <c r="E129" s="1" t="s">
        <v>1313</v>
      </c>
      <c r="F129" s="1" t="s">
        <v>1314</v>
      </c>
      <c r="G129" s="1" t="s">
        <v>14129</v>
      </c>
      <c r="H129" s="1" t="s">
        <v>14133</v>
      </c>
      <c r="I129" s="1" t="s">
        <v>14259</v>
      </c>
      <c r="J129" s="1" t="s">
        <v>23</v>
      </c>
      <c r="K129" s="1"/>
      <c r="L129" s="1" t="s">
        <v>1315</v>
      </c>
      <c r="M129" s="1" t="s">
        <v>1316</v>
      </c>
      <c r="N129" s="1" t="s">
        <v>1317</v>
      </c>
      <c r="O129" s="1" t="s">
        <v>1318</v>
      </c>
      <c r="P129" s="1" t="s">
        <v>1319</v>
      </c>
      <c r="Q129" s="1" t="s">
        <v>1320</v>
      </c>
      <c r="R129" s="1" t="s">
        <v>1321</v>
      </c>
      <c r="S129" s="1" t="s">
        <v>1322</v>
      </c>
      <c r="T129" s="1" t="s">
        <v>1323</v>
      </c>
      <c r="U129">
        <v>579.39</v>
      </c>
      <c r="V129">
        <v>12.56</v>
      </c>
      <c r="W129">
        <v>12.21041</v>
      </c>
      <c r="X129">
        <v>109.213421</v>
      </c>
      <c r="Y129">
        <v>566.83000000000004</v>
      </c>
      <c r="Z129">
        <v>12.202648</v>
      </c>
      <c r="AA129">
        <v>109.214975</v>
      </c>
      <c r="AB129" s="5">
        <f t="shared" si="7"/>
        <v>1.8839999999999999E-2</v>
      </c>
      <c r="AC129" s="5">
        <f t="shared" si="8"/>
        <v>0.85024500000000014</v>
      </c>
      <c r="AD129" s="1" t="str">
        <f t="shared" si="9"/>
        <v>Tuyến nhánh PC02</v>
      </c>
      <c r="AE129" s="1" t="str">
        <f t="shared" si="10"/>
        <v>PC08 (CSGT đường thủy)</v>
      </c>
      <c r="AG129">
        <f t="shared" si="11"/>
        <v>1.256E-2</v>
      </c>
      <c r="AH129">
        <f t="shared" si="12"/>
        <v>0.56683000000000006</v>
      </c>
      <c r="AI129" t="e">
        <f>VLOOKUP(L129,'[1]Tuyến cáp H04'!$B:$E,3,0)/1000</f>
        <v>#N/A</v>
      </c>
      <c r="AJ129" t="e">
        <f>VLOOKUP(L129,'[1]Tuyến cáp H04'!$B:$E,4,0)</f>
        <v>#N/A</v>
      </c>
    </row>
    <row r="130" spans="1:36" x14ac:dyDescent="0.25">
      <c r="A130" s="1" t="s">
        <v>1324</v>
      </c>
      <c r="B130" s="1" t="s">
        <v>1325</v>
      </c>
      <c r="C130" s="1" t="s">
        <v>1326</v>
      </c>
      <c r="D130" s="1" t="s">
        <v>263</v>
      </c>
      <c r="E130" s="1" t="s">
        <v>264</v>
      </c>
      <c r="F130" s="1" t="s">
        <v>1327</v>
      </c>
      <c r="G130" s="1" t="s">
        <v>14129</v>
      </c>
      <c r="H130" s="1" t="s">
        <v>14133</v>
      </c>
      <c r="I130" s="1" t="s">
        <v>14260</v>
      </c>
      <c r="J130" s="1" t="s">
        <v>23</v>
      </c>
      <c r="K130" s="1"/>
      <c r="L130" s="1" t="s">
        <v>1328</v>
      </c>
      <c r="M130" s="1" t="s">
        <v>1329</v>
      </c>
      <c r="N130" s="1" t="s">
        <v>1330</v>
      </c>
      <c r="O130" s="1" t="s">
        <v>1331</v>
      </c>
      <c r="P130" s="1" t="s">
        <v>1332</v>
      </c>
      <c r="Q130" s="1" t="s">
        <v>1333</v>
      </c>
      <c r="R130" s="1" t="s">
        <v>1334</v>
      </c>
      <c r="S130" s="1" t="s">
        <v>1335</v>
      </c>
      <c r="T130" s="1" t="s">
        <v>1336</v>
      </c>
      <c r="U130">
        <v>131.72999999999999</v>
      </c>
      <c r="V130">
        <v>49.56</v>
      </c>
      <c r="W130">
        <v>12.250439999999999</v>
      </c>
      <c r="X130">
        <v>109.184605</v>
      </c>
      <c r="Y130">
        <v>82.17</v>
      </c>
      <c r="Z130">
        <v>12.249478999999999</v>
      </c>
      <c r="AA130">
        <v>109.184708</v>
      </c>
      <c r="AB130" s="5">
        <f t="shared" si="7"/>
        <v>7.4340000000000003E-2</v>
      </c>
      <c r="AC130" s="5">
        <f t="shared" si="8"/>
        <v>0.12325499999999999</v>
      </c>
      <c r="AD130" s="1" t="str">
        <f t="shared" si="9"/>
        <v>2.CA Nam Nha Trang</v>
      </c>
      <c r="AE130" s="1" t="str">
        <f t="shared" si="10"/>
        <v>CA Nha Trang</v>
      </c>
      <c r="AG130">
        <f t="shared" si="11"/>
        <v>4.956E-2</v>
      </c>
      <c r="AH130">
        <f t="shared" si="12"/>
        <v>8.2170000000000007E-2</v>
      </c>
      <c r="AI130" t="e">
        <f>VLOOKUP(L130,'[1]Tuyến cáp H04'!$B:$E,3,0)/1000</f>
        <v>#N/A</v>
      </c>
      <c r="AJ130" t="e">
        <f>VLOOKUP(L130,'[1]Tuyến cáp H04'!$B:$E,4,0)</f>
        <v>#N/A</v>
      </c>
    </row>
    <row r="131" spans="1:36" x14ac:dyDescent="0.25">
      <c r="A131" s="1" t="s">
        <v>1337</v>
      </c>
      <c r="B131" s="1" t="s">
        <v>1338</v>
      </c>
      <c r="C131" s="1" t="s">
        <v>1339</v>
      </c>
      <c r="D131" s="1" t="s">
        <v>896</v>
      </c>
      <c r="E131" s="1" t="s">
        <v>897</v>
      </c>
      <c r="F131" s="1" t="s">
        <v>1340</v>
      </c>
      <c r="G131" s="1" t="s">
        <v>14129</v>
      </c>
      <c r="H131" s="1" t="s">
        <v>14133</v>
      </c>
      <c r="I131" s="1" t="s">
        <v>14261</v>
      </c>
      <c r="J131" s="1" t="s">
        <v>23</v>
      </c>
      <c r="K131" s="1"/>
      <c r="L131" s="1" t="s">
        <v>899</v>
      </c>
      <c r="M131" s="1" t="s">
        <v>1341</v>
      </c>
      <c r="N131" s="1" t="s">
        <v>1342</v>
      </c>
      <c r="O131" s="1" t="s">
        <v>926</v>
      </c>
      <c r="P131" s="1" t="s">
        <v>927</v>
      </c>
      <c r="Q131" s="1" t="s">
        <v>922</v>
      </c>
      <c r="R131" s="1" t="s">
        <v>923</v>
      </c>
      <c r="S131" s="1" t="s">
        <v>924</v>
      </c>
      <c r="T131" s="1" t="s">
        <v>928</v>
      </c>
      <c r="U131">
        <v>986.52</v>
      </c>
      <c r="V131">
        <v>981.34</v>
      </c>
      <c r="W131">
        <v>12.001106999999999</v>
      </c>
      <c r="X131">
        <v>109.209318</v>
      </c>
      <c r="Y131">
        <v>5.18</v>
      </c>
      <c r="Z131">
        <v>11.998255</v>
      </c>
      <c r="AA131">
        <v>109.218788</v>
      </c>
      <c r="AB131" s="5">
        <f t="shared" ref="AB131:AB194" si="13">V131*1.5/1000</f>
        <v>1.47201</v>
      </c>
      <c r="AC131" s="5">
        <f t="shared" ref="AC131:AC194" si="14">Y131*1.5/1000</f>
        <v>7.77E-3</v>
      </c>
      <c r="AD131" s="1" t="str">
        <f t="shared" ref="AD131:AD194" si="15">TRIM(LEFT(L131,FIND("-",L131)-1))</f>
        <v>Tuyến nhánh CA Bắc Cam Ranh</v>
      </c>
      <c r="AE131" s="1" t="str">
        <f t="shared" ref="AE131:AE194" si="16">TRIM(RIGHT(L131, LEN(L131) - FIND("-", L131)))</f>
        <v>Cảng HKQT Cam Ranh</v>
      </c>
      <c r="AG131">
        <f t="shared" ref="AG131:AG194" si="17">V131/1000</f>
        <v>0.98133999999999999</v>
      </c>
      <c r="AH131">
        <f t="shared" ref="AH131:AH194" si="18">Y131/1000</f>
        <v>5.1799999999999997E-3</v>
      </c>
      <c r="AI131" t="e">
        <f>VLOOKUP(L131,'[1]Tuyến cáp H04'!$B:$E,3,0)/1000</f>
        <v>#N/A</v>
      </c>
      <c r="AJ131" t="e">
        <f>VLOOKUP(L131,'[1]Tuyến cáp H04'!$B:$E,4,0)</f>
        <v>#N/A</v>
      </c>
    </row>
    <row r="132" spans="1:36" x14ac:dyDescent="0.25">
      <c r="A132" s="1" t="s">
        <v>1343</v>
      </c>
      <c r="B132" s="1" t="s">
        <v>1344</v>
      </c>
      <c r="C132" s="1" t="s">
        <v>1345</v>
      </c>
      <c r="D132" s="1" t="s">
        <v>393</v>
      </c>
      <c r="E132" s="1" t="s">
        <v>394</v>
      </c>
      <c r="F132" s="1" t="s">
        <v>1346</v>
      </c>
      <c r="G132" s="1" t="s">
        <v>14129</v>
      </c>
      <c r="H132" s="1" t="s">
        <v>14133</v>
      </c>
      <c r="I132" s="1" t="s">
        <v>14262</v>
      </c>
      <c r="J132" s="1" t="s">
        <v>23</v>
      </c>
      <c r="K132" s="1"/>
      <c r="L132" s="1" t="s">
        <v>434</v>
      </c>
      <c r="M132" s="1" t="s">
        <v>1347</v>
      </c>
      <c r="N132" s="1" t="s">
        <v>1348</v>
      </c>
      <c r="O132" s="1" t="s">
        <v>1349</v>
      </c>
      <c r="P132" s="1" t="s">
        <v>1350</v>
      </c>
      <c r="Q132" s="1" t="s">
        <v>436</v>
      </c>
      <c r="R132" s="1" t="s">
        <v>437</v>
      </c>
      <c r="S132" s="1" t="s">
        <v>438</v>
      </c>
      <c r="T132" s="1" t="s">
        <v>442</v>
      </c>
      <c r="U132">
        <v>150.38999999999999</v>
      </c>
      <c r="V132">
        <v>147.19</v>
      </c>
      <c r="W132">
        <v>12.308507000000001</v>
      </c>
      <c r="X132">
        <v>108.998564</v>
      </c>
      <c r="Y132">
        <v>3.2</v>
      </c>
      <c r="Z132">
        <v>12.269061000000001</v>
      </c>
      <c r="AA132">
        <v>109.03337999999999</v>
      </c>
      <c r="AB132" s="5">
        <f t="shared" si="13"/>
        <v>0.22078500000000001</v>
      </c>
      <c r="AC132" s="5">
        <f t="shared" si="14"/>
        <v>4.8000000000000004E-3</v>
      </c>
      <c r="AD132" s="1" t="str">
        <f t="shared" si="15"/>
        <v>3.CA Diên Lâm</v>
      </c>
      <c r="AE132" s="1" t="str">
        <f t="shared" si="16"/>
        <v>CA Bắc Khánh Vĩnh_Cột trung thế</v>
      </c>
      <c r="AG132">
        <f t="shared" si="17"/>
        <v>0.14718999999999999</v>
      </c>
      <c r="AH132">
        <f t="shared" si="18"/>
        <v>3.2000000000000002E-3</v>
      </c>
      <c r="AI132" t="e">
        <f>VLOOKUP(L132,'[1]Tuyến cáp H04'!$B:$E,3,0)/1000</f>
        <v>#N/A</v>
      </c>
      <c r="AJ132" t="e">
        <f>VLOOKUP(L132,'[1]Tuyến cáp H04'!$B:$E,4,0)</f>
        <v>#N/A</v>
      </c>
    </row>
    <row r="133" spans="1:36" x14ac:dyDescent="0.25">
      <c r="A133" s="1" t="s">
        <v>1351</v>
      </c>
      <c r="B133" s="1" t="s">
        <v>1352</v>
      </c>
      <c r="C133" s="1" t="s">
        <v>1353</v>
      </c>
      <c r="D133" s="1" t="s">
        <v>263</v>
      </c>
      <c r="E133" s="1" t="s">
        <v>264</v>
      </c>
      <c r="F133" s="1" t="s">
        <v>1354</v>
      </c>
      <c r="G133" s="1" t="s">
        <v>14129</v>
      </c>
      <c r="H133" s="1" t="s">
        <v>14133</v>
      </c>
      <c r="I133" s="1" t="s">
        <v>14263</v>
      </c>
      <c r="J133" s="1" t="s">
        <v>23</v>
      </c>
      <c r="K133" s="1"/>
      <c r="L133" s="1" t="s">
        <v>296</v>
      </c>
      <c r="M133" s="1" t="s">
        <v>1355</v>
      </c>
      <c r="N133" s="1" t="s">
        <v>1356</v>
      </c>
      <c r="O133" s="1" t="s">
        <v>1357</v>
      </c>
      <c r="P133" s="1" t="s">
        <v>1358</v>
      </c>
      <c r="Q133" s="1" t="s">
        <v>670</v>
      </c>
      <c r="R133" s="1" t="s">
        <v>671</v>
      </c>
      <c r="S133" s="1" t="s">
        <v>672</v>
      </c>
      <c r="T133" s="1" t="s">
        <v>676</v>
      </c>
      <c r="U133">
        <v>381.8</v>
      </c>
      <c r="V133">
        <v>301.17</v>
      </c>
      <c r="W133">
        <v>12.252969</v>
      </c>
      <c r="X133">
        <v>109.17461900000001</v>
      </c>
      <c r="Y133">
        <v>80.62</v>
      </c>
      <c r="Z133">
        <v>12.249428</v>
      </c>
      <c r="AA133">
        <v>109.184727</v>
      </c>
      <c r="AB133" s="5">
        <f t="shared" si="13"/>
        <v>0.45175500000000002</v>
      </c>
      <c r="AC133" s="5">
        <f t="shared" si="14"/>
        <v>0.12093000000000001</v>
      </c>
      <c r="AD133" s="1" t="str">
        <f t="shared" si="15"/>
        <v>3. Trại giam A2</v>
      </c>
      <c r="AE133" s="1" t="str">
        <f t="shared" si="16"/>
        <v>CATP Nha trang cũ</v>
      </c>
      <c r="AG133">
        <f t="shared" si="17"/>
        <v>0.30116999999999999</v>
      </c>
      <c r="AH133">
        <f t="shared" si="18"/>
        <v>8.0620000000000011E-2</v>
      </c>
      <c r="AI133" t="e">
        <f>VLOOKUP(L133,'[1]Tuyến cáp H04'!$B:$E,3,0)/1000</f>
        <v>#N/A</v>
      </c>
      <c r="AJ133" t="e">
        <f>VLOOKUP(L133,'[1]Tuyến cáp H04'!$B:$E,4,0)</f>
        <v>#N/A</v>
      </c>
    </row>
    <row r="134" spans="1:36" x14ac:dyDescent="0.25">
      <c r="A134" s="1" t="s">
        <v>1359</v>
      </c>
      <c r="B134" s="1" t="s">
        <v>1360</v>
      </c>
      <c r="C134" s="1" t="s">
        <v>1361</v>
      </c>
      <c r="D134" s="1" t="s">
        <v>49</v>
      </c>
      <c r="E134" s="1" t="s">
        <v>50</v>
      </c>
      <c r="F134" s="1" t="s">
        <v>1362</v>
      </c>
      <c r="G134" s="1" t="s">
        <v>14129</v>
      </c>
      <c r="H134" s="1" t="s">
        <v>14133</v>
      </c>
      <c r="I134" s="1" t="s">
        <v>14264</v>
      </c>
      <c r="J134" s="1" t="s">
        <v>23</v>
      </c>
      <c r="K134" s="1"/>
      <c r="L134" s="1" t="s">
        <v>1363</v>
      </c>
      <c r="M134" s="1" t="s">
        <v>1364</v>
      </c>
      <c r="N134" s="1" t="s">
        <v>1365</v>
      </c>
      <c r="O134" s="1" t="s">
        <v>1366</v>
      </c>
      <c r="P134" s="1" t="s">
        <v>1367</v>
      </c>
      <c r="Q134" s="1" t="s">
        <v>1368</v>
      </c>
      <c r="R134" s="1" t="s">
        <v>1369</v>
      </c>
      <c r="S134" s="1" t="s">
        <v>1370</v>
      </c>
      <c r="T134" s="1" t="s">
        <v>1371</v>
      </c>
      <c r="U134">
        <v>1443.52</v>
      </c>
      <c r="V134">
        <v>13.09</v>
      </c>
      <c r="W134">
        <v>12.256290999999999</v>
      </c>
      <c r="X134">
        <v>109.09398</v>
      </c>
      <c r="Y134">
        <v>1430.42</v>
      </c>
      <c r="Z134">
        <v>12.259205</v>
      </c>
      <c r="AA134">
        <v>109.072396</v>
      </c>
      <c r="AB134" s="5">
        <f t="shared" si="13"/>
        <v>1.9635E-2</v>
      </c>
      <c r="AC134" s="5">
        <f t="shared" si="14"/>
        <v>2.1456300000000001</v>
      </c>
      <c r="AD134" s="1" t="str">
        <f t="shared" si="15"/>
        <v>1.Diên Khánh</v>
      </c>
      <c r="AE134" s="1" t="str">
        <f t="shared" si="16"/>
        <v>CA Diên Lạc_Cột hạ thế</v>
      </c>
      <c r="AG134">
        <f t="shared" si="17"/>
        <v>1.3089999999999999E-2</v>
      </c>
      <c r="AH134">
        <f t="shared" si="18"/>
        <v>1.43042</v>
      </c>
      <c r="AI134" t="e">
        <f>VLOOKUP(L134,'[1]Tuyến cáp H04'!$B:$E,3,0)/1000</f>
        <v>#N/A</v>
      </c>
      <c r="AJ134" t="e">
        <f>VLOOKUP(L134,'[1]Tuyến cáp H04'!$B:$E,4,0)</f>
        <v>#N/A</v>
      </c>
    </row>
    <row r="135" spans="1:36" x14ac:dyDescent="0.25">
      <c r="A135" s="1" t="s">
        <v>1372</v>
      </c>
      <c r="B135" s="1" t="s">
        <v>1373</v>
      </c>
      <c r="C135" s="1" t="s">
        <v>1374</v>
      </c>
      <c r="D135" s="1" t="s">
        <v>393</v>
      </c>
      <c r="E135" s="1" t="s">
        <v>394</v>
      </c>
      <c r="F135" s="1" t="s">
        <v>1375</v>
      </c>
      <c r="G135" s="1" t="s">
        <v>14129</v>
      </c>
      <c r="H135" s="1" t="s">
        <v>14133</v>
      </c>
      <c r="I135" s="1" t="s">
        <v>14265</v>
      </c>
      <c r="J135" s="1" t="s">
        <v>23</v>
      </c>
      <c r="K135" s="1"/>
      <c r="L135" s="1" t="s">
        <v>1376</v>
      </c>
      <c r="M135" s="1" t="s">
        <v>1377</v>
      </c>
      <c r="N135" s="1" t="s">
        <v>1378</v>
      </c>
      <c r="O135" s="1" t="s">
        <v>1379</v>
      </c>
      <c r="P135" s="1" t="s">
        <v>1380</v>
      </c>
      <c r="Q135" s="1" t="s">
        <v>1381</v>
      </c>
      <c r="R135" s="1" t="s">
        <v>1382</v>
      </c>
      <c r="S135" s="1" t="s">
        <v>1383</v>
      </c>
      <c r="T135" s="1" t="s">
        <v>1384</v>
      </c>
      <c r="U135">
        <v>2962.55</v>
      </c>
      <c r="V135">
        <v>153.69</v>
      </c>
      <c r="W135">
        <v>12.210621</v>
      </c>
      <c r="X135">
        <v>109.04347799999999</v>
      </c>
      <c r="Y135">
        <v>2808.86</v>
      </c>
      <c r="Z135">
        <v>12.244787000000001</v>
      </c>
      <c r="AA135">
        <v>109.026172</v>
      </c>
      <c r="AB135" s="5">
        <f t="shared" si="13"/>
        <v>0.23053499999999999</v>
      </c>
      <c r="AC135" s="5">
        <f t="shared" si="14"/>
        <v>4.2132899999999998</v>
      </c>
      <c r="AD135" s="1" t="str">
        <f t="shared" si="15"/>
        <v>3.CA Suối Dầu</v>
      </c>
      <c r="AE135" s="1" t="str">
        <f t="shared" si="16"/>
        <v>CA Diên Thọ_Đoạn cột trung thế</v>
      </c>
      <c r="AG135">
        <f t="shared" si="17"/>
        <v>0.15368999999999999</v>
      </c>
      <c r="AH135">
        <f t="shared" si="18"/>
        <v>2.8088600000000001</v>
      </c>
      <c r="AI135" t="e">
        <f>VLOOKUP(L135,'[1]Tuyến cáp H04'!$B:$E,3,0)/1000</f>
        <v>#N/A</v>
      </c>
      <c r="AJ135" t="e">
        <f>VLOOKUP(L135,'[1]Tuyến cáp H04'!$B:$E,4,0)</f>
        <v>#N/A</v>
      </c>
    </row>
    <row r="136" spans="1:36" x14ac:dyDescent="0.25">
      <c r="A136" s="1" t="s">
        <v>1385</v>
      </c>
      <c r="B136" s="1" t="s">
        <v>1386</v>
      </c>
      <c r="C136" s="1" t="s">
        <v>1387</v>
      </c>
      <c r="D136" s="1" t="s">
        <v>92</v>
      </c>
      <c r="E136" s="1" t="s">
        <v>93</v>
      </c>
      <c r="F136" s="1" t="s">
        <v>1388</v>
      </c>
      <c r="G136" s="1" t="s">
        <v>14129</v>
      </c>
      <c r="H136" s="1" t="s">
        <v>14133</v>
      </c>
      <c r="I136" s="1" t="s">
        <v>14266</v>
      </c>
      <c r="J136" s="1" t="s">
        <v>23</v>
      </c>
      <c r="K136" s="1"/>
      <c r="L136" s="1" t="s">
        <v>1389</v>
      </c>
      <c r="M136" s="1" t="s">
        <v>1390</v>
      </c>
      <c r="N136" s="1" t="s">
        <v>1391</v>
      </c>
      <c r="O136" s="1" t="s">
        <v>1392</v>
      </c>
      <c r="P136" s="1" t="s">
        <v>1393</v>
      </c>
      <c r="Q136" s="1" t="s">
        <v>1394</v>
      </c>
      <c r="R136" s="1" t="s">
        <v>1395</v>
      </c>
      <c r="S136" s="1" t="s">
        <v>1396</v>
      </c>
      <c r="T136" s="1" t="s">
        <v>1397</v>
      </c>
      <c r="U136">
        <v>496.07</v>
      </c>
      <c r="V136">
        <v>12.14</v>
      </c>
      <c r="W136">
        <v>12.231814999999999</v>
      </c>
      <c r="X136">
        <v>109.196006</v>
      </c>
      <c r="Y136">
        <v>483.94</v>
      </c>
      <c r="Z136">
        <v>12.243709000000001</v>
      </c>
      <c r="AA136">
        <v>109.185958</v>
      </c>
      <c r="AB136" s="5">
        <f t="shared" si="13"/>
        <v>1.821E-2</v>
      </c>
      <c r="AC136" s="5">
        <f t="shared" si="14"/>
        <v>0.72590999999999994</v>
      </c>
      <c r="AD136" s="1" t="str">
        <f t="shared" si="15"/>
        <v>1.CAT Khánh Hòa</v>
      </c>
      <c r="AE136" s="1" t="str">
        <f t="shared" si="16"/>
        <v>Diên Khánh</v>
      </c>
      <c r="AG136">
        <f t="shared" si="17"/>
        <v>1.214E-2</v>
      </c>
      <c r="AH136">
        <f t="shared" si="18"/>
        <v>0.48393999999999998</v>
      </c>
      <c r="AI136" t="e">
        <f>VLOOKUP(L136,'[1]Tuyến cáp H04'!$B:$E,3,0)/1000</f>
        <v>#N/A</v>
      </c>
      <c r="AJ136" t="e">
        <f>VLOOKUP(L136,'[1]Tuyến cáp H04'!$B:$E,4,0)</f>
        <v>#N/A</v>
      </c>
    </row>
    <row r="137" spans="1:36" x14ac:dyDescent="0.25">
      <c r="A137" s="1" t="s">
        <v>1398</v>
      </c>
      <c r="B137" s="1" t="s">
        <v>1399</v>
      </c>
      <c r="C137" s="1" t="s">
        <v>1400</v>
      </c>
      <c r="D137" s="1" t="s">
        <v>278</v>
      </c>
      <c r="E137" s="1" t="s">
        <v>279</v>
      </c>
      <c r="F137" s="1" t="s">
        <v>1401</v>
      </c>
      <c r="G137" s="1" t="s">
        <v>14129</v>
      </c>
      <c r="H137" s="1" t="s">
        <v>14133</v>
      </c>
      <c r="I137" s="1" t="s">
        <v>14267</v>
      </c>
      <c r="J137" s="1" t="s">
        <v>23</v>
      </c>
      <c r="K137" s="1"/>
      <c r="L137" s="1" t="s">
        <v>283</v>
      </c>
      <c r="M137" s="1" t="s">
        <v>1402</v>
      </c>
      <c r="N137" s="1" t="s">
        <v>1403</v>
      </c>
      <c r="O137" s="1" t="s">
        <v>289</v>
      </c>
      <c r="P137" s="1" t="s">
        <v>290</v>
      </c>
      <c r="Q137" s="1" t="s">
        <v>285</v>
      </c>
      <c r="R137" s="1" t="s">
        <v>286</v>
      </c>
      <c r="S137" s="1" t="s">
        <v>287</v>
      </c>
      <c r="T137" s="1" t="s">
        <v>291</v>
      </c>
      <c r="U137">
        <v>522333.64</v>
      </c>
      <c r="V137">
        <v>269749.44</v>
      </c>
      <c r="W137">
        <v>14.352316999999999</v>
      </c>
      <c r="X137">
        <v>108.007831</v>
      </c>
      <c r="Y137">
        <v>252584.19</v>
      </c>
      <c r="Z137">
        <v>14.659686000000001</v>
      </c>
      <c r="AA137">
        <v>107.839439</v>
      </c>
      <c r="AB137" s="5">
        <f t="shared" si="13"/>
        <v>404.62416000000002</v>
      </c>
      <c r="AC137" s="5">
        <f t="shared" si="14"/>
        <v>378.87628500000005</v>
      </c>
      <c r="AD137" s="1" t="str">
        <f t="shared" si="15"/>
        <v>Đăk Tô</v>
      </c>
      <c r="AE137" s="1" t="str">
        <f t="shared" si="16"/>
        <v>TT2 Kon Tum</v>
      </c>
      <c r="AG137">
        <f t="shared" si="17"/>
        <v>269.74943999999999</v>
      </c>
      <c r="AH137">
        <f t="shared" si="18"/>
        <v>252.58419000000001</v>
      </c>
      <c r="AI137">
        <f>VLOOKUP(L137,'[1]Tuyến cáp H04'!$B:$E,3,0)/1000</f>
        <v>43.9602</v>
      </c>
      <c r="AJ137" t="str">
        <f>VLOOKUP(L137,'[1]Tuyến cáp H04'!$B:$E,4,0)</f>
        <v>Mạng cấp 3</v>
      </c>
    </row>
    <row r="138" spans="1:36" x14ac:dyDescent="0.25">
      <c r="A138" s="1" t="s">
        <v>1404</v>
      </c>
      <c r="B138" s="1" t="s">
        <v>120</v>
      </c>
      <c r="C138" s="1" t="s">
        <v>121</v>
      </c>
      <c r="D138" s="1" t="s">
        <v>240</v>
      </c>
      <c r="E138" s="1" t="s">
        <v>241</v>
      </c>
      <c r="F138" s="1" t="s">
        <v>1405</v>
      </c>
      <c r="G138" s="1" t="s">
        <v>14129</v>
      </c>
      <c r="H138" s="1" t="s">
        <v>14133</v>
      </c>
      <c r="I138" s="1" t="s">
        <v>14268</v>
      </c>
      <c r="J138" s="1" t="s">
        <v>23</v>
      </c>
      <c r="K138" s="1"/>
      <c r="L138" s="1" t="s">
        <v>82</v>
      </c>
      <c r="M138" s="1" t="s">
        <v>1406</v>
      </c>
      <c r="N138" s="1" t="s">
        <v>124</v>
      </c>
      <c r="O138" s="1" t="s">
        <v>125</v>
      </c>
      <c r="P138" s="1" t="s">
        <v>126</v>
      </c>
      <c r="Q138" s="1" t="s">
        <v>1407</v>
      </c>
      <c r="R138" s="1" t="s">
        <v>1408</v>
      </c>
      <c r="S138" s="1" t="s">
        <v>1409</v>
      </c>
      <c r="T138" s="1" t="s">
        <v>90</v>
      </c>
      <c r="U138">
        <v>223.17</v>
      </c>
      <c r="V138">
        <v>51.16</v>
      </c>
      <c r="W138">
        <v>12.225636</v>
      </c>
      <c r="X138">
        <v>109.183539</v>
      </c>
      <c r="Y138">
        <v>172.01</v>
      </c>
      <c r="Z138">
        <v>12.235105000000001</v>
      </c>
      <c r="AA138">
        <v>109.18385600000001</v>
      </c>
      <c r="AB138" s="5">
        <f t="shared" si="13"/>
        <v>7.6739999999999989E-2</v>
      </c>
      <c r="AC138" s="5">
        <f t="shared" si="14"/>
        <v>0.25801499999999999</v>
      </c>
      <c r="AD138" s="1" t="str">
        <f t="shared" si="15"/>
        <v>3.PA06 cs2</v>
      </c>
      <c r="AE138" s="1" t="str">
        <f t="shared" si="16"/>
        <v>PC11a</v>
      </c>
      <c r="AG138">
        <f t="shared" si="17"/>
        <v>5.1159999999999997E-2</v>
      </c>
      <c r="AH138">
        <f t="shared" si="18"/>
        <v>0.17201</v>
      </c>
      <c r="AI138" t="e">
        <f>VLOOKUP(L138,'[1]Tuyến cáp H04'!$B:$E,3,0)/1000</f>
        <v>#N/A</v>
      </c>
      <c r="AJ138" t="e">
        <f>VLOOKUP(L138,'[1]Tuyến cáp H04'!$B:$E,4,0)</f>
        <v>#N/A</v>
      </c>
    </row>
    <row r="139" spans="1:36" x14ac:dyDescent="0.25">
      <c r="A139" s="1" t="s">
        <v>1410</v>
      </c>
      <c r="B139" s="1" t="s">
        <v>1411</v>
      </c>
      <c r="C139" s="1" t="s">
        <v>1412</v>
      </c>
      <c r="D139" s="1" t="s">
        <v>160</v>
      </c>
      <c r="E139" s="1" t="s">
        <v>161</v>
      </c>
      <c r="F139" s="1" t="s">
        <v>1413</v>
      </c>
      <c r="G139" s="1" t="s">
        <v>14129</v>
      </c>
      <c r="H139" s="1" t="s">
        <v>14133</v>
      </c>
      <c r="I139" s="1" t="s">
        <v>14269</v>
      </c>
      <c r="J139" s="1" t="s">
        <v>23</v>
      </c>
      <c r="K139" s="1"/>
      <c r="L139" s="1" t="s">
        <v>1414</v>
      </c>
      <c r="M139" s="1" t="s">
        <v>1415</v>
      </c>
      <c r="N139" s="1" t="s">
        <v>1416</v>
      </c>
      <c r="O139" s="1" t="s">
        <v>1417</v>
      </c>
      <c r="P139" s="1" t="s">
        <v>1418</v>
      </c>
      <c r="Q139" s="1" t="s">
        <v>1419</v>
      </c>
      <c r="R139" s="1" t="s">
        <v>42</v>
      </c>
      <c r="S139" s="1" t="s">
        <v>1420</v>
      </c>
      <c r="T139" s="1" t="s">
        <v>1421</v>
      </c>
      <c r="U139">
        <v>1458.25</v>
      </c>
      <c r="V139">
        <v>1453.51</v>
      </c>
      <c r="W139">
        <v>12.279755</v>
      </c>
      <c r="X139">
        <v>109.177725</v>
      </c>
      <c r="Y139">
        <v>4.75</v>
      </c>
      <c r="Z139">
        <v>12.278732</v>
      </c>
      <c r="AA139">
        <v>109.18886000000001</v>
      </c>
      <c r="AB139" s="5">
        <f t="shared" si="13"/>
        <v>2.1802649999999999</v>
      </c>
      <c r="AC139" s="5">
        <f t="shared" si="14"/>
        <v>7.1250000000000003E-3</v>
      </c>
      <c r="AD139" s="1" t="str">
        <f t="shared" si="15"/>
        <v>2.PK02 cs1</v>
      </c>
      <c r="AE139" s="1" t="str">
        <f t="shared" si="16"/>
        <v>Trung đoàn CSCĐ-E23_Cột trung thế</v>
      </c>
      <c r="AG139">
        <f t="shared" si="17"/>
        <v>1.4535100000000001</v>
      </c>
      <c r="AH139">
        <f t="shared" si="18"/>
        <v>4.7499999999999999E-3</v>
      </c>
      <c r="AI139" t="e">
        <f>VLOOKUP(L139,'[1]Tuyến cáp H04'!$B:$E,3,0)/1000</f>
        <v>#N/A</v>
      </c>
      <c r="AJ139" t="e">
        <f>VLOOKUP(L139,'[1]Tuyến cáp H04'!$B:$E,4,0)</f>
        <v>#N/A</v>
      </c>
    </row>
    <row r="140" spans="1:36" x14ac:dyDescent="0.25">
      <c r="A140" s="1" t="s">
        <v>1422</v>
      </c>
      <c r="B140" s="1" t="s">
        <v>1360</v>
      </c>
      <c r="C140" s="1" t="s">
        <v>1361</v>
      </c>
      <c r="D140" s="1" t="s">
        <v>181</v>
      </c>
      <c r="E140" s="1" t="s">
        <v>182</v>
      </c>
      <c r="F140" s="1" t="s">
        <v>1423</v>
      </c>
      <c r="G140" s="1" t="s">
        <v>14129</v>
      </c>
      <c r="H140" s="1" t="s">
        <v>14133</v>
      </c>
      <c r="I140" s="1" t="s">
        <v>14270</v>
      </c>
      <c r="J140" s="1" t="s">
        <v>23</v>
      </c>
      <c r="K140" s="1"/>
      <c r="L140" s="1" t="s">
        <v>447</v>
      </c>
      <c r="M140" s="1" t="s">
        <v>1424</v>
      </c>
      <c r="N140" s="1" t="s">
        <v>1425</v>
      </c>
      <c r="O140" s="1" t="s">
        <v>1426</v>
      </c>
      <c r="P140" s="1" t="s">
        <v>1427</v>
      </c>
      <c r="Q140" s="1" t="s">
        <v>449</v>
      </c>
      <c r="R140" s="1" t="s">
        <v>450</v>
      </c>
      <c r="S140" s="1" t="s">
        <v>451</v>
      </c>
      <c r="T140" s="1" t="s">
        <v>455</v>
      </c>
      <c r="U140">
        <v>9.11</v>
      </c>
      <c r="V140">
        <v>3.67</v>
      </c>
      <c r="W140">
        <v>12.25628</v>
      </c>
      <c r="X140">
        <v>109.09407299999999</v>
      </c>
      <c r="Y140">
        <v>5.44</v>
      </c>
      <c r="Z140">
        <v>12.276033999999999</v>
      </c>
      <c r="AA140">
        <v>109.12025</v>
      </c>
      <c r="AB140" s="5">
        <f t="shared" si="13"/>
        <v>5.5049999999999995E-3</v>
      </c>
      <c r="AC140" s="5">
        <f t="shared" si="14"/>
        <v>8.1600000000000006E-3</v>
      </c>
      <c r="AD140" s="1" t="str">
        <f t="shared" si="15"/>
        <v>1.CA Diên Khánh</v>
      </c>
      <c r="AE140" s="1" t="str">
        <f t="shared" si="16"/>
        <v>CA Diên Điền_Cột trung thế</v>
      </c>
      <c r="AG140">
        <f t="shared" si="17"/>
        <v>3.6700000000000001E-3</v>
      </c>
      <c r="AH140">
        <f t="shared" si="18"/>
        <v>5.4400000000000004E-3</v>
      </c>
      <c r="AI140" t="e">
        <f>VLOOKUP(L140,'[1]Tuyến cáp H04'!$B:$E,3,0)/1000</f>
        <v>#N/A</v>
      </c>
      <c r="AJ140" t="e">
        <f>VLOOKUP(L140,'[1]Tuyến cáp H04'!$B:$E,4,0)</f>
        <v>#N/A</v>
      </c>
    </row>
    <row r="141" spans="1:36" x14ac:dyDescent="0.25">
      <c r="A141" s="1" t="s">
        <v>1428</v>
      </c>
      <c r="B141" s="1" t="s">
        <v>183</v>
      </c>
      <c r="C141" s="1" t="s">
        <v>184</v>
      </c>
      <c r="D141" s="1" t="s">
        <v>196</v>
      </c>
      <c r="E141" s="1" t="s">
        <v>197</v>
      </c>
      <c r="F141" s="1" t="s">
        <v>1429</v>
      </c>
      <c r="G141" s="1" t="s">
        <v>14129</v>
      </c>
      <c r="H141" s="1" t="s">
        <v>14133</v>
      </c>
      <c r="I141" s="1" t="s">
        <v>14271</v>
      </c>
      <c r="J141" s="1" t="s">
        <v>23</v>
      </c>
      <c r="K141" s="1"/>
      <c r="L141" s="1" t="s">
        <v>186</v>
      </c>
      <c r="M141" s="1" t="s">
        <v>1430</v>
      </c>
      <c r="N141" s="1" t="s">
        <v>1431</v>
      </c>
      <c r="O141" s="1" t="s">
        <v>1432</v>
      </c>
      <c r="P141" s="1" t="s">
        <v>1433</v>
      </c>
      <c r="Q141" s="1" t="s">
        <v>339</v>
      </c>
      <c r="R141" s="1" t="s">
        <v>340</v>
      </c>
      <c r="S141" s="1" t="s">
        <v>341</v>
      </c>
      <c r="T141" s="1" t="s">
        <v>345</v>
      </c>
      <c r="U141">
        <v>221.26</v>
      </c>
      <c r="V141">
        <v>220.38</v>
      </c>
      <c r="W141">
        <v>12.303599</v>
      </c>
      <c r="X141">
        <v>109.168863</v>
      </c>
      <c r="Y141">
        <v>0.89</v>
      </c>
      <c r="Z141">
        <v>12.282335</v>
      </c>
      <c r="AA141">
        <v>109.198106</v>
      </c>
      <c r="AB141" s="5">
        <f t="shared" si="13"/>
        <v>0.33056999999999997</v>
      </c>
      <c r="AC141" s="5">
        <f t="shared" si="14"/>
        <v>1.335E-3</v>
      </c>
      <c r="AD141" s="1" t="str">
        <f t="shared" si="15"/>
        <v>2.CA Diên Điền</v>
      </c>
      <c r="AE141" s="1" t="str">
        <f t="shared" si="16"/>
        <v>CA Bắc Nha Trang</v>
      </c>
      <c r="AG141">
        <f t="shared" si="17"/>
        <v>0.22037999999999999</v>
      </c>
      <c r="AH141">
        <f t="shared" si="18"/>
        <v>8.9000000000000006E-4</v>
      </c>
      <c r="AI141" t="e">
        <f>VLOOKUP(L141,'[1]Tuyến cáp H04'!$B:$E,3,0)/1000</f>
        <v>#N/A</v>
      </c>
      <c r="AJ141" t="e">
        <f>VLOOKUP(L141,'[1]Tuyến cáp H04'!$B:$E,4,0)</f>
        <v>#N/A</v>
      </c>
    </row>
    <row r="142" spans="1:36" x14ac:dyDescent="0.25">
      <c r="A142" s="1" t="s">
        <v>1434</v>
      </c>
      <c r="B142" s="1" t="s">
        <v>1435</v>
      </c>
      <c r="C142" s="1" t="s">
        <v>1436</v>
      </c>
      <c r="D142" s="1" t="s">
        <v>780</v>
      </c>
      <c r="E142" s="1" t="s">
        <v>781</v>
      </c>
      <c r="F142" s="1" t="s">
        <v>1437</v>
      </c>
      <c r="G142" s="1" t="s">
        <v>14129</v>
      </c>
      <c r="H142" s="1" t="s">
        <v>14133</v>
      </c>
      <c r="I142" s="1" t="s">
        <v>14272</v>
      </c>
      <c r="J142" s="1" t="s">
        <v>23</v>
      </c>
      <c r="K142" s="1"/>
      <c r="L142" s="1" t="s">
        <v>490</v>
      </c>
      <c r="M142" s="1" t="s">
        <v>1438</v>
      </c>
      <c r="N142" s="1" t="s">
        <v>1439</v>
      </c>
      <c r="O142" s="1" t="s">
        <v>1440</v>
      </c>
      <c r="P142" s="1" t="s">
        <v>1441</v>
      </c>
      <c r="Q142" s="1" t="s">
        <v>784</v>
      </c>
      <c r="R142" s="1" t="s">
        <v>785</v>
      </c>
      <c r="S142" s="1" t="s">
        <v>786</v>
      </c>
      <c r="T142" s="1" t="s">
        <v>498</v>
      </c>
      <c r="U142">
        <v>888.04</v>
      </c>
      <c r="V142">
        <v>886</v>
      </c>
      <c r="W142">
        <v>12.083786999999999</v>
      </c>
      <c r="X142">
        <v>109.186933</v>
      </c>
      <c r="Y142">
        <v>2.0299999999999998</v>
      </c>
      <c r="Z142">
        <v>12.074439</v>
      </c>
      <c r="AA142">
        <v>109.168081</v>
      </c>
      <c r="AB142" s="5">
        <f t="shared" si="13"/>
        <v>1.329</v>
      </c>
      <c r="AC142" s="5">
        <f t="shared" si="14"/>
        <v>3.045E-3</v>
      </c>
      <c r="AD142" s="1" t="str">
        <f t="shared" si="15"/>
        <v>1.CAT Khánh Hòa</v>
      </c>
      <c r="AE142" s="1" t="str">
        <f t="shared" si="16"/>
        <v>Cam Lâm</v>
      </c>
      <c r="AG142">
        <f t="shared" si="17"/>
        <v>0.88600000000000001</v>
      </c>
      <c r="AH142">
        <f t="shared" si="18"/>
        <v>2.0299999999999997E-3</v>
      </c>
      <c r="AI142" t="e">
        <f>VLOOKUP(L142,'[1]Tuyến cáp H04'!$B:$E,3,0)/1000</f>
        <v>#N/A</v>
      </c>
      <c r="AJ142" t="e">
        <f>VLOOKUP(L142,'[1]Tuyến cáp H04'!$B:$E,4,0)</f>
        <v>#N/A</v>
      </c>
    </row>
    <row r="143" spans="1:36" x14ac:dyDescent="0.25">
      <c r="A143" s="1" t="s">
        <v>1442</v>
      </c>
      <c r="B143" s="1" t="s">
        <v>1443</v>
      </c>
      <c r="C143" s="1" t="s">
        <v>1444</v>
      </c>
      <c r="D143" s="1" t="s">
        <v>1445</v>
      </c>
      <c r="E143" s="1" t="s">
        <v>1446</v>
      </c>
      <c r="F143" s="1" t="s">
        <v>1447</v>
      </c>
      <c r="G143" s="1" t="s">
        <v>14129</v>
      </c>
      <c r="H143" s="1" t="s">
        <v>14133</v>
      </c>
      <c r="I143" s="1" t="s">
        <v>14273</v>
      </c>
      <c r="J143" s="1" t="s">
        <v>23</v>
      </c>
      <c r="K143" s="1"/>
      <c r="L143" s="1" t="s">
        <v>1448</v>
      </c>
      <c r="M143" s="1" t="s">
        <v>1449</v>
      </c>
      <c r="N143" s="1" t="s">
        <v>1450</v>
      </c>
      <c r="O143" s="1" t="s">
        <v>1451</v>
      </c>
      <c r="P143" s="1" t="s">
        <v>1452</v>
      </c>
      <c r="Q143" s="1" t="s">
        <v>1453</v>
      </c>
      <c r="R143" s="1" t="s">
        <v>1454</v>
      </c>
      <c r="S143" s="1" t="s">
        <v>1455</v>
      </c>
      <c r="T143" s="1" t="s">
        <v>1456</v>
      </c>
      <c r="U143">
        <v>1861.74</v>
      </c>
      <c r="V143">
        <v>1857.48</v>
      </c>
      <c r="W143">
        <v>12.566857000000001</v>
      </c>
      <c r="X143">
        <v>109.211688</v>
      </c>
      <c r="Y143">
        <v>4.26</v>
      </c>
      <c r="Z143">
        <v>12.555453</v>
      </c>
      <c r="AA143">
        <v>109.217609</v>
      </c>
      <c r="AB143" s="5">
        <f t="shared" si="13"/>
        <v>2.7862200000000001</v>
      </c>
      <c r="AC143" s="5">
        <f t="shared" si="14"/>
        <v>6.3899999999999998E-3</v>
      </c>
      <c r="AD143" s="1" t="str">
        <f t="shared" si="15"/>
        <v>2.CA Đông Ninh Hòa</v>
      </c>
      <c r="AE143" s="1" t="str">
        <f t="shared" si="16"/>
        <v>CA Bắc Ninh Hòa</v>
      </c>
      <c r="AG143">
        <f t="shared" si="17"/>
        <v>1.85748</v>
      </c>
      <c r="AH143">
        <f t="shared" si="18"/>
        <v>4.2599999999999999E-3</v>
      </c>
      <c r="AI143" t="e">
        <f>VLOOKUP(L143,'[1]Tuyến cáp H04'!$B:$E,3,0)/1000</f>
        <v>#N/A</v>
      </c>
      <c r="AJ143" t="e">
        <f>VLOOKUP(L143,'[1]Tuyến cáp H04'!$B:$E,4,0)</f>
        <v>#N/A</v>
      </c>
    </row>
    <row r="144" spans="1:36" x14ac:dyDescent="0.25">
      <c r="A144" s="1" t="s">
        <v>1457</v>
      </c>
      <c r="B144" s="1" t="s">
        <v>79</v>
      </c>
      <c r="C144" s="1" t="s">
        <v>80</v>
      </c>
      <c r="D144" s="1" t="s">
        <v>1458</v>
      </c>
      <c r="E144" s="1" t="s">
        <v>1459</v>
      </c>
      <c r="F144" s="1" t="s">
        <v>1460</v>
      </c>
      <c r="G144" s="1" t="s">
        <v>14129</v>
      </c>
      <c r="H144" s="1" t="s">
        <v>14133</v>
      </c>
      <c r="I144" s="1" t="s">
        <v>14274</v>
      </c>
      <c r="J144" s="1" t="s">
        <v>23</v>
      </c>
      <c r="K144" s="1"/>
      <c r="L144" s="1" t="s">
        <v>490</v>
      </c>
      <c r="M144" s="1" t="s">
        <v>1461</v>
      </c>
      <c r="N144" s="1" t="s">
        <v>1462</v>
      </c>
      <c r="O144" s="1" t="s">
        <v>1463</v>
      </c>
      <c r="P144" s="1" t="s">
        <v>1464</v>
      </c>
      <c r="Q144" s="1" t="s">
        <v>1465</v>
      </c>
      <c r="R144" s="1" t="s">
        <v>1466</v>
      </c>
      <c r="S144" s="1" t="s">
        <v>1467</v>
      </c>
      <c r="T144" s="1" t="s">
        <v>498</v>
      </c>
      <c r="U144">
        <v>72.989999999999995</v>
      </c>
      <c r="V144">
        <v>42.66</v>
      </c>
      <c r="W144">
        <v>12.210644</v>
      </c>
      <c r="X144">
        <v>109.188384</v>
      </c>
      <c r="Y144">
        <v>30.33</v>
      </c>
      <c r="Z144">
        <v>12.211372000000001</v>
      </c>
      <c r="AA144">
        <v>109.194048</v>
      </c>
      <c r="AB144" s="5">
        <f t="shared" si="13"/>
        <v>6.3989999999999991E-2</v>
      </c>
      <c r="AC144" s="5">
        <f t="shared" si="14"/>
        <v>4.5495000000000001E-2</v>
      </c>
      <c r="AD144" s="1" t="str">
        <f t="shared" si="15"/>
        <v>1.CAT Khánh Hòa</v>
      </c>
      <c r="AE144" s="1" t="str">
        <f t="shared" si="16"/>
        <v>Cam Lâm</v>
      </c>
      <c r="AG144">
        <f t="shared" si="17"/>
        <v>4.2659999999999997E-2</v>
      </c>
      <c r="AH144">
        <f t="shared" si="18"/>
        <v>3.0329999999999999E-2</v>
      </c>
      <c r="AI144" t="e">
        <f>VLOOKUP(L144,'[1]Tuyến cáp H04'!$B:$E,3,0)/1000</f>
        <v>#N/A</v>
      </c>
      <c r="AJ144" t="e">
        <f>VLOOKUP(L144,'[1]Tuyến cáp H04'!$B:$E,4,0)</f>
        <v>#N/A</v>
      </c>
    </row>
    <row r="145" spans="1:36" x14ac:dyDescent="0.25">
      <c r="A145" s="1" t="s">
        <v>1468</v>
      </c>
      <c r="B145" s="1" t="s">
        <v>1399</v>
      </c>
      <c r="C145" s="1" t="s">
        <v>1400</v>
      </c>
      <c r="D145" s="1" t="s">
        <v>1469</v>
      </c>
      <c r="E145" s="1" t="s">
        <v>1470</v>
      </c>
      <c r="F145" s="1" t="s">
        <v>1471</v>
      </c>
      <c r="G145" s="1" t="s">
        <v>14129</v>
      </c>
      <c r="H145" s="1" t="s">
        <v>14133</v>
      </c>
      <c r="I145" s="1" t="s">
        <v>14275</v>
      </c>
      <c r="J145" s="1" t="s">
        <v>23</v>
      </c>
      <c r="K145" s="1"/>
      <c r="L145" s="1" t="s">
        <v>110</v>
      </c>
      <c r="M145" s="1" t="s">
        <v>1472</v>
      </c>
      <c r="N145" s="1" t="s">
        <v>1473</v>
      </c>
      <c r="O145" s="1" t="s">
        <v>1474</v>
      </c>
      <c r="P145" s="1" t="s">
        <v>1475</v>
      </c>
      <c r="Q145" s="1" t="s">
        <v>606</v>
      </c>
      <c r="R145" s="1" t="s">
        <v>1476</v>
      </c>
      <c r="S145" s="1" t="s">
        <v>1477</v>
      </c>
      <c r="T145" s="1" t="s">
        <v>118</v>
      </c>
      <c r="U145">
        <v>398.11</v>
      </c>
      <c r="V145">
        <v>394.5</v>
      </c>
      <c r="W145">
        <v>12.216837999999999</v>
      </c>
      <c r="X145">
        <v>109.197884</v>
      </c>
      <c r="Y145">
        <v>3.61</v>
      </c>
      <c r="Z145">
        <v>12.219013</v>
      </c>
      <c r="AA145">
        <v>109.20427599999999</v>
      </c>
      <c r="AB145" s="5">
        <f t="shared" si="13"/>
        <v>0.59175</v>
      </c>
      <c r="AC145" s="5">
        <f t="shared" si="14"/>
        <v>5.4149999999999997E-3</v>
      </c>
      <c r="AD145" s="1" t="str">
        <f t="shared" si="15"/>
        <v>4.PC11a</v>
      </c>
      <c r="AE145" s="1" t="str">
        <f t="shared" si="16"/>
        <v>PC02_Đoạn cột trung thế</v>
      </c>
      <c r="AG145">
        <f t="shared" si="17"/>
        <v>0.39450000000000002</v>
      </c>
      <c r="AH145">
        <f t="shared" si="18"/>
        <v>3.6099999999999999E-3</v>
      </c>
      <c r="AI145" t="e">
        <f>VLOOKUP(L145,'[1]Tuyến cáp H04'!$B:$E,3,0)/1000</f>
        <v>#N/A</v>
      </c>
      <c r="AJ145" t="e">
        <f>VLOOKUP(L145,'[1]Tuyến cáp H04'!$B:$E,4,0)</f>
        <v>#N/A</v>
      </c>
    </row>
    <row r="146" spans="1:36" x14ac:dyDescent="0.25">
      <c r="A146" s="1" t="s">
        <v>1478</v>
      </c>
      <c r="B146" s="1" t="s">
        <v>183</v>
      </c>
      <c r="C146" s="1" t="s">
        <v>184</v>
      </c>
      <c r="D146" s="1" t="s">
        <v>1479</v>
      </c>
      <c r="E146" s="1" t="s">
        <v>1480</v>
      </c>
      <c r="F146" s="1" t="s">
        <v>1481</v>
      </c>
      <c r="G146" s="1" t="s">
        <v>14129</v>
      </c>
      <c r="H146" s="1" t="s">
        <v>14133</v>
      </c>
      <c r="I146" s="1" t="s">
        <v>14276</v>
      </c>
      <c r="J146" s="1" t="s">
        <v>23</v>
      </c>
      <c r="K146" s="1"/>
      <c r="L146" s="1" t="s">
        <v>1482</v>
      </c>
      <c r="M146" s="1" t="s">
        <v>1483</v>
      </c>
      <c r="N146" s="1" t="s">
        <v>1484</v>
      </c>
      <c r="O146" s="1" t="s">
        <v>1485</v>
      </c>
      <c r="P146" s="1" t="s">
        <v>1486</v>
      </c>
      <c r="Q146" s="1" t="s">
        <v>1487</v>
      </c>
      <c r="R146" s="1" t="s">
        <v>1488</v>
      </c>
      <c r="S146" s="1" t="s">
        <v>1489</v>
      </c>
      <c r="T146" s="1" t="s">
        <v>1490</v>
      </c>
      <c r="U146">
        <v>234.56</v>
      </c>
      <c r="V146">
        <v>214.35</v>
      </c>
      <c r="W146">
        <v>12.303977</v>
      </c>
      <c r="X146">
        <v>109.169534</v>
      </c>
      <c r="Y146">
        <v>20.21</v>
      </c>
      <c r="Z146">
        <v>12.288512000000001</v>
      </c>
      <c r="AA146">
        <v>109.163809</v>
      </c>
      <c r="AB146" s="5">
        <f t="shared" si="13"/>
        <v>0.32152499999999995</v>
      </c>
      <c r="AC146" s="5">
        <f t="shared" si="14"/>
        <v>3.0315000000000002E-2</v>
      </c>
      <c r="AD146" s="1" t="str">
        <f t="shared" si="15"/>
        <v>3.Trung đoàn CSCĐ</v>
      </c>
      <c r="AE146" s="1" t="str">
        <f t="shared" si="16"/>
        <v>E23 - PK02 cs2</v>
      </c>
      <c r="AG146">
        <f t="shared" si="17"/>
        <v>0.21434999999999998</v>
      </c>
      <c r="AH146">
        <f t="shared" si="18"/>
        <v>2.0210000000000002E-2</v>
      </c>
      <c r="AI146" t="e">
        <f>VLOOKUP(L146,'[1]Tuyến cáp H04'!$B:$E,3,0)/1000</f>
        <v>#N/A</v>
      </c>
      <c r="AJ146" t="e">
        <f>VLOOKUP(L146,'[1]Tuyến cáp H04'!$B:$E,4,0)</f>
        <v>#N/A</v>
      </c>
    </row>
    <row r="147" spans="1:36" x14ac:dyDescent="0.25">
      <c r="A147" s="1" t="s">
        <v>1491</v>
      </c>
      <c r="B147" s="1" t="s">
        <v>1492</v>
      </c>
      <c r="C147" s="1" t="s">
        <v>1493</v>
      </c>
      <c r="D147" s="1" t="s">
        <v>1312</v>
      </c>
      <c r="E147" s="1" t="s">
        <v>1313</v>
      </c>
      <c r="F147" s="1" t="s">
        <v>1494</v>
      </c>
      <c r="G147" s="1" t="s">
        <v>14129</v>
      </c>
      <c r="H147" s="1" t="s">
        <v>14133</v>
      </c>
      <c r="I147" s="1" t="s">
        <v>14277</v>
      </c>
      <c r="J147" s="1" t="s">
        <v>23</v>
      </c>
      <c r="K147" s="1"/>
      <c r="L147" s="1" t="s">
        <v>1315</v>
      </c>
      <c r="M147" s="1" t="s">
        <v>1495</v>
      </c>
      <c r="N147" s="1" t="s">
        <v>1496</v>
      </c>
      <c r="O147" s="1" t="s">
        <v>1497</v>
      </c>
      <c r="P147" s="1" t="s">
        <v>1498</v>
      </c>
      <c r="Q147" s="1" t="s">
        <v>1320</v>
      </c>
      <c r="R147" s="1" t="s">
        <v>1321</v>
      </c>
      <c r="S147" s="1" t="s">
        <v>1322</v>
      </c>
      <c r="T147" s="1" t="s">
        <v>1323</v>
      </c>
      <c r="U147">
        <v>1589.27</v>
      </c>
      <c r="V147">
        <v>1022.44</v>
      </c>
      <c r="W147">
        <v>12.214154000000001</v>
      </c>
      <c r="X147">
        <v>109.20967</v>
      </c>
      <c r="Y147">
        <v>566.83000000000004</v>
      </c>
      <c r="Z147">
        <v>12.202648</v>
      </c>
      <c r="AA147">
        <v>109.214975</v>
      </c>
      <c r="AB147" s="5">
        <f t="shared" si="13"/>
        <v>1.53366</v>
      </c>
      <c r="AC147" s="5">
        <f t="shared" si="14"/>
        <v>0.85024500000000014</v>
      </c>
      <c r="AD147" s="1" t="str">
        <f t="shared" si="15"/>
        <v>Tuyến nhánh PC02</v>
      </c>
      <c r="AE147" s="1" t="str">
        <f t="shared" si="16"/>
        <v>PC08 (CSGT đường thủy)</v>
      </c>
      <c r="AG147">
        <f t="shared" si="17"/>
        <v>1.02244</v>
      </c>
      <c r="AH147">
        <f t="shared" si="18"/>
        <v>0.56683000000000006</v>
      </c>
      <c r="AI147" t="e">
        <f>VLOOKUP(L147,'[1]Tuyến cáp H04'!$B:$E,3,0)/1000</f>
        <v>#N/A</v>
      </c>
      <c r="AJ147" t="e">
        <f>VLOOKUP(L147,'[1]Tuyến cáp H04'!$B:$E,4,0)</f>
        <v>#N/A</v>
      </c>
    </row>
    <row r="148" spans="1:36" x14ac:dyDescent="0.25">
      <c r="A148" s="1" t="s">
        <v>1499</v>
      </c>
      <c r="B148" s="1" t="s">
        <v>799</v>
      </c>
      <c r="C148" s="1" t="s">
        <v>800</v>
      </c>
      <c r="D148" s="1" t="s">
        <v>347</v>
      </c>
      <c r="E148" s="1" t="s">
        <v>348</v>
      </c>
      <c r="F148" s="1" t="s">
        <v>1500</v>
      </c>
      <c r="G148" s="1" t="s">
        <v>14129</v>
      </c>
      <c r="H148" s="1" t="s">
        <v>14133</v>
      </c>
      <c r="I148" s="1" t="s">
        <v>14278</v>
      </c>
      <c r="J148" s="1" t="s">
        <v>23</v>
      </c>
      <c r="K148" s="1"/>
      <c r="L148" s="1" t="s">
        <v>352</v>
      </c>
      <c r="M148" s="1" t="s">
        <v>1501</v>
      </c>
      <c r="N148" s="1" t="s">
        <v>1502</v>
      </c>
      <c r="O148" s="1" t="s">
        <v>1503</v>
      </c>
      <c r="P148" s="1" t="s">
        <v>1504</v>
      </c>
      <c r="Q148" s="1" t="s">
        <v>354</v>
      </c>
      <c r="R148" s="1" t="s">
        <v>355</v>
      </c>
      <c r="S148" s="1" t="s">
        <v>356</v>
      </c>
      <c r="T148" s="1" t="s">
        <v>360</v>
      </c>
      <c r="U148">
        <v>302.27</v>
      </c>
      <c r="V148">
        <v>202.27</v>
      </c>
      <c r="W148">
        <v>11.920372</v>
      </c>
      <c r="X148">
        <v>109.14426</v>
      </c>
      <c r="Y148">
        <v>100</v>
      </c>
      <c r="Z148">
        <v>11.941592</v>
      </c>
      <c r="AA148">
        <v>109.11218100000001</v>
      </c>
      <c r="AB148" s="5">
        <f t="shared" si="13"/>
        <v>0.30340500000000004</v>
      </c>
      <c r="AC148" s="5">
        <f t="shared" si="14"/>
        <v>0.15</v>
      </c>
      <c r="AD148" s="1" t="str">
        <f t="shared" si="15"/>
        <v>3.Cam Ranh</v>
      </c>
      <c r="AE148" s="1" t="str">
        <f t="shared" si="16"/>
        <v>Khánh Sơn</v>
      </c>
      <c r="AG148">
        <f t="shared" si="17"/>
        <v>0.20227000000000001</v>
      </c>
      <c r="AH148">
        <f t="shared" si="18"/>
        <v>0.1</v>
      </c>
      <c r="AI148" t="e">
        <f>VLOOKUP(L148,'[1]Tuyến cáp H04'!$B:$E,3,0)/1000</f>
        <v>#N/A</v>
      </c>
      <c r="AJ148" t="e">
        <f>VLOOKUP(L148,'[1]Tuyến cáp H04'!$B:$E,4,0)</f>
        <v>#N/A</v>
      </c>
    </row>
    <row r="149" spans="1:36" x14ac:dyDescent="0.25">
      <c r="A149" s="1" t="s">
        <v>1505</v>
      </c>
      <c r="B149" s="1" t="s">
        <v>831</v>
      </c>
      <c r="C149" s="1" t="s">
        <v>832</v>
      </c>
      <c r="D149" s="1" t="s">
        <v>600</v>
      </c>
      <c r="E149" s="1" t="s">
        <v>601</v>
      </c>
      <c r="F149" s="1" t="s">
        <v>1506</v>
      </c>
      <c r="G149" s="1" t="s">
        <v>14129</v>
      </c>
      <c r="H149" s="1" t="s">
        <v>14133</v>
      </c>
      <c r="I149" s="1" t="s">
        <v>14279</v>
      </c>
      <c r="J149" s="1" t="s">
        <v>23</v>
      </c>
      <c r="K149" s="1"/>
      <c r="L149" s="1" t="s">
        <v>352</v>
      </c>
      <c r="M149" s="1" t="s">
        <v>1507</v>
      </c>
      <c r="N149" s="1" t="s">
        <v>1508</v>
      </c>
      <c r="O149" s="1" t="s">
        <v>1509</v>
      </c>
      <c r="P149" s="1" t="s">
        <v>1510</v>
      </c>
      <c r="Q149" s="1" t="s">
        <v>1002</v>
      </c>
      <c r="R149" s="1" t="s">
        <v>1003</v>
      </c>
      <c r="S149" s="1" t="s">
        <v>1004</v>
      </c>
      <c r="T149" s="1" t="s">
        <v>360</v>
      </c>
      <c r="U149">
        <v>888.36</v>
      </c>
      <c r="V149">
        <v>753.84</v>
      </c>
      <c r="W149">
        <v>11.912903999999999</v>
      </c>
      <c r="X149">
        <v>109.133286</v>
      </c>
      <c r="Y149">
        <v>134.52000000000001</v>
      </c>
      <c r="Z149">
        <v>11.962002999999999</v>
      </c>
      <c r="AA149">
        <v>109.094218</v>
      </c>
      <c r="AB149" s="5">
        <f t="shared" si="13"/>
        <v>1.13076</v>
      </c>
      <c r="AC149" s="5">
        <f t="shared" si="14"/>
        <v>0.20178000000000004</v>
      </c>
      <c r="AD149" s="1" t="str">
        <f t="shared" si="15"/>
        <v>3.Cam Ranh</v>
      </c>
      <c r="AE149" s="1" t="str">
        <f t="shared" si="16"/>
        <v>Khánh Sơn</v>
      </c>
      <c r="AG149">
        <f t="shared" si="17"/>
        <v>0.75384000000000007</v>
      </c>
      <c r="AH149">
        <f t="shared" si="18"/>
        <v>0.13452</v>
      </c>
      <c r="AI149" t="e">
        <f>VLOOKUP(L149,'[1]Tuyến cáp H04'!$B:$E,3,0)/1000</f>
        <v>#N/A</v>
      </c>
      <c r="AJ149" t="e">
        <f>VLOOKUP(L149,'[1]Tuyến cáp H04'!$B:$E,4,0)</f>
        <v>#N/A</v>
      </c>
    </row>
    <row r="150" spans="1:36" x14ac:dyDescent="0.25">
      <c r="A150" s="1" t="s">
        <v>1511</v>
      </c>
      <c r="B150" s="1" t="s">
        <v>1512</v>
      </c>
      <c r="C150" s="1" t="s">
        <v>1513</v>
      </c>
      <c r="D150" s="1" t="s">
        <v>612</v>
      </c>
      <c r="E150" s="1" t="s">
        <v>613</v>
      </c>
      <c r="F150" s="1" t="s">
        <v>1514</v>
      </c>
      <c r="G150" s="1" t="s">
        <v>14129</v>
      </c>
      <c r="H150" s="1" t="s">
        <v>14133</v>
      </c>
      <c r="I150" s="1" t="s">
        <v>14280</v>
      </c>
      <c r="J150" s="1" t="s">
        <v>23</v>
      </c>
      <c r="K150" s="1"/>
      <c r="L150" s="1" t="s">
        <v>617</v>
      </c>
      <c r="M150" s="1" t="s">
        <v>1515</v>
      </c>
      <c r="N150" s="1" t="s">
        <v>1516</v>
      </c>
      <c r="O150" s="1" t="s">
        <v>971</v>
      </c>
      <c r="P150" s="1" t="s">
        <v>972</v>
      </c>
      <c r="Q150" s="1" t="s">
        <v>619</v>
      </c>
      <c r="R150" s="1" t="s">
        <v>620</v>
      </c>
      <c r="S150" s="1" t="s">
        <v>621</v>
      </c>
      <c r="T150" s="1" t="s">
        <v>625</v>
      </c>
      <c r="U150">
        <v>568.54999999999995</v>
      </c>
      <c r="V150">
        <v>254.67</v>
      </c>
      <c r="W150">
        <v>11.920299999999999</v>
      </c>
      <c r="X150">
        <v>109.16200000000001</v>
      </c>
      <c r="Y150">
        <v>313.88</v>
      </c>
      <c r="Z150">
        <v>11.923</v>
      </c>
      <c r="AA150">
        <v>109.16500000000001</v>
      </c>
      <c r="AB150" s="5">
        <f t="shared" si="13"/>
        <v>0.38200499999999998</v>
      </c>
      <c r="AC150" s="5">
        <f t="shared" si="14"/>
        <v>0.47082000000000002</v>
      </c>
      <c r="AD150" s="1" t="str">
        <f t="shared" si="15"/>
        <v>1.CA Cam Ranh</v>
      </c>
      <c r="AE150" s="1" t="str">
        <f t="shared" si="16"/>
        <v>CA Cam Linh</v>
      </c>
      <c r="AG150">
        <f t="shared" si="17"/>
        <v>0.25467000000000001</v>
      </c>
      <c r="AH150">
        <f t="shared" si="18"/>
        <v>0.31387999999999999</v>
      </c>
      <c r="AI150" t="e">
        <f>VLOOKUP(L150,'[1]Tuyến cáp H04'!$B:$E,3,0)/1000</f>
        <v>#N/A</v>
      </c>
      <c r="AJ150" t="e">
        <f>VLOOKUP(L150,'[1]Tuyến cáp H04'!$B:$E,4,0)</f>
        <v>#N/A</v>
      </c>
    </row>
    <row r="151" spans="1:36" x14ac:dyDescent="0.25">
      <c r="A151" s="1" t="s">
        <v>1517</v>
      </c>
      <c r="B151" s="1" t="s">
        <v>77</v>
      </c>
      <c r="C151" s="1" t="s">
        <v>78</v>
      </c>
      <c r="D151" s="1" t="s">
        <v>94</v>
      </c>
      <c r="E151" s="1" t="s">
        <v>95</v>
      </c>
      <c r="F151" s="1" t="s">
        <v>1518</v>
      </c>
      <c r="G151" s="1" t="s">
        <v>14281</v>
      </c>
      <c r="H151" s="1" t="s">
        <v>14282</v>
      </c>
      <c r="I151" s="1" t="s">
        <v>14283</v>
      </c>
      <c r="J151" s="1" t="s">
        <v>23</v>
      </c>
      <c r="K151" s="1"/>
      <c r="L151" s="1" t="s">
        <v>82</v>
      </c>
      <c r="M151" s="1" t="s">
        <v>1519</v>
      </c>
      <c r="N151" s="1" t="s">
        <v>84</v>
      </c>
      <c r="O151" s="1" t="s">
        <v>85</v>
      </c>
      <c r="P151" s="1" t="s">
        <v>86</v>
      </c>
      <c r="Q151" s="1" t="s">
        <v>1520</v>
      </c>
      <c r="R151" s="1" t="s">
        <v>1408</v>
      </c>
      <c r="S151" s="1" t="s">
        <v>1409</v>
      </c>
      <c r="T151" s="1" t="s">
        <v>90</v>
      </c>
      <c r="U151">
        <v>2190.4299999999998</v>
      </c>
      <c r="V151">
        <v>9.18</v>
      </c>
      <c r="W151">
        <v>12.175753</v>
      </c>
      <c r="X151">
        <v>109.173635</v>
      </c>
      <c r="Y151">
        <v>2181.2399999999998</v>
      </c>
      <c r="Z151">
        <v>12.235105000000001</v>
      </c>
      <c r="AA151">
        <v>109.18385600000001</v>
      </c>
      <c r="AB151" s="5">
        <f t="shared" si="13"/>
        <v>1.3769999999999999E-2</v>
      </c>
      <c r="AC151" s="5">
        <f t="shared" si="14"/>
        <v>3.2718599999999998</v>
      </c>
      <c r="AD151" s="1" t="str">
        <f t="shared" si="15"/>
        <v>3.PA06 cs2</v>
      </c>
      <c r="AE151" s="1" t="str">
        <f t="shared" si="16"/>
        <v>PC11a</v>
      </c>
      <c r="AG151">
        <f t="shared" si="17"/>
        <v>9.1799999999999989E-3</v>
      </c>
      <c r="AH151">
        <f t="shared" si="18"/>
        <v>2.1812399999999998</v>
      </c>
      <c r="AI151" t="e">
        <f>VLOOKUP(L151,'[1]Tuyến cáp H04'!$B:$E,3,0)/1000</f>
        <v>#N/A</v>
      </c>
      <c r="AJ151" t="e">
        <f>VLOOKUP(L151,'[1]Tuyến cáp H04'!$B:$E,4,0)</f>
        <v>#N/A</v>
      </c>
    </row>
    <row r="152" spans="1:36" x14ac:dyDescent="0.25">
      <c r="A152" s="1" t="s">
        <v>1521</v>
      </c>
      <c r="B152" s="1" t="s">
        <v>780</v>
      </c>
      <c r="C152" s="1" t="s">
        <v>781</v>
      </c>
      <c r="D152" s="1" t="s">
        <v>94</v>
      </c>
      <c r="E152" s="1" t="s">
        <v>95</v>
      </c>
      <c r="F152" s="1" t="s">
        <v>1522</v>
      </c>
      <c r="G152" s="1" t="s">
        <v>14281</v>
      </c>
      <c r="H152" s="1" t="s">
        <v>14282</v>
      </c>
      <c r="I152" s="1" t="s">
        <v>14284</v>
      </c>
      <c r="J152" s="1" t="s">
        <v>23</v>
      </c>
      <c r="K152" s="1"/>
      <c r="L152" s="1" t="s">
        <v>490</v>
      </c>
      <c r="M152" s="1" t="s">
        <v>1523</v>
      </c>
      <c r="N152" s="1" t="s">
        <v>784</v>
      </c>
      <c r="O152" s="1" t="s">
        <v>785</v>
      </c>
      <c r="P152" s="1" t="s">
        <v>786</v>
      </c>
      <c r="Q152" s="1" t="s">
        <v>1524</v>
      </c>
      <c r="R152" s="1" t="s">
        <v>1525</v>
      </c>
      <c r="S152" s="1" t="s">
        <v>1526</v>
      </c>
      <c r="T152" s="1" t="s">
        <v>498</v>
      </c>
      <c r="U152">
        <v>3852.34</v>
      </c>
      <c r="V152">
        <v>2.0299999999999998</v>
      </c>
      <c r="W152">
        <v>12.074439</v>
      </c>
      <c r="X152">
        <v>109.168081</v>
      </c>
      <c r="Y152">
        <v>3850.3</v>
      </c>
      <c r="Z152">
        <v>12.219301</v>
      </c>
      <c r="AA152">
        <v>109.204751</v>
      </c>
      <c r="AB152" s="5">
        <f t="shared" si="13"/>
        <v>3.045E-3</v>
      </c>
      <c r="AC152" s="5">
        <f t="shared" si="14"/>
        <v>5.7754500000000011</v>
      </c>
      <c r="AD152" s="1" t="str">
        <f t="shared" si="15"/>
        <v>1.CAT Khánh Hòa</v>
      </c>
      <c r="AE152" s="1" t="str">
        <f t="shared" si="16"/>
        <v>Cam Lâm</v>
      </c>
      <c r="AG152">
        <f t="shared" si="17"/>
        <v>2.0299999999999997E-3</v>
      </c>
      <c r="AH152">
        <f t="shared" si="18"/>
        <v>3.8503000000000003</v>
      </c>
      <c r="AI152" t="e">
        <f>VLOOKUP(L152,'[1]Tuyến cáp H04'!$B:$E,3,0)/1000</f>
        <v>#N/A</v>
      </c>
      <c r="AJ152" t="e">
        <f>VLOOKUP(L152,'[1]Tuyến cáp H04'!$B:$E,4,0)</f>
        <v>#N/A</v>
      </c>
    </row>
    <row r="153" spans="1:36" x14ac:dyDescent="0.25">
      <c r="A153" s="1" t="s">
        <v>1527</v>
      </c>
      <c r="B153" s="1" t="s">
        <v>557</v>
      </c>
      <c r="C153" s="1" t="s">
        <v>558</v>
      </c>
      <c r="D153" s="1" t="s">
        <v>756</v>
      </c>
      <c r="E153" s="1" t="s">
        <v>757</v>
      </c>
      <c r="F153" s="1" t="s">
        <v>1528</v>
      </c>
      <c r="G153" s="1" t="s">
        <v>14281</v>
      </c>
      <c r="H153" s="1" t="s">
        <v>14282</v>
      </c>
      <c r="I153" s="1" t="s">
        <v>14285</v>
      </c>
      <c r="J153" s="1" t="s">
        <v>23</v>
      </c>
      <c r="K153" s="1"/>
      <c r="L153" s="1" t="s">
        <v>1529</v>
      </c>
      <c r="M153" s="1" t="s">
        <v>1530</v>
      </c>
      <c r="N153" s="1" t="s">
        <v>1531</v>
      </c>
      <c r="O153" s="1" t="s">
        <v>1532</v>
      </c>
      <c r="P153" s="1" t="s">
        <v>1533</v>
      </c>
      <c r="Q153" s="1" t="s">
        <v>1534</v>
      </c>
      <c r="R153" s="1" t="s">
        <v>1535</v>
      </c>
      <c r="S153" s="1" t="s">
        <v>1536</v>
      </c>
      <c r="T153" s="1" t="s">
        <v>1537</v>
      </c>
      <c r="U153">
        <v>14774.74</v>
      </c>
      <c r="V153">
        <v>14507.25</v>
      </c>
      <c r="W153">
        <v>12.509475</v>
      </c>
      <c r="X153">
        <v>109.137231</v>
      </c>
      <c r="Y153">
        <v>267.49</v>
      </c>
      <c r="Z153">
        <v>12.689125000000001</v>
      </c>
      <c r="AA153">
        <v>109.21910099999999</v>
      </c>
      <c r="AB153" s="5">
        <f t="shared" si="13"/>
        <v>21.760874999999999</v>
      </c>
      <c r="AC153" s="5">
        <f t="shared" si="14"/>
        <v>0.40123500000000001</v>
      </c>
      <c r="AD153" s="1" t="str">
        <f t="shared" si="15"/>
        <v>4.Ninh Hòa</v>
      </c>
      <c r="AE153" s="1" t="str">
        <f t="shared" si="16"/>
        <v>Vạn Ninh</v>
      </c>
      <c r="AG153">
        <f t="shared" si="17"/>
        <v>14.507250000000001</v>
      </c>
      <c r="AH153">
        <f t="shared" si="18"/>
        <v>0.26749000000000001</v>
      </c>
      <c r="AI153" t="e">
        <f>VLOOKUP(L153,'[1]Tuyến cáp H04'!$B:$E,3,0)/1000</f>
        <v>#N/A</v>
      </c>
      <c r="AJ153" t="e">
        <f>VLOOKUP(L153,'[1]Tuyến cáp H04'!$B:$E,4,0)</f>
        <v>#N/A</v>
      </c>
    </row>
    <row r="154" spans="1:36" x14ac:dyDescent="0.25">
      <c r="A154" s="1" t="s">
        <v>1538</v>
      </c>
      <c r="B154" s="1" t="s">
        <v>756</v>
      </c>
      <c r="C154" s="1" t="s">
        <v>757</v>
      </c>
      <c r="D154" s="1" t="s">
        <v>1539</v>
      </c>
      <c r="E154" s="1" t="s">
        <v>1540</v>
      </c>
      <c r="F154" s="1" t="s">
        <v>1541</v>
      </c>
      <c r="G154" s="1" t="s">
        <v>14281</v>
      </c>
      <c r="H154" s="1" t="s">
        <v>14282</v>
      </c>
      <c r="I154" s="1" t="s">
        <v>14286</v>
      </c>
      <c r="J154" s="1" t="s">
        <v>23</v>
      </c>
      <c r="K154" s="1"/>
      <c r="L154" s="1" t="s">
        <v>761</v>
      </c>
      <c r="M154" s="1" t="s">
        <v>1542</v>
      </c>
      <c r="N154" s="1" t="s">
        <v>1543</v>
      </c>
      <c r="O154" s="1" t="s">
        <v>1544</v>
      </c>
      <c r="P154" s="1" t="s">
        <v>1545</v>
      </c>
      <c r="Q154" s="1" t="s">
        <v>1546</v>
      </c>
      <c r="R154" s="1" t="s">
        <v>1547</v>
      </c>
      <c r="S154" s="1" t="s">
        <v>1548</v>
      </c>
      <c r="T154" s="1" t="s">
        <v>1549</v>
      </c>
      <c r="U154">
        <v>368.28</v>
      </c>
      <c r="V154">
        <v>267.48</v>
      </c>
      <c r="W154">
        <v>12.689116</v>
      </c>
      <c r="X154">
        <v>109.219109</v>
      </c>
      <c r="Y154">
        <v>100.8</v>
      </c>
      <c r="Z154">
        <v>12.64448</v>
      </c>
      <c r="AA154">
        <v>109.194801</v>
      </c>
      <c r="AB154" s="5">
        <f t="shared" si="13"/>
        <v>0.40122000000000002</v>
      </c>
      <c r="AC154" s="5">
        <f t="shared" si="14"/>
        <v>0.1512</v>
      </c>
      <c r="AD154" s="1" t="str">
        <f t="shared" si="15"/>
        <v>4.CA Vạn Hưng</v>
      </c>
      <c r="AE154" s="1" t="str">
        <f t="shared" si="16"/>
        <v>CA Vạn Ninh</v>
      </c>
      <c r="AG154">
        <f t="shared" si="17"/>
        <v>0.26748</v>
      </c>
      <c r="AH154">
        <f t="shared" si="18"/>
        <v>0.1008</v>
      </c>
      <c r="AI154" t="e">
        <f>VLOOKUP(L154,'[1]Tuyến cáp H04'!$B:$E,3,0)/1000</f>
        <v>#N/A</v>
      </c>
      <c r="AJ154" t="e">
        <f>VLOOKUP(L154,'[1]Tuyến cáp H04'!$B:$E,4,0)</f>
        <v>#N/A</v>
      </c>
    </row>
    <row r="155" spans="1:36" x14ac:dyDescent="0.25">
      <c r="A155" s="1" t="s">
        <v>1550</v>
      </c>
      <c r="B155" s="1" t="s">
        <v>572</v>
      </c>
      <c r="C155" s="1" t="s">
        <v>573</v>
      </c>
      <c r="D155" s="1" t="s">
        <v>94</v>
      </c>
      <c r="E155" s="1" t="s">
        <v>95</v>
      </c>
      <c r="F155" s="1" t="s">
        <v>1551</v>
      </c>
      <c r="G155" s="1" t="s">
        <v>14281</v>
      </c>
      <c r="H155" s="1" t="s">
        <v>14282</v>
      </c>
      <c r="I155" s="1" t="s">
        <v>14287</v>
      </c>
      <c r="J155" s="1" t="s">
        <v>23</v>
      </c>
      <c r="K155" s="1"/>
      <c r="L155" s="1" t="s">
        <v>1552</v>
      </c>
      <c r="M155" s="1" t="s">
        <v>1553</v>
      </c>
      <c r="N155" s="1" t="s">
        <v>1554</v>
      </c>
      <c r="O155" s="1" t="s">
        <v>1555</v>
      </c>
      <c r="P155" s="1" t="s">
        <v>1556</v>
      </c>
      <c r="Q155" s="1" t="s">
        <v>1557</v>
      </c>
      <c r="R155" s="1" t="s">
        <v>1558</v>
      </c>
      <c r="S155" s="1" t="s">
        <v>1559</v>
      </c>
      <c r="T155" s="1" t="s">
        <v>1560</v>
      </c>
      <c r="U155">
        <v>2205.54</v>
      </c>
      <c r="V155">
        <v>693.41</v>
      </c>
      <c r="W155">
        <v>12.504054999999999</v>
      </c>
      <c r="X155">
        <v>109.14014899999999</v>
      </c>
      <c r="Y155">
        <v>1512.13</v>
      </c>
      <c r="Z155">
        <v>12.265585</v>
      </c>
      <c r="AA155">
        <v>109.196157</v>
      </c>
      <c r="AB155" s="5">
        <f t="shared" si="13"/>
        <v>1.0401149999999999</v>
      </c>
      <c r="AC155" s="5">
        <f t="shared" si="14"/>
        <v>2.268195</v>
      </c>
      <c r="AD155" s="1" t="str">
        <f t="shared" si="15"/>
        <v>5.Vạn Ninh</v>
      </c>
      <c r="AE155" s="1" t="str">
        <f t="shared" si="16"/>
        <v>CAT Khánh Hòa</v>
      </c>
      <c r="AG155">
        <f t="shared" si="17"/>
        <v>0.69340999999999997</v>
      </c>
      <c r="AH155">
        <f t="shared" si="18"/>
        <v>1.5121300000000002</v>
      </c>
      <c r="AI155" t="e">
        <f>VLOOKUP(L155,'[1]Tuyến cáp H04'!$B:$E,3,0)/1000</f>
        <v>#N/A</v>
      </c>
      <c r="AJ155" t="e">
        <f>VLOOKUP(L155,'[1]Tuyến cáp H04'!$B:$E,4,0)</f>
        <v>#N/A</v>
      </c>
    </row>
    <row r="156" spans="1:36" x14ac:dyDescent="0.25">
      <c r="A156" s="1" t="s">
        <v>1561</v>
      </c>
      <c r="B156" s="1" t="s">
        <v>557</v>
      </c>
      <c r="C156" s="1" t="s">
        <v>558</v>
      </c>
      <c r="D156" s="1" t="s">
        <v>572</v>
      </c>
      <c r="E156" s="1" t="s">
        <v>573</v>
      </c>
      <c r="F156" s="1" t="s">
        <v>1562</v>
      </c>
      <c r="G156" s="1" t="s">
        <v>14281</v>
      </c>
      <c r="H156" s="1" t="s">
        <v>14282</v>
      </c>
      <c r="I156" s="1" t="s">
        <v>14288</v>
      </c>
      <c r="J156" s="1" t="s">
        <v>23</v>
      </c>
      <c r="K156" s="1"/>
      <c r="L156" s="1" t="s">
        <v>1168</v>
      </c>
      <c r="M156" s="1" t="s">
        <v>1563</v>
      </c>
      <c r="N156" s="1" t="s">
        <v>1173</v>
      </c>
      <c r="O156" s="1" t="s">
        <v>1174</v>
      </c>
      <c r="P156" s="1" t="s">
        <v>1175</v>
      </c>
      <c r="Q156" s="1" t="s">
        <v>1564</v>
      </c>
      <c r="R156" s="1" t="s">
        <v>1565</v>
      </c>
      <c r="S156" s="1" t="s">
        <v>1566</v>
      </c>
      <c r="T156" s="1" t="s">
        <v>1176</v>
      </c>
      <c r="U156">
        <v>7029.57</v>
      </c>
      <c r="V156">
        <v>4.59</v>
      </c>
      <c r="W156">
        <v>12.540865</v>
      </c>
      <c r="X156">
        <v>109.00747800000001</v>
      </c>
      <c r="Y156">
        <v>7024.98</v>
      </c>
      <c r="Z156">
        <v>12.507222000000001</v>
      </c>
      <c r="AA156">
        <v>109.072838</v>
      </c>
      <c r="AB156" s="5">
        <f t="shared" si="13"/>
        <v>6.8849999999999996E-3</v>
      </c>
      <c r="AC156" s="5">
        <f t="shared" si="14"/>
        <v>10.537469999999999</v>
      </c>
      <c r="AD156" s="1" t="str">
        <f t="shared" si="15"/>
        <v>2.CA Nam Ninh Hòa</v>
      </c>
      <c r="AE156" s="1" t="str">
        <f t="shared" si="16"/>
        <v>CA Tây Ninh Hòa</v>
      </c>
      <c r="AG156">
        <f t="shared" si="17"/>
        <v>4.5899999999999995E-3</v>
      </c>
      <c r="AH156">
        <f t="shared" si="18"/>
        <v>7.0249799999999993</v>
      </c>
      <c r="AI156" t="e">
        <f>VLOOKUP(L156,'[1]Tuyến cáp H04'!$B:$E,3,0)/1000</f>
        <v>#N/A</v>
      </c>
      <c r="AJ156" t="e">
        <f>VLOOKUP(L156,'[1]Tuyến cáp H04'!$B:$E,4,0)</f>
        <v>#N/A</v>
      </c>
    </row>
    <row r="157" spans="1:36" x14ac:dyDescent="0.25">
      <c r="A157" s="1" t="s">
        <v>1550</v>
      </c>
      <c r="B157" s="1" t="s">
        <v>572</v>
      </c>
      <c r="C157" s="1" t="s">
        <v>573</v>
      </c>
      <c r="D157" s="1" t="s">
        <v>94</v>
      </c>
      <c r="E157" s="1" t="s">
        <v>95</v>
      </c>
      <c r="F157" s="1" t="s">
        <v>1551</v>
      </c>
      <c r="G157" s="1" t="s">
        <v>14281</v>
      </c>
      <c r="H157" s="1" t="s">
        <v>14282</v>
      </c>
      <c r="I157" s="1" t="s">
        <v>14287</v>
      </c>
      <c r="J157" s="1" t="s">
        <v>23</v>
      </c>
      <c r="K157" s="1"/>
      <c r="L157" s="1" t="s">
        <v>1552</v>
      </c>
      <c r="M157" s="1" t="s">
        <v>1553</v>
      </c>
      <c r="N157" s="1" t="s">
        <v>1554</v>
      </c>
      <c r="O157" s="1" t="s">
        <v>1555</v>
      </c>
      <c r="P157" s="1" t="s">
        <v>1556</v>
      </c>
      <c r="Q157" s="1" t="s">
        <v>1557</v>
      </c>
      <c r="R157" s="1" t="s">
        <v>1558</v>
      </c>
      <c r="S157" s="1" t="s">
        <v>1559</v>
      </c>
      <c r="T157" s="1" t="s">
        <v>1560</v>
      </c>
      <c r="U157">
        <v>2205.54</v>
      </c>
      <c r="V157">
        <v>693.41</v>
      </c>
      <c r="W157">
        <v>12.504054999999999</v>
      </c>
      <c r="X157">
        <v>109.14014899999999</v>
      </c>
      <c r="Y157">
        <v>1512.13</v>
      </c>
      <c r="Z157">
        <v>12.265585</v>
      </c>
      <c r="AA157">
        <v>109.196157</v>
      </c>
      <c r="AB157" s="5">
        <f t="shared" si="13"/>
        <v>1.0401149999999999</v>
      </c>
      <c r="AC157" s="5">
        <f t="shared" si="14"/>
        <v>2.268195</v>
      </c>
      <c r="AD157" s="1" t="str">
        <f t="shared" si="15"/>
        <v>5.Vạn Ninh</v>
      </c>
      <c r="AE157" s="1" t="str">
        <f t="shared" si="16"/>
        <v>CAT Khánh Hòa</v>
      </c>
      <c r="AG157">
        <f t="shared" si="17"/>
        <v>0.69340999999999997</v>
      </c>
      <c r="AH157">
        <f t="shared" si="18"/>
        <v>1.5121300000000002</v>
      </c>
      <c r="AI157" t="e">
        <f>VLOOKUP(L157,'[1]Tuyến cáp H04'!$B:$E,3,0)/1000</f>
        <v>#N/A</v>
      </c>
      <c r="AJ157" t="e">
        <f>VLOOKUP(L157,'[1]Tuyến cáp H04'!$B:$E,4,0)</f>
        <v>#N/A</v>
      </c>
    </row>
    <row r="158" spans="1:36" x14ac:dyDescent="0.25">
      <c r="A158" s="1" t="s">
        <v>1567</v>
      </c>
      <c r="B158" s="1" t="s">
        <v>393</v>
      </c>
      <c r="C158" s="1" t="s">
        <v>394</v>
      </c>
      <c r="D158" s="1" t="s">
        <v>77</v>
      </c>
      <c r="E158" s="1" t="s">
        <v>78</v>
      </c>
      <c r="F158" s="1" t="s">
        <v>1568</v>
      </c>
      <c r="G158" s="1" t="s">
        <v>14281</v>
      </c>
      <c r="H158" s="1" t="s">
        <v>14282</v>
      </c>
      <c r="I158" s="1" t="s">
        <v>14289</v>
      </c>
      <c r="J158" s="1" t="s">
        <v>23</v>
      </c>
      <c r="K158" s="1"/>
      <c r="L158" s="1" t="s">
        <v>1569</v>
      </c>
      <c r="M158" s="1" t="s">
        <v>1570</v>
      </c>
      <c r="N158" s="1" t="s">
        <v>1571</v>
      </c>
      <c r="O158" s="1" t="s">
        <v>1572</v>
      </c>
      <c r="P158" s="1" t="s">
        <v>1573</v>
      </c>
      <c r="Q158" s="1" t="s">
        <v>1574</v>
      </c>
      <c r="R158" s="1" t="s">
        <v>1575</v>
      </c>
      <c r="S158" s="1" t="s">
        <v>1576</v>
      </c>
      <c r="T158" s="1" t="s">
        <v>1577</v>
      </c>
      <c r="U158">
        <v>13250.83</v>
      </c>
      <c r="V158">
        <v>748.2</v>
      </c>
      <c r="W158">
        <v>12.262793</v>
      </c>
      <c r="X158">
        <v>109.03595900000001</v>
      </c>
      <c r="Y158">
        <v>12502.63</v>
      </c>
      <c r="Z158">
        <v>12.248526</v>
      </c>
      <c r="AA158">
        <v>109.08605</v>
      </c>
      <c r="AB158" s="5">
        <f t="shared" si="13"/>
        <v>1.1223000000000001</v>
      </c>
      <c r="AC158" s="5">
        <f t="shared" si="14"/>
        <v>18.753944999999998</v>
      </c>
      <c r="AD158" s="1" t="str">
        <f t="shared" si="15"/>
        <v>4.CA Diên Thọ</v>
      </c>
      <c r="AE158" s="1" t="str">
        <f t="shared" si="16"/>
        <v>CA Diên Khánh</v>
      </c>
      <c r="AG158">
        <f t="shared" si="17"/>
        <v>0.74820000000000009</v>
      </c>
      <c r="AH158">
        <f t="shared" si="18"/>
        <v>12.50263</v>
      </c>
      <c r="AI158" t="e">
        <f>VLOOKUP(L158,'[1]Tuyến cáp H04'!$B:$E,3,0)/1000</f>
        <v>#N/A</v>
      </c>
      <c r="AJ158" t="e">
        <f>VLOOKUP(L158,'[1]Tuyến cáp H04'!$B:$E,4,0)</f>
        <v>#N/A</v>
      </c>
    </row>
    <row r="159" spans="1:36" x14ac:dyDescent="0.25">
      <c r="A159" s="1" t="s">
        <v>1578</v>
      </c>
      <c r="B159" s="1" t="s">
        <v>612</v>
      </c>
      <c r="C159" s="1" t="s">
        <v>613</v>
      </c>
      <c r="D159" s="1" t="s">
        <v>362</v>
      </c>
      <c r="E159" s="1" t="s">
        <v>363</v>
      </c>
      <c r="F159" s="1" t="s">
        <v>1579</v>
      </c>
      <c r="G159" s="1" t="s">
        <v>14281</v>
      </c>
      <c r="H159" s="1" t="s">
        <v>14282</v>
      </c>
      <c r="I159" s="1" t="s">
        <v>14290</v>
      </c>
      <c r="J159" s="1" t="s">
        <v>23</v>
      </c>
      <c r="K159" s="1"/>
      <c r="L159" s="1" t="s">
        <v>886</v>
      </c>
      <c r="M159" s="1" t="s">
        <v>1580</v>
      </c>
      <c r="N159" s="1" t="s">
        <v>1581</v>
      </c>
      <c r="O159" s="1" t="s">
        <v>1582</v>
      </c>
      <c r="P159" s="1" t="s">
        <v>1583</v>
      </c>
      <c r="Q159" s="1" t="s">
        <v>888</v>
      </c>
      <c r="R159" s="1" t="s">
        <v>889</v>
      </c>
      <c r="S159" s="1" t="s">
        <v>890</v>
      </c>
      <c r="T159" s="1" t="s">
        <v>894</v>
      </c>
      <c r="U159">
        <v>445.58</v>
      </c>
      <c r="V159">
        <v>320.16000000000003</v>
      </c>
      <c r="W159">
        <v>11.923038</v>
      </c>
      <c r="X159">
        <v>109.165192</v>
      </c>
      <c r="Y159">
        <v>125.41</v>
      </c>
      <c r="Z159">
        <v>11.976637</v>
      </c>
      <c r="AA159">
        <v>109.19564699999999</v>
      </c>
      <c r="AB159" s="5">
        <f t="shared" si="13"/>
        <v>0.48024</v>
      </c>
      <c r="AC159" s="5">
        <f t="shared" si="14"/>
        <v>0.188115</v>
      </c>
      <c r="AD159" s="1" t="str">
        <f t="shared" si="15"/>
        <v>1.CA Cam Ranh</v>
      </c>
      <c r="AE159" s="1" t="str">
        <f t="shared" si="16"/>
        <v>CA Bắc Cam Ranh</v>
      </c>
      <c r="AG159">
        <f t="shared" si="17"/>
        <v>0.32016</v>
      </c>
      <c r="AH159">
        <f t="shared" si="18"/>
        <v>0.12540999999999999</v>
      </c>
      <c r="AI159" t="e">
        <f>VLOOKUP(L159,'[1]Tuyến cáp H04'!$B:$E,3,0)/1000</f>
        <v>#N/A</v>
      </c>
      <c r="AJ159" t="e">
        <f>VLOOKUP(L159,'[1]Tuyến cáp H04'!$B:$E,4,0)</f>
        <v>#N/A</v>
      </c>
    </row>
    <row r="160" spans="1:36" x14ac:dyDescent="0.25">
      <c r="A160" s="1" t="s">
        <v>1584</v>
      </c>
      <c r="B160" s="1" t="s">
        <v>362</v>
      </c>
      <c r="C160" s="1" t="s">
        <v>363</v>
      </c>
      <c r="D160" s="1" t="s">
        <v>780</v>
      </c>
      <c r="E160" s="1" t="s">
        <v>781</v>
      </c>
      <c r="F160" s="1" t="s">
        <v>1585</v>
      </c>
      <c r="G160" s="1" t="s">
        <v>14281</v>
      </c>
      <c r="H160" s="1" t="s">
        <v>14282</v>
      </c>
      <c r="I160" s="1" t="s">
        <v>14291</v>
      </c>
      <c r="J160" s="1" t="s">
        <v>23</v>
      </c>
      <c r="K160" s="1"/>
      <c r="L160" s="1" t="s">
        <v>861</v>
      </c>
      <c r="M160" s="1" t="s">
        <v>1586</v>
      </c>
      <c r="N160" s="1" t="s">
        <v>863</v>
      </c>
      <c r="O160" s="1" t="s">
        <v>864</v>
      </c>
      <c r="P160" s="1" t="s">
        <v>865</v>
      </c>
      <c r="Q160" s="1" t="s">
        <v>911</v>
      </c>
      <c r="R160" s="1" t="s">
        <v>912</v>
      </c>
      <c r="S160" s="1" t="s">
        <v>913</v>
      </c>
      <c r="T160" s="1" t="s">
        <v>869</v>
      </c>
      <c r="U160">
        <v>680.22</v>
      </c>
      <c r="V160">
        <v>674.9</v>
      </c>
      <c r="W160">
        <v>11.970426</v>
      </c>
      <c r="X160">
        <v>109.192857</v>
      </c>
      <c r="Y160">
        <v>5.32</v>
      </c>
      <c r="Z160">
        <v>12.074472</v>
      </c>
      <c r="AA160">
        <v>109.168063</v>
      </c>
      <c r="AB160" s="5">
        <f t="shared" si="13"/>
        <v>1.0123499999999999</v>
      </c>
      <c r="AC160" s="5">
        <f t="shared" si="14"/>
        <v>7.980000000000001E-3</v>
      </c>
      <c r="AD160" s="1" t="str">
        <f t="shared" si="15"/>
        <v>2.Cam Lâm</v>
      </c>
      <c r="AE160" s="1" t="str">
        <f t="shared" si="16"/>
        <v>Cam Ranh</v>
      </c>
      <c r="AG160">
        <f t="shared" si="17"/>
        <v>0.67489999999999994</v>
      </c>
      <c r="AH160">
        <f t="shared" si="18"/>
        <v>5.3200000000000001E-3</v>
      </c>
      <c r="AI160" t="e">
        <f>VLOOKUP(L160,'[1]Tuyến cáp H04'!$B:$E,3,0)/1000</f>
        <v>#N/A</v>
      </c>
      <c r="AJ160" t="e">
        <f>VLOOKUP(L160,'[1]Tuyến cáp H04'!$B:$E,4,0)</f>
        <v>#N/A</v>
      </c>
    </row>
    <row r="161" spans="1:36" x14ac:dyDescent="0.25">
      <c r="A161" s="1" t="s">
        <v>1587</v>
      </c>
      <c r="B161" s="1" t="s">
        <v>557</v>
      </c>
      <c r="C161" s="1" t="s">
        <v>558</v>
      </c>
      <c r="D161" s="1" t="s">
        <v>1588</v>
      </c>
      <c r="E161" s="1" t="s">
        <v>1589</v>
      </c>
      <c r="F161" s="1" t="s">
        <v>1590</v>
      </c>
      <c r="G161" s="1" t="s">
        <v>14281</v>
      </c>
      <c r="H161" s="1" t="s">
        <v>14282</v>
      </c>
      <c r="I161" s="1" t="s">
        <v>14292</v>
      </c>
      <c r="J161" s="1" t="s">
        <v>23</v>
      </c>
      <c r="K161" s="1"/>
      <c r="L161" s="1" t="s">
        <v>1168</v>
      </c>
      <c r="M161" s="1" t="s">
        <v>1591</v>
      </c>
      <c r="N161" s="1" t="s">
        <v>1173</v>
      </c>
      <c r="O161" s="1" t="s">
        <v>1174</v>
      </c>
      <c r="P161" s="1" t="s">
        <v>1175</v>
      </c>
      <c r="Q161" s="1" t="s">
        <v>1592</v>
      </c>
      <c r="R161" s="1" t="s">
        <v>1565</v>
      </c>
      <c r="S161" s="1" t="s">
        <v>1566</v>
      </c>
      <c r="T161" s="1" t="s">
        <v>1176</v>
      </c>
      <c r="U161">
        <v>5343.16</v>
      </c>
      <c r="V161">
        <v>4.59</v>
      </c>
      <c r="W161">
        <v>12.540865</v>
      </c>
      <c r="X161">
        <v>109.00747800000001</v>
      </c>
      <c r="Y161">
        <v>5338.57</v>
      </c>
      <c r="Z161">
        <v>12.507222000000001</v>
      </c>
      <c r="AA161">
        <v>109.072838</v>
      </c>
      <c r="AB161" s="5">
        <f t="shared" si="13"/>
        <v>6.8849999999999996E-3</v>
      </c>
      <c r="AC161" s="5">
        <f t="shared" si="14"/>
        <v>8.0078549999999993</v>
      </c>
      <c r="AD161" s="1" t="str">
        <f t="shared" si="15"/>
        <v>2.CA Nam Ninh Hòa</v>
      </c>
      <c r="AE161" s="1" t="str">
        <f t="shared" si="16"/>
        <v>CA Tây Ninh Hòa</v>
      </c>
      <c r="AG161">
        <f t="shared" si="17"/>
        <v>4.5899999999999995E-3</v>
      </c>
      <c r="AH161">
        <f t="shared" si="18"/>
        <v>5.3385699999999998</v>
      </c>
      <c r="AI161" t="e">
        <f>VLOOKUP(L161,'[1]Tuyến cáp H04'!$B:$E,3,0)/1000</f>
        <v>#N/A</v>
      </c>
      <c r="AJ161" t="e">
        <f>VLOOKUP(L161,'[1]Tuyến cáp H04'!$B:$E,4,0)</f>
        <v>#N/A</v>
      </c>
    </row>
    <row r="162" spans="1:36" x14ac:dyDescent="0.25">
      <c r="A162" s="1" t="s">
        <v>1593</v>
      </c>
      <c r="B162" s="1" t="s">
        <v>1152</v>
      </c>
      <c r="C162" s="1" t="s">
        <v>1153</v>
      </c>
      <c r="D162" s="1" t="s">
        <v>572</v>
      </c>
      <c r="E162" s="1" t="s">
        <v>573</v>
      </c>
      <c r="F162" s="1" t="s">
        <v>1594</v>
      </c>
      <c r="G162" s="1" t="s">
        <v>14281</v>
      </c>
      <c r="H162" s="1" t="s">
        <v>14282</v>
      </c>
      <c r="I162" s="1" t="s">
        <v>14293</v>
      </c>
      <c r="J162" s="1" t="s">
        <v>23</v>
      </c>
      <c r="K162" s="1"/>
      <c r="L162" s="1" t="s">
        <v>590</v>
      </c>
      <c r="M162" s="1" t="s">
        <v>1595</v>
      </c>
      <c r="N162" s="1" t="s">
        <v>1596</v>
      </c>
      <c r="O162" s="1" t="s">
        <v>1597</v>
      </c>
      <c r="P162" s="1" t="s">
        <v>1598</v>
      </c>
      <c r="Q162" s="1" t="s">
        <v>592</v>
      </c>
      <c r="R162" s="1" t="s">
        <v>593</v>
      </c>
      <c r="S162" s="1" t="s">
        <v>594</v>
      </c>
      <c r="T162" s="1" t="s">
        <v>598</v>
      </c>
      <c r="U162">
        <v>5.79</v>
      </c>
      <c r="V162">
        <v>3.02</v>
      </c>
      <c r="W162">
        <v>12.480164</v>
      </c>
      <c r="X162">
        <v>109.13247200000001</v>
      </c>
      <c r="Y162">
        <v>2.77</v>
      </c>
      <c r="Z162">
        <v>12.509724</v>
      </c>
      <c r="AA162">
        <v>109.13747499999999</v>
      </c>
      <c r="AB162" s="5">
        <f t="shared" si="13"/>
        <v>4.5300000000000002E-3</v>
      </c>
      <c r="AC162" s="5">
        <f t="shared" si="14"/>
        <v>4.1549999999999998E-3</v>
      </c>
      <c r="AD162" s="1" t="str">
        <f t="shared" si="15"/>
        <v>1.CA Ninh Hòa</v>
      </c>
      <c r="AE162" s="1" t="str">
        <f t="shared" si="16"/>
        <v>CA Hòa Thắng_Cột trung thế</v>
      </c>
      <c r="AG162">
        <f t="shared" si="17"/>
        <v>3.0200000000000001E-3</v>
      </c>
      <c r="AH162">
        <f t="shared" si="18"/>
        <v>2.7699999999999999E-3</v>
      </c>
      <c r="AI162" t="e">
        <f>VLOOKUP(L162,'[1]Tuyến cáp H04'!$B:$E,3,0)/1000</f>
        <v>#N/A</v>
      </c>
      <c r="AJ162" t="e">
        <f>VLOOKUP(L162,'[1]Tuyến cáp H04'!$B:$E,4,0)</f>
        <v>#N/A</v>
      </c>
    </row>
    <row r="163" spans="1:36" x14ac:dyDescent="0.25">
      <c r="A163" s="1" t="s">
        <v>1599</v>
      </c>
      <c r="B163" s="1" t="s">
        <v>557</v>
      </c>
      <c r="C163" s="1" t="s">
        <v>558</v>
      </c>
      <c r="D163" s="1" t="s">
        <v>1600</v>
      </c>
      <c r="E163" s="1" t="s">
        <v>1601</v>
      </c>
      <c r="F163" s="1" t="s">
        <v>1602</v>
      </c>
      <c r="G163" s="1" t="s">
        <v>14281</v>
      </c>
      <c r="H163" s="1" t="s">
        <v>14282</v>
      </c>
      <c r="I163" s="1" t="s">
        <v>14294</v>
      </c>
      <c r="J163" s="1" t="s">
        <v>23</v>
      </c>
      <c r="K163" s="1"/>
      <c r="L163" s="1" t="s">
        <v>1168</v>
      </c>
      <c r="M163" s="1" t="s">
        <v>1603</v>
      </c>
      <c r="N163" s="1" t="s">
        <v>1173</v>
      </c>
      <c r="O163" s="1" t="s">
        <v>1174</v>
      </c>
      <c r="P163" s="1" t="s">
        <v>1175</v>
      </c>
      <c r="Q163" s="1" t="s">
        <v>1604</v>
      </c>
      <c r="R163" s="1" t="s">
        <v>1565</v>
      </c>
      <c r="S163" s="1" t="s">
        <v>1566</v>
      </c>
      <c r="T163" s="1" t="s">
        <v>1176</v>
      </c>
      <c r="U163">
        <v>842.66</v>
      </c>
      <c r="V163">
        <v>4.59</v>
      </c>
      <c r="W163">
        <v>12.540865</v>
      </c>
      <c r="X163">
        <v>109.00747800000001</v>
      </c>
      <c r="Y163">
        <v>838.08</v>
      </c>
      <c r="Z163">
        <v>12.507222000000001</v>
      </c>
      <c r="AA163">
        <v>109.072838</v>
      </c>
      <c r="AB163" s="5">
        <f t="shared" si="13"/>
        <v>6.8849999999999996E-3</v>
      </c>
      <c r="AC163" s="5">
        <f t="shared" si="14"/>
        <v>1.25712</v>
      </c>
      <c r="AD163" s="1" t="str">
        <f t="shared" si="15"/>
        <v>2.CA Nam Ninh Hòa</v>
      </c>
      <c r="AE163" s="1" t="str">
        <f t="shared" si="16"/>
        <v>CA Tây Ninh Hòa</v>
      </c>
      <c r="AG163">
        <f t="shared" si="17"/>
        <v>4.5899999999999995E-3</v>
      </c>
      <c r="AH163">
        <f t="shared" si="18"/>
        <v>0.83808000000000005</v>
      </c>
      <c r="AI163" t="e">
        <f>VLOOKUP(L163,'[1]Tuyến cáp H04'!$B:$E,3,0)/1000</f>
        <v>#N/A</v>
      </c>
      <c r="AJ163" t="e">
        <f>VLOOKUP(L163,'[1]Tuyến cáp H04'!$B:$E,4,0)</f>
        <v>#N/A</v>
      </c>
    </row>
    <row r="164" spans="1:36" x14ac:dyDescent="0.25">
      <c r="A164" s="1" t="s">
        <v>1605</v>
      </c>
      <c r="B164" s="1" t="s">
        <v>572</v>
      </c>
      <c r="C164" s="1" t="s">
        <v>573</v>
      </c>
      <c r="D164" s="1" t="s">
        <v>1606</v>
      </c>
      <c r="E164" s="1" t="s">
        <v>1607</v>
      </c>
      <c r="F164" s="1" t="s">
        <v>1608</v>
      </c>
      <c r="G164" s="1" t="s">
        <v>14281</v>
      </c>
      <c r="H164" s="1" t="s">
        <v>14282</v>
      </c>
      <c r="I164" s="1" t="s">
        <v>14295</v>
      </c>
      <c r="J164" s="1" t="s">
        <v>23</v>
      </c>
      <c r="K164" s="1"/>
      <c r="L164" s="1" t="s">
        <v>1552</v>
      </c>
      <c r="M164" s="1" t="s">
        <v>1609</v>
      </c>
      <c r="N164" s="1" t="s">
        <v>1554</v>
      </c>
      <c r="O164" s="1" t="s">
        <v>1555</v>
      </c>
      <c r="P164" s="1" t="s">
        <v>1556</v>
      </c>
      <c r="Q164" s="1" t="s">
        <v>1610</v>
      </c>
      <c r="R164" s="1" t="s">
        <v>1611</v>
      </c>
      <c r="S164" s="1" t="s">
        <v>1612</v>
      </c>
      <c r="T164" s="1" t="s">
        <v>1560</v>
      </c>
      <c r="U164">
        <v>1136.94</v>
      </c>
      <c r="V164">
        <v>693.41</v>
      </c>
      <c r="W164">
        <v>12.504054999999999</v>
      </c>
      <c r="X164">
        <v>109.14014899999999</v>
      </c>
      <c r="Y164">
        <v>443.53</v>
      </c>
      <c r="Z164">
        <v>12.420916</v>
      </c>
      <c r="AA164">
        <v>109.14434199999999</v>
      </c>
      <c r="AB164" s="5">
        <f t="shared" si="13"/>
        <v>1.0401149999999999</v>
      </c>
      <c r="AC164" s="5">
        <f t="shared" si="14"/>
        <v>0.66529499999999997</v>
      </c>
      <c r="AD164" s="1" t="str">
        <f t="shared" si="15"/>
        <v>5.Vạn Ninh</v>
      </c>
      <c r="AE164" s="1" t="str">
        <f t="shared" si="16"/>
        <v>CAT Khánh Hòa</v>
      </c>
      <c r="AG164">
        <f t="shared" si="17"/>
        <v>0.69340999999999997</v>
      </c>
      <c r="AH164">
        <f t="shared" si="18"/>
        <v>0.44352999999999998</v>
      </c>
      <c r="AI164" t="e">
        <f>VLOOKUP(L164,'[1]Tuyến cáp H04'!$B:$E,3,0)/1000</f>
        <v>#N/A</v>
      </c>
      <c r="AJ164" t="e">
        <f>VLOOKUP(L164,'[1]Tuyến cáp H04'!$B:$E,4,0)</f>
        <v>#N/A</v>
      </c>
    </row>
    <row r="165" spans="1:36" x14ac:dyDescent="0.25">
      <c r="A165" s="1" t="s">
        <v>1613</v>
      </c>
      <c r="B165" s="1" t="s">
        <v>1614</v>
      </c>
      <c r="C165" s="1" t="s">
        <v>1615</v>
      </c>
      <c r="D165" s="1" t="s">
        <v>94</v>
      </c>
      <c r="E165" s="1" t="s">
        <v>95</v>
      </c>
      <c r="F165" s="1" t="s">
        <v>1616</v>
      </c>
      <c r="G165" s="1" t="s">
        <v>14281</v>
      </c>
      <c r="H165" s="1" t="s">
        <v>14282</v>
      </c>
      <c r="I165" s="1" t="s">
        <v>14296</v>
      </c>
      <c r="J165" s="1" t="s">
        <v>23</v>
      </c>
      <c r="K165" s="1"/>
      <c r="L165" s="1" t="s">
        <v>1552</v>
      </c>
      <c r="M165" s="1" t="s">
        <v>1617</v>
      </c>
      <c r="N165" s="1" t="s">
        <v>1618</v>
      </c>
      <c r="O165" s="1" t="s">
        <v>1619</v>
      </c>
      <c r="P165" s="1" t="s">
        <v>1620</v>
      </c>
      <c r="Q165" s="1" t="s">
        <v>1557</v>
      </c>
      <c r="R165" s="1" t="s">
        <v>1558</v>
      </c>
      <c r="S165" s="1" t="s">
        <v>1559</v>
      </c>
      <c r="T165" s="1" t="s">
        <v>1560</v>
      </c>
      <c r="U165">
        <v>1629.35</v>
      </c>
      <c r="V165">
        <v>117.23</v>
      </c>
      <c r="W165">
        <v>12.338984999999999</v>
      </c>
      <c r="X165">
        <v>109.19412199999999</v>
      </c>
      <c r="Y165">
        <v>1512.13</v>
      </c>
      <c r="Z165">
        <v>12.265585</v>
      </c>
      <c r="AA165">
        <v>109.196157</v>
      </c>
      <c r="AB165" s="5">
        <f t="shared" si="13"/>
        <v>0.175845</v>
      </c>
      <c r="AC165" s="5">
        <f t="shared" si="14"/>
        <v>2.268195</v>
      </c>
      <c r="AD165" s="1" t="str">
        <f t="shared" si="15"/>
        <v>5.Vạn Ninh</v>
      </c>
      <c r="AE165" s="1" t="str">
        <f t="shared" si="16"/>
        <v>CAT Khánh Hòa</v>
      </c>
      <c r="AG165">
        <f t="shared" si="17"/>
        <v>0.11723</v>
      </c>
      <c r="AH165">
        <f t="shared" si="18"/>
        <v>1.5121300000000002</v>
      </c>
      <c r="AI165" t="e">
        <f>VLOOKUP(L165,'[1]Tuyến cáp H04'!$B:$E,3,0)/1000</f>
        <v>#N/A</v>
      </c>
      <c r="AJ165" t="e">
        <f>VLOOKUP(L165,'[1]Tuyến cáp H04'!$B:$E,4,0)</f>
        <v>#N/A</v>
      </c>
    </row>
    <row r="166" spans="1:36" x14ac:dyDescent="0.25">
      <c r="A166" s="1" t="s">
        <v>1621</v>
      </c>
      <c r="B166" s="1" t="s">
        <v>557</v>
      </c>
      <c r="C166" s="1" t="s">
        <v>558</v>
      </c>
      <c r="D166" s="1" t="s">
        <v>1622</v>
      </c>
      <c r="E166" s="1" t="s">
        <v>1623</v>
      </c>
      <c r="F166" s="1" t="s">
        <v>1624</v>
      </c>
      <c r="G166" s="1" t="s">
        <v>14281</v>
      </c>
      <c r="H166" s="1" t="s">
        <v>14282</v>
      </c>
      <c r="I166" s="1" t="s">
        <v>14297</v>
      </c>
      <c r="J166" s="1" t="s">
        <v>23</v>
      </c>
      <c r="K166" s="1"/>
      <c r="L166" s="1" t="s">
        <v>1168</v>
      </c>
      <c r="M166" s="1" t="s">
        <v>1625</v>
      </c>
      <c r="N166" s="1" t="s">
        <v>1173</v>
      </c>
      <c r="O166" s="1" t="s">
        <v>1174</v>
      </c>
      <c r="P166" s="1" t="s">
        <v>1175</v>
      </c>
      <c r="Q166" s="1" t="s">
        <v>1626</v>
      </c>
      <c r="R166" s="1" t="s">
        <v>1565</v>
      </c>
      <c r="S166" s="1" t="s">
        <v>1566</v>
      </c>
      <c r="T166" s="1" t="s">
        <v>1176</v>
      </c>
      <c r="U166">
        <v>3745.62</v>
      </c>
      <c r="V166">
        <v>4.59</v>
      </c>
      <c r="W166">
        <v>12.540865</v>
      </c>
      <c r="X166">
        <v>109.00747800000001</v>
      </c>
      <c r="Y166">
        <v>3741.03</v>
      </c>
      <c r="Z166">
        <v>12.507222000000001</v>
      </c>
      <c r="AA166">
        <v>109.072838</v>
      </c>
      <c r="AB166" s="5">
        <f t="shared" si="13"/>
        <v>6.8849999999999996E-3</v>
      </c>
      <c r="AC166" s="5">
        <f t="shared" si="14"/>
        <v>5.6115450000000004</v>
      </c>
      <c r="AD166" s="1" t="str">
        <f t="shared" si="15"/>
        <v>2.CA Nam Ninh Hòa</v>
      </c>
      <c r="AE166" s="1" t="str">
        <f t="shared" si="16"/>
        <v>CA Tây Ninh Hòa</v>
      </c>
      <c r="AG166">
        <f t="shared" si="17"/>
        <v>4.5899999999999995E-3</v>
      </c>
      <c r="AH166">
        <f t="shared" si="18"/>
        <v>3.7410300000000003</v>
      </c>
      <c r="AI166" t="e">
        <f>VLOOKUP(L166,'[1]Tuyến cáp H04'!$B:$E,3,0)/1000</f>
        <v>#N/A</v>
      </c>
      <c r="AJ166" t="e">
        <f>VLOOKUP(L166,'[1]Tuyến cáp H04'!$B:$E,4,0)</f>
        <v>#N/A</v>
      </c>
    </row>
    <row r="167" spans="1:36" x14ac:dyDescent="0.25">
      <c r="A167" s="1" t="s">
        <v>1627</v>
      </c>
      <c r="B167" s="1" t="s">
        <v>1187</v>
      </c>
      <c r="C167" s="1" t="s">
        <v>1188</v>
      </c>
      <c r="D167" s="1" t="s">
        <v>572</v>
      </c>
      <c r="E167" s="1" t="s">
        <v>573</v>
      </c>
      <c r="F167" s="1" t="s">
        <v>1628</v>
      </c>
      <c r="G167" s="1" t="s">
        <v>14281</v>
      </c>
      <c r="H167" s="1" t="s">
        <v>14282</v>
      </c>
      <c r="I167" s="1" t="s">
        <v>14298</v>
      </c>
      <c r="J167" s="1" t="s">
        <v>23</v>
      </c>
      <c r="K167" s="1"/>
      <c r="L167" s="1" t="s">
        <v>577</v>
      </c>
      <c r="M167" s="1" t="s">
        <v>1629</v>
      </c>
      <c r="N167" s="1" t="s">
        <v>1194</v>
      </c>
      <c r="O167" s="1" t="s">
        <v>1195</v>
      </c>
      <c r="P167" s="1" t="s">
        <v>1196</v>
      </c>
      <c r="Q167" s="1" t="s">
        <v>1630</v>
      </c>
      <c r="R167" s="1" t="s">
        <v>1631</v>
      </c>
      <c r="S167" s="1" t="s">
        <v>1632</v>
      </c>
      <c r="T167" s="1" t="s">
        <v>1197</v>
      </c>
      <c r="U167">
        <v>1612.06</v>
      </c>
      <c r="V167">
        <v>381.98</v>
      </c>
      <c r="W167">
        <v>12.49287</v>
      </c>
      <c r="X167">
        <v>109.11403300000001</v>
      </c>
      <c r="Y167">
        <v>1230.07</v>
      </c>
      <c r="Z167">
        <v>12.499727999999999</v>
      </c>
      <c r="AA167">
        <v>109.13266</v>
      </c>
      <c r="AB167" s="5">
        <f t="shared" si="13"/>
        <v>0.57296999999999998</v>
      </c>
      <c r="AC167" s="5">
        <f t="shared" si="14"/>
        <v>1.845105</v>
      </c>
      <c r="AD167" s="1" t="str">
        <f t="shared" si="15"/>
        <v>3.CA Tân Định</v>
      </c>
      <c r="AE167" s="1" t="str">
        <f t="shared" si="16"/>
        <v>CA Ninh Hòa</v>
      </c>
      <c r="AG167">
        <f t="shared" si="17"/>
        <v>0.38198000000000004</v>
      </c>
      <c r="AH167">
        <f t="shared" si="18"/>
        <v>1.23007</v>
      </c>
      <c r="AI167" t="e">
        <f>VLOOKUP(L167,'[1]Tuyến cáp H04'!$B:$E,3,0)/1000</f>
        <v>#N/A</v>
      </c>
      <c r="AJ167" t="e">
        <f>VLOOKUP(L167,'[1]Tuyến cáp H04'!$B:$E,4,0)</f>
        <v>#N/A</v>
      </c>
    </row>
    <row r="168" spans="1:36" x14ac:dyDescent="0.25">
      <c r="A168" s="1" t="s">
        <v>1633</v>
      </c>
      <c r="B168" s="1" t="s">
        <v>756</v>
      </c>
      <c r="C168" s="1" t="s">
        <v>757</v>
      </c>
      <c r="D168" s="1" t="s">
        <v>1634</v>
      </c>
      <c r="E168" s="1" t="s">
        <v>1635</v>
      </c>
      <c r="F168" s="1" t="s">
        <v>1636</v>
      </c>
      <c r="G168" s="1" t="s">
        <v>14281</v>
      </c>
      <c r="H168" s="1" t="s">
        <v>14282</v>
      </c>
      <c r="I168" s="1" t="s">
        <v>14299</v>
      </c>
      <c r="J168" s="1" t="s">
        <v>23</v>
      </c>
      <c r="K168" s="1"/>
      <c r="L168" s="1" t="s">
        <v>1025</v>
      </c>
      <c r="M168" s="1" t="s">
        <v>1637</v>
      </c>
      <c r="N168" s="1" t="s">
        <v>1030</v>
      </c>
      <c r="O168" s="1" t="s">
        <v>1031</v>
      </c>
      <c r="P168" s="1" t="s">
        <v>1032</v>
      </c>
      <c r="Q168" s="1" t="s">
        <v>1638</v>
      </c>
      <c r="R168" s="1" t="s">
        <v>1639</v>
      </c>
      <c r="S168" s="1" t="s">
        <v>1640</v>
      </c>
      <c r="T168" s="1" t="s">
        <v>1033</v>
      </c>
      <c r="U168">
        <v>1164.23</v>
      </c>
      <c r="V168">
        <v>487.03</v>
      </c>
      <c r="W168">
        <v>12.693424</v>
      </c>
      <c r="X168">
        <v>109.21732799999999</v>
      </c>
      <c r="Y168">
        <v>677.21</v>
      </c>
      <c r="Z168">
        <v>12.731598</v>
      </c>
      <c r="AA168">
        <v>109.264076</v>
      </c>
      <c r="AB168" s="5">
        <f t="shared" si="13"/>
        <v>0.730545</v>
      </c>
      <c r="AC168" s="5">
        <f t="shared" si="14"/>
        <v>1.0158150000000001</v>
      </c>
      <c r="AD168" s="1" t="str">
        <f t="shared" si="15"/>
        <v>4.CA Đại Lãnh</v>
      </c>
      <c r="AE168" s="1" t="str">
        <f t="shared" si="16"/>
        <v>CA Vạn Ninh</v>
      </c>
      <c r="AG168">
        <f t="shared" si="17"/>
        <v>0.48702999999999996</v>
      </c>
      <c r="AH168">
        <f t="shared" si="18"/>
        <v>0.67721000000000009</v>
      </c>
      <c r="AI168" t="e">
        <f>VLOOKUP(L168,'[1]Tuyến cáp H04'!$B:$E,3,0)/1000</f>
        <v>#N/A</v>
      </c>
      <c r="AJ168" t="e">
        <f>VLOOKUP(L168,'[1]Tuyến cáp H04'!$B:$E,4,0)</f>
        <v>#N/A</v>
      </c>
    </row>
    <row r="169" spans="1:36" x14ac:dyDescent="0.25">
      <c r="A169" s="1" t="s">
        <v>1641</v>
      </c>
      <c r="B169" s="1" t="s">
        <v>1642</v>
      </c>
      <c r="C169" s="1" t="s">
        <v>1643</v>
      </c>
      <c r="D169" s="1" t="s">
        <v>1644</v>
      </c>
      <c r="E169" s="1" t="s">
        <v>1645</v>
      </c>
      <c r="F169" s="1" t="s">
        <v>1646</v>
      </c>
      <c r="G169" s="1" t="s">
        <v>14281</v>
      </c>
      <c r="H169" s="1" t="s">
        <v>14282</v>
      </c>
      <c r="I169" s="1" t="s">
        <v>14300</v>
      </c>
      <c r="J169" s="1" t="s">
        <v>23</v>
      </c>
      <c r="K169" s="1"/>
      <c r="L169" s="1" t="s">
        <v>1647</v>
      </c>
      <c r="M169" s="1" t="s">
        <v>1648</v>
      </c>
      <c r="N169" s="1" t="s">
        <v>1649</v>
      </c>
      <c r="O169" s="1" t="s">
        <v>1650</v>
      </c>
      <c r="P169" s="1" t="s">
        <v>1651</v>
      </c>
      <c r="Q169" s="1" t="s">
        <v>1652</v>
      </c>
      <c r="R169" s="1" t="s">
        <v>1653</v>
      </c>
      <c r="S169" s="1" t="s">
        <v>1654</v>
      </c>
      <c r="T169" s="1" t="s">
        <v>1655</v>
      </c>
      <c r="U169">
        <v>8.64</v>
      </c>
      <c r="V169">
        <v>2.08</v>
      </c>
      <c r="W169">
        <v>12.778815</v>
      </c>
      <c r="X169">
        <v>109.312718</v>
      </c>
      <c r="Y169">
        <v>6.55</v>
      </c>
      <c r="Z169">
        <v>12.803207</v>
      </c>
      <c r="AA169">
        <v>109.33374000000001</v>
      </c>
      <c r="AB169" s="5">
        <f t="shared" si="13"/>
        <v>3.1199999999999999E-3</v>
      </c>
      <c r="AC169" s="5">
        <f t="shared" si="14"/>
        <v>9.8249999999999987E-3</v>
      </c>
      <c r="AD169" s="1" t="str">
        <f t="shared" si="15"/>
        <v>3.CA Tu Bông</v>
      </c>
      <c r="AE169" s="1" t="str">
        <f t="shared" si="16"/>
        <v>CA Đại Lãnh_Cột trung thế</v>
      </c>
      <c r="AG169">
        <f t="shared" si="17"/>
        <v>2.0800000000000003E-3</v>
      </c>
      <c r="AH169">
        <f t="shared" si="18"/>
        <v>6.5499999999999994E-3</v>
      </c>
      <c r="AI169" t="e">
        <f>VLOOKUP(L169,'[1]Tuyến cáp H04'!$B:$E,3,0)/1000</f>
        <v>#N/A</v>
      </c>
      <c r="AJ169" t="e">
        <f>VLOOKUP(L169,'[1]Tuyến cáp H04'!$B:$E,4,0)</f>
        <v>#N/A</v>
      </c>
    </row>
    <row r="170" spans="1:36" x14ac:dyDescent="0.25">
      <c r="A170" s="1" t="s">
        <v>1656</v>
      </c>
      <c r="B170" s="1" t="s">
        <v>1644</v>
      </c>
      <c r="C170" s="1" t="s">
        <v>1645</v>
      </c>
      <c r="D170" s="1" t="s">
        <v>1539</v>
      </c>
      <c r="E170" s="1" t="s">
        <v>1540</v>
      </c>
      <c r="F170" s="1" t="s">
        <v>1657</v>
      </c>
      <c r="G170" s="1" t="s">
        <v>14281</v>
      </c>
      <c r="H170" s="1" t="s">
        <v>14282</v>
      </c>
      <c r="I170" s="1" t="s">
        <v>14301</v>
      </c>
      <c r="J170" s="1" t="s">
        <v>23</v>
      </c>
      <c r="K170" s="1"/>
      <c r="L170" s="1" t="s">
        <v>1025</v>
      </c>
      <c r="M170" s="1" t="s">
        <v>1658</v>
      </c>
      <c r="N170" s="1" t="s">
        <v>1659</v>
      </c>
      <c r="O170" s="1" t="s">
        <v>1660</v>
      </c>
      <c r="P170" s="1" t="s">
        <v>1661</v>
      </c>
      <c r="Q170" s="1" t="s">
        <v>1662</v>
      </c>
      <c r="R170" s="1" t="s">
        <v>1031</v>
      </c>
      <c r="S170" s="1" t="s">
        <v>1032</v>
      </c>
      <c r="T170" s="1" t="s">
        <v>1033</v>
      </c>
      <c r="U170">
        <v>5977.23</v>
      </c>
      <c r="V170">
        <v>6.73</v>
      </c>
      <c r="W170">
        <v>12.8032</v>
      </c>
      <c r="X170">
        <v>109.33373899999999</v>
      </c>
      <c r="Y170">
        <v>5970.5</v>
      </c>
      <c r="Z170">
        <v>12.693424</v>
      </c>
      <c r="AA170">
        <v>109.21732799999999</v>
      </c>
      <c r="AB170" s="5">
        <f t="shared" si="13"/>
        <v>1.0095E-2</v>
      </c>
      <c r="AC170" s="5">
        <f t="shared" si="14"/>
        <v>8.9557500000000001</v>
      </c>
      <c r="AD170" s="1" t="str">
        <f t="shared" si="15"/>
        <v>4.CA Đại Lãnh</v>
      </c>
      <c r="AE170" s="1" t="str">
        <f t="shared" si="16"/>
        <v>CA Vạn Ninh</v>
      </c>
      <c r="AG170">
        <f t="shared" si="17"/>
        <v>6.7300000000000007E-3</v>
      </c>
      <c r="AH170">
        <f t="shared" si="18"/>
        <v>5.9705000000000004</v>
      </c>
      <c r="AI170" t="e">
        <f>VLOOKUP(L170,'[1]Tuyến cáp H04'!$B:$E,3,0)/1000</f>
        <v>#N/A</v>
      </c>
      <c r="AJ170" t="e">
        <f>VLOOKUP(L170,'[1]Tuyến cáp H04'!$B:$E,4,0)</f>
        <v>#N/A</v>
      </c>
    </row>
    <row r="171" spans="1:36" x14ac:dyDescent="0.25">
      <c r="A171" s="1" t="s">
        <v>1663</v>
      </c>
      <c r="B171" s="1" t="s">
        <v>756</v>
      </c>
      <c r="C171" s="1" t="s">
        <v>757</v>
      </c>
      <c r="D171" s="1" t="s">
        <v>1664</v>
      </c>
      <c r="E171" s="1" t="s">
        <v>1665</v>
      </c>
      <c r="F171" s="1" t="s">
        <v>1666</v>
      </c>
      <c r="G171" s="1" t="s">
        <v>14281</v>
      </c>
      <c r="H171" s="1" t="s">
        <v>14282</v>
      </c>
      <c r="I171" s="1" t="s">
        <v>14302</v>
      </c>
      <c r="J171" s="1" t="s">
        <v>23</v>
      </c>
      <c r="K171" s="1"/>
      <c r="L171" s="1" t="s">
        <v>1012</v>
      </c>
      <c r="M171" s="1" t="s">
        <v>1667</v>
      </c>
      <c r="N171" s="1" t="s">
        <v>1017</v>
      </c>
      <c r="O171" s="1" t="s">
        <v>1018</v>
      </c>
      <c r="P171" s="1" t="s">
        <v>1019</v>
      </c>
      <c r="Q171" s="1" t="s">
        <v>1668</v>
      </c>
      <c r="R171" s="1" t="s">
        <v>1669</v>
      </c>
      <c r="S171" s="1" t="s">
        <v>1670</v>
      </c>
      <c r="T171" s="1" t="s">
        <v>1020</v>
      </c>
      <c r="U171">
        <v>499.96</v>
      </c>
      <c r="V171">
        <v>3.57</v>
      </c>
      <c r="W171">
        <v>12.690783</v>
      </c>
      <c r="X171">
        <v>109.22087000000001</v>
      </c>
      <c r="Y171">
        <v>496.38</v>
      </c>
      <c r="Z171">
        <v>12.697971000000001</v>
      </c>
      <c r="AA171">
        <v>109.226242</v>
      </c>
      <c r="AB171" s="5">
        <f t="shared" si="13"/>
        <v>5.3549999999999995E-3</v>
      </c>
      <c r="AC171" s="5">
        <f t="shared" si="14"/>
        <v>0.74456999999999995</v>
      </c>
      <c r="AD171" s="1" t="str">
        <f t="shared" si="15"/>
        <v>1.CA Vạn Ninh</v>
      </c>
      <c r="AE171" s="1" t="str">
        <f t="shared" si="16"/>
        <v>CA Vạn Thắng_Cột trung thế</v>
      </c>
      <c r="AG171">
        <f t="shared" si="17"/>
        <v>3.5699999999999998E-3</v>
      </c>
      <c r="AH171">
        <f t="shared" si="18"/>
        <v>0.49637999999999999</v>
      </c>
      <c r="AI171" t="e">
        <f>VLOOKUP(L171,'[1]Tuyến cáp H04'!$B:$E,3,0)/1000</f>
        <v>#N/A</v>
      </c>
      <c r="AJ171" t="e">
        <f>VLOOKUP(L171,'[1]Tuyến cáp H04'!$B:$E,4,0)</f>
        <v>#N/A</v>
      </c>
    </row>
    <row r="172" spans="1:36" x14ac:dyDescent="0.25">
      <c r="A172" s="1" t="s">
        <v>1671</v>
      </c>
      <c r="B172" s="1" t="s">
        <v>1445</v>
      </c>
      <c r="C172" s="1" t="s">
        <v>1446</v>
      </c>
      <c r="D172" s="1" t="s">
        <v>1672</v>
      </c>
      <c r="E172" s="1" t="s">
        <v>1673</v>
      </c>
      <c r="F172" s="1" t="s">
        <v>1674</v>
      </c>
      <c r="G172" s="1" t="s">
        <v>14281</v>
      </c>
      <c r="H172" s="1" t="s">
        <v>14282</v>
      </c>
      <c r="I172" s="1" t="s">
        <v>14303</v>
      </c>
      <c r="J172" s="1" t="s">
        <v>23</v>
      </c>
      <c r="K172" s="1"/>
      <c r="L172" s="1" t="s">
        <v>1675</v>
      </c>
      <c r="M172" s="1" t="s">
        <v>1676</v>
      </c>
      <c r="N172" s="1" t="s">
        <v>1677</v>
      </c>
      <c r="O172" s="1" t="s">
        <v>1678</v>
      </c>
      <c r="P172" s="1" t="s">
        <v>1679</v>
      </c>
      <c r="Q172" s="1" t="s">
        <v>1680</v>
      </c>
      <c r="R172" s="1" t="s">
        <v>1681</v>
      </c>
      <c r="S172" s="1" t="s">
        <v>1682</v>
      </c>
      <c r="T172" s="1" t="s">
        <v>1683</v>
      </c>
      <c r="U172">
        <v>1157.51</v>
      </c>
      <c r="V172">
        <v>5.23</v>
      </c>
      <c r="W172">
        <v>12.555443</v>
      </c>
      <c r="X172">
        <v>109.217606</v>
      </c>
      <c r="Y172">
        <v>1152.28</v>
      </c>
      <c r="Z172">
        <v>12.543041000000001</v>
      </c>
      <c r="AA172">
        <v>109.215219</v>
      </c>
      <c r="AB172" s="5">
        <f t="shared" si="13"/>
        <v>7.8450000000000013E-3</v>
      </c>
      <c r="AC172" s="5">
        <f t="shared" si="14"/>
        <v>1.7284200000000001</v>
      </c>
      <c r="AD172" s="1" t="str">
        <f t="shared" si="15"/>
        <v>1.CA Ninh Hòa</v>
      </c>
      <c r="AE172" s="1" t="str">
        <f t="shared" si="16"/>
        <v>CA Đông Ninh Hòa_Đoạn cột trung thế</v>
      </c>
      <c r="AG172">
        <f t="shared" si="17"/>
        <v>5.2300000000000003E-3</v>
      </c>
      <c r="AH172">
        <f t="shared" si="18"/>
        <v>1.15228</v>
      </c>
      <c r="AI172" t="e">
        <f>VLOOKUP(L172,'[1]Tuyến cáp H04'!$B:$E,3,0)/1000</f>
        <v>#N/A</v>
      </c>
      <c r="AJ172" t="e">
        <f>VLOOKUP(L172,'[1]Tuyến cáp H04'!$B:$E,4,0)</f>
        <v>#N/A</v>
      </c>
    </row>
    <row r="173" spans="1:36" x14ac:dyDescent="0.25">
      <c r="A173" s="1" t="s">
        <v>1684</v>
      </c>
      <c r="B173" s="1" t="s">
        <v>1685</v>
      </c>
      <c r="C173" s="1" t="s">
        <v>1686</v>
      </c>
      <c r="D173" s="1" t="s">
        <v>1687</v>
      </c>
      <c r="E173" s="1" t="s">
        <v>1688</v>
      </c>
      <c r="F173" s="1" t="s">
        <v>1689</v>
      </c>
      <c r="G173" s="1" t="s">
        <v>14281</v>
      </c>
      <c r="H173" s="1" t="s">
        <v>14282</v>
      </c>
      <c r="I173" s="1" t="s">
        <v>14304</v>
      </c>
      <c r="J173" s="1" t="s">
        <v>23</v>
      </c>
      <c r="K173" s="1"/>
      <c r="L173" s="1" t="s">
        <v>747</v>
      </c>
      <c r="M173" s="1" t="s">
        <v>1690</v>
      </c>
      <c r="N173" s="1" t="s">
        <v>1691</v>
      </c>
      <c r="O173" s="1" t="s">
        <v>1692</v>
      </c>
      <c r="P173" s="1" t="s">
        <v>1693</v>
      </c>
      <c r="Q173" s="1" t="s">
        <v>1694</v>
      </c>
      <c r="R173" s="1" t="s">
        <v>1695</v>
      </c>
      <c r="S173" s="1" t="s">
        <v>1696</v>
      </c>
      <c r="T173" s="1" t="s">
        <v>754</v>
      </c>
      <c r="U173">
        <v>742.02</v>
      </c>
      <c r="V173">
        <v>467.73</v>
      </c>
      <c r="W173">
        <v>12.533543</v>
      </c>
      <c r="X173">
        <v>109.16426800000001</v>
      </c>
      <c r="Y173">
        <v>274.29000000000002</v>
      </c>
      <c r="Z173">
        <v>12.505212999999999</v>
      </c>
      <c r="AA173">
        <v>109.141811</v>
      </c>
      <c r="AB173" s="5">
        <f t="shared" si="13"/>
        <v>0.70159500000000008</v>
      </c>
      <c r="AC173" s="5">
        <f t="shared" si="14"/>
        <v>0.41143500000000005</v>
      </c>
      <c r="AD173" s="1" t="str">
        <f t="shared" si="15"/>
        <v>5.Trạm CSGT Ninh An cũ</v>
      </c>
      <c r="AE173" s="1" t="str">
        <f t="shared" si="16"/>
        <v>Ninh Hòa</v>
      </c>
      <c r="AG173">
        <f t="shared" si="17"/>
        <v>0.46773000000000003</v>
      </c>
      <c r="AH173">
        <f t="shared" si="18"/>
        <v>0.27429000000000003</v>
      </c>
      <c r="AI173" t="e">
        <f>VLOOKUP(L173,'[1]Tuyến cáp H04'!$B:$E,3,0)/1000</f>
        <v>#N/A</v>
      </c>
      <c r="AJ173" t="e">
        <f>VLOOKUP(L173,'[1]Tuyến cáp H04'!$B:$E,4,0)</f>
        <v>#N/A</v>
      </c>
    </row>
    <row r="174" spans="1:36" x14ac:dyDescent="0.25">
      <c r="A174" s="1" t="s">
        <v>1517</v>
      </c>
      <c r="B174" s="1" t="s">
        <v>77</v>
      </c>
      <c r="C174" s="1" t="s">
        <v>78</v>
      </c>
      <c r="D174" s="1" t="s">
        <v>94</v>
      </c>
      <c r="E174" s="1" t="s">
        <v>95</v>
      </c>
      <c r="F174" s="1" t="s">
        <v>1518</v>
      </c>
      <c r="G174" s="1" t="s">
        <v>14281</v>
      </c>
      <c r="H174" s="1" t="s">
        <v>14282</v>
      </c>
      <c r="I174" s="1" t="s">
        <v>14283</v>
      </c>
      <c r="J174" s="1" t="s">
        <v>23</v>
      </c>
      <c r="K174" s="1"/>
      <c r="L174" s="1" t="s">
        <v>82</v>
      </c>
      <c r="M174" s="1" t="s">
        <v>1519</v>
      </c>
      <c r="N174" s="1" t="s">
        <v>84</v>
      </c>
      <c r="O174" s="1" t="s">
        <v>85</v>
      </c>
      <c r="P174" s="1" t="s">
        <v>86</v>
      </c>
      <c r="Q174" s="1" t="s">
        <v>1520</v>
      </c>
      <c r="R174" s="1" t="s">
        <v>1408</v>
      </c>
      <c r="S174" s="1" t="s">
        <v>1409</v>
      </c>
      <c r="T174" s="1" t="s">
        <v>90</v>
      </c>
      <c r="U174">
        <v>2190.4299999999998</v>
      </c>
      <c r="V174">
        <v>9.18</v>
      </c>
      <c r="W174">
        <v>12.175753</v>
      </c>
      <c r="X174">
        <v>109.173635</v>
      </c>
      <c r="Y174">
        <v>2181.2399999999998</v>
      </c>
      <c r="Z174">
        <v>12.235105000000001</v>
      </c>
      <c r="AA174">
        <v>109.18385600000001</v>
      </c>
      <c r="AB174" s="5">
        <f t="shared" si="13"/>
        <v>1.3769999999999999E-2</v>
      </c>
      <c r="AC174" s="5">
        <f t="shared" si="14"/>
        <v>3.2718599999999998</v>
      </c>
      <c r="AD174" s="1" t="str">
        <f t="shared" si="15"/>
        <v>3.PA06 cs2</v>
      </c>
      <c r="AE174" s="1" t="str">
        <f t="shared" si="16"/>
        <v>PC11a</v>
      </c>
      <c r="AG174">
        <f t="shared" si="17"/>
        <v>9.1799999999999989E-3</v>
      </c>
      <c r="AH174">
        <f t="shared" si="18"/>
        <v>2.1812399999999998</v>
      </c>
      <c r="AI174" t="e">
        <f>VLOOKUP(L174,'[1]Tuyến cáp H04'!$B:$E,3,0)/1000</f>
        <v>#N/A</v>
      </c>
      <c r="AJ174" t="e">
        <f>VLOOKUP(L174,'[1]Tuyến cáp H04'!$B:$E,4,0)</f>
        <v>#N/A</v>
      </c>
    </row>
    <row r="175" spans="1:36" x14ac:dyDescent="0.25">
      <c r="A175" s="1" t="s">
        <v>1578</v>
      </c>
      <c r="B175" s="1" t="s">
        <v>612</v>
      </c>
      <c r="C175" s="1" t="s">
        <v>613</v>
      </c>
      <c r="D175" s="1" t="s">
        <v>362</v>
      </c>
      <c r="E175" s="1" t="s">
        <v>363</v>
      </c>
      <c r="F175" s="1" t="s">
        <v>1579</v>
      </c>
      <c r="G175" s="1" t="s">
        <v>14281</v>
      </c>
      <c r="H175" s="1" t="s">
        <v>14282</v>
      </c>
      <c r="I175" s="1" t="s">
        <v>14290</v>
      </c>
      <c r="J175" s="1" t="s">
        <v>23</v>
      </c>
      <c r="K175" s="1"/>
      <c r="L175" s="1" t="s">
        <v>886</v>
      </c>
      <c r="M175" s="1" t="s">
        <v>1580</v>
      </c>
      <c r="N175" s="1" t="s">
        <v>1581</v>
      </c>
      <c r="O175" s="1" t="s">
        <v>1582</v>
      </c>
      <c r="P175" s="1" t="s">
        <v>1583</v>
      </c>
      <c r="Q175" s="1" t="s">
        <v>888</v>
      </c>
      <c r="R175" s="1" t="s">
        <v>889</v>
      </c>
      <c r="S175" s="1" t="s">
        <v>890</v>
      </c>
      <c r="T175" s="1" t="s">
        <v>894</v>
      </c>
      <c r="U175">
        <v>445.58</v>
      </c>
      <c r="V175">
        <v>320.16000000000003</v>
      </c>
      <c r="W175">
        <v>11.923038</v>
      </c>
      <c r="X175">
        <v>109.165192</v>
      </c>
      <c r="Y175">
        <v>125.41</v>
      </c>
      <c r="Z175">
        <v>11.976637</v>
      </c>
      <c r="AA175">
        <v>109.19564699999999</v>
      </c>
      <c r="AB175" s="5">
        <f t="shared" si="13"/>
        <v>0.48024</v>
      </c>
      <c r="AC175" s="5">
        <f t="shared" si="14"/>
        <v>0.188115</v>
      </c>
      <c r="AD175" s="1" t="str">
        <f t="shared" si="15"/>
        <v>1.CA Cam Ranh</v>
      </c>
      <c r="AE175" s="1" t="str">
        <f t="shared" si="16"/>
        <v>CA Bắc Cam Ranh</v>
      </c>
      <c r="AG175">
        <f t="shared" si="17"/>
        <v>0.32016</v>
      </c>
      <c r="AH175">
        <f t="shared" si="18"/>
        <v>0.12540999999999999</v>
      </c>
      <c r="AI175" t="e">
        <f>VLOOKUP(L175,'[1]Tuyến cáp H04'!$B:$E,3,0)/1000</f>
        <v>#N/A</v>
      </c>
      <c r="AJ175" t="e">
        <f>VLOOKUP(L175,'[1]Tuyến cáp H04'!$B:$E,4,0)</f>
        <v>#N/A</v>
      </c>
    </row>
    <row r="176" spans="1:36" x14ac:dyDescent="0.25">
      <c r="A176" s="1" t="s">
        <v>1584</v>
      </c>
      <c r="B176" s="1" t="s">
        <v>362</v>
      </c>
      <c r="C176" s="1" t="s">
        <v>363</v>
      </c>
      <c r="D176" s="1" t="s">
        <v>780</v>
      </c>
      <c r="E176" s="1" t="s">
        <v>781</v>
      </c>
      <c r="F176" s="1" t="s">
        <v>1585</v>
      </c>
      <c r="G176" s="1" t="s">
        <v>14281</v>
      </c>
      <c r="H176" s="1" t="s">
        <v>14282</v>
      </c>
      <c r="I176" s="1" t="s">
        <v>14291</v>
      </c>
      <c r="J176" s="1" t="s">
        <v>23</v>
      </c>
      <c r="K176" s="1"/>
      <c r="L176" s="1" t="s">
        <v>861</v>
      </c>
      <c r="M176" s="1" t="s">
        <v>1586</v>
      </c>
      <c r="N176" s="1" t="s">
        <v>863</v>
      </c>
      <c r="O176" s="1" t="s">
        <v>864</v>
      </c>
      <c r="P176" s="1" t="s">
        <v>865</v>
      </c>
      <c r="Q176" s="1" t="s">
        <v>911</v>
      </c>
      <c r="R176" s="1" t="s">
        <v>912</v>
      </c>
      <c r="S176" s="1" t="s">
        <v>913</v>
      </c>
      <c r="T176" s="1" t="s">
        <v>869</v>
      </c>
      <c r="U176">
        <v>680.22</v>
      </c>
      <c r="V176">
        <v>674.9</v>
      </c>
      <c r="W176">
        <v>11.970426</v>
      </c>
      <c r="X176">
        <v>109.192857</v>
      </c>
      <c r="Y176">
        <v>5.32</v>
      </c>
      <c r="Z176">
        <v>12.074472</v>
      </c>
      <c r="AA176">
        <v>109.168063</v>
      </c>
      <c r="AB176" s="5">
        <f t="shared" si="13"/>
        <v>1.0123499999999999</v>
      </c>
      <c r="AC176" s="5">
        <f t="shared" si="14"/>
        <v>7.980000000000001E-3</v>
      </c>
      <c r="AD176" s="1" t="str">
        <f t="shared" si="15"/>
        <v>2.Cam Lâm</v>
      </c>
      <c r="AE176" s="1" t="str">
        <f t="shared" si="16"/>
        <v>Cam Ranh</v>
      </c>
      <c r="AG176">
        <f t="shared" si="17"/>
        <v>0.67489999999999994</v>
      </c>
      <c r="AH176">
        <f t="shared" si="18"/>
        <v>5.3200000000000001E-3</v>
      </c>
      <c r="AI176" t="e">
        <f>VLOOKUP(L176,'[1]Tuyến cáp H04'!$B:$E,3,0)/1000</f>
        <v>#N/A</v>
      </c>
      <c r="AJ176" t="e">
        <f>VLOOKUP(L176,'[1]Tuyến cáp H04'!$B:$E,4,0)</f>
        <v>#N/A</v>
      </c>
    </row>
    <row r="177" spans="1:36" x14ac:dyDescent="0.25">
      <c r="A177" s="1" t="s">
        <v>1697</v>
      </c>
      <c r="B177" s="1" t="s">
        <v>1360</v>
      </c>
      <c r="C177" s="1" t="s">
        <v>1361</v>
      </c>
      <c r="D177" s="1" t="s">
        <v>393</v>
      </c>
      <c r="E177" s="1" t="s">
        <v>394</v>
      </c>
      <c r="F177" s="1" t="s">
        <v>1698</v>
      </c>
      <c r="G177" s="1" t="s">
        <v>14281</v>
      </c>
      <c r="H177" s="1" t="s">
        <v>14282</v>
      </c>
      <c r="I177" s="1" t="s">
        <v>14305</v>
      </c>
      <c r="J177" s="1" t="s">
        <v>23</v>
      </c>
      <c r="K177" s="1"/>
      <c r="L177" s="1" t="s">
        <v>1569</v>
      </c>
      <c r="M177" s="1" t="s">
        <v>1699</v>
      </c>
      <c r="N177" s="1" t="s">
        <v>1700</v>
      </c>
      <c r="O177" s="1" t="s">
        <v>1701</v>
      </c>
      <c r="P177" s="1" t="s">
        <v>1702</v>
      </c>
      <c r="Q177" s="1" t="s">
        <v>1571</v>
      </c>
      <c r="R177" s="1" t="s">
        <v>1572</v>
      </c>
      <c r="S177" s="1" t="s">
        <v>1573</v>
      </c>
      <c r="T177" s="1" t="s">
        <v>1577</v>
      </c>
      <c r="U177">
        <v>1566.48</v>
      </c>
      <c r="V177">
        <v>818.28</v>
      </c>
      <c r="W177">
        <v>12.25568</v>
      </c>
      <c r="X177">
        <v>109.086596</v>
      </c>
      <c r="Y177">
        <v>748.2</v>
      </c>
      <c r="Z177">
        <v>12.262793</v>
      </c>
      <c r="AA177">
        <v>109.03595900000001</v>
      </c>
      <c r="AB177" s="5">
        <f t="shared" si="13"/>
        <v>1.2274200000000002</v>
      </c>
      <c r="AC177" s="5">
        <f t="shared" si="14"/>
        <v>1.1223000000000001</v>
      </c>
      <c r="AD177" s="1" t="str">
        <f t="shared" si="15"/>
        <v>4.CA Diên Thọ</v>
      </c>
      <c r="AE177" s="1" t="str">
        <f t="shared" si="16"/>
        <v>CA Diên Khánh</v>
      </c>
      <c r="AG177">
        <f t="shared" si="17"/>
        <v>0.81828000000000001</v>
      </c>
      <c r="AH177">
        <f t="shared" si="18"/>
        <v>0.74820000000000009</v>
      </c>
      <c r="AI177" t="e">
        <f>VLOOKUP(L177,'[1]Tuyến cáp H04'!$B:$E,3,0)/1000</f>
        <v>#N/A</v>
      </c>
      <c r="AJ177" t="e">
        <f>VLOOKUP(L177,'[1]Tuyến cáp H04'!$B:$E,4,0)</f>
        <v>#N/A</v>
      </c>
    </row>
    <row r="178" spans="1:36" x14ac:dyDescent="0.25">
      <c r="A178" s="1" t="s">
        <v>1703</v>
      </c>
      <c r="B178" s="1" t="s">
        <v>1360</v>
      </c>
      <c r="C178" s="1" t="s">
        <v>1361</v>
      </c>
      <c r="D178" s="1" t="s">
        <v>557</v>
      </c>
      <c r="E178" s="1" t="s">
        <v>558</v>
      </c>
      <c r="F178" s="1" t="s">
        <v>1704</v>
      </c>
      <c r="G178" s="1" t="s">
        <v>14281</v>
      </c>
      <c r="H178" s="1" t="s">
        <v>14282</v>
      </c>
      <c r="I178" s="1" t="s">
        <v>14306</v>
      </c>
      <c r="J178" s="1" t="s">
        <v>23</v>
      </c>
      <c r="K178" s="1"/>
      <c r="L178" s="1" t="s">
        <v>1552</v>
      </c>
      <c r="M178" s="1" t="s">
        <v>1705</v>
      </c>
      <c r="N178" s="1" t="s">
        <v>1706</v>
      </c>
      <c r="O178" s="1" t="s">
        <v>1707</v>
      </c>
      <c r="P178" s="1" t="s">
        <v>1708</v>
      </c>
      <c r="Q178" s="1" t="s">
        <v>1709</v>
      </c>
      <c r="R178" s="1" t="s">
        <v>1710</v>
      </c>
      <c r="S178" s="1" t="s">
        <v>1711</v>
      </c>
      <c r="T178" s="1" t="s">
        <v>1560</v>
      </c>
      <c r="U178">
        <v>25735.56</v>
      </c>
      <c r="V178">
        <v>10890.65</v>
      </c>
      <c r="W178">
        <v>12.292956999999999</v>
      </c>
      <c r="X178">
        <v>109.187048</v>
      </c>
      <c r="Y178">
        <v>14844.91</v>
      </c>
      <c r="Z178">
        <v>12.501725</v>
      </c>
      <c r="AA178">
        <v>109.13825799999999</v>
      </c>
      <c r="AB178" s="5">
        <f t="shared" si="13"/>
        <v>16.335974999999998</v>
      </c>
      <c r="AC178" s="5">
        <f t="shared" si="14"/>
        <v>22.267364999999998</v>
      </c>
      <c r="AD178" s="1" t="str">
        <f t="shared" si="15"/>
        <v>5.Vạn Ninh</v>
      </c>
      <c r="AE178" s="1" t="str">
        <f t="shared" si="16"/>
        <v>CAT Khánh Hòa</v>
      </c>
      <c r="AG178">
        <f t="shared" si="17"/>
        <v>10.890649999999999</v>
      </c>
      <c r="AH178">
        <f t="shared" si="18"/>
        <v>14.84491</v>
      </c>
      <c r="AI178" t="e">
        <f>VLOOKUP(L178,'[1]Tuyến cáp H04'!$B:$E,3,0)/1000</f>
        <v>#N/A</v>
      </c>
      <c r="AJ178" t="e">
        <f>VLOOKUP(L178,'[1]Tuyến cáp H04'!$B:$E,4,0)</f>
        <v>#N/A</v>
      </c>
    </row>
    <row r="179" spans="1:36" x14ac:dyDescent="0.25">
      <c r="A179" s="1" t="s">
        <v>1712</v>
      </c>
      <c r="B179" s="1" t="s">
        <v>1713</v>
      </c>
      <c r="C179" s="1" t="s">
        <v>1714</v>
      </c>
      <c r="D179" s="1" t="s">
        <v>572</v>
      </c>
      <c r="E179" s="1" t="s">
        <v>573</v>
      </c>
      <c r="F179" s="1" t="s">
        <v>1715</v>
      </c>
      <c r="G179" s="1" t="s">
        <v>14281</v>
      </c>
      <c r="H179" s="1" t="s">
        <v>14282</v>
      </c>
      <c r="I179" s="1" t="s">
        <v>14307</v>
      </c>
      <c r="J179" s="1" t="s">
        <v>23</v>
      </c>
      <c r="K179" s="1"/>
      <c r="L179" s="1" t="s">
        <v>1529</v>
      </c>
      <c r="M179" s="1" t="s">
        <v>1716</v>
      </c>
      <c r="N179" s="1" t="s">
        <v>1717</v>
      </c>
      <c r="O179" s="1" t="s">
        <v>1718</v>
      </c>
      <c r="P179" s="1" t="s">
        <v>1719</v>
      </c>
      <c r="Q179" s="1" t="s">
        <v>1720</v>
      </c>
      <c r="R179" s="1" t="s">
        <v>1721</v>
      </c>
      <c r="S179" s="1" t="s">
        <v>1722</v>
      </c>
      <c r="T179" s="1" t="s">
        <v>1537</v>
      </c>
      <c r="U179">
        <v>115.8</v>
      </c>
      <c r="V179">
        <v>110.58</v>
      </c>
      <c r="W179">
        <v>12.630297000000001</v>
      </c>
      <c r="X179">
        <v>109.187321</v>
      </c>
      <c r="Y179">
        <v>5.22</v>
      </c>
      <c r="Z179">
        <v>12.509763</v>
      </c>
      <c r="AA179">
        <v>109.13746500000001</v>
      </c>
      <c r="AB179" s="5">
        <f t="shared" si="13"/>
        <v>0.16587000000000002</v>
      </c>
      <c r="AC179" s="5">
        <f t="shared" si="14"/>
        <v>7.8300000000000002E-3</v>
      </c>
      <c r="AD179" s="1" t="str">
        <f t="shared" si="15"/>
        <v>4.Ninh Hòa</v>
      </c>
      <c r="AE179" s="1" t="str">
        <f t="shared" si="16"/>
        <v>Vạn Ninh</v>
      </c>
      <c r="AG179">
        <f t="shared" si="17"/>
        <v>0.11058</v>
      </c>
      <c r="AH179">
        <f t="shared" si="18"/>
        <v>5.2199999999999998E-3</v>
      </c>
      <c r="AI179" t="e">
        <f>VLOOKUP(L179,'[1]Tuyến cáp H04'!$B:$E,3,0)/1000</f>
        <v>#N/A</v>
      </c>
      <c r="AJ179" t="e">
        <f>VLOOKUP(L179,'[1]Tuyến cáp H04'!$B:$E,4,0)</f>
        <v>#N/A</v>
      </c>
    </row>
    <row r="180" spans="1:36" x14ac:dyDescent="0.25">
      <c r="A180" s="1" t="s">
        <v>1703</v>
      </c>
      <c r="B180" s="1" t="s">
        <v>1360</v>
      </c>
      <c r="C180" s="1" t="s">
        <v>1361</v>
      </c>
      <c r="D180" s="1" t="s">
        <v>557</v>
      </c>
      <c r="E180" s="1" t="s">
        <v>558</v>
      </c>
      <c r="F180" s="1" t="s">
        <v>1704</v>
      </c>
      <c r="G180" s="1" t="s">
        <v>14281</v>
      </c>
      <c r="H180" s="1" t="s">
        <v>14282</v>
      </c>
      <c r="I180" s="1" t="s">
        <v>14306</v>
      </c>
      <c r="J180" s="1" t="s">
        <v>23</v>
      </c>
      <c r="K180" s="1"/>
      <c r="L180" s="1" t="s">
        <v>1552</v>
      </c>
      <c r="M180" s="1" t="s">
        <v>1705</v>
      </c>
      <c r="N180" s="1" t="s">
        <v>1706</v>
      </c>
      <c r="O180" s="1" t="s">
        <v>1707</v>
      </c>
      <c r="P180" s="1" t="s">
        <v>1708</v>
      </c>
      <c r="Q180" s="1" t="s">
        <v>1709</v>
      </c>
      <c r="R180" s="1" t="s">
        <v>1710</v>
      </c>
      <c r="S180" s="1" t="s">
        <v>1711</v>
      </c>
      <c r="T180" s="1" t="s">
        <v>1560</v>
      </c>
      <c r="U180">
        <v>25735.56</v>
      </c>
      <c r="V180">
        <v>10890.65</v>
      </c>
      <c r="W180">
        <v>12.292956999999999</v>
      </c>
      <c r="X180">
        <v>109.187048</v>
      </c>
      <c r="Y180">
        <v>14844.91</v>
      </c>
      <c r="Z180">
        <v>12.501725</v>
      </c>
      <c r="AA180">
        <v>109.13825799999999</v>
      </c>
      <c r="AB180" s="5">
        <f t="shared" si="13"/>
        <v>16.335974999999998</v>
      </c>
      <c r="AC180" s="5">
        <f t="shared" si="14"/>
        <v>22.267364999999998</v>
      </c>
      <c r="AD180" s="1" t="str">
        <f t="shared" si="15"/>
        <v>5.Vạn Ninh</v>
      </c>
      <c r="AE180" s="1" t="str">
        <f t="shared" si="16"/>
        <v>CAT Khánh Hòa</v>
      </c>
      <c r="AG180">
        <f t="shared" si="17"/>
        <v>10.890649999999999</v>
      </c>
      <c r="AH180">
        <f t="shared" si="18"/>
        <v>14.84491</v>
      </c>
      <c r="AI180" t="e">
        <f>VLOOKUP(L180,'[1]Tuyến cáp H04'!$B:$E,3,0)/1000</f>
        <v>#N/A</v>
      </c>
      <c r="AJ180" t="e">
        <f>VLOOKUP(L180,'[1]Tuyến cáp H04'!$B:$E,4,0)</f>
        <v>#N/A</v>
      </c>
    </row>
    <row r="181" spans="1:36" x14ac:dyDescent="0.25">
      <c r="A181" s="1" t="s">
        <v>1723</v>
      </c>
      <c r="B181" s="1" t="s">
        <v>812</v>
      </c>
      <c r="C181" s="1" t="s">
        <v>813</v>
      </c>
      <c r="D181" s="1" t="s">
        <v>612</v>
      </c>
      <c r="E181" s="1" t="s">
        <v>613</v>
      </c>
      <c r="F181" s="1" t="s">
        <v>1724</v>
      </c>
      <c r="G181" s="1" t="s">
        <v>14281</v>
      </c>
      <c r="H181" s="1" t="s">
        <v>14282</v>
      </c>
      <c r="I181" s="1" t="s">
        <v>14308</v>
      </c>
      <c r="J181" s="1" t="s">
        <v>23</v>
      </c>
      <c r="K181" s="1"/>
      <c r="L181" s="1" t="s">
        <v>861</v>
      </c>
      <c r="M181" s="1" t="s">
        <v>1725</v>
      </c>
      <c r="N181" s="1" t="s">
        <v>1726</v>
      </c>
      <c r="O181" s="1" t="s">
        <v>1727</v>
      </c>
      <c r="P181" s="1" t="s">
        <v>1728</v>
      </c>
      <c r="Q181" s="1" t="s">
        <v>1729</v>
      </c>
      <c r="R181" s="1" t="s">
        <v>1730</v>
      </c>
      <c r="S181" s="1" t="s">
        <v>1731</v>
      </c>
      <c r="T181" s="1" t="s">
        <v>869</v>
      </c>
      <c r="U181">
        <v>415.75</v>
      </c>
      <c r="V181">
        <v>98.97</v>
      </c>
      <c r="W181">
        <v>12.063228000000001</v>
      </c>
      <c r="X181">
        <v>109.15919100000001</v>
      </c>
      <c r="Y181">
        <v>316.77999999999997</v>
      </c>
      <c r="Z181">
        <v>11.923064</v>
      </c>
      <c r="AA181">
        <v>109.165175</v>
      </c>
      <c r="AB181" s="5">
        <f t="shared" si="13"/>
        <v>0.14845499999999998</v>
      </c>
      <c r="AC181" s="5">
        <f t="shared" si="14"/>
        <v>0.47516999999999998</v>
      </c>
      <c r="AD181" s="1" t="str">
        <f t="shared" si="15"/>
        <v>2.Cam Lâm</v>
      </c>
      <c r="AE181" s="1" t="str">
        <f t="shared" si="16"/>
        <v>Cam Ranh</v>
      </c>
      <c r="AG181">
        <f t="shared" si="17"/>
        <v>9.8970000000000002E-2</v>
      </c>
      <c r="AH181">
        <f t="shared" si="18"/>
        <v>0.31677999999999995</v>
      </c>
      <c r="AI181" t="e">
        <f>VLOOKUP(L181,'[1]Tuyến cáp H04'!$B:$E,3,0)/1000</f>
        <v>#N/A</v>
      </c>
      <c r="AJ181" t="e">
        <f>VLOOKUP(L181,'[1]Tuyến cáp H04'!$B:$E,4,0)</f>
        <v>#N/A</v>
      </c>
    </row>
    <row r="182" spans="1:36" x14ac:dyDescent="0.25">
      <c r="A182" s="1" t="s">
        <v>1732</v>
      </c>
      <c r="B182" s="1" t="s">
        <v>1588</v>
      </c>
      <c r="C182" s="1" t="s">
        <v>1589</v>
      </c>
      <c r="D182" s="1" t="s">
        <v>1152</v>
      </c>
      <c r="E182" s="1" t="s">
        <v>1153</v>
      </c>
      <c r="F182" s="1" t="s">
        <v>1733</v>
      </c>
      <c r="G182" s="1" t="s">
        <v>14281</v>
      </c>
      <c r="H182" s="1" t="s">
        <v>14282</v>
      </c>
      <c r="I182" s="1" t="s">
        <v>14309</v>
      </c>
      <c r="J182" s="1" t="s">
        <v>23</v>
      </c>
      <c r="K182" s="1"/>
      <c r="L182" s="1" t="s">
        <v>1734</v>
      </c>
      <c r="M182" s="1" t="s">
        <v>1735</v>
      </c>
      <c r="N182" s="1" t="s">
        <v>1736</v>
      </c>
      <c r="O182" s="1" t="s">
        <v>1737</v>
      </c>
      <c r="P182" s="1" t="s">
        <v>1738</v>
      </c>
      <c r="Q182" s="1" t="s">
        <v>1739</v>
      </c>
      <c r="R182" s="1" t="s">
        <v>1740</v>
      </c>
      <c r="S182" s="1" t="s">
        <v>1741</v>
      </c>
      <c r="T182" s="1" t="s">
        <v>1742</v>
      </c>
      <c r="U182">
        <v>2680.86</v>
      </c>
      <c r="V182">
        <v>230.1</v>
      </c>
      <c r="W182">
        <v>12.461582</v>
      </c>
      <c r="X182">
        <v>109.0823</v>
      </c>
      <c r="Y182">
        <v>2450.7600000000002</v>
      </c>
      <c r="Z182">
        <v>12.476618999999999</v>
      </c>
      <c r="AA182">
        <v>109.11022</v>
      </c>
      <c r="AB182" s="5">
        <f t="shared" si="13"/>
        <v>0.34514999999999996</v>
      </c>
      <c r="AC182" s="5">
        <f t="shared" si="14"/>
        <v>3.6761400000000002</v>
      </c>
      <c r="AD182" s="1" t="str">
        <f t="shared" si="15"/>
        <v>3.Khánh Vĩnh</v>
      </c>
      <c r="AE182" s="1" t="str">
        <f t="shared" si="16"/>
        <v>Ninh Hòa</v>
      </c>
      <c r="AG182">
        <f t="shared" si="17"/>
        <v>0.2301</v>
      </c>
      <c r="AH182">
        <f t="shared" si="18"/>
        <v>2.4507600000000003</v>
      </c>
      <c r="AI182" t="e">
        <f>VLOOKUP(L182,'[1]Tuyến cáp H04'!$B:$E,3,0)/1000</f>
        <v>#N/A</v>
      </c>
      <c r="AJ182" t="e">
        <f>VLOOKUP(L182,'[1]Tuyến cáp H04'!$B:$E,4,0)</f>
        <v>#N/A</v>
      </c>
    </row>
    <row r="183" spans="1:36" x14ac:dyDescent="0.25">
      <c r="A183" s="1" t="s">
        <v>1743</v>
      </c>
      <c r="B183" s="1" t="s">
        <v>1600</v>
      </c>
      <c r="C183" s="1" t="s">
        <v>1601</v>
      </c>
      <c r="D183" s="1" t="s">
        <v>572</v>
      </c>
      <c r="E183" s="1" t="s">
        <v>573</v>
      </c>
      <c r="F183" s="1" t="s">
        <v>1744</v>
      </c>
      <c r="G183" s="1" t="s">
        <v>14281</v>
      </c>
      <c r="H183" s="1" t="s">
        <v>14282</v>
      </c>
      <c r="I183" s="1" t="s">
        <v>14310</v>
      </c>
      <c r="J183" s="1" t="s">
        <v>23</v>
      </c>
      <c r="K183" s="1"/>
      <c r="L183" s="1" t="s">
        <v>1168</v>
      </c>
      <c r="M183" s="1" t="s">
        <v>1745</v>
      </c>
      <c r="N183" s="1" t="s">
        <v>1746</v>
      </c>
      <c r="O183" s="1" t="s">
        <v>1747</v>
      </c>
      <c r="P183" s="1" t="s">
        <v>1748</v>
      </c>
      <c r="Q183" s="1" t="s">
        <v>1749</v>
      </c>
      <c r="R183" s="1" t="s">
        <v>1750</v>
      </c>
      <c r="S183" s="1" t="s">
        <v>1751</v>
      </c>
      <c r="T183" s="1" t="s">
        <v>1752</v>
      </c>
      <c r="U183">
        <v>4207.79</v>
      </c>
      <c r="V183">
        <v>442.39</v>
      </c>
      <c r="W183">
        <v>12.505763999999999</v>
      </c>
      <c r="X183">
        <v>109.078005</v>
      </c>
      <c r="Y183">
        <v>3765.4</v>
      </c>
      <c r="Z183">
        <v>12.502250999999999</v>
      </c>
      <c r="AA183">
        <v>109.10367100000001</v>
      </c>
      <c r="AB183" s="5">
        <f t="shared" si="13"/>
        <v>0.66358500000000009</v>
      </c>
      <c r="AC183" s="5">
        <f t="shared" si="14"/>
        <v>5.6481000000000003</v>
      </c>
      <c r="AD183" s="1" t="str">
        <f t="shared" si="15"/>
        <v>2.CA Nam Ninh Hòa</v>
      </c>
      <c r="AE183" s="1" t="str">
        <f t="shared" si="16"/>
        <v>CA Tây Ninh Hòa</v>
      </c>
      <c r="AG183">
        <f t="shared" si="17"/>
        <v>0.44239000000000001</v>
      </c>
      <c r="AH183">
        <f t="shared" si="18"/>
        <v>3.7654000000000001</v>
      </c>
      <c r="AI183" t="e">
        <f>VLOOKUP(L183,'[1]Tuyến cáp H04'!$B:$E,3,0)/1000</f>
        <v>#N/A</v>
      </c>
      <c r="AJ183" t="e">
        <f>VLOOKUP(L183,'[1]Tuyến cáp H04'!$B:$E,4,0)</f>
        <v>#N/A</v>
      </c>
    </row>
    <row r="184" spans="1:36" x14ac:dyDescent="0.25">
      <c r="A184" s="1" t="s">
        <v>1753</v>
      </c>
      <c r="B184" s="1" t="s">
        <v>1606</v>
      </c>
      <c r="C184" s="1" t="s">
        <v>1607</v>
      </c>
      <c r="D184" s="1" t="s">
        <v>1614</v>
      </c>
      <c r="E184" s="1" t="s">
        <v>1615</v>
      </c>
      <c r="F184" s="1" t="s">
        <v>1754</v>
      </c>
      <c r="G184" s="1" t="s">
        <v>14281</v>
      </c>
      <c r="H184" s="1" t="s">
        <v>14282</v>
      </c>
      <c r="I184" s="1" t="s">
        <v>14311</v>
      </c>
      <c r="J184" s="1" t="s">
        <v>23</v>
      </c>
      <c r="K184" s="1"/>
      <c r="L184" s="1" t="s">
        <v>1552</v>
      </c>
      <c r="M184" s="1" t="s">
        <v>1755</v>
      </c>
      <c r="N184" s="1" t="s">
        <v>1610</v>
      </c>
      <c r="O184" s="1" t="s">
        <v>1611</v>
      </c>
      <c r="P184" s="1" t="s">
        <v>1612</v>
      </c>
      <c r="Q184" s="1" t="s">
        <v>1618</v>
      </c>
      <c r="R184" s="1" t="s">
        <v>1619</v>
      </c>
      <c r="S184" s="1" t="s">
        <v>1620</v>
      </c>
      <c r="T184" s="1" t="s">
        <v>1560</v>
      </c>
      <c r="U184">
        <v>560.76</v>
      </c>
      <c r="V184">
        <v>443.53</v>
      </c>
      <c r="W184">
        <v>12.420916</v>
      </c>
      <c r="X184">
        <v>109.14434199999999</v>
      </c>
      <c r="Y184">
        <v>117.23</v>
      </c>
      <c r="Z184">
        <v>12.338984999999999</v>
      </c>
      <c r="AA184">
        <v>109.19412199999999</v>
      </c>
      <c r="AB184" s="5">
        <f t="shared" si="13"/>
        <v>0.66529499999999997</v>
      </c>
      <c r="AC184" s="5">
        <f t="shared" si="14"/>
        <v>0.175845</v>
      </c>
      <c r="AD184" s="1" t="str">
        <f t="shared" si="15"/>
        <v>5.Vạn Ninh</v>
      </c>
      <c r="AE184" s="1" t="str">
        <f t="shared" si="16"/>
        <v>CAT Khánh Hòa</v>
      </c>
      <c r="AG184">
        <f t="shared" si="17"/>
        <v>0.44352999999999998</v>
      </c>
      <c r="AH184">
        <f t="shared" si="18"/>
        <v>0.11723</v>
      </c>
      <c r="AI184" t="e">
        <f>VLOOKUP(L184,'[1]Tuyến cáp H04'!$B:$E,3,0)/1000</f>
        <v>#N/A</v>
      </c>
      <c r="AJ184" t="e">
        <f>VLOOKUP(L184,'[1]Tuyến cáp H04'!$B:$E,4,0)</f>
        <v>#N/A</v>
      </c>
    </row>
    <row r="185" spans="1:36" x14ac:dyDescent="0.25">
      <c r="A185" s="1" t="s">
        <v>1756</v>
      </c>
      <c r="B185" s="1" t="s">
        <v>1622</v>
      </c>
      <c r="C185" s="1" t="s">
        <v>1623</v>
      </c>
      <c r="D185" s="1" t="s">
        <v>1187</v>
      </c>
      <c r="E185" s="1" t="s">
        <v>1188</v>
      </c>
      <c r="F185" s="1" t="s">
        <v>1757</v>
      </c>
      <c r="G185" s="1" t="s">
        <v>14281</v>
      </c>
      <c r="H185" s="1" t="s">
        <v>14282</v>
      </c>
      <c r="I185" s="1" t="s">
        <v>14312</v>
      </c>
      <c r="J185" s="1" t="s">
        <v>23</v>
      </c>
      <c r="K185" s="1"/>
      <c r="L185" s="1" t="s">
        <v>1168</v>
      </c>
      <c r="M185" s="1" t="s">
        <v>1758</v>
      </c>
      <c r="N185" s="1" t="s">
        <v>1759</v>
      </c>
      <c r="O185" s="1" t="s">
        <v>1760</v>
      </c>
      <c r="P185" s="1" t="s">
        <v>1761</v>
      </c>
      <c r="Q185" s="1" t="s">
        <v>1762</v>
      </c>
      <c r="R185" s="1" t="s">
        <v>1763</v>
      </c>
      <c r="S185" s="1" t="s">
        <v>1764</v>
      </c>
      <c r="T185" s="1" t="s">
        <v>1752</v>
      </c>
      <c r="U185">
        <v>3462.89</v>
      </c>
      <c r="V185">
        <v>2181.61</v>
      </c>
      <c r="W185">
        <v>12.505404</v>
      </c>
      <c r="X185">
        <v>109.098456</v>
      </c>
      <c r="Y185">
        <v>1281.28</v>
      </c>
      <c r="Z185">
        <v>12.495310999999999</v>
      </c>
      <c r="AA185">
        <v>109.103539</v>
      </c>
      <c r="AB185" s="5">
        <f t="shared" si="13"/>
        <v>3.2724150000000001</v>
      </c>
      <c r="AC185" s="5">
        <f t="shared" si="14"/>
        <v>1.9219200000000001</v>
      </c>
      <c r="AD185" s="1" t="str">
        <f t="shared" si="15"/>
        <v>2.CA Nam Ninh Hòa</v>
      </c>
      <c r="AE185" s="1" t="str">
        <f t="shared" si="16"/>
        <v>CA Tây Ninh Hòa</v>
      </c>
      <c r="AG185">
        <f t="shared" si="17"/>
        <v>2.18161</v>
      </c>
      <c r="AH185">
        <f t="shared" si="18"/>
        <v>1.28128</v>
      </c>
      <c r="AI185" t="e">
        <f>VLOOKUP(L185,'[1]Tuyến cáp H04'!$B:$E,3,0)/1000</f>
        <v>#N/A</v>
      </c>
      <c r="AJ185" t="e">
        <f>VLOOKUP(L185,'[1]Tuyến cáp H04'!$B:$E,4,0)</f>
        <v>#N/A</v>
      </c>
    </row>
    <row r="186" spans="1:36" x14ac:dyDescent="0.25">
      <c r="A186" s="1" t="s">
        <v>1765</v>
      </c>
      <c r="B186" s="1" t="s">
        <v>1634</v>
      </c>
      <c r="C186" s="1" t="s">
        <v>1635</v>
      </c>
      <c r="D186" s="1" t="s">
        <v>1642</v>
      </c>
      <c r="E186" s="1" t="s">
        <v>1643</v>
      </c>
      <c r="F186" s="1" t="s">
        <v>1766</v>
      </c>
      <c r="G186" s="1" t="s">
        <v>14281</v>
      </c>
      <c r="H186" s="1" t="s">
        <v>14282</v>
      </c>
      <c r="I186" s="1" t="s">
        <v>14313</v>
      </c>
      <c r="J186" s="1" t="s">
        <v>23</v>
      </c>
      <c r="K186" s="1"/>
      <c r="L186" s="1" t="s">
        <v>1767</v>
      </c>
      <c r="M186" s="1" t="s">
        <v>1768</v>
      </c>
      <c r="N186" s="1" t="s">
        <v>1769</v>
      </c>
      <c r="O186" s="1" t="s">
        <v>1770</v>
      </c>
      <c r="P186" s="1" t="s">
        <v>1771</v>
      </c>
      <c r="Q186" s="1" t="s">
        <v>1772</v>
      </c>
      <c r="R186" s="1" t="s">
        <v>1773</v>
      </c>
      <c r="S186" s="1" t="s">
        <v>1774</v>
      </c>
      <c r="T186" s="1" t="s">
        <v>1775</v>
      </c>
      <c r="U186">
        <v>289.89999999999998</v>
      </c>
      <c r="V186">
        <v>289.55</v>
      </c>
      <c r="W186">
        <v>12.730185000000001</v>
      </c>
      <c r="X186">
        <v>109.26945600000001</v>
      </c>
      <c r="Y186">
        <v>0.35</v>
      </c>
      <c r="Z186">
        <v>12.77881</v>
      </c>
      <c r="AA186">
        <v>109.312703</v>
      </c>
      <c r="AB186" s="5">
        <f t="shared" si="13"/>
        <v>0.43432500000000007</v>
      </c>
      <c r="AC186" s="5">
        <f t="shared" si="14"/>
        <v>5.2499999999999986E-4</v>
      </c>
      <c r="AD186" s="1" t="str">
        <f t="shared" si="15"/>
        <v>2.CA Vạn Thắng</v>
      </c>
      <c r="AE186" s="1" t="str">
        <f t="shared" si="16"/>
        <v>CA Tu Bông_Cột trung thế</v>
      </c>
      <c r="AG186">
        <f t="shared" si="17"/>
        <v>0.28955000000000003</v>
      </c>
      <c r="AH186">
        <f t="shared" si="18"/>
        <v>3.5E-4</v>
      </c>
      <c r="AI186" t="e">
        <f>VLOOKUP(L186,'[1]Tuyến cáp H04'!$B:$E,3,0)/1000</f>
        <v>#N/A</v>
      </c>
      <c r="AJ186" t="e">
        <f>VLOOKUP(L186,'[1]Tuyến cáp H04'!$B:$E,4,0)</f>
        <v>#N/A</v>
      </c>
    </row>
    <row r="187" spans="1:36" x14ac:dyDescent="0.25">
      <c r="A187" s="1" t="s">
        <v>1776</v>
      </c>
      <c r="B187" s="1" t="s">
        <v>1713</v>
      </c>
      <c r="C187" s="1" t="s">
        <v>1714</v>
      </c>
      <c r="D187" s="1" t="s">
        <v>1445</v>
      </c>
      <c r="E187" s="1" t="s">
        <v>1446</v>
      </c>
      <c r="F187" s="1" t="s">
        <v>1777</v>
      </c>
      <c r="G187" s="1" t="s">
        <v>14281</v>
      </c>
      <c r="H187" s="1" t="s">
        <v>14282</v>
      </c>
      <c r="I187" s="1" t="s">
        <v>14314</v>
      </c>
      <c r="J187" s="1" t="s">
        <v>23</v>
      </c>
      <c r="K187" s="1"/>
      <c r="L187" s="1" t="s">
        <v>1529</v>
      </c>
      <c r="M187" s="1" t="s">
        <v>1778</v>
      </c>
      <c r="N187" s="1" t="s">
        <v>1717</v>
      </c>
      <c r="O187" s="1" t="s">
        <v>1718</v>
      </c>
      <c r="P187" s="1" t="s">
        <v>1719</v>
      </c>
      <c r="Q187" s="1" t="s">
        <v>1779</v>
      </c>
      <c r="R187" s="1" t="s">
        <v>1780</v>
      </c>
      <c r="S187" s="1" t="s">
        <v>1781</v>
      </c>
      <c r="T187" s="1" t="s">
        <v>1537</v>
      </c>
      <c r="U187">
        <v>4221.33</v>
      </c>
      <c r="V187">
        <v>110.58</v>
      </c>
      <c r="W187">
        <v>12.630297000000001</v>
      </c>
      <c r="X187">
        <v>109.187321</v>
      </c>
      <c r="Y187">
        <v>4110.75</v>
      </c>
      <c r="Z187">
        <v>12.534793000000001</v>
      </c>
      <c r="AA187">
        <v>109.18621899999999</v>
      </c>
      <c r="AB187" s="5">
        <f t="shared" si="13"/>
        <v>0.16587000000000002</v>
      </c>
      <c r="AC187" s="5">
        <f t="shared" si="14"/>
        <v>6.1661250000000001</v>
      </c>
      <c r="AD187" s="1" t="str">
        <f t="shared" si="15"/>
        <v>4.Ninh Hòa</v>
      </c>
      <c r="AE187" s="1" t="str">
        <f t="shared" si="16"/>
        <v>Vạn Ninh</v>
      </c>
      <c r="AG187">
        <f t="shared" si="17"/>
        <v>0.11058</v>
      </c>
      <c r="AH187">
        <f t="shared" si="18"/>
        <v>4.1107500000000003</v>
      </c>
      <c r="AI187" t="e">
        <f>VLOOKUP(L187,'[1]Tuyến cáp H04'!$B:$E,3,0)/1000</f>
        <v>#N/A</v>
      </c>
      <c r="AJ187" t="e">
        <f>VLOOKUP(L187,'[1]Tuyến cáp H04'!$B:$E,4,0)</f>
        <v>#N/A</v>
      </c>
    </row>
    <row r="188" spans="1:36" x14ac:dyDescent="0.25">
      <c r="A188" s="1" t="s">
        <v>1782</v>
      </c>
      <c r="B188" s="1" t="s">
        <v>1783</v>
      </c>
      <c r="C188" s="1" t="s">
        <v>1784</v>
      </c>
      <c r="D188" s="1" t="s">
        <v>572</v>
      </c>
      <c r="E188" s="1" t="s">
        <v>573</v>
      </c>
      <c r="F188" s="1" t="s">
        <v>1785</v>
      </c>
      <c r="G188" s="1" t="s">
        <v>14281</v>
      </c>
      <c r="H188" s="1" t="s">
        <v>14282</v>
      </c>
      <c r="I188" s="1" t="s">
        <v>14315</v>
      </c>
      <c r="J188" s="1" t="s">
        <v>23</v>
      </c>
      <c r="K188" s="1"/>
      <c r="L188" s="1" t="s">
        <v>590</v>
      </c>
      <c r="M188" s="1" t="s">
        <v>1786</v>
      </c>
      <c r="N188" s="1" t="s">
        <v>1787</v>
      </c>
      <c r="O188" s="1" t="s">
        <v>1788</v>
      </c>
      <c r="P188" s="1" t="s">
        <v>1789</v>
      </c>
      <c r="Q188" s="1" t="s">
        <v>592</v>
      </c>
      <c r="R188" s="1" t="s">
        <v>593</v>
      </c>
      <c r="S188" s="1" t="s">
        <v>594</v>
      </c>
      <c r="T188" s="1" t="s">
        <v>598</v>
      </c>
      <c r="U188">
        <v>1353.25</v>
      </c>
      <c r="V188">
        <v>1350.48</v>
      </c>
      <c r="W188">
        <v>12.492353</v>
      </c>
      <c r="X188">
        <v>109.14014299999999</v>
      </c>
      <c r="Y188">
        <v>2.77</v>
      </c>
      <c r="Z188">
        <v>12.509724</v>
      </c>
      <c r="AA188">
        <v>109.13747499999999</v>
      </c>
      <c r="AB188" s="5">
        <f t="shared" si="13"/>
        <v>2.0257200000000002</v>
      </c>
      <c r="AC188" s="5">
        <f t="shared" si="14"/>
        <v>4.1549999999999998E-3</v>
      </c>
      <c r="AD188" s="1" t="str">
        <f t="shared" si="15"/>
        <v>1.CA Ninh Hòa</v>
      </c>
      <c r="AE188" s="1" t="str">
        <f t="shared" si="16"/>
        <v>CA Hòa Thắng_Cột trung thế</v>
      </c>
      <c r="AG188">
        <f t="shared" si="17"/>
        <v>1.3504800000000001</v>
      </c>
      <c r="AH188">
        <f t="shared" si="18"/>
        <v>2.7699999999999999E-3</v>
      </c>
      <c r="AI188" t="e">
        <f>VLOOKUP(L188,'[1]Tuyến cáp H04'!$B:$E,3,0)/1000</f>
        <v>#N/A</v>
      </c>
      <c r="AJ188" t="e">
        <f>VLOOKUP(L188,'[1]Tuyến cáp H04'!$B:$E,4,0)</f>
        <v>#N/A</v>
      </c>
    </row>
    <row r="189" spans="1:36" x14ac:dyDescent="0.25">
      <c r="A189" s="1" t="s">
        <v>1790</v>
      </c>
      <c r="B189" s="1" t="s">
        <v>1791</v>
      </c>
      <c r="C189" s="1" t="s">
        <v>1792</v>
      </c>
      <c r="D189" s="1" t="s">
        <v>1685</v>
      </c>
      <c r="E189" s="1" t="s">
        <v>1686</v>
      </c>
      <c r="F189" s="1" t="s">
        <v>1793</v>
      </c>
      <c r="G189" s="1" t="s">
        <v>14281</v>
      </c>
      <c r="H189" s="1" t="s">
        <v>14282</v>
      </c>
      <c r="I189" s="1" t="s">
        <v>14316</v>
      </c>
      <c r="J189" s="1" t="s">
        <v>23</v>
      </c>
      <c r="K189" s="1"/>
      <c r="L189" s="1" t="s">
        <v>1529</v>
      </c>
      <c r="M189" s="1" t="s">
        <v>1794</v>
      </c>
      <c r="N189" s="1" t="s">
        <v>1795</v>
      </c>
      <c r="O189" s="1" t="s">
        <v>1796</v>
      </c>
      <c r="P189" s="1" t="s">
        <v>1797</v>
      </c>
      <c r="Q189" s="1" t="s">
        <v>1798</v>
      </c>
      <c r="R189" s="1" t="s">
        <v>1799</v>
      </c>
      <c r="S189" s="1" t="s">
        <v>1800</v>
      </c>
      <c r="T189" s="1" t="s">
        <v>1537</v>
      </c>
      <c r="U189">
        <v>1120.5899999999999</v>
      </c>
      <c r="V189">
        <v>152.65</v>
      </c>
      <c r="W189">
        <v>12.564939000000001</v>
      </c>
      <c r="X189">
        <v>109.171781</v>
      </c>
      <c r="Y189">
        <v>967.94</v>
      </c>
      <c r="Z189">
        <v>12.525967</v>
      </c>
      <c r="AA189">
        <v>109.167119</v>
      </c>
      <c r="AB189" s="5">
        <f t="shared" si="13"/>
        <v>0.22897500000000001</v>
      </c>
      <c r="AC189" s="5">
        <f t="shared" si="14"/>
        <v>1.45191</v>
      </c>
      <c r="AD189" s="1" t="str">
        <f t="shared" si="15"/>
        <v>4.Ninh Hòa</v>
      </c>
      <c r="AE189" s="1" t="str">
        <f t="shared" si="16"/>
        <v>Vạn Ninh</v>
      </c>
      <c r="AG189">
        <f t="shared" si="17"/>
        <v>0.15265000000000001</v>
      </c>
      <c r="AH189">
        <f t="shared" si="18"/>
        <v>0.96794000000000002</v>
      </c>
      <c r="AI189" t="e">
        <f>VLOOKUP(L189,'[1]Tuyến cáp H04'!$B:$E,3,0)/1000</f>
        <v>#N/A</v>
      </c>
      <c r="AJ189" t="e">
        <f>VLOOKUP(L189,'[1]Tuyến cáp H04'!$B:$E,4,0)</f>
        <v>#N/A</v>
      </c>
    </row>
    <row r="190" spans="1:36" x14ac:dyDescent="0.25">
      <c r="A190" s="1" t="s">
        <v>1801</v>
      </c>
      <c r="B190" s="1" t="s">
        <v>1687</v>
      </c>
      <c r="C190" s="1" t="s">
        <v>1688</v>
      </c>
      <c r="D190" s="1" t="s">
        <v>572</v>
      </c>
      <c r="E190" s="1" t="s">
        <v>573</v>
      </c>
      <c r="F190" s="1" t="s">
        <v>1802</v>
      </c>
      <c r="G190" s="1" t="s">
        <v>14281</v>
      </c>
      <c r="H190" s="1" t="s">
        <v>14282</v>
      </c>
      <c r="I190" s="1" t="s">
        <v>14317</v>
      </c>
      <c r="J190" s="1" t="s">
        <v>23</v>
      </c>
      <c r="K190" s="1"/>
      <c r="L190" s="1" t="s">
        <v>1803</v>
      </c>
      <c r="M190" s="1" t="s">
        <v>1804</v>
      </c>
      <c r="N190" s="1" t="s">
        <v>1805</v>
      </c>
      <c r="O190" s="1" t="s">
        <v>1806</v>
      </c>
      <c r="P190" s="1" t="s">
        <v>1807</v>
      </c>
      <c r="Q190" s="1" t="s">
        <v>1808</v>
      </c>
      <c r="R190" s="1" t="s">
        <v>1809</v>
      </c>
      <c r="S190" s="1" t="s">
        <v>1810</v>
      </c>
      <c r="T190" s="1" t="s">
        <v>1811</v>
      </c>
      <c r="U190">
        <v>29.24</v>
      </c>
      <c r="V190">
        <v>24.35</v>
      </c>
      <c r="W190">
        <v>12.503812</v>
      </c>
      <c r="X190">
        <v>109.139841</v>
      </c>
      <c r="Y190">
        <v>4.88</v>
      </c>
      <c r="Z190">
        <v>12.509729999999999</v>
      </c>
      <c r="AA190">
        <v>109.137455</v>
      </c>
      <c r="AB190" s="5">
        <f t="shared" si="13"/>
        <v>3.6525000000000009E-2</v>
      </c>
      <c r="AC190" s="5">
        <f t="shared" si="14"/>
        <v>7.3200000000000001E-3</v>
      </c>
      <c r="AD190" s="1" t="str">
        <f t="shared" si="15"/>
        <v>1.CA Ninh Hòa</v>
      </c>
      <c r="AE190" s="1" t="str">
        <f t="shared" si="16"/>
        <v>CA Nam Ninh Hòa_Cột trung thế</v>
      </c>
      <c r="AG190">
        <f t="shared" si="17"/>
        <v>2.435E-2</v>
      </c>
      <c r="AH190">
        <f t="shared" si="18"/>
        <v>4.8799999999999998E-3</v>
      </c>
      <c r="AI190" t="e">
        <f>VLOOKUP(L190,'[1]Tuyến cáp H04'!$B:$E,3,0)/1000</f>
        <v>#N/A</v>
      </c>
      <c r="AJ190" t="e">
        <f>VLOOKUP(L190,'[1]Tuyến cáp H04'!$B:$E,4,0)</f>
        <v>#N/A</v>
      </c>
    </row>
    <row r="191" spans="1:36" x14ac:dyDescent="0.25">
      <c r="A191" s="1" t="s">
        <v>1703</v>
      </c>
      <c r="B191" s="1" t="s">
        <v>1360</v>
      </c>
      <c r="C191" s="1" t="s">
        <v>1361</v>
      </c>
      <c r="D191" s="1" t="s">
        <v>557</v>
      </c>
      <c r="E191" s="1" t="s">
        <v>558</v>
      </c>
      <c r="F191" s="1" t="s">
        <v>1704</v>
      </c>
      <c r="G191" s="1" t="s">
        <v>14281</v>
      </c>
      <c r="H191" s="1" t="s">
        <v>14282</v>
      </c>
      <c r="I191" s="1" t="s">
        <v>14306</v>
      </c>
      <c r="J191" s="1" t="s">
        <v>23</v>
      </c>
      <c r="K191" s="1"/>
      <c r="L191" s="1" t="s">
        <v>1552</v>
      </c>
      <c r="M191" s="1" t="s">
        <v>1705</v>
      </c>
      <c r="N191" s="1" t="s">
        <v>1706</v>
      </c>
      <c r="O191" s="1" t="s">
        <v>1707</v>
      </c>
      <c r="P191" s="1" t="s">
        <v>1708</v>
      </c>
      <c r="Q191" s="1" t="s">
        <v>1709</v>
      </c>
      <c r="R191" s="1" t="s">
        <v>1710</v>
      </c>
      <c r="S191" s="1" t="s">
        <v>1711</v>
      </c>
      <c r="T191" s="1" t="s">
        <v>1560</v>
      </c>
      <c r="U191">
        <v>25735.56</v>
      </c>
      <c r="V191">
        <v>10890.65</v>
      </c>
      <c r="W191">
        <v>12.292956999999999</v>
      </c>
      <c r="X191">
        <v>109.187048</v>
      </c>
      <c r="Y191">
        <v>14844.91</v>
      </c>
      <c r="Z191">
        <v>12.501725</v>
      </c>
      <c r="AA191">
        <v>109.13825799999999</v>
      </c>
      <c r="AB191" s="5">
        <f t="shared" si="13"/>
        <v>16.335974999999998</v>
      </c>
      <c r="AC191" s="5">
        <f t="shared" si="14"/>
        <v>22.267364999999998</v>
      </c>
      <c r="AD191" s="1" t="str">
        <f t="shared" si="15"/>
        <v>5.Vạn Ninh</v>
      </c>
      <c r="AE191" s="1" t="str">
        <f t="shared" si="16"/>
        <v>CAT Khánh Hòa</v>
      </c>
      <c r="AG191">
        <f t="shared" si="17"/>
        <v>10.890649999999999</v>
      </c>
      <c r="AH191">
        <f t="shared" si="18"/>
        <v>14.84491</v>
      </c>
      <c r="AI191" t="e">
        <f>VLOOKUP(L191,'[1]Tuyến cáp H04'!$B:$E,3,0)/1000</f>
        <v>#N/A</v>
      </c>
      <c r="AJ191" t="e">
        <f>VLOOKUP(L191,'[1]Tuyến cáp H04'!$B:$E,4,0)</f>
        <v>#N/A</v>
      </c>
    </row>
    <row r="192" spans="1:36" x14ac:dyDescent="0.25">
      <c r="A192" s="1" t="s">
        <v>1697</v>
      </c>
      <c r="B192" s="1" t="s">
        <v>1360</v>
      </c>
      <c r="C192" s="1" t="s">
        <v>1361</v>
      </c>
      <c r="D192" s="1" t="s">
        <v>393</v>
      </c>
      <c r="E192" s="1" t="s">
        <v>394</v>
      </c>
      <c r="F192" s="1" t="s">
        <v>1698</v>
      </c>
      <c r="G192" s="1" t="s">
        <v>14281</v>
      </c>
      <c r="H192" s="1" t="s">
        <v>14282</v>
      </c>
      <c r="I192" s="1" t="s">
        <v>14305</v>
      </c>
      <c r="J192" s="1" t="s">
        <v>23</v>
      </c>
      <c r="K192" s="1"/>
      <c r="L192" s="1" t="s">
        <v>1569</v>
      </c>
      <c r="M192" s="1" t="s">
        <v>1699</v>
      </c>
      <c r="N192" s="1" t="s">
        <v>1700</v>
      </c>
      <c r="O192" s="1" t="s">
        <v>1701</v>
      </c>
      <c r="P192" s="1" t="s">
        <v>1702</v>
      </c>
      <c r="Q192" s="1" t="s">
        <v>1571</v>
      </c>
      <c r="R192" s="1" t="s">
        <v>1572</v>
      </c>
      <c r="S192" s="1" t="s">
        <v>1573</v>
      </c>
      <c r="T192" s="1" t="s">
        <v>1577</v>
      </c>
      <c r="U192">
        <v>1566.48</v>
      </c>
      <c r="V192">
        <v>818.28</v>
      </c>
      <c r="W192">
        <v>12.25568</v>
      </c>
      <c r="X192">
        <v>109.086596</v>
      </c>
      <c r="Y192">
        <v>748.2</v>
      </c>
      <c r="Z192">
        <v>12.262793</v>
      </c>
      <c r="AA192">
        <v>109.03595900000001</v>
      </c>
      <c r="AB192" s="5">
        <f t="shared" si="13"/>
        <v>1.2274200000000002</v>
      </c>
      <c r="AC192" s="5">
        <f t="shared" si="14"/>
        <v>1.1223000000000001</v>
      </c>
      <c r="AD192" s="1" t="str">
        <f t="shared" si="15"/>
        <v>4.CA Diên Thọ</v>
      </c>
      <c r="AE192" s="1" t="str">
        <f t="shared" si="16"/>
        <v>CA Diên Khánh</v>
      </c>
      <c r="AG192">
        <f t="shared" si="17"/>
        <v>0.81828000000000001</v>
      </c>
      <c r="AH192">
        <f t="shared" si="18"/>
        <v>0.74820000000000009</v>
      </c>
      <c r="AI192" t="e">
        <f>VLOOKUP(L192,'[1]Tuyến cáp H04'!$B:$E,3,0)/1000</f>
        <v>#N/A</v>
      </c>
      <c r="AJ192" t="e">
        <f>VLOOKUP(L192,'[1]Tuyến cáp H04'!$B:$E,4,0)</f>
        <v>#N/A</v>
      </c>
    </row>
    <row r="193" spans="1:36" x14ac:dyDescent="0.25">
      <c r="A193" s="1" t="s">
        <v>1723</v>
      </c>
      <c r="B193" s="1" t="s">
        <v>812</v>
      </c>
      <c r="C193" s="1" t="s">
        <v>813</v>
      </c>
      <c r="D193" s="1" t="s">
        <v>612</v>
      </c>
      <c r="E193" s="1" t="s">
        <v>613</v>
      </c>
      <c r="F193" s="1" t="s">
        <v>1724</v>
      </c>
      <c r="G193" s="1" t="s">
        <v>14281</v>
      </c>
      <c r="H193" s="1" t="s">
        <v>14282</v>
      </c>
      <c r="I193" s="1" t="s">
        <v>14308</v>
      </c>
      <c r="J193" s="1" t="s">
        <v>23</v>
      </c>
      <c r="K193" s="1"/>
      <c r="L193" s="1" t="s">
        <v>861</v>
      </c>
      <c r="M193" s="1" t="s">
        <v>1725</v>
      </c>
      <c r="N193" s="1" t="s">
        <v>1726</v>
      </c>
      <c r="O193" s="1" t="s">
        <v>1727</v>
      </c>
      <c r="P193" s="1" t="s">
        <v>1728</v>
      </c>
      <c r="Q193" s="1" t="s">
        <v>1729</v>
      </c>
      <c r="R193" s="1" t="s">
        <v>1730</v>
      </c>
      <c r="S193" s="1" t="s">
        <v>1731</v>
      </c>
      <c r="T193" s="1" t="s">
        <v>869</v>
      </c>
      <c r="U193">
        <v>415.75</v>
      </c>
      <c r="V193">
        <v>98.97</v>
      </c>
      <c r="W193">
        <v>12.063228000000001</v>
      </c>
      <c r="X193">
        <v>109.15919100000001</v>
      </c>
      <c r="Y193">
        <v>316.77999999999997</v>
      </c>
      <c r="Z193">
        <v>11.923064</v>
      </c>
      <c r="AA193">
        <v>109.165175</v>
      </c>
      <c r="AB193" s="5">
        <f t="shared" si="13"/>
        <v>0.14845499999999998</v>
      </c>
      <c r="AC193" s="5">
        <f t="shared" si="14"/>
        <v>0.47516999999999998</v>
      </c>
      <c r="AD193" s="1" t="str">
        <f t="shared" si="15"/>
        <v>2.Cam Lâm</v>
      </c>
      <c r="AE193" s="1" t="str">
        <f t="shared" si="16"/>
        <v>Cam Ranh</v>
      </c>
      <c r="AG193">
        <f t="shared" si="17"/>
        <v>9.8970000000000002E-2</v>
      </c>
      <c r="AH193">
        <f t="shared" si="18"/>
        <v>0.31677999999999995</v>
      </c>
      <c r="AI193" t="e">
        <f>VLOOKUP(L193,'[1]Tuyến cáp H04'!$B:$E,3,0)/1000</f>
        <v>#N/A</v>
      </c>
      <c r="AJ193" t="e">
        <f>VLOOKUP(L193,'[1]Tuyến cáp H04'!$B:$E,4,0)</f>
        <v>#N/A</v>
      </c>
    </row>
    <row r="194" spans="1:36" x14ac:dyDescent="0.25">
      <c r="A194" s="1" t="s">
        <v>1812</v>
      </c>
      <c r="B194" s="1" t="s">
        <v>1360</v>
      </c>
      <c r="C194" s="1" t="s">
        <v>1361</v>
      </c>
      <c r="D194" s="1" t="s">
        <v>1813</v>
      </c>
      <c r="E194" s="1" t="s">
        <v>1814</v>
      </c>
      <c r="F194" s="1" t="s">
        <v>1815</v>
      </c>
      <c r="G194" s="1" t="s">
        <v>14129</v>
      </c>
      <c r="H194" s="1" t="s">
        <v>14133</v>
      </c>
      <c r="I194" s="1" t="s">
        <v>14318</v>
      </c>
      <c r="J194" s="1" t="s">
        <v>23</v>
      </c>
      <c r="K194" s="1"/>
      <c r="L194" s="1" t="s">
        <v>1363</v>
      </c>
      <c r="M194" s="1" t="s">
        <v>1816</v>
      </c>
      <c r="N194" s="1" t="s">
        <v>1365</v>
      </c>
      <c r="O194" s="1" t="s">
        <v>1366</v>
      </c>
      <c r="P194" s="1" t="s">
        <v>1367</v>
      </c>
      <c r="Q194" s="1" t="s">
        <v>1817</v>
      </c>
      <c r="R194" s="1" t="s">
        <v>1818</v>
      </c>
      <c r="S194" s="1" t="s">
        <v>1819</v>
      </c>
      <c r="T194" s="1" t="s">
        <v>1371</v>
      </c>
      <c r="U194">
        <v>1314.82</v>
      </c>
      <c r="V194">
        <v>13.09</v>
      </c>
      <c r="W194">
        <v>12.256290999999999</v>
      </c>
      <c r="X194">
        <v>109.09398</v>
      </c>
      <c r="Y194">
        <v>1301.73</v>
      </c>
      <c r="Z194">
        <v>12.259256000000001</v>
      </c>
      <c r="AA194">
        <v>109.084643</v>
      </c>
      <c r="AB194" s="5">
        <f t="shared" si="13"/>
        <v>1.9635E-2</v>
      </c>
      <c r="AC194" s="5">
        <f t="shared" si="14"/>
        <v>1.9525950000000001</v>
      </c>
      <c r="AD194" s="1" t="str">
        <f t="shared" si="15"/>
        <v>1.Diên Khánh</v>
      </c>
      <c r="AE194" s="1" t="str">
        <f t="shared" si="16"/>
        <v>CA Diên Lạc_Cột hạ thế</v>
      </c>
      <c r="AG194">
        <f t="shared" si="17"/>
        <v>1.3089999999999999E-2</v>
      </c>
      <c r="AH194">
        <f t="shared" si="18"/>
        <v>1.3017300000000001</v>
      </c>
      <c r="AI194" t="e">
        <f>VLOOKUP(L194,'[1]Tuyến cáp H04'!$B:$E,3,0)/1000</f>
        <v>#N/A</v>
      </c>
      <c r="AJ194" t="e">
        <f>VLOOKUP(L194,'[1]Tuyến cáp H04'!$B:$E,4,0)</f>
        <v>#N/A</v>
      </c>
    </row>
    <row r="195" spans="1:36" x14ac:dyDescent="0.25">
      <c r="A195" s="1" t="s">
        <v>1820</v>
      </c>
      <c r="B195" s="1" t="s">
        <v>1360</v>
      </c>
      <c r="C195" s="1" t="s">
        <v>1361</v>
      </c>
      <c r="D195" s="1" t="s">
        <v>1821</v>
      </c>
      <c r="E195" s="1" t="s">
        <v>1822</v>
      </c>
      <c r="F195" s="1" t="s">
        <v>1823</v>
      </c>
      <c r="G195" s="1" t="s">
        <v>14129</v>
      </c>
      <c r="H195" s="1" t="s">
        <v>14133</v>
      </c>
      <c r="I195" s="1" t="s">
        <v>14319</v>
      </c>
      <c r="J195" s="1" t="s">
        <v>23</v>
      </c>
      <c r="K195" s="1"/>
      <c r="L195" s="1" t="s">
        <v>296</v>
      </c>
      <c r="M195" s="1" t="s">
        <v>1824</v>
      </c>
      <c r="N195" s="1" t="s">
        <v>1825</v>
      </c>
      <c r="O195" s="1" t="s">
        <v>1826</v>
      </c>
      <c r="P195" s="1" t="s">
        <v>1827</v>
      </c>
      <c r="Q195" s="1" t="s">
        <v>1828</v>
      </c>
      <c r="R195" s="1" t="s">
        <v>1829</v>
      </c>
      <c r="S195" s="1" t="s">
        <v>1830</v>
      </c>
      <c r="T195" s="1" t="s">
        <v>1831</v>
      </c>
      <c r="U195">
        <v>1953.9</v>
      </c>
      <c r="V195">
        <v>1446.96</v>
      </c>
      <c r="W195">
        <v>12.257196</v>
      </c>
      <c r="X195">
        <v>109.10738499999999</v>
      </c>
      <c r="Y195">
        <v>506.95</v>
      </c>
      <c r="Z195">
        <v>12.257274000000001</v>
      </c>
      <c r="AA195">
        <v>109.140851</v>
      </c>
      <c r="AB195" s="5">
        <f t="shared" ref="AB195:AB258" si="19">V195*1.5/1000</f>
        <v>2.1704400000000001</v>
      </c>
      <c r="AC195" s="5">
        <f t="shared" ref="AC195:AC258" si="20">Y195*1.5/1000</f>
        <v>0.76042499999999991</v>
      </c>
      <c r="AD195" s="1" t="str">
        <f t="shared" ref="AD195:AD258" si="21">TRIM(LEFT(L195,FIND("-",L195)-1))</f>
        <v>3. Trại giam A2</v>
      </c>
      <c r="AE195" s="1" t="str">
        <f t="shared" ref="AE195:AE258" si="22">TRIM(RIGHT(L195, LEN(L195) - FIND("-", L195)))</f>
        <v>CATP Nha trang cũ</v>
      </c>
      <c r="AG195">
        <f t="shared" ref="AG195:AG258" si="23">V195/1000</f>
        <v>1.44696</v>
      </c>
      <c r="AH195">
        <f t="shared" ref="AH195:AH258" si="24">Y195/1000</f>
        <v>0.50695000000000001</v>
      </c>
      <c r="AI195" t="e">
        <f>VLOOKUP(L195,'[1]Tuyến cáp H04'!$B:$E,3,0)/1000</f>
        <v>#N/A</v>
      </c>
      <c r="AJ195" t="e">
        <f>VLOOKUP(L195,'[1]Tuyến cáp H04'!$B:$E,4,0)</f>
        <v>#N/A</v>
      </c>
    </row>
    <row r="196" spans="1:36" x14ac:dyDescent="0.25">
      <c r="A196" s="1" t="s">
        <v>1832</v>
      </c>
      <c r="B196" s="1" t="s">
        <v>1360</v>
      </c>
      <c r="C196" s="1" t="s">
        <v>1361</v>
      </c>
      <c r="D196" s="1" t="s">
        <v>1833</v>
      </c>
      <c r="E196" s="1" t="s">
        <v>1834</v>
      </c>
      <c r="F196" s="1" t="s">
        <v>1835</v>
      </c>
      <c r="G196" s="1" t="s">
        <v>14129</v>
      </c>
      <c r="H196" s="1" t="s">
        <v>14133</v>
      </c>
      <c r="I196" s="1" t="s">
        <v>14320</v>
      </c>
      <c r="J196" s="1" t="s">
        <v>23</v>
      </c>
      <c r="K196" s="1"/>
      <c r="L196" s="1" t="s">
        <v>268</v>
      </c>
      <c r="M196" s="1" t="s">
        <v>1836</v>
      </c>
      <c r="N196" s="1" t="s">
        <v>1837</v>
      </c>
      <c r="O196" s="1" t="s">
        <v>1838</v>
      </c>
      <c r="P196" s="1" t="s">
        <v>1839</v>
      </c>
      <c r="Q196" s="1" t="s">
        <v>1840</v>
      </c>
      <c r="R196" s="1" t="s">
        <v>1841</v>
      </c>
      <c r="S196" s="1" t="s">
        <v>1842</v>
      </c>
      <c r="T196" s="1" t="s">
        <v>1843</v>
      </c>
      <c r="U196">
        <v>2948.96</v>
      </c>
      <c r="V196">
        <v>1446.62</v>
      </c>
      <c r="W196">
        <v>12.257206999999999</v>
      </c>
      <c r="X196">
        <v>109.107381</v>
      </c>
      <c r="Y196">
        <v>1502.34</v>
      </c>
      <c r="Z196">
        <v>12.255112</v>
      </c>
      <c r="AA196">
        <v>109.167627</v>
      </c>
      <c r="AB196" s="5">
        <f t="shared" si="19"/>
        <v>2.1699299999999999</v>
      </c>
      <c r="AC196" s="5">
        <f t="shared" si="20"/>
        <v>2.2535099999999999</v>
      </c>
      <c r="AD196" s="1" t="str">
        <f t="shared" si="21"/>
        <v>4.CA Tây Nha Trang</v>
      </c>
      <c r="AE196" s="1" t="str">
        <f t="shared" si="22"/>
        <v>TTCMKV Diên Khánh</v>
      </c>
      <c r="AG196">
        <f t="shared" si="23"/>
        <v>1.4466199999999998</v>
      </c>
      <c r="AH196">
        <f t="shared" si="24"/>
        <v>1.50234</v>
      </c>
      <c r="AI196" t="e">
        <f>VLOOKUP(L196,'[1]Tuyến cáp H04'!$B:$E,3,0)/1000</f>
        <v>#N/A</v>
      </c>
      <c r="AJ196" t="e">
        <f>VLOOKUP(L196,'[1]Tuyến cáp H04'!$B:$E,4,0)</f>
        <v>#N/A</v>
      </c>
    </row>
    <row r="197" spans="1:36" x14ac:dyDescent="0.25">
      <c r="A197" s="1" t="s">
        <v>1844</v>
      </c>
      <c r="B197" s="1" t="s">
        <v>1360</v>
      </c>
      <c r="C197" s="1" t="s">
        <v>1361</v>
      </c>
      <c r="D197" s="1" t="s">
        <v>1845</v>
      </c>
      <c r="E197" s="1" t="s">
        <v>1846</v>
      </c>
      <c r="F197" s="1" t="s">
        <v>1847</v>
      </c>
      <c r="G197" s="1" t="s">
        <v>14129</v>
      </c>
      <c r="H197" s="1" t="s">
        <v>14133</v>
      </c>
      <c r="I197" s="1" t="s">
        <v>14321</v>
      </c>
      <c r="J197" s="1" t="s">
        <v>23</v>
      </c>
      <c r="K197" s="1"/>
      <c r="L197" s="1" t="s">
        <v>447</v>
      </c>
      <c r="M197" s="1" t="s">
        <v>1848</v>
      </c>
      <c r="N197" s="1" t="s">
        <v>1425</v>
      </c>
      <c r="O197" s="1" t="s">
        <v>1426</v>
      </c>
      <c r="P197" s="1" t="s">
        <v>1427</v>
      </c>
      <c r="Q197" s="1" t="s">
        <v>1849</v>
      </c>
      <c r="R197" s="1" t="s">
        <v>1850</v>
      </c>
      <c r="S197" s="1" t="s">
        <v>1851</v>
      </c>
      <c r="T197" s="1" t="s">
        <v>455</v>
      </c>
      <c r="U197">
        <v>152.37</v>
      </c>
      <c r="V197">
        <v>3.67</v>
      </c>
      <c r="W197">
        <v>12.25628</v>
      </c>
      <c r="X197">
        <v>109.09407299999999</v>
      </c>
      <c r="Y197">
        <v>148.69999999999999</v>
      </c>
      <c r="Z197">
        <v>12.26765</v>
      </c>
      <c r="AA197">
        <v>109.108559</v>
      </c>
      <c r="AB197" s="5">
        <f t="shared" si="19"/>
        <v>5.5049999999999995E-3</v>
      </c>
      <c r="AC197" s="5">
        <f t="shared" si="20"/>
        <v>0.22304999999999997</v>
      </c>
      <c r="AD197" s="1" t="str">
        <f t="shared" si="21"/>
        <v>1.CA Diên Khánh</v>
      </c>
      <c r="AE197" s="1" t="str">
        <f t="shared" si="22"/>
        <v>CA Diên Điền_Cột trung thế</v>
      </c>
      <c r="AG197">
        <f t="shared" si="23"/>
        <v>3.6700000000000001E-3</v>
      </c>
      <c r="AH197">
        <f t="shared" si="24"/>
        <v>0.1487</v>
      </c>
      <c r="AI197" t="e">
        <f>VLOOKUP(L197,'[1]Tuyến cáp H04'!$B:$E,3,0)/1000</f>
        <v>#N/A</v>
      </c>
      <c r="AJ197" t="e">
        <f>VLOOKUP(L197,'[1]Tuyến cáp H04'!$B:$E,4,0)</f>
        <v>#N/A</v>
      </c>
    </row>
    <row r="198" spans="1:36" x14ac:dyDescent="0.25">
      <c r="A198" s="1" t="s">
        <v>1852</v>
      </c>
      <c r="B198" s="1" t="s">
        <v>1360</v>
      </c>
      <c r="C198" s="1" t="s">
        <v>1361</v>
      </c>
      <c r="D198" s="1" t="s">
        <v>1853</v>
      </c>
      <c r="E198" s="1" t="s">
        <v>1854</v>
      </c>
      <c r="F198" s="1" t="s">
        <v>1855</v>
      </c>
      <c r="G198" s="1" t="s">
        <v>14129</v>
      </c>
      <c r="H198" s="1" t="s">
        <v>14133</v>
      </c>
      <c r="I198" s="1" t="s">
        <v>14322</v>
      </c>
      <c r="J198" s="1" t="s">
        <v>23</v>
      </c>
      <c r="K198" s="1"/>
      <c r="L198" s="1" t="s">
        <v>447</v>
      </c>
      <c r="M198" s="1" t="s">
        <v>1856</v>
      </c>
      <c r="N198" s="1" t="s">
        <v>1425</v>
      </c>
      <c r="O198" s="1" t="s">
        <v>1426</v>
      </c>
      <c r="P198" s="1" t="s">
        <v>1427</v>
      </c>
      <c r="Q198" s="1" t="s">
        <v>1857</v>
      </c>
      <c r="R198" s="1" t="s">
        <v>1858</v>
      </c>
      <c r="S198" s="1" t="s">
        <v>1859</v>
      </c>
      <c r="T198" s="1" t="s">
        <v>455</v>
      </c>
      <c r="U198">
        <v>181.44</v>
      </c>
      <c r="V198">
        <v>3.67</v>
      </c>
      <c r="W198">
        <v>12.25628</v>
      </c>
      <c r="X198">
        <v>109.09407299999999</v>
      </c>
      <c r="Y198">
        <v>177.77</v>
      </c>
      <c r="Z198">
        <v>12.257208</v>
      </c>
      <c r="AA198">
        <v>109.10672700000001</v>
      </c>
      <c r="AB198" s="5">
        <f t="shared" si="19"/>
        <v>5.5049999999999995E-3</v>
      </c>
      <c r="AC198" s="5">
        <f t="shared" si="20"/>
        <v>0.26665500000000003</v>
      </c>
      <c r="AD198" s="1" t="str">
        <f t="shared" si="21"/>
        <v>1.CA Diên Khánh</v>
      </c>
      <c r="AE198" s="1" t="str">
        <f t="shared" si="22"/>
        <v>CA Diên Điền_Cột trung thế</v>
      </c>
      <c r="AG198">
        <f t="shared" si="23"/>
        <v>3.6700000000000001E-3</v>
      </c>
      <c r="AH198">
        <f t="shared" si="24"/>
        <v>0.17777000000000001</v>
      </c>
      <c r="AI198" t="e">
        <f>VLOOKUP(L198,'[1]Tuyến cáp H04'!$B:$E,3,0)/1000</f>
        <v>#N/A</v>
      </c>
      <c r="AJ198" t="e">
        <f>VLOOKUP(L198,'[1]Tuyến cáp H04'!$B:$E,4,0)</f>
        <v>#N/A</v>
      </c>
    </row>
    <row r="199" spans="1:36" x14ac:dyDescent="0.25">
      <c r="A199" s="1" t="s">
        <v>1860</v>
      </c>
      <c r="B199" s="1" t="s">
        <v>1360</v>
      </c>
      <c r="C199" s="1" t="s">
        <v>1361</v>
      </c>
      <c r="D199" s="1" t="s">
        <v>1861</v>
      </c>
      <c r="E199" s="1" t="s">
        <v>1862</v>
      </c>
      <c r="F199" s="1" t="s">
        <v>1863</v>
      </c>
      <c r="G199" s="1" t="s">
        <v>14129</v>
      </c>
      <c r="H199" s="1" t="s">
        <v>14133</v>
      </c>
      <c r="I199" s="1" t="s">
        <v>14323</v>
      </c>
      <c r="J199" s="1" t="s">
        <v>23</v>
      </c>
      <c r="K199" s="1"/>
      <c r="L199" s="1" t="s">
        <v>447</v>
      </c>
      <c r="M199" s="1" t="s">
        <v>1864</v>
      </c>
      <c r="N199" s="1" t="s">
        <v>1425</v>
      </c>
      <c r="O199" s="1" t="s">
        <v>1426</v>
      </c>
      <c r="P199" s="1" t="s">
        <v>1427</v>
      </c>
      <c r="Q199" s="1" t="s">
        <v>1865</v>
      </c>
      <c r="R199" s="1" t="s">
        <v>1866</v>
      </c>
      <c r="S199" s="1" t="s">
        <v>1867</v>
      </c>
      <c r="T199" s="1" t="s">
        <v>455</v>
      </c>
      <c r="U199">
        <v>1447.06</v>
      </c>
      <c r="V199">
        <v>3.67</v>
      </c>
      <c r="W199">
        <v>12.25628</v>
      </c>
      <c r="X199">
        <v>109.09407299999999</v>
      </c>
      <c r="Y199">
        <v>1443.39</v>
      </c>
      <c r="Z199">
        <v>12.274564</v>
      </c>
      <c r="AA199">
        <v>109.11688599999999</v>
      </c>
      <c r="AB199" s="5">
        <f t="shared" si="19"/>
        <v>5.5049999999999995E-3</v>
      </c>
      <c r="AC199" s="5">
        <f t="shared" si="20"/>
        <v>2.1650849999999999</v>
      </c>
      <c r="AD199" s="1" t="str">
        <f t="shared" si="21"/>
        <v>1.CA Diên Khánh</v>
      </c>
      <c r="AE199" s="1" t="str">
        <f t="shared" si="22"/>
        <v>CA Diên Điền_Cột trung thế</v>
      </c>
      <c r="AG199">
        <f t="shared" si="23"/>
        <v>3.6700000000000001E-3</v>
      </c>
      <c r="AH199">
        <f t="shared" si="24"/>
        <v>1.4433900000000002</v>
      </c>
      <c r="AI199" t="e">
        <f>VLOOKUP(L199,'[1]Tuyến cáp H04'!$B:$E,3,0)/1000</f>
        <v>#N/A</v>
      </c>
      <c r="AJ199" t="e">
        <f>VLOOKUP(L199,'[1]Tuyến cáp H04'!$B:$E,4,0)</f>
        <v>#N/A</v>
      </c>
    </row>
    <row r="200" spans="1:36" x14ac:dyDescent="0.25">
      <c r="A200" s="1" t="s">
        <v>1868</v>
      </c>
      <c r="B200" s="1" t="s">
        <v>1360</v>
      </c>
      <c r="C200" s="1" t="s">
        <v>1361</v>
      </c>
      <c r="D200" s="1" t="s">
        <v>1869</v>
      </c>
      <c r="E200" s="1" t="s">
        <v>1870</v>
      </c>
      <c r="F200" s="1" t="s">
        <v>1871</v>
      </c>
      <c r="G200" s="1" t="s">
        <v>14129</v>
      </c>
      <c r="H200" s="1" t="s">
        <v>14133</v>
      </c>
      <c r="I200" s="1" t="s">
        <v>14324</v>
      </c>
      <c r="J200" s="1" t="s">
        <v>23</v>
      </c>
      <c r="K200" s="1"/>
      <c r="L200" s="1" t="s">
        <v>54</v>
      </c>
      <c r="M200" s="1" t="s">
        <v>1872</v>
      </c>
      <c r="N200" s="1" t="s">
        <v>1808</v>
      </c>
      <c r="O200" s="1" t="s">
        <v>1873</v>
      </c>
      <c r="P200" s="1" t="s">
        <v>1874</v>
      </c>
      <c r="Q200" s="1" t="s">
        <v>1875</v>
      </c>
      <c r="R200" s="1" t="s">
        <v>1876</v>
      </c>
      <c r="S200" s="1" t="s">
        <v>1877</v>
      </c>
      <c r="T200" s="1" t="s">
        <v>62</v>
      </c>
      <c r="U200">
        <v>1737.99</v>
      </c>
      <c r="V200">
        <v>4.88</v>
      </c>
      <c r="W200">
        <v>12.256322000000001</v>
      </c>
      <c r="X200">
        <v>109.094061</v>
      </c>
      <c r="Y200">
        <v>1733.11</v>
      </c>
      <c r="Z200">
        <v>12.240461</v>
      </c>
      <c r="AA200">
        <v>109.09412</v>
      </c>
      <c r="AB200" s="5">
        <f t="shared" si="19"/>
        <v>7.3200000000000001E-3</v>
      </c>
      <c r="AC200" s="5">
        <f t="shared" si="20"/>
        <v>2.5996649999999999</v>
      </c>
      <c r="AD200" s="1" t="str">
        <f t="shared" si="21"/>
        <v>1.CA Diên Khánh</v>
      </c>
      <c r="AE200" s="1" t="str">
        <f t="shared" si="22"/>
        <v>CA Suối Hiệp</v>
      </c>
      <c r="AG200">
        <f t="shared" si="23"/>
        <v>4.8799999999999998E-3</v>
      </c>
      <c r="AH200">
        <f t="shared" si="24"/>
        <v>1.7331099999999999</v>
      </c>
      <c r="AI200" t="e">
        <f>VLOOKUP(L200,'[1]Tuyến cáp H04'!$B:$E,3,0)/1000</f>
        <v>#N/A</v>
      </c>
      <c r="AJ200" t="e">
        <f>VLOOKUP(L200,'[1]Tuyến cáp H04'!$B:$E,4,0)</f>
        <v>#N/A</v>
      </c>
    </row>
    <row r="201" spans="1:36" x14ac:dyDescent="0.25">
      <c r="A201" s="1" t="s">
        <v>1878</v>
      </c>
      <c r="B201" s="1" t="s">
        <v>1879</v>
      </c>
      <c r="C201" s="1" t="s">
        <v>1880</v>
      </c>
      <c r="D201" s="1" t="s">
        <v>1360</v>
      </c>
      <c r="E201" s="1" t="s">
        <v>1361</v>
      </c>
      <c r="F201" s="1" t="s">
        <v>1881</v>
      </c>
      <c r="G201" s="1" t="s">
        <v>14129</v>
      </c>
      <c r="H201" s="1" t="s">
        <v>14130</v>
      </c>
      <c r="I201" s="1" t="s">
        <v>14325</v>
      </c>
      <c r="J201" s="1" t="s">
        <v>23</v>
      </c>
      <c r="K201" s="1"/>
      <c r="L201" s="1" t="s">
        <v>447</v>
      </c>
      <c r="M201" s="1" t="s">
        <v>1882</v>
      </c>
      <c r="N201" s="1" t="s">
        <v>1883</v>
      </c>
      <c r="O201" s="1" t="s">
        <v>1884</v>
      </c>
      <c r="P201" s="1" t="s">
        <v>1885</v>
      </c>
      <c r="Q201" s="1" t="s">
        <v>1425</v>
      </c>
      <c r="R201" s="1" t="s">
        <v>1426</v>
      </c>
      <c r="S201" s="1" t="s">
        <v>1427</v>
      </c>
      <c r="T201" s="1" t="s">
        <v>455</v>
      </c>
      <c r="U201">
        <v>969.56</v>
      </c>
      <c r="V201">
        <v>965.89</v>
      </c>
      <c r="W201">
        <v>12.258483999999999</v>
      </c>
      <c r="X201">
        <v>109.10706</v>
      </c>
      <c r="Y201">
        <v>3.67</v>
      </c>
      <c r="Z201">
        <v>12.25628</v>
      </c>
      <c r="AA201">
        <v>109.09407299999999</v>
      </c>
      <c r="AB201" s="5">
        <f t="shared" si="19"/>
        <v>1.4488350000000001</v>
      </c>
      <c r="AC201" s="5">
        <f t="shared" si="20"/>
        <v>5.5049999999999995E-3</v>
      </c>
      <c r="AD201" s="1" t="str">
        <f t="shared" si="21"/>
        <v>1.CA Diên Khánh</v>
      </c>
      <c r="AE201" s="1" t="str">
        <f t="shared" si="22"/>
        <v>CA Diên Điền_Cột trung thế</v>
      </c>
      <c r="AG201">
        <f t="shared" si="23"/>
        <v>0.96589000000000003</v>
      </c>
      <c r="AH201">
        <f t="shared" si="24"/>
        <v>3.6700000000000001E-3</v>
      </c>
      <c r="AI201" t="e">
        <f>VLOOKUP(L201,'[1]Tuyến cáp H04'!$B:$E,3,0)/1000</f>
        <v>#N/A</v>
      </c>
      <c r="AJ201" t="e">
        <f>VLOOKUP(L201,'[1]Tuyến cáp H04'!$B:$E,4,0)</f>
        <v>#N/A</v>
      </c>
    </row>
    <row r="202" spans="1:36" x14ac:dyDescent="0.25">
      <c r="A202" s="1" t="s">
        <v>1886</v>
      </c>
      <c r="B202" s="1" t="s">
        <v>1887</v>
      </c>
      <c r="C202" s="1" t="s">
        <v>1888</v>
      </c>
      <c r="D202" s="1" t="s">
        <v>1360</v>
      </c>
      <c r="E202" s="1" t="s">
        <v>1361</v>
      </c>
      <c r="F202" s="1" t="s">
        <v>1889</v>
      </c>
      <c r="G202" s="1" t="s">
        <v>14129</v>
      </c>
      <c r="H202" s="1" t="s">
        <v>14130</v>
      </c>
      <c r="I202" s="1" t="s">
        <v>14326</v>
      </c>
      <c r="J202" s="1" t="s">
        <v>23</v>
      </c>
      <c r="K202" s="1"/>
      <c r="L202" s="1" t="s">
        <v>447</v>
      </c>
      <c r="M202" s="1" t="s">
        <v>1890</v>
      </c>
      <c r="N202" s="1" t="s">
        <v>1891</v>
      </c>
      <c r="O202" s="1" t="s">
        <v>1858</v>
      </c>
      <c r="P202" s="1" t="s">
        <v>1892</v>
      </c>
      <c r="Q202" s="1" t="s">
        <v>1425</v>
      </c>
      <c r="R202" s="1" t="s">
        <v>1426</v>
      </c>
      <c r="S202" s="1" t="s">
        <v>1427</v>
      </c>
      <c r="T202" s="1" t="s">
        <v>455</v>
      </c>
      <c r="U202">
        <v>411.7</v>
      </c>
      <c r="V202">
        <v>408.03</v>
      </c>
      <c r="W202">
        <v>12.257208</v>
      </c>
      <c r="X202">
        <v>109.104496</v>
      </c>
      <c r="Y202">
        <v>3.67</v>
      </c>
      <c r="Z202">
        <v>12.25628</v>
      </c>
      <c r="AA202">
        <v>109.09407299999999</v>
      </c>
      <c r="AB202" s="5">
        <f t="shared" si="19"/>
        <v>0.61204499999999995</v>
      </c>
      <c r="AC202" s="5">
        <f t="shared" si="20"/>
        <v>5.5049999999999995E-3</v>
      </c>
      <c r="AD202" s="1" t="str">
        <f t="shared" si="21"/>
        <v>1.CA Diên Khánh</v>
      </c>
      <c r="AE202" s="1" t="str">
        <f t="shared" si="22"/>
        <v>CA Diên Điền_Cột trung thế</v>
      </c>
      <c r="AG202">
        <f t="shared" si="23"/>
        <v>0.40802999999999995</v>
      </c>
      <c r="AH202">
        <f t="shared" si="24"/>
        <v>3.6700000000000001E-3</v>
      </c>
      <c r="AI202" t="e">
        <f>VLOOKUP(L202,'[1]Tuyến cáp H04'!$B:$E,3,0)/1000</f>
        <v>#N/A</v>
      </c>
      <c r="AJ202" t="e">
        <f>VLOOKUP(L202,'[1]Tuyến cáp H04'!$B:$E,4,0)</f>
        <v>#N/A</v>
      </c>
    </row>
    <row r="203" spans="1:36" x14ac:dyDescent="0.25">
      <c r="A203" s="1" t="s">
        <v>1893</v>
      </c>
      <c r="B203" s="1" t="s">
        <v>1894</v>
      </c>
      <c r="C203" s="1" t="s">
        <v>1895</v>
      </c>
      <c r="D203" s="1" t="s">
        <v>1360</v>
      </c>
      <c r="E203" s="1" t="s">
        <v>1361</v>
      </c>
      <c r="F203" s="1" t="s">
        <v>1896</v>
      </c>
      <c r="G203" s="1" t="s">
        <v>14129</v>
      </c>
      <c r="H203" s="1" t="s">
        <v>14130</v>
      </c>
      <c r="I203" s="1" t="s">
        <v>14327</v>
      </c>
      <c r="J203" s="1" t="s">
        <v>23</v>
      </c>
      <c r="K203" s="1"/>
      <c r="L203" s="1" t="s">
        <v>54</v>
      </c>
      <c r="M203" s="1" t="s">
        <v>1897</v>
      </c>
      <c r="N203" s="1" t="s">
        <v>1898</v>
      </c>
      <c r="O203" s="1" t="s">
        <v>1899</v>
      </c>
      <c r="P203" s="1" t="s">
        <v>1900</v>
      </c>
      <c r="Q203" s="1" t="s">
        <v>1808</v>
      </c>
      <c r="R203" s="1" t="s">
        <v>1873</v>
      </c>
      <c r="S203" s="1" t="s">
        <v>1874</v>
      </c>
      <c r="T203" s="1" t="s">
        <v>62</v>
      </c>
      <c r="U203">
        <v>63.19</v>
      </c>
      <c r="V203">
        <v>58.31</v>
      </c>
      <c r="W203">
        <v>12.256041</v>
      </c>
      <c r="X203">
        <v>109.097449</v>
      </c>
      <c r="Y203">
        <v>4.88</v>
      </c>
      <c r="Z203">
        <v>12.256322000000001</v>
      </c>
      <c r="AA203">
        <v>109.094061</v>
      </c>
      <c r="AB203" s="5">
        <f t="shared" si="19"/>
        <v>8.7465000000000001E-2</v>
      </c>
      <c r="AC203" s="5">
        <f t="shared" si="20"/>
        <v>7.3200000000000001E-3</v>
      </c>
      <c r="AD203" s="1" t="str">
        <f t="shared" si="21"/>
        <v>1.CA Diên Khánh</v>
      </c>
      <c r="AE203" s="1" t="str">
        <f t="shared" si="22"/>
        <v>CA Suối Hiệp</v>
      </c>
      <c r="AG203">
        <f t="shared" si="23"/>
        <v>5.8310000000000001E-2</v>
      </c>
      <c r="AH203">
        <f t="shared" si="24"/>
        <v>4.8799999999999998E-3</v>
      </c>
      <c r="AI203" t="e">
        <f>VLOOKUP(L203,'[1]Tuyến cáp H04'!$B:$E,3,0)/1000</f>
        <v>#N/A</v>
      </c>
      <c r="AJ203" t="e">
        <f>VLOOKUP(L203,'[1]Tuyến cáp H04'!$B:$E,4,0)</f>
        <v>#N/A</v>
      </c>
    </row>
    <row r="204" spans="1:36" x14ac:dyDescent="0.25">
      <c r="A204" s="1" t="s">
        <v>1901</v>
      </c>
      <c r="B204" s="1" t="s">
        <v>1902</v>
      </c>
      <c r="C204" s="1" t="s">
        <v>1903</v>
      </c>
      <c r="D204" s="1" t="s">
        <v>1360</v>
      </c>
      <c r="E204" s="1" t="s">
        <v>1361</v>
      </c>
      <c r="F204" s="1" t="s">
        <v>1904</v>
      </c>
      <c r="G204" s="1" t="s">
        <v>14129</v>
      </c>
      <c r="H204" s="1" t="s">
        <v>14133</v>
      </c>
      <c r="I204" s="1" t="s">
        <v>14328</v>
      </c>
      <c r="J204" s="1" t="s">
        <v>23</v>
      </c>
      <c r="K204" s="1"/>
      <c r="L204" s="1" t="s">
        <v>54</v>
      </c>
      <c r="M204" s="1" t="s">
        <v>1905</v>
      </c>
      <c r="N204" s="1" t="s">
        <v>1906</v>
      </c>
      <c r="O204" s="1" t="s">
        <v>60</v>
      </c>
      <c r="P204" s="1" t="s">
        <v>61</v>
      </c>
      <c r="Q204" s="1" t="s">
        <v>1808</v>
      </c>
      <c r="R204" s="1" t="s">
        <v>1873</v>
      </c>
      <c r="S204" s="1" t="s">
        <v>1874</v>
      </c>
      <c r="T204" s="1" t="s">
        <v>62</v>
      </c>
      <c r="U204">
        <v>7884.01</v>
      </c>
      <c r="V204">
        <v>7879.13</v>
      </c>
      <c r="W204">
        <v>12.222536</v>
      </c>
      <c r="X204">
        <v>109.084489</v>
      </c>
      <c r="Y204">
        <v>4.88</v>
      </c>
      <c r="Z204">
        <v>12.256322000000001</v>
      </c>
      <c r="AA204">
        <v>109.094061</v>
      </c>
      <c r="AB204" s="5">
        <f t="shared" si="19"/>
        <v>11.818695</v>
      </c>
      <c r="AC204" s="5">
        <f t="shared" si="20"/>
        <v>7.3200000000000001E-3</v>
      </c>
      <c r="AD204" s="1" t="str">
        <f t="shared" si="21"/>
        <v>1.CA Diên Khánh</v>
      </c>
      <c r="AE204" s="1" t="str">
        <f t="shared" si="22"/>
        <v>CA Suối Hiệp</v>
      </c>
      <c r="AG204">
        <f t="shared" si="23"/>
        <v>7.87913</v>
      </c>
      <c r="AH204">
        <f t="shared" si="24"/>
        <v>4.8799999999999998E-3</v>
      </c>
      <c r="AI204" t="e">
        <f>VLOOKUP(L204,'[1]Tuyến cáp H04'!$B:$E,3,0)/1000</f>
        <v>#N/A</v>
      </c>
      <c r="AJ204" t="e">
        <f>VLOOKUP(L204,'[1]Tuyến cáp H04'!$B:$E,4,0)</f>
        <v>#N/A</v>
      </c>
    </row>
    <row r="205" spans="1:36" x14ac:dyDescent="0.25">
      <c r="A205" s="1" t="s">
        <v>1907</v>
      </c>
      <c r="B205" s="1" t="s">
        <v>1360</v>
      </c>
      <c r="C205" s="1" t="s">
        <v>1361</v>
      </c>
      <c r="D205" s="1" t="s">
        <v>1908</v>
      </c>
      <c r="E205" s="1" t="s">
        <v>1909</v>
      </c>
      <c r="F205" s="1" t="s">
        <v>1910</v>
      </c>
      <c r="G205" s="1" t="s">
        <v>14281</v>
      </c>
      <c r="H205" s="1" t="s">
        <v>14282</v>
      </c>
      <c r="I205" s="1" t="s">
        <v>14329</v>
      </c>
      <c r="J205" s="1" t="s">
        <v>23</v>
      </c>
      <c r="K205" s="1"/>
      <c r="L205" s="1" t="s">
        <v>268</v>
      </c>
      <c r="M205" s="1" t="s">
        <v>1911</v>
      </c>
      <c r="N205" s="1" t="s">
        <v>1837</v>
      </c>
      <c r="O205" s="1" t="s">
        <v>1838</v>
      </c>
      <c r="P205" s="1" t="s">
        <v>1839</v>
      </c>
      <c r="Q205" s="1" t="s">
        <v>1912</v>
      </c>
      <c r="R205" s="1" t="s">
        <v>1841</v>
      </c>
      <c r="S205" s="1" t="s">
        <v>1842</v>
      </c>
      <c r="T205" s="1" t="s">
        <v>1843</v>
      </c>
      <c r="U205">
        <v>4298.22</v>
      </c>
      <c r="V205">
        <v>1446.62</v>
      </c>
      <c r="W205">
        <v>12.257206999999999</v>
      </c>
      <c r="X205">
        <v>109.107381</v>
      </c>
      <c r="Y205">
        <v>2851.61</v>
      </c>
      <c r="Z205">
        <v>12.255112</v>
      </c>
      <c r="AA205">
        <v>109.167627</v>
      </c>
      <c r="AB205" s="5">
        <f t="shared" si="19"/>
        <v>2.1699299999999999</v>
      </c>
      <c r="AC205" s="5">
        <f t="shared" si="20"/>
        <v>4.2774149999999995</v>
      </c>
      <c r="AD205" s="1" t="str">
        <f t="shared" si="21"/>
        <v>4.CA Tây Nha Trang</v>
      </c>
      <c r="AE205" s="1" t="str">
        <f t="shared" si="22"/>
        <v>TTCMKV Diên Khánh</v>
      </c>
      <c r="AG205">
        <f t="shared" si="23"/>
        <v>1.4466199999999998</v>
      </c>
      <c r="AH205">
        <f t="shared" si="24"/>
        <v>2.85161</v>
      </c>
      <c r="AI205" t="e">
        <f>VLOOKUP(L205,'[1]Tuyến cáp H04'!$B:$E,3,0)/1000</f>
        <v>#N/A</v>
      </c>
      <c r="AJ205" t="e">
        <f>VLOOKUP(L205,'[1]Tuyến cáp H04'!$B:$E,4,0)</f>
        <v>#N/A</v>
      </c>
    </row>
    <row r="206" spans="1:36" x14ac:dyDescent="0.25">
      <c r="A206" s="1" t="s">
        <v>1913</v>
      </c>
      <c r="B206" s="1" t="s">
        <v>1360</v>
      </c>
      <c r="C206" s="1" t="s">
        <v>1361</v>
      </c>
      <c r="D206" s="1" t="s">
        <v>812</v>
      </c>
      <c r="E206" s="1" t="s">
        <v>813</v>
      </c>
      <c r="F206" s="1" t="s">
        <v>1914</v>
      </c>
      <c r="G206" s="1" t="s">
        <v>14281</v>
      </c>
      <c r="H206" s="1" t="s">
        <v>14282</v>
      </c>
      <c r="I206" s="1" t="s">
        <v>14330</v>
      </c>
      <c r="J206" s="1" t="s">
        <v>23</v>
      </c>
      <c r="K206" s="1"/>
      <c r="L206" s="1" t="s">
        <v>245</v>
      </c>
      <c r="M206" s="1" t="s">
        <v>1915</v>
      </c>
      <c r="N206" s="1" t="s">
        <v>1916</v>
      </c>
      <c r="O206" s="1" t="s">
        <v>1917</v>
      </c>
      <c r="P206" s="1" t="s">
        <v>1918</v>
      </c>
      <c r="Q206" s="1" t="s">
        <v>1919</v>
      </c>
      <c r="R206" s="1" t="s">
        <v>1920</v>
      </c>
      <c r="S206" s="1" t="s">
        <v>1921</v>
      </c>
      <c r="T206" s="1" t="s">
        <v>881</v>
      </c>
      <c r="U206">
        <v>11802.2</v>
      </c>
      <c r="V206">
        <v>10371.14</v>
      </c>
      <c r="W206">
        <v>12.164901</v>
      </c>
      <c r="X206">
        <v>109.07508300000001</v>
      </c>
      <c r="Y206">
        <v>1431.05</v>
      </c>
      <c r="Z206">
        <v>12.07361</v>
      </c>
      <c r="AA206">
        <v>109.15225100000001</v>
      </c>
      <c r="AB206" s="5">
        <f t="shared" si="19"/>
        <v>15.556709999999999</v>
      </c>
      <c r="AC206" s="5">
        <f t="shared" si="20"/>
        <v>2.1465749999999999</v>
      </c>
      <c r="AD206" s="1" t="str">
        <f t="shared" si="21"/>
        <v>5. Cam Phước Đông</v>
      </c>
      <c r="AE206" s="1" t="str">
        <f t="shared" si="22"/>
        <v>CAT Khánh Hòa</v>
      </c>
      <c r="AG206">
        <f t="shared" si="23"/>
        <v>10.371139999999999</v>
      </c>
      <c r="AH206">
        <f t="shared" si="24"/>
        <v>1.4310499999999999</v>
      </c>
      <c r="AI206" t="e">
        <f>VLOOKUP(L206,'[1]Tuyến cáp H04'!$B:$E,3,0)/1000</f>
        <v>#N/A</v>
      </c>
      <c r="AJ206" t="e">
        <f>VLOOKUP(L206,'[1]Tuyến cáp H04'!$B:$E,4,0)</f>
        <v>#N/A</v>
      </c>
    </row>
    <row r="207" spans="1:36" x14ac:dyDescent="0.25">
      <c r="A207" s="1" t="s">
        <v>1907</v>
      </c>
      <c r="B207" s="1" t="s">
        <v>1360</v>
      </c>
      <c r="C207" s="1" t="s">
        <v>1361</v>
      </c>
      <c r="D207" s="1" t="s">
        <v>1908</v>
      </c>
      <c r="E207" s="1" t="s">
        <v>1909</v>
      </c>
      <c r="F207" s="1" t="s">
        <v>1910</v>
      </c>
      <c r="G207" s="1" t="s">
        <v>14281</v>
      </c>
      <c r="H207" s="1" t="s">
        <v>14282</v>
      </c>
      <c r="I207" s="1" t="s">
        <v>14329</v>
      </c>
      <c r="J207" s="1" t="s">
        <v>23</v>
      </c>
      <c r="K207" s="1"/>
      <c r="L207" s="1" t="s">
        <v>268</v>
      </c>
      <c r="M207" s="1" t="s">
        <v>1911</v>
      </c>
      <c r="N207" s="1" t="s">
        <v>1837</v>
      </c>
      <c r="O207" s="1" t="s">
        <v>1838</v>
      </c>
      <c r="P207" s="1" t="s">
        <v>1839</v>
      </c>
      <c r="Q207" s="1" t="s">
        <v>1912</v>
      </c>
      <c r="R207" s="1" t="s">
        <v>1841</v>
      </c>
      <c r="S207" s="1" t="s">
        <v>1842</v>
      </c>
      <c r="T207" s="1" t="s">
        <v>1843</v>
      </c>
      <c r="U207">
        <v>4298.22</v>
      </c>
      <c r="V207">
        <v>1446.62</v>
      </c>
      <c r="W207">
        <v>12.257206999999999</v>
      </c>
      <c r="X207">
        <v>109.107381</v>
      </c>
      <c r="Y207">
        <v>2851.61</v>
      </c>
      <c r="Z207">
        <v>12.255112</v>
      </c>
      <c r="AA207">
        <v>109.167627</v>
      </c>
      <c r="AB207" s="5">
        <f t="shared" si="19"/>
        <v>2.1699299999999999</v>
      </c>
      <c r="AC207" s="5">
        <f t="shared" si="20"/>
        <v>4.2774149999999995</v>
      </c>
      <c r="AD207" s="1" t="str">
        <f t="shared" si="21"/>
        <v>4.CA Tây Nha Trang</v>
      </c>
      <c r="AE207" s="1" t="str">
        <f t="shared" si="22"/>
        <v>TTCMKV Diên Khánh</v>
      </c>
      <c r="AG207">
        <f t="shared" si="23"/>
        <v>1.4466199999999998</v>
      </c>
      <c r="AH207">
        <f t="shared" si="24"/>
        <v>2.85161</v>
      </c>
      <c r="AI207" t="e">
        <f>VLOOKUP(L207,'[1]Tuyến cáp H04'!$B:$E,3,0)/1000</f>
        <v>#N/A</v>
      </c>
      <c r="AJ207" t="e">
        <f>VLOOKUP(L207,'[1]Tuyến cáp H04'!$B:$E,4,0)</f>
        <v>#N/A</v>
      </c>
    </row>
    <row r="208" spans="1:36" x14ac:dyDescent="0.25">
      <c r="A208" s="1" t="s">
        <v>1922</v>
      </c>
      <c r="B208" s="1" t="s">
        <v>1360</v>
      </c>
      <c r="C208" s="1" t="s">
        <v>1361</v>
      </c>
      <c r="D208" s="1" t="s">
        <v>1923</v>
      </c>
      <c r="E208" s="1" t="s">
        <v>1924</v>
      </c>
      <c r="F208" s="1" t="s">
        <v>1925</v>
      </c>
      <c r="G208" s="1" t="s">
        <v>14281</v>
      </c>
      <c r="H208" s="1" t="s">
        <v>14282</v>
      </c>
      <c r="I208" s="1" t="s">
        <v>14331</v>
      </c>
      <c r="J208" s="1" t="s">
        <v>23</v>
      </c>
      <c r="K208" s="1"/>
      <c r="L208" s="1" t="s">
        <v>54</v>
      </c>
      <c r="M208" s="1" t="s">
        <v>1926</v>
      </c>
      <c r="N208" s="1" t="s">
        <v>1808</v>
      </c>
      <c r="O208" s="1" t="s">
        <v>1873</v>
      </c>
      <c r="P208" s="1" t="s">
        <v>1874</v>
      </c>
      <c r="Q208" s="1" t="s">
        <v>1927</v>
      </c>
      <c r="R208" s="1" t="s">
        <v>1928</v>
      </c>
      <c r="S208" s="1" t="s">
        <v>1929</v>
      </c>
      <c r="T208" s="1" t="s">
        <v>62</v>
      </c>
      <c r="U208">
        <v>698.36</v>
      </c>
      <c r="V208">
        <v>4.88</v>
      </c>
      <c r="W208">
        <v>12.256322000000001</v>
      </c>
      <c r="X208">
        <v>109.094061</v>
      </c>
      <c r="Y208">
        <v>693.48</v>
      </c>
      <c r="Z208">
        <v>12.252197000000001</v>
      </c>
      <c r="AA208">
        <v>109.097283</v>
      </c>
      <c r="AB208" s="5">
        <f t="shared" si="19"/>
        <v>7.3200000000000001E-3</v>
      </c>
      <c r="AC208" s="5">
        <f t="shared" si="20"/>
        <v>1.0402199999999999</v>
      </c>
      <c r="AD208" s="1" t="str">
        <f t="shared" si="21"/>
        <v>1.CA Diên Khánh</v>
      </c>
      <c r="AE208" s="1" t="str">
        <f t="shared" si="22"/>
        <v>CA Suối Hiệp</v>
      </c>
      <c r="AG208">
        <f t="shared" si="23"/>
        <v>4.8799999999999998E-3</v>
      </c>
      <c r="AH208">
        <f t="shared" si="24"/>
        <v>0.69347999999999999</v>
      </c>
      <c r="AI208" t="e">
        <f>VLOOKUP(L208,'[1]Tuyến cáp H04'!$B:$E,3,0)/1000</f>
        <v>#N/A</v>
      </c>
      <c r="AJ208" t="e">
        <f>VLOOKUP(L208,'[1]Tuyến cáp H04'!$B:$E,4,0)</f>
        <v>#N/A</v>
      </c>
    </row>
    <row r="209" spans="1:36" x14ac:dyDescent="0.25">
      <c r="A209" s="1" t="s">
        <v>1930</v>
      </c>
      <c r="B209" s="1" t="s">
        <v>1908</v>
      </c>
      <c r="C209" s="1" t="s">
        <v>1909</v>
      </c>
      <c r="D209" s="1" t="s">
        <v>1360</v>
      </c>
      <c r="E209" s="1" t="s">
        <v>1361</v>
      </c>
      <c r="F209" s="1" t="s">
        <v>1931</v>
      </c>
      <c r="G209" s="1" t="s">
        <v>14281</v>
      </c>
      <c r="H209" s="1" t="s">
        <v>14282</v>
      </c>
      <c r="I209" s="1" t="s">
        <v>14332</v>
      </c>
      <c r="J209" s="1" t="s">
        <v>23</v>
      </c>
      <c r="K209" s="1"/>
      <c r="L209" s="1" t="s">
        <v>268</v>
      </c>
      <c r="M209" s="1" t="s">
        <v>1911</v>
      </c>
      <c r="N209" s="1" t="s">
        <v>1912</v>
      </c>
      <c r="O209" s="1" t="s">
        <v>1841</v>
      </c>
      <c r="P209" s="1" t="s">
        <v>1842</v>
      </c>
      <c r="Q209" s="1" t="s">
        <v>1837</v>
      </c>
      <c r="R209" s="1" t="s">
        <v>1838</v>
      </c>
      <c r="S209" s="1" t="s">
        <v>1839</v>
      </c>
      <c r="T209" s="1" t="s">
        <v>1843</v>
      </c>
      <c r="U209">
        <v>4298.22</v>
      </c>
      <c r="V209">
        <v>2851.61</v>
      </c>
      <c r="W209">
        <v>12.255112</v>
      </c>
      <c r="X209">
        <v>109.167627</v>
      </c>
      <c r="Y209">
        <v>1446.62</v>
      </c>
      <c r="Z209">
        <v>12.257206999999999</v>
      </c>
      <c r="AA209">
        <v>109.107381</v>
      </c>
      <c r="AB209" s="5">
        <f t="shared" si="19"/>
        <v>4.2774149999999995</v>
      </c>
      <c r="AC209" s="5">
        <f t="shared" si="20"/>
        <v>2.1699299999999999</v>
      </c>
      <c r="AD209" s="1" t="str">
        <f t="shared" si="21"/>
        <v>4.CA Tây Nha Trang</v>
      </c>
      <c r="AE209" s="1" t="str">
        <f t="shared" si="22"/>
        <v>TTCMKV Diên Khánh</v>
      </c>
      <c r="AG209">
        <f t="shared" si="23"/>
        <v>2.85161</v>
      </c>
      <c r="AH209">
        <f t="shared" si="24"/>
        <v>1.4466199999999998</v>
      </c>
      <c r="AI209" t="e">
        <f>VLOOKUP(L209,'[1]Tuyến cáp H04'!$B:$E,3,0)/1000</f>
        <v>#N/A</v>
      </c>
      <c r="AJ209" t="e">
        <f>VLOOKUP(L209,'[1]Tuyến cáp H04'!$B:$E,4,0)</f>
        <v>#N/A</v>
      </c>
    </row>
    <row r="210" spans="1:36" x14ac:dyDescent="0.25">
      <c r="A210" s="1" t="s">
        <v>1932</v>
      </c>
      <c r="B210" s="1" t="s">
        <v>263</v>
      </c>
      <c r="C210" s="1" t="s">
        <v>264</v>
      </c>
      <c r="D210" s="1" t="s">
        <v>128</v>
      </c>
      <c r="E210" s="1" t="s">
        <v>129</v>
      </c>
      <c r="F210" s="1" t="s">
        <v>1933</v>
      </c>
      <c r="G210" s="1" t="s">
        <v>14281</v>
      </c>
      <c r="H210" s="1" t="s">
        <v>14282</v>
      </c>
      <c r="I210" s="1" t="s">
        <v>14333</v>
      </c>
      <c r="J210" s="1" t="s">
        <v>23</v>
      </c>
      <c r="K210" s="1"/>
      <c r="L210" s="1" t="s">
        <v>283</v>
      </c>
      <c r="M210" s="1" t="s">
        <v>1934</v>
      </c>
      <c r="N210" s="1" t="s">
        <v>1935</v>
      </c>
      <c r="O210" s="1" t="s">
        <v>289</v>
      </c>
      <c r="P210" s="1" t="s">
        <v>290</v>
      </c>
      <c r="Q210" s="1" t="s">
        <v>657</v>
      </c>
      <c r="R210" s="1" t="s">
        <v>286</v>
      </c>
      <c r="S210" s="1" t="s">
        <v>287</v>
      </c>
      <c r="T210" s="1" t="s">
        <v>291</v>
      </c>
      <c r="U210">
        <v>515907.01</v>
      </c>
      <c r="V210">
        <v>266264.28999999998</v>
      </c>
      <c r="W210">
        <v>14.352316999999999</v>
      </c>
      <c r="X210">
        <v>108.007831</v>
      </c>
      <c r="Y210">
        <v>249642.72</v>
      </c>
      <c r="Z210">
        <v>14.659686000000001</v>
      </c>
      <c r="AA210">
        <v>107.839439</v>
      </c>
      <c r="AB210" s="5">
        <f t="shared" si="19"/>
        <v>399.39643499999994</v>
      </c>
      <c r="AC210" s="5">
        <f t="shared" si="20"/>
        <v>374.46408000000002</v>
      </c>
      <c r="AD210" s="1" t="str">
        <f t="shared" si="21"/>
        <v>Đăk Tô</v>
      </c>
      <c r="AE210" s="1" t="str">
        <f t="shared" si="22"/>
        <v>TT2 Kon Tum</v>
      </c>
      <c r="AG210">
        <f t="shared" si="23"/>
        <v>266.26428999999996</v>
      </c>
      <c r="AH210">
        <f t="shared" si="24"/>
        <v>249.64272</v>
      </c>
      <c r="AI210">
        <f>VLOOKUP(L210,'[1]Tuyến cáp H04'!$B:$E,3,0)/1000</f>
        <v>43.9602</v>
      </c>
      <c r="AJ210" t="str">
        <f>VLOOKUP(L210,'[1]Tuyến cáp H04'!$B:$E,4,0)</f>
        <v>Mạng cấp 3</v>
      </c>
    </row>
    <row r="211" spans="1:36" x14ac:dyDescent="0.25">
      <c r="A211" s="1" t="s">
        <v>1936</v>
      </c>
      <c r="B211" s="1" t="s">
        <v>128</v>
      </c>
      <c r="C211" s="1" t="s">
        <v>129</v>
      </c>
      <c r="D211" s="1" t="s">
        <v>240</v>
      </c>
      <c r="E211" s="1" t="s">
        <v>241</v>
      </c>
      <c r="F211" s="1" t="s">
        <v>1937</v>
      </c>
      <c r="G211" s="1" t="s">
        <v>14281</v>
      </c>
      <c r="H211" s="1" t="s">
        <v>14282</v>
      </c>
      <c r="I211" s="1" t="s">
        <v>14334</v>
      </c>
      <c r="J211" s="1" t="s">
        <v>23</v>
      </c>
      <c r="K211" s="1"/>
      <c r="L211" s="1" t="s">
        <v>283</v>
      </c>
      <c r="M211" s="1" t="s">
        <v>1938</v>
      </c>
      <c r="N211" s="1" t="s">
        <v>657</v>
      </c>
      <c r="O211" s="1" t="s">
        <v>286</v>
      </c>
      <c r="P211" s="1" t="s">
        <v>287</v>
      </c>
      <c r="Q211" s="1" t="s">
        <v>1939</v>
      </c>
      <c r="R211" s="1" t="s">
        <v>289</v>
      </c>
      <c r="S211" s="1" t="s">
        <v>290</v>
      </c>
      <c r="T211" s="1" t="s">
        <v>291</v>
      </c>
      <c r="U211">
        <v>517162.81</v>
      </c>
      <c r="V211">
        <v>249642.72</v>
      </c>
      <c r="W211">
        <v>14.659686000000001</v>
      </c>
      <c r="X211">
        <v>107.839439</v>
      </c>
      <c r="Y211">
        <v>267520.09000000003</v>
      </c>
      <c r="Z211">
        <v>14.352316999999999</v>
      </c>
      <c r="AA211">
        <v>108.007831</v>
      </c>
      <c r="AB211" s="5">
        <f t="shared" si="19"/>
        <v>374.46408000000002</v>
      </c>
      <c r="AC211" s="5">
        <f t="shared" si="20"/>
        <v>401.28013500000003</v>
      </c>
      <c r="AD211" s="1" t="str">
        <f t="shared" si="21"/>
        <v>Đăk Tô</v>
      </c>
      <c r="AE211" s="1" t="str">
        <f t="shared" si="22"/>
        <v>TT2 Kon Tum</v>
      </c>
      <c r="AG211">
        <f t="shared" si="23"/>
        <v>249.64272</v>
      </c>
      <c r="AH211">
        <f t="shared" si="24"/>
        <v>267.52009000000004</v>
      </c>
      <c r="AI211">
        <f>VLOOKUP(L211,'[1]Tuyến cáp H04'!$B:$E,3,0)/1000</f>
        <v>43.9602</v>
      </c>
      <c r="AJ211" t="str">
        <f>VLOOKUP(L211,'[1]Tuyến cáp H04'!$B:$E,4,0)</f>
        <v>Mạng cấp 3</v>
      </c>
    </row>
    <row r="212" spans="1:36" x14ac:dyDescent="0.25">
      <c r="A212" s="1" t="s">
        <v>1940</v>
      </c>
      <c r="B212" s="1" t="s">
        <v>240</v>
      </c>
      <c r="C212" s="1" t="s">
        <v>241</v>
      </c>
      <c r="D212" s="1" t="s">
        <v>278</v>
      </c>
      <c r="E212" s="1" t="s">
        <v>279</v>
      </c>
      <c r="F212" s="1" t="s">
        <v>1941</v>
      </c>
      <c r="G212" s="1" t="s">
        <v>14281</v>
      </c>
      <c r="H212" s="1" t="s">
        <v>14282</v>
      </c>
      <c r="I212" s="1" t="s">
        <v>14335</v>
      </c>
      <c r="J212" s="1" t="s">
        <v>23</v>
      </c>
      <c r="K212" s="1"/>
      <c r="L212" s="1" t="s">
        <v>283</v>
      </c>
      <c r="M212" s="1" t="s">
        <v>1942</v>
      </c>
      <c r="N212" s="1" t="s">
        <v>1939</v>
      </c>
      <c r="O212" s="1" t="s">
        <v>289</v>
      </c>
      <c r="P212" s="1" t="s">
        <v>290</v>
      </c>
      <c r="Q212" s="1" t="s">
        <v>285</v>
      </c>
      <c r="R212" s="1" t="s">
        <v>286</v>
      </c>
      <c r="S212" s="1" t="s">
        <v>287</v>
      </c>
      <c r="T212" s="1" t="s">
        <v>291</v>
      </c>
      <c r="U212">
        <v>520104.28</v>
      </c>
      <c r="V212">
        <v>267520.09000000003</v>
      </c>
      <c r="W212">
        <v>14.352316999999999</v>
      </c>
      <c r="X212">
        <v>108.007831</v>
      </c>
      <c r="Y212">
        <v>252584.19</v>
      </c>
      <c r="Z212">
        <v>14.659686000000001</v>
      </c>
      <c r="AA212">
        <v>107.839439</v>
      </c>
      <c r="AB212" s="5">
        <f t="shared" si="19"/>
        <v>401.28013500000003</v>
      </c>
      <c r="AC212" s="5">
        <f t="shared" si="20"/>
        <v>378.87628500000005</v>
      </c>
      <c r="AD212" s="1" t="str">
        <f t="shared" si="21"/>
        <v>Đăk Tô</v>
      </c>
      <c r="AE212" s="1" t="str">
        <f t="shared" si="22"/>
        <v>TT2 Kon Tum</v>
      </c>
      <c r="AG212">
        <f t="shared" si="23"/>
        <v>267.52009000000004</v>
      </c>
      <c r="AH212">
        <f t="shared" si="24"/>
        <v>252.58419000000001</v>
      </c>
      <c r="AI212">
        <f>VLOOKUP(L212,'[1]Tuyến cáp H04'!$B:$E,3,0)/1000</f>
        <v>43.9602</v>
      </c>
      <c r="AJ212" t="str">
        <f>VLOOKUP(L212,'[1]Tuyến cáp H04'!$B:$E,4,0)</f>
        <v>Mạng cấp 3</v>
      </c>
    </row>
    <row r="213" spans="1:36" x14ac:dyDescent="0.25">
      <c r="A213" s="1" t="s">
        <v>1943</v>
      </c>
      <c r="B213" s="1" t="s">
        <v>278</v>
      </c>
      <c r="C213" s="1" t="s">
        <v>279</v>
      </c>
      <c r="D213" s="1" t="s">
        <v>92</v>
      </c>
      <c r="E213" s="1" t="s">
        <v>93</v>
      </c>
      <c r="F213" s="1" t="s">
        <v>1944</v>
      </c>
      <c r="G213" s="1" t="s">
        <v>14281</v>
      </c>
      <c r="H213" s="1" t="s">
        <v>14282</v>
      </c>
      <c r="I213" s="1" t="s">
        <v>14336</v>
      </c>
      <c r="J213" s="1" t="s">
        <v>23</v>
      </c>
      <c r="K213" s="1"/>
      <c r="L213" s="1" t="s">
        <v>283</v>
      </c>
      <c r="M213" s="1" t="s">
        <v>1945</v>
      </c>
      <c r="N213" s="1" t="s">
        <v>285</v>
      </c>
      <c r="O213" s="1" t="s">
        <v>286</v>
      </c>
      <c r="P213" s="1" t="s">
        <v>287</v>
      </c>
      <c r="Q213" s="1" t="s">
        <v>1946</v>
      </c>
      <c r="R213" s="1" t="s">
        <v>289</v>
      </c>
      <c r="S213" s="1" t="s">
        <v>290</v>
      </c>
      <c r="T213" s="1" t="s">
        <v>291</v>
      </c>
      <c r="U213">
        <v>519374.19</v>
      </c>
      <c r="V213">
        <v>252584.19</v>
      </c>
      <c r="W213">
        <v>14.659686000000001</v>
      </c>
      <c r="X213">
        <v>107.839439</v>
      </c>
      <c r="Y213">
        <v>266790</v>
      </c>
      <c r="Z213">
        <v>14.352316999999999</v>
      </c>
      <c r="AA213">
        <v>108.007831</v>
      </c>
      <c r="AB213" s="5">
        <f t="shared" si="19"/>
        <v>378.87628500000005</v>
      </c>
      <c r="AC213" s="5">
        <f t="shared" si="20"/>
        <v>400.185</v>
      </c>
      <c r="AD213" s="1" t="str">
        <f t="shared" si="21"/>
        <v>Đăk Tô</v>
      </c>
      <c r="AE213" s="1" t="str">
        <f t="shared" si="22"/>
        <v>TT2 Kon Tum</v>
      </c>
      <c r="AG213">
        <f t="shared" si="23"/>
        <v>252.58419000000001</v>
      </c>
      <c r="AH213">
        <f t="shared" si="24"/>
        <v>266.79000000000002</v>
      </c>
      <c r="AI213">
        <f>VLOOKUP(L213,'[1]Tuyến cáp H04'!$B:$E,3,0)/1000</f>
        <v>43.9602</v>
      </c>
      <c r="AJ213" t="str">
        <f>VLOOKUP(L213,'[1]Tuyến cáp H04'!$B:$E,4,0)</f>
        <v>Mạng cấp 3</v>
      </c>
    </row>
    <row r="214" spans="1:36" x14ac:dyDescent="0.25">
      <c r="A214" s="1" t="s">
        <v>1947</v>
      </c>
      <c r="B214" s="1" t="s">
        <v>92</v>
      </c>
      <c r="C214" s="1" t="s">
        <v>93</v>
      </c>
      <c r="D214" s="1" t="s">
        <v>1948</v>
      </c>
      <c r="E214" s="1" t="s">
        <v>1949</v>
      </c>
      <c r="F214" s="1" t="s">
        <v>1950</v>
      </c>
      <c r="G214" s="1" t="s">
        <v>14281</v>
      </c>
      <c r="H214" s="1" t="s">
        <v>14282</v>
      </c>
      <c r="I214" s="1" t="s">
        <v>14337</v>
      </c>
      <c r="J214" s="1" t="s">
        <v>23</v>
      </c>
      <c r="K214" s="1"/>
      <c r="L214" s="1" t="s">
        <v>1389</v>
      </c>
      <c r="M214" s="1" t="s">
        <v>1951</v>
      </c>
      <c r="N214" s="1" t="s">
        <v>1394</v>
      </c>
      <c r="O214" s="1" t="s">
        <v>1395</v>
      </c>
      <c r="P214" s="1" t="s">
        <v>1396</v>
      </c>
      <c r="Q214" s="1" t="s">
        <v>1391</v>
      </c>
      <c r="R214" s="1" t="s">
        <v>1392</v>
      </c>
      <c r="S214" s="1" t="s">
        <v>1393</v>
      </c>
      <c r="T214" s="1" t="s">
        <v>1397</v>
      </c>
      <c r="U214">
        <v>496.08</v>
      </c>
      <c r="V214">
        <v>483.94</v>
      </c>
      <c r="W214">
        <v>12.243709000000001</v>
      </c>
      <c r="X214">
        <v>109.185958</v>
      </c>
      <c r="Y214">
        <v>12.14</v>
      </c>
      <c r="Z214">
        <v>12.231814999999999</v>
      </c>
      <c r="AA214">
        <v>109.196006</v>
      </c>
      <c r="AB214" s="5">
        <f t="shared" si="19"/>
        <v>0.72590999999999994</v>
      </c>
      <c r="AC214" s="5">
        <f t="shared" si="20"/>
        <v>1.821E-2</v>
      </c>
      <c r="AD214" s="1" t="str">
        <f t="shared" si="21"/>
        <v>1.CAT Khánh Hòa</v>
      </c>
      <c r="AE214" s="1" t="str">
        <f t="shared" si="22"/>
        <v>Diên Khánh</v>
      </c>
      <c r="AG214">
        <f t="shared" si="23"/>
        <v>0.48393999999999998</v>
      </c>
      <c r="AH214">
        <f t="shared" si="24"/>
        <v>1.214E-2</v>
      </c>
      <c r="AI214" t="e">
        <f>VLOOKUP(L214,'[1]Tuyến cáp H04'!$B:$E,3,0)/1000</f>
        <v>#N/A</v>
      </c>
      <c r="AJ214" t="e">
        <f>VLOOKUP(L214,'[1]Tuyến cáp H04'!$B:$E,4,0)</f>
        <v>#N/A</v>
      </c>
    </row>
    <row r="215" spans="1:36" x14ac:dyDescent="0.25">
      <c r="A215" s="1" t="s">
        <v>1952</v>
      </c>
      <c r="B215" s="1" t="s">
        <v>34</v>
      </c>
      <c r="C215" s="1" t="s">
        <v>35</v>
      </c>
      <c r="D215" s="1" t="s">
        <v>1953</v>
      </c>
      <c r="E215" s="1" t="s">
        <v>1954</v>
      </c>
      <c r="F215" s="1" t="s">
        <v>1955</v>
      </c>
      <c r="G215" s="1" t="s">
        <v>14281</v>
      </c>
      <c r="H215" s="1" t="s">
        <v>14282</v>
      </c>
      <c r="I215" s="1" t="s">
        <v>14338</v>
      </c>
      <c r="J215" s="1" t="s">
        <v>23</v>
      </c>
      <c r="K215" s="1"/>
      <c r="L215" s="1" t="s">
        <v>39</v>
      </c>
      <c r="M215" s="1" t="s">
        <v>1956</v>
      </c>
      <c r="N215" s="1" t="s">
        <v>41</v>
      </c>
      <c r="O215" s="1" t="s">
        <v>42</v>
      </c>
      <c r="P215" s="1" t="s">
        <v>43</v>
      </c>
      <c r="Q215" s="1" t="s">
        <v>1957</v>
      </c>
      <c r="R215" s="1" t="s">
        <v>1958</v>
      </c>
      <c r="S215" s="1" t="s">
        <v>1959</v>
      </c>
      <c r="T215" s="1" t="s">
        <v>47</v>
      </c>
      <c r="U215">
        <v>354.2</v>
      </c>
      <c r="V215">
        <v>206.48</v>
      </c>
      <c r="W215">
        <v>12.278732</v>
      </c>
      <c r="X215">
        <v>109.188858</v>
      </c>
      <c r="Y215">
        <v>147.72</v>
      </c>
      <c r="Z215">
        <v>12.271108999999999</v>
      </c>
      <c r="AA215">
        <v>109.198149</v>
      </c>
      <c r="AB215" s="5">
        <f t="shared" si="19"/>
        <v>0.30972</v>
      </c>
      <c r="AC215" s="5">
        <f t="shared" si="20"/>
        <v>0.22157999999999997</v>
      </c>
      <c r="AD215" s="1" t="str">
        <f t="shared" si="21"/>
        <v>1.CAT Khánh Hòa</v>
      </c>
      <c r="AE215" s="1" t="str">
        <f t="shared" si="22"/>
        <v>PK02 cs1</v>
      </c>
      <c r="AG215">
        <f t="shared" si="23"/>
        <v>0.20648</v>
      </c>
      <c r="AH215">
        <f t="shared" si="24"/>
        <v>0.14771999999999999</v>
      </c>
      <c r="AI215" t="e">
        <f>VLOOKUP(L215,'[1]Tuyến cáp H04'!$B:$E,3,0)/1000</f>
        <v>#N/A</v>
      </c>
      <c r="AJ215" t="e">
        <f>VLOOKUP(L215,'[1]Tuyến cáp H04'!$B:$E,4,0)</f>
        <v>#N/A</v>
      </c>
    </row>
    <row r="216" spans="1:36" x14ac:dyDescent="0.25">
      <c r="A216" s="1" t="s">
        <v>1960</v>
      </c>
      <c r="B216" s="1" t="s">
        <v>34</v>
      </c>
      <c r="C216" s="1" t="s">
        <v>35</v>
      </c>
      <c r="D216" s="1" t="s">
        <v>1961</v>
      </c>
      <c r="E216" s="1" t="s">
        <v>1962</v>
      </c>
      <c r="F216" s="1" t="s">
        <v>1963</v>
      </c>
      <c r="G216" s="1" t="s">
        <v>14281</v>
      </c>
      <c r="H216" s="1" t="s">
        <v>14282</v>
      </c>
      <c r="I216" s="1" t="s">
        <v>14339</v>
      </c>
      <c r="J216" s="1" t="s">
        <v>23</v>
      </c>
      <c r="K216" s="1"/>
      <c r="L216" s="1" t="s">
        <v>39</v>
      </c>
      <c r="M216" s="1" t="s">
        <v>1964</v>
      </c>
      <c r="N216" s="1" t="s">
        <v>41</v>
      </c>
      <c r="O216" s="1" t="s">
        <v>42</v>
      </c>
      <c r="P216" s="1" t="s">
        <v>43</v>
      </c>
      <c r="Q216" s="1" t="s">
        <v>1965</v>
      </c>
      <c r="R216" s="1" t="s">
        <v>720</v>
      </c>
      <c r="S216" s="1" t="s">
        <v>721</v>
      </c>
      <c r="T216" s="1" t="s">
        <v>47</v>
      </c>
      <c r="U216">
        <v>1122.72</v>
      </c>
      <c r="V216">
        <v>206.48</v>
      </c>
      <c r="W216">
        <v>12.278732</v>
      </c>
      <c r="X216">
        <v>109.188858</v>
      </c>
      <c r="Y216">
        <v>916.23</v>
      </c>
      <c r="Z216">
        <v>12.279788999999999</v>
      </c>
      <c r="AA216">
        <v>109.195205</v>
      </c>
      <c r="AB216" s="5">
        <f t="shared" si="19"/>
        <v>0.30972</v>
      </c>
      <c r="AC216" s="5">
        <f t="shared" si="20"/>
        <v>1.3743449999999999</v>
      </c>
      <c r="AD216" s="1" t="str">
        <f t="shared" si="21"/>
        <v>1.CAT Khánh Hòa</v>
      </c>
      <c r="AE216" s="1" t="str">
        <f t="shared" si="22"/>
        <v>PK02 cs1</v>
      </c>
      <c r="AG216">
        <f t="shared" si="23"/>
        <v>0.20648</v>
      </c>
      <c r="AH216">
        <f t="shared" si="24"/>
        <v>0.91622999999999999</v>
      </c>
      <c r="AI216" t="e">
        <f>VLOOKUP(L216,'[1]Tuyến cáp H04'!$B:$E,3,0)/1000</f>
        <v>#N/A</v>
      </c>
      <c r="AJ216" t="e">
        <f>VLOOKUP(L216,'[1]Tuyến cáp H04'!$B:$E,4,0)</f>
        <v>#N/A</v>
      </c>
    </row>
    <row r="217" spans="1:36" x14ac:dyDescent="0.25">
      <c r="A217" s="1" t="s">
        <v>1966</v>
      </c>
      <c r="B217" s="1" t="s">
        <v>1152</v>
      </c>
      <c r="C217" s="1" t="s">
        <v>1153</v>
      </c>
      <c r="D217" s="1" t="s">
        <v>1967</v>
      </c>
      <c r="E217" s="1" t="s">
        <v>1968</v>
      </c>
      <c r="F217" s="1" t="s">
        <v>1969</v>
      </c>
      <c r="G217" s="1" t="s">
        <v>14281</v>
      </c>
      <c r="H217" s="1" t="s">
        <v>14282</v>
      </c>
      <c r="I217" s="1" t="s">
        <v>14340</v>
      </c>
      <c r="J217" s="1" t="s">
        <v>23</v>
      </c>
      <c r="K217" s="1"/>
      <c r="L217" s="1" t="s">
        <v>1155</v>
      </c>
      <c r="M217" s="1" t="s">
        <v>1970</v>
      </c>
      <c r="N217" s="1" t="s">
        <v>1160</v>
      </c>
      <c r="O217" s="1" t="s">
        <v>1161</v>
      </c>
      <c r="P217" s="1" t="s">
        <v>1162</v>
      </c>
      <c r="Q217" s="1" t="s">
        <v>1971</v>
      </c>
      <c r="R217" s="1" t="s">
        <v>1972</v>
      </c>
      <c r="S217" s="1" t="s">
        <v>1973</v>
      </c>
      <c r="T217" s="1" t="s">
        <v>1163</v>
      </c>
      <c r="U217">
        <v>2356.9299999999998</v>
      </c>
      <c r="V217">
        <v>185.95</v>
      </c>
      <c r="W217">
        <v>12.481263999999999</v>
      </c>
      <c r="X217">
        <v>109.131214</v>
      </c>
      <c r="Y217">
        <v>2170.9899999999998</v>
      </c>
      <c r="Z217">
        <v>12.464891</v>
      </c>
      <c r="AA217">
        <v>109.122587</v>
      </c>
      <c r="AB217" s="5">
        <f t="shared" si="19"/>
        <v>0.27892499999999998</v>
      </c>
      <c r="AC217" s="5">
        <f t="shared" si="20"/>
        <v>3.2564849999999996</v>
      </c>
      <c r="AD217" s="1" t="str">
        <f t="shared" si="21"/>
        <v>4.PK02 cs2</v>
      </c>
      <c r="AE217" s="1" t="str">
        <f t="shared" si="22"/>
        <v>Trạm CSGT Ninh An cũ</v>
      </c>
      <c r="AG217">
        <f t="shared" si="23"/>
        <v>0.18594999999999998</v>
      </c>
      <c r="AH217">
        <f t="shared" si="24"/>
        <v>2.1709899999999998</v>
      </c>
      <c r="AI217" t="e">
        <f>VLOOKUP(L217,'[1]Tuyến cáp H04'!$B:$E,3,0)/1000</f>
        <v>#N/A</v>
      </c>
      <c r="AJ217" t="e">
        <f>VLOOKUP(L217,'[1]Tuyến cáp H04'!$B:$E,4,0)</f>
        <v>#N/A</v>
      </c>
    </row>
    <row r="218" spans="1:36" x14ac:dyDescent="0.25">
      <c r="A218" s="1" t="s">
        <v>1974</v>
      </c>
      <c r="B218" s="1" t="s">
        <v>1445</v>
      </c>
      <c r="C218" s="1" t="s">
        <v>1446</v>
      </c>
      <c r="D218" s="1" t="s">
        <v>1975</v>
      </c>
      <c r="E218" s="1" t="s">
        <v>1976</v>
      </c>
      <c r="F218" s="1" t="s">
        <v>1977</v>
      </c>
      <c r="G218" s="1" t="s">
        <v>14281</v>
      </c>
      <c r="H218" s="1" t="s">
        <v>14282</v>
      </c>
      <c r="I218" s="1" t="s">
        <v>14341</v>
      </c>
      <c r="J218" s="1" t="s">
        <v>23</v>
      </c>
      <c r="K218" s="1"/>
      <c r="L218" s="1" t="s">
        <v>1675</v>
      </c>
      <c r="M218" s="1" t="s">
        <v>1978</v>
      </c>
      <c r="N218" s="1" t="s">
        <v>1677</v>
      </c>
      <c r="O218" s="1" t="s">
        <v>1678</v>
      </c>
      <c r="P218" s="1" t="s">
        <v>1679</v>
      </c>
      <c r="Q218" s="1" t="s">
        <v>1979</v>
      </c>
      <c r="R218" s="1" t="s">
        <v>1980</v>
      </c>
      <c r="S218" s="1" t="s">
        <v>1981</v>
      </c>
      <c r="T218" s="1" t="s">
        <v>1683</v>
      </c>
      <c r="U218">
        <v>86.63</v>
      </c>
      <c r="V218">
        <v>5.23</v>
      </c>
      <c r="W218">
        <v>12.555443</v>
      </c>
      <c r="X218">
        <v>109.217606</v>
      </c>
      <c r="Y218">
        <v>81.41</v>
      </c>
      <c r="Z218">
        <v>12.549189999999999</v>
      </c>
      <c r="AA218">
        <v>109.215142</v>
      </c>
      <c r="AB218" s="5">
        <f t="shared" si="19"/>
        <v>7.8450000000000013E-3</v>
      </c>
      <c r="AC218" s="5">
        <f t="shared" si="20"/>
        <v>0.122115</v>
      </c>
      <c r="AD218" s="1" t="str">
        <f t="shared" si="21"/>
        <v>1.CA Ninh Hòa</v>
      </c>
      <c r="AE218" s="1" t="str">
        <f t="shared" si="22"/>
        <v>CA Đông Ninh Hòa_Đoạn cột trung thế</v>
      </c>
      <c r="AG218">
        <f t="shared" si="23"/>
        <v>5.2300000000000003E-3</v>
      </c>
      <c r="AH218">
        <f t="shared" si="24"/>
        <v>8.1409999999999996E-2</v>
      </c>
      <c r="AI218" t="e">
        <f>VLOOKUP(L218,'[1]Tuyến cáp H04'!$B:$E,3,0)/1000</f>
        <v>#N/A</v>
      </c>
      <c r="AJ218" t="e">
        <f>VLOOKUP(L218,'[1]Tuyến cáp H04'!$B:$E,4,0)</f>
        <v>#N/A</v>
      </c>
    </row>
    <row r="219" spans="1:36" x14ac:dyDescent="0.25">
      <c r="A219" s="1" t="s">
        <v>1982</v>
      </c>
      <c r="B219" s="1" t="s">
        <v>1187</v>
      </c>
      <c r="C219" s="1" t="s">
        <v>1188</v>
      </c>
      <c r="D219" s="1" t="s">
        <v>1983</v>
      </c>
      <c r="E219" s="1" t="s">
        <v>1984</v>
      </c>
      <c r="F219" s="1" t="s">
        <v>1985</v>
      </c>
      <c r="G219" s="1" t="s">
        <v>14281</v>
      </c>
      <c r="H219" s="1" t="s">
        <v>14282</v>
      </c>
      <c r="I219" s="1" t="s">
        <v>14342</v>
      </c>
      <c r="J219" s="1" t="s">
        <v>23</v>
      </c>
      <c r="K219" s="1"/>
      <c r="L219" s="1" t="s">
        <v>577</v>
      </c>
      <c r="M219" s="1" t="s">
        <v>1986</v>
      </c>
      <c r="N219" s="1" t="s">
        <v>1194</v>
      </c>
      <c r="O219" s="1" t="s">
        <v>1195</v>
      </c>
      <c r="P219" s="1" t="s">
        <v>1196</v>
      </c>
      <c r="Q219" s="1" t="s">
        <v>1987</v>
      </c>
      <c r="R219" s="1" t="s">
        <v>1988</v>
      </c>
      <c r="S219" s="1" t="s">
        <v>1989</v>
      </c>
      <c r="T219" s="1" t="s">
        <v>1197</v>
      </c>
      <c r="U219">
        <v>435.85</v>
      </c>
      <c r="V219">
        <v>381.98</v>
      </c>
      <c r="W219">
        <v>12.49287</v>
      </c>
      <c r="X219">
        <v>109.11403300000001</v>
      </c>
      <c r="Y219">
        <v>53.87</v>
      </c>
      <c r="Z219">
        <v>12.494854</v>
      </c>
      <c r="AA219">
        <v>109.132463</v>
      </c>
      <c r="AB219" s="5">
        <f t="shared" si="19"/>
        <v>0.57296999999999998</v>
      </c>
      <c r="AC219" s="5">
        <f t="shared" si="20"/>
        <v>8.0804999999999988E-2</v>
      </c>
      <c r="AD219" s="1" t="str">
        <f t="shared" si="21"/>
        <v>3.CA Tân Định</v>
      </c>
      <c r="AE219" s="1" t="str">
        <f t="shared" si="22"/>
        <v>CA Ninh Hòa</v>
      </c>
      <c r="AG219">
        <f t="shared" si="23"/>
        <v>0.38198000000000004</v>
      </c>
      <c r="AH219">
        <f t="shared" si="24"/>
        <v>5.3869999999999994E-2</v>
      </c>
      <c r="AI219" t="e">
        <f>VLOOKUP(L219,'[1]Tuyến cáp H04'!$B:$E,3,0)/1000</f>
        <v>#N/A</v>
      </c>
      <c r="AJ219" t="e">
        <f>VLOOKUP(L219,'[1]Tuyến cáp H04'!$B:$E,4,0)</f>
        <v>#N/A</v>
      </c>
    </row>
    <row r="220" spans="1:36" x14ac:dyDescent="0.25">
      <c r="A220" s="1" t="s">
        <v>1990</v>
      </c>
      <c r="B220" s="1" t="s">
        <v>1685</v>
      </c>
      <c r="C220" s="1" t="s">
        <v>1686</v>
      </c>
      <c r="D220" s="1" t="s">
        <v>1991</v>
      </c>
      <c r="E220" s="1" t="s">
        <v>1992</v>
      </c>
      <c r="F220" s="1" t="s">
        <v>1993</v>
      </c>
      <c r="G220" s="1" t="s">
        <v>14281</v>
      </c>
      <c r="H220" s="1" t="s">
        <v>14282</v>
      </c>
      <c r="I220" s="1" t="s">
        <v>14343</v>
      </c>
      <c r="J220" s="1" t="s">
        <v>23</v>
      </c>
      <c r="K220" s="1"/>
      <c r="L220" s="1" t="s">
        <v>1529</v>
      </c>
      <c r="M220" s="1" t="s">
        <v>1994</v>
      </c>
      <c r="N220" s="1" t="s">
        <v>1798</v>
      </c>
      <c r="O220" s="1" t="s">
        <v>1799</v>
      </c>
      <c r="P220" s="1" t="s">
        <v>1800</v>
      </c>
      <c r="Q220" s="1" t="s">
        <v>1995</v>
      </c>
      <c r="R220" s="1" t="s">
        <v>1780</v>
      </c>
      <c r="S220" s="1" t="s">
        <v>1781</v>
      </c>
      <c r="T220" s="1" t="s">
        <v>1537</v>
      </c>
      <c r="U220">
        <v>1062.3900000000001</v>
      </c>
      <c r="V220">
        <v>967.94</v>
      </c>
      <c r="W220">
        <v>12.525967</v>
      </c>
      <c r="X220">
        <v>109.167119</v>
      </c>
      <c r="Y220">
        <v>94.45</v>
      </c>
      <c r="Z220">
        <v>12.534793000000001</v>
      </c>
      <c r="AA220">
        <v>109.18621899999999</v>
      </c>
      <c r="AB220" s="5">
        <f t="shared" si="19"/>
        <v>1.45191</v>
      </c>
      <c r="AC220" s="5">
        <f t="shared" si="20"/>
        <v>0.14167500000000002</v>
      </c>
      <c r="AD220" s="1" t="str">
        <f t="shared" si="21"/>
        <v>4.Ninh Hòa</v>
      </c>
      <c r="AE220" s="1" t="str">
        <f t="shared" si="22"/>
        <v>Vạn Ninh</v>
      </c>
      <c r="AG220">
        <f t="shared" si="23"/>
        <v>0.96794000000000002</v>
      </c>
      <c r="AH220">
        <f t="shared" si="24"/>
        <v>9.4450000000000006E-2</v>
      </c>
      <c r="AI220" t="e">
        <f>VLOOKUP(L220,'[1]Tuyến cáp H04'!$B:$E,3,0)/1000</f>
        <v>#N/A</v>
      </c>
      <c r="AJ220" t="e">
        <f>VLOOKUP(L220,'[1]Tuyến cáp H04'!$B:$E,4,0)</f>
        <v>#N/A</v>
      </c>
    </row>
    <row r="221" spans="1:36" x14ac:dyDescent="0.25">
      <c r="A221" s="1" t="s">
        <v>1996</v>
      </c>
      <c r="B221" s="1" t="s">
        <v>1187</v>
      </c>
      <c r="C221" s="1" t="s">
        <v>1188</v>
      </c>
      <c r="D221" s="1" t="s">
        <v>1997</v>
      </c>
      <c r="E221" s="1" t="s">
        <v>1998</v>
      </c>
      <c r="F221" s="1" t="s">
        <v>1999</v>
      </c>
      <c r="G221" s="1" t="s">
        <v>14281</v>
      </c>
      <c r="H221" s="1" t="s">
        <v>14282</v>
      </c>
      <c r="I221" s="1" t="s">
        <v>14344</v>
      </c>
      <c r="J221" s="1" t="s">
        <v>23</v>
      </c>
      <c r="K221" s="1"/>
      <c r="L221" s="1" t="s">
        <v>577</v>
      </c>
      <c r="M221" s="1" t="s">
        <v>2000</v>
      </c>
      <c r="N221" s="1" t="s">
        <v>1194</v>
      </c>
      <c r="O221" s="1" t="s">
        <v>1195</v>
      </c>
      <c r="P221" s="1" t="s">
        <v>1196</v>
      </c>
      <c r="Q221" s="1" t="s">
        <v>2001</v>
      </c>
      <c r="R221" s="1" t="s">
        <v>2002</v>
      </c>
      <c r="S221" s="1" t="s">
        <v>2003</v>
      </c>
      <c r="T221" s="1" t="s">
        <v>1197</v>
      </c>
      <c r="U221">
        <v>1319.89</v>
      </c>
      <c r="V221">
        <v>381.98</v>
      </c>
      <c r="W221">
        <v>12.49287</v>
      </c>
      <c r="X221">
        <v>109.11403300000001</v>
      </c>
      <c r="Y221">
        <v>937.9</v>
      </c>
      <c r="Z221">
        <v>12.497920000000001</v>
      </c>
      <c r="AA221">
        <v>109.113754</v>
      </c>
      <c r="AB221" s="5">
        <f t="shared" si="19"/>
        <v>0.57296999999999998</v>
      </c>
      <c r="AC221" s="5">
        <f t="shared" si="20"/>
        <v>1.4068499999999999</v>
      </c>
      <c r="AD221" s="1" t="str">
        <f t="shared" si="21"/>
        <v>3.CA Tân Định</v>
      </c>
      <c r="AE221" s="1" t="str">
        <f t="shared" si="22"/>
        <v>CA Ninh Hòa</v>
      </c>
      <c r="AG221">
        <f t="shared" si="23"/>
        <v>0.38198000000000004</v>
      </c>
      <c r="AH221">
        <f t="shared" si="24"/>
        <v>0.93789999999999996</v>
      </c>
      <c r="AI221" t="e">
        <f>VLOOKUP(L221,'[1]Tuyến cáp H04'!$B:$E,3,0)/1000</f>
        <v>#N/A</v>
      </c>
      <c r="AJ221" t="e">
        <f>VLOOKUP(L221,'[1]Tuyến cáp H04'!$B:$E,4,0)</f>
        <v>#N/A</v>
      </c>
    </row>
    <row r="222" spans="1:36" x14ac:dyDescent="0.25">
      <c r="A222" s="1" t="s">
        <v>2004</v>
      </c>
      <c r="B222" s="1" t="s">
        <v>1685</v>
      </c>
      <c r="C222" s="1" t="s">
        <v>1686</v>
      </c>
      <c r="D222" s="1" t="s">
        <v>2005</v>
      </c>
      <c r="E222" s="1" t="s">
        <v>2006</v>
      </c>
      <c r="F222" s="1" t="s">
        <v>2007</v>
      </c>
      <c r="G222" s="1" t="s">
        <v>14281</v>
      </c>
      <c r="H222" s="1" t="s">
        <v>14282</v>
      </c>
      <c r="I222" s="1" t="s">
        <v>14345</v>
      </c>
      <c r="J222" s="1" t="s">
        <v>23</v>
      </c>
      <c r="K222" s="1"/>
      <c r="L222" s="1" t="s">
        <v>1552</v>
      </c>
      <c r="M222" s="1" t="s">
        <v>2008</v>
      </c>
      <c r="N222" s="1" t="s">
        <v>2009</v>
      </c>
      <c r="O222" s="1" t="s">
        <v>2010</v>
      </c>
      <c r="P222" s="1" t="s">
        <v>2011</v>
      </c>
      <c r="Q222" s="1" t="s">
        <v>2012</v>
      </c>
      <c r="R222" s="1" t="s">
        <v>2013</v>
      </c>
      <c r="S222" s="1" t="s">
        <v>2014</v>
      </c>
      <c r="T222" s="1" t="s">
        <v>2015</v>
      </c>
      <c r="U222">
        <v>1826.66</v>
      </c>
      <c r="V222">
        <v>27.93</v>
      </c>
      <c r="W222">
        <v>12.531679</v>
      </c>
      <c r="X222">
        <v>109.160657</v>
      </c>
      <c r="Y222">
        <v>1798.73</v>
      </c>
      <c r="Z222">
        <v>12.541454999999999</v>
      </c>
      <c r="AA222">
        <v>109.16320399999999</v>
      </c>
      <c r="AB222" s="5">
        <f t="shared" si="19"/>
        <v>4.1894999999999995E-2</v>
      </c>
      <c r="AC222" s="5">
        <f t="shared" si="20"/>
        <v>2.6980950000000004</v>
      </c>
      <c r="AD222" s="1" t="str">
        <f t="shared" si="21"/>
        <v>5.Vạn Ninh</v>
      </c>
      <c r="AE222" s="1" t="str">
        <f t="shared" si="22"/>
        <v>CAT Khánh Hòa</v>
      </c>
      <c r="AG222">
        <f t="shared" si="23"/>
        <v>2.793E-2</v>
      </c>
      <c r="AH222">
        <f t="shared" si="24"/>
        <v>1.7987299999999999</v>
      </c>
      <c r="AI222" t="e">
        <f>VLOOKUP(L222,'[1]Tuyến cáp H04'!$B:$E,3,0)/1000</f>
        <v>#N/A</v>
      </c>
      <c r="AJ222" t="e">
        <f>VLOOKUP(L222,'[1]Tuyến cáp H04'!$B:$E,4,0)</f>
        <v>#N/A</v>
      </c>
    </row>
    <row r="223" spans="1:36" x14ac:dyDescent="0.25">
      <c r="A223" s="1" t="s">
        <v>2016</v>
      </c>
      <c r="B223" s="1" t="s">
        <v>1685</v>
      </c>
      <c r="C223" s="1" t="s">
        <v>1686</v>
      </c>
      <c r="D223" s="1" t="s">
        <v>2017</v>
      </c>
      <c r="E223" s="1" t="s">
        <v>2018</v>
      </c>
      <c r="F223" s="1" t="s">
        <v>2019</v>
      </c>
      <c r="G223" s="1" t="s">
        <v>14281</v>
      </c>
      <c r="H223" s="1" t="s">
        <v>14282</v>
      </c>
      <c r="I223" s="1" t="s">
        <v>14346</v>
      </c>
      <c r="J223" s="1" t="s">
        <v>23</v>
      </c>
      <c r="K223" s="1"/>
      <c r="L223" s="1" t="s">
        <v>1155</v>
      </c>
      <c r="M223" s="1" t="s">
        <v>2020</v>
      </c>
      <c r="N223" s="1" t="s">
        <v>2021</v>
      </c>
      <c r="O223" s="1" t="s">
        <v>2022</v>
      </c>
      <c r="P223" s="1" t="s">
        <v>2023</v>
      </c>
      <c r="Q223" s="1" t="s">
        <v>2024</v>
      </c>
      <c r="R223" s="1" t="s">
        <v>2025</v>
      </c>
      <c r="S223" s="1" t="s">
        <v>2026</v>
      </c>
      <c r="T223" s="1" t="s">
        <v>2027</v>
      </c>
      <c r="U223">
        <v>285.31</v>
      </c>
      <c r="V223">
        <v>32.4</v>
      </c>
      <c r="W223">
        <v>12.53181</v>
      </c>
      <c r="X223">
        <v>109.16067200000001</v>
      </c>
      <c r="Y223">
        <v>252.91</v>
      </c>
      <c r="Z223">
        <v>12.513339</v>
      </c>
      <c r="AA223">
        <v>109.154017</v>
      </c>
      <c r="AB223" s="5">
        <f t="shared" si="19"/>
        <v>4.8599999999999997E-2</v>
      </c>
      <c r="AC223" s="5">
        <f t="shared" si="20"/>
        <v>0.37936500000000001</v>
      </c>
      <c r="AD223" s="1" t="str">
        <f t="shared" si="21"/>
        <v>4.PK02 cs2</v>
      </c>
      <c r="AE223" s="1" t="str">
        <f t="shared" si="22"/>
        <v>Trạm CSGT Ninh An cũ</v>
      </c>
      <c r="AG223">
        <f t="shared" si="23"/>
        <v>3.2399999999999998E-2</v>
      </c>
      <c r="AH223">
        <f t="shared" si="24"/>
        <v>0.25291000000000002</v>
      </c>
      <c r="AI223" t="e">
        <f>VLOOKUP(L223,'[1]Tuyến cáp H04'!$B:$E,3,0)/1000</f>
        <v>#N/A</v>
      </c>
      <c r="AJ223" t="e">
        <f>VLOOKUP(L223,'[1]Tuyến cáp H04'!$B:$E,4,0)</f>
        <v>#N/A</v>
      </c>
    </row>
    <row r="224" spans="1:36" x14ac:dyDescent="0.25">
      <c r="A224" s="1" t="s">
        <v>2028</v>
      </c>
      <c r="B224" s="1" t="s">
        <v>1644</v>
      </c>
      <c r="C224" s="1" t="s">
        <v>1645</v>
      </c>
      <c r="D224" s="1" t="s">
        <v>2029</v>
      </c>
      <c r="E224" s="1" t="s">
        <v>2030</v>
      </c>
      <c r="F224" s="1" t="s">
        <v>2031</v>
      </c>
      <c r="G224" s="1" t="s">
        <v>14281</v>
      </c>
      <c r="H224" s="1" t="s">
        <v>14282</v>
      </c>
      <c r="I224" s="1" t="s">
        <v>14347</v>
      </c>
      <c r="J224" s="1" t="s">
        <v>23</v>
      </c>
      <c r="K224" s="1"/>
      <c r="L224" s="1" t="s">
        <v>1647</v>
      </c>
      <c r="M224" s="1" t="s">
        <v>2032</v>
      </c>
      <c r="N224" s="1" t="s">
        <v>1652</v>
      </c>
      <c r="O224" s="1" t="s">
        <v>1653</v>
      </c>
      <c r="P224" s="1" t="s">
        <v>1654</v>
      </c>
      <c r="Q224" s="1" t="s">
        <v>2033</v>
      </c>
      <c r="R224" s="1" t="s">
        <v>2034</v>
      </c>
      <c r="S224" s="1" t="s">
        <v>2035</v>
      </c>
      <c r="T224" s="1" t="s">
        <v>1655</v>
      </c>
      <c r="U224">
        <v>2886.35</v>
      </c>
      <c r="V224">
        <v>6.55</v>
      </c>
      <c r="W224">
        <v>12.803207</v>
      </c>
      <c r="X224">
        <v>109.33374000000001</v>
      </c>
      <c r="Y224">
        <v>2879.8</v>
      </c>
      <c r="Z224">
        <v>12.804639</v>
      </c>
      <c r="AA224">
        <v>109.33377299999999</v>
      </c>
      <c r="AB224" s="5">
        <f t="shared" si="19"/>
        <v>9.8249999999999987E-3</v>
      </c>
      <c r="AC224" s="5">
        <f t="shared" si="20"/>
        <v>4.319700000000001</v>
      </c>
      <c r="AD224" s="1" t="str">
        <f t="shared" si="21"/>
        <v>3.CA Tu Bông</v>
      </c>
      <c r="AE224" s="1" t="str">
        <f t="shared" si="22"/>
        <v>CA Đại Lãnh_Cột trung thế</v>
      </c>
      <c r="AG224">
        <f t="shared" si="23"/>
        <v>6.5499999999999994E-3</v>
      </c>
      <c r="AH224">
        <f t="shared" si="24"/>
        <v>2.8798000000000004</v>
      </c>
      <c r="AI224" t="e">
        <f>VLOOKUP(L224,'[1]Tuyến cáp H04'!$B:$E,3,0)/1000</f>
        <v>#N/A</v>
      </c>
      <c r="AJ224" t="e">
        <f>VLOOKUP(L224,'[1]Tuyến cáp H04'!$B:$E,4,0)</f>
        <v>#N/A</v>
      </c>
    </row>
    <row r="225" spans="1:36" x14ac:dyDescent="0.25">
      <c r="A225" s="1" t="s">
        <v>2036</v>
      </c>
      <c r="B225" s="1" t="s">
        <v>92</v>
      </c>
      <c r="C225" s="1" t="s">
        <v>93</v>
      </c>
      <c r="D225" s="1" t="s">
        <v>2037</v>
      </c>
      <c r="E225" s="1" t="s">
        <v>2038</v>
      </c>
      <c r="F225" s="1" t="s">
        <v>2039</v>
      </c>
      <c r="G225" s="1" t="s">
        <v>14281</v>
      </c>
      <c r="H225" s="1" t="s">
        <v>14282</v>
      </c>
      <c r="I225" s="1" t="s">
        <v>14348</v>
      </c>
      <c r="J225" s="1" t="s">
        <v>23</v>
      </c>
      <c r="K225" s="1"/>
      <c r="L225" s="1" t="s">
        <v>1223</v>
      </c>
      <c r="M225" s="1" t="s">
        <v>2040</v>
      </c>
      <c r="N225" s="1" t="s">
        <v>1240</v>
      </c>
      <c r="O225" s="1" t="s">
        <v>1241</v>
      </c>
      <c r="P225" s="1" t="s">
        <v>1242</v>
      </c>
      <c r="Q225" s="1" t="s">
        <v>2041</v>
      </c>
      <c r="R225" s="1" t="s">
        <v>1238</v>
      </c>
      <c r="S225" s="1" t="s">
        <v>1239</v>
      </c>
      <c r="T225" s="1" t="s">
        <v>1243</v>
      </c>
      <c r="U225">
        <v>210.89</v>
      </c>
      <c r="V225">
        <v>130.81</v>
      </c>
      <c r="W225">
        <v>12.245825999999999</v>
      </c>
      <c r="X225">
        <v>109.19040800000001</v>
      </c>
      <c r="Y225">
        <v>80.08</v>
      </c>
      <c r="Z225">
        <v>12.243195999999999</v>
      </c>
      <c r="AA225">
        <v>109.192182</v>
      </c>
      <c r="AB225" s="5">
        <f t="shared" si="19"/>
        <v>0.196215</v>
      </c>
      <c r="AC225" s="5">
        <f t="shared" si="20"/>
        <v>0.12012</v>
      </c>
      <c r="AD225" s="1" t="str">
        <f t="shared" si="21"/>
        <v>1.CAT Khánh Hòa</v>
      </c>
      <c r="AE225" s="1" t="str">
        <f t="shared" si="22"/>
        <v>CATP Nha Trang cũ</v>
      </c>
      <c r="AG225">
        <f t="shared" si="23"/>
        <v>0.13081000000000001</v>
      </c>
      <c r="AH225">
        <f t="shared" si="24"/>
        <v>8.0079999999999998E-2</v>
      </c>
      <c r="AI225" t="e">
        <f>VLOOKUP(L225,'[1]Tuyến cáp H04'!$B:$E,3,0)/1000</f>
        <v>#N/A</v>
      </c>
      <c r="AJ225" t="e">
        <f>VLOOKUP(L225,'[1]Tuyến cáp H04'!$B:$E,4,0)</f>
        <v>#N/A</v>
      </c>
    </row>
    <row r="226" spans="1:36" x14ac:dyDescent="0.25">
      <c r="A226" s="1" t="s">
        <v>2042</v>
      </c>
      <c r="B226" s="1" t="s">
        <v>2043</v>
      </c>
      <c r="C226" s="1" t="s">
        <v>2044</v>
      </c>
      <c r="D226" s="1" t="s">
        <v>2045</v>
      </c>
      <c r="E226" s="1" t="s">
        <v>2046</v>
      </c>
      <c r="F226" s="1" t="s">
        <v>2047</v>
      </c>
      <c r="G226" s="1" t="s">
        <v>14281</v>
      </c>
      <c r="H226" s="1" t="s">
        <v>14282</v>
      </c>
      <c r="I226" s="1" t="s">
        <v>14349</v>
      </c>
      <c r="J226" s="1" t="s">
        <v>23</v>
      </c>
      <c r="K226" s="1"/>
      <c r="L226" s="1" t="s">
        <v>2048</v>
      </c>
      <c r="M226" s="1" t="s">
        <v>2049</v>
      </c>
      <c r="N226" s="1" t="s">
        <v>2050</v>
      </c>
      <c r="O226" s="1" t="s">
        <v>2051</v>
      </c>
      <c r="P226" s="1" t="s">
        <v>2052</v>
      </c>
      <c r="Q226" s="1" t="s">
        <v>2053</v>
      </c>
      <c r="R226" s="1" t="s">
        <v>2054</v>
      </c>
      <c r="S226" s="1" t="s">
        <v>2055</v>
      </c>
      <c r="T226" s="1" t="s">
        <v>2056</v>
      </c>
      <c r="U226">
        <v>92.02</v>
      </c>
      <c r="V226">
        <v>3.43</v>
      </c>
      <c r="W226">
        <v>12.405989999999999</v>
      </c>
      <c r="X226">
        <v>108.95707</v>
      </c>
      <c r="Y226">
        <v>88.59</v>
      </c>
      <c r="Z226">
        <v>12.384285999999999</v>
      </c>
      <c r="AA226">
        <v>108.95461400000001</v>
      </c>
      <c r="AB226" s="5">
        <f t="shared" si="19"/>
        <v>5.1450000000000003E-3</v>
      </c>
      <c r="AC226" s="5">
        <f t="shared" si="20"/>
        <v>0.132885</v>
      </c>
      <c r="AD226" s="1" t="str">
        <f t="shared" si="21"/>
        <v>Tuyến nhánh CA Bắc Khánh Vĩnh</v>
      </c>
      <c r="AE226" s="1" t="str">
        <f t="shared" si="22"/>
        <v>Trung tâm Cai nghiện Khánh Bình_Cột trung thế</v>
      </c>
      <c r="AG226">
        <f t="shared" si="23"/>
        <v>3.4300000000000003E-3</v>
      </c>
      <c r="AH226">
        <f t="shared" si="24"/>
        <v>8.8590000000000002E-2</v>
      </c>
      <c r="AI226" t="e">
        <f>VLOOKUP(L226,'[1]Tuyến cáp H04'!$B:$E,3,0)/1000</f>
        <v>#N/A</v>
      </c>
      <c r="AJ226" t="e">
        <f>VLOOKUP(L226,'[1]Tuyến cáp H04'!$B:$E,4,0)</f>
        <v>#N/A</v>
      </c>
    </row>
    <row r="227" spans="1:36" x14ac:dyDescent="0.25">
      <c r="A227" s="1" t="s">
        <v>2057</v>
      </c>
      <c r="B227" s="1" t="s">
        <v>896</v>
      </c>
      <c r="C227" s="1" t="s">
        <v>897</v>
      </c>
      <c r="D227" s="1" t="s">
        <v>2058</v>
      </c>
      <c r="E227" s="1" t="s">
        <v>2059</v>
      </c>
      <c r="F227" s="1" t="s">
        <v>2060</v>
      </c>
      <c r="G227" s="1" t="s">
        <v>14281</v>
      </c>
      <c r="H227" s="1" t="s">
        <v>14282</v>
      </c>
      <c r="I227" s="1" t="s">
        <v>14350</v>
      </c>
      <c r="J227" s="1" t="s">
        <v>23</v>
      </c>
      <c r="K227" s="1"/>
      <c r="L227" s="1" t="s">
        <v>899</v>
      </c>
      <c r="M227" s="1" t="s">
        <v>2061</v>
      </c>
      <c r="N227" s="1" t="s">
        <v>922</v>
      </c>
      <c r="O227" s="1" t="s">
        <v>923</v>
      </c>
      <c r="P227" s="1" t="s">
        <v>924</v>
      </c>
      <c r="Q227" s="1" t="s">
        <v>2062</v>
      </c>
      <c r="R227" s="1" t="s">
        <v>926</v>
      </c>
      <c r="S227" s="1" t="s">
        <v>927</v>
      </c>
      <c r="T227" s="1" t="s">
        <v>928</v>
      </c>
      <c r="U227">
        <v>3004.62</v>
      </c>
      <c r="V227">
        <v>5.18</v>
      </c>
      <c r="W227">
        <v>11.998255</v>
      </c>
      <c r="X227">
        <v>109.218788</v>
      </c>
      <c r="Y227">
        <v>2999.45</v>
      </c>
      <c r="Z227">
        <v>12.001106999999999</v>
      </c>
      <c r="AA227">
        <v>109.209318</v>
      </c>
      <c r="AB227" s="5">
        <f t="shared" si="19"/>
        <v>7.77E-3</v>
      </c>
      <c r="AC227" s="5">
        <f t="shared" si="20"/>
        <v>4.4991749999999993</v>
      </c>
      <c r="AD227" s="1" t="str">
        <f t="shared" si="21"/>
        <v>Tuyến nhánh CA Bắc Cam Ranh</v>
      </c>
      <c r="AE227" s="1" t="str">
        <f t="shared" si="22"/>
        <v>Cảng HKQT Cam Ranh</v>
      </c>
      <c r="AG227">
        <f t="shared" si="23"/>
        <v>5.1799999999999997E-3</v>
      </c>
      <c r="AH227">
        <f t="shared" si="24"/>
        <v>2.9994499999999999</v>
      </c>
      <c r="AI227" t="e">
        <f>VLOOKUP(L227,'[1]Tuyến cáp H04'!$B:$E,3,0)/1000</f>
        <v>#N/A</v>
      </c>
      <c r="AJ227" t="e">
        <f>VLOOKUP(L227,'[1]Tuyến cáp H04'!$B:$E,4,0)</f>
        <v>#N/A</v>
      </c>
    </row>
    <row r="228" spans="1:36" x14ac:dyDescent="0.25">
      <c r="A228" s="1" t="s">
        <v>2063</v>
      </c>
      <c r="B228" s="1" t="s">
        <v>263</v>
      </c>
      <c r="C228" s="1" t="s">
        <v>264</v>
      </c>
      <c r="D228" s="1" t="s">
        <v>2064</v>
      </c>
      <c r="E228" s="1" t="s">
        <v>2065</v>
      </c>
      <c r="F228" s="1" t="s">
        <v>2066</v>
      </c>
      <c r="G228" s="1" t="s">
        <v>14281</v>
      </c>
      <c r="H228" s="1" t="s">
        <v>14282</v>
      </c>
      <c r="I228" s="1" t="s">
        <v>14351</v>
      </c>
      <c r="J228" s="1" t="s">
        <v>23</v>
      </c>
      <c r="K228" s="1"/>
      <c r="L228" s="1" t="s">
        <v>296</v>
      </c>
      <c r="M228" s="1" t="s">
        <v>2067</v>
      </c>
      <c r="N228" s="1" t="s">
        <v>670</v>
      </c>
      <c r="O228" s="1" t="s">
        <v>671</v>
      </c>
      <c r="P228" s="1" t="s">
        <v>672</v>
      </c>
      <c r="Q228" s="1" t="s">
        <v>2068</v>
      </c>
      <c r="R228" s="1" t="s">
        <v>1357</v>
      </c>
      <c r="S228" s="1" t="s">
        <v>1358</v>
      </c>
      <c r="T228" s="1" t="s">
        <v>676</v>
      </c>
      <c r="U228">
        <v>433.01</v>
      </c>
      <c r="V228">
        <v>80.62</v>
      </c>
      <c r="W228">
        <v>12.249428</v>
      </c>
      <c r="X228">
        <v>109.184727</v>
      </c>
      <c r="Y228">
        <v>352.39</v>
      </c>
      <c r="Z228">
        <v>12.252969</v>
      </c>
      <c r="AA228">
        <v>109.17461900000001</v>
      </c>
      <c r="AB228" s="5">
        <f t="shared" si="19"/>
        <v>0.12093000000000001</v>
      </c>
      <c r="AC228" s="5">
        <f t="shared" si="20"/>
        <v>0.52858500000000008</v>
      </c>
      <c r="AD228" s="1" t="str">
        <f t="shared" si="21"/>
        <v>3. Trại giam A2</v>
      </c>
      <c r="AE228" s="1" t="str">
        <f t="shared" si="22"/>
        <v>CATP Nha trang cũ</v>
      </c>
      <c r="AG228">
        <f t="shared" si="23"/>
        <v>8.0620000000000011E-2</v>
      </c>
      <c r="AH228">
        <f t="shared" si="24"/>
        <v>0.35238999999999998</v>
      </c>
      <c r="AI228" t="e">
        <f>VLOOKUP(L228,'[1]Tuyến cáp H04'!$B:$E,3,0)/1000</f>
        <v>#N/A</v>
      </c>
      <c r="AJ228" t="e">
        <f>VLOOKUP(L228,'[1]Tuyến cáp H04'!$B:$E,4,0)</f>
        <v>#N/A</v>
      </c>
    </row>
    <row r="229" spans="1:36" x14ac:dyDescent="0.25">
      <c r="A229" s="1" t="s">
        <v>2069</v>
      </c>
      <c r="B229" s="1" t="s">
        <v>263</v>
      </c>
      <c r="C229" s="1" t="s">
        <v>264</v>
      </c>
      <c r="D229" s="1" t="s">
        <v>1908</v>
      </c>
      <c r="E229" s="1" t="s">
        <v>1909</v>
      </c>
      <c r="F229" s="1" t="s">
        <v>2070</v>
      </c>
      <c r="G229" s="1" t="s">
        <v>14281</v>
      </c>
      <c r="H229" s="1" t="s">
        <v>14282</v>
      </c>
      <c r="I229" s="1" t="s">
        <v>14352</v>
      </c>
      <c r="J229" s="1" t="s">
        <v>23</v>
      </c>
      <c r="K229" s="1"/>
      <c r="L229" s="1" t="s">
        <v>24</v>
      </c>
      <c r="M229" s="1" t="s">
        <v>2071</v>
      </c>
      <c r="N229" s="1" t="s">
        <v>412</v>
      </c>
      <c r="O229" s="1" t="s">
        <v>2072</v>
      </c>
      <c r="P229" s="1" t="s">
        <v>2073</v>
      </c>
      <c r="Q229" s="1" t="s">
        <v>156</v>
      </c>
      <c r="R229" s="1" t="s">
        <v>157</v>
      </c>
      <c r="S229" s="1" t="s">
        <v>158</v>
      </c>
      <c r="T229" s="1" t="s">
        <v>32</v>
      </c>
      <c r="U229">
        <v>119.37</v>
      </c>
      <c r="V229">
        <v>2.33</v>
      </c>
      <c r="W229">
        <v>12.249037</v>
      </c>
      <c r="X229">
        <v>109.184079</v>
      </c>
      <c r="Y229">
        <v>117.04</v>
      </c>
      <c r="Z229">
        <v>12.253</v>
      </c>
      <c r="AA229">
        <v>109.193</v>
      </c>
      <c r="AB229" s="5">
        <f t="shared" si="19"/>
        <v>3.4950000000000003E-3</v>
      </c>
      <c r="AC229" s="5">
        <f t="shared" si="20"/>
        <v>0.17555999999999999</v>
      </c>
      <c r="AD229" s="1" t="str">
        <f t="shared" si="21"/>
        <v>5.PA06 cs1</v>
      </c>
      <c r="AE229" s="1" t="str">
        <f t="shared" si="22"/>
        <v>PC08 csc_Cột trung thế</v>
      </c>
      <c r="AG229">
        <f t="shared" si="23"/>
        <v>2.33E-3</v>
      </c>
      <c r="AH229">
        <f t="shared" si="24"/>
        <v>0.11704000000000001</v>
      </c>
      <c r="AI229" t="e">
        <f>VLOOKUP(L229,'[1]Tuyến cáp H04'!$B:$E,3,0)/1000</f>
        <v>#N/A</v>
      </c>
      <c r="AJ229" t="e">
        <f>VLOOKUP(L229,'[1]Tuyến cáp H04'!$B:$E,4,0)</f>
        <v>#N/A</v>
      </c>
    </row>
    <row r="230" spans="1:36" x14ac:dyDescent="0.25">
      <c r="A230" s="1" t="s">
        <v>2074</v>
      </c>
      <c r="B230" s="1" t="s">
        <v>1644</v>
      </c>
      <c r="C230" s="1" t="s">
        <v>1645</v>
      </c>
      <c r="D230" s="1" t="s">
        <v>2075</v>
      </c>
      <c r="E230" s="1" t="s">
        <v>2076</v>
      </c>
      <c r="F230" s="1" t="s">
        <v>2077</v>
      </c>
      <c r="G230" s="1" t="s">
        <v>14281</v>
      </c>
      <c r="H230" s="1" t="s">
        <v>14282</v>
      </c>
      <c r="I230" s="1" t="s">
        <v>14353</v>
      </c>
      <c r="J230" s="1" t="s">
        <v>23</v>
      </c>
      <c r="K230" s="1"/>
      <c r="L230" s="1" t="s">
        <v>1647</v>
      </c>
      <c r="M230" s="1" t="s">
        <v>2078</v>
      </c>
      <c r="N230" s="1" t="s">
        <v>1652</v>
      </c>
      <c r="O230" s="1" t="s">
        <v>1653</v>
      </c>
      <c r="P230" s="1" t="s">
        <v>1654</v>
      </c>
      <c r="Q230" s="1" t="s">
        <v>2079</v>
      </c>
      <c r="R230" s="1" t="s">
        <v>2034</v>
      </c>
      <c r="S230" s="1" t="s">
        <v>2035</v>
      </c>
      <c r="T230" s="1" t="s">
        <v>1655</v>
      </c>
      <c r="U230">
        <v>3298.92</v>
      </c>
      <c r="V230">
        <v>6.55</v>
      </c>
      <c r="W230">
        <v>12.803207</v>
      </c>
      <c r="X230">
        <v>109.33374000000001</v>
      </c>
      <c r="Y230">
        <v>3292.36</v>
      </c>
      <c r="Z230">
        <v>12.804639</v>
      </c>
      <c r="AA230">
        <v>109.33377299999999</v>
      </c>
      <c r="AB230" s="5">
        <f t="shared" si="19"/>
        <v>9.8249999999999987E-3</v>
      </c>
      <c r="AC230" s="5">
        <f t="shared" si="20"/>
        <v>4.9385399999999997</v>
      </c>
      <c r="AD230" s="1" t="str">
        <f t="shared" si="21"/>
        <v>3.CA Tu Bông</v>
      </c>
      <c r="AE230" s="1" t="str">
        <f t="shared" si="22"/>
        <v>CA Đại Lãnh_Cột trung thế</v>
      </c>
      <c r="AG230">
        <f t="shared" si="23"/>
        <v>6.5499999999999994E-3</v>
      </c>
      <c r="AH230">
        <f t="shared" si="24"/>
        <v>3.29236</v>
      </c>
      <c r="AI230" t="e">
        <f>VLOOKUP(L230,'[1]Tuyến cáp H04'!$B:$E,3,0)/1000</f>
        <v>#N/A</v>
      </c>
      <c r="AJ230" t="e">
        <f>VLOOKUP(L230,'[1]Tuyến cáp H04'!$B:$E,4,0)</f>
        <v>#N/A</v>
      </c>
    </row>
    <row r="231" spans="1:36" x14ac:dyDescent="0.25">
      <c r="A231" s="1" t="s">
        <v>2080</v>
      </c>
      <c r="B231" s="1" t="s">
        <v>1312</v>
      </c>
      <c r="C231" s="1" t="s">
        <v>1313</v>
      </c>
      <c r="D231" s="1" t="s">
        <v>2081</v>
      </c>
      <c r="E231" s="1" t="s">
        <v>2082</v>
      </c>
      <c r="F231" s="1" t="s">
        <v>2083</v>
      </c>
      <c r="G231" s="1" t="s">
        <v>14281</v>
      </c>
      <c r="H231" s="1" t="s">
        <v>14282</v>
      </c>
      <c r="I231" s="1" t="s">
        <v>14354</v>
      </c>
      <c r="J231" s="1" t="s">
        <v>23</v>
      </c>
      <c r="K231" s="1"/>
      <c r="L231" s="1" t="s">
        <v>1315</v>
      </c>
      <c r="M231" s="1" t="s">
        <v>2084</v>
      </c>
      <c r="N231" s="1" t="s">
        <v>2085</v>
      </c>
      <c r="O231" s="1" t="s">
        <v>2086</v>
      </c>
      <c r="P231" s="1" t="s">
        <v>2087</v>
      </c>
      <c r="Q231" s="1" t="s">
        <v>2088</v>
      </c>
      <c r="R231" s="1" t="s">
        <v>2089</v>
      </c>
      <c r="S231" s="1" t="s">
        <v>2090</v>
      </c>
      <c r="T231" s="1" t="s">
        <v>2091</v>
      </c>
      <c r="U231">
        <v>29.14</v>
      </c>
      <c r="V231">
        <v>3.8</v>
      </c>
      <c r="W231">
        <v>12.197634000000001</v>
      </c>
      <c r="X231">
        <v>109.215698</v>
      </c>
      <c r="Y231">
        <v>25.34</v>
      </c>
      <c r="Z231">
        <v>12.202631999999999</v>
      </c>
      <c r="AA231">
        <v>109.21503800000001</v>
      </c>
      <c r="AB231" s="5">
        <f t="shared" si="19"/>
        <v>5.6999999999999993E-3</v>
      </c>
      <c r="AC231" s="5">
        <f t="shared" si="20"/>
        <v>3.8009999999999995E-2</v>
      </c>
      <c r="AD231" s="1" t="str">
        <f t="shared" si="21"/>
        <v>Tuyến nhánh PC02</v>
      </c>
      <c r="AE231" s="1" t="str">
        <f t="shared" si="22"/>
        <v>PC08 (CSGT đường thủy)</v>
      </c>
      <c r="AG231">
        <f t="shared" si="23"/>
        <v>3.8E-3</v>
      </c>
      <c r="AH231">
        <f t="shared" si="24"/>
        <v>2.5340000000000001E-2</v>
      </c>
      <c r="AI231" t="e">
        <f>VLOOKUP(L231,'[1]Tuyến cáp H04'!$B:$E,3,0)/1000</f>
        <v>#N/A</v>
      </c>
      <c r="AJ231" t="e">
        <f>VLOOKUP(L231,'[1]Tuyến cáp H04'!$B:$E,4,0)</f>
        <v>#N/A</v>
      </c>
    </row>
    <row r="232" spans="1:36" x14ac:dyDescent="0.25">
      <c r="A232" s="1" t="s">
        <v>2092</v>
      </c>
      <c r="B232" s="1" t="s">
        <v>2093</v>
      </c>
      <c r="C232" s="1" t="s">
        <v>2094</v>
      </c>
      <c r="D232" s="1" t="s">
        <v>263</v>
      </c>
      <c r="E232" s="1" t="s">
        <v>264</v>
      </c>
      <c r="F232" s="1" t="s">
        <v>2095</v>
      </c>
      <c r="G232" s="1" t="s">
        <v>14281</v>
      </c>
      <c r="H232" s="1" t="s">
        <v>14282</v>
      </c>
      <c r="I232" s="1" t="s">
        <v>14355</v>
      </c>
      <c r="J232" s="1" t="s">
        <v>23</v>
      </c>
      <c r="K232" s="1"/>
      <c r="L232" s="1" t="s">
        <v>24</v>
      </c>
      <c r="M232" s="1" t="s">
        <v>2096</v>
      </c>
      <c r="N232" s="1" t="s">
        <v>2097</v>
      </c>
      <c r="O232" s="1" t="s">
        <v>2098</v>
      </c>
      <c r="P232" s="1" t="s">
        <v>2099</v>
      </c>
      <c r="Q232" s="1" t="s">
        <v>412</v>
      </c>
      <c r="R232" s="1" t="s">
        <v>2072</v>
      </c>
      <c r="S232" s="1" t="s">
        <v>2073</v>
      </c>
      <c r="T232" s="1" t="s">
        <v>32</v>
      </c>
      <c r="U232">
        <v>131.11000000000001</v>
      </c>
      <c r="V232">
        <v>128.78</v>
      </c>
      <c r="W232">
        <v>12.253722</v>
      </c>
      <c r="X232">
        <v>109.194215</v>
      </c>
      <c r="Y232">
        <v>2.33</v>
      </c>
      <c r="Z232">
        <v>12.249037</v>
      </c>
      <c r="AA232">
        <v>109.184079</v>
      </c>
      <c r="AB232" s="5">
        <f t="shared" si="19"/>
        <v>0.19317000000000001</v>
      </c>
      <c r="AC232" s="5">
        <f t="shared" si="20"/>
        <v>3.4950000000000003E-3</v>
      </c>
      <c r="AD232" s="1" t="str">
        <f t="shared" si="21"/>
        <v>5.PA06 cs1</v>
      </c>
      <c r="AE232" s="1" t="str">
        <f t="shared" si="22"/>
        <v>PC08 csc_Cột trung thế</v>
      </c>
      <c r="AG232">
        <f t="shared" si="23"/>
        <v>0.12878000000000001</v>
      </c>
      <c r="AH232">
        <f t="shared" si="24"/>
        <v>2.33E-3</v>
      </c>
      <c r="AI232" t="e">
        <f>VLOOKUP(L232,'[1]Tuyến cáp H04'!$B:$E,3,0)/1000</f>
        <v>#N/A</v>
      </c>
      <c r="AJ232" t="e">
        <f>VLOOKUP(L232,'[1]Tuyến cáp H04'!$B:$E,4,0)</f>
        <v>#N/A</v>
      </c>
    </row>
    <row r="233" spans="1:36" x14ac:dyDescent="0.25">
      <c r="A233" s="1" t="s">
        <v>2100</v>
      </c>
      <c r="B233" s="1" t="s">
        <v>2101</v>
      </c>
      <c r="C233" s="1" t="s">
        <v>2102</v>
      </c>
      <c r="D233" s="1" t="s">
        <v>362</v>
      </c>
      <c r="E233" s="1" t="s">
        <v>363</v>
      </c>
      <c r="F233" s="1" t="s">
        <v>2103</v>
      </c>
      <c r="G233" s="1" t="s">
        <v>14281</v>
      </c>
      <c r="H233" s="1" t="s">
        <v>14282</v>
      </c>
      <c r="I233" s="1" t="s">
        <v>14356</v>
      </c>
      <c r="J233" s="1" t="s">
        <v>23</v>
      </c>
      <c r="K233" s="1"/>
      <c r="L233" s="1" t="s">
        <v>367</v>
      </c>
      <c r="M233" s="1" t="s">
        <v>2104</v>
      </c>
      <c r="N233" s="1" t="s">
        <v>2105</v>
      </c>
      <c r="O233" s="1" t="s">
        <v>2106</v>
      </c>
      <c r="P233" s="1" t="s">
        <v>2107</v>
      </c>
      <c r="Q233" s="1" t="s">
        <v>369</v>
      </c>
      <c r="R233" s="1" t="s">
        <v>370</v>
      </c>
      <c r="S233" s="1" t="s">
        <v>371</v>
      </c>
      <c r="T233" s="1" t="s">
        <v>375</v>
      </c>
      <c r="U233">
        <v>801.16</v>
      </c>
      <c r="V233">
        <v>676.15</v>
      </c>
      <c r="W233">
        <v>11.987859</v>
      </c>
      <c r="X233">
        <v>109.168706</v>
      </c>
      <c r="Y233">
        <v>125</v>
      </c>
      <c r="Z233">
        <v>11.976645</v>
      </c>
      <c r="AA233">
        <v>109.19567600000001</v>
      </c>
      <c r="AB233" s="5">
        <f t="shared" si="19"/>
        <v>1.0142249999999999</v>
      </c>
      <c r="AC233" s="5">
        <f t="shared" si="20"/>
        <v>0.1875</v>
      </c>
      <c r="AD233" s="1" t="str">
        <f t="shared" si="21"/>
        <v>2.CA Bắc Cam Ranh</v>
      </c>
      <c r="AE233" s="1" t="str">
        <f t="shared" si="22"/>
        <v>CA Cam An</v>
      </c>
      <c r="AG233">
        <f t="shared" si="23"/>
        <v>0.67615000000000003</v>
      </c>
      <c r="AH233">
        <f t="shared" si="24"/>
        <v>0.125</v>
      </c>
      <c r="AI233" t="e">
        <f>VLOOKUP(L233,'[1]Tuyến cáp H04'!$B:$E,3,0)/1000</f>
        <v>#N/A</v>
      </c>
      <c r="AJ233" t="e">
        <f>VLOOKUP(L233,'[1]Tuyến cáp H04'!$B:$E,4,0)</f>
        <v>#N/A</v>
      </c>
    </row>
    <row r="234" spans="1:36" x14ac:dyDescent="0.25">
      <c r="A234" s="1" t="s">
        <v>2108</v>
      </c>
      <c r="B234" s="1" t="s">
        <v>2109</v>
      </c>
      <c r="C234" s="1" t="s">
        <v>2110</v>
      </c>
      <c r="D234" s="1" t="s">
        <v>278</v>
      </c>
      <c r="E234" s="1" t="s">
        <v>279</v>
      </c>
      <c r="F234" s="1" t="s">
        <v>2111</v>
      </c>
      <c r="G234" s="1" t="s">
        <v>14281</v>
      </c>
      <c r="H234" s="1" t="s">
        <v>14282</v>
      </c>
      <c r="I234" s="1" t="s">
        <v>14357</v>
      </c>
      <c r="J234" s="1" t="s">
        <v>23</v>
      </c>
      <c r="K234" s="1"/>
      <c r="L234" s="1" t="s">
        <v>283</v>
      </c>
      <c r="M234" s="1" t="s">
        <v>2112</v>
      </c>
      <c r="N234" s="1" t="s">
        <v>2113</v>
      </c>
      <c r="O234" s="1" t="s">
        <v>289</v>
      </c>
      <c r="P234" s="1" t="s">
        <v>290</v>
      </c>
      <c r="Q234" s="1" t="s">
        <v>285</v>
      </c>
      <c r="R234" s="1" t="s">
        <v>286</v>
      </c>
      <c r="S234" s="1" t="s">
        <v>287</v>
      </c>
      <c r="T234" s="1" t="s">
        <v>291</v>
      </c>
      <c r="U234">
        <v>522437.58</v>
      </c>
      <c r="V234">
        <v>269853.38</v>
      </c>
      <c r="W234">
        <v>14.352316999999999</v>
      </c>
      <c r="X234">
        <v>108.007831</v>
      </c>
      <c r="Y234">
        <v>252584.19</v>
      </c>
      <c r="Z234">
        <v>14.659686000000001</v>
      </c>
      <c r="AA234">
        <v>107.839439</v>
      </c>
      <c r="AB234" s="5">
        <f t="shared" si="19"/>
        <v>404.78007000000002</v>
      </c>
      <c r="AC234" s="5">
        <f t="shared" si="20"/>
        <v>378.87628500000005</v>
      </c>
      <c r="AD234" s="1" t="str">
        <f t="shared" si="21"/>
        <v>Đăk Tô</v>
      </c>
      <c r="AE234" s="1" t="str">
        <f t="shared" si="22"/>
        <v>TT2 Kon Tum</v>
      </c>
      <c r="AG234">
        <f t="shared" si="23"/>
        <v>269.85338000000002</v>
      </c>
      <c r="AH234">
        <f t="shared" si="24"/>
        <v>252.58419000000001</v>
      </c>
      <c r="AI234">
        <f>VLOOKUP(L234,'[1]Tuyến cáp H04'!$B:$E,3,0)/1000</f>
        <v>43.9602</v>
      </c>
      <c r="AJ234" t="str">
        <f>VLOOKUP(L234,'[1]Tuyến cáp H04'!$B:$E,4,0)</f>
        <v>Mạng cấp 3</v>
      </c>
    </row>
    <row r="235" spans="1:36" x14ac:dyDescent="0.25">
      <c r="A235" s="1" t="s">
        <v>2114</v>
      </c>
      <c r="B235" s="1" t="s">
        <v>2115</v>
      </c>
      <c r="C235" s="1" t="s">
        <v>2116</v>
      </c>
      <c r="D235" s="1" t="s">
        <v>77</v>
      </c>
      <c r="E235" s="1" t="s">
        <v>78</v>
      </c>
      <c r="F235" s="1" t="s">
        <v>2117</v>
      </c>
      <c r="G235" s="1" t="s">
        <v>14281</v>
      </c>
      <c r="H235" s="1" t="s">
        <v>14282</v>
      </c>
      <c r="I235" s="1" t="s">
        <v>14358</v>
      </c>
      <c r="J235" s="1" t="s">
        <v>23</v>
      </c>
      <c r="K235" s="1"/>
      <c r="L235" s="1" t="s">
        <v>110</v>
      </c>
      <c r="M235" s="1" t="s">
        <v>2118</v>
      </c>
      <c r="N235" s="1" t="s">
        <v>2119</v>
      </c>
      <c r="O235" s="1" t="s">
        <v>2120</v>
      </c>
      <c r="P235" s="1" t="s">
        <v>2121</v>
      </c>
      <c r="Q235" s="1" t="s">
        <v>112</v>
      </c>
      <c r="R235" s="1" t="s">
        <v>113</v>
      </c>
      <c r="S235" s="1" t="s">
        <v>114</v>
      </c>
      <c r="T235" s="1" t="s">
        <v>118</v>
      </c>
      <c r="U235">
        <v>119.5</v>
      </c>
      <c r="V235">
        <v>116.16</v>
      </c>
      <c r="W235">
        <v>12.181132</v>
      </c>
      <c r="X235">
        <v>109.173</v>
      </c>
      <c r="Y235">
        <v>3.34</v>
      </c>
      <c r="Z235">
        <v>12.175723</v>
      </c>
      <c r="AA235">
        <v>109.17368</v>
      </c>
      <c r="AB235" s="5">
        <f t="shared" si="19"/>
        <v>0.17424000000000001</v>
      </c>
      <c r="AC235" s="5">
        <f t="shared" si="20"/>
        <v>5.0099999999999997E-3</v>
      </c>
      <c r="AD235" s="1" t="str">
        <f t="shared" si="21"/>
        <v>4.PC11a</v>
      </c>
      <c r="AE235" s="1" t="str">
        <f t="shared" si="22"/>
        <v>PC02_Đoạn cột trung thế</v>
      </c>
      <c r="AG235">
        <f t="shared" si="23"/>
        <v>0.11616</v>
      </c>
      <c r="AH235">
        <f t="shared" si="24"/>
        <v>3.3399999999999997E-3</v>
      </c>
      <c r="AI235" t="e">
        <f>VLOOKUP(L235,'[1]Tuyến cáp H04'!$B:$E,3,0)/1000</f>
        <v>#N/A</v>
      </c>
      <c r="AJ235" t="e">
        <f>VLOOKUP(L235,'[1]Tuyến cáp H04'!$B:$E,4,0)</f>
        <v>#N/A</v>
      </c>
    </row>
    <row r="236" spans="1:36" x14ac:dyDescent="0.25">
      <c r="A236" s="1" t="s">
        <v>2122</v>
      </c>
      <c r="B236" s="1" t="s">
        <v>2123</v>
      </c>
      <c r="C236" s="1" t="s">
        <v>2124</v>
      </c>
      <c r="D236" s="1" t="s">
        <v>77</v>
      </c>
      <c r="E236" s="1" t="s">
        <v>78</v>
      </c>
      <c r="F236" s="1" t="s">
        <v>2125</v>
      </c>
      <c r="G236" s="1" t="s">
        <v>14281</v>
      </c>
      <c r="H236" s="1" t="s">
        <v>14282</v>
      </c>
      <c r="I236" s="1" t="s">
        <v>14359</v>
      </c>
      <c r="J236" s="1" t="s">
        <v>23</v>
      </c>
      <c r="K236" s="1"/>
      <c r="L236" s="1" t="s">
        <v>490</v>
      </c>
      <c r="M236" s="1" t="s">
        <v>2126</v>
      </c>
      <c r="N236" s="1" t="s">
        <v>2127</v>
      </c>
      <c r="O236" s="1" t="s">
        <v>2128</v>
      </c>
      <c r="P236" s="1" t="s">
        <v>2129</v>
      </c>
      <c r="Q236" s="1" t="s">
        <v>492</v>
      </c>
      <c r="R236" s="1" t="s">
        <v>493</v>
      </c>
      <c r="S236" s="1" t="s">
        <v>494</v>
      </c>
      <c r="T236" s="1" t="s">
        <v>498</v>
      </c>
      <c r="U236">
        <v>1039.93</v>
      </c>
      <c r="V236">
        <v>903.85</v>
      </c>
      <c r="W236">
        <v>12.173728000000001</v>
      </c>
      <c r="X236">
        <v>109.177217</v>
      </c>
      <c r="Y236">
        <v>136.09</v>
      </c>
      <c r="Z236">
        <v>12.175768</v>
      </c>
      <c r="AA236">
        <v>109.17495</v>
      </c>
      <c r="AB236" s="5">
        <f t="shared" si="19"/>
        <v>1.3557750000000002</v>
      </c>
      <c r="AC236" s="5">
        <f t="shared" si="20"/>
        <v>0.20413499999999998</v>
      </c>
      <c r="AD236" s="1" t="str">
        <f t="shared" si="21"/>
        <v>1.CAT Khánh Hòa</v>
      </c>
      <c r="AE236" s="1" t="str">
        <f t="shared" si="22"/>
        <v>Cam Lâm</v>
      </c>
      <c r="AG236">
        <f t="shared" si="23"/>
        <v>0.90385000000000004</v>
      </c>
      <c r="AH236">
        <f t="shared" si="24"/>
        <v>0.13609000000000002</v>
      </c>
      <c r="AI236" t="e">
        <f>VLOOKUP(L236,'[1]Tuyến cáp H04'!$B:$E,3,0)/1000</f>
        <v>#N/A</v>
      </c>
      <c r="AJ236" t="e">
        <f>VLOOKUP(L236,'[1]Tuyến cáp H04'!$B:$E,4,0)</f>
        <v>#N/A</v>
      </c>
    </row>
    <row r="237" spans="1:36" x14ac:dyDescent="0.25">
      <c r="A237" s="1" t="s">
        <v>2130</v>
      </c>
      <c r="B237" s="1" t="s">
        <v>2131</v>
      </c>
      <c r="C237" s="1" t="s">
        <v>2132</v>
      </c>
      <c r="D237" s="1" t="s">
        <v>77</v>
      </c>
      <c r="E237" s="1" t="s">
        <v>78</v>
      </c>
      <c r="F237" s="1" t="s">
        <v>2133</v>
      </c>
      <c r="G237" s="1" t="s">
        <v>14281</v>
      </c>
      <c r="H237" s="1" t="s">
        <v>14282</v>
      </c>
      <c r="I237" s="1" t="s">
        <v>14360</v>
      </c>
      <c r="J237" s="1" t="s">
        <v>23</v>
      </c>
      <c r="K237" s="1"/>
      <c r="L237" s="1" t="s">
        <v>110</v>
      </c>
      <c r="M237" s="1" t="s">
        <v>2134</v>
      </c>
      <c r="N237" s="1" t="s">
        <v>2135</v>
      </c>
      <c r="O237" s="1" t="s">
        <v>2136</v>
      </c>
      <c r="P237" s="1" t="s">
        <v>2137</v>
      </c>
      <c r="Q237" s="1" t="s">
        <v>112</v>
      </c>
      <c r="R237" s="1" t="s">
        <v>113</v>
      </c>
      <c r="S237" s="1" t="s">
        <v>114</v>
      </c>
      <c r="T237" s="1" t="s">
        <v>118</v>
      </c>
      <c r="U237">
        <v>318.5</v>
      </c>
      <c r="V237">
        <v>315.14999999999998</v>
      </c>
      <c r="W237">
        <v>12.190372999999999</v>
      </c>
      <c r="X237">
        <v>109.170748</v>
      </c>
      <c r="Y237">
        <v>3.34</v>
      </c>
      <c r="Z237">
        <v>12.175723</v>
      </c>
      <c r="AA237">
        <v>109.17368</v>
      </c>
      <c r="AB237" s="5">
        <f t="shared" si="19"/>
        <v>0.47272499999999995</v>
      </c>
      <c r="AC237" s="5">
        <f t="shared" si="20"/>
        <v>5.0099999999999997E-3</v>
      </c>
      <c r="AD237" s="1" t="str">
        <f t="shared" si="21"/>
        <v>4.PC11a</v>
      </c>
      <c r="AE237" s="1" t="str">
        <f t="shared" si="22"/>
        <v>PC02_Đoạn cột trung thế</v>
      </c>
      <c r="AG237">
        <f t="shared" si="23"/>
        <v>0.31514999999999999</v>
      </c>
      <c r="AH237">
        <f t="shared" si="24"/>
        <v>3.3399999999999997E-3</v>
      </c>
      <c r="AI237" t="e">
        <f>VLOOKUP(L237,'[1]Tuyến cáp H04'!$B:$E,3,0)/1000</f>
        <v>#N/A</v>
      </c>
      <c r="AJ237" t="e">
        <f>VLOOKUP(L237,'[1]Tuyến cáp H04'!$B:$E,4,0)</f>
        <v>#N/A</v>
      </c>
    </row>
    <row r="238" spans="1:36" x14ac:dyDescent="0.25">
      <c r="A238" s="1" t="s">
        <v>2138</v>
      </c>
      <c r="B238" s="1" t="s">
        <v>2139</v>
      </c>
      <c r="C238" s="1" t="s">
        <v>2140</v>
      </c>
      <c r="D238" s="1" t="s">
        <v>263</v>
      </c>
      <c r="E238" s="1" t="s">
        <v>264</v>
      </c>
      <c r="F238" s="1" t="s">
        <v>2141</v>
      </c>
      <c r="G238" s="1" t="s">
        <v>14281</v>
      </c>
      <c r="H238" s="1" t="s">
        <v>14282</v>
      </c>
      <c r="I238" s="1" t="s">
        <v>14361</v>
      </c>
      <c r="J238" s="1" t="s">
        <v>23</v>
      </c>
      <c r="K238" s="1"/>
      <c r="L238" s="1" t="s">
        <v>268</v>
      </c>
      <c r="M238" s="1" t="s">
        <v>2142</v>
      </c>
      <c r="N238" s="1" t="s">
        <v>2143</v>
      </c>
      <c r="O238" s="1" t="s">
        <v>2144</v>
      </c>
      <c r="P238" s="1" t="s">
        <v>2145</v>
      </c>
      <c r="Q238" s="1" t="s">
        <v>270</v>
      </c>
      <c r="R238" s="1" t="s">
        <v>271</v>
      </c>
      <c r="S238" s="1" t="s">
        <v>272</v>
      </c>
      <c r="T238" s="1" t="s">
        <v>276</v>
      </c>
      <c r="U238">
        <v>198.19</v>
      </c>
      <c r="V238">
        <v>7.17</v>
      </c>
      <c r="W238">
        <v>12.252446000000001</v>
      </c>
      <c r="X238">
        <v>109.182911</v>
      </c>
      <c r="Y238">
        <v>191.02</v>
      </c>
      <c r="Z238">
        <v>12.250641</v>
      </c>
      <c r="AA238">
        <v>109.18473899999999</v>
      </c>
      <c r="AB238" s="5">
        <f t="shared" si="19"/>
        <v>1.0754999999999999E-2</v>
      </c>
      <c r="AC238" s="5">
        <f t="shared" si="20"/>
        <v>0.28653000000000001</v>
      </c>
      <c r="AD238" s="1" t="str">
        <f t="shared" si="21"/>
        <v>4.CA Tây Nha Trang</v>
      </c>
      <c r="AE238" s="1" t="str">
        <f t="shared" si="22"/>
        <v>TTCMKV Diên Khánh</v>
      </c>
      <c r="AG238">
        <f t="shared" si="23"/>
        <v>7.1700000000000002E-3</v>
      </c>
      <c r="AH238">
        <f t="shared" si="24"/>
        <v>0.19102000000000002</v>
      </c>
      <c r="AI238" t="e">
        <f>VLOOKUP(L238,'[1]Tuyến cáp H04'!$B:$E,3,0)/1000</f>
        <v>#N/A</v>
      </c>
      <c r="AJ238" t="e">
        <f>VLOOKUP(L238,'[1]Tuyến cáp H04'!$B:$E,4,0)</f>
        <v>#N/A</v>
      </c>
    </row>
    <row r="239" spans="1:36" x14ac:dyDescent="0.25">
      <c r="A239" s="1" t="s">
        <v>2146</v>
      </c>
      <c r="B239" s="1" t="s">
        <v>2147</v>
      </c>
      <c r="C239" s="1" t="s">
        <v>2148</v>
      </c>
      <c r="D239" s="1" t="s">
        <v>198</v>
      </c>
      <c r="E239" s="1" t="s">
        <v>199</v>
      </c>
      <c r="F239" s="1" t="s">
        <v>2149</v>
      </c>
      <c r="G239" s="1" t="s">
        <v>14281</v>
      </c>
      <c r="H239" s="1" t="s">
        <v>14282</v>
      </c>
      <c r="I239" s="1" t="s">
        <v>14362</v>
      </c>
      <c r="J239" s="1" t="s">
        <v>23</v>
      </c>
      <c r="K239" s="1"/>
      <c r="L239" s="1" t="s">
        <v>2150</v>
      </c>
      <c r="M239" s="1" t="s">
        <v>2151</v>
      </c>
      <c r="N239" s="1" t="s">
        <v>2152</v>
      </c>
      <c r="O239" s="1" t="s">
        <v>2153</v>
      </c>
      <c r="P239" s="1" t="s">
        <v>2154</v>
      </c>
      <c r="Q239" s="1" t="s">
        <v>922</v>
      </c>
      <c r="R239" s="1" t="s">
        <v>2153</v>
      </c>
      <c r="S239" s="1" t="s">
        <v>2154</v>
      </c>
      <c r="T239" s="1" t="s">
        <v>2155</v>
      </c>
      <c r="U239">
        <v>907.58</v>
      </c>
      <c r="V239">
        <v>902.4</v>
      </c>
      <c r="W239">
        <v>12.256762</v>
      </c>
      <c r="X239">
        <v>109.197648</v>
      </c>
      <c r="Y239">
        <v>5.18</v>
      </c>
      <c r="Z239">
        <v>12.256762</v>
      </c>
      <c r="AA239">
        <v>109.197648</v>
      </c>
      <c r="AB239" s="5">
        <f t="shared" si="19"/>
        <v>1.3535999999999999</v>
      </c>
      <c r="AC239" s="5">
        <f t="shared" si="20"/>
        <v>7.77E-3</v>
      </c>
      <c r="AD239" s="1" t="str">
        <f t="shared" si="21"/>
        <v>Tuyến nhánh PA06 cs1</v>
      </c>
      <c r="AE239" s="1" t="str">
        <f t="shared" si="22"/>
        <v>Nhà nghỉ dưỡng 378 BCA_Cột trung thế</v>
      </c>
      <c r="AG239">
        <f t="shared" si="23"/>
        <v>0.90239999999999998</v>
      </c>
      <c r="AH239">
        <f t="shared" si="24"/>
        <v>5.1799999999999997E-3</v>
      </c>
      <c r="AI239" t="e">
        <f>VLOOKUP(L239,'[1]Tuyến cáp H04'!$B:$E,3,0)/1000</f>
        <v>#N/A</v>
      </c>
      <c r="AJ239" t="e">
        <f>VLOOKUP(L239,'[1]Tuyến cáp H04'!$B:$E,4,0)</f>
        <v>#N/A</v>
      </c>
    </row>
    <row r="240" spans="1:36" x14ac:dyDescent="0.25">
      <c r="A240" s="1" t="s">
        <v>2156</v>
      </c>
      <c r="B240" s="1" t="s">
        <v>2157</v>
      </c>
      <c r="C240" s="1" t="s">
        <v>2158</v>
      </c>
      <c r="D240" s="1" t="s">
        <v>160</v>
      </c>
      <c r="E240" s="1" t="s">
        <v>161</v>
      </c>
      <c r="F240" s="1" t="s">
        <v>2159</v>
      </c>
      <c r="G240" s="1" t="s">
        <v>14281</v>
      </c>
      <c r="H240" s="1" t="s">
        <v>14282</v>
      </c>
      <c r="I240" s="1" t="s">
        <v>14363</v>
      </c>
      <c r="J240" s="1" t="s">
        <v>23</v>
      </c>
      <c r="K240" s="1"/>
      <c r="L240" s="1" t="s">
        <v>1414</v>
      </c>
      <c r="M240" s="1" t="s">
        <v>2160</v>
      </c>
      <c r="N240" s="1" t="s">
        <v>2161</v>
      </c>
      <c r="O240" s="1" t="s">
        <v>2162</v>
      </c>
      <c r="P240" s="1" t="s">
        <v>2163</v>
      </c>
      <c r="Q240" s="1" t="s">
        <v>1419</v>
      </c>
      <c r="R240" s="1" t="s">
        <v>42</v>
      </c>
      <c r="S240" s="1" t="s">
        <v>1420</v>
      </c>
      <c r="T240" s="1" t="s">
        <v>1421</v>
      </c>
      <c r="U240">
        <v>789.77</v>
      </c>
      <c r="V240">
        <v>785.02</v>
      </c>
      <c r="W240">
        <v>12.280041000000001</v>
      </c>
      <c r="X240">
        <v>109.188703</v>
      </c>
      <c r="Y240">
        <v>4.75</v>
      </c>
      <c r="Z240">
        <v>12.278732</v>
      </c>
      <c r="AA240">
        <v>109.18886000000001</v>
      </c>
      <c r="AB240" s="5">
        <f t="shared" si="19"/>
        <v>1.17753</v>
      </c>
      <c r="AC240" s="5">
        <f t="shared" si="20"/>
        <v>7.1250000000000003E-3</v>
      </c>
      <c r="AD240" s="1" t="str">
        <f t="shared" si="21"/>
        <v>2.PK02 cs1</v>
      </c>
      <c r="AE240" s="1" t="str">
        <f t="shared" si="22"/>
        <v>Trung đoàn CSCĐ-E23_Cột trung thế</v>
      </c>
      <c r="AG240">
        <f t="shared" si="23"/>
        <v>0.78501999999999994</v>
      </c>
      <c r="AH240">
        <f t="shared" si="24"/>
        <v>4.7499999999999999E-3</v>
      </c>
      <c r="AI240" t="e">
        <f>VLOOKUP(L240,'[1]Tuyến cáp H04'!$B:$E,3,0)/1000</f>
        <v>#N/A</v>
      </c>
      <c r="AJ240" t="e">
        <f>VLOOKUP(L240,'[1]Tuyến cáp H04'!$B:$E,4,0)</f>
        <v>#N/A</v>
      </c>
    </row>
    <row r="241" spans="1:36" x14ac:dyDescent="0.25">
      <c r="A241" s="1" t="s">
        <v>2164</v>
      </c>
      <c r="B241" s="1" t="s">
        <v>2165</v>
      </c>
      <c r="C241" s="1" t="s">
        <v>2166</v>
      </c>
      <c r="D241" s="1" t="s">
        <v>198</v>
      </c>
      <c r="E241" s="1" t="s">
        <v>199</v>
      </c>
      <c r="F241" s="1" t="s">
        <v>2167</v>
      </c>
      <c r="G241" s="1" t="s">
        <v>14281</v>
      </c>
      <c r="H241" s="1" t="s">
        <v>14282</v>
      </c>
      <c r="I241" s="1" t="s">
        <v>14364</v>
      </c>
      <c r="J241" s="1" t="s">
        <v>23</v>
      </c>
      <c r="K241" s="1"/>
      <c r="L241" s="1" t="s">
        <v>201</v>
      </c>
      <c r="M241" s="1" t="s">
        <v>2168</v>
      </c>
      <c r="N241" s="1" t="s">
        <v>2169</v>
      </c>
      <c r="O241" s="1" t="s">
        <v>204</v>
      </c>
      <c r="P241" s="1" t="s">
        <v>205</v>
      </c>
      <c r="Q241" s="1" t="s">
        <v>206</v>
      </c>
      <c r="R241" s="1" t="s">
        <v>207</v>
      </c>
      <c r="S241" s="1" t="s">
        <v>208</v>
      </c>
      <c r="T241" s="1" t="s">
        <v>209</v>
      </c>
      <c r="U241">
        <v>2220.85</v>
      </c>
      <c r="V241">
        <v>1245.98</v>
      </c>
      <c r="W241">
        <v>12.280430000000001</v>
      </c>
      <c r="X241">
        <v>109.194828</v>
      </c>
      <c r="Y241">
        <v>974.88</v>
      </c>
      <c r="Z241">
        <v>12.265409</v>
      </c>
      <c r="AA241">
        <v>109.196133</v>
      </c>
      <c r="AB241" s="5">
        <f t="shared" si="19"/>
        <v>1.86897</v>
      </c>
      <c r="AC241" s="5">
        <f t="shared" si="20"/>
        <v>1.4623199999999998</v>
      </c>
      <c r="AD241" s="1" t="str">
        <f t="shared" si="21"/>
        <v>3.CA Bắc Nha Trang</v>
      </c>
      <c r="AE241" s="1" t="str">
        <f t="shared" si="22"/>
        <v>CAT Khánh Hòa</v>
      </c>
      <c r="AG241">
        <f t="shared" si="23"/>
        <v>1.2459800000000001</v>
      </c>
      <c r="AH241">
        <f t="shared" si="24"/>
        <v>0.97487999999999997</v>
      </c>
      <c r="AI241" t="e">
        <f>VLOOKUP(L241,'[1]Tuyến cáp H04'!$B:$E,3,0)/1000</f>
        <v>#N/A</v>
      </c>
      <c r="AJ241" t="e">
        <f>VLOOKUP(L241,'[1]Tuyến cáp H04'!$B:$E,4,0)</f>
        <v>#N/A</v>
      </c>
    </row>
    <row r="242" spans="1:36" x14ac:dyDescent="0.25">
      <c r="A242" s="1" t="s">
        <v>2170</v>
      </c>
      <c r="B242" s="1" t="s">
        <v>2171</v>
      </c>
      <c r="C242" s="1" t="s">
        <v>2172</v>
      </c>
      <c r="D242" s="1" t="s">
        <v>160</v>
      </c>
      <c r="E242" s="1" t="s">
        <v>161</v>
      </c>
      <c r="F242" s="1" t="s">
        <v>2173</v>
      </c>
      <c r="G242" s="1" t="s">
        <v>14281</v>
      </c>
      <c r="H242" s="1" t="s">
        <v>14282</v>
      </c>
      <c r="I242" s="1" t="s">
        <v>14365</v>
      </c>
      <c r="J242" s="1" t="s">
        <v>23</v>
      </c>
      <c r="K242" s="1"/>
      <c r="L242" s="1" t="s">
        <v>1414</v>
      </c>
      <c r="M242" s="1" t="s">
        <v>2174</v>
      </c>
      <c r="N242" s="1" t="s">
        <v>2175</v>
      </c>
      <c r="O242" s="1" t="s">
        <v>1417</v>
      </c>
      <c r="P242" s="1" t="s">
        <v>1418</v>
      </c>
      <c r="Q242" s="1" t="s">
        <v>1419</v>
      </c>
      <c r="R242" s="1" t="s">
        <v>42</v>
      </c>
      <c r="S242" s="1" t="s">
        <v>1420</v>
      </c>
      <c r="T242" s="1" t="s">
        <v>1421</v>
      </c>
      <c r="U242">
        <v>727.92</v>
      </c>
      <c r="V242">
        <v>723.17</v>
      </c>
      <c r="W242">
        <v>12.279755</v>
      </c>
      <c r="X242">
        <v>109.177725</v>
      </c>
      <c r="Y242">
        <v>4.75</v>
      </c>
      <c r="Z242">
        <v>12.278732</v>
      </c>
      <c r="AA242">
        <v>109.18886000000001</v>
      </c>
      <c r="AB242" s="5">
        <f t="shared" si="19"/>
        <v>1.0847549999999999</v>
      </c>
      <c r="AC242" s="5">
        <f t="shared" si="20"/>
        <v>7.1250000000000003E-3</v>
      </c>
      <c r="AD242" s="1" t="str">
        <f t="shared" si="21"/>
        <v>2.PK02 cs1</v>
      </c>
      <c r="AE242" s="1" t="str">
        <f t="shared" si="22"/>
        <v>Trung đoàn CSCĐ-E23_Cột trung thế</v>
      </c>
      <c r="AG242">
        <f t="shared" si="23"/>
        <v>0.72316999999999998</v>
      </c>
      <c r="AH242">
        <f t="shared" si="24"/>
        <v>4.7499999999999999E-3</v>
      </c>
      <c r="AI242" t="e">
        <f>VLOOKUP(L242,'[1]Tuyến cáp H04'!$B:$E,3,0)/1000</f>
        <v>#N/A</v>
      </c>
      <c r="AJ242" t="e">
        <f>VLOOKUP(L242,'[1]Tuyến cáp H04'!$B:$E,4,0)</f>
        <v>#N/A</v>
      </c>
    </row>
    <row r="243" spans="1:36" x14ac:dyDescent="0.25">
      <c r="A243" s="1" t="s">
        <v>2176</v>
      </c>
      <c r="B243" s="1" t="s">
        <v>2177</v>
      </c>
      <c r="C243" s="1" t="s">
        <v>2178</v>
      </c>
      <c r="D243" s="1" t="s">
        <v>196</v>
      </c>
      <c r="E243" s="1" t="s">
        <v>197</v>
      </c>
      <c r="F243" s="1" t="s">
        <v>2179</v>
      </c>
      <c r="G243" s="1" t="s">
        <v>14281</v>
      </c>
      <c r="H243" s="1" t="s">
        <v>14282</v>
      </c>
      <c r="I243" s="1" t="s">
        <v>14366</v>
      </c>
      <c r="J243" s="1" t="s">
        <v>23</v>
      </c>
      <c r="K243" s="1"/>
      <c r="L243" s="1" t="s">
        <v>186</v>
      </c>
      <c r="M243" s="1" t="s">
        <v>2180</v>
      </c>
      <c r="N243" s="1" t="s">
        <v>2181</v>
      </c>
      <c r="O243" s="1" t="s">
        <v>2182</v>
      </c>
      <c r="P243" s="1" t="s">
        <v>2183</v>
      </c>
      <c r="Q243" s="1" t="s">
        <v>339</v>
      </c>
      <c r="R243" s="1" t="s">
        <v>340</v>
      </c>
      <c r="S243" s="1" t="s">
        <v>341</v>
      </c>
      <c r="T243" s="1" t="s">
        <v>345</v>
      </c>
      <c r="U243">
        <v>53.74</v>
      </c>
      <c r="V243">
        <v>52.86</v>
      </c>
      <c r="W243">
        <v>12.285190999999999</v>
      </c>
      <c r="X243">
        <v>109.19182000000001</v>
      </c>
      <c r="Y243">
        <v>0.89</v>
      </c>
      <c r="Z243">
        <v>12.282335</v>
      </c>
      <c r="AA243">
        <v>109.198106</v>
      </c>
      <c r="AB243" s="5">
        <f t="shared" si="19"/>
        <v>7.9289999999999985E-2</v>
      </c>
      <c r="AC243" s="5">
        <f t="shared" si="20"/>
        <v>1.335E-3</v>
      </c>
      <c r="AD243" s="1" t="str">
        <f t="shared" si="21"/>
        <v>2.CA Diên Điền</v>
      </c>
      <c r="AE243" s="1" t="str">
        <f t="shared" si="22"/>
        <v>CA Bắc Nha Trang</v>
      </c>
      <c r="AG243">
        <f t="shared" si="23"/>
        <v>5.2859999999999997E-2</v>
      </c>
      <c r="AH243">
        <f t="shared" si="24"/>
        <v>8.9000000000000006E-4</v>
      </c>
      <c r="AI243" t="e">
        <f>VLOOKUP(L243,'[1]Tuyến cáp H04'!$B:$E,3,0)/1000</f>
        <v>#N/A</v>
      </c>
      <c r="AJ243" t="e">
        <f>VLOOKUP(L243,'[1]Tuyến cáp H04'!$B:$E,4,0)</f>
        <v>#N/A</v>
      </c>
    </row>
    <row r="244" spans="1:36" x14ac:dyDescent="0.25">
      <c r="A244" s="1" t="s">
        <v>2184</v>
      </c>
      <c r="B244" s="1" t="s">
        <v>2185</v>
      </c>
      <c r="C244" s="1" t="s">
        <v>2186</v>
      </c>
      <c r="D244" s="1" t="s">
        <v>77</v>
      </c>
      <c r="E244" s="1" t="s">
        <v>78</v>
      </c>
      <c r="F244" s="1" t="s">
        <v>2187</v>
      </c>
      <c r="G244" s="1" t="s">
        <v>14281</v>
      </c>
      <c r="H244" s="1" t="s">
        <v>14282</v>
      </c>
      <c r="I244" s="1" t="s">
        <v>14367</v>
      </c>
      <c r="J244" s="1" t="s">
        <v>23</v>
      </c>
      <c r="K244" s="1"/>
      <c r="L244" s="1" t="s">
        <v>490</v>
      </c>
      <c r="M244" s="1" t="s">
        <v>2188</v>
      </c>
      <c r="N244" s="1" t="s">
        <v>2189</v>
      </c>
      <c r="O244" s="1" t="s">
        <v>2190</v>
      </c>
      <c r="P244" s="1" t="s">
        <v>2191</v>
      </c>
      <c r="Q244" s="1" t="s">
        <v>492</v>
      </c>
      <c r="R244" s="1" t="s">
        <v>493</v>
      </c>
      <c r="S244" s="1" t="s">
        <v>494</v>
      </c>
      <c r="T244" s="1" t="s">
        <v>498</v>
      </c>
      <c r="U244">
        <v>222.3</v>
      </c>
      <c r="V244">
        <v>86.21</v>
      </c>
      <c r="W244">
        <v>12.169498000000001</v>
      </c>
      <c r="X244">
        <v>109.19072</v>
      </c>
      <c r="Y244">
        <v>136.09</v>
      </c>
      <c r="Z244">
        <v>12.175768</v>
      </c>
      <c r="AA244">
        <v>109.17495</v>
      </c>
      <c r="AB244" s="5">
        <f t="shared" si="19"/>
        <v>0.12931499999999999</v>
      </c>
      <c r="AC244" s="5">
        <f t="shared" si="20"/>
        <v>0.20413499999999998</v>
      </c>
      <c r="AD244" s="1" t="str">
        <f t="shared" si="21"/>
        <v>1.CAT Khánh Hòa</v>
      </c>
      <c r="AE244" s="1" t="str">
        <f t="shared" si="22"/>
        <v>Cam Lâm</v>
      </c>
      <c r="AG244">
        <f t="shared" si="23"/>
        <v>8.6209999999999995E-2</v>
      </c>
      <c r="AH244">
        <f t="shared" si="24"/>
        <v>0.13609000000000002</v>
      </c>
      <c r="AI244" t="e">
        <f>VLOOKUP(L244,'[1]Tuyến cáp H04'!$B:$E,3,0)/1000</f>
        <v>#N/A</v>
      </c>
      <c r="AJ244" t="e">
        <f>VLOOKUP(L244,'[1]Tuyến cáp H04'!$B:$E,4,0)</f>
        <v>#N/A</v>
      </c>
    </row>
    <row r="245" spans="1:36" x14ac:dyDescent="0.25">
      <c r="A245" s="1" t="s">
        <v>2192</v>
      </c>
      <c r="B245" s="1" t="s">
        <v>2193</v>
      </c>
      <c r="C245" s="1" t="s">
        <v>2194</v>
      </c>
      <c r="D245" s="1" t="s">
        <v>263</v>
      </c>
      <c r="E245" s="1" t="s">
        <v>264</v>
      </c>
      <c r="F245" s="1" t="s">
        <v>2195</v>
      </c>
      <c r="G245" s="1" t="s">
        <v>14281</v>
      </c>
      <c r="H245" s="1" t="s">
        <v>14282</v>
      </c>
      <c r="I245" s="1" t="s">
        <v>14368</v>
      </c>
      <c r="J245" s="1" t="s">
        <v>23</v>
      </c>
      <c r="K245" s="1"/>
      <c r="L245" s="1" t="s">
        <v>2196</v>
      </c>
      <c r="M245" s="1" t="s">
        <v>2197</v>
      </c>
      <c r="N245" s="1" t="s">
        <v>2198</v>
      </c>
      <c r="O245" s="1" t="s">
        <v>2199</v>
      </c>
      <c r="P245" s="1" t="s">
        <v>2200</v>
      </c>
      <c r="Q245" s="1" t="s">
        <v>2201</v>
      </c>
      <c r="R245" s="1" t="s">
        <v>2202</v>
      </c>
      <c r="S245" s="1" t="s">
        <v>2203</v>
      </c>
      <c r="T245" s="1" t="s">
        <v>2204</v>
      </c>
      <c r="U245">
        <v>32.28</v>
      </c>
      <c r="V245">
        <v>30.03</v>
      </c>
      <c r="W245">
        <v>12.246561</v>
      </c>
      <c r="X245">
        <v>109.181628</v>
      </c>
      <c r="Y245">
        <v>2.25</v>
      </c>
      <c r="Z245">
        <v>12.249053</v>
      </c>
      <c r="AA245">
        <v>109.184084</v>
      </c>
      <c r="AB245" s="5">
        <f t="shared" si="19"/>
        <v>4.5045000000000002E-2</v>
      </c>
      <c r="AC245" s="5">
        <f t="shared" si="20"/>
        <v>3.375E-3</v>
      </c>
      <c r="AD245" s="1" t="str">
        <f t="shared" si="21"/>
        <v>6.PC08 csc</v>
      </c>
      <c r="AE245" s="1" t="str">
        <f t="shared" si="22"/>
        <v>CAT Khánh Hòa_Cột trung thế</v>
      </c>
      <c r="AG245">
        <f t="shared" si="23"/>
        <v>3.0030000000000001E-2</v>
      </c>
      <c r="AH245">
        <f t="shared" si="24"/>
        <v>2.2499999999999998E-3</v>
      </c>
      <c r="AI245" t="e">
        <f>VLOOKUP(L245,'[1]Tuyến cáp H04'!$B:$E,3,0)/1000</f>
        <v>#N/A</v>
      </c>
      <c r="AJ245" t="e">
        <f>VLOOKUP(L245,'[1]Tuyến cáp H04'!$B:$E,4,0)</f>
        <v>#N/A</v>
      </c>
    </row>
    <row r="246" spans="1:36" x14ac:dyDescent="0.25">
      <c r="A246" s="1" t="s">
        <v>2205</v>
      </c>
      <c r="B246" s="1" t="s">
        <v>2206</v>
      </c>
      <c r="C246" s="1" t="s">
        <v>2207</v>
      </c>
      <c r="D246" s="1" t="s">
        <v>196</v>
      </c>
      <c r="E246" s="1" t="s">
        <v>197</v>
      </c>
      <c r="F246" s="1" t="s">
        <v>2208</v>
      </c>
      <c r="G246" s="1" t="s">
        <v>14281</v>
      </c>
      <c r="H246" s="1" t="s">
        <v>14282</v>
      </c>
      <c r="I246" s="1" t="s">
        <v>14369</v>
      </c>
      <c r="J246" s="1" t="s">
        <v>23</v>
      </c>
      <c r="K246" s="1"/>
      <c r="L246" s="1" t="s">
        <v>1552</v>
      </c>
      <c r="M246" s="1" t="s">
        <v>2209</v>
      </c>
      <c r="N246" s="1" t="s">
        <v>2210</v>
      </c>
      <c r="O246" s="1" t="s">
        <v>2211</v>
      </c>
      <c r="P246" s="1" t="s">
        <v>2212</v>
      </c>
      <c r="Q246" s="1" t="s">
        <v>2213</v>
      </c>
      <c r="R246" s="1" t="s">
        <v>2214</v>
      </c>
      <c r="S246" s="1" t="s">
        <v>2215</v>
      </c>
      <c r="T246" s="1" t="s">
        <v>1560</v>
      </c>
      <c r="U246">
        <v>626.92999999999995</v>
      </c>
      <c r="V246">
        <v>200.82</v>
      </c>
      <c r="W246">
        <v>12.300356000000001</v>
      </c>
      <c r="X246">
        <v>109.186825</v>
      </c>
      <c r="Y246">
        <v>426.12</v>
      </c>
      <c r="Z246">
        <v>12.279659000000001</v>
      </c>
      <c r="AA246">
        <v>109.19529799999999</v>
      </c>
      <c r="AB246" s="5">
        <f t="shared" si="19"/>
        <v>0.30123</v>
      </c>
      <c r="AC246" s="5">
        <f t="shared" si="20"/>
        <v>0.63918000000000008</v>
      </c>
      <c r="AD246" s="1" t="str">
        <f t="shared" si="21"/>
        <v>5.Vạn Ninh</v>
      </c>
      <c r="AE246" s="1" t="str">
        <f t="shared" si="22"/>
        <v>CAT Khánh Hòa</v>
      </c>
      <c r="AG246">
        <f t="shared" si="23"/>
        <v>0.20082</v>
      </c>
      <c r="AH246">
        <f t="shared" si="24"/>
        <v>0.42612</v>
      </c>
      <c r="AI246" t="e">
        <f>VLOOKUP(L246,'[1]Tuyến cáp H04'!$B:$E,3,0)/1000</f>
        <v>#N/A</v>
      </c>
      <c r="AJ246" t="e">
        <f>VLOOKUP(L246,'[1]Tuyến cáp H04'!$B:$E,4,0)</f>
        <v>#N/A</v>
      </c>
    </row>
    <row r="247" spans="1:36" x14ac:dyDescent="0.25">
      <c r="A247" s="1" t="s">
        <v>2216</v>
      </c>
      <c r="B247" s="1" t="s">
        <v>2217</v>
      </c>
      <c r="C247" s="1" t="s">
        <v>2218</v>
      </c>
      <c r="D247" s="1" t="s">
        <v>92</v>
      </c>
      <c r="E247" s="1" t="s">
        <v>93</v>
      </c>
      <c r="F247" s="1" t="s">
        <v>2219</v>
      </c>
      <c r="G247" s="1" t="s">
        <v>14281</v>
      </c>
      <c r="H247" s="1" t="s">
        <v>14282</v>
      </c>
      <c r="I247" s="1" t="s">
        <v>14370</v>
      </c>
      <c r="J247" s="1" t="s">
        <v>23</v>
      </c>
      <c r="K247" s="1"/>
      <c r="L247" s="1" t="s">
        <v>1223</v>
      </c>
      <c r="M247" s="1" t="s">
        <v>2220</v>
      </c>
      <c r="N247" s="1" t="s">
        <v>2221</v>
      </c>
      <c r="O247" s="1" t="s">
        <v>1238</v>
      </c>
      <c r="P247" s="1" t="s">
        <v>1239</v>
      </c>
      <c r="Q247" s="1" t="s">
        <v>1240</v>
      </c>
      <c r="R247" s="1" t="s">
        <v>1241</v>
      </c>
      <c r="S247" s="1" t="s">
        <v>1242</v>
      </c>
      <c r="T247" s="1" t="s">
        <v>1243</v>
      </c>
      <c r="U247">
        <v>598.85</v>
      </c>
      <c r="V247">
        <v>468.04</v>
      </c>
      <c r="W247">
        <v>12.243195999999999</v>
      </c>
      <c r="X247">
        <v>109.192182</v>
      </c>
      <c r="Y247">
        <v>130.81</v>
      </c>
      <c r="Z247">
        <v>12.245825999999999</v>
      </c>
      <c r="AA247">
        <v>109.19040800000001</v>
      </c>
      <c r="AB247" s="5">
        <f t="shared" si="19"/>
        <v>0.70206000000000002</v>
      </c>
      <c r="AC247" s="5">
        <f t="shared" si="20"/>
        <v>0.196215</v>
      </c>
      <c r="AD247" s="1" t="str">
        <f t="shared" si="21"/>
        <v>1.CAT Khánh Hòa</v>
      </c>
      <c r="AE247" s="1" t="str">
        <f t="shared" si="22"/>
        <v>CATP Nha Trang cũ</v>
      </c>
      <c r="AG247">
        <f t="shared" si="23"/>
        <v>0.46804000000000001</v>
      </c>
      <c r="AH247">
        <f t="shared" si="24"/>
        <v>0.13081000000000001</v>
      </c>
      <c r="AI247" t="e">
        <f>VLOOKUP(L247,'[1]Tuyến cáp H04'!$B:$E,3,0)/1000</f>
        <v>#N/A</v>
      </c>
      <c r="AJ247" t="e">
        <f>VLOOKUP(L247,'[1]Tuyến cáp H04'!$B:$E,4,0)</f>
        <v>#N/A</v>
      </c>
    </row>
    <row r="248" spans="1:36" x14ac:dyDescent="0.25">
      <c r="A248" s="1" t="s">
        <v>2222</v>
      </c>
      <c r="B248" s="1" t="s">
        <v>2223</v>
      </c>
      <c r="C248" s="1" t="s">
        <v>2224</v>
      </c>
      <c r="D248" s="1" t="s">
        <v>600</v>
      </c>
      <c r="E248" s="1" t="s">
        <v>601</v>
      </c>
      <c r="F248" s="1" t="s">
        <v>2225</v>
      </c>
      <c r="G248" s="1" t="s">
        <v>14281</v>
      </c>
      <c r="H248" s="1" t="s">
        <v>14282</v>
      </c>
      <c r="I248" s="1" t="s">
        <v>14371</v>
      </c>
      <c r="J248" s="1" t="s">
        <v>23</v>
      </c>
      <c r="K248" s="1"/>
      <c r="L248" s="1" t="s">
        <v>352</v>
      </c>
      <c r="M248" s="1" t="s">
        <v>2226</v>
      </c>
      <c r="N248" s="1" t="s">
        <v>2227</v>
      </c>
      <c r="O248" s="1" t="s">
        <v>2228</v>
      </c>
      <c r="P248" s="1" t="s">
        <v>2229</v>
      </c>
      <c r="Q248" s="1" t="s">
        <v>1002</v>
      </c>
      <c r="R248" s="1" t="s">
        <v>1003</v>
      </c>
      <c r="S248" s="1" t="s">
        <v>1004</v>
      </c>
      <c r="T248" s="1" t="s">
        <v>360</v>
      </c>
      <c r="U248">
        <v>521.46</v>
      </c>
      <c r="V248">
        <v>386.95</v>
      </c>
      <c r="W248">
        <v>11.974342999999999</v>
      </c>
      <c r="X248">
        <v>109.068472</v>
      </c>
      <c r="Y248">
        <v>134.52000000000001</v>
      </c>
      <c r="Z248">
        <v>11.962002999999999</v>
      </c>
      <c r="AA248">
        <v>109.094218</v>
      </c>
      <c r="AB248" s="5">
        <f t="shared" si="19"/>
        <v>0.58042499999999997</v>
      </c>
      <c r="AC248" s="5">
        <f t="shared" si="20"/>
        <v>0.20178000000000004</v>
      </c>
      <c r="AD248" s="1" t="str">
        <f t="shared" si="21"/>
        <v>3.Cam Ranh</v>
      </c>
      <c r="AE248" s="1" t="str">
        <f t="shared" si="22"/>
        <v>Khánh Sơn</v>
      </c>
      <c r="AG248">
        <f t="shared" si="23"/>
        <v>0.38695000000000002</v>
      </c>
      <c r="AH248">
        <f t="shared" si="24"/>
        <v>0.13452</v>
      </c>
      <c r="AI248" t="e">
        <f>VLOOKUP(L248,'[1]Tuyến cáp H04'!$B:$E,3,0)/1000</f>
        <v>#N/A</v>
      </c>
      <c r="AJ248" t="e">
        <f>VLOOKUP(L248,'[1]Tuyến cáp H04'!$B:$E,4,0)</f>
        <v>#N/A</v>
      </c>
    </row>
    <row r="249" spans="1:36" x14ac:dyDescent="0.25">
      <c r="A249" s="1" t="s">
        <v>2230</v>
      </c>
      <c r="B249" s="1" t="s">
        <v>2231</v>
      </c>
      <c r="C249" s="1" t="s">
        <v>2232</v>
      </c>
      <c r="D249" s="1" t="s">
        <v>362</v>
      </c>
      <c r="E249" s="1" t="s">
        <v>363</v>
      </c>
      <c r="F249" s="1" t="s">
        <v>2233</v>
      </c>
      <c r="G249" s="1" t="s">
        <v>14281</v>
      </c>
      <c r="H249" s="1" t="s">
        <v>14282</v>
      </c>
      <c r="I249" s="1" t="s">
        <v>14372</v>
      </c>
      <c r="J249" s="1" t="s">
        <v>23</v>
      </c>
      <c r="K249" s="1"/>
      <c r="L249" s="1" t="s">
        <v>861</v>
      </c>
      <c r="M249" s="1" t="s">
        <v>2234</v>
      </c>
      <c r="N249" s="1" t="s">
        <v>2235</v>
      </c>
      <c r="O249" s="1" t="s">
        <v>2236</v>
      </c>
      <c r="P249" s="1" t="s">
        <v>2237</v>
      </c>
      <c r="Q249" s="1" t="s">
        <v>863</v>
      </c>
      <c r="R249" s="1" t="s">
        <v>864</v>
      </c>
      <c r="S249" s="1" t="s">
        <v>865</v>
      </c>
      <c r="T249" s="1" t="s">
        <v>869</v>
      </c>
      <c r="U249">
        <v>1651.48</v>
      </c>
      <c r="V249">
        <v>976.58</v>
      </c>
      <c r="W249">
        <v>12.018553000000001</v>
      </c>
      <c r="X249">
        <v>109.192533</v>
      </c>
      <c r="Y249">
        <v>674.9</v>
      </c>
      <c r="Z249">
        <v>11.970426</v>
      </c>
      <c r="AA249">
        <v>109.192857</v>
      </c>
      <c r="AB249" s="5">
        <f t="shared" si="19"/>
        <v>1.4648700000000001</v>
      </c>
      <c r="AC249" s="5">
        <f t="shared" si="20"/>
        <v>1.0123499999999999</v>
      </c>
      <c r="AD249" s="1" t="str">
        <f t="shared" si="21"/>
        <v>2.Cam Lâm</v>
      </c>
      <c r="AE249" s="1" t="str">
        <f t="shared" si="22"/>
        <v>Cam Ranh</v>
      </c>
      <c r="AG249">
        <f t="shared" si="23"/>
        <v>0.97658</v>
      </c>
      <c r="AH249">
        <f t="shared" si="24"/>
        <v>0.67489999999999994</v>
      </c>
      <c r="AI249" t="e">
        <f>VLOOKUP(L249,'[1]Tuyến cáp H04'!$B:$E,3,0)/1000</f>
        <v>#N/A</v>
      </c>
      <c r="AJ249" t="e">
        <f>VLOOKUP(L249,'[1]Tuyến cáp H04'!$B:$E,4,0)</f>
        <v>#N/A</v>
      </c>
    </row>
    <row r="250" spans="1:36" x14ac:dyDescent="0.25">
      <c r="A250" s="1" t="s">
        <v>2238</v>
      </c>
      <c r="B250" s="1" t="s">
        <v>2239</v>
      </c>
      <c r="C250" s="1" t="s">
        <v>2240</v>
      </c>
      <c r="D250" s="1" t="s">
        <v>780</v>
      </c>
      <c r="E250" s="1" t="s">
        <v>781</v>
      </c>
      <c r="F250" s="1" t="s">
        <v>2241</v>
      </c>
      <c r="G250" s="1" t="s">
        <v>14281</v>
      </c>
      <c r="H250" s="1" t="s">
        <v>14282</v>
      </c>
      <c r="I250" s="1" t="s">
        <v>14373</v>
      </c>
      <c r="J250" s="1" t="s">
        <v>23</v>
      </c>
      <c r="K250" s="1"/>
      <c r="L250" s="1" t="s">
        <v>490</v>
      </c>
      <c r="M250" s="1" t="s">
        <v>2242</v>
      </c>
      <c r="N250" s="1" t="s">
        <v>2243</v>
      </c>
      <c r="O250" s="1" t="s">
        <v>2244</v>
      </c>
      <c r="P250" s="1" t="s">
        <v>2245</v>
      </c>
      <c r="Q250" s="1" t="s">
        <v>784</v>
      </c>
      <c r="R250" s="1" t="s">
        <v>785</v>
      </c>
      <c r="S250" s="1" t="s">
        <v>786</v>
      </c>
      <c r="T250" s="1" t="s">
        <v>498</v>
      </c>
      <c r="U250">
        <v>87.53</v>
      </c>
      <c r="V250">
        <v>85.5</v>
      </c>
      <c r="W250">
        <v>12.080638</v>
      </c>
      <c r="X250">
        <v>109.180874</v>
      </c>
      <c r="Y250">
        <v>2.0299999999999998</v>
      </c>
      <c r="Z250">
        <v>12.074439</v>
      </c>
      <c r="AA250">
        <v>109.168081</v>
      </c>
      <c r="AB250" s="5">
        <f t="shared" si="19"/>
        <v>0.12825</v>
      </c>
      <c r="AC250" s="5">
        <f t="shared" si="20"/>
        <v>3.045E-3</v>
      </c>
      <c r="AD250" s="1" t="str">
        <f t="shared" si="21"/>
        <v>1.CAT Khánh Hòa</v>
      </c>
      <c r="AE250" s="1" t="str">
        <f t="shared" si="22"/>
        <v>Cam Lâm</v>
      </c>
      <c r="AG250">
        <f t="shared" si="23"/>
        <v>8.5500000000000007E-2</v>
      </c>
      <c r="AH250">
        <f t="shared" si="24"/>
        <v>2.0299999999999997E-3</v>
      </c>
      <c r="AI250" t="e">
        <f>VLOOKUP(L250,'[1]Tuyến cáp H04'!$B:$E,3,0)/1000</f>
        <v>#N/A</v>
      </c>
      <c r="AJ250" t="e">
        <f>VLOOKUP(L250,'[1]Tuyến cáp H04'!$B:$E,4,0)</f>
        <v>#N/A</v>
      </c>
    </row>
    <row r="251" spans="1:36" x14ac:dyDescent="0.25">
      <c r="A251" s="1" t="s">
        <v>2246</v>
      </c>
      <c r="B251" s="1" t="s">
        <v>2247</v>
      </c>
      <c r="C251" s="1" t="s">
        <v>2248</v>
      </c>
      <c r="D251" s="1" t="s">
        <v>780</v>
      </c>
      <c r="E251" s="1" t="s">
        <v>781</v>
      </c>
      <c r="F251" s="1" t="s">
        <v>2249</v>
      </c>
      <c r="G251" s="1" t="s">
        <v>14281</v>
      </c>
      <c r="H251" s="1" t="s">
        <v>14282</v>
      </c>
      <c r="I251" s="1" t="s">
        <v>14374</v>
      </c>
      <c r="J251" s="1" t="s">
        <v>23</v>
      </c>
      <c r="K251" s="1"/>
      <c r="L251" s="1" t="s">
        <v>490</v>
      </c>
      <c r="M251" s="1" t="s">
        <v>2250</v>
      </c>
      <c r="N251" s="1" t="s">
        <v>2251</v>
      </c>
      <c r="O251" s="1" t="s">
        <v>2252</v>
      </c>
      <c r="P251" s="1" t="s">
        <v>2253</v>
      </c>
      <c r="Q251" s="1" t="s">
        <v>784</v>
      </c>
      <c r="R251" s="1" t="s">
        <v>785</v>
      </c>
      <c r="S251" s="1" t="s">
        <v>786</v>
      </c>
      <c r="T251" s="1" t="s">
        <v>498</v>
      </c>
      <c r="U251">
        <v>1691.44</v>
      </c>
      <c r="V251">
        <v>1689.41</v>
      </c>
      <c r="W251">
        <v>12.079611999999999</v>
      </c>
      <c r="X251">
        <v>109.179793</v>
      </c>
      <c r="Y251">
        <v>2.0299999999999998</v>
      </c>
      <c r="Z251">
        <v>12.074439</v>
      </c>
      <c r="AA251">
        <v>109.168081</v>
      </c>
      <c r="AB251" s="5">
        <f t="shared" si="19"/>
        <v>2.5341150000000003</v>
      </c>
      <c r="AC251" s="5">
        <f t="shared" si="20"/>
        <v>3.045E-3</v>
      </c>
      <c r="AD251" s="1" t="str">
        <f t="shared" si="21"/>
        <v>1.CAT Khánh Hòa</v>
      </c>
      <c r="AE251" s="1" t="str">
        <f t="shared" si="22"/>
        <v>Cam Lâm</v>
      </c>
      <c r="AG251">
        <f t="shared" si="23"/>
        <v>1.6894100000000001</v>
      </c>
      <c r="AH251">
        <f t="shared" si="24"/>
        <v>2.0299999999999997E-3</v>
      </c>
      <c r="AI251" t="e">
        <f>VLOOKUP(L251,'[1]Tuyến cáp H04'!$B:$E,3,0)/1000</f>
        <v>#N/A</v>
      </c>
      <c r="AJ251" t="e">
        <f>VLOOKUP(L251,'[1]Tuyến cáp H04'!$B:$E,4,0)</f>
        <v>#N/A</v>
      </c>
    </row>
    <row r="252" spans="1:36" x14ac:dyDescent="0.25">
      <c r="A252" s="1" t="s">
        <v>2254</v>
      </c>
      <c r="B252" s="1" t="s">
        <v>2255</v>
      </c>
      <c r="C252" s="1" t="s">
        <v>2256</v>
      </c>
      <c r="D252" s="1" t="s">
        <v>780</v>
      </c>
      <c r="E252" s="1" t="s">
        <v>781</v>
      </c>
      <c r="F252" s="1" t="s">
        <v>2257</v>
      </c>
      <c r="G252" s="1" t="s">
        <v>14281</v>
      </c>
      <c r="H252" s="1" t="s">
        <v>14282</v>
      </c>
      <c r="I252" s="1" t="s">
        <v>14375</v>
      </c>
      <c r="J252" s="1" t="s">
        <v>23</v>
      </c>
      <c r="K252" s="1"/>
      <c r="L252" s="1" t="s">
        <v>490</v>
      </c>
      <c r="M252" s="1" t="s">
        <v>2258</v>
      </c>
      <c r="N252" s="1" t="s">
        <v>2259</v>
      </c>
      <c r="O252" s="1" t="s">
        <v>1099</v>
      </c>
      <c r="P252" s="1" t="s">
        <v>1100</v>
      </c>
      <c r="Q252" s="1" t="s">
        <v>784</v>
      </c>
      <c r="R252" s="1" t="s">
        <v>785</v>
      </c>
      <c r="S252" s="1" t="s">
        <v>786</v>
      </c>
      <c r="T252" s="1" t="s">
        <v>498</v>
      </c>
      <c r="U252">
        <v>240.1</v>
      </c>
      <c r="V252">
        <v>238.07</v>
      </c>
      <c r="W252">
        <v>12.09661</v>
      </c>
      <c r="X252">
        <v>109.188524</v>
      </c>
      <c r="Y252">
        <v>2.0299999999999998</v>
      </c>
      <c r="Z252">
        <v>12.074439</v>
      </c>
      <c r="AA252">
        <v>109.168081</v>
      </c>
      <c r="AB252" s="5">
        <f t="shared" si="19"/>
        <v>0.35710500000000001</v>
      </c>
      <c r="AC252" s="5">
        <f t="shared" si="20"/>
        <v>3.045E-3</v>
      </c>
      <c r="AD252" s="1" t="str">
        <f t="shared" si="21"/>
        <v>1.CAT Khánh Hòa</v>
      </c>
      <c r="AE252" s="1" t="str">
        <f t="shared" si="22"/>
        <v>Cam Lâm</v>
      </c>
      <c r="AG252">
        <f t="shared" si="23"/>
        <v>0.23807</v>
      </c>
      <c r="AH252">
        <f t="shared" si="24"/>
        <v>2.0299999999999997E-3</v>
      </c>
      <c r="AI252" t="e">
        <f>VLOOKUP(L252,'[1]Tuyến cáp H04'!$B:$E,3,0)/1000</f>
        <v>#N/A</v>
      </c>
      <c r="AJ252" t="e">
        <f>VLOOKUP(L252,'[1]Tuyến cáp H04'!$B:$E,4,0)</f>
        <v>#N/A</v>
      </c>
    </row>
    <row r="253" spans="1:36" x14ac:dyDescent="0.25">
      <c r="A253" s="1" t="s">
        <v>2260</v>
      </c>
      <c r="B253" s="1" t="s">
        <v>2261</v>
      </c>
      <c r="C253" s="1" t="s">
        <v>2262</v>
      </c>
      <c r="D253" s="1" t="s">
        <v>181</v>
      </c>
      <c r="E253" s="1" t="s">
        <v>182</v>
      </c>
      <c r="F253" s="1" t="s">
        <v>2263</v>
      </c>
      <c r="G253" s="1" t="s">
        <v>14281</v>
      </c>
      <c r="H253" s="1" t="s">
        <v>14282</v>
      </c>
      <c r="I253" s="1" t="s">
        <v>14376</v>
      </c>
      <c r="J253" s="1" t="s">
        <v>23</v>
      </c>
      <c r="K253" s="1"/>
      <c r="L253" s="1" t="s">
        <v>186</v>
      </c>
      <c r="M253" s="1" t="s">
        <v>2264</v>
      </c>
      <c r="N253" s="1" t="s">
        <v>2265</v>
      </c>
      <c r="O253" s="1" t="s">
        <v>311</v>
      </c>
      <c r="P253" s="1" t="s">
        <v>312</v>
      </c>
      <c r="Q253" s="1" t="s">
        <v>188</v>
      </c>
      <c r="R253" s="1" t="s">
        <v>189</v>
      </c>
      <c r="S253" s="1" t="s">
        <v>190</v>
      </c>
      <c r="T253" s="1" t="s">
        <v>194</v>
      </c>
      <c r="U253">
        <v>1091.49</v>
      </c>
      <c r="V253">
        <v>1085.42</v>
      </c>
      <c r="W253">
        <v>12.278650000000001</v>
      </c>
      <c r="X253">
        <v>109.12745</v>
      </c>
      <c r="Y253">
        <v>6.07</v>
      </c>
      <c r="Z253">
        <v>12.276066999999999</v>
      </c>
      <c r="AA253">
        <v>109.120259</v>
      </c>
      <c r="AB253" s="5">
        <f t="shared" si="19"/>
        <v>1.6281300000000001</v>
      </c>
      <c r="AC253" s="5">
        <f t="shared" si="20"/>
        <v>9.1050000000000002E-3</v>
      </c>
      <c r="AD253" s="1" t="str">
        <f t="shared" si="21"/>
        <v>2.CA Diên Điền</v>
      </c>
      <c r="AE253" s="1" t="str">
        <f t="shared" si="22"/>
        <v>CA Bắc Nha Trang</v>
      </c>
      <c r="AG253">
        <f t="shared" si="23"/>
        <v>1.0854200000000001</v>
      </c>
      <c r="AH253">
        <f t="shared" si="24"/>
        <v>6.0699999999999999E-3</v>
      </c>
      <c r="AI253" t="e">
        <f>VLOOKUP(L253,'[1]Tuyến cáp H04'!$B:$E,3,0)/1000</f>
        <v>#N/A</v>
      </c>
      <c r="AJ253" t="e">
        <f>VLOOKUP(L253,'[1]Tuyến cáp H04'!$B:$E,4,0)</f>
        <v>#N/A</v>
      </c>
    </row>
    <row r="254" spans="1:36" x14ac:dyDescent="0.25">
      <c r="A254" s="1" t="s">
        <v>2266</v>
      </c>
      <c r="B254" s="1" t="s">
        <v>2267</v>
      </c>
      <c r="C254" s="1" t="s">
        <v>2268</v>
      </c>
      <c r="D254" s="1" t="s">
        <v>51</v>
      </c>
      <c r="E254" s="1" t="s">
        <v>52</v>
      </c>
      <c r="F254" s="1" t="s">
        <v>2269</v>
      </c>
      <c r="G254" s="1" t="s">
        <v>14281</v>
      </c>
      <c r="H254" s="1" t="s">
        <v>14282</v>
      </c>
      <c r="I254" s="1" t="s">
        <v>14377</v>
      </c>
      <c r="J254" s="1" t="s">
        <v>23</v>
      </c>
      <c r="K254" s="1"/>
      <c r="L254" s="1" t="s">
        <v>67</v>
      </c>
      <c r="M254" s="1" t="s">
        <v>2270</v>
      </c>
      <c r="N254" s="1" t="s">
        <v>2271</v>
      </c>
      <c r="O254" s="1" t="s">
        <v>2272</v>
      </c>
      <c r="P254" s="1" t="s">
        <v>2273</v>
      </c>
      <c r="Q254" s="1" t="s">
        <v>69</v>
      </c>
      <c r="R254" s="1" t="s">
        <v>70</v>
      </c>
      <c r="S254" s="1" t="s">
        <v>71</v>
      </c>
      <c r="T254" s="1" t="s">
        <v>75</v>
      </c>
      <c r="U254">
        <v>2282.34</v>
      </c>
      <c r="V254">
        <v>2128.44</v>
      </c>
      <c r="W254">
        <v>12.215051000000001</v>
      </c>
      <c r="X254">
        <v>109.074147</v>
      </c>
      <c r="Y254">
        <v>153.9</v>
      </c>
      <c r="Z254">
        <v>12.220518999999999</v>
      </c>
      <c r="AA254">
        <v>109.08248</v>
      </c>
      <c r="AB254" s="5">
        <f t="shared" si="19"/>
        <v>3.1926600000000001</v>
      </c>
      <c r="AC254" s="5">
        <f t="shared" si="20"/>
        <v>0.23085000000000003</v>
      </c>
      <c r="AD254" s="1" t="str">
        <f t="shared" si="21"/>
        <v>2.CA Suối Hiệp</v>
      </c>
      <c r="AE254" s="1" t="str">
        <f t="shared" si="22"/>
        <v>CA Suối Dầu</v>
      </c>
      <c r="AG254">
        <f t="shared" si="23"/>
        <v>2.1284399999999999</v>
      </c>
      <c r="AH254">
        <f t="shared" si="24"/>
        <v>0.15390000000000001</v>
      </c>
      <c r="AI254" t="e">
        <f>VLOOKUP(L254,'[1]Tuyến cáp H04'!$B:$E,3,0)/1000</f>
        <v>#N/A</v>
      </c>
      <c r="AJ254" t="e">
        <f>VLOOKUP(L254,'[1]Tuyến cáp H04'!$B:$E,4,0)</f>
        <v>#N/A</v>
      </c>
    </row>
    <row r="255" spans="1:36" x14ac:dyDescent="0.25">
      <c r="A255" s="1" t="s">
        <v>2274</v>
      </c>
      <c r="B255" s="1" t="s">
        <v>1923</v>
      </c>
      <c r="C255" s="1" t="s">
        <v>1924</v>
      </c>
      <c r="D255" s="1" t="s">
        <v>1360</v>
      </c>
      <c r="E255" s="1" t="s">
        <v>1361</v>
      </c>
      <c r="F255" s="1" t="s">
        <v>2275</v>
      </c>
      <c r="G255" s="1" t="s">
        <v>14281</v>
      </c>
      <c r="H255" s="1" t="s">
        <v>14282</v>
      </c>
      <c r="I255" s="1" t="s">
        <v>14378</v>
      </c>
      <c r="J255" s="1" t="s">
        <v>23</v>
      </c>
      <c r="K255" s="1"/>
      <c r="L255" s="1" t="s">
        <v>54</v>
      </c>
      <c r="M255" s="1" t="s">
        <v>1926</v>
      </c>
      <c r="N255" s="1" t="s">
        <v>1927</v>
      </c>
      <c r="O255" s="1" t="s">
        <v>1928</v>
      </c>
      <c r="P255" s="1" t="s">
        <v>1929</v>
      </c>
      <c r="Q255" s="1" t="s">
        <v>1808</v>
      </c>
      <c r="R255" s="1" t="s">
        <v>1873</v>
      </c>
      <c r="S255" s="1" t="s">
        <v>1874</v>
      </c>
      <c r="T255" s="1" t="s">
        <v>62</v>
      </c>
      <c r="U255">
        <v>698.36</v>
      </c>
      <c r="V255">
        <v>693.48</v>
      </c>
      <c r="W255">
        <v>12.252197000000001</v>
      </c>
      <c r="X255">
        <v>109.097283</v>
      </c>
      <c r="Y255">
        <v>4.88</v>
      </c>
      <c r="Z255">
        <v>12.256322000000001</v>
      </c>
      <c r="AA255">
        <v>109.094061</v>
      </c>
      <c r="AB255" s="5">
        <f t="shared" si="19"/>
        <v>1.0402199999999999</v>
      </c>
      <c r="AC255" s="5">
        <f t="shared" si="20"/>
        <v>7.3200000000000001E-3</v>
      </c>
      <c r="AD255" s="1" t="str">
        <f t="shared" si="21"/>
        <v>1.CA Diên Khánh</v>
      </c>
      <c r="AE255" s="1" t="str">
        <f t="shared" si="22"/>
        <v>CA Suối Hiệp</v>
      </c>
      <c r="AG255">
        <f t="shared" si="23"/>
        <v>0.69347999999999999</v>
      </c>
      <c r="AH255">
        <f t="shared" si="24"/>
        <v>4.8799999999999998E-3</v>
      </c>
      <c r="AI255" t="e">
        <f>VLOOKUP(L255,'[1]Tuyến cáp H04'!$B:$E,3,0)/1000</f>
        <v>#N/A</v>
      </c>
      <c r="AJ255" t="e">
        <f>VLOOKUP(L255,'[1]Tuyến cáp H04'!$B:$E,4,0)</f>
        <v>#N/A</v>
      </c>
    </row>
    <row r="256" spans="1:36" x14ac:dyDescent="0.25">
      <c r="A256" s="1" t="s">
        <v>2276</v>
      </c>
      <c r="B256" s="1" t="s">
        <v>2277</v>
      </c>
      <c r="C256" s="1" t="s">
        <v>2278</v>
      </c>
      <c r="D256" s="1" t="s">
        <v>1187</v>
      </c>
      <c r="E256" s="1" t="s">
        <v>1188</v>
      </c>
      <c r="F256" s="1" t="s">
        <v>2279</v>
      </c>
      <c r="G256" s="1" t="s">
        <v>14281</v>
      </c>
      <c r="H256" s="1" t="s">
        <v>14282</v>
      </c>
      <c r="I256" s="1" t="s">
        <v>14379</v>
      </c>
      <c r="J256" s="1" t="s">
        <v>23</v>
      </c>
      <c r="K256" s="1"/>
      <c r="L256" s="1" t="s">
        <v>577</v>
      </c>
      <c r="M256" s="1" t="s">
        <v>2280</v>
      </c>
      <c r="N256" s="1" t="s">
        <v>2281</v>
      </c>
      <c r="O256" s="1" t="s">
        <v>1631</v>
      </c>
      <c r="P256" s="1" t="s">
        <v>1632</v>
      </c>
      <c r="Q256" s="1" t="s">
        <v>1194</v>
      </c>
      <c r="R256" s="1" t="s">
        <v>1195</v>
      </c>
      <c r="S256" s="1" t="s">
        <v>1196</v>
      </c>
      <c r="T256" s="1" t="s">
        <v>1197</v>
      </c>
      <c r="U256">
        <v>1168.3599999999999</v>
      </c>
      <c r="V256">
        <v>786.37</v>
      </c>
      <c r="W256">
        <v>12.499727999999999</v>
      </c>
      <c r="X256">
        <v>109.13266</v>
      </c>
      <c r="Y256">
        <v>381.98</v>
      </c>
      <c r="Z256">
        <v>12.49287</v>
      </c>
      <c r="AA256">
        <v>109.11403300000001</v>
      </c>
      <c r="AB256" s="5">
        <f t="shared" si="19"/>
        <v>1.1795550000000001</v>
      </c>
      <c r="AC256" s="5">
        <f t="shared" si="20"/>
        <v>0.57296999999999998</v>
      </c>
      <c r="AD256" s="1" t="str">
        <f t="shared" si="21"/>
        <v>3.CA Tân Định</v>
      </c>
      <c r="AE256" s="1" t="str">
        <f t="shared" si="22"/>
        <v>CA Ninh Hòa</v>
      </c>
      <c r="AG256">
        <f t="shared" si="23"/>
        <v>0.78637000000000001</v>
      </c>
      <c r="AH256">
        <f t="shared" si="24"/>
        <v>0.38198000000000004</v>
      </c>
      <c r="AI256" t="e">
        <f>VLOOKUP(L256,'[1]Tuyến cáp H04'!$B:$E,3,0)/1000</f>
        <v>#N/A</v>
      </c>
      <c r="AJ256" t="e">
        <f>VLOOKUP(L256,'[1]Tuyến cáp H04'!$B:$E,4,0)</f>
        <v>#N/A</v>
      </c>
    </row>
    <row r="257" spans="1:36" x14ac:dyDescent="0.25">
      <c r="A257" s="1" t="s">
        <v>2282</v>
      </c>
      <c r="B257" s="1" t="s">
        <v>2283</v>
      </c>
      <c r="C257" s="1" t="s">
        <v>2284</v>
      </c>
      <c r="D257" s="1" t="s">
        <v>1152</v>
      </c>
      <c r="E257" s="1" t="s">
        <v>1153</v>
      </c>
      <c r="F257" s="1" t="s">
        <v>2285</v>
      </c>
      <c r="G257" s="1" t="s">
        <v>14281</v>
      </c>
      <c r="H257" s="1" t="s">
        <v>14282</v>
      </c>
      <c r="I257" s="1" t="s">
        <v>14380</v>
      </c>
      <c r="J257" s="1" t="s">
        <v>23</v>
      </c>
      <c r="K257" s="1"/>
      <c r="L257" s="1" t="s">
        <v>1552</v>
      </c>
      <c r="M257" s="1" t="s">
        <v>2286</v>
      </c>
      <c r="N257" s="1" t="s">
        <v>2287</v>
      </c>
      <c r="O257" s="1" t="s">
        <v>2288</v>
      </c>
      <c r="P257" s="1" t="s">
        <v>2289</v>
      </c>
      <c r="Q257" s="1" t="s">
        <v>1160</v>
      </c>
      <c r="R257" s="1" t="s">
        <v>1161</v>
      </c>
      <c r="S257" s="1" t="s">
        <v>1162</v>
      </c>
      <c r="T257" s="1" t="s">
        <v>1560</v>
      </c>
      <c r="U257">
        <v>1216.54</v>
      </c>
      <c r="V257">
        <v>1030.5899999999999</v>
      </c>
      <c r="W257">
        <v>12.455375</v>
      </c>
      <c r="X257">
        <v>109.121938</v>
      </c>
      <c r="Y257">
        <v>185.95</v>
      </c>
      <c r="Z257">
        <v>12.481263999999999</v>
      </c>
      <c r="AA257">
        <v>109.131214</v>
      </c>
      <c r="AB257" s="5">
        <f t="shared" si="19"/>
        <v>1.5458849999999997</v>
      </c>
      <c r="AC257" s="5">
        <f t="shared" si="20"/>
        <v>0.27892499999999998</v>
      </c>
      <c r="AD257" s="1" t="str">
        <f t="shared" si="21"/>
        <v>5.Vạn Ninh</v>
      </c>
      <c r="AE257" s="1" t="str">
        <f t="shared" si="22"/>
        <v>CAT Khánh Hòa</v>
      </c>
      <c r="AG257">
        <f t="shared" si="23"/>
        <v>1.0305899999999999</v>
      </c>
      <c r="AH257">
        <f t="shared" si="24"/>
        <v>0.18594999999999998</v>
      </c>
      <c r="AI257" t="e">
        <f>VLOOKUP(L257,'[1]Tuyến cáp H04'!$B:$E,3,0)/1000</f>
        <v>#N/A</v>
      </c>
      <c r="AJ257" t="e">
        <f>VLOOKUP(L257,'[1]Tuyến cáp H04'!$B:$E,4,0)</f>
        <v>#N/A</v>
      </c>
    </row>
    <row r="258" spans="1:36" x14ac:dyDescent="0.25">
      <c r="A258" s="1" t="s">
        <v>2290</v>
      </c>
      <c r="B258" s="1" t="s">
        <v>2291</v>
      </c>
      <c r="C258" s="1" t="s">
        <v>2292</v>
      </c>
      <c r="D258" s="1" t="s">
        <v>1187</v>
      </c>
      <c r="E258" s="1" t="s">
        <v>1188</v>
      </c>
      <c r="F258" s="1" t="s">
        <v>2293</v>
      </c>
      <c r="G258" s="1" t="s">
        <v>14281</v>
      </c>
      <c r="H258" s="1" t="s">
        <v>14282</v>
      </c>
      <c r="I258" s="1" t="s">
        <v>14381</v>
      </c>
      <c r="J258" s="1" t="s">
        <v>23</v>
      </c>
      <c r="K258" s="1"/>
      <c r="L258" s="1" t="s">
        <v>577</v>
      </c>
      <c r="M258" s="1" t="s">
        <v>2294</v>
      </c>
      <c r="N258" s="1" t="s">
        <v>2295</v>
      </c>
      <c r="O258" s="1" t="s">
        <v>1988</v>
      </c>
      <c r="P258" s="1" t="s">
        <v>1989</v>
      </c>
      <c r="Q258" s="1" t="s">
        <v>1194</v>
      </c>
      <c r="R258" s="1" t="s">
        <v>1195</v>
      </c>
      <c r="S258" s="1" t="s">
        <v>1196</v>
      </c>
      <c r="T258" s="1" t="s">
        <v>1197</v>
      </c>
      <c r="U258">
        <v>1477.34</v>
      </c>
      <c r="V258">
        <v>1095.3499999999999</v>
      </c>
      <c r="W258">
        <v>12.494854</v>
      </c>
      <c r="X258">
        <v>109.132463</v>
      </c>
      <c r="Y258">
        <v>381.98</v>
      </c>
      <c r="Z258">
        <v>12.49287</v>
      </c>
      <c r="AA258">
        <v>109.11403300000001</v>
      </c>
      <c r="AB258" s="5">
        <f t="shared" si="19"/>
        <v>1.643025</v>
      </c>
      <c r="AC258" s="5">
        <f t="shared" si="20"/>
        <v>0.57296999999999998</v>
      </c>
      <c r="AD258" s="1" t="str">
        <f t="shared" si="21"/>
        <v>3.CA Tân Định</v>
      </c>
      <c r="AE258" s="1" t="str">
        <f t="shared" si="22"/>
        <v>CA Ninh Hòa</v>
      </c>
      <c r="AG258">
        <f t="shared" si="23"/>
        <v>1.0953499999999998</v>
      </c>
      <c r="AH258">
        <f t="shared" si="24"/>
        <v>0.38198000000000004</v>
      </c>
      <c r="AI258" t="e">
        <f>VLOOKUP(L258,'[1]Tuyến cáp H04'!$B:$E,3,0)/1000</f>
        <v>#N/A</v>
      </c>
      <c r="AJ258" t="e">
        <f>VLOOKUP(L258,'[1]Tuyến cáp H04'!$B:$E,4,0)</f>
        <v>#N/A</v>
      </c>
    </row>
    <row r="259" spans="1:36" x14ac:dyDescent="0.25">
      <c r="A259" s="1" t="s">
        <v>2296</v>
      </c>
      <c r="B259" s="1" t="s">
        <v>2297</v>
      </c>
      <c r="C259" s="1" t="s">
        <v>2298</v>
      </c>
      <c r="D259" s="1" t="s">
        <v>1445</v>
      </c>
      <c r="E259" s="1" t="s">
        <v>1446</v>
      </c>
      <c r="F259" s="1" t="s">
        <v>2299</v>
      </c>
      <c r="G259" s="1" t="s">
        <v>14281</v>
      </c>
      <c r="H259" s="1" t="s">
        <v>14282</v>
      </c>
      <c r="I259" s="1" t="s">
        <v>14382</v>
      </c>
      <c r="J259" s="1" t="s">
        <v>23</v>
      </c>
      <c r="K259" s="1"/>
      <c r="L259" s="1" t="s">
        <v>1448</v>
      </c>
      <c r="M259" s="1" t="s">
        <v>2300</v>
      </c>
      <c r="N259" s="1" t="s">
        <v>2301</v>
      </c>
      <c r="O259" s="1" t="s">
        <v>2302</v>
      </c>
      <c r="P259" s="1" t="s">
        <v>2303</v>
      </c>
      <c r="Q259" s="1" t="s">
        <v>1453</v>
      </c>
      <c r="R259" s="1" t="s">
        <v>1454</v>
      </c>
      <c r="S259" s="1" t="s">
        <v>1455</v>
      </c>
      <c r="T259" s="1" t="s">
        <v>1456</v>
      </c>
      <c r="U259">
        <v>2074.1799999999998</v>
      </c>
      <c r="V259">
        <v>2069.92</v>
      </c>
      <c r="W259">
        <v>12.559901999999999</v>
      </c>
      <c r="X259">
        <v>109.21615</v>
      </c>
      <c r="Y259">
        <v>4.26</v>
      </c>
      <c r="Z259">
        <v>12.555453</v>
      </c>
      <c r="AA259">
        <v>109.217609</v>
      </c>
      <c r="AB259" s="5">
        <f t="shared" ref="AB259:AB322" si="25">V259*1.5/1000</f>
        <v>3.1048800000000001</v>
      </c>
      <c r="AC259" s="5">
        <f t="shared" ref="AC259:AC322" si="26">Y259*1.5/1000</f>
        <v>6.3899999999999998E-3</v>
      </c>
      <c r="AD259" s="1" t="str">
        <f t="shared" ref="AD259:AD322" si="27">TRIM(LEFT(L259,FIND("-",L259)-1))</f>
        <v>2.CA Đông Ninh Hòa</v>
      </c>
      <c r="AE259" s="1" t="str">
        <f t="shared" ref="AE259:AE322" si="28">TRIM(RIGHT(L259, LEN(L259) - FIND("-", L259)))</f>
        <v>CA Bắc Ninh Hòa</v>
      </c>
      <c r="AG259">
        <f t="shared" ref="AG259:AG322" si="29">V259/1000</f>
        <v>2.0699200000000002</v>
      </c>
      <c r="AH259">
        <f t="shared" ref="AH259:AH322" si="30">Y259/1000</f>
        <v>4.2599999999999999E-3</v>
      </c>
      <c r="AI259" t="e">
        <f>VLOOKUP(L259,'[1]Tuyến cáp H04'!$B:$E,3,0)/1000</f>
        <v>#N/A</v>
      </c>
      <c r="AJ259" t="e">
        <f>VLOOKUP(L259,'[1]Tuyến cáp H04'!$B:$E,4,0)</f>
        <v>#N/A</v>
      </c>
    </row>
    <row r="260" spans="1:36" x14ac:dyDescent="0.25">
      <c r="A260" s="1" t="s">
        <v>2304</v>
      </c>
      <c r="B260" s="1" t="s">
        <v>2305</v>
      </c>
      <c r="C260" s="1" t="s">
        <v>2306</v>
      </c>
      <c r="D260" s="1" t="s">
        <v>1187</v>
      </c>
      <c r="E260" s="1" t="s">
        <v>1188</v>
      </c>
      <c r="F260" s="1" t="s">
        <v>2307</v>
      </c>
      <c r="G260" s="1" t="s">
        <v>14281</v>
      </c>
      <c r="H260" s="1" t="s">
        <v>14282</v>
      </c>
      <c r="I260" s="1" t="s">
        <v>14383</v>
      </c>
      <c r="J260" s="1" t="s">
        <v>23</v>
      </c>
      <c r="K260" s="1"/>
      <c r="L260" s="1" t="s">
        <v>577</v>
      </c>
      <c r="M260" s="1" t="s">
        <v>2308</v>
      </c>
      <c r="N260" s="1" t="s">
        <v>2309</v>
      </c>
      <c r="O260" s="1" t="s">
        <v>2310</v>
      </c>
      <c r="P260" s="1" t="s">
        <v>2311</v>
      </c>
      <c r="Q260" s="1" t="s">
        <v>1194</v>
      </c>
      <c r="R260" s="1" t="s">
        <v>1195</v>
      </c>
      <c r="S260" s="1" t="s">
        <v>1196</v>
      </c>
      <c r="T260" s="1" t="s">
        <v>1197</v>
      </c>
      <c r="U260">
        <v>681.08</v>
      </c>
      <c r="V260">
        <v>299.08999999999997</v>
      </c>
      <c r="W260">
        <v>12.494325</v>
      </c>
      <c r="X260">
        <v>109.128719</v>
      </c>
      <c r="Y260">
        <v>381.98</v>
      </c>
      <c r="Z260">
        <v>12.49287</v>
      </c>
      <c r="AA260">
        <v>109.11403300000001</v>
      </c>
      <c r="AB260" s="5">
        <f t="shared" si="25"/>
        <v>0.44863500000000001</v>
      </c>
      <c r="AC260" s="5">
        <f t="shared" si="26"/>
        <v>0.57296999999999998</v>
      </c>
      <c r="AD260" s="1" t="str">
        <f t="shared" si="27"/>
        <v>3.CA Tân Định</v>
      </c>
      <c r="AE260" s="1" t="str">
        <f t="shared" si="28"/>
        <v>CA Ninh Hòa</v>
      </c>
      <c r="AG260">
        <f t="shared" si="29"/>
        <v>0.29908999999999997</v>
      </c>
      <c r="AH260">
        <f t="shared" si="30"/>
        <v>0.38198000000000004</v>
      </c>
      <c r="AI260" t="e">
        <f>VLOOKUP(L260,'[1]Tuyến cáp H04'!$B:$E,3,0)/1000</f>
        <v>#N/A</v>
      </c>
      <c r="AJ260" t="e">
        <f>VLOOKUP(L260,'[1]Tuyến cáp H04'!$B:$E,4,0)</f>
        <v>#N/A</v>
      </c>
    </row>
    <row r="261" spans="1:36" x14ac:dyDescent="0.25">
      <c r="A261" s="1" t="s">
        <v>2312</v>
      </c>
      <c r="B261" s="1" t="s">
        <v>2313</v>
      </c>
      <c r="C261" s="1" t="s">
        <v>2314</v>
      </c>
      <c r="D261" s="1" t="s">
        <v>1152</v>
      </c>
      <c r="E261" s="1" t="s">
        <v>1153</v>
      </c>
      <c r="F261" s="1" t="s">
        <v>2315</v>
      </c>
      <c r="G261" s="1" t="s">
        <v>14281</v>
      </c>
      <c r="H261" s="1" t="s">
        <v>14282</v>
      </c>
      <c r="I261" s="1" t="s">
        <v>14384</v>
      </c>
      <c r="J261" s="1" t="s">
        <v>23</v>
      </c>
      <c r="K261" s="1"/>
      <c r="L261" s="1" t="s">
        <v>1552</v>
      </c>
      <c r="M261" s="1" t="s">
        <v>2316</v>
      </c>
      <c r="N261" s="1" t="s">
        <v>2317</v>
      </c>
      <c r="O261" s="1" t="s">
        <v>2318</v>
      </c>
      <c r="P261" s="1" t="s">
        <v>2319</v>
      </c>
      <c r="Q261" s="1" t="s">
        <v>1160</v>
      </c>
      <c r="R261" s="1" t="s">
        <v>1161</v>
      </c>
      <c r="S261" s="1" t="s">
        <v>1162</v>
      </c>
      <c r="T261" s="1" t="s">
        <v>1560</v>
      </c>
      <c r="U261">
        <v>1889.42</v>
      </c>
      <c r="V261">
        <v>1703.47</v>
      </c>
      <c r="W261">
        <v>12.471017</v>
      </c>
      <c r="X261">
        <v>109.12625300000001</v>
      </c>
      <c r="Y261">
        <v>185.95</v>
      </c>
      <c r="Z261">
        <v>12.481263999999999</v>
      </c>
      <c r="AA261">
        <v>109.131214</v>
      </c>
      <c r="AB261" s="5">
        <f t="shared" si="25"/>
        <v>2.5552049999999999</v>
      </c>
      <c r="AC261" s="5">
        <f t="shared" si="26"/>
        <v>0.27892499999999998</v>
      </c>
      <c r="AD261" s="1" t="str">
        <f t="shared" si="27"/>
        <v>5.Vạn Ninh</v>
      </c>
      <c r="AE261" s="1" t="str">
        <f t="shared" si="28"/>
        <v>CAT Khánh Hòa</v>
      </c>
      <c r="AG261">
        <f t="shared" si="29"/>
        <v>1.70347</v>
      </c>
      <c r="AH261">
        <f t="shared" si="30"/>
        <v>0.18594999999999998</v>
      </c>
      <c r="AI261" t="e">
        <f>VLOOKUP(L261,'[1]Tuyến cáp H04'!$B:$E,3,0)/1000</f>
        <v>#N/A</v>
      </c>
      <c r="AJ261" t="e">
        <f>VLOOKUP(L261,'[1]Tuyến cáp H04'!$B:$E,4,0)</f>
        <v>#N/A</v>
      </c>
    </row>
    <row r="262" spans="1:36" x14ac:dyDescent="0.25">
      <c r="A262" s="1" t="s">
        <v>2320</v>
      </c>
      <c r="B262" s="1" t="s">
        <v>2321</v>
      </c>
      <c r="C262" s="1" t="s">
        <v>2322</v>
      </c>
      <c r="D262" s="1" t="s">
        <v>1614</v>
      </c>
      <c r="E262" s="1" t="s">
        <v>1615</v>
      </c>
      <c r="F262" s="1" t="s">
        <v>2323</v>
      </c>
      <c r="G262" s="1" t="s">
        <v>14281</v>
      </c>
      <c r="H262" s="1" t="s">
        <v>14282</v>
      </c>
      <c r="I262" s="1" t="s">
        <v>14385</v>
      </c>
      <c r="J262" s="1" t="s">
        <v>23</v>
      </c>
      <c r="K262" s="1"/>
      <c r="L262" s="1" t="s">
        <v>1552</v>
      </c>
      <c r="M262" s="1" t="s">
        <v>2324</v>
      </c>
      <c r="N262" s="1" t="s">
        <v>2325</v>
      </c>
      <c r="O262" s="1" t="s">
        <v>2326</v>
      </c>
      <c r="P262" s="1" t="s">
        <v>2327</v>
      </c>
      <c r="Q262" s="1" t="s">
        <v>1618</v>
      </c>
      <c r="R262" s="1" t="s">
        <v>1619</v>
      </c>
      <c r="S262" s="1" t="s">
        <v>1620</v>
      </c>
      <c r="T262" s="1" t="s">
        <v>1560</v>
      </c>
      <c r="U262">
        <v>138.19</v>
      </c>
      <c r="V262">
        <v>20.96</v>
      </c>
      <c r="W262">
        <v>12.364604999999999</v>
      </c>
      <c r="X262">
        <v>109.194498</v>
      </c>
      <c r="Y262">
        <v>117.23</v>
      </c>
      <c r="Z262">
        <v>12.338984999999999</v>
      </c>
      <c r="AA262">
        <v>109.19412199999999</v>
      </c>
      <c r="AB262" s="5">
        <f t="shared" si="25"/>
        <v>3.1440000000000003E-2</v>
      </c>
      <c r="AC262" s="5">
        <f t="shared" si="26"/>
        <v>0.175845</v>
      </c>
      <c r="AD262" s="1" t="str">
        <f t="shared" si="27"/>
        <v>5.Vạn Ninh</v>
      </c>
      <c r="AE262" s="1" t="str">
        <f t="shared" si="28"/>
        <v>CAT Khánh Hòa</v>
      </c>
      <c r="AG262">
        <f t="shared" si="29"/>
        <v>2.0959999999999999E-2</v>
      </c>
      <c r="AH262">
        <f t="shared" si="30"/>
        <v>0.11723</v>
      </c>
      <c r="AI262" t="e">
        <f>VLOOKUP(L262,'[1]Tuyến cáp H04'!$B:$E,3,0)/1000</f>
        <v>#N/A</v>
      </c>
      <c r="AJ262" t="e">
        <f>VLOOKUP(L262,'[1]Tuyến cáp H04'!$B:$E,4,0)</f>
        <v>#N/A</v>
      </c>
    </row>
    <row r="263" spans="1:36" x14ac:dyDescent="0.25">
      <c r="A263" s="1" t="s">
        <v>2328</v>
      </c>
      <c r="B263" s="1" t="s">
        <v>2329</v>
      </c>
      <c r="C263" s="1" t="s">
        <v>2330</v>
      </c>
      <c r="D263" s="1" t="s">
        <v>1614</v>
      </c>
      <c r="E263" s="1" t="s">
        <v>1615</v>
      </c>
      <c r="F263" s="1" t="s">
        <v>2331</v>
      </c>
      <c r="G263" s="1" t="s">
        <v>14281</v>
      </c>
      <c r="H263" s="1" t="s">
        <v>14282</v>
      </c>
      <c r="I263" s="1" t="s">
        <v>14386</v>
      </c>
      <c r="J263" s="1" t="s">
        <v>23</v>
      </c>
      <c r="K263" s="1"/>
      <c r="L263" s="1" t="s">
        <v>1552</v>
      </c>
      <c r="M263" s="1" t="s">
        <v>2332</v>
      </c>
      <c r="N263" s="1" t="s">
        <v>2333</v>
      </c>
      <c r="O263" s="1" t="s">
        <v>2334</v>
      </c>
      <c r="P263" s="1" t="s">
        <v>2335</v>
      </c>
      <c r="Q263" s="1" t="s">
        <v>1618</v>
      </c>
      <c r="R263" s="1" t="s">
        <v>1619</v>
      </c>
      <c r="S263" s="1" t="s">
        <v>1620</v>
      </c>
      <c r="T263" s="1" t="s">
        <v>1560</v>
      </c>
      <c r="U263">
        <v>251.61</v>
      </c>
      <c r="V263">
        <v>134.38</v>
      </c>
      <c r="W263">
        <v>12.384585</v>
      </c>
      <c r="X263">
        <v>109.194734</v>
      </c>
      <c r="Y263">
        <v>117.23</v>
      </c>
      <c r="Z263">
        <v>12.338984999999999</v>
      </c>
      <c r="AA263">
        <v>109.19412199999999</v>
      </c>
      <c r="AB263" s="5">
        <f t="shared" si="25"/>
        <v>0.20157</v>
      </c>
      <c r="AC263" s="5">
        <f t="shared" si="26"/>
        <v>0.175845</v>
      </c>
      <c r="AD263" s="1" t="str">
        <f t="shared" si="27"/>
        <v>5.Vạn Ninh</v>
      </c>
      <c r="AE263" s="1" t="str">
        <f t="shared" si="28"/>
        <v>CAT Khánh Hòa</v>
      </c>
      <c r="AG263">
        <f t="shared" si="29"/>
        <v>0.13438</v>
      </c>
      <c r="AH263">
        <f t="shared" si="30"/>
        <v>0.11723</v>
      </c>
      <c r="AI263" t="e">
        <f>VLOOKUP(L263,'[1]Tuyến cáp H04'!$B:$E,3,0)/1000</f>
        <v>#N/A</v>
      </c>
      <c r="AJ263" t="e">
        <f>VLOOKUP(L263,'[1]Tuyến cáp H04'!$B:$E,4,0)</f>
        <v>#N/A</v>
      </c>
    </row>
    <row r="264" spans="1:36" x14ac:dyDescent="0.25">
      <c r="A264" s="1" t="s">
        <v>2336</v>
      </c>
      <c r="B264" s="1" t="s">
        <v>2337</v>
      </c>
      <c r="C264" s="1" t="s">
        <v>2338</v>
      </c>
      <c r="D264" s="1" t="s">
        <v>557</v>
      </c>
      <c r="E264" s="1" t="s">
        <v>558</v>
      </c>
      <c r="F264" s="1" t="s">
        <v>2339</v>
      </c>
      <c r="G264" s="1" t="s">
        <v>14281</v>
      </c>
      <c r="H264" s="1" t="s">
        <v>14282</v>
      </c>
      <c r="I264" s="1" t="s">
        <v>14387</v>
      </c>
      <c r="J264" s="1" t="s">
        <v>23</v>
      </c>
      <c r="K264" s="1"/>
      <c r="L264" s="1" t="s">
        <v>1168</v>
      </c>
      <c r="M264" s="1" t="s">
        <v>2340</v>
      </c>
      <c r="N264" s="1" t="s">
        <v>2341</v>
      </c>
      <c r="O264" s="1" t="s">
        <v>2342</v>
      </c>
      <c r="P264" s="1" t="s">
        <v>2343</v>
      </c>
      <c r="Q264" s="1" t="s">
        <v>1173</v>
      </c>
      <c r="R264" s="1" t="s">
        <v>1174</v>
      </c>
      <c r="S264" s="1" t="s">
        <v>1175</v>
      </c>
      <c r="T264" s="1" t="s">
        <v>1176</v>
      </c>
      <c r="U264">
        <v>93.36</v>
      </c>
      <c r="V264">
        <v>88.78</v>
      </c>
      <c r="W264">
        <v>12.540544000000001</v>
      </c>
      <c r="X264">
        <v>109.009872</v>
      </c>
      <c r="Y264">
        <v>4.59</v>
      </c>
      <c r="Z264">
        <v>12.540865</v>
      </c>
      <c r="AA264">
        <v>109.00747800000001</v>
      </c>
      <c r="AB264" s="5">
        <f t="shared" si="25"/>
        <v>0.13317000000000001</v>
      </c>
      <c r="AC264" s="5">
        <f t="shared" si="26"/>
        <v>6.8849999999999996E-3</v>
      </c>
      <c r="AD264" s="1" t="str">
        <f t="shared" si="27"/>
        <v>2.CA Nam Ninh Hòa</v>
      </c>
      <c r="AE264" s="1" t="str">
        <f t="shared" si="28"/>
        <v>CA Tây Ninh Hòa</v>
      </c>
      <c r="AG264">
        <f t="shared" si="29"/>
        <v>8.8779999999999998E-2</v>
      </c>
      <c r="AH264">
        <f t="shared" si="30"/>
        <v>4.5899999999999995E-3</v>
      </c>
      <c r="AI264" t="e">
        <f>VLOOKUP(L264,'[1]Tuyến cáp H04'!$B:$E,3,0)/1000</f>
        <v>#N/A</v>
      </c>
      <c r="AJ264" t="e">
        <f>VLOOKUP(L264,'[1]Tuyến cáp H04'!$B:$E,4,0)</f>
        <v>#N/A</v>
      </c>
    </row>
    <row r="265" spans="1:36" x14ac:dyDescent="0.25">
      <c r="A265" s="1" t="s">
        <v>2344</v>
      </c>
      <c r="B265" s="1" t="s">
        <v>2345</v>
      </c>
      <c r="C265" s="1" t="s">
        <v>2346</v>
      </c>
      <c r="D265" s="1" t="s">
        <v>557</v>
      </c>
      <c r="E265" s="1" t="s">
        <v>558</v>
      </c>
      <c r="F265" s="1" t="s">
        <v>2347</v>
      </c>
      <c r="G265" s="1" t="s">
        <v>14281</v>
      </c>
      <c r="H265" s="1" t="s">
        <v>14282</v>
      </c>
      <c r="I265" s="1" t="s">
        <v>14388</v>
      </c>
      <c r="J265" s="1" t="s">
        <v>23</v>
      </c>
      <c r="K265" s="1"/>
      <c r="L265" s="1" t="s">
        <v>1168</v>
      </c>
      <c r="M265" s="1" t="s">
        <v>2348</v>
      </c>
      <c r="N265" s="1" t="s">
        <v>2349</v>
      </c>
      <c r="O265" s="1" t="s">
        <v>2350</v>
      </c>
      <c r="P265" s="1" t="s">
        <v>2351</v>
      </c>
      <c r="Q265" s="1" t="s">
        <v>1173</v>
      </c>
      <c r="R265" s="1" t="s">
        <v>1174</v>
      </c>
      <c r="S265" s="1" t="s">
        <v>1175</v>
      </c>
      <c r="T265" s="1" t="s">
        <v>1176</v>
      </c>
      <c r="U265">
        <v>3042.21</v>
      </c>
      <c r="V265">
        <v>3037.62</v>
      </c>
      <c r="W265">
        <v>12.519499</v>
      </c>
      <c r="X265">
        <v>109.042643</v>
      </c>
      <c r="Y265">
        <v>4.59</v>
      </c>
      <c r="Z265">
        <v>12.540865</v>
      </c>
      <c r="AA265">
        <v>109.00747800000001</v>
      </c>
      <c r="AB265" s="5">
        <f t="shared" si="25"/>
        <v>4.5564300000000006</v>
      </c>
      <c r="AC265" s="5">
        <f t="shared" si="26"/>
        <v>6.8849999999999996E-3</v>
      </c>
      <c r="AD265" s="1" t="str">
        <f t="shared" si="27"/>
        <v>2.CA Nam Ninh Hòa</v>
      </c>
      <c r="AE265" s="1" t="str">
        <f t="shared" si="28"/>
        <v>CA Tây Ninh Hòa</v>
      </c>
      <c r="AG265">
        <f t="shared" si="29"/>
        <v>3.03762</v>
      </c>
      <c r="AH265">
        <f t="shared" si="30"/>
        <v>4.5899999999999995E-3</v>
      </c>
      <c r="AI265" t="e">
        <f>VLOOKUP(L265,'[1]Tuyến cáp H04'!$B:$E,3,0)/1000</f>
        <v>#N/A</v>
      </c>
      <c r="AJ265" t="e">
        <f>VLOOKUP(L265,'[1]Tuyến cáp H04'!$B:$E,4,0)</f>
        <v>#N/A</v>
      </c>
    </row>
    <row r="266" spans="1:36" x14ac:dyDescent="0.25">
      <c r="A266" s="1" t="s">
        <v>2352</v>
      </c>
      <c r="B266" s="1" t="s">
        <v>2353</v>
      </c>
      <c r="C266" s="1" t="s">
        <v>2354</v>
      </c>
      <c r="D266" s="1" t="s">
        <v>756</v>
      </c>
      <c r="E266" s="1" t="s">
        <v>757</v>
      </c>
      <c r="F266" s="1" t="s">
        <v>2355</v>
      </c>
      <c r="G266" s="1" t="s">
        <v>14281</v>
      </c>
      <c r="H266" s="1" t="s">
        <v>14282</v>
      </c>
      <c r="I266" s="1" t="s">
        <v>14389</v>
      </c>
      <c r="J266" s="1" t="s">
        <v>23</v>
      </c>
      <c r="K266" s="1"/>
      <c r="L266" s="1" t="s">
        <v>1012</v>
      </c>
      <c r="M266" s="1" t="s">
        <v>2356</v>
      </c>
      <c r="N266" s="1" t="s">
        <v>2357</v>
      </c>
      <c r="O266" s="1" t="s">
        <v>1056</v>
      </c>
      <c r="P266" s="1" t="s">
        <v>1057</v>
      </c>
      <c r="Q266" s="1" t="s">
        <v>1017</v>
      </c>
      <c r="R266" s="1" t="s">
        <v>1018</v>
      </c>
      <c r="S266" s="1" t="s">
        <v>1019</v>
      </c>
      <c r="T266" s="1" t="s">
        <v>1020</v>
      </c>
      <c r="U266">
        <v>1311.74</v>
      </c>
      <c r="V266">
        <v>1308.17</v>
      </c>
      <c r="W266">
        <v>12.70477</v>
      </c>
      <c r="X266">
        <v>109.2372</v>
      </c>
      <c r="Y266">
        <v>3.57</v>
      </c>
      <c r="Z266">
        <v>12.690783</v>
      </c>
      <c r="AA266">
        <v>109.22087000000001</v>
      </c>
      <c r="AB266" s="5">
        <f t="shared" si="25"/>
        <v>1.9622550000000001</v>
      </c>
      <c r="AC266" s="5">
        <f t="shared" si="26"/>
        <v>5.3549999999999995E-3</v>
      </c>
      <c r="AD266" s="1" t="str">
        <f t="shared" si="27"/>
        <v>1.CA Vạn Ninh</v>
      </c>
      <c r="AE266" s="1" t="str">
        <f t="shared" si="28"/>
        <v>CA Vạn Thắng_Cột trung thế</v>
      </c>
      <c r="AG266">
        <f t="shared" si="29"/>
        <v>1.3081700000000001</v>
      </c>
      <c r="AH266">
        <f t="shared" si="30"/>
        <v>3.5699999999999998E-3</v>
      </c>
      <c r="AI266" t="e">
        <f>VLOOKUP(L266,'[1]Tuyến cáp H04'!$B:$E,3,0)/1000</f>
        <v>#N/A</v>
      </c>
      <c r="AJ266" t="e">
        <f>VLOOKUP(L266,'[1]Tuyến cáp H04'!$B:$E,4,0)</f>
        <v>#N/A</v>
      </c>
    </row>
    <row r="267" spans="1:36" x14ac:dyDescent="0.25">
      <c r="A267" s="1" t="s">
        <v>2358</v>
      </c>
      <c r="B267" s="1" t="s">
        <v>1642</v>
      </c>
      <c r="C267" s="1" t="s">
        <v>2359</v>
      </c>
      <c r="D267" s="1" t="s">
        <v>1642</v>
      </c>
      <c r="E267" s="1" t="s">
        <v>1643</v>
      </c>
      <c r="F267" s="1" t="s">
        <v>2360</v>
      </c>
      <c r="G267" s="1" t="s">
        <v>14281</v>
      </c>
      <c r="H267" s="1" t="s">
        <v>14282</v>
      </c>
      <c r="I267" s="1" t="s">
        <v>14390</v>
      </c>
      <c r="J267" s="1" t="s">
        <v>23</v>
      </c>
      <c r="K267" s="1"/>
      <c r="L267" s="1" t="s">
        <v>1767</v>
      </c>
      <c r="M267" s="1" t="s">
        <v>2361</v>
      </c>
      <c r="N267" s="1" t="s">
        <v>2362</v>
      </c>
      <c r="O267" s="1" t="s">
        <v>2363</v>
      </c>
      <c r="P267" s="1" t="s">
        <v>2364</v>
      </c>
      <c r="Q267" s="1" t="s">
        <v>1772</v>
      </c>
      <c r="R267" s="1" t="s">
        <v>1773</v>
      </c>
      <c r="S267" s="1" t="s">
        <v>1774</v>
      </c>
      <c r="T267" s="1" t="s">
        <v>1775</v>
      </c>
      <c r="U267">
        <v>365.75</v>
      </c>
      <c r="V267">
        <v>365.4</v>
      </c>
      <c r="W267">
        <v>12.778753</v>
      </c>
      <c r="X267">
        <v>109.313261</v>
      </c>
      <c r="Y267">
        <v>0.35</v>
      </c>
      <c r="Z267">
        <v>12.77881</v>
      </c>
      <c r="AA267">
        <v>109.312703</v>
      </c>
      <c r="AB267" s="5">
        <f t="shared" si="25"/>
        <v>0.54809999999999992</v>
      </c>
      <c r="AC267" s="5">
        <f t="shared" si="26"/>
        <v>5.2499999999999986E-4</v>
      </c>
      <c r="AD267" s="1" t="str">
        <f t="shared" si="27"/>
        <v>2.CA Vạn Thắng</v>
      </c>
      <c r="AE267" s="1" t="str">
        <f t="shared" si="28"/>
        <v>CA Tu Bông_Cột trung thế</v>
      </c>
      <c r="AG267">
        <f t="shared" si="29"/>
        <v>0.3654</v>
      </c>
      <c r="AH267">
        <f t="shared" si="30"/>
        <v>3.5E-4</v>
      </c>
      <c r="AI267" t="e">
        <f>VLOOKUP(L267,'[1]Tuyến cáp H04'!$B:$E,3,0)/1000</f>
        <v>#N/A</v>
      </c>
      <c r="AJ267" t="e">
        <f>VLOOKUP(L267,'[1]Tuyến cáp H04'!$B:$E,4,0)</f>
        <v>#N/A</v>
      </c>
    </row>
    <row r="268" spans="1:36" x14ac:dyDescent="0.25">
      <c r="A268" s="1" t="s">
        <v>2365</v>
      </c>
      <c r="B268" s="1" t="s">
        <v>2366</v>
      </c>
      <c r="C268" s="1" t="s">
        <v>2367</v>
      </c>
      <c r="D268" s="1" t="s">
        <v>1642</v>
      </c>
      <c r="E268" s="1" t="s">
        <v>1643</v>
      </c>
      <c r="F268" s="1" t="s">
        <v>2368</v>
      </c>
      <c r="G268" s="1" t="s">
        <v>14281</v>
      </c>
      <c r="H268" s="1" t="s">
        <v>14282</v>
      </c>
      <c r="I268" s="1" t="s">
        <v>14391</v>
      </c>
      <c r="J268" s="1" t="s">
        <v>23</v>
      </c>
      <c r="K268" s="1"/>
      <c r="L268" s="1" t="s">
        <v>1647</v>
      </c>
      <c r="M268" s="1" t="s">
        <v>2369</v>
      </c>
      <c r="N268" s="1" t="s">
        <v>2370</v>
      </c>
      <c r="O268" s="1" t="s">
        <v>2371</v>
      </c>
      <c r="P268" s="1" t="s">
        <v>2372</v>
      </c>
      <c r="Q268" s="1" t="s">
        <v>1649</v>
      </c>
      <c r="R268" s="1" t="s">
        <v>1650</v>
      </c>
      <c r="S268" s="1" t="s">
        <v>1651</v>
      </c>
      <c r="T268" s="1" t="s">
        <v>1655</v>
      </c>
      <c r="U268">
        <v>177.99</v>
      </c>
      <c r="V268">
        <v>175.91</v>
      </c>
      <c r="W268">
        <v>12.784682</v>
      </c>
      <c r="X268">
        <v>109.30530400000001</v>
      </c>
      <c r="Y268">
        <v>2.08</v>
      </c>
      <c r="Z268">
        <v>12.778815</v>
      </c>
      <c r="AA268">
        <v>109.312718</v>
      </c>
      <c r="AB268" s="5">
        <f t="shared" si="25"/>
        <v>0.26386500000000002</v>
      </c>
      <c r="AC268" s="5">
        <f t="shared" si="26"/>
        <v>3.1199999999999999E-3</v>
      </c>
      <c r="AD268" s="1" t="str">
        <f t="shared" si="27"/>
        <v>3.CA Tu Bông</v>
      </c>
      <c r="AE268" s="1" t="str">
        <f t="shared" si="28"/>
        <v>CA Đại Lãnh_Cột trung thế</v>
      </c>
      <c r="AG268">
        <f t="shared" si="29"/>
        <v>0.17590999999999998</v>
      </c>
      <c r="AH268">
        <f t="shared" si="30"/>
        <v>2.0800000000000003E-3</v>
      </c>
      <c r="AI268" t="e">
        <f>VLOOKUP(L268,'[1]Tuyến cáp H04'!$B:$E,3,0)/1000</f>
        <v>#N/A</v>
      </c>
      <c r="AJ268" t="e">
        <f>VLOOKUP(L268,'[1]Tuyến cáp H04'!$B:$E,4,0)</f>
        <v>#N/A</v>
      </c>
    </row>
    <row r="269" spans="1:36" x14ac:dyDescent="0.25">
      <c r="A269" s="1" t="s">
        <v>2373</v>
      </c>
      <c r="B269" s="1" t="s">
        <v>2374</v>
      </c>
      <c r="C269" s="1" t="s">
        <v>2375</v>
      </c>
      <c r="D269" s="1" t="s">
        <v>278</v>
      </c>
      <c r="E269" s="1" t="s">
        <v>279</v>
      </c>
      <c r="F269" s="1" t="s">
        <v>2376</v>
      </c>
      <c r="G269" s="1" t="s">
        <v>14281</v>
      </c>
      <c r="H269" s="1" t="s">
        <v>14282</v>
      </c>
      <c r="I269" s="1" t="s">
        <v>14392</v>
      </c>
      <c r="J269" s="1" t="s">
        <v>23</v>
      </c>
      <c r="K269" s="1"/>
      <c r="L269" s="1" t="s">
        <v>283</v>
      </c>
      <c r="M269" s="1" t="s">
        <v>2377</v>
      </c>
      <c r="N269" s="1" t="s">
        <v>2378</v>
      </c>
      <c r="O269" s="1" t="s">
        <v>289</v>
      </c>
      <c r="P269" s="1" t="s">
        <v>290</v>
      </c>
      <c r="Q269" s="1" t="s">
        <v>285</v>
      </c>
      <c r="R269" s="1" t="s">
        <v>286</v>
      </c>
      <c r="S269" s="1" t="s">
        <v>287</v>
      </c>
      <c r="T269" s="1" t="s">
        <v>291</v>
      </c>
      <c r="U269">
        <v>520316.29</v>
      </c>
      <c r="V269">
        <v>267732.09999999998</v>
      </c>
      <c r="W269">
        <v>14.352316999999999</v>
      </c>
      <c r="X269">
        <v>108.007831</v>
      </c>
      <c r="Y269">
        <v>252584.19</v>
      </c>
      <c r="Z269">
        <v>14.659686000000001</v>
      </c>
      <c r="AA269">
        <v>107.839439</v>
      </c>
      <c r="AB269" s="5">
        <f t="shared" si="25"/>
        <v>401.59814999999998</v>
      </c>
      <c r="AC269" s="5">
        <f t="shared" si="26"/>
        <v>378.87628500000005</v>
      </c>
      <c r="AD269" s="1" t="str">
        <f t="shared" si="27"/>
        <v>Đăk Tô</v>
      </c>
      <c r="AE269" s="1" t="str">
        <f t="shared" si="28"/>
        <v>TT2 Kon Tum</v>
      </c>
      <c r="AG269">
        <f t="shared" si="29"/>
        <v>267.7321</v>
      </c>
      <c r="AH269">
        <f t="shared" si="30"/>
        <v>252.58419000000001</v>
      </c>
      <c r="AI269">
        <f>VLOOKUP(L269,'[1]Tuyến cáp H04'!$B:$E,3,0)/1000</f>
        <v>43.9602</v>
      </c>
      <c r="AJ269" t="str">
        <f>VLOOKUP(L269,'[1]Tuyến cáp H04'!$B:$E,4,0)</f>
        <v>Mạng cấp 3</v>
      </c>
    </row>
    <row r="270" spans="1:36" x14ac:dyDescent="0.25">
      <c r="A270" s="1" t="s">
        <v>2379</v>
      </c>
      <c r="B270" s="1" t="s">
        <v>2380</v>
      </c>
      <c r="C270" s="1" t="s">
        <v>2381</v>
      </c>
      <c r="D270" s="1" t="s">
        <v>128</v>
      </c>
      <c r="E270" s="1" t="s">
        <v>129</v>
      </c>
      <c r="F270" s="1" t="s">
        <v>2382</v>
      </c>
      <c r="G270" s="1" t="s">
        <v>14281</v>
      </c>
      <c r="H270" s="1" t="s">
        <v>14282</v>
      </c>
      <c r="I270" s="1" t="s">
        <v>14393</v>
      </c>
      <c r="J270" s="1" t="s">
        <v>23</v>
      </c>
      <c r="K270" s="1"/>
      <c r="L270" s="1" t="s">
        <v>283</v>
      </c>
      <c r="M270" s="1" t="s">
        <v>2383</v>
      </c>
      <c r="N270" s="1" t="s">
        <v>2384</v>
      </c>
      <c r="O270" s="1" t="s">
        <v>289</v>
      </c>
      <c r="P270" s="1" t="s">
        <v>290</v>
      </c>
      <c r="Q270" s="1" t="s">
        <v>657</v>
      </c>
      <c r="R270" s="1" t="s">
        <v>286</v>
      </c>
      <c r="S270" s="1" t="s">
        <v>287</v>
      </c>
      <c r="T270" s="1" t="s">
        <v>291</v>
      </c>
      <c r="U270">
        <v>517037.19</v>
      </c>
      <c r="V270">
        <v>267394.46999999997</v>
      </c>
      <c r="W270">
        <v>14.352316999999999</v>
      </c>
      <c r="X270">
        <v>108.007831</v>
      </c>
      <c r="Y270">
        <v>249642.72</v>
      </c>
      <c r="Z270">
        <v>14.659686000000001</v>
      </c>
      <c r="AA270">
        <v>107.839439</v>
      </c>
      <c r="AB270" s="5">
        <f t="shared" si="25"/>
        <v>401.09170499999993</v>
      </c>
      <c r="AC270" s="5">
        <f t="shared" si="26"/>
        <v>374.46408000000002</v>
      </c>
      <c r="AD270" s="1" t="str">
        <f t="shared" si="27"/>
        <v>Đăk Tô</v>
      </c>
      <c r="AE270" s="1" t="str">
        <f t="shared" si="28"/>
        <v>TT2 Kon Tum</v>
      </c>
      <c r="AG270">
        <f t="shared" si="29"/>
        <v>267.39446999999996</v>
      </c>
      <c r="AH270">
        <f t="shared" si="30"/>
        <v>249.64272</v>
      </c>
      <c r="AI270">
        <f>VLOOKUP(L270,'[1]Tuyến cáp H04'!$B:$E,3,0)/1000</f>
        <v>43.9602</v>
      </c>
      <c r="AJ270" t="str">
        <f>VLOOKUP(L270,'[1]Tuyến cáp H04'!$B:$E,4,0)</f>
        <v>Mạng cấp 3</v>
      </c>
    </row>
    <row r="271" spans="1:36" x14ac:dyDescent="0.25">
      <c r="A271" s="1" t="s">
        <v>2385</v>
      </c>
      <c r="B271" s="1" t="s">
        <v>2386</v>
      </c>
      <c r="C271" s="1" t="s">
        <v>2387</v>
      </c>
      <c r="D271" s="1" t="s">
        <v>18</v>
      </c>
      <c r="E271" s="1" t="s">
        <v>19</v>
      </c>
      <c r="F271" s="1" t="s">
        <v>2388</v>
      </c>
      <c r="G271" s="1" t="s">
        <v>14281</v>
      </c>
      <c r="H271" s="1" t="s">
        <v>14282</v>
      </c>
      <c r="I271" s="1" t="s">
        <v>14394</v>
      </c>
      <c r="J271" s="1" t="s">
        <v>23</v>
      </c>
      <c r="K271" s="1"/>
      <c r="L271" s="1" t="s">
        <v>24</v>
      </c>
      <c r="M271" s="1" t="s">
        <v>2389</v>
      </c>
      <c r="N271" s="1" t="s">
        <v>2390</v>
      </c>
      <c r="O271" s="1" t="s">
        <v>2391</v>
      </c>
      <c r="P271" s="1" t="s">
        <v>2392</v>
      </c>
      <c r="Q271" s="1" t="s">
        <v>26</v>
      </c>
      <c r="R271" s="1" t="s">
        <v>27</v>
      </c>
      <c r="S271" s="1" t="s">
        <v>28</v>
      </c>
      <c r="T271" s="1" t="s">
        <v>32</v>
      </c>
      <c r="U271">
        <v>254.76</v>
      </c>
      <c r="V271">
        <v>94.09</v>
      </c>
      <c r="W271">
        <v>12.251268</v>
      </c>
      <c r="X271">
        <v>109.189643</v>
      </c>
      <c r="Y271">
        <v>160.66999999999999</v>
      </c>
      <c r="Z271">
        <v>12.249511999999999</v>
      </c>
      <c r="AA271">
        <v>109.185703</v>
      </c>
      <c r="AB271" s="5">
        <f t="shared" si="25"/>
        <v>0.14113499999999998</v>
      </c>
      <c r="AC271" s="5">
        <f t="shared" si="26"/>
        <v>0.241005</v>
      </c>
      <c r="AD271" s="1" t="str">
        <f t="shared" si="27"/>
        <v>5.PA06 cs1</v>
      </c>
      <c r="AE271" s="1" t="str">
        <f t="shared" si="28"/>
        <v>PC08 csc_Cột trung thế</v>
      </c>
      <c r="AG271">
        <f t="shared" si="29"/>
        <v>9.4090000000000007E-2</v>
      </c>
      <c r="AH271">
        <f t="shared" si="30"/>
        <v>0.16066999999999998</v>
      </c>
      <c r="AI271" t="e">
        <f>VLOOKUP(L271,'[1]Tuyến cáp H04'!$B:$E,3,0)/1000</f>
        <v>#N/A</v>
      </c>
      <c r="AJ271" t="e">
        <f>VLOOKUP(L271,'[1]Tuyến cáp H04'!$B:$E,4,0)</f>
        <v>#N/A</v>
      </c>
    </row>
    <row r="272" spans="1:36" x14ac:dyDescent="0.25">
      <c r="A272" s="1" t="s">
        <v>2393</v>
      </c>
      <c r="B272" s="1" t="s">
        <v>2394</v>
      </c>
      <c r="C272" s="1" t="s">
        <v>2395</v>
      </c>
      <c r="D272" s="1" t="s">
        <v>393</v>
      </c>
      <c r="E272" s="1" t="s">
        <v>394</v>
      </c>
      <c r="F272" s="1" t="s">
        <v>2396</v>
      </c>
      <c r="G272" s="1" t="s">
        <v>14281</v>
      </c>
      <c r="H272" s="1" t="s">
        <v>14282</v>
      </c>
      <c r="I272" s="1" t="s">
        <v>14395</v>
      </c>
      <c r="J272" s="1" t="s">
        <v>23</v>
      </c>
      <c r="K272" s="1"/>
      <c r="L272" s="1" t="s">
        <v>1569</v>
      </c>
      <c r="M272" s="1" t="s">
        <v>2397</v>
      </c>
      <c r="N272" s="1" t="s">
        <v>2398</v>
      </c>
      <c r="O272" s="1" t="s">
        <v>2399</v>
      </c>
      <c r="P272" s="1" t="s">
        <v>2400</v>
      </c>
      <c r="Q272" s="1" t="s">
        <v>1571</v>
      </c>
      <c r="R272" s="1" t="s">
        <v>1572</v>
      </c>
      <c r="S272" s="1" t="s">
        <v>1573</v>
      </c>
      <c r="T272" s="1" t="s">
        <v>1577</v>
      </c>
      <c r="U272">
        <v>814.18</v>
      </c>
      <c r="V272">
        <v>65.98</v>
      </c>
      <c r="W272">
        <v>12.238942</v>
      </c>
      <c r="X272">
        <v>109.008505</v>
      </c>
      <c r="Y272">
        <v>748.2</v>
      </c>
      <c r="Z272">
        <v>12.262793</v>
      </c>
      <c r="AA272">
        <v>109.03595900000001</v>
      </c>
      <c r="AB272" s="5">
        <f t="shared" si="25"/>
        <v>9.8970000000000002E-2</v>
      </c>
      <c r="AC272" s="5">
        <f t="shared" si="26"/>
        <v>1.1223000000000001</v>
      </c>
      <c r="AD272" s="1" t="str">
        <f t="shared" si="27"/>
        <v>4.CA Diên Thọ</v>
      </c>
      <c r="AE272" s="1" t="str">
        <f t="shared" si="28"/>
        <v>CA Diên Khánh</v>
      </c>
      <c r="AG272">
        <f t="shared" si="29"/>
        <v>6.5980000000000011E-2</v>
      </c>
      <c r="AH272">
        <f t="shared" si="30"/>
        <v>0.74820000000000009</v>
      </c>
      <c r="AI272" t="e">
        <f>VLOOKUP(L272,'[1]Tuyến cáp H04'!$B:$E,3,0)/1000</f>
        <v>#N/A</v>
      </c>
      <c r="AJ272" t="e">
        <f>VLOOKUP(L272,'[1]Tuyến cáp H04'!$B:$E,4,0)</f>
        <v>#N/A</v>
      </c>
    </row>
    <row r="273" spans="1:36" x14ac:dyDescent="0.25">
      <c r="A273" s="1" t="s">
        <v>2401</v>
      </c>
      <c r="B273" s="1" t="s">
        <v>2402</v>
      </c>
      <c r="C273" s="1" t="s">
        <v>2403</v>
      </c>
      <c r="D273" s="1" t="s">
        <v>572</v>
      </c>
      <c r="E273" s="1" t="s">
        <v>573</v>
      </c>
      <c r="F273" s="1" t="s">
        <v>2404</v>
      </c>
      <c r="G273" s="1" t="s">
        <v>14281</v>
      </c>
      <c r="H273" s="1" t="s">
        <v>14282</v>
      </c>
      <c r="I273" s="1" t="s">
        <v>14396</v>
      </c>
      <c r="J273" s="1" t="s">
        <v>23</v>
      </c>
      <c r="K273" s="1"/>
      <c r="L273" s="1" t="s">
        <v>1803</v>
      </c>
      <c r="M273" s="1" t="s">
        <v>2405</v>
      </c>
      <c r="N273" s="1" t="s">
        <v>2406</v>
      </c>
      <c r="O273" s="1" t="s">
        <v>2407</v>
      </c>
      <c r="P273" s="1" t="s">
        <v>2408</v>
      </c>
      <c r="Q273" s="1" t="s">
        <v>1808</v>
      </c>
      <c r="R273" s="1" t="s">
        <v>1809</v>
      </c>
      <c r="S273" s="1" t="s">
        <v>1810</v>
      </c>
      <c r="T273" s="1" t="s">
        <v>1811</v>
      </c>
      <c r="U273">
        <v>1820.48</v>
      </c>
      <c r="V273">
        <v>1815.59</v>
      </c>
      <c r="W273">
        <v>12.476967</v>
      </c>
      <c r="X273">
        <v>109.12887000000001</v>
      </c>
      <c r="Y273">
        <v>4.88</v>
      </c>
      <c r="Z273">
        <v>12.509729999999999</v>
      </c>
      <c r="AA273">
        <v>109.137455</v>
      </c>
      <c r="AB273" s="5">
        <f t="shared" si="25"/>
        <v>2.7233849999999999</v>
      </c>
      <c r="AC273" s="5">
        <f t="shared" si="26"/>
        <v>7.3200000000000001E-3</v>
      </c>
      <c r="AD273" s="1" t="str">
        <f t="shared" si="27"/>
        <v>1.CA Ninh Hòa</v>
      </c>
      <c r="AE273" s="1" t="str">
        <f t="shared" si="28"/>
        <v>CA Nam Ninh Hòa_Cột trung thế</v>
      </c>
      <c r="AG273">
        <f t="shared" si="29"/>
        <v>1.8155899999999998</v>
      </c>
      <c r="AH273">
        <f t="shared" si="30"/>
        <v>4.8799999999999998E-3</v>
      </c>
      <c r="AI273" t="e">
        <f>VLOOKUP(L273,'[1]Tuyến cáp H04'!$B:$E,3,0)/1000</f>
        <v>#N/A</v>
      </c>
      <c r="AJ273" t="e">
        <f>VLOOKUP(L273,'[1]Tuyến cáp H04'!$B:$E,4,0)</f>
        <v>#N/A</v>
      </c>
    </row>
    <row r="274" spans="1:36" x14ac:dyDescent="0.25">
      <c r="A274" s="1" t="s">
        <v>2409</v>
      </c>
      <c r="B274" s="1" t="s">
        <v>2410</v>
      </c>
      <c r="C274" s="1" t="s">
        <v>2411</v>
      </c>
      <c r="D274" s="1" t="s">
        <v>160</v>
      </c>
      <c r="E274" s="1" t="s">
        <v>161</v>
      </c>
      <c r="F274" s="1" t="s">
        <v>2412</v>
      </c>
      <c r="G274" s="1" t="s">
        <v>14281</v>
      </c>
      <c r="H274" s="1" t="s">
        <v>14282</v>
      </c>
      <c r="I274" s="1" t="s">
        <v>14397</v>
      </c>
      <c r="J274" s="1" t="s">
        <v>23</v>
      </c>
      <c r="K274" s="1"/>
      <c r="L274" s="1" t="s">
        <v>39</v>
      </c>
      <c r="M274" s="1" t="s">
        <v>2413</v>
      </c>
      <c r="N274" s="1" t="s">
        <v>2414</v>
      </c>
      <c r="O274" s="1" t="s">
        <v>2415</v>
      </c>
      <c r="P274" s="1" t="s">
        <v>2416</v>
      </c>
      <c r="Q274" s="1" t="s">
        <v>2417</v>
      </c>
      <c r="R274" s="1" t="s">
        <v>42</v>
      </c>
      <c r="S274" s="1" t="s">
        <v>43</v>
      </c>
      <c r="T274" s="1" t="s">
        <v>47</v>
      </c>
      <c r="U274">
        <v>93.87</v>
      </c>
      <c r="V274">
        <v>88.92</v>
      </c>
      <c r="W274">
        <v>12.279602000000001</v>
      </c>
      <c r="X274">
        <v>109.190867</v>
      </c>
      <c r="Y274">
        <v>4.96</v>
      </c>
      <c r="Z274">
        <v>12.278732</v>
      </c>
      <c r="AA274">
        <v>109.188858</v>
      </c>
      <c r="AB274" s="5">
        <f t="shared" si="25"/>
        <v>0.13338</v>
      </c>
      <c r="AC274" s="5">
        <f t="shared" si="26"/>
        <v>7.4399999999999996E-3</v>
      </c>
      <c r="AD274" s="1" t="str">
        <f t="shared" si="27"/>
        <v>1.CAT Khánh Hòa</v>
      </c>
      <c r="AE274" s="1" t="str">
        <f t="shared" si="28"/>
        <v>PK02 cs1</v>
      </c>
      <c r="AG274">
        <f t="shared" si="29"/>
        <v>8.8919999999999999E-2</v>
      </c>
      <c r="AH274">
        <f t="shared" si="30"/>
        <v>4.96E-3</v>
      </c>
      <c r="AI274" t="e">
        <f>VLOOKUP(L274,'[1]Tuyến cáp H04'!$B:$E,3,0)/1000</f>
        <v>#N/A</v>
      </c>
      <c r="AJ274" t="e">
        <f>VLOOKUP(L274,'[1]Tuyến cáp H04'!$B:$E,4,0)</f>
        <v>#N/A</v>
      </c>
    </row>
    <row r="275" spans="1:36" x14ac:dyDescent="0.25">
      <c r="A275" s="1" t="s">
        <v>2418</v>
      </c>
      <c r="B275" s="1" t="s">
        <v>2419</v>
      </c>
      <c r="C275" s="1" t="s">
        <v>2420</v>
      </c>
      <c r="D275" s="1" t="s">
        <v>240</v>
      </c>
      <c r="E275" s="1" t="s">
        <v>241</v>
      </c>
      <c r="F275" s="1" t="s">
        <v>2421</v>
      </c>
      <c r="G275" s="1" t="s">
        <v>14281</v>
      </c>
      <c r="H275" s="1" t="s">
        <v>14282</v>
      </c>
      <c r="I275" s="1" t="s">
        <v>14398</v>
      </c>
      <c r="J275" s="1" t="s">
        <v>23</v>
      </c>
      <c r="K275" s="1"/>
      <c r="L275" s="1" t="s">
        <v>245</v>
      </c>
      <c r="M275" s="1" t="s">
        <v>2422</v>
      </c>
      <c r="N275" s="1" t="s">
        <v>2423</v>
      </c>
      <c r="O275" s="1" t="s">
        <v>251</v>
      </c>
      <c r="P275" s="1" t="s">
        <v>252</v>
      </c>
      <c r="Q275" s="1" t="s">
        <v>247</v>
      </c>
      <c r="R275" s="1" t="s">
        <v>248</v>
      </c>
      <c r="S275" s="1" t="s">
        <v>249</v>
      </c>
      <c r="T275" s="1" t="s">
        <v>253</v>
      </c>
      <c r="U275">
        <v>2030.07</v>
      </c>
      <c r="V275">
        <v>1856.87</v>
      </c>
      <c r="W275">
        <v>12.235808</v>
      </c>
      <c r="X275">
        <v>109.176413</v>
      </c>
      <c r="Y275">
        <v>173.2</v>
      </c>
      <c r="Z275">
        <v>12.235393999999999</v>
      </c>
      <c r="AA275">
        <v>109.18575199999999</v>
      </c>
      <c r="AB275" s="5">
        <f t="shared" si="25"/>
        <v>2.7853049999999997</v>
      </c>
      <c r="AC275" s="5">
        <f t="shared" si="26"/>
        <v>0.25979999999999998</v>
      </c>
      <c r="AD275" s="1" t="str">
        <f t="shared" si="27"/>
        <v>5. Cam Phước Đông</v>
      </c>
      <c r="AE275" s="1" t="str">
        <f t="shared" si="28"/>
        <v>CAT Khánh Hòa</v>
      </c>
      <c r="AG275">
        <f t="shared" si="29"/>
        <v>1.8568699999999998</v>
      </c>
      <c r="AH275">
        <f t="shared" si="30"/>
        <v>0.17319999999999999</v>
      </c>
      <c r="AI275" t="e">
        <f>VLOOKUP(L275,'[1]Tuyến cáp H04'!$B:$E,3,0)/1000</f>
        <v>#N/A</v>
      </c>
      <c r="AJ275" t="e">
        <f>VLOOKUP(L275,'[1]Tuyến cáp H04'!$B:$E,4,0)</f>
        <v>#N/A</v>
      </c>
    </row>
    <row r="276" spans="1:36" x14ac:dyDescent="0.25">
      <c r="A276" s="1" t="s">
        <v>2424</v>
      </c>
      <c r="B276" s="1" t="s">
        <v>2425</v>
      </c>
      <c r="C276" s="1" t="s">
        <v>2426</v>
      </c>
      <c r="D276" s="1" t="s">
        <v>18</v>
      </c>
      <c r="E276" s="1" t="s">
        <v>19</v>
      </c>
      <c r="F276" s="1" t="s">
        <v>2427</v>
      </c>
      <c r="G276" s="1" t="s">
        <v>14281</v>
      </c>
      <c r="H276" s="1" t="s">
        <v>14282</v>
      </c>
      <c r="I276" s="1" t="s">
        <v>14399</v>
      </c>
      <c r="J276" s="1" t="s">
        <v>23</v>
      </c>
      <c r="K276" s="1"/>
      <c r="L276" s="1" t="s">
        <v>2428</v>
      </c>
      <c r="M276" s="1" t="s">
        <v>2429</v>
      </c>
      <c r="N276" s="1" t="s">
        <v>2430</v>
      </c>
      <c r="O276" s="1" t="s">
        <v>2431</v>
      </c>
      <c r="P276" s="1" t="s">
        <v>2432</v>
      </c>
      <c r="Q276" s="1" t="s">
        <v>2433</v>
      </c>
      <c r="R276" s="1" t="s">
        <v>2434</v>
      </c>
      <c r="S276" s="1" t="s">
        <v>2435</v>
      </c>
      <c r="T276" s="1" t="s">
        <v>2436</v>
      </c>
      <c r="U276">
        <v>277.79000000000002</v>
      </c>
      <c r="V276">
        <v>276.13</v>
      </c>
      <c r="W276">
        <v>12.248199</v>
      </c>
      <c r="X276">
        <v>109.18584</v>
      </c>
      <c r="Y276">
        <v>1.67</v>
      </c>
      <c r="Z276">
        <v>12.248073</v>
      </c>
      <c r="AA276">
        <v>109.185785</v>
      </c>
      <c r="AB276" s="5">
        <f t="shared" si="25"/>
        <v>0.41419499999999998</v>
      </c>
      <c r="AC276" s="5">
        <f t="shared" si="26"/>
        <v>2.5049999999999998E-3</v>
      </c>
      <c r="AD276" s="1" t="str">
        <f t="shared" si="27"/>
        <v>Tuyến nhánh PC08 csc</v>
      </c>
      <c r="AE276" s="1" t="str">
        <f t="shared" si="28"/>
        <v>PC08 (xử lý vi phạm)</v>
      </c>
      <c r="AG276">
        <f t="shared" si="29"/>
        <v>0.27612999999999999</v>
      </c>
      <c r="AH276">
        <f t="shared" si="30"/>
        <v>1.6699999999999998E-3</v>
      </c>
      <c r="AI276" t="e">
        <f>VLOOKUP(L276,'[1]Tuyến cáp H04'!$B:$E,3,0)/1000</f>
        <v>#N/A</v>
      </c>
      <c r="AJ276" t="e">
        <f>VLOOKUP(L276,'[1]Tuyến cáp H04'!$B:$E,4,0)</f>
        <v>#N/A</v>
      </c>
    </row>
    <row r="277" spans="1:36" x14ac:dyDescent="0.25">
      <c r="A277" s="1" t="s">
        <v>2437</v>
      </c>
      <c r="B277" s="1" t="s">
        <v>2438</v>
      </c>
      <c r="C277" s="1" t="s">
        <v>2439</v>
      </c>
      <c r="D277" s="1" t="s">
        <v>92</v>
      </c>
      <c r="E277" s="1" t="s">
        <v>93</v>
      </c>
      <c r="F277" s="1" t="s">
        <v>2440</v>
      </c>
      <c r="G277" s="1" t="s">
        <v>14281</v>
      </c>
      <c r="H277" s="1" t="s">
        <v>14282</v>
      </c>
      <c r="I277" s="1" t="s">
        <v>14400</v>
      </c>
      <c r="J277" s="1" t="s">
        <v>23</v>
      </c>
      <c r="K277" s="1"/>
      <c r="L277" s="1" t="s">
        <v>2441</v>
      </c>
      <c r="M277" s="1" t="s">
        <v>2442</v>
      </c>
      <c r="N277" s="1" t="s">
        <v>2142</v>
      </c>
      <c r="O277" s="1" t="s">
        <v>2443</v>
      </c>
      <c r="P277" s="1" t="s">
        <v>2444</v>
      </c>
      <c r="Q277" s="1" t="s">
        <v>2445</v>
      </c>
      <c r="R277" s="1" t="s">
        <v>2446</v>
      </c>
      <c r="S277" s="1" t="s">
        <v>2447</v>
      </c>
      <c r="T277" s="1" t="s">
        <v>2448</v>
      </c>
      <c r="U277">
        <v>481.67</v>
      </c>
      <c r="V277">
        <v>198.19</v>
      </c>
      <c r="W277">
        <v>12.239117</v>
      </c>
      <c r="X277">
        <v>109.18664200000001</v>
      </c>
      <c r="Y277">
        <v>283.48</v>
      </c>
      <c r="Z277">
        <v>12.243925000000001</v>
      </c>
      <c r="AA277">
        <v>109.189556</v>
      </c>
      <c r="AB277" s="5">
        <f t="shared" si="25"/>
        <v>0.29728499999999997</v>
      </c>
      <c r="AC277" s="5">
        <f t="shared" si="26"/>
        <v>0.42522000000000004</v>
      </c>
      <c r="AD277" s="1" t="str">
        <f t="shared" si="27"/>
        <v>1.CATP Nha trang cũ</v>
      </c>
      <c r="AE277" s="1" t="str">
        <f t="shared" si="28"/>
        <v>PC07</v>
      </c>
      <c r="AG277">
        <f t="shared" si="29"/>
        <v>0.19819000000000001</v>
      </c>
      <c r="AH277">
        <f t="shared" si="30"/>
        <v>0.28348000000000001</v>
      </c>
      <c r="AI277" t="e">
        <f>VLOOKUP(L277,'[1]Tuyến cáp H04'!$B:$E,3,0)/1000</f>
        <v>#N/A</v>
      </c>
      <c r="AJ277" t="e">
        <f>VLOOKUP(L277,'[1]Tuyến cáp H04'!$B:$E,4,0)</f>
        <v>#N/A</v>
      </c>
    </row>
    <row r="278" spans="1:36" x14ac:dyDescent="0.25">
      <c r="A278" s="1" t="s">
        <v>2449</v>
      </c>
      <c r="B278" s="1" t="s">
        <v>2450</v>
      </c>
      <c r="C278" s="1" t="s">
        <v>2451</v>
      </c>
      <c r="D278" s="1" t="s">
        <v>211</v>
      </c>
      <c r="E278" s="1" t="s">
        <v>212</v>
      </c>
      <c r="F278" s="1" t="s">
        <v>2452</v>
      </c>
      <c r="G278" s="1" t="s">
        <v>14281</v>
      </c>
      <c r="H278" s="1" t="s">
        <v>14282</v>
      </c>
      <c r="I278" s="1" t="s">
        <v>14401</v>
      </c>
      <c r="J278" s="1" t="s">
        <v>23</v>
      </c>
      <c r="K278" s="1"/>
      <c r="L278" s="1" t="s">
        <v>214</v>
      </c>
      <c r="M278" s="1" t="s">
        <v>2453</v>
      </c>
      <c r="N278" s="1" t="s">
        <v>2454</v>
      </c>
      <c r="O278" s="1" t="s">
        <v>2455</v>
      </c>
      <c r="P278" s="1" t="s">
        <v>2456</v>
      </c>
      <c r="Q278" s="1" t="s">
        <v>219</v>
      </c>
      <c r="R278" s="1" t="s">
        <v>220</v>
      </c>
      <c r="S278" s="1" t="s">
        <v>221</v>
      </c>
      <c r="T278" s="1" t="s">
        <v>222</v>
      </c>
      <c r="U278">
        <v>415.64</v>
      </c>
      <c r="V278">
        <v>411.64</v>
      </c>
      <c r="W278">
        <v>12.252363000000001</v>
      </c>
      <c r="X278">
        <v>109.192133</v>
      </c>
      <c r="Y278">
        <v>4</v>
      </c>
      <c r="Z278">
        <v>12.251158999999999</v>
      </c>
      <c r="AA278">
        <v>109.186369</v>
      </c>
      <c r="AB278" s="5">
        <f t="shared" si="25"/>
        <v>0.61746000000000001</v>
      </c>
      <c r="AC278" s="5">
        <f t="shared" si="26"/>
        <v>6.0000000000000001E-3</v>
      </c>
      <c r="AD278" s="1" t="str">
        <f t="shared" si="27"/>
        <v>3.CA Nha Trang</v>
      </c>
      <c r="AE278" s="1" t="str">
        <f t="shared" si="28"/>
        <v>CA Tây Nha Trang_Cột trung thế</v>
      </c>
      <c r="AG278">
        <f t="shared" si="29"/>
        <v>0.41164000000000001</v>
      </c>
      <c r="AH278">
        <f t="shared" si="30"/>
        <v>4.0000000000000001E-3</v>
      </c>
      <c r="AI278" t="e">
        <f>VLOOKUP(L278,'[1]Tuyến cáp H04'!$B:$E,3,0)/1000</f>
        <v>#N/A</v>
      </c>
      <c r="AJ278" t="e">
        <f>VLOOKUP(L278,'[1]Tuyến cáp H04'!$B:$E,4,0)</f>
        <v>#N/A</v>
      </c>
    </row>
    <row r="279" spans="1:36" x14ac:dyDescent="0.25">
      <c r="A279" s="1" t="s">
        <v>2457</v>
      </c>
      <c r="B279" s="1" t="s">
        <v>2458</v>
      </c>
      <c r="C279" s="1" t="s">
        <v>2459</v>
      </c>
      <c r="D279" s="1" t="s">
        <v>211</v>
      </c>
      <c r="E279" s="1" t="s">
        <v>212</v>
      </c>
      <c r="F279" s="1" t="s">
        <v>2460</v>
      </c>
      <c r="G279" s="1" t="s">
        <v>14281</v>
      </c>
      <c r="H279" s="1" t="s">
        <v>14282</v>
      </c>
      <c r="I279" s="1" t="s">
        <v>14402</v>
      </c>
      <c r="J279" s="1" t="s">
        <v>23</v>
      </c>
      <c r="K279" s="1"/>
      <c r="L279" s="1" t="s">
        <v>268</v>
      </c>
      <c r="M279" s="1" t="s">
        <v>2461</v>
      </c>
      <c r="N279" s="1" t="s">
        <v>2462</v>
      </c>
      <c r="O279" s="1" t="s">
        <v>2463</v>
      </c>
      <c r="P279" s="1" t="s">
        <v>2464</v>
      </c>
      <c r="Q279" s="1" t="s">
        <v>538</v>
      </c>
      <c r="R279" s="1" t="s">
        <v>539</v>
      </c>
      <c r="S279" s="1" t="s">
        <v>540</v>
      </c>
      <c r="T279" s="1" t="s">
        <v>276</v>
      </c>
      <c r="U279">
        <v>291.64</v>
      </c>
      <c r="V279">
        <v>289.27</v>
      </c>
      <c r="W279">
        <v>12.251707</v>
      </c>
      <c r="X279">
        <v>109.186132</v>
      </c>
      <c r="Y279">
        <v>2.37</v>
      </c>
      <c r="Z279">
        <v>12.251134</v>
      </c>
      <c r="AA279">
        <v>109.186421</v>
      </c>
      <c r="AB279" s="5">
        <f t="shared" si="25"/>
        <v>0.43390499999999999</v>
      </c>
      <c r="AC279" s="5">
        <f t="shared" si="26"/>
        <v>3.555E-3</v>
      </c>
      <c r="AD279" s="1" t="str">
        <f t="shared" si="27"/>
        <v>4.CA Tây Nha Trang</v>
      </c>
      <c r="AE279" s="1" t="str">
        <f t="shared" si="28"/>
        <v>TTCMKV Diên Khánh</v>
      </c>
      <c r="AG279">
        <f t="shared" si="29"/>
        <v>0.28926999999999997</v>
      </c>
      <c r="AH279">
        <f t="shared" si="30"/>
        <v>2.3700000000000001E-3</v>
      </c>
      <c r="AI279" t="e">
        <f>VLOOKUP(L279,'[1]Tuyến cáp H04'!$B:$E,3,0)/1000</f>
        <v>#N/A</v>
      </c>
      <c r="AJ279" t="e">
        <f>VLOOKUP(L279,'[1]Tuyến cáp H04'!$B:$E,4,0)</f>
        <v>#N/A</v>
      </c>
    </row>
    <row r="280" spans="1:36" x14ac:dyDescent="0.25">
      <c r="A280" s="1" t="s">
        <v>2465</v>
      </c>
      <c r="B280" s="1" t="s">
        <v>2466</v>
      </c>
      <c r="C280" s="1" t="s">
        <v>2467</v>
      </c>
      <c r="D280" s="1" t="s">
        <v>211</v>
      </c>
      <c r="E280" s="1" t="s">
        <v>212</v>
      </c>
      <c r="F280" s="1" t="s">
        <v>2468</v>
      </c>
      <c r="G280" s="1" t="s">
        <v>14281</v>
      </c>
      <c r="H280" s="1" t="s">
        <v>14282</v>
      </c>
      <c r="I280" s="1" t="s">
        <v>14403</v>
      </c>
      <c r="J280" s="1" t="s">
        <v>23</v>
      </c>
      <c r="K280" s="1"/>
      <c r="L280" s="1" t="s">
        <v>1552</v>
      </c>
      <c r="M280" s="1" t="s">
        <v>2469</v>
      </c>
      <c r="N280" s="1" t="s">
        <v>2470</v>
      </c>
      <c r="O280" s="1" t="s">
        <v>2471</v>
      </c>
      <c r="P280" s="1" t="s">
        <v>2472</v>
      </c>
      <c r="Q280" s="1" t="s">
        <v>2473</v>
      </c>
      <c r="R280" s="1" t="s">
        <v>2474</v>
      </c>
      <c r="S280" s="1" t="s">
        <v>2475</v>
      </c>
      <c r="T280" s="1" t="s">
        <v>2476</v>
      </c>
      <c r="U280">
        <v>492.85</v>
      </c>
      <c r="V280">
        <v>63.74</v>
      </c>
      <c r="W280">
        <v>12.26135</v>
      </c>
      <c r="X280">
        <v>109.19110000000001</v>
      </c>
      <c r="Y280">
        <v>429.11</v>
      </c>
      <c r="Z280">
        <v>12.253068000000001</v>
      </c>
      <c r="AA280">
        <v>109.18982099999999</v>
      </c>
      <c r="AB280" s="5">
        <f t="shared" si="25"/>
        <v>9.5610000000000001E-2</v>
      </c>
      <c r="AC280" s="5">
        <f t="shared" si="26"/>
        <v>0.64366499999999993</v>
      </c>
      <c r="AD280" s="1" t="str">
        <f t="shared" si="27"/>
        <v>5.Vạn Ninh</v>
      </c>
      <c r="AE280" s="1" t="str">
        <f t="shared" si="28"/>
        <v>CAT Khánh Hòa</v>
      </c>
      <c r="AG280">
        <f t="shared" si="29"/>
        <v>6.3740000000000005E-2</v>
      </c>
      <c r="AH280">
        <f t="shared" si="30"/>
        <v>0.42910999999999999</v>
      </c>
      <c r="AI280" t="e">
        <f>VLOOKUP(L280,'[1]Tuyến cáp H04'!$B:$E,3,0)/1000</f>
        <v>#N/A</v>
      </c>
      <c r="AJ280" t="e">
        <f>VLOOKUP(L280,'[1]Tuyến cáp H04'!$B:$E,4,0)</f>
        <v>#N/A</v>
      </c>
    </row>
    <row r="281" spans="1:36" x14ac:dyDescent="0.25">
      <c r="A281" s="1" t="s">
        <v>2477</v>
      </c>
      <c r="B281" s="1" t="s">
        <v>2478</v>
      </c>
      <c r="C281" s="1" t="s">
        <v>2479</v>
      </c>
      <c r="D281" s="1" t="s">
        <v>130</v>
      </c>
      <c r="E281" s="1" t="s">
        <v>131</v>
      </c>
      <c r="F281" s="1" t="s">
        <v>2480</v>
      </c>
      <c r="G281" s="1" t="s">
        <v>14281</v>
      </c>
      <c r="H281" s="1" t="s">
        <v>14282</v>
      </c>
      <c r="I281" s="1" t="s">
        <v>14404</v>
      </c>
      <c r="J281" s="1" t="s">
        <v>23</v>
      </c>
      <c r="K281" s="1"/>
      <c r="L281" s="1" t="s">
        <v>144</v>
      </c>
      <c r="M281" s="1" t="s">
        <v>2481</v>
      </c>
      <c r="N281" s="1" t="s">
        <v>2482</v>
      </c>
      <c r="O281" s="1" t="s">
        <v>150</v>
      </c>
      <c r="P281" s="1" t="s">
        <v>151</v>
      </c>
      <c r="Q281" s="1" t="s">
        <v>146</v>
      </c>
      <c r="R281" s="1" t="s">
        <v>147</v>
      </c>
      <c r="S281" s="1" t="s">
        <v>148</v>
      </c>
      <c r="T281" s="1" t="s">
        <v>152</v>
      </c>
      <c r="U281">
        <v>336266.77</v>
      </c>
      <c r="V281">
        <v>192483.97</v>
      </c>
      <c r="W281">
        <v>13.966175</v>
      </c>
      <c r="X281">
        <v>109.030287</v>
      </c>
      <c r="Y281">
        <v>143782.79999999999</v>
      </c>
      <c r="Z281">
        <v>14.360149</v>
      </c>
      <c r="AA281">
        <v>108.97062</v>
      </c>
      <c r="AB281" s="5">
        <f t="shared" si="25"/>
        <v>288.725955</v>
      </c>
      <c r="AC281" s="5">
        <f t="shared" si="26"/>
        <v>215.67419999999998</v>
      </c>
      <c r="AD281" s="1" t="str">
        <f t="shared" si="27"/>
        <v>Hoài Ân</v>
      </c>
      <c r="AE281" s="1" t="str">
        <f t="shared" si="28"/>
        <v>Vĩnh Kim</v>
      </c>
      <c r="AG281">
        <f t="shared" si="29"/>
        <v>192.48397</v>
      </c>
      <c r="AH281">
        <f t="shared" si="30"/>
        <v>143.78279999999998</v>
      </c>
      <c r="AI281" t="e">
        <f>VLOOKUP(L281,'[1]Tuyến cáp H04'!$B:$E,3,0)/1000</f>
        <v>#N/A</v>
      </c>
      <c r="AJ281" t="e">
        <f>VLOOKUP(L281,'[1]Tuyến cáp H04'!$B:$E,4,0)</f>
        <v>#N/A</v>
      </c>
    </row>
    <row r="282" spans="1:36" x14ac:dyDescent="0.25">
      <c r="A282" s="1" t="s">
        <v>2483</v>
      </c>
      <c r="B282" s="1" t="s">
        <v>2484</v>
      </c>
      <c r="C282" s="1" t="s">
        <v>2485</v>
      </c>
      <c r="D282" s="1" t="s">
        <v>198</v>
      </c>
      <c r="E282" s="1" t="s">
        <v>199</v>
      </c>
      <c r="F282" s="1" t="s">
        <v>2486</v>
      </c>
      <c r="G282" s="1" t="s">
        <v>14281</v>
      </c>
      <c r="H282" s="1" t="s">
        <v>14282</v>
      </c>
      <c r="I282" s="1" t="s">
        <v>14405</v>
      </c>
      <c r="J282" s="1" t="s">
        <v>23</v>
      </c>
      <c r="K282" s="1"/>
      <c r="L282" s="1" t="s">
        <v>2150</v>
      </c>
      <c r="M282" s="1" t="s">
        <v>2487</v>
      </c>
      <c r="N282" s="1" t="s">
        <v>2488</v>
      </c>
      <c r="O282" s="1" t="s">
        <v>2153</v>
      </c>
      <c r="P282" s="1" t="s">
        <v>2154</v>
      </c>
      <c r="Q282" s="1" t="s">
        <v>922</v>
      </c>
      <c r="R282" s="1" t="s">
        <v>2153</v>
      </c>
      <c r="S282" s="1" t="s">
        <v>2154</v>
      </c>
      <c r="T282" s="1" t="s">
        <v>2155</v>
      </c>
      <c r="U282">
        <v>1335.1</v>
      </c>
      <c r="V282">
        <v>1329.92</v>
      </c>
      <c r="W282">
        <v>12.256762</v>
      </c>
      <c r="X282">
        <v>109.197648</v>
      </c>
      <c r="Y282">
        <v>5.18</v>
      </c>
      <c r="Z282">
        <v>12.256762</v>
      </c>
      <c r="AA282">
        <v>109.197648</v>
      </c>
      <c r="AB282" s="5">
        <f t="shared" si="25"/>
        <v>1.9948800000000002</v>
      </c>
      <c r="AC282" s="5">
        <f t="shared" si="26"/>
        <v>7.77E-3</v>
      </c>
      <c r="AD282" s="1" t="str">
        <f t="shared" si="27"/>
        <v>Tuyến nhánh PA06 cs1</v>
      </c>
      <c r="AE282" s="1" t="str">
        <f t="shared" si="28"/>
        <v>Nhà nghỉ dưỡng 378 BCA_Cột trung thế</v>
      </c>
      <c r="AG282">
        <f t="shared" si="29"/>
        <v>1.32992</v>
      </c>
      <c r="AH282">
        <f t="shared" si="30"/>
        <v>5.1799999999999997E-3</v>
      </c>
      <c r="AI282" t="e">
        <f>VLOOKUP(L282,'[1]Tuyến cáp H04'!$B:$E,3,0)/1000</f>
        <v>#N/A</v>
      </c>
      <c r="AJ282" t="e">
        <f>VLOOKUP(L282,'[1]Tuyến cáp H04'!$B:$E,4,0)</f>
        <v>#N/A</v>
      </c>
    </row>
    <row r="283" spans="1:36" x14ac:dyDescent="0.25">
      <c r="A283" s="1" t="s">
        <v>2489</v>
      </c>
      <c r="B283" s="1" t="s">
        <v>2490</v>
      </c>
      <c r="C283" s="1" t="s">
        <v>2491</v>
      </c>
      <c r="D283" s="1" t="s">
        <v>2492</v>
      </c>
      <c r="E283" s="1" t="s">
        <v>2493</v>
      </c>
      <c r="F283" s="1" t="s">
        <v>2494</v>
      </c>
      <c r="G283" s="1" t="s">
        <v>14281</v>
      </c>
      <c r="H283" s="1" t="s">
        <v>14282</v>
      </c>
      <c r="I283" s="1" t="s">
        <v>14406</v>
      </c>
      <c r="J283" s="1" t="s">
        <v>23</v>
      </c>
      <c r="K283" s="1"/>
      <c r="L283" s="1" t="s">
        <v>434</v>
      </c>
      <c r="M283" s="1" t="s">
        <v>2495</v>
      </c>
      <c r="N283" s="1" t="s">
        <v>2496</v>
      </c>
      <c r="O283" s="1" t="s">
        <v>2497</v>
      </c>
      <c r="P283" s="1" t="s">
        <v>2498</v>
      </c>
      <c r="Q283" s="1" t="s">
        <v>2499</v>
      </c>
      <c r="R283" s="1" t="s">
        <v>2500</v>
      </c>
      <c r="S283" s="1" t="s">
        <v>2501</v>
      </c>
      <c r="T283" s="1" t="s">
        <v>442</v>
      </c>
      <c r="U283">
        <v>208.64</v>
      </c>
      <c r="V283">
        <v>205.15</v>
      </c>
      <c r="W283">
        <v>12.351702</v>
      </c>
      <c r="X283">
        <v>108.978459</v>
      </c>
      <c r="Y283">
        <v>3.48</v>
      </c>
      <c r="Z283">
        <v>12.358867999999999</v>
      </c>
      <c r="AA283">
        <v>108.96072599999999</v>
      </c>
      <c r="AB283" s="5">
        <f t="shared" si="25"/>
        <v>0.30772500000000003</v>
      </c>
      <c r="AC283" s="5">
        <f t="shared" si="26"/>
        <v>5.2199999999999998E-3</v>
      </c>
      <c r="AD283" s="1" t="str">
        <f t="shared" si="27"/>
        <v>3.CA Diên Lâm</v>
      </c>
      <c r="AE283" s="1" t="str">
        <f t="shared" si="28"/>
        <v>CA Bắc Khánh Vĩnh_Cột trung thế</v>
      </c>
      <c r="AG283">
        <f t="shared" si="29"/>
        <v>0.20515</v>
      </c>
      <c r="AH283">
        <f t="shared" si="30"/>
        <v>3.48E-3</v>
      </c>
      <c r="AI283" t="e">
        <f>VLOOKUP(L283,'[1]Tuyến cáp H04'!$B:$E,3,0)/1000</f>
        <v>#N/A</v>
      </c>
      <c r="AJ283" t="e">
        <f>VLOOKUP(L283,'[1]Tuyến cáp H04'!$B:$E,4,0)</f>
        <v>#N/A</v>
      </c>
    </row>
    <row r="284" spans="1:36" x14ac:dyDescent="0.25">
      <c r="A284" s="1" t="s">
        <v>2502</v>
      </c>
      <c r="B284" s="1" t="s">
        <v>2045</v>
      </c>
      <c r="C284" s="1" t="s">
        <v>2046</v>
      </c>
      <c r="D284" s="1" t="s">
        <v>2492</v>
      </c>
      <c r="E284" s="1" t="s">
        <v>2493</v>
      </c>
      <c r="F284" s="1" t="s">
        <v>2503</v>
      </c>
      <c r="G284" s="1" t="s">
        <v>14281</v>
      </c>
      <c r="H284" s="1" t="s">
        <v>14282</v>
      </c>
      <c r="I284" s="1" t="s">
        <v>14407</v>
      </c>
      <c r="J284" s="1" t="s">
        <v>23</v>
      </c>
      <c r="K284" s="1"/>
      <c r="L284" s="1" t="s">
        <v>2048</v>
      </c>
      <c r="M284" s="1" t="s">
        <v>2504</v>
      </c>
      <c r="N284" s="1" t="s">
        <v>2053</v>
      </c>
      <c r="O284" s="1" t="s">
        <v>2054</v>
      </c>
      <c r="P284" s="1" t="s">
        <v>2055</v>
      </c>
      <c r="Q284" s="1" t="s">
        <v>2505</v>
      </c>
      <c r="R284" s="1" t="s">
        <v>2506</v>
      </c>
      <c r="S284" s="1" t="s">
        <v>2507</v>
      </c>
      <c r="T284" s="1" t="s">
        <v>2056</v>
      </c>
      <c r="U284">
        <v>90.56</v>
      </c>
      <c r="V284">
        <v>88.59</v>
      </c>
      <c r="W284">
        <v>12.384285999999999</v>
      </c>
      <c r="X284">
        <v>108.95461400000001</v>
      </c>
      <c r="Y284">
        <v>1.97</v>
      </c>
      <c r="Z284">
        <v>12.358832</v>
      </c>
      <c r="AA284">
        <v>108.96069900000001</v>
      </c>
      <c r="AB284" s="5">
        <f t="shared" si="25"/>
        <v>0.132885</v>
      </c>
      <c r="AC284" s="5">
        <f t="shared" si="26"/>
        <v>2.9550000000000002E-3</v>
      </c>
      <c r="AD284" s="1" t="str">
        <f t="shared" si="27"/>
        <v>Tuyến nhánh CA Bắc Khánh Vĩnh</v>
      </c>
      <c r="AE284" s="1" t="str">
        <f t="shared" si="28"/>
        <v>Trung tâm Cai nghiện Khánh Bình_Cột trung thế</v>
      </c>
      <c r="AG284">
        <f t="shared" si="29"/>
        <v>8.8590000000000002E-2</v>
      </c>
      <c r="AH284">
        <f t="shared" si="30"/>
        <v>1.97E-3</v>
      </c>
      <c r="AI284" t="e">
        <f>VLOOKUP(L284,'[1]Tuyến cáp H04'!$B:$E,3,0)/1000</f>
        <v>#N/A</v>
      </c>
      <c r="AJ284" t="e">
        <f>VLOOKUP(L284,'[1]Tuyến cáp H04'!$B:$E,4,0)</f>
        <v>#N/A</v>
      </c>
    </row>
    <row r="285" spans="1:36" x14ac:dyDescent="0.25">
      <c r="A285" s="1" t="s">
        <v>2508</v>
      </c>
      <c r="B285" s="1" t="s">
        <v>2509</v>
      </c>
      <c r="C285" s="1" t="s">
        <v>2510</v>
      </c>
      <c r="D285" s="1" t="s">
        <v>2492</v>
      </c>
      <c r="E285" s="1" t="s">
        <v>2493</v>
      </c>
      <c r="F285" s="1" t="s">
        <v>2511</v>
      </c>
      <c r="G285" s="1" t="s">
        <v>14281</v>
      </c>
      <c r="H285" s="1" t="s">
        <v>14282</v>
      </c>
      <c r="I285" s="1" t="s">
        <v>14408</v>
      </c>
      <c r="J285" s="1" t="s">
        <v>23</v>
      </c>
      <c r="K285" s="1"/>
      <c r="L285" s="1" t="s">
        <v>2512</v>
      </c>
      <c r="M285" s="1" t="s">
        <v>2513</v>
      </c>
      <c r="N285" s="1" t="s">
        <v>2514</v>
      </c>
      <c r="O285" s="1" t="s">
        <v>2515</v>
      </c>
      <c r="P285" s="1" t="s">
        <v>2516</v>
      </c>
      <c r="Q285" s="1" t="s">
        <v>2517</v>
      </c>
      <c r="R285" s="1" t="s">
        <v>2518</v>
      </c>
      <c r="S285" s="1" t="s">
        <v>2519</v>
      </c>
      <c r="T285" s="1" t="s">
        <v>2520</v>
      </c>
      <c r="U285">
        <v>80.53</v>
      </c>
      <c r="V285">
        <v>77.17</v>
      </c>
      <c r="W285">
        <v>12.376333000000001</v>
      </c>
      <c r="X285">
        <v>108.936274</v>
      </c>
      <c r="Y285">
        <v>3.37</v>
      </c>
      <c r="Z285">
        <v>12.358874999999999</v>
      </c>
      <c r="AA285">
        <v>108.960717</v>
      </c>
      <c r="AB285" s="5">
        <f t="shared" si="25"/>
        <v>0.115755</v>
      </c>
      <c r="AC285" s="5">
        <f t="shared" si="26"/>
        <v>5.0549999999999996E-3</v>
      </c>
      <c r="AD285" s="1" t="str">
        <f t="shared" si="27"/>
        <v>4.CA Bắc Khánh Vĩnh</v>
      </c>
      <c r="AE285" s="1" t="str">
        <f t="shared" si="28"/>
        <v>CA Trung Khánh Vĩnh_Cột trung thế</v>
      </c>
      <c r="AG285">
        <f t="shared" si="29"/>
        <v>7.7170000000000002E-2</v>
      </c>
      <c r="AH285">
        <f t="shared" si="30"/>
        <v>3.3700000000000002E-3</v>
      </c>
      <c r="AI285" t="e">
        <f>VLOOKUP(L285,'[1]Tuyến cáp H04'!$B:$E,3,0)/1000</f>
        <v>#N/A</v>
      </c>
      <c r="AJ285" t="e">
        <f>VLOOKUP(L285,'[1]Tuyến cáp H04'!$B:$E,4,0)</f>
        <v>#N/A</v>
      </c>
    </row>
    <row r="286" spans="1:36" x14ac:dyDescent="0.25">
      <c r="A286" s="1" t="s">
        <v>2521</v>
      </c>
      <c r="B286" s="1" t="s">
        <v>2522</v>
      </c>
      <c r="C286" s="1" t="s">
        <v>2523</v>
      </c>
      <c r="D286" s="1" t="s">
        <v>393</v>
      </c>
      <c r="E286" s="1" t="s">
        <v>394</v>
      </c>
      <c r="F286" s="1" t="s">
        <v>2524</v>
      </c>
      <c r="G286" s="1" t="s">
        <v>14281</v>
      </c>
      <c r="H286" s="1" t="s">
        <v>14282</v>
      </c>
      <c r="I286" s="1" t="s">
        <v>14409</v>
      </c>
      <c r="J286" s="1" t="s">
        <v>23</v>
      </c>
      <c r="K286" s="1"/>
      <c r="L286" s="1" t="s">
        <v>398</v>
      </c>
      <c r="M286" s="1" t="s">
        <v>2525</v>
      </c>
      <c r="N286" s="1" t="s">
        <v>2526</v>
      </c>
      <c r="O286" s="1" t="s">
        <v>2527</v>
      </c>
      <c r="P286" s="1" t="s">
        <v>2528</v>
      </c>
      <c r="Q286" s="1" t="s">
        <v>400</v>
      </c>
      <c r="R286" s="1" t="s">
        <v>401</v>
      </c>
      <c r="S286" s="1" t="s">
        <v>402</v>
      </c>
      <c r="T286" s="1" t="s">
        <v>406</v>
      </c>
      <c r="U286">
        <v>1974.8</v>
      </c>
      <c r="V286">
        <v>1971.41</v>
      </c>
      <c r="W286">
        <v>12.262613</v>
      </c>
      <c r="X286">
        <v>109.037289</v>
      </c>
      <c r="Y286">
        <v>3.39</v>
      </c>
      <c r="Z286">
        <v>12.269048</v>
      </c>
      <c r="AA286">
        <v>109.03337000000001</v>
      </c>
      <c r="AB286" s="5">
        <f t="shared" si="25"/>
        <v>2.9571150000000004</v>
      </c>
      <c r="AC286" s="5">
        <f t="shared" si="26"/>
        <v>5.0850000000000001E-3</v>
      </c>
      <c r="AD286" s="1" t="str">
        <f t="shared" si="27"/>
        <v>2.CA Diên Lạc</v>
      </c>
      <c r="AE286" s="1" t="str">
        <f t="shared" si="28"/>
        <v>CA Diên Lâm</v>
      </c>
      <c r="AG286">
        <f t="shared" si="29"/>
        <v>1.9714100000000001</v>
      </c>
      <c r="AH286">
        <f t="shared" si="30"/>
        <v>3.3900000000000002E-3</v>
      </c>
      <c r="AI286" t="e">
        <f>VLOOKUP(L286,'[1]Tuyến cáp H04'!$B:$E,3,0)/1000</f>
        <v>#N/A</v>
      </c>
      <c r="AJ286" t="e">
        <f>VLOOKUP(L286,'[1]Tuyến cáp H04'!$B:$E,4,0)</f>
        <v>#N/A</v>
      </c>
    </row>
    <row r="287" spans="1:36" x14ac:dyDescent="0.25">
      <c r="A287" s="1" t="s">
        <v>2529</v>
      </c>
      <c r="B287" s="1" t="s">
        <v>2530</v>
      </c>
      <c r="C287" s="1" t="s">
        <v>2531</v>
      </c>
      <c r="D287" s="1" t="s">
        <v>196</v>
      </c>
      <c r="E287" s="1" t="s">
        <v>197</v>
      </c>
      <c r="F287" s="1" t="s">
        <v>2532</v>
      </c>
      <c r="G287" s="1" t="s">
        <v>14281</v>
      </c>
      <c r="H287" s="1" t="s">
        <v>14282</v>
      </c>
      <c r="I287" s="1" t="s">
        <v>14410</v>
      </c>
      <c r="J287" s="1" t="s">
        <v>23</v>
      </c>
      <c r="K287" s="1"/>
      <c r="L287" s="1" t="s">
        <v>201</v>
      </c>
      <c r="M287" s="1" t="s">
        <v>2533</v>
      </c>
      <c r="N287" s="1" t="s">
        <v>2534</v>
      </c>
      <c r="O287" s="1" t="s">
        <v>236</v>
      </c>
      <c r="P287" s="1" t="s">
        <v>237</v>
      </c>
      <c r="Q287" s="1" t="s">
        <v>232</v>
      </c>
      <c r="R287" s="1" t="s">
        <v>233</v>
      </c>
      <c r="S287" s="1" t="s">
        <v>234</v>
      </c>
      <c r="T287" s="1" t="s">
        <v>238</v>
      </c>
      <c r="U287">
        <v>2238.9299999999998</v>
      </c>
      <c r="V287">
        <v>2238.08</v>
      </c>
      <c r="W287">
        <v>12.282302</v>
      </c>
      <c r="X287">
        <v>109.19833800000001</v>
      </c>
      <c r="Y287">
        <v>0.85</v>
      </c>
      <c r="Z287">
        <v>12.282332</v>
      </c>
      <c r="AA287">
        <v>109.19810099999999</v>
      </c>
      <c r="AB287" s="5">
        <f t="shared" si="25"/>
        <v>3.3571200000000001</v>
      </c>
      <c r="AC287" s="5">
        <f t="shared" si="26"/>
        <v>1.2749999999999999E-3</v>
      </c>
      <c r="AD287" s="1" t="str">
        <f t="shared" si="27"/>
        <v>3.CA Bắc Nha Trang</v>
      </c>
      <c r="AE287" s="1" t="str">
        <f t="shared" si="28"/>
        <v>CAT Khánh Hòa</v>
      </c>
      <c r="AG287">
        <f t="shared" si="29"/>
        <v>2.2380800000000001</v>
      </c>
      <c r="AH287">
        <f t="shared" si="30"/>
        <v>8.4999999999999995E-4</v>
      </c>
      <c r="AI287" t="e">
        <f>VLOOKUP(L287,'[1]Tuyến cáp H04'!$B:$E,3,0)/1000</f>
        <v>#N/A</v>
      </c>
      <c r="AJ287" t="e">
        <f>VLOOKUP(L287,'[1]Tuyến cáp H04'!$B:$E,4,0)</f>
        <v>#N/A</v>
      </c>
    </row>
    <row r="288" spans="1:36" x14ac:dyDescent="0.25">
      <c r="A288" s="1" t="s">
        <v>2535</v>
      </c>
      <c r="B288" s="1" t="s">
        <v>306</v>
      </c>
      <c r="C288" s="1" t="s">
        <v>307</v>
      </c>
      <c r="D288" s="1" t="s">
        <v>181</v>
      </c>
      <c r="E288" s="1" t="s">
        <v>182</v>
      </c>
      <c r="F288" s="1" t="s">
        <v>2536</v>
      </c>
      <c r="G288" s="1" t="s">
        <v>14281</v>
      </c>
      <c r="H288" s="1" t="s">
        <v>14282</v>
      </c>
      <c r="I288" s="1" t="s">
        <v>14411</v>
      </c>
      <c r="J288" s="1" t="s">
        <v>23</v>
      </c>
      <c r="K288" s="1"/>
      <c r="L288" s="1" t="s">
        <v>186</v>
      </c>
      <c r="M288" s="1" t="s">
        <v>309</v>
      </c>
      <c r="N288" s="1" t="s">
        <v>310</v>
      </c>
      <c r="O288" s="1" t="s">
        <v>311</v>
      </c>
      <c r="P288" s="1" t="s">
        <v>312</v>
      </c>
      <c r="Q288" s="1" t="s">
        <v>188</v>
      </c>
      <c r="R288" s="1" t="s">
        <v>189</v>
      </c>
      <c r="S288" s="1" t="s">
        <v>190</v>
      </c>
      <c r="T288" s="1" t="s">
        <v>194</v>
      </c>
      <c r="U288">
        <v>265.61</v>
      </c>
      <c r="V288">
        <v>259.54000000000002</v>
      </c>
      <c r="W288">
        <v>12.278650000000001</v>
      </c>
      <c r="X288">
        <v>109.12745</v>
      </c>
      <c r="Y288">
        <v>6.07</v>
      </c>
      <c r="Z288">
        <v>12.276066999999999</v>
      </c>
      <c r="AA288">
        <v>109.120259</v>
      </c>
      <c r="AB288" s="5">
        <f t="shared" si="25"/>
        <v>0.38931000000000004</v>
      </c>
      <c r="AC288" s="5">
        <f t="shared" si="26"/>
        <v>9.1050000000000002E-3</v>
      </c>
      <c r="AD288" s="1" t="str">
        <f t="shared" si="27"/>
        <v>2.CA Diên Điền</v>
      </c>
      <c r="AE288" s="1" t="str">
        <f t="shared" si="28"/>
        <v>CA Bắc Nha Trang</v>
      </c>
      <c r="AG288">
        <f t="shared" si="29"/>
        <v>0.25953999999999999</v>
      </c>
      <c r="AH288">
        <f t="shared" si="30"/>
        <v>6.0699999999999999E-3</v>
      </c>
      <c r="AI288" t="e">
        <f>VLOOKUP(L288,'[1]Tuyến cáp H04'!$B:$E,3,0)/1000</f>
        <v>#N/A</v>
      </c>
      <c r="AJ288" t="e">
        <f>VLOOKUP(L288,'[1]Tuyến cáp H04'!$B:$E,4,0)</f>
        <v>#N/A</v>
      </c>
    </row>
    <row r="289" spans="1:36" x14ac:dyDescent="0.25">
      <c r="A289" s="1" t="s">
        <v>2537</v>
      </c>
      <c r="B289" s="1" t="s">
        <v>2538</v>
      </c>
      <c r="C289" s="1" t="s">
        <v>2539</v>
      </c>
      <c r="D289" s="1" t="s">
        <v>1644</v>
      </c>
      <c r="E289" s="1" t="s">
        <v>1645</v>
      </c>
      <c r="F289" s="1" t="s">
        <v>2540</v>
      </c>
      <c r="G289" s="1" t="s">
        <v>14281</v>
      </c>
      <c r="H289" s="1" t="s">
        <v>14282</v>
      </c>
      <c r="I289" s="1" t="s">
        <v>14412</v>
      </c>
      <c r="J289" s="1" t="s">
        <v>23</v>
      </c>
      <c r="K289" s="1"/>
      <c r="L289" s="1" t="s">
        <v>1025</v>
      </c>
      <c r="M289" s="1" t="s">
        <v>2541</v>
      </c>
      <c r="N289" s="1" t="s">
        <v>2542</v>
      </c>
      <c r="O289" s="1" t="s">
        <v>2543</v>
      </c>
      <c r="P289" s="1" t="s">
        <v>2544</v>
      </c>
      <c r="Q289" s="1" t="s">
        <v>1659</v>
      </c>
      <c r="R289" s="1" t="s">
        <v>1660</v>
      </c>
      <c r="S289" s="1" t="s">
        <v>1661</v>
      </c>
      <c r="T289" s="1" t="s">
        <v>1033</v>
      </c>
      <c r="U289">
        <v>2045.65</v>
      </c>
      <c r="V289">
        <v>2038.93</v>
      </c>
      <c r="W289">
        <v>12.803172999999999</v>
      </c>
      <c r="X289">
        <v>109.33414500000001</v>
      </c>
      <c r="Y289">
        <v>6.73</v>
      </c>
      <c r="Z289">
        <v>12.8032</v>
      </c>
      <c r="AA289">
        <v>109.33373899999999</v>
      </c>
      <c r="AB289" s="5">
        <f t="shared" si="25"/>
        <v>3.058395</v>
      </c>
      <c r="AC289" s="5">
        <f t="shared" si="26"/>
        <v>1.0095E-2</v>
      </c>
      <c r="AD289" s="1" t="str">
        <f t="shared" si="27"/>
        <v>4.CA Đại Lãnh</v>
      </c>
      <c r="AE289" s="1" t="str">
        <f t="shared" si="28"/>
        <v>CA Vạn Ninh</v>
      </c>
      <c r="AG289">
        <f t="shared" si="29"/>
        <v>2.0389300000000001</v>
      </c>
      <c r="AH289">
        <f t="shared" si="30"/>
        <v>6.7300000000000007E-3</v>
      </c>
      <c r="AI289" t="e">
        <f>VLOOKUP(L289,'[1]Tuyến cáp H04'!$B:$E,3,0)/1000</f>
        <v>#N/A</v>
      </c>
      <c r="AJ289" t="e">
        <f>VLOOKUP(L289,'[1]Tuyến cáp H04'!$B:$E,4,0)</f>
        <v>#N/A</v>
      </c>
    </row>
    <row r="290" spans="1:36" x14ac:dyDescent="0.25">
      <c r="A290" s="1" t="s">
        <v>2545</v>
      </c>
      <c r="B290" s="1" t="s">
        <v>2546</v>
      </c>
      <c r="C290" s="1" t="s">
        <v>2547</v>
      </c>
      <c r="D290" s="1" t="s">
        <v>1644</v>
      </c>
      <c r="E290" s="1" t="s">
        <v>1645</v>
      </c>
      <c r="F290" s="1" t="s">
        <v>2548</v>
      </c>
      <c r="G290" s="1" t="s">
        <v>14281</v>
      </c>
      <c r="H290" s="1" t="s">
        <v>14282</v>
      </c>
      <c r="I290" s="1" t="s">
        <v>14413</v>
      </c>
      <c r="J290" s="1" t="s">
        <v>23</v>
      </c>
      <c r="K290" s="1"/>
      <c r="L290" s="1" t="s">
        <v>1025</v>
      </c>
      <c r="M290" s="1" t="s">
        <v>2549</v>
      </c>
      <c r="N290" s="1" t="s">
        <v>2550</v>
      </c>
      <c r="O290" s="1" t="s">
        <v>2543</v>
      </c>
      <c r="P290" s="1" t="s">
        <v>2544</v>
      </c>
      <c r="Q290" s="1" t="s">
        <v>1659</v>
      </c>
      <c r="R290" s="1" t="s">
        <v>1660</v>
      </c>
      <c r="S290" s="1" t="s">
        <v>1661</v>
      </c>
      <c r="T290" s="1" t="s">
        <v>1033</v>
      </c>
      <c r="U290">
        <v>4013.08</v>
      </c>
      <c r="V290">
        <v>4006.35</v>
      </c>
      <c r="W290">
        <v>12.803172999999999</v>
      </c>
      <c r="X290">
        <v>109.33414500000001</v>
      </c>
      <c r="Y290">
        <v>6.73</v>
      </c>
      <c r="Z290">
        <v>12.8032</v>
      </c>
      <c r="AA290">
        <v>109.33373899999999</v>
      </c>
      <c r="AB290" s="5">
        <f t="shared" si="25"/>
        <v>6.009525</v>
      </c>
      <c r="AC290" s="5">
        <f t="shared" si="26"/>
        <v>1.0095E-2</v>
      </c>
      <c r="AD290" s="1" t="str">
        <f t="shared" si="27"/>
        <v>4.CA Đại Lãnh</v>
      </c>
      <c r="AE290" s="1" t="str">
        <f t="shared" si="28"/>
        <v>CA Vạn Ninh</v>
      </c>
      <c r="AG290">
        <f t="shared" si="29"/>
        <v>4.0063500000000003</v>
      </c>
      <c r="AH290">
        <f t="shared" si="30"/>
        <v>6.7300000000000007E-3</v>
      </c>
      <c r="AI290" t="e">
        <f>VLOOKUP(L290,'[1]Tuyến cáp H04'!$B:$E,3,0)/1000</f>
        <v>#N/A</v>
      </c>
      <c r="AJ290" t="e">
        <f>VLOOKUP(L290,'[1]Tuyến cáp H04'!$B:$E,4,0)</f>
        <v>#N/A</v>
      </c>
    </row>
    <row r="291" spans="1:36" x14ac:dyDescent="0.25">
      <c r="A291" s="1" t="s">
        <v>2551</v>
      </c>
      <c r="B291" s="1" t="s">
        <v>2552</v>
      </c>
      <c r="C291" s="1" t="s">
        <v>2553</v>
      </c>
      <c r="D291" s="1" t="s">
        <v>1644</v>
      </c>
      <c r="E291" s="1" t="s">
        <v>1645</v>
      </c>
      <c r="F291" s="1" t="s">
        <v>2554</v>
      </c>
      <c r="G291" s="1" t="s">
        <v>14281</v>
      </c>
      <c r="H291" s="1" t="s">
        <v>14282</v>
      </c>
      <c r="I291" s="1" t="s">
        <v>14414</v>
      </c>
      <c r="J291" s="1" t="s">
        <v>23</v>
      </c>
      <c r="K291" s="1"/>
      <c r="L291" s="1" t="s">
        <v>1647</v>
      </c>
      <c r="M291" s="1" t="s">
        <v>2555</v>
      </c>
      <c r="N291" s="1" t="s">
        <v>2556</v>
      </c>
      <c r="O291" s="1" t="s">
        <v>2034</v>
      </c>
      <c r="P291" s="1" t="s">
        <v>2035</v>
      </c>
      <c r="Q291" s="1" t="s">
        <v>1652</v>
      </c>
      <c r="R291" s="1" t="s">
        <v>1653</v>
      </c>
      <c r="S291" s="1" t="s">
        <v>1654</v>
      </c>
      <c r="T291" s="1" t="s">
        <v>1655</v>
      </c>
      <c r="U291">
        <v>4694.6499999999996</v>
      </c>
      <c r="V291">
        <v>4688.09</v>
      </c>
      <c r="W291">
        <v>12.804639</v>
      </c>
      <c r="X291">
        <v>109.33377299999999</v>
      </c>
      <c r="Y291">
        <v>6.55</v>
      </c>
      <c r="Z291">
        <v>12.803207</v>
      </c>
      <c r="AA291">
        <v>109.33374000000001</v>
      </c>
      <c r="AB291" s="5">
        <f t="shared" si="25"/>
        <v>7.0321350000000002</v>
      </c>
      <c r="AC291" s="5">
        <f t="shared" si="26"/>
        <v>9.8249999999999987E-3</v>
      </c>
      <c r="AD291" s="1" t="str">
        <f t="shared" si="27"/>
        <v>3.CA Tu Bông</v>
      </c>
      <c r="AE291" s="1" t="str">
        <f t="shared" si="28"/>
        <v>CA Đại Lãnh_Cột trung thế</v>
      </c>
      <c r="AG291">
        <f t="shared" si="29"/>
        <v>4.6880899999999999</v>
      </c>
      <c r="AH291">
        <f t="shared" si="30"/>
        <v>6.5499999999999994E-3</v>
      </c>
      <c r="AI291" t="e">
        <f>VLOOKUP(L291,'[1]Tuyến cáp H04'!$B:$E,3,0)/1000</f>
        <v>#N/A</v>
      </c>
      <c r="AJ291" t="e">
        <f>VLOOKUP(L291,'[1]Tuyến cáp H04'!$B:$E,4,0)</f>
        <v>#N/A</v>
      </c>
    </row>
    <row r="292" spans="1:36" x14ac:dyDescent="0.25">
      <c r="A292" s="1" t="s">
        <v>2557</v>
      </c>
      <c r="B292" s="1" t="s">
        <v>2558</v>
      </c>
      <c r="C292" s="1" t="s">
        <v>2559</v>
      </c>
      <c r="D292" s="1" t="s">
        <v>347</v>
      </c>
      <c r="E292" s="1" t="s">
        <v>348</v>
      </c>
      <c r="F292" s="1" t="s">
        <v>2560</v>
      </c>
      <c r="G292" s="1" t="s">
        <v>14281</v>
      </c>
      <c r="H292" s="1" t="s">
        <v>14282</v>
      </c>
      <c r="I292" s="1" t="s">
        <v>14415</v>
      </c>
      <c r="J292" s="1" t="s">
        <v>23</v>
      </c>
      <c r="K292" s="1"/>
      <c r="L292" s="1" t="s">
        <v>352</v>
      </c>
      <c r="M292" s="1" t="s">
        <v>2561</v>
      </c>
      <c r="N292" s="1" t="s">
        <v>2562</v>
      </c>
      <c r="O292" s="1" t="s">
        <v>2563</v>
      </c>
      <c r="P292" s="1" t="s">
        <v>2564</v>
      </c>
      <c r="Q292" s="1" t="s">
        <v>354</v>
      </c>
      <c r="R292" s="1" t="s">
        <v>355</v>
      </c>
      <c r="S292" s="1" t="s">
        <v>356</v>
      </c>
      <c r="T292" s="1" t="s">
        <v>360</v>
      </c>
      <c r="U292">
        <v>252.14</v>
      </c>
      <c r="V292">
        <v>152.13</v>
      </c>
      <c r="W292">
        <v>11.923322000000001</v>
      </c>
      <c r="X292">
        <v>109.126536</v>
      </c>
      <c r="Y292">
        <v>100</v>
      </c>
      <c r="Z292">
        <v>11.941592</v>
      </c>
      <c r="AA292">
        <v>109.11218100000001</v>
      </c>
      <c r="AB292" s="5">
        <f t="shared" si="25"/>
        <v>0.22819499999999998</v>
      </c>
      <c r="AC292" s="5">
        <f t="shared" si="26"/>
        <v>0.15</v>
      </c>
      <c r="AD292" s="1" t="str">
        <f t="shared" si="27"/>
        <v>3.Cam Ranh</v>
      </c>
      <c r="AE292" s="1" t="str">
        <f t="shared" si="28"/>
        <v>Khánh Sơn</v>
      </c>
      <c r="AG292">
        <f t="shared" si="29"/>
        <v>0.15212999999999999</v>
      </c>
      <c r="AH292">
        <f t="shared" si="30"/>
        <v>0.1</v>
      </c>
      <c r="AI292" t="e">
        <f>VLOOKUP(L292,'[1]Tuyến cáp H04'!$B:$E,3,0)/1000</f>
        <v>#N/A</v>
      </c>
      <c r="AJ292" t="e">
        <f>VLOOKUP(L292,'[1]Tuyến cáp H04'!$B:$E,4,0)</f>
        <v>#N/A</v>
      </c>
    </row>
    <row r="293" spans="1:36" x14ac:dyDescent="0.25">
      <c r="A293" s="1" t="s">
        <v>2565</v>
      </c>
      <c r="B293" s="1" t="s">
        <v>2566</v>
      </c>
      <c r="C293" s="1" t="s">
        <v>2567</v>
      </c>
      <c r="D293" s="1" t="s">
        <v>347</v>
      </c>
      <c r="E293" s="1" t="s">
        <v>348</v>
      </c>
      <c r="F293" s="1" t="s">
        <v>2568</v>
      </c>
      <c r="G293" s="1" t="s">
        <v>14281</v>
      </c>
      <c r="H293" s="1" t="s">
        <v>14282</v>
      </c>
      <c r="I293" s="1" t="s">
        <v>14416</v>
      </c>
      <c r="J293" s="1" t="s">
        <v>23</v>
      </c>
      <c r="K293" s="1"/>
      <c r="L293" s="1" t="s">
        <v>245</v>
      </c>
      <c r="M293" s="1" t="s">
        <v>2569</v>
      </c>
      <c r="N293" s="1" t="s">
        <v>2570</v>
      </c>
      <c r="O293" s="1" t="s">
        <v>2571</v>
      </c>
      <c r="P293" s="1" t="s">
        <v>2572</v>
      </c>
      <c r="Q293" s="1" t="s">
        <v>1281</v>
      </c>
      <c r="R293" s="1" t="s">
        <v>1282</v>
      </c>
      <c r="S293" s="1" t="s">
        <v>1283</v>
      </c>
      <c r="T293" s="1" t="s">
        <v>1284</v>
      </c>
      <c r="U293">
        <v>95.74</v>
      </c>
      <c r="V293">
        <v>89.11</v>
      </c>
      <c r="W293">
        <v>11.956004</v>
      </c>
      <c r="X293">
        <v>109.103488</v>
      </c>
      <c r="Y293">
        <v>6.63</v>
      </c>
      <c r="Z293">
        <v>11.941641000000001</v>
      </c>
      <c r="AA293">
        <v>109.11304800000001</v>
      </c>
      <c r="AB293" s="5">
        <f t="shared" si="25"/>
        <v>0.13366499999999998</v>
      </c>
      <c r="AC293" s="5">
        <f t="shared" si="26"/>
        <v>9.9450000000000007E-3</v>
      </c>
      <c r="AD293" s="1" t="str">
        <f t="shared" si="27"/>
        <v>5. Cam Phước Đông</v>
      </c>
      <c r="AE293" s="1" t="str">
        <f t="shared" si="28"/>
        <v>CAT Khánh Hòa</v>
      </c>
      <c r="AG293">
        <f t="shared" si="29"/>
        <v>8.9109999999999995E-2</v>
      </c>
      <c r="AH293">
        <f t="shared" si="30"/>
        <v>6.6299999999999996E-3</v>
      </c>
      <c r="AI293" t="e">
        <f>VLOOKUP(L293,'[1]Tuyến cáp H04'!$B:$E,3,0)/1000</f>
        <v>#N/A</v>
      </c>
      <c r="AJ293" t="e">
        <f>VLOOKUP(L293,'[1]Tuyến cáp H04'!$B:$E,4,0)</f>
        <v>#N/A</v>
      </c>
    </row>
    <row r="294" spans="1:36" x14ac:dyDescent="0.25">
      <c r="A294" s="1" t="s">
        <v>2573</v>
      </c>
      <c r="B294" s="1" t="s">
        <v>2574</v>
      </c>
      <c r="C294" s="1" t="s">
        <v>2575</v>
      </c>
      <c r="D294" s="1" t="s">
        <v>1685</v>
      </c>
      <c r="E294" s="1" t="s">
        <v>1686</v>
      </c>
      <c r="F294" s="1" t="s">
        <v>2576</v>
      </c>
      <c r="G294" s="1" t="s">
        <v>14281</v>
      </c>
      <c r="H294" s="1" t="s">
        <v>14282</v>
      </c>
      <c r="I294" s="1" t="s">
        <v>14417</v>
      </c>
      <c r="J294" s="1" t="s">
        <v>23</v>
      </c>
      <c r="K294" s="1"/>
      <c r="L294" s="1" t="s">
        <v>1552</v>
      </c>
      <c r="M294" s="1" t="s">
        <v>2577</v>
      </c>
      <c r="N294" s="1" t="s">
        <v>2578</v>
      </c>
      <c r="O294" s="1" t="s">
        <v>2013</v>
      </c>
      <c r="P294" s="1" t="s">
        <v>2014</v>
      </c>
      <c r="Q294" s="1" t="s">
        <v>2009</v>
      </c>
      <c r="R294" s="1" t="s">
        <v>2010</v>
      </c>
      <c r="S294" s="1" t="s">
        <v>2011</v>
      </c>
      <c r="T294" s="1" t="s">
        <v>2015</v>
      </c>
      <c r="U294">
        <v>191.34</v>
      </c>
      <c r="V294">
        <v>163.41</v>
      </c>
      <c r="W294">
        <v>12.541454999999999</v>
      </c>
      <c r="X294">
        <v>109.16320399999999</v>
      </c>
      <c r="Y294">
        <v>27.93</v>
      </c>
      <c r="Z294">
        <v>12.531679</v>
      </c>
      <c r="AA294">
        <v>109.160657</v>
      </c>
      <c r="AB294" s="5">
        <f t="shared" si="25"/>
        <v>0.245115</v>
      </c>
      <c r="AC294" s="5">
        <f t="shared" si="26"/>
        <v>4.1894999999999995E-2</v>
      </c>
      <c r="AD294" s="1" t="str">
        <f t="shared" si="27"/>
        <v>5.Vạn Ninh</v>
      </c>
      <c r="AE294" s="1" t="str">
        <f t="shared" si="28"/>
        <v>CAT Khánh Hòa</v>
      </c>
      <c r="AG294">
        <f t="shared" si="29"/>
        <v>0.16341</v>
      </c>
      <c r="AH294">
        <f t="shared" si="30"/>
        <v>2.793E-2</v>
      </c>
      <c r="AI294" t="e">
        <f>VLOOKUP(L294,'[1]Tuyến cáp H04'!$B:$E,3,0)/1000</f>
        <v>#N/A</v>
      </c>
      <c r="AJ294" t="e">
        <f>VLOOKUP(L294,'[1]Tuyến cáp H04'!$B:$E,4,0)</f>
        <v>#N/A</v>
      </c>
    </row>
    <row r="295" spans="1:36" x14ac:dyDescent="0.25">
      <c r="A295" s="1" t="s">
        <v>2579</v>
      </c>
      <c r="B295" s="1" t="s">
        <v>2580</v>
      </c>
      <c r="C295" s="1" t="s">
        <v>2581</v>
      </c>
      <c r="D295" s="1" t="s">
        <v>92</v>
      </c>
      <c r="E295" s="1" t="s">
        <v>93</v>
      </c>
      <c r="F295" s="1" t="s">
        <v>2582</v>
      </c>
      <c r="G295" s="1" t="s">
        <v>14281</v>
      </c>
      <c r="H295" s="1" t="s">
        <v>14282</v>
      </c>
      <c r="I295" s="1" t="s">
        <v>14418</v>
      </c>
      <c r="J295" s="1" t="s">
        <v>23</v>
      </c>
      <c r="K295" s="1"/>
      <c r="L295" s="1" t="s">
        <v>2441</v>
      </c>
      <c r="M295" s="1" t="s">
        <v>2583</v>
      </c>
      <c r="N295" s="1" t="s">
        <v>2584</v>
      </c>
      <c r="O295" s="1" t="s">
        <v>2585</v>
      </c>
      <c r="P295" s="1" t="s">
        <v>2586</v>
      </c>
      <c r="Q295" s="1" t="s">
        <v>2445</v>
      </c>
      <c r="R295" s="1" t="s">
        <v>2446</v>
      </c>
      <c r="S295" s="1" t="s">
        <v>2447</v>
      </c>
      <c r="T295" s="1" t="s">
        <v>2448</v>
      </c>
      <c r="U295">
        <v>615.16999999999996</v>
      </c>
      <c r="V295">
        <v>331.69</v>
      </c>
      <c r="W295">
        <v>12.238712</v>
      </c>
      <c r="X295">
        <v>109.186746</v>
      </c>
      <c r="Y295">
        <v>283.48</v>
      </c>
      <c r="Z295">
        <v>12.243925000000001</v>
      </c>
      <c r="AA295">
        <v>109.189556</v>
      </c>
      <c r="AB295" s="5">
        <f t="shared" si="25"/>
        <v>0.49753499999999995</v>
      </c>
      <c r="AC295" s="5">
        <f t="shared" si="26"/>
        <v>0.42522000000000004</v>
      </c>
      <c r="AD295" s="1" t="str">
        <f t="shared" si="27"/>
        <v>1.CATP Nha trang cũ</v>
      </c>
      <c r="AE295" s="1" t="str">
        <f t="shared" si="28"/>
        <v>PC07</v>
      </c>
      <c r="AG295">
        <f t="shared" si="29"/>
        <v>0.33168999999999998</v>
      </c>
      <c r="AH295">
        <f t="shared" si="30"/>
        <v>0.28348000000000001</v>
      </c>
      <c r="AI295" t="e">
        <f>VLOOKUP(L295,'[1]Tuyến cáp H04'!$B:$E,3,0)/1000</f>
        <v>#N/A</v>
      </c>
      <c r="AJ295" t="e">
        <f>VLOOKUP(L295,'[1]Tuyến cáp H04'!$B:$E,4,0)</f>
        <v>#N/A</v>
      </c>
    </row>
    <row r="296" spans="1:36" x14ac:dyDescent="0.25">
      <c r="A296" s="1" t="s">
        <v>2587</v>
      </c>
      <c r="B296" s="1" t="s">
        <v>2588</v>
      </c>
      <c r="C296" s="1" t="s">
        <v>2589</v>
      </c>
      <c r="D296" s="1" t="s">
        <v>77</v>
      </c>
      <c r="E296" s="1" t="s">
        <v>78</v>
      </c>
      <c r="F296" s="1" t="s">
        <v>2590</v>
      </c>
      <c r="G296" s="1" t="s">
        <v>14281</v>
      </c>
      <c r="H296" s="1" t="s">
        <v>14282</v>
      </c>
      <c r="I296" s="1" t="s">
        <v>14419</v>
      </c>
      <c r="J296" s="1" t="s">
        <v>23</v>
      </c>
      <c r="K296" s="1"/>
      <c r="L296" s="1" t="s">
        <v>110</v>
      </c>
      <c r="M296" s="1" t="s">
        <v>2591</v>
      </c>
      <c r="N296" s="1" t="s">
        <v>2592</v>
      </c>
      <c r="O296" s="1" t="s">
        <v>332</v>
      </c>
      <c r="P296" s="1" t="s">
        <v>333</v>
      </c>
      <c r="Q296" s="1" t="s">
        <v>112</v>
      </c>
      <c r="R296" s="1" t="s">
        <v>113</v>
      </c>
      <c r="S296" s="1" t="s">
        <v>114</v>
      </c>
      <c r="T296" s="1" t="s">
        <v>118</v>
      </c>
      <c r="U296">
        <v>809.65</v>
      </c>
      <c r="V296">
        <v>806.31</v>
      </c>
      <c r="W296">
        <v>12.196674</v>
      </c>
      <c r="X296">
        <v>109.174234</v>
      </c>
      <c r="Y296">
        <v>3.34</v>
      </c>
      <c r="Z296">
        <v>12.175723</v>
      </c>
      <c r="AA296">
        <v>109.17368</v>
      </c>
      <c r="AB296" s="5">
        <f t="shared" si="25"/>
        <v>1.209465</v>
      </c>
      <c r="AC296" s="5">
        <f t="shared" si="26"/>
        <v>5.0099999999999997E-3</v>
      </c>
      <c r="AD296" s="1" t="str">
        <f t="shared" si="27"/>
        <v>4.PC11a</v>
      </c>
      <c r="AE296" s="1" t="str">
        <f t="shared" si="28"/>
        <v>PC02_Đoạn cột trung thế</v>
      </c>
      <c r="AG296">
        <f t="shared" si="29"/>
        <v>0.80630999999999997</v>
      </c>
      <c r="AH296">
        <f t="shared" si="30"/>
        <v>3.3399999999999997E-3</v>
      </c>
      <c r="AI296" t="e">
        <f>VLOOKUP(L296,'[1]Tuyến cáp H04'!$B:$E,3,0)/1000</f>
        <v>#N/A</v>
      </c>
      <c r="AJ296" t="e">
        <f>VLOOKUP(L296,'[1]Tuyến cáp H04'!$B:$E,4,0)</f>
        <v>#N/A</v>
      </c>
    </row>
    <row r="297" spans="1:36" x14ac:dyDescent="0.25">
      <c r="A297" s="1" t="s">
        <v>2593</v>
      </c>
      <c r="B297" s="1" t="s">
        <v>2594</v>
      </c>
      <c r="C297" s="1" t="s">
        <v>2595</v>
      </c>
      <c r="D297" s="1" t="s">
        <v>1469</v>
      </c>
      <c r="E297" s="1" t="s">
        <v>1470</v>
      </c>
      <c r="F297" s="1" t="s">
        <v>2596</v>
      </c>
      <c r="G297" s="1" t="s">
        <v>14281</v>
      </c>
      <c r="H297" s="1" t="s">
        <v>14282</v>
      </c>
      <c r="I297" s="1" t="s">
        <v>14420</v>
      </c>
      <c r="J297" s="1" t="s">
        <v>23</v>
      </c>
      <c r="K297" s="1"/>
      <c r="L297" s="1" t="s">
        <v>1315</v>
      </c>
      <c r="M297" s="1" t="s">
        <v>2597</v>
      </c>
      <c r="N297" s="1" t="s">
        <v>2598</v>
      </c>
      <c r="O297" s="1" t="s">
        <v>2599</v>
      </c>
      <c r="P297" s="1" t="s">
        <v>2600</v>
      </c>
      <c r="Q297" s="1" t="s">
        <v>2601</v>
      </c>
      <c r="R297" s="1" t="s">
        <v>2599</v>
      </c>
      <c r="S297" s="1" t="s">
        <v>2600</v>
      </c>
      <c r="T297" s="1" t="s">
        <v>1323</v>
      </c>
      <c r="U297">
        <v>55.58</v>
      </c>
      <c r="V297">
        <v>53.53</v>
      </c>
      <c r="W297">
        <v>12.219007</v>
      </c>
      <c r="X297">
        <v>109.204294</v>
      </c>
      <c r="Y297">
        <v>2.04</v>
      </c>
      <c r="Z297">
        <v>12.219007</v>
      </c>
      <c r="AA297">
        <v>109.204294</v>
      </c>
      <c r="AB297" s="5">
        <f t="shared" si="25"/>
        <v>8.0295000000000005E-2</v>
      </c>
      <c r="AC297" s="5">
        <f t="shared" si="26"/>
        <v>3.0600000000000002E-3</v>
      </c>
      <c r="AD297" s="1" t="str">
        <f t="shared" si="27"/>
        <v>Tuyến nhánh PC02</v>
      </c>
      <c r="AE297" s="1" t="str">
        <f t="shared" si="28"/>
        <v>PC08 (CSGT đường thủy)</v>
      </c>
      <c r="AG297">
        <f t="shared" si="29"/>
        <v>5.3530000000000001E-2</v>
      </c>
      <c r="AH297">
        <f t="shared" si="30"/>
        <v>2.0400000000000001E-3</v>
      </c>
      <c r="AI297" t="e">
        <f>VLOOKUP(L297,'[1]Tuyến cáp H04'!$B:$E,3,0)/1000</f>
        <v>#N/A</v>
      </c>
      <c r="AJ297" t="e">
        <f>VLOOKUP(L297,'[1]Tuyến cáp H04'!$B:$E,4,0)</f>
        <v>#N/A</v>
      </c>
    </row>
    <row r="298" spans="1:36" x14ac:dyDescent="0.25">
      <c r="A298" s="1" t="s">
        <v>2602</v>
      </c>
      <c r="B298" s="1" t="s">
        <v>2603</v>
      </c>
      <c r="C298" s="1" t="s">
        <v>2604</v>
      </c>
      <c r="D298" s="1" t="s">
        <v>198</v>
      </c>
      <c r="E298" s="1" t="s">
        <v>199</v>
      </c>
      <c r="F298" s="1" t="s">
        <v>2605</v>
      </c>
      <c r="G298" s="1" t="s">
        <v>14281</v>
      </c>
      <c r="H298" s="1" t="s">
        <v>14282</v>
      </c>
      <c r="I298" s="1" t="s">
        <v>14421</v>
      </c>
      <c r="J298" s="1" t="s">
        <v>23</v>
      </c>
      <c r="K298" s="1"/>
      <c r="L298" s="1" t="s">
        <v>2150</v>
      </c>
      <c r="M298" s="1" t="s">
        <v>2606</v>
      </c>
      <c r="N298" s="1" t="s">
        <v>2607</v>
      </c>
      <c r="O298" s="1" t="s">
        <v>2153</v>
      </c>
      <c r="P298" s="1" t="s">
        <v>2154</v>
      </c>
      <c r="Q298" s="1" t="s">
        <v>922</v>
      </c>
      <c r="R298" s="1" t="s">
        <v>2153</v>
      </c>
      <c r="S298" s="1" t="s">
        <v>2154</v>
      </c>
      <c r="T298" s="1" t="s">
        <v>2155</v>
      </c>
      <c r="U298">
        <v>1340.05</v>
      </c>
      <c r="V298">
        <v>1334.87</v>
      </c>
      <c r="W298">
        <v>12.256762</v>
      </c>
      <c r="X298">
        <v>109.197648</v>
      </c>
      <c r="Y298">
        <v>5.18</v>
      </c>
      <c r="Z298">
        <v>12.256762</v>
      </c>
      <c r="AA298">
        <v>109.197648</v>
      </c>
      <c r="AB298" s="5">
        <f t="shared" si="25"/>
        <v>2.0023049999999998</v>
      </c>
      <c r="AC298" s="5">
        <f t="shared" si="26"/>
        <v>7.77E-3</v>
      </c>
      <c r="AD298" s="1" t="str">
        <f t="shared" si="27"/>
        <v>Tuyến nhánh PA06 cs1</v>
      </c>
      <c r="AE298" s="1" t="str">
        <f t="shared" si="28"/>
        <v>Nhà nghỉ dưỡng 378 BCA_Cột trung thế</v>
      </c>
      <c r="AG298">
        <f t="shared" si="29"/>
        <v>1.33487</v>
      </c>
      <c r="AH298">
        <f t="shared" si="30"/>
        <v>5.1799999999999997E-3</v>
      </c>
      <c r="AI298" t="e">
        <f>VLOOKUP(L298,'[1]Tuyến cáp H04'!$B:$E,3,0)/1000</f>
        <v>#N/A</v>
      </c>
      <c r="AJ298" t="e">
        <f>VLOOKUP(L298,'[1]Tuyến cáp H04'!$B:$E,4,0)</f>
        <v>#N/A</v>
      </c>
    </row>
    <row r="299" spans="1:36" x14ac:dyDescent="0.25">
      <c r="A299" s="1" t="s">
        <v>2608</v>
      </c>
      <c r="B299" s="1" t="s">
        <v>2609</v>
      </c>
      <c r="C299" s="1" t="s">
        <v>2610</v>
      </c>
      <c r="D299" s="1" t="s">
        <v>1469</v>
      </c>
      <c r="E299" s="1" t="s">
        <v>1470</v>
      </c>
      <c r="F299" s="1" t="s">
        <v>2611</v>
      </c>
      <c r="G299" s="1" t="s">
        <v>14281</v>
      </c>
      <c r="H299" s="1" t="s">
        <v>14282</v>
      </c>
      <c r="I299" s="1" t="s">
        <v>14422</v>
      </c>
      <c r="J299" s="1" t="s">
        <v>23</v>
      </c>
      <c r="K299" s="1"/>
      <c r="L299" s="1" t="s">
        <v>110</v>
      </c>
      <c r="M299" s="1" t="s">
        <v>2612</v>
      </c>
      <c r="N299" s="1" t="s">
        <v>2613</v>
      </c>
      <c r="O299" s="1" t="s">
        <v>2614</v>
      </c>
      <c r="P299" s="1" t="s">
        <v>2615</v>
      </c>
      <c r="Q299" s="1" t="s">
        <v>606</v>
      </c>
      <c r="R299" s="1" t="s">
        <v>1476</v>
      </c>
      <c r="S299" s="1" t="s">
        <v>1477</v>
      </c>
      <c r="T299" s="1" t="s">
        <v>118</v>
      </c>
      <c r="U299">
        <v>342.16</v>
      </c>
      <c r="V299">
        <v>338.55</v>
      </c>
      <c r="W299">
        <v>12.21711</v>
      </c>
      <c r="X299">
        <v>109.20002700000001</v>
      </c>
      <c r="Y299">
        <v>3.61</v>
      </c>
      <c r="Z299">
        <v>12.219013</v>
      </c>
      <c r="AA299">
        <v>109.20427599999999</v>
      </c>
      <c r="AB299" s="5">
        <f t="shared" si="25"/>
        <v>0.50782500000000008</v>
      </c>
      <c r="AC299" s="5">
        <f t="shared" si="26"/>
        <v>5.4149999999999997E-3</v>
      </c>
      <c r="AD299" s="1" t="str">
        <f t="shared" si="27"/>
        <v>4.PC11a</v>
      </c>
      <c r="AE299" s="1" t="str">
        <f t="shared" si="28"/>
        <v>PC02_Đoạn cột trung thế</v>
      </c>
      <c r="AG299">
        <f t="shared" si="29"/>
        <v>0.33855000000000002</v>
      </c>
      <c r="AH299">
        <f t="shared" si="30"/>
        <v>3.6099999999999999E-3</v>
      </c>
      <c r="AI299" t="e">
        <f>VLOOKUP(L299,'[1]Tuyến cáp H04'!$B:$E,3,0)/1000</f>
        <v>#N/A</v>
      </c>
      <c r="AJ299" t="e">
        <f>VLOOKUP(L299,'[1]Tuyến cáp H04'!$B:$E,4,0)</f>
        <v>#N/A</v>
      </c>
    </row>
    <row r="300" spans="1:36" x14ac:dyDescent="0.25">
      <c r="A300" s="1" t="s">
        <v>2616</v>
      </c>
      <c r="B300" s="1" t="s">
        <v>2617</v>
      </c>
      <c r="C300" s="1" t="s">
        <v>2618</v>
      </c>
      <c r="D300" s="1" t="s">
        <v>128</v>
      </c>
      <c r="E300" s="1" t="s">
        <v>129</v>
      </c>
      <c r="F300" s="1" t="s">
        <v>2619</v>
      </c>
      <c r="G300" s="1" t="s">
        <v>14281</v>
      </c>
      <c r="H300" s="1" t="s">
        <v>14282</v>
      </c>
      <c r="I300" s="1" t="s">
        <v>14423</v>
      </c>
      <c r="J300" s="1" t="s">
        <v>23</v>
      </c>
      <c r="K300" s="1"/>
      <c r="L300" s="1" t="s">
        <v>283</v>
      </c>
      <c r="M300" s="1" t="s">
        <v>2620</v>
      </c>
      <c r="N300" s="1" t="s">
        <v>2621</v>
      </c>
      <c r="O300" s="1" t="s">
        <v>289</v>
      </c>
      <c r="P300" s="1" t="s">
        <v>290</v>
      </c>
      <c r="Q300" s="1" t="s">
        <v>657</v>
      </c>
      <c r="R300" s="1" t="s">
        <v>286</v>
      </c>
      <c r="S300" s="1" t="s">
        <v>287</v>
      </c>
      <c r="T300" s="1" t="s">
        <v>291</v>
      </c>
      <c r="U300">
        <v>516275.44</v>
      </c>
      <c r="V300">
        <v>266632.71999999997</v>
      </c>
      <c r="W300">
        <v>14.352316999999999</v>
      </c>
      <c r="X300">
        <v>108.007831</v>
      </c>
      <c r="Y300">
        <v>249642.72</v>
      </c>
      <c r="Z300">
        <v>14.659686000000001</v>
      </c>
      <c r="AA300">
        <v>107.839439</v>
      </c>
      <c r="AB300" s="5">
        <f t="shared" si="25"/>
        <v>399.94907999999998</v>
      </c>
      <c r="AC300" s="5">
        <f t="shared" si="26"/>
        <v>374.46408000000002</v>
      </c>
      <c r="AD300" s="1" t="str">
        <f t="shared" si="27"/>
        <v>Đăk Tô</v>
      </c>
      <c r="AE300" s="1" t="str">
        <f t="shared" si="28"/>
        <v>TT2 Kon Tum</v>
      </c>
      <c r="AG300">
        <f t="shared" si="29"/>
        <v>266.63271999999995</v>
      </c>
      <c r="AH300">
        <f t="shared" si="30"/>
        <v>249.64272</v>
      </c>
      <c r="AI300">
        <f>VLOOKUP(L300,'[1]Tuyến cáp H04'!$B:$E,3,0)/1000</f>
        <v>43.9602</v>
      </c>
      <c r="AJ300" t="str">
        <f>VLOOKUP(L300,'[1]Tuyến cáp H04'!$B:$E,4,0)</f>
        <v>Mạng cấp 3</v>
      </c>
    </row>
    <row r="301" spans="1:36" x14ac:dyDescent="0.25">
      <c r="A301" s="1" t="s">
        <v>2622</v>
      </c>
      <c r="B301" s="1" t="s">
        <v>2623</v>
      </c>
      <c r="C301" s="1" t="s">
        <v>2624</v>
      </c>
      <c r="D301" s="1" t="s">
        <v>128</v>
      </c>
      <c r="E301" s="1" t="s">
        <v>129</v>
      </c>
      <c r="F301" s="1" t="s">
        <v>2625</v>
      </c>
      <c r="G301" s="1" t="s">
        <v>14129</v>
      </c>
      <c r="H301" s="1" t="s">
        <v>14130</v>
      </c>
      <c r="I301" s="1" t="s">
        <v>14424</v>
      </c>
      <c r="J301" s="1" t="s">
        <v>23</v>
      </c>
      <c r="K301" s="1"/>
      <c r="L301" s="1" t="s">
        <v>2626</v>
      </c>
      <c r="M301" s="1" t="s">
        <v>2627</v>
      </c>
      <c r="N301" s="1" t="s">
        <v>2628</v>
      </c>
      <c r="O301" s="1" t="s">
        <v>2629</v>
      </c>
      <c r="P301" s="1" t="s">
        <v>2630</v>
      </c>
      <c r="Q301" s="1" t="s">
        <v>2631</v>
      </c>
      <c r="R301" s="1" t="s">
        <v>2632</v>
      </c>
      <c r="S301" s="1" t="s">
        <v>2633</v>
      </c>
      <c r="T301" s="1" t="s">
        <v>2634</v>
      </c>
      <c r="U301">
        <v>2816.27</v>
      </c>
      <c r="V301">
        <v>2735.78</v>
      </c>
      <c r="W301">
        <v>16.798327</v>
      </c>
      <c r="X301">
        <v>107.124168</v>
      </c>
      <c r="Y301">
        <v>80.489999999999995</v>
      </c>
      <c r="Z301">
        <v>16.790924</v>
      </c>
      <c r="AA301">
        <v>107.10477400000001</v>
      </c>
      <c r="AB301" s="5">
        <f t="shared" si="25"/>
        <v>4.1036700000000002</v>
      </c>
      <c r="AC301" s="5">
        <f t="shared" si="26"/>
        <v>0.12073499999999998</v>
      </c>
      <c r="AD301" s="1" t="str">
        <f t="shared" si="27"/>
        <v>CA Công an Quảng Trị</v>
      </c>
      <c r="AE301" s="1" t="str">
        <f t="shared" si="28"/>
        <v>Triệu Phong</v>
      </c>
      <c r="AG301">
        <f t="shared" si="29"/>
        <v>2.7357800000000001</v>
      </c>
      <c r="AH301">
        <f t="shared" si="30"/>
        <v>8.0489999999999992E-2</v>
      </c>
      <c r="AI301">
        <f>VLOOKUP(L301,'[1]Tuyến cáp H04'!$B:$E,3,0)/1000</f>
        <v>8.6597539999999995</v>
      </c>
      <c r="AJ301" t="str">
        <f>VLOOKUP(L301,'[1]Tuyến cáp H04'!$B:$E,4,0)</f>
        <v>Mạng cấp 4</v>
      </c>
    </row>
    <row r="302" spans="1:36" x14ac:dyDescent="0.25">
      <c r="A302" s="1" t="s">
        <v>2635</v>
      </c>
      <c r="B302" s="1" t="s">
        <v>2636</v>
      </c>
      <c r="C302" s="1" t="s">
        <v>2637</v>
      </c>
      <c r="D302" s="1" t="s">
        <v>128</v>
      </c>
      <c r="E302" s="1" t="s">
        <v>129</v>
      </c>
      <c r="F302" s="1" t="s">
        <v>2638</v>
      </c>
      <c r="G302" s="1" t="s">
        <v>14129</v>
      </c>
      <c r="H302" s="1" t="s">
        <v>14130</v>
      </c>
      <c r="I302" s="1" t="s">
        <v>14425</v>
      </c>
      <c r="J302" s="1" t="s">
        <v>23</v>
      </c>
      <c r="K302" s="1"/>
      <c r="L302" s="1" t="s">
        <v>2639</v>
      </c>
      <c r="M302" s="1" t="s">
        <v>2640</v>
      </c>
      <c r="N302" s="1" t="s">
        <v>2641</v>
      </c>
      <c r="O302" s="1" t="s">
        <v>2642</v>
      </c>
      <c r="P302" s="1" t="s">
        <v>2643</v>
      </c>
      <c r="Q302" s="1" t="s">
        <v>2644</v>
      </c>
      <c r="R302" s="1" t="s">
        <v>2645</v>
      </c>
      <c r="S302" s="1" t="s">
        <v>2646</v>
      </c>
      <c r="T302" s="1" t="s">
        <v>2647</v>
      </c>
      <c r="U302">
        <v>8982.56</v>
      </c>
      <c r="V302">
        <v>8918.31</v>
      </c>
      <c r="W302">
        <v>16.803405000000001</v>
      </c>
      <c r="X302">
        <v>107.021788</v>
      </c>
      <c r="Y302">
        <v>64.25</v>
      </c>
      <c r="Z302">
        <v>16.790624000000001</v>
      </c>
      <c r="AA302">
        <v>107.103763</v>
      </c>
      <c r="AB302" s="5">
        <f t="shared" si="25"/>
        <v>13.377465000000001</v>
      </c>
      <c r="AC302" s="5">
        <f t="shared" si="26"/>
        <v>9.6375000000000002E-2</v>
      </c>
      <c r="AD302" s="1" t="str">
        <f t="shared" si="27"/>
        <v>TT2 Quảng Trị</v>
      </c>
      <c r="AE302" s="1" t="str">
        <f t="shared" si="28"/>
        <v>Đăk Rông</v>
      </c>
      <c r="AG302">
        <f t="shared" si="29"/>
        <v>8.91831</v>
      </c>
      <c r="AH302">
        <f t="shared" si="30"/>
        <v>6.4250000000000002E-2</v>
      </c>
      <c r="AI302">
        <f>VLOOKUP(L302,'[1]Tuyến cáp H04'!$B:$E,3,0)/1000</f>
        <v>39.223027999999999</v>
      </c>
      <c r="AJ302" t="str">
        <f>VLOOKUP(L302,'[1]Tuyến cáp H04'!$B:$E,4,0)</f>
        <v>Mạng cấp 3</v>
      </c>
    </row>
    <row r="303" spans="1:36" x14ac:dyDescent="0.25">
      <c r="A303" s="1" t="s">
        <v>2648</v>
      </c>
      <c r="B303" s="1" t="s">
        <v>2649</v>
      </c>
      <c r="C303" s="1" t="s">
        <v>2650</v>
      </c>
      <c r="D303" s="1" t="s">
        <v>128</v>
      </c>
      <c r="E303" s="1" t="s">
        <v>129</v>
      </c>
      <c r="F303" s="1" t="s">
        <v>2651</v>
      </c>
      <c r="G303" s="1" t="s">
        <v>14129</v>
      </c>
      <c r="H303" s="1" t="s">
        <v>14130</v>
      </c>
      <c r="I303" s="1" t="s">
        <v>14426</v>
      </c>
      <c r="J303" s="1" t="s">
        <v>23</v>
      </c>
      <c r="K303" s="1"/>
      <c r="L303" s="1" t="s">
        <v>2652</v>
      </c>
      <c r="M303" s="1" t="s">
        <v>2653</v>
      </c>
      <c r="N303" s="1" t="s">
        <v>2654</v>
      </c>
      <c r="O303" s="1" t="s">
        <v>2655</v>
      </c>
      <c r="P303" s="1" t="s">
        <v>2656</v>
      </c>
      <c r="Q303" s="1" t="s">
        <v>2657</v>
      </c>
      <c r="R303" s="1" t="s">
        <v>2658</v>
      </c>
      <c r="S303" s="1" t="s">
        <v>2659</v>
      </c>
      <c r="T303" s="1" t="s">
        <v>2660</v>
      </c>
      <c r="U303">
        <v>112.13</v>
      </c>
      <c r="V303">
        <v>40.36</v>
      </c>
      <c r="W303">
        <v>16.790599</v>
      </c>
      <c r="X303">
        <v>107.091199</v>
      </c>
      <c r="Y303">
        <v>71.77</v>
      </c>
      <c r="Z303">
        <v>16.790613</v>
      </c>
      <c r="AA303">
        <v>107.10368</v>
      </c>
      <c r="AB303" s="5">
        <f t="shared" si="25"/>
        <v>6.0539999999999997E-2</v>
      </c>
      <c r="AC303" s="5">
        <f t="shared" si="26"/>
        <v>0.107655</v>
      </c>
      <c r="AD303" s="1" t="str">
        <f t="shared" si="27"/>
        <v>TT2 Quảng Trị</v>
      </c>
      <c r="AE303" s="1" t="str">
        <f t="shared" si="28"/>
        <v>PC07</v>
      </c>
      <c r="AG303">
        <f t="shared" si="29"/>
        <v>4.036E-2</v>
      </c>
      <c r="AH303">
        <f t="shared" si="30"/>
        <v>7.177E-2</v>
      </c>
      <c r="AI303" t="e">
        <f>VLOOKUP(L303,'[1]Tuyến cáp H04'!$B:$E,3,0)/1000</f>
        <v>#N/A</v>
      </c>
      <c r="AJ303" t="e">
        <f>VLOOKUP(L303,'[1]Tuyến cáp H04'!$B:$E,4,0)</f>
        <v>#N/A</v>
      </c>
    </row>
    <row r="304" spans="1:36" x14ac:dyDescent="0.25">
      <c r="A304" s="1" t="s">
        <v>2661</v>
      </c>
      <c r="B304" s="1" t="s">
        <v>2662</v>
      </c>
      <c r="C304" s="1" t="s">
        <v>2663</v>
      </c>
      <c r="D304" s="1" t="s">
        <v>128</v>
      </c>
      <c r="E304" s="1" t="s">
        <v>129</v>
      </c>
      <c r="F304" s="1" t="s">
        <v>2664</v>
      </c>
      <c r="G304" s="1" t="s">
        <v>14129</v>
      </c>
      <c r="H304" s="1" t="s">
        <v>14133</v>
      </c>
      <c r="I304" s="1" t="s">
        <v>14427</v>
      </c>
      <c r="J304" s="1" t="s">
        <v>23</v>
      </c>
      <c r="K304" s="1"/>
      <c r="L304" s="1" t="s">
        <v>2665</v>
      </c>
      <c r="M304" s="1" t="s">
        <v>2666</v>
      </c>
      <c r="N304" s="1" t="s">
        <v>2667</v>
      </c>
      <c r="O304" s="1" t="s">
        <v>2668</v>
      </c>
      <c r="P304" s="1" t="s">
        <v>2669</v>
      </c>
      <c r="Q304" s="1" t="s">
        <v>2670</v>
      </c>
      <c r="R304" s="1" t="s">
        <v>2671</v>
      </c>
      <c r="S304" s="1" t="s">
        <v>2672</v>
      </c>
      <c r="T304" s="1" t="s">
        <v>2673</v>
      </c>
      <c r="U304">
        <v>4955.32</v>
      </c>
      <c r="V304">
        <v>1526.92</v>
      </c>
      <c r="W304">
        <v>16.749236</v>
      </c>
      <c r="X304">
        <v>107.17827200000001</v>
      </c>
      <c r="Y304">
        <v>3428.4</v>
      </c>
      <c r="Z304">
        <v>16.791696000000002</v>
      </c>
      <c r="AA304">
        <v>107.136475</v>
      </c>
      <c r="AB304" s="5">
        <f t="shared" si="25"/>
        <v>2.2903800000000003</v>
      </c>
      <c r="AC304" s="5">
        <f t="shared" si="26"/>
        <v>5.1426000000000007</v>
      </c>
      <c r="AD304" s="1" t="str">
        <f t="shared" si="27"/>
        <v>Hải Lăng</v>
      </c>
      <c r="AE304" s="1" t="str">
        <f t="shared" si="28"/>
        <v>TT2 Quảng Trị</v>
      </c>
      <c r="AG304">
        <f t="shared" si="29"/>
        <v>1.5269200000000001</v>
      </c>
      <c r="AH304">
        <f t="shared" si="30"/>
        <v>3.4283999999999999</v>
      </c>
      <c r="AI304">
        <f>VLOOKUP(L304,'[1]Tuyến cáp H04'!$B:$E,3,0)/1000</f>
        <v>23.995881000000004</v>
      </c>
      <c r="AJ304" t="str">
        <f>VLOOKUP(L304,'[1]Tuyến cáp H04'!$B:$E,4,0)</f>
        <v>Mạng cấp 3</v>
      </c>
    </row>
    <row r="305" spans="1:36" x14ac:dyDescent="0.25">
      <c r="A305" s="1" t="s">
        <v>2674</v>
      </c>
      <c r="B305" s="1" t="s">
        <v>2675</v>
      </c>
      <c r="C305" s="1" t="s">
        <v>2676</v>
      </c>
      <c r="D305" s="1" t="s">
        <v>128</v>
      </c>
      <c r="E305" s="1" t="s">
        <v>129</v>
      </c>
      <c r="F305" s="1" t="s">
        <v>2677</v>
      </c>
      <c r="G305" s="1" t="s">
        <v>14129</v>
      </c>
      <c r="H305" s="1" t="s">
        <v>14133</v>
      </c>
      <c r="I305" s="1" t="s">
        <v>14428</v>
      </c>
      <c r="J305" s="1" t="s">
        <v>23</v>
      </c>
      <c r="K305" s="1"/>
      <c r="L305" s="1" t="s">
        <v>2626</v>
      </c>
      <c r="M305" s="1" t="s">
        <v>2678</v>
      </c>
      <c r="N305" s="1" t="s">
        <v>2679</v>
      </c>
      <c r="O305" s="1" t="s">
        <v>2629</v>
      </c>
      <c r="P305" s="1" t="s">
        <v>2630</v>
      </c>
      <c r="Q305" s="1" t="s">
        <v>2631</v>
      </c>
      <c r="R305" s="1" t="s">
        <v>2632</v>
      </c>
      <c r="S305" s="1" t="s">
        <v>2633</v>
      </c>
      <c r="T305" s="1" t="s">
        <v>2634</v>
      </c>
      <c r="U305">
        <v>4033.4</v>
      </c>
      <c r="V305">
        <v>3952.91</v>
      </c>
      <c r="W305">
        <v>16.798327</v>
      </c>
      <c r="X305">
        <v>107.124168</v>
      </c>
      <c r="Y305">
        <v>80.489999999999995</v>
      </c>
      <c r="Z305">
        <v>16.790924</v>
      </c>
      <c r="AA305">
        <v>107.10477400000001</v>
      </c>
      <c r="AB305" s="5">
        <f t="shared" si="25"/>
        <v>5.9293649999999998</v>
      </c>
      <c r="AC305" s="5">
        <f t="shared" si="26"/>
        <v>0.12073499999999998</v>
      </c>
      <c r="AD305" s="1" t="str">
        <f t="shared" si="27"/>
        <v>CA Công an Quảng Trị</v>
      </c>
      <c r="AE305" s="1" t="str">
        <f t="shared" si="28"/>
        <v>Triệu Phong</v>
      </c>
      <c r="AG305">
        <f t="shared" si="29"/>
        <v>3.9529099999999997</v>
      </c>
      <c r="AH305">
        <f t="shared" si="30"/>
        <v>8.0489999999999992E-2</v>
      </c>
      <c r="AI305">
        <f>VLOOKUP(L305,'[1]Tuyến cáp H04'!$B:$E,3,0)/1000</f>
        <v>8.6597539999999995</v>
      </c>
      <c r="AJ305" t="str">
        <f>VLOOKUP(L305,'[1]Tuyến cáp H04'!$B:$E,4,0)</f>
        <v>Mạng cấp 4</v>
      </c>
    </row>
    <row r="306" spans="1:36" x14ac:dyDescent="0.25">
      <c r="A306" s="1" t="s">
        <v>2680</v>
      </c>
      <c r="B306" s="1" t="s">
        <v>2681</v>
      </c>
      <c r="C306" s="1" t="s">
        <v>2682</v>
      </c>
      <c r="D306" s="1" t="s">
        <v>2683</v>
      </c>
      <c r="E306" s="1" t="s">
        <v>2684</v>
      </c>
      <c r="F306" s="1" t="s">
        <v>2685</v>
      </c>
      <c r="G306" s="1" t="s">
        <v>14129</v>
      </c>
      <c r="H306" s="1" t="s">
        <v>14130</v>
      </c>
      <c r="I306" s="1" t="s">
        <v>14429</v>
      </c>
      <c r="J306" s="1" t="s">
        <v>23</v>
      </c>
      <c r="K306" s="1"/>
      <c r="L306" s="1" t="s">
        <v>2686</v>
      </c>
      <c r="M306" s="1" t="s">
        <v>2687</v>
      </c>
      <c r="N306" s="1" t="s">
        <v>2688</v>
      </c>
      <c r="O306" s="1" t="s">
        <v>2689</v>
      </c>
      <c r="P306" s="1" t="s">
        <v>2690</v>
      </c>
      <c r="Q306" s="1" t="s">
        <v>2691</v>
      </c>
      <c r="R306" s="1" t="s">
        <v>2692</v>
      </c>
      <c r="S306" s="1" t="s">
        <v>2693</v>
      </c>
      <c r="T306" s="1" t="s">
        <v>2694</v>
      </c>
      <c r="U306">
        <v>101.08</v>
      </c>
      <c r="V306">
        <v>64.44</v>
      </c>
      <c r="W306">
        <v>16.810813</v>
      </c>
      <c r="X306">
        <v>107.05588299999999</v>
      </c>
      <c r="Y306">
        <v>36.65</v>
      </c>
      <c r="Z306">
        <v>16.804551</v>
      </c>
      <c r="AA306">
        <v>107.040873</v>
      </c>
      <c r="AB306" s="5">
        <f t="shared" si="25"/>
        <v>9.6659999999999996E-2</v>
      </c>
      <c r="AC306" s="5">
        <f t="shared" si="26"/>
        <v>5.4974999999999996E-2</v>
      </c>
      <c r="AD306" s="1" t="str">
        <f t="shared" si="27"/>
        <v>Cửa Việt</v>
      </c>
      <c r="AE306" s="1" t="str">
        <f t="shared" si="28"/>
        <v>Hiếu Giang</v>
      </c>
      <c r="AG306">
        <f t="shared" si="29"/>
        <v>6.4439999999999997E-2</v>
      </c>
      <c r="AH306">
        <f t="shared" si="30"/>
        <v>3.6650000000000002E-2</v>
      </c>
      <c r="AI306">
        <f>VLOOKUP(L306,'[1]Tuyến cáp H04'!$B:$E,3,0)/1000</f>
        <v>22.654578000000004</v>
      </c>
      <c r="AJ306" t="str">
        <f>VLOOKUP(L306,'[1]Tuyến cáp H04'!$B:$E,4,0)</f>
        <v>Mạng cấp 4</v>
      </c>
    </row>
    <row r="307" spans="1:36" x14ac:dyDescent="0.25">
      <c r="A307" s="1" t="s">
        <v>2695</v>
      </c>
      <c r="B307" s="1" t="s">
        <v>2696</v>
      </c>
      <c r="C307" s="1" t="s">
        <v>2697</v>
      </c>
      <c r="D307" s="1" t="s">
        <v>2683</v>
      </c>
      <c r="E307" s="1" t="s">
        <v>2684</v>
      </c>
      <c r="F307" s="1" t="s">
        <v>2698</v>
      </c>
      <c r="G307" s="1" t="s">
        <v>14129</v>
      </c>
      <c r="H307" s="1" t="s">
        <v>14130</v>
      </c>
      <c r="I307" s="1" t="s">
        <v>14430</v>
      </c>
      <c r="J307" s="1" t="s">
        <v>23</v>
      </c>
      <c r="K307" s="1"/>
      <c r="L307" s="1" t="s">
        <v>2686</v>
      </c>
      <c r="M307" s="1" t="s">
        <v>2699</v>
      </c>
      <c r="N307" s="1" t="s">
        <v>2700</v>
      </c>
      <c r="O307" s="1" t="s">
        <v>2701</v>
      </c>
      <c r="P307" s="1" t="s">
        <v>2702</v>
      </c>
      <c r="Q307" s="1" t="s">
        <v>2691</v>
      </c>
      <c r="R307" s="1" t="s">
        <v>2692</v>
      </c>
      <c r="S307" s="1" t="s">
        <v>2693</v>
      </c>
      <c r="T307" s="1" t="s">
        <v>2694</v>
      </c>
      <c r="U307">
        <v>1511.86</v>
      </c>
      <c r="V307">
        <v>1475.22</v>
      </c>
      <c r="W307">
        <v>16.806809999999999</v>
      </c>
      <c r="X307">
        <v>107.04599399999999</v>
      </c>
      <c r="Y307">
        <v>36.65</v>
      </c>
      <c r="Z307">
        <v>16.804551</v>
      </c>
      <c r="AA307">
        <v>107.040873</v>
      </c>
      <c r="AB307" s="5">
        <f t="shared" si="25"/>
        <v>2.2128299999999999</v>
      </c>
      <c r="AC307" s="5">
        <f t="shared" si="26"/>
        <v>5.4974999999999996E-2</v>
      </c>
      <c r="AD307" s="1" t="str">
        <f t="shared" si="27"/>
        <v>Cửa Việt</v>
      </c>
      <c r="AE307" s="1" t="str">
        <f t="shared" si="28"/>
        <v>Hiếu Giang</v>
      </c>
      <c r="AG307">
        <f t="shared" si="29"/>
        <v>1.47522</v>
      </c>
      <c r="AH307">
        <f t="shared" si="30"/>
        <v>3.6650000000000002E-2</v>
      </c>
      <c r="AI307">
        <f>VLOOKUP(L307,'[1]Tuyến cáp H04'!$B:$E,3,0)/1000</f>
        <v>22.654578000000004</v>
      </c>
      <c r="AJ307" t="str">
        <f>VLOOKUP(L307,'[1]Tuyến cáp H04'!$B:$E,4,0)</f>
        <v>Mạng cấp 4</v>
      </c>
    </row>
    <row r="308" spans="1:36" x14ac:dyDescent="0.25">
      <c r="A308" s="1" t="s">
        <v>2703</v>
      </c>
      <c r="B308" s="1" t="s">
        <v>2704</v>
      </c>
      <c r="C308" s="1" t="s">
        <v>2705</v>
      </c>
      <c r="D308" s="1" t="s">
        <v>2706</v>
      </c>
      <c r="E308" s="1" t="s">
        <v>2707</v>
      </c>
      <c r="F308" s="1" t="s">
        <v>2708</v>
      </c>
      <c r="G308" s="1" t="s">
        <v>14129</v>
      </c>
      <c r="H308" s="1" t="s">
        <v>14130</v>
      </c>
      <c r="I308" s="1" t="s">
        <v>14431</v>
      </c>
      <c r="J308" s="1" t="s">
        <v>23</v>
      </c>
      <c r="K308" s="1"/>
      <c r="L308" s="1" t="s">
        <v>2686</v>
      </c>
      <c r="M308" s="1" t="s">
        <v>2709</v>
      </c>
      <c r="N308" s="1" t="s">
        <v>2710</v>
      </c>
      <c r="O308" s="1" t="s">
        <v>2711</v>
      </c>
      <c r="P308" s="1" t="s">
        <v>2712</v>
      </c>
      <c r="Q308" s="1" t="s">
        <v>2713</v>
      </c>
      <c r="R308" s="1" t="s">
        <v>2714</v>
      </c>
      <c r="S308" s="1" t="s">
        <v>2715</v>
      </c>
      <c r="T308" s="1" t="s">
        <v>2716</v>
      </c>
      <c r="U308">
        <v>56.57</v>
      </c>
      <c r="V308">
        <v>44.34</v>
      </c>
      <c r="W308">
        <v>16.90136</v>
      </c>
      <c r="X308">
        <v>107.172324</v>
      </c>
      <c r="Y308">
        <v>12.23</v>
      </c>
      <c r="Z308">
        <v>16.905640999999999</v>
      </c>
      <c r="AA308">
        <v>107.176884</v>
      </c>
      <c r="AB308" s="5">
        <f t="shared" si="25"/>
        <v>6.651E-2</v>
      </c>
      <c r="AC308" s="5">
        <f t="shared" si="26"/>
        <v>1.8345E-2</v>
      </c>
      <c r="AD308" s="1" t="str">
        <f t="shared" si="27"/>
        <v>Cửa Việt</v>
      </c>
      <c r="AE308" s="1" t="str">
        <f t="shared" si="28"/>
        <v>Hiếu Giang</v>
      </c>
      <c r="AG308">
        <f t="shared" si="29"/>
        <v>4.4340000000000004E-2</v>
      </c>
      <c r="AH308">
        <f t="shared" si="30"/>
        <v>1.2230000000000001E-2</v>
      </c>
      <c r="AI308">
        <f>VLOOKUP(L308,'[1]Tuyến cáp H04'!$B:$E,3,0)/1000</f>
        <v>22.654578000000004</v>
      </c>
      <c r="AJ308" t="str">
        <f>VLOOKUP(L308,'[1]Tuyến cáp H04'!$B:$E,4,0)</f>
        <v>Mạng cấp 4</v>
      </c>
    </row>
    <row r="309" spans="1:36" x14ac:dyDescent="0.25">
      <c r="A309" s="1" t="s">
        <v>2717</v>
      </c>
      <c r="B309" s="1" t="s">
        <v>2718</v>
      </c>
      <c r="C309" s="1" t="s">
        <v>2719</v>
      </c>
      <c r="D309" s="1" t="s">
        <v>2683</v>
      </c>
      <c r="E309" s="1" t="s">
        <v>2684</v>
      </c>
      <c r="F309" s="1" t="s">
        <v>2720</v>
      </c>
      <c r="G309" s="1" t="s">
        <v>14129</v>
      </c>
      <c r="H309" s="1" t="s">
        <v>14130</v>
      </c>
      <c r="I309" s="1" t="s">
        <v>14432</v>
      </c>
      <c r="J309" s="1" t="s">
        <v>23</v>
      </c>
      <c r="K309" s="1"/>
      <c r="L309" s="1" t="s">
        <v>2721</v>
      </c>
      <c r="M309" s="1" t="s">
        <v>2722</v>
      </c>
      <c r="N309" s="1" t="s">
        <v>2723</v>
      </c>
      <c r="O309" s="1" t="s">
        <v>2724</v>
      </c>
      <c r="P309" s="1" t="s">
        <v>2725</v>
      </c>
      <c r="Q309" s="1" t="s">
        <v>2726</v>
      </c>
      <c r="R309" s="1" t="s">
        <v>2727</v>
      </c>
      <c r="S309" s="1" t="s">
        <v>2728</v>
      </c>
      <c r="T309" s="1" t="s">
        <v>2729</v>
      </c>
      <c r="U309">
        <v>72.58</v>
      </c>
      <c r="V309">
        <v>40.58</v>
      </c>
      <c r="W309">
        <v>16.816952000000001</v>
      </c>
      <c r="X309">
        <v>107.07738999999999</v>
      </c>
      <c r="Y309">
        <v>32</v>
      </c>
      <c r="Z309">
        <v>16.804628000000001</v>
      </c>
      <c r="AA309">
        <v>107.040678</v>
      </c>
      <c r="AB309" s="5">
        <f t="shared" si="25"/>
        <v>6.087E-2</v>
      </c>
      <c r="AC309" s="5">
        <f t="shared" si="26"/>
        <v>4.8000000000000001E-2</v>
      </c>
      <c r="AD309" s="1" t="str">
        <f t="shared" si="27"/>
        <v>Cam Lộ</v>
      </c>
      <c r="AE309" s="1" t="str">
        <f t="shared" si="28"/>
        <v>Nam Đông Hà</v>
      </c>
      <c r="AG309">
        <f t="shared" si="29"/>
        <v>4.0579999999999998E-2</v>
      </c>
      <c r="AH309">
        <f t="shared" si="30"/>
        <v>3.2000000000000001E-2</v>
      </c>
      <c r="AI309" t="e">
        <f>VLOOKUP(L309,'[1]Tuyến cáp H04'!$B:$E,3,0)/1000</f>
        <v>#N/A</v>
      </c>
      <c r="AJ309" t="e">
        <f>VLOOKUP(L309,'[1]Tuyến cáp H04'!$B:$E,4,0)</f>
        <v>#N/A</v>
      </c>
    </row>
    <row r="310" spans="1:36" x14ac:dyDescent="0.25">
      <c r="A310" s="1" t="s">
        <v>2730</v>
      </c>
      <c r="B310" s="1" t="s">
        <v>2683</v>
      </c>
      <c r="C310" s="1" t="s">
        <v>2684</v>
      </c>
      <c r="D310" s="1" t="s">
        <v>2731</v>
      </c>
      <c r="E310" s="1" t="s">
        <v>2732</v>
      </c>
      <c r="F310" s="1" t="s">
        <v>2733</v>
      </c>
      <c r="G310" s="1" t="s">
        <v>14129</v>
      </c>
      <c r="H310" s="1" t="s">
        <v>14130</v>
      </c>
      <c r="I310" s="1" t="s">
        <v>14433</v>
      </c>
      <c r="J310" s="1" t="s">
        <v>23</v>
      </c>
      <c r="K310" s="1"/>
      <c r="L310" s="1" t="s">
        <v>2734</v>
      </c>
      <c r="M310" s="1" t="s">
        <v>2735</v>
      </c>
      <c r="N310" s="1" t="s">
        <v>2736</v>
      </c>
      <c r="O310" s="1" t="s">
        <v>2737</v>
      </c>
      <c r="P310" s="1" t="s">
        <v>2738</v>
      </c>
      <c r="Q310" s="1" t="s">
        <v>2739</v>
      </c>
      <c r="R310" s="1" t="s">
        <v>2740</v>
      </c>
      <c r="S310" s="1" t="s">
        <v>2741</v>
      </c>
      <c r="T310" s="1" t="s">
        <v>2742</v>
      </c>
      <c r="U310">
        <v>480.57</v>
      </c>
      <c r="V310">
        <v>455.33</v>
      </c>
      <c r="W310">
        <v>16.800270000000001</v>
      </c>
      <c r="X310">
        <v>107.040229</v>
      </c>
      <c r="Y310">
        <v>25.24</v>
      </c>
      <c r="Z310">
        <v>16.807245999999999</v>
      </c>
      <c r="AA310">
        <v>106.99248</v>
      </c>
      <c r="AB310" s="5">
        <f t="shared" si="25"/>
        <v>0.68299500000000002</v>
      </c>
      <c r="AC310" s="5">
        <f t="shared" si="26"/>
        <v>3.7859999999999998E-2</v>
      </c>
      <c r="AD310" s="1" t="str">
        <f t="shared" si="27"/>
        <v>Cơ sở cai nghiện (Cam Hiếu, Cam Lộ)</v>
      </c>
      <c r="AE310" s="1" t="str">
        <f t="shared" si="28"/>
        <v>TTCMKV Cam Lộ</v>
      </c>
      <c r="AG310">
        <f t="shared" si="29"/>
        <v>0.45532999999999996</v>
      </c>
      <c r="AH310">
        <f t="shared" si="30"/>
        <v>2.5239999999999999E-2</v>
      </c>
      <c r="AI310">
        <f>VLOOKUP(L310,'[1]Tuyến cáp H04'!$B:$E,3,0)/1000</f>
        <v>8.266138999999999</v>
      </c>
      <c r="AJ310" t="str">
        <f>VLOOKUP(L310,'[1]Tuyến cáp H04'!$B:$E,4,0)</f>
        <v>Mạng cấp 3</v>
      </c>
    </row>
    <row r="311" spans="1:36" x14ac:dyDescent="0.25">
      <c r="A311" s="1" t="s">
        <v>2743</v>
      </c>
      <c r="B311" s="1" t="s">
        <v>2744</v>
      </c>
      <c r="C311" s="1" t="s">
        <v>2745</v>
      </c>
      <c r="D311" s="1" t="s">
        <v>2706</v>
      </c>
      <c r="E311" s="1" t="s">
        <v>2707</v>
      </c>
      <c r="F311" s="1" t="s">
        <v>2746</v>
      </c>
      <c r="G311" s="1" t="s">
        <v>14129</v>
      </c>
      <c r="H311" s="1" t="s">
        <v>14130</v>
      </c>
      <c r="I311" s="1" t="s">
        <v>14434</v>
      </c>
      <c r="J311" s="1" t="s">
        <v>23</v>
      </c>
      <c r="K311" s="1"/>
      <c r="L311" s="1" t="s">
        <v>2686</v>
      </c>
      <c r="M311" s="1" t="s">
        <v>2747</v>
      </c>
      <c r="N311" s="1" t="s">
        <v>2748</v>
      </c>
      <c r="O311" s="1" t="s">
        <v>2749</v>
      </c>
      <c r="P311" s="1" t="s">
        <v>2750</v>
      </c>
      <c r="Q311" s="1" t="s">
        <v>2751</v>
      </c>
      <c r="R311" s="1" t="s">
        <v>2752</v>
      </c>
      <c r="S311" s="1" t="s">
        <v>2753</v>
      </c>
      <c r="T311" s="1" t="s">
        <v>2754</v>
      </c>
      <c r="U311">
        <v>8215.07</v>
      </c>
      <c r="V311">
        <v>4809.76</v>
      </c>
      <c r="W311">
        <v>16.858868000000001</v>
      </c>
      <c r="X311">
        <v>107.116151</v>
      </c>
      <c r="Y311">
        <v>3405.32</v>
      </c>
      <c r="Z311">
        <v>16.886192999999999</v>
      </c>
      <c r="AA311">
        <v>107.15227</v>
      </c>
      <c r="AB311" s="5">
        <f t="shared" si="25"/>
        <v>7.2146400000000002</v>
      </c>
      <c r="AC311" s="5">
        <f t="shared" si="26"/>
        <v>5.1079800000000004</v>
      </c>
      <c r="AD311" s="1" t="str">
        <f t="shared" si="27"/>
        <v>Cửa Việt</v>
      </c>
      <c r="AE311" s="1" t="str">
        <f t="shared" si="28"/>
        <v>Hiếu Giang</v>
      </c>
      <c r="AG311">
        <f t="shared" si="29"/>
        <v>4.8097599999999998</v>
      </c>
      <c r="AH311">
        <f t="shared" si="30"/>
        <v>3.4053200000000001</v>
      </c>
      <c r="AI311">
        <f>VLOOKUP(L311,'[1]Tuyến cáp H04'!$B:$E,3,0)/1000</f>
        <v>22.654578000000004</v>
      </c>
      <c r="AJ311" t="str">
        <f>VLOOKUP(L311,'[1]Tuyến cáp H04'!$B:$E,4,0)</f>
        <v>Mạng cấp 4</v>
      </c>
    </row>
    <row r="312" spans="1:36" x14ac:dyDescent="0.25">
      <c r="A312" s="1" t="s">
        <v>2755</v>
      </c>
      <c r="B312" s="1" t="s">
        <v>2706</v>
      </c>
      <c r="C312" s="1" t="s">
        <v>2707</v>
      </c>
      <c r="D312" s="1" t="s">
        <v>2756</v>
      </c>
      <c r="E312" s="1" t="s">
        <v>2757</v>
      </c>
      <c r="F312" s="1" t="s">
        <v>2758</v>
      </c>
      <c r="G312" s="1" t="s">
        <v>14129</v>
      </c>
      <c r="H312" s="1" t="s">
        <v>14130</v>
      </c>
      <c r="I312" s="1" t="s">
        <v>14435</v>
      </c>
      <c r="J312" s="1" t="s">
        <v>23</v>
      </c>
      <c r="K312" s="1"/>
      <c r="L312" s="1" t="s">
        <v>2759</v>
      </c>
      <c r="M312" s="1" t="s">
        <v>2760</v>
      </c>
      <c r="N312" s="1" t="s">
        <v>2761</v>
      </c>
      <c r="O312" s="1" t="s">
        <v>2762</v>
      </c>
      <c r="P312" s="1" t="s">
        <v>2763</v>
      </c>
      <c r="Q312" s="1" t="s">
        <v>2764</v>
      </c>
      <c r="R312" s="1" t="s">
        <v>2765</v>
      </c>
      <c r="S312" s="1" t="s">
        <v>2766</v>
      </c>
      <c r="T312" s="1" t="s">
        <v>2767</v>
      </c>
      <c r="U312">
        <v>3488.89</v>
      </c>
      <c r="V312">
        <v>584.17999999999995</v>
      </c>
      <c r="W312">
        <v>16.90917</v>
      </c>
      <c r="X312">
        <v>107.18106899999999</v>
      </c>
      <c r="Y312">
        <v>2904.71</v>
      </c>
      <c r="Z312">
        <v>16.944780999999999</v>
      </c>
      <c r="AA312">
        <v>107.152832</v>
      </c>
      <c r="AB312" s="5">
        <f t="shared" si="25"/>
        <v>0.87626999999999999</v>
      </c>
      <c r="AC312" s="5">
        <f t="shared" si="26"/>
        <v>4.3570650000000004</v>
      </c>
      <c r="AD312" s="1" t="str">
        <f t="shared" si="27"/>
        <v>Cửa Tùng</v>
      </c>
      <c r="AE312" s="1" t="str">
        <f t="shared" si="28"/>
        <v>Phòng PH10 (Nhà Nghỉ dưỡng Cửa Việt)</v>
      </c>
      <c r="AG312">
        <f t="shared" si="29"/>
        <v>0.58417999999999992</v>
      </c>
      <c r="AH312">
        <f t="shared" si="30"/>
        <v>2.9047100000000001</v>
      </c>
      <c r="AI312">
        <f>VLOOKUP(L312,'[1]Tuyến cáp H04'!$B:$E,3,0)/1000</f>
        <v>21.485168000000002</v>
      </c>
      <c r="AJ312" t="str">
        <f>VLOOKUP(L312,'[1]Tuyến cáp H04'!$B:$E,4,0)</f>
        <v>Mạng cấp 4</v>
      </c>
    </row>
    <row r="313" spans="1:36" x14ac:dyDescent="0.25">
      <c r="A313" s="1" t="s">
        <v>2768</v>
      </c>
      <c r="B313" s="1" t="s">
        <v>2756</v>
      </c>
      <c r="C313" s="1" t="s">
        <v>2757</v>
      </c>
      <c r="D313" s="1" t="s">
        <v>2769</v>
      </c>
      <c r="E313" s="1" t="s">
        <v>2770</v>
      </c>
      <c r="F313" s="1" t="s">
        <v>2771</v>
      </c>
      <c r="G313" s="1" t="s">
        <v>14129</v>
      </c>
      <c r="H313" s="1" t="s">
        <v>14130</v>
      </c>
      <c r="I313" s="1" t="s">
        <v>14436</v>
      </c>
      <c r="J313" s="1" t="s">
        <v>23</v>
      </c>
      <c r="K313" s="1"/>
      <c r="L313" s="1" t="s">
        <v>2759</v>
      </c>
      <c r="M313" s="1" t="s">
        <v>2772</v>
      </c>
      <c r="N313" s="1" t="s">
        <v>2773</v>
      </c>
      <c r="O313" s="1" t="s">
        <v>2774</v>
      </c>
      <c r="P313" s="1" t="s">
        <v>2775</v>
      </c>
      <c r="Q313" s="1" t="s">
        <v>2776</v>
      </c>
      <c r="R313" s="1" t="s">
        <v>2777</v>
      </c>
      <c r="S313" s="1" t="s">
        <v>2778</v>
      </c>
      <c r="T313" s="1" t="s">
        <v>2779</v>
      </c>
      <c r="U313">
        <v>1654.97</v>
      </c>
      <c r="V313">
        <v>1632.07</v>
      </c>
      <c r="W313">
        <v>16.978663999999998</v>
      </c>
      <c r="X313">
        <v>107.129091</v>
      </c>
      <c r="Y313">
        <v>22.9</v>
      </c>
      <c r="Z313">
        <v>16.988969000000001</v>
      </c>
      <c r="AA313">
        <v>107.106525</v>
      </c>
      <c r="AB313" s="5">
        <f t="shared" si="25"/>
        <v>2.448105</v>
      </c>
      <c r="AC313" s="5">
        <f t="shared" si="26"/>
        <v>3.4349999999999992E-2</v>
      </c>
      <c r="AD313" s="1" t="str">
        <f t="shared" si="27"/>
        <v>Cửa Tùng</v>
      </c>
      <c r="AE313" s="1" t="str">
        <f t="shared" si="28"/>
        <v>Phòng PH10 (Nhà Nghỉ dưỡng Cửa Việt)</v>
      </c>
      <c r="AG313">
        <f t="shared" si="29"/>
        <v>1.6320699999999999</v>
      </c>
      <c r="AH313">
        <f t="shared" si="30"/>
        <v>2.29E-2</v>
      </c>
      <c r="AI313">
        <f>VLOOKUP(L313,'[1]Tuyến cáp H04'!$B:$E,3,0)/1000</f>
        <v>21.485168000000002</v>
      </c>
      <c r="AJ313" t="str">
        <f>VLOOKUP(L313,'[1]Tuyến cáp H04'!$B:$E,4,0)</f>
        <v>Mạng cấp 4</v>
      </c>
    </row>
    <row r="314" spans="1:36" x14ac:dyDescent="0.25">
      <c r="A314" s="1" t="s">
        <v>2780</v>
      </c>
      <c r="B314" s="1" t="s">
        <v>2769</v>
      </c>
      <c r="C314" s="1" t="s">
        <v>2770</v>
      </c>
      <c r="D314" s="1" t="s">
        <v>2781</v>
      </c>
      <c r="E314" s="1" t="s">
        <v>2782</v>
      </c>
      <c r="F314" s="1" t="s">
        <v>2783</v>
      </c>
      <c r="G314" s="1" t="s">
        <v>14129</v>
      </c>
      <c r="H314" s="1" t="s">
        <v>14130</v>
      </c>
      <c r="I314" s="1" t="s">
        <v>14437</v>
      </c>
      <c r="J314" s="1" t="s">
        <v>23</v>
      </c>
      <c r="K314" s="1"/>
      <c r="L314" s="1" t="s">
        <v>2784</v>
      </c>
      <c r="M314" s="1" t="s">
        <v>2785</v>
      </c>
      <c r="N314" s="1" t="s">
        <v>2786</v>
      </c>
      <c r="O314" s="1" t="s">
        <v>2787</v>
      </c>
      <c r="P314" s="1" t="s">
        <v>2788</v>
      </c>
      <c r="Q314" s="1" t="s">
        <v>2789</v>
      </c>
      <c r="R314" s="1" t="s">
        <v>2790</v>
      </c>
      <c r="S314" s="1" t="s">
        <v>2791</v>
      </c>
      <c r="T314" s="1" t="s">
        <v>2792</v>
      </c>
      <c r="U314">
        <v>784.07</v>
      </c>
      <c r="V314">
        <v>21.88</v>
      </c>
      <c r="W314">
        <v>16.988904000000002</v>
      </c>
      <c r="X314">
        <v>107.106632</v>
      </c>
      <c r="Y314">
        <v>762.2</v>
      </c>
      <c r="Z314">
        <v>16.970361</v>
      </c>
      <c r="AA314">
        <v>107.075029</v>
      </c>
      <c r="AB314" s="5">
        <f t="shared" si="25"/>
        <v>3.2820000000000002E-2</v>
      </c>
      <c r="AC314" s="5">
        <f t="shared" si="26"/>
        <v>1.1433000000000002</v>
      </c>
      <c r="AD314" s="1" t="str">
        <f t="shared" si="27"/>
        <v>Bến Hải</v>
      </c>
      <c r="AE314" s="1" t="str">
        <f t="shared" si="28"/>
        <v>PC07 (Đội PCCC khu vực 4)</v>
      </c>
      <c r="AG314">
        <f t="shared" si="29"/>
        <v>2.188E-2</v>
      </c>
      <c r="AH314">
        <f t="shared" si="30"/>
        <v>0.7622000000000001</v>
      </c>
      <c r="AI314">
        <f>VLOOKUP(L314,'[1]Tuyến cáp H04'!$B:$E,3,0)/1000</f>
        <v>12.900144000000001</v>
      </c>
      <c r="AJ314" t="str">
        <f>VLOOKUP(L314,'[1]Tuyến cáp H04'!$B:$E,4,0)</f>
        <v>Mạng cấp 4</v>
      </c>
    </row>
    <row r="315" spans="1:36" x14ac:dyDescent="0.25">
      <c r="A315" s="1" t="s">
        <v>2793</v>
      </c>
      <c r="B315" s="1" t="s">
        <v>2794</v>
      </c>
      <c r="C315" s="1" t="s">
        <v>2795</v>
      </c>
      <c r="D315" s="1" t="s">
        <v>2731</v>
      </c>
      <c r="E315" s="1" t="s">
        <v>2732</v>
      </c>
      <c r="F315" s="1" t="s">
        <v>2796</v>
      </c>
      <c r="G315" s="1" t="s">
        <v>14129</v>
      </c>
      <c r="H315" s="1" t="s">
        <v>14130</v>
      </c>
      <c r="I315" s="1" t="s">
        <v>14438</v>
      </c>
      <c r="J315" s="1" t="s">
        <v>23</v>
      </c>
      <c r="K315" s="1"/>
      <c r="L315" s="1" t="s">
        <v>2797</v>
      </c>
      <c r="M315" s="1" t="s">
        <v>2798</v>
      </c>
      <c r="N315" s="1" t="s">
        <v>2799</v>
      </c>
      <c r="O315" s="1" t="s">
        <v>2800</v>
      </c>
      <c r="P315" s="1" t="s">
        <v>2801</v>
      </c>
      <c r="Q315" s="1" t="s">
        <v>2802</v>
      </c>
      <c r="R315" s="1" t="s">
        <v>2803</v>
      </c>
      <c r="S315" s="1" t="s">
        <v>2804</v>
      </c>
      <c r="T315" s="1" t="s">
        <v>2805</v>
      </c>
      <c r="U315">
        <v>305.69</v>
      </c>
      <c r="V315">
        <v>99.07</v>
      </c>
      <c r="W315">
        <v>16.827306</v>
      </c>
      <c r="X315">
        <v>107.003486</v>
      </c>
      <c r="Y315">
        <v>206.63</v>
      </c>
      <c r="Z315">
        <v>16.808361000000001</v>
      </c>
      <c r="AA315">
        <v>106.994315</v>
      </c>
      <c r="AB315" s="5">
        <f t="shared" si="25"/>
        <v>0.14860499999999999</v>
      </c>
      <c r="AC315" s="5">
        <f t="shared" si="26"/>
        <v>0.30994499999999997</v>
      </c>
      <c r="AD315" s="1" t="str">
        <f t="shared" si="27"/>
        <v>Cam Lộ</v>
      </c>
      <c r="AE315" s="1" t="str">
        <f t="shared" si="28"/>
        <v>Vĩnh Linh</v>
      </c>
      <c r="AG315">
        <f t="shared" si="29"/>
        <v>9.9069999999999991E-2</v>
      </c>
      <c r="AH315">
        <f t="shared" si="30"/>
        <v>0.20663000000000001</v>
      </c>
      <c r="AI315">
        <f>VLOOKUP(L315,'[1]Tuyến cáp H04'!$B:$E,3,0)/1000</f>
        <v>50.119461999999999</v>
      </c>
      <c r="AJ315" t="str">
        <f>VLOOKUP(L315,'[1]Tuyến cáp H04'!$B:$E,4,0)</f>
        <v>Mạng cấp 3</v>
      </c>
    </row>
    <row r="316" spans="1:36" x14ac:dyDescent="0.25">
      <c r="A316" s="1" t="s">
        <v>2806</v>
      </c>
      <c r="B316" s="1" t="s">
        <v>2731</v>
      </c>
      <c r="C316" s="1" t="s">
        <v>2732</v>
      </c>
      <c r="D316" s="1" t="s">
        <v>2807</v>
      </c>
      <c r="E316" s="1" t="s">
        <v>2808</v>
      </c>
      <c r="F316" s="1" t="s">
        <v>2809</v>
      </c>
      <c r="G316" s="1" t="s">
        <v>14129</v>
      </c>
      <c r="H316" s="1" t="s">
        <v>14130</v>
      </c>
      <c r="I316" s="1" t="s">
        <v>14439</v>
      </c>
      <c r="J316" s="1" t="s">
        <v>23</v>
      </c>
      <c r="K316" s="1"/>
      <c r="L316" s="1" t="s">
        <v>2639</v>
      </c>
      <c r="M316" s="1" t="s">
        <v>2810</v>
      </c>
      <c r="N316" s="1" t="s">
        <v>2811</v>
      </c>
      <c r="O316" s="1" t="s">
        <v>2812</v>
      </c>
      <c r="P316" s="1" t="s">
        <v>2741</v>
      </c>
      <c r="Q316" s="1" t="s">
        <v>2813</v>
      </c>
      <c r="R316" s="1" t="s">
        <v>2814</v>
      </c>
      <c r="S316" s="1" t="s">
        <v>2815</v>
      </c>
      <c r="T316" s="1" t="s">
        <v>2816</v>
      </c>
      <c r="U316">
        <v>140.93</v>
      </c>
      <c r="V316">
        <v>25.04</v>
      </c>
      <c r="W316">
        <v>16.80725</v>
      </c>
      <c r="X316">
        <v>106.99248</v>
      </c>
      <c r="Y316">
        <v>115.89</v>
      </c>
      <c r="Z316">
        <v>16.794359</v>
      </c>
      <c r="AA316">
        <v>106.968371</v>
      </c>
      <c r="AB316" s="5">
        <f t="shared" si="25"/>
        <v>3.7560000000000003E-2</v>
      </c>
      <c r="AC316" s="5">
        <f t="shared" si="26"/>
        <v>0.17383500000000002</v>
      </c>
      <c r="AD316" s="1" t="str">
        <f t="shared" si="27"/>
        <v>TT2 Quảng Trị</v>
      </c>
      <c r="AE316" s="1" t="str">
        <f t="shared" si="28"/>
        <v>Đăk Rông</v>
      </c>
      <c r="AG316">
        <f t="shared" si="29"/>
        <v>2.504E-2</v>
      </c>
      <c r="AH316">
        <f t="shared" si="30"/>
        <v>0.11589000000000001</v>
      </c>
      <c r="AI316">
        <f>VLOOKUP(L316,'[1]Tuyến cáp H04'!$B:$E,3,0)/1000</f>
        <v>39.223027999999999</v>
      </c>
      <c r="AJ316" t="str">
        <f>VLOOKUP(L316,'[1]Tuyến cáp H04'!$B:$E,4,0)</f>
        <v>Mạng cấp 3</v>
      </c>
    </row>
    <row r="317" spans="1:36" x14ac:dyDescent="0.25">
      <c r="A317" s="1" t="s">
        <v>2817</v>
      </c>
      <c r="B317" s="1" t="s">
        <v>2818</v>
      </c>
      <c r="C317" s="1" t="s">
        <v>2819</v>
      </c>
      <c r="D317" s="1" t="s">
        <v>2820</v>
      </c>
      <c r="E317" s="1" t="s">
        <v>2821</v>
      </c>
      <c r="F317" s="1" t="s">
        <v>2822</v>
      </c>
      <c r="G317" s="1" t="s">
        <v>14129</v>
      </c>
      <c r="H317" s="1" t="s">
        <v>14130</v>
      </c>
      <c r="I317" s="1" t="s">
        <v>14440</v>
      </c>
      <c r="J317" s="1" t="s">
        <v>23</v>
      </c>
      <c r="K317" s="1"/>
      <c r="L317" s="1" t="s">
        <v>2823</v>
      </c>
      <c r="M317" s="1" t="s">
        <v>2824</v>
      </c>
      <c r="N317" s="1" t="s">
        <v>2825</v>
      </c>
      <c r="O317" s="1" t="s">
        <v>2826</v>
      </c>
      <c r="P317" s="1" t="s">
        <v>2827</v>
      </c>
      <c r="Q317" s="1" t="s">
        <v>2828</v>
      </c>
      <c r="R317" s="1" t="s">
        <v>2829</v>
      </c>
      <c r="S317" s="1" t="s">
        <v>2830</v>
      </c>
      <c r="T317" s="1" t="s">
        <v>2831</v>
      </c>
      <c r="U317">
        <v>832.84</v>
      </c>
      <c r="V317">
        <v>170.69</v>
      </c>
      <c r="W317">
        <v>16.814188999999999</v>
      </c>
      <c r="X317">
        <v>107.10494</v>
      </c>
      <c r="Y317">
        <v>662.15</v>
      </c>
      <c r="Z317">
        <v>16.810613</v>
      </c>
      <c r="AA317">
        <v>107.10834</v>
      </c>
      <c r="AB317" s="5">
        <f t="shared" si="25"/>
        <v>0.25603499999999996</v>
      </c>
      <c r="AC317" s="5">
        <f t="shared" si="26"/>
        <v>0.99322499999999991</v>
      </c>
      <c r="AD317" s="1" t="str">
        <f t="shared" si="27"/>
        <v>PA09</v>
      </c>
      <c r="AE317" s="1" t="str">
        <f t="shared" si="28"/>
        <v>TP Đông Hà</v>
      </c>
      <c r="AG317">
        <f t="shared" si="29"/>
        <v>0.17069000000000001</v>
      </c>
      <c r="AH317">
        <f t="shared" si="30"/>
        <v>0.66215000000000002</v>
      </c>
      <c r="AI317">
        <f>VLOOKUP(L317,'[1]Tuyến cáp H04'!$B:$E,3,0)/1000</f>
        <v>4.1191640000000005</v>
      </c>
      <c r="AJ317" t="str">
        <f>VLOOKUP(L317,'[1]Tuyến cáp H04'!$B:$E,4,0)</f>
        <v>Mạng cấp 3</v>
      </c>
    </row>
    <row r="318" spans="1:36" x14ac:dyDescent="0.25">
      <c r="A318" s="1" t="s">
        <v>2832</v>
      </c>
      <c r="B318" s="1" t="s">
        <v>2833</v>
      </c>
      <c r="C318" s="1" t="s">
        <v>2834</v>
      </c>
      <c r="D318" s="1" t="s">
        <v>2835</v>
      </c>
      <c r="E318" s="1" t="s">
        <v>2836</v>
      </c>
      <c r="F318" s="1" t="s">
        <v>2837</v>
      </c>
      <c r="G318" s="1" t="s">
        <v>14129</v>
      </c>
      <c r="H318" s="1" t="s">
        <v>14133</v>
      </c>
      <c r="I318" s="1" t="s">
        <v>14441</v>
      </c>
      <c r="J318" s="1" t="s">
        <v>23</v>
      </c>
      <c r="K318" s="1"/>
      <c r="L318" s="1" t="s">
        <v>2665</v>
      </c>
      <c r="M318" s="1" t="s">
        <v>2838</v>
      </c>
      <c r="N318" s="1" t="s">
        <v>2839</v>
      </c>
      <c r="O318" s="1" t="s">
        <v>2840</v>
      </c>
      <c r="P318" s="1" t="s">
        <v>2841</v>
      </c>
      <c r="Q318" s="1" t="s">
        <v>2842</v>
      </c>
      <c r="R318" s="1" t="s">
        <v>2843</v>
      </c>
      <c r="S318" s="1" t="s">
        <v>2844</v>
      </c>
      <c r="T318" s="1" t="s">
        <v>2845</v>
      </c>
      <c r="U318">
        <v>15092.01</v>
      </c>
      <c r="V318">
        <v>15061.66</v>
      </c>
      <c r="W318">
        <v>16.746936999999999</v>
      </c>
      <c r="X318">
        <v>107.194355</v>
      </c>
      <c r="Y318">
        <v>30.35</v>
      </c>
      <c r="Z318">
        <v>16.692073000000001</v>
      </c>
      <c r="AA318">
        <v>107.245351</v>
      </c>
      <c r="AB318" s="5">
        <f t="shared" si="25"/>
        <v>22.592489999999998</v>
      </c>
      <c r="AC318" s="5">
        <f t="shared" si="26"/>
        <v>4.5525000000000003E-2</v>
      </c>
      <c r="AD318" s="1" t="str">
        <f t="shared" si="27"/>
        <v>Hải Lăng</v>
      </c>
      <c r="AE318" s="1" t="str">
        <f t="shared" si="28"/>
        <v>TT2 Quảng Trị</v>
      </c>
      <c r="AG318">
        <f t="shared" si="29"/>
        <v>15.06166</v>
      </c>
      <c r="AH318">
        <f t="shared" si="30"/>
        <v>3.0350000000000002E-2</v>
      </c>
      <c r="AI318">
        <f>VLOOKUP(L318,'[1]Tuyến cáp H04'!$B:$E,3,0)/1000</f>
        <v>23.995881000000004</v>
      </c>
      <c r="AJ318" t="str">
        <f>VLOOKUP(L318,'[1]Tuyến cáp H04'!$B:$E,4,0)</f>
        <v>Mạng cấp 3</v>
      </c>
    </row>
    <row r="319" spans="1:36" x14ac:dyDescent="0.25">
      <c r="A319" s="1" t="s">
        <v>2846</v>
      </c>
      <c r="B319" s="1" t="s">
        <v>2835</v>
      </c>
      <c r="C319" s="1" t="s">
        <v>2836</v>
      </c>
      <c r="D319" s="1" t="s">
        <v>2662</v>
      </c>
      <c r="E319" s="1" t="s">
        <v>2663</v>
      </c>
      <c r="F319" s="1" t="s">
        <v>2847</v>
      </c>
      <c r="G319" s="1" t="s">
        <v>14129</v>
      </c>
      <c r="H319" s="1" t="s">
        <v>14133</v>
      </c>
      <c r="I319" s="1" t="s">
        <v>14442</v>
      </c>
      <c r="J319" s="1" t="s">
        <v>23</v>
      </c>
      <c r="K319" s="1"/>
      <c r="L319" s="1" t="s">
        <v>2665</v>
      </c>
      <c r="M319" s="1" t="s">
        <v>2848</v>
      </c>
      <c r="N319" s="1" t="s">
        <v>2842</v>
      </c>
      <c r="O319" s="1" t="s">
        <v>2843</v>
      </c>
      <c r="P319" s="1" t="s">
        <v>2844</v>
      </c>
      <c r="Q319" s="1" t="s">
        <v>2849</v>
      </c>
      <c r="R319" s="1" t="s">
        <v>2850</v>
      </c>
      <c r="S319" s="1" t="s">
        <v>2851</v>
      </c>
      <c r="T319" s="1" t="s">
        <v>2845</v>
      </c>
      <c r="U319">
        <v>989.41</v>
      </c>
      <c r="V319">
        <v>30.35</v>
      </c>
      <c r="W319">
        <v>16.692073000000001</v>
      </c>
      <c r="X319">
        <v>107.245351</v>
      </c>
      <c r="Y319">
        <v>959.07</v>
      </c>
      <c r="Z319">
        <v>16.7441</v>
      </c>
      <c r="AA319">
        <v>107.195866</v>
      </c>
      <c r="AB319" s="5">
        <f t="shared" si="25"/>
        <v>4.5525000000000003E-2</v>
      </c>
      <c r="AC319" s="5">
        <f t="shared" si="26"/>
        <v>1.4386049999999999</v>
      </c>
      <c r="AD319" s="1" t="str">
        <f t="shared" si="27"/>
        <v>Hải Lăng</v>
      </c>
      <c r="AE319" s="1" t="str">
        <f t="shared" si="28"/>
        <v>TT2 Quảng Trị</v>
      </c>
      <c r="AG319">
        <f t="shared" si="29"/>
        <v>3.0350000000000002E-2</v>
      </c>
      <c r="AH319">
        <f t="shared" si="30"/>
        <v>0.95907000000000009</v>
      </c>
      <c r="AI319">
        <f>VLOOKUP(L319,'[1]Tuyến cáp H04'!$B:$E,3,0)/1000</f>
        <v>23.995881000000004</v>
      </c>
      <c r="AJ319" t="str">
        <f>VLOOKUP(L319,'[1]Tuyến cáp H04'!$B:$E,4,0)</f>
        <v>Mạng cấp 3</v>
      </c>
    </row>
    <row r="320" spans="1:36" x14ac:dyDescent="0.25">
      <c r="A320" s="1" t="s">
        <v>2852</v>
      </c>
      <c r="B320" s="1" t="s">
        <v>2853</v>
      </c>
      <c r="C320" s="1" t="s">
        <v>2854</v>
      </c>
      <c r="D320" s="1" t="s">
        <v>2855</v>
      </c>
      <c r="E320" s="1" t="s">
        <v>2856</v>
      </c>
      <c r="F320" s="1" t="s">
        <v>2857</v>
      </c>
      <c r="G320" s="1" t="s">
        <v>14129</v>
      </c>
      <c r="H320" s="1" t="s">
        <v>14133</v>
      </c>
      <c r="I320" s="1" t="s">
        <v>14443</v>
      </c>
      <c r="J320" s="1" t="s">
        <v>23</v>
      </c>
      <c r="K320" s="1"/>
      <c r="L320" s="1" t="s">
        <v>2858</v>
      </c>
      <c r="M320" s="1" t="s">
        <v>2859</v>
      </c>
      <c r="N320" s="1" t="s">
        <v>2860</v>
      </c>
      <c r="O320" s="1" t="s">
        <v>2861</v>
      </c>
      <c r="P320" s="1" t="s">
        <v>2862</v>
      </c>
      <c r="Q320" s="1" t="s">
        <v>2863</v>
      </c>
      <c r="R320" s="1" t="s">
        <v>2864</v>
      </c>
      <c r="S320" s="1" t="s">
        <v>2865</v>
      </c>
      <c r="T320" s="1" t="s">
        <v>2866</v>
      </c>
      <c r="U320">
        <v>4267.6899999999996</v>
      </c>
      <c r="V320">
        <v>4222.55</v>
      </c>
      <c r="W320">
        <v>16.743265999999998</v>
      </c>
      <c r="X320">
        <v>107.31160800000001</v>
      </c>
      <c r="Y320">
        <v>45.14</v>
      </c>
      <c r="Z320">
        <v>16.726123999999999</v>
      </c>
      <c r="AA320">
        <v>107.334998</v>
      </c>
      <c r="AB320" s="5">
        <f t="shared" si="25"/>
        <v>6.3338250000000009</v>
      </c>
      <c r="AC320" s="5">
        <f t="shared" si="26"/>
        <v>6.7710000000000006E-2</v>
      </c>
      <c r="AD320" s="1" t="str">
        <f t="shared" si="27"/>
        <v>Mỹ Thủy</v>
      </c>
      <c r="AE320" s="1" t="str">
        <f t="shared" si="28"/>
        <v>Vĩnh Định</v>
      </c>
      <c r="AG320">
        <f t="shared" si="29"/>
        <v>4.22255</v>
      </c>
      <c r="AH320">
        <f t="shared" si="30"/>
        <v>4.514E-2</v>
      </c>
      <c r="AI320" t="e">
        <f>VLOOKUP(L320,'[1]Tuyến cáp H04'!$B:$E,3,0)/1000</f>
        <v>#N/A</v>
      </c>
      <c r="AJ320" t="e">
        <f>VLOOKUP(L320,'[1]Tuyến cáp H04'!$B:$E,4,0)</f>
        <v>#N/A</v>
      </c>
    </row>
    <row r="321" spans="1:36" x14ac:dyDescent="0.25">
      <c r="A321" s="1" t="s">
        <v>2867</v>
      </c>
      <c r="B321" s="1" t="s">
        <v>2855</v>
      </c>
      <c r="C321" s="1" t="s">
        <v>2856</v>
      </c>
      <c r="D321" s="1" t="s">
        <v>2835</v>
      </c>
      <c r="E321" s="1" t="s">
        <v>2836</v>
      </c>
      <c r="F321" s="1" t="s">
        <v>2868</v>
      </c>
      <c r="G321" s="1" t="s">
        <v>14129</v>
      </c>
      <c r="H321" s="1" t="s">
        <v>14133</v>
      </c>
      <c r="I321" s="1" t="s">
        <v>14444</v>
      </c>
      <c r="J321" s="1" t="s">
        <v>23</v>
      </c>
      <c r="K321" s="1"/>
      <c r="L321" s="1" t="s">
        <v>2869</v>
      </c>
      <c r="M321" s="1" t="s">
        <v>2870</v>
      </c>
      <c r="N321" s="1" t="s">
        <v>2871</v>
      </c>
      <c r="O321" s="1" t="s">
        <v>2872</v>
      </c>
      <c r="P321" s="1" t="s">
        <v>2873</v>
      </c>
      <c r="Q321" s="1" t="s">
        <v>2874</v>
      </c>
      <c r="R321" s="1" t="s">
        <v>2875</v>
      </c>
      <c r="S321" s="1" t="s">
        <v>2876</v>
      </c>
      <c r="T321" s="1" t="s">
        <v>2877</v>
      </c>
      <c r="U321">
        <v>8605.83</v>
      </c>
      <c r="V321">
        <v>1165.58</v>
      </c>
      <c r="W321">
        <v>16.719866</v>
      </c>
      <c r="X321">
        <v>107.343448</v>
      </c>
      <c r="Y321">
        <v>7440.25</v>
      </c>
      <c r="Z321">
        <v>16.657613000000001</v>
      </c>
      <c r="AA321">
        <v>107.305519</v>
      </c>
      <c r="AB321" s="5">
        <f t="shared" si="25"/>
        <v>1.74837</v>
      </c>
      <c r="AC321" s="5">
        <f t="shared" si="26"/>
        <v>11.160375</v>
      </c>
      <c r="AD321" s="1" t="str">
        <f t="shared" si="27"/>
        <v>Nam hải Lăng</v>
      </c>
      <c r="AE321" s="1" t="str">
        <f t="shared" si="28"/>
        <v>Mỹ Thủy</v>
      </c>
      <c r="AG321">
        <f t="shared" si="29"/>
        <v>1.1655799999999998</v>
      </c>
      <c r="AH321">
        <f t="shared" si="30"/>
        <v>7.4402499999999998</v>
      </c>
      <c r="AI321" t="e">
        <f>VLOOKUP(L321,'[1]Tuyến cáp H04'!$B:$E,3,0)/1000</f>
        <v>#N/A</v>
      </c>
      <c r="AJ321" t="e">
        <f>VLOOKUP(L321,'[1]Tuyến cáp H04'!$B:$E,4,0)</f>
        <v>#N/A</v>
      </c>
    </row>
    <row r="322" spans="1:36" x14ac:dyDescent="0.25">
      <c r="A322" s="1" t="s">
        <v>2878</v>
      </c>
      <c r="B322" s="1" t="s">
        <v>2835</v>
      </c>
      <c r="C322" s="1" t="s">
        <v>2836</v>
      </c>
      <c r="D322" s="1" t="s">
        <v>2879</v>
      </c>
      <c r="E322" s="1" t="s">
        <v>2880</v>
      </c>
      <c r="F322" s="1" t="s">
        <v>2881</v>
      </c>
      <c r="G322" s="1" t="s">
        <v>14129</v>
      </c>
      <c r="H322" s="1" t="s">
        <v>14133</v>
      </c>
      <c r="I322" s="1" t="s">
        <v>14445</v>
      </c>
      <c r="J322" s="1" t="s">
        <v>23</v>
      </c>
      <c r="K322" s="1"/>
      <c r="L322" s="1" t="s">
        <v>2665</v>
      </c>
      <c r="M322" s="1" t="s">
        <v>2882</v>
      </c>
      <c r="N322" s="1" t="s">
        <v>2842</v>
      </c>
      <c r="O322" s="1" t="s">
        <v>2843</v>
      </c>
      <c r="P322" s="1" t="s">
        <v>2844</v>
      </c>
      <c r="Q322" s="1" t="s">
        <v>2883</v>
      </c>
      <c r="R322" s="1" t="s">
        <v>2884</v>
      </c>
      <c r="S322" s="1" t="s">
        <v>2885</v>
      </c>
      <c r="T322" s="1" t="s">
        <v>2845</v>
      </c>
      <c r="U322">
        <v>1379.78</v>
      </c>
      <c r="V322">
        <v>30.35</v>
      </c>
      <c r="W322">
        <v>16.692073000000001</v>
      </c>
      <c r="X322">
        <v>107.245351</v>
      </c>
      <c r="Y322">
        <v>1349.44</v>
      </c>
      <c r="Z322">
        <v>16.703040999999999</v>
      </c>
      <c r="AA322">
        <v>107.234706</v>
      </c>
      <c r="AB322" s="5">
        <f t="shared" si="25"/>
        <v>4.5525000000000003E-2</v>
      </c>
      <c r="AC322" s="5">
        <f t="shared" si="26"/>
        <v>2.0241600000000002</v>
      </c>
      <c r="AD322" s="1" t="str">
        <f t="shared" si="27"/>
        <v>Hải Lăng</v>
      </c>
      <c r="AE322" s="1" t="str">
        <f t="shared" si="28"/>
        <v>TT2 Quảng Trị</v>
      </c>
      <c r="AG322">
        <f t="shared" si="29"/>
        <v>3.0350000000000002E-2</v>
      </c>
      <c r="AH322">
        <f t="shared" si="30"/>
        <v>1.34944</v>
      </c>
      <c r="AI322">
        <f>VLOOKUP(L322,'[1]Tuyến cáp H04'!$B:$E,3,0)/1000</f>
        <v>23.995881000000004</v>
      </c>
      <c r="AJ322" t="str">
        <f>VLOOKUP(L322,'[1]Tuyến cáp H04'!$B:$E,4,0)</f>
        <v>Mạng cấp 3</v>
      </c>
    </row>
    <row r="323" spans="1:36" x14ac:dyDescent="0.25">
      <c r="A323" s="1" t="s">
        <v>2886</v>
      </c>
      <c r="B323" s="1" t="s">
        <v>2879</v>
      </c>
      <c r="C323" s="1" t="s">
        <v>2880</v>
      </c>
      <c r="D323" s="1" t="s">
        <v>2887</v>
      </c>
      <c r="E323" s="1" t="s">
        <v>2888</v>
      </c>
      <c r="F323" s="1" t="s">
        <v>2889</v>
      </c>
      <c r="G323" s="1" t="s">
        <v>14129</v>
      </c>
      <c r="H323" s="1" t="s">
        <v>14133</v>
      </c>
      <c r="I323" s="1" t="s">
        <v>14446</v>
      </c>
      <c r="J323" s="1" t="s">
        <v>23</v>
      </c>
      <c r="K323" s="1"/>
      <c r="L323" s="1" t="s">
        <v>2890</v>
      </c>
      <c r="M323" s="1" t="s">
        <v>2891</v>
      </c>
      <c r="N323" s="1" t="s">
        <v>2892</v>
      </c>
      <c r="O323" s="1" t="s">
        <v>2893</v>
      </c>
      <c r="P323" s="1" t="s">
        <v>2894</v>
      </c>
      <c r="Q323" s="1" t="s">
        <v>2895</v>
      </c>
      <c r="R323" s="1" t="s">
        <v>2896</v>
      </c>
      <c r="S323" s="1" t="s">
        <v>2897</v>
      </c>
      <c r="T323" s="1" t="s">
        <v>2898</v>
      </c>
      <c r="U323">
        <v>4980.2299999999996</v>
      </c>
      <c r="V323">
        <v>73.959999999999994</v>
      </c>
      <c r="W323">
        <v>16.710954999999998</v>
      </c>
      <c r="X323">
        <v>107.24515700000001</v>
      </c>
      <c r="Y323">
        <v>4906.2700000000004</v>
      </c>
      <c r="Z323">
        <v>16.709966999999999</v>
      </c>
      <c r="AA323">
        <v>107.24739</v>
      </c>
      <c r="AB323" s="5">
        <f t="shared" ref="AB323:AB386" si="31">V323*1.5/1000</f>
        <v>0.11094</v>
      </c>
      <c r="AC323" s="5">
        <f t="shared" ref="AC323:AC386" si="32">Y323*1.5/1000</f>
        <v>7.3594050000000006</v>
      </c>
      <c r="AD323" s="1" t="str">
        <f t="shared" ref="AD323:AD386" si="33">TRIM(LEFT(L323,FIND("-",L323)-1))</f>
        <v>PC07 (Đội PCCC khu vực Hải lăng)</v>
      </c>
      <c r="AE323" s="1" t="str">
        <f t="shared" ref="AE323:AE386" si="34">TRIM(RIGHT(L323, LEN(L323) - FIND("-", L323)))</f>
        <v>Hải Lăng</v>
      </c>
      <c r="AG323">
        <f t="shared" ref="AG323:AG386" si="35">V323/1000</f>
        <v>7.3959999999999998E-2</v>
      </c>
      <c r="AH323">
        <f t="shared" ref="AH323:AH386" si="36">Y323/1000</f>
        <v>4.9062700000000001</v>
      </c>
      <c r="AI323">
        <f>VLOOKUP(L323,'[1]Tuyến cáp H04'!$B:$E,3,0)/1000</f>
        <v>3.384039</v>
      </c>
      <c r="AJ323" t="str">
        <f>VLOOKUP(L323,'[1]Tuyến cáp H04'!$B:$E,4,0)</f>
        <v>Mạng cấp 3</v>
      </c>
    </row>
    <row r="324" spans="1:36" x14ac:dyDescent="0.25">
      <c r="A324" s="1" t="s">
        <v>2899</v>
      </c>
      <c r="B324" s="1" t="s">
        <v>2887</v>
      </c>
      <c r="C324" s="1" t="s">
        <v>2888</v>
      </c>
      <c r="D324" s="1" t="s">
        <v>2900</v>
      </c>
      <c r="E324" s="1" t="s">
        <v>2901</v>
      </c>
      <c r="F324" s="1" t="s">
        <v>2902</v>
      </c>
      <c r="G324" s="1" t="s">
        <v>14129</v>
      </c>
      <c r="H324" s="1" t="s">
        <v>14133</v>
      </c>
      <c r="I324" s="1" t="s">
        <v>14447</v>
      </c>
      <c r="J324" s="1" t="s">
        <v>23</v>
      </c>
      <c r="K324" s="1"/>
      <c r="L324" s="1" t="s">
        <v>2858</v>
      </c>
      <c r="M324" s="1" t="s">
        <v>2903</v>
      </c>
      <c r="N324" s="1" t="s">
        <v>2904</v>
      </c>
      <c r="O324" s="1" t="s">
        <v>2905</v>
      </c>
      <c r="P324" s="1" t="s">
        <v>2906</v>
      </c>
      <c r="Q324" s="1" t="s">
        <v>2907</v>
      </c>
      <c r="R324" s="1" t="s">
        <v>2908</v>
      </c>
      <c r="S324" s="1" t="s">
        <v>2909</v>
      </c>
      <c r="T324" s="1" t="s">
        <v>2910</v>
      </c>
      <c r="U324">
        <v>4079</v>
      </c>
      <c r="V324">
        <v>3737.36</v>
      </c>
      <c r="W324">
        <v>16.771798</v>
      </c>
      <c r="X324">
        <v>107.261014</v>
      </c>
      <c r="Y324">
        <v>341.64</v>
      </c>
      <c r="Z324">
        <v>16.766483999999998</v>
      </c>
      <c r="AA324">
        <v>107.242845</v>
      </c>
      <c r="AB324" s="5">
        <f t="shared" si="31"/>
        <v>5.6060400000000001</v>
      </c>
      <c r="AC324" s="5">
        <f t="shared" si="32"/>
        <v>0.51246000000000003</v>
      </c>
      <c r="AD324" s="1" t="str">
        <f t="shared" si="33"/>
        <v>Mỹ Thủy</v>
      </c>
      <c r="AE324" s="1" t="str">
        <f t="shared" si="34"/>
        <v>Vĩnh Định</v>
      </c>
      <c r="AG324">
        <f t="shared" si="35"/>
        <v>3.7373600000000002</v>
      </c>
      <c r="AH324">
        <f t="shared" si="36"/>
        <v>0.34164</v>
      </c>
      <c r="AI324" t="e">
        <f>VLOOKUP(L324,'[1]Tuyến cáp H04'!$B:$E,3,0)/1000</f>
        <v>#N/A</v>
      </c>
      <c r="AJ324" t="e">
        <f>VLOOKUP(L324,'[1]Tuyến cáp H04'!$B:$E,4,0)</f>
        <v>#N/A</v>
      </c>
    </row>
    <row r="325" spans="1:36" x14ac:dyDescent="0.25">
      <c r="A325" s="1" t="s">
        <v>2911</v>
      </c>
      <c r="B325" s="1" t="s">
        <v>2900</v>
      </c>
      <c r="C325" s="1" t="s">
        <v>2901</v>
      </c>
      <c r="D325" s="1" t="s">
        <v>2912</v>
      </c>
      <c r="E325" s="1" t="s">
        <v>2913</v>
      </c>
      <c r="F325" s="1" t="s">
        <v>2914</v>
      </c>
      <c r="G325" s="1" t="s">
        <v>14129</v>
      </c>
      <c r="H325" s="1" t="s">
        <v>14133</v>
      </c>
      <c r="I325" s="1" t="s">
        <v>14448</v>
      </c>
      <c r="J325" s="1" t="s">
        <v>23</v>
      </c>
      <c r="K325" s="1"/>
      <c r="L325" s="1" t="s">
        <v>2915</v>
      </c>
      <c r="M325" s="1" t="s">
        <v>2916</v>
      </c>
      <c r="N325" s="1" t="s">
        <v>2917</v>
      </c>
      <c r="O325" s="1" t="s">
        <v>2918</v>
      </c>
      <c r="P325" s="1" t="s">
        <v>2919</v>
      </c>
      <c r="Q325" s="1" t="s">
        <v>2920</v>
      </c>
      <c r="R325" s="1" t="s">
        <v>2921</v>
      </c>
      <c r="S325" s="1" t="s">
        <v>2922</v>
      </c>
      <c r="T325" s="1" t="s">
        <v>2923</v>
      </c>
      <c r="U325">
        <v>733.45</v>
      </c>
      <c r="V325">
        <v>46.07</v>
      </c>
      <c r="W325">
        <v>16.763349999999999</v>
      </c>
      <c r="X325">
        <v>107.24277499999999</v>
      </c>
      <c r="Y325">
        <v>687.38</v>
      </c>
      <c r="Z325">
        <v>16.769258000000001</v>
      </c>
      <c r="AA325">
        <v>107.228122</v>
      </c>
      <c r="AB325" s="5">
        <f t="shared" si="31"/>
        <v>6.9105E-2</v>
      </c>
      <c r="AC325" s="5">
        <f t="shared" si="32"/>
        <v>1.0310699999999999</v>
      </c>
      <c r="AD325" s="1" t="str">
        <f t="shared" si="33"/>
        <v>Nam Cửa Việt</v>
      </c>
      <c r="AE325" s="1" t="str">
        <f t="shared" si="34"/>
        <v>Triệu Cơ</v>
      </c>
      <c r="AG325">
        <f t="shared" si="35"/>
        <v>4.607E-2</v>
      </c>
      <c r="AH325">
        <f t="shared" si="36"/>
        <v>0.68737999999999999</v>
      </c>
      <c r="AI325" t="e">
        <f>VLOOKUP(L325,'[1]Tuyến cáp H04'!$B:$E,3,0)/1000</f>
        <v>#N/A</v>
      </c>
      <c r="AJ325" t="e">
        <f>VLOOKUP(L325,'[1]Tuyến cáp H04'!$B:$E,4,0)</f>
        <v>#N/A</v>
      </c>
    </row>
    <row r="326" spans="1:36" x14ac:dyDescent="0.25">
      <c r="A326" s="1" t="s">
        <v>2924</v>
      </c>
      <c r="B326" s="1" t="s">
        <v>2912</v>
      </c>
      <c r="C326" s="1" t="s">
        <v>2913</v>
      </c>
      <c r="D326" s="1" t="s">
        <v>2662</v>
      </c>
      <c r="E326" s="1" t="s">
        <v>2663</v>
      </c>
      <c r="F326" s="1" t="s">
        <v>2925</v>
      </c>
      <c r="G326" s="1" t="s">
        <v>14129</v>
      </c>
      <c r="H326" s="1" t="s">
        <v>14133</v>
      </c>
      <c r="I326" s="1" t="s">
        <v>14449</v>
      </c>
      <c r="J326" s="1" t="s">
        <v>23</v>
      </c>
      <c r="K326" s="1"/>
      <c r="L326" s="1" t="s">
        <v>2926</v>
      </c>
      <c r="M326" s="1" t="s">
        <v>2927</v>
      </c>
      <c r="N326" s="1" t="s">
        <v>2928</v>
      </c>
      <c r="O326" s="1" t="s">
        <v>2929</v>
      </c>
      <c r="P326" s="1" t="s">
        <v>2930</v>
      </c>
      <c r="Q326" s="1" t="s">
        <v>2931</v>
      </c>
      <c r="R326" s="1" t="s">
        <v>2932</v>
      </c>
      <c r="S326" s="1" t="s">
        <v>2933</v>
      </c>
      <c r="T326" s="1" t="s">
        <v>2934</v>
      </c>
      <c r="U326">
        <v>2915.45</v>
      </c>
      <c r="V326">
        <v>2885.9</v>
      </c>
      <c r="W326">
        <v>16.755587999999999</v>
      </c>
      <c r="X326">
        <v>107.198543</v>
      </c>
      <c r="Y326">
        <v>29.56</v>
      </c>
      <c r="Z326">
        <v>16.739564999999999</v>
      </c>
      <c r="AA326">
        <v>107.188067</v>
      </c>
      <c r="AB326" s="5">
        <f t="shared" si="31"/>
        <v>4.3288500000000001</v>
      </c>
      <c r="AC326" s="5">
        <f t="shared" si="32"/>
        <v>4.4339999999999997E-2</v>
      </c>
      <c r="AD326" s="1" t="str">
        <f t="shared" si="33"/>
        <v>Quảng Trị</v>
      </c>
      <c r="AE326" s="1" t="str">
        <f t="shared" si="34"/>
        <v>PC07 (Đội PCCC khu vực 5)</v>
      </c>
      <c r="AG326">
        <f t="shared" si="35"/>
        <v>2.8858999999999999</v>
      </c>
      <c r="AH326">
        <f t="shared" si="36"/>
        <v>2.9559999999999999E-2</v>
      </c>
      <c r="AI326">
        <f>VLOOKUP(L326,'[1]Tuyến cáp H04'!$B:$E,3,0)/1000</f>
        <v>3.177616</v>
      </c>
      <c r="AJ326" t="str">
        <f>VLOOKUP(L326,'[1]Tuyến cáp H04'!$B:$E,4,0)</f>
        <v>Mạng cấp 4</v>
      </c>
    </row>
    <row r="327" spans="1:36" x14ac:dyDescent="0.25">
      <c r="A327" s="1" t="s">
        <v>2935</v>
      </c>
      <c r="B327" s="1" t="s">
        <v>2835</v>
      </c>
      <c r="C327" s="1" t="s">
        <v>2836</v>
      </c>
      <c r="D327" s="1" t="s">
        <v>2936</v>
      </c>
      <c r="E327" s="1" t="s">
        <v>2937</v>
      </c>
      <c r="F327" s="1" t="s">
        <v>2938</v>
      </c>
      <c r="G327" s="1" t="s">
        <v>14129</v>
      </c>
      <c r="H327" s="1" t="s">
        <v>14133</v>
      </c>
      <c r="I327" s="1" t="s">
        <v>14450</v>
      </c>
      <c r="J327" s="1" t="s">
        <v>23</v>
      </c>
      <c r="K327" s="1"/>
      <c r="L327" s="1" t="s">
        <v>2939</v>
      </c>
      <c r="M327" s="1" t="s">
        <v>2940</v>
      </c>
      <c r="N327" s="1" t="s">
        <v>2941</v>
      </c>
      <c r="O327" s="1" t="s">
        <v>2942</v>
      </c>
      <c r="P327" s="1" t="s">
        <v>2943</v>
      </c>
      <c r="Q327" s="1" t="s">
        <v>2944</v>
      </c>
      <c r="R327" s="1" t="s">
        <v>2945</v>
      </c>
      <c r="S327" s="1" t="s">
        <v>2946</v>
      </c>
      <c r="T327" s="1" t="s">
        <v>2947</v>
      </c>
      <c r="U327">
        <v>334.39</v>
      </c>
      <c r="V327">
        <v>44.1</v>
      </c>
      <c r="W327">
        <v>16.691837</v>
      </c>
      <c r="X327">
        <v>107.245086</v>
      </c>
      <c r="Y327">
        <v>290.3</v>
      </c>
      <c r="Z327">
        <v>16.661895999999999</v>
      </c>
      <c r="AA327">
        <v>107.27864099999999</v>
      </c>
      <c r="AB327" s="5">
        <f t="shared" si="31"/>
        <v>6.615E-2</v>
      </c>
      <c r="AC327" s="5">
        <f t="shared" si="32"/>
        <v>0.43545000000000006</v>
      </c>
      <c r="AD327" s="1" t="str">
        <f t="shared" si="33"/>
        <v>Diên Sanh</v>
      </c>
      <c r="AE327" s="1" t="str">
        <f t="shared" si="34"/>
        <v>Nam Hải Lăng</v>
      </c>
      <c r="AG327">
        <f t="shared" si="35"/>
        <v>4.41E-2</v>
      </c>
      <c r="AH327">
        <f t="shared" si="36"/>
        <v>0.2903</v>
      </c>
      <c r="AI327">
        <f>VLOOKUP(L327,'[1]Tuyến cáp H04'!$B:$E,3,0)/1000</f>
        <v>10.531879999999999</v>
      </c>
      <c r="AJ327" t="str">
        <f>VLOOKUP(L327,'[1]Tuyến cáp H04'!$B:$E,4,0)</f>
        <v>Mạng cấp 4</v>
      </c>
    </row>
    <row r="328" spans="1:36" x14ac:dyDescent="0.25">
      <c r="A328" s="1" t="s">
        <v>2948</v>
      </c>
      <c r="B328" s="1" t="s">
        <v>2949</v>
      </c>
      <c r="C328" s="1" t="s">
        <v>2950</v>
      </c>
      <c r="D328" s="1" t="s">
        <v>2662</v>
      </c>
      <c r="E328" s="1" t="s">
        <v>2663</v>
      </c>
      <c r="F328" s="1" t="s">
        <v>2951</v>
      </c>
      <c r="G328" s="1" t="s">
        <v>14129</v>
      </c>
      <c r="H328" s="1" t="s">
        <v>14133</v>
      </c>
      <c r="I328" s="1" t="s">
        <v>14451</v>
      </c>
      <c r="J328" s="1" t="s">
        <v>23</v>
      </c>
      <c r="K328" s="1"/>
      <c r="L328" s="1" t="s">
        <v>2952</v>
      </c>
      <c r="M328" s="1" t="s">
        <v>2953</v>
      </c>
      <c r="N328" s="1" t="s">
        <v>2954</v>
      </c>
      <c r="O328" s="1" t="s">
        <v>2955</v>
      </c>
      <c r="P328" s="1" t="s">
        <v>2956</v>
      </c>
      <c r="Q328" s="1" t="s">
        <v>2957</v>
      </c>
      <c r="R328" s="1" t="s">
        <v>2958</v>
      </c>
      <c r="S328" s="1" t="s">
        <v>2959</v>
      </c>
      <c r="T328" s="1" t="s">
        <v>2960</v>
      </c>
      <c r="U328">
        <v>196.81</v>
      </c>
      <c r="V328">
        <v>169.47</v>
      </c>
      <c r="W328">
        <v>16.740214000000002</v>
      </c>
      <c r="X328">
        <v>107.192099</v>
      </c>
      <c r="Y328">
        <v>27.34</v>
      </c>
      <c r="Z328">
        <v>16.739604</v>
      </c>
      <c r="AA328">
        <v>107.18847</v>
      </c>
      <c r="AB328" s="5">
        <f t="shared" si="31"/>
        <v>0.25420499999999996</v>
      </c>
      <c r="AC328" s="5">
        <f t="shared" si="32"/>
        <v>4.1009999999999998E-2</v>
      </c>
      <c r="AD328" s="1" t="str">
        <f t="shared" si="33"/>
        <v>TX Quảng Trị</v>
      </c>
      <c r="AE328" s="1" t="str">
        <f t="shared" si="34"/>
        <v>Hải Lăng</v>
      </c>
      <c r="AG328">
        <f t="shared" si="35"/>
        <v>0.16947000000000001</v>
      </c>
      <c r="AH328">
        <f t="shared" si="36"/>
        <v>2.734E-2</v>
      </c>
      <c r="AI328">
        <f>VLOOKUP(L328,'[1]Tuyến cáp H04'!$B:$E,3,0)/1000</f>
        <v>9.6837609999999987</v>
      </c>
      <c r="AJ328" t="str">
        <f>VLOOKUP(L328,'[1]Tuyến cáp H04'!$B:$E,4,0)</f>
        <v>Mạng cấp 3</v>
      </c>
    </row>
    <row r="329" spans="1:36" x14ac:dyDescent="0.25">
      <c r="A329" s="1" t="s">
        <v>2961</v>
      </c>
      <c r="B329" s="1" t="s">
        <v>2835</v>
      </c>
      <c r="C329" s="1" t="s">
        <v>2836</v>
      </c>
      <c r="D329" s="1" t="s">
        <v>2962</v>
      </c>
      <c r="E329" s="1" t="s">
        <v>2963</v>
      </c>
      <c r="F329" s="1" t="s">
        <v>2964</v>
      </c>
      <c r="G329" s="1" t="s">
        <v>14129</v>
      </c>
      <c r="H329" s="1" t="s">
        <v>14133</v>
      </c>
      <c r="I329" s="1" t="s">
        <v>14452</v>
      </c>
      <c r="J329" s="1" t="s">
        <v>23</v>
      </c>
      <c r="K329" s="1"/>
      <c r="L329" s="1" t="s">
        <v>2890</v>
      </c>
      <c r="M329" s="1" t="s">
        <v>2965</v>
      </c>
      <c r="N329" s="1" t="s">
        <v>2966</v>
      </c>
      <c r="O329" s="1" t="s">
        <v>2967</v>
      </c>
      <c r="P329" s="1" t="s">
        <v>2968</v>
      </c>
      <c r="Q329" s="1" t="s">
        <v>2969</v>
      </c>
      <c r="R329" s="1" t="s">
        <v>2970</v>
      </c>
      <c r="S329" s="1" t="s">
        <v>2971</v>
      </c>
      <c r="T329" s="1" t="s">
        <v>2972</v>
      </c>
      <c r="U329">
        <v>1246.45</v>
      </c>
      <c r="V329">
        <v>31.11</v>
      </c>
      <c r="W329">
        <v>16.692076</v>
      </c>
      <c r="X329">
        <v>107.245344</v>
      </c>
      <c r="Y329">
        <v>1215.3399999999999</v>
      </c>
      <c r="Z329">
        <v>16.701003</v>
      </c>
      <c r="AA329">
        <v>107.254479</v>
      </c>
      <c r="AB329" s="5">
        <f t="shared" si="31"/>
        <v>4.6664999999999998E-2</v>
      </c>
      <c r="AC329" s="5">
        <f t="shared" si="32"/>
        <v>1.8230099999999998</v>
      </c>
      <c r="AD329" s="1" t="str">
        <f t="shared" si="33"/>
        <v>PC07 (Đội PCCC khu vực Hải lăng)</v>
      </c>
      <c r="AE329" s="1" t="str">
        <f t="shared" si="34"/>
        <v>Hải Lăng</v>
      </c>
      <c r="AG329">
        <f t="shared" si="35"/>
        <v>3.1109999999999999E-2</v>
      </c>
      <c r="AH329">
        <f t="shared" si="36"/>
        <v>1.2153399999999999</v>
      </c>
      <c r="AI329">
        <f>VLOOKUP(L329,'[1]Tuyến cáp H04'!$B:$E,3,0)/1000</f>
        <v>3.384039</v>
      </c>
      <c r="AJ329" t="str">
        <f>VLOOKUP(L329,'[1]Tuyến cáp H04'!$B:$E,4,0)</f>
        <v>Mạng cấp 3</v>
      </c>
    </row>
    <row r="330" spans="1:36" x14ac:dyDescent="0.25">
      <c r="A330" s="1" t="s">
        <v>2973</v>
      </c>
      <c r="B330" s="1" t="s">
        <v>2962</v>
      </c>
      <c r="C330" s="1" t="s">
        <v>2963</v>
      </c>
      <c r="D330" s="1" t="s">
        <v>2835</v>
      </c>
      <c r="E330" s="1" t="s">
        <v>2836</v>
      </c>
      <c r="F330" s="1" t="s">
        <v>2974</v>
      </c>
      <c r="G330" s="1" t="s">
        <v>14129</v>
      </c>
      <c r="H330" s="1" t="s">
        <v>14133</v>
      </c>
      <c r="I330" s="1" t="s">
        <v>14453</v>
      </c>
      <c r="J330" s="1" t="s">
        <v>23</v>
      </c>
      <c r="K330" s="1"/>
      <c r="L330" s="1" t="s">
        <v>2890</v>
      </c>
      <c r="M330" s="1" t="s">
        <v>2965</v>
      </c>
      <c r="N330" s="1" t="s">
        <v>2969</v>
      </c>
      <c r="O330" s="1" t="s">
        <v>2970</v>
      </c>
      <c r="P330" s="1" t="s">
        <v>2971</v>
      </c>
      <c r="Q330" s="1" t="s">
        <v>2966</v>
      </c>
      <c r="R330" s="1" t="s">
        <v>2967</v>
      </c>
      <c r="S330" s="1" t="s">
        <v>2968</v>
      </c>
      <c r="T330" s="1" t="s">
        <v>2972</v>
      </c>
      <c r="U330">
        <v>1246.45</v>
      </c>
      <c r="V330">
        <v>1215.3399999999999</v>
      </c>
      <c r="W330">
        <v>16.701003</v>
      </c>
      <c r="X330">
        <v>107.254479</v>
      </c>
      <c r="Y330">
        <v>31.11</v>
      </c>
      <c r="Z330">
        <v>16.692076</v>
      </c>
      <c r="AA330">
        <v>107.245344</v>
      </c>
      <c r="AB330" s="5">
        <f t="shared" si="31"/>
        <v>1.8230099999999998</v>
      </c>
      <c r="AC330" s="5">
        <f t="shared" si="32"/>
        <v>4.6664999999999998E-2</v>
      </c>
      <c r="AD330" s="1" t="str">
        <f t="shared" si="33"/>
        <v>PC07 (Đội PCCC khu vực Hải lăng)</v>
      </c>
      <c r="AE330" s="1" t="str">
        <f t="shared" si="34"/>
        <v>Hải Lăng</v>
      </c>
      <c r="AG330">
        <f t="shared" si="35"/>
        <v>1.2153399999999999</v>
      </c>
      <c r="AH330">
        <f t="shared" si="36"/>
        <v>3.1109999999999999E-2</v>
      </c>
      <c r="AI330">
        <f>VLOOKUP(L330,'[1]Tuyến cáp H04'!$B:$E,3,0)/1000</f>
        <v>3.384039</v>
      </c>
      <c r="AJ330" t="str">
        <f>VLOOKUP(L330,'[1]Tuyến cáp H04'!$B:$E,4,0)</f>
        <v>Mạng cấp 3</v>
      </c>
    </row>
    <row r="331" spans="1:36" x14ac:dyDescent="0.25">
      <c r="A331" s="1" t="s">
        <v>2846</v>
      </c>
      <c r="B331" s="1" t="s">
        <v>2835</v>
      </c>
      <c r="C331" s="1" t="s">
        <v>2836</v>
      </c>
      <c r="D331" s="1" t="s">
        <v>2662</v>
      </c>
      <c r="E331" s="1" t="s">
        <v>2663</v>
      </c>
      <c r="F331" s="1" t="s">
        <v>2975</v>
      </c>
      <c r="G331" s="1" t="s">
        <v>14129</v>
      </c>
      <c r="H331" s="1" t="s">
        <v>14133</v>
      </c>
      <c r="I331" s="1" t="s">
        <v>14454</v>
      </c>
      <c r="J331" s="1" t="s">
        <v>23</v>
      </c>
      <c r="K331" s="1"/>
      <c r="L331" s="1" t="s">
        <v>2665</v>
      </c>
      <c r="M331" s="1" t="s">
        <v>2848</v>
      </c>
      <c r="N331" s="1" t="s">
        <v>2842</v>
      </c>
      <c r="O331" s="1" t="s">
        <v>2843</v>
      </c>
      <c r="P331" s="1" t="s">
        <v>2844</v>
      </c>
      <c r="Q331" s="1" t="s">
        <v>2849</v>
      </c>
      <c r="R331" s="1" t="s">
        <v>2850</v>
      </c>
      <c r="S331" s="1" t="s">
        <v>2851</v>
      </c>
      <c r="T331" s="1" t="s">
        <v>2845</v>
      </c>
      <c r="U331">
        <v>989.41</v>
      </c>
      <c r="V331">
        <v>30.35</v>
      </c>
      <c r="W331">
        <v>16.692073000000001</v>
      </c>
      <c r="X331">
        <v>107.245351</v>
      </c>
      <c r="Y331">
        <v>959.07</v>
      </c>
      <c r="Z331">
        <v>16.7441</v>
      </c>
      <c r="AA331">
        <v>107.195866</v>
      </c>
      <c r="AB331" s="5">
        <f t="shared" si="31"/>
        <v>4.5525000000000003E-2</v>
      </c>
      <c r="AC331" s="5">
        <f t="shared" si="32"/>
        <v>1.4386049999999999</v>
      </c>
      <c r="AD331" s="1" t="str">
        <f t="shared" si="33"/>
        <v>Hải Lăng</v>
      </c>
      <c r="AE331" s="1" t="str">
        <f t="shared" si="34"/>
        <v>TT2 Quảng Trị</v>
      </c>
      <c r="AG331">
        <f t="shared" si="35"/>
        <v>3.0350000000000002E-2</v>
      </c>
      <c r="AH331">
        <f t="shared" si="36"/>
        <v>0.95907000000000009</v>
      </c>
      <c r="AI331">
        <f>VLOOKUP(L331,'[1]Tuyến cáp H04'!$B:$E,3,0)/1000</f>
        <v>23.995881000000004</v>
      </c>
      <c r="AJ331" t="str">
        <f>VLOOKUP(L331,'[1]Tuyến cáp H04'!$B:$E,4,0)</f>
        <v>Mạng cấp 3</v>
      </c>
    </row>
    <row r="332" spans="1:36" x14ac:dyDescent="0.25">
      <c r="A332" s="1" t="s">
        <v>2976</v>
      </c>
      <c r="B332" s="1" t="s">
        <v>2977</v>
      </c>
      <c r="C332" s="1" t="s">
        <v>2978</v>
      </c>
      <c r="D332" s="1" t="s">
        <v>2662</v>
      </c>
      <c r="E332" s="1" t="s">
        <v>2663</v>
      </c>
      <c r="F332" s="1" t="s">
        <v>2979</v>
      </c>
      <c r="G332" s="1" t="s">
        <v>14129</v>
      </c>
      <c r="H332" s="1" t="s">
        <v>14133</v>
      </c>
      <c r="I332" s="1" t="s">
        <v>14455</v>
      </c>
      <c r="J332" s="1" t="s">
        <v>23</v>
      </c>
      <c r="K332" s="1"/>
      <c r="L332" s="1" t="s">
        <v>2980</v>
      </c>
      <c r="M332" s="1" t="s">
        <v>2981</v>
      </c>
      <c r="N332" s="1" t="s">
        <v>2982</v>
      </c>
      <c r="O332" s="1" t="s">
        <v>2983</v>
      </c>
      <c r="P332" s="1" t="s">
        <v>2984</v>
      </c>
      <c r="Q332" s="1" t="s">
        <v>2985</v>
      </c>
      <c r="R332" s="1" t="s">
        <v>2986</v>
      </c>
      <c r="S332" s="1" t="s">
        <v>2987</v>
      </c>
      <c r="T332" s="1" t="s">
        <v>2988</v>
      </c>
      <c r="U332">
        <v>1967.45</v>
      </c>
      <c r="V332">
        <v>629.54999999999995</v>
      </c>
      <c r="W332">
        <v>16.767475000000001</v>
      </c>
      <c r="X332">
        <v>107.192733</v>
      </c>
      <c r="Y332">
        <v>1337.9</v>
      </c>
      <c r="Z332">
        <v>16.751204000000001</v>
      </c>
      <c r="AA332">
        <v>107.185762</v>
      </c>
      <c r="AB332" s="5">
        <f t="shared" si="31"/>
        <v>0.94432499999999997</v>
      </c>
      <c r="AC332" s="5">
        <f t="shared" si="32"/>
        <v>2.00685</v>
      </c>
      <c r="AD332" s="1" t="str">
        <f t="shared" si="33"/>
        <v>Ái Tử</v>
      </c>
      <c r="AE332" s="1" t="str">
        <f t="shared" si="34"/>
        <v>TTCMKV TX Quảng Trị</v>
      </c>
      <c r="AG332">
        <f t="shared" si="35"/>
        <v>0.62954999999999994</v>
      </c>
      <c r="AH332">
        <f t="shared" si="36"/>
        <v>1.3379000000000001</v>
      </c>
      <c r="AI332">
        <f>VLOOKUP(L332,'[1]Tuyến cáp H04'!$B:$E,3,0)/1000</f>
        <v>7.9011620000000002</v>
      </c>
      <c r="AJ332" t="str">
        <f>VLOOKUP(L332,'[1]Tuyến cáp H04'!$B:$E,4,0)</f>
        <v>Mạng cấp 4</v>
      </c>
    </row>
    <row r="333" spans="1:36" x14ac:dyDescent="0.25">
      <c r="A333" s="1" t="s">
        <v>2989</v>
      </c>
      <c r="B333" s="1" t="s">
        <v>2990</v>
      </c>
      <c r="C333" s="1" t="s">
        <v>2991</v>
      </c>
      <c r="D333" s="1" t="s">
        <v>2992</v>
      </c>
      <c r="E333" s="1" t="s">
        <v>2993</v>
      </c>
      <c r="F333" s="1" t="s">
        <v>2994</v>
      </c>
      <c r="G333" s="1" t="s">
        <v>14129</v>
      </c>
      <c r="H333" s="1" t="s">
        <v>14133</v>
      </c>
      <c r="I333" s="1" t="s">
        <v>14456</v>
      </c>
      <c r="J333" s="1" t="s">
        <v>23</v>
      </c>
      <c r="K333" s="1"/>
      <c r="L333" s="1" t="s">
        <v>2980</v>
      </c>
      <c r="M333" s="1" t="s">
        <v>2995</v>
      </c>
      <c r="N333" s="1" t="s">
        <v>2996</v>
      </c>
      <c r="O333" s="1" t="s">
        <v>2997</v>
      </c>
      <c r="P333" s="1" t="s">
        <v>2998</v>
      </c>
      <c r="Q333" s="1" t="s">
        <v>2999</v>
      </c>
      <c r="R333" s="1" t="s">
        <v>3000</v>
      </c>
      <c r="S333" s="1" t="s">
        <v>3001</v>
      </c>
      <c r="T333" s="1" t="s">
        <v>3002</v>
      </c>
      <c r="U333">
        <v>3005.76</v>
      </c>
      <c r="V333">
        <v>3005.2</v>
      </c>
      <c r="W333">
        <v>16.792856</v>
      </c>
      <c r="X333">
        <v>107.176041</v>
      </c>
      <c r="Y333">
        <v>0.56000000000000005</v>
      </c>
      <c r="Z333">
        <v>16.790996</v>
      </c>
      <c r="AA333">
        <v>107.172702</v>
      </c>
      <c r="AB333" s="5">
        <f t="shared" si="31"/>
        <v>4.5077999999999996</v>
      </c>
      <c r="AC333" s="5">
        <f t="shared" si="32"/>
        <v>8.4000000000000003E-4</v>
      </c>
      <c r="AD333" s="1" t="str">
        <f t="shared" si="33"/>
        <v>Ái Tử</v>
      </c>
      <c r="AE333" s="1" t="str">
        <f t="shared" si="34"/>
        <v>TTCMKV TX Quảng Trị</v>
      </c>
      <c r="AG333">
        <f t="shared" si="35"/>
        <v>3.0051999999999999</v>
      </c>
      <c r="AH333">
        <f t="shared" si="36"/>
        <v>5.6000000000000006E-4</v>
      </c>
      <c r="AI333">
        <f>VLOOKUP(L333,'[1]Tuyến cáp H04'!$B:$E,3,0)/1000</f>
        <v>7.9011620000000002</v>
      </c>
      <c r="AJ333" t="str">
        <f>VLOOKUP(L333,'[1]Tuyến cáp H04'!$B:$E,4,0)</f>
        <v>Mạng cấp 4</v>
      </c>
    </row>
    <row r="334" spans="1:36" x14ac:dyDescent="0.25">
      <c r="A334" s="1" t="s">
        <v>3003</v>
      </c>
      <c r="B334" s="1" t="s">
        <v>2992</v>
      </c>
      <c r="C334" s="1" t="s">
        <v>2993</v>
      </c>
      <c r="D334" s="1" t="s">
        <v>3004</v>
      </c>
      <c r="E334" s="1" t="s">
        <v>3005</v>
      </c>
      <c r="F334" s="1" t="s">
        <v>3006</v>
      </c>
      <c r="G334" s="1" t="s">
        <v>14129</v>
      </c>
      <c r="H334" s="1" t="s">
        <v>14133</v>
      </c>
      <c r="I334" s="1" t="s">
        <v>14457</v>
      </c>
      <c r="J334" s="1" t="s">
        <v>23</v>
      </c>
      <c r="K334" s="1"/>
      <c r="L334" s="1" t="s">
        <v>2665</v>
      </c>
      <c r="M334" s="1" t="s">
        <v>3007</v>
      </c>
      <c r="N334" s="1" t="s">
        <v>3008</v>
      </c>
      <c r="O334" s="1" t="s">
        <v>3009</v>
      </c>
      <c r="P334" s="1" t="s">
        <v>3010</v>
      </c>
      <c r="Q334" s="1" t="s">
        <v>3011</v>
      </c>
      <c r="R334" s="1" t="s">
        <v>2668</v>
      </c>
      <c r="S334" s="1" t="s">
        <v>2669</v>
      </c>
      <c r="T334" s="1" t="s">
        <v>2673</v>
      </c>
      <c r="U334">
        <v>3251.83</v>
      </c>
      <c r="V334">
        <v>2219.4499999999998</v>
      </c>
      <c r="W334">
        <v>16.777950000000001</v>
      </c>
      <c r="X334">
        <v>107.156925</v>
      </c>
      <c r="Y334">
        <v>1032.3800000000001</v>
      </c>
      <c r="Z334">
        <v>16.749236</v>
      </c>
      <c r="AA334">
        <v>107.17827200000001</v>
      </c>
      <c r="AB334" s="5">
        <f t="shared" si="31"/>
        <v>3.3291749999999998</v>
      </c>
      <c r="AC334" s="5">
        <f t="shared" si="32"/>
        <v>1.5485700000000002</v>
      </c>
      <c r="AD334" s="1" t="str">
        <f t="shared" si="33"/>
        <v>Hải Lăng</v>
      </c>
      <c r="AE334" s="1" t="str">
        <f t="shared" si="34"/>
        <v>TT2 Quảng Trị</v>
      </c>
      <c r="AG334">
        <f t="shared" si="35"/>
        <v>2.2194499999999997</v>
      </c>
      <c r="AH334">
        <f t="shared" si="36"/>
        <v>1.0323800000000001</v>
      </c>
      <c r="AI334">
        <f>VLOOKUP(L334,'[1]Tuyến cáp H04'!$B:$E,3,0)/1000</f>
        <v>23.995881000000004</v>
      </c>
      <c r="AJ334" t="str">
        <f>VLOOKUP(L334,'[1]Tuyến cáp H04'!$B:$E,4,0)</f>
        <v>Mạng cấp 3</v>
      </c>
    </row>
    <row r="335" spans="1:36" x14ac:dyDescent="0.25">
      <c r="A335" s="1" t="s">
        <v>3012</v>
      </c>
      <c r="B335" s="1" t="s">
        <v>3004</v>
      </c>
      <c r="C335" s="1" t="s">
        <v>3005</v>
      </c>
      <c r="D335" s="1" t="s">
        <v>2662</v>
      </c>
      <c r="E335" s="1" t="s">
        <v>2663</v>
      </c>
      <c r="F335" s="1" t="s">
        <v>3013</v>
      </c>
      <c r="G335" s="1" t="s">
        <v>14129</v>
      </c>
      <c r="H335" s="1" t="s">
        <v>14133</v>
      </c>
      <c r="I335" s="1" t="s">
        <v>14458</v>
      </c>
      <c r="J335" s="1" t="s">
        <v>23</v>
      </c>
      <c r="K335" s="1"/>
      <c r="L335" s="1" t="s">
        <v>2980</v>
      </c>
      <c r="M335" s="1" t="s">
        <v>3014</v>
      </c>
      <c r="N335" s="1" t="s">
        <v>3015</v>
      </c>
      <c r="O335" s="1" t="s">
        <v>3016</v>
      </c>
      <c r="P335" s="1" t="s">
        <v>3017</v>
      </c>
      <c r="Q335" s="1" t="s">
        <v>3018</v>
      </c>
      <c r="R335" s="1" t="s">
        <v>3019</v>
      </c>
      <c r="S335" s="1" t="s">
        <v>3020</v>
      </c>
      <c r="T335" s="1" t="s">
        <v>3021</v>
      </c>
      <c r="U335">
        <v>185.49</v>
      </c>
      <c r="V335">
        <v>155.44999999999999</v>
      </c>
      <c r="W335">
        <v>16.741446</v>
      </c>
      <c r="X335">
        <v>107.18541</v>
      </c>
      <c r="Y335">
        <v>30.04</v>
      </c>
      <c r="Z335">
        <v>16.739591999999998</v>
      </c>
      <c r="AA335">
        <v>107.18808300000001</v>
      </c>
      <c r="AB335" s="5">
        <f t="shared" si="31"/>
        <v>0.23317499999999999</v>
      </c>
      <c r="AC335" s="5">
        <f t="shared" si="32"/>
        <v>4.5060000000000003E-2</v>
      </c>
      <c r="AD335" s="1" t="str">
        <f t="shared" si="33"/>
        <v>Ái Tử</v>
      </c>
      <c r="AE335" s="1" t="str">
        <f t="shared" si="34"/>
        <v>TTCMKV TX Quảng Trị</v>
      </c>
      <c r="AG335">
        <f t="shared" si="35"/>
        <v>0.15544999999999998</v>
      </c>
      <c r="AH335">
        <f t="shared" si="36"/>
        <v>3.0040000000000001E-2</v>
      </c>
      <c r="AI335">
        <f>VLOOKUP(L335,'[1]Tuyến cáp H04'!$B:$E,3,0)/1000</f>
        <v>7.9011620000000002</v>
      </c>
      <c r="AJ335" t="str">
        <f>VLOOKUP(L335,'[1]Tuyến cáp H04'!$B:$E,4,0)</f>
        <v>Mạng cấp 4</v>
      </c>
    </row>
    <row r="336" spans="1:36" x14ac:dyDescent="0.25">
      <c r="A336" s="1" t="s">
        <v>3022</v>
      </c>
      <c r="B336" s="1" t="s">
        <v>3023</v>
      </c>
      <c r="C336" s="1" t="s">
        <v>3024</v>
      </c>
      <c r="D336" s="1" t="s">
        <v>3025</v>
      </c>
      <c r="E336" s="1" t="s">
        <v>3026</v>
      </c>
      <c r="F336" s="1" t="s">
        <v>3027</v>
      </c>
      <c r="G336" s="1" t="s">
        <v>14129</v>
      </c>
      <c r="H336" s="1" t="s">
        <v>14133</v>
      </c>
      <c r="I336" s="1" t="s">
        <v>14459</v>
      </c>
      <c r="J336" s="1" t="s">
        <v>23</v>
      </c>
      <c r="K336" s="1"/>
      <c r="L336" s="1" t="s">
        <v>2915</v>
      </c>
      <c r="M336" s="1" t="s">
        <v>3028</v>
      </c>
      <c r="N336" s="1" t="s">
        <v>3029</v>
      </c>
      <c r="O336" s="1" t="s">
        <v>3030</v>
      </c>
      <c r="P336" s="1" t="s">
        <v>3031</v>
      </c>
      <c r="Q336" s="1" t="s">
        <v>3032</v>
      </c>
      <c r="R336" s="1" t="s">
        <v>3033</v>
      </c>
      <c r="S336" s="1" t="s">
        <v>3034</v>
      </c>
      <c r="T336" s="1" t="s">
        <v>2923</v>
      </c>
      <c r="U336">
        <v>3373.3</v>
      </c>
      <c r="V336">
        <v>30.58</v>
      </c>
      <c r="W336">
        <v>16.794288999999999</v>
      </c>
      <c r="X336">
        <v>107.24495899999999</v>
      </c>
      <c r="Y336">
        <v>3342.73</v>
      </c>
      <c r="Z336">
        <v>16.771896000000002</v>
      </c>
      <c r="AA336">
        <v>107.225466</v>
      </c>
      <c r="AB336" s="5">
        <f t="shared" si="31"/>
        <v>4.5869999999999994E-2</v>
      </c>
      <c r="AC336" s="5">
        <f t="shared" si="32"/>
        <v>5.0140950000000002</v>
      </c>
      <c r="AD336" s="1" t="str">
        <f t="shared" si="33"/>
        <v>Nam Cửa Việt</v>
      </c>
      <c r="AE336" s="1" t="str">
        <f t="shared" si="34"/>
        <v>Triệu Cơ</v>
      </c>
      <c r="AG336">
        <f t="shared" si="35"/>
        <v>3.058E-2</v>
      </c>
      <c r="AH336">
        <f t="shared" si="36"/>
        <v>3.34273</v>
      </c>
      <c r="AI336" t="e">
        <f>VLOOKUP(L336,'[1]Tuyến cáp H04'!$B:$E,3,0)/1000</f>
        <v>#N/A</v>
      </c>
      <c r="AJ336" t="e">
        <f>VLOOKUP(L336,'[1]Tuyến cáp H04'!$B:$E,4,0)</f>
        <v>#N/A</v>
      </c>
    </row>
    <row r="337" spans="1:36" x14ac:dyDescent="0.25">
      <c r="A337" s="1" t="s">
        <v>3035</v>
      </c>
      <c r="B337" s="1" t="s">
        <v>3025</v>
      </c>
      <c r="C337" s="1" t="s">
        <v>3026</v>
      </c>
      <c r="D337" s="1" t="s">
        <v>2662</v>
      </c>
      <c r="E337" s="1" t="s">
        <v>2663</v>
      </c>
      <c r="F337" s="1" t="s">
        <v>3036</v>
      </c>
      <c r="G337" s="1" t="s">
        <v>14129</v>
      </c>
      <c r="H337" s="1" t="s">
        <v>14133</v>
      </c>
      <c r="I337" s="1" t="s">
        <v>14460</v>
      </c>
      <c r="J337" s="1" t="s">
        <v>23</v>
      </c>
      <c r="K337" s="1"/>
      <c r="L337" s="1" t="s">
        <v>2926</v>
      </c>
      <c r="M337" s="1" t="s">
        <v>582</v>
      </c>
      <c r="N337" s="1" t="s">
        <v>3037</v>
      </c>
      <c r="O337" s="1" t="s">
        <v>2929</v>
      </c>
      <c r="P337" s="1" t="s">
        <v>2930</v>
      </c>
      <c r="Q337" s="1" t="s">
        <v>2931</v>
      </c>
      <c r="R337" s="1" t="s">
        <v>2932</v>
      </c>
      <c r="S337" s="1" t="s">
        <v>2933</v>
      </c>
      <c r="T337" s="1" t="s">
        <v>2934</v>
      </c>
      <c r="U337">
        <v>113.37</v>
      </c>
      <c r="V337">
        <v>83.81</v>
      </c>
      <c r="W337">
        <v>16.755587999999999</v>
      </c>
      <c r="X337">
        <v>107.198543</v>
      </c>
      <c r="Y337">
        <v>29.56</v>
      </c>
      <c r="Z337">
        <v>16.739564999999999</v>
      </c>
      <c r="AA337">
        <v>107.188067</v>
      </c>
      <c r="AB337" s="5">
        <f t="shared" si="31"/>
        <v>0.12571499999999999</v>
      </c>
      <c r="AC337" s="5">
        <f t="shared" si="32"/>
        <v>4.4339999999999997E-2</v>
      </c>
      <c r="AD337" s="1" t="str">
        <f t="shared" si="33"/>
        <v>Quảng Trị</v>
      </c>
      <c r="AE337" s="1" t="str">
        <f t="shared" si="34"/>
        <v>PC07 (Đội PCCC khu vực 5)</v>
      </c>
      <c r="AG337">
        <f t="shared" si="35"/>
        <v>8.3809999999999996E-2</v>
      </c>
      <c r="AH337">
        <f t="shared" si="36"/>
        <v>2.9559999999999999E-2</v>
      </c>
      <c r="AI337">
        <f>VLOOKUP(L337,'[1]Tuyến cáp H04'!$B:$E,3,0)/1000</f>
        <v>3.177616</v>
      </c>
      <c r="AJ337" t="str">
        <f>VLOOKUP(L337,'[1]Tuyến cáp H04'!$B:$E,4,0)</f>
        <v>Mạng cấp 4</v>
      </c>
    </row>
    <row r="338" spans="1:36" x14ac:dyDescent="0.25">
      <c r="A338" s="1" t="s">
        <v>3038</v>
      </c>
      <c r="B338" s="1" t="s">
        <v>2662</v>
      </c>
      <c r="C338" s="1" t="s">
        <v>2663</v>
      </c>
      <c r="D338" s="1" t="s">
        <v>3039</v>
      </c>
      <c r="E338" s="1" t="s">
        <v>3040</v>
      </c>
      <c r="F338" s="1" t="s">
        <v>3041</v>
      </c>
      <c r="G338" s="1" t="s">
        <v>14129</v>
      </c>
      <c r="H338" s="1" t="s">
        <v>14133</v>
      </c>
      <c r="I338" s="1" t="s">
        <v>14461</v>
      </c>
      <c r="J338" s="1" t="s">
        <v>23</v>
      </c>
      <c r="K338" s="1"/>
      <c r="L338" s="1" t="s">
        <v>3042</v>
      </c>
      <c r="M338" s="1" t="s">
        <v>3043</v>
      </c>
      <c r="N338" s="1" t="s">
        <v>3044</v>
      </c>
      <c r="O338" s="1" t="s">
        <v>3045</v>
      </c>
      <c r="P338" s="1" t="s">
        <v>3046</v>
      </c>
      <c r="Q338" s="1" t="s">
        <v>3047</v>
      </c>
      <c r="R338" s="1" t="s">
        <v>3048</v>
      </c>
      <c r="S338" s="1" t="s">
        <v>3049</v>
      </c>
      <c r="T338" s="1" t="s">
        <v>3050</v>
      </c>
      <c r="U338">
        <v>617.41999999999996</v>
      </c>
      <c r="V338">
        <v>570.32000000000005</v>
      </c>
      <c r="W338">
        <v>16.741589999999999</v>
      </c>
      <c r="X338">
        <v>107.183447</v>
      </c>
      <c r="Y338">
        <v>47.1</v>
      </c>
      <c r="Z338">
        <v>16.747253000000001</v>
      </c>
      <c r="AA338">
        <v>107.17797299999999</v>
      </c>
      <c r="AB338" s="5">
        <f t="shared" si="31"/>
        <v>0.85548000000000002</v>
      </c>
      <c r="AC338" s="5">
        <f t="shared" si="32"/>
        <v>7.0650000000000004E-2</v>
      </c>
      <c r="AD338" s="1" t="str">
        <f t="shared" si="33"/>
        <v>TTCMKV Triệu Phong</v>
      </c>
      <c r="AE338" s="1" t="str">
        <f t="shared" si="34"/>
        <v>TX Quảng Trị</v>
      </c>
      <c r="AG338">
        <f t="shared" si="35"/>
        <v>0.57032000000000005</v>
      </c>
      <c r="AH338">
        <f t="shared" si="36"/>
        <v>4.7100000000000003E-2</v>
      </c>
      <c r="AI338">
        <f>VLOOKUP(L338,'[1]Tuyến cáp H04'!$B:$E,3,0)/1000</f>
        <v>4.9856530000000001</v>
      </c>
      <c r="AJ338" t="str">
        <f>VLOOKUP(L338,'[1]Tuyến cáp H04'!$B:$E,4,0)</f>
        <v>Mạng cấp 3</v>
      </c>
    </row>
    <row r="339" spans="1:36" x14ac:dyDescent="0.25">
      <c r="A339" s="1" t="s">
        <v>3051</v>
      </c>
      <c r="B339" s="1" t="s">
        <v>3039</v>
      </c>
      <c r="C339" s="1" t="s">
        <v>3040</v>
      </c>
      <c r="D339" s="1" t="s">
        <v>2662</v>
      </c>
      <c r="E339" s="1" t="s">
        <v>2663</v>
      </c>
      <c r="F339" s="1" t="s">
        <v>3052</v>
      </c>
      <c r="G339" s="1" t="s">
        <v>14129</v>
      </c>
      <c r="H339" s="1" t="s">
        <v>14133</v>
      </c>
      <c r="I339" s="1" t="s">
        <v>14462</v>
      </c>
      <c r="J339" s="1" t="s">
        <v>23</v>
      </c>
      <c r="K339" s="1"/>
      <c r="L339" s="1" t="s">
        <v>3042</v>
      </c>
      <c r="M339" s="1" t="s">
        <v>3043</v>
      </c>
      <c r="N339" s="1" t="s">
        <v>3047</v>
      </c>
      <c r="O339" s="1" t="s">
        <v>3048</v>
      </c>
      <c r="P339" s="1" t="s">
        <v>3049</v>
      </c>
      <c r="Q339" s="1" t="s">
        <v>3044</v>
      </c>
      <c r="R339" s="1" t="s">
        <v>3045</v>
      </c>
      <c r="S339" s="1" t="s">
        <v>3046</v>
      </c>
      <c r="T339" s="1" t="s">
        <v>3050</v>
      </c>
      <c r="U339">
        <v>617.41999999999996</v>
      </c>
      <c r="V339">
        <v>47.1</v>
      </c>
      <c r="W339">
        <v>16.747253000000001</v>
      </c>
      <c r="X339">
        <v>107.17797299999999</v>
      </c>
      <c r="Y339">
        <v>570.32000000000005</v>
      </c>
      <c r="Z339">
        <v>16.741589999999999</v>
      </c>
      <c r="AA339">
        <v>107.183447</v>
      </c>
      <c r="AB339" s="5">
        <f t="shared" si="31"/>
        <v>7.0650000000000004E-2</v>
      </c>
      <c r="AC339" s="5">
        <f t="shared" si="32"/>
        <v>0.85548000000000002</v>
      </c>
      <c r="AD339" s="1" t="str">
        <f t="shared" si="33"/>
        <v>TTCMKV Triệu Phong</v>
      </c>
      <c r="AE339" s="1" t="str">
        <f t="shared" si="34"/>
        <v>TX Quảng Trị</v>
      </c>
      <c r="AG339">
        <f t="shared" si="35"/>
        <v>4.7100000000000003E-2</v>
      </c>
      <c r="AH339">
        <f t="shared" si="36"/>
        <v>0.57032000000000005</v>
      </c>
      <c r="AI339">
        <f>VLOOKUP(L339,'[1]Tuyến cáp H04'!$B:$E,3,0)/1000</f>
        <v>4.9856530000000001</v>
      </c>
      <c r="AJ339" t="str">
        <f>VLOOKUP(L339,'[1]Tuyến cáp H04'!$B:$E,4,0)</f>
        <v>Mạng cấp 3</v>
      </c>
    </row>
    <row r="340" spans="1:36" x14ac:dyDescent="0.25">
      <c r="A340" s="1" t="s">
        <v>3053</v>
      </c>
      <c r="B340" s="1" t="s">
        <v>3054</v>
      </c>
      <c r="C340" s="1" t="s">
        <v>3055</v>
      </c>
      <c r="D340" s="1" t="s">
        <v>2835</v>
      </c>
      <c r="E340" s="1" t="s">
        <v>2836</v>
      </c>
      <c r="F340" s="1" t="s">
        <v>3056</v>
      </c>
      <c r="G340" s="1" t="s">
        <v>14129</v>
      </c>
      <c r="H340" s="1" t="s">
        <v>14133</v>
      </c>
      <c r="I340" s="1" t="s">
        <v>14463</v>
      </c>
      <c r="J340" s="1" t="s">
        <v>23</v>
      </c>
      <c r="K340" s="1"/>
      <c r="L340" s="1" t="s">
        <v>2665</v>
      </c>
      <c r="M340" s="1" t="s">
        <v>3057</v>
      </c>
      <c r="N340" s="1" t="s">
        <v>3058</v>
      </c>
      <c r="O340" s="1" t="s">
        <v>3059</v>
      </c>
      <c r="P340" s="1" t="s">
        <v>3060</v>
      </c>
      <c r="Q340" s="1" t="s">
        <v>2842</v>
      </c>
      <c r="R340" s="1" t="s">
        <v>2843</v>
      </c>
      <c r="S340" s="1" t="s">
        <v>2844</v>
      </c>
      <c r="T340" s="1" t="s">
        <v>2845</v>
      </c>
      <c r="U340">
        <v>975.49</v>
      </c>
      <c r="V340">
        <v>945.15</v>
      </c>
      <c r="W340">
        <v>16.718717999999999</v>
      </c>
      <c r="X340">
        <v>107.222302</v>
      </c>
      <c r="Y340">
        <v>30.35</v>
      </c>
      <c r="Z340">
        <v>16.692073000000001</v>
      </c>
      <c r="AA340">
        <v>107.245351</v>
      </c>
      <c r="AB340" s="5">
        <f t="shared" si="31"/>
        <v>1.4177249999999999</v>
      </c>
      <c r="AC340" s="5">
        <f t="shared" si="32"/>
        <v>4.5525000000000003E-2</v>
      </c>
      <c r="AD340" s="1" t="str">
        <f t="shared" si="33"/>
        <v>Hải Lăng</v>
      </c>
      <c r="AE340" s="1" t="str">
        <f t="shared" si="34"/>
        <v>TT2 Quảng Trị</v>
      </c>
      <c r="AG340">
        <f t="shared" si="35"/>
        <v>0.94514999999999993</v>
      </c>
      <c r="AH340">
        <f t="shared" si="36"/>
        <v>3.0350000000000002E-2</v>
      </c>
      <c r="AI340">
        <f>VLOOKUP(L340,'[1]Tuyến cáp H04'!$B:$E,3,0)/1000</f>
        <v>23.995881000000004</v>
      </c>
      <c r="AJ340" t="str">
        <f>VLOOKUP(L340,'[1]Tuyến cáp H04'!$B:$E,4,0)</f>
        <v>Mạng cấp 3</v>
      </c>
    </row>
    <row r="341" spans="1:36" x14ac:dyDescent="0.25">
      <c r="A341" s="1" t="s">
        <v>3061</v>
      </c>
      <c r="B341" s="1" t="s">
        <v>3062</v>
      </c>
      <c r="C341" s="1" t="s">
        <v>3063</v>
      </c>
      <c r="D341" s="1" t="s">
        <v>3064</v>
      </c>
      <c r="E341" s="1" t="s">
        <v>3065</v>
      </c>
      <c r="F341" s="1" t="s">
        <v>3066</v>
      </c>
      <c r="G341" s="1" t="s">
        <v>14129</v>
      </c>
      <c r="H341" s="1" t="s">
        <v>14133</v>
      </c>
      <c r="I341" s="1" t="s">
        <v>14464</v>
      </c>
      <c r="J341" s="1" t="s">
        <v>23</v>
      </c>
      <c r="K341" s="1"/>
      <c r="L341" s="1" t="s">
        <v>3067</v>
      </c>
      <c r="M341" s="1" t="s">
        <v>3068</v>
      </c>
      <c r="N341" s="1" t="s">
        <v>3069</v>
      </c>
      <c r="O341" s="1" t="s">
        <v>3070</v>
      </c>
      <c r="P341" s="1" t="s">
        <v>3071</v>
      </c>
      <c r="Q341" s="1" t="s">
        <v>3072</v>
      </c>
      <c r="R341" s="1" t="s">
        <v>3073</v>
      </c>
      <c r="S341" s="1" t="s">
        <v>3074</v>
      </c>
      <c r="T341" s="1" t="s">
        <v>3075</v>
      </c>
      <c r="U341">
        <v>58.35</v>
      </c>
      <c r="V341">
        <v>29.18</v>
      </c>
      <c r="W341">
        <v>16.815601000000001</v>
      </c>
      <c r="X341">
        <v>107.090208</v>
      </c>
      <c r="Y341">
        <v>29.17</v>
      </c>
      <c r="Z341">
        <v>16.812353000000002</v>
      </c>
      <c r="AA341">
        <v>107.089033</v>
      </c>
      <c r="AB341" s="5">
        <f t="shared" si="31"/>
        <v>4.3769999999999996E-2</v>
      </c>
      <c r="AC341" s="5">
        <f t="shared" si="32"/>
        <v>4.3755000000000002E-2</v>
      </c>
      <c r="AD341" s="1" t="str">
        <f t="shared" si="33"/>
        <v>Gio Linh</v>
      </c>
      <c r="AE341" s="1" t="str">
        <f t="shared" si="34"/>
        <v>Đông Hà</v>
      </c>
      <c r="AG341">
        <f t="shared" si="35"/>
        <v>2.9180000000000001E-2</v>
      </c>
      <c r="AH341">
        <f t="shared" si="36"/>
        <v>2.9170000000000001E-2</v>
      </c>
      <c r="AI341">
        <f>VLOOKUP(L341,'[1]Tuyến cáp H04'!$B:$E,3,0)/1000</f>
        <v>16.852661000000005</v>
      </c>
      <c r="AJ341" t="str">
        <f>VLOOKUP(L341,'[1]Tuyến cáp H04'!$B:$E,4,0)</f>
        <v>Mạng cấp 4</v>
      </c>
    </row>
    <row r="342" spans="1:36" x14ac:dyDescent="0.25">
      <c r="A342" s="1" t="s">
        <v>3076</v>
      </c>
      <c r="B342" s="1" t="s">
        <v>3077</v>
      </c>
      <c r="C342" s="1" t="s">
        <v>3078</v>
      </c>
      <c r="D342" s="1" t="s">
        <v>2706</v>
      </c>
      <c r="E342" s="1" t="s">
        <v>2707</v>
      </c>
      <c r="F342" s="1" t="s">
        <v>3079</v>
      </c>
      <c r="G342" s="1" t="s">
        <v>14129</v>
      </c>
      <c r="H342" s="1" t="s">
        <v>14133</v>
      </c>
      <c r="I342" s="1" t="s">
        <v>14465</v>
      </c>
      <c r="J342" s="1" t="s">
        <v>23</v>
      </c>
      <c r="K342" s="1"/>
      <c r="L342" s="1" t="s">
        <v>2759</v>
      </c>
      <c r="M342" s="1" t="s">
        <v>3080</v>
      </c>
      <c r="N342" s="1" t="s">
        <v>3081</v>
      </c>
      <c r="O342" s="1" t="s">
        <v>3082</v>
      </c>
      <c r="P342" s="1" t="s">
        <v>3083</v>
      </c>
      <c r="Q342" s="1" t="s">
        <v>2761</v>
      </c>
      <c r="R342" s="1" t="s">
        <v>2762</v>
      </c>
      <c r="S342" s="1" t="s">
        <v>2763</v>
      </c>
      <c r="T342" s="1" t="s">
        <v>2767</v>
      </c>
      <c r="U342">
        <v>824.87</v>
      </c>
      <c r="V342">
        <v>240.69</v>
      </c>
      <c r="W342">
        <v>16.933150000000001</v>
      </c>
      <c r="X342">
        <v>107.160359</v>
      </c>
      <c r="Y342">
        <v>584.17999999999995</v>
      </c>
      <c r="Z342">
        <v>16.90917</v>
      </c>
      <c r="AA342">
        <v>107.18106899999999</v>
      </c>
      <c r="AB342" s="5">
        <f t="shared" si="31"/>
        <v>0.36103499999999999</v>
      </c>
      <c r="AC342" s="5">
        <f t="shared" si="32"/>
        <v>0.87626999999999999</v>
      </c>
      <c r="AD342" s="1" t="str">
        <f t="shared" si="33"/>
        <v>Cửa Tùng</v>
      </c>
      <c r="AE342" s="1" t="str">
        <f t="shared" si="34"/>
        <v>Phòng PH10 (Nhà Nghỉ dưỡng Cửa Việt)</v>
      </c>
      <c r="AG342">
        <f t="shared" si="35"/>
        <v>0.24068999999999999</v>
      </c>
      <c r="AH342">
        <f t="shared" si="36"/>
        <v>0.58417999999999992</v>
      </c>
      <c r="AI342">
        <f>VLOOKUP(L342,'[1]Tuyến cáp H04'!$B:$E,3,0)/1000</f>
        <v>21.485168000000002</v>
      </c>
      <c r="AJ342" t="str">
        <f>VLOOKUP(L342,'[1]Tuyến cáp H04'!$B:$E,4,0)</f>
        <v>Mạng cấp 4</v>
      </c>
    </row>
    <row r="343" spans="1:36" x14ac:dyDescent="0.25">
      <c r="A343" s="1" t="s">
        <v>3084</v>
      </c>
      <c r="B343" s="1" t="s">
        <v>3085</v>
      </c>
      <c r="C343" s="1" t="s">
        <v>3086</v>
      </c>
      <c r="D343" s="1" t="s">
        <v>3087</v>
      </c>
      <c r="E343" s="1" t="s">
        <v>3088</v>
      </c>
      <c r="F343" s="1" t="s">
        <v>3089</v>
      </c>
      <c r="G343" s="1" t="s">
        <v>14129</v>
      </c>
      <c r="H343" s="1" t="s">
        <v>14133</v>
      </c>
      <c r="I343" s="1" t="s">
        <v>14466</v>
      </c>
      <c r="J343" s="1" t="s">
        <v>23</v>
      </c>
      <c r="K343" s="1"/>
      <c r="L343" s="1" t="s">
        <v>3090</v>
      </c>
      <c r="M343" s="1" t="s">
        <v>3091</v>
      </c>
      <c r="N343" s="1" t="s">
        <v>3092</v>
      </c>
      <c r="O343" s="1" t="s">
        <v>3093</v>
      </c>
      <c r="P343" s="1" t="s">
        <v>3094</v>
      </c>
      <c r="Q343" s="1" t="s">
        <v>3095</v>
      </c>
      <c r="R343" s="1" t="s">
        <v>3096</v>
      </c>
      <c r="S343" s="1" t="s">
        <v>3097</v>
      </c>
      <c r="T343" s="1" t="s">
        <v>3098</v>
      </c>
      <c r="U343">
        <v>1209.5999999999999</v>
      </c>
      <c r="V343">
        <v>897.53</v>
      </c>
      <c r="W343">
        <v>16.783339000000002</v>
      </c>
      <c r="X343">
        <v>107.10921399999999</v>
      </c>
      <c r="Y343">
        <v>312.07</v>
      </c>
      <c r="Z343">
        <v>16.786483</v>
      </c>
      <c r="AA343">
        <v>107.10559000000001</v>
      </c>
      <c r="AB343" s="5">
        <f t="shared" si="31"/>
        <v>1.346295</v>
      </c>
      <c r="AC343" s="5">
        <f t="shared" si="32"/>
        <v>0.46810499999999999</v>
      </c>
      <c r="AD343" s="1" t="str">
        <f t="shared" si="33"/>
        <v>Trung tâm sát hạch lái xe</v>
      </c>
      <c r="AE343" s="1" t="str">
        <f t="shared" si="34"/>
        <v>TX Quảng Trị</v>
      </c>
      <c r="AG343">
        <f t="shared" si="35"/>
        <v>0.89752999999999994</v>
      </c>
      <c r="AH343">
        <f t="shared" si="36"/>
        <v>0.31207000000000001</v>
      </c>
      <c r="AI343">
        <f>VLOOKUP(L343,'[1]Tuyến cáp H04'!$B:$E,3,0)/1000</f>
        <v>15.808576</v>
      </c>
      <c r="AJ343" t="str">
        <f>VLOOKUP(L343,'[1]Tuyến cáp H04'!$B:$E,4,0)</f>
        <v>Mạng cấp 3</v>
      </c>
    </row>
    <row r="344" spans="1:36" x14ac:dyDescent="0.25">
      <c r="A344" s="1" t="s">
        <v>3099</v>
      </c>
      <c r="B344" s="1" t="s">
        <v>3100</v>
      </c>
      <c r="C344" s="1" t="s">
        <v>3101</v>
      </c>
      <c r="D344" s="1" t="s">
        <v>2649</v>
      </c>
      <c r="E344" s="1" t="s">
        <v>2650</v>
      </c>
      <c r="F344" s="1" t="s">
        <v>3102</v>
      </c>
      <c r="G344" s="1" t="s">
        <v>14129</v>
      </c>
      <c r="H344" s="1" t="s">
        <v>14133</v>
      </c>
      <c r="I344" s="1" t="s">
        <v>14467</v>
      </c>
      <c r="J344" s="1" t="s">
        <v>23</v>
      </c>
      <c r="K344" s="1"/>
      <c r="L344" s="1" t="s">
        <v>2652</v>
      </c>
      <c r="M344" s="1" t="s">
        <v>3103</v>
      </c>
      <c r="N344" s="1" t="s">
        <v>3104</v>
      </c>
      <c r="O344" s="1" t="s">
        <v>3105</v>
      </c>
      <c r="P344" s="1" t="s">
        <v>3106</v>
      </c>
      <c r="Q344" s="1" t="s">
        <v>2654</v>
      </c>
      <c r="R344" s="1" t="s">
        <v>2655</v>
      </c>
      <c r="S344" s="1" t="s">
        <v>2656</v>
      </c>
      <c r="T344" s="1" t="s">
        <v>2660</v>
      </c>
      <c r="U344">
        <v>131.01</v>
      </c>
      <c r="V344">
        <v>90.65</v>
      </c>
      <c r="W344">
        <v>16.790571</v>
      </c>
      <c r="X344">
        <v>107.099158</v>
      </c>
      <c r="Y344">
        <v>40.36</v>
      </c>
      <c r="Z344">
        <v>16.790599</v>
      </c>
      <c r="AA344">
        <v>107.091199</v>
      </c>
      <c r="AB344" s="5">
        <f t="shared" si="31"/>
        <v>0.13597500000000001</v>
      </c>
      <c r="AC344" s="5">
        <f t="shared" si="32"/>
        <v>6.0539999999999997E-2</v>
      </c>
      <c r="AD344" s="1" t="str">
        <f t="shared" si="33"/>
        <v>TT2 Quảng Trị</v>
      </c>
      <c r="AE344" s="1" t="str">
        <f t="shared" si="34"/>
        <v>PC07</v>
      </c>
      <c r="AG344">
        <f t="shared" si="35"/>
        <v>9.0650000000000008E-2</v>
      </c>
      <c r="AH344">
        <f t="shared" si="36"/>
        <v>4.036E-2</v>
      </c>
      <c r="AI344" t="e">
        <f>VLOOKUP(L344,'[1]Tuyến cáp H04'!$B:$E,3,0)/1000</f>
        <v>#N/A</v>
      </c>
      <c r="AJ344" t="e">
        <f>VLOOKUP(L344,'[1]Tuyến cáp H04'!$B:$E,4,0)</f>
        <v>#N/A</v>
      </c>
    </row>
    <row r="345" spans="1:36" x14ac:dyDescent="0.25">
      <c r="A345" s="1" t="s">
        <v>3107</v>
      </c>
      <c r="B345" s="1" t="s">
        <v>3108</v>
      </c>
      <c r="C345" s="1" t="s">
        <v>3109</v>
      </c>
      <c r="D345" s="1" t="s">
        <v>2649</v>
      </c>
      <c r="E345" s="1" t="s">
        <v>2650</v>
      </c>
      <c r="F345" s="1" t="s">
        <v>3110</v>
      </c>
      <c r="G345" s="1" t="s">
        <v>14129</v>
      </c>
      <c r="H345" s="1" t="s">
        <v>14133</v>
      </c>
      <c r="I345" s="1" t="s">
        <v>14468</v>
      </c>
      <c r="J345" s="1" t="s">
        <v>23</v>
      </c>
      <c r="K345" s="1"/>
      <c r="L345" s="1" t="s">
        <v>3111</v>
      </c>
      <c r="M345" s="1" t="s">
        <v>3112</v>
      </c>
      <c r="N345" s="1" t="s">
        <v>3113</v>
      </c>
      <c r="O345" s="1" t="s">
        <v>3114</v>
      </c>
      <c r="P345" s="1" t="s">
        <v>3115</v>
      </c>
      <c r="Q345" s="1" t="s">
        <v>3116</v>
      </c>
      <c r="R345" s="1" t="s">
        <v>3117</v>
      </c>
      <c r="S345" s="1" t="s">
        <v>3118</v>
      </c>
      <c r="T345" s="1" t="s">
        <v>3119</v>
      </c>
      <c r="U345">
        <v>250.41</v>
      </c>
      <c r="V345">
        <v>246.4</v>
      </c>
      <c r="W345">
        <v>16.789892999999999</v>
      </c>
      <c r="X345">
        <v>107.065859</v>
      </c>
      <c r="Y345">
        <v>4.01</v>
      </c>
      <c r="Z345">
        <v>16.790272000000002</v>
      </c>
      <c r="AA345">
        <v>107.09096700000001</v>
      </c>
      <c r="AB345" s="5">
        <f t="shared" si="31"/>
        <v>0.36960000000000004</v>
      </c>
      <c r="AC345" s="5">
        <f t="shared" si="32"/>
        <v>6.0149999999999995E-3</v>
      </c>
      <c r="AD345" s="1" t="str">
        <f t="shared" si="33"/>
        <v>Hiếu Giang</v>
      </c>
      <c r="AE345" s="1" t="str">
        <f t="shared" si="34"/>
        <v>CA Công an Quảng Trị</v>
      </c>
      <c r="AG345">
        <f t="shared" si="35"/>
        <v>0.24640000000000001</v>
      </c>
      <c r="AH345">
        <f t="shared" si="36"/>
        <v>4.0099999999999997E-3</v>
      </c>
      <c r="AI345">
        <f>VLOOKUP(L345,'[1]Tuyến cáp H04'!$B:$E,3,0)/1000</f>
        <v>8.3786169999999984</v>
      </c>
      <c r="AJ345" t="str">
        <f>VLOOKUP(L345,'[1]Tuyến cáp H04'!$B:$E,4,0)</f>
        <v>Mạng cấp 4</v>
      </c>
    </row>
    <row r="346" spans="1:36" x14ac:dyDescent="0.25">
      <c r="A346" s="1" t="s">
        <v>3120</v>
      </c>
      <c r="B346" s="1" t="s">
        <v>3121</v>
      </c>
      <c r="C346" s="1" t="s">
        <v>3122</v>
      </c>
      <c r="D346" s="1" t="s">
        <v>2818</v>
      </c>
      <c r="E346" s="1" t="s">
        <v>2819</v>
      </c>
      <c r="F346" s="1" t="s">
        <v>3123</v>
      </c>
      <c r="G346" s="1" t="s">
        <v>14129</v>
      </c>
      <c r="H346" s="1" t="s">
        <v>14133</v>
      </c>
      <c r="I346" s="1" t="s">
        <v>14469</v>
      </c>
      <c r="J346" s="1" t="s">
        <v>23</v>
      </c>
      <c r="K346" s="1"/>
      <c r="L346" s="1" t="s">
        <v>2721</v>
      </c>
      <c r="M346" s="1" t="s">
        <v>3124</v>
      </c>
      <c r="N346" s="1" t="s">
        <v>3125</v>
      </c>
      <c r="O346" s="1" t="s">
        <v>3126</v>
      </c>
      <c r="P346" s="1" t="s">
        <v>3127</v>
      </c>
      <c r="Q346" s="1" t="s">
        <v>3128</v>
      </c>
      <c r="R346" s="1" t="s">
        <v>3129</v>
      </c>
      <c r="S346" s="1" t="s">
        <v>3130</v>
      </c>
      <c r="T346" s="1" t="s">
        <v>3131</v>
      </c>
      <c r="U346">
        <v>106.05</v>
      </c>
      <c r="V346">
        <v>72.540000000000006</v>
      </c>
      <c r="W346">
        <v>16.814689999999999</v>
      </c>
      <c r="X346">
        <v>107.10002299999999</v>
      </c>
      <c r="Y346">
        <v>33.5</v>
      </c>
      <c r="Z346">
        <v>16.815836000000001</v>
      </c>
      <c r="AA346">
        <v>107.10514499999999</v>
      </c>
      <c r="AB346" s="5">
        <f t="shared" si="31"/>
        <v>0.10881</v>
      </c>
      <c r="AC346" s="5">
        <f t="shared" si="32"/>
        <v>5.0250000000000003E-2</v>
      </c>
      <c r="AD346" s="1" t="str">
        <f t="shared" si="33"/>
        <v>Cam Lộ</v>
      </c>
      <c r="AE346" s="1" t="str">
        <f t="shared" si="34"/>
        <v>Nam Đông Hà</v>
      </c>
      <c r="AG346">
        <f t="shared" si="35"/>
        <v>7.2540000000000007E-2</v>
      </c>
      <c r="AH346">
        <f t="shared" si="36"/>
        <v>3.3500000000000002E-2</v>
      </c>
      <c r="AI346" t="e">
        <f>VLOOKUP(L346,'[1]Tuyến cáp H04'!$B:$E,3,0)/1000</f>
        <v>#N/A</v>
      </c>
      <c r="AJ346" t="e">
        <f>VLOOKUP(L346,'[1]Tuyến cáp H04'!$B:$E,4,0)</f>
        <v>#N/A</v>
      </c>
    </row>
    <row r="347" spans="1:36" x14ac:dyDescent="0.25">
      <c r="A347" s="1" t="s">
        <v>3132</v>
      </c>
      <c r="B347" s="1" t="s">
        <v>3133</v>
      </c>
      <c r="C347" s="1" t="s">
        <v>3134</v>
      </c>
      <c r="D347" s="1" t="s">
        <v>3087</v>
      </c>
      <c r="E347" s="1" t="s">
        <v>3088</v>
      </c>
      <c r="F347" s="1" t="s">
        <v>3135</v>
      </c>
      <c r="G347" s="1" t="s">
        <v>14129</v>
      </c>
      <c r="H347" s="1" t="s">
        <v>14133</v>
      </c>
      <c r="I347" s="1" t="s">
        <v>14470</v>
      </c>
      <c r="J347" s="1" t="s">
        <v>23</v>
      </c>
      <c r="K347" s="1"/>
      <c r="L347" s="1" t="s">
        <v>2626</v>
      </c>
      <c r="M347" s="1" t="s">
        <v>3136</v>
      </c>
      <c r="N347" s="1" t="s">
        <v>3137</v>
      </c>
      <c r="O347" s="1" t="s">
        <v>3138</v>
      </c>
      <c r="P347" s="1" t="s">
        <v>3139</v>
      </c>
      <c r="Q347" s="1" t="s">
        <v>3140</v>
      </c>
      <c r="R347" s="1" t="s">
        <v>3141</v>
      </c>
      <c r="S347" s="1" t="s">
        <v>3142</v>
      </c>
      <c r="T347" s="1" t="s">
        <v>2634</v>
      </c>
      <c r="U347">
        <v>573.98</v>
      </c>
      <c r="V347">
        <v>407.92</v>
      </c>
      <c r="W347">
        <v>16.794229000000001</v>
      </c>
      <c r="X347">
        <v>107.11251</v>
      </c>
      <c r="Y347">
        <v>166.06</v>
      </c>
      <c r="Z347">
        <v>16.790261999999998</v>
      </c>
      <c r="AA347">
        <v>107.10346</v>
      </c>
      <c r="AB347" s="5">
        <f t="shared" si="31"/>
        <v>0.61187999999999998</v>
      </c>
      <c r="AC347" s="5">
        <f t="shared" si="32"/>
        <v>0.24909000000000001</v>
      </c>
      <c r="AD347" s="1" t="str">
        <f t="shared" si="33"/>
        <v>CA Công an Quảng Trị</v>
      </c>
      <c r="AE347" s="1" t="str">
        <f t="shared" si="34"/>
        <v>Triệu Phong</v>
      </c>
      <c r="AG347">
        <f t="shared" si="35"/>
        <v>0.40792</v>
      </c>
      <c r="AH347">
        <f t="shared" si="36"/>
        <v>0.16606000000000001</v>
      </c>
      <c r="AI347">
        <f>VLOOKUP(L347,'[1]Tuyến cáp H04'!$B:$E,3,0)/1000</f>
        <v>8.6597539999999995</v>
      </c>
      <c r="AJ347" t="str">
        <f>VLOOKUP(L347,'[1]Tuyến cáp H04'!$B:$E,4,0)</f>
        <v>Mạng cấp 4</v>
      </c>
    </row>
    <row r="348" spans="1:36" x14ac:dyDescent="0.25">
      <c r="A348" s="1" t="s">
        <v>3143</v>
      </c>
      <c r="B348" s="1" t="s">
        <v>3144</v>
      </c>
      <c r="C348" s="1" t="s">
        <v>3145</v>
      </c>
      <c r="D348" s="1" t="s">
        <v>3146</v>
      </c>
      <c r="E348" s="1" t="s">
        <v>3147</v>
      </c>
      <c r="F348" s="1" t="s">
        <v>3148</v>
      </c>
      <c r="G348" s="1" t="s">
        <v>14129</v>
      </c>
      <c r="H348" s="1" t="s">
        <v>14133</v>
      </c>
      <c r="I348" s="1" t="s">
        <v>14471</v>
      </c>
      <c r="J348" s="1" t="s">
        <v>23</v>
      </c>
      <c r="K348" s="1"/>
      <c r="L348" s="1" t="s">
        <v>3149</v>
      </c>
      <c r="M348" s="1" t="s">
        <v>3150</v>
      </c>
      <c r="N348" s="1" t="s">
        <v>3151</v>
      </c>
      <c r="O348" s="1" t="s">
        <v>3152</v>
      </c>
      <c r="P348" s="1" t="s">
        <v>3153</v>
      </c>
      <c r="Q348" s="1" t="s">
        <v>3154</v>
      </c>
      <c r="R348" s="1" t="s">
        <v>3155</v>
      </c>
      <c r="S348" s="1" t="s">
        <v>3156</v>
      </c>
      <c r="T348" s="1" t="s">
        <v>3157</v>
      </c>
      <c r="U348">
        <v>397.07</v>
      </c>
      <c r="V348">
        <v>197.87</v>
      </c>
      <c r="W348">
        <v>16.800301999999999</v>
      </c>
      <c r="X348">
        <v>107.09280699999999</v>
      </c>
      <c r="Y348">
        <v>199.2</v>
      </c>
      <c r="Z348">
        <v>16.800885999999998</v>
      </c>
      <c r="AA348">
        <v>107.08566999999999</v>
      </c>
      <c r="AB348" s="5">
        <f t="shared" si="31"/>
        <v>0.29680499999999999</v>
      </c>
      <c r="AC348" s="5">
        <f t="shared" si="32"/>
        <v>0.29879999999999995</v>
      </c>
      <c r="AD348" s="1" t="str">
        <f t="shared" si="33"/>
        <v>Đông Hà</v>
      </c>
      <c r="AE348" s="1" t="str">
        <f t="shared" si="34"/>
        <v>CA Công an Quảng Trị</v>
      </c>
      <c r="AG348">
        <f t="shared" si="35"/>
        <v>0.19787000000000002</v>
      </c>
      <c r="AH348">
        <f t="shared" si="36"/>
        <v>0.19919999999999999</v>
      </c>
      <c r="AI348">
        <f>VLOOKUP(L348,'[1]Tuyến cáp H04'!$B:$E,3,0)/1000</f>
        <v>6.1135149999999996</v>
      </c>
      <c r="AJ348" t="str">
        <f>VLOOKUP(L348,'[1]Tuyến cáp H04'!$B:$E,4,0)</f>
        <v>Mạng cấp 4</v>
      </c>
    </row>
    <row r="349" spans="1:36" x14ac:dyDescent="0.25">
      <c r="A349" s="1" t="s">
        <v>3158</v>
      </c>
      <c r="B349" s="1" t="s">
        <v>3159</v>
      </c>
      <c r="C349" s="1" t="s">
        <v>3160</v>
      </c>
      <c r="D349" s="1" t="s">
        <v>2769</v>
      </c>
      <c r="E349" s="1" t="s">
        <v>2770</v>
      </c>
      <c r="F349" s="1" t="s">
        <v>3161</v>
      </c>
      <c r="G349" s="1" t="s">
        <v>14129</v>
      </c>
      <c r="H349" s="1" t="s">
        <v>14133</v>
      </c>
      <c r="I349" s="1" t="s">
        <v>14472</v>
      </c>
      <c r="J349" s="1" t="s">
        <v>23</v>
      </c>
      <c r="K349" s="1"/>
      <c r="L349" s="1" t="s">
        <v>2759</v>
      </c>
      <c r="M349" s="1" t="s">
        <v>3162</v>
      </c>
      <c r="N349" s="1" t="s">
        <v>3163</v>
      </c>
      <c r="O349" s="1" t="s">
        <v>3164</v>
      </c>
      <c r="P349" s="1" t="s">
        <v>3165</v>
      </c>
      <c r="Q349" s="1" t="s">
        <v>2776</v>
      </c>
      <c r="R349" s="1" t="s">
        <v>2777</v>
      </c>
      <c r="S349" s="1" t="s">
        <v>2778</v>
      </c>
      <c r="T349" s="1" t="s">
        <v>2779</v>
      </c>
      <c r="U349">
        <v>81.650000000000006</v>
      </c>
      <c r="V349">
        <v>58.75</v>
      </c>
      <c r="W349">
        <v>16.997064000000002</v>
      </c>
      <c r="X349">
        <v>107.10917600000001</v>
      </c>
      <c r="Y349">
        <v>22.9</v>
      </c>
      <c r="Z349">
        <v>16.988969000000001</v>
      </c>
      <c r="AA349">
        <v>107.106525</v>
      </c>
      <c r="AB349" s="5">
        <f t="shared" si="31"/>
        <v>8.8124999999999995E-2</v>
      </c>
      <c r="AC349" s="5">
        <f t="shared" si="32"/>
        <v>3.4349999999999992E-2</v>
      </c>
      <c r="AD349" s="1" t="str">
        <f t="shared" si="33"/>
        <v>Cửa Tùng</v>
      </c>
      <c r="AE349" s="1" t="str">
        <f t="shared" si="34"/>
        <v>Phòng PH10 (Nhà Nghỉ dưỡng Cửa Việt)</v>
      </c>
      <c r="AG349">
        <f t="shared" si="35"/>
        <v>5.8749999999999997E-2</v>
      </c>
      <c r="AH349">
        <f t="shared" si="36"/>
        <v>2.29E-2</v>
      </c>
      <c r="AI349">
        <f>VLOOKUP(L349,'[1]Tuyến cáp H04'!$B:$E,3,0)/1000</f>
        <v>21.485168000000002</v>
      </c>
      <c r="AJ349" t="str">
        <f>VLOOKUP(L349,'[1]Tuyến cáp H04'!$B:$E,4,0)</f>
        <v>Mạng cấp 4</v>
      </c>
    </row>
    <row r="350" spans="1:36" x14ac:dyDescent="0.25">
      <c r="A350" s="1" t="s">
        <v>3166</v>
      </c>
      <c r="B350" s="1" t="s">
        <v>3167</v>
      </c>
      <c r="C350" s="1" t="s">
        <v>3168</v>
      </c>
      <c r="D350" s="1" t="s">
        <v>2992</v>
      </c>
      <c r="E350" s="1" t="s">
        <v>2993</v>
      </c>
      <c r="F350" s="1" t="s">
        <v>3169</v>
      </c>
      <c r="G350" s="1" t="s">
        <v>14129</v>
      </c>
      <c r="H350" s="1" t="s">
        <v>14133</v>
      </c>
      <c r="I350" s="1" t="s">
        <v>14473</v>
      </c>
      <c r="J350" s="1" t="s">
        <v>23</v>
      </c>
      <c r="K350" s="1"/>
      <c r="L350" s="1" t="s">
        <v>3170</v>
      </c>
      <c r="M350" s="1" t="s">
        <v>3171</v>
      </c>
      <c r="N350" s="1" t="s">
        <v>3172</v>
      </c>
      <c r="O350" s="1" t="s">
        <v>3173</v>
      </c>
      <c r="P350" s="1" t="s">
        <v>3174</v>
      </c>
      <c r="Q350" s="1" t="s">
        <v>3175</v>
      </c>
      <c r="R350" s="1" t="s">
        <v>3176</v>
      </c>
      <c r="S350" s="1" t="s">
        <v>3177</v>
      </c>
      <c r="T350" s="1" t="s">
        <v>3178</v>
      </c>
      <c r="U350">
        <v>892.75</v>
      </c>
      <c r="V350">
        <v>881.84</v>
      </c>
      <c r="W350">
        <v>16.789978000000001</v>
      </c>
      <c r="X350">
        <v>107.17057699999999</v>
      </c>
      <c r="Y350">
        <v>10.92</v>
      </c>
      <c r="Z350">
        <v>16.791053000000002</v>
      </c>
      <c r="AA350">
        <v>107.172613</v>
      </c>
      <c r="AB350" s="5">
        <f t="shared" si="31"/>
        <v>1.3227599999999999</v>
      </c>
      <c r="AC350" s="5">
        <f t="shared" si="32"/>
        <v>1.6379999999999999E-2</v>
      </c>
      <c r="AD350" s="1" t="str">
        <f t="shared" si="33"/>
        <v>Triệu Phong</v>
      </c>
      <c r="AE350" s="1" t="str">
        <f t="shared" si="34"/>
        <v>Ái Tử</v>
      </c>
      <c r="AG350">
        <f t="shared" si="35"/>
        <v>0.88184000000000007</v>
      </c>
      <c r="AH350">
        <f t="shared" si="36"/>
        <v>1.0919999999999999E-2</v>
      </c>
      <c r="AI350">
        <f>VLOOKUP(L350,'[1]Tuyến cáp H04'!$B:$E,3,0)/1000</f>
        <v>3.4736949999999998</v>
      </c>
      <c r="AJ350" t="str">
        <f>VLOOKUP(L350,'[1]Tuyến cáp H04'!$B:$E,4,0)</f>
        <v>Mạng cấp 4</v>
      </c>
    </row>
    <row r="351" spans="1:36" x14ac:dyDescent="0.25">
      <c r="A351" s="1" t="s">
        <v>3179</v>
      </c>
      <c r="B351" s="1" t="s">
        <v>3025</v>
      </c>
      <c r="C351" s="1" t="s">
        <v>3026</v>
      </c>
      <c r="D351" s="1" t="s">
        <v>3180</v>
      </c>
      <c r="E351" s="1" t="s">
        <v>3181</v>
      </c>
      <c r="F351" s="1" t="s">
        <v>3182</v>
      </c>
      <c r="G351" s="1" t="s">
        <v>14129</v>
      </c>
      <c r="H351" s="1" t="s">
        <v>14133</v>
      </c>
      <c r="I351" s="1" t="s">
        <v>14474</v>
      </c>
      <c r="J351" s="1" t="s">
        <v>23</v>
      </c>
      <c r="K351" s="1"/>
      <c r="L351" s="1" t="s">
        <v>3183</v>
      </c>
      <c r="M351" s="1" t="s">
        <v>3184</v>
      </c>
      <c r="N351" s="1" t="s">
        <v>3185</v>
      </c>
      <c r="O351" s="1" t="s">
        <v>3186</v>
      </c>
      <c r="P351" s="1" t="s">
        <v>3187</v>
      </c>
      <c r="Q351" s="1" t="s">
        <v>3188</v>
      </c>
      <c r="R351" s="1" t="s">
        <v>3189</v>
      </c>
      <c r="S351" s="1" t="s">
        <v>3190</v>
      </c>
      <c r="T351" s="1" t="s">
        <v>3191</v>
      </c>
      <c r="U351">
        <v>160.44</v>
      </c>
      <c r="V351">
        <v>38.99</v>
      </c>
      <c r="W351">
        <v>16.756112999999999</v>
      </c>
      <c r="X351">
        <v>107.19887900000001</v>
      </c>
      <c r="Y351">
        <v>121.44</v>
      </c>
      <c r="Z351">
        <v>16.764666999999999</v>
      </c>
      <c r="AA351">
        <v>107.204076</v>
      </c>
      <c r="AB351" s="5">
        <f t="shared" si="31"/>
        <v>5.8485000000000002E-2</v>
      </c>
      <c r="AC351" s="5">
        <f t="shared" si="32"/>
        <v>0.18215999999999999</v>
      </c>
      <c r="AD351" s="1" t="str">
        <f t="shared" si="33"/>
        <v>PC07 (Đội PCCC khu vực 5)</v>
      </c>
      <c r="AE351" s="1" t="str">
        <f t="shared" si="34"/>
        <v>Triệu Cơ</v>
      </c>
      <c r="AG351">
        <f t="shared" si="35"/>
        <v>3.8990000000000004E-2</v>
      </c>
      <c r="AH351">
        <f t="shared" si="36"/>
        <v>0.12143999999999999</v>
      </c>
      <c r="AI351">
        <f>VLOOKUP(L351,'[1]Tuyến cáp H04'!$B:$E,3,0)/1000</f>
        <v>6.0794979999999992</v>
      </c>
      <c r="AJ351" t="str">
        <f>VLOOKUP(L351,'[1]Tuyến cáp H04'!$B:$E,4,0)</f>
        <v>Mạng cấp 4</v>
      </c>
    </row>
    <row r="352" spans="1:36" x14ac:dyDescent="0.25">
      <c r="A352" s="1" t="s">
        <v>3192</v>
      </c>
      <c r="B352" s="1" t="s">
        <v>2912</v>
      </c>
      <c r="C352" s="1" t="s">
        <v>2913</v>
      </c>
      <c r="D352" s="1" t="s">
        <v>3193</v>
      </c>
      <c r="E352" s="1" t="s">
        <v>3194</v>
      </c>
      <c r="F352" s="1" t="s">
        <v>3195</v>
      </c>
      <c r="G352" s="1" t="s">
        <v>14129</v>
      </c>
      <c r="H352" s="1" t="s">
        <v>14133</v>
      </c>
      <c r="I352" s="1" t="s">
        <v>14475</v>
      </c>
      <c r="J352" s="1" t="s">
        <v>23</v>
      </c>
      <c r="K352" s="1"/>
      <c r="L352" s="1" t="s">
        <v>2858</v>
      </c>
      <c r="M352" s="1" t="s">
        <v>3196</v>
      </c>
      <c r="N352" s="1" t="s">
        <v>3197</v>
      </c>
      <c r="O352" s="1" t="s">
        <v>3198</v>
      </c>
      <c r="P352" s="1" t="s">
        <v>3199</v>
      </c>
      <c r="Q352" s="1" t="s">
        <v>3200</v>
      </c>
      <c r="R352" s="1" t="s">
        <v>3201</v>
      </c>
      <c r="S352" s="1" t="s">
        <v>3202</v>
      </c>
      <c r="T352" s="1" t="s">
        <v>3203</v>
      </c>
      <c r="U352">
        <v>201.03</v>
      </c>
      <c r="V352">
        <v>9.82</v>
      </c>
      <c r="W352">
        <v>16.764586999999999</v>
      </c>
      <c r="X352">
        <v>107.22398200000001</v>
      </c>
      <c r="Y352">
        <v>191.2</v>
      </c>
      <c r="Z352">
        <v>16.765232000000001</v>
      </c>
      <c r="AA352">
        <v>107.22210699999999</v>
      </c>
      <c r="AB352" s="5">
        <f t="shared" si="31"/>
        <v>1.473E-2</v>
      </c>
      <c r="AC352" s="5">
        <f t="shared" si="32"/>
        <v>0.28679999999999994</v>
      </c>
      <c r="AD352" s="1" t="str">
        <f t="shared" si="33"/>
        <v>Mỹ Thủy</v>
      </c>
      <c r="AE352" s="1" t="str">
        <f t="shared" si="34"/>
        <v>Vĩnh Định</v>
      </c>
      <c r="AG352">
        <f t="shared" si="35"/>
        <v>9.8200000000000006E-3</v>
      </c>
      <c r="AH352">
        <f t="shared" si="36"/>
        <v>0.19119999999999998</v>
      </c>
      <c r="AI352" t="e">
        <f>VLOOKUP(L352,'[1]Tuyến cáp H04'!$B:$E,3,0)/1000</f>
        <v>#N/A</v>
      </c>
      <c r="AJ352" t="e">
        <f>VLOOKUP(L352,'[1]Tuyến cáp H04'!$B:$E,4,0)</f>
        <v>#N/A</v>
      </c>
    </row>
    <row r="353" spans="1:36" x14ac:dyDescent="0.25">
      <c r="A353" s="1" t="s">
        <v>3204</v>
      </c>
      <c r="B353" s="1" t="s">
        <v>3205</v>
      </c>
      <c r="C353" s="1" t="s">
        <v>3206</v>
      </c>
      <c r="D353" s="1" t="s">
        <v>2900</v>
      </c>
      <c r="E353" s="1" t="s">
        <v>2901</v>
      </c>
      <c r="F353" s="1" t="s">
        <v>3207</v>
      </c>
      <c r="G353" s="1" t="s">
        <v>14129</v>
      </c>
      <c r="H353" s="1" t="s">
        <v>14133</v>
      </c>
      <c r="I353" s="1" t="s">
        <v>14476</v>
      </c>
      <c r="J353" s="1" t="s">
        <v>23</v>
      </c>
      <c r="K353" s="1"/>
      <c r="L353" s="1" t="s">
        <v>2915</v>
      </c>
      <c r="M353" s="1" t="s">
        <v>3208</v>
      </c>
      <c r="N353" s="1" t="s">
        <v>3209</v>
      </c>
      <c r="O353" s="1" t="s">
        <v>3210</v>
      </c>
      <c r="P353" s="1" t="s">
        <v>3211</v>
      </c>
      <c r="Q353" s="1" t="s">
        <v>2917</v>
      </c>
      <c r="R353" s="1" t="s">
        <v>2918</v>
      </c>
      <c r="S353" s="1" t="s">
        <v>2919</v>
      </c>
      <c r="T353" s="1" t="s">
        <v>2923</v>
      </c>
      <c r="U353">
        <v>583.29</v>
      </c>
      <c r="V353">
        <v>537.22</v>
      </c>
      <c r="W353">
        <v>16.768227</v>
      </c>
      <c r="X353">
        <v>107.229687</v>
      </c>
      <c r="Y353">
        <v>46.07</v>
      </c>
      <c r="Z353">
        <v>16.763349999999999</v>
      </c>
      <c r="AA353">
        <v>107.24277499999999</v>
      </c>
      <c r="AB353" s="5">
        <f t="shared" si="31"/>
        <v>0.80583000000000005</v>
      </c>
      <c r="AC353" s="5">
        <f t="shared" si="32"/>
        <v>6.9105E-2</v>
      </c>
      <c r="AD353" s="1" t="str">
        <f t="shared" si="33"/>
        <v>Nam Cửa Việt</v>
      </c>
      <c r="AE353" s="1" t="str">
        <f t="shared" si="34"/>
        <v>Triệu Cơ</v>
      </c>
      <c r="AG353">
        <f t="shared" si="35"/>
        <v>0.53722000000000003</v>
      </c>
      <c r="AH353">
        <f t="shared" si="36"/>
        <v>4.607E-2</v>
      </c>
      <c r="AI353" t="e">
        <f>VLOOKUP(L353,'[1]Tuyến cáp H04'!$B:$E,3,0)/1000</f>
        <v>#N/A</v>
      </c>
      <c r="AJ353" t="e">
        <f>VLOOKUP(L353,'[1]Tuyến cáp H04'!$B:$E,4,0)</f>
        <v>#N/A</v>
      </c>
    </row>
    <row r="354" spans="1:36" x14ac:dyDescent="0.25">
      <c r="A354" s="1" t="s">
        <v>3212</v>
      </c>
      <c r="B354" s="1" t="s">
        <v>2900</v>
      </c>
      <c r="C354" s="1" t="s">
        <v>2901</v>
      </c>
      <c r="D354" s="1" t="s">
        <v>3213</v>
      </c>
      <c r="E354" s="1" t="s">
        <v>3214</v>
      </c>
      <c r="F354" s="1" t="s">
        <v>3215</v>
      </c>
      <c r="G354" s="1" t="s">
        <v>14129</v>
      </c>
      <c r="H354" s="1" t="s">
        <v>14133</v>
      </c>
      <c r="I354" s="1" t="s">
        <v>14477</v>
      </c>
      <c r="J354" s="1" t="s">
        <v>23</v>
      </c>
      <c r="K354" s="1"/>
      <c r="L354" s="1" t="s">
        <v>2858</v>
      </c>
      <c r="M354" s="1" t="s">
        <v>3216</v>
      </c>
      <c r="N354" s="1" t="s">
        <v>2907</v>
      </c>
      <c r="O354" s="1" t="s">
        <v>2908</v>
      </c>
      <c r="P354" s="1" t="s">
        <v>2909</v>
      </c>
      <c r="Q354" s="1" t="s">
        <v>3217</v>
      </c>
      <c r="R354" s="1" t="s">
        <v>2905</v>
      </c>
      <c r="S354" s="1" t="s">
        <v>2906</v>
      </c>
      <c r="T354" s="1" t="s">
        <v>2910</v>
      </c>
      <c r="U354">
        <v>848.47</v>
      </c>
      <c r="V354">
        <v>341.64</v>
      </c>
      <c r="W354">
        <v>16.766483999999998</v>
      </c>
      <c r="X354">
        <v>107.242845</v>
      </c>
      <c r="Y354">
        <v>506.83</v>
      </c>
      <c r="Z354">
        <v>16.771798</v>
      </c>
      <c r="AA354">
        <v>107.261014</v>
      </c>
      <c r="AB354" s="5">
        <f t="shared" si="31"/>
        <v>0.51246000000000003</v>
      </c>
      <c r="AC354" s="5">
        <f t="shared" si="32"/>
        <v>0.76024500000000006</v>
      </c>
      <c r="AD354" s="1" t="str">
        <f t="shared" si="33"/>
        <v>Mỹ Thủy</v>
      </c>
      <c r="AE354" s="1" t="str">
        <f t="shared" si="34"/>
        <v>Vĩnh Định</v>
      </c>
      <c r="AG354">
        <f t="shared" si="35"/>
        <v>0.34164</v>
      </c>
      <c r="AH354">
        <f t="shared" si="36"/>
        <v>0.50683</v>
      </c>
      <c r="AI354" t="e">
        <f>VLOOKUP(L354,'[1]Tuyến cáp H04'!$B:$E,3,0)/1000</f>
        <v>#N/A</v>
      </c>
      <c r="AJ354" t="e">
        <f>VLOOKUP(L354,'[1]Tuyến cáp H04'!$B:$E,4,0)</f>
        <v>#N/A</v>
      </c>
    </row>
    <row r="355" spans="1:36" x14ac:dyDescent="0.25">
      <c r="A355" s="1" t="s">
        <v>3218</v>
      </c>
      <c r="B355" s="1" t="s">
        <v>3219</v>
      </c>
      <c r="C355" s="1" t="s">
        <v>3220</v>
      </c>
      <c r="D355" s="1" t="s">
        <v>2855</v>
      </c>
      <c r="E355" s="1" t="s">
        <v>2856</v>
      </c>
      <c r="F355" s="1" t="s">
        <v>3221</v>
      </c>
      <c r="G355" s="1" t="s">
        <v>14129</v>
      </c>
      <c r="H355" s="1" t="s">
        <v>14133</v>
      </c>
      <c r="I355" s="1" t="s">
        <v>14478</v>
      </c>
      <c r="J355" s="1" t="s">
        <v>23</v>
      </c>
      <c r="K355" s="1"/>
      <c r="L355" s="1" t="s">
        <v>2858</v>
      </c>
      <c r="M355" s="1" t="s">
        <v>3222</v>
      </c>
      <c r="N355" s="1" t="s">
        <v>3223</v>
      </c>
      <c r="O355" s="1" t="s">
        <v>3224</v>
      </c>
      <c r="P355" s="1" t="s">
        <v>3225</v>
      </c>
      <c r="Q355" s="1" t="s">
        <v>2863</v>
      </c>
      <c r="R355" s="1" t="s">
        <v>2864</v>
      </c>
      <c r="S355" s="1" t="s">
        <v>2865</v>
      </c>
      <c r="T355" s="1" t="s">
        <v>2866</v>
      </c>
      <c r="U355">
        <v>367.9</v>
      </c>
      <c r="V355">
        <v>322.75</v>
      </c>
      <c r="W355">
        <v>16.734660000000002</v>
      </c>
      <c r="X355">
        <v>107.321911</v>
      </c>
      <c r="Y355">
        <v>45.14</v>
      </c>
      <c r="Z355">
        <v>16.726123999999999</v>
      </c>
      <c r="AA355">
        <v>107.334998</v>
      </c>
      <c r="AB355" s="5">
        <f t="shared" si="31"/>
        <v>0.48412500000000003</v>
      </c>
      <c r="AC355" s="5">
        <f t="shared" si="32"/>
        <v>6.7710000000000006E-2</v>
      </c>
      <c r="AD355" s="1" t="str">
        <f t="shared" si="33"/>
        <v>Mỹ Thủy</v>
      </c>
      <c r="AE355" s="1" t="str">
        <f t="shared" si="34"/>
        <v>Vĩnh Định</v>
      </c>
      <c r="AG355">
        <f t="shared" si="35"/>
        <v>0.32274999999999998</v>
      </c>
      <c r="AH355">
        <f t="shared" si="36"/>
        <v>4.514E-2</v>
      </c>
      <c r="AI355" t="e">
        <f>VLOOKUP(L355,'[1]Tuyến cáp H04'!$B:$E,3,0)/1000</f>
        <v>#N/A</v>
      </c>
      <c r="AJ355" t="e">
        <f>VLOOKUP(L355,'[1]Tuyến cáp H04'!$B:$E,4,0)</f>
        <v>#N/A</v>
      </c>
    </row>
    <row r="356" spans="1:36" x14ac:dyDescent="0.25">
      <c r="A356" s="1" t="s">
        <v>3226</v>
      </c>
      <c r="B356" s="1" t="s">
        <v>3227</v>
      </c>
      <c r="C356" s="1" t="s">
        <v>3228</v>
      </c>
      <c r="D356" s="1" t="s">
        <v>3025</v>
      </c>
      <c r="E356" s="1" t="s">
        <v>3026</v>
      </c>
      <c r="F356" s="1" t="s">
        <v>3229</v>
      </c>
      <c r="G356" s="1" t="s">
        <v>14129</v>
      </c>
      <c r="H356" s="1" t="s">
        <v>14133</v>
      </c>
      <c r="I356" s="1" t="s">
        <v>14479</v>
      </c>
      <c r="J356" s="1" t="s">
        <v>23</v>
      </c>
      <c r="K356" s="1"/>
      <c r="L356" s="1" t="s">
        <v>2926</v>
      </c>
      <c r="M356" s="1" t="s">
        <v>3230</v>
      </c>
      <c r="N356" s="1" t="s">
        <v>3231</v>
      </c>
      <c r="O356" s="1" t="s">
        <v>3232</v>
      </c>
      <c r="P356" s="1" t="s">
        <v>3233</v>
      </c>
      <c r="Q356" s="1" t="s">
        <v>3037</v>
      </c>
      <c r="R356" s="1" t="s">
        <v>2929</v>
      </c>
      <c r="S356" s="1" t="s">
        <v>2930</v>
      </c>
      <c r="T356" s="1" t="s">
        <v>2934</v>
      </c>
      <c r="U356">
        <v>312.67</v>
      </c>
      <c r="V356">
        <v>228.86</v>
      </c>
      <c r="W356">
        <v>16.749625999999999</v>
      </c>
      <c r="X356">
        <v>107.19395900000001</v>
      </c>
      <c r="Y356">
        <v>83.81</v>
      </c>
      <c r="Z356">
        <v>16.755587999999999</v>
      </c>
      <c r="AA356">
        <v>107.198543</v>
      </c>
      <c r="AB356" s="5">
        <f t="shared" si="31"/>
        <v>0.34329000000000004</v>
      </c>
      <c r="AC356" s="5">
        <f t="shared" si="32"/>
        <v>0.12571499999999999</v>
      </c>
      <c r="AD356" s="1" t="str">
        <f t="shared" si="33"/>
        <v>Quảng Trị</v>
      </c>
      <c r="AE356" s="1" t="str">
        <f t="shared" si="34"/>
        <v>PC07 (Đội PCCC khu vực 5)</v>
      </c>
      <c r="AG356">
        <f t="shared" si="35"/>
        <v>0.22886000000000001</v>
      </c>
      <c r="AH356">
        <f t="shared" si="36"/>
        <v>8.3809999999999996E-2</v>
      </c>
      <c r="AI356">
        <f>VLOOKUP(L356,'[1]Tuyến cáp H04'!$B:$E,3,0)/1000</f>
        <v>3.177616</v>
      </c>
      <c r="AJ356" t="str">
        <f>VLOOKUP(L356,'[1]Tuyến cáp H04'!$B:$E,4,0)</f>
        <v>Mạng cấp 4</v>
      </c>
    </row>
    <row r="357" spans="1:36" x14ac:dyDescent="0.25">
      <c r="A357" s="1" t="s">
        <v>3234</v>
      </c>
      <c r="B357" s="1" t="s">
        <v>3235</v>
      </c>
      <c r="C357" s="1" t="s">
        <v>3236</v>
      </c>
      <c r="D357" s="1" t="s">
        <v>2855</v>
      </c>
      <c r="E357" s="1" t="s">
        <v>2856</v>
      </c>
      <c r="F357" s="1" t="s">
        <v>3237</v>
      </c>
      <c r="G357" s="1" t="s">
        <v>14129</v>
      </c>
      <c r="H357" s="1" t="s">
        <v>14133</v>
      </c>
      <c r="I357" s="1" t="s">
        <v>14480</v>
      </c>
      <c r="J357" s="1" t="s">
        <v>23</v>
      </c>
      <c r="K357" s="1"/>
      <c r="L357" s="1" t="s">
        <v>2869</v>
      </c>
      <c r="M357" s="1" t="s">
        <v>3238</v>
      </c>
      <c r="N357" s="1" t="s">
        <v>3239</v>
      </c>
      <c r="O357" s="1" t="s">
        <v>3240</v>
      </c>
      <c r="P357" s="1" t="s">
        <v>3241</v>
      </c>
      <c r="Q357" s="1" t="s">
        <v>3242</v>
      </c>
      <c r="R357" s="1" t="s">
        <v>3243</v>
      </c>
      <c r="S357" s="1" t="s">
        <v>3244</v>
      </c>
      <c r="T357" s="1" t="s">
        <v>3245</v>
      </c>
      <c r="U357">
        <v>4600.1400000000003</v>
      </c>
      <c r="V357">
        <v>4504.26</v>
      </c>
      <c r="W357">
        <v>16.720811999999999</v>
      </c>
      <c r="X357">
        <v>107.34401699999999</v>
      </c>
      <c r="Y357">
        <v>95.88</v>
      </c>
      <c r="Z357">
        <v>16.725815999999998</v>
      </c>
      <c r="AA357">
        <v>107.335505</v>
      </c>
      <c r="AB357" s="5">
        <f t="shared" si="31"/>
        <v>6.7563900000000006</v>
      </c>
      <c r="AC357" s="5">
        <f t="shared" si="32"/>
        <v>0.14382</v>
      </c>
      <c r="AD357" s="1" t="str">
        <f t="shared" si="33"/>
        <v>Nam hải Lăng</v>
      </c>
      <c r="AE357" s="1" t="str">
        <f t="shared" si="34"/>
        <v>Mỹ Thủy</v>
      </c>
      <c r="AG357">
        <f t="shared" si="35"/>
        <v>4.5042600000000004</v>
      </c>
      <c r="AH357">
        <f t="shared" si="36"/>
        <v>9.5879999999999993E-2</v>
      </c>
      <c r="AI357" t="e">
        <f>VLOOKUP(L357,'[1]Tuyến cáp H04'!$B:$E,3,0)/1000</f>
        <v>#N/A</v>
      </c>
      <c r="AJ357" t="e">
        <f>VLOOKUP(L357,'[1]Tuyến cáp H04'!$B:$E,4,0)</f>
        <v>#N/A</v>
      </c>
    </row>
    <row r="358" spans="1:36" x14ac:dyDescent="0.25">
      <c r="A358" s="1" t="s">
        <v>3246</v>
      </c>
      <c r="B358" s="1" t="s">
        <v>3247</v>
      </c>
      <c r="C358" s="1" t="s">
        <v>3248</v>
      </c>
      <c r="D358" s="1" t="s">
        <v>2835</v>
      </c>
      <c r="E358" s="1" t="s">
        <v>2836</v>
      </c>
      <c r="F358" s="1" t="s">
        <v>3249</v>
      </c>
      <c r="G358" s="1" t="s">
        <v>14129</v>
      </c>
      <c r="H358" s="1" t="s">
        <v>14133</v>
      </c>
      <c r="I358" s="1" t="s">
        <v>14481</v>
      </c>
      <c r="J358" s="1" t="s">
        <v>23</v>
      </c>
      <c r="K358" s="1"/>
      <c r="L358" s="1" t="s">
        <v>2939</v>
      </c>
      <c r="M358" s="1" t="s">
        <v>3250</v>
      </c>
      <c r="N358" s="1" t="s">
        <v>3251</v>
      </c>
      <c r="O358" s="1" t="s">
        <v>3252</v>
      </c>
      <c r="P358" s="1" t="s">
        <v>3253</v>
      </c>
      <c r="Q358" s="1" t="s">
        <v>2941</v>
      </c>
      <c r="R358" s="1" t="s">
        <v>2942</v>
      </c>
      <c r="S358" s="1" t="s">
        <v>2943</v>
      </c>
      <c r="T358" s="1" t="s">
        <v>2947</v>
      </c>
      <c r="U358">
        <v>3153.37</v>
      </c>
      <c r="V358">
        <v>3109.27</v>
      </c>
      <c r="W358">
        <v>16.660246000000001</v>
      </c>
      <c r="X358">
        <v>107.280727</v>
      </c>
      <c r="Y358">
        <v>44.1</v>
      </c>
      <c r="Z358">
        <v>16.691837</v>
      </c>
      <c r="AA358">
        <v>107.245086</v>
      </c>
      <c r="AB358" s="5">
        <f t="shared" si="31"/>
        <v>4.6639049999999997</v>
      </c>
      <c r="AC358" s="5">
        <f t="shared" si="32"/>
        <v>6.615E-2</v>
      </c>
      <c r="AD358" s="1" t="str">
        <f t="shared" si="33"/>
        <v>Diên Sanh</v>
      </c>
      <c r="AE358" s="1" t="str">
        <f t="shared" si="34"/>
        <v>Nam Hải Lăng</v>
      </c>
      <c r="AG358">
        <f t="shared" si="35"/>
        <v>3.10927</v>
      </c>
      <c r="AH358">
        <f t="shared" si="36"/>
        <v>4.41E-2</v>
      </c>
      <c r="AI358">
        <f>VLOOKUP(L358,'[1]Tuyến cáp H04'!$B:$E,3,0)/1000</f>
        <v>10.531879999999999</v>
      </c>
      <c r="AJ358" t="str">
        <f>VLOOKUP(L358,'[1]Tuyến cáp H04'!$B:$E,4,0)</f>
        <v>Mạng cấp 4</v>
      </c>
    </row>
    <row r="359" spans="1:36" x14ac:dyDescent="0.25">
      <c r="A359" s="1" t="s">
        <v>3254</v>
      </c>
      <c r="B359" s="1" t="s">
        <v>2744</v>
      </c>
      <c r="C359" s="1" t="s">
        <v>2745</v>
      </c>
      <c r="D359" s="1" t="s">
        <v>128</v>
      </c>
      <c r="E359" s="1" t="s">
        <v>129</v>
      </c>
      <c r="F359" s="1" t="s">
        <v>3255</v>
      </c>
      <c r="G359" s="1" t="s">
        <v>14281</v>
      </c>
      <c r="H359" s="1" t="s">
        <v>14282</v>
      </c>
      <c r="I359" s="1" t="s">
        <v>14482</v>
      </c>
      <c r="J359" s="1" t="s">
        <v>23</v>
      </c>
      <c r="K359" s="1"/>
      <c r="L359" s="1" t="s">
        <v>2823</v>
      </c>
      <c r="M359" s="1" t="s">
        <v>3256</v>
      </c>
      <c r="N359" s="1" t="s">
        <v>3257</v>
      </c>
      <c r="O359" s="1" t="s">
        <v>3258</v>
      </c>
      <c r="P359" s="1" t="s">
        <v>3259</v>
      </c>
      <c r="Q359" s="1" t="s">
        <v>3260</v>
      </c>
      <c r="R359" s="1" t="s">
        <v>3261</v>
      </c>
      <c r="S359" s="1" t="s">
        <v>3262</v>
      </c>
      <c r="T359" s="1" t="s">
        <v>2831</v>
      </c>
      <c r="U359">
        <v>664.55</v>
      </c>
      <c r="V359">
        <v>574.74</v>
      </c>
      <c r="W359">
        <v>16.812517</v>
      </c>
      <c r="X359">
        <v>107.106554</v>
      </c>
      <c r="Y359">
        <v>89.8</v>
      </c>
      <c r="Z359">
        <v>16.790647</v>
      </c>
      <c r="AA359">
        <v>107.10508900000001</v>
      </c>
      <c r="AB359" s="5">
        <f t="shared" si="31"/>
        <v>0.86211000000000004</v>
      </c>
      <c r="AC359" s="5">
        <f t="shared" si="32"/>
        <v>0.13469999999999999</v>
      </c>
      <c r="AD359" s="1" t="str">
        <f t="shared" si="33"/>
        <v>PA09</v>
      </c>
      <c r="AE359" s="1" t="str">
        <f t="shared" si="34"/>
        <v>TP Đông Hà</v>
      </c>
      <c r="AG359">
        <f t="shared" si="35"/>
        <v>0.57474000000000003</v>
      </c>
      <c r="AH359">
        <f t="shared" si="36"/>
        <v>8.9799999999999991E-2</v>
      </c>
      <c r="AI359">
        <f>VLOOKUP(L359,'[1]Tuyến cáp H04'!$B:$E,3,0)/1000</f>
        <v>4.1191640000000005</v>
      </c>
      <c r="AJ359" t="str">
        <f>VLOOKUP(L359,'[1]Tuyến cáp H04'!$B:$E,4,0)</f>
        <v>Mạng cấp 3</v>
      </c>
    </row>
    <row r="360" spans="1:36" x14ac:dyDescent="0.25">
      <c r="A360" s="1" t="s">
        <v>3263</v>
      </c>
      <c r="B360" s="1" t="s">
        <v>3264</v>
      </c>
      <c r="C360" s="1" t="s">
        <v>3265</v>
      </c>
      <c r="D360" s="1" t="s">
        <v>128</v>
      </c>
      <c r="E360" s="1" t="s">
        <v>129</v>
      </c>
      <c r="F360" s="1" t="s">
        <v>3266</v>
      </c>
      <c r="G360" s="1" t="s">
        <v>14281</v>
      </c>
      <c r="H360" s="1" t="s">
        <v>14282</v>
      </c>
      <c r="I360" s="1" t="s">
        <v>14483</v>
      </c>
      <c r="J360" s="1" t="s">
        <v>23</v>
      </c>
      <c r="K360" s="1"/>
      <c r="L360" s="1" t="s">
        <v>2639</v>
      </c>
      <c r="M360" s="1" t="s">
        <v>3267</v>
      </c>
      <c r="N360" s="1" t="s">
        <v>3268</v>
      </c>
      <c r="O360" s="1" t="s">
        <v>2642</v>
      </c>
      <c r="P360" s="1" t="s">
        <v>2643</v>
      </c>
      <c r="Q360" s="1" t="s">
        <v>2644</v>
      </c>
      <c r="R360" s="1" t="s">
        <v>2645</v>
      </c>
      <c r="S360" s="1" t="s">
        <v>2646</v>
      </c>
      <c r="T360" s="1" t="s">
        <v>2647</v>
      </c>
      <c r="U360">
        <v>2305.08</v>
      </c>
      <c r="V360">
        <v>2240.84</v>
      </c>
      <c r="W360">
        <v>16.803405000000001</v>
      </c>
      <c r="X360">
        <v>107.021788</v>
      </c>
      <c r="Y360">
        <v>64.25</v>
      </c>
      <c r="Z360">
        <v>16.790624000000001</v>
      </c>
      <c r="AA360">
        <v>107.103763</v>
      </c>
      <c r="AB360" s="5">
        <f t="shared" si="31"/>
        <v>3.3612600000000001</v>
      </c>
      <c r="AC360" s="5">
        <f t="shared" si="32"/>
        <v>9.6375000000000002E-2</v>
      </c>
      <c r="AD360" s="1" t="str">
        <f t="shared" si="33"/>
        <v>TT2 Quảng Trị</v>
      </c>
      <c r="AE360" s="1" t="str">
        <f t="shared" si="34"/>
        <v>Đăk Rông</v>
      </c>
      <c r="AG360">
        <f t="shared" si="35"/>
        <v>2.2408399999999999</v>
      </c>
      <c r="AH360">
        <f t="shared" si="36"/>
        <v>6.4250000000000002E-2</v>
      </c>
      <c r="AI360">
        <f>VLOOKUP(L360,'[1]Tuyến cáp H04'!$B:$E,3,0)/1000</f>
        <v>39.223027999999999</v>
      </c>
      <c r="AJ360" t="str">
        <f>VLOOKUP(L360,'[1]Tuyến cáp H04'!$B:$E,4,0)</f>
        <v>Mạng cấp 3</v>
      </c>
    </row>
    <row r="361" spans="1:36" x14ac:dyDescent="0.25">
      <c r="A361" s="1" t="s">
        <v>3269</v>
      </c>
      <c r="B361" s="1" t="s">
        <v>3270</v>
      </c>
      <c r="C361" s="1" t="s">
        <v>3271</v>
      </c>
      <c r="D361" s="1" t="s">
        <v>128</v>
      </c>
      <c r="E361" s="1" t="s">
        <v>129</v>
      </c>
      <c r="F361" s="1" t="s">
        <v>3272</v>
      </c>
      <c r="G361" s="1" t="s">
        <v>14281</v>
      </c>
      <c r="H361" s="1" t="s">
        <v>14282</v>
      </c>
      <c r="I361" s="1" t="s">
        <v>14484</v>
      </c>
      <c r="J361" s="1" t="s">
        <v>23</v>
      </c>
      <c r="K361" s="1"/>
      <c r="L361" s="1" t="s">
        <v>2823</v>
      </c>
      <c r="M361" s="1" t="s">
        <v>3273</v>
      </c>
      <c r="N361" s="1" t="s">
        <v>3274</v>
      </c>
      <c r="O361" s="1" t="s">
        <v>3275</v>
      </c>
      <c r="P361" s="1" t="s">
        <v>3276</v>
      </c>
      <c r="Q361" s="1" t="s">
        <v>3260</v>
      </c>
      <c r="R361" s="1" t="s">
        <v>3261</v>
      </c>
      <c r="S361" s="1" t="s">
        <v>3262</v>
      </c>
      <c r="T361" s="1" t="s">
        <v>2831</v>
      </c>
      <c r="U361">
        <v>731.79</v>
      </c>
      <c r="V361">
        <v>641.99</v>
      </c>
      <c r="W361">
        <v>16.801244000000001</v>
      </c>
      <c r="X361">
        <v>107.114485</v>
      </c>
      <c r="Y361">
        <v>89.8</v>
      </c>
      <c r="Z361">
        <v>16.790647</v>
      </c>
      <c r="AA361">
        <v>107.10508900000001</v>
      </c>
      <c r="AB361" s="5">
        <f t="shared" si="31"/>
        <v>0.96298499999999998</v>
      </c>
      <c r="AC361" s="5">
        <f t="shared" si="32"/>
        <v>0.13469999999999999</v>
      </c>
      <c r="AD361" s="1" t="str">
        <f t="shared" si="33"/>
        <v>PA09</v>
      </c>
      <c r="AE361" s="1" t="str">
        <f t="shared" si="34"/>
        <v>TP Đông Hà</v>
      </c>
      <c r="AG361">
        <f t="shared" si="35"/>
        <v>0.64199000000000006</v>
      </c>
      <c r="AH361">
        <f t="shared" si="36"/>
        <v>8.9799999999999991E-2</v>
      </c>
      <c r="AI361">
        <f>VLOOKUP(L361,'[1]Tuyến cáp H04'!$B:$E,3,0)/1000</f>
        <v>4.1191640000000005</v>
      </c>
      <c r="AJ361" t="str">
        <f>VLOOKUP(L361,'[1]Tuyến cáp H04'!$B:$E,4,0)</f>
        <v>Mạng cấp 3</v>
      </c>
    </row>
    <row r="362" spans="1:36" x14ac:dyDescent="0.25">
      <c r="A362" s="1" t="s">
        <v>3277</v>
      </c>
      <c r="B362" s="1" t="s">
        <v>3278</v>
      </c>
      <c r="C362" s="1" t="s">
        <v>3279</v>
      </c>
      <c r="D362" s="1" t="s">
        <v>128</v>
      </c>
      <c r="E362" s="1" t="s">
        <v>129</v>
      </c>
      <c r="F362" s="1" t="s">
        <v>3280</v>
      </c>
      <c r="G362" s="1" t="s">
        <v>14281</v>
      </c>
      <c r="H362" s="1" t="s">
        <v>14282</v>
      </c>
      <c r="I362" s="1" t="s">
        <v>14485</v>
      </c>
      <c r="J362" s="1" t="s">
        <v>23</v>
      </c>
      <c r="K362" s="1"/>
      <c r="L362" s="1" t="s">
        <v>2823</v>
      </c>
      <c r="M362" s="1" t="s">
        <v>3281</v>
      </c>
      <c r="N362" s="1" t="s">
        <v>3282</v>
      </c>
      <c r="O362" s="1" t="s">
        <v>3283</v>
      </c>
      <c r="P362" s="1" t="s">
        <v>3284</v>
      </c>
      <c r="Q362" s="1" t="s">
        <v>3260</v>
      </c>
      <c r="R362" s="1" t="s">
        <v>3261</v>
      </c>
      <c r="S362" s="1" t="s">
        <v>3262</v>
      </c>
      <c r="T362" s="1" t="s">
        <v>2831</v>
      </c>
      <c r="U362">
        <v>132.4</v>
      </c>
      <c r="V362">
        <v>42.59</v>
      </c>
      <c r="W362">
        <v>16.804106000000001</v>
      </c>
      <c r="X362">
        <v>107.113777</v>
      </c>
      <c r="Y362">
        <v>89.8</v>
      </c>
      <c r="Z362">
        <v>16.790647</v>
      </c>
      <c r="AA362">
        <v>107.10508900000001</v>
      </c>
      <c r="AB362" s="5">
        <f t="shared" si="31"/>
        <v>6.3885000000000011E-2</v>
      </c>
      <c r="AC362" s="5">
        <f t="shared" si="32"/>
        <v>0.13469999999999999</v>
      </c>
      <c r="AD362" s="1" t="str">
        <f t="shared" si="33"/>
        <v>PA09</v>
      </c>
      <c r="AE362" s="1" t="str">
        <f t="shared" si="34"/>
        <v>TP Đông Hà</v>
      </c>
      <c r="AG362">
        <f t="shared" si="35"/>
        <v>4.2590000000000003E-2</v>
      </c>
      <c r="AH362">
        <f t="shared" si="36"/>
        <v>8.9799999999999991E-2</v>
      </c>
      <c r="AI362">
        <f>VLOOKUP(L362,'[1]Tuyến cáp H04'!$B:$E,3,0)/1000</f>
        <v>4.1191640000000005</v>
      </c>
      <c r="AJ362" t="str">
        <f>VLOOKUP(L362,'[1]Tuyến cáp H04'!$B:$E,4,0)</f>
        <v>Mạng cấp 3</v>
      </c>
    </row>
    <row r="363" spans="1:36" x14ac:dyDescent="0.25">
      <c r="A363" s="1" t="s">
        <v>3285</v>
      </c>
      <c r="B363" s="1" t="s">
        <v>2744</v>
      </c>
      <c r="C363" s="1" t="s">
        <v>2745</v>
      </c>
      <c r="D363" s="1" t="s">
        <v>2818</v>
      </c>
      <c r="E363" s="1" t="s">
        <v>2819</v>
      </c>
      <c r="F363" s="1" t="s">
        <v>3286</v>
      </c>
      <c r="G363" s="1" t="s">
        <v>14281</v>
      </c>
      <c r="H363" s="1" t="s">
        <v>14282</v>
      </c>
      <c r="I363" s="1" t="s">
        <v>14486</v>
      </c>
      <c r="J363" s="1" t="s">
        <v>23</v>
      </c>
      <c r="K363" s="1"/>
      <c r="L363" s="1" t="s">
        <v>3287</v>
      </c>
      <c r="M363" s="1" t="s">
        <v>3288</v>
      </c>
      <c r="N363" s="1" t="s">
        <v>3289</v>
      </c>
      <c r="O363" s="1" t="s">
        <v>3290</v>
      </c>
      <c r="P363" s="1" t="s">
        <v>3291</v>
      </c>
      <c r="Q363" s="1" t="s">
        <v>3292</v>
      </c>
      <c r="R363" s="1" t="s">
        <v>3293</v>
      </c>
      <c r="S363" s="1" t="s">
        <v>3294</v>
      </c>
      <c r="T363" s="1" t="s">
        <v>3295</v>
      </c>
      <c r="U363">
        <v>412.5</v>
      </c>
      <c r="V363">
        <v>82.72</v>
      </c>
      <c r="W363">
        <v>16.815228999999999</v>
      </c>
      <c r="X363">
        <v>107.110372</v>
      </c>
      <c r="Y363">
        <v>329.79</v>
      </c>
      <c r="Z363">
        <v>16.817404</v>
      </c>
      <c r="AA363">
        <v>107.107906</v>
      </c>
      <c r="AB363" s="5">
        <f t="shared" si="31"/>
        <v>0.12408</v>
      </c>
      <c r="AC363" s="5">
        <f t="shared" si="32"/>
        <v>0.49468500000000004</v>
      </c>
      <c r="AD363" s="1" t="str">
        <f t="shared" si="33"/>
        <v>Vĩnh Linh</v>
      </c>
      <c r="AE363" s="1" t="str">
        <f t="shared" si="34"/>
        <v>TT2 Quảng Trị</v>
      </c>
      <c r="AG363">
        <f t="shared" si="35"/>
        <v>8.2720000000000002E-2</v>
      </c>
      <c r="AH363">
        <f t="shared" si="36"/>
        <v>0.32979000000000003</v>
      </c>
      <c r="AI363">
        <f>VLOOKUP(L363,'[1]Tuyến cáp H04'!$B:$E,3,0)/1000</f>
        <v>36.346195999999999</v>
      </c>
      <c r="AJ363" t="str">
        <f>VLOOKUP(L363,'[1]Tuyến cáp H04'!$B:$E,4,0)</f>
        <v>Mạng cấp 3</v>
      </c>
    </row>
    <row r="364" spans="1:36" x14ac:dyDescent="0.25">
      <c r="A364" s="1" t="s">
        <v>3296</v>
      </c>
      <c r="B364" s="1" t="s">
        <v>2820</v>
      </c>
      <c r="C364" s="1" t="s">
        <v>2821</v>
      </c>
      <c r="D364" s="1" t="s">
        <v>3087</v>
      </c>
      <c r="E364" s="1" t="s">
        <v>3088</v>
      </c>
      <c r="F364" s="1" t="s">
        <v>3297</v>
      </c>
      <c r="G364" s="1" t="s">
        <v>14281</v>
      </c>
      <c r="H364" s="1" t="s">
        <v>14282</v>
      </c>
      <c r="I364" s="1" t="s">
        <v>14487</v>
      </c>
      <c r="J364" s="1" t="s">
        <v>23</v>
      </c>
      <c r="K364" s="1"/>
      <c r="L364" s="1" t="s">
        <v>2823</v>
      </c>
      <c r="M364" s="1" t="s">
        <v>3298</v>
      </c>
      <c r="N364" s="1" t="s">
        <v>2828</v>
      </c>
      <c r="O364" s="1" t="s">
        <v>2829</v>
      </c>
      <c r="P364" s="1" t="s">
        <v>2830</v>
      </c>
      <c r="Q364" s="1" t="s">
        <v>3299</v>
      </c>
      <c r="R364" s="1" t="s">
        <v>3261</v>
      </c>
      <c r="S364" s="1" t="s">
        <v>3262</v>
      </c>
      <c r="T364" s="1" t="s">
        <v>2831</v>
      </c>
      <c r="U364">
        <v>883.07</v>
      </c>
      <c r="V364">
        <v>662.15</v>
      </c>
      <c r="W364">
        <v>16.810613</v>
      </c>
      <c r="X364">
        <v>107.10834</v>
      </c>
      <c r="Y364">
        <v>220.92</v>
      </c>
      <c r="Z364">
        <v>16.790647</v>
      </c>
      <c r="AA364">
        <v>107.10508900000001</v>
      </c>
      <c r="AB364" s="5">
        <f t="shared" si="31"/>
        <v>0.99322499999999991</v>
      </c>
      <c r="AC364" s="5">
        <f t="shared" si="32"/>
        <v>0.33138000000000001</v>
      </c>
      <c r="AD364" s="1" t="str">
        <f t="shared" si="33"/>
        <v>PA09</v>
      </c>
      <c r="AE364" s="1" t="str">
        <f t="shared" si="34"/>
        <v>TP Đông Hà</v>
      </c>
      <c r="AG364">
        <f t="shared" si="35"/>
        <v>0.66215000000000002</v>
      </c>
      <c r="AH364">
        <f t="shared" si="36"/>
        <v>0.22091999999999998</v>
      </c>
      <c r="AI364">
        <f>VLOOKUP(L364,'[1]Tuyến cáp H04'!$B:$E,3,0)/1000</f>
        <v>4.1191640000000005</v>
      </c>
      <c r="AJ364" t="str">
        <f>VLOOKUP(L364,'[1]Tuyến cáp H04'!$B:$E,4,0)</f>
        <v>Mạng cấp 3</v>
      </c>
    </row>
    <row r="365" spans="1:36" x14ac:dyDescent="0.25">
      <c r="A365" s="1" t="s">
        <v>3300</v>
      </c>
      <c r="B365" s="1" t="s">
        <v>3087</v>
      </c>
      <c r="C365" s="1" t="s">
        <v>3088</v>
      </c>
      <c r="D365" s="1" t="s">
        <v>128</v>
      </c>
      <c r="E365" s="1" t="s">
        <v>129</v>
      </c>
      <c r="F365" s="1" t="s">
        <v>3301</v>
      </c>
      <c r="G365" s="1" t="s">
        <v>14281</v>
      </c>
      <c r="H365" s="1" t="s">
        <v>14282</v>
      </c>
      <c r="I365" s="1" t="s">
        <v>14488</v>
      </c>
      <c r="J365" s="1" t="s">
        <v>23</v>
      </c>
      <c r="K365" s="1"/>
      <c r="L365" s="1" t="s">
        <v>3302</v>
      </c>
      <c r="M365" s="1" t="s">
        <v>3303</v>
      </c>
      <c r="N365" s="1" t="s">
        <v>3304</v>
      </c>
      <c r="O365" s="1" t="s">
        <v>3305</v>
      </c>
      <c r="P365" s="1" t="s">
        <v>3306</v>
      </c>
      <c r="Q365" s="1" t="s">
        <v>3307</v>
      </c>
      <c r="R365" s="1" t="s">
        <v>3308</v>
      </c>
      <c r="S365" s="1" t="s">
        <v>3309</v>
      </c>
      <c r="T365" s="1" t="s">
        <v>3310</v>
      </c>
      <c r="U365">
        <v>139.76</v>
      </c>
      <c r="V365">
        <v>90.53</v>
      </c>
      <c r="W365">
        <v>16.789712000000002</v>
      </c>
      <c r="X365">
        <v>107.104035</v>
      </c>
      <c r="Y365">
        <v>49.23</v>
      </c>
      <c r="Z365">
        <v>16.790006999999999</v>
      </c>
      <c r="AA365">
        <v>107.10402000000001</v>
      </c>
      <c r="AB365" s="5">
        <f t="shared" si="31"/>
        <v>0.13579500000000003</v>
      </c>
      <c r="AC365" s="5">
        <f t="shared" si="32"/>
        <v>7.3844999999999994E-2</v>
      </c>
      <c r="AD365" s="1" t="e">
        <f t="shared" si="33"/>
        <v>#VALUE!</v>
      </c>
      <c r="AE365" s="1" t="e">
        <f t="shared" si="34"/>
        <v>#VALUE!</v>
      </c>
      <c r="AG365">
        <f t="shared" si="35"/>
        <v>9.0529999999999999E-2</v>
      </c>
      <c r="AH365">
        <f t="shared" si="36"/>
        <v>4.9229999999999996E-2</v>
      </c>
      <c r="AI365" t="e">
        <f>VLOOKUP(L365,'[1]Tuyến cáp H04'!$B:$E,3,0)/1000</f>
        <v>#N/A</v>
      </c>
      <c r="AJ365" t="e">
        <f>VLOOKUP(L365,'[1]Tuyến cáp H04'!$B:$E,4,0)</f>
        <v>#N/A</v>
      </c>
    </row>
    <row r="366" spans="1:36" x14ac:dyDescent="0.25">
      <c r="A366" s="1" t="s">
        <v>3311</v>
      </c>
      <c r="B366" s="1" t="s">
        <v>3312</v>
      </c>
      <c r="C366" s="1" t="s">
        <v>3313</v>
      </c>
      <c r="D366" s="1" t="s">
        <v>3314</v>
      </c>
      <c r="E366" s="1" t="s">
        <v>3315</v>
      </c>
      <c r="F366" s="1" t="s">
        <v>3316</v>
      </c>
      <c r="G366" s="1" t="s">
        <v>14281</v>
      </c>
      <c r="H366" s="1" t="s">
        <v>14282</v>
      </c>
      <c r="I366" s="1" t="s">
        <v>14489</v>
      </c>
      <c r="J366" s="1" t="s">
        <v>23</v>
      </c>
      <c r="K366" s="1"/>
      <c r="L366" s="1" t="s">
        <v>3317</v>
      </c>
      <c r="M366" s="1" t="s">
        <v>3318</v>
      </c>
      <c r="N366" s="1" t="s">
        <v>3319</v>
      </c>
      <c r="O366" s="1" t="s">
        <v>3320</v>
      </c>
      <c r="P366" s="1" t="s">
        <v>3321</v>
      </c>
      <c r="Q366" s="1" t="s">
        <v>3322</v>
      </c>
      <c r="R366" s="1" t="s">
        <v>3323</v>
      </c>
      <c r="S366" s="1" t="s">
        <v>3324</v>
      </c>
      <c r="T366" s="1" t="s">
        <v>3325</v>
      </c>
      <c r="U366">
        <v>682.54</v>
      </c>
      <c r="V366">
        <v>411.42</v>
      </c>
      <c r="W366">
        <v>16.815262000000001</v>
      </c>
      <c r="X366">
        <v>107.097443</v>
      </c>
      <c r="Y366">
        <v>271.13</v>
      </c>
      <c r="Z366">
        <v>16.809927999999999</v>
      </c>
      <c r="AA366">
        <v>107.09835</v>
      </c>
      <c r="AB366" s="5">
        <f t="shared" si="31"/>
        <v>0.61712999999999996</v>
      </c>
      <c r="AC366" s="5">
        <f t="shared" si="32"/>
        <v>0.40669499999999997</v>
      </c>
      <c r="AD366" s="1" t="str">
        <f t="shared" si="33"/>
        <v>PC07</v>
      </c>
      <c r="AE366" s="1" t="str">
        <f t="shared" si="34"/>
        <v>Khối CS</v>
      </c>
      <c r="AG366">
        <f t="shared" si="35"/>
        <v>0.41142000000000001</v>
      </c>
      <c r="AH366">
        <f t="shared" si="36"/>
        <v>0.27112999999999998</v>
      </c>
      <c r="AI366" t="e">
        <f>VLOOKUP(L366,'[1]Tuyến cáp H04'!$B:$E,3,0)/1000</f>
        <v>#N/A</v>
      </c>
      <c r="AJ366" t="e">
        <f>VLOOKUP(L366,'[1]Tuyến cáp H04'!$B:$E,4,0)</f>
        <v>#N/A</v>
      </c>
    </row>
    <row r="367" spans="1:36" x14ac:dyDescent="0.25">
      <c r="A367" s="1" t="s">
        <v>3326</v>
      </c>
      <c r="B367" s="1" t="s">
        <v>3314</v>
      </c>
      <c r="C367" s="1" t="s">
        <v>3315</v>
      </c>
      <c r="D367" s="1" t="s">
        <v>128</v>
      </c>
      <c r="E367" s="1" t="s">
        <v>129</v>
      </c>
      <c r="F367" s="1" t="s">
        <v>3327</v>
      </c>
      <c r="G367" s="1" t="s">
        <v>14281</v>
      </c>
      <c r="H367" s="1" t="s">
        <v>14282</v>
      </c>
      <c r="I367" s="1" t="s">
        <v>14490</v>
      </c>
      <c r="J367" s="1" t="s">
        <v>23</v>
      </c>
      <c r="K367" s="1"/>
      <c r="L367" s="1" t="s">
        <v>2823</v>
      </c>
      <c r="M367" s="1" t="s">
        <v>3328</v>
      </c>
      <c r="N367" s="1" t="s">
        <v>3329</v>
      </c>
      <c r="O367" s="1" t="s">
        <v>2826</v>
      </c>
      <c r="P367" s="1" t="s">
        <v>2827</v>
      </c>
      <c r="Q367" s="1" t="s">
        <v>3260</v>
      </c>
      <c r="R367" s="1" t="s">
        <v>3261</v>
      </c>
      <c r="S367" s="1" t="s">
        <v>3262</v>
      </c>
      <c r="T367" s="1" t="s">
        <v>2831</v>
      </c>
      <c r="U367">
        <v>1197.22</v>
      </c>
      <c r="V367">
        <v>1107.42</v>
      </c>
      <c r="W367">
        <v>16.814188999999999</v>
      </c>
      <c r="X367">
        <v>107.10494</v>
      </c>
      <c r="Y367">
        <v>89.8</v>
      </c>
      <c r="Z367">
        <v>16.790647</v>
      </c>
      <c r="AA367">
        <v>107.10508900000001</v>
      </c>
      <c r="AB367" s="5">
        <f t="shared" si="31"/>
        <v>1.6611300000000002</v>
      </c>
      <c r="AC367" s="5">
        <f t="shared" si="32"/>
        <v>0.13469999999999999</v>
      </c>
      <c r="AD367" s="1" t="str">
        <f t="shared" si="33"/>
        <v>PA09</v>
      </c>
      <c r="AE367" s="1" t="str">
        <f t="shared" si="34"/>
        <v>TP Đông Hà</v>
      </c>
      <c r="AG367">
        <f t="shared" si="35"/>
        <v>1.1074200000000001</v>
      </c>
      <c r="AH367">
        <f t="shared" si="36"/>
        <v>8.9799999999999991E-2</v>
      </c>
      <c r="AI367">
        <f>VLOOKUP(L367,'[1]Tuyến cáp H04'!$B:$E,3,0)/1000</f>
        <v>4.1191640000000005</v>
      </c>
      <c r="AJ367" t="str">
        <f>VLOOKUP(L367,'[1]Tuyến cáp H04'!$B:$E,4,0)</f>
        <v>Mạng cấp 3</v>
      </c>
    </row>
    <row r="368" spans="1:36" x14ac:dyDescent="0.25">
      <c r="A368" s="1" t="s">
        <v>3330</v>
      </c>
      <c r="B368" s="1" t="s">
        <v>3331</v>
      </c>
      <c r="C368" s="1" t="s">
        <v>3332</v>
      </c>
      <c r="D368" s="1" t="s">
        <v>128</v>
      </c>
      <c r="E368" s="1" t="s">
        <v>129</v>
      </c>
      <c r="F368" s="1" t="s">
        <v>3333</v>
      </c>
      <c r="G368" s="1" t="s">
        <v>14281</v>
      </c>
      <c r="H368" s="1" t="s">
        <v>14282</v>
      </c>
      <c r="I368" s="1" t="s">
        <v>14491</v>
      </c>
      <c r="J368" s="1" t="s">
        <v>23</v>
      </c>
      <c r="K368" s="1"/>
      <c r="L368" s="1" t="s">
        <v>2823</v>
      </c>
      <c r="M368" s="1" t="s">
        <v>3334</v>
      </c>
      <c r="N368" s="1" t="s">
        <v>3335</v>
      </c>
      <c r="O368" s="1" t="s">
        <v>3336</v>
      </c>
      <c r="P368" s="1" t="s">
        <v>3337</v>
      </c>
      <c r="Q368" s="1" t="s">
        <v>3260</v>
      </c>
      <c r="R368" s="1" t="s">
        <v>3261</v>
      </c>
      <c r="S368" s="1" t="s">
        <v>3262</v>
      </c>
      <c r="T368" s="1" t="s">
        <v>2831</v>
      </c>
      <c r="U368">
        <v>1086.74</v>
      </c>
      <c r="V368">
        <v>996.93</v>
      </c>
      <c r="W368">
        <v>16.813186999999999</v>
      </c>
      <c r="X368">
        <v>107.10592699999999</v>
      </c>
      <c r="Y368">
        <v>89.8</v>
      </c>
      <c r="Z368">
        <v>16.790647</v>
      </c>
      <c r="AA368">
        <v>107.10508900000001</v>
      </c>
      <c r="AB368" s="5">
        <f t="shared" si="31"/>
        <v>1.495395</v>
      </c>
      <c r="AC368" s="5">
        <f t="shared" si="32"/>
        <v>0.13469999999999999</v>
      </c>
      <c r="AD368" s="1" t="str">
        <f t="shared" si="33"/>
        <v>PA09</v>
      </c>
      <c r="AE368" s="1" t="str">
        <f t="shared" si="34"/>
        <v>TP Đông Hà</v>
      </c>
      <c r="AG368">
        <f t="shared" si="35"/>
        <v>0.99692999999999998</v>
      </c>
      <c r="AH368">
        <f t="shared" si="36"/>
        <v>8.9799999999999991E-2</v>
      </c>
      <c r="AI368">
        <f>VLOOKUP(L368,'[1]Tuyến cáp H04'!$B:$E,3,0)/1000</f>
        <v>4.1191640000000005</v>
      </c>
      <c r="AJ368" t="str">
        <f>VLOOKUP(L368,'[1]Tuyến cáp H04'!$B:$E,4,0)</f>
        <v>Mạng cấp 3</v>
      </c>
    </row>
    <row r="369" spans="1:36" x14ac:dyDescent="0.25">
      <c r="A369" s="1" t="s">
        <v>3338</v>
      </c>
      <c r="B369" s="1" t="s">
        <v>3339</v>
      </c>
      <c r="C369" s="1" t="s">
        <v>3340</v>
      </c>
      <c r="D369" s="1" t="s">
        <v>3064</v>
      </c>
      <c r="E369" s="1" t="s">
        <v>3065</v>
      </c>
      <c r="F369" s="1" t="s">
        <v>3341</v>
      </c>
      <c r="G369" s="1" t="s">
        <v>14281</v>
      </c>
      <c r="H369" s="1" t="s">
        <v>14282</v>
      </c>
      <c r="I369" s="1" t="s">
        <v>14492</v>
      </c>
      <c r="J369" s="1" t="s">
        <v>23</v>
      </c>
      <c r="K369" s="1"/>
      <c r="L369" s="1" t="s">
        <v>3067</v>
      </c>
      <c r="M369" s="1" t="s">
        <v>3342</v>
      </c>
      <c r="N369" s="1" t="s">
        <v>3343</v>
      </c>
      <c r="O369" s="1" t="s">
        <v>3344</v>
      </c>
      <c r="P369" s="1" t="s">
        <v>3345</v>
      </c>
      <c r="Q369" s="1" t="s">
        <v>3072</v>
      </c>
      <c r="R369" s="1" t="s">
        <v>3073</v>
      </c>
      <c r="S369" s="1" t="s">
        <v>3074</v>
      </c>
      <c r="T369" s="1" t="s">
        <v>3075</v>
      </c>
      <c r="U369">
        <v>41.08</v>
      </c>
      <c r="V369">
        <v>11.9</v>
      </c>
      <c r="W369">
        <v>16.819821000000001</v>
      </c>
      <c r="X369">
        <v>107.090867</v>
      </c>
      <c r="Y369">
        <v>29.17</v>
      </c>
      <c r="Z369">
        <v>16.812353000000002</v>
      </c>
      <c r="AA369">
        <v>107.089033</v>
      </c>
      <c r="AB369" s="5">
        <f t="shared" si="31"/>
        <v>1.7850000000000001E-2</v>
      </c>
      <c r="AC369" s="5">
        <f t="shared" si="32"/>
        <v>4.3755000000000002E-2</v>
      </c>
      <c r="AD369" s="1" t="str">
        <f t="shared" si="33"/>
        <v>Gio Linh</v>
      </c>
      <c r="AE369" s="1" t="str">
        <f t="shared" si="34"/>
        <v>Đông Hà</v>
      </c>
      <c r="AG369">
        <f t="shared" si="35"/>
        <v>1.1900000000000001E-2</v>
      </c>
      <c r="AH369">
        <f t="shared" si="36"/>
        <v>2.9170000000000001E-2</v>
      </c>
      <c r="AI369">
        <f>VLOOKUP(L369,'[1]Tuyến cáp H04'!$B:$E,3,0)/1000</f>
        <v>16.852661000000005</v>
      </c>
      <c r="AJ369" t="str">
        <f>VLOOKUP(L369,'[1]Tuyến cáp H04'!$B:$E,4,0)</f>
        <v>Mạng cấp 4</v>
      </c>
    </row>
    <row r="370" spans="1:36" x14ac:dyDescent="0.25">
      <c r="A370" s="1" t="s">
        <v>3346</v>
      </c>
      <c r="B370" s="1" t="s">
        <v>3064</v>
      </c>
      <c r="C370" s="1" t="s">
        <v>3065</v>
      </c>
      <c r="D370" s="1" t="s">
        <v>278</v>
      </c>
      <c r="E370" s="1" t="s">
        <v>279</v>
      </c>
      <c r="F370" s="1" t="s">
        <v>3347</v>
      </c>
      <c r="G370" s="1" t="s">
        <v>14281</v>
      </c>
      <c r="H370" s="1" t="s">
        <v>14282</v>
      </c>
      <c r="I370" s="1" t="s">
        <v>14493</v>
      </c>
      <c r="J370" s="1" t="s">
        <v>23</v>
      </c>
      <c r="K370" s="1"/>
      <c r="L370" s="1" t="s">
        <v>3067</v>
      </c>
      <c r="M370" s="1" t="s">
        <v>3348</v>
      </c>
      <c r="N370" s="1" t="s">
        <v>3072</v>
      </c>
      <c r="O370" s="1" t="s">
        <v>3073</v>
      </c>
      <c r="P370" s="1" t="s">
        <v>3074</v>
      </c>
      <c r="Q370" s="1" t="s">
        <v>3349</v>
      </c>
      <c r="R370" s="1" t="s">
        <v>3350</v>
      </c>
      <c r="S370" s="1" t="s">
        <v>3351</v>
      </c>
      <c r="T370" s="1" t="s">
        <v>3075</v>
      </c>
      <c r="U370">
        <v>44.28</v>
      </c>
      <c r="V370">
        <v>29.17</v>
      </c>
      <c r="W370">
        <v>16.812353000000002</v>
      </c>
      <c r="X370">
        <v>107.089033</v>
      </c>
      <c r="Y370">
        <v>15.1</v>
      </c>
      <c r="Z370">
        <v>16.813209000000001</v>
      </c>
      <c r="AA370">
        <v>107.088835</v>
      </c>
      <c r="AB370" s="5">
        <f t="shared" si="31"/>
        <v>4.3755000000000002E-2</v>
      </c>
      <c r="AC370" s="5">
        <f t="shared" si="32"/>
        <v>2.265E-2</v>
      </c>
      <c r="AD370" s="1" t="str">
        <f t="shared" si="33"/>
        <v>Gio Linh</v>
      </c>
      <c r="AE370" s="1" t="str">
        <f t="shared" si="34"/>
        <v>Đông Hà</v>
      </c>
      <c r="AG370">
        <f t="shared" si="35"/>
        <v>2.9170000000000001E-2</v>
      </c>
      <c r="AH370">
        <f t="shared" si="36"/>
        <v>1.5099999999999999E-2</v>
      </c>
      <c r="AI370">
        <f>VLOOKUP(L370,'[1]Tuyến cáp H04'!$B:$E,3,0)/1000</f>
        <v>16.852661000000005</v>
      </c>
      <c r="AJ370" t="str">
        <f>VLOOKUP(L370,'[1]Tuyến cáp H04'!$B:$E,4,0)</f>
        <v>Mạng cấp 4</v>
      </c>
    </row>
    <row r="371" spans="1:36" x14ac:dyDescent="0.25">
      <c r="A371" s="1" t="s">
        <v>3352</v>
      </c>
      <c r="B371" s="1" t="s">
        <v>278</v>
      </c>
      <c r="C371" s="1" t="s">
        <v>279</v>
      </c>
      <c r="D371" s="1" t="s">
        <v>3146</v>
      </c>
      <c r="E371" s="1" t="s">
        <v>3147</v>
      </c>
      <c r="F371" s="1" t="s">
        <v>3353</v>
      </c>
      <c r="G371" s="1" t="s">
        <v>14281</v>
      </c>
      <c r="H371" s="1" t="s">
        <v>14282</v>
      </c>
      <c r="I371" s="1" t="s">
        <v>14494</v>
      </c>
      <c r="J371" s="1" t="s">
        <v>23</v>
      </c>
      <c r="K371" s="1"/>
      <c r="L371" s="1" t="s">
        <v>3149</v>
      </c>
      <c r="M371" s="1" t="s">
        <v>3354</v>
      </c>
      <c r="N371" s="1" t="s">
        <v>3355</v>
      </c>
      <c r="O371" s="1" t="s">
        <v>3356</v>
      </c>
      <c r="P371" s="1" t="s">
        <v>3357</v>
      </c>
      <c r="Q371" s="1" t="s">
        <v>3154</v>
      </c>
      <c r="R371" s="1" t="s">
        <v>3155</v>
      </c>
      <c r="S371" s="1" t="s">
        <v>3156</v>
      </c>
      <c r="T371" s="1" t="s">
        <v>3157</v>
      </c>
      <c r="U371">
        <v>728.56</v>
      </c>
      <c r="V371">
        <v>529.36</v>
      </c>
      <c r="W371">
        <v>16.808979999999998</v>
      </c>
      <c r="X371">
        <v>107.086501</v>
      </c>
      <c r="Y371">
        <v>199.2</v>
      </c>
      <c r="Z371">
        <v>16.800885999999998</v>
      </c>
      <c r="AA371">
        <v>107.08566999999999</v>
      </c>
      <c r="AB371" s="5">
        <f t="shared" si="31"/>
        <v>0.79403999999999997</v>
      </c>
      <c r="AC371" s="5">
        <f t="shared" si="32"/>
        <v>0.29879999999999995</v>
      </c>
      <c r="AD371" s="1" t="str">
        <f t="shared" si="33"/>
        <v>Đông Hà</v>
      </c>
      <c r="AE371" s="1" t="str">
        <f t="shared" si="34"/>
        <v>CA Công an Quảng Trị</v>
      </c>
      <c r="AG371">
        <f t="shared" si="35"/>
        <v>0.52936000000000005</v>
      </c>
      <c r="AH371">
        <f t="shared" si="36"/>
        <v>0.19919999999999999</v>
      </c>
      <c r="AI371">
        <f>VLOOKUP(L371,'[1]Tuyến cáp H04'!$B:$E,3,0)/1000</f>
        <v>6.1135149999999996</v>
      </c>
      <c r="AJ371" t="str">
        <f>VLOOKUP(L371,'[1]Tuyến cáp H04'!$B:$E,4,0)</f>
        <v>Mạng cấp 4</v>
      </c>
    </row>
    <row r="372" spans="1:36" x14ac:dyDescent="0.25">
      <c r="A372" s="1" t="s">
        <v>3358</v>
      </c>
      <c r="B372" s="1" t="s">
        <v>3146</v>
      </c>
      <c r="C372" s="1" t="s">
        <v>3147</v>
      </c>
      <c r="D372" s="1" t="s">
        <v>2649</v>
      </c>
      <c r="E372" s="1" t="s">
        <v>2650</v>
      </c>
      <c r="F372" s="1" t="s">
        <v>3359</v>
      </c>
      <c r="G372" s="1" t="s">
        <v>14281</v>
      </c>
      <c r="H372" s="1" t="s">
        <v>14282</v>
      </c>
      <c r="I372" s="1" t="s">
        <v>14495</v>
      </c>
      <c r="J372" s="1" t="s">
        <v>23</v>
      </c>
      <c r="K372" s="1"/>
      <c r="L372" s="1" t="s">
        <v>3302</v>
      </c>
      <c r="M372" s="1" t="s">
        <v>3360</v>
      </c>
      <c r="N372" s="1" t="s">
        <v>3361</v>
      </c>
      <c r="O372" s="1" t="s">
        <v>3362</v>
      </c>
      <c r="P372" s="1" t="s">
        <v>3363</v>
      </c>
      <c r="Q372" s="1" t="s">
        <v>3364</v>
      </c>
      <c r="R372" s="1" t="s">
        <v>3365</v>
      </c>
      <c r="S372" s="1" t="s">
        <v>3366</v>
      </c>
      <c r="T372" s="1" t="s">
        <v>3367</v>
      </c>
      <c r="U372">
        <v>437.57</v>
      </c>
      <c r="V372">
        <v>280.22000000000003</v>
      </c>
      <c r="W372">
        <v>16.798743000000002</v>
      </c>
      <c r="X372">
        <v>107.087372</v>
      </c>
      <c r="Y372">
        <v>157.35</v>
      </c>
      <c r="Z372">
        <v>16.790247999999998</v>
      </c>
      <c r="AA372">
        <v>107.089523</v>
      </c>
      <c r="AB372" s="5">
        <f t="shared" si="31"/>
        <v>0.42033000000000004</v>
      </c>
      <c r="AC372" s="5">
        <f t="shared" si="32"/>
        <v>0.23602499999999998</v>
      </c>
      <c r="AD372" s="1" t="e">
        <f t="shared" si="33"/>
        <v>#VALUE!</v>
      </c>
      <c r="AE372" s="1" t="e">
        <f t="shared" si="34"/>
        <v>#VALUE!</v>
      </c>
      <c r="AG372">
        <f t="shared" si="35"/>
        <v>0.28022000000000002</v>
      </c>
      <c r="AH372">
        <f t="shared" si="36"/>
        <v>0.15734999999999999</v>
      </c>
      <c r="AI372" t="e">
        <f>VLOOKUP(L372,'[1]Tuyến cáp H04'!$B:$E,3,0)/1000</f>
        <v>#N/A</v>
      </c>
      <c r="AJ372" t="e">
        <f>VLOOKUP(L372,'[1]Tuyến cáp H04'!$B:$E,4,0)</f>
        <v>#N/A</v>
      </c>
    </row>
    <row r="373" spans="1:36" x14ac:dyDescent="0.25">
      <c r="A373" s="1" t="s">
        <v>3368</v>
      </c>
      <c r="B373" s="1" t="s">
        <v>3369</v>
      </c>
      <c r="C373" s="1" t="s">
        <v>3370</v>
      </c>
      <c r="D373" s="1" t="s">
        <v>2731</v>
      </c>
      <c r="E373" s="1" t="s">
        <v>2732</v>
      </c>
      <c r="F373" s="1" t="s">
        <v>3371</v>
      </c>
      <c r="G373" s="1" t="s">
        <v>14281</v>
      </c>
      <c r="H373" s="1" t="s">
        <v>14282</v>
      </c>
      <c r="I373" s="1" t="s">
        <v>14496</v>
      </c>
      <c r="J373" s="1" t="s">
        <v>23</v>
      </c>
      <c r="K373" s="1"/>
      <c r="L373" s="1" t="s">
        <v>3372</v>
      </c>
      <c r="M373" s="1" t="s">
        <v>3373</v>
      </c>
      <c r="N373" s="1" t="s">
        <v>3374</v>
      </c>
      <c r="O373" s="1" t="s">
        <v>3375</v>
      </c>
      <c r="P373" s="1" t="s">
        <v>3376</v>
      </c>
      <c r="Q373" s="1" t="s">
        <v>3377</v>
      </c>
      <c r="R373" s="1" t="s">
        <v>3378</v>
      </c>
      <c r="S373" s="1" t="s">
        <v>3379</v>
      </c>
      <c r="T373" s="1" t="s">
        <v>3380</v>
      </c>
      <c r="U373">
        <v>65.25</v>
      </c>
      <c r="V373">
        <v>26.25</v>
      </c>
      <c r="W373">
        <v>16.806694</v>
      </c>
      <c r="X373">
        <v>106.993571</v>
      </c>
      <c r="Y373">
        <v>39</v>
      </c>
      <c r="Z373">
        <v>16.807314999999999</v>
      </c>
      <c r="AA373">
        <v>106.993066</v>
      </c>
      <c r="AB373" s="5">
        <f t="shared" si="31"/>
        <v>3.9375E-2</v>
      </c>
      <c r="AC373" s="5">
        <f t="shared" si="32"/>
        <v>5.8500000000000003E-2</v>
      </c>
      <c r="AD373" s="1" t="str">
        <f t="shared" si="33"/>
        <v>Đăk Rông</v>
      </c>
      <c r="AE373" s="1" t="str">
        <f t="shared" si="34"/>
        <v>Cam Lộ</v>
      </c>
      <c r="AG373">
        <f t="shared" si="35"/>
        <v>2.6249999999999999E-2</v>
      </c>
      <c r="AH373">
        <f t="shared" si="36"/>
        <v>3.9E-2</v>
      </c>
      <c r="AI373">
        <f>VLOOKUP(L373,'[1]Tuyến cáp H04'!$B:$E,3,0)/1000</f>
        <v>25.625966999999996</v>
      </c>
      <c r="AJ373" t="str">
        <f>VLOOKUP(L373,'[1]Tuyến cáp H04'!$B:$E,4,0)</f>
        <v>Mạng cấp 3</v>
      </c>
    </row>
    <row r="374" spans="1:36" x14ac:dyDescent="0.25">
      <c r="A374" s="1" t="s">
        <v>3381</v>
      </c>
      <c r="B374" s="1" t="s">
        <v>3382</v>
      </c>
      <c r="C374" s="1" t="s">
        <v>3383</v>
      </c>
      <c r="D374" s="1" t="s">
        <v>2731</v>
      </c>
      <c r="E374" s="1" t="s">
        <v>2732</v>
      </c>
      <c r="F374" s="1" t="s">
        <v>3384</v>
      </c>
      <c r="G374" s="1" t="s">
        <v>14281</v>
      </c>
      <c r="H374" s="1" t="s">
        <v>14282</v>
      </c>
      <c r="I374" s="1" t="s">
        <v>14497</v>
      </c>
      <c r="J374" s="1" t="s">
        <v>23</v>
      </c>
      <c r="K374" s="1"/>
      <c r="L374" s="1" t="s">
        <v>2734</v>
      </c>
      <c r="M374" s="1" t="s">
        <v>3385</v>
      </c>
      <c r="N374" s="1" t="s">
        <v>3386</v>
      </c>
      <c r="O374" s="1" t="s">
        <v>3387</v>
      </c>
      <c r="P374" s="1" t="s">
        <v>3388</v>
      </c>
      <c r="Q374" s="1" t="s">
        <v>2739</v>
      </c>
      <c r="R374" s="1" t="s">
        <v>2740</v>
      </c>
      <c r="S374" s="1" t="s">
        <v>2741</v>
      </c>
      <c r="T374" s="1" t="s">
        <v>2742</v>
      </c>
      <c r="U374">
        <v>261.14999999999998</v>
      </c>
      <c r="V374">
        <v>235.91</v>
      </c>
      <c r="W374">
        <v>16.800384999999999</v>
      </c>
      <c r="X374">
        <v>107.023729</v>
      </c>
      <c r="Y374">
        <v>25.24</v>
      </c>
      <c r="Z374">
        <v>16.807245999999999</v>
      </c>
      <c r="AA374">
        <v>106.99248</v>
      </c>
      <c r="AB374" s="5">
        <f t="shared" si="31"/>
        <v>0.35386499999999999</v>
      </c>
      <c r="AC374" s="5">
        <f t="shared" si="32"/>
        <v>3.7859999999999998E-2</v>
      </c>
      <c r="AD374" s="1" t="str">
        <f t="shared" si="33"/>
        <v>Cơ sở cai nghiện (Cam Hiếu, Cam Lộ)</v>
      </c>
      <c r="AE374" s="1" t="str">
        <f t="shared" si="34"/>
        <v>TTCMKV Cam Lộ</v>
      </c>
      <c r="AG374">
        <f t="shared" si="35"/>
        <v>0.23591000000000001</v>
      </c>
      <c r="AH374">
        <f t="shared" si="36"/>
        <v>2.5239999999999999E-2</v>
      </c>
      <c r="AI374">
        <f>VLOOKUP(L374,'[1]Tuyến cáp H04'!$B:$E,3,0)/1000</f>
        <v>8.266138999999999</v>
      </c>
      <c r="AJ374" t="str">
        <f>VLOOKUP(L374,'[1]Tuyến cáp H04'!$B:$E,4,0)</f>
        <v>Mạng cấp 3</v>
      </c>
    </row>
    <row r="375" spans="1:36" x14ac:dyDescent="0.25">
      <c r="A375" s="1" t="s">
        <v>3389</v>
      </c>
      <c r="B375" s="1" t="s">
        <v>3390</v>
      </c>
      <c r="C375" s="1" t="s">
        <v>3391</v>
      </c>
      <c r="D375" s="1" t="s">
        <v>128</v>
      </c>
      <c r="E375" s="1" t="s">
        <v>129</v>
      </c>
      <c r="F375" s="1" t="s">
        <v>3392</v>
      </c>
      <c r="G375" s="1" t="s">
        <v>14281</v>
      </c>
      <c r="H375" s="1" t="s">
        <v>14282</v>
      </c>
      <c r="I375" s="1" t="s">
        <v>14498</v>
      </c>
      <c r="J375" s="1" t="s">
        <v>23</v>
      </c>
      <c r="K375" s="1"/>
      <c r="L375" s="1" t="s">
        <v>3393</v>
      </c>
      <c r="M375" s="1" t="s">
        <v>3394</v>
      </c>
      <c r="N375" s="1" t="s">
        <v>3395</v>
      </c>
      <c r="O375" s="1" t="s">
        <v>3396</v>
      </c>
      <c r="P375" s="1" t="s">
        <v>3397</v>
      </c>
      <c r="Q375" s="1" t="s">
        <v>3398</v>
      </c>
      <c r="R375" s="1" t="s">
        <v>3399</v>
      </c>
      <c r="S375" s="1" t="s">
        <v>3400</v>
      </c>
      <c r="T375" s="1" t="s">
        <v>3401</v>
      </c>
      <c r="U375">
        <v>2008.61</v>
      </c>
      <c r="V375">
        <v>935.2</v>
      </c>
      <c r="W375">
        <v>16.785588000000001</v>
      </c>
      <c r="X375">
        <v>107.12400599999999</v>
      </c>
      <c r="Y375">
        <v>1073.4100000000001</v>
      </c>
      <c r="Z375">
        <v>16.785212999999999</v>
      </c>
      <c r="AA375">
        <v>107.11283</v>
      </c>
      <c r="AB375" s="5">
        <f t="shared" si="31"/>
        <v>1.4028000000000003</v>
      </c>
      <c r="AC375" s="5">
        <f t="shared" si="32"/>
        <v>1.6101150000000002</v>
      </c>
      <c r="AD375" s="1" t="str">
        <f t="shared" si="33"/>
        <v>TT2 Quảng Trị</v>
      </c>
      <c r="AE375" s="1" t="str">
        <f t="shared" si="34"/>
        <v>TX Quảng Trị</v>
      </c>
      <c r="AG375">
        <f t="shared" si="35"/>
        <v>0.93520000000000003</v>
      </c>
      <c r="AH375">
        <f t="shared" si="36"/>
        <v>1.07341</v>
      </c>
      <c r="AI375">
        <f>VLOOKUP(L375,'[1]Tuyến cáp H04'!$B:$E,3,0)/1000</f>
        <v>16.726430000000001</v>
      </c>
      <c r="AJ375" t="str">
        <f>VLOOKUP(L375,'[1]Tuyến cáp H04'!$B:$E,4,0)</f>
        <v>Mạng cấp 3</v>
      </c>
    </row>
    <row r="376" spans="1:36" x14ac:dyDescent="0.25">
      <c r="A376" s="1" t="s">
        <v>3402</v>
      </c>
      <c r="B376" s="1" t="s">
        <v>3403</v>
      </c>
      <c r="C376" s="1" t="s">
        <v>3404</v>
      </c>
      <c r="D376" s="1" t="s">
        <v>2769</v>
      </c>
      <c r="E376" s="1" t="s">
        <v>2770</v>
      </c>
      <c r="F376" s="1" t="s">
        <v>3405</v>
      </c>
      <c r="G376" s="1" t="s">
        <v>14281</v>
      </c>
      <c r="H376" s="1" t="s">
        <v>14282</v>
      </c>
      <c r="I376" s="1" t="s">
        <v>14499</v>
      </c>
      <c r="J376" s="1" t="s">
        <v>23</v>
      </c>
      <c r="K376" s="1"/>
      <c r="L376" s="1" t="s">
        <v>2784</v>
      </c>
      <c r="M376" s="1" t="s">
        <v>3406</v>
      </c>
      <c r="N376" s="1" t="s">
        <v>3407</v>
      </c>
      <c r="O376" s="1" t="s">
        <v>3408</v>
      </c>
      <c r="P376" s="1" t="s">
        <v>3409</v>
      </c>
      <c r="Q376" s="1" t="s">
        <v>2786</v>
      </c>
      <c r="R376" s="1" t="s">
        <v>2787</v>
      </c>
      <c r="S376" s="1" t="s">
        <v>2788</v>
      </c>
      <c r="T376" s="1" t="s">
        <v>2792</v>
      </c>
      <c r="U376">
        <v>3270.6</v>
      </c>
      <c r="V376">
        <v>3248.72</v>
      </c>
      <c r="W376">
        <v>16.978266000000001</v>
      </c>
      <c r="X376">
        <v>107.099942</v>
      </c>
      <c r="Y376">
        <v>21.88</v>
      </c>
      <c r="Z376">
        <v>16.988904000000002</v>
      </c>
      <c r="AA376">
        <v>107.106632</v>
      </c>
      <c r="AB376" s="5">
        <f t="shared" si="31"/>
        <v>4.8730799999999999</v>
      </c>
      <c r="AC376" s="5">
        <f t="shared" si="32"/>
        <v>3.2820000000000002E-2</v>
      </c>
      <c r="AD376" s="1" t="str">
        <f t="shared" si="33"/>
        <v>Bến Hải</v>
      </c>
      <c r="AE376" s="1" t="str">
        <f t="shared" si="34"/>
        <v>PC07 (Đội PCCC khu vực 4)</v>
      </c>
      <c r="AG376">
        <f t="shared" si="35"/>
        <v>3.2487199999999996</v>
      </c>
      <c r="AH376">
        <f t="shared" si="36"/>
        <v>2.188E-2</v>
      </c>
      <c r="AI376">
        <f>VLOOKUP(L376,'[1]Tuyến cáp H04'!$B:$E,3,0)/1000</f>
        <v>12.900144000000001</v>
      </c>
      <c r="AJ376" t="str">
        <f>VLOOKUP(L376,'[1]Tuyến cáp H04'!$B:$E,4,0)</f>
        <v>Mạng cấp 4</v>
      </c>
    </row>
    <row r="377" spans="1:36" x14ac:dyDescent="0.25">
      <c r="A377" s="1" t="s">
        <v>3410</v>
      </c>
      <c r="B377" s="1" t="s">
        <v>3411</v>
      </c>
      <c r="C377" s="1" t="s">
        <v>3412</v>
      </c>
      <c r="D377" s="1" t="s">
        <v>3413</v>
      </c>
      <c r="E377" s="1" t="s">
        <v>3414</v>
      </c>
      <c r="F377" s="1" t="s">
        <v>3415</v>
      </c>
      <c r="G377" s="1" t="s">
        <v>14281</v>
      </c>
      <c r="H377" s="1" t="s">
        <v>14282</v>
      </c>
      <c r="I377" s="1" t="s">
        <v>14500</v>
      </c>
      <c r="J377" s="1" t="s">
        <v>23</v>
      </c>
      <c r="K377" s="1"/>
      <c r="L377" s="1" t="s">
        <v>3416</v>
      </c>
      <c r="M377" s="1" t="s">
        <v>3417</v>
      </c>
      <c r="N377" s="1" t="s">
        <v>3418</v>
      </c>
      <c r="O377" s="1" t="s">
        <v>3419</v>
      </c>
      <c r="P377" s="1" t="s">
        <v>3420</v>
      </c>
      <c r="Q377" s="1" t="s">
        <v>3421</v>
      </c>
      <c r="R377" s="1" t="s">
        <v>3422</v>
      </c>
      <c r="S377" s="1" t="s">
        <v>3423</v>
      </c>
      <c r="T377" s="1" t="s">
        <v>3424</v>
      </c>
      <c r="U377">
        <v>345.78</v>
      </c>
      <c r="V377">
        <v>254.51</v>
      </c>
      <c r="W377">
        <v>17.070644999999999</v>
      </c>
      <c r="X377">
        <v>107.004336</v>
      </c>
      <c r="Y377">
        <v>91.27</v>
      </c>
      <c r="Z377">
        <v>17.077088</v>
      </c>
      <c r="AA377">
        <v>106.99789199999999</v>
      </c>
      <c r="AB377" s="5">
        <f t="shared" si="31"/>
        <v>0.38176499999999997</v>
      </c>
      <c r="AC377" s="5">
        <f t="shared" si="32"/>
        <v>0.136905</v>
      </c>
      <c r="AD377" s="1" t="str">
        <f t="shared" si="33"/>
        <v>Phòng PC07 (Đội PCCC khu vực 3)</v>
      </c>
      <c r="AE377" s="1" t="str">
        <f t="shared" si="34"/>
        <v>Vĩnh Linh</v>
      </c>
      <c r="AG377">
        <f t="shared" si="35"/>
        <v>0.25451000000000001</v>
      </c>
      <c r="AH377">
        <f t="shared" si="36"/>
        <v>9.126999999999999E-2</v>
      </c>
      <c r="AI377">
        <f>VLOOKUP(L377,'[1]Tuyến cáp H04'!$B:$E,3,0)/1000</f>
        <v>3.0777519999999994</v>
      </c>
      <c r="AJ377" t="str">
        <f>VLOOKUP(L377,'[1]Tuyến cáp H04'!$B:$E,4,0)</f>
        <v>Mạng cấp 3</v>
      </c>
    </row>
    <row r="378" spans="1:36" x14ac:dyDescent="0.25">
      <c r="A378" s="1" t="s">
        <v>3425</v>
      </c>
      <c r="B378" s="1" t="s">
        <v>3426</v>
      </c>
      <c r="C378" s="1" t="s">
        <v>3427</v>
      </c>
      <c r="D378" s="1" t="s">
        <v>3413</v>
      </c>
      <c r="E378" s="1" t="s">
        <v>3414</v>
      </c>
      <c r="F378" s="1" t="s">
        <v>3428</v>
      </c>
      <c r="G378" s="1" t="s">
        <v>14281</v>
      </c>
      <c r="H378" s="1" t="s">
        <v>14282</v>
      </c>
      <c r="I378" s="1" t="s">
        <v>14501</v>
      </c>
      <c r="J378" s="1" t="s">
        <v>23</v>
      </c>
      <c r="K378" s="1"/>
      <c r="L378" s="1" t="s">
        <v>3429</v>
      </c>
      <c r="M378" s="1" t="s">
        <v>3430</v>
      </c>
      <c r="N378" s="1" t="s">
        <v>3431</v>
      </c>
      <c r="O378" s="1" t="s">
        <v>3432</v>
      </c>
      <c r="P378" s="1" t="s">
        <v>3433</v>
      </c>
      <c r="Q378" s="1" t="s">
        <v>3434</v>
      </c>
      <c r="R378" s="1" t="s">
        <v>3435</v>
      </c>
      <c r="S378" s="1" t="s">
        <v>3436</v>
      </c>
      <c r="T378" s="1" t="s">
        <v>3437</v>
      </c>
      <c r="U378">
        <v>2655.86</v>
      </c>
      <c r="V378">
        <v>2537.6</v>
      </c>
      <c r="W378">
        <v>17.076809999999998</v>
      </c>
      <c r="X378">
        <v>106.98994500000001</v>
      </c>
      <c r="Y378">
        <v>118.26</v>
      </c>
      <c r="Z378">
        <v>17.076765999999999</v>
      </c>
      <c r="AA378">
        <v>106.998086</v>
      </c>
      <c r="AB378" s="5">
        <f t="shared" si="31"/>
        <v>3.8063999999999996</v>
      </c>
      <c r="AC378" s="5">
        <f t="shared" si="32"/>
        <v>0.17739000000000002</v>
      </c>
      <c r="AD378" s="1" t="str">
        <f t="shared" si="33"/>
        <v>Vĩnh Hoàng</v>
      </c>
      <c r="AE378" s="1" t="str">
        <f t="shared" si="34"/>
        <v>Bến Quan</v>
      </c>
      <c r="AG378">
        <f t="shared" si="35"/>
        <v>2.5375999999999999</v>
      </c>
      <c r="AH378">
        <f t="shared" si="36"/>
        <v>0.11826</v>
      </c>
      <c r="AI378">
        <f>VLOOKUP(L378,'[1]Tuyến cáp H04'!$B:$E,3,0)/1000</f>
        <v>24.307358000000001</v>
      </c>
      <c r="AJ378" t="str">
        <f>VLOOKUP(L378,'[1]Tuyến cáp H04'!$B:$E,4,0)</f>
        <v>Mạng cấp 4</v>
      </c>
    </row>
    <row r="379" spans="1:36" x14ac:dyDescent="0.25">
      <c r="A379" s="1" t="s">
        <v>3438</v>
      </c>
      <c r="B379" s="1" t="s">
        <v>3439</v>
      </c>
      <c r="C379" s="1" t="s">
        <v>3440</v>
      </c>
      <c r="D379" s="1" t="s">
        <v>2662</v>
      </c>
      <c r="E379" s="1" t="s">
        <v>2663</v>
      </c>
      <c r="F379" s="1" t="s">
        <v>3441</v>
      </c>
      <c r="G379" s="1" t="s">
        <v>14281</v>
      </c>
      <c r="H379" s="1" t="s">
        <v>14282</v>
      </c>
      <c r="I379" s="1" t="s">
        <v>14502</v>
      </c>
      <c r="J379" s="1" t="s">
        <v>23</v>
      </c>
      <c r="K379" s="1"/>
      <c r="L379" s="1" t="s">
        <v>3090</v>
      </c>
      <c r="M379" s="1" t="s">
        <v>3442</v>
      </c>
      <c r="N379" s="1" t="s">
        <v>3443</v>
      </c>
      <c r="O379" s="1" t="s">
        <v>3444</v>
      </c>
      <c r="P379" s="1" t="s">
        <v>3445</v>
      </c>
      <c r="Q379" s="1" t="s">
        <v>3446</v>
      </c>
      <c r="R379" s="1" t="s">
        <v>3447</v>
      </c>
      <c r="S379" s="1" t="s">
        <v>3448</v>
      </c>
      <c r="T379" s="1" t="s">
        <v>3449</v>
      </c>
      <c r="U379">
        <v>4453.9799999999996</v>
      </c>
      <c r="V379">
        <v>4421.4799999999996</v>
      </c>
      <c r="W379">
        <v>16.739267999999999</v>
      </c>
      <c r="X379">
        <v>107.185075</v>
      </c>
      <c r="Y379">
        <v>32.49</v>
      </c>
      <c r="Z379">
        <v>16.739595000000001</v>
      </c>
      <c r="AA379">
        <v>107.188056</v>
      </c>
      <c r="AB379" s="5">
        <f t="shared" si="31"/>
        <v>6.6322199999999993</v>
      </c>
      <c r="AC379" s="5">
        <f t="shared" si="32"/>
        <v>4.8735000000000001E-2</v>
      </c>
      <c r="AD379" s="1" t="str">
        <f t="shared" si="33"/>
        <v>Trung tâm sát hạch lái xe</v>
      </c>
      <c r="AE379" s="1" t="str">
        <f t="shared" si="34"/>
        <v>TX Quảng Trị</v>
      </c>
      <c r="AG379">
        <f t="shared" si="35"/>
        <v>4.4214799999999999</v>
      </c>
      <c r="AH379">
        <f t="shared" si="36"/>
        <v>3.2490000000000005E-2</v>
      </c>
      <c r="AI379">
        <f>VLOOKUP(L379,'[1]Tuyến cáp H04'!$B:$E,3,0)/1000</f>
        <v>15.808576</v>
      </c>
      <c r="AJ379" t="str">
        <f>VLOOKUP(L379,'[1]Tuyến cáp H04'!$B:$E,4,0)</f>
        <v>Mạng cấp 3</v>
      </c>
    </row>
    <row r="380" spans="1:36" x14ac:dyDescent="0.25">
      <c r="A380" s="1" t="s">
        <v>3450</v>
      </c>
      <c r="B380" s="1" t="s">
        <v>3451</v>
      </c>
      <c r="C380" s="1" t="s">
        <v>3452</v>
      </c>
      <c r="D380" s="1" t="s">
        <v>3453</v>
      </c>
      <c r="E380" s="1" t="s">
        <v>3454</v>
      </c>
      <c r="F380" s="1" t="s">
        <v>3455</v>
      </c>
      <c r="G380" s="1" t="s">
        <v>14129</v>
      </c>
      <c r="H380" s="1" t="s">
        <v>14130</v>
      </c>
      <c r="I380" s="1" t="s">
        <v>14503</v>
      </c>
      <c r="J380" s="1" t="s">
        <v>23</v>
      </c>
      <c r="K380" s="1"/>
      <c r="L380" s="1" t="s">
        <v>3456</v>
      </c>
      <c r="M380" s="1" t="s">
        <v>3457</v>
      </c>
      <c r="N380" s="1" t="s">
        <v>3458</v>
      </c>
      <c r="O380" s="1" t="s">
        <v>3459</v>
      </c>
      <c r="P380" s="1" t="s">
        <v>3460</v>
      </c>
      <c r="Q380" s="1" t="s">
        <v>3461</v>
      </c>
      <c r="R380" s="1" t="s">
        <v>3462</v>
      </c>
      <c r="S380" s="1" t="s">
        <v>3463</v>
      </c>
      <c r="T380" s="1" t="s">
        <v>3464</v>
      </c>
      <c r="U380">
        <v>589.48</v>
      </c>
      <c r="V380">
        <v>364.81</v>
      </c>
      <c r="W380">
        <v>12.099976</v>
      </c>
      <c r="X380">
        <v>107.656622</v>
      </c>
      <c r="Y380">
        <v>224.66</v>
      </c>
      <c r="Z380">
        <v>12.087807</v>
      </c>
      <c r="AA380">
        <v>107.655304</v>
      </c>
      <c r="AB380" s="5">
        <f t="shared" si="31"/>
        <v>0.54721500000000001</v>
      </c>
      <c r="AC380" s="5">
        <f t="shared" si="32"/>
        <v>0.33699000000000001</v>
      </c>
      <c r="AD380" s="1" t="str">
        <f t="shared" si="33"/>
        <v>Công an tỉnh Lâm Đồng</v>
      </c>
      <c r="AE380" s="1" t="str">
        <f t="shared" si="34"/>
        <v>TT2 - Công an xã Đức An (Trụ sở CAH Đắk Song cũ)</v>
      </c>
      <c r="AG380">
        <f t="shared" si="35"/>
        <v>0.36481000000000002</v>
      </c>
      <c r="AH380">
        <f t="shared" si="36"/>
        <v>0.22466</v>
      </c>
      <c r="AI380" t="e">
        <f>VLOOKUP(L380,'[1]Tuyến cáp H04'!$B:$E,3,0)/1000</f>
        <v>#N/A</v>
      </c>
      <c r="AJ380" t="e">
        <f>VLOOKUP(L380,'[1]Tuyến cáp H04'!$B:$E,4,0)</f>
        <v>#N/A</v>
      </c>
    </row>
    <row r="381" spans="1:36" x14ac:dyDescent="0.25">
      <c r="A381" s="1" t="s">
        <v>3465</v>
      </c>
      <c r="B381" s="1" t="s">
        <v>3466</v>
      </c>
      <c r="C381" s="1" t="s">
        <v>3467</v>
      </c>
      <c r="D381" s="1" t="s">
        <v>3468</v>
      </c>
      <c r="E381" s="1" t="s">
        <v>3469</v>
      </c>
      <c r="F381" s="1" t="s">
        <v>3470</v>
      </c>
      <c r="G381" s="1" t="s">
        <v>14129</v>
      </c>
      <c r="H381" s="1" t="s">
        <v>14130</v>
      </c>
      <c r="I381" s="1" t="s">
        <v>14504</v>
      </c>
      <c r="J381" s="1" t="s">
        <v>23</v>
      </c>
      <c r="K381" s="1"/>
      <c r="L381" s="1" t="s">
        <v>3471</v>
      </c>
      <c r="M381" s="1" t="s">
        <v>3472</v>
      </c>
      <c r="N381" s="1" t="s">
        <v>3473</v>
      </c>
      <c r="O381" s="1" t="s">
        <v>3474</v>
      </c>
      <c r="P381" s="1" t="s">
        <v>3475</v>
      </c>
      <c r="Q381" s="1" t="s">
        <v>3476</v>
      </c>
      <c r="R381" s="1" t="s">
        <v>3477</v>
      </c>
      <c r="S381" s="1" t="s">
        <v>3478</v>
      </c>
      <c r="T381" s="1" t="s">
        <v>3479</v>
      </c>
      <c r="U381">
        <v>67.33</v>
      </c>
      <c r="V381">
        <v>2.06</v>
      </c>
      <c r="W381">
        <v>12.447380000000001</v>
      </c>
      <c r="X381">
        <v>107.621711</v>
      </c>
      <c r="Y381">
        <v>65.27</v>
      </c>
      <c r="Z381">
        <v>12.448696</v>
      </c>
      <c r="AA381">
        <v>107.62101</v>
      </c>
      <c r="AB381" s="5">
        <f t="shared" si="31"/>
        <v>3.0899999999999999E-3</v>
      </c>
      <c r="AC381" s="5">
        <f t="shared" si="32"/>
        <v>9.7905000000000006E-2</v>
      </c>
      <c r="AD381" s="1" t="str">
        <f t="shared" si="33"/>
        <v xml:space="preserve">Công an xã Đức Lập (Trụ sở 2 CAH Đắk Mil cũ)
</v>
      </c>
      <c r="AE381" s="1" t="str">
        <f t="shared" si="34"/>
        <v>Công an xã Cư Jút (Trụ sở CAH Cư Jút cũ)</v>
      </c>
      <c r="AG381">
        <f t="shared" si="35"/>
        <v>2.0600000000000002E-3</v>
      </c>
      <c r="AH381">
        <f t="shared" si="36"/>
        <v>6.5269999999999995E-2</v>
      </c>
      <c r="AI381" t="e">
        <f>VLOOKUP(L381,'[1]Tuyến cáp H04'!$B:$E,3,0)/1000</f>
        <v>#N/A</v>
      </c>
      <c r="AJ381" t="e">
        <f>VLOOKUP(L381,'[1]Tuyến cáp H04'!$B:$E,4,0)</f>
        <v>#N/A</v>
      </c>
    </row>
    <row r="382" spans="1:36" x14ac:dyDescent="0.25">
      <c r="A382" s="1" t="s">
        <v>3480</v>
      </c>
      <c r="B382" s="1" t="s">
        <v>3481</v>
      </c>
      <c r="C382" s="1" t="s">
        <v>3482</v>
      </c>
      <c r="D382" s="1" t="s">
        <v>3483</v>
      </c>
      <c r="E382" s="1" t="s">
        <v>3484</v>
      </c>
      <c r="F382" s="1" t="s">
        <v>3485</v>
      </c>
      <c r="G382" s="1" t="s">
        <v>14129</v>
      </c>
      <c r="H382" s="1" t="s">
        <v>14130</v>
      </c>
      <c r="I382" s="1" t="s">
        <v>14505</v>
      </c>
      <c r="J382" s="1" t="s">
        <v>23</v>
      </c>
      <c r="K382" s="1"/>
      <c r="L382" s="1" t="s">
        <v>3486</v>
      </c>
      <c r="M382" s="1" t="s">
        <v>3487</v>
      </c>
      <c r="N382" s="1" t="s">
        <v>3488</v>
      </c>
      <c r="O382" s="1" t="s">
        <v>3489</v>
      </c>
      <c r="P382" s="1" t="s">
        <v>3490</v>
      </c>
      <c r="Q382" s="1" t="s">
        <v>3491</v>
      </c>
      <c r="R382" s="1" t="s">
        <v>3489</v>
      </c>
      <c r="S382" s="1" t="s">
        <v>3490</v>
      </c>
      <c r="T382" s="1" t="s">
        <v>3492</v>
      </c>
      <c r="U382">
        <v>2681.46</v>
      </c>
      <c r="V382">
        <v>0.75</v>
      </c>
      <c r="W382">
        <v>12.650228</v>
      </c>
      <c r="X382">
        <v>107.873526</v>
      </c>
      <c r="Y382">
        <v>2680.71</v>
      </c>
      <c r="Z382">
        <v>12.650228</v>
      </c>
      <c r="AA382">
        <v>107.873526</v>
      </c>
      <c r="AB382" s="5">
        <f t="shared" si="31"/>
        <v>1.1249999999999999E-3</v>
      </c>
      <c r="AC382" s="5">
        <f t="shared" si="32"/>
        <v>4.0210650000000001</v>
      </c>
      <c r="AD382" s="1" t="str">
        <f t="shared" si="33"/>
        <v>Công an xã Nam Dong</v>
      </c>
      <c r="AE382" s="1" t="str">
        <f t="shared" si="34"/>
        <v>Công an xã Đắk Mil</v>
      </c>
      <c r="AG382">
        <f t="shared" si="35"/>
        <v>7.5000000000000002E-4</v>
      </c>
      <c r="AH382">
        <f t="shared" si="36"/>
        <v>2.6807099999999999</v>
      </c>
      <c r="AI382" t="e">
        <f>VLOOKUP(L382,'[1]Tuyến cáp H04'!$B:$E,3,0)/1000</f>
        <v>#N/A</v>
      </c>
      <c r="AJ382" t="e">
        <f>VLOOKUP(L382,'[1]Tuyến cáp H04'!$B:$E,4,0)</f>
        <v>#N/A</v>
      </c>
    </row>
    <row r="383" spans="1:36" x14ac:dyDescent="0.25">
      <c r="A383" s="1" t="s">
        <v>3493</v>
      </c>
      <c r="B383" s="1" t="s">
        <v>3494</v>
      </c>
      <c r="C383" s="1" t="s">
        <v>3495</v>
      </c>
      <c r="D383" s="1" t="s">
        <v>3496</v>
      </c>
      <c r="E383" s="1" t="s">
        <v>3497</v>
      </c>
      <c r="F383" s="1" t="s">
        <v>3498</v>
      </c>
      <c r="G383" s="1" t="s">
        <v>14129</v>
      </c>
      <c r="H383" s="1" t="s">
        <v>14130</v>
      </c>
      <c r="I383" s="1" t="s">
        <v>14506</v>
      </c>
      <c r="J383" s="1" t="s">
        <v>23</v>
      </c>
      <c r="K383" s="1"/>
      <c r="L383" s="1" t="s">
        <v>3499</v>
      </c>
      <c r="M383" s="1" t="s">
        <v>3500</v>
      </c>
      <c r="N383" s="1" t="s">
        <v>3501</v>
      </c>
      <c r="O383" s="1" t="s">
        <v>3502</v>
      </c>
      <c r="P383" s="1" t="s">
        <v>3503</v>
      </c>
      <c r="Q383" s="1" t="s">
        <v>3504</v>
      </c>
      <c r="R383" s="1" t="s">
        <v>3505</v>
      </c>
      <c r="S383" s="1" t="s">
        <v>3506</v>
      </c>
      <c r="T383" s="1" t="s">
        <v>3507</v>
      </c>
      <c r="U383">
        <v>2304</v>
      </c>
      <c r="V383">
        <v>47.06</v>
      </c>
      <c r="W383">
        <v>12.095340999999999</v>
      </c>
      <c r="X383">
        <v>107.480919</v>
      </c>
      <c r="Y383">
        <v>2256.94</v>
      </c>
      <c r="Z383">
        <v>12.096983</v>
      </c>
      <c r="AA383">
        <v>107.483132</v>
      </c>
      <c r="AB383" s="5">
        <f t="shared" si="31"/>
        <v>7.059E-2</v>
      </c>
      <c r="AC383" s="5">
        <f t="shared" si="32"/>
        <v>3.3854099999999998</v>
      </c>
      <c r="AD383" s="1" t="str">
        <f t="shared" si="33"/>
        <v>Đường PC08 đội 6</v>
      </c>
      <c r="AE383" s="1" t="str">
        <f t="shared" si="34"/>
        <v>CS Cai nghiện số 4</v>
      </c>
      <c r="AG383">
        <f t="shared" si="35"/>
        <v>4.7060000000000005E-2</v>
      </c>
      <c r="AH383">
        <f t="shared" si="36"/>
        <v>2.2569400000000002</v>
      </c>
      <c r="AI383" t="e">
        <f>VLOOKUP(L383,'[1]Tuyến cáp H04'!$B:$E,3,0)/1000</f>
        <v>#N/A</v>
      </c>
      <c r="AJ383" t="e">
        <f>VLOOKUP(L383,'[1]Tuyến cáp H04'!$B:$E,4,0)</f>
        <v>#N/A</v>
      </c>
    </row>
    <row r="384" spans="1:36" x14ac:dyDescent="0.25">
      <c r="A384" s="1" t="s">
        <v>3508</v>
      </c>
      <c r="B384" s="1" t="s">
        <v>3509</v>
      </c>
      <c r="C384" s="1" t="s">
        <v>3510</v>
      </c>
      <c r="D384" s="1" t="s">
        <v>3511</v>
      </c>
      <c r="E384" s="1" t="s">
        <v>3512</v>
      </c>
      <c r="F384" s="1" t="s">
        <v>3513</v>
      </c>
      <c r="G384" s="1" t="s">
        <v>14129</v>
      </c>
      <c r="H384" s="1" t="s">
        <v>14130</v>
      </c>
      <c r="I384" s="1" t="s">
        <v>14507</v>
      </c>
      <c r="J384" s="1" t="s">
        <v>23</v>
      </c>
      <c r="K384" s="1"/>
      <c r="L384" s="1" t="s">
        <v>3471</v>
      </c>
      <c r="M384" s="1" t="s">
        <v>3514</v>
      </c>
      <c r="N384" s="1" t="s">
        <v>3515</v>
      </c>
      <c r="O384" s="1" t="s">
        <v>3516</v>
      </c>
      <c r="P384" s="1" t="s">
        <v>3517</v>
      </c>
      <c r="Q384" s="1" t="s">
        <v>3518</v>
      </c>
      <c r="R384" s="1" t="s">
        <v>3519</v>
      </c>
      <c r="S384" s="1" t="s">
        <v>3520</v>
      </c>
      <c r="T384" s="1" t="s">
        <v>3521</v>
      </c>
      <c r="U384">
        <v>722.98</v>
      </c>
      <c r="V384">
        <v>260.5</v>
      </c>
      <c r="W384">
        <v>12.511248999999999</v>
      </c>
      <c r="X384">
        <v>107.74746399999999</v>
      </c>
      <c r="Y384">
        <v>462.48</v>
      </c>
      <c r="Z384">
        <v>12.543331</v>
      </c>
      <c r="AA384">
        <v>107.786057</v>
      </c>
      <c r="AB384" s="5">
        <f t="shared" si="31"/>
        <v>0.39074999999999999</v>
      </c>
      <c r="AC384" s="5">
        <f t="shared" si="32"/>
        <v>0.69372</v>
      </c>
      <c r="AD384" s="1" t="str">
        <f t="shared" si="33"/>
        <v xml:space="preserve">Công an xã Đức Lập (Trụ sở 2 CAH Đắk Mil cũ)
</v>
      </c>
      <c r="AE384" s="1" t="str">
        <f t="shared" si="34"/>
        <v>Công an xã Cư Jút (Trụ sở CAH Cư Jút cũ)</v>
      </c>
      <c r="AG384">
        <f t="shared" si="35"/>
        <v>0.26050000000000001</v>
      </c>
      <c r="AH384">
        <f t="shared" si="36"/>
        <v>0.46248</v>
      </c>
      <c r="AI384" t="e">
        <f>VLOOKUP(L384,'[1]Tuyến cáp H04'!$B:$E,3,0)/1000</f>
        <v>#N/A</v>
      </c>
      <c r="AJ384" t="e">
        <f>VLOOKUP(L384,'[1]Tuyến cáp H04'!$B:$E,4,0)</f>
        <v>#N/A</v>
      </c>
    </row>
    <row r="385" spans="1:36" x14ac:dyDescent="0.25">
      <c r="A385" s="1" t="s">
        <v>3522</v>
      </c>
      <c r="B385" s="1" t="s">
        <v>3523</v>
      </c>
      <c r="C385" s="1" t="s">
        <v>3524</v>
      </c>
      <c r="D385" s="1" t="s">
        <v>3525</v>
      </c>
      <c r="E385" s="1" t="s">
        <v>3526</v>
      </c>
      <c r="F385" s="1" t="s">
        <v>3527</v>
      </c>
      <c r="G385" s="1" t="s">
        <v>14129</v>
      </c>
      <c r="H385" s="1" t="s">
        <v>14130</v>
      </c>
      <c r="I385" s="1" t="s">
        <v>14508</v>
      </c>
      <c r="J385" s="1" t="s">
        <v>23</v>
      </c>
      <c r="K385" s="1"/>
      <c r="L385" s="1" t="s">
        <v>3528</v>
      </c>
      <c r="M385" s="1" t="s">
        <v>3529</v>
      </c>
      <c r="N385" s="1" t="s">
        <v>3530</v>
      </c>
      <c r="O385" s="1" t="s">
        <v>3531</v>
      </c>
      <c r="P385" s="1" t="s">
        <v>3532</v>
      </c>
      <c r="Q385" s="1" t="s">
        <v>3533</v>
      </c>
      <c r="R385" s="1" t="s">
        <v>3534</v>
      </c>
      <c r="S385" s="1" t="s">
        <v>3535</v>
      </c>
      <c r="T385" s="1" t="s">
        <v>3536</v>
      </c>
      <c r="U385">
        <v>577.64</v>
      </c>
      <c r="V385">
        <v>226.46</v>
      </c>
      <c r="W385">
        <v>11.913881999999999</v>
      </c>
      <c r="X385">
        <v>107.791538</v>
      </c>
      <c r="Y385">
        <v>351.18</v>
      </c>
      <c r="Z385">
        <v>11.917935</v>
      </c>
      <c r="AA385">
        <v>107.790319</v>
      </c>
      <c r="AB385" s="5">
        <f t="shared" si="31"/>
        <v>0.33968999999999999</v>
      </c>
      <c r="AC385" s="5">
        <f t="shared" si="32"/>
        <v>0.52676999999999996</v>
      </c>
      <c r="AD385" s="1" t="str">
        <f t="shared" si="33"/>
        <v>Công an tỉnh Lâm Đồng</v>
      </c>
      <c r="AE385" s="1" t="str">
        <f t="shared" si="34"/>
        <v>TT2 - Công an xã Quảng Khê</v>
      </c>
      <c r="AG385">
        <f t="shared" si="35"/>
        <v>0.22645999999999999</v>
      </c>
      <c r="AH385">
        <f t="shared" si="36"/>
        <v>0.35117999999999999</v>
      </c>
      <c r="AI385" t="e">
        <f>VLOOKUP(L385,'[1]Tuyến cáp H04'!$B:$E,3,0)/1000</f>
        <v>#N/A</v>
      </c>
      <c r="AJ385" t="e">
        <f>VLOOKUP(L385,'[1]Tuyến cáp H04'!$B:$E,4,0)</f>
        <v>#N/A</v>
      </c>
    </row>
    <row r="386" spans="1:36" x14ac:dyDescent="0.25">
      <c r="A386" s="1" t="s">
        <v>3537</v>
      </c>
      <c r="B386" s="1" t="s">
        <v>3538</v>
      </c>
      <c r="C386" s="1" t="s">
        <v>3539</v>
      </c>
      <c r="D386" s="1" t="s">
        <v>3466</v>
      </c>
      <c r="E386" s="1" t="s">
        <v>3467</v>
      </c>
      <c r="F386" s="1" t="s">
        <v>3540</v>
      </c>
      <c r="G386" s="1" t="s">
        <v>14129</v>
      </c>
      <c r="H386" s="1" t="s">
        <v>14130</v>
      </c>
      <c r="I386" s="1" t="s">
        <v>14509</v>
      </c>
      <c r="J386" s="1" t="s">
        <v>23</v>
      </c>
      <c r="K386" s="1"/>
      <c r="L386" s="1" t="s">
        <v>3541</v>
      </c>
      <c r="M386" s="1" t="s">
        <v>3542</v>
      </c>
      <c r="N386" s="1" t="s">
        <v>3543</v>
      </c>
      <c r="O386" s="1" t="s">
        <v>3544</v>
      </c>
      <c r="P386" s="1" t="s">
        <v>3545</v>
      </c>
      <c r="Q386" s="1" t="s">
        <v>3546</v>
      </c>
      <c r="R386" s="1" t="s">
        <v>3547</v>
      </c>
      <c r="S386" s="1" t="s">
        <v>3548</v>
      </c>
      <c r="T386" s="1" t="s">
        <v>3549</v>
      </c>
      <c r="U386">
        <v>24690.13</v>
      </c>
      <c r="V386">
        <v>24684.21</v>
      </c>
      <c r="W386">
        <v>12.415565000000001</v>
      </c>
      <c r="X386">
        <v>107.58331099999999</v>
      </c>
      <c r="Y386">
        <v>5.91</v>
      </c>
      <c r="Z386">
        <v>12.447349000000001</v>
      </c>
      <c r="AA386">
        <v>107.62173</v>
      </c>
      <c r="AB386" s="5">
        <f t="shared" si="31"/>
        <v>37.026315000000004</v>
      </c>
      <c r="AC386" s="5">
        <f t="shared" si="32"/>
        <v>8.8649999999999996E-3</v>
      </c>
      <c r="AD386" s="1" t="str">
        <f t="shared" si="33"/>
        <v>Công an tỉnh Lâm Đồng</v>
      </c>
      <c r="AE386" s="1" t="str">
        <f t="shared" si="34"/>
        <v>TT2
- Công an xã Đức Lập (Trụ sở 2 CAH Đắk Mil cũ)</v>
      </c>
      <c r="AG386">
        <f t="shared" si="35"/>
        <v>24.68421</v>
      </c>
      <c r="AH386">
        <f t="shared" si="36"/>
        <v>5.9100000000000003E-3</v>
      </c>
      <c r="AI386" t="e">
        <f>VLOOKUP(L386,'[1]Tuyến cáp H04'!$B:$E,3,0)/1000</f>
        <v>#N/A</v>
      </c>
      <c r="AJ386" t="e">
        <f>VLOOKUP(L386,'[1]Tuyến cáp H04'!$B:$E,4,0)</f>
        <v>#N/A</v>
      </c>
    </row>
    <row r="387" spans="1:36" x14ac:dyDescent="0.25">
      <c r="A387" s="1" t="s">
        <v>3550</v>
      </c>
      <c r="B387" s="1" t="s">
        <v>3466</v>
      </c>
      <c r="C387" s="1" t="s">
        <v>3467</v>
      </c>
      <c r="D387" s="1" t="s">
        <v>3551</v>
      </c>
      <c r="E387" s="1" t="s">
        <v>3552</v>
      </c>
      <c r="F387" s="1" t="s">
        <v>3553</v>
      </c>
      <c r="G387" s="1" t="s">
        <v>14129</v>
      </c>
      <c r="H387" s="1" t="s">
        <v>14130</v>
      </c>
      <c r="I387" s="1" t="s">
        <v>14510</v>
      </c>
      <c r="J387" s="1" t="s">
        <v>23</v>
      </c>
      <c r="K387" s="1"/>
      <c r="L387" s="1" t="s">
        <v>3541</v>
      </c>
      <c r="M387" s="1" t="s">
        <v>3554</v>
      </c>
      <c r="N387" s="1" t="s">
        <v>3555</v>
      </c>
      <c r="O387" s="1" t="s">
        <v>3556</v>
      </c>
      <c r="P387" s="1" t="s">
        <v>3557</v>
      </c>
      <c r="Q387" s="1" t="s">
        <v>3558</v>
      </c>
      <c r="R387" s="1" t="s">
        <v>3559</v>
      </c>
      <c r="S387" s="1" t="s">
        <v>3560</v>
      </c>
      <c r="T387" s="1" t="s">
        <v>3549</v>
      </c>
      <c r="U387">
        <v>15005.25</v>
      </c>
      <c r="V387">
        <v>11711.93</v>
      </c>
      <c r="W387">
        <v>12.355719000000001</v>
      </c>
      <c r="X387">
        <v>107.568584</v>
      </c>
      <c r="Y387">
        <v>3293.32</v>
      </c>
      <c r="Z387">
        <v>12.232108999999999</v>
      </c>
      <c r="AA387">
        <v>107.63054099999999</v>
      </c>
      <c r="AB387" s="5">
        <f t="shared" ref="AB387:AB450" si="37">V387*1.5/1000</f>
        <v>17.567895</v>
      </c>
      <c r="AC387" s="5">
        <f t="shared" ref="AC387:AC450" si="38">Y387*1.5/1000</f>
        <v>4.9399800000000003</v>
      </c>
      <c r="AD387" s="1" t="str">
        <f t="shared" ref="AD387:AD450" si="39">TRIM(LEFT(L387,FIND("-",L387)-1))</f>
        <v>Công an tỉnh Lâm Đồng</v>
      </c>
      <c r="AE387" s="1" t="str">
        <f t="shared" ref="AE387:AE450" si="40">TRIM(RIGHT(L387, LEN(L387) - FIND("-", L387)))</f>
        <v>TT2
- Công an xã Đức Lập (Trụ sở 2 CAH Đắk Mil cũ)</v>
      </c>
      <c r="AG387">
        <f t="shared" ref="AG387:AG450" si="41">V387/1000</f>
        <v>11.711930000000001</v>
      </c>
      <c r="AH387">
        <f t="shared" ref="AH387:AH450" si="42">Y387/1000</f>
        <v>3.29332</v>
      </c>
      <c r="AI387" t="e">
        <f>VLOOKUP(L387,'[1]Tuyến cáp H04'!$B:$E,3,0)/1000</f>
        <v>#N/A</v>
      </c>
      <c r="AJ387" t="e">
        <f>VLOOKUP(L387,'[1]Tuyến cáp H04'!$B:$E,4,0)</f>
        <v>#N/A</v>
      </c>
    </row>
    <row r="388" spans="1:36" x14ac:dyDescent="0.25">
      <c r="A388" s="1" t="s">
        <v>3561</v>
      </c>
      <c r="B388" s="1" t="s">
        <v>3562</v>
      </c>
      <c r="C388" s="1" t="s">
        <v>3563</v>
      </c>
      <c r="D388" s="1" t="s">
        <v>3538</v>
      </c>
      <c r="E388" s="1" t="s">
        <v>3539</v>
      </c>
      <c r="F388" s="1" t="s">
        <v>3564</v>
      </c>
      <c r="G388" s="1" t="s">
        <v>14129</v>
      </c>
      <c r="H388" s="1" t="s">
        <v>14130</v>
      </c>
      <c r="I388" s="1" t="s">
        <v>14511</v>
      </c>
      <c r="J388" s="1" t="s">
        <v>23</v>
      </c>
      <c r="K388" s="1"/>
      <c r="L388" s="1" t="s">
        <v>3565</v>
      </c>
      <c r="M388" s="1" t="s">
        <v>3566</v>
      </c>
      <c r="N388" s="1" t="s">
        <v>3567</v>
      </c>
      <c r="O388" s="1" t="s">
        <v>3568</v>
      </c>
      <c r="P388" s="1" t="s">
        <v>3569</v>
      </c>
      <c r="Q388" s="1" t="s">
        <v>3570</v>
      </c>
      <c r="R388" s="1" t="s">
        <v>3571</v>
      </c>
      <c r="S388" s="1" t="s">
        <v>3572</v>
      </c>
      <c r="T388" s="1" t="s">
        <v>3573</v>
      </c>
      <c r="U388">
        <v>2597.29</v>
      </c>
      <c r="V388">
        <v>2574.2199999999998</v>
      </c>
      <c r="W388">
        <v>12.018853</v>
      </c>
      <c r="X388">
        <v>107.492485</v>
      </c>
      <c r="Y388">
        <v>23.06</v>
      </c>
      <c r="Z388">
        <v>12.218915000000001</v>
      </c>
      <c r="AA388">
        <v>107.47745500000001</v>
      </c>
      <c r="AB388" s="5">
        <f t="shared" si="37"/>
        <v>3.8613299999999997</v>
      </c>
      <c r="AC388" s="5">
        <f t="shared" si="38"/>
        <v>3.4589999999999996E-2</v>
      </c>
      <c r="AD388" s="1" t="str">
        <f t="shared" si="39"/>
        <v>Công an xã Tuy Đức (Trụ sở CAH Tuy Đức cũ)</v>
      </c>
      <c r="AE388" s="1" t="str">
        <f t="shared" si="40"/>
        <v>Công an xã Kiến Đức (Trụ sở CAH Đắk R'Lấp cũ)</v>
      </c>
      <c r="AG388">
        <f t="shared" si="41"/>
        <v>2.57422</v>
      </c>
      <c r="AH388">
        <f t="shared" si="42"/>
        <v>2.3059999999999997E-2</v>
      </c>
      <c r="AI388" t="e">
        <f>VLOOKUP(L388,'[1]Tuyến cáp H04'!$B:$E,3,0)/1000</f>
        <v>#N/A</v>
      </c>
      <c r="AJ388" t="e">
        <f>VLOOKUP(L388,'[1]Tuyến cáp H04'!$B:$E,4,0)</f>
        <v>#N/A</v>
      </c>
    </row>
    <row r="389" spans="1:36" x14ac:dyDescent="0.25">
      <c r="A389" s="1" t="s">
        <v>3574</v>
      </c>
      <c r="B389" s="1" t="s">
        <v>3538</v>
      </c>
      <c r="C389" s="1" t="s">
        <v>3539</v>
      </c>
      <c r="D389" s="1" t="s">
        <v>3551</v>
      </c>
      <c r="E389" s="1" t="s">
        <v>3552</v>
      </c>
      <c r="F389" s="1" t="s">
        <v>3575</v>
      </c>
      <c r="G389" s="1" t="s">
        <v>14129</v>
      </c>
      <c r="H389" s="1" t="s">
        <v>14130</v>
      </c>
      <c r="I389" s="1" t="s">
        <v>14512</v>
      </c>
      <c r="J389" s="1" t="s">
        <v>23</v>
      </c>
      <c r="K389" s="1"/>
      <c r="L389" s="1" t="s">
        <v>3576</v>
      </c>
      <c r="M389" s="1" t="s">
        <v>3577</v>
      </c>
      <c r="N389" s="1" t="s">
        <v>3578</v>
      </c>
      <c r="O389" s="1" t="s">
        <v>3579</v>
      </c>
      <c r="P389" s="1" t="s">
        <v>3580</v>
      </c>
      <c r="Q389" s="1" t="s">
        <v>3581</v>
      </c>
      <c r="R389" s="1" t="s">
        <v>3582</v>
      </c>
      <c r="S389" s="1" t="s">
        <v>3583</v>
      </c>
      <c r="T389" s="1" t="s">
        <v>3584</v>
      </c>
      <c r="U389">
        <v>8914</v>
      </c>
      <c r="V389">
        <v>4762.24</v>
      </c>
      <c r="W389">
        <v>12.199433000000001</v>
      </c>
      <c r="X389">
        <v>107.51656</v>
      </c>
      <c r="Y389">
        <v>4151.75</v>
      </c>
      <c r="Z389">
        <v>12.229092</v>
      </c>
      <c r="AA389">
        <v>107.609746</v>
      </c>
      <c r="AB389" s="5">
        <f t="shared" si="37"/>
        <v>7.1433599999999995</v>
      </c>
      <c r="AC389" s="5">
        <f t="shared" si="38"/>
        <v>6.2276249999999997</v>
      </c>
      <c r="AD389" s="1" t="str">
        <f t="shared" si="39"/>
        <v>Công an xã Đức An (Trụ sở CAH Đắk Song cũ)</v>
      </c>
      <c r="AE389" s="1" t="str">
        <f t="shared" si="40"/>
        <v>Công an xã Tuy Đức (Trụ sở CAH Tuy Đức cũ)</v>
      </c>
      <c r="AG389">
        <f t="shared" si="41"/>
        <v>4.7622399999999994</v>
      </c>
      <c r="AH389">
        <f t="shared" si="42"/>
        <v>4.1517499999999998</v>
      </c>
      <c r="AI389" t="e">
        <f>VLOOKUP(L389,'[1]Tuyến cáp H04'!$B:$E,3,0)/1000</f>
        <v>#N/A</v>
      </c>
      <c r="AJ389" t="e">
        <f>VLOOKUP(L389,'[1]Tuyến cáp H04'!$B:$E,4,0)</f>
        <v>#N/A</v>
      </c>
    </row>
    <row r="390" spans="1:36" x14ac:dyDescent="0.25">
      <c r="A390" s="1" t="s">
        <v>3585</v>
      </c>
      <c r="B390" s="1" t="s">
        <v>3538</v>
      </c>
      <c r="C390" s="1" t="s">
        <v>3539</v>
      </c>
      <c r="D390" s="1" t="s">
        <v>3586</v>
      </c>
      <c r="E390" s="1" t="s">
        <v>3587</v>
      </c>
      <c r="F390" s="1" t="s">
        <v>3588</v>
      </c>
      <c r="G390" s="1" t="s">
        <v>14129</v>
      </c>
      <c r="H390" s="1" t="s">
        <v>14130</v>
      </c>
      <c r="I390" s="1" t="s">
        <v>14513</v>
      </c>
      <c r="J390" s="1" t="s">
        <v>23</v>
      </c>
      <c r="K390" s="1"/>
      <c r="L390" s="1" t="s">
        <v>3589</v>
      </c>
      <c r="M390" s="1" t="s">
        <v>3590</v>
      </c>
      <c r="N390" s="1" t="s">
        <v>3591</v>
      </c>
      <c r="O390" s="1" t="s">
        <v>3592</v>
      </c>
      <c r="P390" s="1" t="s">
        <v>3593</v>
      </c>
      <c r="Q390" s="1" t="s">
        <v>3594</v>
      </c>
      <c r="R390" s="1" t="s">
        <v>3595</v>
      </c>
      <c r="S390" s="1" t="s">
        <v>3596</v>
      </c>
      <c r="T390" s="1" t="s">
        <v>3597</v>
      </c>
      <c r="U390">
        <v>9976.35</v>
      </c>
      <c r="V390">
        <v>3942.84</v>
      </c>
      <c r="W390">
        <v>12.250895999999999</v>
      </c>
      <c r="X390">
        <v>107.493579</v>
      </c>
      <c r="Y390">
        <v>6033.51</v>
      </c>
      <c r="Z390">
        <v>12.2438</v>
      </c>
      <c r="AA390">
        <v>107.518868</v>
      </c>
      <c r="AB390" s="5">
        <f t="shared" si="37"/>
        <v>5.9142600000000005</v>
      </c>
      <c r="AC390" s="5">
        <f t="shared" si="38"/>
        <v>9.0502649999999996</v>
      </c>
      <c r="AD390" s="1" t="str">
        <f t="shared" si="39"/>
        <v>Thuận Hạnh</v>
      </c>
      <c r="AE390" s="1" t="str">
        <f t="shared" si="40"/>
        <v>Quảng Trực</v>
      </c>
      <c r="AG390">
        <f t="shared" si="41"/>
        <v>3.9428400000000003</v>
      </c>
      <c r="AH390">
        <f t="shared" si="42"/>
        <v>6.0335100000000006</v>
      </c>
      <c r="AI390">
        <f>VLOOKUP(L390,'[1]Tuyến cáp H04'!$B:$E,3,0)/1000</f>
        <v>23.52</v>
      </c>
      <c r="AJ390" t="str">
        <f>VLOOKUP(L390,'[1]Tuyến cáp H04'!$B:$E,4,0)</f>
        <v>Mạng cấp 4</v>
      </c>
    </row>
    <row r="391" spans="1:36" x14ac:dyDescent="0.25">
      <c r="A391" s="1" t="s">
        <v>3598</v>
      </c>
      <c r="B391" s="1" t="s">
        <v>3538</v>
      </c>
      <c r="C391" s="1" t="s">
        <v>3539</v>
      </c>
      <c r="D391" s="1" t="s">
        <v>3599</v>
      </c>
      <c r="E391" s="1" t="s">
        <v>3600</v>
      </c>
      <c r="F391" s="1" t="s">
        <v>3601</v>
      </c>
      <c r="G391" s="1" t="s">
        <v>14129</v>
      </c>
      <c r="H391" s="1" t="s">
        <v>14130</v>
      </c>
      <c r="I391" s="1" t="s">
        <v>14514</v>
      </c>
      <c r="J391" s="1" t="s">
        <v>23</v>
      </c>
      <c r="K391" s="1"/>
      <c r="L391" s="1" t="s">
        <v>3541</v>
      </c>
      <c r="M391" s="1" t="s">
        <v>3602</v>
      </c>
      <c r="N391" s="1" t="s">
        <v>3603</v>
      </c>
      <c r="O391" s="1" t="s">
        <v>3604</v>
      </c>
      <c r="P391" s="1" t="s">
        <v>3605</v>
      </c>
      <c r="Q391" s="1" t="s">
        <v>3606</v>
      </c>
      <c r="R391" s="1" t="s">
        <v>3556</v>
      </c>
      <c r="S391" s="1" t="s">
        <v>3557</v>
      </c>
      <c r="T391" s="1" t="s">
        <v>3549</v>
      </c>
      <c r="U391">
        <v>21138.3</v>
      </c>
      <c r="V391">
        <v>14760.23</v>
      </c>
      <c r="W391">
        <v>12.276176</v>
      </c>
      <c r="X391">
        <v>107.60022499999999</v>
      </c>
      <c r="Y391">
        <v>6378.07</v>
      </c>
      <c r="Z391">
        <v>12.355719000000001</v>
      </c>
      <c r="AA391">
        <v>107.568584</v>
      </c>
      <c r="AB391" s="5">
        <f t="shared" si="37"/>
        <v>22.140345</v>
      </c>
      <c r="AC391" s="5">
        <f t="shared" si="38"/>
        <v>9.5671049999999997</v>
      </c>
      <c r="AD391" s="1" t="str">
        <f t="shared" si="39"/>
        <v>Công an tỉnh Lâm Đồng</v>
      </c>
      <c r="AE391" s="1" t="str">
        <f t="shared" si="40"/>
        <v>TT2
- Công an xã Đức Lập (Trụ sở 2 CAH Đắk Mil cũ)</v>
      </c>
      <c r="AG391">
        <f t="shared" si="41"/>
        <v>14.76023</v>
      </c>
      <c r="AH391">
        <f t="shared" si="42"/>
        <v>6.3780700000000001</v>
      </c>
      <c r="AI391" t="e">
        <f>VLOOKUP(L391,'[1]Tuyến cáp H04'!$B:$E,3,0)/1000</f>
        <v>#N/A</v>
      </c>
      <c r="AJ391" t="e">
        <f>VLOOKUP(L391,'[1]Tuyến cáp H04'!$B:$E,4,0)</f>
        <v>#N/A</v>
      </c>
    </row>
    <row r="392" spans="1:36" x14ac:dyDescent="0.25">
      <c r="A392" s="1" t="s">
        <v>3607</v>
      </c>
      <c r="B392" s="1" t="s">
        <v>3599</v>
      </c>
      <c r="C392" s="1" t="s">
        <v>3600</v>
      </c>
      <c r="D392" s="1" t="s">
        <v>3608</v>
      </c>
      <c r="E392" s="1" t="s">
        <v>3609</v>
      </c>
      <c r="F392" s="1" t="s">
        <v>3610</v>
      </c>
      <c r="G392" s="1" t="s">
        <v>14129</v>
      </c>
      <c r="H392" s="1" t="s">
        <v>14130</v>
      </c>
      <c r="I392" s="1" t="s">
        <v>14515</v>
      </c>
      <c r="J392" s="1" t="s">
        <v>23</v>
      </c>
      <c r="K392" s="1"/>
      <c r="L392" s="1" t="s">
        <v>3541</v>
      </c>
      <c r="M392" s="1" t="s">
        <v>3611</v>
      </c>
      <c r="N392" s="1" t="s">
        <v>3612</v>
      </c>
      <c r="O392" s="1" t="s">
        <v>3544</v>
      </c>
      <c r="P392" s="1" t="s">
        <v>3545</v>
      </c>
      <c r="Q392" s="1" t="s">
        <v>3613</v>
      </c>
      <c r="R392" s="1" t="s">
        <v>3614</v>
      </c>
      <c r="S392" s="1" t="s">
        <v>3615</v>
      </c>
      <c r="T392" s="1" t="s">
        <v>3549</v>
      </c>
      <c r="U392">
        <v>670.63</v>
      </c>
      <c r="V392">
        <v>532.38</v>
      </c>
      <c r="W392">
        <v>12.415565000000001</v>
      </c>
      <c r="X392">
        <v>107.58331099999999</v>
      </c>
      <c r="Y392">
        <v>138.26</v>
      </c>
      <c r="Z392">
        <v>12.447319999999999</v>
      </c>
      <c r="AA392">
        <v>107.609408</v>
      </c>
      <c r="AB392" s="5">
        <f t="shared" si="37"/>
        <v>0.79856999999999989</v>
      </c>
      <c r="AC392" s="5">
        <f t="shared" si="38"/>
        <v>0.20738999999999999</v>
      </c>
      <c r="AD392" s="1" t="str">
        <f t="shared" si="39"/>
        <v>Công an tỉnh Lâm Đồng</v>
      </c>
      <c r="AE392" s="1" t="str">
        <f t="shared" si="40"/>
        <v>TT2
- Công an xã Đức Lập (Trụ sở 2 CAH Đắk Mil cũ)</v>
      </c>
      <c r="AG392">
        <f t="shared" si="41"/>
        <v>0.53237999999999996</v>
      </c>
      <c r="AH392">
        <f t="shared" si="42"/>
        <v>0.13825999999999999</v>
      </c>
      <c r="AI392" t="e">
        <f>VLOOKUP(L392,'[1]Tuyến cáp H04'!$B:$E,3,0)/1000</f>
        <v>#N/A</v>
      </c>
      <c r="AJ392" t="e">
        <f>VLOOKUP(L392,'[1]Tuyến cáp H04'!$B:$E,4,0)</f>
        <v>#N/A</v>
      </c>
    </row>
    <row r="393" spans="1:36" x14ac:dyDescent="0.25">
      <c r="A393" s="1" t="s">
        <v>3616</v>
      </c>
      <c r="B393" s="1" t="s">
        <v>3617</v>
      </c>
      <c r="C393" s="1" t="s">
        <v>3618</v>
      </c>
      <c r="D393" s="1" t="s">
        <v>3466</v>
      </c>
      <c r="E393" s="1" t="s">
        <v>3467</v>
      </c>
      <c r="F393" s="1" t="s">
        <v>3619</v>
      </c>
      <c r="G393" s="1" t="s">
        <v>14129</v>
      </c>
      <c r="H393" s="1" t="s">
        <v>14130</v>
      </c>
      <c r="I393" s="1" t="s">
        <v>14516</v>
      </c>
      <c r="J393" s="1" t="s">
        <v>23</v>
      </c>
      <c r="K393" s="1"/>
      <c r="L393" s="1" t="s">
        <v>3620</v>
      </c>
      <c r="M393" s="1" t="s">
        <v>3621</v>
      </c>
      <c r="N393" s="1" t="s">
        <v>3622</v>
      </c>
      <c r="O393" s="1" t="s">
        <v>3623</v>
      </c>
      <c r="P393" s="1" t="s">
        <v>3624</v>
      </c>
      <c r="Q393" s="1" t="s">
        <v>3625</v>
      </c>
      <c r="R393" s="1" t="s">
        <v>3626</v>
      </c>
      <c r="S393" s="1" t="s">
        <v>3627</v>
      </c>
      <c r="T393" s="1" t="s">
        <v>3628</v>
      </c>
      <c r="U393">
        <v>5.95</v>
      </c>
      <c r="V393">
        <v>2.99</v>
      </c>
      <c r="W393">
        <v>12.459466000000001</v>
      </c>
      <c r="X393">
        <v>107.61325100000001</v>
      </c>
      <c r="Y393">
        <v>2.96</v>
      </c>
      <c r="Z393">
        <v>12.447414999999999</v>
      </c>
      <c r="AA393">
        <v>107.621692</v>
      </c>
      <c r="AB393" s="5">
        <f t="shared" si="37"/>
        <v>4.4850000000000003E-3</v>
      </c>
      <c r="AC393" s="5">
        <f t="shared" si="38"/>
        <v>4.4399999999999995E-3</v>
      </c>
      <c r="AD393" s="1" t="str">
        <f t="shared" si="39"/>
        <v>Phòng PC07</v>
      </c>
      <c r="AE393" s="1" t="str">
        <f t="shared" si="40"/>
        <v>Đội CC&amp;CNCH khu vực 14 - Công an xã Đức Lập (Trụ sở 2 CAH Đắk Mil cũ)</v>
      </c>
      <c r="AG393">
        <f t="shared" si="41"/>
        <v>2.99E-3</v>
      </c>
      <c r="AH393">
        <f t="shared" si="42"/>
        <v>2.96E-3</v>
      </c>
      <c r="AI393" t="e">
        <f>VLOOKUP(L393,'[1]Tuyến cáp H04'!$B:$E,3,0)/1000</f>
        <v>#N/A</v>
      </c>
      <c r="AJ393" t="e">
        <f>VLOOKUP(L393,'[1]Tuyến cáp H04'!$B:$E,4,0)</f>
        <v>#N/A</v>
      </c>
    </row>
    <row r="394" spans="1:36" x14ac:dyDescent="0.25">
      <c r="A394" s="1" t="s">
        <v>3629</v>
      </c>
      <c r="B394" s="1" t="s">
        <v>3466</v>
      </c>
      <c r="C394" s="1" t="s">
        <v>3467</v>
      </c>
      <c r="D394" s="1" t="s">
        <v>3630</v>
      </c>
      <c r="E394" s="1" t="s">
        <v>3631</v>
      </c>
      <c r="F394" s="1" t="s">
        <v>3632</v>
      </c>
      <c r="G394" s="1" t="s">
        <v>14129</v>
      </c>
      <c r="H394" s="1" t="s">
        <v>14130</v>
      </c>
      <c r="I394" s="1" t="s">
        <v>14517</v>
      </c>
      <c r="J394" s="1" t="s">
        <v>23</v>
      </c>
      <c r="K394" s="1"/>
      <c r="L394" s="1" t="s">
        <v>3471</v>
      </c>
      <c r="M394" s="1" t="s">
        <v>3633</v>
      </c>
      <c r="N394" s="1" t="s">
        <v>3634</v>
      </c>
      <c r="O394" s="1" t="s">
        <v>3635</v>
      </c>
      <c r="P394" s="1" t="s">
        <v>3636</v>
      </c>
      <c r="Q394" s="1" t="s">
        <v>3637</v>
      </c>
      <c r="R394" s="1" t="s">
        <v>3638</v>
      </c>
      <c r="S394" s="1" t="s">
        <v>3639</v>
      </c>
      <c r="T394" s="1" t="s">
        <v>3521</v>
      </c>
      <c r="U394">
        <v>290.98</v>
      </c>
      <c r="V394">
        <v>174.6</v>
      </c>
      <c r="W394">
        <v>12.448781</v>
      </c>
      <c r="X394">
        <v>107.62094999999999</v>
      </c>
      <c r="Y394">
        <v>116.38</v>
      </c>
      <c r="Z394">
        <v>12.455816</v>
      </c>
      <c r="AA394">
        <v>107.636764</v>
      </c>
      <c r="AB394" s="5">
        <f t="shared" si="37"/>
        <v>0.26189999999999997</v>
      </c>
      <c r="AC394" s="5">
        <f t="shared" si="38"/>
        <v>0.17457</v>
      </c>
      <c r="AD394" s="1" t="str">
        <f t="shared" si="39"/>
        <v xml:space="preserve">Công an xã Đức Lập (Trụ sở 2 CAH Đắk Mil cũ)
</v>
      </c>
      <c r="AE394" s="1" t="str">
        <f t="shared" si="40"/>
        <v>Công an xã Cư Jút (Trụ sở CAH Cư Jút cũ)</v>
      </c>
      <c r="AG394">
        <f t="shared" si="41"/>
        <v>0.17460000000000001</v>
      </c>
      <c r="AH394">
        <f t="shared" si="42"/>
        <v>0.11638</v>
      </c>
      <c r="AI394" t="e">
        <f>VLOOKUP(L394,'[1]Tuyến cáp H04'!$B:$E,3,0)/1000</f>
        <v>#N/A</v>
      </c>
      <c r="AJ394" t="e">
        <f>VLOOKUP(L394,'[1]Tuyến cáp H04'!$B:$E,4,0)</f>
        <v>#N/A</v>
      </c>
    </row>
    <row r="395" spans="1:36" x14ac:dyDescent="0.25">
      <c r="A395" s="1" t="s">
        <v>3640</v>
      </c>
      <c r="B395" s="1" t="s">
        <v>3509</v>
      </c>
      <c r="C395" s="1" t="s">
        <v>3510</v>
      </c>
      <c r="D395" s="1" t="s">
        <v>3641</v>
      </c>
      <c r="E395" s="1" t="s">
        <v>3642</v>
      </c>
      <c r="F395" s="1" t="s">
        <v>3643</v>
      </c>
      <c r="G395" s="1" t="s">
        <v>14129</v>
      </c>
      <c r="H395" s="1" t="s">
        <v>14130</v>
      </c>
      <c r="I395" s="1" t="s">
        <v>14518</v>
      </c>
      <c r="J395" s="1" t="s">
        <v>23</v>
      </c>
      <c r="K395" s="1"/>
      <c r="L395" s="1" t="s">
        <v>3644</v>
      </c>
      <c r="M395" s="1" t="s">
        <v>3645</v>
      </c>
      <c r="N395" s="1" t="s">
        <v>3646</v>
      </c>
      <c r="O395" s="1" t="s">
        <v>3647</v>
      </c>
      <c r="P395" s="1" t="s">
        <v>3648</v>
      </c>
      <c r="Q395" s="1" t="s">
        <v>3649</v>
      </c>
      <c r="R395" s="1" t="s">
        <v>3650</v>
      </c>
      <c r="S395" s="1" t="s">
        <v>3651</v>
      </c>
      <c r="T395" s="1" t="s">
        <v>3652</v>
      </c>
      <c r="U395">
        <v>3548.16</v>
      </c>
      <c r="V395">
        <v>3423.15</v>
      </c>
      <c r="W395">
        <v>12.482524</v>
      </c>
      <c r="X395">
        <v>107.764273</v>
      </c>
      <c r="Y395">
        <v>125.01</v>
      </c>
      <c r="Z395">
        <v>12.461428</v>
      </c>
      <c r="AA395">
        <v>107.74693600000001</v>
      </c>
      <c r="AB395" s="5">
        <f t="shared" si="37"/>
        <v>5.1347250000000004</v>
      </c>
      <c r="AC395" s="5">
        <f t="shared" si="38"/>
        <v>0.18751500000000002</v>
      </c>
      <c r="AD395" s="1" t="str">
        <f t="shared" si="39"/>
        <v>TTCMKV Krông Nô</v>
      </c>
      <c r="AE395" s="1" t="str">
        <f t="shared" si="40"/>
        <v>Đắk Sắk</v>
      </c>
      <c r="AG395">
        <f t="shared" si="41"/>
        <v>3.4231500000000001</v>
      </c>
      <c r="AH395">
        <f t="shared" si="42"/>
        <v>0.12501000000000001</v>
      </c>
      <c r="AI395">
        <f>VLOOKUP(L395,'[1]Tuyến cáp H04'!$B:$E,3,0)/1000</f>
        <v>30.18</v>
      </c>
      <c r="AJ395" t="str">
        <f>VLOOKUP(L395,'[1]Tuyến cáp H04'!$B:$E,4,0)</f>
        <v>Mạng cấp 4</v>
      </c>
    </row>
    <row r="396" spans="1:36" x14ac:dyDescent="0.25">
      <c r="A396" s="1" t="s">
        <v>3653</v>
      </c>
      <c r="B396" s="1" t="s">
        <v>3466</v>
      </c>
      <c r="C396" s="1" t="s">
        <v>3467</v>
      </c>
      <c r="D396" s="1" t="s">
        <v>3654</v>
      </c>
      <c r="E396" s="1" t="s">
        <v>3655</v>
      </c>
      <c r="F396" s="1" t="s">
        <v>3656</v>
      </c>
      <c r="G396" s="1" t="s">
        <v>14129</v>
      </c>
      <c r="H396" s="1" t="s">
        <v>14130</v>
      </c>
      <c r="I396" s="1" t="s">
        <v>14519</v>
      </c>
      <c r="J396" s="1" t="s">
        <v>23</v>
      </c>
      <c r="K396" s="1"/>
      <c r="L396" s="1" t="s">
        <v>3471</v>
      </c>
      <c r="M396" s="1" t="s">
        <v>3657</v>
      </c>
      <c r="N396" s="1" t="s">
        <v>3634</v>
      </c>
      <c r="O396" s="1" t="s">
        <v>3635</v>
      </c>
      <c r="P396" s="1" t="s">
        <v>3636</v>
      </c>
      <c r="Q396" s="1" t="s">
        <v>3658</v>
      </c>
      <c r="R396" s="1" t="s">
        <v>3659</v>
      </c>
      <c r="S396" s="1" t="s">
        <v>3660</v>
      </c>
      <c r="T396" s="1" t="s">
        <v>3521</v>
      </c>
      <c r="U396">
        <v>408.8</v>
      </c>
      <c r="V396">
        <v>174.6</v>
      </c>
      <c r="W396">
        <v>12.448781</v>
      </c>
      <c r="X396">
        <v>107.62094999999999</v>
      </c>
      <c r="Y396">
        <v>234.19</v>
      </c>
      <c r="Z396">
        <v>12.456039000000001</v>
      </c>
      <c r="AA396">
        <v>107.655632</v>
      </c>
      <c r="AB396" s="5">
        <f t="shared" si="37"/>
        <v>0.26189999999999997</v>
      </c>
      <c r="AC396" s="5">
        <f t="shared" si="38"/>
        <v>0.35128499999999996</v>
      </c>
      <c r="AD396" s="1" t="str">
        <f t="shared" si="39"/>
        <v xml:space="preserve">Công an xã Đức Lập (Trụ sở 2 CAH Đắk Mil cũ)
</v>
      </c>
      <c r="AE396" s="1" t="str">
        <f t="shared" si="40"/>
        <v>Công an xã Cư Jút (Trụ sở CAH Cư Jút cũ)</v>
      </c>
      <c r="AG396">
        <f t="shared" si="41"/>
        <v>0.17460000000000001</v>
      </c>
      <c r="AH396">
        <f t="shared" si="42"/>
        <v>0.23419000000000001</v>
      </c>
      <c r="AI396" t="e">
        <f>VLOOKUP(L396,'[1]Tuyến cáp H04'!$B:$E,3,0)/1000</f>
        <v>#N/A</v>
      </c>
      <c r="AJ396" t="e">
        <f>VLOOKUP(L396,'[1]Tuyến cáp H04'!$B:$E,4,0)</f>
        <v>#N/A</v>
      </c>
    </row>
    <row r="397" spans="1:36" x14ac:dyDescent="0.25">
      <c r="A397" s="1" t="s">
        <v>3661</v>
      </c>
      <c r="B397" s="1" t="s">
        <v>3538</v>
      </c>
      <c r="C397" s="1" t="s">
        <v>3539</v>
      </c>
      <c r="D397" s="1" t="s">
        <v>3662</v>
      </c>
      <c r="E397" s="1" t="s">
        <v>3663</v>
      </c>
      <c r="F397" s="1" t="s">
        <v>3664</v>
      </c>
      <c r="G397" s="1" t="s">
        <v>14129</v>
      </c>
      <c r="H397" s="1" t="s">
        <v>14130</v>
      </c>
      <c r="I397" s="1" t="s">
        <v>14520</v>
      </c>
      <c r="J397" s="1" t="s">
        <v>23</v>
      </c>
      <c r="K397" s="1"/>
      <c r="L397" s="1" t="s">
        <v>3541</v>
      </c>
      <c r="M397" s="1" t="s">
        <v>3665</v>
      </c>
      <c r="N397" s="1" t="s">
        <v>3603</v>
      </c>
      <c r="O397" s="1" t="s">
        <v>3604</v>
      </c>
      <c r="P397" s="1" t="s">
        <v>3605</v>
      </c>
      <c r="Q397" s="1" t="s">
        <v>3666</v>
      </c>
      <c r="R397" s="1" t="s">
        <v>3556</v>
      </c>
      <c r="S397" s="1" t="s">
        <v>3557</v>
      </c>
      <c r="T397" s="1" t="s">
        <v>3549</v>
      </c>
      <c r="U397">
        <v>14831.56</v>
      </c>
      <c r="V397">
        <v>14760.23</v>
      </c>
      <c r="W397">
        <v>12.276176</v>
      </c>
      <c r="X397">
        <v>107.60022499999999</v>
      </c>
      <c r="Y397">
        <v>71.33</v>
      </c>
      <c r="Z397">
        <v>12.355719000000001</v>
      </c>
      <c r="AA397">
        <v>107.568584</v>
      </c>
      <c r="AB397" s="5">
        <f t="shared" si="37"/>
        <v>22.140345</v>
      </c>
      <c r="AC397" s="5">
        <f t="shared" si="38"/>
        <v>0.10699500000000001</v>
      </c>
      <c r="AD397" s="1" t="str">
        <f t="shared" si="39"/>
        <v>Công an tỉnh Lâm Đồng</v>
      </c>
      <c r="AE397" s="1" t="str">
        <f t="shared" si="40"/>
        <v>TT2
- Công an xã Đức Lập (Trụ sở 2 CAH Đắk Mil cũ)</v>
      </c>
      <c r="AG397">
        <f t="shared" si="41"/>
        <v>14.76023</v>
      </c>
      <c r="AH397">
        <f t="shared" si="42"/>
        <v>7.1330000000000005E-2</v>
      </c>
      <c r="AI397" t="e">
        <f>VLOOKUP(L397,'[1]Tuyến cáp H04'!$B:$E,3,0)/1000</f>
        <v>#N/A</v>
      </c>
      <c r="AJ397" t="e">
        <f>VLOOKUP(L397,'[1]Tuyến cáp H04'!$B:$E,4,0)</f>
        <v>#N/A</v>
      </c>
    </row>
    <row r="398" spans="1:36" x14ac:dyDescent="0.25">
      <c r="A398" s="1" t="s">
        <v>3667</v>
      </c>
      <c r="B398" s="1" t="s">
        <v>3466</v>
      </c>
      <c r="C398" s="1" t="s">
        <v>3467</v>
      </c>
      <c r="D398" s="1" t="s">
        <v>3668</v>
      </c>
      <c r="E398" s="1" t="s">
        <v>3669</v>
      </c>
      <c r="F398" s="1" t="s">
        <v>3670</v>
      </c>
      <c r="G398" s="1" t="s">
        <v>14129</v>
      </c>
      <c r="H398" s="1" t="s">
        <v>14130</v>
      </c>
      <c r="I398" s="1" t="s">
        <v>14521</v>
      </c>
      <c r="J398" s="1" t="s">
        <v>23</v>
      </c>
      <c r="K398" s="1"/>
      <c r="L398" s="1" t="s">
        <v>3471</v>
      </c>
      <c r="M398" s="1" t="s">
        <v>3671</v>
      </c>
      <c r="N398" s="1" t="s">
        <v>3634</v>
      </c>
      <c r="O398" s="1" t="s">
        <v>3635</v>
      </c>
      <c r="P398" s="1" t="s">
        <v>3636</v>
      </c>
      <c r="Q398" s="1" t="s">
        <v>3672</v>
      </c>
      <c r="R398" s="1" t="s">
        <v>3673</v>
      </c>
      <c r="S398" s="1" t="s">
        <v>3674</v>
      </c>
      <c r="T398" s="1" t="s">
        <v>3521</v>
      </c>
      <c r="U398">
        <v>3547.73</v>
      </c>
      <c r="V398">
        <v>174.6</v>
      </c>
      <c r="W398">
        <v>12.448781</v>
      </c>
      <c r="X398">
        <v>107.62094999999999</v>
      </c>
      <c r="Y398">
        <v>3373.13</v>
      </c>
      <c r="Z398">
        <v>12.456170999999999</v>
      </c>
      <c r="AA398">
        <v>107.65601700000001</v>
      </c>
      <c r="AB398" s="5">
        <f t="shared" si="37"/>
        <v>0.26189999999999997</v>
      </c>
      <c r="AC398" s="5">
        <f t="shared" si="38"/>
        <v>5.0596949999999996</v>
      </c>
      <c r="AD398" s="1" t="str">
        <f t="shared" si="39"/>
        <v xml:space="preserve">Công an xã Đức Lập (Trụ sở 2 CAH Đắk Mil cũ)
</v>
      </c>
      <c r="AE398" s="1" t="str">
        <f t="shared" si="40"/>
        <v>Công an xã Cư Jút (Trụ sở CAH Cư Jút cũ)</v>
      </c>
      <c r="AG398">
        <f t="shared" si="41"/>
        <v>0.17460000000000001</v>
      </c>
      <c r="AH398">
        <f t="shared" si="42"/>
        <v>3.3731300000000002</v>
      </c>
      <c r="AI398" t="e">
        <f>VLOOKUP(L398,'[1]Tuyến cáp H04'!$B:$E,3,0)/1000</f>
        <v>#N/A</v>
      </c>
      <c r="AJ398" t="e">
        <f>VLOOKUP(L398,'[1]Tuyến cáp H04'!$B:$E,4,0)</f>
        <v>#N/A</v>
      </c>
    </row>
    <row r="399" spans="1:36" x14ac:dyDescent="0.25">
      <c r="A399" s="1" t="s">
        <v>3675</v>
      </c>
      <c r="B399" s="1" t="s">
        <v>3668</v>
      </c>
      <c r="C399" s="1" t="s">
        <v>3669</v>
      </c>
      <c r="D399" s="1" t="s">
        <v>3676</v>
      </c>
      <c r="E399" s="1" t="s">
        <v>3677</v>
      </c>
      <c r="F399" s="1" t="s">
        <v>3678</v>
      </c>
      <c r="G399" s="1" t="s">
        <v>14129</v>
      </c>
      <c r="H399" s="1" t="s">
        <v>14130</v>
      </c>
      <c r="I399" s="1" t="s">
        <v>14522</v>
      </c>
      <c r="J399" s="1" t="s">
        <v>23</v>
      </c>
      <c r="K399" s="1"/>
      <c r="L399" s="1" t="s">
        <v>3679</v>
      </c>
      <c r="M399" s="1" t="s">
        <v>3680</v>
      </c>
      <c r="N399" s="1" t="s">
        <v>3681</v>
      </c>
      <c r="O399" s="1" t="s">
        <v>3682</v>
      </c>
      <c r="P399" s="1" t="s">
        <v>3683</v>
      </c>
      <c r="Q399" s="1" t="s">
        <v>3684</v>
      </c>
      <c r="R399" s="1" t="s">
        <v>3685</v>
      </c>
      <c r="S399" s="1" t="s">
        <v>3686</v>
      </c>
      <c r="T399" s="1" t="s">
        <v>3687</v>
      </c>
      <c r="U399">
        <v>410.29</v>
      </c>
      <c r="V399">
        <v>393.59</v>
      </c>
      <c r="W399">
        <v>12.431642999999999</v>
      </c>
      <c r="X399">
        <v>107.667064</v>
      </c>
      <c r="Y399">
        <v>16.7</v>
      </c>
      <c r="Z399">
        <v>12.401227</v>
      </c>
      <c r="AA399">
        <v>107.645455</v>
      </c>
      <c r="AB399" s="5">
        <f t="shared" si="37"/>
        <v>0.59038499999999994</v>
      </c>
      <c r="AC399" s="5">
        <f t="shared" si="38"/>
        <v>2.5049999999999996E-2</v>
      </c>
      <c r="AD399" s="1" t="str">
        <f t="shared" si="39"/>
        <v>Đắk Sắk</v>
      </c>
      <c r="AE399" s="1" t="str">
        <f t="shared" si="40"/>
        <v>Đắk Song</v>
      </c>
      <c r="AG399">
        <f t="shared" si="41"/>
        <v>0.39359</v>
      </c>
      <c r="AH399">
        <f t="shared" si="42"/>
        <v>1.67E-2</v>
      </c>
      <c r="AI399">
        <f>VLOOKUP(L399,'[1]Tuyến cáp H04'!$B:$E,3,0)/1000</f>
        <v>5.859</v>
      </c>
      <c r="AJ399" t="str">
        <f>VLOOKUP(L399,'[1]Tuyến cáp H04'!$B:$E,4,0)</f>
        <v>Mạng cấp 4</v>
      </c>
    </row>
    <row r="400" spans="1:36" x14ac:dyDescent="0.25">
      <c r="A400" s="1" t="s">
        <v>3688</v>
      </c>
      <c r="B400" s="1" t="s">
        <v>3676</v>
      </c>
      <c r="C400" s="1" t="s">
        <v>3677</v>
      </c>
      <c r="D400" s="1" t="s">
        <v>3689</v>
      </c>
      <c r="E400" s="1" t="s">
        <v>3690</v>
      </c>
      <c r="F400" s="1" t="s">
        <v>3691</v>
      </c>
      <c r="G400" s="1" t="s">
        <v>14129</v>
      </c>
      <c r="H400" s="1" t="s">
        <v>14130</v>
      </c>
      <c r="I400" s="1" t="s">
        <v>14523</v>
      </c>
      <c r="J400" s="1" t="s">
        <v>23</v>
      </c>
      <c r="K400" s="1"/>
      <c r="L400" s="1" t="s">
        <v>3692</v>
      </c>
      <c r="M400" s="1" t="s">
        <v>3693</v>
      </c>
      <c r="N400" s="1" t="s">
        <v>3694</v>
      </c>
      <c r="O400" s="1" t="s">
        <v>3695</v>
      </c>
      <c r="P400" s="1" t="s">
        <v>3696</v>
      </c>
      <c r="Q400" s="1" t="s">
        <v>3697</v>
      </c>
      <c r="R400" s="1" t="s">
        <v>3695</v>
      </c>
      <c r="S400" s="1" t="s">
        <v>3696</v>
      </c>
      <c r="T400" s="1" t="s">
        <v>3698</v>
      </c>
      <c r="U400">
        <v>4851.03</v>
      </c>
      <c r="V400">
        <v>7.94</v>
      </c>
      <c r="W400">
        <v>12.401149999999999</v>
      </c>
      <c r="X400">
        <v>107.645475</v>
      </c>
      <c r="Y400">
        <v>4843.09</v>
      </c>
      <c r="Z400">
        <v>12.401149999999999</v>
      </c>
      <c r="AA400">
        <v>107.645475</v>
      </c>
      <c r="AB400" s="5">
        <f t="shared" si="37"/>
        <v>1.191E-2</v>
      </c>
      <c r="AC400" s="5">
        <f t="shared" si="38"/>
        <v>7.2646350000000002</v>
      </c>
      <c r="AD400" s="1" t="str">
        <f t="shared" si="39"/>
        <v>Công an xã Đắk Song</v>
      </c>
      <c r="AE400" s="1" t="str">
        <f t="shared" si="40"/>
        <v>Công an xã Thuận An</v>
      </c>
      <c r="AG400">
        <f t="shared" si="41"/>
        <v>7.9400000000000009E-3</v>
      </c>
      <c r="AH400">
        <f t="shared" si="42"/>
        <v>4.8430900000000001</v>
      </c>
      <c r="AI400" t="e">
        <f>VLOOKUP(L400,'[1]Tuyến cáp H04'!$B:$E,3,0)/1000</f>
        <v>#N/A</v>
      </c>
      <c r="AJ400" t="e">
        <f>VLOOKUP(L400,'[1]Tuyến cáp H04'!$B:$E,4,0)</f>
        <v>#N/A</v>
      </c>
    </row>
    <row r="401" spans="1:36" x14ac:dyDescent="0.25">
      <c r="A401" s="1" t="s">
        <v>3699</v>
      </c>
      <c r="B401" s="1" t="s">
        <v>3538</v>
      </c>
      <c r="C401" s="1" t="s">
        <v>3539</v>
      </c>
      <c r="D401" s="1" t="s">
        <v>3700</v>
      </c>
      <c r="E401" s="1" t="s">
        <v>3701</v>
      </c>
      <c r="F401" s="1" t="s">
        <v>3702</v>
      </c>
      <c r="G401" s="1" t="s">
        <v>14129</v>
      </c>
      <c r="H401" s="1" t="s">
        <v>14130</v>
      </c>
      <c r="I401" s="1" t="s">
        <v>14524</v>
      </c>
      <c r="J401" s="1" t="s">
        <v>23</v>
      </c>
      <c r="K401" s="1"/>
      <c r="L401" s="1" t="s">
        <v>3589</v>
      </c>
      <c r="M401" s="1" t="s">
        <v>3703</v>
      </c>
      <c r="N401" s="1" t="s">
        <v>3591</v>
      </c>
      <c r="O401" s="1" t="s">
        <v>3592</v>
      </c>
      <c r="P401" s="1" t="s">
        <v>3593</v>
      </c>
      <c r="Q401" s="1" t="s">
        <v>3704</v>
      </c>
      <c r="R401" s="1" t="s">
        <v>3705</v>
      </c>
      <c r="S401" s="1" t="s">
        <v>3706</v>
      </c>
      <c r="T401" s="1" t="s">
        <v>3597</v>
      </c>
      <c r="U401">
        <v>5133.63</v>
      </c>
      <c r="V401">
        <v>3942.84</v>
      </c>
      <c r="W401">
        <v>12.250895999999999</v>
      </c>
      <c r="X401">
        <v>107.493579</v>
      </c>
      <c r="Y401">
        <v>1190.78</v>
      </c>
      <c r="Z401">
        <v>12.256793999999999</v>
      </c>
      <c r="AA401">
        <v>107.38615900000001</v>
      </c>
      <c r="AB401" s="5">
        <f t="shared" si="37"/>
        <v>5.9142600000000005</v>
      </c>
      <c r="AC401" s="5">
        <f t="shared" si="38"/>
        <v>1.78617</v>
      </c>
      <c r="AD401" s="1" t="str">
        <f t="shared" si="39"/>
        <v>Thuận Hạnh</v>
      </c>
      <c r="AE401" s="1" t="str">
        <f t="shared" si="40"/>
        <v>Quảng Trực</v>
      </c>
      <c r="AG401">
        <f t="shared" si="41"/>
        <v>3.9428400000000003</v>
      </c>
      <c r="AH401">
        <f t="shared" si="42"/>
        <v>1.1907799999999999</v>
      </c>
      <c r="AI401">
        <f>VLOOKUP(L401,'[1]Tuyến cáp H04'!$B:$E,3,0)/1000</f>
        <v>23.52</v>
      </c>
      <c r="AJ401" t="str">
        <f>VLOOKUP(L401,'[1]Tuyến cáp H04'!$B:$E,4,0)</f>
        <v>Mạng cấp 4</v>
      </c>
    </row>
    <row r="402" spans="1:36" x14ac:dyDescent="0.25">
      <c r="A402" s="1" t="s">
        <v>3707</v>
      </c>
      <c r="B402" s="1" t="s">
        <v>3700</v>
      </c>
      <c r="C402" s="1" t="s">
        <v>3701</v>
      </c>
      <c r="D402" s="1" t="s">
        <v>3708</v>
      </c>
      <c r="E402" s="1" t="s">
        <v>3709</v>
      </c>
      <c r="F402" s="1" t="s">
        <v>3710</v>
      </c>
      <c r="G402" s="1" t="s">
        <v>14129</v>
      </c>
      <c r="H402" s="1" t="s">
        <v>14130</v>
      </c>
      <c r="I402" s="1" t="s">
        <v>14525</v>
      </c>
      <c r="J402" s="1" t="s">
        <v>23</v>
      </c>
      <c r="K402" s="1"/>
      <c r="L402" s="1" t="s">
        <v>3589</v>
      </c>
      <c r="M402" s="1" t="s">
        <v>3711</v>
      </c>
      <c r="N402" s="1" t="s">
        <v>3704</v>
      </c>
      <c r="O402" s="1" t="s">
        <v>3705</v>
      </c>
      <c r="P402" s="1" t="s">
        <v>3706</v>
      </c>
      <c r="Q402" s="1" t="s">
        <v>3712</v>
      </c>
      <c r="R402" s="1" t="s">
        <v>3713</v>
      </c>
      <c r="S402" s="1" t="s">
        <v>3714</v>
      </c>
      <c r="T402" s="1" t="s">
        <v>3597</v>
      </c>
      <c r="U402">
        <v>1310.47</v>
      </c>
      <c r="V402">
        <v>1190.78</v>
      </c>
      <c r="W402">
        <v>12.256793999999999</v>
      </c>
      <c r="X402">
        <v>107.38615900000001</v>
      </c>
      <c r="Y402">
        <v>119.69</v>
      </c>
      <c r="Z402">
        <v>12.246599</v>
      </c>
      <c r="AA402">
        <v>107.437123</v>
      </c>
      <c r="AB402" s="5">
        <f t="shared" si="37"/>
        <v>1.78617</v>
      </c>
      <c r="AC402" s="5">
        <f t="shared" si="38"/>
        <v>0.179535</v>
      </c>
      <c r="AD402" s="1" t="str">
        <f t="shared" si="39"/>
        <v>Thuận Hạnh</v>
      </c>
      <c r="AE402" s="1" t="str">
        <f t="shared" si="40"/>
        <v>Quảng Trực</v>
      </c>
      <c r="AG402">
        <f t="shared" si="41"/>
        <v>1.1907799999999999</v>
      </c>
      <c r="AH402">
        <f t="shared" si="42"/>
        <v>0.11968999999999999</v>
      </c>
      <c r="AI402">
        <f>VLOOKUP(L402,'[1]Tuyến cáp H04'!$B:$E,3,0)/1000</f>
        <v>23.52</v>
      </c>
      <c r="AJ402" t="str">
        <f>VLOOKUP(L402,'[1]Tuyến cáp H04'!$B:$E,4,0)</f>
        <v>Mạng cấp 4</v>
      </c>
    </row>
    <row r="403" spans="1:36" x14ac:dyDescent="0.25">
      <c r="A403" s="1" t="s">
        <v>3715</v>
      </c>
      <c r="B403" s="1" t="s">
        <v>3716</v>
      </c>
      <c r="C403" s="1" t="s">
        <v>3717</v>
      </c>
      <c r="D403" s="1" t="s">
        <v>3551</v>
      </c>
      <c r="E403" s="1" t="s">
        <v>3552</v>
      </c>
      <c r="F403" s="1" t="s">
        <v>3718</v>
      </c>
      <c r="G403" s="1" t="s">
        <v>14129</v>
      </c>
      <c r="H403" s="1" t="s">
        <v>14130</v>
      </c>
      <c r="I403" s="1" t="s">
        <v>14526</v>
      </c>
      <c r="J403" s="1" t="s">
        <v>23</v>
      </c>
      <c r="K403" s="1"/>
      <c r="L403" s="1" t="s">
        <v>3456</v>
      </c>
      <c r="M403" s="1" t="s">
        <v>3719</v>
      </c>
      <c r="N403" s="1" t="s">
        <v>3720</v>
      </c>
      <c r="O403" s="1" t="s">
        <v>3721</v>
      </c>
      <c r="P403" s="1" t="s">
        <v>3722</v>
      </c>
      <c r="Q403" s="1" t="s">
        <v>3723</v>
      </c>
      <c r="R403" s="1" t="s">
        <v>3724</v>
      </c>
      <c r="S403" s="1" t="s">
        <v>3725</v>
      </c>
      <c r="T403" s="1" t="s">
        <v>3464</v>
      </c>
      <c r="U403">
        <v>3398.18</v>
      </c>
      <c r="V403">
        <v>101.63</v>
      </c>
      <c r="W403">
        <v>12.254339</v>
      </c>
      <c r="X403">
        <v>107.609391</v>
      </c>
      <c r="Y403">
        <v>3296.55</v>
      </c>
      <c r="Z403">
        <v>12.232143000000001</v>
      </c>
      <c r="AA403">
        <v>107.63055900000001</v>
      </c>
      <c r="AB403" s="5">
        <f t="shared" si="37"/>
        <v>0.152445</v>
      </c>
      <c r="AC403" s="5">
        <f t="shared" si="38"/>
        <v>4.9448250000000007</v>
      </c>
      <c r="AD403" s="1" t="str">
        <f t="shared" si="39"/>
        <v>Công an tỉnh Lâm Đồng</v>
      </c>
      <c r="AE403" s="1" t="str">
        <f t="shared" si="40"/>
        <v>TT2 - Công an xã Đức An (Trụ sở CAH Đắk Song cũ)</v>
      </c>
      <c r="AG403">
        <f t="shared" si="41"/>
        <v>0.10163</v>
      </c>
      <c r="AH403">
        <f t="shared" si="42"/>
        <v>3.2965500000000003</v>
      </c>
      <c r="AI403" t="e">
        <f>VLOOKUP(L403,'[1]Tuyến cáp H04'!$B:$E,3,0)/1000</f>
        <v>#N/A</v>
      </c>
      <c r="AJ403" t="e">
        <f>VLOOKUP(L403,'[1]Tuyến cáp H04'!$B:$E,4,0)</f>
        <v>#N/A</v>
      </c>
    </row>
    <row r="404" spans="1:36" x14ac:dyDescent="0.25">
      <c r="A404" s="1" t="s">
        <v>3726</v>
      </c>
      <c r="B404" s="1" t="s">
        <v>3562</v>
      </c>
      <c r="C404" s="1" t="s">
        <v>3563</v>
      </c>
      <c r="D404" s="1" t="s">
        <v>3727</v>
      </c>
      <c r="E404" s="1" t="s">
        <v>3728</v>
      </c>
      <c r="F404" s="1" t="s">
        <v>3729</v>
      </c>
      <c r="G404" s="1" t="s">
        <v>14129</v>
      </c>
      <c r="H404" s="1" t="s">
        <v>14130</v>
      </c>
      <c r="I404" s="1" t="s">
        <v>14527</v>
      </c>
      <c r="J404" s="1" t="s">
        <v>23</v>
      </c>
      <c r="K404" s="1"/>
      <c r="L404" s="1" t="s">
        <v>3730</v>
      </c>
      <c r="M404" s="1" t="s">
        <v>3731</v>
      </c>
      <c r="N404" s="1" t="s">
        <v>3732</v>
      </c>
      <c r="O404" s="1" t="s">
        <v>3733</v>
      </c>
      <c r="P404" s="1" t="s">
        <v>3734</v>
      </c>
      <c r="Q404" s="1" t="s">
        <v>3735</v>
      </c>
      <c r="R404" s="1" t="s">
        <v>3736</v>
      </c>
      <c r="S404" s="1" t="s">
        <v>3737</v>
      </c>
      <c r="T404" s="1" t="s">
        <v>3738</v>
      </c>
      <c r="U404">
        <v>518.67999999999995</v>
      </c>
      <c r="V404">
        <v>232.64</v>
      </c>
      <c r="W404">
        <v>12.006525</v>
      </c>
      <c r="X404">
        <v>107.510881</v>
      </c>
      <c r="Y404">
        <v>286.02999999999997</v>
      </c>
      <c r="Z404">
        <v>12.014405</v>
      </c>
      <c r="AA404">
        <v>107.492576</v>
      </c>
      <c r="AB404" s="5">
        <f t="shared" si="37"/>
        <v>0.34895999999999999</v>
      </c>
      <c r="AC404" s="5">
        <f t="shared" si="38"/>
        <v>0.42904499999999995</v>
      </c>
      <c r="AD404" s="1" t="str">
        <f t="shared" si="39"/>
        <v>Đường Quảng Tân</v>
      </c>
      <c r="AE404" s="1" t="str">
        <f t="shared" si="40"/>
        <v>TTCMKV Đắk R'Lấp</v>
      </c>
      <c r="AG404">
        <f t="shared" si="41"/>
        <v>0.23263999999999999</v>
      </c>
      <c r="AH404">
        <f t="shared" si="42"/>
        <v>0.28602999999999995</v>
      </c>
      <c r="AI404" t="e">
        <f>VLOOKUP(L404,'[1]Tuyến cáp H04'!$B:$E,3,0)/1000</f>
        <v>#N/A</v>
      </c>
      <c r="AJ404" t="e">
        <f>VLOOKUP(L404,'[1]Tuyến cáp H04'!$B:$E,4,0)</f>
        <v>#N/A</v>
      </c>
    </row>
    <row r="405" spans="1:36" x14ac:dyDescent="0.25">
      <c r="A405" s="1" t="s">
        <v>3739</v>
      </c>
      <c r="B405" s="1" t="s">
        <v>3740</v>
      </c>
      <c r="C405" s="1" t="s">
        <v>3741</v>
      </c>
      <c r="D405" s="1" t="s">
        <v>3494</v>
      </c>
      <c r="E405" s="1" t="s">
        <v>3495</v>
      </c>
      <c r="F405" s="1" t="s">
        <v>3742</v>
      </c>
      <c r="G405" s="1" t="s">
        <v>14129</v>
      </c>
      <c r="H405" s="1" t="s">
        <v>14130</v>
      </c>
      <c r="I405" s="1" t="s">
        <v>14528</v>
      </c>
      <c r="J405" s="1" t="s">
        <v>23</v>
      </c>
      <c r="K405" s="1"/>
      <c r="L405" s="1" t="s">
        <v>3565</v>
      </c>
      <c r="M405" s="1" t="s">
        <v>3743</v>
      </c>
      <c r="N405" s="1" t="s">
        <v>3744</v>
      </c>
      <c r="O405" s="1" t="s">
        <v>3745</v>
      </c>
      <c r="P405" s="1" t="s">
        <v>3746</v>
      </c>
      <c r="Q405" s="1" t="s">
        <v>3747</v>
      </c>
      <c r="R405" s="1" t="s">
        <v>3748</v>
      </c>
      <c r="S405" s="1" t="s">
        <v>3749</v>
      </c>
      <c r="T405" s="1" t="s">
        <v>3573</v>
      </c>
      <c r="U405">
        <v>216.37</v>
      </c>
      <c r="V405">
        <v>148.81</v>
      </c>
      <c r="W405">
        <v>12.043371</v>
      </c>
      <c r="X405">
        <v>107.489839</v>
      </c>
      <c r="Y405">
        <v>67.56</v>
      </c>
      <c r="Z405">
        <v>12.09477</v>
      </c>
      <c r="AA405">
        <v>107.48153499999999</v>
      </c>
      <c r="AB405" s="5">
        <f t="shared" si="37"/>
        <v>0.223215</v>
      </c>
      <c r="AC405" s="5">
        <f t="shared" si="38"/>
        <v>0.10134</v>
      </c>
      <c r="AD405" s="1" t="str">
        <f t="shared" si="39"/>
        <v>Công an xã Tuy Đức (Trụ sở CAH Tuy Đức cũ)</v>
      </c>
      <c r="AE405" s="1" t="str">
        <f t="shared" si="40"/>
        <v>Công an xã Kiến Đức (Trụ sở CAH Đắk R'Lấp cũ)</v>
      </c>
      <c r="AG405">
        <f t="shared" si="41"/>
        <v>0.14881</v>
      </c>
      <c r="AH405">
        <f t="shared" si="42"/>
        <v>6.7560000000000009E-2</v>
      </c>
      <c r="AI405" t="e">
        <f>VLOOKUP(L405,'[1]Tuyến cáp H04'!$B:$E,3,0)/1000</f>
        <v>#N/A</v>
      </c>
      <c r="AJ405" t="e">
        <f>VLOOKUP(L405,'[1]Tuyến cáp H04'!$B:$E,4,0)</f>
        <v>#N/A</v>
      </c>
    </row>
    <row r="406" spans="1:36" x14ac:dyDescent="0.25">
      <c r="A406" s="1" t="s">
        <v>3750</v>
      </c>
      <c r="B406" s="1" t="s">
        <v>3494</v>
      </c>
      <c r="C406" s="1" t="s">
        <v>3495</v>
      </c>
      <c r="D406" s="1" t="s">
        <v>3751</v>
      </c>
      <c r="E406" s="1" t="s">
        <v>3752</v>
      </c>
      <c r="F406" s="1" t="s">
        <v>3753</v>
      </c>
      <c r="G406" s="1" t="s">
        <v>14129</v>
      </c>
      <c r="H406" s="1" t="s">
        <v>14130</v>
      </c>
      <c r="I406" s="1" t="s">
        <v>14529</v>
      </c>
      <c r="J406" s="1" t="s">
        <v>23</v>
      </c>
      <c r="K406" s="1"/>
      <c r="L406" s="1" t="s">
        <v>3565</v>
      </c>
      <c r="M406" s="1" t="s">
        <v>3754</v>
      </c>
      <c r="N406" s="1" t="s">
        <v>3747</v>
      </c>
      <c r="O406" s="1" t="s">
        <v>3748</v>
      </c>
      <c r="P406" s="1" t="s">
        <v>3749</v>
      </c>
      <c r="Q406" s="1" t="s">
        <v>3755</v>
      </c>
      <c r="R406" s="1" t="s">
        <v>3756</v>
      </c>
      <c r="S406" s="1" t="s">
        <v>3757</v>
      </c>
      <c r="T406" s="1" t="s">
        <v>3573</v>
      </c>
      <c r="U406">
        <v>142.4</v>
      </c>
      <c r="V406">
        <v>67.56</v>
      </c>
      <c r="W406">
        <v>12.09477</v>
      </c>
      <c r="X406">
        <v>107.48153499999999</v>
      </c>
      <c r="Y406">
        <v>74.84</v>
      </c>
      <c r="Z406">
        <v>12.184903</v>
      </c>
      <c r="AA406">
        <v>107.450288</v>
      </c>
      <c r="AB406" s="5">
        <f t="shared" si="37"/>
        <v>0.10134</v>
      </c>
      <c r="AC406" s="5">
        <f t="shared" si="38"/>
        <v>0.11226</v>
      </c>
      <c r="AD406" s="1" t="str">
        <f t="shared" si="39"/>
        <v>Công an xã Tuy Đức (Trụ sở CAH Tuy Đức cũ)</v>
      </c>
      <c r="AE406" s="1" t="str">
        <f t="shared" si="40"/>
        <v>Công an xã Kiến Đức (Trụ sở CAH Đắk R'Lấp cũ)</v>
      </c>
      <c r="AG406">
        <f t="shared" si="41"/>
        <v>6.7560000000000009E-2</v>
      </c>
      <c r="AH406">
        <f t="shared" si="42"/>
        <v>7.4840000000000004E-2</v>
      </c>
      <c r="AI406" t="e">
        <f>VLOOKUP(L406,'[1]Tuyến cáp H04'!$B:$E,3,0)/1000</f>
        <v>#N/A</v>
      </c>
      <c r="AJ406" t="e">
        <f>VLOOKUP(L406,'[1]Tuyến cáp H04'!$B:$E,4,0)</f>
        <v>#N/A</v>
      </c>
    </row>
    <row r="407" spans="1:36" x14ac:dyDescent="0.25">
      <c r="A407" s="1" t="s">
        <v>3758</v>
      </c>
      <c r="B407" s="1" t="s">
        <v>3538</v>
      </c>
      <c r="C407" s="1" t="s">
        <v>3539</v>
      </c>
      <c r="D407" s="1" t="s">
        <v>3759</v>
      </c>
      <c r="E407" s="1" t="s">
        <v>3760</v>
      </c>
      <c r="F407" s="1" t="s">
        <v>3761</v>
      </c>
      <c r="G407" s="1" t="s">
        <v>14129</v>
      </c>
      <c r="H407" s="1" t="s">
        <v>14130</v>
      </c>
      <c r="I407" s="1" t="s">
        <v>14530</v>
      </c>
      <c r="J407" s="1" t="s">
        <v>23</v>
      </c>
      <c r="K407" s="1"/>
      <c r="L407" s="1" t="s">
        <v>3576</v>
      </c>
      <c r="M407" s="1" t="s">
        <v>3762</v>
      </c>
      <c r="N407" s="1" t="s">
        <v>3763</v>
      </c>
      <c r="O407" s="1" t="s">
        <v>3764</v>
      </c>
      <c r="P407" s="1" t="s">
        <v>3765</v>
      </c>
      <c r="Q407" s="1" t="s">
        <v>3766</v>
      </c>
      <c r="R407" s="1" t="s">
        <v>3767</v>
      </c>
      <c r="S407" s="1" t="s">
        <v>3768</v>
      </c>
      <c r="T407" s="1" t="s">
        <v>3769</v>
      </c>
      <c r="U407">
        <v>803.51</v>
      </c>
      <c r="V407">
        <v>4.46</v>
      </c>
      <c r="W407">
        <v>12.219080999999999</v>
      </c>
      <c r="X407">
        <v>107.477643</v>
      </c>
      <c r="Y407">
        <v>799.06</v>
      </c>
      <c r="Z407">
        <v>12.209053000000001</v>
      </c>
      <c r="AA407">
        <v>107.484025</v>
      </c>
      <c r="AB407" s="5">
        <f t="shared" si="37"/>
        <v>6.6899999999999998E-3</v>
      </c>
      <c r="AC407" s="5">
        <f t="shared" si="38"/>
        <v>1.1985899999999998</v>
      </c>
      <c r="AD407" s="1" t="str">
        <f t="shared" si="39"/>
        <v>Công an xã Đức An (Trụ sở CAH Đắk Song cũ)</v>
      </c>
      <c r="AE407" s="1" t="str">
        <f t="shared" si="40"/>
        <v>Công an xã Tuy Đức (Trụ sở CAH Tuy Đức cũ)</v>
      </c>
      <c r="AG407">
        <f t="shared" si="41"/>
        <v>4.4599999999999996E-3</v>
      </c>
      <c r="AH407">
        <f t="shared" si="42"/>
        <v>0.79905999999999999</v>
      </c>
      <c r="AI407" t="e">
        <f>VLOOKUP(L407,'[1]Tuyến cáp H04'!$B:$E,3,0)/1000</f>
        <v>#N/A</v>
      </c>
      <c r="AJ407" t="e">
        <f>VLOOKUP(L407,'[1]Tuyến cáp H04'!$B:$E,4,0)</f>
        <v>#N/A</v>
      </c>
    </row>
    <row r="408" spans="1:36" x14ac:dyDescent="0.25">
      <c r="A408" s="1" t="s">
        <v>3770</v>
      </c>
      <c r="B408" s="1" t="s">
        <v>3451</v>
      </c>
      <c r="C408" s="1" t="s">
        <v>3452</v>
      </c>
      <c r="D408" s="1" t="s">
        <v>3771</v>
      </c>
      <c r="E408" s="1" t="s">
        <v>3772</v>
      </c>
      <c r="F408" s="1" t="s">
        <v>3773</v>
      </c>
      <c r="G408" s="1" t="s">
        <v>14129</v>
      </c>
      <c r="H408" s="1" t="s">
        <v>14130</v>
      </c>
      <c r="I408" s="1" t="s">
        <v>14531</v>
      </c>
      <c r="J408" s="1" t="s">
        <v>23</v>
      </c>
      <c r="K408" s="1"/>
      <c r="L408" s="1" t="s">
        <v>3774</v>
      </c>
      <c r="M408" s="1" t="s">
        <v>3775</v>
      </c>
      <c r="N408" s="1" t="s">
        <v>3776</v>
      </c>
      <c r="O408" s="1" t="s">
        <v>3777</v>
      </c>
      <c r="P408" s="1" t="s">
        <v>3778</v>
      </c>
      <c r="Q408" s="1" t="s">
        <v>3779</v>
      </c>
      <c r="R408" s="1" t="s">
        <v>3780</v>
      </c>
      <c r="S408" s="1" t="s">
        <v>3781</v>
      </c>
      <c r="T408" s="1" t="s">
        <v>3782</v>
      </c>
      <c r="U408">
        <v>433.52</v>
      </c>
      <c r="V408">
        <v>373.54</v>
      </c>
      <c r="W408">
        <v>12.09986</v>
      </c>
      <c r="X408">
        <v>107.656604</v>
      </c>
      <c r="Y408">
        <v>59.97</v>
      </c>
      <c r="Z408">
        <v>12.054190999999999</v>
      </c>
      <c r="AA408">
        <v>107.680781</v>
      </c>
      <c r="AB408" s="5">
        <f t="shared" si="37"/>
        <v>0.56031000000000009</v>
      </c>
      <c r="AC408" s="5">
        <f t="shared" si="38"/>
        <v>8.9954999999999993E-2</v>
      </c>
      <c r="AD408" s="1" t="str">
        <f t="shared" si="39"/>
        <v>Trường Xuân</v>
      </c>
      <c r="AE408" s="1" t="str">
        <f t="shared" si="40"/>
        <v>TT2 LÂM ĐỒNG (GIA NGHĨA)</v>
      </c>
      <c r="AG408">
        <f t="shared" si="41"/>
        <v>0.37354000000000004</v>
      </c>
      <c r="AH408">
        <f t="shared" si="42"/>
        <v>5.9969999999999996E-2</v>
      </c>
      <c r="AI408">
        <f>VLOOKUP(L408,'[1]Tuyến cáp H04'!$B:$E,3,0)/1000</f>
        <v>23.617999999999999</v>
      </c>
      <c r="AJ408" t="str">
        <f>VLOOKUP(L408,'[1]Tuyến cáp H04'!$B:$E,4,0)</f>
        <v>Mạng cấp 4</v>
      </c>
    </row>
    <row r="409" spans="1:36" x14ac:dyDescent="0.25">
      <c r="A409" s="1" t="s">
        <v>3783</v>
      </c>
      <c r="B409" s="1" t="s">
        <v>3784</v>
      </c>
      <c r="C409" s="1" t="s">
        <v>3785</v>
      </c>
      <c r="D409" s="1" t="s">
        <v>3786</v>
      </c>
      <c r="E409" s="1" t="s">
        <v>3787</v>
      </c>
      <c r="F409" s="1" t="s">
        <v>3788</v>
      </c>
      <c r="G409" s="1" t="s">
        <v>14129</v>
      </c>
      <c r="H409" s="1" t="s">
        <v>14532</v>
      </c>
      <c r="I409" s="1" t="s">
        <v>14533</v>
      </c>
      <c r="J409" s="1" t="s">
        <v>23</v>
      </c>
      <c r="K409" s="1"/>
      <c r="L409" s="1" t="s">
        <v>3789</v>
      </c>
      <c r="M409" s="1" t="s">
        <v>3790</v>
      </c>
      <c r="N409" s="1" t="s">
        <v>3791</v>
      </c>
      <c r="O409" s="1" t="s">
        <v>3792</v>
      </c>
      <c r="P409" s="1" t="s">
        <v>3793</v>
      </c>
      <c r="Q409" s="1" t="s">
        <v>3794</v>
      </c>
      <c r="R409" s="1" t="s">
        <v>3795</v>
      </c>
      <c r="S409" s="1" t="s">
        <v>3796</v>
      </c>
      <c r="T409" s="1" t="s">
        <v>3797</v>
      </c>
      <c r="U409">
        <v>1189.99</v>
      </c>
      <c r="V409">
        <v>4.0599999999999996</v>
      </c>
      <c r="W409">
        <v>12.008977</v>
      </c>
      <c r="X409">
        <v>107.694585</v>
      </c>
      <c r="Y409">
        <v>1185.92</v>
      </c>
      <c r="Z409">
        <v>12.008922</v>
      </c>
      <c r="AA409">
        <v>107.6952</v>
      </c>
      <c r="AB409" s="5">
        <f t="shared" si="37"/>
        <v>6.0899999999999999E-3</v>
      </c>
      <c r="AC409" s="5">
        <f t="shared" si="38"/>
        <v>1.77888</v>
      </c>
      <c r="AD409" s="1" t="str">
        <f t="shared" si="39"/>
        <v>Công an phường Bắc Gia Nghĩa</v>
      </c>
      <c r="AE409" s="1" t="str">
        <f t="shared" si="40"/>
        <v>Công an phường Đông Gia Nghĩa</v>
      </c>
      <c r="AG409">
        <f t="shared" si="41"/>
        <v>4.0599999999999994E-3</v>
      </c>
      <c r="AH409">
        <f t="shared" si="42"/>
        <v>1.1859200000000001</v>
      </c>
      <c r="AI409" t="e">
        <f>VLOOKUP(L409,'[1]Tuyến cáp H04'!$B:$E,3,0)/1000</f>
        <v>#N/A</v>
      </c>
      <c r="AJ409" t="e">
        <f>VLOOKUP(L409,'[1]Tuyến cáp H04'!$B:$E,4,0)</f>
        <v>#N/A</v>
      </c>
    </row>
    <row r="410" spans="1:36" x14ac:dyDescent="0.25">
      <c r="A410" s="1" t="s">
        <v>3798</v>
      </c>
      <c r="B410" s="1" t="s">
        <v>3799</v>
      </c>
      <c r="C410" s="1" t="s">
        <v>3800</v>
      </c>
      <c r="D410" s="1" t="s">
        <v>3801</v>
      </c>
      <c r="E410" s="1" t="s">
        <v>3802</v>
      </c>
      <c r="F410" s="1" t="s">
        <v>3803</v>
      </c>
      <c r="G410" s="1" t="s">
        <v>14129</v>
      </c>
      <c r="H410" s="1" t="s">
        <v>14532</v>
      </c>
      <c r="I410" s="1" t="s">
        <v>14534</v>
      </c>
      <c r="J410" s="1" t="s">
        <v>23</v>
      </c>
      <c r="K410" s="1"/>
      <c r="L410" s="1" t="s">
        <v>3528</v>
      </c>
      <c r="M410" s="1" t="s">
        <v>3446</v>
      </c>
      <c r="N410" s="1" t="s">
        <v>3804</v>
      </c>
      <c r="O410" s="1" t="s">
        <v>3805</v>
      </c>
      <c r="P410" s="1" t="s">
        <v>3806</v>
      </c>
      <c r="Q410" s="1" t="s">
        <v>3807</v>
      </c>
      <c r="R410" s="1" t="s">
        <v>3808</v>
      </c>
      <c r="S410" s="1" t="s">
        <v>3809</v>
      </c>
      <c r="T410" s="1" t="s">
        <v>3810</v>
      </c>
      <c r="U410">
        <v>32.49</v>
      </c>
      <c r="V410">
        <v>1.35</v>
      </c>
      <c r="W410">
        <v>12.023592000000001</v>
      </c>
      <c r="X410">
        <v>107.685997</v>
      </c>
      <c r="Y410">
        <v>31.13</v>
      </c>
      <c r="Z410">
        <v>12.007395000000001</v>
      </c>
      <c r="AA410">
        <v>107.685744</v>
      </c>
      <c r="AB410" s="5">
        <f t="shared" si="37"/>
        <v>2.0250000000000003E-3</v>
      </c>
      <c r="AC410" s="5">
        <f t="shared" si="38"/>
        <v>4.6695E-2</v>
      </c>
      <c r="AD410" s="1" t="str">
        <f t="shared" si="39"/>
        <v>Công an tỉnh Lâm Đồng</v>
      </c>
      <c r="AE410" s="1" t="str">
        <f t="shared" si="40"/>
        <v>TT2 - Công an xã Quảng Khê</v>
      </c>
      <c r="AG410">
        <f t="shared" si="41"/>
        <v>1.3500000000000001E-3</v>
      </c>
      <c r="AH410">
        <f t="shared" si="42"/>
        <v>3.1129999999999998E-2</v>
      </c>
      <c r="AI410" t="e">
        <f>VLOOKUP(L410,'[1]Tuyến cáp H04'!$B:$E,3,0)/1000</f>
        <v>#N/A</v>
      </c>
      <c r="AJ410" t="e">
        <f>VLOOKUP(L410,'[1]Tuyến cáp H04'!$B:$E,4,0)</f>
        <v>#N/A</v>
      </c>
    </row>
    <row r="411" spans="1:36" x14ac:dyDescent="0.25">
      <c r="A411" s="1" t="s">
        <v>3811</v>
      </c>
      <c r="B411" s="1" t="s">
        <v>3812</v>
      </c>
      <c r="C411" s="1" t="s">
        <v>3813</v>
      </c>
      <c r="D411" s="1" t="s">
        <v>3814</v>
      </c>
      <c r="E411" s="1" t="s">
        <v>3815</v>
      </c>
      <c r="F411" s="1" t="s">
        <v>3816</v>
      </c>
      <c r="G411" s="1" t="s">
        <v>14129</v>
      </c>
      <c r="H411" s="1" t="s">
        <v>14532</v>
      </c>
      <c r="I411" s="1" t="s">
        <v>14535</v>
      </c>
      <c r="J411" s="1" t="s">
        <v>23</v>
      </c>
      <c r="K411" s="1"/>
      <c r="L411" s="1" t="s">
        <v>3817</v>
      </c>
      <c r="M411" s="1" t="s">
        <v>3818</v>
      </c>
      <c r="N411" s="1" t="s">
        <v>3819</v>
      </c>
      <c r="O411" s="1" t="s">
        <v>3820</v>
      </c>
      <c r="P411" s="1" t="s">
        <v>3821</v>
      </c>
      <c r="Q411" s="1" t="s">
        <v>3822</v>
      </c>
      <c r="R411" s="1" t="s">
        <v>3823</v>
      </c>
      <c r="S411" s="1" t="s">
        <v>3824</v>
      </c>
      <c r="T411" s="1" t="s">
        <v>3825</v>
      </c>
      <c r="U411">
        <v>223.57</v>
      </c>
      <c r="V411">
        <v>130.19</v>
      </c>
      <c r="W411">
        <v>11.982198</v>
      </c>
      <c r="X411">
        <v>107.58801200000001</v>
      </c>
      <c r="Y411">
        <v>93.38</v>
      </c>
      <c r="Z411">
        <v>11.984299</v>
      </c>
      <c r="AA411">
        <v>107.573368</v>
      </c>
      <c r="AB411" s="5">
        <f t="shared" si="37"/>
        <v>0.19528499999999999</v>
      </c>
      <c r="AC411" s="5">
        <f t="shared" si="38"/>
        <v>0.14007</v>
      </c>
      <c r="AD411" s="1" t="str">
        <f t="shared" si="39"/>
        <v>Công an phường Nam Gia Nghĩa</v>
      </c>
      <c r="AE411" s="1" t="str">
        <f t="shared" si="40"/>
        <v>Công an xã Kiến Đức</v>
      </c>
      <c r="AG411">
        <f t="shared" si="41"/>
        <v>0.13019</v>
      </c>
      <c r="AH411">
        <f t="shared" si="42"/>
        <v>9.3379999999999991E-2</v>
      </c>
      <c r="AI411" t="e">
        <f>VLOOKUP(L411,'[1]Tuyến cáp H04'!$B:$E,3,0)/1000</f>
        <v>#N/A</v>
      </c>
      <c r="AJ411" t="e">
        <f>VLOOKUP(L411,'[1]Tuyến cáp H04'!$B:$E,4,0)</f>
        <v>#N/A</v>
      </c>
    </row>
    <row r="412" spans="1:36" x14ac:dyDescent="0.25">
      <c r="A412" s="1" t="s">
        <v>3826</v>
      </c>
      <c r="B412" s="1" t="s">
        <v>3827</v>
      </c>
      <c r="C412" s="1" t="s">
        <v>3828</v>
      </c>
      <c r="D412" s="1" t="s">
        <v>3829</v>
      </c>
      <c r="E412" s="1" t="s">
        <v>3830</v>
      </c>
      <c r="F412" s="1" t="s">
        <v>3831</v>
      </c>
      <c r="G412" s="1" t="s">
        <v>14129</v>
      </c>
      <c r="H412" s="1" t="s">
        <v>14532</v>
      </c>
      <c r="I412" s="1" t="s">
        <v>14536</v>
      </c>
      <c r="J412" s="1" t="s">
        <v>23</v>
      </c>
      <c r="K412" s="1"/>
      <c r="L412" s="1" t="s">
        <v>3817</v>
      </c>
      <c r="M412" s="1" t="s">
        <v>3832</v>
      </c>
      <c r="N412" s="1" t="s">
        <v>3833</v>
      </c>
      <c r="O412" s="1" t="s">
        <v>3834</v>
      </c>
      <c r="P412" s="1" t="s">
        <v>3835</v>
      </c>
      <c r="Q412" s="1" t="s">
        <v>3836</v>
      </c>
      <c r="R412" s="1" t="s">
        <v>3837</v>
      </c>
      <c r="S412" s="1" t="s">
        <v>3838</v>
      </c>
      <c r="T412" s="1" t="s">
        <v>3825</v>
      </c>
      <c r="U412">
        <v>972.89</v>
      </c>
      <c r="V412">
        <v>287.95</v>
      </c>
      <c r="W412">
        <v>11.981467</v>
      </c>
      <c r="X412">
        <v>107.65797499999999</v>
      </c>
      <c r="Y412">
        <v>684.94</v>
      </c>
      <c r="Z412">
        <v>11.981695999999999</v>
      </c>
      <c r="AA412">
        <v>107.580975</v>
      </c>
      <c r="AB412" s="5">
        <f t="shared" si="37"/>
        <v>0.43192499999999995</v>
      </c>
      <c r="AC412" s="5">
        <f t="shared" si="38"/>
        <v>1.0274100000000002</v>
      </c>
      <c r="AD412" s="1" t="str">
        <f t="shared" si="39"/>
        <v>Công an phường Nam Gia Nghĩa</v>
      </c>
      <c r="AE412" s="1" t="str">
        <f t="shared" si="40"/>
        <v>Công an xã Kiến Đức</v>
      </c>
      <c r="AG412">
        <f t="shared" si="41"/>
        <v>0.28794999999999998</v>
      </c>
      <c r="AH412">
        <f t="shared" si="42"/>
        <v>0.6849400000000001</v>
      </c>
      <c r="AI412" t="e">
        <f>VLOOKUP(L412,'[1]Tuyến cáp H04'!$B:$E,3,0)/1000</f>
        <v>#N/A</v>
      </c>
      <c r="AJ412" t="e">
        <f>VLOOKUP(L412,'[1]Tuyến cáp H04'!$B:$E,4,0)</f>
        <v>#N/A</v>
      </c>
    </row>
    <row r="413" spans="1:36" x14ac:dyDescent="0.25">
      <c r="A413" s="1" t="s">
        <v>3839</v>
      </c>
      <c r="B413" s="1" t="s">
        <v>3829</v>
      </c>
      <c r="C413" s="1" t="s">
        <v>3830</v>
      </c>
      <c r="D413" s="1" t="s">
        <v>3840</v>
      </c>
      <c r="E413" s="1" t="s">
        <v>3841</v>
      </c>
      <c r="F413" s="1" t="s">
        <v>3842</v>
      </c>
      <c r="G413" s="1" t="s">
        <v>14129</v>
      </c>
      <c r="H413" s="1" t="s">
        <v>14532</v>
      </c>
      <c r="I413" s="1" t="s">
        <v>14537</v>
      </c>
      <c r="J413" s="1" t="s">
        <v>23</v>
      </c>
      <c r="K413" s="1"/>
      <c r="L413" s="1" t="s">
        <v>3817</v>
      </c>
      <c r="M413" s="1" t="s">
        <v>3843</v>
      </c>
      <c r="N413" s="1" t="s">
        <v>3836</v>
      </c>
      <c r="O413" s="1" t="s">
        <v>3837</v>
      </c>
      <c r="P413" s="1" t="s">
        <v>3838</v>
      </c>
      <c r="Q413" s="1" t="s">
        <v>3844</v>
      </c>
      <c r="R413" s="1" t="s">
        <v>3845</v>
      </c>
      <c r="S413" s="1" t="s">
        <v>3846</v>
      </c>
      <c r="T413" s="1" t="s">
        <v>3825</v>
      </c>
      <c r="U413">
        <v>2558.84</v>
      </c>
      <c r="V413">
        <v>684.94</v>
      </c>
      <c r="W413">
        <v>11.981695999999999</v>
      </c>
      <c r="X413">
        <v>107.580975</v>
      </c>
      <c r="Y413">
        <v>1873.89</v>
      </c>
      <c r="Z413">
        <v>11.992266000000001</v>
      </c>
      <c r="AA413">
        <v>107.558694</v>
      </c>
      <c r="AB413" s="5">
        <f t="shared" si="37"/>
        <v>1.0274100000000002</v>
      </c>
      <c r="AC413" s="5">
        <f t="shared" si="38"/>
        <v>2.810835</v>
      </c>
      <c r="AD413" s="1" t="str">
        <f t="shared" si="39"/>
        <v>Công an phường Nam Gia Nghĩa</v>
      </c>
      <c r="AE413" s="1" t="str">
        <f t="shared" si="40"/>
        <v>Công an xã Kiến Đức</v>
      </c>
      <c r="AG413">
        <f t="shared" si="41"/>
        <v>0.6849400000000001</v>
      </c>
      <c r="AH413">
        <f t="shared" si="42"/>
        <v>1.8738900000000001</v>
      </c>
      <c r="AI413" t="e">
        <f>VLOOKUP(L413,'[1]Tuyến cáp H04'!$B:$E,3,0)/1000</f>
        <v>#N/A</v>
      </c>
      <c r="AJ413" t="e">
        <f>VLOOKUP(L413,'[1]Tuyến cáp H04'!$B:$E,4,0)</f>
        <v>#N/A</v>
      </c>
    </row>
    <row r="414" spans="1:36" x14ac:dyDescent="0.25">
      <c r="A414" s="1" t="s">
        <v>3847</v>
      </c>
      <c r="B414" s="1" t="s">
        <v>3848</v>
      </c>
      <c r="C414" s="1" t="s">
        <v>3849</v>
      </c>
      <c r="D414" s="1" t="s">
        <v>3850</v>
      </c>
      <c r="E414" s="1" t="s">
        <v>3851</v>
      </c>
      <c r="F414" s="1" t="s">
        <v>3852</v>
      </c>
      <c r="G414" s="1" t="s">
        <v>14129</v>
      </c>
      <c r="H414" s="1" t="s">
        <v>14532</v>
      </c>
      <c r="I414" s="1" t="s">
        <v>14538</v>
      </c>
      <c r="J414" s="1" t="s">
        <v>23</v>
      </c>
      <c r="K414" s="1"/>
      <c r="L414" s="1" t="s">
        <v>3853</v>
      </c>
      <c r="M414" s="1" t="s">
        <v>3854</v>
      </c>
      <c r="N414" s="1" t="s">
        <v>3855</v>
      </c>
      <c r="O414" s="1" t="s">
        <v>3856</v>
      </c>
      <c r="P414" s="1" t="s">
        <v>3857</v>
      </c>
      <c r="Q414" s="1" t="s">
        <v>3858</v>
      </c>
      <c r="R414" s="1" t="s">
        <v>3859</v>
      </c>
      <c r="S414" s="1" t="s">
        <v>3860</v>
      </c>
      <c r="T414" s="1" t="s">
        <v>3861</v>
      </c>
      <c r="U414">
        <v>321.73</v>
      </c>
      <c r="V414">
        <v>35.54</v>
      </c>
      <c r="W414">
        <v>11.912875</v>
      </c>
      <c r="X414">
        <v>107.398793</v>
      </c>
      <c r="Y414">
        <v>286.19</v>
      </c>
      <c r="Z414">
        <v>11.923932000000001</v>
      </c>
      <c r="AA414">
        <v>107.415873</v>
      </c>
      <c r="AB414" s="5">
        <f t="shared" si="37"/>
        <v>5.3310000000000003E-2</v>
      </c>
      <c r="AC414" s="5">
        <f t="shared" si="38"/>
        <v>0.42928499999999997</v>
      </c>
      <c r="AD414" s="1" t="str">
        <f t="shared" si="39"/>
        <v>Đội CC&amp;CNCH khu vực 13</v>
      </c>
      <c r="AE414" s="1" t="str">
        <f t="shared" si="40"/>
        <v>Công an xã Quảng Tín</v>
      </c>
      <c r="AG414">
        <f t="shared" si="41"/>
        <v>3.5540000000000002E-2</v>
      </c>
      <c r="AH414">
        <f t="shared" si="42"/>
        <v>0.28619</v>
      </c>
      <c r="AI414" t="e">
        <f>VLOOKUP(L414,'[1]Tuyến cáp H04'!$B:$E,3,0)/1000</f>
        <v>#N/A</v>
      </c>
      <c r="AJ414" t="e">
        <f>VLOOKUP(L414,'[1]Tuyến cáp H04'!$B:$E,4,0)</f>
        <v>#N/A</v>
      </c>
    </row>
    <row r="415" spans="1:36" x14ac:dyDescent="0.25">
      <c r="A415" s="1" t="s">
        <v>3862</v>
      </c>
      <c r="B415" s="1" t="s">
        <v>3863</v>
      </c>
      <c r="C415" s="1" t="s">
        <v>3864</v>
      </c>
      <c r="D415" s="1" t="s">
        <v>3509</v>
      </c>
      <c r="E415" s="1" t="s">
        <v>3510</v>
      </c>
      <c r="F415" s="1" t="s">
        <v>3865</v>
      </c>
      <c r="G415" s="1" t="s">
        <v>14129</v>
      </c>
      <c r="H415" s="1" t="s">
        <v>14130</v>
      </c>
      <c r="I415" s="1" t="s">
        <v>14539</v>
      </c>
      <c r="J415" s="1" t="s">
        <v>23</v>
      </c>
      <c r="K415" s="1"/>
      <c r="L415" s="1" t="s">
        <v>3866</v>
      </c>
      <c r="M415" s="1" t="s">
        <v>3867</v>
      </c>
      <c r="N415" s="1" t="s">
        <v>3868</v>
      </c>
      <c r="O415" s="1" t="s">
        <v>3869</v>
      </c>
      <c r="P415" s="1" t="s">
        <v>3870</v>
      </c>
      <c r="Q415" s="1" t="s">
        <v>3871</v>
      </c>
      <c r="R415" s="1" t="s">
        <v>3872</v>
      </c>
      <c r="S415" s="1" t="s">
        <v>3873</v>
      </c>
      <c r="T415" s="1" t="s">
        <v>3874</v>
      </c>
      <c r="U415">
        <v>114.74</v>
      </c>
      <c r="V415">
        <v>112.16</v>
      </c>
      <c r="W415">
        <v>12.501187</v>
      </c>
      <c r="X415">
        <v>107.743188</v>
      </c>
      <c r="Y415">
        <v>2.58</v>
      </c>
      <c r="Z415">
        <v>12.509452</v>
      </c>
      <c r="AA415">
        <v>107.749016</v>
      </c>
      <c r="AB415" s="5">
        <f t="shared" si="37"/>
        <v>0.16824</v>
      </c>
      <c r="AC415" s="5">
        <f t="shared" si="38"/>
        <v>3.8700000000000002E-3</v>
      </c>
      <c r="AD415" s="1" t="str">
        <f t="shared" si="39"/>
        <v>Công an xã Đắk Mil</v>
      </c>
      <c r="AE415" s="1" t="str">
        <f t="shared" si="40"/>
        <v>Phòng PC08 - Đội CSGT số 4</v>
      </c>
      <c r="AG415">
        <f t="shared" si="41"/>
        <v>0.11216</v>
      </c>
      <c r="AH415">
        <f t="shared" si="42"/>
        <v>2.5800000000000003E-3</v>
      </c>
      <c r="AI415" t="e">
        <f>VLOOKUP(L415,'[1]Tuyến cáp H04'!$B:$E,3,0)/1000</f>
        <v>#N/A</v>
      </c>
      <c r="AJ415" t="e">
        <f>VLOOKUP(L415,'[1]Tuyến cáp H04'!$B:$E,4,0)</f>
        <v>#N/A</v>
      </c>
    </row>
    <row r="416" spans="1:36" x14ac:dyDescent="0.25">
      <c r="A416" s="1" t="s">
        <v>3875</v>
      </c>
      <c r="B416" s="1" t="s">
        <v>3876</v>
      </c>
      <c r="C416" s="1" t="s">
        <v>3877</v>
      </c>
      <c r="D416" s="1" t="s">
        <v>3509</v>
      </c>
      <c r="E416" s="1" t="s">
        <v>3510</v>
      </c>
      <c r="F416" s="1" t="s">
        <v>3878</v>
      </c>
      <c r="G416" s="1" t="s">
        <v>14129</v>
      </c>
      <c r="H416" s="1" t="s">
        <v>14130</v>
      </c>
      <c r="I416" s="1" t="s">
        <v>14540</v>
      </c>
      <c r="J416" s="1" t="s">
        <v>23</v>
      </c>
      <c r="K416" s="1"/>
      <c r="L416" s="1" t="s">
        <v>3471</v>
      </c>
      <c r="M416" s="1" t="s">
        <v>3879</v>
      </c>
      <c r="N416" s="1" t="s">
        <v>3880</v>
      </c>
      <c r="O416" s="1" t="s">
        <v>3881</v>
      </c>
      <c r="P416" s="1" t="s">
        <v>3882</v>
      </c>
      <c r="Q416" s="1" t="s">
        <v>3515</v>
      </c>
      <c r="R416" s="1" t="s">
        <v>3516</v>
      </c>
      <c r="S416" s="1" t="s">
        <v>3517</v>
      </c>
      <c r="T416" s="1" t="s">
        <v>3521</v>
      </c>
      <c r="U416">
        <v>1829.93</v>
      </c>
      <c r="V416">
        <v>1569.43</v>
      </c>
      <c r="W416">
        <v>12.532603</v>
      </c>
      <c r="X416">
        <v>107.777164</v>
      </c>
      <c r="Y416">
        <v>260.5</v>
      </c>
      <c r="Z416">
        <v>12.511248999999999</v>
      </c>
      <c r="AA416">
        <v>107.74746399999999</v>
      </c>
      <c r="AB416" s="5">
        <f t="shared" si="37"/>
        <v>2.3541449999999999</v>
      </c>
      <c r="AC416" s="5">
        <f t="shared" si="38"/>
        <v>0.39074999999999999</v>
      </c>
      <c r="AD416" s="1" t="str">
        <f t="shared" si="39"/>
        <v xml:space="preserve">Công an xã Đức Lập (Trụ sở 2 CAH Đắk Mil cũ)
</v>
      </c>
      <c r="AE416" s="1" t="str">
        <f t="shared" si="40"/>
        <v>Công an xã Cư Jút (Trụ sở CAH Cư Jút cũ)</v>
      </c>
      <c r="AG416">
        <f t="shared" si="41"/>
        <v>1.5694300000000001</v>
      </c>
      <c r="AH416">
        <f t="shared" si="42"/>
        <v>0.26050000000000001</v>
      </c>
      <c r="AI416" t="e">
        <f>VLOOKUP(L416,'[1]Tuyến cáp H04'!$B:$E,3,0)/1000</f>
        <v>#N/A</v>
      </c>
      <c r="AJ416" t="e">
        <f>VLOOKUP(L416,'[1]Tuyến cáp H04'!$B:$E,4,0)</f>
        <v>#N/A</v>
      </c>
    </row>
    <row r="417" spans="1:36" x14ac:dyDescent="0.25">
      <c r="A417" s="1" t="s">
        <v>3883</v>
      </c>
      <c r="B417" s="1" t="s">
        <v>3884</v>
      </c>
      <c r="C417" s="1" t="s">
        <v>3885</v>
      </c>
      <c r="D417" s="1" t="s">
        <v>3599</v>
      </c>
      <c r="E417" s="1" t="s">
        <v>3600</v>
      </c>
      <c r="F417" s="1" t="s">
        <v>3886</v>
      </c>
      <c r="G417" s="1" t="s">
        <v>14129</v>
      </c>
      <c r="H417" s="1" t="s">
        <v>14130</v>
      </c>
      <c r="I417" s="1" t="s">
        <v>14541</v>
      </c>
      <c r="J417" s="1" t="s">
        <v>23</v>
      </c>
      <c r="K417" s="1"/>
      <c r="L417" s="1" t="s">
        <v>3887</v>
      </c>
      <c r="M417" s="1" t="s">
        <v>3888</v>
      </c>
      <c r="N417" s="1" t="s">
        <v>3889</v>
      </c>
      <c r="O417" s="1" t="s">
        <v>3890</v>
      </c>
      <c r="P417" s="1" t="s">
        <v>3891</v>
      </c>
      <c r="Q417" s="1" t="s">
        <v>3892</v>
      </c>
      <c r="R417" s="1" t="s">
        <v>3893</v>
      </c>
      <c r="S417" s="1" t="s">
        <v>3894</v>
      </c>
      <c r="T417" s="1" t="s">
        <v>3895</v>
      </c>
      <c r="U417">
        <v>622.58000000000004</v>
      </c>
      <c r="V417">
        <v>620.1</v>
      </c>
      <c r="W417">
        <v>12.410083999999999</v>
      </c>
      <c r="X417">
        <v>107.58107699999999</v>
      </c>
      <c r="Y417">
        <v>2.48</v>
      </c>
      <c r="Z417">
        <v>12.411949999999999</v>
      </c>
      <c r="AA417">
        <v>107.58006399999999</v>
      </c>
      <c r="AB417" s="5">
        <f t="shared" si="37"/>
        <v>0.93015000000000014</v>
      </c>
      <c r="AC417" s="5">
        <f t="shared" si="38"/>
        <v>3.7199999999999998E-3</v>
      </c>
      <c r="AD417" s="1" t="str">
        <f t="shared" si="39"/>
        <v>Công an xã Thuận An</v>
      </c>
      <c r="AE417" s="1" t="str">
        <f t="shared" si="40"/>
        <v>Phòng PC02 - Tổ địa bàn số 2</v>
      </c>
      <c r="AG417">
        <f t="shared" si="41"/>
        <v>0.62009999999999998</v>
      </c>
      <c r="AH417">
        <f t="shared" si="42"/>
        <v>2.48E-3</v>
      </c>
      <c r="AI417" t="e">
        <f>VLOOKUP(L417,'[1]Tuyến cáp H04'!$B:$E,3,0)/1000</f>
        <v>#N/A</v>
      </c>
      <c r="AJ417" t="e">
        <f>VLOOKUP(L417,'[1]Tuyến cáp H04'!$B:$E,4,0)</f>
        <v>#N/A</v>
      </c>
    </row>
    <row r="418" spans="1:36" x14ac:dyDescent="0.25">
      <c r="A418" s="1" t="s">
        <v>3896</v>
      </c>
      <c r="B418" s="1" t="s">
        <v>3897</v>
      </c>
      <c r="C418" s="1" t="s">
        <v>3898</v>
      </c>
      <c r="D418" s="1" t="s">
        <v>3599</v>
      </c>
      <c r="E418" s="1" t="s">
        <v>3600</v>
      </c>
      <c r="F418" s="1" t="s">
        <v>3899</v>
      </c>
      <c r="G418" s="1" t="s">
        <v>14129</v>
      </c>
      <c r="H418" s="1" t="s">
        <v>14130</v>
      </c>
      <c r="I418" s="1" t="s">
        <v>14542</v>
      </c>
      <c r="J418" s="1" t="s">
        <v>23</v>
      </c>
      <c r="K418" s="1"/>
      <c r="L418" s="1" t="s">
        <v>3541</v>
      </c>
      <c r="M418" s="1" t="s">
        <v>3900</v>
      </c>
      <c r="N418" s="1" t="s">
        <v>3901</v>
      </c>
      <c r="O418" s="1" t="s">
        <v>3902</v>
      </c>
      <c r="P418" s="1" t="s">
        <v>3903</v>
      </c>
      <c r="Q418" s="1" t="s">
        <v>3612</v>
      </c>
      <c r="R418" s="1" t="s">
        <v>3544</v>
      </c>
      <c r="S418" s="1" t="s">
        <v>3545</v>
      </c>
      <c r="T418" s="1" t="s">
        <v>3549</v>
      </c>
      <c r="U418">
        <v>654.41999999999996</v>
      </c>
      <c r="V418">
        <v>122.04</v>
      </c>
      <c r="W418">
        <v>12.43608</v>
      </c>
      <c r="X418">
        <v>107.592159</v>
      </c>
      <c r="Y418">
        <v>532.38</v>
      </c>
      <c r="Z418">
        <v>12.415565000000001</v>
      </c>
      <c r="AA418">
        <v>107.58331099999999</v>
      </c>
      <c r="AB418" s="5">
        <f t="shared" si="37"/>
        <v>0.18306</v>
      </c>
      <c r="AC418" s="5">
        <f t="shared" si="38"/>
        <v>0.79856999999999989</v>
      </c>
      <c r="AD418" s="1" t="str">
        <f t="shared" si="39"/>
        <v>Công an tỉnh Lâm Đồng</v>
      </c>
      <c r="AE418" s="1" t="str">
        <f t="shared" si="40"/>
        <v>TT2
- Công an xã Đức Lập (Trụ sở 2 CAH Đắk Mil cũ)</v>
      </c>
      <c r="AG418">
        <f t="shared" si="41"/>
        <v>0.12204000000000001</v>
      </c>
      <c r="AH418">
        <f t="shared" si="42"/>
        <v>0.53237999999999996</v>
      </c>
      <c r="AI418" t="e">
        <f>VLOOKUP(L418,'[1]Tuyến cáp H04'!$B:$E,3,0)/1000</f>
        <v>#N/A</v>
      </c>
      <c r="AJ418" t="e">
        <f>VLOOKUP(L418,'[1]Tuyến cáp H04'!$B:$E,4,0)</f>
        <v>#N/A</v>
      </c>
    </row>
    <row r="419" spans="1:36" x14ac:dyDescent="0.25">
      <c r="A419" s="1" t="s">
        <v>3904</v>
      </c>
      <c r="B419" s="1" t="s">
        <v>3905</v>
      </c>
      <c r="C419" s="1" t="s">
        <v>3906</v>
      </c>
      <c r="D419" s="1" t="s">
        <v>3716</v>
      </c>
      <c r="E419" s="1" t="s">
        <v>3717</v>
      </c>
      <c r="F419" s="1" t="s">
        <v>3907</v>
      </c>
      <c r="G419" s="1" t="s">
        <v>14129</v>
      </c>
      <c r="H419" s="1" t="s">
        <v>14130</v>
      </c>
      <c r="I419" s="1" t="s">
        <v>14543</v>
      </c>
      <c r="J419" s="1" t="s">
        <v>23</v>
      </c>
      <c r="K419" s="1"/>
      <c r="L419" s="1" t="s">
        <v>3541</v>
      </c>
      <c r="M419" s="1" t="s">
        <v>3908</v>
      </c>
      <c r="N419" s="1" t="s">
        <v>3909</v>
      </c>
      <c r="O419" s="1" t="s">
        <v>3910</v>
      </c>
      <c r="P419" s="1" t="s">
        <v>3911</v>
      </c>
      <c r="Q419" s="1" t="s">
        <v>3912</v>
      </c>
      <c r="R419" s="1" t="s">
        <v>3913</v>
      </c>
      <c r="S419" s="1" t="s">
        <v>3914</v>
      </c>
      <c r="T419" s="1" t="s">
        <v>3549</v>
      </c>
      <c r="U419">
        <v>210.27</v>
      </c>
      <c r="V419">
        <v>65.91</v>
      </c>
      <c r="W419">
        <v>12.260488</v>
      </c>
      <c r="X419">
        <v>107.611086</v>
      </c>
      <c r="Y419">
        <v>144.36000000000001</v>
      </c>
      <c r="Z419">
        <v>12.25478</v>
      </c>
      <c r="AA419">
        <v>107.609988</v>
      </c>
      <c r="AB419" s="5">
        <f t="shared" si="37"/>
        <v>9.8864999999999995E-2</v>
      </c>
      <c r="AC419" s="5">
        <f t="shared" si="38"/>
        <v>0.21654000000000001</v>
      </c>
      <c r="AD419" s="1" t="str">
        <f t="shared" si="39"/>
        <v>Công an tỉnh Lâm Đồng</v>
      </c>
      <c r="AE419" s="1" t="str">
        <f t="shared" si="40"/>
        <v>TT2
- Công an xã Đức Lập (Trụ sở 2 CAH Đắk Mil cũ)</v>
      </c>
      <c r="AG419">
        <f t="shared" si="41"/>
        <v>6.5909999999999996E-2</v>
      </c>
      <c r="AH419">
        <f t="shared" si="42"/>
        <v>0.14436000000000002</v>
      </c>
      <c r="AI419" t="e">
        <f>VLOOKUP(L419,'[1]Tuyến cáp H04'!$B:$E,3,0)/1000</f>
        <v>#N/A</v>
      </c>
      <c r="AJ419" t="e">
        <f>VLOOKUP(L419,'[1]Tuyến cáp H04'!$B:$E,4,0)</f>
        <v>#N/A</v>
      </c>
    </row>
    <row r="420" spans="1:36" x14ac:dyDescent="0.25">
      <c r="A420" s="1" t="s">
        <v>3915</v>
      </c>
      <c r="B420" s="1" t="s">
        <v>3916</v>
      </c>
      <c r="C420" s="1" t="s">
        <v>3917</v>
      </c>
      <c r="D420" s="1" t="s">
        <v>3481</v>
      </c>
      <c r="E420" s="1" t="s">
        <v>3482</v>
      </c>
      <c r="F420" s="1" t="s">
        <v>3918</v>
      </c>
      <c r="G420" s="1" t="s">
        <v>14129</v>
      </c>
      <c r="H420" s="1" t="s">
        <v>14130</v>
      </c>
      <c r="I420" s="1" t="s">
        <v>14544</v>
      </c>
      <c r="J420" s="1" t="s">
        <v>23</v>
      </c>
      <c r="K420" s="1"/>
      <c r="L420" s="1" t="s">
        <v>3486</v>
      </c>
      <c r="M420" s="1" t="s">
        <v>3919</v>
      </c>
      <c r="N420" s="1" t="s">
        <v>3920</v>
      </c>
      <c r="O420" s="1" t="s">
        <v>3921</v>
      </c>
      <c r="P420" s="1" t="s">
        <v>3922</v>
      </c>
      <c r="Q420" s="1" t="s">
        <v>3923</v>
      </c>
      <c r="R420" s="1" t="s">
        <v>3924</v>
      </c>
      <c r="S420" s="1" t="s">
        <v>3925</v>
      </c>
      <c r="T420" s="1" t="s">
        <v>3926</v>
      </c>
      <c r="U420">
        <v>1025.8900000000001</v>
      </c>
      <c r="V420">
        <v>93.89</v>
      </c>
      <c r="W420">
        <v>12.63913</v>
      </c>
      <c r="X420">
        <v>107.851491</v>
      </c>
      <c r="Y420">
        <v>932</v>
      </c>
      <c r="Z420">
        <v>12.649492</v>
      </c>
      <c r="AA420">
        <v>107.86497</v>
      </c>
      <c r="AB420" s="5">
        <f t="shared" si="37"/>
        <v>0.14083500000000002</v>
      </c>
      <c r="AC420" s="5">
        <f t="shared" si="38"/>
        <v>1.3979999999999999</v>
      </c>
      <c r="AD420" s="1" t="str">
        <f t="shared" si="39"/>
        <v>Công an xã Nam Dong</v>
      </c>
      <c r="AE420" s="1" t="str">
        <f t="shared" si="40"/>
        <v>Công an xã Đắk Mil</v>
      </c>
      <c r="AG420">
        <f t="shared" si="41"/>
        <v>9.3890000000000001E-2</v>
      </c>
      <c r="AH420">
        <f t="shared" si="42"/>
        <v>0.93200000000000005</v>
      </c>
      <c r="AI420" t="e">
        <f>VLOOKUP(L420,'[1]Tuyến cáp H04'!$B:$E,3,0)/1000</f>
        <v>#N/A</v>
      </c>
      <c r="AJ420" t="e">
        <f>VLOOKUP(L420,'[1]Tuyến cáp H04'!$B:$E,4,0)</f>
        <v>#N/A</v>
      </c>
    </row>
    <row r="421" spans="1:36" x14ac:dyDescent="0.25">
      <c r="A421" s="1" t="s">
        <v>3927</v>
      </c>
      <c r="B421" s="1" t="s">
        <v>3928</v>
      </c>
      <c r="C421" s="1" t="s">
        <v>3929</v>
      </c>
      <c r="D421" s="1" t="s">
        <v>3700</v>
      </c>
      <c r="E421" s="1" t="s">
        <v>3701</v>
      </c>
      <c r="F421" s="1" t="s">
        <v>3930</v>
      </c>
      <c r="G421" s="1" t="s">
        <v>14129</v>
      </c>
      <c r="H421" s="1" t="s">
        <v>14130</v>
      </c>
      <c r="I421" s="1" t="s">
        <v>14545</v>
      </c>
      <c r="J421" s="1" t="s">
        <v>23</v>
      </c>
      <c r="K421" s="1"/>
      <c r="L421" s="1" t="s">
        <v>3589</v>
      </c>
      <c r="M421" s="1" t="s">
        <v>3931</v>
      </c>
      <c r="N421" s="1" t="s">
        <v>3932</v>
      </c>
      <c r="O421" s="1" t="s">
        <v>3933</v>
      </c>
      <c r="P421" s="1" t="s">
        <v>3934</v>
      </c>
      <c r="Q421" s="1" t="s">
        <v>3935</v>
      </c>
      <c r="R421" s="1" t="s">
        <v>3933</v>
      </c>
      <c r="S421" s="1" t="s">
        <v>3934</v>
      </c>
      <c r="T421" s="1" t="s">
        <v>3936</v>
      </c>
      <c r="U421">
        <v>1620.03</v>
      </c>
      <c r="V421">
        <v>1617.32</v>
      </c>
      <c r="W421">
        <v>12.263942</v>
      </c>
      <c r="X421">
        <v>107.37797500000001</v>
      </c>
      <c r="Y421">
        <v>2.71</v>
      </c>
      <c r="Z421">
        <v>12.263942</v>
      </c>
      <c r="AA421">
        <v>107.37797500000001</v>
      </c>
      <c r="AB421" s="5">
        <f t="shared" si="37"/>
        <v>2.42598</v>
      </c>
      <c r="AC421" s="5">
        <f t="shared" si="38"/>
        <v>4.0649999999999992E-3</v>
      </c>
      <c r="AD421" s="1" t="str">
        <f t="shared" si="39"/>
        <v>Thuận Hạnh</v>
      </c>
      <c r="AE421" s="1" t="str">
        <f t="shared" si="40"/>
        <v>Quảng Trực</v>
      </c>
      <c r="AG421">
        <f t="shared" si="41"/>
        <v>1.6173199999999999</v>
      </c>
      <c r="AH421">
        <f t="shared" si="42"/>
        <v>2.7100000000000002E-3</v>
      </c>
      <c r="AI421">
        <f>VLOOKUP(L421,'[1]Tuyến cáp H04'!$B:$E,3,0)/1000</f>
        <v>23.52</v>
      </c>
      <c r="AJ421" t="str">
        <f>VLOOKUP(L421,'[1]Tuyến cáp H04'!$B:$E,4,0)</f>
        <v>Mạng cấp 4</v>
      </c>
    </row>
    <row r="422" spans="1:36" x14ac:dyDescent="0.25">
      <c r="A422" s="1" t="s">
        <v>3937</v>
      </c>
      <c r="B422" s="1" t="s">
        <v>3938</v>
      </c>
      <c r="C422" s="1" t="s">
        <v>3939</v>
      </c>
      <c r="D422" s="1" t="s">
        <v>3451</v>
      </c>
      <c r="E422" s="1" t="s">
        <v>3452</v>
      </c>
      <c r="F422" s="1" t="s">
        <v>3940</v>
      </c>
      <c r="G422" s="1" t="s">
        <v>14129</v>
      </c>
      <c r="H422" s="1" t="s">
        <v>14130</v>
      </c>
      <c r="I422" s="1" t="s">
        <v>14546</v>
      </c>
      <c r="J422" s="1" t="s">
        <v>23</v>
      </c>
      <c r="K422" s="1"/>
      <c r="L422" s="1" t="s">
        <v>3456</v>
      </c>
      <c r="M422" s="1" t="s">
        <v>3941</v>
      </c>
      <c r="N422" s="1" t="s">
        <v>3942</v>
      </c>
      <c r="O422" s="1" t="s">
        <v>3943</v>
      </c>
      <c r="P422" s="1" t="s">
        <v>3944</v>
      </c>
      <c r="Q422" s="1" t="s">
        <v>3458</v>
      </c>
      <c r="R422" s="1" t="s">
        <v>3459</v>
      </c>
      <c r="S422" s="1" t="s">
        <v>3460</v>
      </c>
      <c r="T422" s="1" t="s">
        <v>3464</v>
      </c>
      <c r="U422">
        <v>760.5</v>
      </c>
      <c r="V422">
        <v>395.69</v>
      </c>
      <c r="W422">
        <v>12.131570999999999</v>
      </c>
      <c r="X422">
        <v>107.652833</v>
      </c>
      <c r="Y422">
        <v>364.81</v>
      </c>
      <c r="Z422">
        <v>12.099976</v>
      </c>
      <c r="AA422">
        <v>107.656622</v>
      </c>
      <c r="AB422" s="5">
        <f t="shared" si="37"/>
        <v>0.59353499999999992</v>
      </c>
      <c r="AC422" s="5">
        <f t="shared" si="38"/>
        <v>0.54721500000000001</v>
      </c>
      <c r="AD422" s="1" t="str">
        <f t="shared" si="39"/>
        <v>Công an tỉnh Lâm Đồng</v>
      </c>
      <c r="AE422" s="1" t="str">
        <f t="shared" si="40"/>
        <v>TT2 - Công an xã Đức An (Trụ sở CAH Đắk Song cũ)</v>
      </c>
      <c r="AG422">
        <f t="shared" si="41"/>
        <v>0.39568999999999999</v>
      </c>
      <c r="AH422">
        <f t="shared" si="42"/>
        <v>0.36481000000000002</v>
      </c>
      <c r="AI422" t="e">
        <f>VLOOKUP(L422,'[1]Tuyến cáp H04'!$B:$E,3,0)/1000</f>
        <v>#N/A</v>
      </c>
      <c r="AJ422" t="e">
        <f>VLOOKUP(L422,'[1]Tuyến cáp H04'!$B:$E,4,0)</f>
        <v>#N/A</v>
      </c>
    </row>
    <row r="423" spans="1:36" x14ac:dyDescent="0.25">
      <c r="A423" s="1" t="s">
        <v>3945</v>
      </c>
      <c r="B423" s="1" t="s">
        <v>3946</v>
      </c>
      <c r="C423" s="1" t="s">
        <v>3947</v>
      </c>
      <c r="D423" s="1" t="s">
        <v>3451</v>
      </c>
      <c r="E423" s="1" t="s">
        <v>3452</v>
      </c>
      <c r="F423" s="1" t="s">
        <v>3948</v>
      </c>
      <c r="G423" s="1" t="s">
        <v>14129</v>
      </c>
      <c r="H423" s="1" t="s">
        <v>14130</v>
      </c>
      <c r="I423" s="1" t="s">
        <v>14547</v>
      </c>
      <c r="J423" s="1" t="s">
        <v>23</v>
      </c>
      <c r="K423" s="1"/>
      <c r="L423" s="1" t="s">
        <v>3949</v>
      </c>
      <c r="M423" s="1" t="s">
        <v>3950</v>
      </c>
      <c r="N423" s="1" t="s">
        <v>3951</v>
      </c>
      <c r="O423" s="1" t="s">
        <v>3952</v>
      </c>
      <c r="P423" s="1" t="s">
        <v>3953</v>
      </c>
      <c r="Q423" s="1" t="s">
        <v>3954</v>
      </c>
      <c r="R423" s="1" t="s">
        <v>3955</v>
      </c>
      <c r="S423" s="1" t="s">
        <v>3956</v>
      </c>
      <c r="T423" s="1" t="s">
        <v>3957</v>
      </c>
      <c r="U423">
        <v>638.96</v>
      </c>
      <c r="V423">
        <v>632.88</v>
      </c>
      <c r="W423">
        <v>12.101863</v>
      </c>
      <c r="X423">
        <v>107.658514</v>
      </c>
      <c r="Y423">
        <v>6.08</v>
      </c>
      <c r="Z423">
        <v>12.102447</v>
      </c>
      <c r="AA423">
        <v>107.654394</v>
      </c>
      <c r="AB423" s="5">
        <f t="shared" si="37"/>
        <v>0.94931999999999994</v>
      </c>
      <c r="AC423" s="5">
        <f t="shared" si="38"/>
        <v>9.1200000000000014E-3</v>
      </c>
      <c r="AD423" s="1" t="str">
        <f t="shared" si="39"/>
        <v>Đội CSGT Đường bộ số 4</v>
      </c>
      <c r="AE423" s="1" t="str">
        <f t="shared" si="40"/>
        <v>II - Trường Xuân</v>
      </c>
      <c r="AG423">
        <f t="shared" si="41"/>
        <v>0.63288</v>
      </c>
      <c r="AH423">
        <f t="shared" si="42"/>
        <v>6.0800000000000003E-3</v>
      </c>
      <c r="AI423">
        <f>VLOOKUP(L423,'[1]Tuyến cáp H04'!$B:$E,3,0)/1000</f>
        <v>12.122</v>
      </c>
      <c r="AJ423" t="str">
        <f>VLOOKUP(L423,'[1]Tuyến cáp H04'!$B:$E,4,0)</f>
        <v>Mạng cấp 4</v>
      </c>
    </row>
    <row r="424" spans="1:36" x14ac:dyDescent="0.25">
      <c r="A424" s="1" t="s">
        <v>3958</v>
      </c>
      <c r="B424" s="1" t="s">
        <v>3959</v>
      </c>
      <c r="C424" s="1" t="s">
        <v>3960</v>
      </c>
      <c r="D424" s="1" t="s">
        <v>3481</v>
      </c>
      <c r="E424" s="1" t="s">
        <v>3482</v>
      </c>
      <c r="F424" s="1" t="s">
        <v>3961</v>
      </c>
      <c r="G424" s="1" t="s">
        <v>14129</v>
      </c>
      <c r="H424" s="1" t="s">
        <v>14130</v>
      </c>
      <c r="I424" s="1" t="s">
        <v>14548</v>
      </c>
      <c r="J424" s="1" t="s">
        <v>23</v>
      </c>
      <c r="K424" s="1"/>
      <c r="L424" s="1" t="s">
        <v>3962</v>
      </c>
      <c r="M424" s="1" t="s">
        <v>3963</v>
      </c>
      <c r="N424" s="1" t="s">
        <v>3964</v>
      </c>
      <c r="O424" s="1" t="s">
        <v>3965</v>
      </c>
      <c r="P424" s="1" t="s">
        <v>3966</v>
      </c>
      <c r="Q424" s="1" t="s">
        <v>3967</v>
      </c>
      <c r="R424" s="1" t="s">
        <v>3968</v>
      </c>
      <c r="S424" s="1" t="s">
        <v>3969</v>
      </c>
      <c r="T424" s="1" t="s">
        <v>3970</v>
      </c>
      <c r="U424">
        <v>1445.14</v>
      </c>
      <c r="V424">
        <v>1390.95</v>
      </c>
      <c r="W424">
        <v>12.663349</v>
      </c>
      <c r="X424">
        <v>107.863784</v>
      </c>
      <c r="Y424">
        <v>54.19</v>
      </c>
      <c r="Z424">
        <v>12.65029</v>
      </c>
      <c r="AA424">
        <v>107.87303300000001</v>
      </c>
      <c r="AB424" s="5">
        <f t="shared" si="37"/>
        <v>2.0864250000000002</v>
      </c>
      <c r="AC424" s="5">
        <f t="shared" si="38"/>
        <v>8.1284999999999996E-2</v>
      </c>
      <c r="AD424" s="1" t="str">
        <f t="shared" si="39"/>
        <v>Công an xã Đắk Wil</v>
      </c>
      <c r="AE424" s="1" t="str">
        <f t="shared" si="40"/>
        <v>Công an xã Nam Dong</v>
      </c>
      <c r="AG424">
        <f t="shared" si="41"/>
        <v>1.3909500000000001</v>
      </c>
      <c r="AH424">
        <f t="shared" si="42"/>
        <v>5.4189999999999995E-2</v>
      </c>
      <c r="AI424" t="e">
        <f>VLOOKUP(L424,'[1]Tuyến cáp H04'!$B:$E,3,0)/1000</f>
        <v>#N/A</v>
      </c>
      <c r="AJ424" t="e">
        <f>VLOOKUP(L424,'[1]Tuyến cáp H04'!$B:$E,4,0)</f>
        <v>#N/A</v>
      </c>
    </row>
    <row r="425" spans="1:36" x14ac:dyDescent="0.25">
      <c r="A425" s="1" t="s">
        <v>3971</v>
      </c>
      <c r="B425" s="1" t="s">
        <v>3972</v>
      </c>
      <c r="C425" s="1" t="s">
        <v>3973</v>
      </c>
      <c r="D425" s="1" t="s">
        <v>3668</v>
      </c>
      <c r="E425" s="1" t="s">
        <v>3669</v>
      </c>
      <c r="F425" s="1" t="s">
        <v>3974</v>
      </c>
      <c r="G425" s="1" t="s">
        <v>14129</v>
      </c>
      <c r="H425" s="1" t="s">
        <v>14130</v>
      </c>
      <c r="I425" s="1" t="s">
        <v>14549</v>
      </c>
      <c r="J425" s="1" t="s">
        <v>23</v>
      </c>
      <c r="K425" s="1"/>
      <c r="L425" s="1" t="s">
        <v>3679</v>
      </c>
      <c r="M425" s="1" t="s">
        <v>3975</v>
      </c>
      <c r="N425" s="1" t="s">
        <v>3976</v>
      </c>
      <c r="O425" s="1" t="s">
        <v>3977</v>
      </c>
      <c r="P425" s="1" t="s">
        <v>3978</v>
      </c>
      <c r="Q425" s="1" t="s">
        <v>3681</v>
      </c>
      <c r="R425" s="1" t="s">
        <v>3682</v>
      </c>
      <c r="S425" s="1" t="s">
        <v>3683</v>
      </c>
      <c r="T425" s="1" t="s">
        <v>3687</v>
      </c>
      <c r="U425">
        <v>1137.6099999999999</v>
      </c>
      <c r="V425">
        <v>744.02</v>
      </c>
      <c r="W425">
        <v>12.430531999999999</v>
      </c>
      <c r="X425">
        <v>107.656166</v>
      </c>
      <c r="Y425">
        <v>393.59</v>
      </c>
      <c r="Z425">
        <v>12.431642999999999</v>
      </c>
      <c r="AA425">
        <v>107.667064</v>
      </c>
      <c r="AB425" s="5">
        <f t="shared" si="37"/>
        <v>1.1160300000000001</v>
      </c>
      <c r="AC425" s="5">
        <f t="shared" si="38"/>
        <v>0.59038499999999994</v>
      </c>
      <c r="AD425" s="1" t="str">
        <f t="shared" si="39"/>
        <v>Đắk Sắk</v>
      </c>
      <c r="AE425" s="1" t="str">
        <f t="shared" si="40"/>
        <v>Đắk Song</v>
      </c>
      <c r="AG425">
        <f t="shared" si="41"/>
        <v>0.74402000000000001</v>
      </c>
      <c r="AH425">
        <f t="shared" si="42"/>
        <v>0.39359</v>
      </c>
      <c r="AI425">
        <f>VLOOKUP(L425,'[1]Tuyến cáp H04'!$B:$E,3,0)/1000</f>
        <v>5.859</v>
      </c>
      <c r="AJ425" t="str">
        <f>VLOOKUP(L425,'[1]Tuyến cáp H04'!$B:$E,4,0)</f>
        <v>Mạng cấp 4</v>
      </c>
    </row>
    <row r="426" spans="1:36" x14ac:dyDescent="0.25">
      <c r="A426" s="1" t="s">
        <v>3979</v>
      </c>
      <c r="B426" s="1" t="s">
        <v>3980</v>
      </c>
      <c r="C426" s="1" t="s">
        <v>3981</v>
      </c>
      <c r="D426" s="1" t="s">
        <v>3599</v>
      </c>
      <c r="E426" s="1" t="s">
        <v>3600</v>
      </c>
      <c r="F426" s="1" t="s">
        <v>3982</v>
      </c>
      <c r="G426" s="1" t="s">
        <v>14129</v>
      </c>
      <c r="H426" s="1" t="s">
        <v>14130</v>
      </c>
      <c r="I426" s="1" t="s">
        <v>14550</v>
      </c>
      <c r="J426" s="1" t="s">
        <v>23</v>
      </c>
      <c r="K426" s="1"/>
      <c r="L426" s="1" t="s">
        <v>3541</v>
      </c>
      <c r="M426" s="1" t="s">
        <v>3983</v>
      </c>
      <c r="N426" s="1" t="s">
        <v>3984</v>
      </c>
      <c r="O426" s="1" t="s">
        <v>3985</v>
      </c>
      <c r="P426" s="1" t="s">
        <v>3986</v>
      </c>
      <c r="Q426" s="1" t="s">
        <v>3987</v>
      </c>
      <c r="R426" s="1" t="s">
        <v>3988</v>
      </c>
      <c r="S426" s="1" t="s">
        <v>3989</v>
      </c>
      <c r="T426" s="1" t="s">
        <v>3990</v>
      </c>
      <c r="U426">
        <v>520.62</v>
      </c>
      <c r="V426">
        <v>470.55</v>
      </c>
      <c r="W426">
        <v>12.395092</v>
      </c>
      <c r="X426">
        <v>107.572092</v>
      </c>
      <c r="Y426">
        <v>50.07</v>
      </c>
      <c r="Z426">
        <v>12.411678999999999</v>
      </c>
      <c r="AA426">
        <v>107.58042500000001</v>
      </c>
      <c r="AB426" s="5">
        <f t="shared" si="37"/>
        <v>0.70582500000000004</v>
      </c>
      <c r="AC426" s="5">
        <f t="shared" si="38"/>
        <v>7.5105000000000005E-2</v>
      </c>
      <c r="AD426" s="1" t="str">
        <f t="shared" si="39"/>
        <v>Công an tỉnh Lâm Đồng</v>
      </c>
      <c r="AE426" s="1" t="str">
        <f t="shared" si="40"/>
        <v>TT2
- Công an xã Đức Lập (Trụ sở 2 CAH Đắk Mil cũ)</v>
      </c>
      <c r="AG426">
        <f t="shared" si="41"/>
        <v>0.47055000000000002</v>
      </c>
      <c r="AH426">
        <f t="shared" si="42"/>
        <v>5.0070000000000003E-2</v>
      </c>
      <c r="AI426" t="e">
        <f>VLOOKUP(L426,'[1]Tuyến cáp H04'!$B:$E,3,0)/1000</f>
        <v>#N/A</v>
      </c>
      <c r="AJ426" t="e">
        <f>VLOOKUP(L426,'[1]Tuyến cáp H04'!$B:$E,4,0)</f>
        <v>#N/A</v>
      </c>
    </row>
    <row r="427" spans="1:36" x14ac:dyDescent="0.25">
      <c r="A427" s="1" t="s">
        <v>3991</v>
      </c>
      <c r="B427" s="1" t="s">
        <v>3992</v>
      </c>
      <c r="C427" s="1" t="s">
        <v>3993</v>
      </c>
      <c r="D427" s="1" t="s">
        <v>3827</v>
      </c>
      <c r="E427" s="1" t="s">
        <v>3828</v>
      </c>
      <c r="F427" s="1" t="s">
        <v>3994</v>
      </c>
      <c r="G427" s="1" t="s">
        <v>14129</v>
      </c>
      <c r="H427" s="1" t="s">
        <v>14130</v>
      </c>
      <c r="I427" s="1" t="s">
        <v>14551</v>
      </c>
      <c r="J427" s="1" t="s">
        <v>23</v>
      </c>
      <c r="K427" s="1"/>
      <c r="L427" s="1" t="s">
        <v>3995</v>
      </c>
      <c r="M427" s="1" t="s">
        <v>3996</v>
      </c>
      <c r="N427" s="1" t="s">
        <v>3997</v>
      </c>
      <c r="O427" s="1" t="s">
        <v>3998</v>
      </c>
      <c r="P427" s="1" t="s">
        <v>3999</v>
      </c>
      <c r="Q427" s="1" t="s">
        <v>683</v>
      </c>
      <c r="R427" s="1" t="s">
        <v>4000</v>
      </c>
      <c r="S427" s="1" t="s">
        <v>4001</v>
      </c>
      <c r="T427" s="1" t="s">
        <v>4002</v>
      </c>
      <c r="U427">
        <v>250.43</v>
      </c>
      <c r="V427">
        <v>245.75</v>
      </c>
      <c r="W427">
        <v>11.992292000000001</v>
      </c>
      <c r="X427">
        <v>107.664286</v>
      </c>
      <c r="Y427">
        <v>4.67</v>
      </c>
      <c r="Z427">
        <v>11.982702</v>
      </c>
      <c r="AA427">
        <v>107.655608</v>
      </c>
      <c r="AB427" s="5">
        <f t="shared" si="37"/>
        <v>0.36862499999999998</v>
      </c>
      <c r="AC427" s="5">
        <f t="shared" si="38"/>
        <v>7.0049999999999999E-3</v>
      </c>
      <c r="AD427" s="1" t="str">
        <f t="shared" si="39"/>
        <v>Phòng PK02</v>
      </c>
      <c r="AE427" s="1" t="str">
        <f t="shared" si="40"/>
        <v>Tổ địa bàn số 2 - Phòng PA06 - Tổ địa bàn số 2</v>
      </c>
      <c r="AG427">
        <f t="shared" si="41"/>
        <v>0.24575</v>
      </c>
      <c r="AH427">
        <f t="shared" si="42"/>
        <v>4.6699999999999997E-3</v>
      </c>
      <c r="AI427" t="e">
        <f>VLOOKUP(L427,'[1]Tuyến cáp H04'!$B:$E,3,0)/1000</f>
        <v>#N/A</v>
      </c>
      <c r="AJ427" t="e">
        <f>VLOOKUP(L427,'[1]Tuyến cáp H04'!$B:$E,4,0)</f>
        <v>#N/A</v>
      </c>
    </row>
    <row r="428" spans="1:36" x14ac:dyDescent="0.25">
      <c r="A428" s="1" t="s">
        <v>4003</v>
      </c>
      <c r="B428" s="1" t="s">
        <v>4004</v>
      </c>
      <c r="C428" s="1" t="s">
        <v>4005</v>
      </c>
      <c r="D428" s="1" t="s">
        <v>3799</v>
      </c>
      <c r="E428" s="1" t="s">
        <v>3800</v>
      </c>
      <c r="F428" s="1" t="s">
        <v>4006</v>
      </c>
      <c r="G428" s="1" t="s">
        <v>14129</v>
      </c>
      <c r="H428" s="1" t="s">
        <v>14130</v>
      </c>
      <c r="I428" s="1" t="s">
        <v>14552</v>
      </c>
      <c r="J428" s="1" t="s">
        <v>23</v>
      </c>
      <c r="K428" s="1"/>
      <c r="L428" s="1" t="s">
        <v>4007</v>
      </c>
      <c r="M428" s="1" t="s">
        <v>4008</v>
      </c>
      <c r="N428" s="1" t="s">
        <v>4009</v>
      </c>
      <c r="O428" s="1" t="s">
        <v>4010</v>
      </c>
      <c r="P428" s="1" t="s">
        <v>4011</v>
      </c>
      <c r="Q428" s="1" t="s">
        <v>4012</v>
      </c>
      <c r="R428" s="1" t="s">
        <v>4013</v>
      </c>
      <c r="S428" s="1" t="s">
        <v>4014</v>
      </c>
      <c r="T428" s="1" t="s">
        <v>4015</v>
      </c>
      <c r="U428">
        <v>229.03</v>
      </c>
      <c r="V428">
        <v>213.63</v>
      </c>
      <c r="W428">
        <v>12.006126</v>
      </c>
      <c r="X428">
        <v>107.67491800000001</v>
      </c>
      <c r="Y428">
        <v>15.4</v>
      </c>
      <c r="Z428">
        <v>12.023471000000001</v>
      </c>
      <c r="AA428">
        <v>107.686087</v>
      </c>
      <c r="AB428" s="5">
        <f t="shared" si="37"/>
        <v>0.32044499999999998</v>
      </c>
      <c r="AC428" s="5">
        <f t="shared" si="38"/>
        <v>2.3100000000000002E-2</v>
      </c>
      <c r="AD428" s="1" t="str">
        <f t="shared" si="39"/>
        <v>Phòng PA06</v>
      </c>
      <c r="AE428" s="1" t="str">
        <f t="shared" si="40"/>
        <v>Tổ địa bàn số 2 - Công an tỉnh Lâm Đồng - TT2</v>
      </c>
      <c r="AG428">
        <f t="shared" si="41"/>
        <v>0.21362999999999999</v>
      </c>
      <c r="AH428">
        <f t="shared" si="42"/>
        <v>1.54E-2</v>
      </c>
      <c r="AI428" t="e">
        <f>VLOOKUP(L428,'[1]Tuyến cáp H04'!$B:$E,3,0)/1000</f>
        <v>#N/A</v>
      </c>
      <c r="AJ428" t="e">
        <f>VLOOKUP(L428,'[1]Tuyến cáp H04'!$B:$E,4,0)</f>
        <v>#N/A</v>
      </c>
    </row>
    <row r="429" spans="1:36" x14ac:dyDescent="0.25">
      <c r="A429" s="1" t="s">
        <v>4016</v>
      </c>
      <c r="B429" s="1" t="s">
        <v>4017</v>
      </c>
      <c r="C429" s="1" t="s">
        <v>4018</v>
      </c>
      <c r="D429" s="1" t="s">
        <v>3812</v>
      </c>
      <c r="E429" s="1" t="s">
        <v>3813</v>
      </c>
      <c r="F429" s="1" t="s">
        <v>4019</v>
      </c>
      <c r="G429" s="1" t="s">
        <v>14129</v>
      </c>
      <c r="H429" s="1" t="s">
        <v>14130</v>
      </c>
      <c r="I429" s="1" t="s">
        <v>14553</v>
      </c>
      <c r="J429" s="1" t="s">
        <v>23</v>
      </c>
      <c r="K429" s="1"/>
      <c r="L429" s="1" t="s">
        <v>3817</v>
      </c>
      <c r="M429" s="1" t="s">
        <v>4020</v>
      </c>
      <c r="N429" s="1" t="s">
        <v>4021</v>
      </c>
      <c r="O429" s="1" t="s">
        <v>4022</v>
      </c>
      <c r="P429" s="1" t="s">
        <v>4023</v>
      </c>
      <c r="Q429" s="1" t="s">
        <v>3819</v>
      </c>
      <c r="R429" s="1" t="s">
        <v>3820</v>
      </c>
      <c r="S429" s="1" t="s">
        <v>3821</v>
      </c>
      <c r="T429" s="1" t="s">
        <v>3825</v>
      </c>
      <c r="U429">
        <v>3244.7</v>
      </c>
      <c r="V429">
        <v>3114.51</v>
      </c>
      <c r="W429">
        <v>11.981562</v>
      </c>
      <c r="X429">
        <v>107.600892</v>
      </c>
      <c r="Y429">
        <v>130.19</v>
      </c>
      <c r="Z429">
        <v>11.982198</v>
      </c>
      <c r="AA429">
        <v>107.58801200000001</v>
      </c>
      <c r="AB429" s="5">
        <f t="shared" si="37"/>
        <v>4.6717650000000006</v>
      </c>
      <c r="AC429" s="5">
        <f t="shared" si="38"/>
        <v>0.19528499999999999</v>
      </c>
      <c r="AD429" s="1" t="str">
        <f t="shared" si="39"/>
        <v>Công an phường Nam Gia Nghĩa</v>
      </c>
      <c r="AE429" s="1" t="str">
        <f t="shared" si="40"/>
        <v>Công an xã Kiến Đức</v>
      </c>
      <c r="AG429">
        <f t="shared" si="41"/>
        <v>3.1145100000000001</v>
      </c>
      <c r="AH429">
        <f t="shared" si="42"/>
        <v>0.13019</v>
      </c>
      <c r="AI429" t="e">
        <f>VLOOKUP(L429,'[1]Tuyến cáp H04'!$B:$E,3,0)/1000</f>
        <v>#N/A</v>
      </c>
      <c r="AJ429" t="e">
        <f>VLOOKUP(L429,'[1]Tuyến cáp H04'!$B:$E,4,0)</f>
        <v>#N/A</v>
      </c>
    </row>
    <row r="430" spans="1:36" x14ac:dyDescent="0.25">
      <c r="A430" s="1" t="s">
        <v>4024</v>
      </c>
      <c r="B430" s="1" t="s">
        <v>4025</v>
      </c>
      <c r="C430" s="1" t="s">
        <v>4026</v>
      </c>
      <c r="D430" s="1" t="s">
        <v>3562</v>
      </c>
      <c r="E430" s="1" t="s">
        <v>3563</v>
      </c>
      <c r="F430" s="1" t="s">
        <v>4027</v>
      </c>
      <c r="G430" s="1" t="s">
        <v>14129</v>
      </c>
      <c r="H430" s="1" t="s">
        <v>14130</v>
      </c>
      <c r="I430" s="1" t="s">
        <v>14554</v>
      </c>
      <c r="J430" s="1" t="s">
        <v>23</v>
      </c>
      <c r="K430" s="1"/>
      <c r="L430" s="1" t="s">
        <v>3853</v>
      </c>
      <c r="M430" s="1" t="s">
        <v>4028</v>
      </c>
      <c r="N430" s="1" t="s">
        <v>4029</v>
      </c>
      <c r="O430" s="1" t="s">
        <v>4030</v>
      </c>
      <c r="P430" s="1" t="s">
        <v>4031</v>
      </c>
      <c r="Q430" s="1" t="s">
        <v>4032</v>
      </c>
      <c r="R430" s="1" t="s">
        <v>4033</v>
      </c>
      <c r="S430" s="1" t="s">
        <v>4034</v>
      </c>
      <c r="T430" s="1" t="s">
        <v>3861</v>
      </c>
      <c r="U430">
        <v>1706.19</v>
      </c>
      <c r="V430">
        <v>93.95</v>
      </c>
      <c r="W430">
        <v>11.973898</v>
      </c>
      <c r="X430">
        <v>107.49282700000001</v>
      </c>
      <c r="Y430">
        <v>1612.24</v>
      </c>
      <c r="Z430">
        <v>11.992825</v>
      </c>
      <c r="AA430">
        <v>107.510738</v>
      </c>
      <c r="AB430" s="5">
        <f t="shared" si="37"/>
        <v>0.14092500000000002</v>
      </c>
      <c r="AC430" s="5">
        <f t="shared" si="38"/>
        <v>2.4183600000000003</v>
      </c>
      <c r="AD430" s="1" t="str">
        <f t="shared" si="39"/>
        <v>Đội CC&amp;CNCH khu vực 13</v>
      </c>
      <c r="AE430" s="1" t="str">
        <f t="shared" si="40"/>
        <v>Công an xã Quảng Tín</v>
      </c>
      <c r="AG430">
        <f t="shared" si="41"/>
        <v>9.3950000000000006E-2</v>
      </c>
      <c r="AH430">
        <f t="shared" si="42"/>
        <v>1.6122400000000001</v>
      </c>
      <c r="AI430" t="e">
        <f>VLOOKUP(L430,'[1]Tuyến cáp H04'!$B:$E,3,0)/1000</f>
        <v>#N/A</v>
      </c>
      <c r="AJ430" t="e">
        <f>VLOOKUP(L430,'[1]Tuyến cáp H04'!$B:$E,4,0)</f>
        <v>#N/A</v>
      </c>
    </row>
    <row r="431" spans="1:36" x14ac:dyDescent="0.25">
      <c r="A431" s="1" t="s">
        <v>4035</v>
      </c>
      <c r="B431" s="1" t="s">
        <v>4036</v>
      </c>
      <c r="C431" s="1" t="s">
        <v>4037</v>
      </c>
      <c r="D431" s="1" t="s">
        <v>3812</v>
      </c>
      <c r="E431" s="1" t="s">
        <v>3813</v>
      </c>
      <c r="F431" s="1" t="s">
        <v>4038</v>
      </c>
      <c r="G431" s="1" t="s">
        <v>14129</v>
      </c>
      <c r="H431" s="1" t="s">
        <v>14130</v>
      </c>
      <c r="I431" s="1" t="s">
        <v>14555</v>
      </c>
      <c r="J431" s="1" t="s">
        <v>23</v>
      </c>
      <c r="K431" s="1"/>
      <c r="L431" s="1" t="s">
        <v>3817</v>
      </c>
      <c r="M431" s="1" t="s">
        <v>4039</v>
      </c>
      <c r="N431" s="1" t="s">
        <v>4040</v>
      </c>
      <c r="O431" s="1" t="s">
        <v>4041</v>
      </c>
      <c r="P431" s="1" t="s">
        <v>4042</v>
      </c>
      <c r="Q431" s="1" t="s">
        <v>3819</v>
      </c>
      <c r="R431" s="1" t="s">
        <v>3820</v>
      </c>
      <c r="S431" s="1" t="s">
        <v>3821</v>
      </c>
      <c r="T431" s="1" t="s">
        <v>3825</v>
      </c>
      <c r="U431">
        <v>204.06</v>
      </c>
      <c r="V431">
        <v>73.87</v>
      </c>
      <c r="W431">
        <v>11.976922</v>
      </c>
      <c r="X431">
        <v>107.625933</v>
      </c>
      <c r="Y431">
        <v>130.19</v>
      </c>
      <c r="Z431">
        <v>11.982198</v>
      </c>
      <c r="AA431">
        <v>107.58801200000001</v>
      </c>
      <c r="AB431" s="5">
        <f t="shared" si="37"/>
        <v>0.110805</v>
      </c>
      <c r="AC431" s="5">
        <f t="shared" si="38"/>
        <v>0.19528499999999999</v>
      </c>
      <c r="AD431" s="1" t="str">
        <f t="shared" si="39"/>
        <v>Công an phường Nam Gia Nghĩa</v>
      </c>
      <c r="AE431" s="1" t="str">
        <f t="shared" si="40"/>
        <v>Công an xã Kiến Đức</v>
      </c>
      <c r="AG431">
        <f t="shared" si="41"/>
        <v>7.3870000000000005E-2</v>
      </c>
      <c r="AH431">
        <f t="shared" si="42"/>
        <v>0.13019</v>
      </c>
      <c r="AI431" t="e">
        <f>VLOOKUP(L431,'[1]Tuyến cáp H04'!$B:$E,3,0)/1000</f>
        <v>#N/A</v>
      </c>
      <c r="AJ431" t="e">
        <f>VLOOKUP(L431,'[1]Tuyến cáp H04'!$B:$E,4,0)</f>
        <v>#N/A</v>
      </c>
    </row>
    <row r="432" spans="1:36" x14ac:dyDescent="0.25">
      <c r="A432" s="1" t="s">
        <v>4043</v>
      </c>
      <c r="B432" s="1" t="s">
        <v>4044</v>
      </c>
      <c r="C432" s="1" t="s">
        <v>4045</v>
      </c>
      <c r="D432" s="1" t="s">
        <v>3827</v>
      </c>
      <c r="E432" s="1" t="s">
        <v>3828</v>
      </c>
      <c r="F432" s="1" t="s">
        <v>4046</v>
      </c>
      <c r="G432" s="1" t="s">
        <v>14129</v>
      </c>
      <c r="H432" s="1" t="s">
        <v>14130</v>
      </c>
      <c r="I432" s="1" t="s">
        <v>14556</v>
      </c>
      <c r="J432" s="1" t="s">
        <v>23</v>
      </c>
      <c r="K432" s="1"/>
      <c r="L432" s="1" t="s">
        <v>4047</v>
      </c>
      <c r="M432" s="1" t="s">
        <v>4048</v>
      </c>
      <c r="N432" s="1" t="s">
        <v>4049</v>
      </c>
      <c r="O432" s="1" t="s">
        <v>4050</v>
      </c>
      <c r="P432" s="1" t="s">
        <v>4051</v>
      </c>
      <c r="Q432" s="1" t="s">
        <v>4052</v>
      </c>
      <c r="R432" s="1" t="s">
        <v>4053</v>
      </c>
      <c r="S432" s="1" t="s">
        <v>4054</v>
      </c>
      <c r="T432" s="1" t="s">
        <v>4055</v>
      </c>
      <c r="U432">
        <v>1804.94</v>
      </c>
      <c r="V432">
        <v>1506.47</v>
      </c>
      <c r="W432">
        <v>11.977278</v>
      </c>
      <c r="X432">
        <v>107.63810700000001</v>
      </c>
      <c r="Y432">
        <v>298.48</v>
      </c>
      <c r="Z432">
        <v>11.981714</v>
      </c>
      <c r="AA432">
        <v>107.65819399999999</v>
      </c>
      <c r="AB432" s="5">
        <f t="shared" si="37"/>
        <v>2.2597049999999999</v>
      </c>
      <c r="AC432" s="5">
        <f t="shared" si="38"/>
        <v>0.44772000000000001</v>
      </c>
      <c r="AD432" s="1" t="str">
        <f t="shared" si="39"/>
        <v>Công an xã Kiến Đức (Trụ sở CAH Đắk R'Lấp cũ)</v>
      </c>
      <c r="AE432" s="1" t="str">
        <f t="shared" si="40"/>
        <v>Công an tỉnh Lâm Đồng - TT2</v>
      </c>
      <c r="AG432">
        <f t="shared" si="41"/>
        <v>1.50647</v>
      </c>
      <c r="AH432">
        <f t="shared" si="42"/>
        <v>0.29848000000000002</v>
      </c>
      <c r="AI432" t="e">
        <f>VLOOKUP(L432,'[1]Tuyến cáp H04'!$B:$E,3,0)/1000</f>
        <v>#N/A</v>
      </c>
      <c r="AJ432" t="e">
        <f>VLOOKUP(L432,'[1]Tuyến cáp H04'!$B:$E,4,0)</f>
        <v>#N/A</v>
      </c>
    </row>
    <row r="433" spans="1:36" x14ac:dyDescent="0.25">
      <c r="A433" s="1" t="s">
        <v>4056</v>
      </c>
      <c r="B433" s="1" t="s">
        <v>4057</v>
      </c>
      <c r="C433" s="1" t="s">
        <v>4058</v>
      </c>
      <c r="D433" s="1" t="s">
        <v>4059</v>
      </c>
      <c r="E433" s="1" t="s">
        <v>4060</v>
      </c>
      <c r="F433" s="1" t="s">
        <v>4061</v>
      </c>
      <c r="G433" s="1" t="s">
        <v>14129</v>
      </c>
      <c r="H433" s="1" t="s">
        <v>14130</v>
      </c>
      <c r="I433" s="1" t="s">
        <v>14557</v>
      </c>
      <c r="J433" s="1" t="s">
        <v>23</v>
      </c>
      <c r="K433" s="1"/>
      <c r="L433" s="1" t="s">
        <v>3789</v>
      </c>
      <c r="M433" s="1" t="s">
        <v>4062</v>
      </c>
      <c r="N433" s="1" t="s">
        <v>4063</v>
      </c>
      <c r="O433" s="1" t="s">
        <v>4064</v>
      </c>
      <c r="P433" s="1" t="s">
        <v>4065</v>
      </c>
      <c r="Q433" s="1" t="s">
        <v>4066</v>
      </c>
      <c r="R433" s="1" t="s">
        <v>4067</v>
      </c>
      <c r="S433" s="1" t="s">
        <v>4068</v>
      </c>
      <c r="T433" s="1" t="s">
        <v>3797</v>
      </c>
      <c r="U433">
        <v>2068.52</v>
      </c>
      <c r="V433">
        <v>2062.38</v>
      </c>
      <c r="W433">
        <v>11.964795000000001</v>
      </c>
      <c r="X433">
        <v>107.733818</v>
      </c>
      <c r="Y433">
        <v>6.14</v>
      </c>
      <c r="Z433">
        <v>11.959954</v>
      </c>
      <c r="AA433">
        <v>107.72863599999999</v>
      </c>
      <c r="AB433" s="5">
        <f t="shared" si="37"/>
        <v>3.0935700000000002</v>
      </c>
      <c r="AC433" s="5">
        <f t="shared" si="38"/>
        <v>9.2099999999999994E-3</v>
      </c>
      <c r="AD433" s="1" t="str">
        <f t="shared" si="39"/>
        <v>Công an phường Bắc Gia Nghĩa</v>
      </c>
      <c r="AE433" s="1" t="str">
        <f t="shared" si="40"/>
        <v>Công an phường Đông Gia Nghĩa</v>
      </c>
      <c r="AG433">
        <f t="shared" si="41"/>
        <v>2.0623800000000001</v>
      </c>
      <c r="AH433">
        <f t="shared" si="42"/>
        <v>6.1399999999999996E-3</v>
      </c>
      <c r="AI433" t="e">
        <f>VLOOKUP(L433,'[1]Tuyến cáp H04'!$B:$E,3,0)/1000</f>
        <v>#N/A</v>
      </c>
      <c r="AJ433" t="e">
        <f>VLOOKUP(L433,'[1]Tuyến cáp H04'!$B:$E,4,0)</f>
        <v>#N/A</v>
      </c>
    </row>
    <row r="434" spans="1:36" x14ac:dyDescent="0.25">
      <c r="A434" s="1" t="s">
        <v>4069</v>
      </c>
      <c r="B434" s="1" t="s">
        <v>4070</v>
      </c>
      <c r="C434" s="1" t="s">
        <v>4071</v>
      </c>
      <c r="D434" s="1" t="s">
        <v>4059</v>
      </c>
      <c r="E434" s="1" t="s">
        <v>4060</v>
      </c>
      <c r="F434" s="1" t="s">
        <v>4072</v>
      </c>
      <c r="G434" s="1" t="s">
        <v>14129</v>
      </c>
      <c r="H434" s="1" t="s">
        <v>14130</v>
      </c>
      <c r="I434" s="1" t="s">
        <v>14558</v>
      </c>
      <c r="J434" s="1" t="s">
        <v>23</v>
      </c>
      <c r="K434" s="1"/>
      <c r="L434" s="1" t="s">
        <v>3789</v>
      </c>
      <c r="M434" s="1" t="s">
        <v>4073</v>
      </c>
      <c r="N434" s="1" t="s">
        <v>4074</v>
      </c>
      <c r="O434" s="1" t="s">
        <v>4064</v>
      </c>
      <c r="P434" s="1" t="s">
        <v>4065</v>
      </c>
      <c r="Q434" s="1" t="s">
        <v>4066</v>
      </c>
      <c r="R434" s="1" t="s">
        <v>4067</v>
      </c>
      <c r="S434" s="1" t="s">
        <v>4068</v>
      </c>
      <c r="T434" s="1" t="s">
        <v>3797</v>
      </c>
      <c r="U434">
        <v>4386.16</v>
      </c>
      <c r="V434">
        <v>4380.0200000000004</v>
      </c>
      <c r="W434">
        <v>11.964795000000001</v>
      </c>
      <c r="X434">
        <v>107.733818</v>
      </c>
      <c r="Y434">
        <v>6.14</v>
      </c>
      <c r="Z434">
        <v>11.959954</v>
      </c>
      <c r="AA434">
        <v>107.72863599999999</v>
      </c>
      <c r="AB434" s="5">
        <f t="shared" si="37"/>
        <v>6.5700300000000009</v>
      </c>
      <c r="AC434" s="5">
        <f t="shared" si="38"/>
        <v>9.2099999999999994E-3</v>
      </c>
      <c r="AD434" s="1" t="str">
        <f t="shared" si="39"/>
        <v>Công an phường Bắc Gia Nghĩa</v>
      </c>
      <c r="AE434" s="1" t="str">
        <f t="shared" si="40"/>
        <v>Công an phường Đông Gia Nghĩa</v>
      </c>
      <c r="AG434">
        <f t="shared" si="41"/>
        <v>4.38002</v>
      </c>
      <c r="AH434">
        <f t="shared" si="42"/>
        <v>6.1399999999999996E-3</v>
      </c>
      <c r="AI434" t="e">
        <f>VLOOKUP(L434,'[1]Tuyến cáp H04'!$B:$E,3,0)/1000</f>
        <v>#N/A</v>
      </c>
      <c r="AJ434" t="e">
        <f>VLOOKUP(L434,'[1]Tuyến cáp H04'!$B:$E,4,0)</f>
        <v>#N/A</v>
      </c>
    </row>
    <row r="435" spans="1:36" x14ac:dyDescent="0.25">
      <c r="A435" s="1" t="s">
        <v>4075</v>
      </c>
      <c r="B435" s="1" t="s">
        <v>4076</v>
      </c>
      <c r="C435" s="1" t="s">
        <v>4077</v>
      </c>
      <c r="D435" s="1" t="s">
        <v>3829</v>
      </c>
      <c r="E435" s="1" t="s">
        <v>3830</v>
      </c>
      <c r="F435" s="1" t="s">
        <v>4078</v>
      </c>
      <c r="G435" s="1" t="s">
        <v>14129</v>
      </c>
      <c r="H435" s="1" t="s">
        <v>14130</v>
      </c>
      <c r="I435" s="1" t="s">
        <v>14559</v>
      </c>
      <c r="J435" s="1" t="s">
        <v>23</v>
      </c>
      <c r="K435" s="1"/>
      <c r="L435" s="1" t="s">
        <v>4079</v>
      </c>
      <c r="M435" s="1" t="s">
        <v>4080</v>
      </c>
      <c r="N435" s="1" t="s">
        <v>4081</v>
      </c>
      <c r="O435" s="1" t="s">
        <v>4082</v>
      </c>
      <c r="P435" s="1" t="s">
        <v>4083</v>
      </c>
      <c r="Q435" s="1" t="s">
        <v>4084</v>
      </c>
      <c r="R435" s="1" t="s">
        <v>4082</v>
      </c>
      <c r="S435" s="1" t="s">
        <v>4083</v>
      </c>
      <c r="T435" s="1" t="s">
        <v>4085</v>
      </c>
      <c r="U435">
        <v>1381.74</v>
      </c>
      <c r="V435">
        <v>1378.88</v>
      </c>
      <c r="W435">
        <v>11.975606000000001</v>
      </c>
      <c r="X435">
        <v>107.581761</v>
      </c>
      <c r="Y435">
        <v>2.86</v>
      </c>
      <c r="Z435">
        <v>11.975606000000001</v>
      </c>
      <c r="AA435">
        <v>107.581761</v>
      </c>
      <c r="AB435" s="5">
        <f t="shared" si="37"/>
        <v>2.0683200000000004</v>
      </c>
      <c r="AC435" s="5">
        <f t="shared" si="38"/>
        <v>4.2900000000000004E-3</v>
      </c>
      <c r="AD435" s="1" t="str">
        <f t="shared" si="39"/>
        <v>Công An xã Quảng Tín</v>
      </c>
      <c r="AE435" s="1" t="str">
        <f t="shared" si="40"/>
        <v>Đồn CA KCN Nhân Cơ</v>
      </c>
      <c r="AG435">
        <f t="shared" si="41"/>
        <v>1.3788800000000001</v>
      </c>
      <c r="AH435">
        <f t="shared" si="42"/>
        <v>2.8599999999999997E-3</v>
      </c>
      <c r="AI435" t="e">
        <f>VLOOKUP(L435,'[1]Tuyến cáp H04'!$B:$E,3,0)/1000</f>
        <v>#N/A</v>
      </c>
      <c r="AJ435" t="e">
        <f>VLOOKUP(L435,'[1]Tuyến cáp H04'!$B:$E,4,0)</f>
        <v>#N/A</v>
      </c>
    </row>
    <row r="436" spans="1:36" x14ac:dyDescent="0.25">
      <c r="A436" s="1" t="s">
        <v>4086</v>
      </c>
      <c r="B436" s="1" t="s">
        <v>4087</v>
      </c>
      <c r="C436" s="1" t="s">
        <v>4088</v>
      </c>
      <c r="D436" s="1" t="s">
        <v>3812</v>
      </c>
      <c r="E436" s="1" t="s">
        <v>3813</v>
      </c>
      <c r="F436" s="1" t="s">
        <v>4089</v>
      </c>
      <c r="G436" s="1" t="s">
        <v>14129</v>
      </c>
      <c r="H436" s="1" t="s">
        <v>14130</v>
      </c>
      <c r="I436" s="1" t="s">
        <v>14560</v>
      </c>
      <c r="J436" s="1" t="s">
        <v>23</v>
      </c>
      <c r="K436" s="1"/>
      <c r="L436" s="1" t="s">
        <v>3817</v>
      </c>
      <c r="M436" s="1" t="s">
        <v>4090</v>
      </c>
      <c r="N436" s="1" t="s">
        <v>4091</v>
      </c>
      <c r="O436" s="1" t="s">
        <v>4092</v>
      </c>
      <c r="P436" s="1" t="s">
        <v>4093</v>
      </c>
      <c r="Q436" s="1" t="s">
        <v>3819</v>
      </c>
      <c r="R436" s="1" t="s">
        <v>3820</v>
      </c>
      <c r="S436" s="1" t="s">
        <v>3821</v>
      </c>
      <c r="T436" s="1" t="s">
        <v>3825</v>
      </c>
      <c r="U436">
        <v>850.09</v>
      </c>
      <c r="V436">
        <v>719.9</v>
      </c>
      <c r="W436">
        <v>11.980340999999999</v>
      </c>
      <c r="X436">
        <v>107.607388</v>
      </c>
      <c r="Y436">
        <v>130.19</v>
      </c>
      <c r="Z436">
        <v>11.982198</v>
      </c>
      <c r="AA436">
        <v>107.58801200000001</v>
      </c>
      <c r="AB436" s="5">
        <f t="shared" si="37"/>
        <v>1.07985</v>
      </c>
      <c r="AC436" s="5">
        <f t="shared" si="38"/>
        <v>0.19528499999999999</v>
      </c>
      <c r="AD436" s="1" t="str">
        <f t="shared" si="39"/>
        <v>Công an phường Nam Gia Nghĩa</v>
      </c>
      <c r="AE436" s="1" t="str">
        <f t="shared" si="40"/>
        <v>Công an xã Kiến Đức</v>
      </c>
      <c r="AG436">
        <f t="shared" si="41"/>
        <v>0.71989999999999998</v>
      </c>
      <c r="AH436">
        <f t="shared" si="42"/>
        <v>0.13019</v>
      </c>
      <c r="AI436" t="e">
        <f>VLOOKUP(L436,'[1]Tuyến cáp H04'!$B:$E,3,0)/1000</f>
        <v>#N/A</v>
      </c>
      <c r="AJ436" t="e">
        <f>VLOOKUP(L436,'[1]Tuyến cáp H04'!$B:$E,4,0)</f>
        <v>#N/A</v>
      </c>
    </row>
    <row r="437" spans="1:36" x14ac:dyDescent="0.25">
      <c r="A437" s="1" t="s">
        <v>4094</v>
      </c>
      <c r="B437" s="1" t="s">
        <v>4095</v>
      </c>
      <c r="C437" s="1" t="s">
        <v>4096</v>
      </c>
      <c r="D437" s="1" t="s">
        <v>3538</v>
      </c>
      <c r="E437" s="1" t="s">
        <v>3539</v>
      </c>
      <c r="F437" s="1" t="s">
        <v>4097</v>
      </c>
      <c r="G437" s="1" t="s">
        <v>14129</v>
      </c>
      <c r="H437" s="1" t="s">
        <v>14130</v>
      </c>
      <c r="I437" s="1" t="s">
        <v>14561</v>
      </c>
      <c r="J437" s="1" t="s">
        <v>23</v>
      </c>
      <c r="K437" s="1"/>
      <c r="L437" s="1" t="s">
        <v>3456</v>
      </c>
      <c r="M437" s="1" t="s">
        <v>4098</v>
      </c>
      <c r="N437" s="1" t="s">
        <v>4099</v>
      </c>
      <c r="O437" s="1" t="s">
        <v>4100</v>
      </c>
      <c r="P437" s="1" t="s">
        <v>3806</v>
      </c>
      <c r="Q437" s="1" t="s">
        <v>4101</v>
      </c>
      <c r="R437" s="1" t="s">
        <v>4102</v>
      </c>
      <c r="S437" s="1" t="s">
        <v>4103</v>
      </c>
      <c r="T437" s="1" t="s">
        <v>3464</v>
      </c>
      <c r="U437">
        <v>18691.84</v>
      </c>
      <c r="V437">
        <v>2437.89</v>
      </c>
      <c r="W437">
        <v>12.023574</v>
      </c>
      <c r="X437">
        <v>107.685997</v>
      </c>
      <c r="Y437">
        <v>16253.95</v>
      </c>
      <c r="Z437">
        <v>12.205287999999999</v>
      </c>
      <c r="AA437">
        <v>107.62650600000001</v>
      </c>
      <c r="AB437" s="5">
        <f t="shared" si="37"/>
        <v>3.6568350000000001</v>
      </c>
      <c r="AC437" s="5">
        <f t="shared" si="38"/>
        <v>24.380925000000001</v>
      </c>
      <c r="AD437" s="1" t="str">
        <f t="shared" si="39"/>
        <v>Công an tỉnh Lâm Đồng</v>
      </c>
      <c r="AE437" s="1" t="str">
        <f t="shared" si="40"/>
        <v>TT2 - Công an xã Đức An (Trụ sở CAH Đắk Song cũ)</v>
      </c>
      <c r="AG437">
        <f t="shared" si="41"/>
        <v>2.4378899999999999</v>
      </c>
      <c r="AH437">
        <f t="shared" si="42"/>
        <v>16.25395</v>
      </c>
      <c r="AI437" t="e">
        <f>VLOOKUP(L437,'[1]Tuyến cáp H04'!$B:$E,3,0)/1000</f>
        <v>#N/A</v>
      </c>
      <c r="AJ437" t="e">
        <f>VLOOKUP(L437,'[1]Tuyến cáp H04'!$B:$E,4,0)</f>
        <v>#N/A</v>
      </c>
    </row>
    <row r="438" spans="1:36" x14ac:dyDescent="0.25">
      <c r="A438" s="1" t="s">
        <v>4104</v>
      </c>
      <c r="B438" s="1" t="s">
        <v>3551</v>
      </c>
      <c r="C438" s="1" t="s">
        <v>3552</v>
      </c>
      <c r="D438" s="1" t="s">
        <v>3799</v>
      </c>
      <c r="E438" s="1" t="s">
        <v>3800</v>
      </c>
      <c r="F438" s="1" t="s">
        <v>4105</v>
      </c>
      <c r="G438" s="1" t="s">
        <v>14129</v>
      </c>
      <c r="H438" s="1" t="s">
        <v>14130</v>
      </c>
      <c r="I438" s="1" t="s">
        <v>14562</v>
      </c>
      <c r="J438" s="1" t="s">
        <v>23</v>
      </c>
      <c r="K438" s="1"/>
      <c r="L438" s="1" t="s">
        <v>3456</v>
      </c>
      <c r="M438" s="1" t="s">
        <v>4106</v>
      </c>
      <c r="N438" s="1" t="s">
        <v>4107</v>
      </c>
      <c r="O438" s="1" t="s">
        <v>4108</v>
      </c>
      <c r="P438" s="1" t="s">
        <v>4109</v>
      </c>
      <c r="Q438" s="1" t="s">
        <v>3488</v>
      </c>
      <c r="R438" s="1" t="s">
        <v>4100</v>
      </c>
      <c r="S438" s="1" t="s">
        <v>3806</v>
      </c>
      <c r="T438" s="1" t="s">
        <v>3464</v>
      </c>
      <c r="U438">
        <v>404.43</v>
      </c>
      <c r="V438">
        <v>403.68</v>
      </c>
      <c r="W438">
        <v>12.202097</v>
      </c>
      <c r="X438">
        <v>107.633785</v>
      </c>
      <c r="Y438">
        <v>0.75</v>
      </c>
      <c r="Z438">
        <v>12.023574</v>
      </c>
      <c r="AA438">
        <v>107.685997</v>
      </c>
      <c r="AB438" s="5">
        <f t="shared" si="37"/>
        <v>0.60551999999999995</v>
      </c>
      <c r="AC438" s="5">
        <f t="shared" si="38"/>
        <v>1.1249999999999999E-3</v>
      </c>
      <c r="AD438" s="1" t="str">
        <f t="shared" si="39"/>
        <v>Công an tỉnh Lâm Đồng</v>
      </c>
      <c r="AE438" s="1" t="str">
        <f t="shared" si="40"/>
        <v>TT2 - Công an xã Đức An (Trụ sở CAH Đắk Song cũ)</v>
      </c>
      <c r="AG438">
        <f t="shared" si="41"/>
        <v>0.40367999999999998</v>
      </c>
      <c r="AH438">
        <f t="shared" si="42"/>
        <v>7.5000000000000002E-4</v>
      </c>
      <c r="AI438" t="e">
        <f>VLOOKUP(L438,'[1]Tuyến cáp H04'!$B:$E,3,0)/1000</f>
        <v>#N/A</v>
      </c>
      <c r="AJ438" t="e">
        <f>VLOOKUP(L438,'[1]Tuyến cáp H04'!$B:$E,4,0)</f>
        <v>#N/A</v>
      </c>
    </row>
    <row r="439" spans="1:36" x14ac:dyDescent="0.25">
      <c r="A439" s="1" t="s">
        <v>4104</v>
      </c>
      <c r="B439" s="1" t="s">
        <v>3551</v>
      </c>
      <c r="C439" s="1" t="s">
        <v>3552</v>
      </c>
      <c r="D439" s="1" t="s">
        <v>3799</v>
      </c>
      <c r="E439" s="1" t="s">
        <v>3800</v>
      </c>
      <c r="F439" s="1" t="s">
        <v>4105</v>
      </c>
      <c r="G439" s="1" t="s">
        <v>14129</v>
      </c>
      <c r="H439" s="1" t="s">
        <v>14130</v>
      </c>
      <c r="I439" s="1" t="s">
        <v>14562</v>
      </c>
      <c r="J439" s="1" t="s">
        <v>23</v>
      </c>
      <c r="K439" s="1"/>
      <c r="L439" s="1" t="s">
        <v>3456</v>
      </c>
      <c r="M439" s="1" t="s">
        <v>4106</v>
      </c>
      <c r="N439" s="1" t="s">
        <v>4107</v>
      </c>
      <c r="O439" s="1" t="s">
        <v>4108</v>
      </c>
      <c r="P439" s="1" t="s">
        <v>4109</v>
      </c>
      <c r="Q439" s="1" t="s">
        <v>3488</v>
      </c>
      <c r="R439" s="1" t="s">
        <v>4100</v>
      </c>
      <c r="S439" s="1" t="s">
        <v>3806</v>
      </c>
      <c r="T439" s="1" t="s">
        <v>3464</v>
      </c>
      <c r="U439">
        <v>404.43</v>
      </c>
      <c r="V439">
        <v>403.68</v>
      </c>
      <c r="W439">
        <v>12.202097</v>
      </c>
      <c r="X439">
        <v>107.633785</v>
      </c>
      <c r="Y439">
        <v>0.75</v>
      </c>
      <c r="Z439">
        <v>12.023574</v>
      </c>
      <c r="AA439">
        <v>107.685997</v>
      </c>
      <c r="AB439" s="5">
        <f t="shared" si="37"/>
        <v>0.60551999999999995</v>
      </c>
      <c r="AC439" s="5">
        <f t="shared" si="38"/>
        <v>1.1249999999999999E-3</v>
      </c>
      <c r="AD439" s="1" t="str">
        <f t="shared" si="39"/>
        <v>Công an tỉnh Lâm Đồng</v>
      </c>
      <c r="AE439" s="1" t="str">
        <f t="shared" si="40"/>
        <v>TT2 - Công an xã Đức An (Trụ sở CAH Đắk Song cũ)</v>
      </c>
      <c r="AG439">
        <f t="shared" si="41"/>
        <v>0.40367999999999998</v>
      </c>
      <c r="AH439">
        <f t="shared" si="42"/>
        <v>7.5000000000000002E-4</v>
      </c>
      <c r="AI439" t="e">
        <f>VLOOKUP(L439,'[1]Tuyến cáp H04'!$B:$E,3,0)/1000</f>
        <v>#N/A</v>
      </c>
      <c r="AJ439" t="e">
        <f>VLOOKUP(L439,'[1]Tuyến cáp H04'!$B:$E,4,0)</f>
        <v>#N/A</v>
      </c>
    </row>
    <row r="440" spans="1:36" x14ac:dyDescent="0.25">
      <c r="A440" s="1" t="s">
        <v>4110</v>
      </c>
      <c r="B440" s="1" t="s">
        <v>3608</v>
      </c>
      <c r="C440" s="1" t="s">
        <v>3609</v>
      </c>
      <c r="D440" s="1" t="s">
        <v>3617</v>
      </c>
      <c r="E440" s="1" t="s">
        <v>3618</v>
      </c>
      <c r="F440" s="1" t="s">
        <v>4111</v>
      </c>
      <c r="G440" s="1" t="s">
        <v>14129</v>
      </c>
      <c r="H440" s="1" t="s">
        <v>14130</v>
      </c>
      <c r="I440" s="1" t="s">
        <v>14563</v>
      </c>
      <c r="J440" s="1" t="s">
        <v>23</v>
      </c>
      <c r="K440" s="1"/>
      <c r="L440" s="1" t="s">
        <v>3620</v>
      </c>
      <c r="M440" s="1" t="s">
        <v>4112</v>
      </c>
      <c r="N440" s="1" t="s">
        <v>4113</v>
      </c>
      <c r="O440" s="1" t="s">
        <v>4114</v>
      </c>
      <c r="P440" s="1" t="s">
        <v>4115</v>
      </c>
      <c r="Q440" s="1" t="s">
        <v>3622</v>
      </c>
      <c r="R440" s="1" t="s">
        <v>3623</v>
      </c>
      <c r="S440" s="1" t="s">
        <v>3624</v>
      </c>
      <c r="T440" s="1" t="s">
        <v>3628</v>
      </c>
      <c r="U440">
        <v>141.31</v>
      </c>
      <c r="V440">
        <v>138.32</v>
      </c>
      <c r="W440">
        <v>12.447314</v>
      </c>
      <c r="X440">
        <v>107.60942900000001</v>
      </c>
      <c r="Y440">
        <v>2.99</v>
      </c>
      <c r="Z440">
        <v>12.459466000000001</v>
      </c>
      <c r="AA440">
        <v>107.61325100000001</v>
      </c>
      <c r="AB440" s="5">
        <f t="shared" si="37"/>
        <v>0.20748</v>
      </c>
      <c r="AC440" s="5">
        <f t="shared" si="38"/>
        <v>4.4850000000000003E-3</v>
      </c>
      <c r="AD440" s="1" t="str">
        <f t="shared" si="39"/>
        <v>Phòng PC07</v>
      </c>
      <c r="AE440" s="1" t="str">
        <f t="shared" si="40"/>
        <v>Đội CC&amp;CNCH khu vực 14 - Công an xã Đức Lập (Trụ sở 2 CAH Đắk Mil cũ)</v>
      </c>
      <c r="AG440">
        <f t="shared" si="41"/>
        <v>0.13832</v>
      </c>
      <c r="AH440">
        <f t="shared" si="42"/>
        <v>2.99E-3</v>
      </c>
      <c r="AI440" t="e">
        <f>VLOOKUP(L440,'[1]Tuyến cáp H04'!$B:$E,3,0)/1000</f>
        <v>#N/A</v>
      </c>
      <c r="AJ440" t="e">
        <f>VLOOKUP(L440,'[1]Tuyến cáp H04'!$B:$E,4,0)</f>
        <v>#N/A</v>
      </c>
    </row>
    <row r="441" spans="1:36" x14ac:dyDescent="0.25">
      <c r="A441" s="1" t="s">
        <v>4116</v>
      </c>
      <c r="B441" s="1" t="s">
        <v>4117</v>
      </c>
      <c r="C441" s="1" t="s">
        <v>4118</v>
      </c>
      <c r="D441" s="1" t="s">
        <v>3509</v>
      </c>
      <c r="E441" s="1" t="s">
        <v>3510</v>
      </c>
      <c r="F441" s="1" t="s">
        <v>4119</v>
      </c>
      <c r="G441" s="1" t="s">
        <v>14129</v>
      </c>
      <c r="H441" s="1" t="s">
        <v>14130</v>
      </c>
      <c r="I441" s="1" t="s">
        <v>14564</v>
      </c>
      <c r="J441" s="1" t="s">
        <v>23</v>
      </c>
      <c r="K441" s="1"/>
      <c r="L441" s="1" t="s">
        <v>3866</v>
      </c>
      <c r="M441" s="1" t="s">
        <v>4120</v>
      </c>
      <c r="N441" s="1" t="s">
        <v>4121</v>
      </c>
      <c r="O441" s="1" t="s">
        <v>4122</v>
      </c>
      <c r="P441" s="1" t="s">
        <v>4123</v>
      </c>
      <c r="Q441" s="1" t="s">
        <v>3871</v>
      </c>
      <c r="R441" s="1" t="s">
        <v>3872</v>
      </c>
      <c r="S441" s="1" t="s">
        <v>3873</v>
      </c>
      <c r="T441" s="1" t="s">
        <v>3874</v>
      </c>
      <c r="U441">
        <v>2939.26</v>
      </c>
      <c r="V441">
        <v>2936.68</v>
      </c>
      <c r="W441">
        <v>12.489153999999999</v>
      </c>
      <c r="X441">
        <v>107.723986</v>
      </c>
      <c r="Y441">
        <v>2.58</v>
      </c>
      <c r="Z441">
        <v>12.509452</v>
      </c>
      <c r="AA441">
        <v>107.749016</v>
      </c>
      <c r="AB441" s="5">
        <f t="shared" si="37"/>
        <v>4.4050199999999995</v>
      </c>
      <c r="AC441" s="5">
        <f t="shared" si="38"/>
        <v>3.8700000000000002E-3</v>
      </c>
      <c r="AD441" s="1" t="str">
        <f t="shared" si="39"/>
        <v>Công an xã Đắk Mil</v>
      </c>
      <c r="AE441" s="1" t="str">
        <f t="shared" si="40"/>
        <v>Phòng PC08 - Đội CSGT số 4</v>
      </c>
      <c r="AG441">
        <f t="shared" si="41"/>
        <v>2.93668</v>
      </c>
      <c r="AH441">
        <f t="shared" si="42"/>
        <v>2.5800000000000003E-3</v>
      </c>
      <c r="AI441" t="e">
        <f>VLOOKUP(L441,'[1]Tuyến cáp H04'!$B:$E,3,0)/1000</f>
        <v>#N/A</v>
      </c>
      <c r="AJ441" t="e">
        <f>VLOOKUP(L441,'[1]Tuyến cáp H04'!$B:$E,4,0)</f>
        <v>#N/A</v>
      </c>
    </row>
    <row r="442" spans="1:36" x14ac:dyDescent="0.25">
      <c r="A442" s="1" t="s">
        <v>4124</v>
      </c>
      <c r="B442" s="1" t="s">
        <v>4125</v>
      </c>
      <c r="C442" s="1" t="s">
        <v>4126</v>
      </c>
      <c r="D442" s="1" t="s">
        <v>3466</v>
      </c>
      <c r="E442" s="1" t="s">
        <v>3467</v>
      </c>
      <c r="F442" s="1" t="s">
        <v>4127</v>
      </c>
      <c r="G442" s="1" t="s">
        <v>14129</v>
      </c>
      <c r="H442" s="1" t="s">
        <v>14130</v>
      </c>
      <c r="I442" s="1" t="s">
        <v>14565</v>
      </c>
      <c r="J442" s="1" t="s">
        <v>23</v>
      </c>
      <c r="K442" s="1"/>
      <c r="L442" s="1" t="s">
        <v>3692</v>
      </c>
      <c r="M442" s="1" t="s">
        <v>4128</v>
      </c>
      <c r="N442" s="1" t="s">
        <v>4129</v>
      </c>
      <c r="O442" s="1" t="s">
        <v>4130</v>
      </c>
      <c r="P442" s="1" t="s">
        <v>4131</v>
      </c>
      <c r="Q442" s="1" t="s">
        <v>4132</v>
      </c>
      <c r="R442" s="1" t="s">
        <v>4133</v>
      </c>
      <c r="S442" s="1" t="s">
        <v>4134</v>
      </c>
      <c r="T442" s="1" t="s">
        <v>4135</v>
      </c>
      <c r="U442">
        <v>96.65</v>
      </c>
      <c r="V442">
        <v>80.05</v>
      </c>
      <c r="W442">
        <v>12.441776000000001</v>
      </c>
      <c r="X442">
        <v>107.629672</v>
      </c>
      <c r="Y442">
        <v>16.600000000000001</v>
      </c>
      <c r="Z442">
        <v>12.44727</v>
      </c>
      <c r="AA442">
        <v>107.621786</v>
      </c>
      <c r="AB442" s="5">
        <f t="shared" si="37"/>
        <v>0.12007499999999999</v>
      </c>
      <c r="AC442" s="5">
        <f t="shared" si="38"/>
        <v>2.4900000000000002E-2</v>
      </c>
      <c r="AD442" s="1" t="str">
        <f t="shared" si="39"/>
        <v>Công an xã Đắk Song</v>
      </c>
      <c r="AE442" s="1" t="str">
        <f t="shared" si="40"/>
        <v>Công an xã Thuận An</v>
      </c>
      <c r="AG442">
        <f t="shared" si="41"/>
        <v>8.0049999999999996E-2</v>
      </c>
      <c r="AH442">
        <f t="shared" si="42"/>
        <v>1.66E-2</v>
      </c>
      <c r="AI442" t="e">
        <f>VLOOKUP(L442,'[1]Tuyến cáp H04'!$B:$E,3,0)/1000</f>
        <v>#N/A</v>
      </c>
      <c r="AJ442" t="e">
        <f>VLOOKUP(L442,'[1]Tuyến cáp H04'!$B:$E,4,0)</f>
        <v>#N/A</v>
      </c>
    </row>
    <row r="443" spans="1:36" x14ac:dyDescent="0.25">
      <c r="A443" s="1" t="s">
        <v>4136</v>
      </c>
      <c r="B443" s="1" t="s">
        <v>4137</v>
      </c>
      <c r="C443" s="1" t="s">
        <v>4138</v>
      </c>
      <c r="D443" s="1" t="s">
        <v>3716</v>
      </c>
      <c r="E443" s="1" t="s">
        <v>3717</v>
      </c>
      <c r="F443" s="1" t="s">
        <v>4139</v>
      </c>
      <c r="G443" s="1" t="s">
        <v>14129</v>
      </c>
      <c r="H443" s="1" t="s">
        <v>14130</v>
      </c>
      <c r="I443" s="1" t="s">
        <v>14566</v>
      </c>
      <c r="J443" s="1" t="s">
        <v>23</v>
      </c>
      <c r="K443" s="1"/>
      <c r="L443" s="1" t="s">
        <v>3541</v>
      </c>
      <c r="M443" s="1" t="s">
        <v>4140</v>
      </c>
      <c r="N443" s="1" t="s">
        <v>4141</v>
      </c>
      <c r="O443" s="1" t="s">
        <v>4142</v>
      </c>
      <c r="P443" s="1" t="s">
        <v>4143</v>
      </c>
      <c r="Q443" s="1" t="s">
        <v>3912</v>
      </c>
      <c r="R443" s="1" t="s">
        <v>3913</v>
      </c>
      <c r="S443" s="1" t="s">
        <v>3914</v>
      </c>
      <c r="T443" s="1" t="s">
        <v>3549</v>
      </c>
      <c r="U443">
        <v>272.7</v>
      </c>
      <c r="V443">
        <v>128.34</v>
      </c>
      <c r="W443">
        <v>12.303564</v>
      </c>
      <c r="X443">
        <v>107.5934</v>
      </c>
      <c r="Y443">
        <v>144.36000000000001</v>
      </c>
      <c r="Z443">
        <v>12.25478</v>
      </c>
      <c r="AA443">
        <v>107.609988</v>
      </c>
      <c r="AB443" s="5">
        <f t="shared" si="37"/>
        <v>0.19250999999999999</v>
      </c>
      <c r="AC443" s="5">
        <f t="shared" si="38"/>
        <v>0.21654000000000001</v>
      </c>
      <c r="AD443" s="1" t="str">
        <f t="shared" si="39"/>
        <v>Công an tỉnh Lâm Đồng</v>
      </c>
      <c r="AE443" s="1" t="str">
        <f t="shared" si="40"/>
        <v>TT2
- Công an xã Đức Lập (Trụ sở 2 CAH Đắk Mil cũ)</v>
      </c>
      <c r="AG443">
        <f t="shared" si="41"/>
        <v>0.12834000000000001</v>
      </c>
      <c r="AH443">
        <f t="shared" si="42"/>
        <v>0.14436000000000002</v>
      </c>
      <c r="AI443" t="e">
        <f>VLOOKUP(L443,'[1]Tuyến cáp H04'!$B:$E,3,0)/1000</f>
        <v>#N/A</v>
      </c>
      <c r="AJ443" t="e">
        <f>VLOOKUP(L443,'[1]Tuyến cáp H04'!$B:$E,4,0)</f>
        <v>#N/A</v>
      </c>
    </row>
    <row r="444" spans="1:36" x14ac:dyDescent="0.25">
      <c r="A444" s="1" t="s">
        <v>4144</v>
      </c>
      <c r="B444" s="1" t="s">
        <v>3727</v>
      </c>
      <c r="C444" s="1" t="s">
        <v>3728</v>
      </c>
      <c r="D444" s="1" t="s">
        <v>3740</v>
      </c>
      <c r="E444" s="1" t="s">
        <v>3741</v>
      </c>
      <c r="F444" s="1" t="s">
        <v>4145</v>
      </c>
      <c r="G444" s="1" t="s">
        <v>14129</v>
      </c>
      <c r="H444" s="1" t="s">
        <v>14130</v>
      </c>
      <c r="I444" s="1" t="s">
        <v>14567</v>
      </c>
      <c r="J444" s="1" t="s">
        <v>23</v>
      </c>
      <c r="K444" s="1"/>
      <c r="L444" s="1" t="s">
        <v>3565</v>
      </c>
      <c r="M444" s="1" t="s">
        <v>4146</v>
      </c>
      <c r="N444" s="1" t="s">
        <v>4147</v>
      </c>
      <c r="O444" s="1" t="s">
        <v>3568</v>
      </c>
      <c r="P444" s="1" t="s">
        <v>3569</v>
      </c>
      <c r="Q444" s="1" t="s">
        <v>3744</v>
      </c>
      <c r="R444" s="1" t="s">
        <v>3745</v>
      </c>
      <c r="S444" s="1" t="s">
        <v>3746</v>
      </c>
      <c r="T444" s="1" t="s">
        <v>3573</v>
      </c>
      <c r="U444">
        <v>796.62</v>
      </c>
      <c r="V444">
        <v>647.80999999999995</v>
      </c>
      <c r="W444">
        <v>12.018853</v>
      </c>
      <c r="X444">
        <v>107.492485</v>
      </c>
      <c r="Y444">
        <v>148.81</v>
      </c>
      <c r="Z444">
        <v>12.043371</v>
      </c>
      <c r="AA444">
        <v>107.489839</v>
      </c>
      <c r="AB444" s="5">
        <f t="shared" si="37"/>
        <v>0.97171499999999988</v>
      </c>
      <c r="AC444" s="5">
        <f t="shared" si="38"/>
        <v>0.223215</v>
      </c>
      <c r="AD444" s="1" t="str">
        <f t="shared" si="39"/>
        <v>Công an xã Tuy Đức (Trụ sở CAH Tuy Đức cũ)</v>
      </c>
      <c r="AE444" s="1" t="str">
        <f t="shared" si="40"/>
        <v>Công an xã Kiến Đức (Trụ sở CAH Đắk R'Lấp cũ)</v>
      </c>
      <c r="AG444">
        <f t="shared" si="41"/>
        <v>0.64781</v>
      </c>
      <c r="AH444">
        <f t="shared" si="42"/>
        <v>0.14881</v>
      </c>
      <c r="AI444" t="e">
        <f>VLOOKUP(L444,'[1]Tuyến cáp H04'!$B:$E,3,0)/1000</f>
        <v>#N/A</v>
      </c>
      <c r="AJ444" t="e">
        <f>VLOOKUP(L444,'[1]Tuyến cáp H04'!$B:$E,4,0)</f>
        <v>#N/A</v>
      </c>
    </row>
    <row r="445" spans="1:36" x14ac:dyDescent="0.25">
      <c r="A445" s="1" t="s">
        <v>4148</v>
      </c>
      <c r="B445" s="1" t="s">
        <v>3751</v>
      </c>
      <c r="C445" s="1" t="s">
        <v>3752</v>
      </c>
      <c r="D445" s="1" t="s">
        <v>3538</v>
      </c>
      <c r="E445" s="1" t="s">
        <v>3539</v>
      </c>
      <c r="F445" s="1" t="s">
        <v>4149</v>
      </c>
      <c r="G445" s="1" t="s">
        <v>14129</v>
      </c>
      <c r="H445" s="1" t="s">
        <v>14130</v>
      </c>
      <c r="I445" s="1" t="s">
        <v>14568</v>
      </c>
      <c r="J445" s="1" t="s">
        <v>23</v>
      </c>
      <c r="K445" s="1"/>
      <c r="L445" s="1" t="s">
        <v>3565</v>
      </c>
      <c r="M445" s="1" t="s">
        <v>4150</v>
      </c>
      <c r="N445" s="1" t="s">
        <v>3755</v>
      </c>
      <c r="O445" s="1" t="s">
        <v>3756</v>
      </c>
      <c r="P445" s="1" t="s">
        <v>3757</v>
      </c>
      <c r="Q445" s="1" t="s">
        <v>3570</v>
      </c>
      <c r="R445" s="1" t="s">
        <v>3571</v>
      </c>
      <c r="S445" s="1" t="s">
        <v>3572</v>
      </c>
      <c r="T445" s="1" t="s">
        <v>3573</v>
      </c>
      <c r="U445">
        <v>97.91</v>
      </c>
      <c r="V445">
        <v>74.84</v>
      </c>
      <c r="W445">
        <v>12.184903</v>
      </c>
      <c r="X445">
        <v>107.450288</v>
      </c>
      <c r="Y445">
        <v>23.06</v>
      </c>
      <c r="Z445">
        <v>12.218915000000001</v>
      </c>
      <c r="AA445">
        <v>107.47745500000001</v>
      </c>
      <c r="AB445" s="5">
        <f t="shared" si="37"/>
        <v>0.11226</v>
      </c>
      <c r="AC445" s="5">
        <f t="shared" si="38"/>
        <v>3.4589999999999996E-2</v>
      </c>
      <c r="AD445" s="1" t="str">
        <f t="shared" si="39"/>
        <v>Công an xã Tuy Đức (Trụ sở CAH Tuy Đức cũ)</v>
      </c>
      <c r="AE445" s="1" t="str">
        <f t="shared" si="40"/>
        <v>Công an xã Kiến Đức (Trụ sở CAH Đắk R'Lấp cũ)</v>
      </c>
      <c r="AG445">
        <f t="shared" si="41"/>
        <v>7.4840000000000004E-2</v>
      </c>
      <c r="AH445">
        <f t="shared" si="42"/>
        <v>2.3059999999999997E-2</v>
      </c>
      <c r="AI445" t="e">
        <f>VLOOKUP(L445,'[1]Tuyến cáp H04'!$B:$E,3,0)/1000</f>
        <v>#N/A</v>
      </c>
      <c r="AJ445" t="e">
        <f>VLOOKUP(L445,'[1]Tuyến cáp H04'!$B:$E,4,0)</f>
        <v>#N/A</v>
      </c>
    </row>
    <row r="446" spans="1:36" x14ac:dyDescent="0.25">
      <c r="A446" s="1" t="s">
        <v>4151</v>
      </c>
      <c r="B446" s="1" t="s">
        <v>4152</v>
      </c>
      <c r="C446" s="1" t="s">
        <v>4153</v>
      </c>
      <c r="D446" s="1" t="s">
        <v>3451</v>
      </c>
      <c r="E446" s="1" t="s">
        <v>3452</v>
      </c>
      <c r="F446" s="1" t="s">
        <v>4154</v>
      </c>
      <c r="G446" s="1" t="s">
        <v>14129</v>
      </c>
      <c r="H446" s="1" t="s">
        <v>14130</v>
      </c>
      <c r="I446" s="1" t="s">
        <v>14569</v>
      </c>
      <c r="J446" s="1" t="s">
        <v>23</v>
      </c>
      <c r="K446" s="1"/>
      <c r="L446" s="1" t="s">
        <v>3541</v>
      </c>
      <c r="M446" s="1" t="s">
        <v>4155</v>
      </c>
      <c r="N446" s="1" t="s">
        <v>4156</v>
      </c>
      <c r="O446" s="1" t="s">
        <v>4157</v>
      </c>
      <c r="P446" s="1" t="s">
        <v>4158</v>
      </c>
      <c r="Q446" s="1" t="s">
        <v>4159</v>
      </c>
      <c r="R446" s="1" t="s">
        <v>4160</v>
      </c>
      <c r="S446" s="1" t="s">
        <v>4161</v>
      </c>
      <c r="T446" s="1" t="s">
        <v>3549</v>
      </c>
      <c r="U446">
        <v>826.18</v>
      </c>
      <c r="V446">
        <v>452.8</v>
      </c>
      <c r="W446">
        <v>12.15021</v>
      </c>
      <c r="X446">
        <v>107.643135</v>
      </c>
      <c r="Y446">
        <v>373.39</v>
      </c>
      <c r="Z446">
        <v>12.099854000000001</v>
      </c>
      <c r="AA446">
        <v>107.656595</v>
      </c>
      <c r="AB446" s="5">
        <f t="shared" si="37"/>
        <v>0.67920000000000003</v>
      </c>
      <c r="AC446" s="5">
        <f t="shared" si="38"/>
        <v>0.56008500000000006</v>
      </c>
      <c r="AD446" s="1" t="str">
        <f t="shared" si="39"/>
        <v>Công an tỉnh Lâm Đồng</v>
      </c>
      <c r="AE446" s="1" t="str">
        <f t="shared" si="40"/>
        <v>TT2
- Công an xã Đức Lập (Trụ sở 2 CAH Đắk Mil cũ)</v>
      </c>
      <c r="AG446">
        <f t="shared" si="41"/>
        <v>0.45280000000000004</v>
      </c>
      <c r="AH446">
        <f t="shared" si="42"/>
        <v>0.37339</v>
      </c>
      <c r="AI446" t="e">
        <f>VLOOKUP(L446,'[1]Tuyến cáp H04'!$B:$E,3,0)/1000</f>
        <v>#N/A</v>
      </c>
      <c r="AJ446" t="e">
        <f>VLOOKUP(L446,'[1]Tuyến cáp H04'!$B:$E,4,0)</f>
        <v>#N/A</v>
      </c>
    </row>
    <row r="447" spans="1:36" x14ac:dyDescent="0.25">
      <c r="A447" s="1" t="s">
        <v>4162</v>
      </c>
      <c r="B447" s="1" t="s">
        <v>4163</v>
      </c>
      <c r="C447" s="1" t="s">
        <v>4164</v>
      </c>
      <c r="D447" s="1" t="s">
        <v>3799</v>
      </c>
      <c r="E447" s="1" t="s">
        <v>3800</v>
      </c>
      <c r="F447" s="1" t="s">
        <v>4165</v>
      </c>
      <c r="G447" s="1" t="s">
        <v>14129</v>
      </c>
      <c r="H447" s="1" t="s">
        <v>14130</v>
      </c>
      <c r="I447" s="1" t="s">
        <v>14570</v>
      </c>
      <c r="J447" s="1" t="s">
        <v>23</v>
      </c>
      <c r="K447" s="1"/>
      <c r="L447" s="1" t="s">
        <v>3456</v>
      </c>
      <c r="M447" s="1" t="s">
        <v>4166</v>
      </c>
      <c r="N447" s="1" t="s">
        <v>4167</v>
      </c>
      <c r="O447" s="1" t="s">
        <v>4168</v>
      </c>
      <c r="P447" s="1" t="s">
        <v>4169</v>
      </c>
      <c r="Q447" s="1" t="s">
        <v>3488</v>
      </c>
      <c r="R447" s="1" t="s">
        <v>4100</v>
      </c>
      <c r="S447" s="1" t="s">
        <v>3806</v>
      </c>
      <c r="T447" s="1" t="s">
        <v>3464</v>
      </c>
      <c r="U447">
        <v>63.71</v>
      </c>
      <c r="V447">
        <v>62.95</v>
      </c>
      <c r="W447">
        <v>12.033683999999999</v>
      </c>
      <c r="X447">
        <v>107.687252</v>
      </c>
      <c r="Y447">
        <v>0.75</v>
      </c>
      <c r="Z447">
        <v>12.023574</v>
      </c>
      <c r="AA447">
        <v>107.685997</v>
      </c>
      <c r="AB447" s="5">
        <f t="shared" si="37"/>
        <v>9.4425000000000009E-2</v>
      </c>
      <c r="AC447" s="5">
        <f t="shared" si="38"/>
        <v>1.1249999999999999E-3</v>
      </c>
      <c r="AD447" s="1" t="str">
        <f t="shared" si="39"/>
        <v>Công an tỉnh Lâm Đồng</v>
      </c>
      <c r="AE447" s="1" t="str">
        <f t="shared" si="40"/>
        <v>TT2 - Công an xã Đức An (Trụ sở CAH Đắk Song cũ)</v>
      </c>
      <c r="AG447">
        <f t="shared" si="41"/>
        <v>6.2950000000000006E-2</v>
      </c>
      <c r="AH447">
        <f t="shared" si="42"/>
        <v>7.5000000000000002E-4</v>
      </c>
      <c r="AI447" t="e">
        <f>VLOOKUP(L447,'[1]Tuyến cáp H04'!$B:$E,3,0)/1000</f>
        <v>#N/A</v>
      </c>
      <c r="AJ447" t="e">
        <f>VLOOKUP(L447,'[1]Tuyến cáp H04'!$B:$E,4,0)</f>
        <v>#N/A</v>
      </c>
    </row>
    <row r="448" spans="1:36" x14ac:dyDescent="0.25">
      <c r="A448" s="1" t="s">
        <v>4170</v>
      </c>
      <c r="B448" s="1" t="s">
        <v>4171</v>
      </c>
      <c r="C448" s="1" t="s">
        <v>4172</v>
      </c>
      <c r="D448" s="1" t="s">
        <v>3799</v>
      </c>
      <c r="E448" s="1" t="s">
        <v>3800</v>
      </c>
      <c r="F448" s="1" t="s">
        <v>4173</v>
      </c>
      <c r="G448" s="1" t="s">
        <v>14129</v>
      </c>
      <c r="H448" s="1" t="s">
        <v>14130</v>
      </c>
      <c r="I448" s="1" t="s">
        <v>14571</v>
      </c>
      <c r="J448" s="1" t="s">
        <v>23</v>
      </c>
      <c r="K448" s="1"/>
      <c r="L448" s="1" t="s">
        <v>4174</v>
      </c>
      <c r="M448" s="1" t="s">
        <v>4175</v>
      </c>
      <c r="N448" s="1" t="s">
        <v>4176</v>
      </c>
      <c r="O448" s="1" t="s">
        <v>4177</v>
      </c>
      <c r="P448" s="1" t="s">
        <v>4178</v>
      </c>
      <c r="Q448" s="1" t="s">
        <v>4179</v>
      </c>
      <c r="R448" s="1" t="s">
        <v>4180</v>
      </c>
      <c r="S448" s="1" t="s">
        <v>4181</v>
      </c>
      <c r="T448" s="1" t="s">
        <v>4182</v>
      </c>
      <c r="U448">
        <v>4548.84</v>
      </c>
      <c r="V448">
        <v>466.02</v>
      </c>
      <c r="W448">
        <v>12.021367</v>
      </c>
      <c r="X448">
        <v>107.738292</v>
      </c>
      <c r="Y448">
        <v>4082.82</v>
      </c>
      <c r="Z448">
        <v>12.006174</v>
      </c>
      <c r="AA448">
        <v>107.719054</v>
      </c>
      <c r="AB448" s="5">
        <f t="shared" si="37"/>
        <v>0.69902999999999993</v>
      </c>
      <c r="AC448" s="5">
        <f t="shared" si="38"/>
        <v>6.1242300000000007</v>
      </c>
      <c r="AD448" s="1" t="str">
        <f t="shared" si="39"/>
        <v>Công an xã Quảng Sơn</v>
      </c>
      <c r="AE448" s="1" t="str">
        <f t="shared" si="40"/>
        <v>Trại tạm giam cơ sở 2</v>
      </c>
      <c r="AG448">
        <f t="shared" si="41"/>
        <v>0.46601999999999999</v>
      </c>
      <c r="AH448">
        <f t="shared" si="42"/>
        <v>4.0828199999999999</v>
      </c>
      <c r="AI448" t="e">
        <f>VLOOKUP(L448,'[1]Tuyến cáp H04'!$B:$E,3,0)/1000</f>
        <v>#N/A</v>
      </c>
      <c r="AJ448" t="e">
        <f>VLOOKUP(L448,'[1]Tuyến cáp H04'!$B:$E,4,0)</f>
        <v>#N/A</v>
      </c>
    </row>
    <row r="449" spans="1:36" x14ac:dyDescent="0.25">
      <c r="A449" s="1" t="s">
        <v>4183</v>
      </c>
      <c r="B449" s="1" t="s">
        <v>4184</v>
      </c>
      <c r="C449" s="1" t="s">
        <v>4185</v>
      </c>
      <c r="D449" s="1" t="s">
        <v>3829</v>
      </c>
      <c r="E449" s="1" t="s">
        <v>3830</v>
      </c>
      <c r="F449" s="1" t="s">
        <v>4186</v>
      </c>
      <c r="G449" s="1" t="s">
        <v>14129</v>
      </c>
      <c r="H449" s="1" t="s">
        <v>14532</v>
      </c>
      <c r="I449" s="1" t="s">
        <v>14572</v>
      </c>
      <c r="J449" s="1" t="s">
        <v>23</v>
      </c>
      <c r="K449" s="1"/>
      <c r="L449" s="1" t="s">
        <v>4079</v>
      </c>
      <c r="M449" s="1" t="s">
        <v>4187</v>
      </c>
      <c r="N449" s="1" t="s">
        <v>4188</v>
      </c>
      <c r="O449" s="1" t="s">
        <v>4189</v>
      </c>
      <c r="P449" s="1" t="s">
        <v>4190</v>
      </c>
      <c r="Q449" s="1" t="s">
        <v>4191</v>
      </c>
      <c r="R449" s="1" t="s">
        <v>4192</v>
      </c>
      <c r="S449" s="1" t="s">
        <v>4193</v>
      </c>
      <c r="T449" s="1" t="s">
        <v>4194</v>
      </c>
      <c r="U449">
        <v>204.91</v>
      </c>
      <c r="V449">
        <v>108.08</v>
      </c>
      <c r="W449">
        <v>11.970677999999999</v>
      </c>
      <c r="X449">
        <v>107.576391</v>
      </c>
      <c r="Y449">
        <v>96.83</v>
      </c>
      <c r="Z449">
        <v>11.976426999999999</v>
      </c>
      <c r="AA449">
        <v>107.58153</v>
      </c>
      <c r="AB449" s="5">
        <f t="shared" si="37"/>
        <v>0.16212000000000001</v>
      </c>
      <c r="AC449" s="5">
        <f t="shared" si="38"/>
        <v>0.14524500000000001</v>
      </c>
      <c r="AD449" s="1" t="str">
        <f t="shared" si="39"/>
        <v>Công An xã Quảng Tín</v>
      </c>
      <c r="AE449" s="1" t="str">
        <f t="shared" si="40"/>
        <v>Đồn CA KCN Nhân Cơ</v>
      </c>
      <c r="AG449">
        <f t="shared" si="41"/>
        <v>0.10808</v>
      </c>
      <c r="AH449">
        <f t="shared" si="42"/>
        <v>9.6829999999999999E-2</v>
      </c>
      <c r="AI449" t="e">
        <f>VLOOKUP(L449,'[1]Tuyến cáp H04'!$B:$E,3,0)/1000</f>
        <v>#N/A</v>
      </c>
      <c r="AJ449" t="e">
        <f>VLOOKUP(L449,'[1]Tuyến cáp H04'!$B:$E,4,0)</f>
        <v>#N/A</v>
      </c>
    </row>
    <row r="450" spans="1:36" x14ac:dyDescent="0.25">
      <c r="A450" s="1" t="s">
        <v>4195</v>
      </c>
      <c r="B450" s="1" t="s">
        <v>4196</v>
      </c>
      <c r="C450" s="1" t="s">
        <v>4197</v>
      </c>
      <c r="D450" s="1" t="s">
        <v>3562</v>
      </c>
      <c r="E450" s="1" t="s">
        <v>3563</v>
      </c>
      <c r="F450" s="1" t="s">
        <v>4198</v>
      </c>
      <c r="G450" s="1" t="s">
        <v>14129</v>
      </c>
      <c r="H450" s="1" t="s">
        <v>14532</v>
      </c>
      <c r="I450" s="1" t="s">
        <v>14573</v>
      </c>
      <c r="J450" s="1" t="s">
        <v>23</v>
      </c>
      <c r="K450" s="1"/>
      <c r="L450" s="1" t="s">
        <v>3853</v>
      </c>
      <c r="M450" s="1" t="s">
        <v>4199</v>
      </c>
      <c r="N450" s="1" t="s">
        <v>4200</v>
      </c>
      <c r="O450" s="1" t="s">
        <v>4201</v>
      </c>
      <c r="P450" s="1" t="s">
        <v>4202</v>
      </c>
      <c r="Q450" s="1" t="s">
        <v>4203</v>
      </c>
      <c r="R450" s="1" t="s">
        <v>4204</v>
      </c>
      <c r="S450" s="1" t="s">
        <v>4205</v>
      </c>
      <c r="T450" s="1" t="s">
        <v>4206</v>
      </c>
      <c r="U450">
        <v>3604.33</v>
      </c>
      <c r="V450">
        <v>3532.75</v>
      </c>
      <c r="W450">
        <v>11.992851999999999</v>
      </c>
      <c r="X450">
        <v>107.510395</v>
      </c>
      <c r="Y450">
        <v>71.58</v>
      </c>
      <c r="Z450">
        <v>12.00653</v>
      </c>
      <c r="AA450">
        <v>107.513014</v>
      </c>
      <c r="AB450" s="5">
        <f t="shared" si="37"/>
        <v>5.2991250000000001</v>
      </c>
      <c r="AC450" s="5">
        <f t="shared" si="38"/>
        <v>0.10737000000000001</v>
      </c>
      <c r="AD450" s="1" t="str">
        <f t="shared" si="39"/>
        <v>Đội CC&amp;CNCH khu vực 13</v>
      </c>
      <c r="AE450" s="1" t="str">
        <f t="shared" si="40"/>
        <v>Công an xã Quảng Tín</v>
      </c>
      <c r="AG450">
        <f t="shared" si="41"/>
        <v>3.5327500000000001</v>
      </c>
      <c r="AH450">
        <f t="shared" si="42"/>
        <v>7.1580000000000005E-2</v>
      </c>
      <c r="AI450" t="e">
        <f>VLOOKUP(L450,'[1]Tuyến cáp H04'!$B:$E,3,0)/1000</f>
        <v>#N/A</v>
      </c>
      <c r="AJ450" t="e">
        <f>VLOOKUP(L450,'[1]Tuyến cáp H04'!$B:$E,4,0)</f>
        <v>#N/A</v>
      </c>
    </row>
    <row r="451" spans="1:36" x14ac:dyDescent="0.25">
      <c r="A451" s="1" t="s">
        <v>4207</v>
      </c>
      <c r="B451" s="1" t="s">
        <v>4208</v>
      </c>
      <c r="C451" s="1" t="s">
        <v>4209</v>
      </c>
      <c r="D451" s="1" t="s">
        <v>3562</v>
      </c>
      <c r="E451" s="1" t="s">
        <v>3563</v>
      </c>
      <c r="F451" s="1" t="s">
        <v>4210</v>
      </c>
      <c r="G451" s="1" t="s">
        <v>14129</v>
      </c>
      <c r="H451" s="1" t="s">
        <v>14532</v>
      </c>
      <c r="I451" s="1" t="s">
        <v>14574</v>
      </c>
      <c r="J451" s="1" t="s">
        <v>23</v>
      </c>
      <c r="K451" s="1"/>
      <c r="L451" s="1" t="s">
        <v>3853</v>
      </c>
      <c r="M451" s="1" t="s">
        <v>4211</v>
      </c>
      <c r="N451" s="1" t="s">
        <v>4212</v>
      </c>
      <c r="O451" s="1" t="s">
        <v>4213</v>
      </c>
      <c r="P451" s="1" t="s">
        <v>4214</v>
      </c>
      <c r="Q451" s="1" t="s">
        <v>4032</v>
      </c>
      <c r="R451" s="1" t="s">
        <v>4033</v>
      </c>
      <c r="S451" s="1" t="s">
        <v>4034</v>
      </c>
      <c r="T451" s="1" t="s">
        <v>3861</v>
      </c>
      <c r="U451">
        <v>2602.9899999999998</v>
      </c>
      <c r="V451">
        <v>990.75</v>
      </c>
      <c r="W451">
        <v>11.95595</v>
      </c>
      <c r="X451">
        <v>107.471277</v>
      </c>
      <c r="Y451">
        <v>1612.24</v>
      </c>
      <c r="Z451">
        <v>11.992825</v>
      </c>
      <c r="AA451">
        <v>107.510738</v>
      </c>
      <c r="AB451" s="5">
        <f t="shared" ref="AB451:AB514" si="43">V451*1.5/1000</f>
        <v>1.4861249999999999</v>
      </c>
      <c r="AC451" s="5">
        <f t="shared" ref="AC451:AC514" si="44">Y451*1.5/1000</f>
        <v>2.4183600000000003</v>
      </c>
      <c r="AD451" s="1" t="str">
        <f t="shared" ref="AD451:AD514" si="45">TRIM(LEFT(L451,FIND("-",L451)-1))</f>
        <v>Đội CC&amp;CNCH khu vực 13</v>
      </c>
      <c r="AE451" s="1" t="str">
        <f t="shared" ref="AE451:AE514" si="46">TRIM(RIGHT(L451, LEN(L451) - FIND("-", L451)))</f>
        <v>Công an xã Quảng Tín</v>
      </c>
      <c r="AG451">
        <f t="shared" ref="AG451:AG514" si="47">V451/1000</f>
        <v>0.99075000000000002</v>
      </c>
      <c r="AH451">
        <f t="shared" ref="AH451:AH514" si="48">Y451/1000</f>
        <v>1.6122400000000001</v>
      </c>
      <c r="AI451" t="e">
        <f>VLOOKUP(L451,'[1]Tuyến cáp H04'!$B:$E,3,0)/1000</f>
        <v>#N/A</v>
      </c>
      <c r="AJ451" t="e">
        <f>VLOOKUP(L451,'[1]Tuyến cáp H04'!$B:$E,4,0)</f>
        <v>#N/A</v>
      </c>
    </row>
    <row r="452" spans="1:36" x14ac:dyDescent="0.25">
      <c r="A452" s="1" t="s">
        <v>4215</v>
      </c>
      <c r="B452" s="1" t="s">
        <v>4095</v>
      </c>
      <c r="C452" s="1" t="s">
        <v>4096</v>
      </c>
      <c r="D452" s="1" t="s">
        <v>3812</v>
      </c>
      <c r="E452" s="1" t="s">
        <v>3813</v>
      </c>
      <c r="F452" s="1" t="s">
        <v>4216</v>
      </c>
      <c r="G452" s="1" t="s">
        <v>14129</v>
      </c>
      <c r="H452" s="1" t="s">
        <v>14532</v>
      </c>
      <c r="I452" s="1" t="s">
        <v>14575</v>
      </c>
      <c r="J452" s="1" t="s">
        <v>23</v>
      </c>
      <c r="K452" s="1"/>
      <c r="L452" s="1" t="s">
        <v>3817</v>
      </c>
      <c r="M452" s="1" t="s">
        <v>4217</v>
      </c>
      <c r="N452" s="1" t="s">
        <v>4218</v>
      </c>
      <c r="O452" s="1" t="s">
        <v>4219</v>
      </c>
      <c r="P452" s="1" t="s">
        <v>4220</v>
      </c>
      <c r="Q452" s="1" t="s">
        <v>3819</v>
      </c>
      <c r="R452" s="1" t="s">
        <v>3820</v>
      </c>
      <c r="S452" s="1" t="s">
        <v>3821</v>
      </c>
      <c r="T452" s="1" t="s">
        <v>3825</v>
      </c>
      <c r="U452">
        <v>1891.62</v>
      </c>
      <c r="V452">
        <v>1761.43</v>
      </c>
      <c r="W452">
        <v>12.001448999999999</v>
      </c>
      <c r="X452">
        <v>107.676164</v>
      </c>
      <c r="Y452">
        <v>130.19</v>
      </c>
      <c r="Z452">
        <v>11.982198</v>
      </c>
      <c r="AA452">
        <v>107.58801200000001</v>
      </c>
      <c r="AB452" s="5">
        <f t="shared" si="43"/>
        <v>2.6421450000000002</v>
      </c>
      <c r="AC452" s="5">
        <f t="shared" si="44"/>
        <v>0.19528499999999999</v>
      </c>
      <c r="AD452" s="1" t="str">
        <f t="shared" si="45"/>
        <v>Công an phường Nam Gia Nghĩa</v>
      </c>
      <c r="AE452" s="1" t="str">
        <f t="shared" si="46"/>
        <v>Công an xã Kiến Đức</v>
      </c>
      <c r="AG452">
        <f t="shared" si="47"/>
        <v>1.7614300000000001</v>
      </c>
      <c r="AH452">
        <f t="shared" si="48"/>
        <v>0.13019</v>
      </c>
      <c r="AI452" t="e">
        <f>VLOOKUP(L452,'[1]Tuyến cáp H04'!$B:$E,3,0)/1000</f>
        <v>#N/A</v>
      </c>
      <c r="AJ452" t="e">
        <f>VLOOKUP(L452,'[1]Tuyến cáp H04'!$B:$E,4,0)</f>
        <v>#N/A</v>
      </c>
    </row>
    <row r="453" spans="1:36" x14ac:dyDescent="0.25">
      <c r="A453" s="1" t="s">
        <v>4221</v>
      </c>
      <c r="B453" s="1" t="s">
        <v>4222</v>
      </c>
      <c r="C453" s="1" t="s">
        <v>4223</v>
      </c>
      <c r="D453" s="1" t="s">
        <v>3562</v>
      </c>
      <c r="E453" s="1" t="s">
        <v>3563</v>
      </c>
      <c r="F453" s="1" t="s">
        <v>4224</v>
      </c>
      <c r="G453" s="1" t="s">
        <v>14129</v>
      </c>
      <c r="H453" s="1" t="s">
        <v>14532</v>
      </c>
      <c r="I453" s="1" t="s">
        <v>14576</v>
      </c>
      <c r="J453" s="1" t="s">
        <v>23</v>
      </c>
      <c r="K453" s="1"/>
      <c r="L453" s="1" t="s">
        <v>3817</v>
      </c>
      <c r="M453" s="1" t="s">
        <v>4225</v>
      </c>
      <c r="N453" s="1" t="s">
        <v>4226</v>
      </c>
      <c r="O453" s="1" t="s">
        <v>4227</v>
      </c>
      <c r="P453" s="1" t="s">
        <v>4228</v>
      </c>
      <c r="Q453" s="1" t="s">
        <v>4229</v>
      </c>
      <c r="R453" s="1" t="s">
        <v>4230</v>
      </c>
      <c r="S453" s="1" t="s">
        <v>4231</v>
      </c>
      <c r="T453" s="1" t="s">
        <v>3825</v>
      </c>
      <c r="U453">
        <v>878.46</v>
      </c>
      <c r="V453">
        <v>222.28</v>
      </c>
      <c r="W453">
        <v>11.993556999999999</v>
      </c>
      <c r="X453">
        <v>107.546589</v>
      </c>
      <c r="Y453">
        <v>656.18</v>
      </c>
      <c r="Z453">
        <v>12.001529</v>
      </c>
      <c r="AA453">
        <v>107.511134</v>
      </c>
      <c r="AB453" s="5">
        <f t="shared" si="43"/>
        <v>0.33341999999999999</v>
      </c>
      <c r="AC453" s="5">
        <f t="shared" si="44"/>
        <v>0.98426999999999998</v>
      </c>
      <c r="AD453" s="1" t="str">
        <f t="shared" si="45"/>
        <v>Công an phường Nam Gia Nghĩa</v>
      </c>
      <c r="AE453" s="1" t="str">
        <f t="shared" si="46"/>
        <v>Công an xã Kiến Đức</v>
      </c>
      <c r="AG453">
        <f t="shared" si="47"/>
        <v>0.22228000000000001</v>
      </c>
      <c r="AH453">
        <f t="shared" si="48"/>
        <v>0.65617999999999999</v>
      </c>
      <c r="AI453" t="e">
        <f>VLOOKUP(L453,'[1]Tuyến cáp H04'!$B:$E,3,0)/1000</f>
        <v>#N/A</v>
      </c>
      <c r="AJ453" t="e">
        <f>VLOOKUP(L453,'[1]Tuyến cáp H04'!$B:$E,4,0)</f>
        <v>#N/A</v>
      </c>
    </row>
    <row r="454" spans="1:36" x14ac:dyDescent="0.25">
      <c r="A454" s="1" t="s">
        <v>4232</v>
      </c>
      <c r="B454" s="1" t="s">
        <v>4095</v>
      </c>
      <c r="C454" s="1" t="s">
        <v>4096</v>
      </c>
      <c r="D454" s="1" t="s">
        <v>3827</v>
      </c>
      <c r="E454" s="1" t="s">
        <v>3828</v>
      </c>
      <c r="F454" s="1" t="s">
        <v>4233</v>
      </c>
      <c r="G454" s="1" t="s">
        <v>14129</v>
      </c>
      <c r="H454" s="1" t="s">
        <v>14532</v>
      </c>
      <c r="I454" s="1" t="s">
        <v>14577</v>
      </c>
      <c r="J454" s="1" t="s">
        <v>23</v>
      </c>
      <c r="K454" s="1"/>
      <c r="L454" s="1" t="s">
        <v>4234</v>
      </c>
      <c r="M454" s="1" t="s">
        <v>4235</v>
      </c>
      <c r="N454" s="1" t="s">
        <v>4236</v>
      </c>
      <c r="O454" s="1" t="s">
        <v>4237</v>
      </c>
      <c r="P454" s="1" t="s">
        <v>4238</v>
      </c>
      <c r="Q454" s="1" t="s">
        <v>4239</v>
      </c>
      <c r="R454" s="1" t="s">
        <v>4240</v>
      </c>
      <c r="S454" s="1" t="s">
        <v>4241</v>
      </c>
      <c r="T454" s="1" t="s">
        <v>4242</v>
      </c>
      <c r="U454">
        <v>1887.02</v>
      </c>
      <c r="V454">
        <v>1596.34</v>
      </c>
      <c r="W454">
        <v>12.013104</v>
      </c>
      <c r="X454">
        <v>107.68238100000001</v>
      </c>
      <c r="Y454">
        <v>290.69</v>
      </c>
      <c r="Z454">
        <v>11.981328</v>
      </c>
      <c r="AA454">
        <v>107.65792500000001</v>
      </c>
      <c r="AB454" s="5">
        <f t="shared" si="43"/>
        <v>2.3945099999999999</v>
      </c>
      <c r="AC454" s="5">
        <f t="shared" si="44"/>
        <v>0.43603499999999995</v>
      </c>
      <c r="AD454" s="1" t="str">
        <f t="shared" si="45"/>
        <v>Công an xã Nhân Cơ</v>
      </c>
      <c r="AE454" s="1" t="str">
        <f t="shared" si="46"/>
        <v>Công an tỉnh Lâm Đồng - TT2</v>
      </c>
      <c r="AG454">
        <f t="shared" si="47"/>
        <v>1.5963399999999999</v>
      </c>
      <c r="AH454">
        <f t="shared" si="48"/>
        <v>0.29069</v>
      </c>
      <c r="AI454" t="e">
        <f>VLOOKUP(L454,'[1]Tuyến cáp H04'!$B:$E,3,0)/1000</f>
        <v>#N/A</v>
      </c>
      <c r="AJ454" t="e">
        <f>VLOOKUP(L454,'[1]Tuyến cáp H04'!$B:$E,4,0)</f>
        <v>#N/A</v>
      </c>
    </row>
    <row r="455" spans="1:36" x14ac:dyDescent="0.25">
      <c r="A455" s="1" t="s">
        <v>4243</v>
      </c>
      <c r="B455" s="1" t="s">
        <v>4244</v>
      </c>
      <c r="C455" s="1" t="s">
        <v>4245</v>
      </c>
      <c r="D455" s="1" t="s">
        <v>3562</v>
      </c>
      <c r="E455" s="1" t="s">
        <v>3563</v>
      </c>
      <c r="F455" s="1" t="s">
        <v>4246</v>
      </c>
      <c r="G455" s="1" t="s">
        <v>14129</v>
      </c>
      <c r="H455" s="1" t="s">
        <v>14532</v>
      </c>
      <c r="I455" s="1" t="s">
        <v>14578</v>
      </c>
      <c r="J455" s="1" t="s">
        <v>23</v>
      </c>
      <c r="K455" s="1"/>
      <c r="L455" s="1" t="s">
        <v>3730</v>
      </c>
      <c r="M455" s="1" t="s">
        <v>4247</v>
      </c>
      <c r="N455" s="1" t="s">
        <v>4248</v>
      </c>
      <c r="O455" s="1" t="s">
        <v>4249</v>
      </c>
      <c r="P455" s="1" t="s">
        <v>4250</v>
      </c>
      <c r="Q455" s="1" t="s">
        <v>4251</v>
      </c>
      <c r="R455" s="1" t="s">
        <v>4249</v>
      </c>
      <c r="S455" s="1" t="s">
        <v>4250</v>
      </c>
      <c r="T455" s="1" t="s">
        <v>4252</v>
      </c>
      <c r="U455">
        <v>1580.52</v>
      </c>
      <c r="V455">
        <v>1573.51</v>
      </c>
      <c r="W455">
        <v>12.007192</v>
      </c>
      <c r="X455">
        <v>107.51297599999999</v>
      </c>
      <c r="Y455">
        <v>7.01</v>
      </c>
      <c r="Z455">
        <v>12.007192</v>
      </c>
      <c r="AA455">
        <v>107.51297599999999</v>
      </c>
      <c r="AB455" s="5">
        <f t="shared" si="43"/>
        <v>2.3602650000000001</v>
      </c>
      <c r="AC455" s="5">
        <f t="shared" si="44"/>
        <v>1.0515E-2</v>
      </c>
      <c r="AD455" s="1" t="str">
        <f t="shared" si="45"/>
        <v>Đường Quảng Tân</v>
      </c>
      <c r="AE455" s="1" t="str">
        <f t="shared" si="46"/>
        <v>TTCMKV Đắk R'Lấp</v>
      </c>
      <c r="AG455">
        <f t="shared" si="47"/>
        <v>1.57351</v>
      </c>
      <c r="AH455">
        <f t="shared" si="48"/>
        <v>7.0099999999999997E-3</v>
      </c>
      <c r="AI455" t="e">
        <f>VLOOKUP(L455,'[1]Tuyến cáp H04'!$B:$E,3,0)/1000</f>
        <v>#N/A</v>
      </c>
      <c r="AJ455" t="e">
        <f>VLOOKUP(L455,'[1]Tuyến cáp H04'!$B:$E,4,0)</f>
        <v>#N/A</v>
      </c>
    </row>
    <row r="456" spans="1:36" x14ac:dyDescent="0.25">
      <c r="A456" s="1" t="s">
        <v>4253</v>
      </c>
      <c r="B456" s="1" t="s">
        <v>4254</v>
      </c>
      <c r="C456" s="1" t="s">
        <v>4255</v>
      </c>
      <c r="D456" s="1" t="s">
        <v>3848</v>
      </c>
      <c r="E456" s="1" t="s">
        <v>3849</v>
      </c>
      <c r="F456" s="1" t="s">
        <v>4256</v>
      </c>
      <c r="G456" s="1" t="s">
        <v>14129</v>
      </c>
      <c r="H456" s="1" t="s">
        <v>14532</v>
      </c>
      <c r="I456" s="1" t="s">
        <v>14579</v>
      </c>
      <c r="J456" s="1" t="s">
        <v>23</v>
      </c>
      <c r="K456" s="1"/>
      <c r="L456" s="1" t="s">
        <v>4079</v>
      </c>
      <c r="M456" s="1" t="s">
        <v>4257</v>
      </c>
      <c r="N456" s="1" t="s">
        <v>4258</v>
      </c>
      <c r="O456" s="1" t="s">
        <v>4259</v>
      </c>
      <c r="P456" s="1" t="s">
        <v>4260</v>
      </c>
      <c r="Q456" s="1" t="s">
        <v>4261</v>
      </c>
      <c r="R456" s="1" t="s">
        <v>4262</v>
      </c>
      <c r="S456" s="1" t="s">
        <v>4263</v>
      </c>
      <c r="T456" s="1" t="s">
        <v>4194</v>
      </c>
      <c r="U456">
        <v>1133.31</v>
      </c>
      <c r="V456">
        <v>163.54</v>
      </c>
      <c r="W456">
        <v>11.877682999999999</v>
      </c>
      <c r="X456">
        <v>107.41624</v>
      </c>
      <c r="Y456">
        <v>969.77</v>
      </c>
      <c r="Z456">
        <v>11.904558</v>
      </c>
      <c r="AA456">
        <v>107.395252</v>
      </c>
      <c r="AB456" s="5">
        <f t="shared" si="43"/>
        <v>0.24531</v>
      </c>
      <c r="AC456" s="5">
        <f t="shared" si="44"/>
        <v>1.454655</v>
      </c>
      <c r="AD456" s="1" t="str">
        <f t="shared" si="45"/>
        <v>Công An xã Quảng Tín</v>
      </c>
      <c r="AE456" s="1" t="str">
        <f t="shared" si="46"/>
        <v>Đồn CA KCN Nhân Cơ</v>
      </c>
      <c r="AG456">
        <f t="shared" si="47"/>
        <v>0.16353999999999999</v>
      </c>
      <c r="AH456">
        <f t="shared" si="48"/>
        <v>0.96977000000000002</v>
      </c>
      <c r="AI456" t="e">
        <f>VLOOKUP(L456,'[1]Tuyến cáp H04'!$B:$E,3,0)/1000</f>
        <v>#N/A</v>
      </c>
      <c r="AJ456" t="e">
        <f>VLOOKUP(L456,'[1]Tuyến cáp H04'!$B:$E,4,0)</f>
        <v>#N/A</v>
      </c>
    </row>
    <row r="457" spans="1:36" x14ac:dyDescent="0.25">
      <c r="A457" s="1" t="s">
        <v>4264</v>
      </c>
      <c r="B457" s="1" t="s">
        <v>4265</v>
      </c>
      <c r="C457" s="1" t="s">
        <v>4266</v>
      </c>
      <c r="D457" s="1" t="s">
        <v>3562</v>
      </c>
      <c r="E457" s="1" t="s">
        <v>3563</v>
      </c>
      <c r="F457" s="1" t="s">
        <v>4267</v>
      </c>
      <c r="G457" s="1" t="s">
        <v>14129</v>
      </c>
      <c r="H457" s="1" t="s">
        <v>14532</v>
      </c>
      <c r="I457" s="1" t="s">
        <v>14580</v>
      </c>
      <c r="J457" s="1" t="s">
        <v>23</v>
      </c>
      <c r="K457" s="1"/>
      <c r="L457" s="1" t="s">
        <v>3853</v>
      </c>
      <c r="M457" s="1" t="s">
        <v>4268</v>
      </c>
      <c r="N457" s="1" t="s">
        <v>4269</v>
      </c>
      <c r="O457" s="1" t="s">
        <v>4270</v>
      </c>
      <c r="P457" s="1" t="s">
        <v>4271</v>
      </c>
      <c r="Q457" s="1" t="s">
        <v>4032</v>
      </c>
      <c r="R457" s="1" t="s">
        <v>4033</v>
      </c>
      <c r="S457" s="1" t="s">
        <v>4034</v>
      </c>
      <c r="T457" s="1" t="s">
        <v>3861</v>
      </c>
      <c r="U457">
        <v>1706.8</v>
      </c>
      <c r="V457">
        <v>94.57</v>
      </c>
      <c r="W457">
        <v>11.932662000000001</v>
      </c>
      <c r="X457">
        <v>107.433708</v>
      </c>
      <c r="Y457">
        <v>1612.24</v>
      </c>
      <c r="Z457">
        <v>11.992825</v>
      </c>
      <c r="AA457">
        <v>107.510738</v>
      </c>
      <c r="AB457" s="5">
        <f t="shared" si="43"/>
        <v>0.14185499999999998</v>
      </c>
      <c r="AC457" s="5">
        <f t="shared" si="44"/>
        <v>2.4183600000000003</v>
      </c>
      <c r="AD457" s="1" t="str">
        <f t="shared" si="45"/>
        <v>Đội CC&amp;CNCH khu vực 13</v>
      </c>
      <c r="AE457" s="1" t="str">
        <f t="shared" si="46"/>
        <v>Công an xã Quảng Tín</v>
      </c>
      <c r="AG457">
        <f t="shared" si="47"/>
        <v>9.4569999999999987E-2</v>
      </c>
      <c r="AH457">
        <f t="shared" si="48"/>
        <v>1.6122400000000001</v>
      </c>
      <c r="AI457" t="e">
        <f>VLOOKUP(L457,'[1]Tuyến cáp H04'!$B:$E,3,0)/1000</f>
        <v>#N/A</v>
      </c>
      <c r="AJ457" t="e">
        <f>VLOOKUP(L457,'[1]Tuyến cáp H04'!$B:$E,4,0)</f>
        <v>#N/A</v>
      </c>
    </row>
    <row r="458" spans="1:36" x14ac:dyDescent="0.25">
      <c r="A458" s="1" t="s">
        <v>4272</v>
      </c>
      <c r="B458" s="1" t="s">
        <v>4273</v>
      </c>
      <c r="C458" s="1" t="s">
        <v>4274</v>
      </c>
      <c r="D458" s="1" t="s">
        <v>4059</v>
      </c>
      <c r="E458" s="1" t="s">
        <v>4060</v>
      </c>
      <c r="F458" s="1" t="s">
        <v>4275</v>
      </c>
      <c r="G458" s="1" t="s">
        <v>14129</v>
      </c>
      <c r="H458" s="1" t="s">
        <v>14532</v>
      </c>
      <c r="I458" s="1" t="s">
        <v>14581</v>
      </c>
      <c r="J458" s="1" t="s">
        <v>23</v>
      </c>
      <c r="K458" s="1"/>
      <c r="L458" s="1" t="s">
        <v>4276</v>
      </c>
      <c r="M458" s="1" t="s">
        <v>4277</v>
      </c>
      <c r="N458" s="1" t="s">
        <v>4278</v>
      </c>
      <c r="O458" s="1" t="s">
        <v>4279</v>
      </c>
      <c r="P458" s="1" t="s">
        <v>4280</v>
      </c>
      <c r="Q458" s="1" t="s">
        <v>4281</v>
      </c>
      <c r="R458" s="1" t="s">
        <v>4282</v>
      </c>
      <c r="S458" s="1" t="s">
        <v>4283</v>
      </c>
      <c r="T458" s="1" t="s">
        <v>4284</v>
      </c>
      <c r="U458">
        <v>162.13999999999999</v>
      </c>
      <c r="V458">
        <v>157.93</v>
      </c>
      <c r="W458">
        <v>11.958558</v>
      </c>
      <c r="X458">
        <v>107.727834</v>
      </c>
      <c r="Y458">
        <v>4.21</v>
      </c>
      <c r="Z458">
        <v>11.95994</v>
      </c>
      <c r="AA458">
        <v>107.728562</v>
      </c>
      <c r="AB458" s="5">
        <f t="shared" si="43"/>
        <v>0.23689500000000002</v>
      </c>
      <c r="AC458" s="5">
        <f t="shared" si="44"/>
        <v>6.3149999999999994E-3</v>
      </c>
      <c r="AD458" s="1" t="str">
        <f t="shared" si="45"/>
        <v>Công an phường Đông Gia Nghĩa</v>
      </c>
      <c r="AE458" s="1" t="str">
        <f t="shared" si="46"/>
        <v>Công an phường Nam Gia Nghĩa</v>
      </c>
      <c r="AG458">
        <f t="shared" si="47"/>
        <v>0.15793000000000001</v>
      </c>
      <c r="AH458">
        <f t="shared" si="48"/>
        <v>4.2100000000000002E-3</v>
      </c>
      <c r="AI458" t="e">
        <f>VLOOKUP(L458,'[1]Tuyến cáp H04'!$B:$E,3,0)/1000</f>
        <v>#N/A</v>
      </c>
      <c r="AJ458" t="e">
        <f>VLOOKUP(L458,'[1]Tuyến cáp H04'!$B:$E,4,0)</f>
        <v>#N/A</v>
      </c>
    </row>
    <row r="459" spans="1:36" x14ac:dyDescent="0.25">
      <c r="A459" s="1" t="s">
        <v>4285</v>
      </c>
      <c r="B459" s="1" t="s">
        <v>4286</v>
      </c>
      <c r="C459" s="1" t="s">
        <v>4287</v>
      </c>
      <c r="D459" s="1" t="s">
        <v>3799</v>
      </c>
      <c r="E459" s="1" t="s">
        <v>3800</v>
      </c>
      <c r="F459" s="1" t="s">
        <v>4288</v>
      </c>
      <c r="G459" s="1" t="s">
        <v>14281</v>
      </c>
      <c r="H459" s="1" t="s">
        <v>14282</v>
      </c>
      <c r="I459" s="1" t="s">
        <v>14582</v>
      </c>
      <c r="J459" s="1" t="s">
        <v>23</v>
      </c>
      <c r="K459" s="1"/>
      <c r="L459" s="1" t="s">
        <v>4007</v>
      </c>
      <c r="M459" s="1" t="s">
        <v>4289</v>
      </c>
      <c r="N459" s="1" t="s">
        <v>4290</v>
      </c>
      <c r="O459" s="1" t="s">
        <v>4291</v>
      </c>
      <c r="P459" s="1" t="s">
        <v>4292</v>
      </c>
      <c r="Q459" s="1" t="s">
        <v>4012</v>
      </c>
      <c r="R459" s="1" t="s">
        <v>4013</v>
      </c>
      <c r="S459" s="1" t="s">
        <v>4014</v>
      </c>
      <c r="T459" s="1" t="s">
        <v>4015</v>
      </c>
      <c r="U459">
        <v>364.07</v>
      </c>
      <c r="V459">
        <v>348.67</v>
      </c>
      <c r="W459">
        <v>11.992516999999999</v>
      </c>
      <c r="X459">
        <v>107.6704</v>
      </c>
      <c r="Y459">
        <v>15.4</v>
      </c>
      <c r="Z459">
        <v>12.023471000000001</v>
      </c>
      <c r="AA459">
        <v>107.686087</v>
      </c>
      <c r="AB459" s="5">
        <f t="shared" si="43"/>
        <v>0.52300499999999994</v>
      </c>
      <c r="AC459" s="5">
        <f t="shared" si="44"/>
        <v>2.3100000000000002E-2</v>
      </c>
      <c r="AD459" s="1" t="str">
        <f t="shared" si="45"/>
        <v>Phòng PA06</v>
      </c>
      <c r="AE459" s="1" t="str">
        <f t="shared" si="46"/>
        <v>Tổ địa bàn số 2 - Công an tỉnh Lâm Đồng - TT2</v>
      </c>
      <c r="AG459">
        <f t="shared" si="47"/>
        <v>0.34867000000000004</v>
      </c>
      <c r="AH459">
        <f t="shared" si="48"/>
        <v>1.54E-2</v>
      </c>
      <c r="AI459" t="e">
        <f>VLOOKUP(L459,'[1]Tuyến cáp H04'!$B:$E,3,0)/1000</f>
        <v>#N/A</v>
      </c>
      <c r="AJ459" t="e">
        <f>VLOOKUP(L459,'[1]Tuyến cáp H04'!$B:$E,4,0)</f>
        <v>#N/A</v>
      </c>
    </row>
    <row r="460" spans="1:36" x14ac:dyDescent="0.25">
      <c r="A460" s="1" t="s">
        <v>4293</v>
      </c>
      <c r="B460" s="1" t="s">
        <v>3799</v>
      </c>
      <c r="C460" s="1" t="s">
        <v>3800</v>
      </c>
      <c r="D460" s="1" t="s">
        <v>4286</v>
      </c>
      <c r="E460" s="1" t="s">
        <v>4287</v>
      </c>
      <c r="F460" s="1" t="s">
        <v>4294</v>
      </c>
      <c r="G460" s="1" t="s">
        <v>14281</v>
      </c>
      <c r="H460" s="1" t="s">
        <v>14282</v>
      </c>
      <c r="I460" s="1" t="s">
        <v>14583</v>
      </c>
      <c r="J460" s="1" t="s">
        <v>23</v>
      </c>
      <c r="K460" s="1"/>
      <c r="L460" s="1" t="s">
        <v>4007</v>
      </c>
      <c r="M460" s="1" t="s">
        <v>4289</v>
      </c>
      <c r="N460" s="1" t="s">
        <v>4012</v>
      </c>
      <c r="O460" s="1" t="s">
        <v>4013</v>
      </c>
      <c r="P460" s="1" t="s">
        <v>4014</v>
      </c>
      <c r="Q460" s="1" t="s">
        <v>4290</v>
      </c>
      <c r="R460" s="1" t="s">
        <v>4291</v>
      </c>
      <c r="S460" s="1" t="s">
        <v>4292</v>
      </c>
      <c r="T460" s="1" t="s">
        <v>4015</v>
      </c>
      <c r="U460">
        <v>364.07</v>
      </c>
      <c r="V460">
        <v>15.4</v>
      </c>
      <c r="W460">
        <v>12.023471000000001</v>
      </c>
      <c r="X460">
        <v>107.686087</v>
      </c>
      <c r="Y460">
        <v>348.67</v>
      </c>
      <c r="Z460">
        <v>11.992516999999999</v>
      </c>
      <c r="AA460">
        <v>107.6704</v>
      </c>
      <c r="AB460" s="5">
        <f t="shared" si="43"/>
        <v>2.3100000000000002E-2</v>
      </c>
      <c r="AC460" s="5">
        <f t="shared" si="44"/>
        <v>0.52300499999999994</v>
      </c>
      <c r="AD460" s="1" t="str">
        <f t="shared" si="45"/>
        <v>Phòng PA06</v>
      </c>
      <c r="AE460" s="1" t="str">
        <f t="shared" si="46"/>
        <v>Tổ địa bàn số 2 - Công an tỉnh Lâm Đồng - TT2</v>
      </c>
      <c r="AG460">
        <f t="shared" si="47"/>
        <v>1.54E-2</v>
      </c>
      <c r="AH460">
        <f t="shared" si="48"/>
        <v>0.34867000000000004</v>
      </c>
      <c r="AI460" t="e">
        <f>VLOOKUP(L460,'[1]Tuyến cáp H04'!$B:$E,3,0)/1000</f>
        <v>#N/A</v>
      </c>
      <c r="AJ460" t="e">
        <f>VLOOKUP(L460,'[1]Tuyến cáp H04'!$B:$E,4,0)</f>
        <v>#N/A</v>
      </c>
    </row>
    <row r="461" spans="1:36" x14ac:dyDescent="0.25">
      <c r="A461" s="1" t="s">
        <v>4295</v>
      </c>
      <c r="B461" s="1" t="s">
        <v>3799</v>
      </c>
      <c r="C461" s="1" t="s">
        <v>3800</v>
      </c>
      <c r="D461" s="1" t="s">
        <v>4095</v>
      </c>
      <c r="E461" s="1" t="s">
        <v>4096</v>
      </c>
      <c r="F461" s="1" t="s">
        <v>4296</v>
      </c>
      <c r="G461" s="1" t="s">
        <v>14281</v>
      </c>
      <c r="H461" s="1" t="s">
        <v>14282</v>
      </c>
      <c r="I461" s="1" t="s">
        <v>14584</v>
      </c>
      <c r="J461" s="1" t="s">
        <v>23</v>
      </c>
      <c r="K461" s="1"/>
      <c r="L461" s="1" t="s">
        <v>3528</v>
      </c>
      <c r="M461" s="1" t="s">
        <v>4297</v>
      </c>
      <c r="N461" s="1" t="s">
        <v>3804</v>
      </c>
      <c r="O461" s="1" t="s">
        <v>3805</v>
      </c>
      <c r="P461" s="1" t="s">
        <v>3806</v>
      </c>
      <c r="Q461" s="1" t="s">
        <v>4298</v>
      </c>
      <c r="R461" s="1" t="s">
        <v>4299</v>
      </c>
      <c r="S461" s="1" t="s">
        <v>4300</v>
      </c>
      <c r="T461" s="1" t="s">
        <v>3810</v>
      </c>
      <c r="U461">
        <v>90.99</v>
      </c>
      <c r="V461">
        <v>1.35</v>
      </c>
      <c r="W461">
        <v>12.023592000000001</v>
      </c>
      <c r="X461">
        <v>107.685997</v>
      </c>
      <c r="Y461">
        <v>89.63</v>
      </c>
      <c r="Z461">
        <v>12.00291</v>
      </c>
      <c r="AA461">
        <v>107.69305199999999</v>
      </c>
      <c r="AB461" s="5">
        <f t="shared" si="43"/>
        <v>2.0250000000000003E-3</v>
      </c>
      <c r="AC461" s="5">
        <f t="shared" si="44"/>
        <v>0.13444499999999998</v>
      </c>
      <c r="AD461" s="1" t="str">
        <f t="shared" si="45"/>
        <v>Công an tỉnh Lâm Đồng</v>
      </c>
      <c r="AE461" s="1" t="str">
        <f t="shared" si="46"/>
        <v>TT2 - Công an xã Quảng Khê</v>
      </c>
      <c r="AG461">
        <f t="shared" si="47"/>
        <v>1.3500000000000001E-3</v>
      </c>
      <c r="AH461">
        <f t="shared" si="48"/>
        <v>8.9630000000000001E-2</v>
      </c>
      <c r="AI461" t="e">
        <f>VLOOKUP(L461,'[1]Tuyến cáp H04'!$B:$E,3,0)/1000</f>
        <v>#N/A</v>
      </c>
      <c r="AJ461" t="e">
        <f>VLOOKUP(L461,'[1]Tuyến cáp H04'!$B:$E,4,0)</f>
        <v>#N/A</v>
      </c>
    </row>
    <row r="462" spans="1:36" x14ac:dyDescent="0.25">
      <c r="A462" s="1" t="s">
        <v>4301</v>
      </c>
      <c r="B462" s="1" t="s">
        <v>4286</v>
      </c>
      <c r="C462" s="1" t="s">
        <v>4287</v>
      </c>
      <c r="D462" s="1" t="s">
        <v>3562</v>
      </c>
      <c r="E462" s="1" t="s">
        <v>3563</v>
      </c>
      <c r="F462" s="1" t="s">
        <v>4302</v>
      </c>
      <c r="G462" s="1" t="s">
        <v>14281</v>
      </c>
      <c r="H462" s="1" t="s">
        <v>14282</v>
      </c>
      <c r="I462" s="1" t="s">
        <v>14585</v>
      </c>
      <c r="J462" s="1" t="s">
        <v>23</v>
      </c>
      <c r="K462" s="1"/>
      <c r="L462" s="1" t="s">
        <v>3817</v>
      </c>
      <c r="M462" s="1" t="s">
        <v>4303</v>
      </c>
      <c r="N462" s="1" t="s">
        <v>4304</v>
      </c>
      <c r="O462" s="1" t="s">
        <v>4305</v>
      </c>
      <c r="P462" s="1" t="s">
        <v>4306</v>
      </c>
      <c r="Q462" s="1" t="s">
        <v>4229</v>
      </c>
      <c r="R462" s="1" t="s">
        <v>4230</v>
      </c>
      <c r="S462" s="1" t="s">
        <v>4231</v>
      </c>
      <c r="T462" s="1" t="s">
        <v>3825</v>
      </c>
      <c r="U462">
        <v>1003.78</v>
      </c>
      <c r="V462">
        <v>347.59</v>
      </c>
      <c r="W462">
        <v>11.992580999999999</v>
      </c>
      <c r="X462">
        <v>107.670472</v>
      </c>
      <c r="Y462">
        <v>656.18</v>
      </c>
      <c r="Z462">
        <v>12.001529</v>
      </c>
      <c r="AA462">
        <v>107.511134</v>
      </c>
      <c r="AB462" s="5">
        <f t="shared" si="43"/>
        <v>0.52138499999999999</v>
      </c>
      <c r="AC462" s="5">
        <f t="shared" si="44"/>
        <v>0.98426999999999998</v>
      </c>
      <c r="AD462" s="1" t="str">
        <f t="shared" si="45"/>
        <v>Công an phường Nam Gia Nghĩa</v>
      </c>
      <c r="AE462" s="1" t="str">
        <f t="shared" si="46"/>
        <v>Công an xã Kiến Đức</v>
      </c>
      <c r="AG462">
        <f t="shared" si="47"/>
        <v>0.34758999999999995</v>
      </c>
      <c r="AH462">
        <f t="shared" si="48"/>
        <v>0.65617999999999999</v>
      </c>
      <c r="AI462" t="e">
        <f>VLOOKUP(L462,'[1]Tuyến cáp H04'!$B:$E,3,0)/1000</f>
        <v>#N/A</v>
      </c>
      <c r="AJ462" t="e">
        <f>VLOOKUP(L462,'[1]Tuyến cáp H04'!$B:$E,4,0)</f>
        <v>#N/A</v>
      </c>
    </row>
    <row r="463" spans="1:36" x14ac:dyDescent="0.25">
      <c r="A463" s="1" t="s">
        <v>4307</v>
      </c>
      <c r="B463" s="1" t="s">
        <v>3562</v>
      </c>
      <c r="C463" s="1" t="s">
        <v>3563</v>
      </c>
      <c r="D463" s="1" t="s">
        <v>3799</v>
      </c>
      <c r="E463" s="1" t="s">
        <v>3800</v>
      </c>
      <c r="F463" s="1" t="s">
        <v>4308</v>
      </c>
      <c r="G463" s="1" t="s">
        <v>14281</v>
      </c>
      <c r="H463" s="1" t="s">
        <v>14282</v>
      </c>
      <c r="I463" s="1" t="s">
        <v>14586</v>
      </c>
      <c r="J463" s="1" t="s">
        <v>23</v>
      </c>
      <c r="K463" s="1"/>
      <c r="L463" s="1" t="s">
        <v>3817</v>
      </c>
      <c r="M463" s="1" t="s">
        <v>4309</v>
      </c>
      <c r="N463" s="1" t="s">
        <v>4229</v>
      </c>
      <c r="O463" s="1" t="s">
        <v>4230</v>
      </c>
      <c r="P463" s="1" t="s">
        <v>4231</v>
      </c>
      <c r="Q463" s="1" t="s">
        <v>4310</v>
      </c>
      <c r="R463" s="1" t="s">
        <v>4311</v>
      </c>
      <c r="S463" s="1" t="s">
        <v>4312</v>
      </c>
      <c r="T463" s="1" t="s">
        <v>3825</v>
      </c>
      <c r="U463">
        <v>3155.9</v>
      </c>
      <c r="V463">
        <v>656.18</v>
      </c>
      <c r="W463">
        <v>12.001529</v>
      </c>
      <c r="X463">
        <v>107.511134</v>
      </c>
      <c r="Y463">
        <v>2499.7199999999998</v>
      </c>
      <c r="Z463">
        <v>12.003710999999999</v>
      </c>
      <c r="AA463">
        <v>107.675248</v>
      </c>
      <c r="AB463" s="5">
        <f t="shared" si="43"/>
        <v>0.98426999999999998</v>
      </c>
      <c r="AC463" s="5">
        <f t="shared" si="44"/>
        <v>3.7495799999999999</v>
      </c>
      <c r="AD463" s="1" t="str">
        <f t="shared" si="45"/>
        <v>Công an phường Nam Gia Nghĩa</v>
      </c>
      <c r="AE463" s="1" t="str">
        <f t="shared" si="46"/>
        <v>Công an xã Kiến Đức</v>
      </c>
      <c r="AG463">
        <f t="shared" si="47"/>
        <v>0.65617999999999999</v>
      </c>
      <c r="AH463">
        <f t="shared" si="48"/>
        <v>2.4997199999999999</v>
      </c>
      <c r="AI463" t="e">
        <f>VLOOKUP(L463,'[1]Tuyến cáp H04'!$B:$E,3,0)/1000</f>
        <v>#N/A</v>
      </c>
      <c r="AJ463" t="e">
        <f>VLOOKUP(L463,'[1]Tuyến cáp H04'!$B:$E,4,0)</f>
        <v>#N/A</v>
      </c>
    </row>
    <row r="464" spans="1:36" x14ac:dyDescent="0.25">
      <c r="A464" s="1" t="s">
        <v>4313</v>
      </c>
      <c r="B464" s="1" t="s">
        <v>4059</v>
      </c>
      <c r="C464" s="1" t="s">
        <v>4060</v>
      </c>
      <c r="D464" s="1" t="s">
        <v>4314</v>
      </c>
      <c r="E464" s="1" t="s">
        <v>4315</v>
      </c>
      <c r="F464" s="1" t="s">
        <v>4316</v>
      </c>
      <c r="G464" s="1" t="s">
        <v>14281</v>
      </c>
      <c r="H464" s="1" t="s">
        <v>14282</v>
      </c>
      <c r="I464" s="1" t="s">
        <v>14587</v>
      </c>
      <c r="J464" s="1" t="s">
        <v>23</v>
      </c>
      <c r="K464" s="1"/>
      <c r="L464" s="1" t="s">
        <v>3528</v>
      </c>
      <c r="M464" s="1" t="s">
        <v>4317</v>
      </c>
      <c r="N464" s="1" t="s">
        <v>4318</v>
      </c>
      <c r="O464" s="1" t="s">
        <v>4319</v>
      </c>
      <c r="P464" s="1" t="s">
        <v>4320</v>
      </c>
      <c r="Q464" s="1" t="s">
        <v>4321</v>
      </c>
      <c r="R464" s="1" t="s">
        <v>4322</v>
      </c>
      <c r="S464" s="1" t="s">
        <v>4323</v>
      </c>
      <c r="T464" s="1" t="s">
        <v>3810</v>
      </c>
      <c r="U464">
        <v>1177.03</v>
      </c>
      <c r="V464">
        <v>588.54999999999995</v>
      </c>
      <c r="W464">
        <v>11.965242999999999</v>
      </c>
      <c r="X464">
        <v>107.729074</v>
      </c>
      <c r="Y464">
        <v>588.48</v>
      </c>
      <c r="Z464">
        <v>11.940144</v>
      </c>
      <c r="AA464">
        <v>107.75215799999999</v>
      </c>
      <c r="AB464" s="5">
        <f t="shared" si="43"/>
        <v>0.88282499999999997</v>
      </c>
      <c r="AC464" s="5">
        <f t="shared" si="44"/>
        <v>0.88272000000000006</v>
      </c>
      <c r="AD464" s="1" t="str">
        <f t="shared" si="45"/>
        <v>Công an tỉnh Lâm Đồng</v>
      </c>
      <c r="AE464" s="1" t="str">
        <f t="shared" si="46"/>
        <v>TT2 - Công an xã Quảng Khê</v>
      </c>
      <c r="AG464">
        <f t="shared" si="47"/>
        <v>0.58854999999999991</v>
      </c>
      <c r="AH464">
        <f t="shared" si="48"/>
        <v>0.58848</v>
      </c>
      <c r="AI464" t="e">
        <f>VLOOKUP(L464,'[1]Tuyến cáp H04'!$B:$E,3,0)/1000</f>
        <v>#N/A</v>
      </c>
      <c r="AJ464" t="e">
        <f>VLOOKUP(L464,'[1]Tuyến cáp H04'!$B:$E,4,0)</f>
        <v>#N/A</v>
      </c>
    </row>
    <row r="465" spans="1:36" x14ac:dyDescent="0.25">
      <c r="A465" s="1" t="s">
        <v>4324</v>
      </c>
      <c r="B465" s="1" t="s">
        <v>4286</v>
      </c>
      <c r="C465" s="1" t="s">
        <v>4287</v>
      </c>
      <c r="D465" s="1" t="s">
        <v>4325</v>
      </c>
      <c r="E465" s="1" t="s">
        <v>4326</v>
      </c>
      <c r="F465" s="1" t="s">
        <v>4327</v>
      </c>
      <c r="G465" s="1" t="s">
        <v>14281</v>
      </c>
      <c r="H465" s="1" t="s">
        <v>14282</v>
      </c>
      <c r="I465" s="1" t="s">
        <v>14588</v>
      </c>
      <c r="J465" s="1" t="s">
        <v>23</v>
      </c>
      <c r="K465" s="1"/>
      <c r="L465" s="1" t="s">
        <v>3817</v>
      </c>
      <c r="M465" s="1" t="s">
        <v>4328</v>
      </c>
      <c r="N465" s="1" t="s">
        <v>4304</v>
      </c>
      <c r="O465" s="1" t="s">
        <v>4305</v>
      </c>
      <c r="P465" s="1" t="s">
        <v>4306</v>
      </c>
      <c r="Q465" s="1" t="s">
        <v>4329</v>
      </c>
      <c r="R465" s="1" t="s">
        <v>4219</v>
      </c>
      <c r="S465" s="1" t="s">
        <v>4220</v>
      </c>
      <c r="T465" s="1" t="s">
        <v>3825</v>
      </c>
      <c r="U465">
        <v>448.57</v>
      </c>
      <c r="V465">
        <v>347.59</v>
      </c>
      <c r="W465">
        <v>11.992580999999999</v>
      </c>
      <c r="X465">
        <v>107.670472</v>
      </c>
      <c r="Y465">
        <v>100.98</v>
      </c>
      <c r="Z465">
        <v>12.001448999999999</v>
      </c>
      <c r="AA465">
        <v>107.676164</v>
      </c>
      <c r="AB465" s="5">
        <f t="shared" si="43"/>
        <v>0.52138499999999999</v>
      </c>
      <c r="AC465" s="5">
        <f t="shared" si="44"/>
        <v>0.15146999999999999</v>
      </c>
      <c r="AD465" s="1" t="str">
        <f t="shared" si="45"/>
        <v>Công an phường Nam Gia Nghĩa</v>
      </c>
      <c r="AE465" s="1" t="str">
        <f t="shared" si="46"/>
        <v>Công an xã Kiến Đức</v>
      </c>
      <c r="AG465">
        <f t="shared" si="47"/>
        <v>0.34758999999999995</v>
      </c>
      <c r="AH465">
        <f t="shared" si="48"/>
        <v>0.10098</v>
      </c>
      <c r="AI465" t="e">
        <f>VLOOKUP(L465,'[1]Tuyến cáp H04'!$B:$E,3,0)/1000</f>
        <v>#N/A</v>
      </c>
      <c r="AJ465" t="e">
        <f>VLOOKUP(L465,'[1]Tuyến cáp H04'!$B:$E,4,0)</f>
        <v>#N/A</v>
      </c>
    </row>
    <row r="466" spans="1:36" x14ac:dyDescent="0.25">
      <c r="A466" s="1" t="s">
        <v>4330</v>
      </c>
      <c r="B466" s="1" t="s">
        <v>4325</v>
      </c>
      <c r="C466" s="1" t="s">
        <v>4326</v>
      </c>
      <c r="D466" s="1" t="s">
        <v>4331</v>
      </c>
      <c r="E466" s="1" t="s">
        <v>4332</v>
      </c>
      <c r="F466" s="1" t="s">
        <v>4333</v>
      </c>
      <c r="G466" s="1" t="s">
        <v>14281</v>
      </c>
      <c r="H466" s="1" t="s">
        <v>14282</v>
      </c>
      <c r="I466" s="1" t="s">
        <v>14589</v>
      </c>
      <c r="J466" s="1" t="s">
        <v>23</v>
      </c>
      <c r="K466" s="1"/>
      <c r="L466" s="1" t="s">
        <v>4047</v>
      </c>
      <c r="M466" s="1" t="s">
        <v>4334</v>
      </c>
      <c r="N466" s="1" t="s">
        <v>4335</v>
      </c>
      <c r="O466" s="1" t="s">
        <v>4336</v>
      </c>
      <c r="P466" s="1" t="s">
        <v>4337</v>
      </c>
      <c r="Q466" s="1" t="s">
        <v>4338</v>
      </c>
      <c r="R466" s="1" t="s">
        <v>4339</v>
      </c>
      <c r="S466" s="1" t="s">
        <v>4340</v>
      </c>
      <c r="T466" s="1" t="s">
        <v>4055</v>
      </c>
      <c r="U466">
        <v>469.85</v>
      </c>
      <c r="V466">
        <v>361.91</v>
      </c>
      <c r="W466">
        <v>12.001927</v>
      </c>
      <c r="X466">
        <v>107.673315</v>
      </c>
      <c r="Y466">
        <v>107.94</v>
      </c>
      <c r="Z466">
        <v>12.016175</v>
      </c>
      <c r="AA466">
        <v>107.68436699999999</v>
      </c>
      <c r="AB466" s="5">
        <f t="shared" si="43"/>
        <v>0.54286500000000004</v>
      </c>
      <c r="AC466" s="5">
        <f t="shared" si="44"/>
        <v>0.16191</v>
      </c>
      <c r="AD466" s="1" t="str">
        <f t="shared" si="45"/>
        <v>Công an xã Kiến Đức (Trụ sở CAH Đắk R'Lấp cũ)</v>
      </c>
      <c r="AE466" s="1" t="str">
        <f t="shared" si="46"/>
        <v>Công an tỉnh Lâm Đồng - TT2</v>
      </c>
      <c r="AG466">
        <f t="shared" si="47"/>
        <v>0.36191000000000001</v>
      </c>
      <c r="AH466">
        <f t="shared" si="48"/>
        <v>0.10793999999999999</v>
      </c>
      <c r="AI466" t="e">
        <f>VLOOKUP(L466,'[1]Tuyến cáp H04'!$B:$E,3,0)/1000</f>
        <v>#N/A</v>
      </c>
      <c r="AJ466" t="e">
        <f>VLOOKUP(L466,'[1]Tuyến cáp H04'!$B:$E,4,0)</f>
        <v>#N/A</v>
      </c>
    </row>
    <row r="467" spans="1:36" x14ac:dyDescent="0.25">
      <c r="A467" s="1" t="s">
        <v>4341</v>
      </c>
      <c r="B467" s="1" t="s">
        <v>3784</v>
      </c>
      <c r="C467" s="1" t="s">
        <v>3785</v>
      </c>
      <c r="D467" s="1" t="s">
        <v>4342</v>
      </c>
      <c r="E467" s="1" t="s">
        <v>4343</v>
      </c>
      <c r="F467" s="1" t="s">
        <v>4344</v>
      </c>
      <c r="G467" s="1" t="s">
        <v>14281</v>
      </c>
      <c r="H467" s="1" t="s">
        <v>14282</v>
      </c>
      <c r="I467" s="1" t="s">
        <v>14590</v>
      </c>
      <c r="J467" s="1" t="s">
        <v>23</v>
      </c>
      <c r="K467" s="1"/>
      <c r="L467" s="1" t="s">
        <v>3528</v>
      </c>
      <c r="M467" s="1" t="s">
        <v>4345</v>
      </c>
      <c r="N467" s="1" t="s">
        <v>4346</v>
      </c>
      <c r="O467" s="1" t="s">
        <v>4347</v>
      </c>
      <c r="P467" s="1" t="s">
        <v>4348</v>
      </c>
      <c r="Q467" s="1" t="s">
        <v>4349</v>
      </c>
      <c r="R467" s="1" t="s">
        <v>4350</v>
      </c>
      <c r="S467" s="1" t="s">
        <v>4351</v>
      </c>
      <c r="T467" s="1" t="s">
        <v>3810</v>
      </c>
      <c r="U467">
        <v>720.29</v>
      </c>
      <c r="V467">
        <v>647.54999999999995</v>
      </c>
      <c r="W467">
        <v>12.003776</v>
      </c>
      <c r="X467">
        <v>107.691926</v>
      </c>
      <c r="Y467">
        <v>72.739999999999995</v>
      </c>
      <c r="Z467">
        <v>11.998570000000001</v>
      </c>
      <c r="AA467">
        <v>107.70381500000001</v>
      </c>
      <c r="AB467" s="5">
        <f t="shared" si="43"/>
        <v>0.97132499999999988</v>
      </c>
      <c r="AC467" s="5">
        <f t="shared" si="44"/>
        <v>0.10910999999999998</v>
      </c>
      <c r="AD467" s="1" t="str">
        <f t="shared" si="45"/>
        <v>Công an tỉnh Lâm Đồng</v>
      </c>
      <c r="AE467" s="1" t="str">
        <f t="shared" si="46"/>
        <v>TT2 - Công an xã Quảng Khê</v>
      </c>
      <c r="AG467">
        <f t="shared" si="47"/>
        <v>0.64754999999999996</v>
      </c>
      <c r="AH467">
        <f t="shared" si="48"/>
        <v>7.2739999999999999E-2</v>
      </c>
      <c r="AI467" t="e">
        <f>VLOOKUP(L467,'[1]Tuyến cáp H04'!$B:$E,3,0)/1000</f>
        <v>#N/A</v>
      </c>
      <c r="AJ467" t="e">
        <f>VLOOKUP(L467,'[1]Tuyến cáp H04'!$B:$E,4,0)</f>
        <v>#N/A</v>
      </c>
    </row>
    <row r="468" spans="1:36" x14ac:dyDescent="0.25">
      <c r="A468" s="1" t="s">
        <v>4352</v>
      </c>
      <c r="B468" s="1" t="s">
        <v>4095</v>
      </c>
      <c r="C468" s="1" t="s">
        <v>4096</v>
      </c>
      <c r="D468" s="1" t="s">
        <v>3799</v>
      </c>
      <c r="E468" s="1" t="s">
        <v>3800</v>
      </c>
      <c r="F468" s="1" t="s">
        <v>4353</v>
      </c>
      <c r="G468" s="1" t="s">
        <v>14281</v>
      </c>
      <c r="H468" s="1" t="s">
        <v>14282</v>
      </c>
      <c r="I468" s="1" t="s">
        <v>14591</v>
      </c>
      <c r="J468" s="1" t="s">
        <v>23</v>
      </c>
      <c r="K468" s="1"/>
      <c r="L468" s="1" t="s">
        <v>3528</v>
      </c>
      <c r="M468" s="1" t="s">
        <v>4297</v>
      </c>
      <c r="N468" s="1" t="s">
        <v>4298</v>
      </c>
      <c r="O468" s="1" t="s">
        <v>4299</v>
      </c>
      <c r="P468" s="1" t="s">
        <v>4300</v>
      </c>
      <c r="Q468" s="1" t="s">
        <v>3804</v>
      </c>
      <c r="R468" s="1" t="s">
        <v>3805</v>
      </c>
      <c r="S468" s="1" t="s">
        <v>3806</v>
      </c>
      <c r="T468" s="1" t="s">
        <v>3810</v>
      </c>
      <c r="U468">
        <v>90.99</v>
      </c>
      <c r="V468">
        <v>89.63</v>
      </c>
      <c r="W468">
        <v>12.00291</v>
      </c>
      <c r="X468">
        <v>107.69305199999999</v>
      </c>
      <c r="Y468">
        <v>1.35</v>
      </c>
      <c r="Z468">
        <v>12.023592000000001</v>
      </c>
      <c r="AA468">
        <v>107.685997</v>
      </c>
      <c r="AB468" s="5">
        <f t="shared" si="43"/>
        <v>0.13444499999999998</v>
      </c>
      <c r="AC468" s="5">
        <f t="shared" si="44"/>
        <v>2.0250000000000003E-3</v>
      </c>
      <c r="AD468" s="1" t="str">
        <f t="shared" si="45"/>
        <v>Công an tỉnh Lâm Đồng</v>
      </c>
      <c r="AE468" s="1" t="str">
        <f t="shared" si="46"/>
        <v>TT2 - Công an xã Quảng Khê</v>
      </c>
      <c r="AG468">
        <f t="shared" si="47"/>
        <v>8.9630000000000001E-2</v>
      </c>
      <c r="AH468">
        <f t="shared" si="48"/>
        <v>1.3500000000000001E-3</v>
      </c>
      <c r="AI468" t="e">
        <f>VLOOKUP(L468,'[1]Tuyến cáp H04'!$B:$E,3,0)/1000</f>
        <v>#N/A</v>
      </c>
      <c r="AJ468" t="e">
        <f>VLOOKUP(L468,'[1]Tuyến cáp H04'!$B:$E,4,0)</f>
        <v>#N/A</v>
      </c>
    </row>
    <row r="469" spans="1:36" x14ac:dyDescent="0.25">
      <c r="A469" s="1" t="s">
        <v>4354</v>
      </c>
      <c r="B469" s="1" t="s">
        <v>4355</v>
      </c>
      <c r="C469" s="1" t="s">
        <v>4356</v>
      </c>
      <c r="D469" s="1" t="s">
        <v>4059</v>
      </c>
      <c r="E469" s="1" t="s">
        <v>4060</v>
      </c>
      <c r="F469" s="1" t="s">
        <v>4357</v>
      </c>
      <c r="G469" s="1" t="s">
        <v>14281</v>
      </c>
      <c r="H469" s="1" t="s">
        <v>14282</v>
      </c>
      <c r="I469" s="1" t="s">
        <v>14592</v>
      </c>
      <c r="J469" s="1" t="s">
        <v>23</v>
      </c>
      <c r="K469" s="1"/>
      <c r="L469" s="1" t="s">
        <v>4276</v>
      </c>
      <c r="M469" s="1" t="s">
        <v>4358</v>
      </c>
      <c r="N469" s="1" t="s">
        <v>4359</v>
      </c>
      <c r="O469" s="1" t="s">
        <v>4360</v>
      </c>
      <c r="P469" s="1" t="s">
        <v>4361</v>
      </c>
      <c r="Q469" s="1" t="s">
        <v>4281</v>
      </c>
      <c r="R469" s="1" t="s">
        <v>4282</v>
      </c>
      <c r="S469" s="1" t="s">
        <v>4283</v>
      </c>
      <c r="T469" s="1" t="s">
        <v>4284</v>
      </c>
      <c r="U469">
        <v>1680.11</v>
      </c>
      <c r="V469">
        <v>1675.9</v>
      </c>
      <c r="W469">
        <v>11.965643</v>
      </c>
      <c r="X469">
        <v>107.70783900000001</v>
      </c>
      <c r="Y469">
        <v>4.21</v>
      </c>
      <c r="Z469">
        <v>11.95994</v>
      </c>
      <c r="AA469">
        <v>107.728562</v>
      </c>
      <c r="AB469" s="5">
        <f t="shared" si="43"/>
        <v>2.5138500000000006</v>
      </c>
      <c r="AC469" s="5">
        <f t="shared" si="44"/>
        <v>6.3149999999999994E-3</v>
      </c>
      <c r="AD469" s="1" t="str">
        <f t="shared" si="45"/>
        <v>Công an phường Đông Gia Nghĩa</v>
      </c>
      <c r="AE469" s="1" t="str">
        <f t="shared" si="46"/>
        <v>Công an phường Nam Gia Nghĩa</v>
      </c>
      <c r="AG469">
        <f t="shared" si="47"/>
        <v>1.6759000000000002</v>
      </c>
      <c r="AH469">
        <f t="shared" si="48"/>
        <v>4.2100000000000002E-3</v>
      </c>
      <c r="AI469" t="e">
        <f>VLOOKUP(L469,'[1]Tuyến cáp H04'!$B:$E,3,0)/1000</f>
        <v>#N/A</v>
      </c>
      <c r="AJ469" t="e">
        <f>VLOOKUP(L469,'[1]Tuyến cáp H04'!$B:$E,4,0)</f>
        <v>#N/A</v>
      </c>
    </row>
    <row r="470" spans="1:36" x14ac:dyDescent="0.25">
      <c r="A470" s="1" t="s">
        <v>4362</v>
      </c>
      <c r="B470" s="1" t="s">
        <v>4363</v>
      </c>
      <c r="C470" s="1" t="s">
        <v>4364</v>
      </c>
      <c r="D470" s="1" t="s">
        <v>3799</v>
      </c>
      <c r="E470" s="1" t="s">
        <v>3800</v>
      </c>
      <c r="F470" s="1" t="s">
        <v>4365</v>
      </c>
      <c r="G470" s="1" t="s">
        <v>14281</v>
      </c>
      <c r="H470" s="1" t="s">
        <v>14282</v>
      </c>
      <c r="I470" s="1" t="s">
        <v>14593</v>
      </c>
      <c r="J470" s="1" t="s">
        <v>23</v>
      </c>
      <c r="K470" s="1"/>
      <c r="L470" s="1" t="s">
        <v>3528</v>
      </c>
      <c r="M470" s="1" t="s">
        <v>4366</v>
      </c>
      <c r="N470" s="1" t="s">
        <v>4367</v>
      </c>
      <c r="O470" s="1" t="s">
        <v>4368</v>
      </c>
      <c r="P470" s="1" t="s">
        <v>4369</v>
      </c>
      <c r="Q470" s="1" t="s">
        <v>3804</v>
      </c>
      <c r="R470" s="1" t="s">
        <v>3805</v>
      </c>
      <c r="S470" s="1" t="s">
        <v>3806</v>
      </c>
      <c r="T470" s="1" t="s">
        <v>3810</v>
      </c>
      <c r="U470">
        <v>392.76</v>
      </c>
      <c r="V470">
        <v>391.41</v>
      </c>
      <c r="W470">
        <v>11.985188000000001</v>
      </c>
      <c r="X470">
        <v>107.701414</v>
      </c>
      <c r="Y470">
        <v>1.35</v>
      </c>
      <c r="Z470">
        <v>12.023592000000001</v>
      </c>
      <c r="AA470">
        <v>107.685997</v>
      </c>
      <c r="AB470" s="5">
        <f t="shared" si="43"/>
        <v>0.58711500000000005</v>
      </c>
      <c r="AC470" s="5">
        <f t="shared" si="44"/>
        <v>2.0250000000000003E-3</v>
      </c>
      <c r="AD470" s="1" t="str">
        <f t="shared" si="45"/>
        <v>Công an tỉnh Lâm Đồng</v>
      </c>
      <c r="AE470" s="1" t="str">
        <f t="shared" si="46"/>
        <v>TT2 - Công an xã Quảng Khê</v>
      </c>
      <c r="AG470">
        <f t="shared" si="47"/>
        <v>0.39141000000000004</v>
      </c>
      <c r="AH470">
        <f t="shared" si="48"/>
        <v>1.3500000000000001E-3</v>
      </c>
      <c r="AI470" t="e">
        <f>VLOOKUP(L470,'[1]Tuyến cáp H04'!$B:$E,3,0)/1000</f>
        <v>#N/A</v>
      </c>
      <c r="AJ470" t="e">
        <f>VLOOKUP(L470,'[1]Tuyến cáp H04'!$B:$E,4,0)</f>
        <v>#N/A</v>
      </c>
    </row>
    <row r="471" spans="1:36" x14ac:dyDescent="0.25">
      <c r="A471" s="1" t="s">
        <v>4370</v>
      </c>
      <c r="B471" s="1" t="s">
        <v>4331</v>
      </c>
      <c r="C471" s="1" t="s">
        <v>4332</v>
      </c>
      <c r="D471" s="1" t="s">
        <v>3784</v>
      </c>
      <c r="E471" s="1" t="s">
        <v>3785</v>
      </c>
      <c r="F471" s="1" t="s">
        <v>4371</v>
      </c>
      <c r="G471" s="1" t="s">
        <v>14281</v>
      </c>
      <c r="H471" s="1" t="s">
        <v>14282</v>
      </c>
      <c r="I471" s="1" t="s">
        <v>14594</v>
      </c>
      <c r="J471" s="1" t="s">
        <v>23</v>
      </c>
      <c r="K471" s="1"/>
      <c r="L471" s="1" t="s">
        <v>4372</v>
      </c>
      <c r="M471" s="1" t="s">
        <v>4373</v>
      </c>
      <c r="N471" s="1" t="s">
        <v>4374</v>
      </c>
      <c r="O471" s="1" t="s">
        <v>4375</v>
      </c>
      <c r="P471" s="1" t="s">
        <v>4376</v>
      </c>
      <c r="Q471" s="1" t="s">
        <v>4377</v>
      </c>
      <c r="R471" s="1" t="s">
        <v>4378</v>
      </c>
      <c r="S471" s="1" t="s">
        <v>4379</v>
      </c>
      <c r="T471" s="1" t="s">
        <v>4380</v>
      </c>
      <c r="U471">
        <v>301.29000000000002</v>
      </c>
      <c r="V471">
        <v>244.46</v>
      </c>
      <c r="W471">
        <v>12.015499</v>
      </c>
      <c r="X471">
        <v>107.687308</v>
      </c>
      <c r="Y471">
        <v>56.83</v>
      </c>
      <c r="Z471">
        <v>12.009066000000001</v>
      </c>
      <c r="AA471">
        <v>107.69403800000001</v>
      </c>
      <c r="AB471" s="5">
        <f t="shared" si="43"/>
        <v>0.36669000000000002</v>
      </c>
      <c r="AC471" s="5">
        <f t="shared" si="44"/>
        <v>8.5245000000000001E-2</v>
      </c>
      <c r="AD471" s="1" t="str">
        <f t="shared" si="45"/>
        <v>Công an tỉnh Lâm Đồng</v>
      </c>
      <c r="AE471" s="1" t="str">
        <f t="shared" si="46"/>
        <v>TT2 - Công an phường Bắc Gia Nghĩa</v>
      </c>
      <c r="AG471">
        <f t="shared" si="47"/>
        <v>0.24446000000000001</v>
      </c>
      <c r="AH471">
        <f t="shared" si="48"/>
        <v>5.6829999999999999E-2</v>
      </c>
      <c r="AI471" t="e">
        <f>VLOOKUP(L471,'[1]Tuyến cáp H04'!$B:$E,3,0)/1000</f>
        <v>#N/A</v>
      </c>
      <c r="AJ471" t="e">
        <f>VLOOKUP(L471,'[1]Tuyến cáp H04'!$B:$E,4,0)</f>
        <v>#N/A</v>
      </c>
    </row>
    <row r="472" spans="1:36" x14ac:dyDescent="0.25">
      <c r="A472" s="1" t="s">
        <v>4381</v>
      </c>
      <c r="B472" s="1" t="s">
        <v>4382</v>
      </c>
      <c r="C472" s="1" t="s">
        <v>4383</v>
      </c>
      <c r="D472" s="1" t="s">
        <v>3799</v>
      </c>
      <c r="E472" s="1" t="s">
        <v>3800</v>
      </c>
      <c r="F472" s="1" t="s">
        <v>4384</v>
      </c>
      <c r="G472" s="1" t="s">
        <v>14281</v>
      </c>
      <c r="H472" s="1" t="s">
        <v>14282</v>
      </c>
      <c r="I472" s="1" t="s">
        <v>14595</v>
      </c>
      <c r="J472" s="1" t="s">
        <v>23</v>
      </c>
      <c r="K472" s="1"/>
      <c r="L472" s="1" t="s">
        <v>3528</v>
      </c>
      <c r="M472" s="1" t="s">
        <v>4385</v>
      </c>
      <c r="N472" s="1" t="s">
        <v>4386</v>
      </c>
      <c r="O472" s="1" t="s">
        <v>4387</v>
      </c>
      <c r="P472" s="1" t="s">
        <v>4388</v>
      </c>
      <c r="Q472" s="1" t="s">
        <v>3804</v>
      </c>
      <c r="R472" s="1" t="s">
        <v>3805</v>
      </c>
      <c r="S472" s="1" t="s">
        <v>3806</v>
      </c>
      <c r="T472" s="1" t="s">
        <v>3810</v>
      </c>
      <c r="U472">
        <v>481.47</v>
      </c>
      <c r="V472">
        <v>480.12</v>
      </c>
      <c r="W472">
        <v>12.001099999999999</v>
      </c>
      <c r="X472">
        <v>107.694659</v>
      </c>
      <c r="Y472">
        <v>1.35</v>
      </c>
      <c r="Z472">
        <v>12.023592000000001</v>
      </c>
      <c r="AA472">
        <v>107.685997</v>
      </c>
      <c r="AB472" s="5">
        <f t="shared" si="43"/>
        <v>0.72018000000000004</v>
      </c>
      <c r="AC472" s="5">
        <f t="shared" si="44"/>
        <v>2.0250000000000003E-3</v>
      </c>
      <c r="AD472" s="1" t="str">
        <f t="shared" si="45"/>
        <v>Công an tỉnh Lâm Đồng</v>
      </c>
      <c r="AE472" s="1" t="str">
        <f t="shared" si="46"/>
        <v>TT2 - Công an xã Quảng Khê</v>
      </c>
      <c r="AG472">
        <f t="shared" si="47"/>
        <v>0.48011999999999999</v>
      </c>
      <c r="AH472">
        <f t="shared" si="48"/>
        <v>1.3500000000000001E-3</v>
      </c>
      <c r="AI472" t="e">
        <f>VLOOKUP(L472,'[1]Tuyến cáp H04'!$B:$E,3,0)/1000</f>
        <v>#N/A</v>
      </c>
      <c r="AJ472" t="e">
        <f>VLOOKUP(L472,'[1]Tuyến cáp H04'!$B:$E,4,0)</f>
        <v>#N/A</v>
      </c>
    </row>
    <row r="473" spans="1:36" x14ac:dyDescent="0.25">
      <c r="A473" s="1" t="s">
        <v>4389</v>
      </c>
      <c r="B473" s="1" t="s">
        <v>3630</v>
      </c>
      <c r="C473" s="1" t="s">
        <v>3631</v>
      </c>
      <c r="D473" s="1" t="s">
        <v>3466</v>
      </c>
      <c r="E473" s="1" t="s">
        <v>3467</v>
      </c>
      <c r="F473" s="1" t="s">
        <v>4390</v>
      </c>
      <c r="G473" s="1" t="s">
        <v>14281</v>
      </c>
      <c r="H473" s="1" t="s">
        <v>14282</v>
      </c>
      <c r="I473" s="1" t="s">
        <v>14596</v>
      </c>
      <c r="J473" s="1" t="s">
        <v>23</v>
      </c>
      <c r="K473" s="1"/>
      <c r="L473" s="1" t="s">
        <v>3471</v>
      </c>
      <c r="M473" s="1" t="s">
        <v>3633</v>
      </c>
      <c r="N473" s="1" t="s">
        <v>3637</v>
      </c>
      <c r="O473" s="1" t="s">
        <v>3638</v>
      </c>
      <c r="P473" s="1" t="s">
        <v>3639</v>
      </c>
      <c r="Q473" s="1" t="s">
        <v>3634</v>
      </c>
      <c r="R473" s="1" t="s">
        <v>3635</v>
      </c>
      <c r="S473" s="1" t="s">
        <v>3636</v>
      </c>
      <c r="T473" s="1" t="s">
        <v>3521</v>
      </c>
      <c r="U473">
        <v>290.98</v>
      </c>
      <c r="V473">
        <v>116.38</v>
      </c>
      <c r="W473">
        <v>12.455816</v>
      </c>
      <c r="X473">
        <v>107.636764</v>
      </c>
      <c r="Y473">
        <v>174.6</v>
      </c>
      <c r="Z473">
        <v>12.448781</v>
      </c>
      <c r="AA473">
        <v>107.62094999999999</v>
      </c>
      <c r="AB473" s="5">
        <f t="shared" si="43"/>
        <v>0.17457</v>
      </c>
      <c r="AC473" s="5">
        <f t="shared" si="44"/>
        <v>0.26189999999999997</v>
      </c>
      <c r="AD473" s="1" t="str">
        <f t="shared" si="45"/>
        <v xml:space="preserve">Công an xã Đức Lập (Trụ sở 2 CAH Đắk Mil cũ)
</v>
      </c>
      <c r="AE473" s="1" t="str">
        <f t="shared" si="46"/>
        <v>Công an xã Cư Jút (Trụ sở CAH Cư Jút cũ)</v>
      </c>
      <c r="AG473">
        <f t="shared" si="47"/>
        <v>0.11638</v>
      </c>
      <c r="AH473">
        <f t="shared" si="48"/>
        <v>0.17460000000000001</v>
      </c>
      <c r="AI473" t="e">
        <f>VLOOKUP(L473,'[1]Tuyến cáp H04'!$B:$E,3,0)/1000</f>
        <v>#N/A</v>
      </c>
      <c r="AJ473" t="e">
        <f>VLOOKUP(L473,'[1]Tuyến cáp H04'!$B:$E,4,0)</f>
        <v>#N/A</v>
      </c>
    </row>
    <row r="474" spans="1:36" x14ac:dyDescent="0.25">
      <c r="A474" s="1" t="s">
        <v>4391</v>
      </c>
      <c r="B474" s="1" t="s">
        <v>3494</v>
      </c>
      <c r="C474" s="1" t="s">
        <v>3495</v>
      </c>
      <c r="D474" s="1" t="s">
        <v>4392</v>
      </c>
      <c r="E474" s="1" t="s">
        <v>4393</v>
      </c>
      <c r="F474" s="1" t="s">
        <v>4394</v>
      </c>
      <c r="G474" s="1" t="s">
        <v>14281</v>
      </c>
      <c r="H474" s="1" t="s">
        <v>14282</v>
      </c>
      <c r="I474" s="1" t="s">
        <v>14597</v>
      </c>
      <c r="J474" s="1" t="s">
        <v>23</v>
      </c>
      <c r="K474" s="1"/>
      <c r="L474" s="1" t="s">
        <v>4395</v>
      </c>
      <c r="M474" s="1" t="s">
        <v>4396</v>
      </c>
      <c r="N474" s="1" t="s">
        <v>4397</v>
      </c>
      <c r="O474" s="1" t="s">
        <v>4398</v>
      </c>
      <c r="P474" s="1" t="s">
        <v>4399</v>
      </c>
      <c r="Q474" s="1" t="s">
        <v>4400</v>
      </c>
      <c r="R474" s="1" t="s">
        <v>4401</v>
      </c>
      <c r="S474" s="1" t="s">
        <v>4402</v>
      </c>
      <c r="T474" s="1" t="s">
        <v>4403</v>
      </c>
      <c r="U474">
        <v>219.67</v>
      </c>
      <c r="V474">
        <v>53.32</v>
      </c>
      <c r="W474">
        <v>12.095286</v>
      </c>
      <c r="X474">
        <v>107.48086600000001</v>
      </c>
      <c r="Y474">
        <v>166.35</v>
      </c>
      <c r="Z474">
        <v>12.069982</v>
      </c>
      <c r="AA474">
        <v>107.474149</v>
      </c>
      <c r="AB474" s="5">
        <f t="shared" si="43"/>
        <v>7.9980000000000009E-2</v>
      </c>
      <c r="AC474" s="5">
        <f t="shared" si="44"/>
        <v>0.24952499999999997</v>
      </c>
      <c r="AD474" s="1" t="str">
        <f t="shared" si="45"/>
        <v>Đường Cơ sở cai nghiện số 4</v>
      </c>
      <c r="AE474" s="1" t="str">
        <f t="shared" si="46"/>
        <v>Quảng Tân</v>
      </c>
      <c r="AG474">
        <f t="shared" si="47"/>
        <v>5.3319999999999999E-2</v>
      </c>
      <c r="AH474">
        <f t="shared" si="48"/>
        <v>0.16635</v>
      </c>
      <c r="AI474" t="e">
        <f>VLOOKUP(L474,'[1]Tuyến cáp H04'!$B:$E,3,0)/1000</f>
        <v>#N/A</v>
      </c>
      <c r="AJ474" t="e">
        <f>VLOOKUP(L474,'[1]Tuyến cáp H04'!$B:$E,4,0)</f>
        <v>#N/A</v>
      </c>
    </row>
    <row r="475" spans="1:36" x14ac:dyDescent="0.25">
      <c r="A475" s="1" t="s">
        <v>4404</v>
      </c>
      <c r="B475" s="1" t="s">
        <v>3716</v>
      </c>
      <c r="C475" s="1" t="s">
        <v>3717</v>
      </c>
      <c r="D475" s="1" t="s">
        <v>4405</v>
      </c>
      <c r="E475" s="1" t="s">
        <v>4406</v>
      </c>
      <c r="F475" s="1" t="s">
        <v>4407</v>
      </c>
      <c r="G475" s="1" t="s">
        <v>14281</v>
      </c>
      <c r="H475" s="1" t="s">
        <v>14282</v>
      </c>
      <c r="I475" s="1" t="s">
        <v>14598</v>
      </c>
      <c r="J475" s="1" t="s">
        <v>23</v>
      </c>
      <c r="K475" s="1"/>
      <c r="L475" s="1" t="s">
        <v>3456</v>
      </c>
      <c r="M475" s="1" t="s">
        <v>4408</v>
      </c>
      <c r="N475" s="1" t="s">
        <v>3720</v>
      </c>
      <c r="O475" s="1" t="s">
        <v>3721</v>
      </c>
      <c r="P475" s="1" t="s">
        <v>3722</v>
      </c>
      <c r="Q475" s="1" t="s">
        <v>4409</v>
      </c>
      <c r="R475" s="1" t="s">
        <v>4410</v>
      </c>
      <c r="S475" s="1" t="s">
        <v>4411</v>
      </c>
      <c r="T475" s="1" t="s">
        <v>3464</v>
      </c>
      <c r="U475">
        <v>248.83</v>
      </c>
      <c r="V475">
        <v>101.63</v>
      </c>
      <c r="W475">
        <v>12.254339</v>
      </c>
      <c r="X475">
        <v>107.609391</v>
      </c>
      <c r="Y475">
        <v>147.19999999999999</v>
      </c>
      <c r="Z475">
        <v>12.251628</v>
      </c>
      <c r="AA475">
        <v>107.61387499999999</v>
      </c>
      <c r="AB475" s="5">
        <f t="shared" si="43"/>
        <v>0.152445</v>
      </c>
      <c r="AC475" s="5">
        <f t="shared" si="44"/>
        <v>0.2208</v>
      </c>
      <c r="AD475" s="1" t="str">
        <f t="shared" si="45"/>
        <v>Công an tỉnh Lâm Đồng</v>
      </c>
      <c r="AE475" s="1" t="str">
        <f t="shared" si="46"/>
        <v>TT2 - Công an xã Đức An (Trụ sở CAH Đắk Song cũ)</v>
      </c>
      <c r="AG475">
        <f t="shared" si="47"/>
        <v>0.10163</v>
      </c>
      <c r="AH475">
        <f t="shared" si="48"/>
        <v>0.1472</v>
      </c>
      <c r="AI475" t="e">
        <f>VLOOKUP(L475,'[1]Tuyến cáp H04'!$B:$E,3,0)/1000</f>
        <v>#N/A</v>
      </c>
      <c r="AJ475" t="e">
        <f>VLOOKUP(L475,'[1]Tuyến cáp H04'!$B:$E,4,0)</f>
        <v>#N/A</v>
      </c>
    </row>
    <row r="476" spans="1:36" x14ac:dyDescent="0.25">
      <c r="A476" s="1" t="s">
        <v>4412</v>
      </c>
      <c r="B476" s="1" t="s">
        <v>4413</v>
      </c>
      <c r="C476" s="1" t="s">
        <v>4414</v>
      </c>
      <c r="D476" s="1" t="s">
        <v>3562</v>
      </c>
      <c r="E476" s="1" t="s">
        <v>3563</v>
      </c>
      <c r="F476" s="1" t="s">
        <v>4415</v>
      </c>
      <c r="G476" s="1" t="s">
        <v>14281</v>
      </c>
      <c r="H476" s="1" t="s">
        <v>14282</v>
      </c>
      <c r="I476" s="1" t="s">
        <v>14599</v>
      </c>
      <c r="J476" s="1" t="s">
        <v>23</v>
      </c>
      <c r="K476" s="1"/>
      <c r="L476" s="1" t="s">
        <v>4047</v>
      </c>
      <c r="M476" s="1" t="s">
        <v>4416</v>
      </c>
      <c r="N476" s="1" t="s">
        <v>4417</v>
      </c>
      <c r="O476" s="1" t="s">
        <v>4418</v>
      </c>
      <c r="P476" s="1" t="s">
        <v>4419</v>
      </c>
      <c r="Q476" s="1" t="s">
        <v>4420</v>
      </c>
      <c r="R476" s="1" t="s">
        <v>4421</v>
      </c>
      <c r="S476" s="1" t="s">
        <v>4422</v>
      </c>
      <c r="T476" s="1" t="s">
        <v>4423</v>
      </c>
      <c r="U476">
        <v>120.28</v>
      </c>
      <c r="V476">
        <v>77.290000000000006</v>
      </c>
      <c r="W476">
        <v>11.99624</v>
      </c>
      <c r="X476">
        <v>107.512438</v>
      </c>
      <c r="Y476">
        <v>42.99</v>
      </c>
      <c r="Z476">
        <v>12.006997999999999</v>
      </c>
      <c r="AA476">
        <v>107.512562</v>
      </c>
      <c r="AB476" s="5">
        <f t="shared" si="43"/>
        <v>0.115935</v>
      </c>
      <c r="AC476" s="5">
        <f t="shared" si="44"/>
        <v>6.4485000000000001E-2</v>
      </c>
      <c r="AD476" s="1" t="str">
        <f t="shared" si="45"/>
        <v>Công an xã Kiến Đức (Trụ sở CAH Đắk R'Lấp cũ)</v>
      </c>
      <c r="AE476" s="1" t="str">
        <f t="shared" si="46"/>
        <v>Công an tỉnh Lâm Đồng - TT2</v>
      </c>
      <c r="AG476">
        <f t="shared" si="47"/>
        <v>7.7290000000000011E-2</v>
      </c>
      <c r="AH476">
        <f t="shared" si="48"/>
        <v>4.299E-2</v>
      </c>
      <c r="AI476" t="e">
        <f>VLOOKUP(L476,'[1]Tuyến cáp H04'!$B:$E,3,0)/1000</f>
        <v>#N/A</v>
      </c>
      <c r="AJ476" t="e">
        <f>VLOOKUP(L476,'[1]Tuyến cáp H04'!$B:$E,4,0)</f>
        <v>#N/A</v>
      </c>
    </row>
    <row r="477" spans="1:36" x14ac:dyDescent="0.25">
      <c r="A477" s="1" t="s">
        <v>4424</v>
      </c>
      <c r="B477" s="1" t="s">
        <v>4425</v>
      </c>
      <c r="C477" s="1" t="s">
        <v>4426</v>
      </c>
      <c r="D477" s="1" t="s">
        <v>3827</v>
      </c>
      <c r="E477" s="1" t="s">
        <v>3828</v>
      </c>
      <c r="F477" s="1" t="s">
        <v>4427</v>
      </c>
      <c r="G477" s="1" t="s">
        <v>14281</v>
      </c>
      <c r="H477" s="1" t="s">
        <v>14282</v>
      </c>
      <c r="I477" s="1" t="s">
        <v>14600</v>
      </c>
      <c r="J477" s="1" t="s">
        <v>23</v>
      </c>
      <c r="K477" s="1"/>
      <c r="L477" s="1" t="s">
        <v>3995</v>
      </c>
      <c r="M477" s="1" t="s">
        <v>4428</v>
      </c>
      <c r="N477" s="1" t="s">
        <v>4429</v>
      </c>
      <c r="O477" s="1" t="s">
        <v>4000</v>
      </c>
      <c r="P477" s="1" t="s">
        <v>4001</v>
      </c>
      <c r="Q477" s="1" t="s">
        <v>683</v>
      </c>
      <c r="R477" s="1" t="s">
        <v>4000</v>
      </c>
      <c r="S477" s="1" t="s">
        <v>4001</v>
      </c>
      <c r="T477" s="1" t="s">
        <v>4002</v>
      </c>
      <c r="U477">
        <v>2109.31</v>
      </c>
      <c r="V477">
        <v>2104.63</v>
      </c>
      <c r="W477">
        <v>11.982702</v>
      </c>
      <c r="X477">
        <v>107.655608</v>
      </c>
      <c r="Y477">
        <v>4.67</v>
      </c>
      <c r="Z477">
        <v>11.982702</v>
      </c>
      <c r="AA477">
        <v>107.655608</v>
      </c>
      <c r="AB477" s="5">
        <f t="shared" si="43"/>
        <v>3.1569450000000003</v>
      </c>
      <c r="AC477" s="5">
        <f t="shared" si="44"/>
        <v>7.0049999999999999E-3</v>
      </c>
      <c r="AD477" s="1" t="str">
        <f t="shared" si="45"/>
        <v>Phòng PK02</v>
      </c>
      <c r="AE477" s="1" t="str">
        <f t="shared" si="46"/>
        <v>Tổ địa bàn số 2 - Phòng PA06 - Tổ địa bàn số 2</v>
      </c>
      <c r="AG477">
        <f t="shared" si="47"/>
        <v>2.1046300000000002</v>
      </c>
      <c r="AH477">
        <f t="shared" si="48"/>
        <v>4.6699999999999997E-3</v>
      </c>
      <c r="AI477" t="e">
        <f>VLOOKUP(L477,'[1]Tuyến cáp H04'!$B:$E,3,0)/1000</f>
        <v>#N/A</v>
      </c>
      <c r="AJ477" t="e">
        <f>VLOOKUP(L477,'[1]Tuyến cáp H04'!$B:$E,4,0)</f>
        <v>#N/A</v>
      </c>
    </row>
    <row r="478" spans="1:36" x14ac:dyDescent="0.25">
      <c r="A478" s="1" t="s">
        <v>4430</v>
      </c>
      <c r="B478" s="1" t="s">
        <v>4431</v>
      </c>
      <c r="C478" s="1" t="s">
        <v>4432</v>
      </c>
      <c r="D478" s="1" t="s">
        <v>4059</v>
      </c>
      <c r="E478" s="1" t="s">
        <v>4060</v>
      </c>
      <c r="F478" s="1" t="s">
        <v>4433</v>
      </c>
      <c r="G478" s="1" t="s">
        <v>14281</v>
      </c>
      <c r="H478" s="1" t="s">
        <v>14282</v>
      </c>
      <c r="I478" s="1" t="s">
        <v>14601</v>
      </c>
      <c r="J478" s="1" t="s">
        <v>23</v>
      </c>
      <c r="K478" s="1"/>
      <c r="L478" s="1" t="s">
        <v>3789</v>
      </c>
      <c r="M478" s="1" t="s">
        <v>4434</v>
      </c>
      <c r="N478" s="1" t="s">
        <v>4435</v>
      </c>
      <c r="O478" s="1" t="s">
        <v>4436</v>
      </c>
      <c r="P478" s="1" t="s">
        <v>4437</v>
      </c>
      <c r="Q478" s="1" t="s">
        <v>4066</v>
      </c>
      <c r="R478" s="1" t="s">
        <v>4067</v>
      </c>
      <c r="S478" s="1" t="s">
        <v>4068</v>
      </c>
      <c r="T478" s="1" t="s">
        <v>3797</v>
      </c>
      <c r="U478">
        <v>2885.78</v>
      </c>
      <c r="V478">
        <v>2879.64</v>
      </c>
      <c r="W478">
        <v>11.964401000000001</v>
      </c>
      <c r="X478">
        <v>107.73414</v>
      </c>
      <c r="Y478">
        <v>6.14</v>
      </c>
      <c r="Z478">
        <v>11.959954</v>
      </c>
      <c r="AA478">
        <v>107.72863599999999</v>
      </c>
      <c r="AB478" s="5">
        <f t="shared" si="43"/>
        <v>4.3194600000000003</v>
      </c>
      <c r="AC478" s="5">
        <f t="shared" si="44"/>
        <v>9.2099999999999994E-3</v>
      </c>
      <c r="AD478" s="1" t="str">
        <f t="shared" si="45"/>
        <v>Công an phường Bắc Gia Nghĩa</v>
      </c>
      <c r="AE478" s="1" t="str">
        <f t="shared" si="46"/>
        <v>Công an phường Đông Gia Nghĩa</v>
      </c>
      <c r="AG478">
        <f t="shared" si="47"/>
        <v>2.8796399999999998</v>
      </c>
      <c r="AH478">
        <f t="shared" si="48"/>
        <v>6.1399999999999996E-3</v>
      </c>
      <c r="AI478" t="e">
        <f>VLOOKUP(L478,'[1]Tuyến cáp H04'!$B:$E,3,0)/1000</f>
        <v>#N/A</v>
      </c>
      <c r="AJ478" t="e">
        <f>VLOOKUP(L478,'[1]Tuyến cáp H04'!$B:$E,4,0)</f>
        <v>#N/A</v>
      </c>
    </row>
    <row r="479" spans="1:36" x14ac:dyDescent="0.25">
      <c r="A479" s="1" t="s">
        <v>4438</v>
      </c>
      <c r="B479" s="1" t="s">
        <v>4439</v>
      </c>
      <c r="C479" s="1" t="s">
        <v>4440</v>
      </c>
      <c r="D479" s="1" t="s">
        <v>3716</v>
      </c>
      <c r="E479" s="1" t="s">
        <v>3717</v>
      </c>
      <c r="F479" s="1" t="s">
        <v>4441</v>
      </c>
      <c r="G479" s="1" t="s">
        <v>14281</v>
      </c>
      <c r="H479" s="1" t="s">
        <v>14282</v>
      </c>
      <c r="I479" s="1" t="s">
        <v>14602</v>
      </c>
      <c r="J479" s="1" t="s">
        <v>23</v>
      </c>
      <c r="K479" s="1"/>
      <c r="L479" s="1" t="s">
        <v>3456</v>
      </c>
      <c r="M479" s="1" t="s">
        <v>4442</v>
      </c>
      <c r="N479" s="1" t="s">
        <v>4443</v>
      </c>
      <c r="O479" s="1" t="s">
        <v>4444</v>
      </c>
      <c r="P479" s="1" t="s">
        <v>4445</v>
      </c>
      <c r="Q479" s="1" t="s">
        <v>3720</v>
      </c>
      <c r="R479" s="1" t="s">
        <v>3721</v>
      </c>
      <c r="S479" s="1" t="s">
        <v>3722</v>
      </c>
      <c r="T479" s="1" t="s">
        <v>3464</v>
      </c>
      <c r="U479">
        <v>353.36</v>
      </c>
      <c r="V479">
        <v>251.73</v>
      </c>
      <c r="W479">
        <v>12.234887000000001</v>
      </c>
      <c r="X479">
        <v>107.627437</v>
      </c>
      <c r="Y479">
        <v>101.63</v>
      </c>
      <c r="Z479">
        <v>12.254339</v>
      </c>
      <c r="AA479">
        <v>107.609391</v>
      </c>
      <c r="AB479" s="5">
        <f t="shared" si="43"/>
        <v>0.37759499999999996</v>
      </c>
      <c r="AC479" s="5">
        <f t="shared" si="44"/>
        <v>0.152445</v>
      </c>
      <c r="AD479" s="1" t="str">
        <f t="shared" si="45"/>
        <v>Công an tỉnh Lâm Đồng</v>
      </c>
      <c r="AE479" s="1" t="str">
        <f t="shared" si="46"/>
        <v>TT2 - Công an xã Đức An (Trụ sở CAH Đắk Song cũ)</v>
      </c>
      <c r="AG479">
        <f t="shared" si="47"/>
        <v>0.25173000000000001</v>
      </c>
      <c r="AH479">
        <f t="shared" si="48"/>
        <v>0.10163</v>
      </c>
      <c r="AI479" t="e">
        <f>VLOOKUP(L479,'[1]Tuyến cáp H04'!$B:$E,3,0)/1000</f>
        <v>#N/A</v>
      </c>
      <c r="AJ479" t="e">
        <f>VLOOKUP(L479,'[1]Tuyến cáp H04'!$B:$E,4,0)</f>
        <v>#N/A</v>
      </c>
    </row>
    <row r="480" spans="1:36" x14ac:dyDescent="0.25">
      <c r="A480" s="1" t="s">
        <v>4446</v>
      </c>
      <c r="B480" s="1" t="s">
        <v>4447</v>
      </c>
      <c r="C480" s="1" t="s">
        <v>4448</v>
      </c>
      <c r="D480" s="1" t="s">
        <v>3668</v>
      </c>
      <c r="E480" s="1" t="s">
        <v>3669</v>
      </c>
      <c r="F480" s="1" t="s">
        <v>4449</v>
      </c>
      <c r="G480" s="1" t="s">
        <v>14281</v>
      </c>
      <c r="H480" s="1" t="s">
        <v>14282</v>
      </c>
      <c r="I480" s="1" t="s">
        <v>14603</v>
      </c>
      <c r="J480" s="1" t="s">
        <v>23</v>
      </c>
      <c r="K480" s="1"/>
      <c r="L480" s="1" t="s">
        <v>3679</v>
      </c>
      <c r="M480" s="1" t="s">
        <v>4450</v>
      </c>
      <c r="N480" s="1" t="s">
        <v>4451</v>
      </c>
      <c r="O480" s="1" t="s">
        <v>4452</v>
      </c>
      <c r="P480" s="1" t="s">
        <v>4453</v>
      </c>
      <c r="Q480" s="1" t="s">
        <v>3681</v>
      </c>
      <c r="R480" s="1" t="s">
        <v>3682</v>
      </c>
      <c r="S480" s="1" t="s">
        <v>3683</v>
      </c>
      <c r="T480" s="1" t="s">
        <v>3687</v>
      </c>
      <c r="U480">
        <v>534.69000000000005</v>
      </c>
      <c r="V480">
        <v>141.1</v>
      </c>
      <c r="W480">
        <v>12.432173000000001</v>
      </c>
      <c r="X480">
        <v>107.65992</v>
      </c>
      <c r="Y480">
        <v>393.59</v>
      </c>
      <c r="Z480">
        <v>12.431642999999999</v>
      </c>
      <c r="AA480">
        <v>107.667064</v>
      </c>
      <c r="AB480" s="5">
        <f t="shared" si="43"/>
        <v>0.21164999999999998</v>
      </c>
      <c r="AC480" s="5">
        <f t="shared" si="44"/>
        <v>0.59038499999999994</v>
      </c>
      <c r="AD480" s="1" t="str">
        <f t="shared" si="45"/>
        <v>Đắk Sắk</v>
      </c>
      <c r="AE480" s="1" t="str">
        <f t="shared" si="46"/>
        <v>Đắk Song</v>
      </c>
      <c r="AG480">
        <f t="shared" si="47"/>
        <v>0.1411</v>
      </c>
      <c r="AH480">
        <f t="shared" si="48"/>
        <v>0.39359</v>
      </c>
      <c r="AI480">
        <f>VLOOKUP(L480,'[1]Tuyến cáp H04'!$B:$E,3,0)/1000</f>
        <v>5.859</v>
      </c>
      <c r="AJ480" t="str">
        <f>VLOOKUP(L480,'[1]Tuyến cáp H04'!$B:$E,4,0)</f>
        <v>Mạng cấp 4</v>
      </c>
    </row>
    <row r="481" spans="1:36" x14ac:dyDescent="0.25">
      <c r="A481" s="1" t="s">
        <v>4454</v>
      </c>
      <c r="B481" s="1" t="s">
        <v>4455</v>
      </c>
      <c r="C481" s="1" t="s">
        <v>4456</v>
      </c>
      <c r="D481" s="1" t="s">
        <v>3494</v>
      </c>
      <c r="E481" s="1" t="s">
        <v>3495</v>
      </c>
      <c r="F481" s="1" t="s">
        <v>4457</v>
      </c>
      <c r="G481" s="1" t="s">
        <v>14281</v>
      </c>
      <c r="H481" s="1" t="s">
        <v>14282</v>
      </c>
      <c r="I481" s="1" t="s">
        <v>14604</v>
      </c>
      <c r="J481" s="1" t="s">
        <v>23</v>
      </c>
      <c r="K481" s="1"/>
      <c r="L481" s="1" t="s">
        <v>3499</v>
      </c>
      <c r="M481" s="1" t="s">
        <v>4458</v>
      </c>
      <c r="N481" s="1" t="s">
        <v>3967</v>
      </c>
      <c r="O481" s="1" t="s">
        <v>4459</v>
      </c>
      <c r="P481" s="1" t="s">
        <v>4460</v>
      </c>
      <c r="Q481" s="1" t="s">
        <v>3501</v>
      </c>
      <c r="R481" s="1" t="s">
        <v>3502</v>
      </c>
      <c r="S481" s="1" t="s">
        <v>3503</v>
      </c>
      <c r="T481" s="1" t="s">
        <v>3507</v>
      </c>
      <c r="U481">
        <v>101.25</v>
      </c>
      <c r="V481">
        <v>54.19</v>
      </c>
      <c r="W481">
        <v>12.131736999999999</v>
      </c>
      <c r="X481">
        <v>107.471434</v>
      </c>
      <c r="Y481">
        <v>47.06</v>
      </c>
      <c r="Z481">
        <v>12.095340999999999</v>
      </c>
      <c r="AA481">
        <v>107.480919</v>
      </c>
      <c r="AB481" s="5">
        <f t="shared" si="43"/>
        <v>8.1284999999999996E-2</v>
      </c>
      <c r="AC481" s="5">
        <f t="shared" si="44"/>
        <v>7.059E-2</v>
      </c>
      <c r="AD481" s="1" t="str">
        <f t="shared" si="45"/>
        <v>Đường PC08 đội 6</v>
      </c>
      <c r="AE481" s="1" t="str">
        <f t="shared" si="46"/>
        <v>CS Cai nghiện số 4</v>
      </c>
      <c r="AG481">
        <f t="shared" si="47"/>
        <v>5.4189999999999995E-2</v>
      </c>
      <c r="AH481">
        <f t="shared" si="48"/>
        <v>4.7060000000000005E-2</v>
      </c>
      <c r="AI481" t="e">
        <f>VLOOKUP(L481,'[1]Tuyến cáp H04'!$B:$E,3,0)/1000</f>
        <v>#N/A</v>
      </c>
      <c r="AJ481" t="e">
        <f>VLOOKUP(L481,'[1]Tuyến cáp H04'!$B:$E,4,0)</f>
        <v>#N/A</v>
      </c>
    </row>
    <row r="482" spans="1:36" x14ac:dyDescent="0.25">
      <c r="A482" s="1" t="s">
        <v>4461</v>
      </c>
      <c r="B482" s="1" t="s">
        <v>4392</v>
      </c>
      <c r="C482" s="1" t="s">
        <v>4393</v>
      </c>
      <c r="D482" s="1" t="s">
        <v>3740</v>
      </c>
      <c r="E482" s="1" t="s">
        <v>3741</v>
      </c>
      <c r="F482" s="1" t="s">
        <v>4462</v>
      </c>
      <c r="G482" s="1" t="s">
        <v>14281</v>
      </c>
      <c r="H482" s="1" t="s">
        <v>14282</v>
      </c>
      <c r="I482" s="1" t="s">
        <v>14605</v>
      </c>
      <c r="J482" s="1" t="s">
        <v>23</v>
      </c>
      <c r="K482" s="1"/>
      <c r="L482" s="1" t="s">
        <v>3565</v>
      </c>
      <c r="M482" s="1" t="s">
        <v>4463</v>
      </c>
      <c r="N482" s="1" t="s">
        <v>4464</v>
      </c>
      <c r="O482" s="1" t="s">
        <v>4465</v>
      </c>
      <c r="P482" s="1" t="s">
        <v>4466</v>
      </c>
      <c r="Q482" s="1" t="s">
        <v>3744</v>
      </c>
      <c r="R482" s="1" t="s">
        <v>3745</v>
      </c>
      <c r="S482" s="1" t="s">
        <v>3746</v>
      </c>
      <c r="T482" s="1" t="s">
        <v>3573</v>
      </c>
      <c r="U482">
        <v>311.76</v>
      </c>
      <c r="V482">
        <v>162.94999999999999</v>
      </c>
      <c r="W482">
        <v>12.069725999999999</v>
      </c>
      <c r="X482">
        <v>107.47431400000001</v>
      </c>
      <c r="Y482">
        <v>148.81</v>
      </c>
      <c r="Z482">
        <v>12.043371</v>
      </c>
      <c r="AA482">
        <v>107.489839</v>
      </c>
      <c r="AB482" s="5">
        <f t="shared" si="43"/>
        <v>0.24442499999999998</v>
      </c>
      <c r="AC482" s="5">
        <f t="shared" si="44"/>
        <v>0.223215</v>
      </c>
      <c r="AD482" s="1" t="str">
        <f t="shared" si="45"/>
        <v>Công an xã Tuy Đức (Trụ sở CAH Tuy Đức cũ)</v>
      </c>
      <c r="AE482" s="1" t="str">
        <f t="shared" si="46"/>
        <v>Công an xã Kiến Đức (Trụ sở CAH Đắk R'Lấp cũ)</v>
      </c>
      <c r="AG482">
        <f t="shared" si="47"/>
        <v>0.16294999999999998</v>
      </c>
      <c r="AH482">
        <f t="shared" si="48"/>
        <v>0.14881</v>
      </c>
      <c r="AI482" t="e">
        <f>VLOOKUP(L482,'[1]Tuyến cáp H04'!$B:$E,3,0)/1000</f>
        <v>#N/A</v>
      </c>
      <c r="AJ482" t="e">
        <f>VLOOKUP(L482,'[1]Tuyến cáp H04'!$B:$E,4,0)</f>
        <v>#N/A</v>
      </c>
    </row>
    <row r="483" spans="1:36" x14ac:dyDescent="0.25">
      <c r="A483" s="1" t="s">
        <v>4467</v>
      </c>
      <c r="B483" s="1" t="s">
        <v>4468</v>
      </c>
      <c r="C483" s="1" t="s">
        <v>4469</v>
      </c>
      <c r="D483" s="1" t="s">
        <v>3740</v>
      </c>
      <c r="E483" s="1" t="s">
        <v>3741</v>
      </c>
      <c r="F483" s="1" t="s">
        <v>4470</v>
      </c>
      <c r="G483" s="1" t="s">
        <v>14281</v>
      </c>
      <c r="H483" s="1" t="s">
        <v>14282</v>
      </c>
      <c r="I483" s="1" t="s">
        <v>14606</v>
      </c>
      <c r="J483" s="1" t="s">
        <v>23</v>
      </c>
      <c r="K483" s="1"/>
      <c r="L483" s="1" t="s">
        <v>3730</v>
      </c>
      <c r="M483" s="1" t="s">
        <v>4471</v>
      </c>
      <c r="N483" s="1" t="s">
        <v>4472</v>
      </c>
      <c r="O483" s="1" t="s">
        <v>4473</v>
      </c>
      <c r="P483" s="1" t="s">
        <v>4474</v>
      </c>
      <c r="Q483" s="1" t="s">
        <v>4475</v>
      </c>
      <c r="R483" s="1" t="s">
        <v>4476</v>
      </c>
      <c r="S483" s="1" t="s">
        <v>4477</v>
      </c>
      <c r="T483" s="1" t="s">
        <v>4252</v>
      </c>
      <c r="U483">
        <v>1796.42</v>
      </c>
      <c r="V483">
        <v>1777.72</v>
      </c>
      <c r="W483">
        <v>12.024914000000001</v>
      </c>
      <c r="X483">
        <v>107.492846</v>
      </c>
      <c r="Y483">
        <v>18.7</v>
      </c>
      <c r="Z483">
        <v>12.044472000000001</v>
      </c>
      <c r="AA483">
        <v>107.490295</v>
      </c>
      <c r="AB483" s="5">
        <f t="shared" si="43"/>
        <v>2.6665799999999997</v>
      </c>
      <c r="AC483" s="5">
        <f t="shared" si="44"/>
        <v>2.8049999999999999E-2</v>
      </c>
      <c r="AD483" s="1" t="str">
        <f t="shared" si="45"/>
        <v>Đường Quảng Tân</v>
      </c>
      <c r="AE483" s="1" t="str">
        <f t="shared" si="46"/>
        <v>TTCMKV Đắk R'Lấp</v>
      </c>
      <c r="AG483">
        <f t="shared" si="47"/>
        <v>1.77772</v>
      </c>
      <c r="AH483">
        <f t="shared" si="48"/>
        <v>1.8699999999999998E-2</v>
      </c>
      <c r="AI483" t="e">
        <f>VLOOKUP(L483,'[1]Tuyến cáp H04'!$B:$E,3,0)/1000</f>
        <v>#N/A</v>
      </c>
      <c r="AJ483" t="e">
        <f>VLOOKUP(L483,'[1]Tuyến cáp H04'!$B:$E,4,0)</f>
        <v>#N/A</v>
      </c>
    </row>
    <row r="484" spans="1:36" x14ac:dyDescent="0.25">
      <c r="A484" s="1" t="s">
        <v>4478</v>
      </c>
      <c r="B484" s="1" t="s">
        <v>4479</v>
      </c>
      <c r="C484" s="1" t="s">
        <v>4480</v>
      </c>
      <c r="D484" s="1" t="s">
        <v>3523</v>
      </c>
      <c r="E484" s="1" t="s">
        <v>3524</v>
      </c>
      <c r="F484" s="1" t="s">
        <v>4481</v>
      </c>
      <c r="G484" s="1" t="s">
        <v>14281</v>
      </c>
      <c r="H484" s="1" t="s">
        <v>14282</v>
      </c>
      <c r="I484" s="1" t="s">
        <v>14607</v>
      </c>
      <c r="J484" s="1" t="s">
        <v>23</v>
      </c>
      <c r="K484" s="1"/>
      <c r="L484" s="1" t="s">
        <v>4482</v>
      </c>
      <c r="M484" s="1" t="s">
        <v>4483</v>
      </c>
      <c r="N484" s="1" t="s">
        <v>4484</v>
      </c>
      <c r="O484" s="1" t="s">
        <v>4485</v>
      </c>
      <c r="P484" s="1" t="s">
        <v>4486</v>
      </c>
      <c r="Q484" s="1" t="s">
        <v>4487</v>
      </c>
      <c r="R484" s="1" t="s">
        <v>4488</v>
      </c>
      <c r="S484" s="1" t="s">
        <v>4489</v>
      </c>
      <c r="T484" s="1" t="s">
        <v>4490</v>
      </c>
      <c r="U484">
        <v>1397.07</v>
      </c>
      <c r="V484">
        <v>1304.8399999999999</v>
      </c>
      <c r="W484">
        <v>11.907869</v>
      </c>
      <c r="X484">
        <v>107.79853799999999</v>
      </c>
      <c r="Y484">
        <v>92.23</v>
      </c>
      <c r="Z484">
        <v>11.912006999999999</v>
      </c>
      <c r="AA484">
        <v>107.792113</v>
      </c>
      <c r="AB484" s="5">
        <f t="shared" si="43"/>
        <v>1.9572599999999998</v>
      </c>
      <c r="AC484" s="5">
        <f t="shared" si="44"/>
        <v>0.138345</v>
      </c>
      <c r="AD484" s="1" t="str">
        <f t="shared" si="45"/>
        <v>Công an xã Quảng Khê</v>
      </c>
      <c r="AE484" s="1" t="str">
        <f t="shared" si="46"/>
        <v>Công an xã Tà Đùng</v>
      </c>
      <c r="AG484">
        <f t="shared" si="47"/>
        <v>1.30484</v>
      </c>
      <c r="AH484">
        <f t="shared" si="48"/>
        <v>9.2230000000000006E-2</v>
      </c>
      <c r="AI484" t="e">
        <f>VLOOKUP(L484,'[1]Tuyến cáp H04'!$B:$E,3,0)/1000</f>
        <v>#N/A</v>
      </c>
      <c r="AJ484" t="e">
        <f>VLOOKUP(L484,'[1]Tuyến cáp H04'!$B:$E,4,0)</f>
        <v>#N/A</v>
      </c>
    </row>
    <row r="485" spans="1:36" x14ac:dyDescent="0.25">
      <c r="A485" s="1" t="s">
        <v>4491</v>
      </c>
      <c r="B485" s="1" t="s">
        <v>4492</v>
      </c>
      <c r="C485" s="1" t="s">
        <v>4493</v>
      </c>
      <c r="D485" s="1" t="s">
        <v>3523</v>
      </c>
      <c r="E485" s="1" t="s">
        <v>3524</v>
      </c>
      <c r="F485" s="1" t="s">
        <v>4494</v>
      </c>
      <c r="G485" s="1" t="s">
        <v>14281</v>
      </c>
      <c r="H485" s="1" t="s">
        <v>14282</v>
      </c>
      <c r="I485" s="1" t="s">
        <v>14608</v>
      </c>
      <c r="J485" s="1" t="s">
        <v>23</v>
      </c>
      <c r="K485" s="1"/>
      <c r="L485" s="1" t="s">
        <v>4482</v>
      </c>
      <c r="M485" s="1" t="s">
        <v>4495</v>
      </c>
      <c r="N485" s="1" t="s">
        <v>4496</v>
      </c>
      <c r="O485" s="1" t="s">
        <v>4497</v>
      </c>
      <c r="P485" s="1" t="s">
        <v>4498</v>
      </c>
      <c r="Q485" s="1" t="s">
        <v>4487</v>
      </c>
      <c r="R485" s="1" t="s">
        <v>4488</v>
      </c>
      <c r="S485" s="1" t="s">
        <v>4489</v>
      </c>
      <c r="T485" s="1" t="s">
        <v>4490</v>
      </c>
      <c r="U485">
        <v>1151.92</v>
      </c>
      <c r="V485">
        <v>1059.69</v>
      </c>
      <c r="W485">
        <v>11.900826</v>
      </c>
      <c r="X485">
        <v>107.824889</v>
      </c>
      <c r="Y485">
        <v>92.23</v>
      </c>
      <c r="Z485">
        <v>11.912006999999999</v>
      </c>
      <c r="AA485">
        <v>107.792113</v>
      </c>
      <c r="AB485" s="5">
        <f t="shared" si="43"/>
        <v>1.5895350000000001</v>
      </c>
      <c r="AC485" s="5">
        <f t="shared" si="44"/>
        <v>0.138345</v>
      </c>
      <c r="AD485" s="1" t="str">
        <f t="shared" si="45"/>
        <v>Công an xã Quảng Khê</v>
      </c>
      <c r="AE485" s="1" t="str">
        <f t="shared" si="46"/>
        <v>Công an xã Tà Đùng</v>
      </c>
      <c r="AG485">
        <f t="shared" si="47"/>
        <v>1.05969</v>
      </c>
      <c r="AH485">
        <f t="shared" si="48"/>
        <v>9.2230000000000006E-2</v>
      </c>
      <c r="AI485" t="e">
        <f>VLOOKUP(L485,'[1]Tuyến cáp H04'!$B:$E,3,0)/1000</f>
        <v>#N/A</v>
      </c>
      <c r="AJ485" t="e">
        <f>VLOOKUP(L485,'[1]Tuyến cáp H04'!$B:$E,4,0)</f>
        <v>#N/A</v>
      </c>
    </row>
    <row r="486" spans="1:36" x14ac:dyDescent="0.25">
      <c r="A486" s="1" t="s">
        <v>4389</v>
      </c>
      <c r="B486" s="1" t="s">
        <v>3630</v>
      </c>
      <c r="C486" s="1" t="s">
        <v>3631</v>
      </c>
      <c r="D486" s="1" t="s">
        <v>3466</v>
      </c>
      <c r="E486" s="1" t="s">
        <v>3467</v>
      </c>
      <c r="F486" s="1" t="s">
        <v>4390</v>
      </c>
      <c r="G486" s="1" t="s">
        <v>14281</v>
      </c>
      <c r="H486" s="1" t="s">
        <v>14282</v>
      </c>
      <c r="I486" s="1" t="s">
        <v>14596</v>
      </c>
      <c r="J486" s="1" t="s">
        <v>23</v>
      </c>
      <c r="K486" s="1"/>
      <c r="L486" s="1" t="s">
        <v>3471</v>
      </c>
      <c r="M486" s="1" t="s">
        <v>3633</v>
      </c>
      <c r="N486" s="1" t="s">
        <v>3637</v>
      </c>
      <c r="O486" s="1" t="s">
        <v>3638</v>
      </c>
      <c r="P486" s="1" t="s">
        <v>3639</v>
      </c>
      <c r="Q486" s="1" t="s">
        <v>3634</v>
      </c>
      <c r="R486" s="1" t="s">
        <v>3635</v>
      </c>
      <c r="S486" s="1" t="s">
        <v>3636</v>
      </c>
      <c r="T486" s="1" t="s">
        <v>3521</v>
      </c>
      <c r="U486">
        <v>290.98</v>
      </c>
      <c r="V486">
        <v>116.38</v>
      </c>
      <c r="W486">
        <v>12.455816</v>
      </c>
      <c r="X486">
        <v>107.636764</v>
      </c>
      <c r="Y486">
        <v>174.6</v>
      </c>
      <c r="Z486">
        <v>12.448781</v>
      </c>
      <c r="AA486">
        <v>107.62094999999999</v>
      </c>
      <c r="AB486" s="5">
        <f t="shared" si="43"/>
        <v>0.17457</v>
      </c>
      <c r="AC486" s="5">
        <f t="shared" si="44"/>
        <v>0.26189999999999997</v>
      </c>
      <c r="AD486" s="1" t="str">
        <f t="shared" si="45"/>
        <v xml:space="preserve">Công an xã Đức Lập (Trụ sở 2 CAH Đắk Mil cũ)
</v>
      </c>
      <c r="AE486" s="1" t="str">
        <f t="shared" si="46"/>
        <v>Công an xã Cư Jút (Trụ sở CAH Cư Jút cũ)</v>
      </c>
      <c r="AG486">
        <f t="shared" si="47"/>
        <v>0.11638</v>
      </c>
      <c r="AH486">
        <f t="shared" si="48"/>
        <v>0.17460000000000001</v>
      </c>
      <c r="AI486" t="e">
        <f>VLOOKUP(L486,'[1]Tuyến cáp H04'!$B:$E,3,0)/1000</f>
        <v>#N/A</v>
      </c>
      <c r="AJ486" t="e">
        <f>VLOOKUP(L486,'[1]Tuyến cáp H04'!$B:$E,4,0)</f>
        <v>#N/A</v>
      </c>
    </row>
    <row r="487" spans="1:36" x14ac:dyDescent="0.25">
      <c r="A487" s="1" t="s">
        <v>4499</v>
      </c>
      <c r="B487" s="1" t="s">
        <v>4500</v>
      </c>
      <c r="C487" s="1" t="s">
        <v>4501</v>
      </c>
      <c r="D487" s="1" t="s">
        <v>4502</v>
      </c>
      <c r="E487" s="1" t="s">
        <v>4503</v>
      </c>
      <c r="F487" s="1" t="s">
        <v>4504</v>
      </c>
      <c r="G487" s="1" t="s">
        <v>14129</v>
      </c>
      <c r="H487" s="1" t="s">
        <v>14130</v>
      </c>
      <c r="I487" s="1" t="s">
        <v>14609</v>
      </c>
      <c r="J487" s="1" t="s">
        <v>23</v>
      </c>
      <c r="K487" s="1"/>
      <c r="L487" s="1" t="s">
        <v>4499</v>
      </c>
      <c r="M487" s="1" t="s">
        <v>4505</v>
      </c>
      <c r="N487" s="1" t="s">
        <v>4506</v>
      </c>
      <c r="O487" s="1" t="s">
        <v>4507</v>
      </c>
      <c r="P487" s="1" t="s">
        <v>4508</v>
      </c>
      <c r="Q487" s="1" t="s">
        <v>4509</v>
      </c>
      <c r="R487" s="1" t="s">
        <v>4510</v>
      </c>
      <c r="S487" s="1" t="s">
        <v>4511</v>
      </c>
      <c r="T487" s="1" t="s">
        <v>4512</v>
      </c>
      <c r="U487">
        <v>2358.2600000000002</v>
      </c>
      <c r="V487">
        <v>2321.4</v>
      </c>
      <c r="W487">
        <v>14.703706</v>
      </c>
      <c r="X487">
        <v>107.68625900000001</v>
      </c>
      <c r="Y487">
        <v>36.869999999999997</v>
      </c>
      <c r="Z487">
        <v>14.398239</v>
      </c>
      <c r="AA487">
        <v>107.79636600000001</v>
      </c>
      <c r="AB487" s="5">
        <f t="shared" si="43"/>
        <v>3.4821000000000004</v>
      </c>
      <c r="AC487" s="5">
        <f t="shared" si="44"/>
        <v>5.5304999999999993E-2</v>
      </c>
      <c r="AD487" s="1" t="str">
        <f t="shared" si="45"/>
        <v>Ngọc Hồi</v>
      </c>
      <c r="AE487" s="1" t="str">
        <f t="shared" si="46"/>
        <v>Sa Thầy</v>
      </c>
      <c r="AG487">
        <f t="shared" si="47"/>
        <v>2.3214000000000001</v>
      </c>
      <c r="AH487">
        <f t="shared" si="48"/>
        <v>3.687E-2</v>
      </c>
      <c r="AI487" t="e">
        <f>VLOOKUP(L487,'[1]Tuyến cáp H04'!$B:$E,3,0)/1000</f>
        <v>#N/A</v>
      </c>
      <c r="AJ487" t="e">
        <f>VLOOKUP(L487,'[1]Tuyến cáp H04'!$B:$E,4,0)</f>
        <v>#N/A</v>
      </c>
    </row>
    <row r="488" spans="1:36" x14ac:dyDescent="0.25">
      <c r="A488" s="1" t="s">
        <v>4513</v>
      </c>
      <c r="B488" s="1" t="s">
        <v>4514</v>
      </c>
      <c r="C488" s="1" t="s">
        <v>4515</v>
      </c>
      <c r="D488" s="1" t="s">
        <v>4516</v>
      </c>
      <c r="E488" s="1" t="s">
        <v>4517</v>
      </c>
      <c r="F488" s="1" t="s">
        <v>4518</v>
      </c>
      <c r="G488" s="1" t="s">
        <v>14129</v>
      </c>
      <c r="H488" s="1" t="s">
        <v>14130</v>
      </c>
      <c r="I488" s="1" t="s">
        <v>14610</v>
      </c>
      <c r="J488" s="1" t="s">
        <v>23</v>
      </c>
      <c r="K488" s="1"/>
      <c r="L488" s="1" t="s">
        <v>4519</v>
      </c>
      <c r="M488" s="1" t="s">
        <v>4520</v>
      </c>
      <c r="N488" s="1" t="s">
        <v>4521</v>
      </c>
      <c r="O488" s="1" t="s">
        <v>4522</v>
      </c>
      <c r="P488" s="1" t="s">
        <v>4523</v>
      </c>
      <c r="Q488" s="1" t="s">
        <v>4524</v>
      </c>
      <c r="R488" s="1" t="s">
        <v>4525</v>
      </c>
      <c r="S488" s="1" t="s">
        <v>4526</v>
      </c>
      <c r="T488" s="1" t="s">
        <v>4527</v>
      </c>
      <c r="U488">
        <v>4806.4799999999996</v>
      </c>
      <c r="V488">
        <v>52.76</v>
      </c>
      <c r="W488">
        <v>14.698688000000001</v>
      </c>
      <c r="X488">
        <v>107.83670499999999</v>
      </c>
      <c r="Y488">
        <v>4753.72</v>
      </c>
      <c r="Z488">
        <v>14.716917</v>
      </c>
      <c r="AA488">
        <v>107.795519</v>
      </c>
      <c r="AB488" s="5">
        <f t="shared" si="43"/>
        <v>7.9140000000000002E-2</v>
      </c>
      <c r="AC488" s="5">
        <f t="shared" si="44"/>
        <v>7.1305800000000001</v>
      </c>
      <c r="AD488" s="1" t="str">
        <f t="shared" si="45"/>
        <v>Đăk Mar</v>
      </c>
      <c r="AE488" s="1" t="str">
        <f t="shared" si="46"/>
        <v>Ngọk Tụ</v>
      </c>
      <c r="AG488">
        <f t="shared" si="47"/>
        <v>5.2760000000000001E-2</v>
      </c>
      <c r="AH488">
        <f t="shared" si="48"/>
        <v>4.7537200000000004</v>
      </c>
      <c r="AI488">
        <f>VLOOKUP(L488,'[1]Tuyến cáp H04'!$B:$E,3,0)/1000</f>
        <v>30.866</v>
      </c>
      <c r="AJ488" t="str">
        <f>VLOOKUP(L488,'[1]Tuyến cáp H04'!$B:$E,4,0)</f>
        <v>Mạng cấp 4</v>
      </c>
    </row>
    <row r="489" spans="1:36" x14ac:dyDescent="0.25">
      <c r="A489" s="1" t="s">
        <v>4528</v>
      </c>
      <c r="B489" s="1" t="s">
        <v>4500</v>
      </c>
      <c r="C489" s="1" t="s">
        <v>4501</v>
      </c>
      <c r="D489" s="1" t="s">
        <v>4529</v>
      </c>
      <c r="E489" s="1" t="s">
        <v>4530</v>
      </c>
      <c r="F489" s="1" t="s">
        <v>4531</v>
      </c>
      <c r="G489" s="1" t="s">
        <v>14129</v>
      </c>
      <c r="H489" s="1" t="s">
        <v>14130</v>
      </c>
      <c r="I489" s="1" t="s">
        <v>14611</v>
      </c>
      <c r="J489" s="1" t="s">
        <v>23</v>
      </c>
      <c r="K489" s="1"/>
      <c r="L489" s="1" t="s">
        <v>4532</v>
      </c>
      <c r="M489" s="1" t="s">
        <v>4533</v>
      </c>
      <c r="N489" s="1" t="s">
        <v>707</v>
      </c>
      <c r="O489" s="1" t="s">
        <v>4534</v>
      </c>
      <c r="P489" s="1" t="s">
        <v>4535</v>
      </c>
      <c r="Q489" s="1" t="s">
        <v>4536</v>
      </c>
      <c r="R489" s="1" t="s">
        <v>4537</v>
      </c>
      <c r="S489" s="1" t="s">
        <v>4538</v>
      </c>
      <c r="T489" s="1" t="s">
        <v>4539</v>
      </c>
      <c r="U489">
        <v>2202.5500000000002</v>
      </c>
      <c r="V489">
        <v>15.81</v>
      </c>
      <c r="W489">
        <v>14.724418999999999</v>
      </c>
      <c r="X489">
        <v>107.68789200000001</v>
      </c>
      <c r="Y489">
        <v>2186.7399999999998</v>
      </c>
      <c r="Z489">
        <v>14.694341</v>
      </c>
      <c r="AA489">
        <v>107.68619099999999</v>
      </c>
      <c r="AB489" s="5">
        <f t="shared" si="43"/>
        <v>2.3715E-2</v>
      </c>
      <c r="AC489" s="5">
        <f t="shared" si="44"/>
        <v>3.2801099999999996</v>
      </c>
      <c r="AD489" s="1" t="str">
        <f t="shared" si="45"/>
        <v>TTCMKV Ngọc Hồi</v>
      </c>
      <c r="AE489" s="1" t="str">
        <f t="shared" si="46"/>
        <v>Sa Loong</v>
      </c>
      <c r="AG489">
        <f t="shared" si="47"/>
        <v>1.5810000000000001E-2</v>
      </c>
      <c r="AH489">
        <f t="shared" si="48"/>
        <v>2.1867399999999999</v>
      </c>
      <c r="AI489">
        <f>VLOOKUP(L489,'[1]Tuyến cáp H04'!$B:$E,3,0)/1000</f>
        <v>16.399999999999999</v>
      </c>
      <c r="AJ489" t="str">
        <f>VLOOKUP(L489,'[1]Tuyến cáp H04'!$B:$E,4,0)</f>
        <v>Mạng cấp 4</v>
      </c>
    </row>
    <row r="490" spans="1:36" x14ac:dyDescent="0.25">
      <c r="A490" s="1" t="s">
        <v>4540</v>
      </c>
      <c r="B490" s="1" t="s">
        <v>4502</v>
      </c>
      <c r="C490" s="1" t="s">
        <v>4503</v>
      </c>
      <c r="D490" s="1" t="s">
        <v>4541</v>
      </c>
      <c r="E490" s="1" t="s">
        <v>4542</v>
      </c>
      <c r="F490" s="1" t="s">
        <v>4543</v>
      </c>
      <c r="G490" s="1" t="s">
        <v>14129</v>
      </c>
      <c r="H490" s="1" t="s">
        <v>14130</v>
      </c>
      <c r="I490" s="1" t="s">
        <v>14612</v>
      </c>
      <c r="J490" s="1" t="s">
        <v>23</v>
      </c>
      <c r="K490" s="1"/>
      <c r="L490" s="1" t="s">
        <v>4544</v>
      </c>
      <c r="M490" s="1" t="s">
        <v>4545</v>
      </c>
      <c r="N490" s="1" t="s">
        <v>4546</v>
      </c>
      <c r="O490" s="1" t="s">
        <v>4547</v>
      </c>
      <c r="P490" s="1" t="s">
        <v>4548</v>
      </c>
      <c r="Q490" s="1" t="s">
        <v>4549</v>
      </c>
      <c r="R490" s="1" t="s">
        <v>4550</v>
      </c>
      <c r="S490" s="1" t="s">
        <v>4551</v>
      </c>
      <c r="T490" s="1" t="s">
        <v>4552</v>
      </c>
      <c r="U490">
        <v>971.36</v>
      </c>
      <c r="V490">
        <v>2.2799999999999998</v>
      </c>
      <c r="W490">
        <v>14.39805</v>
      </c>
      <c r="X490">
        <v>107.79609600000001</v>
      </c>
      <c r="Y490">
        <v>969.08</v>
      </c>
      <c r="Z490">
        <v>14.396425000000001</v>
      </c>
      <c r="AA490">
        <v>107.81647</v>
      </c>
      <c r="AB490" s="5">
        <f t="shared" si="43"/>
        <v>3.4199999999999999E-3</v>
      </c>
      <c r="AC490" s="5">
        <f t="shared" si="44"/>
        <v>1.4536200000000001</v>
      </c>
      <c r="AD490" s="1" t="str">
        <f t="shared" si="45"/>
        <v>TTCMKV Sa Thầy</v>
      </c>
      <c r="AE490" s="1" t="str">
        <f t="shared" si="46"/>
        <v>Sa Bình</v>
      </c>
      <c r="AG490">
        <f t="shared" si="47"/>
        <v>2.2799999999999999E-3</v>
      </c>
      <c r="AH490">
        <f t="shared" si="48"/>
        <v>0.96908000000000005</v>
      </c>
      <c r="AI490">
        <f>VLOOKUP(L490,'[1]Tuyến cáp H04'!$B:$E,3,0)/1000</f>
        <v>21.3</v>
      </c>
      <c r="AJ490" t="str">
        <f>VLOOKUP(L490,'[1]Tuyến cáp H04'!$B:$E,4,0)</f>
        <v>Mạng cấp 4</v>
      </c>
    </row>
    <row r="491" spans="1:36" x14ac:dyDescent="0.25">
      <c r="A491" s="1" t="s">
        <v>4553</v>
      </c>
      <c r="B491" s="1" t="s">
        <v>4554</v>
      </c>
      <c r="C491" s="1" t="s">
        <v>4555</v>
      </c>
      <c r="D491" s="1" t="s">
        <v>4556</v>
      </c>
      <c r="E491" s="1" t="s">
        <v>4557</v>
      </c>
      <c r="F491" s="1" t="s">
        <v>4558</v>
      </c>
      <c r="G491" s="1" t="s">
        <v>14129</v>
      </c>
      <c r="H491" s="1" t="s">
        <v>14130</v>
      </c>
      <c r="I491" s="1" t="s">
        <v>14613</v>
      </c>
      <c r="J491" s="1" t="s">
        <v>23</v>
      </c>
      <c r="K491" s="1"/>
      <c r="L491" s="1" t="s">
        <v>4559</v>
      </c>
      <c r="M491" s="1" t="s">
        <v>4560</v>
      </c>
      <c r="N491" s="1" t="s">
        <v>4561</v>
      </c>
      <c r="O491" s="1" t="s">
        <v>4562</v>
      </c>
      <c r="P491" s="1" t="s">
        <v>4563</v>
      </c>
      <c r="Q491" s="1" t="s">
        <v>4564</v>
      </c>
      <c r="R491" s="1" t="s">
        <v>4565</v>
      </c>
      <c r="S491" s="1" t="s">
        <v>4566</v>
      </c>
      <c r="T491" s="1" t="s">
        <v>4567</v>
      </c>
      <c r="U491">
        <v>2086.91</v>
      </c>
      <c r="V491">
        <v>77.010000000000005</v>
      </c>
      <c r="W491">
        <v>14.352309</v>
      </c>
      <c r="X491">
        <v>108.007857</v>
      </c>
      <c r="Y491">
        <v>2009.89</v>
      </c>
      <c r="Z491">
        <v>14.500681</v>
      </c>
      <c r="AA491">
        <v>107.943207</v>
      </c>
      <c r="AB491" s="5">
        <f t="shared" si="43"/>
        <v>0.11551500000000002</v>
      </c>
      <c r="AC491" s="5">
        <f t="shared" si="44"/>
        <v>3.0148350000000002</v>
      </c>
      <c r="AD491" s="1" t="str">
        <f t="shared" si="45"/>
        <v>TT2 Kon Tum</v>
      </c>
      <c r="AE491" s="1" t="str">
        <f t="shared" si="46"/>
        <v>PC11</v>
      </c>
      <c r="AG491">
        <f t="shared" si="47"/>
        <v>7.7010000000000009E-2</v>
      </c>
      <c r="AH491">
        <f t="shared" si="48"/>
        <v>2.00989</v>
      </c>
      <c r="AI491">
        <f>VLOOKUP(L491,'[1]Tuyến cáp H04'!$B:$E,3,0)/1000</f>
        <v>24.687000000000001</v>
      </c>
      <c r="AJ491" t="str">
        <f>VLOOKUP(L491,'[1]Tuyến cáp H04'!$B:$E,4,0)</f>
        <v>Mạng cấp 3</v>
      </c>
    </row>
    <row r="492" spans="1:36" x14ac:dyDescent="0.25">
      <c r="A492" s="1" t="s">
        <v>4568</v>
      </c>
      <c r="B492" s="1" t="s">
        <v>4569</v>
      </c>
      <c r="C492" s="1" t="s">
        <v>4570</v>
      </c>
      <c r="D492" s="1" t="s">
        <v>4571</v>
      </c>
      <c r="E492" s="1" t="s">
        <v>4572</v>
      </c>
      <c r="F492" s="1" t="s">
        <v>4573</v>
      </c>
      <c r="G492" s="1" t="s">
        <v>14129</v>
      </c>
      <c r="H492" s="1" t="s">
        <v>14130</v>
      </c>
      <c r="I492" s="1" t="s">
        <v>14614</v>
      </c>
      <c r="J492" s="1" t="s">
        <v>23</v>
      </c>
      <c r="K492" s="1"/>
      <c r="L492" s="1" t="s">
        <v>4574</v>
      </c>
      <c r="M492" s="1" t="s">
        <v>4575</v>
      </c>
      <c r="N492" s="1" t="s">
        <v>4576</v>
      </c>
      <c r="O492" s="1" t="s">
        <v>4577</v>
      </c>
      <c r="P492" s="1" t="s">
        <v>4578</v>
      </c>
      <c r="Q492" s="1" t="s">
        <v>4579</v>
      </c>
      <c r="R492" s="1" t="s">
        <v>4580</v>
      </c>
      <c r="S492" s="1" t="s">
        <v>4581</v>
      </c>
      <c r="T492" s="1" t="s">
        <v>4582</v>
      </c>
      <c r="U492">
        <v>141.22</v>
      </c>
      <c r="V492">
        <v>50.16</v>
      </c>
      <c r="W492">
        <v>14.53088</v>
      </c>
      <c r="X492">
        <v>107.94065399999999</v>
      </c>
      <c r="Y492">
        <v>91.06</v>
      </c>
      <c r="Z492">
        <v>14.545249999999999</v>
      </c>
      <c r="AA492">
        <v>107.920755</v>
      </c>
      <c r="AB492" s="5">
        <f t="shared" si="43"/>
        <v>7.5240000000000001E-2</v>
      </c>
      <c r="AC492" s="5">
        <f t="shared" si="44"/>
        <v>0.13659000000000002</v>
      </c>
      <c r="AD492" s="1" t="str">
        <f t="shared" si="45"/>
        <v>Đăk Ui</v>
      </c>
      <c r="AE492" s="1" t="str">
        <f t="shared" si="46"/>
        <v>Đăk Mar</v>
      </c>
      <c r="AG492">
        <f t="shared" si="47"/>
        <v>5.0159999999999996E-2</v>
      </c>
      <c r="AH492">
        <f t="shared" si="48"/>
        <v>9.1060000000000002E-2</v>
      </c>
      <c r="AI492">
        <f>VLOOKUP(L492,'[1]Tuyến cáp H04'!$B:$E,3,0)/1000</f>
        <v>4.383</v>
      </c>
      <c r="AJ492" t="str">
        <f>VLOOKUP(L492,'[1]Tuyến cáp H04'!$B:$E,4,0)</f>
        <v>Mạng cấp 4</v>
      </c>
    </row>
    <row r="493" spans="1:36" x14ac:dyDescent="0.25">
      <c r="A493" s="1" t="s">
        <v>4583</v>
      </c>
      <c r="B493" s="1" t="s">
        <v>4571</v>
      </c>
      <c r="C493" s="1" t="s">
        <v>4572</v>
      </c>
      <c r="D493" s="1" t="s">
        <v>4584</v>
      </c>
      <c r="E493" s="1" t="s">
        <v>4585</v>
      </c>
      <c r="F493" s="1" t="s">
        <v>4586</v>
      </c>
      <c r="G493" s="1" t="s">
        <v>14129</v>
      </c>
      <c r="H493" s="1" t="s">
        <v>14130</v>
      </c>
      <c r="I493" s="1" t="s">
        <v>14615</v>
      </c>
      <c r="J493" s="1" t="s">
        <v>23</v>
      </c>
      <c r="K493" s="1"/>
      <c r="L493" s="1" t="s">
        <v>283</v>
      </c>
      <c r="M493" s="1" t="s">
        <v>4587</v>
      </c>
      <c r="N493" s="1" t="s">
        <v>4588</v>
      </c>
      <c r="O493" s="1" t="s">
        <v>4589</v>
      </c>
      <c r="P493" s="1" t="s">
        <v>4590</v>
      </c>
      <c r="Q493" s="1" t="s">
        <v>4591</v>
      </c>
      <c r="R493" s="1" t="s">
        <v>4592</v>
      </c>
      <c r="S493" s="1" t="s">
        <v>4593</v>
      </c>
      <c r="T493" s="1" t="s">
        <v>291</v>
      </c>
      <c r="U493">
        <v>499.47</v>
      </c>
      <c r="V493">
        <v>79.930000000000007</v>
      </c>
      <c r="W493">
        <v>14.545743999999999</v>
      </c>
      <c r="X493">
        <v>107.920731</v>
      </c>
      <c r="Y493">
        <v>419.54</v>
      </c>
      <c r="Z493">
        <v>14.521151</v>
      </c>
      <c r="AA493">
        <v>107.918747</v>
      </c>
      <c r="AB493" s="5">
        <f t="shared" si="43"/>
        <v>0.11989500000000002</v>
      </c>
      <c r="AC493" s="5">
        <f t="shared" si="44"/>
        <v>0.62931000000000004</v>
      </c>
      <c r="AD493" s="1" t="str">
        <f t="shared" si="45"/>
        <v>Đăk Tô</v>
      </c>
      <c r="AE493" s="1" t="str">
        <f t="shared" si="46"/>
        <v>TT2 Kon Tum</v>
      </c>
      <c r="AG493">
        <f t="shared" si="47"/>
        <v>7.9930000000000001E-2</v>
      </c>
      <c r="AH493">
        <f t="shared" si="48"/>
        <v>0.41954000000000002</v>
      </c>
      <c r="AI493">
        <f>VLOOKUP(L493,'[1]Tuyến cáp H04'!$B:$E,3,0)/1000</f>
        <v>43.9602</v>
      </c>
      <c r="AJ493" t="str">
        <f>VLOOKUP(L493,'[1]Tuyến cáp H04'!$B:$E,4,0)</f>
        <v>Mạng cấp 3</v>
      </c>
    </row>
    <row r="494" spans="1:36" x14ac:dyDescent="0.25">
      <c r="A494" s="1" t="s">
        <v>4594</v>
      </c>
      <c r="B494" s="1" t="s">
        <v>4595</v>
      </c>
      <c r="C494" s="1" t="s">
        <v>4596</v>
      </c>
      <c r="D494" s="1" t="s">
        <v>4597</v>
      </c>
      <c r="E494" s="1" t="s">
        <v>4598</v>
      </c>
      <c r="F494" s="1" t="s">
        <v>4599</v>
      </c>
      <c r="G494" s="1" t="s">
        <v>14129</v>
      </c>
      <c r="H494" s="1" t="s">
        <v>14130</v>
      </c>
      <c r="I494" s="1" t="s">
        <v>14616</v>
      </c>
      <c r="J494" s="1" t="s">
        <v>23</v>
      </c>
      <c r="K494" s="1"/>
      <c r="L494" s="1" t="s">
        <v>4600</v>
      </c>
      <c r="M494" s="1" t="s">
        <v>4601</v>
      </c>
      <c r="N494" s="1" t="s">
        <v>4602</v>
      </c>
      <c r="O494" s="1" t="s">
        <v>4603</v>
      </c>
      <c r="P494" s="1" t="s">
        <v>4604</v>
      </c>
      <c r="Q494" s="1" t="s">
        <v>4605</v>
      </c>
      <c r="R494" s="1" t="s">
        <v>4606</v>
      </c>
      <c r="S494" s="1" t="s">
        <v>4607</v>
      </c>
      <c r="T494" s="1" t="s">
        <v>4608</v>
      </c>
      <c r="U494">
        <v>2835.25</v>
      </c>
      <c r="V494">
        <v>80.02</v>
      </c>
      <c r="W494">
        <v>14.491633999999999</v>
      </c>
      <c r="X494">
        <v>107.925735</v>
      </c>
      <c r="Y494">
        <v>2755.23</v>
      </c>
      <c r="Z494">
        <v>14.47508</v>
      </c>
      <c r="AA494">
        <v>107.932951</v>
      </c>
      <c r="AB494" s="5">
        <f t="shared" si="43"/>
        <v>0.12003</v>
      </c>
      <c r="AC494" s="5">
        <f t="shared" si="44"/>
        <v>4.1328450000000005</v>
      </c>
      <c r="AD494" s="1" t="str">
        <f t="shared" si="45"/>
        <v>Đăk Pxi</v>
      </c>
      <c r="AE494" s="1" t="str">
        <f t="shared" si="46"/>
        <v>CAT Kon Tum</v>
      </c>
      <c r="AG494">
        <f t="shared" si="47"/>
        <v>8.0019999999999994E-2</v>
      </c>
      <c r="AH494">
        <f t="shared" si="48"/>
        <v>2.7552300000000001</v>
      </c>
      <c r="AI494">
        <f>VLOOKUP(L494,'[1]Tuyến cáp H04'!$B:$E,3,0)/1000</f>
        <v>37.417999999999999</v>
      </c>
      <c r="AJ494" t="str">
        <f>VLOOKUP(L494,'[1]Tuyến cáp H04'!$B:$E,4,0)</f>
        <v>Mạng cấp 4</v>
      </c>
    </row>
    <row r="495" spans="1:36" x14ac:dyDescent="0.25">
      <c r="A495" s="1" t="s">
        <v>4609</v>
      </c>
      <c r="B495" s="1" t="s">
        <v>4595</v>
      </c>
      <c r="C495" s="1" t="s">
        <v>4596</v>
      </c>
      <c r="D495" s="1" t="s">
        <v>4610</v>
      </c>
      <c r="E495" s="1" t="s">
        <v>4611</v>
      </c>
      <c r="F495" s="1" t="s">
        <v>4612</v>
      </c>
      <c r="G495" s="1" t="s">
        <v>14129</v>
      </c>
      <c r="H495" s="1" t="s">
        <v>14130</v>
      </c>
      <c r="I495" s="1" t="s">
        <v>14617</v>
      </c>
      <c r="J495" s="1" t="s">
        <v>23</v>
      </c>
      <c r="K495" s="1"/>
      <c r="L495" s="1" t="s">
        <v>4613</v>
      </c>
      <c r="M495" s="1" t="s">
        <v>4614</v>
      </c>
      <c r="N495" s="1" t="s">
        <v>4615</v>
      </c>
      <c r="O495" s="1" t="s">
        <v>4616</v>
      </c>
      <c r="P495" s="1" t="s">
        <v>4617</v>
      </c>
      <c r="Q495" s="1" t="s">
        <v>4618</v>
      </c>
      <c r="R495" s="1" t="s">
        <v>4619</v>
      </c>
      <c r="S495" s="1" t="s">
        <v>4620</v>
      </c>
      <c r="T495" s="1" t="s">
        <v>4621</v>
      </c>
      <c r="U495">
        <v>103344.28</v>
      </c>
      <c r="V495">
        <v>99366.74</v>
      </c>
      <c r="W495">
        <v>15.340258</v>
      </c>
      <c r="X495">
        <v>108.213703</v>
      </c>
      <c r="Y495">
        <v>3977.54</v>
      </c>
      <c r="Z495">
        <v>15.550722</v>
      </c>
      <c r="AA495">
        <v>108.413776</v>
      </c>
      <c r="AB495" s="5">
        <f t="shared" si="43"/>
        <v>149.05011000000002</v>
      </c>
      <c r="AC495" s="5">
        <f t="shared" si="44"/>
        <v>5.9663099999999991</v>
      </c>
      <c r="AD495" s="1" t="str">
        <f t="shared" si="45"/>
        <v>Bắc Trà My</v>
      </c>
      <c r="AE495" s="1" t="str">
        <f t="shared" si="46"/>
        <v>Phú Ninh</v>
      </c>
      <c r="AG495">
        <f t="shared" si="47"/>
        <v>99.366740000000007</v>
      </c>
      <c r="AH495">
        <f t="shared" si="48"/>
        <v>3.9775399999999999</v>
      </c>
      <c r="AI495">
        <f>VLOOKUP(L495,'[1]Tuyến cáp H04'!$B:$E,3,0)/1000</f>
        <v>44.34</v>
      </c>
      <c r="AJ495" t="str">
        <f>VLOOKUP(L495,'[1]Tuyến cáp H04'!$B:$E,4,0)</f>
        <v>Mạng cấp 3</v>
      </c>
    </row>
    <row r="496" spans="1:36" x14ac:dyDescent="0.25">
      <c r="A496" s="1" t="s">
        <v>4622</v>
      </c>
      <c r="B496" s="1" t="s">
        <v>4610</v>
      </c>
      <c r="C496" s="1" t="s">
        <v>4611</v>
      </c>
      <c r="D496" s="1" t="s">
        <v>4623</v>
      </c>
      <c r="E496" s="1" t="s">
        <v>4624</v>
      </c>
      <c r="F496" s="1" t="s">
        <v>4625</v>
      </c>
      <c r="G496" s="1" t="s">
        <v>14129</v>
      </c>
      <c r="H496" s="1" t="s">
        <v>14130</v>
      </c>
      <c r="I496" s="1" t="s">
        <v>14618</v>
      </c>
      <c r="J496" s="1" t="s">
        <v>23</v>
      </c>
      <c r="K496" s="1"/>
      <c r="L496" s="1" t="s">
        <v>4613</v>
      </c>
      <c r="M496" s="1" t="s">
        <v>4626</v>
      </c>
      <c r="N496" s="1" t="s">
        <v>4618</v>
      </c>
      <c r="O496" s="1" t="s">
        <v>4619</v>
      </c>
      <c r="P496" s="1" t="s">
        <v>4620</v>
      </c>
      <c r="Q496" s="1" t="s">
        <v>4627</v>
      </c>
      <c r="R496" s="1" t="s">
        <v>4616</v>
      </c>
      <c r="S496" s="1" t="s">
        <v>4617</v>
      </c>
      <c r="T496" s="1" t="s">
        <v>4621</v>
      </c>
      <c r="U496">
        <v>99239.15</v>
      </c>
      <c r="V496">
        <v>3977.54</v>
      </c>
      <c r="W496">
        <v>15.550722</v>
      </c>
      <c r="X496">
        <v>108.413776</v>
      </c>
      <c r="Y496">
        <v>95261.61</v>
      </c>
      <c r="Z496">
        <v>15.340258</v>
      </c>
      <c r="AA496">
        <v>108.213703</v>
      </c>
      <c r="AB496" s="5">
        <f t="shared" si="43"/>
        <v>5.9663099999999991</v>
      </c>
      <c r="AC496" s="5">
        <f t="shared" si="44"/>
        <v>142.892415</v>
      </c>
      <c r="AD496" s="1" t="str">
        <f t="shared" si="45"/>
        <v>Bắc Trà My</v>
      </c>
      <c r="AE496" s="1" t="str">
        <f t="shared" si="46"/>
        <v>Phú Ninh</v>
      </c>
      <c r="AG496">
        <f t="shared" si="47"/>
        <v>3.9775399999999999</v>
      </c>
      <c r="AH496">
        <f t="shared" si="48"/>
        <v>95.261610000000005</v>
      </c>
      <c r="AI496">
        <f>VLOOKUP(L496,'[1]Tuyến cáp H04'!$B:$E,3,0)/1000</f>
        <v>44.34</v>
      </c>
      <c r="AJ496" t="str">
        <f>VLOOKUP(L496,'[1]Tuyến cáp H04'!$B:$E,4,0)</f>
        <v>Mạng cấp 3</v>
      </c>
    </row>
    <row r="497" spans="1:36" x14ac:dyDescent="0.25">
      <c r="A497" s="1" t="s">
        <v>4628</v>
      </c>
      <c r="B497" s="1" t="s">
        <v>4514</v>
      </c>
      <c r="C497" s="1" t="s">
        <v>4515</v>
      </c>
      <c r="D497" s="1" t="s">
        <v>4629</v>
      </c>
      <c r="E497" s="1" t="s">
        <v>4630</v>
      </c>
      <c r="F497" s="1" t="s">
        <v>4631</v>
      </c>
      <c r="G497" s="1" t="s">
        <v>14129</v>
      </c>
      <c r="H497" s="1" t="s">
        <v>14130</v>
      </c>
      <c r="I497" s="1" t="s">
        <v>14619</v>
      </c>
      <c r="J497" s="1" t="s">
        <v>23</v>
      </c>
      <c r="K497" s="1"/>
      <c r="L497" s="1" t="s">
        <v>4632</v>
      </c>
      <c r="M497" s="1" t="s">
        <v>3920</v>
      </c>
      <c r="N497" s="1" t="s">
        <v>4633</v>
      </c>
      <c r="O497" s="1" t="s">
        <v>4634</v>
      </c>
      <c r="P497" s="1" t="s">
        <v>4635</v>
      </c>
      <c r="Q497" s="1" t="s">
        <v>4636</v>
      </c>
      <c r="R497" s="1" t="s">
        <v>4637</v>
      </c>
      <c r="S497" s="1" t="s">
        <v>4638</v>
      </c>
      <c r="T497" s="1" t="s">
        <v>4639</v>
      </c>
      <c r="U497">
        <v>93.89</v>
      </c>
      <c r="V497">
        <v>0.99</v>
      </c>
      <c r="W497">
        <v>14.698413</v>
      </c>
      <c r="X497">
        <v>107.836294</v>
      </c>
      <c r="Y497">
        <v>92.9</v>
      </c>
      <c r="Z497">
        <v>14.695057</v>
      </c>
      <c r="AA497">
        <v>107.837833</v>
      </c>
      <c r="AB497" s="5">
        <f t="shared" si="43"/>
        <v>1.4849999999999998E-3</v>
      </c>
      <c r="AC497" s="5">
        <f t="shared" si="44"/>
        <v>0.13935000000000003</v>
      </c>
      <c r="AD497" s="1" t="str">
        <f t="shared" si="45"/>
        <v>TTCMKV Đăk Tô</v>
      </c>
      <c r="AE497" s="1" t="str">
        <f t="shared" si="46"/>
        <v>Kon Đào</v>
      </c>
      <c r="AG497">
        <f t="shared" si="47"/>
        <v>9.8999999999999999E-4</v>
      </c>
      <c r="AH497">
        <f t="shared" si="48"/>
        <v>9.290000000000001E-2</v>
      </c>
      <c r="AI497">
        <f>VLOOKUP(L497,'[1]Tuyến cáp H04'!$B:$E,3,0)/1000</f>
        <v>4.9969999999999999</v>
      </c>
      <c r="AJ497" t="str">
        <f>VLOOKUP(L497,'[1]Tuyến cáp H04'!$B:$E,4,0)</f>
        <v>Mạng cấp 4</v>
      </c>
    </row>
    <row r="498" spans="1:36" x14ac:dyDescent="0.25">
      <c r="A498" s="1" t="s">
        <v>4640</v>
      </c>
      <c r="B498" s="1" t="s">
        <v>4500</v>
      </c>
      <c r="C498" s="1" t="s">
        <v>4501</v>
      </c>
      <c r="D498" s="1" t="s">
        <v>4641</v>
      </c>
      <c r="E498" s="1" t="s">
        <v>4642</v>
      </c>
      <c r="F498" s="1" t="s">
        <v>4643</v>
      </c>
      <c r="G498" s="1" t="s">
        <v>14129</v>
      </c>
      <c r="H498" s="1" t="s">
        <v>14130</v>
      </c>
      <c r="I498" s="1" t="s">
        <v>14620</v>
      </c>
      <c r="J498" s="1" t="s">
        <v>23</v>
      </c>
      <c r="K498" s="1"/>
      <c r="L498" s="1" t="s">
        <v>4532</v>
      </c>
      <c r="M498" s="1" t="s">
        <v>4644</v>
      </c>
      <c r="N498" s="1" t="s">
        <v>707</v>
      </c>
      <c r="O498" s="1" t="s">
        <v>4534</v>
      </c>
      <c r="P498" s="1" t="s">
        <v>4535</v>
      </c>
      <c r="Q498" s="1" t="s">
        <v>4645</v>
      </c>
      <c r="R498" s="1" t="s">
        <v>4646</v>
      </c>
      <c r="S498" s="1" t="s">
        <v>4647</v>
      </c>
      <c r="T498" s="1" t="s">
        <v>4539</v>
      </c>
      <c r="U498">
        <v>55.91</v>
      </c>
      <c r="V498">
        <v>15.81</v>
      </c>
      <c r="W498">
        <v>14.724418999999999</v>
      </c>
      <c r="X498">
        <v>107.68789200000001</v>
      </c>
      <c r="Y498">
        <v>40.1</v>
      </c>
      <c r="Z498">
        <v>14.687182</v>
      </c>
      <c r="AA498">
        <v>107.68757100000001</v>
      </c>
      <c r="AB498" s="5">
        <f t="shared" si="43"/>
        <v>2.3715E-2</v>
      </c>
      <c r="AC498" s="5">
        <f t="shared" si="44"/>
        <v>6.0150000000000009E-2</v>
      </c>
      <c r="AD498" s="1" t="str">
        <f t="shared" si="45"/>
        <v>TTCMKV Ngọc Hồi</v>
      </c>
      <c r="AE498" s="1" t="str">
        <f t="shared" si="46"/>
        <v>Sa Loong</v>
      </c>
      <c r="AG498">
        <f t="shared" si="47"/>
        <v>1.5810000000000001E-2</v>
      </c>
      <c r="AH498">
        <f t="shared" si="48"/>
        <v>4.0100000000000004E-2</v>
      </c>
      <c r="AI498">
        <f>VLOOKUP(L498,'[1]Tuyến cáp H04'!$B:$E,3,0)/1000</f>
        <v>16.399999999999999</v>
      </c>
      <c r="AJ498" t="str">
        <f>VLOOKUP(L498,'[1]Tuyến cáp H04'!$B:$E,4,0)</f>
        <v>Mạng cấp 4</v>
      </c>
    </row>
    <row r="499" spans="1:36" x14ac:dyDescent="0.25">
      <c r="A499" s="1" t="s">
        <v>4648</v>
      </c>
      <c r="B499" s="1" t="s">
        <v>4649</v>
      </c>
      <c r="C499" s="1" t="s">
        <v>4650</v>
      </c>
      <c r="D499" s="1" t="s">
        <v>4500</v>
      </c>
      <c r="E499" s="1" t="s">
        <v>4501</v>
      </c>
      <c r="F499" s="1" t="s">
        <v>4651</v>
      </c>
      <c r="G499" s="1" t="s">
        <v>14129</v>
      </c>
      <c r="H499" s="1" t="s">
        <v>14130</v>
      </c>
      <c r="I499" s="1" t="s">
        <v>14621</v>
      </c>
      <c r="J499" s="1" t="s">
        <v>23</v>
      </c>
      <c r="K499" s="1"/>
      <c r="L499" s="1" t="s">
        <v>4652</v>
      </c>
      <c r="M499" s="1" t="s">
        <v>4653</v>
      </c>
      <c r="N499" s="1" t="s">
        <v>4654</v>
      </c>
      <c r="O499" s="1" t="s">
        <v>4655</v>
      </c>
      <c r="P499" s="1" t="s">
        <v>4656</v>
      </c>
      <c r="Q499" s="1" t="s">
        <v>4657</v>
      </c>
      <c r="R499" s="1" t="s">
        <v>4658</v>
      </c>
      <c r="S499" s="1" t="s">
        <v>4659</v>
      </c>
      <c r="T499" s="1" t="s">
        <v>4660</v>
      </c>
      <c r="U499">
        <v>191.92</v>
      </c>
      <c r="V499">
        <v>110.28</v>
      </c>
      <c r="W499">
        <v>14.493387999999999</v>
      </c>
      <c r="X499">
        <v>107.92475899999999</v>
      </c>
      <c r="Y499">
        <v>81.64</v>
      </c>
      <c r="Z499">
        <v>14.724747000000001</v>
      </c>
      <c r="AA499">
        <v>107.688525</v>
      </c>
      <c r="AB499" s="5">
        <f t="shared" si="43"/>
        <v>0.16542000000000001</v>
      </c>
      <c r="AC499" s="5">
        <f t="shared" si="44"/>
        <v>0.12246000000000001</v>
      </c>
      <c r="AD499" s="1" t="str">
        <f t="shared" si="45"/>
        <v>Đak Hà</v>
      </c>
      <c r="AE499" s="1" t="str">
        <f t="shared" si="46"/>
        <v>Ngọc Hồi</v>
      </c>
      <c r="AG499">
        <f t="shared" si="47"/>
        <v>0.11028</v>
      </c>
      <c r="AH499">
        <f t="shared" si="48"/>
        <v>8.1640000000000004E-2</v>
      </c>
      <c r="AI499" t="e">
        <f>VLOOKUP(L499,'[1]Tuyến cáp H04'!$B:$E,3,0)/1000</f>
        <v>#N/A</v>
      </c>
      <c r="AJ499" t="e">
        <f>VLOOKUP(L499,'[1]Tuyến cáp H04'!$B:$E,4,0)</f>
        <v>#N/A</v>
      </c>
    </row>
    <row r="500" spans="1:36" x14ac:dyDescent="0.25">
      <c r="A500" s="1" t="s">
        <v>4661</v>
      </c>
      <c r="B500" s="1" t="s">
        <v>4662</v>
      </c>
      <c r="C500" s="1" t="s">
        <v>4663</v>
      </c>
      <c r="D500" s="1" t="s">
        <v>4500</v>
      </c>
      <c r="E500" s="1" t="s">
        <v>4501</v>
      </c>
      <c r="F500" s="1" t="s">
        <v>4664</v>
      </c>
      <c r="G500" s="1" t="s">
        <v>14129</v>
      </c>
      <c r="H500" s="1" t="s">
        <v>14130</v>
      </c>
      <c r="I500" s="1" t="s">
        <v>14622</v>
      </c>
      <c r="J500" s="1" t="s">
        <v>23</v>
      </c>
      <c r="K500" s="1"/>
      <c r="L500" s="1" t="s">
        <v>4665</v>
      </c>
      <c r="M500" s="1" t="s">
        <v>4666</v>
      </c>
      <c r="N500" s="1" t="s">
        <v>4667</v>
      </c>
      <c r="O500" s="1" t="s">
        <v>4668</v>
      </c>
      <c r="P500" s="1" t="s">
        <v>4669</v>
      </c>
      <c r="Q500" s="1" t="s">
        <v>4670</v>
      </c>
      <c r="R500" s="1" t="s">
        <v>4671</v>
      </c>
      <c r="S500" s="1" t="s">
        <v>4672</v>
      </c>
      <c r="T500" s="1" t="s">
        <v>4673</v>
      </c>
      <c r="U500">
        <v>161.46</v>
      </c>
      <c r="V500">
        <v>145.96</v>
      </c>
      <c r="W500">
        <v>14.704893</v>
      </c>
      <c r="X500">
        <v>107.69735900000001</v>
      </c>
      <c r="Y500">
        <v>15.5</v>
      </c>
      <c r="Z500">
        <v>14.724413999999999</v>
      </c>
      <c r="AA500">
        <v>107.68788000000001</v>
      </c>
      <c r="AB500" s="5">
        <f t="shared" si="43"/>
        <v>0.21894</v>
      </c>
      <c r="AC500" s="5">
        <f t="shared" si="44"/>
        <v>2.325E-2</v>
      </c>
      <c r="AD500" s="1" t="str">
        <f t="shared" si="45"/>
        <v>Pô Kô</v>
      </c>
      <c r="AE500" s="1" t="str">
        <f t="shared" si="46"/>
        <v>TTCMKV Ngọc Hồi</v>
      </c>
      <c r="AG500">
        <f t="shared" si="47"/>
        <v>0.14596000000000001</v>
      </c>
      <c r="AH500">
        <f t="shared" si="48"/>
        <v>1.55E-2</v>
      </c>
      <c r="AI500">
        <f>VLOOKUP(L500,'[1]Tuyến cáp H04'!$B:$E,3,0)/1000</f>
        <v>30.841999999999999</v>
      </c>
      <c r="AJ500" t="str">
        <f>VLOOKUP(L500,'[1]Tuyến cáp H04'!$B:$E,4,0)</f>
        <v>Mạng cấp 4</v>
      </c>
    </row>
    <row r="501" spans="1:36" x14ac:dyDescent="0.25">
      <c r="A501" s="1" t="s">
        <v>4674</v>
      </c>
      <c r="B501" s="1" t="s">
        <v>4649</v>
      </c>
      <c r="C501" s="1" t="s">
        <v>4650</v>
      </c>
      <c r="D501" s="1" t="s">
        <v>4514</v>
      </c>
      <c r="E501" s="1" t="s">
        <v>4515</v>
      </c>
      <c r="F501" s="1" t="s">
        <v>4675</v>
      </c>
      <c r="G501" s="1" t="s">
        <v>14129</v>
      </c>
      <c r="H501" s="1" t="s">
        <v>14130</v>
      </c>
      <c r="I501" s="1" t="s">
        <v>14623</v>
      </c>
      <c r="J501" s="1" t="s">
        <v>23</v>
      </c>
      <c r="K501" s="1"/>
      <c r="L501" s="1" t="s">
        <v>283</v>
      </c>
      <c r="M501" s="1" t="s">
        <v>4676</v>
      </c>
      <c r="N501" s="1" t="s">
        <v>4677</v>
      </c>
      <c r="O501" s="1" t="s">
        <v>4678</v>
      </c>
      <c r="P501" s="1" t="s">
        <v>4679</v>
      </c>
      <c r="Q501" s="1" t="s">
        <v>4680</v>
      </c>
      <c r="R501" s="1" t="s">
        <v>4681</v>
      </c>
      <c r="S501" s="1" t="s">
        <v>4682</v>
      </c>
      <c r="T501" s="1" t="s">
        <v>291</v>
      </c>
      <c r="U501">
        <v>4425.24</v>
      </c>
      <c r="V501">
        <v>109.89</v>
      </c>
      <c r="W501">
        <v>14.493391000000001</v>
      </c>
      <c r="X501">
        <v>107.924763</v>
      </c>
      <c r="Y501">
        <v>4315.3500000000004</v>
      </c>
      <c r="Z501">
        <v>14.659758</v>
      </c>
      <c r="AA501">
        <v>107.83978500000001</v>
      </c>
      <c r="AB501" s="5">
        <f t="shared" si="43"/>
        <v>0.16483500000000001</v>
      </c>
      <c r="AC501" s="5">
        <f t="shared" si="44"/>
        <v>6.4730250000000007</v>
      </c>
      <c r="AD501" s="1" t="str">
        <f t="shared" si="45"/>
        <v>Đăk Tô</v>
      </c>
      <c r="AE501" s="1" t="str">
        <f t="shared" si="46"/>
        <v>TT2 Kon Tum</v>
      </c>
      <c r="AG501">
        <f t="shared" si="47"/>
        <v>0.10989</v>
      </c>
      <c r="AH501">
        <f t="shared" si="48"/>
        <v>4.3153500000000005</v>
      </c>
      <c r="AI501">
        <f>VLOOKUP(L501,'[1]Tuyến cáp H04'!$B:$E,3,0)/1000</f>
        <v>43.9602</v>
      </c>
      <c r="AJ501" t="str">
        <f>VLOOKUP(L501,'[1]Tuyến cáp H04'!$B:$E,4,0)</f>
        <v>Mạng cấp 3</v>
      </c>
    </row>
    <row r="502" spans="1:36" x14ac:dyDescent="0.25">
      <c r="A502" s="1" t="s">
        <v>4683</v>
      </c>
      <c r="B502" s="1" t="s">
        <v>4684</v>
      </c>
      <c r="C502" s="1" t="s">
        <v>4685</v>
      </c>
      <c r="D502" s="1" t="s">
        <v>4500</v>
      </c>
      <c r="E502" s="1" t="s">
        <v>4501</v>
      </c>
      <c r="F502" s="1" t="s">
        <v>4686</v>
      </c>
      <c r="G502" s="1" t="s">
        <v>14129</v>
      </c>
      <c r="H502" s="1" t="s">
        <v>14130</v>
      </c>
      <c r="I502" s="1" t="s">
        <v>14624</v>
      </c>
      <c r="J502" s="1" t="s">
        <v>23</v>
      </c>
      <c r="K502" s="1"/>
      <c r="L502" s="1" t="s">
        <v>4687</v>
      </c>
      <c r="M502" s="1" t="s">
        <v>4688</v>
      </c>
      <c r="N502" s="1" t="s">
        <v>4689</v>
      </c>
      <c r="O502" s="1" t="s">
        <v>4690</v>
      </c>
      <c r="P502" s="1" t="s">
        <v>4691</v>
      </c>
      <c r="Q502" s="1" t="s">
        <v>4692</v>
      </c>
      <c r="R502" s="1" t="s">
        <v>4693</v>
      </c>
      <c r="S502" s="1" t="s">
        <v>4694</v>
      </c>
      <c r="T502" s="1" t="s">
        <v>4695</v>
      </c>
      <c r="U502">
        <v>131.09</v>
      </c>
      <c r="V502">
        <v>114.38</v>
      </c>
      <c r="W502">
        <v>14.732032</v>
      </c>
      <c r="X502">
        <v>107.691819</v>
      </c>
      <c r="Y502">
        <v>16.71</v>
      </c>
      <c r="Z502">
        <v>14.724416</v>
      </c>
      <c r="AA502">
        <v>107.687901</v>
      </c>
      <c r="AB502" s="5">
        <f t="shared" si="43"/>
        <v>0.17157</v>
      </c>
      <c r="AC502" s="5">
        <f t="shared" si="44"/>
        <v>2.5065E-2</v>
      </c>
      <c r="AD502" s="1" t="str">
        <f t="shared" si="45"/>
        <v>Bờ Y</v>
      </c>
      <c r="AE502" s="1" t="str">
        <f t="shared" si="46"/>
        <v>Đăk Môn</v>
      </c>
      <c r="AG502">
        <f t="shared" si="47"/>
        <v>0.11438</v>
      </c>
      <c r="AH502">
        <f t="shared" si="48"/>
        <v>1.6709999999999999E-2</v>
      </c>
      <c r="AI502">
        <f>VLOOKUP(L502,'[1]Tuyến cáp H04'!$B:$E,3,0)/1000</f>
        <v>21.48</v>
      </c>
      <c r="AJ502" t="str">
        <f>VLOOKUP(L502,'[1]Tuyến cáp H04'!$B:$E,4,0)</f>
        <v>Mạng cấp 4</v>
      </c>
    </row>
    <row r="503" spans="1:36" x14ac:dyDescent="0.25">
      <c r="A503" s="1" t="s">
        <v>4696</v>
      </c>
      <c r="B503" s="1" t="s">
        <v>4697</v>
      </c>
      <c r="C503" s="1" t="s">
        <v>4698</v>
      </c>
      <c r="D503" s="1" t="s">
        <v>4500</v>
      </c>
      <c r="E503" s="1" t="s">
        <v>4501</v>
      </c>
      <c r="F503" s="1" t="s">
        <v>4699</v>
      </c>
      <c r="G503" s="1" t="s">
        <v>14129</v>
      </c>
      <c r="H503" s="1" t="s">
        <v>14130</v>
      </c>
      <c r="I503" s="1" t="s">
        <v>14625</v>
      </c>
      <c r="J503" s="1" t="s">
        <v>23</v>
      </c>
      <c r="K503" s="1"/>
      <c r="L503" s="1" t="s">
        <v>4665</v>
      </c>
      <c r="M503" s="1" t="s">
        <v>4700</v>
      </c>
      <c r="N503" s="1" t="s">
        <v>4701</v>
      </c>
      <c r="O503" s="1" t="s">
        <v>4702</v>
      </c>
      <c r="P503" s="1" t="s">
        <v>4703</v>
      </c>
      <c r="Q503" s="1" t="s">
        <v>4670</v>
      </c>
      <c r="R503" s="1" t="s">
        <v>4671</v>
      </c>
      <c r="S503" s="1" t="s">
        <v>4672</v>
      </c>
      <c r="T503" s="1" t="s">
        <v>4673</v>
      </c>
      <c r="U503">
        <v>135.58000000000001</v>
      </c>
      <c r="V503">
        <v>120.08</v>
      </c>
      <c r="W503">
        <v>14.688022</v>
      </c>
      <c r="X503">
        <v>107.717382</v>
      </c>
      <c r="Y503">
        <v>15.5</v>
      </c>
      <c r="Z503">
        <v>14.724413999999999</v>
      </c>
      <c r="AA503">
        <v>107.68788000000001</v>
      </c>
      <c r="AB503" s="5">
        <f t="shared" si="43"/>
        <v>0.18012</v>
      </c>
      <c r="AC503" s="5">
        <f t="shared" si="44"/>
        <v>2.325E-2</v>
      </c>
      <c r="AD503" s="1" t="str">
        <f t="shared" si="45"/>
        <v>Pô Kô</v>
      </c>
      <c r="AE503" s="1" t="str">
        <f t="shared" si="46"/>
        <v>TTCMKV Ngọc Hồi</v>
      </c>
      <c r="AG503">
        <f t="shared" si="47"/>
        <v>0.12007999999999999</v>
      </c>
      <c r="AH503">
        <f t="shared" si="48"/>
        <v>1.55E-2</v>
      </c>
      <c r="AI503">
        <f>VLOOKUP(L503,'[1]Tuyến cáp H04'!$B:$E,3,0)/1000</f>
        <v>30.841999999999999</v>
      </c>
      <c r="AJ503" t="str">
        <f>VLOOKUP(L503,'[1]Tuyến cáp H04'!$B:$E,4,0)</f>
        <v>Mạng cấp 4</v>
      </c>
    </row>
    <row r="504" spans="1:36" x14ac:dyDescent="0.25">
      <c r="A504" s="1" t="s">
        <v>4704</v>
      </c>
      <c r="B504" s="1" t="s">
        <v>4705</v>
      </c>
      <c r="C504" s="1" t="s">
        <v>4706</v>
      </c>
      <c r="D504" s="1" t="s">
        <v>4707</v>
      </c>
      <c r="E504" s="1" t="s">
        <v>4708</v>
      </c>
      <c r="F504" s="1" t="s">
        <v>4709</v>
      </c>
      <c r="G504" s="1" t="s">
        <v>14129</v>
      </c>
      <c r="H504" s="1" t="s">
        <v>14130</v>
      </c>
      <c r="I504" s="1" t="s">
        <v>14626</v>
      </c>
      <c r="J504" s="1" t="s">
        <v>23</v>
      </c>
      <c r="K504" s="1"/>
      <c r="L504" s="1" t="s">
        <v>4710</v>
      </c>
      <c r="M504" s="1" t="s">
        <v>4711</v>
      </c>
      <c r="N504" s="1" t="s">
        <v>4712</v>
      </c>
      <c r="O504" s="1" t="s">
        <v>4713</v>
      </c>
      <c r="P504" s="1" t="s">
        <v>4714</v>
      </c>
      <c r="Q504" s="1" t="s">
        <v>4715</v>
      </c>
      <c r="R504" s="1" t="s">
        <v>4716</v>
      </c>
      <c r="S504" s="1" t="s">
        <v>4717</v>
      </c>
      <c r="T504" s="1" t="s">
        <v>4718</v>
      </c>
      <c r="U504">
        <v>87.67</v>
      </c>
      <c r="V504">
        <v>55.13</v>
      </c>
      <c r="W504">
        <v>14.302493</v>
      </c>
      <c r="X504">
        <v>107.993155</v>
      </c>
      <c r="Y504">
        <v>32.54</v>
      </c>
      <c r="Z504">
        <v>14.30256</v>
      </c>
      <c r="AA504">
        <v>107.99348999999999</v>
      </c>
      <c r="AB504" s="5">
        <f t="shared" si="43"/>
        <v>8.2695000000000005E-2</v>
      </c>
      <c r="AC504" s="5">
        <f t="shared" si="44"/>
        <v>4.8809999999999999E-2</v>
      </c>
      <c r="AD504" s="1" t="str">
        <f t="shared" si="45"/>
        <v>CAT Kon TUm</v>
      </c>
      <c r="AE504" s="1" t="str">
        <f t="shared" si="46"/>
        <v>Đăk Bla</v>
      </c>
      <c r="AG504">
        <f t="shared" si="47"/>
        <v>5.5130000000000005E-2</v>
      </c>
      <c r="AH504">
        <f t="shared" si="48"/>
        <v>3.2539999999999999E-2</v>
      </c>
      <c r="AI504">
        <f>VLOOKUP(L504,'[1]Tuyến cáp H04'!$B:$E,3,0)/1000</f>
        <v>9.5890000000000004</v>
      </c>
      <c r="AJ504" t="str">
        <f>VLOOKUP(L504,'[1]Tuyến cáp H04'!$B:$E,4,0)</f>
        <v>Mạng cấp 4</v>
      </c>
    </row>
    <row r="505" spans="1:36" x14ac:dyDescent="0.25">
      <c r="A505" s="1" t="s">
        <v>4719</v>
      </c>
      <c r="B505" s="1" t="s">
        <v>4720</v>
      </c>
      <c r="C505" s="1" t="s">
        <v>4721</v>
      </c>
      <c r="D505" s="1" t="s">
        <v>4707</v>
      </c>
      <c r="E505" s="1" t="s">
        <v>4708</v>
      </c>
      <c r="F505" s="1" t="s">
        <v>4722</v>
      </c>
      <c r="G505" s="1" t="s">
        <v>14129</v>
      </c>
      <c r="H505" s="1" t="s">
        <v>14130</v>
      </c>
      <c r="I505" s="1" t="s">
        <v>14627</v>
      </c>
      <c r="J505" s="1" t="s">
        <v>23</v>
      </c>
      <c r="K505" s="1"/>
      <c r="L505" s="1" t="s">
        <v>4710</v>
      </c>
      <c r="M505" s="1" t="s">
        <v>4723</v>
      </c>
      <c r="N505" s="1" t="s">
        <v>4724</v>
      </c>
      <c r="O505" s="1" t="s">
        <v>4725</v>
      </c>
      <c r="P505" s="1" t="s">
        <v>4726</v>
      </c>
      <c r="Q505" s="1" t="s">
        <v>4715</v>
      </c>
      <c r="R505" s="1" t="s">
        <v>4716</v>
      </c>
      <c r="S505" s="1" t="s">
        <v>4717</v>
      </c>
      <c r="T505" s="1" t="s">
        <v>4718</v>
      </c>
      <c r="U505">
        <v>178.46</v>
      </c>
      <c r="V505">
        <v>145.91999999999999</v>
      </c>
      <c r="W505">
        <v>14.319241999999999</v>
      </c>
      <c r="X505">
        <v>107.987888</v>
      </c>
      <c r="Y505">
        <v>32.54</v>
      </c>
      <c r="Z505">
        <v>14.30256</v>
      </c>
      <c r="AA505">
        <v>107.99348999999999</v>
      </c>
      <c r="AB505" s="5">
        <f t="shared" si="43"/>
        <v>0.21887999999999999</v>
      </c>
      <c r="AC505" s="5">
        <f t="shared" si="44"/>
        <v>4.8809999999999999E-2</v>
      </c>
      <c r="AD505" s="1" t="str">
        <f t="shared" si="45"/>
        <v>CAT Kon TUm</v>
      </c>
      <c r="AE505" s="1" t="str">
        <f t="shared" si="46"/>
        <v>Đăk Bla</v>
      </c>
      <c r="AG505">
        <f t="shared" si="47"/>
        <v>0.14591999999999999</v>
      </c>
      <c r="AH505">
        <f t="shared" si="48"/>
        <v>3.2539999999999999E-2</v>
      </c>
      <c r="AI505">
        <f>VLOOKUP(L505,'[1]Tuyến cáp H04'!$B:$E,3,0)/1000</f>
        <v>9.5890000000000004</v>
      </c>
      <c r="AJ505" t="str">
        <f>VLOOKUP(L505,'[1]Tuyến cáp H04'!$B:$E,4,0)</f>
        <v>Mạng cấp 4</v>
      </c>
    </row>
    <row r="506" spans="1:36" x14ac:dyDescent="0.25">
      <c r="A506" s="1" t="s">
        <v>4727</v>
      </c>
      <c r="B506" s="1" t="s">
        <v>4728</v>
      </c>
      <c r="C506" s="1" t="s">
        <v>4729</v>
      </c>
      <c r="D506" s="1" t="s">
        <v>278</v>
      </c>
      <c r="E506" s="1" t="s">
        <v>279</v>
      </c>
      <c r="F506" s="1" t="s">
        <v>4730</v>
      </c>
      <c r="G506" s="1" t="s">
        <v>14129</v>
      </c>
      <c r="H506" s="1" t="s">
        <v>14130</v>
      </c>
      <c r="I506" s="1" t="s">
        <v>14628</v>
      </c>
      <c r="J506" s="1" t="s">
        <v>23</v>
      </c>
      <c r="K506" s="1"/>
      <c r="L506" s="1" t="s">
        <v>283</v>
      </c>
      <c r="M506" s="1" t="s">
        <v>4731</v>
      </c>
      <c r="N506" s="1" t="s">
        <v>4732</v>
      </c>
      <c r="O506" s="1" t="s">
        <v>4733</v>
      </c>
      <c r="P506" s="1" t="s">
        <v>4734</v>
      </c>
      <c r="Q506" s="1" t="s">
        <v>285</v>
      </c>
      <c r="R506" s="1" t="s">
        <v>286</v>
      </c>
      <c r="S506" s="1" t="s">
        <v>287</v>
      </c>
      <c r="T506" s="1" t="s">
        <v>291</v>
      </c>
      <c r="U506">
        <v>252756.48000000001</v>
      </c>
      <c r="V506">
        <v>172.28</v>
      </c>
      <c r="W506">
        <v>14.367519</v>
      </c>
      <c r="X506">
        <v>107.994969</v>
      </c>
      <c r="Y506">
        <v>252584.19</v>
      </c>
      <c r="Z506">
        <v>14.659686000000001</v>
      </c>
      <c r="AA506">
        <v>107.839439</v>
      </c>
      <c r="AB506" s="5">
        <f t="shared" si="43"/>
        <v>0.25842000000000004</v>
      </c>
      <c r="AC506" s="5">
        <f t="shared" si="44"/>
        <v>378.87628500000005</v>
      </c>
      <c r="AD506" s="1" t="str">
        <f t="shared" si="45"/>
        <v>Đăk Tô</v>
      </c>
      <c r="AE506" s="1" t="str">
        <f t="shared" si="46"/>
        <v>TT2 Kon Tum</v>
      </c>
      <c r="AG506">
        <f t="shared" si="47"/>
        <v>0.17227999999999999</v>
      </c>
      <c r="AH506">
        <f t="shared" si="48"/>
        <v>252.58419000000001</v>
      </c>
      <c r="AI506">
        <f>VLOOKUP(L506,'[1]Tuyến cáp H04'!$B:$E,3,0)/1000</f>
        <v>43.9602</v>
      </c>
      <c r="AJ506" t="str">
        <f>VLOOKUP(L506,'[1]Tuyến cáp H04'!$B:$E,4,0)</f>
        <v>Mạng cấp 3</v>
      </c>
    </row>
    <row r="507" spans="1:36" x14ac:dyDescent="0.25">
      <c r="A507" s="1" t="s">
        <v>4735</v>
      </c>
      <c r="B507" s="1" t="s">
        <v>4736</v>
      </c>
      <c r="C507" s="1" t="s">
        <v>4737</v>
      </c>
      <c r="D507" s="1" t="s">
        <v>4738</v>
      </c>
      <c r="E507" s="1" t="s">
        <v>4739</v>
      </c>
      <c r="F507" s="1" t="s">
        <v>4740</v>
      </c>
      <c r="G507" s="1" t="s">
        <v>14129</v>
      </c>
      <c r="H507" s="1" t="s">
        <v>14130</v>
      </c>
      <c r="I507" s="1" t="s">
        <v>14629</v>
      </c>
      <c r="J507" s="1" t="s">
        <v>23</v>
      </c>
      <c r="K507" s="1"/>
      <c r="L507" s="1" t="s">
        <v>283</v>
      </c>
      <c r="M507" s="1" t="s">
        <v>4741</v>
      </c>
      <c r="N507" s="1" t="s">
        <v>4742</v>
      </c>
      <c r="O507" s="1" t="s">
        <v>4743</v>
      </c>
      <c r="P507" s="1" t="s">
        <v>4744</v>
      </c>
      <c r="Q507" s="1" t="s">
        <v>4745</v>
      </c>
      <c r="R507" s="1" t="s">
        <v>4681</v>
      </c>
      <c r="S507" s="1" t="s">
        <v>4682</v>
      </c>
      <c r="T507" s="1" t="s">
        <v>291</v>
      </c>
      <c r="U507">
        <v>156046.13</v>
      </c>
      <c r="V507">
        <v>796.64</v>
      </c>
      <c r="W507">
        <v>14.363782</v>
      </c>
      <c r="X507">
        <v>107.999065</v>
      </c>
      <c r="Y507">
        <v>155249.48000000001</v>
      </c>
      <c r="Z507">
        <v>14.659758</v>
      </c>
      <c r="AA507">
        <v>107.83978500000001</v>
      </c>
      <c r="AB507" s="5">
        <f t="shared" si="43"/>
        <v>1.19496</v>
      </c>
      <c r="AC507" s="5">
        <f t="shared" si="44"/>
        <v>232.87422000000004</v>
      </c>
      <c r="AD507" s="1" t="str">
        <f t="shared" si="45"/>
        <v>Đăk Tô</v>
      </c>
      <c r="AE507" s="1" t="str">
        <f t="shared" si="46"/>
        <v>TT2 Kon Tum</v>
      </c>
      <c r="AG507">
        <f t="shared" si="47"/>
        <v>0.79664000000000001</v>
      </c>
      <c r="AH507">
        <f t="shared" si="48"/>
        <v>155.24948000000001</v>
      </c>
      <c r="AI507">
        <f>VLOOKUP(L507,'[1]Tuyến cáp H04'!$B:$E,3,0)/1000</f>
        <v>43.9602</v>
      </c>
      <c r="AJ507" t="str">
        <f>VLOOKUP(L507,'[1]Tuyến cáp H04'!$B:$E,4,0)</f>
        <v>Mạng cấp 3</v>
      </c>
    </row>
    <row r="508" spans="1:36" x14ac:dyDescent="0.25">
      <c r="A508" s="1" t="s">
        <v>4746</v>
      </c>
      <c r="B508" s="1" t="s">
        <v>4747</v>
      </c>
      <c r="C508" s="1" t="s">
        <v>4748</v>
      </c>
      <c r="D508" s="1" t="s">
        <v>4749</v>
      </c>
      <c r="E508" s="1" t="s">
        <v>4750</v>
      </c>
      <c r="F508" s="1" t="s">
        <v>4751</v>
      </c>
      <c r="G508" s="1" t="s">
        <v>14129</v>
      </c>
      <c r="H508" s="1" t="s">
        <v>14130</v>
      </c>
      <c r="I508" s="1" t="s">
        <v>14630</v>
      </c>
      <c r="J508" s="1" t="s">
        <v>23</v>
      </c>
      <c r="K508" s="1"/>
      <c r="L508" s="1" t="s">
        <v>4752</v>
      </c>
      <c r="M508" s="1" t="s">
        <v>4753</v>
      </c>
      <c r="N508" s="1" t="s">
        <v>4754</v>
      </c>
      <c r="O508" s="1" t="s">
        <v>4755</v>
      </c>
      <c r="P508" s="1" t="s">
        <v>4756</v>
      </c>
      <c r="Q508" s="1" t="s">
        <v>4757</v>
      </c>
      <c r="R508" s="1" t="s">
        <v>4758</v>
      </c>
      <c r="S508" s="1" t="s">
        <v>4759</v>
      </c>
      <c r="T508" s="1" t="s">
        <v>4760</v>
      </c>
      <c r="U508">
        <v>331.13</v>
      </c>
      <c r="V508">
        <v>290.43</v>
      </c>
      <c r="W508">
        <v>14.381186</v>
      </c>
      <c r="X508">
        <v>108.029183</v>
      </c>
      <c r="Y508">
        <v>40.700000000000003</v>
      </c>
      <c r="Z508">
        <v>14.377231999999999</v>
      </c>
      <c r="AA508">
        <v>108.02014</v>
      </c>
      <c r="AB508" s="5">
        <f t="shared" si="43"/>
        <v>0.435645</v>
      </c>
      <c r="AC508" s="5">
        <f t="shared" si="44"/>
        <v>6.1050000000000007E-2</v>
      </c>
      <c r="AD508" s="1" t="str">
        <f t="shared" si="45"/>
        <v>Ia chim</v>
      </c>
      <c r="AE508" s="1" t="str">
        <f t="shared" si="46"/>
        <v>Đăk Rơ Wa</v>
      </c>
      <c r="AG508">
        <f t="shared" si="47"/>
        <v>0.29043000000000002</v>
      </c>
      <c r="AH508">
        <f t="shared" si="48"/>
        <v>4.07E-2</v>
      </c>
      <c r="AI508">
        <f>VLOOKUP(L508,'[1]Tuyến cáp H04'!$B:$E,3,0)/1000</f>
        <v>17.221</v>
      </c>
      <c r="AJ508" t="str">
        <f>VLOOKUP(L508,'[1]Tuyến cáp H04'!$B:$E,4,0)</f>
        <v>Mạng cấp 4</v>
      </c>
    </row>
    <row r="509" spans="1:36" x14ac:dyDescent="0.25">
      <c r="A509" s="1" t="s">
        <v>4761</v>
      </c>
      <c r="B509" s="1" t="s">
        <v>4556</v>
      </c>
      <c r="C509" s="1" t="s">
        <v>4557</v>
      </c>
      <c r="D509" s="1" t="s">
        <v>4569</v>
      </c>
      <c r="E509" s="1" t="s">
        <v>4570</v>
      </c>
      <c r="F509" s="1" t="s">
        <v>4762</v>
      </c>
      <c r="G509" s="1" t="s">
        <v>14129</v>
      </c>
      <c r="H509" s="1" t="s">
        <v>14130</v>
      </c>
      <c r="I509" s="1" t="s">
        <v>14631</v>
      </c>
      <c r="J509" s="1" t="s">
        <v>23</v>
      </c>
      <c r="K509" s="1"/>
      <c r="L509" s="1" t="s">
        <v>4763</v>
      </c>
      <c r="M509" s="1" t="s">
        <v>4764</v>
      </c>
      <c r="N509" s="1" t="s">
        <v>4765</v>
      </c>
      <c r="O509" s="1" t="s">
        <v>4766</v>
      </c>
      <c r="P509" s="1" t="s">
        <v>4767</v>
      </c>
      <c r="Q509" s="1" t="s">
        <v>4768</v>
      </c>
      <c r="R509" s="1" t="s">
        <v>4769</v>
      </c>
      <c r="S509" s="1" t="s">
        <v>4770</v>
      </c>
      <c r="T509" s="1" t="s">
        <v>4771</v>
      </c>
      <c r="U509">
        <v>1111.72</v>
      </c>
      <c r="V509">
        <v>1055.28</v>
      </c>
      <c r="W509">
        <v>14.519339</v>
      </c>
      <c r="X509">
        <v>107.936525</v>
      </c>
      <c r="Y509">
        <v>56.44</v>
      </c>
      <c r="Z509">
        <v>14.530480000000001</v>
      </c>
      <c r="AA509">
        <v>107.940293</v>
      </c>
      <c r="AB509" s="5">
        <f t="shared" si="43"/>
        <v>1.5829200000000001</v>
      </c>
      <c r="AC509" s="5">
        <f t="shared" si="44"/>
        <v>8.4659999999999999E-2</v>
      </c>
      <c r="AD509" s="1" t="str">
        <f t="shared" si="45"/>
        <v>Đăk Hà</v>
      </c>
      <c r="AE509" s="1" t="str">
        <f t="shared" si="46"/>
        <v>Đăk Ui</v>
      </c>
      <c r="AG509">
        <f t="shared" si="47"/>
        <v>1.05528</v>
      </c>
      <c r="AH509">
        <f t="shared" si="48"/>
        <v>5.6439999999999997E-2</v>
      </c>
      <c r="AI509">
        <f>VLOOKUP(L509,'[1]Tuyến cáp H04'!$B:$E,3,0)/1000</f>
        <v>5.8010000000000002</v>
      </c>
      <c r="AJ509" t="str">
        <f>VLOOKUP(L509,'[1]Tuyến cáp H04'!$B:$E,4,0)</f>
        <v>Mạng cấp 4</v>
      </c>
    </row>
    <row r="510" spans="1:36" x14ac:dyDescent="0.25">
      <c r="A510" s="1" t="s">
        <v>4568</v>
      </c>
      <c r="B510" s="1" t="s">
        <v>4569</v>
      </c>
      <c r="C510" s="1" t="s">
        <v>4570</v>
      </c>
      <c r="D510" s="1" t="s">
        <v>4571</v>
      </c>
      <c r="E510" s="1" t="s">
        <v>4572</v>
      </c>
      <c r="F510" s="1" t="s">
        <v>4573</v>
      </c>
      <c r="G510" s="1" t="s">
        <v>14129</v>
      </c>
      <c r="H510" s="1" t="s">
        <v>14130</v>
      </c>
      <c r="I510" s="1" t="s">
        <v>14614</v>
      </c>
      <c r="J510" s="1" t="s">
        <v>23</v>
      </c>
      <c r="K510" s="1"/>
      <c r="L510" s="1" t="s">
        <v>4574</v>
      </c>
      <c r="M510" s="1" t="s">
        <v>4575</v>
      </c>
      <c r="N510" s="1" t="s">
        <v>4576</v>
      </c>
      <c r="O510" s="1" t="s">
        <v>4577</v>
      </c>
      <c r="P510" s="1" t="s">
        <v>4578</v>
      </c>
      <c r="Q510" s="1" t="s">
        <v>4579</v>
      </c>
      <c r="R510" s="1" t="s">
        <v>4580</v>
      </c>
      <c r="S510" s="1" t="s">
        <v>4581</v>
      </c>
      <c r="T510" s="1" t="s">
        <v>4582</v>
      </c>
      <c r="U510">
        <v>141.22</v>
      </c>
      <c r="V510">
        <v>50.16</v>
      </c>
      <c r="W510">
        <v>14.53088</v>
      </c>
      <c r="X510">
        <v>107.94065399999999</v>
      </c>
      <c r="Y510">
        <v>91.06</v>
      </c>
      <c r="Z510">
        <v>14.545249999999999</v>
      </c>
      <c r="AA510">
        <v>107.920755</v>
      </c>
      <c r="AB510" s="5">
        <f t="shared" si="43"/>
        <v>7.5240000000000001E-2</v>
      </c>
      <c r="AC510" s="5">
        <f t="shared" si="44"/>
        <v>0.13659000000000002</v>
      </c>
      <c r="AD510" s="1" t="str">
        <f t="shared" si="45"/>
        <v>Đăk Ui</v>
      </c>
      <c r="AE510" s="1" t="str">
        <f t="shared" si="46"/>
        <v>Đăk Mar</v>
      </c>
      <c r="AG510">
        <f t="shared" si="47"/>
        <v>5.0159999999999996E-2</v>
      </c>
      <c r="AH510">
        <f t="shared" si="48"/>
        <v>9.1060000000000002E-2</v>
      </c>
      <c r="AI510">
        <f>VLOOKUP(L510,'[1]Tuyến cáp H04'!$B:$E,3,0)/1000</f>
        <v>4.383</v>
      </c>
      <c r="AJ510" t="str">
        <f>VLOOKUP(L510,'[1]Tuyến cáp H04'!$B:$E,4,0)</f>
        <v>Mạng cấp 4</v>
      </c>
    </row>
    <row r="511" spans="1:36" x14ac:dyDescent="0.25">
      <c r="A511" s="1" t="s">
        <v>4772</v>
      </c>
      <c r="B511" s="1" t="s">
        <v>4584</v>
      </c>
      <c r="C511" s="1" t="s">
        <v>4585</v>
      </c>
      <c r="D511" s="1" t="s">
        <v>4595</v>
      </c>
      <c r="E511" s="1" t="s">
        <v>4596</v>
      </c>
      <c r="F511" s="1" t="s">
        <v>4773</v>
      </c>
      <c r="G511" s="1" t="s">
        <v>14129</v>
      </c>
      <c r="H511" s="1" t="s">
        <v>14130</v>
      </c>
      <c r="I511" s="1" t="s">
        <v>14632</v>
      </c>
      <c r="J511" s="1" t="s">
        <v>23</v>
      </c>
      <c r="K511" s="1"/>
      <c r="L511" s="1" t="s">
        <v>283</v>
      </c>
      <c r="M511" s="1" t="s">
        <v>4774</v>
      </c>
      <c r="N511" s="1" t="s">
        <v>4591</v>
      </c>
      <c r="O511" s="1" t="s">
        <v>4592</v>
      </c>
      <c r="P511" s="1" t="s">
        <v>4593</v>
      </c>
      <c r="Q511" s="1" t="s">
        <v>4775</v>
      </c>
      <c r="R511" s="1" t="s">
        <v>4776</v>
      </c>
      <c r="S511" s="1" t="s">
        <v>4777</v>
      </c>
      <c r="T511" s="1" t="s">
        <v>291</v>
      </c>
      <c r="U511">
        <v>500.13</v>
      </c>
      <c r="V511">
        <v>419.54</v>
      </c>
      <c r="W511">
        <v>14.521151</v>
      </c>
      <c r="X511">
        <v>107.918747</v>
      </c>
      <c r="Y511">
        <v>80.59</v>
      </c>
      <c r="Z511">
        <v>14.491771</v>
      </c>
      <c r="AA511">
        <v>107.925631</v>
      </c>
      <c r="AB511" s="5">
        <f t="shared" si="43"/>
        <v>0.62931000000000004</v>
      </c>
      <c r="AC511" s="5">
        <f t="shared" si="44"/>
        <v>0.12088500000000001</v>
      </c>
      <c r="AD511" s="1" t="str">
        <f t="shared" si="45"/>
        <v>Đăk Tô</v>
      </c>
      <c r="AE511" s="1" t="str">
        <f t="shared" si="46"/>
        <v>TT2 Kon Tum</v>
      </c>
      <c r="AG511">
        <f t="shared" si="47"/>
        <v>0.41954000000000002</v>
      </c>
      <c r="AH511">
        <f t="shared" si="48"/>
        <v>8.0590000000000009E-2</v>
      </c>
      <c r="AI511">
        <f>VLOOKUP(L511,'[1]Tuyến cáp H04'!$B:$E,3,0)/1000</f>
        <v>43.9602</v>
      </c>
      <c r="AJ511" t="str">
        <f>VLOOKUP(L511,'[1]Tuyến cáp H04'!$B:$E,4,0)</f>
        <v>Mạng cấp 3</v>
      </c>
    </row>
    <row r="512" spans="1:36" x14ac:dyDescent="0.25">
      <c r="A512" s="1" t="s">
        <v>4609</v>
      </c>
      <c r="B512" s="1" t="s">
        <v>4595</v>
      </c>
      <c r="C512" s="1" t="s">
        <v>4596</v>
      </c>
      <c r="D512" s="1" t="s">
        <v>4610</v>
      </c>
      <c r="E512" s="1" t="s">
        <v>4611</v>
      </c>
      <c r="F512" s="1" t="s">
        <v>4612</v>
      </c>
      <c r="G512" s="1" t="s">
        <v>14129</v>
      </c>
      <c r="H512" s="1" t="s">
        <v>14130</v>
      </c>
      <c r="I512" s="1" t="s">
        <v>14617</v>
      </c>
      <c r="J512" s="1" t="s">
        <v>23</v>
      </c>
      <c r="K512" s="1"/>
      <c r="L512" s="1" t="s">
        <v>4613</v>
      </c>
      <c r="M512" s="1" t="s">
        <v>4614</v>
      </c>
      <c r="N512" s="1" t="s">
        <v>4615</v>
      </c>
      <c r="O512" s="1" t="s">
        <v>4616</v>
      </c>
      <c r="P512" s="1" t="s">
        <v>4617</v>
      </c>
      <c r="Q512" s="1" t="s">
        <v>4618</v>
      </c>
      <c r="R512" s="1" t="s">
        <v>4619</v>
      </c>
      <c r="S512" s="1" t="s">
        <v>4620</v>
      </c>
      <c r="T512" s="1" t="s">
        <v>4621</v>
      </c>
      <c r="U512">
        <v>103344.28</v>
      </c>
      <c r="V512">
        <v>99366.74</v>
      </c>
      <c r="W512">
        <v>15.340258</v>
      </c>
      <c r="X512">
        <v>108.213703</v>
      </c>
      <c r="Y512">
        <v>3977.54</v>
      </c>
      <c r="Z512">
        <v>15.550722</v>
      </c>
      <c r="AA512">
        <v>108.413776</v>
      </c>
      <c r="AB512" s="5">
        <f t="shared" si="43"/>
        <v>149.05011000000002</v>
      </c>
      <c r="AC512" s="5">
        <f t="shared" si="44"/>
        <v>5.9663099999999991</v>
      </c>
      <c r="AD512" s="1" t="str">
        <f t="shared" si="45"/>
        <v>Bắc Trà My</v>
      </c>
      <c r="AE512" s="1" t="str">
        <f t="shared" si="46"/>
        <v>Phú Ninh</v>
      </c>
      <c r="AG512">
        <f t="shared" si="47"/>
        <v>99.366740000000007</v>
      </c>
      <c r="AH512">
        <f t="shared" si="48"/>
        <v>3.9775399999999999</v>
      </c>
      <c r="AI512">
        <f>VLOOKUP(L512,'[1]Tuyến cáp H04'!$B:$E,3,0)/1000</f>
        <v>44.34</v>
      </c>
      <c r="AJ512" t="str">
        <f>VLOOKUP(L512,'[1]Tuyến cáp H04'!$B:$E,4,0)</f>
        <v>Mạng cấp 3</v>
      </c>
    </row>
    <row r="513" spans="1:36" x14ac:dyDescent="0.25">
      <c r="A513" s="1" t="s">
        <v>4778</v>
      </c>
      <c r="B513" s="1" t="s">
        <v>4623</v>
      </c>
      <c r="C513" s="1" t="s">
        <v>4624</v>
      </c>
      <c r="D513" s="1" t="s">
        <v>4554</v>
      </c>
      <c r="E513" s="1" t="s">
        <v>4555</v>
      </c>
      <c r="F513" s="1" t="s">
        <v>4779</v>
      </c>
      <c r="G513" s="1" t="s">
        <v>14129</v>
      </c>
      <c r="H513" s="1" t="s">
        <v>14130</v>
      </c>
      <c r="I513" s="1" t="s">
        <v>14633</v>
      </c>
      <c r="J513" s="1" t="s">
        <v>23</v>
      </c>
      <c r="K513" s="1"/>
      <c r="L513" s="1" t="s">
        <v>4559</v>
      </c>
      <c r="M513" s="1" t="s">
        <v>4780</v>
      </c>
      <c r="N513" s="1" t="s">
        <v>4781</v>
      </c>
      <c r="O513" s="1" t="s">
        <v>4782</v>
      </c>
      <c r="P513" s="1" t="s">
        <v>4783</v>
      </c>
      <c r="Q513" s="1" t="s">
        <v>4561</v>
      </c>
      <c r="R513" s="1" t="s">
        <v>4562</v>
      </c>
      <c r="S513" s="1" t="s">
        <v>4563</v>
      </c>
      <c r="T513" s="1" t="s">
        <v>4567</v>
      </c>
      <c r="U513">
        <v>5661.56</v>
      </c>
      <c r="V513">
        <v>5584.54</v>
      </c>
      <c r="W513">
        <v>14.494221</v>
      </c>
      <c r="X513">
        <v>107.959389</v>
      </c>
      <c r="Y513">
        <v>77.010000000000005</v>
      </c>
      <c r="Z513">
        <v>14.352309</v>
      </c>
      <c r="AA513">
        <v>108.007857</v>
      </c>
      <c r="AB513" s="5">
        <f t="shared" si="43"/>
        <v>8.376809999999999</v>
      </c>
      <c r="AC513" s="5">
        <f t="shared" si="44"/>
        <v>0.11551500000000002</v>
      </c>
      <c r="AD513" s="1" t="str">
        <f t="shared" si="45"/>
        <v>TT2 Kon Tum</v>
      </c>
      <c r="AE513" s="1" t="str">
        <f t="shared" si="46"/>
        <v>PC11</v>
      </c>
      <c r="AG513">
        <f t="shared" si="47"/>
        <v>5.5845399999999996</v>
      </c>
      <c r="AH513">
        <f t="shared" si="48"/>
        <v>7.7010000000000009E-2</v>
      </c>
      <c r="AI513">
        <f>VLOOKUP(L513,'[1]Tuyến cáp H04'!$B:$E,3,0)/1000</f>
        <v>24.687000000000001</v>
      </c>
      <c r="AJ513" t="str">
        <f>VLOOKUP(L513,'[1]Tuyến cáp H04'!$B:$E,4,0)</f>
        <v>Mạng cấp 3</v>
      </c>
    </row>
    <row r="514" spans="1:36" x14ac:dyDescent="0.25">
      <c r="A514" s="1" t="s">
        <v>4784</v>
      </c>
      <c r="B514" s="1" t="s">
        <v>4785</v>
      </c>
      <c r="C514" s="1" t="s">
        <v>4786</v>
      </c>
      <c r="D514" s="1" t="s">
        <v>4738</v>
      </c>
      <c r="E514" s="1" t="s">
        <v>4739</v>
      </c>
      <c r="F514" s="1" t="s">
        <v>4787</v>
      </c>
      <c r="G514" s="1" t="s">
        <v>14129</v>
      </c>
      <c r="H514" s="1" t="s">
        <v>14130</v>
      </c>
      <c r="I514" s="1" t="s">
        <v>14634</v>
      </c>
      <c r="J514" s="1" t="s">
        <v>23</v>
      </c>
      <c r="K514" s="1"/>
      <c r="L514" s="1" t="s">
        <v>283</v>
      </c>
      <c r="M514" s="1" t="s">
        <v>4788</v>
      </c>
      <c r="N514" s="1" t="s">
        <v>4789</v>
      </c>
      <c r="O514" s="1" t="s">
        <v>289</v>
      </c>
      <c r="P514" s="1" t="s">
        <v>290</v>
      </c>
      <c r="Q514" s="1" t="s">
        <v>4745</v>
      </c>
      <c r="R514" s="1" t="s">
        <v>4681</v>
      </c>
      <c r="S514" s="1" t="s">
        <v>4682</v>
      </c>
      <c r="T514" s="1" t="s">
        <v>291</v>
      </c>
      <c r="U514">
        <v>156124.85999999999</v>
      </c>
      <c r="V514">
        <v>875.38</v>
      </c>
      <c r="W514">
        <v>14.352316999999999</v>
      </c>
      <c r="X514">
        <v>108.007831</v>
      </c>
      <c r="Y514">
        <v>155249.48000000001</v>
      </c>
      <c r="Z514">
        <v>14.659758</v>
      </c>
      <c r="AA514">
        <v>107.83978500000001</v>
      </c>
      <c r="AB514" s="5">
        <f t="shared" si="43"/>
        <v>1.31307</v>
      </c>
      <c r="AC514" s="5">
        <f t="shared" si="44"/>
        <v>232.87422000000004</v>
      </c>
      <c r="AD514" s="1" t="str">
        <f t="shared" si="45"/>
        <v>Đăk Tô</v>
      </c>
      <c r="AE514" s="1" t="str">
        <f t="shared" si="46"/>
        <v>TT2 Kon Tum</v>
      </c>
      <c r="AG514">
        <f t="shared" si="47"/>
        <v>0.87538000000000005</v>
      </c>
      <c r="AH514">
        <f t="shared" si="48"/>
        <v>155.24948000000001</v>
      </c>
      <c r="AI514">
        <f>VLOOKUP(L514,'[1]Tuyến cáp H04'!$B:$E,3,0)/1000</f>
        <v>43.9602</v>
      </c>
      <c r="AJ514" t="str">
        <f>VLOOKUP(L514,'[1]Tuyến cáp H04'!$B:$E,4,0)</f>
        <v>Mạng cấp 3</v>
      </c>
    </row>
    <row r="515" spans="1:36" x14ac:dyDescent="0.25">
      <c r="A515" s="1" t="s">
        <v>4790</v>
      </c>
      <c r="B515" s="1" t="s">
        <v>4791</v>
      </c>
      <c r="C515" s="1" t="s">
        <v>4792</v>
      </c>
      <c r="D515" s="1" t="s">
        <v>278</v>
      </c>
      <c r="E515" s="1" t="s">
        <v>279</v>
      </c>
      <c r="F515" s="1" t="s">
        <v>4793</v>
      </c>
      <c r="G515" s="1" t="s">
        <v>14129</v>
      </c>
      <c r="H515" s="1" t="s">
        <v>14130</v>
      </c>
      <c r="I515" s="1" t="s">
        <v>14635</v>
      </c>
      <c r="J515" s="1" t="s">
        <v>23</v>
      </c>
      <c r="K515" s="1"/>
      <c r="L515" s="1" t="s">
        <v>283</v>
      </c>
      <c r="M515" s="1" t="s">
        <v>4794</v>
      </c>
      <c r="N515" s="1" t="s">
        <v>4795</v>
      </c>
      <c r="O515" s="1" t="s">
        <v>4743</v>
      </c>
      <c r="P515" s="1" t="s">
        <v>4744</v>
      </c>
      <c r="Q515" s="1" t="s">
        <v>285</v>
      </c>
      <c r="R515" s="1" t="s">
        <v>286</v>
      </c>
      <c r="S515" s="1" t="s">
        <v>287</v>
      </c>
      <c r="T515" s="1" t="s">
        <v>291</v>
      </c>
      <c r="U515">
        <v>253903.22</v>
      </c>
      <c r="V515">
        <v>1319.03</v>
      </c>
      <c r="W515">
        <v>14.363782</v>
      </c>
      <c r="X515">
        <v>107.999065</v>
      </c>
      <c r="Y515">
        <v>252584.19</v>
      </c>
      <c r="Z515">
        <v>14.659686000000001</v>
      </c>
      <c r="AA515">
        <v>107.839439</v>
      </c>
      <c r="AB515" s="5">
        <f t="shared" ref="AB515:AB578" si="49">V515*1.5/1000</f>
        <v>1.978545</v>
      </c>
      <c r="AC515" s="5">
        <f t="shared" ref="AC515:AC578" si="50">Y515*1.5/1000</f>
        <v>378.87628500000005</v>
      </c>
      <c r="AD515" s="1" t="str">
        <f t="shared" ref="AD515:AD578" si="51">TRIM(LEFT(L515,FIND("-",L515)-1))</f>
        <v>Đăk Tô</v>
      </c>
      <c r="AE515" s="1" t="str">
        <f t="shared" ref="AE515:AE578" si="52">TRIM(RIGHT(L515, LEN(L515) - FIND("-", L515)))</f>
        <v>TT2 Kon Tum</v>
      </c>
      <c r="AG515">
        <f t="shared" ref="AG515:AG578" si="53">V515/1000</f>
        <v>1.3190299999999999</v>
      </c>
      <c r="AH515">
        <f t="shared" ref="AH515:AH578" si="54">Y515/1000</f>
        <v>252.58419000000001</v>
      </c>
      <c r="AI515">
        <f>VLOOKUP(L515,'[1]Tuyến cáp H04'!$B:$E,3,0)/1000</f>
        <v>43.9602</v>
      </c>
      <c r="AJ515" t="str">
        <f>VLOOKUP(L515,'[1]Tuyến cáp H04'!$B:$E,4,0)</f>
        <v>Mạng cấp 3</v>
      </c>
    </row>
    <row r="516" spans="1:36" x14ac:dyDescent="0.25">
      <c r="A516" s="1" t="s">
        <v>4796</v>
      </c>
      <c r="B516" s="1" t="s">
        <v>4797</v>
      </c>
      <c r="C516" s="1" t="s">
        <v>4798</v>
      </c>
      <c r="D516" s="1" t="s">
        <v>278</v>
      </c>
      <c r="E516" s="1" t="s">
        <v>279</v>
      </c>
      <c r="F516" s="1" t="s">
        <v>4799</v>
      </c>
      <c r="G516" s="1" t="s">
        <v>14129</v>
      </c>
      <c r="H516" s="1" t="s">
        <v>14130</v>
      </c>
      <c r="I516" s="1" t="s">
        <v>14636</v>
      </c>
      <c r="J516" s="1" t="s">
        <v>23</v>
      </c>
      <c r="K516" s="1"/>
      <c r="L516" s="1" t="s">
        <v>283</v>
      </c>
      <c r="M516" s="1" t="s">
        <v>4800</v>
      </c>
      <c r="N516" s="1" t="s">
        <v>4801</v>
      </c>
      <c r="O516" s="1" t="s">
        <v>4802</v>
      </c>
      <c r="P516" s="1" t="s">
        <v>4803</v>
      </c>
      <c r="Q516" s="1" t="s">
        <v>285</v>
      </c>
      <c r="R516" s="1" t="s">
        <v>286</v>
      </c>
      <c r="S516" s="1" t="s">
        <v>287</v>
      </c>
      <c r="T516" s="1" t="s">
        <v>291</v>
      </c>
      <c r="U516">
        <v>252723.12</v>
      </c>
      <c r="V516">
        <v>138.93</v>
      </c>
      <c r="W516">
        <v>14.360533999999999</v>
      </c>
      <c r="X516">
        <v>107.999864</v>
      </c>
      <c r="Y516">
        <v>252584.19</v>
      </c>
      <c r="Z516">
        <v>14.659686000000001</v>
      </c>
      <c r="AA516">
        <v>107.839439</v>
      </c>
      <c r="AB516" s="5">
        <f t="shared" si="49"/>
        <v>0.208395</v>
      </c>
      <c r="AC516" s="5">
        <f t="shared" si="50"/>
        <v>378.87628500000005</v>
      </c>
      <c r="AD516" s="1" t="str">
        <f t="shared" si="51"/>
        <v>Đăk Tô</v>
      </c>
      <c r="AE516" s="1" t="str">
        <f t="shared" si="52"/>
        <v>TT2 Kon Tum</v>
      </c>
      <c r="AG516">
        <f t="shared" si="53"/>
        <v>0.13893</v>
      </c>
      <c r="AH516">
        <f t="shared" si="54"/>
        <v>252.58419000000001</v>
      </c>
      <c r="AI516">
        <f>VLOOKUP(L516,'[1]Tuyến cáp H04'!$B:$E,3,0)/1000</f>
        <v>43.9602</v>
      </c>
      <c r="AJ516" t="str">
        <f>VLOOKUP(L516,'[1]Tuyến cáp H04'!$B:$E,4,0)</f>
        <v>Mạng cấp 3</v>
      </c>
    </row>
    <row r="517" spans="1:36" x14ac:dyDescent="0.25">
      <c r="A517" s="1" t="s">
        <v>4804</v>
      </c>
      <c r="B517" s="1" t="s">
        <v>4805</v>
      </c>
      <c r="C517" s="1" t="s">
        <v>4806</v>
      </c>
      <c r="D517" s="1" t="s">
        <v>4807</v>
      </c>
      <c r="E517" s="1" t="s">
        <v>4808</v>
      </c>
      <c r="F517" s="1" t="s">
        <v>4809</v>
      </c>
      <c r="G517" s="1" t="s">
        <v>14129</v>
      </c>
      <c r="H517" s="1" t="s">
        <v>14130</v>
      </c>
      <c r="I517" s="1" t="s">
        <v>14637</v>
      </c>
      <c r="J517" s="1" t="s">
        <v>23</v>
      </c>
      <c r="K517" s="1"/>
      <c r="L517" s="1" t="s">
        <v>4810</v>
      </c>
      <c r="M517" s="1" t="s">
        <v>4811</v>
      </c>
      <c r="N517" s="1" t="s">
        <v>4812</v>
      </c>
      <c r="O517" s="1" t="s">
        <v>4813</v>
      </c>
      <c r="P517" s="1" t="s">
        <v>4814</v>
      </c>
      <c r="Q517" s="1" t="s">
        <v>4815</v>
      </c>
      <c r="R517" s="1" t="s">
        <v>4816</v>
      </c>
      <c r="S517" s="1" t="s">
        <v>4817</v>
      </c>
      <c r="T517" s="1" t="s">
        <v>4818</v>
      </c>
      <c r="U517">
        <v>58.43</v>
      </c>
      <c r="V517">
        <v>52.82</v>
      </c>
      <c r="W517">
        <v>14.356553999999999</v>
      </c>
      <c r="X517">
        <v>107.994704</v>
      </c>
      <c r="Y517">
        <v>5.61</v>
      </c>
      <c r="Z517">
        <v>14.358169</v>
      </c>
      <c r="AA517">
        <v>107.97927</v>
      </c>
      <c r="AB517" s="5">
        <f t="shared" si="49"/>
        <v>7.9230000000000009E-2</v>
      </c>
      <c r="AC517" s="5">
        <f t="shared" si="50"/>
        <v>8.4150000000000006E-3</v>
      </c>
      <c r="AD517" s="1" t="str">
        <f t="shared" si="51"/>
        <v>CAT Kon Tum</v>
      </c>
      <c r="AE517" s="1" t="str">
        <f t="shared" si="52"/>
        <v>Ngọk Bay</v>
      </c>
      <c r="AG517">
        <f t="shared" si="53"/>
        <v>5.2819999999999999E-2</v>
      </c>
      <c r="AH517">
        <f t="shared" si="54"/>
        <v>5.6100000000000004E-3</v>
      </c>
      <c r="AI517">
        <f>VLOOKUP(L517,'[1]Tuyến cáp H04'!$B:$E,3,0)/1000</f>
        <v>4.367</v>
      </c>
      <c r="AJ517" t="str">
        <f>VLOOKUP(L517,'[1]Tuyến cáp H04'!$B:$E,4,0)</f>
        <v>Mạng cấp 4</v>
      </c>
    </row>
    <row r="518" spans="1:36" x14ac:dyDescent="0.25">
      <c r="A518" s="1" t="s">
        <v>4819</v>
      </c>
      <c r="B518" s="1" t="s">
        <v>4820</v>
      </c>
      <c r="C518" s="1" t="s">
        <v>4821</v>
      </c>
      <c r="D518" s="1" t="s">
        <v>4807</v>
      </c>
      <c r="E518" s="1" t="s">
        <v>4808</v>
      </c>
      <c r="F518" s="1" t="s">
        <v>4822</v>
      </c>
      <c r="G518" s="1" t="s">
        <v>14129</v>
      </c>
      <c r="H518" s="1" t="s">
        <v>14130</v>
      </c>
      <c r="I518" s="1" t="s">
        <v>14638</v>
      </c>
      <c r="J518" s="1" t="s">
        <v>23</v>
      </c>
      <c r="K518" s="1"/>
      <c r="L518" s="1" t="s">
        <v>4823</v>
      </c>
      <c r="M518" s="1" t="s">
        <v>4824</v>
      </c>
      <c r="N518" s="1" t="s">
        <v>4825</v>
      </c>
      <c r="O518" s="1" t="s">
        <v>4826</v>
      </c>
      <c r="P518" s="1" t="s">
        <v>4827</v>
      </c>
      <c r="Q518" s="1" t="s">
        <v>4828</v>
      </c>
      <c r="R518" s="1" t="s">
        <v>4829</v>
      </c>
      <c r="S518" s="1" t="s">
        <v>4830</v>
      </c>
      <c r="T518" s="1" t="s">
        <v>4831</v>
      </c>
      <c r="U518">
        <v>303.87</v>
      </c>
      <c r="V518">
        <v>303.14999999999998</v>
      </c>
      <c r="W518">
        <v>14.36042</v>
      </c>
      <c r="X518">
        <v>107.974538</v>
      </c>
      <c r="Y518">
        <v>0.72</v>
      </c>
      <c r="Z518">
        <v>14.358211000000001</v>
      </c>
      <c r="AA518">
        <v>107.979293</v>
      </c>
      <c r="AB518" s="5">
        <f t="shared" si="49"/>
        <v>0.45472499999999999</v>
      </c>
      <c r="AC518" s="5">
        <f t="shared" si="50"/>
        <v>1.08E-3</v>
      </c>
      <c r="AD518" s="1" t="str">
        <f t="shared" si="51"/>
        <v>Ngọk Bay</v>
      </c>
      <c r="AE518" s="1" t="str">
        <f t="shared" si="52"/>
        <v>Ya Ly</v>
      </c>
      <c r="AG518">
        <f t="shared" si="53"/>
        <v>0.30314999999999998</v>
      </c>
      <c r="AH518">
        <f t="shared" si="54"/>
        <v>7.1999999999999994E-4</v>
      </c>
      <c r="AI518">
        <f>VLOOKUP(L518,'[1]Tuyến cáp H04'!$B:$E,3,0)/1000</f>
        <v>31.995000000000001</v>
      </c>
      <c r="AJ518" t="str">
        <f>VLOOKUP(L518,'[1]Tuyến cáp H04'!$B:$E,4,0)</f>
        <v>Mạng cấp 4</v>
      </c>
    </row>
    <row r="519" spans="1:36" x14ac:dyDescent="0.25">
      <c r="A519" s="1" t="s">
        <v>4832</v>
      </c>
      <c r="B519" s="1" t="s">
        <v>4833</v>
      </c>
      <c r="C519" s="1" t="s">
        <v>4834</v>
      </c>
      <c r="D519" s="1" t="s">
        <v>4835</v>
      </c>
      <c r="E519" s="1" t="s">
        <v>4836</v>
      </c>
      <c r="F519" s="1" t="s">
        <v>4837</v>
      </c>
      <c r="G519" s="1" t="s">
        <v>14129</v>
      </c>
      <c r="H519" s="1" t="s">
        <v>14130</v>
      </c>
      <c r="I519" s="1" t="s">
        <v>14639</v>
      </c>
      <c r="J519" s="1" t="s">
        <v>23</v>
      </c>
      <c r="K519" s="1"/>
      <c r="L519" s="1" t="s">
        <v>4838</v>
      </c>
      <c r="M519" s="1" t="s">
        <v>4839</v>
      </c>
      <c r="N519" s="1" t="s">
        <v>4840</v>
      </c>
      <c r="O519" s="1" t="s">
        <v>4841</v>
      </c>
      <c r="P519" s="1" t="s">
        <v>4842</v>
      </c>
      <c r="Q519" s="1" t="s">
        <v>4843</v>
      </c>
      <c r="R519" s="1" t="s">
        <v>4844</v>
      </c>
      <c r="S519" s="1" t="s">
        <v>4845</v>
      </c>
      <c r="T519" s="1" t="s">
        <v>4846</v>
      </c>
      <c r="U519">
        <v>462.93</v>
      </c>
      <c r="V519">
        <v>37.479999999999997</v>
      </c>
      <c r="W519">
        <v>14.364989</v>
      </c>
      <c r="X519">
        <v>107.990376</v>
      </c>
      <c r="Y519">
        <v>425.45</v>
      </c>
      <c r="Z519">
        <v>14.377385</v>
      </c>
      <c r="AA519">
        <v>107.984059</v>
      </c>
      <c r="AB519" s="5">
        <f t="shared" si="49"/>
        <v>5.6219999999999999E-2</v>
      </c>
      <c r="AC519" s="5">
        <f t="shared" si="50"/>
        <v>0.63817499999999994</v>
      </c>
      <c r="AD519" s="1" t="str">
        <f t="shared" si="51"/>
        <v>Sa Thầy</v>
      </c>
      <c r="AE519" s="1" t="str">
        <f t="shared" si="52"/>
        <v>TT2 Kon Tum</v>
      </c>
      <c r="AG519">
        <f t="shared" si="53"/>
        <v>3.7479999999999999E-2</v>
      </c>
      <c r="AH519">
        <f t="shared" si="54"/>
        <v>0.42544999999999999</v>
      </c>
      <c r="AI519" t="e">
        <f>VLOOKUP(L519,'[1]Tuyến cáp H04'!$B:$E,3,0)/1000</f>
        <v>#N/A</v>
      </c>
      <c r="AJ519" t="e">
        <f>VLOOKUP(L519,'[1]Tuyến cáp H04'!$B:$E,4,0)</f>
        <v>#N/A</v>
      </c>
    </row>
    <row r="520" spans="1:36" x14ac:dyDescent="0.25">
      <c r="A520" s="1" t="s">
        <v>4847</v>
      </c>
      <c r="B520" s="1" t="s">
        <v>4848</v>
      </c>
      <c r="C520" s="1" t="s">
        <v>4849</v>
      </c>
      <c r="D520" s="1" t="s">
        <v>4850</v>
      </c>
      <c r="E520" s="1" t="s">
        <v>4851</v>
      </c>
      <c r="F520" s="1" t="s">
        <v>4852</v>
      </c>
      <c r="G520" s="1" t="s">
        <v>14129</v>
      </c>
      <c r="H520" s="1" t="s">
        <v>14130</v>
      </c>
      <c r="I520" s="1" t="s">
        <v>14640</v>
      </c>
      <c r="J520" s="1" t="s">
        <v>23</v>
      </c>
      <c r="K520" s="1"/>
      <c r="L520" s="1" t="s">
        <v>4710</v>
      </c>
      <c r="M520" s="1" t="s">
        <v>4853</v>
      </c>
      <c r="N520" s="1" t="s">
        <v>4854</v>
      </c>
      <c r="O520" s="1" t="s">
        <v>4855</v>
      </c>
      <c r="P520" s="1" t="s">
        <v>4856</v>
      </c>
      <c r="Q520" s="1" t="s">
        <v>4857</v>
      </c>
      <c r="R520" s="1" t="s">
        <v>4858</v>
      </c>
      <c r="S520" s="1" t="s">
        <v>4859</v>
      </c>
      <c r="T520" s="1" t="s">
        <v>4860</v>
      </c>
      <c r="U520">
        <v>397.23</v>
      </c>
      <c r="V520">
        <v>142.83000000000001</v>
      </c>
      <c r="W520">
        <v>14.34604</v>
      </c>
      <c r="X520">
        <v>108.01441699999999</v>
      </c>
      <c r="Y520">
        <v>254.4</v>
      </c>
      <c r="Z520">
        <v>14.352304</v>
      </c>
      <c r="AA520">
        <v>108.007864</v>
      </c>
      <c r="AB520" s="5">
        <f t="shared" si="49"/>
        <v>0.21424499999999999</v>
      </c>
      <c r="AC520" s="5">
        <f t="shared" si="50"/>
        <v>0.38160000000000005</v>
      </c>
      <c r="AD520" s="1" t="str">
        <f t="shared" si="51"/>
        <v>CAT Kon TUm</v>
      </c>
      <c r="AE520" s="1" t="str">
        <f t="shared" si="52"/>
        <v>Đăk Bla</v>
      </c>
      <c r="AG520">
        <f t="shared" si="53"/>
        <v>0.14283000000000001</v>
      </c>
      <c r="AH520">
        <f t="shared" si="54"/>
        <v>0.25440000000000002</v>
      </c>
      <c r="AI520">
        <f>VLOOKUP(L520,'[1]Tuyến cáp H04'!$B:$E,3,0)/1000</f>
        <v>9.5890000000000004</v>
      </c>
      <c r="AJ520" t="str">
        <f>VLOOKUP(L520,'[1]Tuyến cáp H04'!$B:$E,4,0)</f>
        <v>Mạng cấp 4</v>
      </c>
    </row>
    <row r="521" spans="1:36" x14ac:dyDescent="0.25">
      <c r="A521" s="1" t="s">
        <v>4861</v>
      </c>
      <c r="B521" s="1" t="s">
        <v>4862</v>
      </c>
      <c r="C521" s="1" t="s">
        <v>4863</v>
      </c>
      <c r="D521" s="1" t="s">
        <v>4749</v>
      </c>
      <c r="E521" s="1" t="s">
        <v>4750</v>
      </c>
      <c r="F521" s="1" t="s">
        <v>4864</v>
      </c>
      <c r="G521" s="1" t="s">
        <v>14129</v>
      </c>
      <c r="H521" s="1" t="s">
        <v>14130</v>
      </c>
      <c r="I521" s="1" t="s">
        <v>14641</v>
      </c>
      <c r="J521" s="1" t="s">
        <v>23</v>
      </c>
      <c r="K521" s="1"/>
      <c r="L521" s="1" t="s">
        <v>4752</v>
      </c>
      <c r="M521" s="1" t="s">
        <v>4865</v>
      </c>
      <c r="N521" s="1" t="s">
        <v>4866</v>
      </c>
      <c r="O521" s="1" t="s">
        <v>4867</v>
      </c>
      <c r="P521" s="1" t="s">
        <v>4868</v>
      </c>
      <c r="Q521" s="1" t="s">
        <v>4757</v>
      </c>
      <c r="R521" s="1" t="s">
        <v>4758</v>
      </c>
      <c r="S521" s="1" t="s">
        <v>4759</v>
      </c>
      <c r="T521" s="1" t="s">
        <v>4760</v>
      </c>
      <c r="U521">
        <v>64.91</v>
      </c>
      <c r="V521">
        <v>24.22</v>
      </c>
      <c r="W521">
        <v>14.377484000000001</v>
      </c>
      <c r="X521">
        <v>108.021191</v>
      </c>
      <c r="Y521">
        <v>40.700000000000003</v>
      </c>
      <c r="Z521">
        <v>14.377231999999999</v>
      </c>
      <c r="AA521">
        <v>108.02014</v>
      </c>
      <c r="AB521" s="5">
        <f t="shared" si="49"/>
        <v>3.6330000000000001E-2</v>
      </c>
      <c r="AC521" s="5">
        <f t="shared" si="50"/>
        <v>6.1050000000000007E-2</v>
      </c>
      <c r="AD521" s="1" t="str">
        <f t="shared" si="51"/>
        <v>Ia chim</v>
      </c>
      <c r="AE521" s="1" t="str">
        <f t="shared" si="52"/>
        <v>Đăk Rơ Wa</v>
      </c>
      <c r="AG521">
        <f t="shared" si="53"/>
        <v>2.4219999999999998E-2</v>
      </c>
      <c r="AH521">
        <f t="shared" si="54"/>
        <v>4.07E-2</v>
      </c>
      <c r="AI521">
        <f>VLOOKUP(L521,'[1]Tuyến cáp H04'!$B:$E,3,0)/1000</f>
        <v>17.221</v>
      </c>
      <c r="AJ521" t="str">
        <f>VLOOKUP(L521,'[1]Tuyến cáp H04'!$B:$E,4,0)</f>
        <v>Mạng cấp 4</v>
      </c>
    </row>
    <row r="522" spans="1:36" x14ac:dyDescent="0.25">
      <c r="A522" s="1" t="s">
        <v>4869</v>
      </c>
      <c r="B522" s="1" t="s">
        <v>4870</v>
      </c>
      <c r="C522" s="1" t="s">
        <v>4871</v>
      </c>
      <c r="D522" s="1" t="s">
        <v>4872</v>
      </c>
      <c r="E522" s="1" t="s">
        <v>4873</v>
      </c>
      <c r="F522" s="1" t="s">
        <v>4874</v>
      </c>
      <c r="G522" s="1" t="s">
        <v>14129</v>
      </c>
      <c r="H522" s="1" t="s">
        <v>14130</v>
      </c>
      <c r="I522" s="1" t="s">
        <v>14642</v>
      </c>
      <c r="J522" s="1" t="s">
        <v>23</v>
      </c>
      <c r="K522" s="1"/>
      <c r="L522" s="1" t="s">
        <v>4875</v>
      </c>
      <c r="M522" s="1" t="s">
        <v>4876</v>
      </c>
      <c r="N522" s="1" t="s">
        <v>4877</v>
      </c>
      <c r="O522" s="1" t="s">
        <v>4878</v>
      </c>
      <c r="P522" s="1" t="s">
        <v>4879</v>
      </c>
      <c r="Q522" s="1" t="s">
        <v>4880</v>
      </c>
      <c r="R522" s="1" t="s">
        <v>4881</v>
      </c>
      <c r="S522" s="1" t="s">
        <v>4882</v>
      </c>
      <c r="T522" s="1" t="s">
        <v>4883</v>
      </c>
      <c r="U522">
        <v>684.03</v>
      </c>
      <c r="V522">
        <v>61.17</v>
      </c>
      <c r="W522">
        <v>14.276998000000001</v>
      </c>
      <c r="X522">
        <v>107.929247</v>
      </c>
      <c r="Y522">
        <v>622.86</v>
      </c>
      <c r="Z522">
        <v>14.30968</v>
      </c>
      <c r="AA522">
        <v>107.92868</v>
      </c>
      <c r="AB522" s="5">
        <f t="shared" si="49"/>
        <v>9.1754999999999989E-2</v>
      </c>
      <c r="AC522" s="5">
        <f t="shared" si="50"/>
        <v>0.93428999999999995</v>
      </c>
      <c r="AD522" s="1" t="str">
        <f t="shared" si="51"/>
        <v>Đăk Bla</v>
      </c>
      <c r="AE522" s="1" t="str">
        <f t="shared" si="52"/>
        <v>Ia Chim</v>
      </c>
      <c r="AG522">
        <f t="shared" si="53"/>
        <v>6.1170000000000002E-2</v>
      </c>
      <c r="AH522">
        <f t="shared" si="54"/>
        <v>0.62285999999999997</v>
      </c>
      <c r="AI522">
        <f>VLOOKUP(L522,'[1]Tuyến cáp H04'!$B:$E,3,0)/1000</f>
        <v>20.282</v>
      </c>
      <c r="AJ522" t="str">
        <f>VLOOKUP(L522,'[1]Tuyến cáp H04'!$B:$E,4,0)</f>
        <v>Mạng cấp 4</v>
      </c>
    </row>
    <row r="523" spans="1:36" x14ac:dyDescent="0.25">
      <c r="A523" s="1" t="s">
        <v>4884</v>
      </c>
      <c r="B523" s="1" t="s">
        <v>4885</v>
      </c>
      <c r="C523" s="1" t="s">
        <v>4886</v>
      </c>
      <c r="D523" s="1" t="s">
        <v>4514</v>
      </c>
      <c r="E523" s="1" t="s">
        <v>4515</v>
      </c>
      <c r="F523" s="1" t="s">
        <v>4887</v>
      </c>
      <c r="G523" s="1" t="s">
        <v>14129</v>
      </c>
      <c r="H523" s="1" t="s">
        <v>14130</v>
      </c>
      <c r="I523" s="1" t="s">
        <v>14643</v>
      </c>
      <c r="J523" s="1" t="s">
        <v>23</v>
      </c>
      <c r="K523" s="1"/>
      <c r="L523" s="1" t="s">
        <v>4519</v>
      </c>
      <c r="M523" s="1" t="s">
        <v>4888</v>
      </c>
      <c r="N523" s="1" t="s">
        <v>4889</v>
      </c>
      <c r="O523" s="1" t="s">
        <v>4525</v>
      </c>
      <c r="P523" s="1" t="s">
        <v>4526</v>
      </c>
      <c r="Q523" s="1" t="s">
        <v>4521</v>
      </c>
      <c r="R523" s="1" t="s">
        <v>4522</v>
      </c>
      <c r="S523" s="1" t="s">
        <v>4523</v>
      </c>
      <c r="T523" s="1" t="s">
        <v>4527</v>
      </c>
      <c r="U523">
        <v>326.56</v>
      </c>
      <c r="V523">
        <v>273.8</v>
      </c>
      <c r="W523">
        <v>14.716917</v>
      </c>
      <c r="X523">
        <v>107.795519</v>
      </c>
      <c r="Y523">
        <v>52.76</v>
      </c>
      <c r="Z523">
        <v>14.698688000000001</v>
      </c>
      <c r="AA523">
        <v>107.83670499999999</v>
      </c>
      <c r="AB523" s="5">
        <f t="shared" si="49"/>
        <v>0.41070000000000007</v>
      </c>
      <c r="AC523" s="5">
        <f t="shared" si="50"/>
        <v>7.9140000000000002E-2</v>
      </c>
      <c r="AD523" s="1" t="str">
        <f t="shared" si="51"/>
        <v>Đăk Mar</v>
      </c>
      <c r="AE523" s="1" t="str">
        <f t="shared" si="52"/>
        <v>Ngọk Tụ</v>
      </c>
      <c r="AG523">
        <f t="shared" si="53"/>
        <v>0.27379999999999999</v>
      </c>
      <c r="AH523">
        <f t="shared" si="54"/>
        <v>5.2760000000000001E-2</v>
      </c>
      <c r="AI523">
        <f>VLOOKUP(L523,'[1]Tuyến cáp H04'!$B:$E,3,0)/1000</f>
        <v>30.866</v>
      </c>
      <c r="AJ523" t="str">
        <f>VLOOKUP(L523,'[1]Tuyến cáp H04'!$B:$E,4,0)</f>
        <v>Mạng cấp 4</v>
      </c>
    </row>
    <row r="524" spans="1:36" x14ac:dyDescent="0.25">
      <c r="A524" s="1" t="s">
        <v>4890</v>
      </c>
      <c r="B524" s="1" t="s">
        <v>4891</v>
      </c>
      <c r="C524" s="1" t="s">
        <v>4892</v>
      </c>
      <c r="D524" s="1" t="s">
        <v>4502</v>
      </c>
      <c r="E524" s="1" t="s">
        <v>4503</v>
      </c>
      <c r="F524" s="1" t="s">
        <v>4893</v>
      </c>
      <c r="G524" s="1" t="s">
        <v>14129</v>
      </c>
      <c r="H524" s="1" t="s">
        <v>14130</v>
      </c>
      <c r="I524" s="1" t="s">
        <v>14644</v>
      </c>
      <c r="J524" s="1" t="s">
        <v>23</v>
      </c>
      <c r="K524" s="1"/>
      <c r="L524" s="1" t="s">
        <v>4544</v>
      </c>
      <c r="M524" s="1" t="s">
        <v>4894</v>
      </c>
      <c r="N524" s="1" t="s">
        <v>4895</v>
      </c>
      <c r="O524" s="1" t="s">
        <v>4896</v>
      </c>
      <c r="P524" s="1" t="s">
        <v>4897</v>
      </c>
      <c r="Q524" s="1" t="s">
        <v>4546</v>
      </c>
      <c r="R524" s="1" t="s">
        <v>4547</v>
      </c>
      <c r="S524" s="1" t="s">
        <v>4548</v>
      </c>
      <c r="T524" s="1" t="s">
        <v>4552</v>
      </c>
      <c r="U524">
        <v>127.71</v>
      </c>
      <c r="V524">
        <v>125.43</v>
      </c>
      <c r="W524">
        <v>14.394170000000001</v>
      </c>
      <c r="X524">
        <v>107.809774</v>
      </c>
      <c r="Y524">
        <v>2.2799999999999998</v>
      </c>
      <c r="Z524">
        <v>14.39805</v>
      </c>
      <c r="AA524">
        <v>107.79609600000001</v>
      </c>
      <c r="AB524" s="5">
        <f t="shared" si="49"/>
        <v>0.18814500000000001</v>
      </c>
      <c r="AC524" s="5">
        <f t="shared" si="50"/>
        <v>3.4199999999999999E-3</v>
      </c>
      <c r="AD524" s="1" t="str">
        <f t="shared" si="51"/>
        <v>TTCMKV Sa Thầy</v>
      </c>
      <c r="AE524" s="1" t="str">
        <f t="shared" si="52"/>
        <v>Sa Bình</v>
      </c>
      <c r="AG524">
        <f t="shared" si="53"/>
        <v>0.12543000000000001</v>
      </c>
      <c r="AH524">
        <f t="shared" si="54"/>
        <v>2.2799999999999999E-3</v>
      </c>
      <c r="AI524">
        <f>VLOOKUP(L524,'[1]Tuyến cáp H04'!$B:$E,3,0)/1000</f>
        <v>21.3</v>
      </c>
      <c r="AJ524" t="str">
        <f>VLOOKUP(L524,'[1]Tuyến cáp H04'!$B:$E,4,0)</f>
        <v>Mạng cấp 4</v>
      </c>
    </row>
    <row r="525" spans="1:36" x14ac:dyDescent="0.25">
      <c r="A525" s="1" t="s">
        <v>4898</v>
      </c>
      <c r="B525" s="1" t="s">
        <v>4899</v>
      </c>
      <c r="C525" s="1" t="s">
        <v>4900</v>
      </c>
      <c r="D525" s="1" t="s">
        <v>4502</v>
      </c>
      <c r="E525" s="1" t="s">
        <v>4503</v>
      </c>
      <c r="F525" s="1" t="s">
        <v>4901</v>
      </c>
      <c r="G525" s="1" t="s">
        <v>14129</v>
      </c>
      <c r="H525" s="1" t="s">
        <v>14130</v>
      </c>
      <c r="I525" s="1" t="s">
        <v>14645</v>
      </c>
      <c r="J525" s="1" t="s">
        <v>23</v>
      </c>
      <c r="K525" s="1"/>
      <c r="L525" s="1" t="s">
        <v>4902</v>
      </c>
      <c r="M525" s="1" t="s">
        <v>4903</v>
      </c>
      <c r="N525" s="1" t="s">
        <v>4904</v>
      </c>
      <c r="O525" s="1" t="s">
        <v>4905</v>
      </c>
      <c r="P525" s="1" t="s">
        <v>4906</v>
      </c>
      <c r="Q525" s="1" t="s">
        <v>4907</v>
      </c>
      <c r="R525" s="1" t="s">
        <v>4908</v>
      </c>
      <c r="S525" s="1" t="s">
        <v>4909</v>
      </c>
      <c r="T525" s="1" t="s">
        <v>4910</v>
      </c>
      <c r="U525">
        <v>93.5</v>
      </c>
      <c r="V525">
        <v>91.99</v>
      </c>
      <c r="W525">
        <v>14.381275</v>
      </c>
      <c r="X525">
        <v>107.802266</v>
      </c>
      <c r="Y525">
        <v>1.51</v>
      </c>
      <c r="Z525">
        <v>14.398033</v>
      </c>
      <c r="AA525">
        <v>107.796086</v>
      </c>
      <c r="AB525" s="5">
        <f t="shared" si="49"/>
        <v>0.137985</v>
      </c>
      <c r="AC525" s="5">
        <f t="shared" si="50"/>
        <v>2.2650000000000001E-3</v>
      </c>
      <c r="AD525" s="1" t="str">
        <f t="shared" si="51"/>
        <v>Ya Ly</v>
      </c>
      <c r="AE525" s="1" t="str">
        <f t="shared" si="52"/>
        <v>Sa Thầy</v>
      </c>
      <c r="AG525">
        <f t="shared" si="53"/>
        <v>9.1989999999999988E-2</v>
      </c>
      <c r="AH525">
        <f t="shared" si="54"/>
        <v>1.5100000000000001E-3</v>
      </c>
      <c r="AI525">
        <f>VLOOKUP(L525,'[1]Tuyến cáp H04'!$B:$E,3,0)/1000</f>
        <v>4.9489999999999998</v>
      </c>
      <c r="AJ525" t="str">
        <f>VLOOKUP(L525,'[1]Tuyến cáp H04'!$B:$E,4,0)</f>
        <v>Mạng cấp 4</v>
      </c>
    </row>
    <row r="526" spans="1:36" x14ac:dyDescent="0.25">
      <c r="A526" s="1" t="s">
        <v>4911</v>
      </c>
      <c r="B526" s="1" t="s">
        <v>4912</v>
      </c>
      <c r="C526" s="1" t="s">
        <v>4913</v>
      </c>
      <c r="D526" s="1" t="s">
        <v>4502</v>
      </c>
      <c r="E526" s="1" t="s">
        <v>4503</v>
      </c>
      <c r="F526" s="1" t="s">
        <v>4914</v>
      </c>
      <c r="G526" s="1" t="s">
        <v>14129</v>
      </c>
      <c r="H526" s="1" t="s">
        <v>14130</v>
      </c>
      <c r="I526" s="1" t="s">
        <v>14646</v>
      </c>
      <c r="J526" s="1" t="s">
        <v>23</v>
      </c>
      <c r="K526" s="1"/>
      <c r="L526" s="1" t="s">
        <v>4499</v>
      </c>
      <c r="M526" s="1" t="s">
        <v>4915</v>
      </c>
      <c r="N526" s="1" t="s">
        <v>4916</v>
      </c>
      <c r="O526" s="1" t="s">
        <v>4917</v>
      </c>
      <c r="P526" s="1" t="s">
        <v>4918</v>
      </c>
      <c r="Q526" s="1" t="s">
        <v>4509</v>
      </c>
      <c r="R526" s="1" t="s">
        <v>4510</v>
      </c>
      <c r="S526" s="1" t="s">
        <v>4511</v>
      </c>
      <c r="T526" s="1" t="s">
        <v>4512</v>
      </c>
      <c r="U526">
        <v>2070.4499999999998</v>
      </c>
      <c r="V526">
        <v>2033.58</v>
      </c>
      <c r="W526">
        <v>14.410907</v>
      </c>
      <c r="X526">
        <v>107.786083</v>
      </c>
      <c r="Y526">
        <v>36.869999999999997</v>
      </c>
      <c r="Z526">
        <v>14.398239</v>
      </c>
      <c r="AA526">
        <v>107.79636600000001</v>
      </c>
      <c r="AB526" s="5">
        <f t="shared" si="49"/>
        <v>3.05037</v>
      </c>
      <c r="AC526" s="5">
        <f t="shared" si="50"/>
        <v>5.5304999999999993E-2</v>
      </c>
      <c r="AD526" s="1" t="str">
        <f t="shared" si="51"/>
        <v>Ngọc Hồi</v>
      </c>
      <c r="AE526" s="1" t="str">
        <f t="shared" si="52"/>
        <v>Sa Thầy</v>
      </c>
      <c r="AG526">
        <f t="shared" si="53"/>
        <v>2.0335799999999997</v>
      </c>
      <c r="AH526">
        <f t="shared" si="54"/>
        <v>3.687E-2</v>
      </c>
      <c r="AI526" t="e">
        <f>VLOOKUP(L526,'[1]Tuyến cáp H04'!$B:$E,3,0)/1000</f>
        <v>#N/A</v>
      </c>
      <c r="AJ526" t="e">
        <f>VLOOKUP(L526,'[1]Tuyến cáp H04'!$B:$E,4,0)</f>
        <v>#N/A</v>
      </c>
    </row>
    <row r="527" spans="1:36" x14ac:dyDescent="0.25">
      <c r="A527" s="1" t="s">
        <v>4919</v>
      </c>
      <c r="B527" s="1" t="s">
        <v>4920</v>
      </c>
      <c r="C527" s="1" t="s">
        <v>4921</v>
      </c>
      <c r="D527" s="1" t="s">
        <v>4554</v>
      </c>
      <c r="E527" s="1" t="s">
        <v>4555</v>
      </c>
      <c r="F527" s="1" t="s">
        <v>4922</v>
      </c>
      <c r="G527" s="1" t="s">
        <v>14281</v>
      </c>
      <c r="H527" s="1" t="s">
        <v>14282</v>
      </c>
      <c r="I527" s="1" t="s">
        <v>14647</v>
      </c>
      <c r="J527" s="1" t="s">
        <v>23</v>
      </c>
      <c r="K527" s="1"/>
      <c r="L527" s="1" t="s">
        <v>283</v>
      </c>
      <c r="M527" s="1" t="s">
        <v>4923</v>
      </c>
      <c r="N527" s="1" t="s">
        <v>4924</v>
      </c>
      <c r="O527" s="1" t="s">
        <v>4925</v>
      </c>
      <c r="P527" s="1" t="s">
        <v>4926</v>
      </c>
      <c r="Q527" s="1" t="s">
        <v>4927</v>
      </c>
      <c r="R527" s="1" t="s">
        <v>289</v>
      </c>
      <c r="S527" s="1" t="s">
        <v>290</v>
      </c>
      <c r="T527" s="1" t="s">
        <v>291</v>
      </c>
      <c r="U527">
        <v>178.47</v>
      </c>
      <c r="V527">
        <v>102.19</v>
      </c>
      <c r="W527">
        <v>14.354221000000001</v>
      </c>
      <c r="X527">
        <v>108.00283</v>
      </c>
      <c r="Y527">
        <v>76.28</v>
      </c>
      <c r="Z527">
        <v>14.352316999999999</v>
      </c>
      <c r="AA527">
        <v>108.007831</v>
      </c>
      <c r="AB527" s="5">
        <f t="shared" si="49"/>
        <v>0.153285</v>
      </c>
      <c r="AC527" s="5">
        <f t="shared" si="50"/>
        <v>0.11442000000000001</v>
      </c>
      <c r="AD527" s="1" t="str">
        <f t="shared" si="51"/>
        <v>Đăk Tô</v>
      </c>
      <c r="AE527" s="1" t="str">
        <f t="shared" si="52"/>
        <v>TT2 Kon Tum</v>
      </c>
      <c r="AG527">
        <f t="shared" si="53"/>
        <v>0.10219</v>
      </c>
      <c r="AH527">
        <f t="shared" si="54"/>
        <v>7.6280000000000001E-2</v>
      </c>
      <c r="AI527">
        <f>VLOOKUP(L527,'[1]Tuyến cáp H04'!$B:$E,3,0)/1000</f>
        <v>43.9602</v>
      </c>
      <c r="AJ527" t="str">
        <f>VLOOKUP(L527,'[1]Tuyến cáp H04'!$B:$E,4,0)</f>
        <v>Mạng cấp 3</v>
      </c>
    </row>
    <row r="528" spans="1:36" x14ac:dyDescent="0.25">
      <c r="A528" s="1" t="s">
        <v>4928</v>
      </c>
      <c r="B528" s="1" t="s">
        <v>4554</v>
      </c>
      <c r="C528" s="1" t="s">
        <v>4555</v>
      </c>
      <c r="D528" s="1" t="s">
        <v>4749</v>
      </c>
      <c r="E528" s="1" t="s">
        <v>4750</v>
      </c>
      <c r="F528" s="1" t="s">
        <v>4929</v>
      </c>
      <c r="G528" s="1" t="s">
        <v>14281</v>
      </c>
      <c r="H528" s="1" t="s">
        <v>14282</v>
      </c>
      <c r="I528" s="1" t="s">
        <v>14648</v>
      </c>
      <c r="J528" s="1" t="s">
        <v>23</v>
      </c>
      <c r="K528" s="1"/>
      <c r="L528" s="1" t="s">
        <v>4930</v>
      </c>
      <c r="M528" s="1" t="s">
        <v>4931</v>
      </c>
      <c r="N528" s="1" t="s">
        <v>4932</v>
      </c>
      <c r="O528" s="1" t="s">
        <v>4933</v>
      </c>
      <c r="P528" s="1" t="s">
        <v>4934</v>
      </c>
      <c r="Q528" s="1" t="s">
        <v>4935</v>
      </c>
      <c r="R528" s="1" t="s">
        <v>4936</v>
      </c>
      <c r="S528" s="1" t="s">
        <v>4937</v>
      </c>
      <c r="T528" s="1" t="s">
        <v>4938</v>
      </c>
      <c r="U528">
        <v>345.25</v>
      </c>
      <c r="V528">
        <v>341.75</v>
      </c>
      <c r="W528">
        <v>14.349970000000001</v>
      </c>
      <c r="X528">
        <v>108.007367</v>
      </c>
      <c r="Y528">
        <v>3.5</v>
      </c>
      <c r="Z528">
        <v>14.376951</v>
      </c>
      <c r="AA528">
        <v>108.019868</v>
      </c>
      <c r="AB528" s="5">
        <f t="shared" si="49"/>
        <v>0.512625</v>
      </c>
      <c r="AC528" s="5">
        <f t="shared" si="50"/>
        <v>5.2500000000000003E-3</v>
      </c>
      <c r="AD528" s="1" t="e">
        <f t="shared" si="51"/>
        <v>#VALUE!</v>
      </c>
      <c r="AE528" s="1" t="e">
        <f t="shared" si="52"/>
        <v>#VALUE!</v>
      </c>
      <c r="AG528">
        <f t="shared" si="53"/>
        <v>0.34175</v>
      </c>
      <c r="AH528">
        <f t="shared" si="54"/>
        <v>3.5000000000000001E-3</v>
      </c>
      <c r="AI528" t="e">
        <f>VLOOKUP(L528,'[1]Tuyến cáp H04'!$B:$E,3,0)/1000</f>
        <v>#N/A</v>
      </c>
      <c r="AJ528" t="e">
        <f>VLOOKUP(L528,'[1]Tuyến cáp H04'!$B:$E,4,0)</f>
        <v>#N/A</v>
      </c>
    </row>
    <row r="529" spans="1:36" x14ac:dyDescent="0.25">
      <c r="A529" s="1" t="s">
        <v>4939</v>
      </c>
      <c r="B529" s="1" t="s">
        <v>4940</v>
      </c>
      <c r="C529" s="1" t="s">
        <v>4941</v>
      </c>
      <c r="D529" s="1" t="s">
        <v>4835</v>
      </c>
      <c r="E529" s="1" t="s">
        <v>4836</v>
      </c>
      <c r="F529" s="1" t="s">
        <v>4942</v>
      </c>
      <c r="G529" s="1" t="s">
        <v>14281</v>
      </c>
      <c r="H529" s="1" t="s">
        <v>14282</v>
      </c>
      <c r="I529" s="1" t="s">
        <v>14649</v>
      </c>
      <c r="J529" s="1" t="s">
        <v>23</v>
      </c>
      <c r="K529" s="1"/>
      <c r="L529" s="1" t="s">
        <v>4838</v>
      </c>
      <c r="M529" s="1" t="s">
        <v>4943</v>
      </c>
      <c r="N529" s="1" t="s">
        <v>4944</v>
      </c>
      <c r="O529" s="1" t="s">
        <v>4945</v>
      </c>
      <c r="P529" s="1" t="s">
        <v>4946</v>
      </c>
      <c r="Q529" s="1" t="s">
        <v>4843</v>
      </c>
      <c r="R529" s="1" t="s">
        <v>4844</v>
      </c>
      <c r="S529" s="1" t="s">
        <v>4845</v>
      </c>
      <c r="T529" s="1" t="s">
        <v>4846</v>
      </c>
      <c r="U529">
        <v>519.5</v>
      </c>
      <c r="V529">
        <v>94.05</v>
      </c>
      <c r="W529">
        <v>14.381167</v>
      </c>
      <c r="X529">
        <v>107.975342</v>
      </c>
      <c r="Y529">
        <v>425.45</v>
      </c>
      <c r="Z529">
        <v>14.377385</v>
      </c>
      <c r="AA529">
        <v>107.984059</v>
      </c>
      <c r="AB529" s="5">
        <f t="shared" si="49"/>
        <v>0.14107499999999998</v>
      </c>
      <c r="AC529" s="5">
        <f t="shared" si="50"/>
        <v>0.63817499999999994</v>
      </c>
      <c r="AD529" s="1" t="str">
        <f t="shared" si="51"/>
        <v>Sa Thầy</v>
      </c>
      <c r="AE529" s="1" t="str">
        <f t="shared" si="52"/>
        <v>TT2 Kon Tum</v>
      </c>
      <c r="AG529">
        <f t="shared" si="53"/>
        <v>9.4049999999999995E-2</v>
      </c>
      <c r="AH529">
        <f t="shared" si="54"/>
        <v>0.42544999999999999</v>
      </c>
      <c r="AI529" t="e">
        <f>VLOOKUP(L529,'[1]Tuyến cáp H04'!$B:$E,3,0)/1000</f>
        <v>#N/A</v>
      </c>
      <c r="AJ529" t="e">
        <f>VLOOKUP(L529,'[1]Tuyến cáp H04'!$B:$E,4,0)</f>
        <v>#N/A</v>
      </c>
    </row>
    <row r="530" spans="1:36" x14ac:dyDescent="0.25">
      <c r="A530" s="1" t="s">
        <v>4947</v>
      </c>
      <c r="B530" s="1" t="s">
        <v>4920</v>
      </c>
      <c r="C530" s="1" t="s">
        <v>4921</v>
      </c>
      <c r="D530" s="1" t="s">
        <v>4948</v>
      </c>
      <c r="E530" s="1" t="s">
        <v>4949</v>
      </c>
      <c r="F530" s="1" t="s">
        <v>4950</v>
      </c>
      <c r="G530" s="1" t="s">
        <v>14281</v>
      </c>
      <c r="H530" s="1" t="s">
        <v>14282</v>
      </c>
      <c r="I530" s="1" t="s">
        <v>14650</v>
      </c>
      <c r="J530" s="1" t="s">
        <v>23</v>
      </c>
      <c r="K530" s="1"/>
      <c r="L530" s="1" t="s">
        <v>283</v>
      </c>
      <c r="M530" s="1" t="s">
        <v>4951</v>
      </c>
      <c r="N530" s="1" t="s">
        <v>4924</v>
      </c>
      <c r="O530" s="1" t="s">
        <v>4925</v>
      </c>
      <c r="P530" s="1" t="s">
        <v>4926</v>
      </c>
      <c r="Q530" s="1" t="s">
        <v>4952</v>
      </c>
      <c r="R530" s="1" t="s">
        <v>4681</v>
      </c>
      <c r="S530" s="1" t="s">
        <v>4682</v>
      </c>
      <c r="T530" s="1" t="s">
        <v>291</v>
      </c>
      <c r="U530">
        <v>161755.38</v>
      </c>
      <c r="V530">
        <v>102.19</v>
      </c>
      <c r="W530">
        <v>14.354221000000001</v>
      </c>
      <c r="X530">
        <v>108.00283</v>
      </c>
      <c r="Y530">
        <v>161653.19</v>
      </c>
      <c r="Z530">
        <v>14.659758</v>
      </c>
      <c r="AA530">
        <v>107.83978500000001</v>
      </c>
      <c r="AB530" s="5">
        <f t="shared" si="49"/>
        <v>0.153285</v>
      </c>
      <c r="AC530" s="5">
        <f t="shared" si="50"/>
        <v>242.47978499999999</v>
      </c>
      <c r="AD530" s="1" t="str">
        <f t="shared" si="51"/>
        <v>Đăk Tô</v>
      </c>
      <c r="AE530" s="1" t="str">
        <f t="shared" si="52"/>
        <v>TT2 Kon Tum</v>
      </c>
      <c r="AG530">
        <f t="shared" si="53"/>
        <v>0.10219</v>
      </c>
      <c r="AH530">
        <f t="shared" si="54"/>
        <v>161.65319</v>
      </c>
      <c r="AI530">
        <f>VLOOKUP(L530,'[1]Tuyến cáp H04'!$B:$E,3,0)/1000</f>
        <v>43.9602</v>
      </c>
      <c r="AJ530" t="str">
        <f>VLOOKUP(L530,'[1]Tuyến cáp H04'!$B:$E,4,0)</f>
        <v>Mạng cấp 3</v>
      </c>
    </row>
    <row r="531" spans="1:36" x14ac:dyDescent="0.25">
      <c r="A531" s="1" t="s">
        <v>4953</v>
      </c>
      <c r="B531" s="1" t="s">
        <v>4948</v>
      </c>
      <c r="C531" s="1" t="s">
        <v>4949</v>
      </c>
      <c r="D531" s="1" t="s">
        <v>278</v>
      </c>
      <c r="E531" s="1" t="s">
        <v>279</v>
      </c>
      <c r="F531" s="1" t="s">
        <v>4954</v>
      </c>
      <c r="G531" s="1" t="s">
        <v>14281</v>
      </c>
      <c r="H531" s="1" t="s">
        <v>14282</v>
      </c>
      <c r="I531" s="1" t="s">
        <v>14651</v>
      </c>
      <c r="J531" s="1" t="s">
        <v>23</v>
      </c>
      <c r="K531" s="1"/>
      <c r="L531" s="1" t="s">
        <v>4955</v>
      </c>
      <c r="M531" s="1" t="s">
        <v>4956</v>
      </c>
      <c r="N531" s="1" t="s">
        <v>4957</v>
      </c>
      <c r="O531" s="1" t="s">
        <v>4958</v>
      </c>
      <c r="P531" s="1" t="s">
        <v>4959</v>
      </c>
      <c r="Q531" s="1" t="s">
        <v>4960</v>
      </c>
      <c r="R531" s="1" t="s">
        <v>4961</v>
      </c>
      <c r="S531" s="1" t="s">
        <v>4962</v>
      </c>
      <c r="T531" s="1" t="s">
        <v>4963</v>
      </c>
      <c r="U531">
        <v>126697.95</v>
      </c>
      <c r="V531">
        <v>24952.22</v>
      </c>
      <c r="W531">
        <v>16.242723999999999</v>
      </c>
      <c r="X531">
        <v>108.077691</v>
      </c>
      <c r="Y531">
        <v>101745.73</v>
      </c>
      <c r="Z531">
        <v>16.274787</v>
      </c>
      <c r="AA531">
        <v>107.860466</v>
      </c>
      <c r="AB531" s="5">
        <f t="shared" si="49"/>
        <v>37.428330000000003</v>
      </c>
      <c r="AC531" s="5">
        <f t="shared" si="50"/>
        <v>152.618595</v>
      </c>
      <c r="AD531" s="1" t="str">
        <f t="shared" si="51"/>
        <v>Ring 1 Chân Mây_Lăng Cô</v>
      </c>
      <c r="AE531" s="1" t="str">
        <f t="shared" si="52"/>
        <v>Phú Lộc</v>
      </c>
      <c r="AG531">
        <f t="shared" si="53"/>
        <v>24.952220000000001</v>
      </c>
      <c r="AH531">
        <f t="shared" si="54"/>
        <v>101.74572999999999</v>
      </c>
      <c r="AI531" t="e">
        <f>VLOOKUP(L531,'[1]Tuyến cáp H04'!$B:$E,3,0)/1000</f>
        <v>#N/A</v>
      </c>
      <c r="AJ531" t="e">
        <f>VLOOKUP(L531,'[1]Tuyến cáp H04'!$B:$E,4,0)</f>
        <v>#N/A</v>
      </c>
    </row>
    <row r="532" spans="1:36" x14ac:dyDescent="0.25">
      <c r="A532" s="1" t="s">
        <v>4964</v>
      </c>
      <c r="B532" s="1" t="s">
        <v>278</v>
      </c>
      <c r="C532" s="1" t="s">
        <v>279</v>
      </c>
      <c r="D532" s="1" t="s">
        <v>4738</v>
      </c>
      <c r="E532" s="1" t="s">
        <v>4739</v>
      </c>
      <c r="F532" s="1" t="s">
        <v>4965</v>
      </c>
      <c r="G532" s="1" t="s">
        <v>14281</v>
      </c>
      <c r="H532" s="1" t="s">
        <v>14282</v>
      </c>
      <c r="I532" s="1" t="s">
        <v>14652</v>
      </c>
      <c r="J532" s="1" t="s">
        <v>23</v>
      </c>
      <c r="K532" s="1"/>
      <c r="L532" s="1" t="s">
        <v>4955</v>
      </c>
      <c r="M532" s="1" t="s">
        <v>4966</v>
      </c>
      <c r="N532" s="1" t="s">
        <v>4960</v>
      </c>
      <c r="O532" s="1" t="s">
        <v>4961</v>
      </c>
      <c r="P532" s="1" t="s">
        <v>4962</v>
      </c>
      <c r="Q532" s="1" t="s">
        <v>4967</v>
      </c>
      <c r="R532" s="1" t="s">
        <v>4958</v>
      </c>
      <c r="S532" s="1" t="s">
        <v>4959</v>
      </c>
      <c r="T532" s="1" t="s">
        <v>4963</v>
      </c>
      <c r="U532">
        <v>131863.31</v>
      </c>
      <c r="V532">
        <v>101745.73</v>
      </c>
      <c r="W532">
        <v>16.274787</v>
      </c>
      <c r="X532">
        <v>107.860466</v>
      </c>
      <c r="Y532">
        <v>30117.58</v>
      </c>
      <c r="Z532">
        <v>16.242723999999999</v>
      </c>
      <c r="AA532">
        <v>108.077691</v>
      </c>
      <c r="AB532" s="5">
        <f t="shared" si="49"/>
        <v>152.618595</v>
      </c>
      <c r="AC532" s="5">
        <f t="shared" si="50"/>
        <v>45.176370000000006</v>
      </c>
      <c r="AD532" s="1" t="str">
        <f t="shared" si="51"/>
        <v>Ring 1 Chân Mây_Lăng Cô</v>
      </c>
      <c r="AE532" s="1" t="str">
        <f t="shared" si="52"/>
        <v>Phú Lộc</v>
      </c>
      <c r="AG532">
        <f t="shared" si="53"/>
        <v>101.74572999999999</v>
      </c>
      <c r="AH532">
        <f t="shared" si="54"/>
        <v>30.11758</v>
      </c>
      <c r="AI532" t="e">
        <f>VLOOKUP(L532,'[1]Tuyến cáp H04'!$B:$E,3,0)/1000</f>
        <v>#N/A</v>
      </c>
      <c r="AJ532" t="e">
        <f>VLOOKUP(L532,'[1]Tuyến cáp H04'!$B:$E,4,0)</f>
        <v>#N/A</v>
      </c>
    </row>
    <row r="533" spans="1:36" x14ac:dyDescent="0.25">
      <c r="A533" s="1" t="s">
        <v>4968</v>
      </c>
      <c r="B533" s="1" t="s">
        <v>4738</v>
      </c>
      <c r="C533" s="1" t="s">
        <v>4739</v>
      </c>
      <c r="D533" s="1" t="s">
        <v>4554</v>
      </c>
      <c r="E533" s="1" t="s">
        <v>4555</v>
      </c>
      <c r="F533" s="1" t="s">
        <v>4969</v>
      </c>
      <c r="G533" s="1" t="s">
        <v>14281</v>
      </c>
      <c r="H533" s="1" t="s">
        <v>14282</v>
      </c>
      <c r="I533" s="1" t="s">
        <v>14653</v>
      </c>
      <c r="J533" s="1" t="s">
        <v>23</v>
      </c>
      <c r="K533" s="1"/>
      <c r="L533" s="1" t="s">
        <v>283</v>
      </c>
      <c r="M533" s="1" t="s">
        <v>4970</v>
      </c>
      <c r="N533" s="1" t="s">
        <v>4745</v>
      </c>
      <c r="O533" s="1" t="s">
        <v>4681</v>
      </c>
      <c r="P533" s="1" t="s">
        <v>4682</v>
      </c>
      <c r="Q533" s="1" t="s">
        <v>4927</v>
      </c>
      <c r="R533" s="1" t="s">
        <v>289</v>
      </c>
      <c r="S533" s="1" t="s">
        <v>290</v>
      </c>
      <c r="T533" s="1" t="s">
        <v>291</v>
      </c>
      <c r="U533">
        <v>155325.76000000001</v>
      </c>
      <c r="V533">
        <v>155249.48000000001</v>
      </c>
      <c r="W533">
        <v>14.659758</v>
      </c>
      <c r="X533">
        <v>107.83978500000001</v>
      </c>
      <c r="Y533">
        <v>76.28</v>
      </c>
      <c r="Z533">
        <v>14.352316999999999</v>
      </c>
      <c r="AA533">
        <v>108.007831</v>
      </c>
      <c r="AB533" s="5">
        <f t="shared" si="49"/>
        <v>232.87422000000004</v>
      </c>
      <c r="AC533" s="5">
        <f t="shared" si="50"/>
        <v>0.11442000000000001</v>
      </c>
      <c r="AD533" s="1" t="str">
        <f t="shared" si="51"/>
        <v>Đăk Tô</v>
      </c>
      <c r="AE533" s="1" t="str">
        <f t="shared" si="52"/>
        <v>TT2 Kon Tum</v>
      </c>
      <c r="AG533">
        <f t="shared" si="53"/>
        <v>155.24948000000001</v>
      </c>
      <c r="AH533">
        <f t="shared" si="54"/>
        <v>7.6280000000000001E-2</v>
      </c>
      <c r="AI533">
        <f>VLOOKUP(L533,'[1]Tuyến cáp H04'!$B:$E,3,0)/1000</f>
        <v>43.9602</v>
      </c>
      <c r="AJ533" t="str">
        <f>VLOOKUP(L533,'[1]Tuyến cáp H04'!$B:$E,4,0)</f>
        <v>Mạng cấp 3</v>
      </c>
    </row>
    <row r="534" spans="1:36" x14ac:dyDescent="0.25">
      <c r="A534" s="1" t="s">
        <v>4971</v>
      </c>
      <c r="B534" s="1" t="s">
        <v>4972</v>
      </c>
      <c r="C534" s="1" t="s">
        <v>4973</v>
      </c>
      <c r="D534" s="1" t="s">
        <v>4807</v>
      </c>
      <c r="E534" s="1" t="s">
        <v>4808</v>
      </c>
      <c r="F534" s="1" t="s">
        <v>4974</v>
      </c>
      <c r="G534" s="1" t="s">
        <v>14281</v>
      </c>
      <c r="H534" s="1" t="s">
        <v>14282</v>
      </c>
      <c r="I534" s="1" t="s">
        <v>14654</v>
      </c>
      <c r="J534" s="1" t="s">
        <v>23</v>
      </c>
      <c r="K534" s="1"/>
      <c r="L534" s="1" t="s">
        <v>4838</v>
      </c>
      <c r="M534" s="1" t="s">
        <v>4975</v>
      </c>
      <c r="N534" s="1" t="s">
        <v>4976</v>
      </c>
      <c r="O534" s="1" t="s">
        <v>4977</v>
      </c>
      <c r="P534" s="1" t="s">
        <v>4978</v>
      </c>
      <c r="Q534" s="1" t="s">
        <v>4979</v>
      </c>
      <c r="R534" s="1" t="s">
        <v>4980</v>
      </c>
      <c r="S534" s="1" t="s">
        <v>4981</v>
      </c>
      <c r="T534" s="1" t="s">
        <v>4846</v>
      </c>
      <c r="U534">
        <v>1449.39</v>
      </c>
      <c r="V534">
        <v>231.4</v>
      </c>
      <c r="W534">
        <v>14.377012000000001</v>
      </c>
      <c r="X534">
        <v>107.9584</v>
      </c>
      <c r="Y534">
        <v>1217.98</v>
      </c>
      <c r="Z534">
        <v>14.359938</v>
      </c>
      <c r="AA534">
        <v>107.990465</v>
      </c>
      <c r="AB534" s="5">
        <f t="shared" si="49"/>
        <v>0.34710000000000002</v>
      </c>
      <c r="AC534" s="5">
        <f t="shared" si="50"/>
        <v>1.82697</v>
      </c>
      <c r="AD534" s="1" t="str">
        <f t="shared" si="51"/>
        <v>Sa Thầy</v>
      </c>
      <c r="AE534" s="1" t="str">
        <f t="shared" si="52"/>
        <v>TT2 Kon Tum</v>
      </c>
      <c r="AG534">
        <f t="shared" si="53"/>
        <v>0.23139999999999999</v>
      </c>
      <c r="AH534">
        <f t="shared" si="54"/>
        <v>1.2179800000000001</v>
      </c>
      <c r="AI534" t="e">
        <f>VLOOKUP(L534,'[1]Tuyến cáp H04'!$B:$E,3,0)/1000</f>
        <v>#N/A</v>
      </c>
      <c r="AJ534" t="e">
        <f>VLOOKUP(L534,'[1]Tuyến cáp H04'!$B:$E,4,0)</f>
        <v>#N/A</v>
      </c>
    </row>
    <row r="535" spans="1:36" x14ac:dyDescent="0.25">
      <c r="A535" s="1" t="s">
        <v>4982</v>
      </c>
      <c r="B535" s="1" t="s">
        <v>4920</v>
      </c>
      <c r="C535" s="1" t="s">
        <v>4921</v>
      </c>
      <c r="D535" s="1" t="s">
        <v>4983</v>
      </c>
      <c r="E535" s="1" t="s">
        <v>4984</v>
      </c>
      <c r="F535" s="1" t="s">
        <v>4985</v>
      </c>
      <c r="G535" s="1" t="s">
        <v>14281</v>
      </c>
      <c r="H535" s="1" t="s">
        <v>14282</v>
      </c>
      <c r="I535" s="1" t="s">
        <v>14655</v>
      </c>
      <c r="J535" s="1" t="s">
        <v>23</v>
      </c>
      <c r="K535" s="1"/>
      <c r="L535" s="1" t="s">
        <v>4930</v>
      </c>
      <c r="M535" s="1" t="s">
        <v>4986</v>
      </c>
      <c r="N535" s="1" t="s">
        <v>4987</v>
      </c>
      <c r="O535" s="1" t="s">
        <v>4988</v>
      </c>
      <c r="P535" s="1" t="s">
        <v>4989</v>
      </c>
      <c r="Q535" s="1" t="s">
        <v>4990</v>
      </c>
      <c r="R535" s="1" t="s">
        <v>4991</v>
      </c>
      <c r="S535" s="1" t="s">
        <v>4992</v>
      </c>
      <c r="T535" s="1" t="s">
        <v>4938</v>
      </c>
      <c r="U535">
        <v>111.73</v>
      </c>
      <c r="V535">
        <v>103.97</v>
      </c>
      <c r="W535">
        <v>14.354255999999999</v>
      </c>
      <c r="X535">
        <v>108.002816</v>
      </c>
      <c r="Y535">
        <v>7.76</v>
      </c>
      <c r="Z535">
        <v>14.349694</v>
      </c>
      <c r="AA535">
        <v>108.00743199999999</v>
      </c>
      <c r="AB535" s="5">
        <f t="shared" si="49"/>
        <v>0.15595499999999998</v>
      </c>
      <c r="AC535" s="5">
        <f t="shared" si="50"/>
        <v>1.1640000000000001E-2</v>
      </c>
      <c r="AD535" s="1" t="e">
        <f t="shared" si="51"/>
        <v>#VALUE!</v>
      </c>
      <c r="AE535" s="1" t="e">
        <f t="shared" si="52"/>
        <v>#VALUE!</v>
      </c>
      <c r="AG535">
        <f t="shared" si="53"/>
        <v>0.10396999999999999</v>
      </c>
      <c r="AH535">
        <f t="shared" si="54"/>
        <v>7.7599999999999995E-3</v>
      </c>
      <c r="AI535" t="e">
        <f>VLOOKUP(L535,'[1]Tuyến cáp H04'!$B:$E,3,0)/1000</f>
        <v>#N/A</v>
      </c>
      <c r="AJ535" t="e">
        <f>VLOOKUP(L535,'[1]Tuyến cáp H04'!$B:$E,4,0)</f>
        <v>#N/A</v>
      </c>
    </row>
    <row r="536" spans="1:36" x14ac:dyDescent="0.25">
      <c r="A536" s="1" t="s">
        <v>4993</v>
      </c>
      <c r="B536" s="1" t="s">
        <v>4994</v>
      </c>
      <c r="C536" s="1" t="s">
        <v>4995</v>
      </c>
      <c r="D536" s="1" t="s">
        <v>4554</v>
      </c>
      <c r="E536" s="1" t="s">
        <v>4555</v>
      </c>
      <c r="F536" s="1" t="s">
        <v>4996</v>
      </c>
      <c r="G536" s="1" t="s">
        <v>14281</v>
      </c>
      <c r="H536" s="1" t="s">
        <v>14282</v>
      </c>
      <c r="I536" s="1" t="s">
        <v>14656</v>
      </c>
      <c r="J536" s="1" t="s">
        <v>23</v>
      </c>
      <c r="K536" s="1"/>
      <c r="L536" s="1" t="s">
        <v>4997</v>
      </c>
      <c r="M536" s="1" t="s">
        <v>4998</v>
      </c>
      <c r="N536" s="1" t="s">
        <v>4999</v>
      </c>
      <c r="O536" s="1" t="s">
        <v>5000</v>
      </c>
      <c r="P536" s="1" t="s">
        <v>5001</v>
      </c>
      <c r="Q536" s="1" t="s">
        <v>5002</v>
      </c>
      <c r="R536" s="1" t="s">
        <v>5003</v>
      </c>
      <c r="S536" s="1" t="s">
        <v>5004</v>
      </c>
      <c r="T536" s="1" t="s">
        <v>5005</v>
      </c>
      <c r="U536">
        <v>420.8</v>
      </c>
      <c r="V536">
        <v>353.62</v>
      </c>
      <c r="W536">
        <v>14.352606</v>
      </c>
      <c r="X536">
        <v>108.02003499999999</v>
      </c>
      <c r="Y536">
        <v>67.180000000000007</v>
      </c>
      <c r="Z536">
        <v>14.352398000000001</v>
      </c>
      <c r="AA536">
        <v>108.007853</v>
      </c>
      <c r="AB536" s="5">
        <f t="shared" si="49"/>
        <v>0.53043000000000007</v>
      </c>
      <c r="AC536" s="5">
        <f t="shared" si="50"/>
        <v>0.10077000000000001</v>
      </c>
      <c r="AD536" s="1" t="str">
        <f t="shared" si="51"/>
        <v>Đăk Rơ Wa</v>
      </c>
      <c r="AE536" s="1" t="str">
        <f t="shared" si="52"/>
        <v>Kon Tum</v>
      </c>
      <c r="AG536">
        <f t="shared" si="53"/>
        <v>0.35361999999999999</v>
      </c>
      <c r="AH536">
        <f t="shared" si="54"/>
        <v>6.7180000000000004E-2</v>
      </c>
      <c r="AI536">
        <f>VLOOKUP(L536,'[1]Tuyến cáp H04'!$B:$E,3,0)/1000</f>
        <v>5.4089999999999998</v>
      </c>
      <c r="AJ536" t="str">
        <f>VLOOKUP(L536,'[1]Tuyến cáp H04'!$B:$E,4,0)</f>
        <v>Mạng cấp 4</v>
      </c>
    </row>
    <row r="537" spans="1:36" x14ac:dyDescent="0.25">
      <c r="A537" s="1" t="s">
        <v>5006</v>
      </c>
      <c r="B537" s="1" t="s">
        <v>5007</v>
      </c>
      <c r="C537" s="1" t="s">
        <v>5008</v>
      </c>
      <c r="D537" s="1" t="s">
        <v>4850</v>
      </c>
      <c r="E537" s="1" t="s">
        <v>4851</v>
      </c>
      <c r="F537" s="1" t="s">
        <v>5009</v>
      </c>
      <c r="G537" s="1" t="s">
        <v>14281</v>
      </c>
      <c r="H537" s="1" t="s">
        <v>14282</v>
      </c>
      <c r="I537" s="1" t="s">
        <v>14657</v>
      </c>
      <c r="J537" s="1" t="s">
        <v>23</v>
      </c>
      <c r="K537" s="1"/>
      <c r="L537" s="1" t="s">
        <v>4710</v>
      </c>
      <c r="M537" s="1" t="s">
        <v>5010</v>
      </c>
      <c r="N537" s="1" t="s">
        <v>3476</v>
      </c>
      <c r="O537" s="1" t="s">
        <v>5011</v>
      </c>
      <c r="P537" s="1" t="s">
        <v>5012</v>
      </c>
      <c r="Q537" s="1" t="s">
        <v>5013</v>
      </c>
      <c r="R537" s="1" t="s">
        <v>5014</v>
      </c>
      <c r="S537" s="1" t="s">
        <v>5015</v>
      </c>
      <c r="T537" s="1" t="s">
        <v>4718</v>
      </c>
      <c r="U537">
        <v>1588.27</v>
      </c>
      <c r="V537">
        <v>65.27</v>
      </c>
      <c r="W537">
        <v>14.334607999999999</v>
      </c>
      <c r="X537">
        <v>107.996469</v>
      </c>
      <c r="Y537">
        <v>1523</v>
      </c>
      <c r="Z537">
        <v>14.343185999999999</v>
      </c>
      <c r="AA537">
        <v>108.000281</v>
      </c>
      <c r="AB537" s="5">
        <f t="shared" si="49"/>
        <v>9.7905000000000006E-2</v>
      </c>
      <c r="AC537" s="5">
        <f t="shared" si="50"/>
        <v>2.2845</v>
      </c>
      <c r="AD537" s="1" t="str">
        <f t="shared" si="51"/>
        <v>CAT Kon TUm</v>
      </c>
      <c r="AE537" s="1" t="str">
        <f t="shared" si="52"/>
        <v>Đăk Bla</v>
      </c>
      <c r="AG537">
        <f t="shared" si="53"/>
        <v>6.5269999999999995E-2</v>
      </c>
      <c r="AH537">
        <f t="shared" si="54"/>
        <v>1.5229999999999999</v>
      </c>
      <c r="AI537">
        <f>VLOOKUP(L537,'[1]Tuyến cáp H04'!$B:$E,3,0)/1000</f>
        <v>9.5890000000000004</v>
      </c>
      <c r="AJ537" t="str">
        <f>VLOOKUP(L537,'[1]Tuyến cáp H04'!$B:$E,4,0)</f>
        <v>Mạng cấp 4</v>
      </c>
    </row>
    <row r="538" spans="1:36" x14ac:dyDescent="0.25">
      <c r="A538" s="1" t="s">
        <v>5016</v>
      </c>
      <c r="B538" s="1" t="s">
        <v>4850</v>
      </c>
      <c r="C538" s="1" t="s">
        <v>4851</v>
      </c>
      <c r="D538" s="1" t="s">
        <v>4554</v>
      </c>
      <c r="E538" s="1" t="s">
        <v>4555</v>
      </c>
      <c r="F538" s="1" t="s">
        <v>5017</v>
      </c>
      <c r="G538" s="1" t="s">
        <v>14281</v>
      </c>
      <c r="H538" s="1" t="s">
        <v>14282</v>
      </c>
      <c r="I538" s="1" t="s">
        <v>14658</v>
      </c>
      <c r="J538" s="1" t="s">
        <v>23</v>
      </c>
      <c r="K538" s="1"/>
      <c r="L538" s="1" t="s">
        <v>4997</v>
      </c>
      <c r="M538" s="1" t="s">
        <v>5018</v>
      </c>
      <c r="N538" s="1" t="s">
        <v>5019</v>
      </c>
      <c r="O538" s="1" t="s">
        <v>5020</v>
      </c>
      <c r="P538" s="1" t="s">
        <v>5021</v>
      </c>
      <c r="Q538" s="1" t="s">
        <v>5002</v>
      </c>
      <c r="R538" s="1" t="s">
        <v>5003</v>
      </c>
      <c r="S538" s="1" t="s">
        <v>5004</v>
      </c>
      <c r="T538" s="1" t="s">
        <v>5005</v>
      </c>
      <c r="U538">
        <v>142.76</v>
      </c>
      <c r="V538">
        <v>75.58</v>
      </c>
      <c r="W538">
        <v>14.352361999999999</v>
      </c>
      <c r="X538">
        <v>108.010153</v>
      </c>
      <c r="Y538">
        <v>67.180000000000007</v>
      </c>
      <c r="Z538">
        <v>14.352398000000001</v>
      </c>
      <c r="AA538">
        <v>108.007853</v>
      </c>
      <c r="AB538" s="5">
        <f t="shared" si="49"/>
        <v>0.11337</v>
      </c>
      <c r="AC538" s="5">
        <f t="shared" si="50"/>
        <v>0.10077000000000001</v>
      </c>
      <c r="AD538" s="1" t="str">
        <f t="shared" si="51"/>
        <v>Đăk Rơ Wa</v>
      </c>
      <c r="AE538" s="1" t="str">
        <f t="shared" si="52"/>
        <v>Kon Tum</v>
      </c>
      <c r="AG538">
        <f t="shared" si="53"/>
        <v>7.5579999999999994E-2</v>
      </c>
      <c r="AH538">
        <f t="shared" si="54"/>
        <v>6.7180000000000004E-2</v>
      </c>
      <c r="AI538">
        <f>VLOOKUP(L538,'[1]Tuyến cáp H04'!$B:$E,3,0)/1000</f>
        <v>5.4089999999999998</v>
      </c>
      <c r="AJ538" t="str">
        <f>VLOOKUP(L538,'[1]Tuyến cáp H04'!$B:$E,4,0)</f>
        <v>Mạng cấp 4</v>
      </c>
    </row>
    <row r="539" spans="1:36" x14ac:dyDescent="0.25">
      <c r="A539" s="1" t="s">
        <v>5022</v>
      </c>
      <c r="B539" s="1" t="s">
        <v>5023</v>
      </c>
      <c r="C539" s="1" t="s">
        <v>5024</v>
      </c>
      <c r="D539" s="1" t="s">
        <v>4872</v>
      </c>
      <c r="E539" s="1" t="s">
        <v>4873</v>
      </c>
      <c r="F539" s="1" t="s">
        <v>5025</v>
      </c>
      <c r="G539" s="1" t="s">
        <v>14281</v>
      </c>
      <c r="H539" s="1" t="s">
        <v>14282</v>
      </c>
      <c r="I539" s="1" t="s">
        <v>14659</v>
      </c>
      <c r="J539" s="1" t="s">
        <v>23</v>
      </c>
      <c r="K539" s="1"/>
      <c r="L539" s="1" t="s">
        <v>4752</v>
      </c>
      <c r="M539" s="1" t="s">
        <v>5026</v>
      </c>
      <c r="N539" s="1" t="s">
        <v>5027</v>
      </c>
      <c r="O539" s="1" t="s">
        <v>5028</v>
      </c>
      <c r="P539" s="1" t="s">
        <v>5029</v>
      </c>
      <c r="Q539" s="1" t="s">
        <v>5030</v>
      </c>
      <c r="R539" s="1" t="s">
        <v>5031</v>
      </c>
      <c r="S539" s="1" t="s">
        <v>5032</v>
      </c>
      <c r="T539" s="1" t="s">
        <v>4760</v>
      </c>
      <c r="U539">
        <v>663.49</v>
      </c>
      <c r="V539">
        <v>582.83000000000004</v>
      </c>
      <c r="W539">
        <v>14.342359999999999</v>
      </c>
      <c r="X539">
        <v>107.982474</v>
      </c>
      <c r="Y539">
        <v>80.650000000000006</v>
      </c>
      <c r="Z539">
        <v>14.313442999999999</v>
      </c>
      <c r="AA539">
        <v>107.925479</v>
      </c>
      <c r="AB539" s="5">
        <f t="shared" si="49"/>
        <v>0.87424500000000016</v>
      </c>
      <c r="AC539" s="5">
        <f t="shared" si="50"/>
        <v>0.12097500000000001</v>
      </c>
      <c r="AD539" s="1" t="str">
        <f t="shared" si="51"/>
        <v>Ia chim</v>
      </c>
      <c r="AE539" s="1" t="str">
        <f t="shared" si="52"/>
        <v>Đăk Rơ Wa</v>
      </c>
      <c r="AG539">
        <f t="shared" si="53"/>
        <v>0.58283000000000007</v>
      </c>
      <c r="AH539">
        <f t="shared" si="54"/>
        <v>8.0649999999999999E-2</v>
      </c>
      <c r="AI539">
        <f>VLOOKUP(L539,'[1]Tuyến cáp H04'!$B:$E,3,0)/1000</f>
        <v>17.221</v>
      </c>
      <c r="AJ539" t="str">
        <f>VLOOKUP(L539,'[1]Tuyến cáp H04'!$B:$E,4,0)</f>
        <v>Mạng cấp 4</v>
      </c>
    </row>
    <row r="540" spans="1:36" x14ac:dyDescent="0.25">
      <c r="A540" s="1" t="s">
        <v>5033</v>
      </c>
      <c r="B540" s="1" t="s">
        <v>4872</v>
      </c>
      <c r="C540" s="1" t="s">
        <v>4873</v>
      </c>
      <c r="D540" s="1" t="s">
        <v>4707</v>
      </c>
      <c r="E540" s="1" t="s">
        <v>4708</v>
      </c>
      <c r="F540" s="1" t="s">
        <v>5034</v>
      </c>
      <c r="G540" s="1" t="s">
        <v>14281</v>
      </c>
      <c r="H540" s="1" t="s">
        <v>14282</v>
      </c>
      <c r="I540" s="1" t="s">
        <v>14660</v>
      </c>
      <c r="J540" s="1" t="s">
        <v>23</v>
      </c>
      <c r="K540" s="1"/>
      <c r="L540" s="1" t="s">
        <v>4875</v>
      </c>
      <c r="M540" s="1" t="s">
        <v>5035</v>
      </c>
      <c r="N540" s="1" t="s">
        <v>4880</v>
      </c>
      <c r="O540" s="1" t="s">
        <v>4881</v>
      </c>
      <c r="P540" s="1" t="s">
        <v>4882</v>
      </c>
      <c r="Q540" s="1" t="s">
        <v>5036</v>
      </c>
      <c r="R540" s="1" t="s">
        <v>5037</v>
      </c>
      <c r="S540" s="1" t="s">
        <v>5038</v>
      </c>
      <c r="T540" s="1" t="s">
        <v>4883</v>
      </c>
      <c r="U540">
        <v>2670.38</v>
      </c>
      <c r="V540">
        <v>622.86</v>
      </c>
      <c r="W540">
        <v>14.30968</v>
      </c>
      <c r="X540">
        <v>107.92868</v>
      </c>
      <c r="Y540">
        <v>2047.52</v>
      </c>
      <c r="Z540">
        <v>14.296118</v>
      </c>
      <c r="AA540">
        <v>107.975981</v>
      </c>
      <c r="AB540" s="5">
        <f t="shared" si="49"/>
        <v>0.93428999999999995</v>
      </c>
      <c r="AC540" s="5">
        <f t="shared" si="50"/>
        <v>3.0712799999999998</v>
      </c>
      <c r="AD540" s="1" t="str">
        <f t="shared" si="51"/>
        <v>Đăk Bla</v>
      </c>
      <c r="AE540" s="1" t="str">
        <f t="shared" si="52"/>
        <v>Ia Chim</v>
      </c>
      <c r="AG540">
        <f t="shared" si="53"/>
        <v>0.62285999999999997</v>
      </c>
      <c r="AH540">
        <f t="shared" si="54"/>
        <v>2.04752</v>
      </c>
      <c r="AI540">
        <f>VLOOKUP(L540,'[1]Tuyến cáp H04'!$B:$E,3,0)/1000</f>
        <v>20.282</v>
      </c>
      <c r="AJ540" t="str">
        <f>VLOOKUP(L540,'[1]Tuyến cáp H04'!$B:$E,4,0)</f>
        <v>Mạng cấp 4</v>
      </c>
    </row>
    <row r="541" spans="1:36" x14ac:dyDescent="0.25">
      <c r="A541" s="1" t="s">
        <v>5039</v>
      </c>
      <c r="B541" s="1" t="s">
        <v>5040</v>
      </c>
      <c r="C541" s="1" t="s">
        <v>5041</v>
      </c>
      <c r="D541" s="1" t="s">
        <v>4554</v>
      </c>
      <c r="E541" s="1" t="s">
        <v>4555</v>
      </c>
      <c r="F541" s="1" t="s">
        <v>5042</v>
      </c>
      <c r="G541" s="1" t="s">
        <v>14281</v>
      </c>
      <c r="H541" s="1" t="s">
        <v>14282</v>
      </c>
      <c r="I541" s="1" t="s">
        <v>14661</v>
      </c>
      <c r="J541" s="1" t="s">
        <v>23</v>
      </c>
      <c r="K541" s="1"/>
      <c r="L541" s="1" t="s">
        <v>5043</v>
      </c>
      <c r="M541" s="1" t="s">
        <v>5044</v>
      </c>
      <c r="N541" s="1" t="s">
        <v>5045</v>
      </c>
      <c r="O541" s="1" t="s">
        <v>5046</v>
      </c>
      <c r="P541" s="1" t="s">
        <v>5047</v>
      </c>
      <c r="Q541" s="1" t="s">
        <v>5048</v>
      </c>
      <c r="R541" s="1" t="s">
        <v>5049</v>
      </c>
      <c r="S541" s="1" t="s">
        <v>5050</v>
      </c>
      <c r="T541" s="1" t="s">
        <v>5051</v>
      </c>
      <c r="U541">
        <v>2136.34</v>
      </c>
      <c r="V541">
        <v>2061.1799999999998</v>
      </c>
      <c r="W541">
        <v>14.356558</v>
      </c>
      <c r="X541">
        <v>108.023526</v>
      </c>
      <c r="Y541">
        <v>75.150000000000006</v>
      </c>
      <c r="Z541">
        <v>14.352325</v>
      </c>
      <c r="AA541">
        <v>108.007865</v>
      </c>
      <c r="AB541" s="5">
        <f t="shared" si="49"/>
        <v>3.0917699999999995</v>
      </c>
      <c r="AC541" s="5">
        <f t="shared" si="50"/>
        <v>0.11272500000000001</v>
      </c>
      <c r="AD541" s="1" t="str">
        <f t="shared" si="51"/>
        <v>TT2 Kon Tum</v>
      </c>
      <c r="AE541" s="1" t="str">
        <f t="shared" si="52"/>
        <v>Kon Rẫy</v>
      </c>
      <c r="AG541">
        <f t="shared" si="53"/>
        <v>2.0611799999999998</v>
      </c>
      <c r="AH541">
        <f t="shared" si="54"/>
        <v>7.5150000000000008E-2</v>
      </c>
      <c r="AI541">
        <f>VLOOKUP(L541,'[1]Tuyến cáp H04'!$B:$E,3,0)/1000</f>
        <v>29.132300000000001</v>
      </c>
      <c r="AJ541" t="str">
        <f>VLOOKUP(L541,'[1]Tuyến cáp H04'!$B:$E,4,0)</f>
        <v>Mạng cấp 3</v>
      </c>
    </row>
    <row r="542" spans="1:36" x14ac:dyDescent="0.25">
      <c r="A542" s="1" t="s">
        <v>5052</v>
      </c>
      <c r="B542" s="1" t="s">
        <v>5053</v>
      </c>
      <c r="C542" s="1" t="s">
        <v>5054</v>
      </c>
      <c r="D542" s="1" t="s">
        <v>4554</v>
      </c>
      <c r="E542" s="1" t="s">
        <v>4555</v>
      </c>
      <c r="F542" s="1" t="s">
        <v>5055</v>
      </c>
      <c r="G542" s="1" t="s">
        <v>14281</v>
      </c>
      <c r="H542" s="1" t="s">
        <v>14282</v>
      </c>
      <c r="I542" s="1" t="s">
        <v>14662</v>
      </c>
      <c r="J542" s="1" t="s">
        <v>23</v>
      </c>
      <c r="K542" s="1"/>
      <c r="L542" s="1" t="s">
        <v>4710</v>
      </c>
      <c r="M542" s="1" t="s">
        <v>5056</v>
      </c>
      <c r="N542" s="1" t="s">
        <v>5057</v>
      </c>
      <c r="O542" s="1" t="s">
        <v>5058</v>
      </c>
      <c r="P542" s="1" t="s">
        <v>5059</v>
      </c>
      <c r="Q542" s="1" t="s">
        <v>5060</v>
      </c>
      <c r="R542" s="1" t="s">
        <v>5014</v>
      </c>
      <c r="S542" s="1" t="s">
        <v>5015</v>
      </c>
      <c r="T542" s="1" t="s">
        <v>4718</v>
      </c>
      <c r="U542">
        <v>1576.93</v>
      </c>
      <c r="V542">
        <v>211.43</v>
      </c>
      <c r="W542">
        <v>14.329800000000001</v>
      </c>
      <c r="X542">
        <v>107.992604</v>
      </c>
      <c r="Y542">
        <v>1365.5</v>
      </c>
      <c r="Z542">
        <v>14.343185999999999</v>
      </c>
      <c r="AA542">
        <v>108.000281</v>
      </c>
      <c r="AB542" s="5">
        <f t="shared" si="49"/>
        <v>0.31714499999999995</v>
      </c>
      <c r="AC542" s="5">
        <f t="shared" si="50"/>
        <v>2.0482499999999999</v>
      </c>
      <c r="AD542" s="1" t="str">
        <f t="shared" si="51"/>
        <v>CAT Kon TUm</v>
      </c>
      <c r="AE542" s="1" t="str">
        <f t="shared" si="52"/>
        <v>Đăk Bla</v>
      </c>
      <c r="AG542">
        <f t="shared" si="53"/>
        <v>0.21143000000000001</v>
      </c>
      <c r="AH542">
        <f t="shared" si="54"/>
        <v>1.3654999999999999</v>
      </c>
      <c r="AI542">
        <f>VLOOKUP(L542,'[1]Tuyến cáp H04'!$B:$E,3,0)/1000</f>
        <v>9.5890000000000004</v>
      </c>
      <c r="AJ542" t="str">
        <f>VLOOKUP(L542,'[1]Tuyến cáp H04'!$B:$E,4,0)</f>
        <v>Mạng cấp 4</v>
      </c>
    </row>
    <row r="543" spans="1:36" x14ac:dyDescent="0.25">
      <c r="A543" s="1" t="s">
        <v>5061</v>
      </c>
      <c r="B543" s="1" t="s">
        <v>5062</v>
      </c>
      <c r="C543" s="1" t="s">
        <v>5063</v>
      </c>
      <c r="D543" s="1" t="s">
        <v>4571</v>
      </c>
      <c r="E543" s="1" t="s">
        <v>4572</v>
      </c>
      <c r="F543" s="1" t="s">
        <v>5064</v>
      </c>
      <c r="G543" s="1" t="s">
        <v>14281</v>
      </c>
      <c r="H543" s="1" t="s">
        <v>14282</v>
      </c>
      <c r="I543" s="1" t="s">
        <v>14663</v>
      </c>
      <c r="J543" s="1" t="s">
        <v>23</v>
      </c>
      <c r="K543" s="1"/>
      <c r="L543" s="1" t="s">
        <v>4600</v>
      </c>
      <c r="M543" s="1" t="s">
        <v>5065</v>
      </c>
      <c r="N543" s="1" t="s">
        <v>5066</v>
      </c>
      <c r="O543" s="1" t="s">
        <v>5067</v>
      </c>
      <c r="P543" s="1" t="s">
        <v>5068</v>
      </c>
      <c r="Q543" s="1" t="s">
        <v>5069</v>
      </c>
      <c r="R543" s="1" t="s">
        <v>5070</v>
      </c>
      <c r="S543" s="1" t="s">
        <v>5071</v>
      </c>
      <c r="T543" s="1" t="s">
        <v>5072</v>
      </c>
      <c r="U543">
        <v>256.69</v>
      </c>
      <c r="V543">
        <v>177.82</v>
      </c>
      <c r="W543">
        <v>14.561059</v>
      </c>
      <c r="X543">
        <v>107.920536</v>
      </c>
      <c r="Y543">
        <v>78.87</v>
      </c>
      <c r="Z543">
        <v>14.545738999999999</v>
      </c>
      <c r="AA543">
        <v>107.920722</v>
      </c>
      <c r="AB543" s="5">
        <f t="shared" si="49"/>
        <v>0.26673000000000002</v>
      </c>
      <c r="AC543" s="5">
        <f t="shared" si="50"/>
        <v>0.11830500000000001</v>
      </c>
      <c r="AD543" s="1" t="str">
        <f t="shared" si="51"/>
        <v>Đăk Pxi</v>
      </c>
      <c r="AE543" s="1" t="str">
        <f t="shared" si="52"/>
        <v>CAT Kon Tum</v>
      </c>
      <c r="AG543">
        <f t="shared" si="53"/>
        <v>0.17782000000000001</v>
      </c>
      <c r="AH543">
        <f t="shared" si="54"/>
        <v>7.887000000000001E-2</v>
      </c>
      <c r="AI543">
        <f>VLOOKUP(L543,'[1]Tuyến cáp H04'!$B:$E,3,0)/1000</f>
        <v>37.417999999999999</v>
      </c>
      <c r="AJ543" t="str">
        <f>VLOOKUP(L543,'[1]Tuyến cáp H04'!$B:$E,4,0)</f>
        <v>Mạng cấp 4</v>
      </c>
    </row>
    <row r="544" spans="1:36" x14ac:dyDescent="0.25">
      <c r="A544" s="1" t="s">
        <v>5073</v>
      </c>
      <c r="B544" s="1" t="s">
        <v>5074</v>
      </c>
      <c r="C544" s="1" t="s">
        <v>5075</v>
      </c>
      <c r="D544" s="1" t="s">
        <v>4571</v>
      </c>
      <c r="E544" s="1" t="s">
        <v>4572</v>
      </c>
      <c r="F544" s="1" t="s">
        <v>5076</v>
      </c>
      <c r="G544" s="1" t="s">
        <v>14281</v>
      </c>
      <c r="H544" s="1" t="s">
        <v>14282</v>
      </c>
      <c r="I544" s="1" t="s">
        <v>14664</v>
      </c>
      <c r="J544" s="1" t="s">
        <v>23</v>
      </c>
      <c r="K544" s="1"/>
      <c r="L544" s="1" t="s">
        <v>4574</v>
      </c>
      <c r="M544" s="1" t="s">
        <v>5077</v>
      </c>
      <c r="N544" s="1" t="s">
        <v>5078</v>
      </c>
      <c r="O544" s="1" t="s">
        <v>5079</v>
      </c>
      <c r="P544" s="1" t="s">
        <v>5080</v>
      </c>
      <c r="Q544" s="1" t="s">
        <v>5081</v>
      </c>
      <c r="R544" s="1" t="s">
        <v>5082</v>
      </c>
      <c r="S544" s="1" t="s">
        <v>5083</v>
      </c>
      <c r="T544" s="1" t="s">
        <v>5084</v>
      </c>
      <c r="U544">
        <v>3270.38</v>
      </c>
      <c r="V544">
        <v>3268.72</v>
      </c>
      <c r="W544">
        <v>14.545508</v>
      </c>
      <c r="X544">
        <v>107.920002</v>
      </c>
      <c r="Y544">
        <v>1.66</v>
      </c>
      <c r="Z544">
        <v>14.545607</v>
      </c>
      <c r="AA544">
        <v>107.920008</v>
      </c>
      <c r="AB544" s="5">
        <f t="shared" si="49"/>
        <v>4.9030800000000001</v>
      </c>
      <c r="AC544" s="5">
        <f t="shared" si="50"/>
        <v>2.4899999999999996E-3</v>
      </c>
      <c r="AD544" s="1" t="str">
        <f t="shared" si="51"/>
        <v>Đăk Ui</v>
      </c>
      <c r="AE544" s="1" t="str">
        <f t="shared" si="52"/>
        <v>Đăk Mar</v>
      </c>
      <c r="AG544">
        <f t="shared" si="53"/>
        <v>3.2687199999999996</v>
      </c>
      <c r="AH544">
        <f t="shared" si="54"/>
        <v>1.66E-3</v>
      </c>
      <c r="AI544">
        <f>VLOOKUP(L544,'[1]Tuyến cáp H04'!$B:$E,3,0)/1000</f>
        <v>4.383</v>
      </c>
      <c r="AJ544" t="str">
        <f>VLOOKUP(L544,'[1]Tuyến cáp H04'!$B:$E,4,0)</f>
        <v>Mạng cấp 4</v>
      </c>
    </row>
    <row r="545" spans="1:36" x14ac:dyDescent="0.25">
      <c r="A545" s="1" t="s">
        <v>5085</v>
      </c>
      <c r="B545" s="1" t="s">
        <v>5086</v>
      </c>
      <c r="C545" s="1" t="s">
        <v>5087</v>
      </c>
      <c r="D545" s="1" t="s">
        <v>4569</v>
      </c>
      <c r="E545" s="1" t="s">
        <v>4570</v>
      </c>
      <c r="F545" s="1" t="s">
        <v>5088</v>
      </c>
      <c r="G545" s="1" t="s">
        <v>14281</v>
      </c>
      <c r="H545" s="1" t="s">
        <v>14282</v>
      </c>
      <c r="I545" s="1" t="s">
        <v>14665</v>
      </c>
      <c r="J545" s="1" t="s">
        <v>23</v>
      </c>
      <c r="K545" s="1"/>
      <c r="L545" s="1" t="s">
        <v>4574</v>
      </c>
      <c r="M545" s="1" t="s">
        <v>5089</v>
      </c>
      <c r="N545" s="1" t="s">
        <v>5090</v>
      </c>
      <c r="O545" s="1" t="s">
        <v>5091</v>
      </c>
      <c r="P545" s="1" t="s">
        <v>5092</v>
      </c>
      <c r="Q545" s="1" t="s">
        <v>4576</v>
      </c>
      <c r="R545" s="1" t="s">
        <v>4577</v>
      </c>
      <c r="S545" s="1" t="s">
        <v>4578</v>
      </c>
      <c r="T545" s="1" t="s">
        <v>4582</v>
      </c>
      <c r="U545">
        <v>4607.21</v>
      </c>
      <c r="V545">
        <v>4557.05</v>
      </c>
      <c r="W545">
        <v>14.533442000000001</v>
      </c>
      <c r="X545">
        <v>107.940314</v>
      </c>
      <c r="Y545">
        <v>50.16</v>
      </c>
      <c r="Z545">
        <v>14.53088</v>
      </c>
      <c r="AA545">
        <v>107.94065399999999</v>
      </c>
      <c r="AB545" s="5">
        <f t="shared" si="49"/>
        <v>6.8355750000000004</v>
      </c>
      <c r="AC545" s="5">
        <f t="shared" si="50"/>
        <v>7.5240000000000001E-2</v>
      </c>
      <c r="AD545" s="1" t="str">
        <f t="shared" si="51"/>
        <v>Đăk Ui</v>
      </c>
      <c r="AE545" s="1" t="str">
        <f t="shared" si="52"/>
        <v>Đăk Mar</v>
      </c>
      <c r="AG545">
        <f t="shared" si="53"/>
        <v>4.5570500000000003</v>
      </c>
      <c r="AH545">
        <f t="shared" si="54"/>
        <v>5.0159999999999996E-2</v>
      </c>
      <c r="AI545">
        <f>VLOOKUP(L545,'[1]Tuyến cáp H04'!$B:$E,3,0)/1000</f>
        <v>4.383</v>
      </c>
      <c r="AJ545" t="str">
        <f>VLOOKUP(L545,'[1]Tuyến cáp H04'!$B:$E,4,0)</f>
        <v>Mạng cấp 4</v>
      </c>
    </row>
    <row r="546" spans="1:36" x14ac:dyDescent="0.25">
      <c r="A546" s="1" t="s">
        <v>5093</v>
      </c>
      <c r="B546" s="1" t="s">
        <v>5094</v>
      </c>
      <c r="C546" s="1" t="s">
        <v>5095</v>
      </c>
      <c r="D546" s="1" t="s">
        <v>4872</v>
      </c>
      <c r="E546" s="1" t="s">
        <v>4873</v>
      </c>
      <c r="F546" s="1" t="s">
        <v>5096</v>
      </c>
      <c r="G546" s="1" t="s">
        <v>14281</v>
      </c>
      <c r="H546" s="1" t="s">
        <v>14282</v>
      </c>
      <c r="I546" s="1" t="s">
        <v>14666</v>
      </c>
      <c r="J546" s="1" t="s">
        <v>23</v>
      </c>
      <c r="K546" s="1"/>
      <c r="L546" s="1" t="s">
        <v>4875</v>
      </c>
      <c r="M546" s="1" t="s">
        <v>5097</v>
      </c>
      <c r="N546" s="1" t="s">
        <v>5098</v>
      </c>
      <c r="O546" s="1" t="s">
        <v>5099</v>
      </c>
      <c r="P546" s="1" t="s">
        <v>5100</v>
      </c>
      <c r="Q546" s="1" t="s">
        <v>5101</v>
      </c>
      <c r="R546" s="1" t="s">
        <v>5102</v>
      </c>
      <c r="S546" s="1" t="s">
        <v>5103</v>
      </c>
      <c r="T546" s="1" t="s">
        <v>5104</v>
      </c>
      <c r="U546">
        <v>1000.26</v>
      </c>
      <c r="V546">
        <v>918.95</v>
      </c>
      <c r="W546">
        <v>14.3094</v>
      </c>
      <c r="X546">
        <v>107.91629399999999</v>
      </c>
      <c r="Y546">
        <v>81.31</v>
      </c>
      <c r="Z546">
        <v>14.313440999999999</v>
      </c>
      <c r="AA546">
        <v>107.925487</v>
      </c>
      <c r="AB546" s="5">
        <f t="shared" si="49"/>
        <v>1.3784250000000002</v>
      </c>
      <c r="AC546" s="5">
        <f t="shared" si="50"/>
        <v>0.121965</v>
      </c>
      <c r="AD546" s="1" t="str">
        <f t="shared" si="51"/>
        <v>Đăk Bla</v>
      </c>
      <c r="AE546" s="1" t="str">
        <f t="shared" si="52"/>
        <v>Ia Chim</v>
      </c>
      <c r="AG546">
        <f t="shared" si="53"/>
        <v>0.91895000000000004</v>
      </c>
      <c r="AH546">
        <f t="shared" si="54"/>
        <v>8.1310000000000007E-2</v>
      </c>
      <c r="AI546">
        <f>VLOOKUP(L546,'[1]Tuyến cáp H04'!$B:$E,3,0)/1000</f>
        <v>20.282</v>
      </c>
      <c r="AJ546" t="str">
        <f>VLOOKUP(L546,'[1]Tuyến cáp H04'!$B:$E,4,0)</f>
        <v>Mạng cấp 4</v>
      </c>
    </row>
    <row r="547" spans="1:36" x14ac:dyDescent="0.25">
      <c r="A547" s="1" t="s">
        <v>5105</v>
      </c>
      <c r="B547" s="1" t="s">
        <v>5106</v>
      </c>
      <c r="C547" s="1" t="s">
        <v>5107</v>
      </c>
      <c r="D547" s="1" t="s">
        <v>4554</v>
      </c>
      <c r="E547" s="1" t="s">
        <v>4555</v>
      </c>
      <c r="F547" s="1" t="s">
        <v>5108</v>
      </c>
      <c r="G547" s="1" t="s">
        <v>14281</v>
      </c>
      <c r="H547" s="1" t="s">
        <v>14282</v>
      </c>
      <c r="I547" s="1" t="s">
        <v>14667</v>
      </c>
      <c r="J547" s="1" t="s">
        <v>23</v>
      </c>
      <c r="K547" s="1"/>
      <c r="L547" s="1" t="s">
        <v>5043</v>
      </c>
      <c r="M547" s="1" t="s">
        <v>5109</v>
      </c>
      <c r="N547" s="1" t="s">
        <v>5110</v>
      </c>
      <c r="O547" s="1" t="s">
        <v>5111</v>
      </c>
      <c r="P547" s="1" t="s">
        <v>5112</v>
      </c>
      <c r="Q547" s="1" t="s">
        <v>5048</v>
      </c>
      <c r="R547" s="1" t="s">
        <v>5049</v>
      </c>
      <c r="S547" s="1" t="s">
        <v>5050</v>
      </c>
      <c r="T547" s="1" t="s">
        <v>5051</v>
      </c>
      <c r="U547">
        <v>392.2</v>
      </c>
      <c r="V547">
        <v>317.04000000000002</v>
      </c>
      <c r="W547">
        <v>14.364977</v>
      </c>
      <c r="X547">
        <v>108.026622</v>
      </c>
      <c r="Y547">
        <v>75.150000000000006</v>
      </c>
      <c r="Z547">
        <v>14.352325</v>
      </c>
      <c r="AA547">
        <v>108.007865</v>
      </c>
      <c r="AB547" s="5">
        <f t="shared" si="49"/>
        <v>0.47556000000000004</v>
      </c>
      <c r="AC547" s="5">
        <f t="shared" si="50"/>
        <v>0.11272500000000001</v>
      </c>
      <c r="AD547" s="1" t="str">
        <f t="shared" si="51"/>
        <v>TT2 Kon Tum</v>
      </c>
      <c r="AE547" s="1" t="str">
        <f t="shared" si="52"/>
        <v>Kon Rẫy</v>
      </c>
      <c r="AG547">
        <f t="shared" si="53"/>
        <v>0.31704000000000004</v>
      </c>
      <c r="AH547">
        <f t="shared" si="54"/>
        <v>7.5150000000000008E-2</v>
      </c>
      <c r="AI547">
        <f>VLOOKUP(L547,'[1]Tuyến cáp H04'!$B:$E,3,0)/1000</f>
        <v>29.132300000000001</v>
      </c>
      <c r="AJ547" t="str">
        <f>VLOOKUP(L547,'[1]Tuyến cáp H04'!$B:$E,4,0)</f>
        <v>Mạng cấp 3</v>
      </c>
    </row>
    <row r="548" spans="1:36" x14ac:dyDescent="0.25">
      <c r="A548" s="1" t="s">
        <v>5113</v>
      </c>
      <c r="B548" s="1" t="s">
        <v>5114</v>
      </c>
      <c r="C548" s="1" t="s">
        <v>5115</v>
      </c>
      <c r="D548" s="1" t="s">
        <v>4983</v>
      </c>
      <c r="E548" s="1" t="s">
        <v>4984</v>
      </c>
      <c r="F548" s="1" t="s">
        <v>5116</v>
      </c>
      <c r="G548" s="1" t="s">
        <v>14281</v>
      </c>
      <c r="H548" s="1" t="s">
        <v>14282</v>
      </c>
      <c r="I548" s="1" t="s">
        <v>14668</v>
      </c>
      <c r="J548" s="1" t="s">
        <v>23</v>
      </c>
      <c r="K548" s="1"/>
      <c r="L548" s="1" t="s">
        <v>4710</v>
      </c>
      <c r="M548" s="1" t="s">
        <v>5117</v>
      </c>
      <c r="N548" s="1" t="s">
        <v>5118</v>
      </c>
      <c r="O548" s="1" t="s">
        <v>5119</v>
      </c>
      <c r="P548" s="1" t="s">
        <v>5120</v>
      </c>
      <c r="Q548" s="1" t="s">
        <v>5121</v>
      </c>
      <c r="R548" s="1" t="s">
        <v>5122</v>
      </c>
      <c r="S548" s="1" t="s">
        <v>5123</v>
      </c>
      <c r="T548" s="1" t="s">
        <v>4860</v>
      </c>
      <c r="U548">
        <v>65.040000000000006</v>
      </c>
      <c r="V548">
        <v>27.95</v>
      </c>
      <c r="W548">
        <v>14.345952</v>
      </c>
      <c r="X548">
        <v>108.00247400000001</v>
      </c>
      <c r="Y548">
        <v>37.090000000000003</v>
      </c>
      <c r="Z548">
        <v>14.349981</v>
      </c>
      <c r="AA548">
        <v>108.007375</v>
      </c>
      <c r="AB548" s="5">
        <f t="shared" si="49"/>
        <v>4.1924999999999997E-2</v>
      </c>
      <c r="AC548" s="5">
        <f t="shared" si="50"/>
        <v>5.5635000000000004E-2</v>
      </c>
      <c r="AD548" s="1" t="str">
        <f t="shared" si="51"/>
        <v>CAT Kon TUm</v>
      </c>
      <c r="AE548" s="1" t="str">
        <f t="shared" si="52"/>
        <v>Đăk Bla</v>
      </c>
      <c r="AG548">
        <f t="shared" si="53"/>
        <v>2.7949999999999999E-2</v>
      </c>
      <c r="AH548">
        <f t="shared" si="54"/>
        <v>3.7090000000000005E-2</v>
      </c>
      <c r="AI548">
        <f>VLOOKUP(L548,'[1]Tuyến cáp H04'!$B:$E,3,0)/1000</f>
        <v>9.5890000000000004</v>
      </c>
      <c r="AJ548" t="str">
        <f>VLOOKUP(L548,'[1]Tuyến cáp H04'!$B:$E,4,0)</f>
        <v>Mạng cấp 4</v>
      </c>
    </row>
    <row r="549" spans="1:36" x14ac:dyDescent="0.25">
      <c r="A549" s="1" t="s">
        <v>5124</v>
      </c>
      <c r="B549" s="1" t="s">
        <v>5125</v>
      </c>
      <c r="C549" s="1" t="s">
        <v>5126</v>
      </c>
      <c r="D549" s="1" t="s">
        <v>4850</v>
      </c>
      <c r="E549" s="1" t="s">
        <v>4851</v>
      </c>
      <c r="F549" s="1" t="s">
        <v>5127</v>
      </c>
      <c r="G549" s="1" t="s">
        <v>14281</v>
      </c>
      <c r="H549" s="1" t="s">
        <v>14282</v>
      </c>
      <c r="I549" s="1" t="s">
        <v>14669</v>
      </c>
      <c r="J549" s="1" t="s">
        <v>23</v>
      </c>
      <c r="K549" s="1"/>
      <c r="L549" s="1" t="s">
        <v>4710</v>
      </c>
      <c r="M549" s="1" t="s">
        <v>5128</v>
      </c>
      <c r="N549" s="1" t="s">
        <v>5129</v>
      </c>
      <c r="O549" s="1" t="s">
        <v>5130</v>
      </c>
      <c r="P549" s="1" t="s">
        <v>5131</v>
      </c>
      <c r="Q549" s="1" t="s">
        <v>4857</v>
      </c>
      <c r="R549" s="1" t="s">
        <v>4858</v>
      </c>
      <c r="S549" s="1" t="s">
        <v>4859</v>
      </c>
      <c r="T549" s="1" t="s">
        <v>4860</v>
      </c>
      <c r="U549">
        <v>596.6</v>
      </c>
      <c r="V549">
        <v>342.2</v>
      </c>
      <c r="W549">
        <v>14.345356000000001</v>
      </c>
      <c r="X549">
        <v>108.009923</v>
      </c>
      <c r="Y549">
        <v>254.4</v>
      </c>
      <c r="Z549">
        <v>14.352304</v>
      </c>
      <c r="AA549">
        <v>108.007864</v>
      </c>
      <c r="AB549" s="5">
        <f t="shared" si="49"/>
        <v>0.51329999999999998</v>
      </c>
      <c r="AC549" s="5">
        <f t="shared" si="50"/>
        <v>0.38160000000000005</v>
      </c>
      <c r="AD549" s="1" t="str">
        <f t="shared" si="51"/>
        <v>CAT Kon TUm</v>
      </c>
      <c r="AE549" s="1" t="str">
        <f t="shared" si="52"/>
        <v>Đăk Bla</v>
      </c>
      <c r="AG549">
        <f t="shared" si="53"/>
        <v>0.3422</v>
      </c>
      <c r="AH549">
        <f t="shared" si="54"/>
        <v>0.25440000000000002</v>
      </c>
      <c r="AI549">
        <f>VLOOKUP(L549,'[1]Tuyến cáp H04'!$B:$E,3,0)/1000</f>
        <v>9.5890000000000004</v>
      </c>
      <c r="AJ549" t="str">
        <f>VLOOKUP(L549,'[1]Tuyến cáp H04'!$B:$E,4,0)</f>
        <v>Mạng cấp 4</v>
      </c>
    </row>
    <row r="550" spans="1:36" x14ac:dyDescent="0.25">
      <c r="A550" s="1" t="s">
        <v>5132</v>
      </c>
      <c r="B550" s="1" t="s">
        <v>5133</v>
      </c>
      <c r="C550" s="1" t="s">
        <v>5134</v>
      </c>
      <c r="D550" s="1" t="s">
        <v>4554</v>
      </c>
      <c r="E550" s="1" t="s">
        <v>4555</v>
      </c>
      <c r="F550" s="1" t="s">
        <v>5135</v>
      </c>
      <c r="G550" s="1" t="s">
        <v>14281</v>
      </c>
      <c r="H550" s="1" t="s">
        <v>14282</v>
      </c>
      <c r="I550" s="1" t="s">
        <v>14670</v>
      </c>
      <c r="J550" s="1" t="s">
        <v>23</v>
      </c>
      <c r="K550" s="1"/>
      <c r="L550" s="1" t="s">
        <v>5136</v>
      </c>
      <c r="M550" s="1" t="s">
        <v>5137</v>
      </c>
      <c r="N550" s="1" t="s">
        <v>5138</v>
      </c>
      <c r="O550" s="1" t="s">
        <v>5139</v>
      </c>
      <c r="P550" s="1" t="s">
        <v>5140</v>
      </c>
      <c r="Q550" s="1" t="s">
        <v>5141</v>
      </c>
      <c r="R550" s="1" t="s">
        <v>5142</v>
      </c>
      <c r="S550" s="1" t="s">
        <v>5143</v>
      </c>
      <c r="T550" s="1" t="s">
        <v>5144</v>
      </c>
      <c r="U550">
        <v>228.58</v>
      </c>
      <c r="V550">
        <v>152.5</v>
      </c>
      <c r="W550">
        <v>14.356747</v>
      </c>
      <c r="X550">
        <v>108.012901</v>
      </c>
      <c r="Y550">
        <v>76.08</v>
      </c>
      <c r="Z550">
        <v>14.352316</v>
      </c>
      <c r="AA550">
        <v>108.007886</v>
      </c>
      <c r="AB550" s="5">
        <f t="shared" si="49"/>
        <v>0.22875000000000001</v>
      </c>
      <c r="AC550" s="5">
        <f t="shared" si="50"/>
        <v>0.11412</v>
      </c>
      <c r="AD550" s="1" t="str">
        <f t="shared" si="51"/>
        <v>CAT Kon Tum</v>
      </c>
      <c r="AE550" s="1" t="str">
        <f t="shared" si="52"/>
        <v>Đăk Cấm</v>
      </c>
      <c r="AG550">
        <f t="shared" si="53"/>
        <v>0.1525</v>
      </c>
      <c r="AH550">
        <f t="shared" si="54"/>
        <v>7.6079999999999995E-2</v>
      </c>
      <c r="AI550">
        <f>VLOOKUP(L550,'[1]Tuyến cáp H04'!$B:$E,3,0)/1000</f>
        <v>3.4119999999999999</v>
      </c>
      <c r="AJ550" t="str">
        <f>VLOOKUP(L550,'[1]Tuyến cáp H04'!$B:$E,4,0)</f>
        <v>Mạng cấp 4</v>
      </c>
    </row>
    <row r="551" spans="1:36" x14ac:dyDescent="0.25">
      <c r="A551" s="1" t="s">
        <v>5145</v>
      </c>
      <c r="B551" s="1" t="s">
        <v>5146</v>
      </c>
      <c r="C551" s="1" t="s">
        <v>5147</v>
      </c>
      <c r="D551" s="1" t="s">
        <v>4500</v>
      </c>
      <c r="E551" s="1" t="s">
        <v>4501</v>
      </c>
      <c r="F551" s="1" t="s">
        <v>5148</v>
      </c>
      <c r="G551" s="1" t="s">
        <v>14281</v>
      </c>
      <c r="H551" s="1" t="s">
        <v>14282</v>
      </c>
      <c r="I551" s="1" t="s">
        <v>14671</v>
      </c>
      <c r="J551" s="1" t="s">
        <v>23</v>
      </c>
      <c r="K551" s="1"/>
      <c r="L551" s="1" t="s">
        <v>4665</v>
      </c>
      <c r="M551" s="1" t="s">
        <v>5149</v>
      </c>
      <c r="N551" s="1" t="s">
        <v>5150</v>
      </c>
      <c r="O551" s="1" t="s">
        <v>5151</v>
      </c>
      <c r="P551" s="1" t="s">
        <v>5152</v>
      </c>
      <c r="Q551" s="1" t="s">
        <v>4670</v>
      </c>
      <c r="R551" s="1" t="s">
        <v>4671</v>
      </c>
      <c r="S551" s="1" t="s">
        <v>4672</v>
      </c>
      <c r="T551" s="1" t="s">
        <v>4673</v>
      </c>
      <c r="U551">
        <v>126.73</v>
      </c>
      <c r="V551">
        <v>111.23</v>
      </c>
      <c r="W551">
        <v>14.714510000000001</v>
      </c>
      <c r="X551">
        <v>107.68991800000001</v>
      </c>
      <c r="Y551">
        <v>15.5</v>
      </c>
      <c r="Z551">
        <v>14.724413999999999</v>
      </c>
      <c r="AA551">
        <v>107.68788000000001</v>
      </c>
      <c r="AB551" s="5">
        <f t="shared" si="49"/>
        <v>0.16684499999999999</v>
      </c>
      <c r="AC551" s="5">
        <f t="shared" si="50"/>
        <v>2.325E-2</v>
      </c>
      <c r="AD551" s="1" t="str">
        <f t="shared" si="51"/>
        <v>Pô Kô</v>
      </c>
      <c r="AE551" s="1" t="str">
        <f t="shared" si="52"/>
        <v>TTCMKV Ngọc Hồi</v>
      </c>
      <c r="AG551">
        <f t="shared" si="53"/>
        <v>0.11123000000000001</v>
      </c>
      <c r="AH551">
        <f t="shared" si="54"/>
        <v>1.55E-2</v>
      </c>
      <c r="AI551">
        <f>VLOOKUP(L551,'[1]Tuyến cáp H04'!$B:$E,3,0)/1000</f>
        <v>30.841999999999999</v>
      </c>
      <c r="AJ551" t="str">
        <f>VLOOKUP(L551,'[1]Tuyến cáp H04'!$B:$E,4,0)</f>
        <v>Mạng cấp 4</v>
      </c>
    </row>
    <row r="552" spans="1:36" x14ac:dyDescent="0.25">
      <c r="A552" s="1" t="s">
        <v>5153</v>
      </c>
      <c r="B552" s="1" t="s">
        <v>5154</v>
      </c>
      <c r="C552" s="1" t="s">
        <v>5155</v>
      </c>
      <c r="D552" s="1" t="s">
        <v>4835</v>
      </c>
      <c r="E552" s="1" t="s">
        <v>4836</v>
      </c>
      <c r="F552" s="1" t="s">
        <v>5156</v>
      </c>
      <c r="G552" s="1" t="s">
        <v>14281</v>
      </c>
      <c r="H552" s="1" t="s">
        <v>14282</v>
      </c>
      <c r="I552" s="1" t="s">
        <v>14672</v>
      </c>
      <c r="J552" s="1" t="s">
        <v>23</v>
      </c>
      <c r="K552" s="1"/>
      <c r="L552" s="1" t="s">
        <v>5157</v>
      </c>
      <c r="M552" s="1" t="s">
        <v>5158</v>
      </c>
      <c r="N552" s="1" t="s">
        <v>5159</v>
      </c>
      <c r="O552" s="1" t="s">
        <v>5160</v>
      </c>
      <c r="P552" s="1" t="s">
        <v>5161</v>
      </c>
      <c r="Q552" s="1" t="s">
        <v>5162</v>
      </c>
      <c r="R552" s="1" t="s">
        <v>5160</v>
      </c>
      <c r="S552" s="1" t="s">
        <v>5161</v>
      </c>
      <c r="T552" s="1" t="s">
        <v>5163</v>
      </c>
      <c r="U552">
        <v>445.22</v>
      </c>
      <c r="V552">
        <v>445.06</v>
      </c>
      <c r="W552">
        <v>14.380141</v>
      </c>
      <c r="X552">
        <v>107.986801</v>
      </c>
      <c r="Y552">
        <v>0.16</v>
      </c>
      <c r="Z552">
        <v>14.380141</v>
      </c>
      <c r="AA552">
        <v>107.986801</v>
      </c>
      <c r="AB552" s="5">
        <f t="shared" si="49"/>
        <v>0.66759000000000002</v>
      </c>
      <c r="AC552" s="5">
        <f t="shared" si="50"/>
        <v>2.3999999999999998E-4</v>
      </c>
      <c r="AD552" s="1" t="str">
        <f t="shared" si="51"/>
        <v>Khối CS (PC01, PC02, PC03, PC04)</v>
      </c>
      <c r="AE552" s="1" t="str">
        <f t="shared" si="52"/>
        <v>PC08</v>
      </c>
      <c r="AG552">
        <f t="shared" si="53"/>
        <v>0.44506000000000001</v>
      </c>
      <c r="AH552">
        <f t="shared" si="54"/>
        <v>1.6000000000000001E-4</v>
      </c>
      <c r="AI552">
        <f>VLOOKUP(L552,'[1]Tuyến cáp H04'!$B:$E,3,0)/1000</f>
        <v>8.3019999999999996</v>
      </c>
      <c r="AJ552" t="str">
        <f>VLOOKUP(L552,'[1]Tuyến cáp H04'!$B:$E,4,0)</f>
        <v>Mạng cấp 3</v>
      </c>
    </row>
    <row r="553" spans="1:36" x14ac:dyDescent="0.25">
      <c r="A553" s="1" t="s">
        <v>5164</v>
      </c>
      <c r="B553" s="1" t="e">
        <v>#N/A</v>
      </c>
      <c r="C553" s="1" t="e">
        <v>#N/A</v>
      </c>
      <c r="D553" s="1" t="s">
        <v>4850</v>
      </c>
      <c r="E553" s="1" t="s">
        <v>4851</v>
      </c>
      <c r="F553" s="1" t="s">
        <v>5165</v>
      </c>
      <c r="G553" s="1" t="s">
        <v>14281</v>
      </c>
      <c r="H553" s="1" t="s">
        <v>14282</v>
      </c>
      <c r="I553" s="1" t="s">
        <v>14673</v>
      </c>
      <c r="J553" s="1" t="s">
        <v>5166</v>
      </c>
      <c r="K553" s="1" t="s">
        <v>5167</v>
      </c>
      <c r="L553" s="1"/>
      <c r="M553" s="1"/>
      <c r="N553" s="1"/>
      <c r="O553" s="1"/>
      <c r="P553" s="1"/>
      <c r="Q553" s="1"/>
      <c r="R553" s="1"/>
      <c r="S553" s="1"/>
      <c r="T553" s="1"/>
      <c r="AB553" s="5"/>
      <c r="AC553" s="5"/>
      <c r="AD553" s="1"/>
      <c r="AE553" s="1"/>
      <c r="AI553" t="e">
        <f>VLOOKUP(L553,'[1]Tuyến cáp H04'!$B:$E,3,0)/1000</f>
        <v>#N/A</v>
      </c>
      <c r="AJ553" t="e">
        <f>VLOOKUP(L553,'[1]Tuyến cáp H04'!$B:$E,4,0)</f>
        <v>#N/A</v>
      </c>
    </row>
    <row r="554" spans="1:36" x14ac:dyDescent="0.25">
      <c r="A554" s="1" t="s">
        <v>5168</v>
      </c>
      <c r="B554" s="1" t="s">
        <v>5169</v>
      </c>
      <c r="C554" s="1" t="s">
        <v>5170</v>
      </c>
      <c r="D554" s="1" t="s">
        <v>4610</v>
      </c>
      <c r="E554" s="1" t="s">
        <v>4611</v>
      </c>
      <c r="F554" s="1" t="s">
        <v>5171</v>
      </c>
      <c r="G554" s="1" t="s">
        <v>14281</v>
      </c>
      <c r="H554" s="1" t="s">
        <v>14282</v>
      </c>
      <c r="I554" s="1" t="s">
        <v>14674</v>
      </c>
      <c r="J554" s="1" t="s">
        <v>23</v>
      </c>
      <c r="K554" s="1"/>
      <c r="L554" s="1" t="s">
        <v>4613</v>
      </c>
      <c r="M554" s="1" t="s">
        <v>5172</v>
      </c>
      <c r="N554" s="1" t="s">
        <v>5173</v>
      </c>
      <c r="O554" s="1" t="s">
        <v>4616</v>
      </c>
      <c r="P554" s="1" t="s">
        <v>4617</v>
      </c>
      <c r="Q554" s="1" t="s">
        <v>4618</v>
      </c>
      <c r="R554" s="1" t="s">
        <v>4619</v>
      </c>
      <c r="S554" s="1" t="s">
        <v>4620</v>
      </c>
      <c r="T554" s="1" t="s">
        <v>4621</v>
      </c>
      <c r="U554">
        <v>99407.86</v>
      </c>
      <c r="V554">
        <v>95430.33</v>
      </c>
      <c r="W554">
        <v>15.340258</v>
      </c>
      <c r="X554">
        <v>108.213703</v>
      </c>
      <c r="Y554">
        <v>3977.54</v>
      </c>
      <c r="Z554">
        <v>15.550722</v>
      </c>
      <c r="AA554">
        <v>108.413776</v>
      </c>
      <c r="AB554" s="5">
        <f t="shared" si="49"/>
        <v>143.14549499999998</v>
      </c>
      <c r="AC554" s="5">
        <f t="shared" si="50"/>
        <v>5.9663099999999991</v>
      </c>
      <c r="AD554" s="1" t="str">
        <f t="shared" si="51"/>
        <v>Bắc Trà My</v>
      </c>
      <c r="AE554" s="1" t="str">
        <f t="shared" si="52"/>
        <v>Phú Ninh</v>
      </c>
      <c r="AG554">
        <f t="shared" si="53"/>
        <v>95.430329999999998</v>
      </c>
      <c r="AH554">
        <f t="shared" si="54"/>
        <v>3.9775399999999999</v>
      </c>
      <c r="AI554">
        <f>VLOOKUP(L554,'[1]Tuyến cáp H04'!$B:$E,3,0)/1000</f>
        <v>44.34</v>
      </c>
      <c r="AJ554" t="str">
        <f>VLOOKUP(L554,'[1]Tuyến cáp H04'!$B:$E,4,0)</f>
        <v>Mạng cấp 3</v>
      </c>
    </row>
    <row r="555" spans="1:36" x14ac:dyDescent="0.25">
      <c r="A555" s="1" t="s">
        <v>5174</v>
      </c>
      <c r="B555" s="1" t="s">
        <v>5175</v>
      </c>
      <c r="C555" s="1" t="s">
        <v>5176</v>
      </c>
      <c r="D555" s="1" t="s">
        <v>4514</v>
      </c>
      <c r="E555" s="1" t="s">
        <v>4515</v>
      </c>
      <c r="F555" s="1" t="s">
        <v>5177</v>
      </c>
      <c r="G555" s="1" t="s">
        <v>14281</v>
      </c>
      <c r="H555" s="1" t="s">
        <v>14282</v>
      </c>
      <c r="I555" s="1" t="s">
        <v>14675</v>
      </c>
      <c r="J555" s="1" t="s">
        <v>23</v>
      </c>
      <c r="K555" s="1"/>
      <c r="L555" s="1" t="s">
        <v>4519</v>
      </c>
      <c r="M555" s="1" t="s">
        <v>5178</v>
      </c>
      <c r="N555" s="1" t="s">
        <v>5179</v>
      </c>
      <c r="O555" s="1" t="s">
        <v>5180</v>
      </c>
      <c r="P555" s="1" t="s">
        <v>5181</v>
      </c>
      <c r="Q555" s="1" t="s">
        <v>4521</v>
      </c>
      <c r="R555" s="1" t="s">
        <v>4522</v>
      </c>
      <c r="S555" s="1" t="s">
        <v>4523</v>
      </c>
      <c r="T555" s="1" t="s">
        <v>4527</v>
      </c>
      <c r="U555">
        <v>100.11</v>
      </c>
      <c r="V555">
        <v>47.35</v>
      </c>
      <c r="W555">
        <v>14.721538000000001</v>
      </c>
      <c r="X555">
        <v>107.80973400000001</v>
      </c>
      <c r="Y555">
        <v>52.76</v>
      </c>
      <c r="Z555">
        <v>14.698688000000001</v>
      </c>
      <c r="AA555">
        <v>107.83670499999999</v>
      </c>
      <c r="AB555" s="5">
        <f t="shared" si="49"/>
        <v>7.1025000000000005E-2</v>
      </c>
      <c r="AC555" s="5">
        <f t="shared" si="50"/>
        <v>7.9140000000000002E-2</v>
      </c>
      <c r="AD555" s="1" t="str">
        <f t="shared" si="51"/>
        <v>Đăk Mar</v>
      </c>
      <c r="AE555" s="1" t="str">
        <f t="shared" si="52"/>
        <v>Ngọk Tụ</v>
      </c>
      <c r="AG555">
        <f t="shared" si="53"/>
        <v>4.7350000000000003E-2</v>
      </c>
      <c r="AH555">
        <f t="shared" si="54"/>
        <v>5.2760000000000001E-2</v>
      </c>
      <c r="AI555">
        <f>VLOOKUP(L555,'[1]Tuyến cáp H04'!$B:$E,3,0)/1000</f>
        <v>30.866</v>
      </c>
      <c r="AJ555" t="str">
        <f>VLOOKUP(L555,'[1]Tuyến cáp H04'!$B:$E,4,0)</f>
        <v>Mạng cấp 4</v>
      </c>
    </row>
    <row r="556" spans="1:36" x14ac:dyDescent="0.25">
      <c r="A556" s="1" t="s">
        <v>5182</v>
      </c>
      <c r="B556" s="1" t="s">
        <v>4554</v>
      </c>
      <c r="C556" s="1" t="s">
        <v>4555</v>
      </c>
      <c r="D556" s="1" t="s">
        <v>4983</v>
      </c>
      <c r="E556" s="1" t="s">
        <v>4984</v>
      </c>
      <c r="F556" s="1" t="s">
        <v>5183</v>
      </c>
      <c r="G556" s="1" t="s">
        <v>14281</v>
      </c>
      <c r="H556" s="1" t="s">
        <v>14282</v>
      </c>
      <c r="I556" s="1" t="s">
        <v>14676</v>
      </c>
      <c r="J556" s="1" t="s">
        <v>23</v>
      </c>
      <c r="K556" s="1"/>
      <c r="L556" s="1" t="s">
        <v>4810</v>
      </c>
      <c r="M556" s="1" t="s">
        <v>5184</v>
      </c>
      <c r="N556" s="1" t="s">
        <v>5185</v>
      </c>
      <c r="O556" s="1" t="s">
        <v>5186</v>
      </c>
      <c r="P556" s="1" t="s">
        <v>5187</v>
      </c>
      <c r="Q556" s="1" t="s">
        <v>5188</v>
      </c>
      <c r="R556" s="1" t="s">
        <v>5189</v>
      </c>
      <c r="S556" s="1" t="s">
        <v>5190</v>
      </c>
      <c r="T556" s="1" t="s">
        <v>4818</v>
      </c>
      <c r="U556">
        <v>42.47</v>
      </c>
      <c r="V556">
        <v>4.76</v>
      </c>
      <c r="W556">
        <v>14.352999000000001</v>
      </c>
      <c r="X556">
        <v>108.007856</v>
      </c>
      <c r="Y556">
        <v>37.700000000000003</v>
      </c>
      <c r="Z556">
        <v>14.349993</v>
      </c>
      <c r="AA556">
        <v>108.00739299999999</v>
      </c>
      <c r="AB556" s="5">
        <f t="shared" si="49"/>
        <v>7.1399999999999996E-3</v>
      </c>
      <c r="AC556" s="5">
        <f t="shared" si="50"/>
        <v>5.6550000000000003E-2</v>
      </c>
      <c r="AD556" s="1" t="str">
        <f t="shared" si="51"/>
        <v>CAT Kon Tum</v>
      </c>
      <c r="AE556" s="1" t="str">
        <f t="shared" si="52"/>
        <v>Ngọk Bay</v>
      </c>
      <c r="AG556">
        <f t="shared" si="53"/>
        <v>4.7599999999999995E-3</v>
      </c>
      <c r="AH556">
        <f t="shared" si="54"/>
        <v>3.7700000000000004E-2</v>
      </c>
      <c r="AI556">
        <f>VLOOKUP(L556,'[1]Tuyến cáp H04'!$B:$E,3,0)/1000</f>
        <v>4.367</v>
      </c>
      <c r="AJ556" t="str">
        <f>VLOOKUP(L556,'[1]Tuyến cáp H04'!$B:$E,4,0)</f>
        <v>Mạng cấp 4</v>
      </c>
    </row>
    <row r="557" spans="1:36" x14ac:dyDescent="0.25">
      <c r="A557" s="1" t="s">
        <v>5191</v>
      </c>
      <c r="B557" s="1" t="s">
        <v>5192</v>
      </c>
      <c r="C557" s="1" t="s">
        <v>5193</v>
      </c>
      <c r="D557" s="1" t="s">
        <v>5194</v>
      </c>
      <c r="E557" s="1" t="s">
        <v>5195</v>
      </c>
      <c r="F557" s="1" t="s">
        <v>5196</v>
      </c>
      <c r="G557" s="1" t="s">
        <v>14129</v>
      </c>
      <c r="H557" s="1" t="s">
        <v>14133</v>
      </c>
      <c r="I557" s="1" t="s">
        <v>14677</v>
      </c>
      <c r="J557" s="1" t="s">
        <v>23</v>
      </c>
      <c r="K557" s="1"/>
      <c r="L557" s="1" t="s">
        <v>5197</v>
      </c>
      <c r="M557" s="1" t="s">
        <v>5198</v>
      </c>
      <c r="N557" s="1" t="s">
        <v>5199</v>
      </c>
      <c r="O557" s="1" t="s">
        <v>5200</v>
      </c>
      <c r="P557" s="1" t="s">
        <v>5201</v>
      </c>
      <c r="Q557" s="1" t="s">
        <v>5202</v>
      </c>
      <c r="R557" s="1" t="s">
        <v>5203</v>
      </c>
      <c r="S557" s="1" t="s">
        <v>5204</v>
      </c>
      <c r="T557" s="1" t="s">
        <v>5205</v>
      </c>
      <c r="U557">
        <v>1060.3499999999999</v>
      </c>
      <c r="V557">
        <v>860.1</v>
      </c>
      <c r="W557">
        <v>15.113571</v>
      </c>
      <c r="X557">
        <v>108.78981899999999</v>
      </c>
      <c r="Y557">
        <v>200.25</v>
      </c>
      <c r="Z557">
        <v>15.044577</v>
      </c>
      <c r="AA557">
        <v>108.774884</v>
      </c>
      <c r="AB557" s="5">
        <f t="shared" si="49"/>
        <v>1.2901500000000001</v>
      </c>
      <c r="AC557" s="5">
        <f t="shared" si="50"/>
        <v>0.300375</v>
      </c>
      <c r="AD557" s="1" t="str">
        <f t="shared" si="51"/>
        <v>TT1 Quảng Ngãi</v>
      </c>
      <c r="AE557" s="1" t="str">
        <f t="shared" si="52"/>
        <v>Minh Long</v>
      </c>
      <c r="AG557">
        <f t="shared" si="53"/>
        <v>0.86009999999999998</v>
      </c>
      <c r="AH557">
        <f t="shared" si="54"/>
        <v>0.20025000000000001</v>
      </c>
      <c r="AI557">
        <f>VLOOKUP(L557,'[1]Tuyến cáp H04'!$B:$E,3,0)/1000</f>
        <v>45.045000000000002</v>
      </c>
      <c r="AJ557" t="str">
        <f>VLOOKUP(L557,'[1]Tuyến cáp H04'!$B:$E,4,0)</f>
        <v>Mạng cấp 3</v>
      </c>
    </row>
    <row r="558" spans="1:36" x14ac:dyDescent="0.25">
      <c r="A558" s="1" t="s">
        <v>5206</v>
      </c>
      <c r="B558" s="1" t="s">
        <v>5192</v>
      </c>
      <c r="C558" s="1" t="s">
        <v>5193</v>
      </c>
      <c r="D558" s="1" t="s">
        <v>5207</v>
      </c>
      <c r="E558" s="1" t="s">
        <v>5208</v>
      </c>
      <c r="F558" s="1" t="s">
        <v>5209</v>
      </c>
      <c r="G558" s="1" t="s">
        <v>14129</v>
      </c>
      <c r="H558" s="1" t="s">
        <v>14133</v>
      </c>
      <c r="I558" s="1" t="s">
        <v>14678</v>
      </c>
      <c r="J558" s="1" t="s">
        <v>23</v>
      </c>
      <c r="K558" s="1"/>
      <c r="L558" s="1" t="s">
        <v>5210</v>
      </c>
      <c r="M558" s="1" t="s">
        <v>5211</v>
      </c>
      <c r="N558" s="1" t="s">
        <v>5212</v>
      </c>
      <c r="O558" s="1" t="s">
        <v>5213</v>
      </c>
      <c r="P558" s="1" t="s">
        <v>5214</v>
      </c>
      <c r="Q558" s="1" t="s">
        <v>5215</v>
      </c>
      <c r="R558" s="1" t="s">
        <v>5216</v>
      </c>
      <c r="S558" s="1" t="s">
        <v>5217</v>
      </c>
      <c r="T558" s="1" t="s">
        <v>5218</v>
      </c>
      <c r="U558">
        <v>2329.7199999999998</v>
      </c>
      <c r="V558">
        <v>2213.11</v>
      </c>
      <c r="W558">
        <v>15.139443999999999</v>
      </c>
      <c r="X558">
        <v>108.784302</v>
      </c>
      <c r="Y558">
        <v>116.62</v>
      </c>
      <c r="Z558">
        <v>15.155536</v>
      </c>
      <c r="AA558">
        <v>108.736003</v>
      </c>
      <c r="AB558" s="5">
        <f t="shared" si="49"/>
        <v>3.3196650000000001</v>
      </c>
      <c r="AC558" s="5">
        <f t="shared" si="50"/>
        <v>0.17493</v>
      </c>
      <c r="AD558" s="1" t="str">
        <f t="shared" si="51"/>
        <v>PC07</v>
      </c>
      <c r="AE558" s="1" t="str">
        <f t="shared" si="52"/>
        <v>Sơn Tịnh</v>
      </c>
      <c r="AG558">
        <f t="shared" si="53"/>
        <v>2.2131099999999999</v>
      </c>
      <c r="AH558">
        <f t="shared" si="54"/>
        <v>0.11662</v>
      </c>
      <c r="AI558">
        <f>VLOOKUP(L558,'[1]Tuyến cáp H04'!$B:$E,3,0)/1000</f>
        <v>9.1340000000000003</v>
      </c>
      <c r="AJ558" t="str">
        <f>VLOOKUP(L558,'[1]Tuyến cáp H04'!$B:$E,4,0)</f>
        <v>Mạng cấp 3</v>
      </c>
    </row>
    <row r="559" spans="1:36" x14ac:dyDescent="0.25">
      <c r="A559" s="1" t="s">
        <v>5219</v>
      </c>
      <c r="B559" s="1" t="s">
        <v>5192</v>
      </c>
      <c r="C559" s="1" t="s">
        <v>5193</v>
      </c>
      <c r="D559" s="1" t="s">
        <v>5220</v>
      </c>
      <c r="E559" s="1" t="s">
        <v>5221</v>
      </c>
      <c r="F559" s="1" t="s">
        <v>5222</v>
      </c>
      <c r="G559" s="1" t="s">
        <v>14129</v>
      </c>
      <c r="H559" s="1" t="s">
        <v>14679</v>
      </c>
      <c r="I559" s="1" t="s">
        <v>14680</v>
      </c>
      <c r="J559" s="1" t="s">
        <v>23</v>
      </c>
      <c r="K559" s="1"/>
      <c r="L559" s="1" t="s">
        <v>5223</v>
      </c>
      <c r="M559" s="1" t="s">
        <v>5224</v>
      </c>
      <c r="N559" s="1" t="s">
        <v>5225</v>
      </c>
      <c r="O559" s="1" t="s">
        <v>5226</v>
      </c>
      <c r="P559" s="1" t="s">
        <v>5227</v>
      </c>
      <c r="Q559" s="1" t="s">
        <v>5228</v>
      </c>
      <c r="R559" s="1" t="s">
        <v>5229</v>
      </c>
      <c r="S559" s="1" t="s">
        <v>5230</v>
      </c>
      <c r="T559" s="1" t="s">
        <v>5231</v>
      </c>
      <c r="U559">
        <v>2119.48</v>
      </c>
      <c r="V559">
        <v>38.96</v>
      </c>
      <c r="W559">
        <v>15.120827</v>
      </c>
      <c r="X559">
        <v>108.79173400000001</v>
      </c>
      <c r="Y559">
        <v>2080.52</v>
      </c>
      <c r="Z559">
        <v>15.129204</v>
      </c>
      <c r="AA559">
        <v>108.73198499999999</v>
      </c>
      <c r="AB559" s="5">
        <f t="shared" si="49"/>
        <v>5.8439999999999999E-2</v>
      </c>
      <c r="AC559" s="5">
        <f t="shared" si="50"/>
        <v>3.1207799999999999</v>
      </c>
      <c r="AD559" s="1" t="str">
        <f t="shared" si="51"/>
        <v>Sơn Tịnh</v>
      </c>
      <c r="AE559" s="1" t="str">
        <f t="shared" si="52"/>
        <v>TT1 QUẢNG NGÃI</v>
      </c>
      <c r="AG559">
        <f t="shared" si="53"/>
        <v>3.8960000000000002E-2</v>
      </c>
      <c r="AH559">
        <f t="shared" si="54"/>
        <v>2.0805199999999999</v>
      </c>
      <c r="AI559">
        <f>VLOOKUP(L559,'[1]Tuyến cáp H04'!$B:$E,3,0)/1000</f>
        <v>12.047000000000001</v>
      </c>
      <c r="AJ559" t="str">
        <f>VLOOKUP(L559,'[1]Tuyến cáp H04'!$B:$E,4,0)</f>
        <v>Mạng cấp 4</v>
      </c>
    </row>
    <row r="560" spans="1:36" x14ac:dyDescent="0.25">
      <c r="A560" s="1" t="s">
        <v>5232</v>
      </c>
      <c r="B560" s="1" t="s">
        <v>5192</v>
      </c>
      <c r="C560" s="1" t="s">
        <v>5193</v>
      </c>
      <c r="D560" s="1" t="s">
        <v>5233</v>
      </c>
      <c r="E560" s="1" t="s">
        <v>5234</v>
      </c>
      <c r="F560" s="1" t="s">
        <v>5235</v>
      </c>
      <c r="G560" s="1" t="s">
        <v>14129</v>
      </c>
      <c r="H560" s="1" t="s">
        <v>14133</v>
      </c>
      <c r="I560" s="1" t="s">
        <v>14681</v>
      </c>
      <c r="J560" s="1" t="s">
        <v>23</v>
      </c>
      <c r="K560" s="1"/>
      <c r="L560" s="1" t="s">
        <v>5236</v>
      </c>
      <c r="M560" s="1" t="s">
        <v>5237</v>
      </c>
      <c r="N560" s="1" t="s">
        <v>5238</v>
      </c>
      <c r="O560" s="1" t="s">
        <v>5239</v>
      </c>
      <c r="P560" s="1" t="s">
        <v>5240</v>
      </c>
      <c r="Q560" s="1" t="s">
        <v>5241</v>
      </c>
      <c r="R560" s="1" t="s">
        <v>5242</v>
      </c>
      <c r="S560" s="1" t="s">
        <v>5243</v>
      </c>
      <c r="T560" s="1" t="s">
        <v>5244</v>
      </c>
      <c r="U560">
        <v>2461.2399999999998</v>
      </c>
      <c r="V560">
        <v>2350.67</v>
      </c>
      <c r="W560">
        <v>15.140404</v>
      </c>
      <c r="X560">
        <v>108.800742</v>
      </c>
      <c r="Y560">
        <v>110.57</v>
      </c>
      <c r="Z560">
        <v>15.201007000000001</v>
      </c>
      <c r="AA560">
        <v>108.78958</v>
      </c>
      <c r="AB560" s="5">
        <f t="shared" si="49"/>
        <v>3.5260050000000001</v>
      </c>
      <c r="AC560" s="5">
        <f t="shared" si="50"/>
        <v>0.165855</v>
      </c>
      <c r="AD560" s="1" t="e">
        <f t="shared" si="51"/>
        <v>#VALUE!</v>
      </c>
      <c r="AE560" s="1" t="e">
        <f t="shared" si="52"/>
        <v>#VALUE!</v>
      </c>
      <c r="AG560">
        <f t="shared" si="53"/>
        <v>2.35067</v>
      </c>
      <c r="AH560">
        <f t="shared" si="54"/>
        <v>0.11056999999999999</v>
      </c>
      <c r="AI560" t="e">
        <f>VLOOKUP(L560,'[1]Tuyến cáp H04'!$B:$E,3,0)/1000</f>
        <v>#N/A</v>
      </c>
      <c r="AJ560" t="e">
        <f>VLOOKUP(L560,'[1]Tuyến cáp H04'!$B:$E,4,0)</f>
        <v>#N/A</v>
      </c>
    </row>
    <row r="561" spans="1:36" x14ac:dyDescent="0.25">
      <c r="A561" s="1" t="s">
        <v>5232</v>
      </c>
      <c r="B561" s="1" t="s">
        <v>5192</v>
      </c>
      <c r="C561" s="1" t="s">
        <v>5193</v>
      </c>
      <c r="D561" s="1" t="s">
        <v>5233</v>
      </c>
      <c r="E561" s="1" t="s">
        <v>5234</v>
      </c>
      <c r="F561" s="1" t="s">
        <v>5235</v>
      </c>
      <c r="G561" s="1" t="s">
        <v>14129</v>
      </c>
      <c r="H561" s="1" t="s">
        <v>14133</v>
      </c>
      <c r="I561" s="1" t="s">
        <v>14681</v>
      </c>
      <c r="J561" s="1" t="s">
        <v>23</v>
      </c>
      <c r="K561" s="1"/>
      <c r="L561" s="1" t="s">
        <v>5236</v>
      </c>
      <c r="M561" s="1" t="s">
        <v>5237</v>
      </c>
      <c r="N561" s="1" t="s">
        <v>5238</v>
      </c>
      <c r="O561" s="1" t="s">
        <v>5239</v>
      </c>
      <c r="P561" s="1" t="s">
        <v>5240</v>
      </c>
      <c r="Q561" s="1" t="s">
        <v>5241</v>
      </c>
      <c r="R561" s="1" t="s">
        <v>5242</v>
      </c>
      <c r="S561" s="1" t="s">
        <v>5243</v>
      </c>
      <c r="T561" s="1" t="s">
        <v>5244</v>
      </c>
      <c r="U561">
        <v>2461.2399999999998</v>
      </c>
      <c r="V561">
        <v>2350.67</v>
      </c>
      <c r="W561">
        <v>15.140404</v>
      </c>
      <c r="X561">
        <v>108.800742</v>
      </c>
      <c r="Y561">
        <v>110.57</v>
      </c>
      <c r="Z561">
        <v>15.201007000000001</v>
      </c>
      <c r="AA561">
        <v>108.78958</v>
      </c>
      <c r="AB561" s="5">
        <f t="shared" si="49"/>
        <v>3.5260050000000001</v>
      </c>
      <c r="AC561" s="5">
        <f t="shared" si="50"/>
        <v>0.165855</v>
      </c>
      <c r="AD561" s="1" t="e">
        <f t="shared" si="51"/>
        <v>#VALUE!</v>
      </c>
      <c r="AE561" s="1" t="e">
        <f t="shared" si="52"/>
        <v>#VALUE!</v>
      </c>
      <c r="AG561">
        <f t="shared" si="53"/>
        <v>2.35067</v>
      </c>
      <c r="AH561">
        <f t="shared" si="54"/>
        <v>0.11056999999999999</v>
      </c>
      <c r="AI561" t="e">
        <f>VLOOKUP(L561,'[1]Tuyến cáp H04'!$B:$E,3,0)/1000</f>
        <v>#N/A</v>
      </c>
      <c r="AJ561" t="e">
        <f>VLOOKUP(L561,'[1]Tuyến cáp H04'!$B:$E,4,0)</f>
        <v>#N/A</v>
      </c>
    </row>
    <row r="562" spans="1:36" x14ac:dyDescent="0.25">
      <c r="A562" s="1" t="s">
        <v>5245</v>
      </c>
      <c r="B562" s="1" t="s">
        <v>5192</v>
      </c>
      <c r="C562" s="1" t="s">
        <v>5193</v>
      </c>
      <c r="D562" s="1" t="s">
        <v>5246</v>
      </c>
      <c r="E562" s="1" t="s">
        <v>5247</v>
      </c>
      <c r="F562" s="1" t="s">
        <v>5248</v>
      </c>
      <c r="G562" s="1" t="s">
        <v>14129</v>
      </c>
      <c r="H562" s="1" t="s">
        <v>14133</v>
      </c>
      <c r="I562" s="1" t="s">
        <v>14682</v>
      </c>
      <c r="J562" s="1" t="s">
        <v>23</v>
      </c>
      <c r="K562" s="1"/>
      <c r="L562" s="1" t="s">
        <v>5249</v>
      </c>
      <c r="M562" s="1" t="s">
        <v>5250</v>
      </c>
      <c r="N562" s="1" t="s">
        <v>5251</v>
      </c>
      <c r="O562" s="1" t="s">
        <v>5252</v>
      </c>
      <c r="P562" s="1" t="s">
        <v>5253</v>
      </c>
      <c r="Q562" s="1" t="s">
        <v>5254</v>
      </c>
      <c r="R562" s="1" t="s">
        <v>5255</v>
      </c>
      <c r="S562" s="1" t="s">
        <v>5256</v>
      </c>
      <c r="T562" s="1" t="s">
        <v>5257</v>
      </c>
      <c r="U562">
        <v>2312.3200000000002</v>
      </c>
      <c r="V562">
        <v>56.31</v>
      </c>
      <c r="W562">
        <v>15.121472000000001</v>
      </c>
      <c r="X562">
        <v>108.791859</v>
      </c>
      <c r="Y562">
        <v>2256.0100000000002</v>
      </c>
      <c r="Z562">
        <v>15.126612</v>
      </c>
      <c r="AA562">
        <v>108.77953100000001</v>
      </c>
      <c r="AB562" s="5">
        <f t="shared" si="49"/>
        <v>8.4464999999999998E-2</v>
      </c>
      <c r="AC562" s="5">
        <f t="shared" si="50"/>
        <v>3.3840150000000002</v>
      </c>
      <c r="AD562" s="1" t="str">
        <f t="shared" si="51"/>
        <v>Ba Gia</v>
      </c>
      <c r="AE562" s="1" t="str">
        <f t="shared" si="52"/>
        <v>TT1 QUẢNG NGÃI</v>
      </c>
      <c r="AG562">
        <f t="shared" si="53"/>
        <v>5.6309999999999999E-2</v>
      </c>
      <c r="AH562">
        <f t="shared" si="54"/>
        <v>2.2560100000000003</v>
      </c>
      <c r="AI562">
        <f>VLOOKUP(L562,'[1]Tuyến cáp H04'!$B:$E,3,0)/1000</f>
        <v>20.206</v>
      </c>
      <c r="AJ562" t="str">
        <f>VLOOKUP(L562,'[1]Tuyến cáp H04'!$B:$E,4,0)</f>
        <v>Mạng cấp 4</v>
      </c>
    </row>
    <row r="563" spans="1:36" x14ac:dyDescent="0.25">
      <c r="A563" s="1" t="s">
        <v>5258</v>
      </c>
      <c r="B563" s="1" t="s">
        <v>5192</v>
      </c>
      <c r="C563" s="1" t="s">
        <v>5193</v>
      </c>
      <c r="D563" s="1" t="s">
        <v>5259</v>
      </c>
      <c r="E563" s="1" t="s">
        <v>5260</v>
      </c>
      <c r="F563" s="1" t="s">
        <v>5261</v>
      </c>
      <c r="G563" s="1" t="s">
        <v>14129</v>
      </c>
      <c r="H563" s="1" t="s">
        <v>14133</v>
      </c>
      <c r="I563" s="1" t="s">
        <v>14683</v>
      </c>
      <c r="J563" s="1" t="s">
        <v>23</v>
      </c>
      <c r="K563" s="1"/>
      <c r="L563" s="1" t="s">
        <v>5249</v>
      </c>
      <c r="M563" s="1" t="s">
        <v>5262</v>
      </c>
      <c r="N563" s="1" t="s">
        <v>5251</v>
      </c>
      <c r="O563" s="1" t="s">
        <v>5252</v>
      </c>
      <c r="P563" s="1" t="s">
        <v>5253</v>
      </c>
      <c r="Q563" s="1" t="s">
        <v>5263</v>
      </c>
      <c r="R563" s="1" t="s">
        <v>5264</v>
      </c>
      <c r="S563" s="1" t="s">
        <v>5265</v>
      </c>
      <c r="T563" s="1" t="s">
        <v>5257</v>
      </c>
      <c r="U563">
        <v>1301.1199999999999</v>
      </c>
      <c r="V563">
        <v>56.31</v>
      </c>
      <c r="W563">
        <v>15.121472000000001</v>
      </c>
      <c r="X563">
        <v>108.791859</v>
      </c>
      <c r="Y563">
        <v>1244.81</v>
      </c>
      <c r="Z563">
        <v>15.127291</v>
      </c>
      <c r="AA563">
        <v>108.78287899999999</v>
      </c>
      <c r="AB563" s="5">
        <f t="shared" si="49"/>
        <v>8.4464999999999998E-2</v>
      </c>
      <c r="AC563" s="5">
        <f t="shared" si="50"/>
        <v>1.8672149999999998</v>
      </c>
      <c r="AD563" s="1" t="str">
        <f t="shared" si="51"/>
        <v>Ba Gia</v>
      </c>
      <c r="AE563" s="1" t="str">
        <f t="shared" si="52"/>
        <v>TT1 QUẢNG NGÃI</v>
      </c>
      <c r="AG563">
        <f t="shared" si="53"/>
        <v>5.6309999999999999E-2</v>
      </c>
      <c r="AH563">
        <f t="shared" si="54"/>
        <v>1.24481</v>
      </c>
      <c r="AI563">
        <f>VLOOKUP(L563,'[1]Tuyến cáp H04'!$B:$E,3,0)/1000</f>
        <v>20.206</v>
      </c>
      <c r="AJ563" t="str">
        <f>VLOOKUP(L563,'[1]Tuyến cáp H04'!$B:$E,4,0)</f>
        <v>Mạng cấp 4</v>
      </c>
    </row>
    <row r="564" spans="1:36" x14ac:dyDescent="0.25">
      <c r="A564" s="1" t="s">
        <v>5266</v>
      </c>
      <c r="B564" s="1" t="s">
        <v>5192</v>
      </c>
      <c r="C564" s="1" t="s">
        <v>5193</v>
      </c>
      <c r="D564" s="1" t="s">
        <v>5267</v>
      </c>
      <c r="E564" s="1" t="s">
        <v>5268</v>
      </c>
      <c r="F564" s="1" t="s">
        <v>5269</v>
      </c>
      <c r="G564" s="1" t="s">
        <v>14129</v>
      </c>
      <c r="H564" s="1" t="s">
        <v>14133</v>
      </c>
      <c r="I564" s="1" t="s">
        <v>14684</v>
      </c>
      <c r="J564" s="1" t="s">
        <v>23</v>
      </c>
      <c r="K564" s="1"/>
      <c r="L564" s="1" t="s">
        <v>5223</v>
      </c>
      <c r="M564" s="1" t="s">
        <v>5270</v>
      </c>
      <c r="N564" s="1" t="s">
        <v>5225</v>
      </c>
      <c r="O564" s="1" t="s">
        <v>5226</v>
      </c>
      <c r="P564" s="1" t="s">
        <v>5227</v>
      </c>
      <c r="Q564" s="1" t="s">
        <v>5271</v>
      </c>
      <c r="R564" s="1" t="s">
        <v>5272</v>
      </c>
      <c r="S564" s="1" t="s">
        <v>5273</v>
      </c>
      <c r="T564" s="1" t="s">
        <v>5231</v>
      </c>
      <c r="U564">
        <v>3827.45</v>
      </c>
      <c r="V564">
        <v>38.96</v>
      </c>
      <c r="W564">
        <v>15.120827</v>
      </c>
      <c r="X564">
        <v>108.79173400000001</v>
      </c>
      <c r="Y564">
        <v>3788.49</v>
      </c>
      <c r="Z564">
        <v>15.132574</v>
      </c>
      <c r="AA564">
        <v>108.732478</v>
      </c>
      <c r="AB564" s="5">
        <f t="shared" si="49"/>
        <v>5.8439999999999999E-2</v>
      </c>
      <c r="AC564" s="5">
        <f t="shared" si="50"/>
        <v>5.6827350000000001</v>
      </c>
      <c r="AD564" s="1" t="str">
        <f t="shared" si="51"/>
        <v>Sơn Tịnh</v>
      </c>
      <c r="AE564" s="1" t="str">
        <f t="shared" si="52"/>
        <v>TT1 QUẢNG NGÃI</v>
      </c>
      <c r="AG564">
        <f t="shared" si="53"/>
        <v>3.8960000000000002E-2</v>
      </c>
      <c r="AH564">
        <f t="shared" si="54"/>
        <v>3.7884899999999999</v>
      </c>
      <c r="AI564">
        <f>VLOOKUP(L564,'[1]Tuyến cáp H04'!$B:$E,3,0)/1000</f>
        <v>12.047000000000001</v>
      </c>
      <c r="AJ564" t="str">
        <f>VLOOKUP(L564,'[1]Tuyến cáp H04'!$B:$E,4,0)</f>
        <v>Mạng cấp 4</v>
      </c>
    </row>
    <row r="565" spans="1:36" x14ac:dyDescent="0.25">
      <c r="A565" s="1" t="s">
        <v>5274</v>
      </c>
      <c r="B565" s="1" t="s">
        <v>5192</v>
      </c>
      <c r="C565" s="1" t="s">
        <v>5193</v>
      </c>
      <c r="D565" s="1" t="s">
        <v>5275</v>
      </c>
      <c r="E565" s="1" t="s">
        <v>5276</v>
      </c>
      <c r="F565" s="1" t="s">
        <v>5277</v>
      </c>
      <c r="G565" s="1" t="s">
        <v>14129</v>
      </c>
      <c r="H565" s="1" t="s">
        <v>14133</v>
      </c>
      <c r="I565" s="1" t="s">
        <v>14685</v>
      </c>
      <c r="J565" s="1" t="s">
        <v>23</v>
      </c>
      <c r="K565" s="1"/>
      <c r="L565" s="1" t="s">
        <v>5249</v>
      </c>
      <c r="M565" s="1" t="s">
        <v>5278</v>
      </c>
      <c r="N565" s="1" t="s">
        <v>5251</v>
      </c>
      <c r="O565" s="1" t="s">
        <v>5252</v>
      </c>
      <c r="P565" s="1" t="s">
        <v>5253</v>
      </c>
      <c r="Q565" s="1" t="s">
        <v>5279</v>
      </c>
      <c r="R565" s="1" t="s">
        <v>5280</v>
      </c>
      <c r="S565" s="1" t="s">
        <v>5281</v>
      </c>
      <c r="T565" s="1" t="s">
        <v>5257</v>
      </c>
      <c r="U565">
        <v>324.62</v>
      </c>
      <c r="V565">
        <v>56.31</v>
      </c>
      <c r="W565">
        <v>15.121472000000001</v>
      </c>
      <c r="X565">
        <v>108.791859</v>
      </c>
      <c r="Y565">
        <v>268.31</v>
      </c>
      <c r="Z565">
        <v>15.126120999999999</v>
      </c>
      <c r="AA565">
        <v>108.779673</v>
      </c>
      <c r="AB565" s="5">
        <f t="shared" si="49"/>
        <v>8.4464999999999998E-2</v>
      </c>
      <c r="AC565" s="5">
        <f t="shared" si="50"/>
        <v>0.40246500000000002</v>
      </c>
      <c r="AD565" s="1" t="str">
        <f t="shared" si="51"/>
        <v>Ba Gia</v>
      </c>
      <c r="AE565" s="1" t="str">
        <f t="shared" si="52"/>
        <v>TT1 QUẢNG NGÃI</v>
      </c>
      <c r="AG565">
        <f t="shared" si="53"/>
        <v>5.6309999999999999E-2</v>
      </c>
      <c r="AH565">
        <f t="shared" si="54"/>
        <v>0.26830999999999999</v>
      </c>
      <c r="AI565">
        <f>VLOOKUP(L565,'[1]Tuyến cáp H04'!$B:$E,3,0)/1000</f>
        <v>20.206</v>
      </c>
      <c r="AJ565" t="str">
        <f>VLOOKUP(L565,'[1]Tuyến cáp H04'!$B:$E,4,0)</f>
        <v>Mạng cấp 4</v>
      </c>
    </row>
    <row r="566" spans="1:36" x14ac:dyDescent="0.25">
      <c r="A566" s="1" t="s">
        <v>5282</v>
      </c>
      <c r="B566" s="1" t="s">
        <v>5192</v>
      </c>
      <c r="C566" s="1" t="s">
        <v>5193</v>
      </c>
      <c r="D566" s="1" t="s">
        <v>5283</v>
      </c>
      <c r="E566" s="1" t="s">
        <v>5284</v>
      </c>
      <c r="F566" s="1" t="s">
        <v>5285</v>
      </c>
      <c r="G566" s="1" t="s">
        <v>14129</v>
      </c>
      <c r="H566" s="1" t="s">
        <v>14133</v>
      </c>
      <c r="I566" s="1" t="s">
        <v>14686</v>
      </c>
      <c r="J566" s="1" t="s">
        <v>23</v>
      </c>
      <c r="K566" s="1"/>
      <c r="L566" s="1" t="s">
        <v>5223</v>
      </c>
      <c r="M566" s="1" t="s">
        <v>5286</v>
      </c>
      <c r="N566" s="1" t="s">
        <v>5225</v>
      </c>
      <c r="O566" s="1" t="s">
        <v>5226</v>
      </c>
      <c r="P566" s="1" t="s">
        <v>5227</v>
      </c>
      <c r="Q566" s="1" t="s">
        <v>5287</v>
      </c>
      <c r="R566" s="1" t="s">
        <v>5288</v>
      </c>
      <c r="S566" s="1" t="s">
        <v>5289</v>
      </c>
      <c r="T566" s="1" t="s">
        <v>5231</v>
      </c>
      <c r="U566">
        <v>154.49</v>
      </c>
      <c r="V566">
        <v>38.96</v>
      </c>
      <c r="W566">
        <v>15.120827</v>
      </c>
      <c r="X566">
        <v>108.79173400000001</v>
      </c>
      <c r="Y566">
        <v>115.53</v>
      </c>
      <c r="Z566">
        <v>15.114606</v>
      </c>
      <c r="AA566">
        <v>108.77101500000001</v>
      </c>
      <c r="AB566" s="5">
        <f t="shared" si="49"/>
        <v>5.8439999999999999E-2</v>
      </c>
      <c r="AC566" s="5">
        <f t="shared" si="50"/>
        <v>0.173295</v>
      </c>
      <c r="AD566" s="1" t="str">
        <f t="shared" si="51"/>
        <v>Sơn Tịnh</v>
      </c>
      <c r="AE566" s="1" t="str">
        <f t="shared" si="52"/>
        <v>TT1 QUẢNG NGÃI</v>
      </c>
      <c r="AG566">
        <f t="shared" si="53"/>
        <v>3.8960000000000002E-2</v>
      </c>
      <c r="AH566">
        <f t="shared" si="54"/>
        <v>0.11553000000000001</v>
      </c>
      <c r="AI566">
        <f>VLOOKUP(L566,'[1]Tuyến cáp H04'!$B:$E,3,0)/1000</f>
        <v>12.047000000000001</v>
      </c>
      <c r="AJ566" t="str">
        <f>VLOOKUP(L566,'[1]Tuyến cáp H04'!$B:$E,4,0)</f>
        <v>Mạng cấp 4</v>
      </c>
    </row>
    <row r="567" spans="1:36" x14ac:dyDescent="0.25">
      <c r="A567" s="1" t="s">
        <v>5290</v>
      </c>
      <c r="B567" s="1" t="s">
        <v>5192</v>
      </c>
      <c r="C567" s="1" t="s">
        <v>5193</v>
      </c>
      <c r="D567" s="1" t="s">
        <v>5291</v>
      </c>
      <c r="E567" s="1" t="s">
        <v>5292</v>
      </c>
      <c r="F567" s="1" t="s">
        <v>5293</v>
      </c>
      <c r="G567" s="1" t="s">
        <v>14129</v>
      </c>
      <c r="H567" s="1" t="s">
        <v>14133</v>
      </c>
      <c r="I567" s="1" t="s">
        <v>14687</v>
      </c>
      <c r="J567" s="1" t="s">
        <v>23</v>
      </c>
      <c r="K567" s="1"/>
      <c r="L567" s="1" t="s">
        <v>5249</v>
      </c>
      <c r="M567" s="1" t="s">
        <v>5294</v>
      </c>
      <c r="N567" s="1" t="s">
        <v>5251</v>
      </c>
      <c r="O567" s="1" t="s">
        <v>5252</v>
      </c>
      <c r="P567" s="1" t="s">
        <v>5253</v>
      </c>
      <c r="Q567" s="1" t="s">
        <v>5295</v>
      </c>
      <c r="R567" s="1" t="s">
        <v>5255</v>
      </c>
      <c r="S567" s="1" t="s">
        <v>5256</v>
      </c>
      <c r="T567" s="1" t="s">
        <v>5257</v>
      </c>
      <c r="U567">
        <v>1001.53</v>
      </c>
      <c r="V567">
        <v>56.31</v>
      </c>
      <c r="W567">
        <v>15.121472000000001</v>
      </c>
      <c r="X567">
        <v>108.791859</v>
      </c>
      <c r="Y567">
        <v>945.21</v>
      </c>
      <c r="Z567">
        <v>15.126612</v>
      </c>
      <c r="AA567">
        <v>108.77953100000001</v>
      </c>
      <c r="AB567" s="5">
        <f t="shared" si="49"/>
        <v>8.4464999999999998E-2</v>
      </c>
      <c r="AC567" s="5">
        <f t="shared" si="50"/>
        <v>1.417815</v>
      </c>
      <c r="AD567" s="1" t="str">
        <f t="shared" si="51"/>
        <v>Ba Gia</v>
      </c>
      <c r="AE567" s="1" t="str">
        <f t="shared" si="52"/>
        <v>TT1 QUẢNG NGÃI</v>
      </c>
      <c r="AG567">
        <f t="shared" si="53"/>
        <v>5.6309999999999999E-2</v>
      </c>
      <c r="AH567">
        <f t="shared" si="54"/>
        <v>0.94520999999999999</v>
      </c>
      <c r="AI567">
        <f>VLOOKUP(L567,'[1]Tuyến cáp H04'!$B:$E,3,0)/1000</f>
        <v>20.206</v>
      </c>
      <c r="AJ567" t="str">
        <f>VLOOKUP(L567,'[1]Tuyến cáp H04'!$B:$E,4,0)</f>
        <v>Mạng cấp 4</v>
      </c>
    </row>
    <row r="568" spans="1:36" x14ac:dyDescent="0.25">
      <c r="A568" s="1" t="s">
        <v>5296</v>
      </c>
      <c r="B568" s="1" t="s">
        <v>5192</v>
      </c>
      <c r="C568" s="1" t="s">
        <v>5193</v>
      </c>
      <c r="D568" s="1" t="s">
        <v>5297</v>
      </c>
      <c r="E568" s="1" t="s">
        <v>5298</v>
      </c>
      <c r="F568" s="1" t="s">
        <v>5299</v>
      </c>
      <c r="G568" s="1" t="s">
        <v>14129</v>
      </c>
      <c r="H568" s="1" t="s">
        <v>14679</v>
      </c>
      <c r="I568" s="1" t="s">
        <v>14688</v>
      </c>
      <c r="J568" s="1" t="s">
        <v>23</v>
      </c>
      <c r="K568" s="1"/>
      <c r="L568" s="1" t="s">
        <v>5197</v>
      </c>
      <c r="M568" s="1" t="s">
        <v>5300</v>
      </c>
      <c r="N568" s="1" t="s">
        <v>5199</v>
      </c>
      <c r="O568" s="1" t="s">
        <v>5200</v>
      </c>
      <c r="P568" s="1" t="s">
        <v>5201</v>
      </c>
      <c r="Q568" s="1" t="s">
        <v>5301</v>
      </c>
      <c r="R568" s="1" t="s">
        <v>5302</v>
      </c>
      <c r="S568" s="1" t="s">
        <v>5303</v>
      </c>
      <c r="T568" s="1" t="s">
        <v>5205</v>
      </c>
      <c r="U568">
        <v>994.3</v>
      </c>
      <c r="V568">
        <v>860.1</v>
      </c>
      <c r="W568">
        <v>15.113571</v>
      </c>
      <c r="X568">
        <v>108.78981899999999</v>
      </c>
      <c r="Y568">
        <v>134.19999999999999</v>
      </c>
      <c r="Z568">
        <v>15.10492</v>
      </c>
      <c r="AA568">
        <v>108.766801</v>
      </c>
      <c r="AB568" s="5">
        <f t="shared" si="49"/>
        <v>1.2901500000000001</v>
      </c>
      <c r="AC568" s="5">
        <f t="shared" si="50"/>
        <v>0.20129999999999998</v>
      </c>
      <c r="AD568" s="1" t="str">
        <f t="shared" si="51"/>
        <v>TT1 Quảng Ngãi</v>
      </c>
      <c r="AE568" s="1" t="str">
        <f t="shared" si="52"/>
        <v>Minh Long</v>
      </c>
      <c r="AG568">
        <f t="shared" si="53"/>
        <v>0.86009999999999998</v>
      </c>
      <c r="AH568">
        <f t="shared" si="54"/>
        <v>0.13419999999999999</v>
      </c>
      <c r="AI568">
        <f>VLOOKUP(L568,'[1]Tuyến cáp H04'!$B:$E,3,0)/1000</f>
        <v>45.045000000000002</v>
      </c>
      <c r="AJ568" t="str">
        <f>VLOOKUP(L568,'[1]Tuyến cáp H04'!$B:$E,4,0)</f>
        <v>Mạng cấp 3</v>
      </c>
    </row>
    <row r="569" spans="1:36" x14ac:dyDescent="0.25">
      <c r="A569" s="1" t="s">
        <v>5304</v>
      </c>
      <c r="B569" s="1" t="s">
        <v>5192</v>
      </c>
      <c r="C569" s="1" t="s">
        <v>5193</v>
      </c>
      <c r="D569" s="1" t="s">
        <v>5305</v>
      </c>
      <c r="E569" s="1" t="s">
        <v>5306</v>
      </c>
      <c r="F569" s="1" t="s">
        <v>5307</v>
      </c>
      <c r="G569" s="1" t="s">
        <v>14129</v>
      </c>
      <c r="H569" s="1" t="s">
        <v>14679</v>
      </c>
      <c r="I569" s="1" t="s">
        <v>14689</v>
      </c>
      <c r="J569" s="1" t="s">
        <v>23</v>
      </c>
      <c r="K569" s="1"/>
      <c r="L569" s="1" t="s">
        <v>5223</v>
      </c>
      <c r="M569" s="1" t="s">
        <v>5308</v>
      </c>
      <c r="N569" s="1" t="s">
        <v>5225</v>
      </c>
      <c r="O569" s="1" t="s">
        <v>5226</v>
      </c>
      <c r="P569" s="1" t="s">
        <v>5227</v>
      </c>
      <c r="Q569" s="1" t="s">
        <v>5309</v>
      </c>
      <c r="R569" s="1" t="s">
        <v>5310</v>
      </c>
      <c r="S569" s="1" t="s">
        <v>5311</v>
      </c>
      <c r="T569" s="1" t="s">
        <v>5231</v>
      </c>
      <c r="U569">
        <v>171.71</v>
      </c>
      <c r="V569">
        <v>38.96</v>
      </c>
      <c r="W569">
        <v>15.120827</v>
      </c>
      <c r="X569">
        <v>108.79173400000001</v>
      </c>
      <c r="Y569">
        <v>132.75</v>
      </c>
      <c r="Z569">
        <v>15.118463999999999</v>
      </c>
      <c r="AA569">
        <v>108.75459600000001</v>
      </c>
      <c r="AB569" s="5">
        <f t="shared" si="49"/>
        <v>5.8439999999999999E-2</v>
      </c>
      <c r="AC569" s="5">
        <f t="shared" si="50"/>
        <v>0.199125</v>
      </c>
      <c r="AD569" s="1" t="str">
        <f t="shared" si="51"/>
        <v>Sơn Tịnh</v>
      </c>
      <c r="AE569" s="1" t="str">
        <f t="shared" si="52"/>
        <v>TT1 QUẢNG NGÃI</v>
      </c>
      <c r="AG569">
        <f t="shared" si="53"/>
        <v>3.8960000000000002E-2</v>
      </c>
      <c r="AH569">
        <f t="shared" si="54"/>
        <v>0.13275000000000001</v>
      </c>
      <c r="AI569">
        <f>VLOOKUP(L569,'[1]Tuyến cáp H04'!$B:$E,3,0)/1000</f>
        <v>12.047000000000001</v>
      </c>
      <c r="AJ569" t="str">
        <f>VLOOKUP(L569,'[1]Tuyến cáp H04'!$B:$E,4,0)</f>
        <v>Mạng cấp 4</v>
      </c>
    </row>
    <row r="570" spans="1:36" x14ac:dyDescent="0.25">
      <c r="A570" s="1" t="s">
        <v>5312</v>
      </c>
      <c r="B570" s="1" t="s">
        <v>5313</v>
      </c>
      <c r="C570" s="1" t="s">
        <v>5314</v>
      </c>
      <c r="D570" s="1" t="s">
        <v>5192</v>
      </c>
      <c r="E570" s="1" t="s">
        <v>5193</v>
      </c>
      <c r="F570" s="1" t="s">
        <v>5315</v>
      </c>
      <c r="G570" s="1" t="s">
        <v>14129</v>
      </c>
      <c r="H570" s="1" t="s">
        <v>14679</v>
      </c>
      <c r="I570" s="1" t="s">
        <v>14690</v>
      </c>
      <c r="J570" s="1" t="s">
        <v>23</v>
      </c>
      <c r="K570" s="1"/>
      <c r="L570" s="1" t="s">
        <v>5223</v>
      </c>
      <c r="M570" s="1" t="s">
        <v>5316</v>
      </c>
      <c r="N570" s="1" t="s">
        <v>5317</v>
      </c>
      <c r="O570" s="1" t="s">
        <v>5318</v>
      </c>
      <c r="P570" s="1" t="s">
        <v>5319</v>
      </c>
      <c r="Q570" s="1" t="s">
        <v>5225</v>
      </c>
      <c r="R570" s="1" t="s">
        <v>5226</v>
      </c>
      <c r="S570" s="1" t="s">
        <v>5227</v>
      </c>
      <c r="T570" s="1" t="s">
        <v>5231</v>
      </c>
      <c r="U570">
        <v>628.66999999999996</v>
      </c>
      <c r="V570">
        <v>589.72</v>
      </c>
      <c r="W570">
        <v>15.113611000000001</v>
      </c>
      <c r="X570">
        <v>108.77909699999999</v>
      </c>
      <c r="Y570">
        <v>38.96</v>
      </c>
      <c r="Z570">
        <v>15.120827</v>
      </c>
      <c r="AA570">
        <v>108.79173400000001</v>
      </c>
      <c r="AB570" s="5">
        <f t="shared" si="49"/>
        <v>0.88458000000000003</v>
      </c>
      <c r="AC570" s="5">
        <f t="shared" si="50"/>
        <v>5.8439999999999999E-2</v>
      </c>
      <c r="AD570" s="1" t="str">
        <f t="shared" si="51"/>
        <v>Sơn Tịnh</v>
      </c>
      <c r="AE570" s="1" t="str">
        <f t="shared" si="52"/>
        <v>TT1 QUẢNG NGÃI</v>
      </c>
      <c r="AG570">
        <f t="shared" si="53"/>
        <v>0.58972000000000002</v>
      </c>
      <c r="AH570">
        <f t="shared" si="54"/>
        <v>3.8960000000000002E-2</v>
      </c>
      <c r="AI570">
        <f>VLOOKUP(L570,'[1]Tuyến cáp H04'!$B:$E,3,0)/1000</f>
        <v>12.047000000000001</v>
      </c>
      <c r="AJ570" t="str">
        <f>VLOOKUP(L570,'[1]Tuyến cáp H04'!$B:$E,4,0)</f>
        <v>Mạng cấp 4</v>
      </c>
    </row>
    <row r="571" spans="1:36" x14ac:dyDescent="0.25">
      <c r="A571" s="1" t="s">
        <v>5320</v>
      </c>
      <c r="B571" s="1" t="s">
        <v>5321</v>
      </c>
      <c r="C571" s="1" t="s">
        <v>5322</v>
      </c>
      <c r="D571" s="1" t="s">
        <v>5192</v>
      </c>
      <c r="E571" s="1" t="s">
        <v>5193</v>
      </c>
      <c r="F571" s="1" t="s">
        <v>5323</v>
      </c>
      <c r="G571" s="1" t="s">
        <v>14281</v>
      </c>
      <c r="H571" s="1" t="s">
        <v>14282</v>
      </c>
      <c r="I571" s="1" t="s">
        <v>14691</v>
      </c>
      <c r="J571" s="1" t="s">
        <v>23</v>
      </c>
      <c r="K571" s="1"/>
      <c r="L571" s="1" t="s">
        <v>5324</v>
      </c>
      <c r="M571" s="1" t="s">
        <v>5325</v>
      </c>
      <c r="N571" s="1" t="s">
        <v>5326</v>
      </c>
      <c r="O571" s="1" t="s">
        <v>5327</v>
      </c>
      <c r="P571" s="1" t="s">
        <v>5328</v>
      </c>
      <c r="Q571" s="1" t="s">
        <v>5329</v>
      </c>
      <c r="R571" s="1" t="s">
        <v>5330</v>
      </c>
      <c r="S571" s="1" t="s">
        <v>5331</v>
      </c>
      <c r="T571" s="1" t="s">
        <v>5332</v>
      </c>
      <c r="U571">
        <v>606.29</v>
      </c>
      <c r="V571">
        <v>556.46</v>
      </c>
      <c r="W571">
        <v>15.127977</v>
      </c>
      <c r="X571">
        <v>108.795976</v>
      </c>
      <c r="Y571">
        <v>49.84</v>
      </c>
      <c r="Z571">
        <v>15.121444</v>
      </c>
      <c r="AA571">
        <v>108.792112</v>
      </c>
      <c r="AB571" s="5">
        <f t="shared" si="49"/>
        <v>0.83469000000000004</v>
      </c>
      <c r="AC571" s="5">
        <f t="shared" si="50"/>
        <v>7.4760000000000007E-2</v>
      </c>
      <c r="AD571" s="1" t="str">
        <f t="shared" si="51"/>
        <v>Khối Cảnh sát</v>
      </c>
      <c r="AE571" s="1" t="str">
        <f t="shared" si="52"/>
        <v>Khối Phòng CAT KV P.Nghĩa Lộ</v>
      </c>
      <c r="AG571">
        <f t="shared" si="53"/>
        <v>0.55646000000000007</v>
      </c>
      <c r="AH571">
        <f t="shared" si="54"/>
        <v>4.9840000000000002E-2</v>
      </c>
      <c r="AI571" t="e">
        <f>VLOOKUP(L571,'[1]Tuyến cáp H04'!$B:$E,3,0)/1000</f>
        <v>#N/A</v>
      </c>
      <c r="AJ571" t="e">
        <f>VLOOKUP(L571,'[1]Tuyến cáp H04'!$B:$E,4,0)</f>
        <v>#N/A</v>
      </c>
    </row>
    <row r="572" spans="1:36" x14ac:dyDescent="0.25">
      <c r="A572" s="1" t="s">
        <v>5333</v>
      </c>
      <c r="B572" s="1" t="s">
        <v>5192</v>
      </c>
      <c r="C572" s="1" t="s">
        <v>5193</v>
      </c>
      <c r="D572" s="1" t="s">
        <v>5321</v>
      </c>
      <c r="E572" s="1" t="s">
        <v>5322</v>
      </c>
      <c r="F572" s="1" t="s">
        <v>5334</v>
      </c>
      <c r="G572" s="1" t="s">
        <v>14281</v>
      </c>
      <c r="H572" s="1" t="s">
        <v>14282</v>
      </c>
      <c r="I572" s="1" t="s">
        <v>14692</v>
      </c>
      <c r="J572" s="1" t="s">
        <v>23</v>
      </c>
      <c r="K572" s="1"/>
      <c r="L572" s="1" t="s">
        <v>5324</v>
      </c>
      <c r="M572" s="1" t="s">
        <v>5325</v>
      </c>
      <c r="N572" s="1" t="s">
        <v>5329</v>
      </c>
      <c r="O572" s="1" t="s">
        <v>5330</v>
      </c>
      <c r="P572" s="1" t="s">
        <v>5331</v>
      </c>
      <c r="Q572" s="1" t="s">
        <v>5326</v>
      </c>
      <c r="R572" s="1" t="s">
        <v>5327</v>
      </c>
      <c r="S572" s="1" t="s">
        <v>5328</v>
      </c>
      <c r="T572" s="1" t="s">
        <v>5332</v>
      </c>
      <c r="U572">
        <v>606.29</v>
      </c>
      <c r="V572">
        <v>49.84</v>
      </c>
      <c r="W572">
        <v>15.121444</v>
      </c>
      <c r="X572">
        <v>108.792112</v>
      </c>
      <c r="Y572">
        <v>556.46</v>
      </c>
      <c r="Z572">
        <v>15.127977</v>
      </c>
      <c r="AA572">
        <v>108.795976</v>
      </c>
      <c r="AB572" s="5">
        <f t="shared" si="49"/>
        <v>7.4760000000000007E-2</v>
      </c>
      <c r="AC572" s="5">
        <f t="shared" si="50"/>
        <v>0.83469000000000004</v>
      </c>
      <c r="AD572" s="1" t="str">
        <f t="shared" si="51"/>
        <v>Khối Cảnh sát</v>
      </c>
      <c r="AE572" s="1" t="str">
        <f t="shared" si="52"/>
        <v>Khối Phòng CAT KV P.Nghĩa Lộ</v>
      </c>
      <c r="AG572">
        <f t="shared" si="53"/>
        <v>4.9840000000000002E-2</v>
      </c>
      <c r="AH572">
        <f t="shared" si="54"/>
        <v>0.55646000000000007</v>
      </c>
      <c r="AI572" t="e">
        <f>VLOOKUP(L572,'[1]Tuyến cáp H04'!$B:$E,3,0)/1000</f>
        <v>#N/A</v>
      </c>
      <c r="AJ572" t="e">
        <f>VLOOKUP(L572,'[1]Tuyến cáp H04'!$B:$E,4,0)</f>
        <v>#N/A</v>
      </c>
    </row>
    <row r="573" spans="1:36" x14ac:dyDescent="0.25">
      <c r="A573" s="1" t="s">
        <v>5191</v>
      </c>
      <c r="B573" s="1" t="s">
        <v>5192</v>
      </c>
      <c r="C573" s="1" t="s">
        <v>5193</v>
      </c>
      <c r="D573" s="1" t="s">
        <v>5194</v>
      </c>
      <c r="E573" s="1" t="s">
        <v>5195</v>
      </c>
      <c r="F573" s="1" t="s">
        <v>5335</v>
      </c>
      <c r="G573" s="1" t="s">
        <v>14281</v>
      </c>
      <c r="H573" s="1" t="s">
        <v>14282</v>
      </c>
      <c r="I573" s="1" t="s">
        <v>14677</v>
      </c>
      <c r="J573" s="1" t="s">
        <v>23</v>
      </c>
      <c r="K573" s="1"/>
      <c r="L573" s="1" t="s">
        <v>5197</v>
      </c>
      <c r="M573" s="1" t="s">
        <v>5198</v>
      </c>
      <c r="N573" s="1" t="s">
        <v>5199</v>
      </c>
      <c r="O573" s="1" t="s">
        <v>5200</v>
      </c>
      <c r="P573" s="1" t="s">
        <v>5201</v>
      </c>
      <c r="Q573" s="1" t="s">
        <v>5202</v>
      </c>
      <c r="R573" s="1" t="s">
        <v>5203</v>
      </c>
      <c r="S573" s="1" t="s">
        <v>5204</v>
      </c>
      <c r="T573" s="1" t="s">
        <v>5205</v>
      </c>
      <c r="U573">
        <v>1060.3499999999999</v>
      </c>
      <c r="V573">
        <v>860.1</v>
      </c>
      <c r="W573">
        <v>15.113571</v>
      </c>
      <c r="X573">
        <v>108.78981899999999</v>
      </c>
      <c r="Y573">
        <v>200.25</v>
      </c>
      <c r="Z573">
        <v>15.044577</v>
      </c>
      <c r="AA573">
        <v>108.774884</v>
      </c>
      <c r="AB573" s="5">
        <f t="shared" si="49"/>
        <v>1.2901500000000001</v>
      </c>
      <c r="AC573" s="5">
        <f t="shared" si="50"/>
        <v>0.300375</v>
      </c>
      <c r="AD573" s="1" t="str">
        <f t="shared" si="51"/>
        <v>TT1 Quảng Ngãi</v>
      </c>
      <c r="AE573" s="1" t="str">
        <f t="shared" si="52"/>
        <v>Minh Long</v>
      </c>
      <c r="AG573">
        <f t="shared" si="53"/>
        <v>0.86009999999999998</v>
      </c>
      <c r="AH573">
        <f t="shared" si="54"/>
        <v>0.20025000000000001</v>
      </c>
      <c r="AI573">
        <f>VLOOKUP(L573,'[1]Tuyến cáp H04'!$B:$E,3,0)/1000</f>
        <v>45.045000000000002</v>
      </c>
      <c r="AJ573" t="str">
        <f>VLOOKUP(L573,'[1]Tuyến cáp H04'!$B:$E,4,0)</f>
        <v>Mạng cấp 3</v>
      </c>
    </row>
    <row r="574" spans="1:36" x14ac:dyDescent="0.25">
      <c r="A574" s="1" t="s">
        <v>5336</v>
      </c>
      <c r="B574" s="1" t="s">
        <v>5192</v>
      </c>
      <c r="C574" s="1" t="s">
        <v>5193</v>
      </c>
      <c r="D574" s="1" t="s">
        <v>5337</v>
      </c>
      <c r="E574" s="1" t="s">
        <v>5338</v>
      </c>
      <c r="F574" s="1" t="s">
        <v>5339</v>
      </c>
      <c r="G574" s="1" t="s">
        <v>14281</v>
      </c>
      <c r="H574" s="1" t="s">
        <v>14282</v>
      </c>
      <c r="I574" s="1" t="s">
        <v>14693</v>
      </c>
      <c r="J574" s="1" t="s">
        <v>23</v>
      </c>
      <c r="K574" s="1"/>
      <c r="L574" s="1" t="s">
        <v>5340</v>
      </c>
      <c r="M574" s="1" t="s">
        <v>5341</v>
      </c>
      <c r="N574" s="1" t="s">
        <v>5342</v>
      </c>
      <c r="O574" s="1" t="s">
        <v>5343</v>
      </c>
      <c r="P574" s="1" t="s">
        <v>5344</v>
      </c>
      <c r="Q574" s="1" t="s">
        <v>5345</v>
      </c>
      <c r="R574" s="1" t="s">
        <v>5346</v>
      </c>
      <c r="S574" s="1" t="s">
        <v>5347</v>
      </c>
      <c r="T574" s="1" t="s">
        <v>5348</v>
      </c>
      <c r="U574">
        <v>49.18</v>
      </c>
      <c r="V574">
        <v>37.5</v>
      </c>
      <c r="W574">
        <v>15.120825999999999</v>
      </c>
      <c r="X574">
        <v>108.791751</v>
      </c>
      <c r="Y574">
        <v>11.68</v>
      </c>
      <c r="Z574">
        <v>15.113891000000001</v>
      </c>
      <c r="AA574">
        <v>108.79631999999999</v>
      </c>
      <c r="AB574" s="5">
        <f t="shared" si="49"/>
        <v>5.6250000000000001E-2</v>
      </c>
      <c r="AC574" s="5">
        <f t="shared" si="50"/>
        <v>1.7520000000000001E-2</v>
      </c>
      <c r="AD574" s="1" t="str">
        <f t="shared" si="51"/>
        <v>Khối Phòng PA08_PA05</v>
      </c>
      <c r="AE574" s="1" t="str">
        <f t="shared" si="52"/>
        <v>TT1 Quảng Ngãi</v>
      </c>
      <c r="AG574">
        <f t="shared" si="53"/>
        <v>3.7499999999999999E-2</v>
      </c>
      <c r="AH574">
        <f t="shared" si="54"/>
        <v>1.1679999999999999E-2</v>
      </c>
      <c r="AI574" t="e">
        <f>VLOOKUP(L574,'[1]Tuyến cáp H04'!$B:$E,3,0)/1000</f>
        <v>#N/A</v>
      </c>
      <c r="AJ574" t="e">
        <f>VLOOKUP(L574,'[1]Tuyến cáp H04'!$B:$E,4,0)</f>
        <v>#N/A</v>
      </c>
    </row>
    <row r="575" spans="1:36" x14ac:dyDescent="0.25">
      <c r="A575" s="1" t="s">
        <v>5349</v>
      </c>
      <c r="B575" s="1" t="s">
        <v>5350</v>
      </c>
      <c r="C575" s="1" t="s">
        <v>5351</v>
      </c>
      <c r="D575" s="1" t="s">
        <v>5352</v>
      </c>
      <c r="E575" s="1" t="s">
        <v>5353</v>
      </c>
      <c r="F575" s="1" t="s">
        <v>5354</v>
      </c>
      <c r="G575" s="1" t="s">
        <v>14129</v>
      </c>
      <c r="H575" s="1" t="s">
        <v>14133</v>
      </c>
      <c r="I575" s="1" t="s">
        <v>14694</v>
      </c>
      <c r="J575" s="1" t="s">
        <v>23</v>
      </c>
      <c r="K575" s="1"/>
      <c r="L575" s="1" t="s">
        <v>5355</v>
      </c>
      <c r="M575" s="1" t="s">
        <v>5356</v>
      </c>
      <c r="N575" s="1" t="s">
        <v>5357</v>
      </c>
      <c r="O575" s="1" t="s">
        <v>5358</v>
      </c>
      <c r="P575" s="1" t="s">
        <v>5359</v>
      </c>
      <c r="Q575" s="1" t="s">
        <v>5360</v>
      </c>
      <c r="R575" s="1" t="s">
        <v>5361</v>
      </c>
      <c r="S575" s="1" t="s">
        <v>5362</v>
      </c>
      <c r="T575" s="1" t="s">
        <v>5363</v>
      </c>
      <c r="U575">
        <v>3196.39</v>
      </c>
      <c r="V575">
        <v>757.26</v>
      </c>
      <c r="W575">
        <v>14.941793000000001</v>
      </c>
      <c r="X575">
        <v>108.884749</v>
      </c>
      <c r="Y575">
        <v>2439.13</v>
      </c>
      <c r="Z575">
        <v>15.038804000000001</v>
      </c>
      <c r="AA575">
        <v>108.852233</v>
      </c>
      <c r="AB575" s="5">
        <f t="shared" si="49"/>
        <v>1.1358899999999998</v>
      </c>
      <c r="AC575" s="5">
        <f t="shared" si="50"/>
        <v>3.6586950000000003</v>
      </c>
      <c r="AD575" s="1" t="str">
        <f t="shared" si="51"/>
        <v>Đức Phổ</v>
      </c>
      <c r="AE575" s="1" t="str">
        <f t="shared" si="52"/>
        <v>TT1 Quảng Ngãi mới</v>
      </c>
      <c r="AG575">
        <f t="shared" si="53"/>
        <v>0.75726000000000004</v>
      </c>
      <c r="AH575">
        <f t="shared" si="54"/>
        <v>2.43913</v>
      </c>
      <c r="AI575" t="e">
        <f>VLOOKUP(L575,'[1]Tuyến cáp H04'!$B:$E,3,0)/1000</f>
        <v>#N/A</v>
      </c>
      <c r="AJ575" t="e">
        <f>VLOOKUP(L575,'[1]Tuyến cáp H04'!$B:$E,4,0)</f>
        <v>#N/A</v>
      </c>
    </row>
    <row r="576" spans="1:36" x14ac:dyDescent="0.25">
      <c r="A576" s="1" t="s">
        <v>5364</v>
      </c>
      <c r="B576" s="1" t="s">
        <v>5350</v>
      </c>
      <c r="C576" s="1" t="s">
        <v>5351</v>
      </c>
      <c r="D576" s="1" t="s">
        <v>5365</v>
      </c>
      <c r="E576" s="1" t="s">
        <v>5366</v>
      </c>
      <c r="F576" s="1" t="s">
        <v>5367</v>
      </c>
      <c r="G576" s="1" t="s">
        <v>14129</v>
      </c>
      <c r="H576" s="1" t="s">
        <v>14133</v>
      </c>
      <c r="I576" s="1" t="s">
        <v>14695</v>
      </c>
      <c r="J576" s="1" t="s">
        <v>23</v>
      </c>
      <c r="K576" s="1"/>
      <c r="L576" s="1" t="s">
        <v>5368</v>
      </c>
      <c r="M576" s="1" t="s">
        <v>5369</v>
      </c>
      <c r="N576" s="1" t="s">
        <v>5370</v>
      </c>
      <c r="O576" s="1" t="s">
        <v>5371</v>
      </c>
      <c r="P576" s="1" t="s">
        <v>5372</v>
      </c>
      <c r="Q576" s="1" t="s">
        <v>5373</v>
      </c>
      <c r="R576" s="1" t="s">
        <v>5374</v>
      </c>
      <c r="S576" s="1" t="s">
        <v>5375</v>
      </c>
      <c r="T576" s="1" t="s">
        <v>5376</v>
      </c>
      <c r="U576">
        <v>653.54</v>
      </c>
      <c r="V576">
        <v>321.69</v>
      </c>
      <c r="W576">
        <v>14.94886</v>
      </c>
      <c r="X576">
        <v>108.885069</v>
      </c>
      <c r="Y576">
        <v>331.85</v>
      </c>
      <c r="Z576">
        <v>14.9232</v>
      </c>
      <c r="AA576">
        <v>108.90261099999999</v>
      </c>
      <c r="AB576" s="5">
        <f t="shared" si="49"/>
        <v>0.48253499999999999</v>
      </c>
      <c r="AC576" s="5">
        <f t="shared" si="50"/>
        <v>0.49777500000000002</v>
      </c>
      <c r="AD576" s="1" t="str">
        <f t="shared" si="51"/>
        <v>Trà Câu</v>
      </c>
      <c r="AE576" s="1" t="str">
        <f t="shared" si="52"/>
        <v>Mộ Đức</v>
      </c>
      <c r="AG576">
        <f t="shared" si="53"/>
        <v>0.32168999999999998</v>
      </c>
      <c r="AH576">
        <f t="shared" si="54"/>
        <v>0.33185000000000003</v>
      </c>
      <c r="AI576">
        <f>VLOOKUP(L576,'[1]Tuyến cáp H04'!$B:$E,3,0)/1000</f>
        <v>12.47</v>
      </c>
      <c r="AJ576" t="str">
        <f>VLOOKUP(L576,'[1]Tuyến cáp H04'!$B:$E,4,0)</f>
        <v>Mạng cấp 4</v>
      </c>
    </row>
    <row r="577" spans="1:36" x14ac:dyDescent="0.25">
      <c r="A577" s="1" t="s">
        <v>5377</v>
      </c>
      <c r="B577" s="1" t="s">
        <v>5350</v>
      </c>
      <c r="C577" s="1" t="s">
        <v>5351</v>
      </c>
      <c r="D577" s="1" t="s">
        <v>5378</v>
      </c>
      <c r="E577" s="1" t="s">
        <v>5379</v>
      </c>
      <c r="F577" s="1" t="s">
        <v>5380</v>
      </c>
      <c r="G577" s="1" t="s">
        <v>14129</v>
      </c>
      <c r="H577" s="1" t="s">
        <v>14133</v>
      </c>
      <c r="I577" s="1" t="s">
        <v>14696</v>
      </c>
      <c r="J577" s="1" t="s">
        <v>23</v>
      </c>
      <c r="K577" s="1"/>
      <c r="L577" s="1" t="s">
        <v>5381</v>
      </c>
      <c r="M577" s="1" t="s">
        <v>5382</v>
      </c>
      <c r="N577" s="1" t="s">
        <v>5383</v>
      </c>
      <c r="O577" s="1" t="s">
        <v>5384</v>
      </c>
      <c r="P577" s="1" t="s">
        <v>5385</v>
      </c>
      <c r="Q577" s="1" t="s">
        <v>5386</v>
      </c>
      <c r="R577" s="1" t="s">
        <v>5387</v>
      </c>
      <c r="S577" s="1" t="s">
        <v>5388</v>
      </c>
      <c r="T577" s="1" t="s">
        <v>5389</v>
      </c>
      <c r="U577">
        <v>2747.46</v>
      </c>
      <c r="V577">
        <v>683.74</v>
      </c>
      <c r="W577">
        <v>14.953834000000001</v>
      </c>
      <c r="X577">
        <v>108.88625999999999</v>
      </c>
      <c r="Y577">
        <v>2063.7199999999998</v>
      </c>
      <c r="Z577">
        <v>14.996029999999999</v>
      </c>
      <c r="AA577">
        <v>108.85276500000001</v>
      </c>
      <c r="AB577" s="5">
        <f t="shared" si="49"/>
        <v>1.0256100000000001</v>
      </c>
      <c r="AC577" s="5">
        <f t="shared" si="50"/>
        <v>3.09558</v>
      </c>
      <c r="AD577" s="1" t="str">
        <f t="shared" si="51"/>
        <v>Mộ Đức</v>
      </c>
      <c r="AE577" s="1" t="str">
        <f t="shared" si="52"/>
        <v>Vệ Giang</v>
      </c>
      <c r="AG577">
        <f t="shared" si="53"/>
        <v>0.68374000000000001</v>
      </c>
      <c r="AH577">
        <f t="shared" si="54"/>
        <v>2.06372</v>
      </c>
      <c r="AI577">
        <f>VLOOKUP(L577,'[1]Tuyến cáp H04'!$B:$E,3,0)/1000</f>
        <v>17.908000000000001</v>
      </c>
      <c r="AJ577" t="str">
        <f>VLOOKUP(L577,'[1]Tuyến cáp H04'!$B:$E,4,0)</f>
        <v>Mạng cấp 4</v>
      </c>
    </row>
    <row r="578" spans="1:36" x14ac:dyDescent="0.25">
      <c r="A578" s="1" t="s">
        <v>5390</v>
      </c>
      <c r="B578" s="1" t="s">
        <v>5350</v>
      </c>
      <c r="C578" s="1" t="s">
        <v>5351</v>
      </c>
      <c r="D578" s="1" t="s">
        <v>5391</v>
      </c>
      <c r="E578" s="1" t="s">
        <v>5392</v>
      </c>
      <c r="F578" s="1" t="s">
        <v>5393</v>
      </c>
      <c r="G578" s="1" t="s">
        <v>14129</v>
      </c>
      <c r="H578" s="1" t="s">
        <v>14133</v>
      </c>
      <c r="I578" s="1" t="s">
        <v>14697</v>
      </c>
      <c r="J578" s="1" t="s">
        <v>23</v>
      </c>
      <c r="K578" s="1"/>
      <c r="L578" s="1" t="s">
        <v>5355</v>
      </c>
      <c r="M578" s="1" t="s">
        <v>5394</v>
      </c>
      <c r="N578" s="1" t="s">
        <v>5357</v>
      </c>
      <c r="O578" s="1" t="s">
        <v>5358</v>
      </c>
      <c r="P578" s="1" t="s">
        <v>5359</v>
      </c>
      <c r="Q578" s="1" t="s">
        <v>5395</v>
      </c>
      <c r="R578" s="1" t="s">
        <v>5396</v>
      </c>
      <c r="S578" s="1" t="s">
        <v>5397</v>
      </c>
      <c r="T578" s="1" t="s">
        <v>5363</v>
      </c>
      <c r="U578">
        <v>951.83</v>
      </c>
      <c r="V578">
        <v>757.26</v>
      </c>
      <c r="W578">
        <v>14.941793000000001</v>
      </c>
      <c r="X578">
        <v>108.884749</v>
      </c>
      <c r="Y578">
        <v>194.57</v>
      </c>
      <c r="Z578">
        <v>15.011333</v>
      </c>
      <c r="AA578">
        <v>108.869854</v>
      </c>
      <c r="AB578" s="5">
        <f t="shared" si="49"/>
        <v>1.1358899999999998</v>
      </c>
      <c r="AC578" s="5">
        <f t="shared" si="50"/>
        <v>0.29185500000000003</v>
      </c>
      <c r="AD578" s="1" t="str">
        <f t="shared" si="51"/>
        <v>Đức Phổ</v>
      </c>
      <c r="AE578" s="1" t="str">
        <f t="shared" si="52"/>
        <v>TT1 Quảng Ngãi mới</v>
      </c>
      <c r="AG578">
        <f t="shared" si="53"/>
        <v>0.75726000000000004</v>
      </c>
      <c r="AH578">
        <f t="shared" si="54"/>
        <v>0.19456999999999999</v>
      </c>
      <c r="AI578" t="e">
        <f>VLOOKUP(L578,'[1]Tuyến cáp H04'!$B:$E,3,0)/1000</f>
        <v>#N/A</v>
      </c>
      <c r="AJ578" t="e">
        <f>VLOOKUP(L578,'[1]Tuyến cáp H04'!$B:$E,4,0)</f>
        <v>#N/A</v>
      </c>
    </row>
    <row r="579" spans="1:36" x14ac:dyDescent="0.25">
      <c r="A579" s="1" t="s">
        <v>5398</v>
      </c>
      <c r="B579" s="1" t="s">
        <v>5350</v>
      </c>
      <c r="C579" s="1" t="s">
        <v>5351</v>
      </c>
      <c r="D579" s="1" t="s">
        <v>5399</v>
      </c>
      <c r="E579" s="1" t="s">
        <v>5400</v>
      </c>
      <c r="F579" s="1" t="s">
        <v>5401</v>
      </c>
      <c r="G579" s="1" t="s">
        <v>14129</v>
      </c>
      <c r="H579" s="1" t="s">
        <v>14133</v>
      </c>
      <c r="I579" s="1" t="s">
        <v>14698</v>
      </c>
      <c r="J579" s="1" t="s">
        <v>23</v>
      </c>
      <c r="K579" s="1"/>
      <c r="L579" s="1" t="s">
        <v>5368</v>
      </c>
      <c r="M579" s="1" t="s">
        <v>5402</v>
      </c>
      <c r="N579" s="1" t="s">
        <v>5370</v>
      </c>
      <c r="O579" s="1" t="s">
        <v>5371</v>
      </c>
      <c r="P579" s="1" t="s">
        <v>5372</v>
      </c>
      <c r="Q579" s="1" t="s">
        <v>5403</v>
      </c>
      <c r="R579" s="1" t="s">
        <v>5404</v>
      </c>
      <c r="S579" s="1" t="s">
        <v>5405</v>
      </c>
      <c r="T579" s="1" t="s">
        <v>5376</v>
      </c>
      <c r="U579">
        <v>1972.89</v>
      </c>
      <c r="V579">
        <v>321.69</v>
      </c>
      <c r="W579">
        <v>14.94886</v>
      </c>
      <c r="X579">
        <v>108.885069</v>
      </c>
      <c r="Y579">
        <v>1651.2</v>
      </c>
      <c r="Z579">
        <v>14.920210000000001</v>
      </c>
      <c r="AA579">
        <v>108.904616</v>
      </c>
      <c r="AB579" s="5">
        <f t="shared" ref="AB579:AB642" si="55">V579*1.5/1000</f>
        <v>0.48253499999999999</v>
      </c>
      <c r="AC579" s="5">
        <f t="shared" ref="AC579:AC642" si="56">Y579*1.5/1000</f>
        <v>2.4768000000000003</v>
      </c>
      <c r="AD579" s="1" t="str">
        <f t="shared" ref="AD579:AD642" si="57">TRIM(LEFT(L579,FIND("-",L579)-1))</f>
        <v>Trà Câu</v>
      </c>
      <c r="AE579" s="1" t="str">
        <f t="shared" ref="AE579:AE642" si="58">TRIM(RIGHT(L579, LEN(L579) - FIND("-", L579)))</f>
        <v>Mộ Đức</v>
      </c>
      <c r="AG579">
        <f t="shared" ref="AG579:AG642" si="59">V579/1000</f>
        <v>0.32168999999999998</v>
      </c>
      <c r="AH579">
        <f t="shared" ref="AH579:AH642" si="60">Y579/1000</f>
        <v>1.6512</v>
      </c>
      <c r="AI579">
        <f>VLOOKUP(L579,'[1]Tuyến cáp H04'!$B:$E,3,0)/1000</f>
        <v>12.47</v>
      </c>
      <c r="AJ579" t="str">
        <f>VLOOKUP(L579,'[1]Tuyến cáp H04'!$B:$E,4,0)</f>
        <v>Mạng cấp 4</v>
      </c>
    </row>
    <row r="580" spans="1:36" x14ac:dyDescent="0.25">
      <c r="A580" s="1" t="s">
        <v>5406</v>
      </c>
      <c r="B580" s="1" t="s">
        <v>5350</v>
      </c>
      <c r="C580" s="1" t="s">
        <v>5351</v>
      </c>
      <c r="D580" s="1" t="s">
        <v>5407</v>
      </c>
      <c r="E580" s="1" t="s">
        <v>5408</v>
      </c>
      <c r="F580" s="1" t="s">
        <v>5409</v>
      </c>
      <c r="G580" s="1" t="s">
        <v>14129</v>
      </c>
      <c r="H580" s="1" t="s">
        <v>14133</v>
      </c>
      <c r="I580" s="1" t="s">
        <v>14699</v>
      </c>
      <c r="J580" s="1" t="s">
        <v>23</v>
      </c>
      <c r="K580" s="1"/>
      <c r="L580" s="1" t="s">
        <v>5381</v>
      </c>
      <c r="M580" s="1" t="s">
        <v>5410</v>
      </c>
      <c r="N580" s="1" t="s">
        <v>5411</v>
      </c>
      <c r="O580" s="1" t="s">
        <v>5412</v>
      </c>
      <c r="P580" s="1" t="s">
        <v>5413</v>
      </c>
      <c r="Q580" s="1" t="s">
        <v>5414</v>
      </c>
      <c r="R580" s="1" t="s">
        <v>5384</v>
      </c>
      <c r="S580" s="1" t="s">
        <v>5415</v>
      </c>
      <c r="T580" s="1" t="s">
        <v>5416</v>
      </c>
      <c r="U580">
        <v>636.9</v>
      </c>
      <c r="V580">
        <v>228.52</v>
      </c>
      <c r="W580">
        <v>14.949937</v>
      </c>
      <c r="X580">
        <v>108.887698</v>
      </c>
      <c r="Y580">
        <v>408.38</v>
      </c>
      <c r="Z580">
        <v>14.953834000000001</v>
      </c>
      <c r="AA580">
        <v>108.886257</v>
      </c>
      <c r="AB580" s="5">
        <f t="shared" si="55"/>
        <v>0.34278000000000003</v>
      </c>
      <c r="AC580" s="5">
        <f t="shared" si="56"/>
        <v>0.61256999999999995</v>
      </c>
      <c r="AD580" s="1" t="str">
        <f t="shared" si="57"/>
        <v>Mộ Đức</v>
      </c>
      <c r="AE580" s="1" t="str">
        <f t="shared" si="58"/>
        <v>Vệ Giang</v>
      </c>
      <c r="AG580">
        <f t="shared" si="59"/>
        <v>0.22852</v>
      </c>
      <c r="AH580">
        <f t="shared" si="60"/>
        <v>0.40838000000000002</v>
      </c>
      <c r="AI580">
        <f>VLOOKUP(L580,'[1]Tuyến cáp H04'!$B:$E,3,0)/1000</f>
        <v>17.908000000000001</v>
      </c>
      <c r="AJ580" t="str">
        <f>VLOOKUP(L580,'[1]Tuyến cáp H04'!$B:$E,4,0)</f>
        <v>Mạng cấp 4</v>
      </c>
    </row>
    <row r="581" spans="1:36" x14ac:dyDescent="0.25">
      <c r="A581" s="1" t="s">
        <v>5377</v>
      </c>
      <c r="B581" s="1" t="s">
        <v>5350</v>
      </c>
      <c r="C581" s="1" t="s">
        <v>5351</v>
      </c>
      <c r="D581" s="1" t="s">
        <v>5378</v>
      </c>
      <c r="E581" s="1" t="s">
        <v>5379</v>
      </c>
      <c r="F581" s="1" t="s">
        <v>5417</v>
      </c>
      <c r="G581" s="1" t="s">
        <v>14129</v>
      </c>
      <c r="H581" s="1" t="s">
        <v>14700</v>
      </c>
      <c r="I581" s="1" t="s">
        <v>14696</v>
      </c>
      <c r="J581" s="1" t="s">
        <v>23</v>
      </c>
      <c r="K581" s="1"/>
      <c r="L581" s="1" t="s">
        <v>5381</v>
      </c>
      <c r="M581" s="1" t="s">
        <v>5382</v>
      </c>
      <c r="N581" s="1" t="s">
        <v>5383</v>
      </c>
      <c r="O581" s="1" t="s">
        <v>5384</v>
      </c>
      <c r="P581" s="1" t="s">
        <v>5385</v>
      </c>
      <c r="Q581" s="1" t="s">
        <v>5386</v>
      </c>
      <c r="R581" s="1" t="s">
        <v>5387</v>
      </c>
      <c r="S581" s="1" t="s">
        <v>5388</v>
      </c>
      <c r="T581" s="1" t="s">
        <v>5389</v>
      </c>
      <c r="U581">
        <v>2747.46</v>
      </c>
      <c r="V581">
        <v>683.74</v>
      </c>
      <c r="W581">
        <v>14.953834000000001</v>
      </c>
      <c r="X581">
        <v>108.88625999999999</v>
      </c>
      <c r="Y581">
        <v>2063.7199999999998</v>
      </c>
      <c r="Z581">
        <v>14.996029999999999</v>
      </c>
      <c r="AA581">
        <v>108.85276500000001</v>
      </c>
      <c r="AB581" s="5">
        <f t="shared" si="55"/>
        <v>1.0256100000000001</v>
      </c>
      <c r="AC581" s="5">
        <f t="shared" si="56"/>
        <v>3.09558</v>
      </c>
      <c r="AD581" s="1" t="str">
        <f t="shared" si="57"/>
        <v>Mộ Đức</v>
      </c>
      <c r="AE581" s="1" t="str">
        <f t="shared" si="58"/>
        <v>Vệ Giang</v>
      </c>
      <c r="AG581">
        <f t="shared" si="59"/>
        <v>0.68374000000000001</v>
      </c>
      <c r="AH581">
        <f t="shared" si="60"/>
        <v>2.06372</v>
      </c>
      <c r="AI581">
        <f>VLOOKUP(L581,'[1]Tuyến cáp H04'!$B:$E,3,0)/1000</f>
        <v>17.908000000000001</v>
      </c>
      <c r="AJ581" t="str">
        <f>VLOOKUP(L581,'[1]Tuyến cáp H04'!$B:$E,4,0)</f>
        <v>Mạng cấp 4</v>
      </c>
    </row>
    <row r="582" spans="1:36" x14ac:dyDescent="0.25">
      <c r="A582" s="1" t="s">
        <v>5349</v>
      </c>
      <c r="B582" s="1" t="s">
        <v>5350</v>
      </c>
      <c r="C582" s="1" t="s">
        <v>5351</v>
      </c>
      <c r="D582" s="1" t="s">
        <v>5352</v>
      </c>
      <c r="E582" s="1" t="s">
        <v>5353</v>
      </c>
      <c r="F582" s="1" t="s">
        <v>5418</v>
      </c>
      <c r="G582" s="1" t="s">
        <v>14129</v>
      </c>
      <c r="H582" s="1" t="s">
        <v>14700</v>
      </c>
      <c r="I582" s="1" t="s">
        <v>14694</v>
      </c>
      <c r="J582" s="1" t="s">
        <v>23</v>
      </c>
      <c r="K582" s="1"/>
      <c r="L582" s="1" t="s">
        <v>5355</v>
      </c>
      <c r="M582" s="1" t="s">
        <v>5356</v>
      </c>
      <c r="N582" s="1" t="s">
        <v>5357</v>
      </c>
      <c r="O582" s="1" t="s">
        <v>5358</v>
      </c>
      <c r="P582" s="1" t="s">
        <v>5359</v>
      </c>
      <c r="Q582" s="1" t="s">
        <v>5360</v>
      </c>
      <c r="R582" s="1" t="s">
        <v>5361</v>
      </c>
      <c r="S582" s="1" t="s">
        <v>5362</v>
      </c>
      <c r="T582" s="1" t="s">
        <v>5363</v>
      </c>
      <c r="U582">
        <v>3196.39</v>
      </c>
      <c r="V582">
        <v>757.26</v>
      </c>
      <c r="W582">
        <v>14.941793000000001</v>
      </c>
      <c r="X582">
        <v>108.884749</v>
      </c>
      <c r="Y582">
        <v>2439.13</v>
      </c>
      <c r="Z582">
        <v>15.038804000000001</v>
      </c>
      <c r="AA582">
        <v>108.852233</v>
      </c>
      <c r="AB582" s="5">
        <f t="shared" si="55"/>
        <v>1.1358899999999998</v>
      </c>
      <c r="AC582" s="5">
        <f t="shared" si="56"/>
        <v>3.6586950000000003</v>
      </c>
      <c r="AD582" s="1" t="str">
        <f t="shared" si="57"/>
        <v>Đức Phổ</v>
      </c>
      <c r="AE582" s="1" t="str">
        <f t="shared" si="58"/>
        <v>TT1 Quảng Ngãi mới</v>
      </c>
      <c r="AG582">
        <f t="shared" si="59"/>
        <v>0.75726000000000004</v>
      </c>
      <c r="AH582">
        <f t="shared" si="60"/>
        <v>2.43913</v>
      </c>
      <c r="AI582" t="e">
        <f>VLOOKUP(L582,'[1]Tuyến cáp H04'!$B:$E,3,0)/1000</f>
        <v>#N/A</v>
      </c>
      <c r="AJ582" t="e">
        <f>VLOOKUP(L582,'[1]Tuyến cáp H04'!$B:$E,4,0)</f>
        <v>#N/A</v>
      </c>
    </row>
    <row r="583" spans="1:36" x14ac:dyDescent="0.25">
      <c r="A583" s="1" t="s">
        <v>5419</v>
      </c>
      <c r="B583" s="1" t="s">
        <v>5194</v>
      </c>
      <c r="C583" s="1" t="s">
        <v>5195</v>
      </c>
      <c r="D583" s="1" t="s">
        <v>5350</v>
      </c>
      <c r="E583" s="1" t="s">
        <v>5351</v>
      </c>
      <c r="F583" s="1" t="s">
        <v>5420</v>
      </c>
      <c r="G583" s="1" t="s">
        <v>14129</v>
      </c>
      <c r="H583" s="1" t="s">
        <v>14133</v>
      </c>
      <c r="I583" s="1" t="s">
        <v>14701</v>
      </c>
      <c r="J583" s="1" t="s">
        <v>23</v>
      </c>
      <c r="K583" s="1"/>
      <c r="L583" s="1" t="s">
        <v>5381</v>
      </c>
      <c r="M583" s="1" t="s">
        <v>5421</v>
      </c>
      <c r="N583" s="1" t="s">
        <v>5422</v>
      </c>
      <c r="O583" s="1" t="s">
        <v>5423</v>
      </c>
      <c r="P583" s="1" t="s">
        <v>5424</v>
      </c>
      <c r="Q583" s="1" t="s">
        <v>5383</v>
      </c>
      <c r="R583" s="1" t="s">
        <v>5384</v>
      </c>
      <c r="S583" s="1" t="s">
        <v>5385</v>
      </c>
      <c r="T583" s="1" t="s">
        <v>5389</v>
      </c>
      <c r="U583">
        <v>8758.42</v>
      </c>
      <c r="V583">
        <v>8074.67</v>
      </c>
      <c r="W583">
        <v>15.008497999999999</v>
      </c>
      <c r="X583">
        <v>108.842247</v>
      </c>
      <c r="Y583">
        <v>683.74</v>
      </c>
      <c r="Z583">
        <v>14.953834000000001</v>
      </c>
      <c r="AA583">
        <v>108.88625999999999</v>
      </c>
      <c r="AB583" s="5">
        <f t="shared" si="55"/>
        <v>12.112005000000002</v>
      </c>
      <c r="AC583" s="5">
        <f t="shared" si="56"/>
        <v>1.0256100000000001</v>
      </c>
      <c r="AD583" s="1" t="str">
        <f t="shared" si="57"/>
        <v>Mộ Đức</v>
      </c>
      <c r="AE583" s="1" t="str">
        <f t="shared" si="58"/>
        <v>Vệ Giang</v>
      </c>
      <c r="AG583">
        <f t="shared" si="59"/>
        <v>8.0746699999999993</v>
      </c>
      <c r="AH583">
        <f t="shared" si="60"/>
        <v>0.68374000000000001</v>
      </c>
      <c r="AI583">
        <f>VLOOKUP(L583,'[1]Tuyến cáp H04'!$B:$E,3,0)/1000</f>
        <v>17.908000000000001</v>
      </c>
      <c r="AJ583" t="str">
        <f>VLOOKUP(L583,'[1]Tuyến cáp H04'!$B:$E,4,0)</f>
        <v>Mạng cấp 4</v>
      </c>
    </row>
    <row r="584" spans="1:36" x14ac:dyDescent="0.25">
      <c r="A584" s="1" t="s">
        <v>5425</v>
      </c>
      <c r="B584" s="1" t="s">
        <v>5426</v>
      </c>
      <c r="C584" s="1" t="s">
        <v>5427</v>
      </c>
      <c r="D584" s="1" t="s">
        <v>5350</v>
      </c>
      <c r="E584" s="1" t="s">
        <v>5351</v>
      </c>
      <c r="F584" s="1" t="s">
        <v>5428</v>
      </c>
      <c r="G584" s="1" t="s">
        <v>14129</v>
      </c>
      <c r="H584" s="1" t="s">
        <v>14133</v>
      </c>
      <c r="I584" s="1" t="s">
        <v>14702</v>
      </c>
      <c r="J584" s="1" t="s">
        <v>23</v>
      </c>
      <c r="K584" s="1"/>
      <c r="L584" s="1" t="s">
        <v>5368</v>
      </c>
      <c r="M584" s="1" t="s">
        <v>5429</v>
      </c>
      <c r="N584" s="1" t="s">
        <v>5430</v>
      </c>
      <c r="O584" s="1" t="s">
        <v>5431</v>
      </c>
      <c r="P584" s="1" t="s">
        <v>5432</v>
      </c>
      <c r="Q584" s="1" t="s">
        <v>5433</v>
      </c>
      <c r="R584" s="1" t="s">
        <v>5434</v>
      </c>
      <c r="S584" s="1" t="s">
        <v>5435</v>
      </c>
      <c r="T584" s="1" t="s">
        <v>5436</v>
      </c>
      <c r="U584">
        <v>2814.66</v>
      </c>
      <c r="V584">
        <v>2675.01</v>
      </c>
      <c r="W584">
        <v>14.946975999999999</v>
      </c>
      <c r="X584">
        <v>108.88515099999999</v>
      </c>
      <c r="Y584">
        <v>139.65</v>
      </c>
      <c r="Z584">
        <v>14.946636</v>
      </c>
      <c r="AA584">
        <v>108.887959</v>
      </c>
      <c r="AB584" s="5">
        <f t="shared" si="55"/>
        <v>4.0125150000000005</v>
      </c>
      <c r="AC584" s="5">
        <f t="shared" si="56"/>
        <v>0.20947500000000002</v>
      </c>
      <c r="AD584" s="1" t="str">
        <f t="shared" si="57"/>
        <v>Trà Câu</v>
      </c>
      <c r="AE584" s="1" t="str">
        <f t="shared" si="58"/>
        <v>Mộ Đức</v>
      </c>
      <c r="AG584">
        <f t="shared" si="59"/>
        <v>2.6750100000000003</v>
      </c>
      <c r="AH584">
        <f t="shared" si="60"/>
        <v>0.13965</v>
      </c>
      <c r="AI584">
        <f>VLOOKUP(L584,'[1]Tuyến cáp H04'!$B:$E,3,0)/1000</f>
        <v>12.47</v>
      </c>
      <c r="AJ584" t="str">
        <f>VLOOKUP(L584,'[1]Tuyến cáp H04'!$B:$E,4,0)</f>
        <v>Mạng cấp 4</v>
      </c>
    </row>
    <row r="585" spans="1:36" x14ac:dyDescent="0.25">
      <c r="A585" s="1" t="s">
        <v>5437</v>
      </c>
      <c r="B585" s="1" t="s">
        <v>5438</v>
      </c>
      <c r="C585" s="1" t="s">
        <v>5439</v>
      </c>
      <c r="D585" s="1" t="s">
        <v>5350</v>
      </c>
      <c r="E585" s="1" t="s">
        <v>5351</v>
      </c>
      <c r="F585" s="1" t="s">
        <v>5440</v>
      </c>
      <c r="G585" s="1" t="s">
        <v>14129</v>
      </c>
      <c r="H585" s="1" t="s">
        <v>14133</v>
      </c>
      <c r="I585" s="1" t="s">
        <v>14703</v>
      </c>
      <c r="J585" s="1" t="s">
        <v>23</v>
      </c>
      <c r="K585" s="1"/>
      <c r="L585" s="1" t="s">
        <v>5368</v>
      </c>
      <c r="M585" s="1" t="s">
        <v>5441</v>
      </c>
      <c r="N585" s="1" t="s">
        <v>5442</v>
      </c>
      <c r="O585" s="1" t="s">
        <v>5443</v>
      </c>
      <c r="P585" s="1" t="s">
        <v>5444</v>
      </c>
      <c r="Q585" s="1" t="s">
        <v>5370</v>
      </c>
      <c r="R585" s="1" t="s">
        <v>5371</v>
      </c>
      <c r="S585" s="1" t="s">
        <v>5372</v>
      </c>
      <c r="T585" s="1" t="s">
        <v>5376</v>
      </c>
      <c r="U585">
        <v>498.47</v>
      </c>
      <c r="V585">
        <v>176.78</v>
      </c>
      <c r="W585">
        <v>14.904019999999999</v>
      </c>
      <c r="X585">
        <v>108.911083</v>
      </c>
      <c r="Y585">
        <v>321.69</v>
      </c>
      <c r="Z585">
        <v>14.94886</v>
      </c>
      <c r="AA585">
        <v>108.885069</v>
      </c>
      <c r="AB585" s="5">
        <f t="shared" si="55"/>
        <v>0.26517000000000002</v>
      </c>
      <c r="AC585" s="5">
        <f t="shared" si="56"/>
        <v>0.48253499999999999</v>
      </c>
      <c r="AD585" s="1" t="str">
        <f t="shared" si="57"/>
        <v>Trà Câu</v>
      </c>
      <c r="AE585" s="1" t="str">
        <f t="shared" si="58"/>
        <v>Mộ Đức</v>
      </c>
      <c r="AG585">
        <f t="shared" si="59"/>
        <v>0.17677999999999999</v>
      </c>
      <c r="AH585">
        <f t="shared" si="60"/>
        <v>0.32168999999999998</v>
      </c>
      <c r="AI585">
        <f>VLOOKUP(L585,'[1]Tuyến cáp H04'!$B:$E,3,0)/1000</f>
        <v>12.47</v>
      </c>
      <c r="AJ585" t="str">
        <f>VLOOKUP(L585,'[1]Tuyến cáp H04'!$B:$E,4,0)</f>
        <v>Mạng cấp 4</v>
      </c>
    </row>
    <row r="586" spans="1:36" x14ac:dyDescent="0.25">
      <c r="A586" s="1" t="s">
        <v>5445</v>
      </c>
      <c r="B586" s="1" t="s">
        <v>5446</v>
      </c>
      <c r="C586" s="1" t="s">
        <v>5447</v>
      </c>
      <c r="D586" s="1" t="s">
        <v>5350</v>
      </c>
      <c r="E586" s="1" t="s">
        <v>5351</v>
      </c>
      <c r="F586" s="1" t="s">
        <v>5448</v>
      </c>
      <c r="G586" s="1" t="s">
        <v>14129</v>
      </c>
      <c r="H586" s="1" t="s">
        <v>14133</v>
      </c>
      <c r="I586" s="1" t="s">
        <v>14704</v>
      </c>
      <c r="J586" s="1" t="s">
        <v>23</v>
      </c>
      <c r="K586" s="1"/>
      <c r="L586" s="1" t="s">
        <v>5368</v>
      </c>
      <c r="M586" s="1" t="s">
        <v>5449</v>
      </c>
      <c r="N586" s="1" t="s">
        <v>5450</v>
      </c>
      <c r="O586" s="1" t="s">
        <v>5451</v>
      </c>
      <c r="P586" s="1" t="s">
        <v>5452</v>
      </c>
      <c r="Q586" s="1" t="s">
        <v>5453</v>
      </c>
      <c r="R586" s="1" t="s">
        <v>5454</v>
      </c>
      <c r="S586" s="1" t="s">
        <v>5455</v>
      </c>
      <c r="T586" s="1" t="s">
        <v>5456</v>
      </c>
      <c r="U586">
        <v>915.7</v>
      </c>
      <c r="V586">
        <v>913.32</v>
      </c>
      <c r="W586">
        <v>14.947108999999999</v>
      </c>
      <c r="X586">
        <v>108.887216</v>
      </c>
      <c r="Y586">
        <v>2.39</v>
      </c>
      <c r="Z586">
        <v>14.947894</v>
      </c>
      <c r="AA586">
        <v>108.887912</v>
      </c>
      <c r="AB586" s="5">
        <f t="shared" si="55"/>
        <v>1.36998</v>
      </c>
      <c r="AC586" s="5">
        <f t="shared" si="56"/>
        <v>3.5850000000000001E-3</v>
      </c>
      <c r="AD586" s="1" t="str">
        <f t="shared" si="57"/>
        <v>Trà Câu</v>
      </c>
      <c r="AE586" s="1" t="str">
        <f t="shared" si="58"/>
        <v>Mộ Đức</v>
      </c>
      <c r="AG586">
        <f t="shared" si="59"/>
        <v>0.91332000000000002</v>
      </c>
      <c r="AH586">
        <f t="shared" si="60"/>
        <v>2.3900000000000002E-3</v>
      </c>
      <c r="AI586">
        <f>VLOOKUP(L586,'[1]Tuyến cáp H04'!$B:$E,3,0)/1000</f>
        <v>12.47</v>
      </c>
      <c r="AJ586" t="str">
        <f>VLOOKUP(L586,'[1]Tuyến cáp H04'!$B:$E,4,0)</f>
        <v>Mạng cấp 4</v>
      </c>
    </row>
    <row r="587" spans="1:36" x14ac:dyDescent="0.25">
      <c r="A587" s="1" t="s">
        <v>5457</v>
      </c>
      <c r="B587" s="1" t="s">
        <v>5458</v>
      </c>
      <c r="C587" s="1" t="s">
        <v>5459</v>
      </c>
      <c r="D587" s="1" t="s">
        <v>5350</v>
      </c>
      <c r="E587" s="1" t="s">
        <v>5351</v>
      </c>
      <c r="F587" s="1" t="s">
        <v>5460</v>
      </c>
      <c r="G587" s="1" t="s">
        <v>14129</v>
      </c>
      <c r="H587" s="1" t="s">
        <v>14133</v>
      </c>
      <c r="I587" s="1" t="s">
        <v>14705</v>
      </c>
      <c r="J587" s="1" t="s">
        <v>23</v>
      </c>
      <c r="K587" s="1"/>
      <c r="L587" s="1" t="s">
        <v>5368</v>
      </c>
      <c r="M587" s="1" t="s">
        <v>5461</v>
      </c>
      <c r="N587" s="1" t="s">
        <v>5462</v>
      </c>
      <c r="O587" s="1" t="s">
        <v>5463</v>
      </c>
      <c r="P587" s="1" t="s">
        <v>5464</v>
      </c>
      <c r="Q587" s="1" t="s">
        <v>5370</v>
      </c>
      <c r="R587" s="1" t="s">
        <v>5371</v>
      </c>
      <c r="S587" s="1" t="s">
        <v>5372</v>
      </c>
      <c r="T587" s="1" t="s">
        <v>5376</v>
      </c>
      <c r="U587">
        <v>2292.33</v>
      </c>
      <c r="V587">
        <v>1970.64</v>
      </c>
      <c r="W587">
        <v>14.934362</v>
      </c>
      <c r="X587">
        <v>108.89045299999999</v>
      </c>
      <c r="Y587">
        <v>321.69</v>
      </c>
      <c r="Z587">
        <v>14.94886</v>
      </c>
      <c r="AA587">
        <v>108.885069</v>
      </c>
      <c r="AB587" s="5">
        <f t="shared" si="55"/>
        <v>2.9559600000000001</v>
      </c>
      <c r="AC587" s="5">
        <f t="shared" si="56"/>
        <v>0.48253499999999999</v>
      </c>
      <c r="AD587" s="1" t="str">
        <f t="shared" si="57"/>
        <v>Trà Câu</v>
      </c>
      <c r="AE587" s="1" t="str">
        <f t="shared" si="58"/>
        <v>Mộ Đức</v>
      </c>
      <c r="AG587">
        <f t="shared" si="59"/>
        <v>1.9706400000000002</v>
      </c>
      <c r="AH587">
        <f t="shared" si="60"/>
        <v>0.32168999999999998</v>
      </c>
      <c r="AI587">
        <f>VLOOKUP(L587,'[1]Tuyến cáp H04'!$B:$E,3,0)/1000</f>
        <v>12.47</v>
      </c>
      <c r="AJ587" t="str">
        <f>VLOOKUP(L587,'[1]Tuyến cáp H04'!$B:$E,4,0)</f>
        <v>Mạng cấp 4</v>
      </c>
    </row>
    <row r="588" spans="1:36" x14ac:dyDescent="0.25">
      <c r="A588" s="1" t="s">
        <v>5465</v>
      </c>
      <c r="B588" s="1" t="s">
        <v>5194</v>
      </c>
      <c r="C588" s="1" t="s">
        <v>5195</v>
      </c>
      <c r="D588" s="1" t="s">
        <v>5466</v>
      </c>
      <c r="E588" s="1" t="s">
        <v>5467</v>
      </c>
      <c r="F588" s="1" t="s">
        <v>5468</v>
      </c>
      <c r="G588" s="1" t="s">
        <v>14129</v>
      </c>
      <c r="H588" s="1" t="s">
        <v>14133</v>
      </c>
      <c r="I588" s="1" t="s">
        <v>14706</v>
      </c>
      <c r="J588" s="1" t="s">
        <v>23</v>
      </c>
      <c r="K588" s="1"/>
      <c r="L588" s="1" t="s">
        <v>5469</v>
      </c>
      <c r="M588" s="1" t="s">
        <v>5470</v>
      </c>
      <c r="N588" s="1" t="s">
        <v>5471</v>
      </c>
      <c r="O588" s="1" t="s">
        <v>5472</v>
      </c>
      <c r="P588" s="1" t="s">
        <v>5473</v>
      </c>
      <c r="Q588" s="1" t="s">
        <v>5474</v>
      </c>
      <c r="R588" s="1" t="s">
        <v>5475</v>
      </c>
      <c r="S588" s="1" t="s">
        <v>5476</v>
      </c>
      <c r="T588" s="1" t="s">
        <v>5477</v>
      </c>
      <c r="U588">
        <v>3435.33</v>
      </c>
      <c r="V588">
        <v>3098.74</v>
      </c>
      <c r="W588">
        <v>15.047853999999999</v>
      </c>
      <c r="X588">
        <v>108.748065</v>
      </c>
      <c r="Y588">
        <v>336.59</v>
      </c>
      <c r="Z588">
        <v>15.045444</v>
      </c>
      <c r="AA588">
        <v>108.745306</v>
      </c>
      <c r="AB588" s="5">
        <f t="shared" si="55"/>
        <v>4.64811</v>
      </c>
      <c r="AC588" s="5">
        <f t="shared" si="56"/>
        <v>0.50488500000000003</v>
      </c>
      <c r="AD588" s="1" t="str">
        <f t="shared" si="57"/>
        <v>Phước Giang</v>
      </c>
      <c r="AE588" s="1" t="str">
        <f t="shared" si="58"/>
        <v>Trà Giang</v>
      </c>
      <c r="AG588">
        <f t="shared" si="59"/>
        <v>3.0987399999999998</v>
      </c>
      <c r="AH588">
        <f t="shared" si="60"/>
        <v>0.33659</v>
      </c>
      <c r="AI588">
        <f>VLOOKUP(L588,'[1]Tuyến cáp H04'!$B:$E,3,0)/1000</f>
        <v>15.189</v>
      </c>
      <c r="AJ588" t="str">
        <f>VLOOKUP(L588,'[1]Tuyến cáp H04'!$B:$E,4,0)</f>
        <v>Mạng cấp 4</v>
      </c>
    </row>
    <row r="589" spans="1:36" x14ac:dyDescent="0.25">
      <c r="A589" s="1" t="s">
        <v>5478</v>
      </c>
      <c r="B589" s="1" t="s">
        <v>5194</v>
      </c>
      <c r="C589" s="1" t="s">
        <v>5195</v>
      </c>
      <c r="D589" s="1" t="s">
        <v>5479</v>
      </c>
      <c r="E589" s="1" t="s">
        <v>5480</v>
      </c>
      <c r="F589" s="1" t="s">
        <v>5481</v>
      </c>
      <c r="G589" s="1" t="s">
        <v>14129</v>
      </c>
      <c r="H589" s="1" t="s">
        <v>14133</v>
      </c>
      <c r="I589" s="1" t="s">
        <v>14707</v>
      </c>
      <c r="J589" s="1" t="s">
        <v>23</v>
      </c>
      <c r="K589" s="1"/>
      <c r="L589" s="1" t="s">
        <v>5355</v>
      </c>
      <c r="M589" s="1" t="s">
        <v>5482</v>
      </c>
      <c r="N589" s="1" t="s">
        <v>5483</v>
      </c>
      <c r="O589" s="1" t="s">
        <v>5361</v>
      </c>
      <c r="P589" s="1" t="s">
        <v>5362</v>
      </c>
      <c r="Q589" s="1" t="s">
        <v>5484</v>
      </c>
      <c r="R589" s="1" t="s">
        <v>5485</v>
      </c>
      <c r="S589" s="1" t="s">
        <v>5486</v>
      </c>
      <c r="T589" s="1" t="s">
        <v>5363</v>
      </c>
      <c r="U589">
        <v>9066.16</v>
      </c>
      <c r="V589">
        <v>8137.92</v>
      </c>
      <c r="W589">
        <v>15.038804000000001</v>
      </c>
      <c r="X589">
        <v>108.852233</v>
      </c>
      <c r="Y589">
        <v>928.24</v>
      </c>
      <c r="Z589">
        <v>14.889078</v>
      </c>
      <c r="AA589">
        <v>108.92642499999999</v>
      </c>
      <c r="AB589" s="5">
        <f t="shared" si="55"/>
        <v>12.206880000000002</v>
      </c>
      <c r="AC589" s="5">
        <f t="shared" si="56"/>
        <v>1.39236</v>
      </c>
      <c r="AD589" s="1" t="str">
        <f t="shared" si="57"/>
        <v>Đức Phổ</v>
      </c>
      <c r="AE589" s="1" t="str">
        <f t="shared" si="58"/>
        <v>TT1 Quảng Ngãi mới</v>
      </c>
      <c r="AG589">
        <f t="shared" si="59"/>
        <v>8.1379199999999994</v>
      </c>
      <c r="AH589">
        <f t="shared" si="60"/>
        <v>0.92823999999999995</v>
      </c>
      <c r="AI589" t="e">
        <f>VLOOKUP(L589,'[1]Tuyến cáp H04'!$B:$E,3,0)/1000</f>
        <v>#N/A</v>
      </c>
      <c r="AJ589" t="e">
        <f>VLOOKUP(L589,'[1]Tuyến cáp H04'!$B:$E,4,0)</f>
        <v>#N/A</v>
      </c>
    </row>
    <row r="590" spans="1:36" x14ac:dyDescent="0.25">
      <c r="A590" s="1" t="s">
        <v>5487</v>
      </c>
      <c r="B590" s="1" t="s">
        <v>5194</v>
      </c>
      <c r="C590" s="1" t="s">
        <v>5195</v>
      </c>
      <c r="D590" s="1" t="s">
        <v>5488</v>
      </c>
      <c r="E590" s="1" t="s">
        <v>5489</v>
      </c>
      <c r="F590" s="1" t="s">
        <v>5490</v>
      </c>
      <c r="G590" s="1" t="s">
        <v>14129</v>
      </c>
      <c r="H590" s="1" t="s">
        <v>14133</v>
      </c>
      <c r="I590" s="1" t="s">
        <v>14708</v>
      </c>
      <c r="J590" s="1" t="s">
        <v>23</v>
      </c>
      <c r="K590" s="1"/>
      <c r="L590" s="1" t="s">
        <v>5491</v>
      </c>
      <c r="M590" s="1" t="s">
        <v>5492</v>
      </c>
      <c r="N590" s="1" t="s">
        <v>5493</v>
      </c>
      <c r="O590" s="1" t="s">
        <v>5494</v>
      </c>
      <c r="P590" s="1" t="s">
        <v>5495</v>
      </c>
      <c r="Q590" s="1" t="s">
        <v>5496</v>
      </c>
      <c r="R590" s="1" t="s">
        <v>5497</v>
      </c>
      <c r="S590" s="1" t="s">
        <v>5498</v>
      </c>
      <c r="T590" s="1" t="s">
        <v>5499</v>
      </c>
      <c r="U590">
        <v>445.83</v>
      </c>
      <c r="V590">
        <v>224.35</v>
      </c>
      <c r="W590">
        <v>15.043967</v>
      </c>
      <c r="X590">
        <v>108.778729</v>
      </c>
      <c r="Y590">
        <v>221.48</v>
      </c>
      <c r="Z590">
        <v>15.04072</v>
      </c>
      <c r="AA590">
        <v>108.795241</v>
      </c>
      <c r="AB590" s="5">
        <f t="shared" si="55"/>
        <v>0.33652499999999996</v>
      </c>
      <c r="AC590" s="5">
        <f t="shared" si="56"/>
        <v>0.33221999999999996</v>
      </c>
      <c r="AD590" s="1" t="str">
        <f t="shared" si="57"/>
        <v>Đình Cương</v>
      </c>
      <c r="AE590" s="1" t="str">
        <f t="shared" si="58"/>
        <v>Nghĩa Hành</v>
      </c>
      <c r="AG590">
        <f t="shared" si="59"/>
        <v>0.22434999999999999</v>
      </c>
      <c r="AH590">
        <f t="shared" si="60"/>
        <v>0.22147999999999998</v>
      </c>
      <c r="AI590">
        <f>VLOOKUP(L590,'[1]Tuyến cáp H04'!$B:$E,3,0)/1000</f>
        <v>7.7450000000000001</v>
      </c>
      <c r="AJ590" t="str">
        <f>VLOOKUP(L590,'[1]Tuyến cáp H04'!$B:$E,4,0)</f>
        <v>Mạng cấp 4</v>
      </c>
    </row>
    <row r="591" spans="1:36" x14ac:dyDescent="0.25">
      <c r="A591" s="1" t="s">
        <v>5500</v>
      </c>
      <c r="B591" s="1" t="s">
        <v>5501</v>
      </c>
      <c r="C591" s="1" t="s">
        <v>5502</v>
      </c>
      <c r="D591" s="1" t="s">
        <v>5194</v>
      </c>
      <c r="E591" s="1" t="s">
        <v>5195</v>
      </c>
      <c r="F591" s="1" t="s">
        <v>5503</v>
      </c>
      <c r="G591" s="1" t="s">
        <v>14129</v>
      </c>
      <c r="H591" s="1" t="s">
        <v>14679</v>
      </c>
      <c r="I591" s="1" t="s">
        <v>14709</v>
      </c>
      <c r="J591" s="1" t="s">
        <v>23</v>
      </c>
      <c r="K591" s="1"/>
      <c r="L591" s="1" t="s">
        <v>5504</v>
      </c>
      <c r="M591" s="1" t="s">
        <v>5505</v>
      </c>
      <c r="N591" s="1" t="s">
        <v>5506</v>
      </c>
      <c r="O591" s="1" t="s">
        <v>5507</v>
      </c>
      <c r="P591" s="1" t="s">
        <v>5508</v>
      </c>
      <c r="Q591" s="1" t="s">
        <v>5509</v>
      </c>
      <c r="R591" s="1" t="s">
        <v>5510</v>
      </c>
      <c r="S591" s="1" t="s">
        <v>5511</v>
      </c>
      <c r="T591" s="1" t="s">
        <v>5512</v>
      </c>
      <c r="U591">
        <v>447.13</v>
      </c>
      <c r="V591">
        <v>425.67</v>
      </c>
      <c r="W591">
        <v>15.079530999999999</v>
      </c>
      <c r="X591">
        <v>108.783874</v>
      </c>
      <c r="Y591">
        <v>21.46</v>
      </c>
      <c r="Z591">
        <v>15.043846</v>
      </c>
      <c r="AA591">
        <v>108.776487</v>
      </c>
      <c r="AB591" s="5">
        <f t="shared" si="55"/>
        <v>0.63850499999999999</v>
      </c>
      <c r="AC591" s="5">
        <f t="shared" si="56"/>
        <v>3.2189999999999996E-2</v>
      </c>
      <c r="AD591" s="1" t="str">
        <f t="shared" si="57"/>
        <v>Nghĩa Hành</v>
      </c>
      <c r="AE591" s="1" t="str">
        <f t="shared" si="58"/>
        <v>Nghĩa Lộ</v>
      </c>
      <c r="AG591">
        <f t="shared" si="59"/>
        <v>0.42566999999999999</v>
      </c>
      <c r="AH591">
        <f t="shared" si="60"/>
        <v>2.146E-2</v>
      </c>
      <c r="AI591">
        <f>VLOOKUP(L591,'[1]Tuyến cáp H04'!$B:$E,3,0)/1000</f>
        <v>13.734</v>
      </c>
      <c r="AJ591" t="str">
        <f>VLOOKUP(L591,'[1]Tuyến cáp H04'!$B:$E,4,0)</f>
        <v>Mạng cấp 4</v>
      </c>
    </row>
    <row r="592" spans="1:36" x14ac:dyDescent="0.25">
      <c r="A592" s="1" t="s">
        <v>5513</v>
      </c>
      <c r="B592" s="1" t="s">
        <v>5514</v>
      </c>
      <c r="C592" s="1" t="s">
        <v>5515</v>
      </c>
      <c r="D592" s="1" t="s">
        <v>5194</v>
      </c>
      <c r="E592" s="1" t="s">
        <v>5195</v>
      </c>
      <c r="F592" s="1" t="s">
        <v>5516</v>
      </c>
      <c r="G592" s="1" t="s">
        <v>14129</v>
      </c>
      <c r="H592" s="1" t="s">
        <v>14679</v>
      </c>
      <c r="I592" s="1" t="s">
        <v>14710</v>
      </c>
      <c r="J592" s="1" t="s">
        <v>23</v>
      </c>
      <c r="K592" s="1"/>
      <c r="L592" s="1" t="s">
        <v>5504</v>
      </c>
      <c r="M592" s="1" t="s">
        <v>5517</v>
      </c>
      <c r="N592" s="1" t="s">
        <v>5518</v>
      </c>
      <c r="O592" s="1" t="s">
        <v>5519</v>
      </c>
      <c r="P592" s="1" t="s">
        <v>5520</v>
      </c>
      <c r="Q592" s="1" t="s">
        <v>5509</v>
      </c>
      <c r="R592" s="1" t="s">
        <v>5510</v>
      </c>
      <c r="S592" s="1" t="s">
        <v>5511</v>
      </c>
      <c r="T592" s="1" t="s">
        <v>5512</v>
      </c>
      <c r="U592">
        <v>1836.28</v>
      </c>
      <c r="V592">
        <v>1814.82</v>
      </c>
      <c r="W592">
        <v>15.105012</v>
      </c>
      <c r="X592">
        <v>108.76304399999999</v>
      </c>
      <c r="Y592">
        <v>21.46</v>
      </c>
      <c r="Z592">
        <v>15.043846</v>
      </c>
      <c r="AA592">
        <v>108.776487</v>
      </c>
      <c r="AB592" s="5">
        <f t="shared" si="55"/>
        <v>2.7222300000000001</v>
      </c>
      <c r="AC592" s="5">
        <f t="shared" si="56"/>
        <v>3.2189999999999996E-2</v>
      </c>
      <c r="AD592" s="1" t="str">
        <f t="shared" si="57"/>
        <v>Nghĩa Hành</v>
      </c>
      <c r="AE592" s="1" t="str">
        <f t="shared" si="58"/>
        <v>Nghĩa Lộ</v>
      </c>
      <c r="AG592">
        <f t="shared" si="59"/>
        <v>1.8148199999999999</v>
      </c>
      <c r="AH592">
        <f t="shared" si="60"/>
        <v>2.146E-2</v>
      </c>
      <c r="AI592">
        <f>VLOOKUP(L592,'[1]Tuyến cáp H04'!$B:$E,3,0)/1000</f>
        <v>13.734</v>
      </c>
      <c r="AJ592" t="str">
        <f>VLOOKUP(L592,'[1]Tuyến cáp H04'!$B:$E,4,0)</f>
        <v>Mạng cấp 4</v>
      </c>
    </row>
    <row r="593" spans="1:36" x14ac:dyDescent="0.25">
      <c r="A593" s="1" t="s">
        <v>5521</v>
      </c>
      <c r="B593" s="1" t="s">
        <v>5522</v>
      </c>
      <c r="C593" s="1" t="s">
        <v>5523</v>
      </c>
      <c r="D593" s="1" t="s">
        <v>5194</v>
      </c>
      <c r="E593" s="1" t="s">
        <v>5195</v>
      </c>
      <c r="F593" s="1" t="s">
        <v>5524</v>
      </c>
      <c r="G593" s="1" t="s">
        <v>14129</v>
      </c>
      <c r="H593" s="1" t="s">
        <v>14679</v>
      </c>
      <c r="I593" s="1" t="s">
        <v>14711</v>
      </c>
      <c r="J593" s="1" t="s">
        <v>23</v>
      </c>
      <c r="K593" s="1"/>
      <c r="L593" s="1" t="s">
        <v>5504</v>
      </c>
      <c r="M593" s="1" t="s">
        <v>5525</v>
      </c>
      <c r="N593" s="1" t="s">
        <v>5526</v>
      </c>
      <c r="O593" s="1" t="s">
        <v>5519</v>
      </c>
      <c r="P593" s="1" t="s">
        <v>5520</v>
      </c>
      <c r="Q593" s="1" t="s">
        <v>5509</v>
      </c>
      <c r="R593" s="1" t="s">
        <v>5510</v>
      </c>
      <c r="S593" s="1" t="s">
        <v>5511</v>
      </c>
      <c r="T593" s="1" t="s">
        <v>5512</v>
      </c>
      <c r="U593">
        <v>4686.51</v>
      </c>
      <c r="V593">
        <v>4665.05</v>
      </c>
      <c r="W593">
        <v>15.105012</v>
      </c>
      <c r="X593">
        <v>108.76304399999999</v>
      </c>
      <c r="Y593">
        <v>21.46</v>
      </c>
      <c r="Z593">
        <v>15.043846</v>
      </c>
      <c r="AA593">
        <v>108.776487</v>
      </c>
      <c r="AB593" s="5">
        <f t="shared" si="55"/>
        <v>6.9975750000000003</v>
      </c>
      <c r="AC593" s="5">
        <f t="shared" si="56"/>
        <v>3.2189999999999996E-2</v>
      </c>
      <c r="AD593" s="1" t="str">
        <f t="shared" si="57"/>
        <v>Nghĩa Hành</v>
      </c>
      <c r="AE593" s="1" t="str">
        <f t="shared" si="58"/>
        <v>Nghĩa Lộ</v>
      </c>
      <c r="AG593">
        <f t="shared" si="59"/>
        <v>4.6650499999999999</v>
      </c>
      <c r="AH593">
        <f t="shared" si="60"/>
        <v>2.146E-2</v>
      </c>
      <c r="AI593">
        <f>VLOOKUP(L593,'[1]Tuyến cáp H04'!$B:$E,3,0)/1000</f>
        <v>13.734</v>
      </c>
      <c r="AJ593" t="str">
        <f>VLOOKUP(L593,'[1]Tuyến cáp H04'!$B:$E,4,0)</f>
        <v>Mạng cấp 4</v>
      </c>
    </row>
    <row r="594" spans="1:36" x14ac:dyDescent="0.25">
      <c r="A594" s="1" t="s">
        <v>5527</v>
      </c>
      <c r="B594" s="1" t="s">
        <v>5528</v>
      </c>
      <c r="C594" s="1" t="s">
        <v>5529</v>
      </c>
      <c r="D594" s="1" t="s">
        <v>5194</v>
      </c>
      <c r="E594" s="1" t="s">
        <v>5195</v>
      </c>
      <c r="F594" s="1" t="s">
        <v>5530</v>
      </c>
      <c r="G594" s="1" t="s">
        <v>14129</v>
      </c>
      <c r="H594" s="1" t="s">
        <v>14679</v>
      </c>
      <c r="I594" s="1" t="s">
        <v>14712</v>
      </c>
      <c r="J594" s="1" t="s">
        <v>23</v>
      </c>
      <c r="K594" s="1"/>
      <c r="L594" s="1" t="s">
        <v>5504</v>
      </c>
      <c r="M594" s="1" t="s">
        <v>5531</v>
      </c>
      <c r="N594" s="1" t="s">
        <v>5532</v>
      </c>
      <c r="O594" s="1" t="s">
        <v>5533</v>
      </c>
      <c r="P594" s="1" t="s">
        <v>5534</v>
      </c>
      <c r="Q594" s="1" t="s">
        <v>5509</v>
      </c>
      <c r="R594" s="1" t="s">
        <v>5510</v>
      </c>
      <c r="S594" s="1" t="s">
        <v>5511</v>
      </c>
      <c r="T594" s="1" t="s">
        <v>5512</v>
      </c>
      <c r="U594">
        <v>1608.16</v>
      </c>
      <c r="V594">
        <v>1586.7</v>
      </c>
      <c r="W594">
        <v>15.056607</v>
      </c>
      <c r="X594">
        <v>108.77717</v>
      </c>
      <c r="Y594">
        <v>21.46</v>
      </c>
      <c r="Z594">
        <v>15.043846</v>
      </c>
      <c r="AA594">
        <v>108.776487</v>
      </c>
      <c r="AB594" s="5">
        <f t="shared" si="55"/>
        <v>2.3800500000000002</v>
      </c>
      <c r="AC594" s="5">
        <f t="shared" si="56"/>
        <v>3.2189999999999996E-2</v>
      </c>
      <c r="AD594" s="1" t="str">
        <f t="shared" si="57"/>
        <v>Nghĩa Hành</v>
      </c>
      <c r="AE594" s="1" t="str">
        <f t="shared" si="58"/>
        <v>Nghĩa Lộ</v>
      </c>
      <c r="AG594">
        <f t="shared" si="59"/>
        <v>1.5867</v>
      </c>
      <c r="AH594">
        <f t="shared" si="60"/>
        <v>2.146E-2</v>
      </c>
      <c r="AI594">
        <f>VLOOKUP(L594,'[1]Tuyến cáp H04'!$B:$E,3,0)/1000</f>
        <v>13.734</v>
      </c>
      <c r="AJ594" t="str">
        <f>VLOOKUP(L594,'[1]Tuyến cáp H04'!$B:$E,4,0)</f>
        <v>Mạng cấp 4</v>
      </c>
    </row>
    <row r="595" spans="1:36" x14ac:dyDescent="0.25">
      <c r="A595" s="1" t="s">
        <v>5535</v>
      </c>
      <c r="B595" s="1" t="s">
        <v>5536</v>
      </c>
      <c r="C595" s="1" t="s">
        <v>5537</v>
      </c>
      <c r="D595" s="1" t="s">
        <v>5194</v>
      </c>
      <c r="E595" s="1" t="s">
        <v>5195</v>
      </c>
      <c r="F595" s="1" t="s">
        <v>5538</v>
      </c>
      <c r="G595" s="1" t="s">
        <v>14129</v>
      </c>
      <c r="H595" s="1" t="s">
        <v>14679</v>
      </c>
      <c r="I595" s="1" t="s">
        <v>14713</v>
      </c>
      <c r="J595" s="1" t="s">
        <v>23</v>
      </c>
      <c r="K595" s="1"/>
      <c r="L595" s="1" t="s">
        <v>5197</v>
      </c>
      <c r="M595" s="1" t="s">
        <v>5539</v>
      </c>
      <c r="N595" s="1" t="s">
        <v>5540</v>
      </c>
      <c r="O595" s="1" t="s">
        <v>5541</v>
      </c>
      <c r="P595" s="1" t="s">
        <v>5542</v>
      </c>
      <c r="Q595" s="1" t="s">
        <v>5202</v>
      </c>
      <c r="R595" s="1" t="s">
        <v>5203</v>
      </c>
      <c r="S595" s="1" t="s">
        <v>5204</v>
      </c>
      <c r="T595" s="1" t="s">
        <v>5205</v>
      </c>
      <c r="U595">
        <v>3430.77</v>
      </c>
      <c r="V595">
        <v>3230.52</v>
      </c>
      <c r="W595">
        <v>15.030417999999999</v>
      </c>
      <c r="X595">
        <v>108.775809</v>
      </c>
      <c r="Y595">
        <v>200.25</v>
      </c>
      <c r="Z595">
        <v>15.044577</v>
      </c>
      <c r="AA595">
        <v>108.774884</v>
      </c>
      <c r="AB595" s="5">
        <f t="shared" si="55"/>
        <v>4.8457799999999995</v>
      </c>
      <c r="AC595" s="5">
        <f t="shared" si="56"/>
        <v>0.300375</v>
      </c>
      <c r="AD595" s="1" t="str">
        <f t="shared" si="57"/>
        <v>TT1 Quảng Ngãi</v>
      </c>
      <c r="AE595" s="1" t="str">
        <f t="shared" si="58"/>
        <v>Minh Long</v>
      </c>
      <c r="AG595">
        <f t="shared" si="59"/>
        <v>3.2305199999999998</v>
      </c>
      <c r="AH595">
        <f t="shared" si="60"/>
        <v>0.20025000000000001</v>
      </c>
      <c r="AI595">
        <f>VLOOKUP(L595,'[1]Tuyến cáp H04'!$B:$E,3,0)/1000</f>
        <v>45.045000000000002</v>
      </c>
      <c r="AJ595" t="str">
        <f>VLOOKUP(L595,'[1]Tuyến cáp H04'!$B:$E,4,0)</f>
        <v>Mạng cấp 3</v>
      </c>
    </row>
    <row r="596" spans="1:36" x14ac:dyDescent="0.25">
      <c r="A596" s="1" t="s">
        <v>5543</v>
      </c>
      <c r="B596" s="1" t="s">
        <v>5194</v>
      </c>
      <c r="C596" s="1" t="s">
        <v>5195</v>
      </c>
      <c r="D596" s="1" t="s">
        <v>5352</v>
      </c>
      <c r="E596" s="1" t="s">
        <v>5353</v>
      </c>
      <c r="F596" s="1" t="s">
        <v>5544</v>
      </c>
      <c r="G596" s="1" t="s">
        <v>14281</v>
      </c>
      <c r="H596" s="1" t="s">
        <v>14282</v>
      </c>
      <c r="I596" s="1" t="s">
        <v>14714</v>
      </c>
      <c r="J596" s="1" t="s">
        <v>23</v>
      </c>
      <c r="K596" s="1"/>
      <c r="L596" s="1" t="s">
        <v>5197</v>
      </c>
      <c r="M596" s="1" t="s">
        <v>5545</v>
      </c>
      <c r="N596" s="1" t="s">
        <v>5202</v>
      </c>
      <c r="O596" s="1" t="s">
        <v>5203</v>
      </c>
      <c r="P596" s="1" t="s">
        <v>5204</v>
      </c>
      <c r="Q596" s="1" t="s">
        <v>5546</v>
      </c>
      <c r="R596" s="1" t="s">
        <v>5547</v>
      </c>
      <c r="S596" s="1" t="s">
        <v>5548</v>
      </c>
      <c r="T596" s="1" t="s">
        <v>5205</v>
      </c>
      <c r="U596">
        <v>5623.29</v>
      </c>
      <c r="V596">
        <v>200.25</v>
      </c>
      <c r="W596">
        <v>15.044577</v>
      </c>
      <c r="X596">
        <v>108.774884</v>
      </c>
      <c r="Y596">
        <v>5423.04</v>
      </c>
      <c r="Z596">
        <v>15.023047999999999</v>
      </c>
      <c r="AA596">
        <v>108.809173</v>
      </c>
      <c r="AB596" s="5">
        <f t="shared" si="55"/>
        <v>0.300375</v>
      </c>
      <c r="AC596" s="5">
        <f t="shared" si="56"/>
        <v>8.1345599999999987</v>
      </c>
      <c r="AD596" s="1" t="str">
        <f t="shared" si="57"/>
        <v>TT1 Quảng Ngãi</v>
      </c>
      <c r="AE596" s="1" t="str">
        <f t="shared" si="58"/>
        <v>Minh Long</v>
      </c>
      <c r="AG596">
        <f t="shared" si="59"/>
        <v>0.20025000000000001</v>
      </c>
      <c r="AH596">
        <f t="shared" si="60"/>
        <v>5.4230400000000003</v>
      </c>
      <c r="AI596">
        <f>VLOOKUP(L596,'[1]Tuyến cáp H04'!$B:$E,3,0)/1000</f>
        <v>45.045000000000002</v>
      </c>
      <c r="AJ596" t="str">
        <f>VLOOKUP(L596,'[1]Tuyến cáp H04'!$B:$E,4,0)</f>
        <v>Mạng cấp 3</v>
      </c>
    </row>
    <row r="597" spans="1:36" x14ac:dyDescent="0.25">
      <c r="A597" s="1" t="s">
        <v>5549</v>
      </c>
      <c r="B597" s="1" t="s">
        <v>5194</v>
      </c>
      <c r="C597" s="1" t="s">
        <v>5195</v>
      </c>
      <c r="D597" s="1" t="s">
        <v>5550</v>
      </c>
      <c r="E597" s="1" t="s">
        <v>5551</v>
      </c>
      <c r="F597" s="1" t="s">
        <v>5552</v>
      </c>
      <c r="G597" s="1" t="s">
        <v>14281</v>
      </c>
      <c r="H597" s="1" t="s">
        <v>14282</v>
      </c>
      <c r="I597" s="1" t="s">
        <v>14715</v>
      </c>
      <c r="J597" s="1" t="s">
        <v>23</v>
      </c>
      <c r="K597" s="1"/>
      <c r="L597" s="1" t="s">
        <v>5491</v>
      </c>
      <c r="M597" s="1" t="s">
        <v>5553</v>
      </c>
      <c r="N597" s="1" t="s">
        <v>5554</v>
      </c>
      <c r="O597" s="1" t="s">
        <v>5555</v>
      </c>
      <c r="P597" s="1" t="s">
        <v>5556</v>
      </c>
      <c r="Q597" s="1" t="s">
        <v>1987</v>
      </c>
      <c r="R597" s="1" t="s">
        <v>5557</v>
      </c>
      <c r="S597" s="1" t="s">
        <v>5558</v>
      </c>
      <c r="T597" s="1" t="s">
        <v>5559</v>
      </c>
      <c r="U597">
        <v>55.33</v>
      </c>
      <c r="V597">
        <v>1.47</v>
      </c>
      <c r="W597">
        <v>15.043957000000001</v>
      </c>
      <c r="X597">
        <v>108.77663800000001</v>
      </c>
      <c r="Y597">
        <v>53.87</v>
      </c>
      <c r="Z597">
        <v>15.043850000000001</v>
      </c>
      <c r="AA597">
        <v>108.776494</v>
      </c>
      <c r="AB597" s="5">
        <f t="shared" si="55"/>
        <v>2.2049999999999999E-3</v>
      </c>
      <c r="AC597" s="5">
        <f t="shared" si="56"/>
        <v>8.0804999999999988E-2</v>
      </c>
      <c r="AD597" s="1" t="str">
        <f t="shared" si="57"/>
        <v>Đình Cương</v>
      </c>
      <c r="AE597" s="1" t="str">
        <f t="shared" si="58"/>
        <v>Nghĩa Hành</v>
      </c>
      <c r="AG597">
        <f t="shared" si="59"/>
        <v>1.47E-3</v>
      </c>
      <c r="AH597">
        <f t="shared" si="60"/>
        <v>5.3869999999999994E-2</v>
      </c>
      <c r="AI597">
        <f>VLOOKUP(L597,'[1]Tuyến cáp H04'!$B:$E,3,0)/1000</f>
        <v>7.7450000000000001</v>
      </c>
      <c r="AJ597" t="str">
        <f>VLOOKUP(L597,'[1]Tuyến cáp H04'!$B:$E,4,0)</f>
        <v>Mạng cấp 4</v>
      </c>
    </row>
    <row r="598" spans="1:36" x14ac:dyDescent="0.25">
      <c r="A598" s="1" t="s">
        <v>5560</v>
      </c>
      <c r="B598" s="1" t="s">
        <v>5194</v>
      </c>
      <c r="C598" s="1" t="s">
        <v>5195</v>
      </c>
      <c r="D598" s="1" t="s">
        <v>5561</v>
      </c>
      <c r="E598" s="1" t="s">
        <v>5562</v>
      </c>
      <c r="F598" s="1" t="s">
        <v>5563</v>
      </c>
      <c r="G598" s="1" t="s">
        <v>14281</v>
      </c>
      <c r="H598" s="1" t="s">
        <v>14282</v>
      </c>
      <c r="I598" s="1" t="s">
        <v>14716</v>
      </c>
      <c r="J598" s="1" t="s">
        <v>23</v>
      </c>
      <c r="K598" s="1"/>
      <c r="L598" s="1" t="s">
        <v>5197</v>
      </c>
      <c r="M598" s="1" t="s">
        <v>5564</v>
      </c>
      <c r="N598" s="1" t="s">
        <v>5202</v>
      </c>
      <c r="O598" s="1" t="s">
        <v>5203</v>
      </c>
      <c r="P598" s="1" t="s">
        <v>5204</v>
      </c>
      <c r="Q598" s="1" t="s">
        <v>5565</v>
      </c>
      <c r="R598" s="1" t="s">
        <v>5566</v>
      </c>
      <c r="S598" s="1" t="s">
        <v>5567</v>
      </c>
      <c r="T598" s="1" t="s">
        <v>5205</v>
      </c>
      <c r="U598">
        <v>1302.25</v>
      </c>
      <c r="V598">
        <v>200.25</v>
      </c>
      <c r="W598">
        <v>15.044577</v>
      </c>
      <c r="X598">
        <v>108.774884</v>
      </c>
      <c r="Y598">
        <v>1101.99</v>
      </c>
      <c r="Z598">
        <v>15.023507</v>
      </c>
      <c r="AA598">
        <v>108.77718400000001</v>
      </c>
      <c r="AB598" s="5">
        <f t="shared" si="55"/>
        <v>0.300375</v>
      </c>
      <c r="AC598" s="5">
        <f t="shared" si="56"/>
        <v>1.6529850000000001</v>
      </c>
      <c r="AD598" s="1" t="str">
        <f t="shared" si="57"/>
        <v>TT1 Quảng Ngãi</v>
      </c>
      <c r="AE598" s="1" t="str">
        <f t="shared" si="58"/>
        <v>Minh Long</v>
      </c>
      <c r="AG598">
        <f t="shared" si="59"/>
        <v>0.20025000000000001</v>
      </c>
      <c r="AH598">
        <f t="shared" si="60"/>
        <v>1.10199</v>
      </c>
      <c r="AI598">
        <f>VLOOKUP(L598,'[1]Tuyến cáp H04'!$B:$E,3,0)/1000</f>
        <v>45.045000000000002</v>
      </c>
      <c r="AJ598" t="str">
        <f>VLOOKUP(L598,'[1]Tuyến cáp H04'!$B:$E,4,0)</f>
        <v>Mạng cấp 3</v>
      </c>
    </row>
    <row r="599" spans="1:36" x14ac:dyDescent="0.25">
      <c r="A599" s="1" t="s">
        <v>5568</v>
      </c>
      <c r="B599" s="1" t="s">
        <v>5194</v>
      </c>
      <c r="C599" s="1" t="s">
        <v>5195</v>
      </c>
      <c r="D599" s="1" t="s">
        <v>5569</v>
      </c>
      <c r="E599" s="1" t="s">
        <v>5570</v>
      </c>
      <c r="F599" s="1" t="s">
        <v>5571</v>
      </c>
      <c r="G599" s="1" t="s">
        <v>14281</v>
      </c>
      <c r="H599" s="1" t="s">
        <v>14282</v>
      </c>
      <c r="I599" s="1" t="s">
        <v>14717</v>
      </c>
      <c r="J599" s="1" t="s">
        <v>23</v>
      </c>
      <c r="K599" s="1"/>
      <c r="L599" s="1" t="s">
        <v>5504</v>
      </c>
      <c r="M599" s="1" t="s">
        <v>5572</v>
      </c>
      <c r="N599" s="1" t="s">
        <v>5509</v>
      </c>
      <c r="O599" s="1" t="s">
        <v>5510</v>
      </c>
      <c r="P599" s="1" t="s">
        <v>5511</v>
      </c>
      <c r="Q599" s="1" t="s">
        <v>5573</v>
      </c>
      <c r="R599" s="1" t="s">
        <v>5574</v>
      </c>
      <c r="S599" s="1" t="s">
        <v>5575</v>
      </c>
      <c r="T599" s="1" t="s">
        <v>5512</v>
      </c>
      <c r="U599">
        <v>239.17</v>
      </c>
      <c r="V599">
        <v>21.46</v>
      </c>
      <c r="W599">
        <v>15.043846</v>
      </c>
      <c r="X599">
        <v>108.776487</v>
      </c>
      <c r="Y599">
        <v>217.71</v>
      </c>
      <c r="Z599">
        <v>15.057551999999999</v>
      </c>
      <c r="AA599">
        <v>108.777463</v>
      </c>
      <c r="AB599" s="5">
        <f t="shared" si="55"/>
        <v>3.2189999999999996E-2</v>
      </c>
      <c r="AC599" s="5">
        <f t="shared" si="56"/>
        <v>0.32656499999999999</v>
      </c>
      <c r="AD599" s="1" t="str">
        <f t="shared" si="57"/>
        <v>Nghĩa Hành</v>
      </c>
      <c r="AE599" s="1" t="str">
        <f t="shared" si="58"/>
        <v>Nghĩa Lộ</v>
      </c>
      <c r="AG599">
        <f t="shared" si="59"/>
        <v>2.146E-2</v>
      </c>
      <c r="AH599">
        <f t="shared" si="60"/>
        <v>0.21771000000000001</v>
      </c>
      <c r="AI599">
        <f>VLOOKUP(L599,'[1]Tuyến cáp H04'!$B:$E,3,0)/1000</f>
        <v>13.734</v>
      </c>
      <c r="AJ599" t="str">
        <f>VLOOKUP(L599,'[1]Tuyến cáp H04'!$B:$E,4,0)</f>
        <v>Mạng cấp 4</v>
      </c>
    </row>
    <row r="600" spans="1:36" x14ac:dyDescent="0.25">
      <c r="A600" s="1" t="s">
        <v>5576</v>
      </c>
      <c r="B600" s="1" t="s">
        <v>5194</v>
      </c>
      <c r="C600" s="1" t="s">
        <v>5195</v>
      </c>
      <c r="D600" s="1" t="s">
        <v>5577</v>
      </c>
      <c r="E600" s="1" t="s">
        <v>5578</v>
      </c>
      <c r="F600" s="1" t="s">
        <v>5579</v>
      </c>
      <c r="G600" s="1" t="s">
        <v>14281</v>
      </c>
      <c r="H600" s="1" t="s">
        <v>14282</v>
      </c>
      <c r="I600" s="1" t="s">
        <v>14718</v>
      </c>
      <c r="J600" s="1" t="s">
        <v>23</v>
      </c>
      <c r="K600" s="1"/>
      <c r="L600" s="1" t="s">
        <v>5504</v>
      </c>
      <c r="M600" s="1" t="s">
        <v>5580</v>
      </c>
      <c r="N600" s="1" t="s">
        <v>5509</v>
      </c>
      <c r="O600" s="1" t="s">
        <v>5510</v>
      </c>
      <c r="P600" s="1" t="s">
        <v>5511</v>
      </c>
      <c r="Q600" s="1" t="s">
        <v>5581</v>
      </c>
      <c r="R600" s="1" t="s">
        <v>5582</v>
      </c>
      <c r="S600" s="1" t="s">
        <v>5583</v>
      </c>
      <c r="T600" s="1" t="s">
        <v>5512</v>
      </c>
      <c r="U600">
        <v>1301.5899999999999</v>
      </c>
      <c r="V600">
        <v>21.46</v>
      </c>
      <c r="W600">
        <v>15.043846</v>
      </c>
      <c r="X600">
        <v>108.776487</v>
      </c>
      <c r="Y600">
        <v>1280.1300000000001</v>
      </c>
      <c r="Z600">
        <v>15.044572000000001</v>
      </c>
      <c r="AA600">
        <v>108.77494799999999</v>
      </c>
      <c r="AB600" s="5">
        <f t="shared" si="55"/>
        <v>3.2189999999999996E-2</v>
      </c>
      <c r="AC600" s="5">
        <f t="shared" si="56"/>
        <v>1.9201950000000001</v>
      </c>
      <c r="AD600" s="1" t="str">
        <f t="shared" si="57"/>
        <v>Nghĩa Hành</v>
      </c>
      <c r="AE600" s="1" t="str">
        <f t="shared" si="58"/>
        <v>Nghĩa Lộ</v>
      </c>
      <c r="AG600">
        <f t="shared" si="59"/>
        <v>2.146E-2</v>
      </c>
      <c r="AH600">
        <f t="shared" si="60"/>
        <v>1.2801300000000002</v>
      </c>
      <c r="AI600">
        <f>VLOOKUP(L600,'[1]Tuyến cáp H04'!$B:$E,3,0)/1000</f>
        <v>13.734</v>
      </c>
      <c r="AJ600" t="str">
        <f>VLOOKUP(L600,'[1]Tuyến cáp H04'!$B:$E,4,0)</f>
        <v>Mạng cấp 4</v>
      </c>
    </row>
    <row r="601" spans="1:36" x14ac:dyDescent="0.25">
      <c r="A601" s="1" t="s">
        <v>5584</v>
      </c>
      <c r="B601" s="1" t="s">
        <v>5585</v>
      </c>
      <c r="C601" s="1" t="s">
        <v>5586</v>
      </c>
      <c r="D601" s="1" t="s">
        <v>5587</v>
      </c>
      <c r="E601" s="1" t="s">
        <v>5588</v>
      </c>
      <c r="F601" s="1" t="s">
        <v>5589</v>
      </c>
      <c r="G601" s="1" t="s">
        <v>14129</v>
      </c>
      <c r="H601" s="1" t="s">
        <v>14133</v>
      </c>
      <c r="I601" s="1" t="s">
        <v>14719</v>
      </c>
      <c r="J601" s="1" t="s">
        <v>23</v>
      </c>
      <c r="K601" s="1"/>
      <c r="L601" s="1" t="s">
        <v>5590</v>
      </c>
      <c r="M601" s="1" t="s">
        <v>5591</v>
      </c>
      <c r="N601" s="1" t="s">
        <v>5592</v>
      </c>
      <c r="O601" s="1" t="s">
        <v>5593</v>
      </c>
      <c r="P601" s="1" t="s">
        <v>5594</v>
      </c>
      <c r="Q601" s="1" t="s">
        <v>5595</v>
      </c>
      <c r="R601" s="1" t="s">
        <v>5596</v>
      </c>
      <c r="S601" s="1" t="s">
        <v>5597</v>
      </c>
      <c r="T601" s="1" t="s">
        <v>5598</v>
      </c>
      <c r="U601">
        <v>2839.2</v>
      </c>
      <c r="V601">
        <v>47.26</v>
      </c>
      <c r="W601">
        <v>15.297487</v>
      </c>
      <c r="X601">
        <v>108.761878</v>
      </c>
      <c r="Y601">
        <v>2791.94</v>
      </c>
      <c r="Z601">
        <v>15.324786</v>
      </c>
      <c r="AA601">
        <v>108.813141</v>
      </c>
      <c r="AB601" s="5">
        <f t="shared" si="55"/>
        <v>7.0889999999999995E-2</v>
      </c>
      <c r="AC601" s="5">
        <f t="shared" si="56"/>
        <v>4.1879099999999996</v>
      </c>
      <c r="AD601" s="1" t="str">
        <f t="shared" si="57"/>
        <v>Quảng Ngãi</v>
      </c>
      <c r="AE601" s="1" t="str">
        <f t="shared" si="58"/>
        <v>Ring 1_CAH Bình Sơn - Vạn Tường</v>
      </c>
      <c r="AG601">
        <f t="shared" si="59"/>
        <v>4.7259999999999996E-2</v>
      </c>
      <c r="AH601">
        <f t="shared" si="60"/>
        <v>2.7919399999999999</v>
      </c>
      <c r="AI601" t="e">
        <f>VLOOKUP(L601,'[1]Tuyến cáp H04'!$B:$E,3,0)/1000</f>
        <v>#N/A</v>
      </c>
      <c r="AJ601" t="e">
        <f>VLOOKUP(L601,'[1]Tuyến cáp H04'!$B:$E,4,0)</f>
        <v>#N/A</v>
      </c>
    </row>
    <row r="602" spans="1:36" x14ac:dyDescent="0.25">
      <c r="A602" s="1" t="s">
        <v>5599</v>
      </c>
      <c r="B602" s="1" t="s">
        <v>5585</v>
      </c>
      <c r="C602" s="1" t="s">
        <v>5586</v>
      </c>
      <c r="D602" s="1" t="s">
        <v>5600</v>
      </c>
      <c r="E602" s="1" t="s">
        <v>5601</v>
      </c>
      <c r="F602" s="1" t="s">
        <v>5602</v>
      </c>
      <c r="G602" s="1" t="s">
        <v>14129</v>
      </c>
      <c r="H602" s="1" t="s">
        <v>14133</v>
      </c>
      <c r="I602" s="1" t="s">
        <v>14720</v>
      </c>
      <c r="J602" s="1" t="s">
        <v>23</v>
      </c>
      <c r="K602" s="1"/>
      <c r="L602" s="1" t="s">
        <v>5590</v>
      </c>
      <c r="M602" s="1" t="s">
        <v>5603</v>
      </c>
      <c r="N602" s="1" t="s">
        <v>5592</v>
      </c>
      <c r="O602" s="1" t="s">
        <v>5593</v>
      </c>
      <c r="P602" s="1" t="s">
        <v>5594</v>
      </c>
      <c r="Q602" s="1" t="s">
        <v>5604</v>
      </c>
      <c r="R602" s="1" t="s">
        <v>5605</v>
      </c>
      <c r="S602" s="1" t="s">
        <v>5606</v>
      </c>
      <c r="T602" s="1" t="s">
        <v>5598</v>
      </c>
      <c r="U602">
        <v>2217.81</v>
      </c>
      <c r="V602">
        <v>47.26</v>
      </c>
      <c r="W602">
        <v>15.297487</v>
      </c>
      <c r="X602">
        <v>108.761878</v>
      </c>
      <c r="Y602">
        <v>2170.5500000000002</v>
      </c>
      <c r="Z602">
        <v>15.306986</v>
      </c>
      <c r="AA602">
        <v>108.7803</v>
      </c>
      <c r="AB602" s="5">
        <f t="shared" si="55"/>
        <v>7.0889999999999995E-2</v>
      </c>
      <c r="AC602" s="5">
        <f t="shared" si="56"/>
        <v>3.2558250000000002</v>
      </c>
      <c r="AD602" s="1" t="str">
        <f t="shared" si="57"/>
        <v>Quảng Ngãi</v>
      </c>
      <c r="AE602" s="1" t="str">
        <f t="shared" si="58"/>
        <v>Ring 1_CAH Bình Sơn - Vạn Tường</v>
      </c>
      <c r="AG602">
        <f t="shared" si="59"/>
        <v>4.7259999999999996E-2</v>
      </c>
      <c r="AH602">
        <f t="shared" si="60"/>
        <v>2.17055</v>
      </c>
      <c r="AI602" t="e">
        <f>VLOOKUP(L602,'[1]Tuyến cáp H04'!$B:$E,3,0)/1000</f>
        <v>#N/A</v>
      </c>
      <c r="AJ602" t="e">
        <f>VLOOKUP(L602,'[1]Tuyến cáp H04'!$B:$E,4,0)</f>
        <v>#N/A</v>
      </c>
    </row>
    <row r="603" spans="1:36" x14ac:dyDescent="0.25">
      <c r="A603" s="1" t="s">
        <v>5607</v>
      </c>
      <c r="B603" s="1" t="s">
        <v>5585</v>
      </c>
      <c r="C603" s="1" t="s">
        <v>5586</v>
      </c>
      <c r="D603" s="1" t="s">
        <v>5608</v>
      </c>
      <c r="E603" s="1" t="s">
        <v>5609</v>
      </c>
      <c r="F603" s="1" t="s">
        <v>5610</v>
      </c>
      <c r="G603" s="1" t="s">
        <v>14129</v>
      </c>
      <c r="H603" s="1" t="s">
        <v>14133</v>
      </c>
      <c r="I603" s="1" t="s">
        <v>14721</v>
      </c>
      <c r="J603" s="1" t="s">
        <v>23</v>
      </c>
      <c r="K603" s="1"/>
      <c r="L603" s="1" t="s">
        <v>5590</v>
      </c>
      <c r="M603" s="1" t="s">
        <v>5611</v>
      </c>
      <c r="N603" s="1" t="s">
        <v>5592</v>
      </c>
      <c r="O603" s="1" t="s">
        <v>5593</v>
      </c>
      <c r="P603" s="1" t="s">
        <v>5594</v>
      </c>
      <c r="Q603" s="1" t="s">
        <v>5612</v>
      </c>
      <c r="R603" s="1" t="s">
        <v>5613</v>
      </c>
      <c r="S603" s="1" t="s">
        <v>5614</v>
      </c>
      <c r="T603" s="1" t="s">
        <v>5598</v>
      </c>
      <c r="U603">
        <v>2344.83</v>
      </c>
      <c r="V603">
        <v>47.26</v>
      </c>
      <c r="W603">
        <v>15.297487</v>
      </c>
      <c r="X603">
        <v>108.761878</v>
      </c>
      <c r="Y603">
        <v>2297.5700000000002</v>
      </c>
      <c r="Z603">
        <v>15.309248</v>
      </c>
      <c r="AA603">
        <v>108.785146</v>
      </c>
      <c r="AB603" s="5">
        <f t="shared" si="55"/>
        <v>7.0889999999999995E-2</v>
      </c>
      <c r="AC603" s="5">
        <f t="shared" si="56"/>
        <v>3.4463550000000005</v>
      </c>
      <c r="AD603" s="1" t="str">
        <f t="shared" si="57"/>
        <v>Quảng Ngãi</v>
      </c>
      <c r="AE603" s="1" t="str">
        <f t="shared" si="58"/>
        <v>Ring 1_CAH Bình Sơn - Vạn Tường</v>
      </c>
      <c r="AG603">
        <f t="shared" si="59"/>
        <v>4.7259999999999996E-2</v>
      </c>
      <c r="AH603">
        <f t="shared" si="60"/>
        <v>2.2975700000000003</v>
      </c>
      <c r="AI603" t="e">
        <f>VLOOKUP(L603,'[1]Tuyến cáp H04'!$B:$E,3,0)/1000</f>
        <v>#N/A</v>
      </c>
      <c r="AJ603" t="e">
        <f>VLOOKUP(L603,'[1]Tuyến cáp H04'!$B:$E,4,0)</f>
        <v>#N/A</v>
      </c>
    </row>
    <row r="604" spans="1:36" x14ac:dyDescent="0.25">
      <c r="A604" s="1" t="s">
        <v>5615</v>
      </c>
      <c r="B604" s="1" t="s">
        <v>5585</v>
      </c>
      <c r="C604" s="1" t="s">
        <v>5586</v>
      </c>
      <c r="D604" s="1" t="s">
        <v>5616</v>
      </c>
      <c r="E604" s="1" t="s">
        <v>5617</v>
      </c>
      <c r="F604" s="1" t="s">
        <v>5618</v>
      </c>
      <c r="G604" s="1" t="s">
        <v>14129</v>
      </c>
      <c r="H604" s="1" t="s">
        <v>14133</v>
      </c>
      <c r="I604" s="1" t="s">
        <v>14722</v>
      </c>
      <c r="J604" s="1" t="s">
        <v>23</v>
      </c>
      <c r="K604" s="1"/>
      <c r="L604" s="1" t="s">
        <v>5619</v>
      </c>
      <c r="M604" s="1" t="s">
        <v>5620</v>
      </c>
      <c r="N604" s="1" t="s">
        <v>5621</v>
      </c>
      <c r="O604" s="1" t="s">
        <v>5622</v>
      </c>
      <c r="P604" s="1" t="s">
        <v>5623</v>
      </c>
      <c r="Q604" s="1" t="s">
        <v>5624</v>
      </c>
      <c r="R604" s="1" t="s">
        <v>5625</v>
      </c>
      <c r="S604" s="1" t="s">
        <v>5626</v>
      </c>
      <c r="T604" s="1" t="s">
        <v>5627</v>
      </c>
      <c r="U604">
        <v>1201.71</v>
      </c>
      <c r="V604">
        <v>61.38</v>
      </c>
      <c r="W604">
        <v>15.297667000000001</v>
      </c>
      <c r="X604">
        <v>108.762175</v>
      </c>
      <c r="Y604">
        <v>1140.3399999999999</v>
      </c>
      <c r="Z604">
        <v>15.301570999999999</v>
      </c>
      <c r="AA604">
        <v>108.75758500000001</v>
      </c>
      <c r="AB604" s="5">
        <f t="shared" si="55"/>
        <v>9.2070000000000013E-2</v>
      </c>
      <c r="AC604" s="5">
        <f t="shared" si="56"/>
        <v>1.7105099999999998</v>
      </c>
      <c r="AD604" s="1" t="str">
        <f t="shared" si="57"/>
        <v>TTCMKV Bình Sơn</v>
      </c>
      <c r="AE604" s="1" t="str">
        <f t="shared" si="58"/>
        <v>Bình Sơn</v>
      </c>
      <c r="AG604">
        <f t="shared" si="59"/>
        <v>6.1380000000000004E-2</v>
      </c>
      <c r="AH604">
        <f t="shared" si="60"/>
        <v>1.1403399999999999</v>
      </c>
      <c r="AI604">
        <f>VLOOKUP(L604,'[1]Tuyến cáp H04'!$B:$E,3,0)/1000</f>
        <v>1.1910000000000001</v>
      </c>
      <c r="AJ604" t="str">
        <f>VLOOKUP(L604,'[1]Tuyến cáp H04'!$B:$E,4,0)</f>
        <v>Mạng cấp 4</v>
      </c>
    </row>
    <row r="605" spans="1:36" x14ac:dyDescent="0.25">
      <c r="A605" s="1" t="s">
        <v>5628</v>
      </c>
      <c r="B605" s="1" t="s">
        <v>5585</v>
      </c>
      <c r="C605" s="1" t="s">
        <v>5586</v>
      </c>
      <c r="D605" s="1" t="s">
        <v>5629</v>
      </c>
      <c r="E605" s="1" t="s">
        <v>5630</v>
      </c>
      <c r="F605" s="1" t="s">
        <v>5631</v>
      </c>
      <c r="G605" s="1" t="s">
        <v>14129</v>
      </c>
      <c r="H605" s="1" t="s">
        <v>14133</v>
      </c>
      <c r="I605" s="1" t="s">
        <v>14723</v>
      </c>
      <c r="J605" s="1" t="s">
        <v>23</v>
      </c>
      <c r="K605" s="1"/>
      <c r="L605" s="1" t="s">
        <v>5619</v>
      </c>
      <c r="M605" s="1" t="s">
        <v>5632</v>
      </c>
      <c r="N605" s="1" t="s">
        <v>5621</v>
      </c>
      <c r="O605" s="1" t="s">
        <v>5622</v>
      </c>
      <c r="P605" s="1" t="s">
        <v>5623</v>
      </c>
      <c r="Q605" s="1" t="s">
        <v>5633</v>
      </c>
      <c r="R605" s="1" t="s">
        <v>5625</v>
      </c>
      <c r="S605" s="1" t="s">
        <v>5626</v>
      </c>
      <c r="T605" s="1" t="s">
        <v>5627</v>
      </c>
      <c r="U605">
        <v>657.54</v>
      </c>
      <c r="V605">
        <v>61.38</v>
      </c>
      <c r="W605">
        <v>15.297667000000001</v>
      </c>
      <c r="X605">
        <v>108.762175</v>
      </c>
      <c r="Y605">
        <v>596.16</v>
      </c>
      <c r="Z605">
        <v>15.301570999999999</v>
      </c>
      <c r="AA605">
        <v>108.75758500000001</v>
      </c>
      <c r="AB605" s="5">
        <f t="shared" si="55"/>
        <v>9.2070000000000013E-2</v>
      </c>
      <c r="AC605" s="5">
        <f t="shared" si="56"/>
        <v>0.89424000000000003</v>
      </c>
      <c r="AD605" s="1" t="str">
        <f t="shared" si="57"/>
        <v>TTCMKV Bình Sơn</v>
      </c>
      <c r="AE605" s="1" t="str">
        <f t="shared" si="58"/>
        <v>Bình Sơn</v>
      </c>
      <c r="AG605">
        <f t="shared" si="59"/>
        <v>6.1380000000000004E-2</v>
      </c>
      <c r="AH605">
        <f t="shared" si="60"/>
        <v>0.59616000000000002</v>
      </c>
      <c r="AI605">
        <f>VLOOKUP(L605,'[1]Tuyến cáp H04'!$B:$E,3,0)/1000</f>
        <v>1.1910000000000001</v>
      </c>
      <c r="AJ605" t="str">
        <f>VLOOKUP(L605,'[1]Tuyến cáp H04'!$B:$E,4,0)</f>
        <v>Mạng cấp 4</v>
      </c>
    </row>
    <row r="606" spans="1:36" x14ac:dyDescent="0.25">
      <c r="A606" s="1" t="s">
        <v>5634</v>
      </c>
      <c r="B606" s="1" t="s">
        <v>5585</v>
      </c>
      <c r="C606" s="1" t="s">
        <v>5586</v>
      </c>
      <c r="D606" s="1" t="s">
        <v>5635</v>
      </c>
      <c r="E606" s="1" t="s">
        <v>5636</v>
      </c>
      <c r="F606" s="1" t="s">
        <v>5637</v>
      </c>
      <c r="G606" s="1" t="s">
        <v>14129</v>
      </c>
      <c r="H606" s="1" t="s">
        <v>14133</v>
      </c>
      <c r="I606" s="1" t="s">
        <v>14724</v>
      </c>
      <c r="J606" s="1" t="s">
        <v>23</v>
      </c>
      <c r="K606" s="1"/>
      <c r="L606" s="1" t="s">
        <v>5590</v>
      </c>
      <c r="M606" s="1" t="s">
        <v>5638</v>
      </c>
      <c r="N606" s="1" t="s">
        <v>5592</v>
      </c>
      <c r="O606" s="1" t="s">
        <v>5593</v>
      </c>
      <c r="P606" s="1" t="s">
        <v>5594</v>
      </c>
      <c r="Q606" s="1" t="s">
        <v>3349</v>
      </c>
      <c r="R606" s="1" t="s">
        <v>5639</v>
      </c>
      <c r="S606" s="1" t="s">
        <v>5640</v>
      </c>
      <c r="T606" s="1" t="s">
        <v>5598</v>
      </c>
      <c r="U606">
        <v>62.36</v>
      </c>
      <c r="V606">
        <v>47.26</v>
      </c>
      <c r="W606">
        <v>15.297487</v>
      </c>
      <c r="X606">
        <v>108.761878</v>
      </c>
      <c r="Y606">
        <v>15.1</v>
      </c>
      <c r="Z606">
        <v>15.3362</v>
      </c>
      <c r="AA606">
        <v>108.841576</v>
      </c>
      <c r="AB606" s="5">
        <f t="shared" si="55"/>
        <v>7.0889999999999995E-2</v>
      </c>
      <c r="AC606" s="5">
        <f t="shared" si="56"/>
        <v>2.265E-2</v>
      </c>
      <c r="AD606" s="1" t="str">
        <f t="shared" si="57"/>
        <v>Quảng Ngãi</v>
      </c>
      <c r="AE606" s="1" t="str">
        <f t="shared" si="58"/>
        <v>Ring 1_CAH Bình Sơn - Vạn Tường</v>
      </c>
      <c r="AG606">
        <f t="shared" si="59"/>
        <v>4.7259999999999996E-2</v>
      </c>
      <c r="AH606">
        <f t="shared" si="60"/>
        <v>1.5099999999999999E-2</v>
      </c>
      <c r="AI606" t="e">
        <f>VLOOKUP(L606,'[1]Tuyến cáp H04'!$B:$E,3,0)/1000</f>
        <v>#N/A</v>
      </c>
      <c r="AJ606" t="e">
        <f>VLOOKUP(L606,'[1]Tuyến cáp H04'!$B:$E,4,0)</f>
        <v>#N/A</v>
      </c>
    </row>
    <row r="607" spans="1:36" x14ac:dyDescent="0.25">
      <c r="A607" s="1" t="s">
        <v>5584</v>
      </c>
      <c r="B607" s="1" t="s">
        <v>5585</v>
      </c>
      <c r="C607" s="1" t="s">
        <v>5586</v>
      </c>
      <c r="D607" s="1" t="s">
        <v>5587</v>
      </c>
      <c r="E607" s="1" t="s">
        <v>5588</v>
      </c>
      <c r="F607" s="1" t="s">
        <v>5641</v>
      </c>
      <c r="G607" s="1" t="s">
        <v>14129</v>
      </c>
      <c r="H607" s="1" t="s">
        <v>14700</v>
      </c>
      <c r="I607" s="1" t="s">
        <v>14719</v>
      </c>
      <c r="J607" s="1" t="s">
        <v>23</v>
      </c>
      <c r="K607" s="1"/>
      <c r="L607" s="1" t="s">
        <v>5590</v>
      </c>
      <c r="M607" s="1" t="s">
        <v>5591</v>
      </c>
      <c r="N607" s="1" t="s">
        <v>5592</v>
      </c>
      <c r="O607" s="1" t="s">
        <v>5593</v>
      </c>
      <c r="P607" s="1" t="s">
        <v>5594</v>
      </c>
      <c r="Q607" s="1" t="s">
        <v>5595</v>
      </c>
      <c r="R607" s="1" t="s">
        <v>5596</v>
      </c>
      <c r="S607" s="1" t="s">
        <v>5597</v>
      </c>
      <c r="T607" s="1" t="s">
        <v>5598</v>
      </c>
      <c r="U607">
        <v>2839.2</v>
      </c>
      <c r="V607">
        <v>47.26</v>
      </c>
      <c r="W607">
        <v>15.297487</v>
      </c>
      <c r="X607">
        <v>108.761878</v>
      </c>
      <c r="Y607">
        <v>2791.94</v>
      </c>
      <c r="Z607">
        <v>15.324786</v>
      </c>
      <c r="AA607">
        <v>108.813141</v>
      </c>
      <c r="AB607" s="5">
        <f t="shared" si="55"/>
        <v>7.0889999999999995E-2</v>
      </c>
      <c r="AC607" s="5">
        <f t="shared" si="56"/>
        <v>4.1879099999999996</v>
      </c>
      <c r="AD607" s="1" t="str">
        <f t="shared" si="57"/>
        <v>Quảng Ngãi</v>
      </c>
      <c r="AE607" s="1" t="str">
        <f t="shared" si="58"/>
        <v>Ring 1_CAH Bình Sơn - Vạn Tường</v>
      </c>
      <c r="AG607">
        <f t="shared" si="59"/>
        <v>4.7259999999999996E-2</v>
      </c>
      <c r="AH607">
        <f t="shared" si="60"/>
        <v>2.7919399999999999</v>
      </c>
      <c r="AI607" t="e">
        <f>VLOOKUP(L607,'[1]Tuyến cáp H04'!$B:$E,3,0)/1000</f>
        <v>#N/A</v>
      </c>
      <c r="AJ607" t="e">
        <f>VLOOKUP(L607,'[1]Tuyến cáp H04'!$B:$E,4,0)</f>
        <v>#N/A</v>
      </c>
    </row>
    <row r="608" spans="1:36" x14ac:dyDescent="0.25">
      <c r="A608" s="1" t="s">
        <v>5642</v>
      </c>
      <c r="B608" s="1" t="s">
        <v>5233</v>
      </c>
      <c r="C608" s="1" t="s">
        <v>5234</v>
      </c>
      <c r="D608" s="1" t="s">
        <v>5585</v>
      </c>
      <c r="E608" s="1" t="s">
        <v>5586</v>
      </c>
      <c r="F608" s="1" t="s">
        <v>5643</v>
      </c>
      <c r="G608" s="1" t="s">
        <v>14129</v>
      </c>
      <c r="H608" s="1" t="s">
        <v>14133</v>
      </c>
      <c r="I608" s="1" t="s">
        <v>14725</v>
      </c>
      <c r="J608" s="1" t="s">
        <v>23</v>
      </c>
      <c r="K608" s="1"/>
      <c r="L608" s="1" t="s">
        <v>5644</v>
      </c>
      <c r="M608" s="1" t="s">
        <v>5645</v>
      </c>
      <c r="N608" s="1" t="s">
        <v>5646</v>
      </c>
      <c r="O608" s="1" t="s">
        <v>5647</v>
      </c>
      <c r="P608" s="1" t="s">
        <v>5648</v>
      </c>
      <c r="Q608" s="1" t="s">
        <v>5649</v>
      </c>
      <c r="R608" s="1" t="s">
        <v>5650</v>
      </c>
      <c r="S608" s="1" t="s">
        <v>5651</v>
      </c>
      <c r="T608" s="1" t="s">
        <v>5652</v>
      </c>
      <c r="U608">
        <v>2455.37</v>
      </c>
      <c r="V608">
        <v>2075.35</v>
      </c>
      <c r="W608">
        <v>15.21908</v>
      </c>
      <c r="X608">
        <v>108.787367</v>
      </c>
      <c r="Y608">
        <v>380.02</v>
      </c>
      <c r="Z608">
        <v>15.29429</v>
      </c>
      <c r="AA608">
        <v>108.76408600000001</v>
      </c>
      <c r="AB608" s="5">
        <f t="shared" si="55"/>
        <v>3.1130249999999995</v>
      </c>
      <c r="AC608" s="5">
        <f t="shared" si="56"/>
        <v>0.57002999999999993</v>
      </c>
      <c r="AD608" s="1" t="str">
        <f t="shared" si="57"/>
        <v>Bình Sơn</v>
      </c>
      <c r="AE608" s="1" t="str">
        <f t="shared" si="58"/>
        <v>TT1 Quảng Ngãi</v>
      </c>
      <c r="AG608">
        <f t="shared" si="59"/>
        <v>2.0753499999999998</v>
      </c>
      <c r="AH608">
        <f t="shared" si="60"/>
        <v>0.38001999999999997</v>
      </c>
      <c r="AI608">
        <f>VLOOKUP(L608,'[1]Tuyến cáp H04'!$B:$E,3,0)/1000</f>
        <v>25.260999999999999</v>
      </c>
      <c r="AJ608" t="str">
        <f>VLOOKUP(L608,'[1]Tuyến cáp H04'!$B:$E,4,0)</f>
        <v>Mạng cấp 3</v>
      </c>
    </row>
    <row r="609" spans="1:36" x14ac:dyDescent="0.25">
      <c r="A609" s="1" t="s">
        <v>5653</v>
      </c>
      <c r="B609" s="1" t="s">
        <v>5654</v>
      </c>
      <c r="C609" s="1" t="s">
        <v>5655</v>
      </c>
      <c r="D609" s="1" t="s">
        <v>5585</v>
      </c>
      <c r="E609" s="1" t="s">
        <v>5586</v>
      </c>
      <c r="F609" s="1" t="s">
        <v>5656</v>
      </c>
      <c r="G609" s="1" t="s">
        <v>14129</v>
      </c>
      <c r="H609" s="1" t="s">
        <v>14133</v>
      </c>
      <c r="I609" s="1" t="s">
        <v>14726</v>
      </c>
      <c r="J609" s="1" t="s">
        <v>23</v>
      </c>
      <c r="K609" s="1"/>
      <c r="L609" s="1" t="s">
        <v>5657</v>
      </c>
      <c r="M609" s="1" t="s">
        <v>5658</v>
      </c>
      <c r="N609" s="1" t="s">
        <v>5659</v>
      </c>
      <c r="O609" s="1" t="s">
        <v>5660</v>
      </c>
      <c r="P609" s="1" t="s">
        <v>5661</v>
      </c>
      <c r="Q609" s="1" t="s">
        <v>5662</v>
      </c>
      <c r="R609" s="1" t="s">
        <v>5663</v>
      </c>
      <c r="S609" s="1" t="s">
        <v>5664</v>
      </c>
      <c r="T609" s="1" t="s">
        <v>5665</v>
      </c>
      <c r="U609">
        <v>259.83999999999997</v>
      </c>
      <c r="V609">
        <v>216.3</v>
      </c>
      <c r="W609">
        <v>15.274777</v>
      </c>
      <c r="X609">
        <v>108.720617</v>
      </c>
      <c r="Y609">
        <v>43.54</v>
      </c>
      <c r="Z609">
        <v>15.297447999999999</v>
      </c>
      <c r="AA609">
        <v>108.76187899999999</v>
      </c>
      <c r="AB609" s="5">
        <f t="shared" si="55"/>
        <v>0.32445000000000007</v>
      </c>
      <c r="AC609" s="5">
        <f t="shared" si="56"/>
        <v>6.5310000000000007E-2</v>
      </c>
      <c r="AD609" s="1" t="str">
        <f t="shared" si="57"/>
        <v>Trà Bồng</v>
      </c>
      <c r="AE609" s="1" t="str">
        <f t="shared" si="58"/>
        <v>Bình Sơn</v>
      </c>
      <c r="AG609">
        <f t="shared" si="59"/>
        <v>0.21630000000000002</v>
      </c>
      <c r="AH609">
        <f t="shared" si="60"/>
        <v>4.3540000000000002E-2</v>
      </c>
      <c r="AI609">
        <f>VLOOKUP(L609,'[1]Tuyến cáp H04'!$B:$E,3,0)/1000</f>
        <v>30.911999999999999</v>
      </c>
      <c r="AJ609" t="str">
        <f>VLOOKUP(L609,'[1]Tuyến cáp H04'!$B:$E,4,0)</f>
        <v>Mạng cấp 3</v>
      </c>
    </row>
    <row r="610" spans="1:36" x14ac:dyDescent="0.25">
      <c r="A610" s="1" t="s">
        <v>5666</v>
      </c>
      <c r="B610" s="1" t="s">
        <v>5667</v>
      </c>
      <c r="C610" s="1" t="s">
        <v>5668</v>
      </c>
      <c r="D610" s="1" t="s">
        <v>5585</v>
      </c>
      <c r="E610" s="1" t="s">
        <v>5586</v>
      </c>
      <c r="F610" s="1" t="s">
        <v>5669</v>
      </c>
      <c r="G610" s="1" t="s">
        <v>14129</v>
      </c>
      <c r="H610" s="1" t="s">
        <v>14133</v>
      </c>
      <c r="I610" s="1" t="s">
        <v>14727</v>
      </c>
      <c r="J610" s="1" t="s">
        <v>23</v>
      </c>
      <c r="K610" s="1"/>
      <c r="L610" s="1" t="s">
        <v>5657</v>
      </c>
      <c r="M610" s="1" t="s">
        <v>5670</v>
      </c>
      <c r="N610" s="1" t="s">
        <v>5671</v>
      </c>
      <c r="O610" s="1" t="s">
        <v>5672</v>
      </c>
      <c r="P610" s="1" t="s">
        <v>5673</v>
      </c>
      <c r="Q610" s="1" t="s">
        <v>5662</v>
      </c>
      <c r="R610" s="1" t="s">
        <v>5663</v>
      </c>
      <c r="S610" s="1" t="s">
        <v>5664</v>
      </c>
      <c r="T610" s="1" t="s">
        <v>5665</v>
      </c>
      <c r="U610">
        <v>419.88</v>
      </c>
      <c r="V610">
        <v>376.34</v>
      </c>
      <c r="W610">
        <v>15.281186</v>
      </c>
      <c r="X610">
        <v>108.739684</v>
      </c>
      <c r="Y610">
        <v>43.54</v>
      </c>
      <c r="Z610">
        <v>15.297447999999999</v>
      </c>
      <c r="AA610">
        <v>108.76187899999999</v>
      </c>
      <c r="AB610" s="5">
        <f t="shared" si="55"/>
        <v>0.56450999999999996</v>
      </c>
      <c r="AC610" s="5">
        <f t="shared" si="56"/>
        <v>6.5310000000000007E-2</v>
      </c>
      <c r="AD610" s="1" t="str">
        <f t="shared" si="57"/>
        <v>Trà Bồng</v>
      </c>
      <c r="AE610" s="1" t="str">
        <f t="shared" si="58"/>
        <v>Bình Sơn</v>
      </c>
      <c r="AG610">
        <f t="shared" si="59"/>
        <v>0.37633999999999995</v>
      </c>
      <c r="AH610">
        <f t="shared" si="60"/>
        <v>4.3540000000000002E-2</v>
      </c>
      <c r="AI610">
        <f>VLOOKUP(L610,'[1]Tuyến cáp H04'!$B:$E,3,0)/1000</f>
        <v>30.911999999999999</v>
      </c>
      <c r="AJ610" t="str">
        <f>VLOOKUP(L610,'[1]Tuyến cáp H04'!$B:$E,4,0)</f>
        <v>Mạng cấp 3</v>
      </c>
    </row>
    <row r="611" spans="1:36" x14ac:dyDescent="0.25">
      <c r="A611" s="1" t="s">
        <v>5674</v>
      </c>
      <c r="B611" s="1" t="s">
        <v>5675</v>
      </c>
      <c r="C611" s="1" t="s">
        <v>5676</v>
      </c>
      <c r="D611" s="1" t="s">
        <v>5585</v>
      </c>
      <c r="E611" s="1" t="s">
        <v>5586</v>
      </c>
      <c r="F611" s="1" t="s">
        <v>5677</v>
      </c>
      <c r="G611" s="1" t="s">
        <v>14129</v>
      </c>
      <c r="H611" s="1" t="s">
        <v>14133</v>
      </c>
      <c r="I611" s="1" t="s">
        <v>14728</v>
      </c>
      <c r="J611" s="1" t="s">
        <v>23</v>
      </c>
      <c r="K611" s="1"/>
      <c r="L611" s="1" t="s">
        <v>5678</v>
      </c>
      <c r="M611" s="1" t="s">
        <v>5679</v>
      </c>
      <c r="N611" s="1" t="s">
        <v>5680</v>
      </c>
      <c r="O611" s="1" t="s">
        <v>5681</v>
      </c>
      <c r="P611" s="1" t="s">
        <v>5682</v>
      </c>
      <c r="Q611" s="1" t="s">
        <v>5683</v>
      </c>
      <c r="R611" s="1" t="s">
        <v>5684</v>
      </c>
      <c r="S611" s="1" t="s">
        <v>5685</v>
      </c>
      <c r="T611" s="1" t="s">
        <v>5686</v>
      </c>
      <c r="U611">
        <v>676.53</v>
      </c>
      <c r="V611">
        <v>337.48</v>
      </c>
      <c r="W611">
        <v>15.275721000000001</v>
      </c>
      <c r="X611">
        <v>108.773759</v>
      </c>
      <c r="Y611">
        <v>339.06</v>
      </c>
      <c r="Z611">
        <v>15.294822999999999</v>
      </c>
      <c r="AA611">
        <v>108.76002099999999</v>
      </c>
      <c r="AB611" s="5">
        <f t="shared" si="55"/>
        <v>0.50622</v>
      </c>
      <c r="AC611" s="5">
        <f t="shared" si="56"/>
        <v>0.50858999999999999</v>
      </c>
      <c r="AD611" s="1" t="str">
        <f t="shared" si="57"/>
        <v>Bình Sơn</v>
      </c>
      <c r="AE611" s="1" t="str">
        <f t="shared" si="58"/>
        <v>Thọ Phong</v>
      </c>
      <c r="AG611">
        <f t="shared" si="59"/>
        <v>0.33748</v>
      </c>
      <c r="AH611">
        <f t="shared" si="60"/>
        <v>0.33906000000000003</v>
      </c>
      <c r="AI611">
        <f>VLOOKUP(L611,'[1]Tuyến cáp H04'!$B:$E,3,0)/1000</f>
        <v>16.503</v>
      </c>
      <c r="AJ611" t="str">
        <f>VLOOKUP(L611,'[1]Tuyến cáp H04'!$B:$E,4,0)</f>
        <v>Mạng cấp 4</v>
      </c>
    </row>
    <row r="612" spans="1:36" x14ac:dyDescent="0.25">
      <c r="A612" s="1" t="s">
        <v>5687</v>
      </c>
      <c r="B612" s="1" t="s">
        <v>5688</v>
      </c>
      <c r="C612" s="1" t="s">
        <v>5689</v>
      </c>
      <c r="D612" s="1" t="s">
        <v>5585</v>
      </c>
      <c r="E612" s="1" t="s">
        <v>5586</v>
      </c>
      <c r="F612" s="1" t="s">
        <v>5690</v>
      </c>
      <c r="G612" s="1" t="s">
        <v>14129</v>
      </c>
      <c r="H612" s="1" t="s">
        <v>14133</v>
      </c>
      <c r="I612" s="1" t="s">
        <v>14729</v>
      </c>
      <c r="J612" s="1" t="s">
        <v>23</v>
      </c>
      <c r="K612" s="1"/>
      <c r="L612" s="1" t="s">
        <v>5657</v>
      </c>
      <c r="M612" s="1" t="s">
        <v>5691</v>
      </c>
      <c r="N612" s="1" t="s">
        <v>5692</v>
      </c>
      <c r="O612" s="1" t="s">
        <v>5693</v>
      </c>
      <c r="P612" s="1" t="s">
        <v>5694</v>
      </c>
      <c r="Q612" s="1" t="s">
        <v>5662</v>
      </c>
      <c r="R612" s="1" t="s">
        <v>5663</v>
      </c>
      <c r="S612" s="1" t="s">
        <v>5664</v>
      </c>
      <c r="T612" s="1" t="s">
        <v>5665</v>
      </c>
      <c r="U612">
        <v>565.66</v>
      </c>
      <c r="V612">
        <v>522.11</v>
      </c>
      <c r="W612">
        <v>15.298811000000001</v>
      </c>
      <c r="X612">
        <v>108.76312799999999</v>
      </c>
      <c r="Y612">
        <v>43.54</v>
      </c>
      <c r="Z612">
        <v>15.297447999999999</v>
      </c>
      <c r="AA612">
        <v>108.76187899999999</v>
      </c>
      <c r="AB612" s="5">
        <f t="shared" si="55"/>
        <v>0.783165</v>
      </c>
      <c r="AC612" s="5">
        <f t="shared" si="56"/>
        <v>6.5310000000000007E-2</v>
      </c>
      <c r="AD612" s="1" t="str">
        <f t="shared" si="57"/>
        <v>Trà Bồng</v>
      </c>
      <c r="AE612" s="1" t="str">
        <f t="shared" si="58"/>
        <v>Bình Sơn</v>
      </c>
      <c r="AG612">
        <f t="shared" si="59"/>
        <v>0.52210999999999996</v>
      </c>
      <c r="AH612">
        <f t="shared" si="60"/>
        <v>4.3540000000000002E-2</v>
      </c>
      <c r="AI612">
        <f>VLOOKUP(L612,'[1]Tuyến cáp H04'!$B:$E,3,0)/1000</f>
        <v>30.911999999999999</v>
      </c>
      <c r="AJ612" t="str">
        <f>VLOOKUP(L612,'[1]Tuyến cáp H04'!$B:$E,4,0)</f>
        <v>Mạng cấp 3</v>
      </c>
    </row>
    <row r="613" spans="1:36" x14ac:dyDescent="0.25">
      <c r="A613" s="1" t="s">
        <v>5695</v>
      </c>
      <c r="B613" s="1" t="s">
        <v>5696</v>
      </c>
      <c r="C613" s="1" t="s">
        <v>5697</v>
      </c>
      <c r="D613" s="1" t="s">
        <v>5585</v>
      </c>
      <c r="E613" s="1" t="s">
        <v>5586</v>
      </c>
      <c r="F613" s="1" t="s">
        <v>5698</v>
      </c>
      <c r="G613" s="1" t="s">
        <v>14281</v>
      </c>
      <c r="H613" s="1" t="s">
        <v>14282</v>
      </c>
      <c r="I613" s="1" t="s">
        <v>14730</v>
      </c>
      <c r="J613" s="1" t="s">
        <v>23</v>
      </c>
      <c r="K613" s="1"/>
      <c r="L613" s="1" t="s">
        <v>5657</v>
      </c>
      <c r="M613" s="1" t="s">
        <v>5699</v>
      </c>
      <c r="N613" s="1" t="s">
        <v>5700</v>
      </c>
      <c r="O613" s="1" t="s">
        <v>5701</v>
      </c>
      <c r="P613" s="1" t="s">
        <v>5702</v>
      </c>
      <c r="Q613" s="1" t="s">
        <v>5662</v>
      </c>
      <c r="R613" s="1" t="s">
        <v>5663</v>
      </c>
      <c r="S613" s="1" t="s">
        <v>5664</v>
      </c>
      <c r="T613" s="1" t="s">
        <v>5665</v>
      </c>
      <c r="U613">
        <v>214.98</v>
      </c>
      <c r="V613">
        <v>171.44</v>
      </c>
      <c r="W613">
        <v>15.291643000000001</v>
      </c>
      <c r="X613">
        <v>108.757813</v>
      </c>
      <c r="Y613">
        <v>43.54</v>
      </c>
      <c r="Z613">
        <v>15.297447999999999</v>
      </c>
      <c r="AA613">
        <v>108.76187899999999</v>
      </c>
      <c r="AB613" s="5">
        <f t="shared" si="55"/>
        <v>0.25715999999999994</v>
      </c>
      <c r="AC613" s="5">
        <f t="shared" si="56"/>
        <v>6.5310000000000007E-2</v>
      </c>
      <c r="AD613" s="1" t="str">
        <f t="shared" si="57"/>
        <v>Trà Bồng</v>
      </c>
      <c r="AE613" s="1" t="str">
        <f t="shared" si="58"/>
        <v>Bình Sơn</v>
      </c>
      <c r="AG613">
        <f t="shared" si="59"/>
        <v>0.17144000000000001</v>
      </c>
      <c r="AH613">
        <f t="shared" si="60"/>
        <v>4.3540000000000002E-2</v>
      </c>
      <c r="AI613">
        <f>VLOOKUP(L613,'[1]Tuyến cáp H04'!$B:$E,3,0)/1000</f>
        <v>30.911999999999999</v>
      </c>
      <c r="AJ613" t="str">
        <f>VLOOKUP(L613,'[1]Tuyến cáp H04'!$B:$E,4,0)</f>
        <v>Mạng cấp 3</v>
      </c>
    </row>
    <row r="614" spans="1:36" x14ac:dyDescent="0.25">
      <c r="A614" s="1" t="s">
        <v>5703</v>
      </c>
      <c r="B614" s="1" t="s">
        <v>5704</v>
      </c>
      <c r="C614" s="1" t="s">
        <v>5705</v>
      </c>
      <c r="D614" s="1" t="s">
        <v>5706</v>
      </c>
      <c r="E614" s="1" t="s">
        <v>5707</v>
      </c>
      <c r="F614" s="1" t="s">
        <v>5708</v>
      </c>
      <c r="G614" s="1" t="s">
        <v>14129</v>
      </c>
      <c r="H614" s="1" t="s">
        <v>14679</v>
      </c>
      <c r="I614" s="1" t="s">
        <v>14731</v>
      </c>
      <c r="J614" s="1" t="s">
        <v>23</v>
      </c>
      <c r="K614" s="1"/>
      <c r="L614" s="1" t="s">
        <v>5355</v>
      </c>
      <c r="M614" s="1" t="s">
        <v>5709</v>
      </c>
      <c r="N614" s="1" t="s">
        <v>5710</v>
      </c>
      <c r="O614" s="1" t="s">
        <v>5711</v>
      </c>
      <c r="P614" s="1" t="s">
        <v>5712</v>
      </c>
      <c r="Q614" s="1" t="s">
        <v>5713</v>
      </c>
      <c r="R614" s="1" t="s">
        <v>5714</v>
      </c>
      <c r="S614" s="1" t="s">
        <v>5715</v>
      </c>
      <c r="T614" s="1" t="s">
        <v>5716</v>
      </c>
      <c r="U614">
        <v>2588.46</v>
      </c>
      <c r="V614">
        <v>2242.4899999999998</v>
      </c>
      <c r="W614">
        <v>15.117129</v>
      </c>
      <c r="X614">
        <v>108.82477299999999</v>
      </c>
      <c r="Y614">
        <v>345.97</v>
      </c>
      <c r="Z614">
        <v>15.084956</v>
      </c>
      <c r="AA614">
        <v>108.829359</v>
      </c>
      <c r="AB614" s="5">
        <f t="shared" si="55"/>
        <v>3.3637349999999997</v>
      </c>
      <c r="AC614" s="5">
        <f t="shared" si="56"/>
        <v>0.51895500000000006</v>
      </c>
      <c r="AD614" s="1" t="str">
        <f t="shared" si="57"/>
        <v>Đức Phổ</v>
      </c>
      <c r="AE614" s="1" t="str">
        <f t="shared" si="58"/>
        <v>TT1 Quảng Ngãi mới</v>
      </c>
      <c r="AG614">
        <f t="shared" si="59"/>
        <v>2.2424899999999997</v>
      </c>
      <c r="AH614">
        <f t="shared" si="60"/>
        <v>0.34597</v>
      </c>
      <c r="AI614" t="e">
        <f>VLOOKUP(L614,'[1]Tuyến cáp H04'!$B:$E,3,0)/1000</f>
        <v>#N/A</v>
      </c>
      <c r="AJ614" t="e">
        <f>VLOOKUP(L614,'[1]Tuyến cáp H04'!$B:$E,4,0)</f>
        <v>#N/A</v>
      </c>
    </row>
    <row r="615" spans="1:36" x14ac:dyDescent="0.25">
      <c r="A615" s="1" t="s">
        <v>5717</v>
      </c>
      <c r="B615" s="1" t="s">
        <v>5718</v>
      </c>
      <c r="C615" s="1" t="s">
        <v>5719</v>
      </c>
      <c r="D615" s="1" t="s">
        <v>5706</v>
      </c>
      <c r="E615" s="1" t="s">
        <v>5707</v>
      </c>
      <c r="F615" s="1" t="s">
        <v>5720</v>
      </c>
      <c r="G615" s="1" t="s">
        <v>14129</v>
      </c>
      <c r="H615" s="1" t="s">
        <v>14679</v>
      </c>
      <c r="I615" s="1" t="s">
        <v>14732</v>
      </c>
      <c r="J615" s="1" t="s">
        <v>23</v>
      </c>
      <c r="K615" s="1"/>
      <c r="L615" s="1" t="s">
        <v>5721</v>
      </c>
      <c r="M615" s="1" t="s">
        <v>5722</v>
      </c>
      <c r="N615" s="1" t="s">
        <v>5723</v>
      </c>
      <c r="O615" s="1" t="s">
        <v>5724</v>
      </c>
      <c r="P615" s="1" t="s">
        <v>5725</v>
      </c>
      <c r="Q615" s="1" t="s">
        <v>5726</v>
      </c>
      <c r="R615" s="1" t="s">
        <v>5727</v>
      </c>
      <c r="S615" s="1" t="s">
        <v>5728</v>
      </c>
      <c r="T615" s="1" t="s">
        <v>5729</v>
      </c>
      <c r="U615">
        <v>537.49</v>
      </c>
      <c r="V615">
        <v>192.46</v>
      </c>
      <c r="W615">
        <v>15.078923</v>
      </c>
      <c r="X615">
        <v>108.83280999999999</v>
      </c>
      <c r="Y615">
        <v>345.03</v>
      </c>
      <c r="Z615">
        <v>15.085029</v>
      </c>
      <c r="AA615">
        <v>108.829308</v>
      </c>
      <c r="AB615" s="5">
        <f t="shared" si="55"/>
        <v>0.28869</v>
      </c>
      <c r="AC615" s="5">
        <f t="shared" si="56"/>
        <v>0.51754499999999992</v>
      </c>
      <c r="AD615" s="1" t="str">
        <f t="shared" si="57"/>
        <v>Vệ Giang</v>
      </c>
      <c r="AE615" s="1" t="str">
        <f t="shared" si="58"/>
        <v>Cẩm Thành</v>
      </c>
      <c r="AG615">
        <f t="shared" si="59"/>
        <v>0.19246000000000002</v>
      </c>
      <c r="AH615">
        <f t="shared" si="60"/>
        <v>0.34502999999999995</v>
      </c>
      <c r="AI615">
        <f>VLOOKUP(L615,'[1]Tuyến cáp H04'!$B:$E,3,0)/1000</f>
        <v>11.173</v>
      </c>
      <c r="AJ615" t="str">
        <f>VLOOKUP(L615,'[1]Tuyến cáp H04'!$B:$E,4,0)</f>
        <v>Mạng cấp 4</v>
      </c>
    </row>
    <row r="616" spans="1:36" x14ac:dyDescent="0.25">
      <c r="A616" s="1" t="s">
        <v>5730</v>
      </c>
      <c r="B616" s="1" t="s">
        <v>5731</v>
      </c>
      <c r="C616" s="1" t="s">
        <v>5732</v>
      </c>
      <c r="D616" s="1" t="s">
        <v>5706</v>
      </c>
      <c r="E616" s="1" t="s">
        <v>5707</v>
      </c>
      <c r="F616" s="1" t="s">
        <v>5733</v>
      </c>
      <c r="G616" s="1" t="s">
        <v>14129</v>
      </c>
      <c r="H616" s="1" t="s">
        <v>14679</v>
      </c>
      <c r="I616" s="1" t="s">
        <v>14733</v>
      </c>
      <c r="J616" s="1" t="s">
        <v>23</v>
      </c>
      <c r="K616" s="1"/>
      <c r="L616" s="1" t="s">
        <v>5734</v>
      </c>
      <c r="M616" s="1" t="s">
        <v>5735</v>
      </c>
      <c r="N616" s="1" t="s">
        <v>5736</v>
      </c>
      <c r="O616" s="1" t="s">
        <v>5737</v>
      </c>
      <c r="P616" s="1" t="s">
        <v>5738</v>
      </c>
      <c r="Q616" s="1" t="s">
        <v>5739</v>
      </c>
      <c r="R616" s="1" t="s">
        <v>5740</v>
      </c>
      <c r="S616" s="1" t="s">
        <v>5741</v>
      </c>
      <c r="T616" s="1" t="s">
        <v>5742</v>
      </c>
      <c r="U616">
        <v>369.01</v>
      </c>
      <c r="V616">
        <v>321.62</v>
      </c>
      <c r="W616">
        <v>15.088100000000001</v>
      </c>
      <c r="X616">
        <v>108.821113</v>
      </c>
      <c r="Y616">
        <v>47.39</v>
      </c>
      <c r="Z616">
        <v>15.08394</v>
      </c>
      <c r="AA616">
        <v>108.82642800000001</v>
      </c>
      <c r="AB616" s="5">
        <f t="shared" si="55"/>
        <v>0.48243000000000003</v>
      </c>
      <c r="AC616" s="5">
        <f t="shared" si="56"/>
        <v>7.1085000000000009E-2</v>
      </c>
      <c r="AD616" s="1" t="str">
        <f t="shared" si="57"/>
        <v>Cơ sở cai nghiện (X. Nghĩa Kỳ, H. Tư Nghĩa)</v>
      </c>
      <c r="AE616" s="1" t="str">
        <f t="shared" si="58"/>
        <v>TTCMKV Tư Nghĩa</v>
      </c>
      <c r="AG616">
        <f t="shared" si="59"/>
        <v>0.32162000000000002</v>
      </c>
      <c r="AH616">
        <f t="shared" si="60"/>
        <v>4.7390000000000002E-2</v>
      </c>
      <c r="AI616">
        <f>VLOOKUP(L616,'[1]Tuyến cáp H04'!$B:$E,3,0)/1000</f>
        <v>12.4</v>
      </c>
      <c r="AJ616" t="str">
        <f>VLOOKUP(L616,'[1]Tuyến cáp H04'!$B:$E,4,0)</f>
        <v>Mạng cấp 3</v>
      </c>
    </row>
    <row r="617" spans="1:36" x14ac:dyDescent="0.25">
      <c r="A617" s="1" t="s">
        <v>5743</v>
      </c>
      <c r="B617" s="1" t="s">
        <v>5352</v>
      </c>
      <c r="C617" s="1" t="s">
        <v>5353</v>
      </c>
      <c r="D617" s="1" t="s">
        <v>5706</v>
      </c>
      <c r="E617" s="1" t="s">
        <v>5707</v>
      </c>
      <c r="F617" s="1" t="s">
        <v>5744</v>
      </c>
      <c r="G617" s="1" t="s">
        <v>14281</v>
      </c>
      <c r="H617" s="1" t="s">
        <v>14282</v>
      </c>
      <c r="I617" s="1" t="s">
        <v>14734</v>
      </c>
      <c r="J617" s="1" t="s">
        <v>23</v>
      </c>
      <c r="K617" s="1"/>
      <c r="L617" s="1" t="s">
        <v>5745</v>
      </c>
      <c r="M617" s="1" t="s">
        <v>5746</v>
      </c>
      <c r="N617" s="1" t="s">
        <v>5747</v>
      </c>
      <c r="O617" s="1" t="s">
        <v>5748</v>
      </c>
      <c r="P617" s="1" t="s">
        <v>5749</v>
      </c>
      <c r="Q617" s="1" t="s">
        <v>5750</v>
      </c>
      <c r="R617" s="1" t="s">
        <v>5751</v>
      </c>
      <c r="S617" s="1" t="s">
        <v>5752</v>
      </c>
      <c r="T617" s="1" t="s">
        <v>5753</v>
      </c>
      <c r="U617">
        <v>380.61</v>
      </c>
      <c r="V617">
        <v>104.88</v>
      </c>
      <c r="W617">
        <v>15.058427999999999</v>
      </c>
      <c r="X617">
        <v>108.842528</v>
      </c>
      <c r="Y617">
        <v>275.73</v>
      </c>
      <c r="Z617">
        <v>15.081044</v>
      </c>
      <c r="AA617">
        <v>108.826357</v>
      </c>
      <c r="AB617" s="5">
        <f t="shared" si="55"/>
        <v>0.15731999999999999</v>
      </c>
      <c r="AC617" s="5">
        <f t="shared" si="56"/>
        <v>0.41359500000000005</v>
      </c>
      <c r="AD617" s="1" t="str">
        <f t="shared" si="57"/>
        <v>Long Phụng</v>
      </c>
      <c r="AE617" s="1" t="str">
        <f t="shared" si="58"/>
        <v>Tư Nghĩa</v>
      </c>
      <c r="AG617">
        <f t="shared" si="59"/>
        <v>0.10488</v>
      </c>
      <c r="AH617">
        <f t="shared" si="60"/>
        <v>0.27573000000000003</v>
      </c>
      <c r="AI617">
        <f>VLOOKUP(L617,'[1]Tuyến cáp H04'!$B:$E,3,0)/1000</f>
        <v>11.252000000000001</v>
      </c>
      <c r="AJ617" t="str">
        <f>VLOOKUP(L617,'[1]Tuyến cáp H04'!$B:$E,4,0)</f>
        <v>Mạng cấp 4</v>
      </c>
    </row>
    <row r="618" spans="1:36" x14ac:dyDescent="0.25">
      <c r="A618" s="1" t="s">
        <v>5754</v>
      </c>
      <c r="B618" s="1" t="s">
        <v>5706</v>
      </c>
      <c r="C618" s="1" t="s">
        <v>5707</v>
      </c>
      <c r="D618" s="1" t="s">
        <v>5321</v>
      </c>
      <c r="E618" s="1" t="s">
        <v>5322</v>
      </c>
      <c r="F618" s="1" t="s">
        <v>5755</v>
      </c>
      <c r="G618" s="1" t="s">
        <v>14281</v>
      </c>
      <c r="H618" s="1" t="s">
        <v>14282</v>
      </c>
      <c r="I618" s="1" t="s">
        <v>14735</v>
      </c>
      <c r="J618" s="1" t="s">
        <v>23</v>
      </c>
      <c r="K618" s="1"/>
      <c r="L618" s="1" t="s">
        <v>5734</v>
      </c>
      <c r="M618" s="1" t="s">
        <v>5756</v>
      </c>
      <c r="N618" s="1" t="s">
        <v>5739</v>
      </c>
      <c r="O618" s="1" t="s">
        <v>5740</v>
      </c>
      <c r="P618" s="1" t="s">
        <v>5741</v>
      </c>
      <c r="Q618" s="1" t="s">
        <v>5757</v>
      </c>
      <c r="R618" s="1" t="s">
        <v>5758</v>
      </c>
      <c r="S618" s="1" t="s">
        <v>5759</v>
      </c>
      <c r="T618" s="1" t="s">
        <v>5742</v>
      </c>
      <c r="U618">
        <v>2770.12</v>
      </c>
      <c r="V618">
        <v>47.39</v>
      </c>
      <c r="W618">
        <v>15.08394</v>
      </c>
      <c r="X618">
        <v>108.82642800000001</v>
      </c>
      <c r="Y618">
        <v>2722.73</v>
      </c>
      <c r="Z618">
        <v>15.109165000000001</v>
      </c>
      <c r="AA618">
        <v>108.78915000000001</v>
      </c>
      <c r="AB618" s="5">
        <f t="shared" si="55"/>
        <v>7.1085000000000009E-2</v>
      </c>
      <c r="AC618" s="5">
        <f t="shared" si="56"/>
        <v>4.0840950000000005</v>
      </c>
      <c r="AD618" s="1" t="str">
        <f t="shared" si="57"/>
        <v>Cơ sở cai nghiện (X. Nghĩa Kỳ, H. Tư Nghĩa)</v>
      </c>
      <c r="AE618" s="1" t="str">
        <f t="shared" si="58"/>
        <v>TTCMKV Tư Nghĩa</v>
      </c>
      <c r="AG618">
        <f t="shared" si="59"/>
        <v>4.7390000000000002E-2</v>
      </c>
      <c r="AH618">
        <f t="shared" si="60"/>
        <v>2.7227299999999999</v>
      </c>
      <c r="AI618">
        <f>VLOOKUP(L618,'[1]Tuyến cáp H04'!$B:$E,3,0)/1000</f>
        <v>12.4</v>
      </c>
      <c r="AJ618" t="str">
        <f>VLOOKUP(L618,'[1]Tuyến cáp H04'!$B:$E,4,0)</f>
        <v>Mạng cấp 3</v>
      </c>
    </row>
    <row r="619" spans="1:36" x14ac:dyDescent="0.25">
      <c r="A619" s="1" t="s">
        <v>5760</v>
      </c>
      <c r="B619" s="1" t="s">
        <v>5635</v>
      </c>
      <c r="C619" s="1" t="s">
        <v>5636</v>
      </c>
      <c r="D619" s="1" t="s">
        <v>5761</v>
      </c>
      <c r="E619" s="1" t="s">
        <v>5762</v>
      </c>
      <c r="F619" s="1" t="s">
        <v>5763</v>
      </c>
      <c r="G619" s="1" t="s">
        <v>14129</v>
      </c>
      <c r="H619" s="1" t="s">
        <v>14133</v>
      </c>
      <c r="I619" s="1" t="s">
        <v>14736</v>
      </c>
      <c r="J619" s="1" t="s">
        <v>23</v>
      </c>
      <c r="K619" s="1"/>
      <c r="L619" s="1" t="s">
        <v>5764</v>
      </c>
      <c r="M619" s="1" t="s">
        <v>5765</v>
      </c>
      <c r="N619" s="1" t="s">
        <v>5766</v>
      </c>
      <c r="O619" s="1" t="s">
        <v>5767</v>
      </c>
      <c r="P619" s="1" t="s">
        <v>5768</v>
      </c>
      <c r="Q619" s="1" t="s">
        <v>5769</v>
      </c>
      <c r="R619" s="1" t="s">
        <v>5770</v>
      </c>
      <c r="S619" s="1" t="s">
        <v>5771</v>
      </c>
      <c r="T619" s="1" t="s">
        <v>5772</v>
      </c>
      <c r="U619">
        <v>312.98</v>
      </c>
      <c r="V619">
        <v>78.48</v>
      </c>
      <c r="W619">
        <v>15.336315000000001</v>
      </c>
      <c r="X619">
        <v>108.84218</v>
      </c>
      <c r="Y619">
        <v>234.5</v>
      </c>
      <c r="Z619">
        <v>15.32572</v>
      </c>
      <c r="AA619">
        <v>108.859756</v>
      </c>
      <c r="AB619" s="5">
        <f t="shared" si="55"/>
        <v>0.11772000000000001</v>
      </c>
      <c r="AC619" s="5">
        <f t="shared" si="56"/>
        <v>0.35175000000000001</v>
      </c>
      <c r="AD619" s="1" t="str">
        <f t="shared" si="57"/>
        <v>Quảng Ngãi</v>
      </c>
      <c r="AE619" s="1" t="str">
        <f t="shared" si="58"/>
        <v>Ring 1_Vạn Tường - Đông Sơn</v>
      </c>
      <c r="AG619">
        <f t="shared" si="59"/>
        <v>7.8480000000000008E-2</v>
      </c>
      <c r="AH619">
        <f t="shared" si="60"/>
        <v>0.23449999999999999</v>
      </c>
      <c r="AI619" t="e">
        <f>VLOOKUP(L619,'[1]Tuyến cáp H04'!$B:$E,3,0)/1000</f>
        <v>#N/A</v>
      </c>
      <c r="AJ619" t="e">
        <f>VLOOKUP(L619,'[1]Tuyến cáp H04'!$B:$E,4,0)</f>
        <v>#N/A</v>
      </c>
    </row>
    <row r="620" spans="1:36" x14ac:dyDescent="0.25">
      <c r="A620" s="1" t="s">
        <v>5773</v>
      </c>
      <c r="B620" s="1" t="s">
        <v>5774</v>
      </c>
      <c r="C620" s="1" t="s">
        <v>5775</v>
      </c>
      <c r="D620" s="1" t="s">
        <v>5635</v>
      </c>
      <c r="E620" s="1" t="s">
        <v>5636</v>
      </c>
      <c r="F620" s="1" t="s">
        <v>5776</v>
      </c>
      <c r="G620" s="1" t="s">
        <v>14129</v>
      </c>
      <c r="H620" s="1" t="s">
        <v>14133</v>
      </c>
      <c r="I620" s="1" t="s">
        <v>14737</v>
      </c>
      <c r="J620" s="1" t="s">
        <v>23</v>
      </c>
      <c r="K620" s="1"/>
      <c r="L620" s="1" t="s">
        <v>5777</v>
      </c>
      <c r="M620" s="1" t="s">
        <v>5778</v>
      </c>
      <c r="N620" s="1" t="s">
        <v>5779</v>
      </c>
      <c r="O620" s="1" t="s">
        <v>5780</v>
      </c>
      <c r="P620" s="1" t="s">
        <v>5781</v>
      </c>
      <c r="Q620" s="1" t="s">
        <v>5782</v>
      </c>
      <c r="R620" s="1" t="s">
        <v>5780</v>
      </c>
      <c r="S620" s="1" t="s">
        <v>5781</v>
      </c>
      <c r="T620" s="1" t="s">
        <v>5783</v>
      </c>
      <c r="U620">
        <v>66.650000000000006</v>
      </c>
      <c r="V620">
        <v>41.49</v>
      </c>
      <c r="W620">
        <v>15.336204</v>
      </c>
      <c r="X620">
        <v>108.841223</v>
      </c>
      <c r="Y620">
        <v>25.16</v>
      </c>
      <c r="Z620">
        <v>15.336204</v>
      </c>
      <c r="AA620">
        <v>108.841223</v>
      </c>
      <c r="AB620" s="5">
        <f t="shared" si="55"/>
        <v>6.2234999999999999E-2</v>
      </c>
      <c r="AC620" s="5">
        <f t="shared" si="56"/>
        <v>3.7740000000000003E-2</v>
      </c>
      <c r="AD620" s="1" t="e">
        <f t="shared" si="57"/>
        <v>#VALUE!</v>
      </c>
      <c r="AE620" s="1" t="e">
        <f t="shared" si="58"/>
        <v>#VALUE!</v>
      </c>
      <c r="AG620">
        <f t="shared" si="59"/>
        <v>4.1489999999999999E-2</v>
      </c>
      <c r="AH620">
        <f t="shared" si="60"/>
        <v>2.5160000000000002E-2</v>
      </c>
      <c r="AI620" t="e">
        <f>VLOOKUP(L620,'[1]Tuyến cáp H04'!$B:$E,3,0)/1000</f>
        <v>#N/A</v>
      </c>
      <c r="AJ620" t="e">
        <f>VLOOKUP(L620,'[1]Tuyến cáp H04'!$B:$E,4,0)</f>
        <v>#N/A</v>
      </c>
    </row>
    <row r="621" spans="1:36" x14ac:dyDescent="0.25">
      <c r="A621" s="1" t="s">
        <v>5784</v>
      </c>
      <c r="B621" s="1" t="s">
        <v>5785</v>
      </c>
      <c r="C621" s="1" t="s">
        <v>5786</v>
      </c>
      <c r="D621" s="1" t="s">
        <v>5635</v>
      </c>
      <c r="E621" s="1" t="s">
        <v>5636</v>
      </c>
      <c r="F621" s="1" t="s">
        <v>5787</v>
      </c>
      <c r="G621" s="1" t="s">
        <v>14129</v>
      </c>
      <c r="H621" s="1" t="s">
        <v>14133</v>
      </c>
      <c r="I621" s="1" t="s">
        <v>14738</v>
      </c>
      <c r="J621" s="1" t="s">
        <v>23</v>
      </c>
      <c r="K621" s="1"/>
      <c r="L621" s="1" t="s">
        <v>5777</v>
      </c>
      <c r="M621" s="1" t="s">
        <v>5788</v>
      </c>
      <c r="N621" s="1" t="s">
        <v>5789</v>
      </c>
      <c r="O621" s="1" t="s">
        <v>5790</v>
      </c>
      <c r="P621" s="1" t="s">
        <v>5791</v>
      </c>
      <c r="Q621" s="1" t="s">
        <v>5782</v>
      </c>
      <c r="R621" s="1" t="s">
        <v>5780</v>
      </c>
      <c r="S621" s="1" t="s">
        <v>5781</v>
      </c>
      <c r="T621" s="1" t="s">
        <v>5783</v>
      </c>
      <c r="U621">
        <v>950.54</v>
      </c>
      <c r="V621">
        <v>925.38</v>
      </c>
      <c r="W621">
        <v>15.336482</v>
      </c>
      <c r="X621">
        <v>108.84339199999999</v>
      </c>
      <c r="Y621">
        <v>25.16</v>
      </c>
      <c r="Z621">
        <v>15.336204</v>
      </c>
      <c r="AA621">
        <v>108.841223</v>
      </c>
      <c r="AB621" s="5">
        <f t="shared" si="55"/>
        <v>1.3880699999999999</v>
      </c>
      <c r="AC621" s="5">
        <f t="shared" si="56"/>
        <v>3.7740000000000003E-2</v>
      </c>
      <c r="AD621" s="1" t="e">
        <f t="shared" si="57"/>
        <v>#VALUE!</v>
      </c>
      <c r="AE621" s="1" t="e">
        <f t="shared" si="58"/>
        <v>#VALUE!</v>
      </c>
      <c r="AG621">
        <f t="shared" si="59"/>
        <v>0.92537999999999998</v>
      </c>
      <c r="AH621">
        <f t="shared" si="60"/>
        <v>2.5160000000000002E-2</v>
      </c>
      <c r="AI621" t="e">
        <f>VLOOKUP(L621,'[1]Tuyến cáp H04'!$B:$E,3,0)/1000</f>
        <v>#N/A</v>
      </c>
      <c r="AJ621" t="e">
        <f>VLOOKUP(L621,'[1]Tuyến cáp H04'!$B:$E,4,0)</f>
        <v>#N/A</v>
      </c>
    </row>
    <row r="622" spans="1:36" x14ac:dyDescent="0.25">
      <c r="A622" s="1" t="s">
        <v>5792</v>
      </c>
      <c r="B622" s="1" t="s">
        <v>5793</v>
      </c>
      <c r="C622" s="1" t="s">
        <v>5794</v>
      </c>
      <c r="D622" s="1" t="s">
        <v>5635</v>
      </c>
      <c r="E622" s="1" t="s">
        <v>5636</v>
      </c>
      <c r="F622" s="1" t="s">
        <v>5795</v>
      </c>
      <c r="G622" s="1" t="s">
        <v>14129</v>
      </c>
      <c r="H622" s="1" t="s">
        <v>14133</v>
      </c>
      <c r="I622" s="1" t="s">
        <v>14739</v>
      </c>
      <c r="J622" s="1" t="s">
        <v>23</v>
      </c>
      <c r="K622" s="1"/>
      <c r="L622" s="1" t="s">
        <v>5764</v>
      </c>
      <c r="M622" s="1" t="s">
        <v>5796</v>
      </c>
      <c r="N622" s="1" t="s">
        <v>5797</v>
      </c>
      <c r="O622" s="1" t="s">
        <v>5798</v>
      </c>
      <c r="P622" s="1" t="s">
        <v>5799</v>
      </c>
      <c r="Q622" s="1" t="s">
        <v>5766</v>
      </c>
      <c r="R622" s="1" t="s">
        <v>5767</v>
      </c>
      <c r="S622" s="1" t="s">
        <v>5768</v>
      </c>
      <c r="T622" s="1" t="s">
        <v>5772</v>
      </c>
      <c r="U622">
        <v>747</v>
      </c>
      <c r="V622">
        <v>668.52</v>
      </c>
      <c r="W622">
        <v>15.334077000000001</v>
      </c>
      <c r="X622">
        <v>108.862662</v>
      </c>
      <c r="Y622">
        <v>78.48</v>
      </c>
      <c r="Z622">
        <v>15.336315000000001</v>
      </c>
      <c r="AA622">
        <v>108.84218</v>
      </c>
      <c r="AB622" s="5">
        <f t="shared" si="55"/>
        <v>1.00278</v>
      </c>
      <c r="AC622" s="5">
        <f t="shared" si="56"/>
        <v>0.11772000000000001</v>
      </c>
      <c r="AD622" s="1" t="str">
        <f t="shared" si="57"/>
        <v>Quảng Ngãi</v>
      </c>
      <c r="AE622" s="1" t="str">
        <f t="shared" si="58"/>
        <v>Ring 1_Vạn Tường - Đông Sơn</v>
      </c>
      <c r="AG622">
        <f t="shared" si="59"/>
        <v>0.66852</v>
      </c>
      <c r="AH622">
        <f t="shared" si="60"/>
        <v>7.8480000000000008E-2</v>
      </c>
      <c r="AI622" t="e">
        <f>VLOOKUP(L622,'[1]Tuyến cáp H04'!$B:$E,3,0)/1000</f>
        <v>#N/A</v>
      </c>
      <c r="AJ622" t="e">
        <f>VLOOKUP(L622,'[1]Tuyến cáp H04'!$B:$E,4,0)</f>
        <v>#N/A</v>
      </c>
    </row>
    <row r="623" spans="1:36" x14ac:dyDescent="0.25">
      <c r="A623" s="1" t="s">
        <v>5800</v>
      </c>
      <c r="B623" s="1" t="s">
        <v>5801</v>
      </c>
      <c r="C623" s="1" t="s">
        <v>5802</v>
      </c>
      <c r="D623" s="1" t="s">
        <v>5803</v>
      </c>
      <c r="E623" s="1" t="s">
        <v>5804</v>
      </c>
      <c r="F623" s="1" t="s">
        <v>5805</v>
      </c>
      <c r="G623" s="1" t="s">
        <v>14129</v>
      </c>
      <c r="H623" s="1" t="s">
        <v>14133</v>
      </c>
      <c r="I623" s="1" t="s">
        <v>14740</v>
      </c>
      <c r="J623" s="1" t="s">
        <v>23</v>
      </c>
      <c r="K623" s="1"/>
      <c r="L623" s="1" t="s">
        <v>5764</v>
      </c>
      <c r="M623" s="1" t="s">
        <v>5806</v>
      </c>
      <c r="N623" s="1" t="s">
        <v>5807</v>
      </c>
      <c r="O623" s="1" t="s">
        <v>5808</v>
      </c>
      <c r="P623" s="1" t="s">
        <v>5809</v>
      </c>
      <c r="Q623" s="1" t="s">
        <v>5810</v>
      </c>
      <c r="R623" s="1" t="s">
        <v>5811</v>
      </c>
      <c r="S623" s="1" t="s">
        <v>5812</v>
      </c>
      <c r="T623" s="1" t="s">
        <v>5772</v>
      </c>
      <c r="U623">
        <v>4050.85</v>
      </c>
      <c r="V623">
        <v>127.84</v>
      </c>
      <c r="W623">
        <v>15.228389999999999</v>
      </c>
      <c r="X623">
        <v>108.84766</v>
      </c>
      <c r="Y623">
        <v>3923.01</v>
      </c>
      <c r="Z623">
        <v>15.243731</v>
      </c>
      <c r="AA623">
        <v>108.864482</v>
      </c>
      <c r="AB623" s="5">
        <f t="shared" si="55"/>
        <v>0.19175999999999999</v>
      </c>
      <c r="AC623" s="5">
        <f t="shared" si="56"/>
        <v>5.8845150000000004</v>
      </c>
      <c r="AD623" s="1" t="str">
        <f t="shared" si="57"/>
        <v>Quảng Ngãi</v>
      </c>
      <c r="AE623" s="1" t="str">
        <f t="shared" si="58"/>
        <v>Ring 1_Vạn Tường - Đông Sơn</v>
      </c>
      <c r="AG623">
        <f t="shared" si="59"/>
        <v>0.12784000000000001</v>
      </c>
      <c r="AH623">
        <f t="shared" si="60"/>
        <v>3.9230100000000001</v>
      </c>
      <c r="AI623" t="e">
        <f>VLOOKUP(L623,'[1]Tuyến cáp H04'!$B:$E,3,0)/1000</f>
        <v>#N/A</v>
      </c>
      <c r="AJ623" t="e">
        <f>VLOOKUP(L623,'[1]Tuyến cáp H04'!$B:$E,4,0)</f>
        <v>#N/A</v>
      </c>
    </row>
    <row r="624" spans="1:36" x14ac:dyDescent="0.25">
      <c r="A624" s="1" t="s">
        <v>5813</v>
      </c>
      <c r="B624" s="1" t="s">
        <v>5233</v>
      </c>
      <c r="C624" s="1" t="s">
        <v>5234</v>
      </c>
      <c r="D624" s="1" t="s">
        <v>5801</v>
      </c>
      <c r="E624" s="1" t="s">
        <v>5802</v>
      </c>
      <c r="F624" s="1" t="s">
        <v>5814</v>
      </c>
      <c r="G624" s="1" t="s">
        <v>14129</v>
      </c>
      <c r="H624" s="1" t="s">
        <v>14133</v>
      </c>
      <c r="I624" s="1" t="s">
        <v>14741</v>
      </c>
      <c r="J624" s="1" t="s">
        <v>23</v>
      </c>
      <c r="K624" s="1"/>
      <c r="L624" s="1" t="s">
        <v>5815</v>
      </c>
      <c r="M624" s="1" t="s">
        <v>5816</v>
      </c>
      <c r="N624" s="1" t="s">
        <v>5817</v>
      </c>
      <c r="O624" s="1" t="s">
        <v>5818</v>
      </c>
      <c r="P624" s="1" t="s">
        <v>5819</v>
      </c>
      <c r="Q624" s="1" t="s">
        <v>5820</v>
      </c>
      <c r="R624" s="1" t="s">
        <v>5821</v>
      </c>
      <c r="S624" s="1" t="s">
        <v>5822</v>
      </c>
      <c r="T624" s="1" t="s">
        <v>5823</v>
      </c>
      <c r="U624">
        <v>4855.92</v>
      </c>
      <c r="V624">
        <v>4770.16</v>
      </c>
      <c r="W624">
        <v>15.197279999999999</v>
      </c>
      <c r="X624">
        <v>108.83486499999999</v>
      </c>
      <c r="Y624">
        <v>85.76</v>
      </c>
      <c r="Z624">
        <v>15.227816000000001</v>
      </c>
      <c r="AA624">
        <v>108.846234</v>
      </c>
      <c r="AB624" s="5">
        <f t="shared" si="55"/>
        <v>7.15524</v>
      </c>
      <c r="AC624" s="5">
        <f t="shared" si="56"/>
        <v>0.12864</v>
      </c>
      <c r="AD624" s="1" t="str">
        <f t="shared" si="57"/>
        <v>Quảng Ngãi</v>
      </c>
      <c r="AE624" s="1" t="str">
        <f t="shared" si="58"/>
        <v>Ring 1_Đông Sơn - Tịnh Khê</v>
      </c>
      <c r="AG624">
        <f t="shared" si="59"/>
        <v>4.7701599999999997</v>
      </c>
      <c r="AH624">
        <f t="shared" si="60"/>
        <v>8.5760000000000003E-2</v>
      </c>
      <c r="AI624" t="e">
        <f>VLOOKUP(L624,'[1]Tuyến cáp H04'!$B:$E,3,0)/1000</f>
        <v>#N/A</v>
      </c>
      <c r="AJ624" t="e">
        <f>VLOOKUP(L624,'[1]Tuyến cáp H04'!$B:$E,4,0)</f>
        <v>#N/A</v>
      </c>
    </row>
    <row r="625" spans="1:36" x14ac:dyDescent="0.25">
      <c r="A625" s="1" t="s">
        <v>5824</v>
      </c>
      <c r="B625" s="1" t="s">
        <v>5825</v>
      </c>
      <c r="C625" s="1" t="s">
        <v>5826</v>
      </c>
      <c r="D625" s="1" t="s">
        <v>5801</v>
      </c>
      <c r="E625" s="1" t="s">
        <v>5802</v>
      </c>
      <c r="F625" s="1" t="s">
        <v>5827</v>
      </c>
      <c r="G625" s="1" t="s">
        <v>14129</v>
      </c>
      <c r="H625" s="1" t="s">
        <v>14133</v>
      </c>
      <c r="I625" s="1" t="s">
        <v>14742</v>
      </c>
      <c r="J625" s="1" t="s">
        <v>23</v>
      </c>
      <c r="K625" s="1"/>
      <c r="L625" s="1" t="s">
        <v>5764</v>
      </c>
      <c r="M625" s="1" t="s">
        <v>5828</v>
      </c>
      <c r="N625" s="1" t="s">
        <v>5829</v>
      </c>
      <c r="O625" s="1" t="s">
        <v>5830</v>
      </c>
      <c r="P625" s="1" t="s">
        <v>5831</v>
      </c>
      <c r="Q625" s="1" t="s">
        <v>5807</v>
      </c>
      <c r="R625" s="1" t="s">
        <v>5808</v>
      </c>
      <c r="S625" s="1" t="s">
        <v>5809</v>
      </c>
      <c r="T625" s="1" t="s">
        <v>5772</v>
      </c>
      <c r="U625">
        <v>1218.79</v>
      </c>
      <c r="V625">
        <v>1090.95</v>
      </c>
      <c r="W625">
        <v>15.239502</v>
      </c>
      <c r="X625">
        <v>108.85723900000001</v>
      </c>
      <c r="Y625">
        <v>127.84</v>
      </c>
      <c r="Z625">
        <v>15.228389999999999</v>
      </c>
      <c r="AA625">
        <v>108.84766</v>
      </c>
      <c r="AB625" s="5">
        <f t="shared" si="55"/>
        <v>1.6364250000000002</v>
      </c>
      <c r="AC625" s="5">
        <f t="shared" si="56"/>
        <v>0.19175999999999999</v>
      </c>
      <c r="AD625" s="1" t="str">
        <f t="shared" si="57"/>
        <v>Quảng Ngãi</v>
      </c>
      <c r="AE625" s="1" t="str">
        <f t="shared" si="58"/>
        <v>Ring 1_Vạn Tường - Đông Sơn</v>
      </c>
      <c r="AG625">
        <f t="shared" si="59"/>
        <v>1.0909500000000001</v>
      </c>
      <c r="AH625">
        <f t="shared" si="60"/>
        <v>0.12784000000000001</v>
      </c>
      <c r="AI625" t="e">
        <f>VLOOKUP(L625,'[1]Tuyến cáp H04'!$B:$E,3,0)/1000</f>
        <v>#N/A</v>
      </c>
      <c r="AJ625" t="e">
        <f>VLOOKUP(L625,'[1]Tuyến cáp H04'!$B:$E,4,0)</f>
        <v>#N/A</v>
      </c>
    </row>
    <row r="626" spans="1:36" x14ac:dyDescent="0.25">
      <c r="A626" s="1" t="s">
        <v>5832</v>
      </c>
      <c r="B626" s="1" t="s">
        <v>5833</v>
      </c>
      <c r="C626" s="1" t="s">
        <v>5834</v>
      </c>
      <c r="D626" s="1" t="s">
        <v>5801</v>
      </c>
      <c r="E626" s="1" t="s">
        <v>5802</v>
      </c>
      <c r="F626" s="1" t="s">
        <v>5835</v>
      </c>
      <c r="G626" s="1" t="s">
        <v>14129</v>
      </c>
      <c r="H626" s="1" t="s">
        <v>14133</v>
      </c>
      <c r="I626" s="1" t="s">
        <v>14743</v>
      </c>
      <c r="J626" s="1" t="s">
        <v>23</v>
      </c>
      <c r="K626" s="1"/>
      <c r="L626" s="1" t="s">
        <v>5764</v>
      </c>
      <c r="M626" s="1" t="s">
        <v>5836</v>
      </c>
      <c r="N626" s="1" t="s">
        <v>5837</v>
      </c>
      <c r="O626" s="1" t="s">
        <v>5838</v>
      </c>
      <c r="P626" s="1" t="s">
        <v>5839</v>
      </c>
      <c r="Q626" s="1" t="s">
        <v>5807</v>
      </c>
      <c r="R626" s="1" t="s">
        <v>5808</v>
      </c>
      <c r="S626" s="1" t="s">
        <v>5809</v>
      </c>
      <c r="T626" s="1" t="s">
        <v>5772</v>
      </c>
      <c r="U626">
        <v>2025.51</v>
      </c>
      <c r="V626">
        <v>1897.68</v>
      </c>
      <c r="W626">
        <v>15.239879</v>
      </c>
      <c r="X626">
        <v>108.858002</v>
      </c>
      <c r="Y626">
        <v>127.84</v>
      </c>
      <c r="Z626">
        <v>15.228389999999999</v>
      </c>
      <c r="AA626">
        <v>108.84766</v>
      </c>
      <c r="AB626" s="5">
        <f t="shared" si="55"/>
        <v>2.8465199999999999</v>
      </c>
      <c r="AC626" s="5">
        <f t="shared" si="56"/>
        <v>0.19175999999999999</v>
      </c>
      <c r="AD626" s="1" t="str">
        <f t="shared" si="57"/>
        <v>Quảng Ngãi</v>
      </c>
      <c r="AE626" s="1" t="str">
        <f t="shared" si="58"/>
        <v>Ring 1_Vạn Tường - Đông Sơn</v>
      </c>
      <c r="AG626">
        <f t="shared" si="59"/>
        <v>1.89768</v>
      </c>
      <c r="AH626">
        <f t="shared" si="60"/>
        <v>0.12784000000000001</v>
      </c>
      <c r="AI626" t="e">
        <f>VLOOKUP(L626,'[1]Tuyến cáp H04'!$B:$E,3,0)/1000</f>
        <v>#N/A</v>
      </c>
      <c r="AJ626" t="e">
        <f>VLOOKUP(L626,'[1]Tuyến cáp H04'!$B:$E,4,0)</f>
        <v>#N/A</v>
      </c>
    </row>
    <row r="627" spans="1:36" x14ac:dyDescent="0.25">
      <c r="A627" s="1" t="s">
        <v>5840</v>
      </c>
      <c r="B627" s="1" t="s">
        <v>5841</v>
      </c>
      <c r="C627" s="1" t="s">
        <v>5842</v>
      </c>
      <c r="D627" s="1" t="s">
        <v>5843</v>
      </c>
      <c r="E627" s="1" t="s">
        <v>5844</v>
      </c>
      <c r="F627" s="1" t="s">
        <v>5845</v>
      </c>
      <c r="G627" s="1" t="s">
        <v>14129</v>
      </c>
      <c r="H627" s="1" t="s">
        <v>14133</v>
      </c>
      <c r="I627" s="1" t="s">
        <v>14744</v>
      </c>
      <c r="J627" s="1" t="s">
        <v>23</v>
      </c>
      <c r="K627" s="1"/>
      <c r="L627" s="1" t="s">
        <v>5777</v>
      </c>
      <c r="M627" s="1" t="s">
        <v>5846</v>
      </c>
      <c r="N627" s="1" t="s">
        <v>5847</v>
      </c>
      <c r="O627" s="1" t="s">
        <v>5848</v>
      </c>
      <c r="P627" s="1" t="s">
        <v>5849</v>
      </c>
      <c r="Q627" s="1" t="s">
        <v>5850</v>
      </c>
      <c r="R627" s="1" t="s">
        <v>5851</v>
      </c>
      <c r="S627" s="1" t="s">
        <v>5852</v>
      </c>
      <c r="T627" s="1" t="s">
        <v>5783</v>
      </c>
      <c r="U627">
        <v>104.25</v>
      </c>
      <c r="V627">
        <v>91.23</v>
      </c>
      <c r="W627">
        <v>15.259275000000001</v>
      </c>
      <c r="X627">
        <v>108.87460799999999</v>
      </c>
      <c r="Y627">
        <v>13.03</v>
      </c>
      <c r="Z627">
        <v>15.220718</v>
      </c>
      <c r="AA627">
        <v>108.912846</v>
      </c>
      <c r="AB627" s="5">
        <f t="shared" si="55"/>
        <v>0.13684499999999999</v>
      </c>
      <c r="AC627" s="5">
        <f t="shared" si="56"/>
        <v>1.9545E-2</v>
      </c>
      <c r="AD627" s="1" t="e">
        <f t="shared" si="57"/>
        <v>#VALUE!</v>
      </c>
      <c r="AE627" s="1" t="e">
        <f t="shared" si="58"/>
        <v>#VALUE!</v>
      </c>
      <c r="AG627">
        <f t="shared" si="59"/>
        <v>9.1230000000000006E-2</v>
      </c>
      <c r="AH627">
        <f t="shared" si="60"/>
        <v>1.303E-2</v>
      </c>
      <c r="AI627" t="e">
        <f>VLOOKUP(L627,'[1]Tuyến cáp H04'!$B:$E,3,0)/1000</f>
        <v>#N/A</v>
      </c>
      <c r="AJ627" t="e">
        <f>VLOOKUP(L627,'[1]Tuyến cáp H04'!$B:$E,4,0)</f>
        <v>#N/A</v>
      </c>
    </row>
    <row r="628" spans="1:36" x14ac:dyDescent="0.25">
      <c r="A628" s="1" t="s">
        <v>5853</v>
      </c>
      <c r="B628" s="1" t="s">
        <v>5843</v>
      </c>
      <c r="C628" s="1" t="s">
        <v>5844</v>
      </c>
      <c r="D628" s="1" t="s">
        <v>5854</v>
      </c>
      <c r="E628" s="1" t="s">
        <v>5855</v>
      </c>
      <c r="F628" s="1" t="s">
        <v>5856</v>
      </c>
      <c r="G628" s="1" t="s">
        <v>14129</v>
      </c>
      <c r="H628" s="1" t="s">
        <v>14133</v>
      </c>
      <c r="I628" s="1" t="s">
        <v>14745</v>
      </c>
      <c r="J628" s="1" t="s">
        <v>23</v>
      </c>
      <c r="K628" s="1"/>
      <c r="L628" s="1" t="s">
        <v>5857</v>
      </c>
      <c r="M628" s="1" t="s">
        <v>5858</v>
      </c>
      <c r="N628" s="1" t="s">
        <v>5859</v>
      </c>
      <c r="O628" s="1" t="s">
        <v>5860</v>
      </c>
      <c r="P628" s="1" t="s">
        <v>5861</v>
      </c>
      <c r="Q628" s="1" t="s">
        <v>5862</v>
      </c>
      <c r="R628" s="1" t="s">
        <v>5863</v>
      </c>
      <c r="S628" s="1" t="s">
        <v>5864</v>
      </c>
      <c r="T628" s="1" t="s">
        <v>5865</v>
      </c>
      <c r="U628">
        <v>1734.08</v>
      </c>
      <c r="V628">
        <v>12.87</v>
      </c>
      <c r="W628">
        <v>15.220719000000001</v>
      </c>
      <c r="X628">
        <v>108.912841</v>
      </c>
      <c r="Y628">
        <v>1721.22</v>
      </c>
      <c r="Z628">
        <v>15.189964</v>
      </c>
      <c r="AA628">
        <v>108.869676</v>
      </c>
      <c r="AB628" s="5">
        <f t="shared" si="55"/>
        <v>1.9304999999999999E-2</v>
      </c>
      <c r="AC628" s="5">
        <f t="shared" si="56"/>
        <v>2.5818300000000001</v>
      </c>
      <c r="AD628" s="1" t="str">
        <f t="shared" si="57"/>
        <v>Đội CSGT Đường Thuỷ</v>
      </c>
      <c r="AE628" s="1" t="str">
        <f t="shared" si="58"/>
        <v>PC08</v>
      </c>
      <c r="AG628">
        <f t="shared" si="59"/>
        <v>1.2869999999999999E-2</v>
      </c>
      <c r="AH628">
        <f t="shared" si="60"/>
        <v>1.72122</v>
      </c>
      <c r="AI628" t="e">
        <f>VLOOKUP(L628,'[1]Tuyến cáp H04'!$B:$E,3,0)/1000</f>
        <v>#N/A</v>
      </c>
      <c r="AJ628" t="e">
        <f>VLOOKUP(L628,'[1]Tuyến cáp H04'!$B:$E,4,0)</f>
        <v>#N/A</v>
      </c>
    </row>
    <row r="629" spans="1:36" x14ac:dyDescent="0.25">
      <c r="A629" s="1" t="s">
        <v>5866</v>
      </c>
      <c r="B629" s="1" t="s">
        <v>5867</v>
      </c>
      <c r="C629" s="1" t="s">
        <v>5868</v>
      </c>
      <c r="D629" s="1" t="s">
        <v>5843</v>
      </c>
      <c r="E629" s="1" t="s">
        <v>5844</v>
      </c>
      <c r="F629" s="1" t="s">
        <v>5869</v>
      </c>
      <c r="G629" s="1" t="s">
        <v>14129</v>
      </c>
      <c r="H629" s="1" t="s">
        <v>14133</v>
      </c>
      <c r="I629" s="1" t="s">
        <v>14746</v>
      </c>
      <c r="J629" s="1" t="s">
        <v>23</v>
      </c>
      <c r="K629" s="1"/>
      <c r="L629" s="1" t="s">
        <v>5777</v>
      </c>
      <c r="M629" s="1" t="s">
        <v>5870</v>
      </c>
      <c r="N629" s="1" t="s">
        <v>5871</v>
      </c>
      <c r="O629" s="1" t="s">
        <v>5872</v>
      </c>
      <c r="P629" s="1" t="s">
        <v>5873</v>
      </c>
      <c r="Q629" s="1" t="s">
        <v>5850</v>
      </c>
      <c r="R629" s="1" t="s">
        <v>5851</v>
      </c>
      <c r="S629" s="1" t="s">
        <v>5852</v>
      </c>
      <c r="T629" s="1" t="s">
        <v>5783</v>
      </c>
      <c r="U629">
        <v>333.34</v>
      </c>
      <c r="V629">
        <v>320.32</v>
      </c>
      <c r="W629">
        <v>15.241512</v>
      </c>
      <c r="X629">
        <v>108.90012400000001</v>
      </c>
      <c r="Y629">
        <v>13.03</v>
      </c>
      <c r="Z629">
        <v>15.220718</v>
      </c>
      <c r="AA629">
        <v>108.912846</v>
      </c>
      <c r="AB629" s="5">
        <f t="shared" si="55"/>
        <v>0.48048000000000002</v>
      </c>
      <c r="AC629" s="5">
        <f t="shared" si="56"/>
        <v>1.9545E-2</v>
      </c>
      <c r="AD629" s="1" t="e">
        <f t="shared" si="57"/>
        <v>#VALUE!</v>
      </c>
      <c r="AE629" s="1" t="e">
        <f t="shared" si="58"/>
        <v>#VALUE!</v>
      </c>
      <c r="AG629">
        <f t="shared" si="59"/>
        <v>0.32031999999999999</v>
      </c>
      <c r="AH629">
        <f t="shared" si="60"/>
        <v>1.303E-2</v>
      </c>
      <c r="AI629" t="e">
        <f>VLOOKUP(L629,'[1]Tuyến cáp H04'!$B:$E,3,0)/1000</f>
        <v>#N/A</v>
      </c>
      <c r="AJ629" t="e">
        <f>VLOOKUP(L629,'[1]Tuyến cáp H04'!$B:$E,4,0)</f>
        <v>#N/A</v>
      </c>
    </row>
    <row r="630" spans="1:36" x14ac:dyDescent="0.25">
      <c r="A630" s="1" t="s">
        <v>5874</v>
      </c>
      <c r="B630" s="1" t="s">
        <v>5875</v>
      </c>
      <c r="C630" s="1" t="s">
        <v>5876</v>
      </c>
      <c r="D630" s="1" t="s">
        <v>5843</v>
      </c>
      <c r="E630" s="1" t="s">
        <v>5844</v>
      </c>
      <c r="F630" s="1" t="s">
        <v>5877</v>
      </c>
      <c r="G630" s="1" t="s">
        <v>14129</v>
      </c>
      <c r="H630" s="1" t="s">
        <v>14133</v>
      </c>
      <c r="I630" s="1" t="s">
        <v>14747</v>
      </c>
      <c r="J630" s="1" t="s">
        <v>23</v>
      </c>
      <c r="K630" s="1"/>
      <c r="L630" s="1" t="s">
        <v>5857</v>
      </c>
      <c r="M630" s="1" t="s">
        <v>5878</v>
      </c>
      <c r="N630" s="1" t="s">
        <v>5879</v>
      </c>
      <c r="O630" s="1" t="s">
        <v>5880</v>
      </c>
      <c r="P630" s="1" t="s">
        <v>5881</v>
      </c>
      <c r="Q630" s="1" t="s">
        <v>5859</v>
      </c>
      <c r="R630" s="1" t="s">
        <v>5860</v>
      </c>
      <c r="S630" s="1" t="s">
        <v>5861</v>
      </c>
      <c r="T630" s="1" t="s">
        <v>5865</v>
      </c>
      <c r="U630">
        <v>70.31</v>
      </c>
      <c r="V630">
        <v>57.44</v>
      </c>
      <c r="W630">
        <v>15.219685</v>
      </c>
      <c r="X630">
        <v>108.899153</v>
      </c>
      <c r="Y630">
        <v>12.87</v>
      </c>
      <c r="Z630">
        <v>15.220719000000001</v>
      </c>
      <c r="AA630">
        <v>108.912841</v>
      </c>
      <c r="AB630" s="5">
        <f t="shared" si="55"/>
        <v>8.616E-2</v>
      </c>
      <c r="AC630" s="5">
        <f t="shared" si="56"/>
        <v>1.9304999999999999E-2</v>
      </c>
      <c r="AD630" s="1" t="str">
        <f t="shared" si="57"/>
        <v>Đội CSGT Đường Thuỷ</v>
      </c>
      <c r="AE630" s="1" t="str">
        <f t="shared" si="58"/>
        <v>PC08</v>
      </c>
      <c r="AG630">
        <f t="shared" si="59"/>
        <v>5.7439999999999998E-2</v>
      </c>
      <c r="AH630">
        <f t="shared" si="60"/>
        <v>1.2869999999999999E-2</v>
      </c>
      <c r="AI630" t="e">
        <f>VLOOKUP(L630,'[1]Tuyến cáp H04'!$B:$E,3,0)/1000</f>
        <v>#N/A</v>
      </c>
      <c r="AJ630" t="e">
        <f>VLOOKUP(L630,'[1]Tuyến cáp H04'!$B:$E,4,0)</f>
        <v>#N/A</v>
      </c>
    </row>
    <row r="631" spans="1:36" x14ac:dyDescent="0.25">
      <c r="A631" s="1" t="s">
        <v>5882</v>
      </c>
      <c r="B631" s="1" t="s">
        <v>5883</v>
      </c>
      <c r="C631" s="1" t="s">
        <v>5884</v>
      </c>
      <c r="D631" s="1" t="s">
        <v>5843</v>
      </c>
      <c r="E631" s="1" t="s">
        <v>5844</v>
      </c>
      <c r="F631" s="1" t="s">
        <v>5885</v>
      </c>
      <c r="G631" s="1" t="s">
        <v>14129</v>
      </c>
      <c r="H631" s="1" t="s">
        <v>14133</v>
      </c>
      <c r="I631" s="1" t="s">
        <v>14748</v>
      </c>
      <c r="J631" s="1" t="s">
        <v>23</v>
      </c>
      <c r="K631" s="1"/>
      <c r="L631" s="1" t="s">
        <v>5777</v>
      </c>
      <c r="M631" s="1" t="s">
        <v>5886</v>
      </c>
      <c r="N631" s="1" t="s">
        <v>5887</v>
      </c>
      <c r="O631" s="1" t="s">
        <v>5888</v>
      </c>
      <c r="P631" s="1" t="s">
        <v>5889</v>
      </c>
      <c r="Q631" s="1" t="s">
        <v>5850</v>
      </c>
      <c r="R631" s="1" t="s">
        <v>5851</v>
      </c>
      <c r="S631" s="1" t="s">
        <v>5852</v>
      </c>
      <c r="T631" s="1" t="s">
        <v>5783</v>
      </c>
      <c r="U631">
        <v>1132.93</v>
      </c>
      <c r="V631">
        <v>1119.9100000000001</v>
      </c>
      <c r="W631">
        <v>15.232543</v>
      </c>
      <c r="X631">
        <v>108.92016599999999</v>
      </c>
      <c r="Y631">
        <v>13.03</v>
      </c>
      <c r="Z631">
        <v>15.220718</v>
      </c>
      <c r="AA631">
        <v>108.912846</v>
      </c>
      <c r="AB631" s="5">
        <f t="shared" si="55"/>
        <v>1.6798650000000002</v>
      </c>
      <c r="AC631" s="5">
        <f t="shared" si="56"/>
        <v>1.9545E-2</v>
      </c>
      <c r="AD631" s="1" t="e">
        <f t="shared" si="57"/>
        <v>#VALUE!</v>
      </c>
      <c r="AE631" s="1" t="e">
        <f t="shared" si="58"/>
        <v>#VALUE!</v>
      </c>
      <c r="AG631">
        <f t="shared" si="59"/>
        <v>1.1199100000000002</v>
      </c>
      <c r="AH631">
        <f t="shared" si="60"/>
        <v>1.303E-2</v>
      </c>
      <c r="AI631" t="e">
        <f>VLOOKUP(L631,'[1]Tuyến cáp H04'!$B:$E,3,0)/1000</f>
        <v>#N/A</v>
      </c>
      <c r="AJ631" t="e">
        <f>VLOOKUP(L631,'[1]Tuyến cáp H04'!$B:$E,4,0)</f>
        <v>#N/A</v>
      </c>
    </row>
    <row r="632" spans="1:36" x14ac:dyDescent="0.25">
      <c r="A632" s="1" t="s">
        <v>5890</v>
      </c>
      <c r="B632" s="1" t="s">
        <v>5891</v>
      </c>
      <c r="C632" s="1" t="s">
        <v>5892</v>
      </c>
      <c r="D632" s="1" t="s">
        <v>5843</v>
      </c>
      <c r="E632" s="1" t="s">
        <v>5844</v>
      </c>
      <c r="F632" s="1" t="s">
        <v>5893</v>
      </c>
      <c r="G632" s="1" t="s">
        <v>14129</v>
      </c>
      <c r="H632" s="1" t="s">
        <v>14133</v>
      </c>
      <c r="I632" s="1" t="s">
        <v>14749</v>
      </c>
      <c r="J632" s="1" t="s">
        <v>23</v>
      </c>
      <c r="K632" s="1"/>
      <c r="L632" s="1" t="s">
        <v>5777</v>
      </c>
      <c r="M632" s="1" t="s">
        <v>5894</v>
      </c>
      <c r="N632" s="1" t="s">
        <v>5895</v>
      </c>
      <c r="O632" s="1" t="s">
        <v>5896</v>
      </c>
      <c r="P632" s="1" t="s">
        <v>5897</v>
      </c>
      <c r="Q632" s="1" t="s">
        <v>5850</v>
      </c>
      <c r="R632" s="1" t="s">
        <v>5851</v>
      </c>
      <c r="S632" s="1" t="s">
        <v>5852</v>
      </c>
      <c r="T632" s="1" t="s">
        <v>5783</v>
      </c>
      <c r="U632">
        <v>1028.31</v>
      </c>
      <c r="V632">
        <v>1015.28</v>
      </c>
      <c r="W632">
        <v>15.23096</v>
      </c>
      <c r="X632">
        <v>108.924206</v>
      </c>
      <c r="Y632">
        <v>13.03</v>
      </c>
      <c r="Z632">
        <v>15.220718</v>
      </c>
      <c r="AA632">
        <v>108.912846</v>
      </c>
      <c r="AB632" s="5">
        <f t="shared" si="55"/>
        <v>1.5229200000000001</v>
      </c>
      <c r="AC632" s="5">
        <f t="shared" si="56"/>
        <v>1.9545E-2</v>
      </c>
      <c r="AD632" s="1" t="e">
        <f t="shared" si="57"/>
        <v>#VALUE!</v>
      </c>
      <c r="AE632" s="1" t="e">
        <f t="shared" si="58"/>
        <v>#VALUE!</v>
      </c>
      <c r="AG632">
        <f t="shared" si="59"/>
        <v>1.01528</v>
      </c>
      <c r="AH632">
        <f t="shared" si="60"/>
        <v>1.303E-2</v>
      </c>
      <c r="AI632" t="e">
        <f>VLOOKUP(L632,'[1]Tuyến cáp H04'!$B:$E,3,0)/1000</f>
        <v>#N/A</v>
      </c>
      <c r="AJ632" t="e">
        <f>VLOOKUP(L632,'[1]Tuyến cáp H04'!$B:$E,4,0)</f>
        <v>#N/A</v>
      </c>
    </row>
    <row r="633" spans="1:36" x14ac:dyDescent="0.25">
      <c r="A633" s="1" t="s">
        <v>5898</v>
      </c>
      <c r="B633" s="1" t="s">
        <v>5843</v>
      </c>
      <c r="C633" s="1" t="s">
        <v>5844</v>
      </c>
      <c r="D633" s="1" t="s">
        <v>5899</v>
      </c>
      <c r="E633" s="1" t="s">
        <v>5900</v>
      </c>
      <c r="F633" s="1" t="s">
        <v>5901</v>
      </c>
      <c r="G633" s="1" t="s">
        <v>14281</v>
      </c>
      <c r="H633" s="1" t="s">
        <v>14282</v>
      </c>
      <c r="I633" s="1" t="s">
        <v>14750</v>
      </c>
      <c r="J633" s="1" t="s">
        <v>23</v>
      </c>
      <c r="K633" s="1"/>
      <c r="L633" s="1" t="s">
        <v>5777</v>
      </c>
      <c r="M633" s="1" t="s">
        <v>5902</v>
      </c>
      <c r="N633" s="1" t="s">
        <v>5850</v>
      </c>
      <c r="O633" s="1" t="s">
        <v>5851</v>
      </c>
      <c r="P633" s="1" t="s">
        <v>5852</v>
      </c>
      <c r="Q633" s="1" t="s">
        <v>5903</v>
      </c>
      <c r="R633" s="1" t="s">
        <v>5904</v>
      </c>
      <c r="S633" s="1" t="s">
        <v>5905</v>
      </c>
      <c r="T633" s="1" t="s">
        <v>5783</v>
      </c>
      <c r="U633">
        <v>235.23</v>
      </c>
      <c r="V633">
        <v>13.03</v>
      </c>
      <c r="W633">
        <v>15.220718</v>
      </c>
      <c r="X633">
        <v>108.912846</v>
      </c>
      <c r="Y633">
        <v>222.2</v>
      </c>
      <c r="Z633">
        <v>15.219538</v>
      </c>
      <c r="AA633">
        <v>108.915858</v>
      </c>
      <c r="AB633" s="5">
        <f t="shared" si="55"/>
        <v>1.9545E-2</v>
      </c>
      <c r="AC633" s="5">
        <f t="shared" si="56"/>
        <v>0.33329999999999993</v>
      </c>
      <c r="AD633" s="1" t="e">
        <f t="shared" si="57"/>
        <v>#VALUE!</v>
      </c>
      <c r="AE633" s="1" t="e">
        <f t="shared" si="58"/>
        <v>#VALUE!</v>
      </c>
      <c r="AG633">
        <f t="shared" si="59"/>
        <v>1.303E-2</v>
      </c>
      <c r="AH633">
        <f t="shared" si="60"/>
        <v>0.22219999999999998</v>
      </c>
      <c r="AI633" t="e">
        <f>VLOOKUP(L633,'[1]Tuyến cáp H04'!$B:$E,3,0)/1000</f>
        <v>#N/A</v>
      </c>
      <c r="AJ633" t="e">
        <f>VLOOKUP(L633,'[1]Tuyến cáp H04'!$B:$E,4,0)</f>
        <v>#N/A</v>
      </c>
    </row>
    <row r="634" spans="1:36" x14ac:dyDescent="0.25">
      <c r="A634" s="1" t="s">
        <v>5906</v>
      </c>
      <c r="B634" s="1" t="s">
        <v>5907</v>
      </c>
      <c r="C634" s="1" t="s">
        <v>5908</v>
      </c>
      <c r="D634" s="1" t="s">
        <v>5654</v>
      </c>
      <c r="E634" s="1" t="s">
        <v>5655</v>
      </c>
      <c r="F634" s="1" t="s">
        <v>5909</v>
      </c>
      <c r="G634" s="1" t="s">
        <v>14129</v>
      </c>
      <c r="H634" s="1" t="s">
        <v>14133</v>
      </c>
      <c r="I634" s="1" t="s">
        <v>14751</v>
      </c>
      <c r="J634" s="1" t="s">
        <v>23</v>
      </c>
      <c r="K634" s="1"/>
      <c r="L634" s="1" t="s">
        <v>5910</v>
      </c>
      <c r="M634" s="1" t="s">
        <v>5911</v>
      </c>
      <c r="N634" s="1" t="s">
        <v>5912</v>
      </c>
      <c r="O634" s="1" t="s">
        <v>5913</v>
      </c>
      <c r="P634" s="1" t="s">
        <v>5914</v>
      </c>
      <c r="Q634" s="1" t="s">
        <v>5915</v>
      </c>
      <c r="R634" s="1" t="s">
        <v>5916</v>
      </c>
      <c r="S634" s="1" t="s">
        <v>5917</v>
      </c>
      <c r="T634" s="1" t="s">
        <v>5918</v>
      </c>
      <c r="U634">
        <v>480.51</v>
      </c>
      <c r="V634">
        <v>274.22000000000003</v>
      </c>
      <c r="W634">
        <v>15.260039000000001</v>
      </c>
      <c r="X634">
        <v>108.676447</v>
      </c>
      <c r="Y634">
        <v>206.29</v>
      </c>
      <c r="Z634">
        <v>15.274649999999999</v>
      </c>
      <c r="AA634">
        <v>108.720556</v>
      </c>
      <c r="AB634" s="5">
        <f t="shared" si="55"/>
        <v>0.41133000000000003</v>
      </c>
      <c r="AC634" s="5">
        <f t="shared" si="56"/>
        <v>0.30943500000000002</v>
      </c>
      <c r="AD634" s="1" t="str">
        <f t="shared" si="57"/>
        <v>TTCMKV Bình Sơn</v>
      </c>
      <c r="AE634" s="1" t="str">
        <f t="shared" si="58"/>
        <v>Đông Trà Bồng</v>
      </c>
      <c r="AG634">
        <f t="shared" si="59"/>
        <v>0.27422000000000002</v>
      </c>
      <c r="AH634">
        <f t="shared" si="60"/>
        <v>0.20629</v>
      </c>
      <c r="AI634">
        <f>VLOOKUP(L634,'[1]Tuyến cáp H04'!$B:$E,3,0)/1000</f>
        <v>23.524000000000001</v>
      </c>
      <c r="AJ634" t="str">
        <f>VLOOKUP(L634,'[1]Tuyến cáp H04'!$B:$E,4,0)</f>
        <v>Mạng cấp 4</v>
      </c>
    </row>
    <row r="635" spans="1:36" x14ac:dyDescent="0.25">
      <c r="A635" s="1" t="s">
        <v>5919</v>
      </c>
      <c r="B635" s="1" t="s">
        <v>5920</v>
      </c>
      <c r="C635" s="1" t="s">
        <v>5921</v>
      </c>
      <c r="D635" s="1" t="s">
        <v>5654</v>
      </c>
      <c r="E635" s="1" t="s">
        <v>5655</v>
      </c>
      <c r="F635" s="1" t="s">
        <v>5922</v>
      </c>
      <c r="G635" s="1" t="s">
        <v>14129</v>
      </c>
      <c r="H635" s="1" t="s">
        <v>14133</v>
      </c>
      <c r="I635" s="1" t="s">
        <v>14752</v>
      </c>
      <c r="J635" s="1" t="s">
        <v>23</v>
      </c>
      <c r="K635" s="1"/>
      <c r="L635" s="1" t="s">
        <v>5923</v>
      </c>
      <c r="M635" s="1" t="s">
        <v>5924</v>
      </c>
      <c r="N635" s="1" t="s">
        <v>5925</v>
      </c>
      <c r="O635" s="1" t="s">
        <v>5926</v>
      </c>
      <c r="P635" s="1" t="s">
        <v>5927</v>
      </c>
      <c r="Q635" s="1" t="s">
        <v>5928</v>
      </c>
      <c r="R635" s="1" t="s">
        <v>5929</v>
      </c>
      <c r="S635" s="1" t="s">
        <v>5930</v>
      </c>
      <c r="T635" s="1" t="s">
        <v>5931</v>
      </c>
      <c r="U635">
        <v>264.32</v>
      </c>
      <c r="V635">
        <v>256.81</v>
      </c>
      <c r="W635">
        <v>15.273688</v>
      </c>
      <c r="X635">
        <v>108.72424100000001</v>
      </c>
      <c r="Y635">
        <v>7.51</v>
      </c>
      <c r="Z635">
        <v>15.272957999999999</v>
      </c>
      <c r="AA635">
        <v>108.72147200000001</v>
      </c>
      <c r="AB635" s="5">
        <f t="shared" si="55"/>
        <v>0.38521500000000003</v>
      </c>
      <c r="AC635" s="5">
        <f t="shared" si="56"/>
        <v>1.1265000000000001E-2</v>
      </c>
      <c r="AD635" s="1" t="str">
        <f t="shared" si="57"/>
        <v>Bình Minh</v>
      </c>
      <c r="AE635" s="1" t="str">
        <f t="shared" si="58"/>
        <v>Bình Chương</v>
      </c>
      <c r="AG635">
        <f t="shared" si="59"/>
        <v>0.25680999999999998</v>
      </c>
      <c r="AH635">
        <f t="shared" si="60"/>
        <v>7.5100000000000002E-3</v>
      </c>
      <c r="AI635">
        <f>VLOOKUP(L635,'[1]Tuyến cáp H04'!$B:$E,3,0)/1000</f>
        <v>3.593</v>
      </c>
      <c r="AJ635" t="str">
        <f>VLOOKUP(L635,'[1]Tuyến cáp H04'!$B:$E,4,0)</f>
        <v>Mạng cấp 4</v>
      </c>
    </row>
    <row r="636" spans="1:36" x14ac:dyDescent="0.25">
      <c r="A636" s="1" t="s">
        <v>5932</v>
      </c>
      <c r="B636" s="1" t="s">
        <v>5933</v>
      </c>
      <c r="C636" s="1" t="s">
        <v>5934</v>
      </c>
      <c r="D636" s="1" t="s">
        <v>5654</v>
      </c>
      <c r="E636" s="1" t="s">
        <v>5655</v>
      </c>
      <c r="F636" s="1" t="s">
        <v>5935</v>
      </c>
      <c r="G636" s="1" t="s">
        <v>14129</v>
      </c>
      <c r="H636" s="1" t="s">
        <v>14133</v>
      </c>
      <c r="I636" s="1" t="s">
        <v>14753</v>
      </c>
      <c r="J636" s="1" t="s">
        <v>23</v>
      </c>
      <c r="K636" s="1"/>
      <c r="L636" s="1" t="s">
        <v>5936</v>
      </c>
      <c r="M636" s="1" t="s">
        <v>5937</v>
      </c>
      <c r="N636" s="1" t="s">
        <v>5938</v>
      </c>
      <c r="O636" s="1" t="s">
        <v>5939</v>
      </c>
      <c r="P636" s="1" t="s">
        <v>5940</v>
      </c>
      <c r="Q636" s="1" t="s">
        <v>5941</v>
      </c>
      <c r="R636" s="1" t="s">
        <v>5942</v>
      </c>
      <c r="S636" s="1" t="s">
        <v>5943</v>
      </c>
      <c r="T636" s="1" t="s">
        <v>5944</v>
      </c>
      <c r="U636">
        <v>406.43</v>
      </c>
      <c r="V636">
        <v>373.56</v>
      </c>
      <c r="W636">
        <v>15.254826</v>
      </c>
      <c r="X636">
        <v>108.700857</v>
      </c>
      <c r="Y636">
        <v>32.869999999999997</v>
      </c>
      <c r="Z636">
        <v>15.27328</v>
      </c>
      <c r="AA636">
        <v>108.72145999999999</v>
      </c>
      <c r="AB636" s="5">
        <f t="shared" si="55"/>
        <v>0.56034000000000006</v>
      </c>
      <c r="AC636" s="5">
        <f t="shared" si="56"/>
        <v>4.9304999999999995E-2</v>
      </c>
      <c r="AD636" s="1" t="str">
        <f t="shared" si="57"/>
        <v>Bình Chương</v>
      </c>
      <c r="AE636" s="1" t="str">
        <f t="shared" si="58"/>
        <v>Sơn Tịnh</v>
      </c>
      <c r="AG636">
        <f t="shared" si="59"/>
        <v>0.37356</v>
      </c>
      <c r="AH636">
        <f t="shared" si="60"/>
        <v>3.2869999999999996E-2</v>
      </c>
      <c r="AI636">
        <f>VLOOKUP(L636,'[1]Tuyến cáp H04'!$B:$E,3,0)/1000</f>
        <v>16.984000000000002</v>
      </c>
      <c r="AJ636" t="str">
        <f>VLOOKUP(L636,'[1]Tuyến cáp H04'!$B:$E,4,0)</f>
        <v>Mạng cấp 4</v>
      </c>
    </row>
    <row r="637" spans="1:36" x14ac:dyDescent="0.25">
      <c r="A637" s="1" t="s">
        <v>5945</v>
      </c>
      <c r="B637" s="1" t="s">
        <v>5946</v>
      </c>
      <c r="C637" s="1" t="s">
        <v>5947</v>
      </c>
      <c r="D637" s="1" t="s">
        <v>5948</v>
      </c>
      <c r="E637" s="1" t="s">
        <v>5949</v>
      </c>
      <c r="F637" s="1" t="s">
        <v>5950</v>
      </c>
      <c r="G637" s="1" t="s">
        <v>14129</v>
      </c>
      <c r="H637" s="1" t="s">
        <v>14133</v>
      </c>
      <c r="I637" s="1" t="s">
        <v>14754</v>
      </c>
      <c r="J637" s="1" t="s">
        <v>23</v>
      </c>
      <c r="K637" s="1"/>
      <c r="L637" s="1" t="s">
        <v>5951</v>
      </c>
      <c r="M637" s="1" t="s">
        <v>5952</v>
      </c>
      <c r="N637" s="1" t="s">
        <v>5953</v>
      </c>
      <c r="O637" s="1" t="s">
        <v>5954</v>
      </c>
      <c r="P637" s="1" t="s">
        <v>5955</v>
      </c>
      <c r="Q637" s="1" t="s">
        <v>5956</v>
      </c>
      <c r="R637" s="1" t="s">
        <v>5957</v>
      </c>
      <c r="S637" s="1" t="s">
        <v>5958</v>
      </c>
      <c r="T637" s="1" t="s">
        <v>5959</v>
      </c>
      <c r="U637">
        <v>390.45</v>
      </c>
      <c r="V637">
        <v>368.97</v>
      </c>
      <c r="W637">
        <v>14.815465</v>
      </c>
      <c r="X637">
        <v>108.95955600000001</v>
      </c>
      <c r="Y637">
        <v>21.47</v>
      </c>
      <c r="Z637">
        <v>14.808831</v>
      </c>
      <c r="AA637">
        <v>108.95704600000001</v>
      </c>
      <c r="AB637" s="5">
        <f t="shared" si="55"/>
        <v>0.55345500000000003</v>
      </c>
      <c r="AC637" s="5">
        <f t="shared" si="56"/>
        <v>3.2204999999999998E-2</v>
      </c>
      <c r="AD637" s="1" t="str">
        <f t="shared" si="57"/>
        <v>Đức Phổ</v>
      </c>
      <c r="AE637" s="1" t="str">
        <f t="shared" si="58"/>
        <v>Trà Câu</v>
      </c>
      <c r="AG637">
        <f t="shared" si="59"/>
        <v>0.36897000000000002</v>
      </c>
      <c r="AH637">
        <f t="shared" si="60"/>
        <v>2.147E-2</v>
      </c>
      <c r="AI637">
        <f>VLOOKUP(L637,'[1]Tuyến cáp H04'!$B:$E,3,0)/1000</f>
        <v>9.2119999999999997</v>
      </c>
      <c r="AJ637" t="str">
        <f>VLOOKUP(L637,'[1]Tuyến cáp H04'!$B:$E,4,0)</f>
        <v>Mạng cấp 4</v>
      </c>
    </row>
    <row r="638" spans="1:36" x14ac:dyDescent="0.25">
      <c r="A638" s="1" t="s">
        <v>5960</v>
      </c>
      <c r="B638" s="1" t="s">
        <v>5961</v>
      </c>
      <c r="C638" s="1" t="s">
        <v>5962</v>
      </c>
      <c r="D638" s="1" t="s">
        <v>5948</v>
      </c>
      <c r="E638" s="1" t="s">
        <v>5949</v>
      </c>
      <c r="F638" s="1" t="s">
        <v>5963</v>
      </c>
      <c r="G638" s="1" t="s">
        <v>14129</v>
      </c>
      <c r="H638" s="1" t="s">
        <v>14133</v>
      </c>
      <c r="I638" s="1" t="s">
        <v>14755</v>
      </c>
      <c r="J638" s="1" t="s">
        <v>23</v>
      </c>
      <c r="K638" s="1"/>
      <c r="L638" s="1" t="s">
        <v>5964</v>
      </c>
      <c r="M638" s="1" t="s">
        <v>5965</v>
      </c>
      <c r="N638" s="1" t="s">
        <v>5966</v>
      </c>
      <c r="O638" s="1" t="s">
        <v>5967</v>
      </c>
      <c r="P638" s="1" t="s">
        <v>5968</v>
      </c>
      <c r="Q638" s="1" t="s">
        <v>3417</v>
      </c>
      <c r="R638" s="1" t="s">
        <v>5969</v>
      </c>
      <c r="S638" s="1" t="s">
        <v>5970</v>
      </c>
      <c r="T638" s="1" t="s">
        <v>5971</v>
      </c>
      <c r="U638">
        <v>482.6</v>
      </c>
      <c r="V638">
        <v>136.83000000000001</v>
      </c>
      <c r="W638">
        <v>14.789778999999999</v>
      </c>
      <c r="X638">
        <v>108.967879</v>
      </c>
      <c r="Y638">
        <v>345.78</v>
      </c>
      <c r="Z638">
        <v>14.808942</v>
      </c>
      <c r="AA638">
        <v>108.960066</v>
      </c>
      <c r="AB638" s="5">
        <f t="shared" si="55"/>
        <v>0.20524500000000001</v>
      </c>
      <c r="AC638" s="5">
        <f t="shared" si="56"/>
        <v>0.51866999999999996</v>
      </c>
      <c r="AD638" s="1" t="str">
        <f t="shared" si="57"/>
        <v>Trạm csgt Đức Phổ, PC08</v>
      </c>
      <c r="AE638" s="1" t="str">
        <f t="shared" si="58"/>
        <v>TTCMKV TX Đức Phổ</v>
      </c>
      <c r="AG638">
        <f t="shared" si="59"/>
        <v>0.13683000000000001</v>
      </c>
      <c r="AH638">
        <f t="shared" si="60"/>
        <v>0.34577999999999998</v>
      </c>
      <c r="AI638">
        <f>VLOOKUP(L638,'[1]Tuyến cáp H04'!$B:$E,3,0)/1000</f>
        <v>6.5369999999999999</v>
      </c>
      <c r="AJ638" t="str">
        <f>VLOOKUP(L638,'[1]Tuyến cáp H04'!$B:$E,4,0)</f>
        <v>Mạng cấp 4</v>
      </c>
    </row>
    <row r="639" spans="1:36" x14ac:dyDescent="0.25">
      <c r="A639" s="1" t="s">
        <v>5972</v>
      </c>
      <c r="B639" s="1" t="s">
        <v>5948</v>
      </c>
      <c r="C639" s="1" t="s">
        <v>5949</v>
      </c>
      <c r="D639" s="1" t="s">
        <v>5973</v>
      </c>
      <c r="E639" s="1" t="s">
        <v>5974</v>
      </c>
      <c r="F639" s="1" t="s">
        <v>5975</v>
      </c>
      <c r="G639" s="1" t="s">
        <v>14129</v>
      </c>
      <c r="H639" s="1" t="s">
        <v>14133</v>
      </c>
      <c r="I639" s="1" t="s">
        <v>14756</v>
      </c>
      <c r="J639" s="1" t="s">
        <v>23</v>
      </c>
      <c r="K639" s="1"/>
      <c r="L639" s="1" t="s">
        <v>5355</v>
      </c>
      <c r="M639" s="1" t="s">
        <v>5976</v>
      </c>
      <c r="N639" s="1" t="s">
        <v>5977</v>
      </c>
      <c r="O639" s="1" t="s">
        <v>5978</v>
      </c>
      <c r="P639" s="1" t="s">
        <v>5979</v>
      </c>
      <c r="Q639" s="1" t="s">
        <v>5659</v>
      </c>
      <c r="R639" s="1" t="s">
        <v>5980</v>
      </c>
      <c r="S639" s="1" t="s">
        <v>5981</v>
      </c>
      <c r="T639" s="1" t="s">
        <v>5363</v>
      </c>
      <c r="U639">
        <v>603.61</v>
      </c>
      <c r="V639">
        <v>387.32</v>
      </c>
      <c r="W639">
        <v>14.811940999999999</v>
      </c>
      <c r="X639">
        <v>108.95855</v>
      </c>
      <c r="Y639">
        <v>216.3</v>
      </c>
      <c r="Z639">
        <v>14.824783999999999</v>
      </c>
      <c r="AA639">
        <v>108.95034800000001</v>
      </c>
      <c r="AB639" s="5">
        <f t="shared" si="55"/>
        <v>0.58098000000000005</v>
      </c>
      <c r="AC639" s="5">
        <f t="shared" si="56"/>
        <v>0.32445000000000007</v>
      </c>
      <c r="AD639" s="1" t="str">
        <f t="shared" si="57"/>
        <v>Đức Phổ</v>
      </c>
      <c r="AE639" s="1" t="str">
        <f t="shared" si="58"/>
        <v>TT1 Quảng Ngãi mới</v>
      </c>
      <c r="AG639">
        <f t="shared" si="59"/>
        <v>0.38732</v>
      </c>
      <c r="AH639">
        <f t="shared" si="60"/>
        <v>0.21630000000000002</v>
      </c>
      <c r="AI639" t="e">
        <f>VLOOKUP(L639,'[1]Tuyến cáp H04'!$B:$E,3,0)/1000</f>
        <v>#N/A</v>
      </c>
      <c r="AJ639" t="e">
        <f>VLOOKUP(L639,'[1]Tuyến cáp H04'!$B:$E,4,0)</f>
        <v>#N/A</v>
      </c>
    </row>
    <row r="640" spans="1:36" x14ac:dyDescent="0.25">
      <c r="A640" s="1" t="s">
        <v>5982</v>
      </c>
      <c r="B640" s="1" t="s">
        <v>5983</v>
      </c>
      <c r="C640" s="1" t="s">
        <v>5984</v>
      </c>
      <c r="D640" s="1" t="s">
        <v>5948</v>
      </c>
      <c r="E640" s="1" t="s">
        <v>5949</v>
      </c>
      <c r="F640" s="1" t="s">
        <v>5985</v>
      </c>
      <c r="G640" s="1" t="s">
        <v>14129</v>
      </c>
      <c r="H640" s="1" t="s">
        <v>14133</v>
      </c>
      <c r="I640" s="1" t="s">
        <v>14757</v>
      </c>
      <c r="J640" s="1" t="s">
        <v>23</v>
      </c>
      <c r="K640" s="1"/>
      <c r="L640" s="1" t="s">
        <v>5986</v>
      </c>
      <c r="M640" s="1" t="s">
        <v>5987</v>
      </c>
      <c r="N640" s="1" t="s">
        <v>5988</v>
      </c>
      <c r="O640" s="1" t="s">
        <v>5989</v>
      </c>
      <c r="P640" s="1" t="s">
        <v>5990</v>
      </c>
      <c r="Q640" s="1" t="s">
        <v>5991</v>
      </c>
      <c r="R640" s="1" t="s">
        <v>5992</v>
      </c>
      <c r="S640" s="1" t="s">
        <v>5993</v>
      </c>
      <c r="T640" s="1" t="s">
        <v>5994</v>
      </c>
      <c r="U640">
        <v>349.87</v>
      </c>
      <c r="V640">
        <v>244.04</v>
      </c>
      <c r="W640">
        <v>14.808242</v>
      </c>
      <c r="X640">
        <v>108.960386</v>
      </c>
      <c r="Y640">
        <v>105.84</v>
      </c>
      <c r="Z640">
        <v>14.808667</v>
      </c>
      <c r="AA640">
        <v>108.957812</v>
      </c>
      <c r="AB640" s="5">
        <f t="shared" si="55"/>
        <v>0.36606</v>
      </c>
      <c r="AC640" s="5">
        <f t="shared" si="56"/>
        <v>0.15875999999999998</v>
      </c>
      <c r="AD640" s="1" t="str">
        <f t="shared" si="57"/>
        <v>TTCMKV TX Đức Phổ</v>
      </c>
      <c r="AE640" s="1" t="str">
        <f t="shared" si="58"/>
        <v>Đức Phổ</v>
      </c>
      <c r="AG640">
        <f t="shared" si="59"/>
        <v>0.24403999999999998</v>
      </c>
      <c r="AH640">
        <f t="shared" si="60"/>
        <v>0.10584</v>
      </c>
      <c r="AI640">
        <f>VLOOKUP(L640,'[1]Tuyến cáp H04'!$B:$E,3,0)/1000</f>
        <v>0.91900000000000004</v>
      </c>
      <c r="AJ640" t="str">
        <f>VLOOKUP(L640,'[1]Tuyến cáp H04'!$B:$E,4,0)</f>
        <v>Mạng cấp 4</v>
      </c>
    </row>
    <row r="641" spans="1:36" x14ac:dyDescent="0.25">
      <c r="A641" s="1" t="s">
        <v>5995</v>
      </c>
      <c r="B641" s="1" t="s">
        <v>5948</v>
      </c>
      <c r="C641" s="1" t="s">
        <v>5949</v>
      </c>
      <c r="D641" s="1" t="s">
        <v>5996</v>
      </c>
      <c r="E641" s="1" t="s">
        <v>5997</v>
      </c>
      <c r="F641" s="1" t="s">
        <v>5998</v>
      </c>
      <c r="G641" s="1" t="s">
        <v>14129</v>
      </c>
      <c r="H641" s="1" t="s">
        <v>14700</v>
      </c>
      <c r="I641" s="1" t="s">
        <v>14758</v>
      </c>
      <c r="J641" s="1" t="s">
        <v>23</v>
      </c>
      <c r="K641" s="1"/>
      <c r="L641" s="1" t="s">
        <v>5999</v>
      </c>
      <c r="M641" s="1" t="s">
        <v>6000</v>
      </c>
      <c r="N641" s="1" t="s">
        <v>6001</v>
      </c>
      <c r="O641" s="1" t="s">
        <v>6002</v>
      </c>
      <c r="P641" s="1" t="s">
        <v>6003</v>
      </c>
      <c r="Q641" s="1" t="s">
        <v>6004</v>
      </c>
      <c r="R641" s="1" t="s">
        <v>6005</v>
      </c>
      <c r="S641" s="1" t="s">
        <v>6006</v>
      </c>
      <c r="T641" s="1" t="s">
        <v>6007</v>
      </c>
      <c r="U641">
        <v>891.13</v>
      </c>
      <c r="V641">
        <v>787.13</v>
      </c>
      <c r="W641">
        <v>14.815448</v>
      </c>
      <c r="X641">
        <v>108.95955499999999</v>
      </c>
      <c r="Y641">
        <v>104</v>
      </c>
      <c r="Z641">
        <v>14.822528</v>
      </c>
      <c r="AA641">
        <v>108.962878</v>
      </c>
      <c r="AB641" s="5">
        <f t="shared" si="55"/>
        <v>1.1806949999999998</v>
      </c>
      <c r="AC641" s="5">
        <f t="shared" si="56"/>
        <v>0.156</v>
      </c>
      <c r="AD641" s="1" t="str">
        <f t="shared" si="57"/>
        <v>TTCMKV TX Đức Phổ</v>
      </c>
      <c r="AE641" s="1" t="str">
        <f t="shared" si="58"/>
        <v>Lân Phong</v>
      </c>
      <c r="AG641">
        <f t="shared" si="59"/>
        <v>0.78713</v>
      </c>
      <c r="AH641">
        <f t="shared" si="60"/>
        <v>0.104</v>
      </c>
      <c r="AI641">
        <f>VLOOKUP(L641,'[1]Tuyến cáp H04'!$B:$E,3,0)/1000</f>
        <v>20.709</v>
      </c>
      <c r="AJ641" t="str">
        <f>VLOOKUP(L641,'[1]Tuyến cáp H04'!$B:$E,4,0)</f>
        <v>Mạng cấp 4</v>
      </c>
    </row>
    <row r="642" spans="1:36" x14ac:dyDescent="0.25">
      <c r="A642" s="1" t="s">
        <v>6008</v>
      </c>
      <c r="B642" s="1" t="s">
        <v>6009</v>
      </c>
      <c r="C642" s="1" t="s">
        <v>6010</v>
      </c>
      <c r="D642" s="1" t="s">
        <v>5948</v>
      </c>
      <c r="E642" s="1" t="s">
        <v>5949</v>
      </c>
      <c r="F642" s="1" t="s">
        <v>6011</v>
      </c>
      <c r="G642" s="1" t="s">
        <v>14281</v>
      </c>
      <c r="H642" s="1" t="s">
        <v>14282</v>
      </c>
      <c r="I642" s="1" t="s">
        <v>14759</v>
      </c>
      <c r="J642" s="1" t="s">
        <v>23</v>
      </c>
      <c r="K642" s="1"/>
      <c r="L642" s="1" t="s">
        <v>6012</v>
      </c>
      <c r="M642" s="1" t="s">
        <v>6013</v>
      </c>
      <c r="N642" s="1" t="s">
        <v>6014</v>
      </c>
      <c r="O642" s="1" t="s">
        <v>6015</v>
      </c>
      <c r="P642" s="1" t="s">
        <v>6016</v>
      </c>
      <c r="Q642" s="1" t="s">
        <v>6017</v>
      </c>
      <c r="R642" s="1" t="s">
        <v>6018</v>
      </c>
      <c r="S642" s="1" t="s">
        <v>6019</v>
      </c>
      <c r="T642" s="1" t="s">
        <v>6020</v>
      </c>
      <c r="U642">
        <v>651.57000000000005</v>
      </c>
      <c r="V642">
        <v>333.13</v>
      </c>
      <c r="W642">
        <v>14.811826</v>
      </c>
      <c r="X642">
        <v>108.943702</v>
      </c>
      <c r="Y642">
        <v>318.45</v>
      </c>
      <c r="Z642">
        <v>14.811582</v>
      </c>
      <c r="AA642">
        <v>108.955898</v>
      </c>
      <c r="AB642" s="5">
        <f t="shared" si="55"/>
        <v>0.499695</v>
      </c>
      <c r="AC642" s="5">
        <f t="shared" si="56"/>
        <v>0.47767499999999996</v>
      </c>
      <c r="AD642" s="1" t="str">
        <f t="shared" si="57"/>
        <v>Ba Tơ</v>
      </c>
      <c r="AE642" s="1" t="str">
        <f t="shared" si="58"/>
        <v>Đức Phổ</v>
      </c>
      <c r="AG642">
        <f t="shared" si="59"/>
        <v>0.33312999999999998</v>
      </c>
      <c r="AH642">
        <f t="shared" si="60"/>
        <v>0.31845000000000001</v>
      </c>
      <c r="AI642">
        <f>VLOOKUP(L642,'[1]Tuyến cáp H04'!$B:$E,3,0)/1000</f>
        <v>37.997999999999998</v>
      </c>
      <c r="AJ642" t="str">
        <f>VLOOKUP(L642,'[1]Tuyến cáp H04'!$B:$E,4,0)</f>
        <v>Mạng cấp 3</v>
      </c>
    </row>
    <row r="643" spans="1:36" x14ac:dyDescent="0.25">
      <c r="A643" s="1" t="s">
        <v>6021</v>
      </c>
      <c r="B643" s="1" t="s">
        <v>5399</v>
      </c>
      <c r="C643" s="1" t="s">
        <v>5400</v>
      </c>
      <c r="D643" s="1" t="s">
        <v>6022</v>
      </c>
      <c r="E643" s="1" t="s">
        <v>6023</v>
      </c>
      <c r="F643" s="1" t="s">
        <v>6024</v>
      </c>
      <c r="G643" s="1" t="s">
        <v>14129</v>
      </c>
      <c r="H643" s="1" t="s">
        <v>14133</v>
      </c>
      <c r="I643" s="1" t="s">
        <v>14760</v>
      </c>
      <c r="J643" s="1" t="s">
        <v>23</v>
      </c>
      <c r="K643" s="1"/>
      <c r="L643" s="1" t="s">
        <v>6021</v>
      </c>
      <c r="M643" s="1" t="s">
        <v>6025</v>
      </c>
      <c r="N643" s="1" t="s">
        <v>6026</v>
      </c>
      <c r="O643" s="1" t="s">
        <v>6027</v>
      </c>
      <c r="P643" s="1" t="s">
        <v>6028</v>
      </c>
      <c r="Q643" s="1" t="s">
        <v>6029</v>
      </c>
      <c r="R643" s="1" t="s">
        <v>6030</v>
      </c>
      <c r="S643" s="1" t="s">
        <v>6031</v>
      </c>
      <c r="T643" s="1" t="s">
        <v>6032</v>
      </c>
      <c r="U643">
        <v>3599.6</v>
      </c>
      <c r="V643">
        <v>3594.73</v>
      </c>
      <c r="W643">
        <v>14.959303</v>
      </c>
      <c r="X643">
        <v>108.924539</v>
      </c>
      <c r="Y643">
        <v>4.87</v>
      </c>
      <c r="Z643">
        <v>14.98549</v>
      </c>
      <c r="AA643">
        <v>108.91275400000001</v>
      </c>
      <c r="AB643" s="5">
        <f t="shared" ref="AB643:AB706" si="61">V643*1.5/1000</f>
        <v>5.3920950000000003</v>
      </c>
      <c r="AC643" s="5">
        <f t="shared" ref="AC643:AC706" si="62">Y643*1.5/1000</f>
        <v>7.3049999999999999E-3</v>
      </c>
      <c r="AD643" s="1" t="str">
        <f t="shared" ref="AD643:AD706" si="63">TRIM(LEFT(L643,FIND("-",L643)-1))</f>
        <v>Lân Phong</v>
      </c>
      <c r="AE643" s="1" t="str">
        <f t="shared" ref="AE643:AE706" si="64">TRIM(RIGHT(L643, LEN(L643) - FIND("-", L643)))</f>
        <v>Mỏ Cày</v>
      </c>
      <c r="AG643">
        <f t="shared" ref="AG643:AG706" si="65">V643/1000</f>
        <v>3.5947300000000002</v>
      </c>
      <c r="AH643">
        <f t="shared" ref="AH643:AH706" si="66">Y643/1000</f>
        <v>4.8700000000000002E-3</v>
      </c>
      <c r="AI643" t="e">
        <f>VLOOKUP(L643,'[1]Tuyến cáp H04'!$B:$E,3,0)/1000</f>
        <v>#N/A</v>
      </c>
      <c r="AJ643" t="e">
        <f>VLOOKUP(L643,'[1]Tuyến cáp H04'!$B:$E,4,0)</f>
        <v>#N/A</v>
      </c>
    </row>
    <row r="644" spans="1:36" x14ac:dyDescent="0.25">
      <c r="A644" s="1" t="s">
        <v>6033</v>
      </c>
      <c r="B644" s="1" t="s">
        <v>6022</v>
      </c>
      <c r="C644" s="1" t="s">
        <v>6023</v>
      </c>
      <c r="D644" s="1" t="s">
        <v>6034</v>
      </c>
      <c r="E644" s="1" t="s">
        <v>6035</v>
      </c>
      <c r="F644" s="1" t="s">
        <v>6036</v>
      </c>
      <c r="G644" s="1" t="s">
        <v>14129</v>
      </c>
      <c r="H644" s="1" t="s">
        <v>14133</v>
      </c>
      <c r="I644" s="1" t="s">
        <v>14761</v>
      </c>
      <c r="J644" s="1" t="s">
        <v>23</v>
      </c>
      <c r="K644" s="1"/>
      <c r="L644" s="1" t="s">
        <v>6037</v>
      </c>
      <c r="M644" s="1" t="s">
        <v>6038</v>
      </c>
      <c r="N644" s="1" t="s">
        <v>6039</v>
      </c>
      <c r="O644" s="1" t="s">
        <v>6040</v>
      </c>
      <c r="P644" s="1" t="s">
        <v>6031</v>
      </c>
      <c r="Q644" s="1" t="s">
        <v>6041</v>
      </c>
      <c r="R644" s="1" t="s">
        <v>6042</v>
      </c>
      <c r="S644" s="1" t="s">
        <v>6043</v>
      </c>
      <c r="T644" s="1" t="s">
        <v>6044</v>
      </c>
      <c r="U644">
        <v>2417.92</v>
      </c>
      <c r="V644">
        <v>4.8600000000000003</v>
      </c>
      <c r="W644">
        <v>14.985491</v>
      </c>
      <c r="X644">
        <v>108.91275400000001</v>
      </c>
      <c r="Y644">
        <v>2413.06</v>
      </c>
      <c r="Z644">
        <v>15.001199</v>
      </c>
      <c r="AA644">
        <v>108.90942099999999</v>
      </c>
      <c r="AB644" s="5">
        <f t="shared" si="61"/>
        <v>7.2900000000000013E-3</v>
      </c>
      <c r="AC644" s="5">
        <f t="shared" si="62"/>
        <v>3.6195900000000001</v>
      </c>
      <c r="AD644" s="1" t="str">
        <f t="shared" si="63"/>
        <v>Mỏ Cày</v>
      </c>
      <c r="AE644" s="1" t="str">
        <f t="shared" si="64"/>
        <v>Long Phụng</v>
      </c>
      <c r="AG644">
        <f t="shared" si="65"/>
        <v>4.8600000000000006E-3</v>
      </c>
      <c r="AH644">
        <f t="shared" si="66"/>
        <v>2.4130599999999998</v>
      </c>
      <c r="AI644">
        <f>VLOOKUP(L644,'[1]Tuyến cáp H04'!$B:$E,3,0)/1000</f>
        <v>11.798</v>
      </c>
      <c r="AJ644" t="str">
        <f>VLOOKUP(L644,'[1]Tuyến cáp H04'!$B:$E,4,0)</f>
        <v>Mạng cấp 4</v>
      </c>
    </row>
    <row r="645" spans="1:36" x14ac:dyDescent="0.25">
      <c r="A645" s="1" t="s">
        <v>6045</v>
      </c>
      <c r="B645" s="1" t="s">
        <v>6046</v>
      </c>
      <c r="C645" s="1" t="s">
        <v>6047</v>
      </c>
      <c r="D645" s="1" t="s">
        <v>6022</v>
      </c>
      <c r="E645" s="1" t="s">
        <v>6023</v>
      </c>
      <c r="F645" s="1" t="s">
        <v>6048</v>
      </c>
      <c r="G645" s="1" t="s">
        <v>14129</v>
      </c>
      <c r="H645" s="1" t="s">
        <v>14133</v>
      </c>
      <c r="I645" s="1" t="s">
        <v>14762</v>
      </c>
      <c r="J645" s="1" t="s">
        <v>23</v>
      </c>
      <c r="K645" s="1"/>
      <c r="L645" s="1" t="s">
        <v>6037</v>
      </c>
      <c r="M645" s="1" t="s">
        <v>6049</v>
      </c>
      <c r="N645" s="1" t="s">
        <v>6050</v>
      </c>
      <c r="O645" s="1" t="s">
        <v>6051</v>
      </c>
      <c r="P645" s="1" t="s">
        <v>6052</v>
      </c>
      <c r="Q645" s="1" t="s">
        <v>6039</v>
      </c>
      <c r="R645" s="1" t="s">
        <v>6040</v>
      </c>
      <c r="S645" s="1" t="s">
        <v>6031</v>
      </c>
      <c r="T645" s="1" t="s">
        <v>6044</v>
      </c>
      <c r="U645">
        <v>1920.32</v>
      </c>
      <c r="V645">
        <v>1915.46</v>
      </c>
      <c r="W645">
        <v>14.989229999999999</v>
      </c>
      <c r="X645">
        <v>108.911379</v>
      </c>
      <c r="Y645">
        <v>4.8600000000000003</v>
      </c>
      <c r="Z645">
        <v>14.985491</v>
      </c>
      <c r="AA645">
        <v>108.91275400000001</v>
      </c>
      <c r="AB645" s="5">
        <f t="shared" si="61"/>
        <v>2.8731900000000001</v>
      </c>
      <c r="AC645" s="5">
        <f t="shared" si="62"/>
        <v>7.2900000000000013E-3</v>
      </c>
      <c r="AD645" s="1" t="str">
        <f t="shared" si="63"/>
        <v>Mỏ Cày</v>
      </c>
      <c r="AE645" s="1" t="str">
        <f t="shared" si="64"/>
        <v>Long Phụng</v>
      </c>
      <c r="AG645">
        <f t="shared" si="65"/>
        <v>1.9154599999999999</v>
      </c>
      <c r="AH645">
        <f t="shared" si="66"/>
        <v>4.8600000000000006E-3</v>
      </c>
      <c r="AI645">
        <f>VLOOKUP(L645,'[1]Tuyến cáp H04'!$B:$E,3,0)/1000</f>
        <v>11.798</v>
      </c>
      <c r="AJ645" t="str">
        <f>VLOOKUP(L645,'[1]Tuyến cáp H04'!$B:$E,4,0)</f>
        <v>Mạng cấp 4</v>
      </c>
    </row>
    <row r="646" spans="1:36" x14ac:dyDescent="0.25">
      <c r="A646" s="1" t="s">
        <v>6053</v>
      </c>
      <c r="B646" s="1" t="s">
        <v>6054</v>
      </c>
      <c r="C646" s="1" t="s">
        <v>6055</v>
      </c>
      <c r="D646" s="1" t="s">
        <v>6022</v>
      </c>
      <c r="E646" s="1" t="s">
        <v>6023</v>
      </c>
      <c r="F646" s="1" t="s">
        <v>6056</v>
      </c>
      <c r="G646" s="1" t="s">
        <v>14129</v>
      </c>
      <c r="H646" s="1" t="s">
        <v>14133</v>
      </c>
      <c r="I646" s="1" t="s">
        <v>14763</v>
      </c>
      <c r="J646" s="1" t="s">
        <v>23</v>
      </c>
      <c r="K646" s="1"/>
      <c r="L646" s="1" t="s">
        <v>6021</v>
      </c>
      <c r="M646" s="1" t="s">
        <v>6057</v>
      </c>
      <c r="N646" s="1" t="s">
        <v>6058</v>
      </c>
      <c r="O646" s="1" t="s">
        <v>6059</v>
      </c>
      <c r="P646" s="1" t="s">
        <v>6060</v>
      </c>
      <c r="Q646" s="1" t="s">
        <v>6029</v>
      </c>
      <c r="R646" s="1" t="s">
        <v>6030</v>
      </c>
      <c r="S646" s="1" t="s">
        <v>6031</v>
      </c>
      <c r="T646" s="1" t="s">
        <v>6032</v>
      </c>
      <c r="U646">
        <v>1540.45</v>
      </c>
      <c r="V646">
        <v>1535.58</v>
      </c>
      <c r="W646">
        <v>14.973222</v>
      </c>
      <c r="X646">
        <v>108.91775199999999</v>
      </c>
      <c r="Y646">
        <v>4.87</v>
      </c>
      <c r="Z646">
        <v>14.98549</v>
      </c>
      <c r="AA646">
        <v>108.91275400000001</v>
      </c>
      <c r="AB646" s="5">
        <f t="shared" si="61"/>
        <v>2.3033699999999997</v>
      </c>
      <c r="AC646" s="5">
        <f t="shared" si="62"/>
        <v>7.3049999999999999E-3</v>
      </c>
      <c r="AD646" s="1" t="str">
        <f t="shared" si="63"/>
        <v>Lân Phong</v>
      </c>
      <c r="AE646" s="1" t="str">
        <f t="shared" si="64"/>
        <v>Mỏ Cày</v>
      </c>
      <c r="AG646">
        <f t="shared" si="65"/>
        <v>1.5355799999999999</v>
      </c>
      <c r="AH646">
        <f t="shared" si="66"/>
        <v>4.8700000000000002E-3</v>
      </c>
      <c r="AI646" t="e">
        <f>VLOOKUP(L646,'[1]Tuyến cáp H04'!$B:$E,3,0)/1000</f>
        <v>#N/A</v>
      </c>
      <c r="AJ646" t="e">
        <f>VLOOKUP(L646,'[1]Tuyến cáp H04'!$B:$E,4,0)</f>
        <v>#N/A</v>
      </c>
    </row>
    <row r="647" spans="1:36" x14ac:dyDescent="0.25">
      <c r="A647" s="1" t="s">
        <v>6061</v>
      </c>
      <c r="B647" s="1" t="s">
        <v>6034</v>
      </c>
      <c r="C647" s="1" t="s">
        <v>6035</v>
      </c>
      <c r="D647" s="1" t="s">
        <v>6062</v>
      </c>
      <c r="E647" s="1" t="s">
        <v>6063</v>
      </c>
      <c r="F647" s="1" t="s">
        <v>6064</v>
      </c>
      <c r="G647" s="1" t="s">
        <v>14129</v>
      </c>
      <c r="H647" s="1" t="s">
        <v>14133</v>
      </c>
      <c r="I647" s="1" t="s">
        <v>14764</v>
      </c>
      <c r="J647" s="1" t="s">
        <v>23</v>
      </c>
      <c r="K647" s="1"/>
      <c r="L647" s="1" t="s">
        <v>6037</v>
      </c>
      <c r="M647" s="1" t="s">
        <v>6065</v>
      </c>
      <c r="N647" s="1" t="s">
        <v>6066</v>
      </c>
      <c r="O647" s="1" t="s">
        <v>6067</v>
      </c>
      <c r="P647" s="1" t="s">
        <v>6068</v>
      </c>
      <c r="Q647" s="1" t="s">
        <v>6069</v>
      </c>
      <c r="R647" s="1" t="s">
        <v>6070</v>
      </c>
      <c r="S647" s="1" t="s">
        <v>6071</v>
      </c>
      <c r="T647" s="1" t="s">
        <v>6072</v>
      </c>
      <c r="U647">
        <v>351.61</v>
      </c>
      <c r="V647">
        <v>75.63</v>
      </c>
      <c r="W647">
        <v>15.021850000000001</v>
      </c>
      <c r="X647">
        <v>108.90312400000001</v>
      </c>
      <c r="Y647">
        <v>275.98</v>
      </c>
      <c r="Z647">
        <v>15.040077999999999</v>
      </c>
      <c r="AA647">
        <v>108.86617200000001</v>
      </c>
      <c r="AB647" s="5">
        <f t="shared" si="61"/>
        <v>0.11344499999999999</v>
      </c>
      <c r="AC647" s="5">
        <f t="shared" si="62"/>
        <v>0.41397</v>
      </c>
      <c r="AD647" s="1" t="str">
        <f t="shared" si="63"/>
        <v>Mỏ Cày</v>
      </c>
      <c r="AE647" s="1" t="str">
        <f t="shared" si="64"/>
        <v>Long Phụng</v>
      </c>
      <c r="AG647">
        <f t="shared" si="65"/>
        <v>7.5629999999999989E-2</v>
      </c>
      <c r="AH647">
        <f t="shared" si="66"/>
        <v>0.27598</v>
      </c>
      <c r="AI647">
        <f>VLOOKUP(L647,'[1]Tuyến cáp H04'!$B:$E,3,0)/1000</f>
        <v>11.798</v>
      </c>
      <c r="AJ647" t="str">
        <f>VLOOKUP(L647,'[1]Tuyến cáp H04'!$B:$E,4,0)</f>
        <v>Mạng cấp 4</v>
      </c>
    </row>
    <row r="648" spans="1:36" x14ac:dyDescent="0.25">
      <c r="A648" s="1" t="s">
        <v>6073</v>
      </c>
      <c r="B648" s="1" t="s">
        <v>6062</v>
      </c>
      <c r="C648" s="1" t="s">
        <v>6063</v>
      </c>
      <c r="D648" s="1" t="s">
        <v>5352</v>
      </c>
      <c r="E648" s="1" t="s">
        <v>5353</v>
      </c>
      <c r="F648" s="1" t="s">
        <v>6074</v>
      </c>
      <c r="G648" s="1" t="s">
        <v>14129</v>
      </c>
      <c r="H648" s="1" t="s">
        <v>14133</v>
      </c>
      <c r="I648" s="1" t="s">
        <v>14765</v>
      </c>
      <c r="J648" s="1" t="s">
        <v>23</v>
      </c>
      <c r="K648" s="1"/>
      <c r="L648" s="1" t="s">
        <v>5745</v>
      </c>
      <c r="M648" s="1" t="s">
        <v>6075</v>
      </c>
      <c r="N648" s="1" t="s">
        <v>6076</v>
      </c>
      <c r="O648" s="1" t="s">
        <v>6077</v>
      </c>
      <c r="P648" s="1" t="s">
        <v>6078</v>
      </c>
      <c r="Q648" s="1" t="s">
        <v>5747</v>
      </c>
      <c r="R648" s="1" t="s">
        <v>5748</v>
      </c>
      <c r="S648" s="1" t="s">
        <v>5749</v>
      </c>
      <c r="T648" s="1" t="s">
        <v>5753</v>
      </c>
      <c r="U648">
        <v>1673.65</v>
      </c>
      <c r="V648">
        <v>1568.77</v>
      </c>
      <c r="W648">
        <v>15.043934</v>
      </c>
      <c r="X648">
        <v>108.84978</v>
      </c>
      <c r="Y648">
        <v>104.88</v>
      </c>
      <c r="Z648">
        <v>15.058427999999999</v>
      </c>
      <c r="AA648">
        <v>108.842528</v>
      </c>
      <c r="AB648" s="5">
        <f t="shared" si="61"/>
        <v>2.3531549999999997</v>
      </c>
      <c r="AC648" s="5">
        <f t="shared" si="62"/>
        <v>0.15731999999999999</v>
      </c>
      <c r="AD648" s="1" t="str">
        <f t="shared" si="63"/>
        <v>Long Phụng</v>
      </c>
      <c r="AE648" s="1" t="str">
        <f t="shared" si="64"/>
        <v>Tư Nghĩa</v>
      </c>
      <c r="AG648">
        <f t="shared" si="65"/>
        <v>1.56877</v>
      </c>
      <c r="AH648">
        <f t="shared" si="66"/>
        <v>0.10488</v>
      </c>
      <c r="AI648">
        <f>VLOOKUP(L648,'[1]Tuyến cáp H04'!$B:$E,3,0)/1000</f>
        <v>11.252000000000001</v>
      </c>
      <c r="AJ648" t="str">
        <f>VLOOKUP(L648,'[1]Tuyến cáp H04'!$B:$E,4,0)</f>
        <v>Mạng cấp 4</v>
      </c>
    </row>
    <row r="649" spans="1:36" x14ac:dyDescent="0.25">
      <c r="A649" s="1" t="s">
        <v>6079</v>
      </c>
      <c r="B649" s="1" t="s">
        <v>6080</v>
      </c>
      <c r="C649" s="1" t="s">
        <v>6081</v>
      </c>
      <c r="D649" s="1" t="s">
        <v>6062</v>
      </c>
      <c r="E649" s="1" t="s">
        <v>6063</v>
      </c>
      <c r="F649" s="1" t="s">
        <v>6082</v>
      </c>
      <c r="G649" s="1" t="s">
        <v>14129</v>
      </c>
      <c r="H649" s="1" t="s">
        <v>14679</v>
      </c>
      <c r="I649" s="1" t="s">
        <v>14766</v>
      </c>
      <c r="J649" s="1" t="s">
        <v>23</v>
      </c>
      <c r="K649" s="1"/>
      <c r="L649" s="1" t="s">
        <v>6037</v>
      </c>
      <c r="M649" s="1" t="s">
        <v>6083</v>
      </c>
      <c r="N649" s="1" t="s">
        <v>6084</v>
      </c>
      <c r="O649" s="1" t="s">
        <v>6085</v>
      </c>
      <c r="P649" s="1" t="s">
        <v>6086</v>
      </c>
      <c r="Q649" s="1" t="s">
        <v>6069</v>
      </c>
      <c r="R649" s="1" t="s">
        <v>6070</v>
      </c>
      <c r="S649" s="1" t="s">
        <v>6071</v>
      </c>
      <c r="T649" s="1" t="s">
        <v>6072</v>
      </c>
      <c r="U649">
        <v>649.64</v>
      </c>
      <c r="V649">
        <v>373.66</v>
      </c>
      <c r="W649">
        <v>15.035769999999999</v>
      </c>
      <c r="X649">
        <v>108.87860999999999</v>
      </c>
      <c r="Y649">
        <v>275.98</v>
      </c>
      <c r="Z649">
        <v>15.040077999999999</v>
      </c>
      <c r="AA649">
        <v>108.86617200000001</v>
      </c>
      <c r="AB649" s="5">
        <f t="shared" si="61"/>
        <v>0.56049000000000004</v>
      </c>
      <c r="AC649" s="5">
        <f t="shared" si="62"/>
        <v>0.41397</v>
      </c>
      <c r="AD649" s="1" t="str">
        <f t="shared" si="63"/>
        <v>Mỏ Cày</v>
      </c>
      <c r="AE649" s="1" t="str">
        <f t="shared" si="64"/>
        <v>Long Phụng</v>
      </c>
      <c r="AG649">
        <f t="shared" si="65"/>
        <v>0.37366000000000005</v>
      </c>
      <c r="AH649">
        <f t="shared" si="66"/>
        <v>0.27598</v>
      </c>
      <c r="AI649">
        <f>VLOOKUP(L649,'[1]Tuyến cáp H04'!$B:$E,3,0)/1000</f>
        <v>11.798</v>
      </c>
      <c r="AJ649" t="str">
        <f>VLOOKUP(L649,'[1]Tuyến cáp H04'!$B:$E,4,0)</f>
        <v>Mạng cấp 4</v>
      </c>
    </row>
    <row r="650" spans="1:36" x14ac:dyDescent="0.25">
      <c r="A650" s="1" t="s">
        <v>6087</v>
      </c>
      <c r="B650" s="1" t="s">
        <v>6062</v>
      </c>
      <c r="C650" s="1" t="s">
        <v>6063</v>
      </c>
      <c r="D650" s="1" t="s">
        <v>6088</v>
      </c>
      <c r="E650" s="1" t="s">
        <v>6089</v>
      </c>
      <c r="F650" s="1" t="s">
        <v>6090</v>
      </c>
      <c r="G650" s="1" t="s">
        <v>14281</v>
      </c>
      <c r="H650" s="1" t="s">
        <v>14282</v>
      </c>
      <c r="I650" s="1" t="s">
        <v>14767</v>
      </c>
      <c r="J650" s="1" t="s">
        <v>23</v>
      </c>
      <c r="K650" s="1"/>
      <c r="L650" s="1" t="s">
        <v>5745</v>
      </c>
      <c r="M650" s="1" t="s">
        <v>6091</v>
      </c>
      <c r="N650" s="1" t="s">
        <v>6092</v>
      </c>
      <c r="O650" s="1" t="s">
        <v>6093</v>
      </c>
      <c r="P650" s="1" t="s">
        <v>6094</v>
      </c>
      <c r="Q650" s="1" t="s">
        <v>6095</v>
      </c>
      <c r="R650" s="1" t="s">
        <v>6096</v>
      </c>
      <c r="S650" s="1" t="s">
        <v>6097</v>
      </c>
      <c r="T650" s="1" t="s">
        <v>6098</v>
      </c>
      <c r="U650">
        <v>581.88</v>
      </c>
      <c r="V650">
        <v>216.52</v>
      </c>
      <c r="W650">
        <v>15.040836000000001</v>
      </c>
      <c r="X650">
        <v>108.86237800000001</v>
      </c>
      <c r="Y650">
        <v>365.36</v>
      </c>
      <c r="Z650">
        <v>15.030893000000001</v>
      </c>
      <c r="AA650">
        <v>108.86153400000001</v>
      </c>
      <c r="AB650" s="5">
        <f t="shared" si="61"/>
        <v>0.32478000000000001</v>
      </c>
      <c r="AC650" s="5">
        <f t="shared" si="62"/>
        <v>0.54803999999999997</v>
      </c>
      <c r="AD650" s="1" t="str">
        <f t="shared" si="63"/>
        <v>Long Phụng</v>
      </c>
      <c r="AE650" s="1" t="str">
        <f t="shared" si="64"/>
        <v>Tư Nghĩa</v>
      </c>
      <c r="AG650">
        <f t="shared" si="65"/>
        <v>0.21652000000000002</v>
      </c>
      <c r="AH650">
        <f t="shared" si="66"/>
        <v>0.36536000000000002</v>
      </c>
      <c r="AI650">
        <f>VLOOKUP(L650,'[1]Tuyến cáp H04'!$B:$E,3,0)/1000</f>
        <v>11.252000000000001</v>
      </c>
      <c r="AJ650" t="str">
        <f>VLOOKUP(L650,'[1]Tuyến cáp H04'!$B:$E,4,0)</f>
        <v>Mạng cấp 4</v>
      </c>
    </row>
    <row r="651" spans="1:36" x14ac:dyDescent="0.25">
      <c r="A651" s="1" t="s">
        <v>6099</v>
      </c>
      <c r="B651" s="1" t="s">
        <v>5466</v>
      </c>
      <c r="C651" s="1" t="s">
        <v>5467</v>
      </c>
      <c r="D651" s="1" t="s">
        <v>6100</v>
      </c>
      <c r="E651" s="1" t="s">
        <v>6101</v>
      </c>
      <c r="F651" s="1" t="s">
        <v>6102</v>
      </c>
      <c r="G651" s="1" t="s">
        <v>14129</v>
      </c>
      <c r="H651" s="1" t="s">
        <v>14133</v>
      </c>
      <c r="I651" s="1" t="s">
        <v>14768</v>
      </c>
      <c r="J651" s="1" t="s">
        <v>23</v>
      </c>
      <c r="K651" s="1"/>
      <c r="L651" s="1" t="s">
        <v>6103</v>
      </c>
      <c r="M651" s="1" t="s">
        <v>6104</v>
      </c>
      <c r="N651" s="1" t="s">
        <v>6105</v>
      </c>
      <c r="O651" s="1" t="s">
        <v>6106</v>
      </c>
      <c r="P651" s="1" t="s">
        <v>6107</v>
      </c>
      <c r="Q651" s="1" t="s">
        <v>6108</v>
      </c>
      <c r="R651" s="1" t="s">
        <v>6109</v>
      </c>
      <c r="S651" s="1" t="s">
        <v>6110</v>
      </c>
      <c r="T651" s="1" t="s">
        <v>6111</v>
      </c>
      <c r="U651">
        <v>630.79999999999995</v>
      </c>
      <c r="V651">
        <v>347.8</v>
      </c>
      <c r="W651">
        <v>15.042566000000001</v>
      </c>
      <c r="X651">
        <v>108.742581</v>
      </c>
      <c r="Y651">
        <v>283</v>
      </c>
      <c r="Z651">
        <v>15.006114999999999</v>
      </c>
      <c r="AA651">
        <v>108.719311</v>
      </c>
      <c r="AB651" s="5">
        <f t="shared" si="61"/>
        <v>0.52170000000000005</v>
      </c>
      <c r="AC651" s="5">
        <f t="shared" si="62"/>
        <v>0.42449999999999999</v>
      </c>
      <c r="AD651" s="1" t="str">
        <f t="shared" si="63"/>
        <v>Sơn Mai</v>
      </c>
      <c r="AE651" s="1" t="str">
        <f t="shared" si="64"/>
        <v>Phước Giang</v>
      </c>
      <c r="AG651">
        <f t="shared" si="65"/>
        <v>0.3478</v>
      </c>
      <c r="AH651">
        <f t="shared" si="66"/>
        <v>0.28299999999999997</v>
      </c>
      <c r="AI651">
        <f>VLOOKUP(L651,'[1]Tuyến cáp H04'!$B:$E,3,0)/1000</f>
        <v>6.75</v>
      </c>
      <c r="AJ651" t="str">
        <f>VLOOKUP(L651,'[1]Tuyến cáp H04'!$B:$E,4,0)</f>
        <v>Mạng cấp 4</v>
      </c>
    </row>
    <row r="652" spans="1:36" x14ac:dyDescent="0.25">
      <c r="A652" s="1" t="s">
        <v>6112</v>
      </c>
      <c r="B652" s="1" t="s">
        <v>6113</v>
      </c>
      <c r="C652" s="1" t="s">
        <v>6114</v>
      </c>
      <c r="D652" s="1" t="s">
        <v>5466</v>
      </c>
      <c r="E652" s="1" t="s">
        <v>5467</v>
      </c>
      <c r="F652" s="1" t="s">
        <v>6115</v>
      </c>
      <c r="G652" s="1" t="s">
        <v>14129</v>
      </c>
      <c r="H652" s="1" t="s">
        <v>14679</v>
      </c>
      <c r="I652" s="1" t="s">
        <v>14769</v>
      </c>
      <c r="J652" s="1" t="s">
        <v>23</v>
      </c>
      <c r="K652" s="1"/>
      <c r="L652" s="1" t="s">
        <v>6103</v>
      </c>
      <c r="M652" s="1" t="s">
        <v>6116</v>
      </c>
      <c r="N652" s="1" t="s">
        <v>6117</v>
      </c>
      <c r="O652" s="1" t="s">
        <v>6118</v>
      </c>
      <c r="P652" s="1" t="s">
        <v>6119</v>
      </c>
      <c r="Q652" s="1" t="s">
        <v>6105</v>
      </c>
      <c r="R652" s="1" t="s">
        <v>6106</v>
      </c>
      <c r="S652" s="1" t="s">
        <v>6107</v>
      </c>
      <c r="T652" s="1" t="s">
        <v>6111</v>
      </c>
      <c r="U652">
        <v>1084.01</v>
      </c>
      <c r="V652">
        <v>736.21</v>
      </c>
      <c r="W652">
        <v>15.031617000000001</v>
      </c>
      <c r="X652">
        <v>108.733498</v>
      </c>
      <c r="Y652">
        <v>347.8</v>
      </c>
      <c r="Z652">
        <v>15.042566000000001</v>
      </c>
      <c r="AA652">
        <v>108.742581</v>
      </c>
      <c r="AB652" s="5">
        <f t="shared" si="61"/>
        <v>1.1043150000000002</v>
      </c>
      <c r="AC652" s="5">
        <f t="shared" si="62"/>
        <v>0.52170000000000005</v>
      </c>
      <c r="AD652" s="1" t="str">
        <f t="shared" si="63"/>
        <v>Sơn Mai</v>
      </c>
      <c r="AE652" s="1" t="str">
        <f t="shared" si="64"/>
        <v>Phước Giang</v>
      </c>
      <c r="AG652">
        <f t="shared" si="65"/>
        <v>0.73621000000000003</v>
      </c>
      <c r="AH652">
        <f t="shared" si="66"/>
        <v>0.3478</v>
      </c>
      <c r="AI652">
        <f>VLOOKUP(L652,'[1]Tuyến cáp H04'!$B:$E,3,0)/1000</f>
        <v>6.75</v>
      </c>
      <c r="AJ652" t="str">
        <f>VLOOKUP(L652,'[1]Tuyến cáp H04'!$B:$E,4,0)</f>
        <v>Mạng cấp 4</v>
      </c>
    </row>
    <row r="653" spans="1:36" x14ac:dyDescent="0.25">
      <c r="A653" s="1" t="s">
        <v>6120</v>
      </c>
      <c r="B653" s="1" t="s">
        <v>5577</v>
      </c>
      <c r="C653" s="1" t="s">
        <v>5578</v>
      </c>
      <c r="D653" s="1" t="s">
        <v>5466</v>
      </c>
      <c r="E653" s="1" t="s">
        <v>5467</v>
      </c>
      <c r="F653" s="1" t="s">
        <v>6121</v>
      </c>
      <c r="G653" s="1" t="s">
        <v>14281</v>
      </c>
      <c r="H653" s="1" t="s">
        <v>14282</v>
      </c>
      <c r="I653" s="1" t="s">
        <v>14770</v>
      </c>
      <c r="J653" s="1" t="s">
        <v>23</v>
      </c>
      <c r="K653" s="1"/>
      <c r="L653" s="1" t="s">
        <v>5469</v>
      </c>
      <c r="M653" s="1" t="s">
        <v>6122</v>
      </c>
      <c r="N653" s="1" t="s">
        <v>6123</v>
      </c>
      <c r="O653" s="1" t="s">
        <v>6124</v>
      </c>
      <c r="P653" s="1" t="s">
        <v>6125</v>
      </c>
      <c r="Q653" s="1" t="s">
        <v>5474</v>
      </c>
      <c r="R653" s="1" t="s">
        <v>5475</v>
      </c>
      <c r="S653" s="1" t="s">
        <v>5476</v>
      </c>
      <c r="T653" s="1" t="s">
        <v>5477</v>
      </c>
      <c r="U653">
        <v>1977.81</v>
      </c>
      <c r="V653">
        <v>1641.22</v>
      </c>
      <c r="W653">
        <v>15.047103999999999</v>
      </c>
      <c r="X653">
        <v>108.747927</v>
      </c>
      <c r="Y653">
        <v>336.59</v>
      </c>
      <c r="Z653">
        <v>15.045444</v>
      </c>
      <c r="AA653">
        <v>108.745306</v>
      </c>
      <c r="AB653" s="5">
        <f t="shared" si="61"/>
        <v>2.46183</v>
      </c>
      <c r="AC653" s="5">
        <f t="shared" si="62"/>
        <v>0.50488500000000003</v>
      </c>
      <c r="AD653" s="1" t="str">
        <f t="shared" si="63"/>
        <v>Phước Giang</v>
      </c>
      <c r="AE653" s="1" t="str">
        <f t="shared" si="64"/>
        <v>Trà Giang</v>
      </c>
      <c r="AG653">
        <f t="shared" si="65"/>
        <v>1.6412200000000001</v>
      </c>
      <c r="AH653">
        <f t="shared" si="66"/>
        <v>0.33659</v>
      </c>
      <c r="AI653">
        <f>VLOOKUP(L653,'[1]Tuyến cáp H04'!$B:$E,3,0)/1000</f>
        <v>15.189</v>
      </c>
      <c r="AJ653" t="str">
        <f>VLOOKUP(L653,'[1]Tuyến cáp H04'!$B:$E,4,0)</f>
        <v>Mạng cấp 4</v>
      </c>
    </row>
    <row r="654" spans="1:36" x14ac:dyDescent="0.25">
      <c r="A654" s="1" t="s">
        <v>6126</v>
      </c>
      <c r="B654" s="1" t="s">
        <v>5466</v>
      </c>
      <c r="C654" s="1" t="s">
        <v>5467</v>
      </c>
      <c r="D654" s="1" t="s">
        <v>6127</v>
      </c>
      <c r="E654" s="1" t="s">
        <v>6128</v>
      </c>
      <c r="F654" s="1" t="s">
        <v>6129</v>
      </c>
      <c r="G654" s="1" t="s">
        <v>14281</v>
      </c>
      <c r="H654" s="1" t="s">
        <v>14282</v>
      </c>
      <c r="I654" s="1" t="s">
        <v>14771</v>
      </c>
      <c r="J654" s="1" t="s">
        <v>23</v>
      </c>
      <c r="K654" s="1"/>
      <c r="L654" s="1" t="s">
        <v>5469</v>
      </c>
      <c r="M654" s="1" t="s">
        <v>6130</v>
      </c>
      <c r="N654" s="1" t="s">
        <v>5474</v>
      </c>
      <c r="O654" s="1" t="s">
        <v>5475</v>
      </c>
      <c r="P654" s="1" t="s">
        <v>5476</v>
      </c>
      <c r="Q654" s="1" t="s">
        <v>6131</v>
      </c>
      <c r="R654" s="1" t="s">
        <v>6132</v>
      </c>
      <c r="S654" s="1" t="s">
        <v>6133</v>
      </c>
      <c r="T654" s="1" t="s">
        <v>5477</v>
      </c>
      <c r="U654">
        <v>480.75</v>
      </c>
      <c r="V654">
        <v>336.59</v>
      </c>
      <c r="W654">
        <v>15.045444</v>
      </c>
      <c r="X654">
        <v>108.745306</v>
      </c>
      <c r="Y654">
        <v>144.16</v>
      </c>
      <c r="Z654">
        <v>15.066254000000001</v>
      </c>
      <c r="AA654">
        <v>108.750563</v>
      </c>
      <c r="AB654" s="5">
        <f t="shared" si="61"/>
        <v>0.50488500000000003</v>
      </c>
      <c r="AC654" s="5">
        <f t="shared" si="62"/>
        <v>0.21624000000000002</v>
      </c>
      <c r="AD654" s="1" t="str">
        <f t="shared" si="63"/>
        <v>Phước Giang</v>
      </c>
      <c r="AE654" s="1" t="str">
        <f t="shared" si="64"/>
        <v>Trà Giang</v>
      </c>
      <c r="AG654">
        <f t="shared" si="65"/>
        <v>0.33659</v>
      </c>
      <c r="AH654">
        <f t="shared" si="66"/>
        <v>0.14416000000000001</v>
      </c>
      <c r="AI654">
        <f>VLOOKUP(L654,'[1]Tuyến cáp H04'!$B:$E,3,0)/1000</f>
        <v>15.189</v>
      </c>
      <c r="AJ654" t="str">
        <f>VLOOKUP(L654,'[1]Tuyến cáp H04'!$B:$E,4,0)</f>
        <v>Mạng cấp 4</v>
      </c>
    </row>
    <row r="655" spans="1:36" x14ac:dyDescent="0.25">
      <c r="A655" s="1" t="s">
        <v>6134</v>
      </c>
      <c r="B655" s="1" t="s">
        <v>6135</v>
      </c>
      <c r="C655" s="1" t="s">
        <v>6136</v>
      </c>
      <c r="D655" s="1" t="s">
        <v>6137</v>
      </c>
      <c r="E655" s="1" t="s">
        <v>6138</v>
      </c>
      <c r="F655" s="1" t="s">
        <v>6139</v>
      </c>
      <c r="G655" s="1" t="s">
        <v>14129</v>
      </c>
      <c r="H655" s="1" t="s">
        <v>14133</v>
      </c>
      <c r="I655" s="1" t="s">
        <v>14772</v>
      </c>
      <c r="J655" s="1" t="s">
        <v>23</v>
      </c>
      <c r="K655" s="1"/>
      <c r="L655" s="1" t="s">
        <v>5197</v>
      </c>
      <c r="M655" s="1" t="s">
        <v>6140</v>
      </c>
      <c r="N655" s="1" t="s">
        <v>6141</v>
      </c>
      <c r="O655" s="1" t="s">
        <v>6142</v>
      </c>
      <c r="P655" s="1" t="s">
        <v>6143</v>
      </c>
      <c r="Q655" s="1" t="s">
        <v>6144</v>
      </c>
      <c r="R655" s="1" t="s">
        <v>6145</v>
      </c>
      <c r="S655" s="1" t="s">
        <v>6146</v>
      </c>
      <c r="T655" s="1" t="s">
        <v>6147</v>
      </c>
      <c r="U655">
        <v>3533.33</v>
      </c>
      <c r="V655">
        <v>3228.48</v>
      </c>
      <c r="W655">
        <v>15.007661000000001</v>
      </c>
      <c r="X655">
        <v>108.81334699999999</v>
      </c>
      <c r="Y655">
        <v>304.83999999999997</v>
      </c>
      <c r="Z655">
        <v>14.956894</v>
      </c>
      <c r="AA655">
        <v>108.777917</v>
      </c>
      <c r="AB655" s="5">
        <f t="shared" si="61"/>
        <v>4.8427199999999999</v>
      </c>
      <c r="AC655" s="5">
        <f t="shared" si="62"/>
        <v>0.45726</v>
      </c>
      <c r="AD655" s="1" t="str">
        <f t="shared" si="63"/>
        <v>TT1 Quảng Ngãi</v>
      </c>
      <c r="AE655" s="1" t="str">
        <f t="shared" si="64"/>
        <v>Minh Long</v>
      </c>
      <c r="AG655">
        <f t="shared" si="65"/>
        <v>3.2284800000000002</v>
      </c>
      <c r="AH655">
        <f t="shared" si="66"/>
        <v>0.30484</v>
      </c>
      <c r="AI655">
        <f>VLOOKUP(L655,'[1]Tuyến cáp H04'!$B:$E,3,0)/1000</f>
        <v>45.045000000000002</v>
      </c>
      <c r="AJ655" t="str">
        <f>VLOOKUP(L655,'[1]Tuyến cáp H04'!$B:$E,4,0)</f>
        <v>Mạng cấp 3</v>
      </c>
    </row>
    <row r="656" spans="1:36" x14ac:dyDescent="0.25">
      <c r="A656" s="1" t="s">
        <v>6148</v>
      </c>
      <c r="B656" s="1" t="s">
        <v>6137</v>
      </c>
      <c r="C656" s="1" t="s">
        <v>6138</v>
      </c>
      <c r="D656" s="1" t="s">
        <v>6149</v>
      </c>
      <c r="E656" s="1" t="s">
        <v>6150</v>
      </c>
      <c r="F656" s="1" t="s">
        <v>6151</v>
      </c>
      <c r="G656" s="1" t="s">
        <v>14129</v>
      </c>
      <c r="H656" s="1" t="s">
        <v>14133</v>
      </c>
      <c r="I656" s="1" t="s">
        <v>14773</v>
      </c>
      <c r="J656" s="1" t="s">
        <v>23</v>
      </c>
      <c r="K656" s="1"/>
      <c r="L656" s="1" t="s">
        <v>6152</v>
      </c>
      <c r="M656" s="1" t="s">
        <v>6153</v>
      </c>
      <c r="N656" s="1" t="s">
        <v>6154</v>
      </c>
      <c r="O656" s="1" t="s">
        <v>6155</v>
      </c>
      <c r="P656" s="1" t="s">
        <v>6156</v>
      </c>
      <c r="Q656" s="1" t="s">
        <v>6157</v>
      </c>
      <c r="R656" s="1" t="s">
        <v>6158</v>
      </c>
      <c r="S656" s="1" t="s">
        <v>6159</v>
      </c>
      <c r="T656" s="1" t="s">
        <v>6160</v>
      </c>
      <c r="U656">
        <v>5553.4</v>
      </c>
      <c r="V656">
        <v>248.44</v>
      </c>
      <c r="W656">
        <v>14.958562000000001</v>
      </c>
      <c r="X656">
        <v>108.776166</v>
      </c>
      <c r="Y656">
        <v>5304.96</v>
      </c>
      <c r="Z656">
        <v>14.982704999999999</v>
      </c>
      <c r="AA656">
        <v>108.80611399999999</v>
      </c>
      <c r="AB656" s="5">
        <f t="shared" si="61"/>
        <v>0.37265999999999999</v>
      </c>
      <c r="AC656" s="5">
        <f t="shared" si="62"/>
        <v>7.9574400000000001</v>
      </c>
      <c r="AD656" s="1" t="str">
        <f t="shared" si="63"/>
        <v>TTCMKV Minh Long</v>
      </c>
      <c r="AE656" s="1" t="str">
        <f t="shared" si="64"/>
        <v>Đình Cương</v>
      </c>
      <c r="AG656">
        <f t="shared" si="65"/>
        <v>0.24843999999999999</v>
      </c>
      <c r="AH656">
        <f t="shared" si="66"/>
        <v>5.3049600000000003</v>
      </c>
      <c r="AI656">
        <f>VLOOKUP(L656,'[1]Tuyến cáp H04'!$B:$E,3,0)/1000</f>
        <v>19.981000000000002</v>
      </c>
      <c r="AJ656" t="str">
        <f>VLOOKUP(L656,'[1]Tuyến cáp H04'!$B:$E,4,0)</f>
        <v>Mạng cấp 4</v>
      </c>
    </row>
    <row r="657" spans="1:36" x14ac:dyDescent="0.25">
      <c r="A657" s="1" t="s">
        <v>6161</v>
      </c>
      <c r="B657" s="1" t="s">
        <v>6162</v>
      </c>
      <c r="C657" s="1" t="s">
        <v>6163</v>
      </c>
      <c r="D657" s="1" t="s">
        <v>6137</v>
      </c>
      <c r="E657" s="1" t="s">
        <v>6138</v>
      </c>
      <c r="F657" s="1" t="s">
        <v>6164</v>
      </c>
      <c r="G657" s="1" t="s">
        <v>14129</v>
      </c>
      <c r="H657" s="1" t="s">
        <v>14133</v>
      </c>
      <c r="I657" s="1" t="s">
        <v>14774</v>
      </c>
      <c r="J657" s="1" t="s">
        <v>23</v>
      </c>
      <c r="K657" s="1"/>
      <c r="L657" s="1" t="s">
        <v>6165</v>
      </c>
      <c r="M657" s="1" t="s">
        <v>6166</v>
      </c>
      <c r="N657" s="1" t="s">
        <v>6167</v>
      </c>
      <c r="O657" s="1" t="s">
        <v>6168</v>
      </c>
      <c r="P657" s="1" t="s">
        <v>6169</v>
      </c>
      <c r="Q657" s="1" t="s">
        <v>6170</v>
      </c>
      <c r="R657" s="1" t="s">
        <v>6171</v>
      </c>
      <c r="S657" s="1" t="s">
        <v>6172</v>
      </c>
      <c r="T657" s="1" t="s">
        <v>6173</v>
      </c>
      <c r="U657">
        <v>268.14999999999998</v>
      </c>
      <c r="V657">
        <v>157.22999999999999</v>
      </c>
      <c r="W657">
        <v>14.91952</v>
      </c>
      <c r="X657">
        <v>108.772904</v>
      </c>
      <c r="Y657">
        <v>110.92</v>
      </c>
      <c r="Z657">
        <v>14.955847</v>
      </c>
      <c r="AA657">
        <v>108.77439699999999</v>
      </c>
      <c r="AB657" s="5">
        <f t="shared" si="61"/>
        <v>0.23584499999999997</v>
      </c>
      <c r="AC657" s="5">
        <f t="shared" si="62"/>
        <v>0.16638</v>
      </c>
      <c r="AD657" s="1" t="str">
        <f t="shared" si="63"/>
        <v>Ba Động</v>
      </c>
      <c r="AE657" s="1" t="str">
        <f t="shared" si="64"/>
        <v>Thiện Tín</v>
      </c>
      <c r="AG657">
        <f t="shared" si="65"/>
        <v>0.15722999999999998</v>
      </c>
      <c r="AH657">
        <f t="shared" si="66"/>
        <v>0.11092</v>
      </c>
      <c r="AI657">
        <f>VLOOKUP(L657,'[1]Tuyến cáp H04'!$B:$E,3,0)/1000</f>
        <v>20.135999999999999</v>
      </c>
      <c r="AJ657" t="str">
        <f>VLOOKUP(L657,'[1]Tuyến cáp H04'!$B:$E,4,0)</f>
        <v>Mạng cấp 4</v>
      </c>
    </row>
    <row r="658" spans="1:36" x14ac:dyDescent="0.25">
      <c r="A658" s="1" t="s">
        <v>6174</v>
      </c>
      <c r="B658" s="1" t="s">
        <v>6175</v>
      </c>
      <c r="C658" s="1" t="s">
        <v>6176</v>
      </c>
      <c r="D658" s="1" t="s">
        <v>6137</v>
      </c>
      <c r="E658" s="1" t="s">
        <v>6138</v>
      </c>
      <c r="F658" s="1" t="s">
        <v>6177</v>
      </c>
      <c r="G658" s="1" t="s">
        <v>14281</v>
      </c>
      <c r="H658" s="1" t="s">
        <v>14282</v>
      </c>
      <c r="I658" s="1" t="s">
        <v>14775</v>
      </c>
      <c r="J658" s="1" t="s">
        <v>23</v>
      </c>
      <c r="K658" s="1"/>
      <c r="L658" s="1" t="s">
        <v>6178</v>
      </c>
      <c r="M658" s="1" t="s">
        <v>6179</v>
      </c>
      <c r="N658" s="1" t="s">
        <v>6180</v>
      </c>
      <c r="O658" s="1" t="s">
        <v>6181</v>
      </c>
      <c r="P658" s="1" t="s">
        <v>6182</v>
      </c>
      <c r="Q658" s="1" t="s">
        <v>6183</v>
      </c>
      <c r="R658" s="1" t="s">
        <v>6184</v>
      </c>
      <c r="S658" s="1" t="s">
        <v>6185</v>
      </c>
      <c r="T658" s="1" t="s">
        <v>6186</v>
      </c>
      <c r="U658">
        <v>154.85</v>
      </c>
      <c r="V658">
        <v>25.27</v>
      </c>
      <c r="W658">
        <v>14.962543</v>
      </c>
      <c r="X658">
        <v>108.738855</v>
      </c>
      <c r="Y658">
        <v>129.58000000000001</v>
      </c>
      <c r="Z658">
        <v>14.957691000000001</v>
      </c>
      <c r="AA658">
        <v>108.774734</v>
      </c>
      <c r="AB658" s="5">
        <f t="shared" si="61"/>
        <v>3.7905000000000001E-2</v>
      </c>
      <c r="AC658" s="5">
        <f t="shared" si="62"/>
        <v>0.19437000000000001</v>
      </c>
      <c r="AD658" s="1" t="str">
        <f t="shared" si="63"/>
        <v>Thiện Tín</v>
      </c>
      <c r="AE658" s="1" t="str">
        <f t="shared" si="64"/>
        <v>TTCMKV Minh Long</v>
      </c>
      <c r="AG658">
        <f t="shared" si="65"/>
        <v>2.5270000000000001E-2</v>
      </c>
      <c r="AH658">
        <f t="shared" si="66"/>
        <v>0.12958</v>
      </c>
      <c r="AI658">
        <f>VLOOKUP(L658,'[1]Tuyến cáp H04'!$B:$E,3,0)/1000</f>
        <v>10.920999999999999</v>
      </c>
      <c r="AJ658" t="str">
        <f>VLOOKUP(L658,'[1]Tuyến cáp H04'!$B:$E,4,0)</f>
        <v>Mạng cấp 4</v>
      </c>
    </row>
    <row r="659" spans="1:36" x14ac:dyDescent="0.25">
      <c r="A659" s="1" t="s">
        <v>6187</v>
      </c>
      <c r="B659" s="1" t="s">
        <v>5488</v>
      </c>
      <c r="C659" s="1" t="s">
        <v>5489</v>
      </c>
      <c r="D659" s="1" t="s">
        <v>6188</v>
      </c>
      <c r="E659" s="1" t="s">
        <v>6189</v>
      </c>
      <c r="F659" s="1" t="s">
        <v>6190</v>
      </c>
      <c r="G659" s="1" t="s">
        <v>14129</v>
      </c>
      <c r="H659" s="1" t="s">
        <v>14133</v>
      </c>
      <c r="I659" s="1" t="s">
        <v>14776</v>
      </c>
      <c r="J659" s="1" t="s">
        <v>23</v>
      </c>
      <c r="K659" s="1"/>
      <c r="L659" s="1" t="s">
        <v>5491</v>
      </c>
      <c r="M659" s="1" t="s">
        <v>6191</v>
      </c>
      <c r="N659" s="1" t="s">
        <v>5496</v>
      </c>
      <c r="O659" s="1" t="s">
        <v>5497</v>
      </c>
      <c r="P659" s="1" t="s">
        <v>5498</v>
      </c>
      <c r="Q659" s="1" t="s">
        <v>6192</v>
      </c>
      <c r="R659" s="1" t="s">
        <v>5547</v>
      </c>
      <c r="S659" s="1" t="s">
        <v>6193</v>
      </c>
      <c r="T659" s="1" t="s">
        <v>5499</v>
      </c>
      <c r="U659">
        <v>1809.87</v>
      </c>
      <c r="V659">
        <v>221.48</v>
      </c>
      <c r="W659">
        <v>15.04072</v>
      </c>
      <c r="X659">
        <v>108.795241</v>
      </c>
      <c r="Y659">
        <v>1588.4</v>
      </c>
      <c r="Z659">
        <v>15.023047999999999</v>
      </c>
      <c r="AA659">
        <v>108.80918800000001</v>
      </c>
      <c r="AB659" s="5">
        <f t="shared" si="61"/>
        <v>0.33221999999999996</v>
      </c>
      <c r="AC659" s="5">
        <f t="shared" si="62"/>
        <v>2.3826000000000005</v>
      </c>
      <c r="AD659" s="1" t="str">
        <f t="shared" si="63"/>
        <v>Đình Cương</v>
      </c>
      <c r="AE659" s="1" t="str">
        <f t="shared" si="64"/>
        <v>Nghĩa Hành</v>
      </c>
      <c r="AG659">
        <f t="shared" si="65"/>
        <v>0.22147999999999998</v>
      </c>
      <c r="AH659">
        <f t="shared" si="66"/>
        <v>1.5884</v>
      </c>
      <c r="AI659">
        <f>VLOOKUP(L659,'[1]Tuyến cáp H04'!$B:$E,3,0)/1000</f>
        <v>7.7450000000000001</v>
      </c>
      <c r="AJ659" t="str">
        <f>VLOOKUP(L659,'[1]Tuyến cáp H04'!$B:$E,4,0)</f>
        <v>Mạng cấp 4</v>
      </c>
    </row>
    <row r="660" spans="1:36" x14ac:dyDescent="0.25">
      <c r="A660" s="1" t="s">
        <v>6194</v>
      </c>
      <c r="B660" s="1" t="s">
        <v>6188</v>
      </c>
      <c r="C660" s="1" t="s">
        <v>6189</v>
      </c>
      <c r="D660" s="1" t="s">
        <v>6195</v>
      </c>
      <c r="E660" s="1" t="s">
        <v>6196</v>
      </c>
      <c r="F660" s="1" t="s">
        <v>6197</v>
      </c>
      <c r="G660" s="1" t="s">
        <v>14129</v>
      </c>
      <c r="H660" s="1" t="s">
        <v>14133</v>
      </c>
      <c r="I660" s="1" t="s">
        <v>14777</v>
      </c>
      <c r="J660" s="1" t="s">
        <v>23</v>
      </c>
      <c r="K660" s="1"/>
      <c r="L660" s="1" t="s">
        <v>5491</v>
      </c>
      <c r="M660" s="1" t="s">
        <v>6198</v>
      </c>
      <c r="N660" s="1" t="s">
        <v>6199</v>
      </c>
      <c r="O660" s="1" t="s">
        <v>6200</v>
      </c>
      <c r="P660" s="1" t="s">
        <v>6201</v>
      </c>
      <c r="Q660" s="1" t="s">
        <v>6202</v>
      </c>
      <c r="R660" s="1" t="s">
        <v>6203</v>
      </c>
      <c r="S660" s="1" t="s">
        <v>6204</v>
      </c>
      <c r="T660" s="1" t="s">
        <v>6205</v>
      </c>
      <c r="U660">
        <v>2000.25</v>
      </c>
      <c r="V660">
        <v>25.4</v>
      </c>
      <c r="W660">
        <v>15.015248</v>
      </c>
      <c r="X660">
        <v>108.821816</v>
      </c>
      <c r="Y660">
        <v>1974.86</v>
      </c>
      <c r="Z660">
        <v>15.021352</v>
      </c>
      <c r="AA660">
        <v>108.814167</v>
      </c>
      <c r="AB660" s="5">
        <f t="shared" si="61"/>
        <v>3.8099999999999995E-2</v>
      </c>
      <c r="AC660" s="5">
        <f t="shared" si="62"/>
        <v>2.9622899999999999</v>
      </c>
      <c r="AD660" s="1" t="str">
        <f t="shared" si="63"/>
        <v>Đình Cương</v>
      </c>
      <c r="AE660" s="1" t="str">
        <f t="shared" si="64"/>
        <v>Nghĩa Hành</v>
      </c>
      <c r="AG660">
        <f t="shared" si="65"/>
        <v>2.5399999999999999E-2</v>
      </c>
      <c r="AH660">
        <f t="shared" si="66"/>
        <v>1.9748599999999998</v>
      </c>
      <c r="AI660">
        <f>VLOOKUP(L660,'[1]Tuyến cáp H04'!$B:$E,3,0)/1000</f>
        <v>7.7450000000000001</v>
      </c>
      <c r="AJ660" t="str">
        <f>VLOOKUP(L660,'[1]Tuyến cáp H04'!$B:$E,4,0)</f>
        <v>Mạng cấp 4</v>
      </c>
    </row>
    <row r="661" spans="1:36" x14ac:dyDescent="0.25">
      <c r="A661" s="1" t="s">
        <v>6206</v>
      </c>
      <c r="B661" s="1" t="s">
        <v>6207</v>
      </c>
      <c r="C661" s="1" t="s">
        <v>6208</v>
      </c>
      <c r="D661" s="1" t="s">
        <v>6188</v>
      </c>
      <c r="E661" s="1" t="s">
        <v>6189</v>
      </c>
      <c r="F661" s="1" t="s">
        <v>6209</v>
      </c>
      <c r="G661" s="1" t="s">
        <v>14129</v>
      </c>
      <c r="H661" s="1" t="s">
        <v>14679</v>
      </c>
      <c r="I661" s="1" t="s">
        <v>14778</v>
      </c>
      <c r="J661" s="1" t="s">
        <v>23</v>
      </c>
      <c r="K661" s="1"/>
      <c r="L661" s="1" t="s">
        <v>6152</v>
      </c>
      <c r="M661" s="1" t="s">
        <v>6210</v>
      </c>
      <c r="N661" s="1" t="s">
        <v>6211</v>
      </c>
      <c r="O661" s="1" t="s">
        <v>6212</v>
      </c>
      <c r="P661" s="1" t="s">
        <v>6213</v>
      </c>
      <c r="Q661" s="1" t="s">
        <v>6214</v>
      </c>
      <c r="R661" s="1" t="s">
        <v>6215</v>
      </c>
      <c r="S661" s="1" t="s">
        <v>6216</v>
      </c>
      <c r="T661" s="1" t="s">
        <v>6160</v>
      </c>
      <c r="U661">
        <v>492.08</v>
      </c>
      <c r="V661">
        <v>466.45</v>
      </c>
      <c r="W661">
        <v>15.013532</v>
      </c>
      <c r="X661">
        <v>108.821697</v>
      </c>
      <c r="Y661">
        <v>25.63</v>
      </c>
      <c r="Z661">
        <v>15.015243</v>
      </c>
      <c r="AA661">
        <v>108.821819</v>
      </c>
      <c r="AB661" s="5">
        <f t="shared" si="61"/>
        <v>0.69967499999999994</v>
      </c>
      <c r="AC661" s="5">
        <f t="shared" si="62"/>
        <v>3.8445E-2</v>
      </c>
      <c r="AD661" s="1" t="str">
        <f t="shared" si="63"/>
        <v>TTCMKV Minh Long</v>
      </c>
      <c r="AE661" s="1" t="str">
        <f t="shared" si="64"/>
        <v>Đình Cương</v>
      </c>
      <c r="AG661">
        <f t="shared" si="65"/>
        <v>0.46644999999999998</v>
      </c>
      <c r="AH661">
        <f t="shared" si="66"/>
        <v>2.563E-2</v>
      </c>
      <c r="AI661">
        <f>VLOOKUP(L661,'[1]Tuyến cáp H04'!$B:$E,3,0)/1000</f>
        <v>19.981000000000002</v>
      </c>
      <c r="AJ661" t="str">
        <f>VLOOKUP(L661,'[1]Tuyến cáp H04'!$B:$E,4,0)</f>
        <v>Mạng cấp 4</v>
      </c>
    </row>
    <row r="662" spans="1:36" x14ac:dyDescent="0.25">
      <c r="A662" s="1" t="s">
        <v>6217</v>
      </c>
      <c r="B662" s="1" t="s">
        <v>6218</v>
      </c>
      <c r="C662" s="1" t="s">
        <v>6219</v>
      </c>
      <c r="D662" s="1" t="s">
        <v>6188</v>
      </c>
      <c r="E662" s="1" t="s">
        <v>6189</v>
      </c>
      <c r="F662" s="1" t="s">
        <v>6220</v>
      </c>
      <c r="G662" s="1" t="s">
        <v>14129</v>
      </c>
      <c r="H662" s="1" t="s">
        <v>14679</v>
      </c>
      <c r="I662" s="1" t="s">
        <v>14779</v>
      </c>
      <c r="J662" s="1" t="s">
        <v>23</v>
      </c>
      <c r="K662" s="1"/>
      <c r="L662" s="1" t="s">
        <v>5491</v>
      </c>
      <c r="M662" s="1" t="s">
        <v>6221</v>
      </c>
      <c r="N662" s="1" t="s">
        <v>6222</v>
      </c>
      <c r="O662" s="1" t="s">
        <v>6223</v>
      </c>
      <c r="P662" s="1" t="s">
        <v>6224</v>
      </c>
      <c r="Q662" s="1" t="s">
        <v>6199</v>
      </c>
      <c r="R662" s="1" t="s">
        <v>6200</v>
      </c>
      <c r="S662" s="1" t="s">
        <v>6201</v>
      </c>
      <c r="T662" s="1" t="s">
        <v>6205</v>
      </c>
      <c r="U662">
        <v>1414.49</v>
      </c>
      <c r="V662">
        <v>1389.1</v>
      </c>
      <c r="W662">
        <v>15.02305</v>
      </c>
      <c r="X662">
        <v>108.809184</v>
      </c>
      <c r="Y662">
        <v>25.4</v>
      </c>
      <c r="Z662">
        <v>15.015248</v>
      </c>
      <c r="AA662">
        <v>108.821816</v>
      </c>
      <c r="AB662" s="5">
        <f t="shared" si="61"/>
        <v>2.0836499999999996</v>
      </c>
      <c r="AC662" s="5">
        <f t="shared" si="62"/>
        <v>3.8099999999999995E-2</v>
      </c>
      <c r="AD662" s="1" t="str">
        <f t="shared" si="63"/>
        <v>Đình Cương</v>
      </c>
      <c r="AE662" s="1" t="str">
        <f t="shared" si="64"/>
        <v>Nghĩa Hành</v>
      </c>
      <c r="AG662">
        <f t="shared" si="65"/>
        <v>1.3891</v>
      </c>
      <c r="AH662">
        <f t="shared" si="66"/>
        <v>2.5399999999999999E-2</v>
      </c>
      <c r="AI662">
        <f>VLOOKUP(L662,'[1]Tuyến cáp H04'!$B:$E,3,0)/1000</f>
        <v>7.7450000000000001</v>
      </c>
      <c r="AJ662" t="str">
        <f>VLOOKUP(L662,'[1]Tuyến cáp H04'!$B:$E,4,0)</f>
        <v>Mạng cấp 4</v>
      </c>
    </row>
    <row r="663" spans="1:36" x14ac:dyDescent="0.25">
      <c r="A663" s="1" t="s">
        <v>6225</v>
      </c>
      <c r="B663" s="1" t="s">
        <v>5561</v>
      </c>
      <c r="C663" s="1" t="s">
        <v>5562</v>
      </c>
      <c r="D663" s="1" t="s">
        <v>6188</v>
      </c>
      <c r="E663" s="1" t="s">
        <v>6189</v>
      </c>
      <c r="F663" s="1" t="s">
        <v>6226</v>
      </c>
      <c r="G663" s="1" t="s">
        <v>14281</v>
      </c>
      <c r="H663" s="1" t="s">
        <v>14282</v>
      </c>
      <c r="I663" s="1" t="s">
        <v>14780</v>
      </c>
      <c r="J663" s="1" t="s">
        <v>23</v>
      </c>
      <c r="K663" s="1"/>
      <c r="L663" s="1" t="s">
        <v>5491</v>
      </c>
      <c r="M663" s="1" t="s">
        <v>6227</v>
      </c>
      <c r="N663" s="1" t="s">
        <v>6228</v>
      </c>
      <c r="O663" s="1" t="s">
        <v>6223</v>
      </c>
      <c r="P663" s="1" t="s">
        <v>6224</v>
      </c>
      <c r="Q663" s="1" t="s">
        <v>6199</v>
      </c>
      <c r="R663" s="1" t="s">
        <v>6200</v>
      </c>
      <c r="S663" s="1" t="s">
        <v>6201</v>
      </c>
      <c r="T663" s="1" t="s">
        <v>6205</v>
      </c>
      <c r="U663">
        <v>2418.92</v>
      </c>
      <c r="V663">
        <v>2393.52</v>
      </c>
      <c r="W663">
        <v>15.02305</v>
      </c>
      <c r="X663">
        <v>108.809184</v>
      </c>
      <c r="Y663">
        <v>25.4</v>
      </c>
      <c r="Z663">
        <v>15.015248</v>
      </c>
      <c r="AA663">
        <v>108.821816</v>
      </c>
      <c r="AB663" s="5">
        <f t="shared" si="61"/>
        <v>3.5902799999999999</v>
      </c>
      <c r="AC663" s="5">
        <f t="shared" si="62"/>
        <v>3.8099999999999995E-2</v>
      </c>
      <c r="AD663" s="1" t="str">
        <f t="shared" si="63"/>
        <v>Đình Cương</v>
      </c>
      <c r="AE663" s="1" t="str">
        <f t="shared" si="64"/>
        <v>Nghĩa Hành</v>
      </c>
      <c r="AG663">
        <f t="shared" si="65"/>
        <v>2.3935200000000001</v>
      </c>
      <c r="AH663">
        <f t="shared" si="66"/>
        <v>2.5399999999999999E-2</v>
      </c>
      <c r="AI663">
        <f>VLOOKUP(L663,'[1]Tuyến cáp H04'!$B:$E,3,0)/1000</f>
        <v>7.7450000000000001</v>
      </c>
      <c r="AJ663" t="str">
        <f>VLOOKUP(L663,'[1]Tuyến cáp H04'!$B:$E,4,0)</f>
        <v>Mạng cấp 4</v>
      </c>
    </row>
    <row r="664" spans="1:36" x14ac:dyDescent="0.25">
      <c r="A664" s="1" t="s">
        <v>6229</v>
      </c>
      <c r="B664" s="1" t="s">
        <v>6188</v>
      </c>
      <c r="C664" s="1" t="s">
        <v>6189</v>
      </c>
      <c r="D664" s="1" t="s">
        <v>6230</v>
      </c>
      <c r="E664" s="1" t="s">
        <v>6231</v>
      </c>
      <c r="F664" s="1" t="s">
        <v>6232</v>
      </c>
      <c r="G664" s="1" t="s">
        <v>14281</v>
      </c>
      <c r="H664" s="1" t="s">
        <v>14282</v>
      </c>
      <c r="I664" s="1" t="s">
        <v>14781</v>
      </c>
      <c r="J664" s="1" t="s">
        <v>23</v>
      </c>
      <c r="K664" s="1"/>
      <c r="L664" s="1" t="s">
        <v>6152</v>
      </c>
      <c r="M664" s="1" t="s">
        <v>6233</v>
      </c>
      <c r="N664" s="1" t="s">
        <v>6234</v>
      </c>
      <c r="O664" s="1" t="s">
        <v>6235</v>
      </c>
      <c r="P664" s="1" t="s">
        <v>6236</v>
      </c>
      <c r="Q664" s="1" t="s">
        <v>6237</v>
      </c>
      <c r="R664" s="1" t="s">
        <v>6238</v>
      </c>
      <c r="S664" s="1" t="s">
        <v>6239</v>
      </c>
      <c r="T664" s="1" t="s">
        <v>6240</v>
      </c>
      <c r="U664">
        <v>1179.57</v>
      </c>
      <c r="V664">
        <v>0.38</v>
      </c>
      <c r="W664">
        <v>15.015252</v>
      </c>
      <c r="X664">
        <v>108.821583</v>
      </c>
      <c r="Y664">
        <v>1179.19</v>
      </c>
      <c r="Z664">
        <v>15.015311000000001</v>
      </c>
      <c r="AA664">
        <v>108.821809</v>
      </c>
      <c r="AB664" s="5">
        <f t="shared" si="61"/>
        <v>5.7000000000000009E-4</v>
      </c>
      <c r="AC664" s="5">
        <f t="shared" si="62"/>
        <v>1.7687850000000001</v>
      </c>
      <c r="AD664" s="1" t="str">
        <f t="shared" si="63"/>
        <v>TTCMKV Minh Long</v>
      </c>
      <c r="AE664" s="1" t="str">
        <f t="shared" si="64"/>
        <v>Đình Cương</v>
      </c>
      <c r="AG664">
        <f t="shared" si="65"/>
        <v>3.8000000000000002E-4</v>
      </c>
      <c r="AH664">
        <f t="shared" si="66"/>
        <v>1.17919</v>
      </c>
      <c r="AI664">
        <f>VLOOKUP(L664,'[1]Tuyến cáp H04'!$B:$E,3,0)/1000</f>
        <v>19.981000000000002</v>
      </c>
      <c r="AJ664" t="str">
        <f>VLOOKUP(L664,'[1]Tuyến cáp H04'!$B:$E,4,0)</f>
        <v>Mạng cấp 4</v>
      </c>
    </row>
    <row r="665" spans="1:36" x14ac:dyDescent="0.25">
      <c r="A665" s="1" t="s">
        <v>6241</v>
      </c>
      <c r="B665" s="1" t="s">
        <v>6100</v>
      </c>
      <c r="C665" s="1" t="s">
        <v>6101</v>
      </c>
      <c r="D665" s="1" t="s">
        <v>6135</v>
      </c>
      <c r="E665" s="1" t="s">
        <v>6136</v>
      </c>
      <c r="F665" s="1" t="s">
        <v>6242</v>
      </c>
      <c r="G665" s="1" t="s">
        <v>14129</v>
      </c>
      <c r="H665" s="1" t="s">
        <v>14133</v>
      </c>
      <c r="I665" s="1" t="s">
        <v>14782</v>
      </c>
      <c r="J665" s="1" t="s">
        <v>23</v>
      </c>
      <c r="K665" s="1"/>
      <c r="L665" s="1" t="s">
        <v>6103</v>
      </c>
      <c r="M665" s="1" t="s">
        <v>6243</v>
      </c>
      <c r="N665" s="1" t="s">
        <v>6108</v>
      </c>
      <c r="O665" s="1" t="s">
        <v>6109</v>
      </c>
      <c r="P665" s="1" t="s">
        <v>6110</v>
      </c>
      <c r="Q665" s="1" t="s">
        <v>6244</v>
      </c>
      <c r="R665" s="1" t="s">
        <v>6245</v>
      </c>
      <c r="S665" s="1" t="s">
        <v>6246</v>
      </c>
      <c r="T665" s="1" t="s">
        <v>6111</v>
      </c>
      <c r="U665">
        <v>5538.8</v>
      </c>
      <c r="V665">
        <v>283</v>
      </c>
      <c r="W665">
        <v>15.006114999999999</v>
      </c>
      <c r="X665">
        <v>108.719311</v>
      </c>
      <c r="Y665">
        <v>5255.8</v>
      </c>
      <c r="Z665">
        <v>15.041461999999999</v>
      </c>
      <c r="AA665">
        <v>108.74701399999999</v>
      </c>
      <c r="AB665" s="5">
        <f t="shared" si="61"/>
        <v>0.42449999999999999</v>
      </c>
      <c r="AC665" s="5">
        <f t="shared" si="62"/>
        <v>7.883700000000001</v>
      </c>
      <c r="AD665" s="1" t="str">
        <f t="shared" si="63"/>
        <v>Sơn Mai</v>
      </c>
      <c r="AE665" s="1" t="str">
        <f t="shared" si="64"/>
        <v>Phước Giang</v>
      </c>
      <c r="AG665">
        <f t="shared" si="65"/>
        <v>0.28299999999999997</v>
      </c>
      <c r="AH665">
        <f t="shared" si="66"/>
        <v>5.2557999999999998</v>
      </c>
      <c r="AI665">
        <f>VLOOKUP(L665,'[1]Tuyến cáp H04'!$B:$E,3,0)/1000</f>
        <v>6.75</v>
      </c>
      <c r="AJ665" t="str">
        <f>VLOOKUP(L665,'[1]Tuyến cáp H04'!$B:$E,4,0)</f>
        <v>Mạng cấp 4</v>
      </c>
    </row>
    <row r="666" spans="1:36" x14ac:dyDescent="0.25">
      <c r="A666" s="1" t="s">
        <v>6247</v>
      </c>
      <c r="B666" s="1" t="s">
        <v>6248</v>
      </c>
      <c r="C666" s="1" t="s">
        <v>6249</v>
      </c>
      <c r="D666" s="1" t="s">
        <v>6100</v>
      </c>
      <c r="E666" s="1" t="s">
        <v>6101</v>
      </c>
      <c r="F666" s="1" t="s">
        <v>6250</v>
      </c>
      <c r="G666" s="1" t="s">
        <v>14129</v>
      </c>
      <c r="H666" s="1" t="s">
        <v>14133</v>
      </c>
      <c r="I666" s="1" t="s">
        <v>14783</v>
      </c>
      <c r="J666" s="1" t="s">
        <v>23</v>
      </c>
      <c r="K666" s="1"/>
      <c r="L666" s="1" t="s">
        <v>6251</v>
      </c>
      <c r="M666" s="1" t="s">
        <v>6252</v>
      </c>
      <c r="N666" s="1" t="s">
        <v>6253</v>
      </c>
      <c r="O666" s="1" t="s">
        <v>6254</v>
      </c>
      <c r="P666" s="1" t="s">
        <v>6255</v>
      </c>
      <c r="Q666" s="1" t="s">
        <v>6256</v>
      </c>
      <c r="R666" s="1" t="s">
        <v>6257</v>
      </c>
      <c r="S666" s="1" t="s">
        <v>6258</v>
      </c>
      <c r="T666" s="1" t="s">
        <v>6259</v>
      </c>
      <c r="U666">
        <v>256.44</v>
      </c>
      <c r="V666">
        <v>235.36</v>
      </c>
      <c r="W666">
        <v>15.003126</v>
      </c>
      <c r="X666">
        <v>108.718464</v>
      </c>
      <c r="Y666">
        <v>21.07</v>
      </c>
      <c r="Z666">
        <v>15.003926</v>
      </c>
      <c r="AA666">
        <v>108.71825699999999</v>
      </c>
      <c r="AB666" s="5">
        <f t="shared" si="61"/>
        <v>0.35304000000000002</v>
      </c>
      <c r="AC666" s="5">
        <f t="shared" si="62"/>
        <v>3.1605000000000001E-2</v>
      </c>
      <c r="AD666" s="1" t="str">
        <f t="shared" si="63"/>
        <v>TTCMKV Minh Long</v>
      </c>
      <c r="AE666" s="1" t="str">
        <f t="shared" si="64"/>
        <v>Sơn Mai</v>
      </c>
      <c r="AG666">
        <f t="shared" si="65"/>
        <v>0.23536000000000001</v>
      </c>
      <c r="AH666">
        <f t="shared" si="66"/>
        <v>2.1070000000000002E-2</v>
      </c>
      <c r="AI666">
        <f>VLOOKUP(L666,'[1]Tuyến cáp H04'!$B:$E,3,0)/1000</f>
        <v>9.6980000000000004</v>
      </c>
      <c r="AJ666" t="str">
        <f>VLOOKUP(L666,'[1]Tuyến cáp H04'!$B:$E,4,0)</f>
        <v>Mạng cấp 4</v>
      </c>
    </row>
    <row r="667" spans="1:36" x14ac:dyDescent="0.25">
      <c r="A667" s="1" t="s">
        <v>6260</v>
      </c>
      <c r="B667" s="1" t="s">
        <v>6261</v>
      </c>
      <c r="C667" s="1" t="s">
        <v>6262</v>
      </c>
      <c r="D667" s="1" t="s">
        <v>6100</v>
      </c>
      <c r="E667" s="1" t="s">
        <v>6101</v>
      </c>
      <c r="F667" s="1" t="s">
        <v>6263</v>
      </c>
      <c r="G667" s="1" t="s">
        <v>14281</v>
      </c>
      <c r="H667" s="1" t="s">
        <v>14282</v>
      </c>
      <c r="I667" s="1" t="s">
        <v>14784</v>
      </c>
      <c r="J667" s="1" t="s">
        <v>23</v>
      </c>
      <c r="K667" s="1"/>
      <c r="L667" s="1" t="s">
        <v>6103</v>
      </c>
      <c r="M667" s="1" t="s">
        <v>6264</v>
      </c>
      <c r="N667" s="1" t="s">
        <v>6265</v>
      </c>
      <c r="O667" s="1" t="s">
        <v>6266</v>
      </c>
      <c r="P667" s="1" t="s">
        <v>6267</v>
      </c>
      <c r="Q667" s="1" t="s">
        <v>6108</v>
      </c>
      <c r="R667" s="1" t="s">
        <v>6109</v>
      </c>
      <c r="S667" s="1" t="s">
        <v>6110</v>
      </c>
      <c r="T667" s="1" t="s">
        <v>6111</v>
      </c>
      <c r="U667">
        <v>929.87</v>
      </c>
      <c r="V667">
        <v>646.87</v>
      </c>
      <c r="W667">
        <v>15.038031</v>
      </c>
      <c r="X667">
        <v>108.74312399999999</v>
      </c>
      <c r="Y667">
        <v>283</v>
      </c>
      <c r="Z667">
        <v>15.006114999999999</v>
      </c>
      <c r="AA667">
        <v>108.719311</v>
      </c>
      <c r="AB667" s="5">
        <f t="shared" si="61"/>
        <v>0.97030500000000008</v>
      </c>
      <c r="AC667" s="5">
        <f t="shared" si="62"/>
        <v>0.42449999999999999</v>
      </c>
      <c r="AD667" s="1" t="str">
        <f t="shared" si="63"/>
        <v>Sơn Mai</v>
      </c>
      <c r="AE667" s="1" t="str">
        <f t="shared" si="64"/>
        <v>Phước Giang</v>
      </c>
      <c r="AG667">
        <f t="shared" si="65"/>
        <v>0.64687000000000006</v>
      </c>
      <c r="AH667">
        <f t="shared" si="66"/>
        <v>0.28299999999999997</v>
      </c>
      <c r="AI667">
        <f>VLOOKUP(L667,'[1]Tuyến cáp H04'!$B:$E,3,0)/1000</f>
        <v>6.75</v>
      </c>
      <c r="AJ667" t="str">
        <f>VLOOKUP(L667,'[1]Tuyến cáp H04'!$B:$E,4,0)</f>
        <v>Mạng cấp 4</v>
      </c>
    </row>
    <row r="668" spans="1:36" x14ac:dyDescent="0.25">
      <c r="A668" s="1" t="s">
        <v>6268</v>
      </c>
      <c r="B668" s="1" t="s">
        <v>6269</v>
      </c>
      <c r="C668" s="1" t="s">
        <v>6270</v>
      </c>
      <c r="D668" s="1" t="s">
        <v>6271</v>
      </c>
      <c r="E668" s="1" t="s">
        <v>6272</v>
      </c>
      <c r="F668" s="1" t="s">
        <v>6273</v>
      </c>
      <c r="G668" s="1" t="s">
        <v>14129</v>
      </c>
      <c r="H668" s="1" t="s">
        <v>14133</v>
      </c>
      <c r="I668" s="1" t="s">
        <v>14785</v>
      </c>
      <c r="J668" s="1" t="s">
        <v>23</v>
      </c>
      <c r="K668" s="1"/>
      <c r="L668" s="1" t="s">
        <v>6274</v>
      </c>
      <c r="M668" s="1" t="s">
        <v>6275</v>
      </c>
      <c r="N668" s="1" t="s">
        <v>6276</v>
      </c>
      <c r="O668" s="1" t="s">
        <v>6277</v>
      </c>
      <c r="P668" s="1" t="s">
        <v>6278</v>
      </c>
      <c r="Q668" s="1" t="s">
        <v>6279</v>
      </c>
      <c r="R668" s="1" t="s">
        <v>6280</v>
      </c>
      <c r="S668" s="1" t="s">
        <v>6281</v>
      </c>
      <c r="T668" s="1" t="s">
        <v>6282</v>
      </c>
      <c r="U668">
        <v>634.07000000000005</v>
      </c>
      <c r="V668">
        <v>28.63</v>
      </c>
      <c r="W668">
        <v>15.118627</v>
      </c>
      <c r="X668">
        <v>108.806135</v>
      </c>
      <c r="Y668">
        <v>605.44000000000005</v>
      </c>
      <c r="Z668">
        <v>15.11905</v>
      </c>
      <c r="AA668">
        <v>108.804942</v>
      </c>
      <c r="AB668" s="5">
        <f t="shared" si="61"/>
        <v>4.2944999999999997E-2</v>
      </c>
      <c r="AC668" s="5">
        <f t="shared" si="62"/>
        <v>0.90816000000000008</v>
      </c>
      <c r="AD668" s="1" t="str">
        <f t="shared" si="63"/>
        <v>PC01</v>
      </c>
      <c r="AE668" s="1" t="str">
        <f t="shared" si="64"/>
        <v>CS113_TRỤ HT_TRỤ III</v>
      </c>
      <c r="AG668">
        <f t="shared" si="65"/>
        <v>2.8629999999999999E-2</v>
      </c>
      <c r="AH668">
        <f t="shared" si="66"/>
        <v>0.60544000000000009</v>
      </c>
      <c r="AI668" t="e">
        <f>VLOOKUP(L668,'[1]Tuyến cáp H04'!$B:$E,3,0)/1000</f>
        <v>#N/A</v>
      </c>
      <c r="AJ668" t="e">
        <f>VLOOKUP(L668,'[1]Tuyến cáp H04'!$B:$E,4,0)</f>
        <v>#N/A</v>
      </c>
    </row>
    <row r="669" spans="1:36" x14ac:dyDescent="0.25">
      <c r="A669" s="1" t="s">
        <v>6283</v>
      </c>
      <c r="B669" s="1" t="s">
        <v>6284</v>
      </c>
      <c r="C669" s="1" t="s">
        <v>6285</v>
      </c>
      <c r="D669" s="1" t="s">
        <v>6269</v>
      </c>
      <c r="E669" s="1" t="s">
        <v>6270</v>
      </c>
      <c r="F669" s="1" t="s">
        <v>6286</v>
      </c>
      <c r="G669" s="1" t="s">
        <v>14129</v>
      </c>
      <c r="H669" s="1" t="s">
        <v>14679</v>
      </c>
      <c r="I669" s="1" t="s">
        <v>14786</v>
      </c>
      <c r="J669" s="1" t="s">
        <v>23</v>
      </c>
      <c r="K669" s="1"/>
      <c r="L669" s="1" t="s">
        <v>6287</v>
      </c>
      <c r="M669" s="1" t="s">
        <v>6288</v>
      </c>
      <c r="N669" s="1" t="s">
        <v>6289</v>
      </c>
      <c r="O669" s="1" t="s">
        <v>6290</v>
      </c>
      <c r="P669" s="1" t="s">
        <v>6291</v>
      </c>
      <c r="Q669" s="1" t="s">
        <v>6292</v>
      </c>
      <c r="R669" s="1" t="s">
        <v>6293</v>
      </c>
      <c r="S669" s="1" t="s">
        <v>6294</v>
      </c>
      <c r="T669" s="1" t="s">
        <v>6295</v>
      </c>
      <c r="U669">
        <v>631.58000000000004</v>
      </c>
      <c r="V669">
        <v>201.22</v>
      </c>
      <c r="W669">
        <v>15.113094</v>
      </c>
      <c r="X669">
        <v>108.803139</v>
      </c>
      <c r="Y669">
        <v>430.36</v>
      </c>
      <c r="Z669">
        <v>15.118891</v>
      </c>
      <c r="AA669">
        <v>108.802402</v>
      </c>
      <c r="AB669" s="5">
        <f t="shared" si="61"/>
        <v>0.30182999999999999</v>
      </c>
      <c r="AC669" s="5">
        <f t="shared" si="62"/>
        <v>0.64554</v>
      </c>
      <c r="AD669" s="1" t="str">
        <f t="shared" si="63"/>
        <v>Cẩm Thành</v>
      </c>
      <c r="AE669" s="1" t="str">
        <f t="shared" si="64"/>
        <v>TT1 QUẢNG NGÃI</v>
      </c>
      <c r="AG669">
        <f t="shared" si="65"/>
        <v>0.20122000000000001</v>
      </c>
      <c r="AH669">
        <f t="shared" si="66"/>
        <v>0.43036000000000002</v>
      </c>
      <c r="AI669">
        <f>VLOOKUP(L669,'[1]Tuyến cáp H04'!$B:$E,3,0)/1000</f>
        <v>3.1179999999999999</v>
      </c>
      <c r="AJ669" t="str">
        <f>VLOOKUP(L669,'[1]Tuyến cáp H04'!$B:$E,4,0)</f>
        <v>Mạng cấp 4</v>
      </c>
    </row>
    <row r="670" spans="1:36" x14ac:dyDescent="0.25">
      <c r="A670" s="1" t="s">
        <v>6296</v>
      </c>
      <c r="B670" s="1" t="s">
        <v>6297</v>
      </c>
      <c r="C670" s="1" t="s">
        <v>6298</v>
      </c>
      <c r="D670" s="1" t="s">
        <v>6269</v>
      </c>
      <c r="E670" s="1" t="s">
        <v>6270</v>
      </c>
      <c r="F670" s="1" t="s">
        <v>6299</v>
      </c>
      <c r="G670" s="1" t="s">
        <v>14129</v>
      </c>
      <c r="H670" s="1" t="s">
        <v>14679</v>
      </c>
      <c r="I670" s="1" t="s">
        <v>14787</v>
      </c>
      <c r="J670" s="1" t="s">
        <v>23</v>
      </c>
      <c r="K670" s="1"/>
      <c r="L670" s="1" t="s">
        <v>6300</v>
      </c>
      <c r="M670" s="1" t="s">
        <v>6301</v>
      </c>
      <c r="N670" s="1" t="s">
        <v>6302</v>
      </c>
      <c r="O670" s="1" t="s">
        <v>6303</v>
      </c>
      <c r="P670" s="1" t="s">
        <v>6304</v>
      </c>
      <c r="Q670" s="1" t="s">
        <v>6305</v>
      </c>
      <c r="R670" s="1" t="s">
        <v>6306</v>
      </c>
      <c r="S670" s="1" t="s">
        <v>6307</v>
      </c>
      <c r="T670" s="1" t="s">
        <v>6308</v>
      </c>
      <c r="U670">
        <v>81.260000000000005</v>
      </c>
      <c r="V670">
        <v>56.81</v>
      </c>
      <c r="W670">
        <v>15.117743000000001</v>
      </c>
      <c r="X670">
        <v>108.809515</v>
      </c>
      <c r="Y670">
        <v>24.45</v>
      </c>
      <c r="Z670">
        <v>15.118425</v>
      </c>
      <c r="AA670">
        <v>108.806263</v>
      </c>
      <c r="AB670" s="5">
        <f t="shared" si="61"/>
        <v>8.5214999999999999E-2</v>
      </c>
      <c r="AC670" s="5">
        <f t="shared" si="62"/>
        <v>3.6674999999999999E-2</v>
      </c>
      <c r="AD670" s="1" t="str">
        <f t="shared" si="63"/>
        <v>CS113</v>
      </c>
      <c r="AE670" s="1" t="str">
        <f t="shared" si="64"/>
        <v>PK02</v>
      </c>
      <c r="AG670">
        <f t="shared" si="65"/>
        <v>5.6809999999999999E-2</v>
      </c>
      <c r="AH670">
        <f t="shared" si="66"/>
        <v>2.445E-2</v>
      </c>
      <c r="AI670">
        <f>VLOOKUP(L670,'[1]Tuyến cáp H04'!$B:$E,3,0)/1000</f>
        <v>1.8740000000000001</v>
      </c>
      <c r="AJ670" t="str">
        <f>VLOOKUP(L670,'[1]Tuyến cáp H04'!$B:$E,4,0)</f>
        <v>Mạng cấp 3</v>
      </c>
    </row>
    <row r="671" spans="1:36" x14ac:dyDescent="0.25">
      <c r="A671" s="1" t="s">
        <v>6309</v>
      </c>
      <c r="B671" s="1" t="s">
        <v>6310</v>
      </c>
      <c r="C671" s="1" t="s">
        <v>6311</v>
      </c>
      <c r="D671" s="1" t="s">
        <v>6269</v>
      </c>
      <c r="E671" s="1" t="s">
        <v>6270</v>
      </c>
      <c r="F671" s="1" t="s">
        <v>6312</v>
      </c>
      <c r="G671" s="1" t="s">
        <v>14281</v>
      </c>
      <c r="H671" s="1" t="s">
        <v>14282</v>
      </c>
      <c r="I671" s="1" t="s">
        <v>14788</v>
      </c>
      <c r="J671" s="1" t="s">
        <v>23</v>
      </c>
      <c r="K671" s="1"/>
      <c r="L671" s="1" t="s">
        <v>6287</v>
      </c>
      <c r="M671" s="1" t="s">
        <v>6313</v>
      </c>
      <c r="N671" s="1" t="s">
        <v>6314</v>
      </c>
      <c r="O671" s="1" t="s">
        <v>6315</v>
      </c>
      <c r="P671" s="1" t="s">
        <v>6316</v>
      </c>
      <c r="Q671" s="1" t="s">
        <v>6292</v>
      </c>
      <c r="R671" s="1" t="s">
        <v>6293</v>
      </c>
      <c r="S671" s="1" t="s">
        <v>6294</v>
      </c>
      <c r="T671" s="1" t="s">
        <v>6295</v>
      </c>
      <c r="U671">
        <v>461.53</v>
      </c>
      <c r="V671">
        <v>31.17</v>
      </c>
      <c r="W671">
        <v>15.113121</v>
      </c>
      <c r="X671">
        <v>108.80839</v>
      </c>
      <c r="Y671">
        <v>430.36</v>
      </c>
      <c r="Z671">
        <v>15.118891</v>
      </c>
      <c r="AA671">
        <v>108.802402</v>
      </c>
      <c r="AB671" s="5">
        <f t="shared" si="61"/>
        <v>4.6755000000000005E-2</v>
      </c>
      <c r="AC671" s="5">
        <f t="shared" si="62"/>
        <v>0.64554</v>
      </c>
      <c r="AD671" s="1" t="str">
        <f t="shared" si="63"/>
        <v>Cẩm Thành</v>
      </c>
      <c r="AE671" s="1" t="str">
        <f t="shared" si="64"/>
        <v>TT1 QUẢNG NGÃI</v>
      </c>
      <c r="AG671">
        <f t="shared" si="65"/>
        <v>3.1170000000000003E-2</v>
      </c>
      <c r="AH671">
        <f t="shared" si="66"/>
        <v>0.43036000000000002</v>
      </c>
      <c r="AI671">
        <f>VLOOKUP(L671,'[1]Tuyến cáp H04'!$B:$E,3,0)/1000</f>
        <v>3.1179999999999999</v>
      </c>
      <c r="AJ671" t="str">
        <f>VLOOKUP(L671,'[1]Tuyến cáp H04'!$B:$E,4,0)</f>
        <v>Mạng cấp 4</v>
      </c>
    </row>
    <row r="672" spans="1:36" x14ac:dyDescent="0.25">
      <c r="A672" s="1" t="s">
        <v>6317</v>
      </c>
      <c r="B672" s="1" t="s">
        <v>6269</v>
      </c>
      <c r="C672" s="1" t="s">
        <v>6270</v>
      </c>
      <c r="D672" s="1" t="s">
        <v>5321</v>
      </c>
      <c r="E672" s="1" t="s">
        <v>5322</v>
      </c>
      <c r="F672" s="1" t="s">
        <v>6318</v>
      </c>
      <c r="G672" s="1" t="s">
        <v>14281</v>
      </c>
      <c r="H672" s="1" t="s">
        <v>14282</v>
      </c>
      <c r="I672" s="1" t="s">
        <v>14789</v>
      </c>
      <c r="J672" s="1" t="s">
        <v>23</v>
      </c>
      <c r="K672" s="1"/>
      <c r="L672" s="1" t="s">
        <v>6319</v>
      </c>
      <c r="M672" s="1" t="s">
        <v>6320</v>
      </c>
      <c r="N672" s="1" t="s">
        <v>6321</v>
      </c>
      <c r="O672" s="1" t="s">
        <v>6322</v>
      </c>
      <c r="P672" s="1" t="s">
        <v>6323</v>
      </c>
      <c r="Q672" s="1" t="s">
        <v>6324</v>
      </c>
      <c r="R672" s="1" t="s">
        <v>6325</v>
      </c>
      <c r="S672" s="1" t="s">
        <v>6326</v>
      </c>
      <c r="T672" s="1" t="s">
        <v>6327</v>
      </c>
      <c r="U672">
        <v>1647.78</v>
      </c>
      <c r="V672">
        <v>971.41</v>
      </c>
      <c r="W672">
        <v>15.126533999999999</v>
      </c>
      <c r="X672">
        <v>108.80261299999999</v>
      </c>
      <c r="Y672">
        <v>676.37</v>
      </c>
      <c r="Z672">
        <v>15.132671</v>
      </c>
      <c r="AA672">
        <v>108.801546</v>
      </c>
      <c r="AB672" s="5">
        <f t="shared" si="61"/>
        <v>1.4571149999999999</v>
      </c>
      <c r="AC672" s="5">
        <f t="shared" si="62"/>
        <v>1.0145550000000001</v>
      </c>
      <c r="AD672" s="1" t="str">
        <f t="shared" si="63"/>
        <v>Trương Quang Trọng</v>
      </c>
      <c r="AE672" s="1" t="str">
        <f t="shared" si="64"/>
        <v>TT1 QUẢNG NGÃI</v>
      </c>
      <c r="AG672">
        <f t="shared" si="65"/>
        <v>0.97141</v>
      </c>
      <c r="AH672">
        <f t="shared" si="66"/>
        <v>0.67637000000000003</v>
      </c>
      <c r="AI672">
        <f>VLOOKUP(L672,'[1]Tuyến cáp H04'!$B:$E,3,0)/1000</f>
        <v>5.2640000000000002</v>
      </c>
      <c r="AJ672" t="str">
        <f>VLOOKUP(L672,'[1]Tuyến cáp H04'!$B:$E,4,0)</f>
        <v>Mạng cấp 4</v>
      </c>
    </row>
    <row r="673" spans="1:36" x14ac:dyDescent="0.25">
      <c r="A673" s="1" t="s">
        <v>6328</v>
      </c>
      <c r="B673" s="1" t="s">
        <v>6329</v>
      </c>
      <c r="C673" s="1" t="s">
        <v>6330</v>
      </c>
      <c r="D673" s="1" t="s">
        <v>6331</v>
      </c>
      <c r="E673" s="1" t="s">
        <v>6332</v>
      </c>
      <c r="F673" s="1" t="s">
        <v>6333</v>
      </c>
      <c r="G673" s="1" t="s">
        <v>14129</v>
      </c>
      <c r="H673" s="1" t="s">
        <v>14679</v>
      </c>
      <c r="I673" s="1" t="s">
        <v>14790</v>
      </c>
      <c r="J673" s="1" t="s">
        <v>23</v>
      </c>
      <c r="K673" s="1"/>
      <c r="L673" s="1" t="s">
        <v>5777</v>
      </c>
      <c r="M673" s="1" t="s">
        <v>6334</v>
      </c>
      <c r="N673" s="1" t="s">
        <v>6335</v>
      </c>
      <c r="O673" s="1" t="s">
        <v>6336</v>
      </c>
      <c r="P673" s="1" t="s">
        <v>6337</v>
      </c>
      <c r="Q673" s="1" t="s">
        <v>6338</v>
      </c>
      <c r="R673" s="1" t="s">
        <v>6339</v>
      </c>
      <c r="S673" s="1" t="s">
        <v>6340</v>
      </c>
      <c r="T673" s="1" t="s">
        <v>6341</v>
      </c>
      <c r="U673">
        <v>1570.23</v>
      </c>
      <c r="V673">
        <v>1216.32</v>
      </c>
      <c r="W673">
        <v>15.108153</v>
      </c>
      <c r="X673">
        <v>108.81795099999999</v>
      </c>
      <c r="Y673">
        <v>353.92</v>
      </c>
      <c r="Z673">
        <v>15.122006000000001</v>
      </c>
      <c r="AA673">
        <v>108.814892</v>
      </c>
      <c r="AB673" s="5">
        <f t="shared" si="61"/>
        <v>1.8244800000000001</v>
      </c>
      <c r="AC673" s="5">
        <f t="shared" si="62"/>
        <v>0.53088000000000002</v>
      </c>
      <c r="AD673" s="1" t="e">
        <f t="shared" si="63"/>
        <v>#VALUE!</v>
      </c>
      <c r="AE673" s="1" t="e">
        <f t="shared" si="64"/>
        <v>#VALUE!</v>
      </c>
      <c r="AG673">
        <f t="shared" si="65"/>
        <v>1.2163199999999998</v>
      </c>
      <c r="AH673">
        <f t="shared" si="66"/>
        <v>0.35392000000000001</v>
      </c>
      <c r="AI673" t="e">
        <f>VLOOKUP(L673,'[1]Tuyến cáp H04'!$B:$E,3,0)/1000</f>
        <v>#N/A</v>
      </c>
      <c r="AJ673" t="e">
        <f>VLOOKUP(L673,'[1]Tuyến cáp H04'!$B:$E,4,0)</f>
        <v>#N/A</v>
      </c>
    </row>
    <row r="674" spans="1:36" x14ac:dyDescent="0.25">
      <c r="A674" s="1" t="s">
        <v>6342</v>
      </c>
      <c r="B674" s="1" t="s">
        <v>6343</v>
      </c>
      <c r="C674" s="1" t="s">
        <v>6344</v>
      </c>
      <c r="D674" s="1" t="s">
        <v>6331</v>
      </c>
      <c r="E674" s="1" t="s">
        <v>6332</v>
      </c>
      <c r="F674" s="1" t="s">
        <v>6345</v>
      </c>
      <c r="G674" s="1" t="s">
        <v>14281</v>
      </c>
      <c r="H674" s="1" t="s">
        <v>14282</v>
      </c>
      <c r="I674" s="1" t="s">
        <v>14791</v>
      </c>
      <c r="J674" s="1" t="s">
        <v>23</v>
      </c>
      <c r="K674" s="1"/>
      <c r="L674" s="1" t="s">
        <v>6346</v>
      </c>
      <c r="M674" s="1" t="s">
        <v>6347</v>
      </c>
      <c r="N674" s="1" t="s">
        <v>6348</v>
      </c>
      <c r="O674" s="1" t="s">
        <v>6349</v>
      </c>
      <c r="P674" s="1" t="s">
        <v>6350</v>
      </c>
      <c r="Q674" s="1" t="s">
        <v>6351</v>
      </c>
      <c r="R674" s="1" t="s">
        <v>6352</v>
      </c>
      <c r="S674" s="1" t="s">
        <v>6353</v>
      </c>
      <c r="T674" s="1" t="s">
        <v>6354</v>
      </c>
      <c r="U674">
        <v>514.13</v>
      </c>
      <c r="V674">
        <v>135.80000000000001</v>
      </c>
      <c r="W674">
        <v>15.122529</v>
      </c>
      <c r="X674">
        <v>108.82444099999999</v>
      </c>
      <c r="Y674">
        <v>378.33</v>
      </c>
      <c r="Z674">
        <v>15.120934999999999</v>
      </c>
      <c r="AA674">
        <v>108.82108700000001</v>
      </c>
      <c r="AB674" s="5">
        <f t="shared" si="61"/>
        <v>0.20370000000000002</v>
      </c>
      <c r="AC674" s="5">
        <f t="shared" si="62"/>
        <v>0.56749499999999997</v>
      </c>
      <c r="AD674" s="1" t="str">
        <f t="shared" si="63"/>
        <v>TT1 Quảng Ngãi mới</v>
      </c>
      <c r="AE674" s="1" t="str">
        <f t="shared" si="64"/>
        <v>TT1 Quảng Ngãi</v>
      </c>
      <c r="AG674">
        <f t="shared" si="65"/>
        <v>0.1358</v>
      </c>
      <c r="AH674">
        <f t="shared" si="66"/>
        <v>0.37833</v>
      </c>
      <c r="AI674" t="e">
        <f>VLOOKUP(L674,'[1]Tuyến cáp H04'!$B:$E,3,0)/1000</f>
        <v>#N/A</v>
      </c>
      <c r="AJ674" t="e">
        <f>VLOOKUP(L674,'[1]Tuyến cáp H04'!$B:$E,4,0)</f>
        <v>#N/A</v>
      </c>
    </row>
    <row r="675" spans="1:36" x14ac:dyDescent="0.25">
      <c r="A675" s="1" t="s">
        <v>6355</v>
      </c>
      <c r="B675" s="1" t="s">
        <v>6331</v>
      </c>
      <c r="C675" s="1" t="s">
        <v>6332</v>
      </c>
      <c r="D675" s="1" t="s">
        <v>5321</v>
      </c>
      <c r="E675" s="1" t="s">
        <v>5322</v>
      </c>
      <c r="F675" s="1" t="s">
        <v>6356</v>
      </c>
      <c r="G675" s="1" t="s">
        <v>14281</v>
      </c>
      <c r="H675" s="1" t="s">
        <v>14282</v>
      </c>
      <c r="I675" s="1" t="s">
        <v>14792</v>
      </c>
      <c r="J675" s="1" t="s">
        <v>23</v>
      </c>
      <c r="K675" s="1"/>
      <c r="L675" s="1" t="s">
        <v>6357</v>
      </c>
      <c r="M675" s="1" t="s">
        <v>6358</v>
      </c>
      <c r="N675" s="1" t="s">
        <v>6359</v>
      </c>
      <c r="O675" s="1" t="s">
        <v>6360</v>
      </c>
      <c r="P675" s="1" t="s">
        <v>6361</v>
      </c>
      <c r="Q675" s="1" t="s">
        <v>6362</v>
      </c>
      <c r="R675" s="1" t="s">
        <v>6363</v>
      </c>
      <c r="S675" s="1" t="s">
        <v>6364</v>
      </c>
      <c r="T675" s="1" t="s">
        <v>6365</v>
      </c>
      <c r="U675">
        <v>1061.82</v>
      </c>
      <c r="V675">
        <v>383.51</v>
      </c>
      <c r="W675">
        <v>15.124038000000001</v>
      </c>
      <c r="X675">
        <v>108.81479</v>
      </c>
      <c r="Y675">
        <v>678.32</v>
      </c>
      <c r="Z675">
        <v>15.132804999999999</v>
      </c>
      <c r="AA675">
        <v>108.801569</v>
      </c>
      <c r="AB675" s="5">
        <f t="shared" si="61"/>
        <v>0.57526500000000003</v>
      </c>
      <c r="AC675" s="5">
        <f t="shared" si="62"/>
        <v>1.0174799999999999</v>
      </c>
      <c r="AD675" s="1" t="str">
        <f t="shared" si="63"/>
        <v>PC03</v>
      </c>
      <c r="AE675" s="1" t="str">
        <f t="shared" si="64"/>
        <v>PC10</v>
      </c>
      <c r="AG675">
        <f t="shared" si="65"/>
        <v>0.38351000000000002</v>
      </c>
      <c r="AH675">
        <f t="shared" si="66"/>
        <v>0.67832000000000003</v>
      </c>
      <c r="AI675">
        <f>VLOOKUP(L675,'[1]Tuyến cáp H04'!$B:$E,3,0)/1000</f>
        <v>4.218</v>
      </c>
      <c r="AJ675" t="str">
        <f>VLOOKUP(L675,'[1]Tuyến cáp H04'!$B:$E,4,0)</f>
        <v>Mạng cấp 3</v>
      </c>
    </row>
    <row r="676" spans="1:36" x14ac:dyDescent="0.25">
      <c r="A676" s="1" t="s">
        <v>6366</v>
      </c>
      <c r="B676" s="1" t="s">
        <v>6367</v>
      </c>
      <c r="C676" s="1" t="s">
        <v>6368</v>
      </c>
      <c r="D676" s="1" t="s">
        <v>6369</v>
      </c>
      <c r="E676" s="1" t="s">
        <v>6370</v>
      </c>
      <c r="F676" s="1" t="s">
        <v>6371</v>
      </c>
      <c r="G676" s="1" t="s">
        <v>14129</v>
      </c>
      <c r="H676" s="1" t="s">
        <v>14133</v>
      </c>
      <c r="I676" s="1" t="s">
        <v>14793</v>
      </c>
      <c r="J676" s="1" t="s">
        <v>23</v>
      </c>
      <c r="K676" s="1"/>
      <c r="L676" s="1" t="s">
        <v>6372</v>
      </c>
      <c r="M676" s="1" t="s">
        <v>6373</v>
      </c>
      <c r="N676" s="1" t="s">
        <v>6374</v>
      </c>
      <c r="O676" s="1" t="s">
        <v>6375</v>
      </c>
      <c r="P676" s="1" t="s">
        <v>6376</v>
      </c>
      <c r="Q676" s="1" t="s">
        <v>6377</v>
      </c>
      <c r="R676" s="1" t="s">
        <v>6378</v>
      </c>
      <c r="S676" s="1" t="s">
        <v>6379</v>
      </c>
      <c r="T676" s="1" t="s">
        <v>6380</v>
      </c>
      <c r="U676">
        <v>52.84</v>
      </c>
      <c r="V676">
        <v>7.72</v>
      </c>
      <c r="W676">
        <v>15.120787999999999</v>
      </c>
      <c r="X676">
        <v>108.786946</v>
      </c>
      <c r="Y676">
        <v>45.11</v>
      </c>
      <c r="Z676">
        <v>15.128276</v>
      </c>
      <c r="AA676">
        <v>108.787037</v>
      </c>
      <c r="AB676" s="5">
        <f t="shared" si="61"/>
        <v>1.158E-2</v>
      </c>
      <c r="AC676" s="5">
        <f t="shared" si="62"/>
        <v>6.7664999999999989E-2</v>
      </c>
      <c r="AD676" s="1" t="str">
        <f t="shared" si="63"/>
        <v>TT1 Quảng Ngãi</v>
      </c>
      <c r="AE676" s="1" t="str">
        <f t="shared" si="64"/>
        <v>PC07</v>
      </c>
      <c r="AG676">
        <f t="shared" si="65"/>
        <v>7.7199999999999994E-3</v>
      </c>
      <c r="AH676">
        <f t="shared" si="66"/>
        <v>4.5109999999999997E-2</v>
      </c>
      <c r="AI676">
        <f>VLOOKUP(L676,'[1]Tuyến cáp H04'!$B:$E,3,0)/1000</f>
        <v>1.958</v>
      </c>
      <c r="AJ676" t="str">
        <f>VLOOKUP(L676,'[1]Tuyến cáp H04'!$B:$E,4,0)</f>
        <v>Mạng cấp 3</v>
      </c>
    </row>
    <row r="677" spans="1:36" x14ac:dyDescent="0.25">
      <c r="A677" s="1" t="s">
        <v>6381</v>
      </c>
      <c r="B677" s="1" t="s">
        <v>6369</v>
      </c>
      <c r="C677" s="1" t="s">
        <v>6370</v>
      </c>
      <c r="D677" s="1" t="s">
        <v>6382</v>
      </c>
      <c r="E677" s="1" t="s">
        <v>6383</v>
      </c>
      <c r="F677" s="1" t="s">
        <v>6384</v>
      </c>
      <c r="G677" s="1" t="s">
        <v>14129</v>
      </c>
      <c r="H677" s="1" t="s">
        <v>14133</v>
      </c>
      <c r="I677" s="1" t="s">
        <v>14794</v>
      </c>
      <c r="J677" s="1" t="s">
        <v>23</v>
      </c>
      <c r="K677" s="1"/>
      <c r="L677" s="1" t="s">
        <v>5210</v>
      </c>
      <c r="M677" s="1" t="s">
        <v>6385</v>
      </c>
      <c r="N677" s="1" t="s">
        <v>6386</v>
      </c>
      <c r="O677" s="1" t="s">
        <v>6387</v>
      </c>
      <c r="P677" s="1" t="s">
        <v>6388</v>
      </c>
      <c r="Q677" s="1" t="s">
        <v>6389</v>
      </c>
      <c r="R677" s="1" t="s">
        <v>6390</v>
      </c>
      <c r="S677" s="1" t="s">
        <v>6391</v>
      </c>
      <c r="T677" s="1" t="s">
        <v>6392</v>
      </c>
      <c r="U677">
        <v>631.67999999999995</v>
      </c>
      <c r="V677">
        <v>46.45</v>
      </c>
      <c r="W677">
        <v>15.12837</v>
      </c>
      <c r="X677">
        <v>108.787385</v>
      </c>
      <c r="Y677">
        <v>585.24</v>
      </c>
      <c r="Z677">
        <v>15.129201</v>
      </c>
      <c r="AA677">
        <v>108.79018600000001</v>
      </c>
      <c r="AB677" s="5">
        <f t="shared" si="61"/>
        <v>6.9675000000000015E-2</v>
      </c>
      <c r="AC677" s="5">
        <f t="shared" si="62"/>
        <v>0.87785999999999997</v>
      </c>
      <c r="AD677" s="1" t="str">
        <f t="shared" si="63"/>
        <v>PC07</v>
      </c>
      <c r="AE677" s="1" t="str">
        <f t="shared" si="64"/>
        <v>Sơn Tịnh</v>
      </c>
      <c r="AG677">
        <f t="shared" si="65"/>
        <v>4.6450000000000005E-2</v>
      </c>
      <c r="AH677">
        <f t="shared" si="66"/>
        <v>0.58523999999999998</v>
      </c>
      <c r="AI677">
        <f>VLOOKUP(L677,'[1]Tuyến cáp H04'!$B:$E,3,0)/1000</f>
        <v>9.1340000000000003</v>
      </c>
      <c r="AJ677" t="str">
        <f>VLOOKUP(L677,'[1]Tuyến cáp H04'!$B:$E,4,0)</f>
        <v>Mạng cấp 3</v>
      </c>
    </row>
    <row r="678" spans="1:36" x14ac:dyDescent="0.25">
      <c r="A678" s="1" t="s">
        <v>6393</v>
      </c>
      <c r="B678" s="1" t="s">
        <v>6369</v>
      </c>
      <c r="C678" s="1" t="s">
        <v>6370</v>
      </c>
      <c r="D678" s="1" t="s">
        <v>6394</v>
      </c>
      <c r="E678" s="1" t="s">
        <v>6395</v>
      </c>
      <c r="F678" s="1" t="s">
        <v>6396</v>
      </c>
      <c r="G678" s="1" t="s">
        <v>14129</v>
      </c>
      <c r="H678" s="1" t="s">
        <v>14133</v>
      </c>
      <c r="I678" s="1" t="s">
        <v>14795</v>
      </c>
      <c r="J678" s="1" t="s">
        <v>23</v>
      </c>
      <c r="K678" s="1"/>
      <c r="L678" s="1" t="s">
        <v>6397</v>
      </c>
      <c r="M678" s="1" t="s">
        <v>6398</v>
      </c>
      <c r="N678" s="1" t="s">
        <v>6399</v>
      </c>
      <c r="O678" s="1" t="s">
        <v>6400</v>
      </c>
      <c r="P678" s="1" t="s">
        <v>6401</v>
      </c>
      <c r="Q678" s="1" t="s">
        <v>6402</v>
      </c>
      <c r="R678" s="1" t="s">
        <v>6403</v>
      </c>
      <c r="S678" s="1" t="s">
        <v>6404</v>
      </c>
      <c r="T678" s="1" t="s">
        <v>6405</v>
      </c>
      <c r="U678">
        <v>954.07</v>
      </c>
      <c r="V678">
        <v>443.79</v>
      </c>
      <c r="W678">
        <v>15.131817</v>
      </c>
      <c r="X678">
        <v>108.78836200000001</v>
      </c>
      <c r="Y678">
        <v>510.28</v>
      </c>
      <c r="Z678">
        <v>15.139509</v>
      </c>
      <c r="AA678">
        <v>108.784069</v>
      </c>
      <c r="AB678" s="5">
        <f t="shared" si="61"/>
        <v>0.66568500000000008</v>
      </c>
      <c r="AC678" s="5">
        <f t="shared" si="62"/>
        <v>0.76541999999999999</v>
      </c>
      <c r="AD678" s="1" t="str">
        <f t="shared" si="63"/>
        <v>TT1 Quảng Ngãi</v>
      </c>
      <c r="AE678" s="1" t="str">
        <f t="shared" si="64"/>
        <v>Sơn hà</v>
      </c>
      <c r="AG678">
        <f t="shared" si="65"/>
        <v>0.44379000000000002</v>
      </c>
      <c r="AH678">
        <f t="shared" si="66"/>
        <v>0.51027999999999996</v>
      </c>
      <c r="AI678">
        <f>VLOOKUP(L678,'[1]Tuyến cáp H04'!$B:$E,3,0)/1000</f>
        <v>48.545000000000002</v>
      </c>
      <c r="AJ678" t="str">
        <f>VLOOKUP(L678,'[1]Tuyến cáp H04'!$B:$E,4,0)</f>
        <v>Mạng cấp 3</v>
      </c>
    </row>
    <row r="679" spans="1:36" x14ac:dyDescent="0.25">
      <c r="A679" s="1" t="s">
        <v>6406</v>
      </c>
      <c r="B679" s="1" t="s">
        <v>6407</v>
      </c>
      <c r="C679" s="1" t="s">
        <v>6408</v>
      </c>
      <c r="D679" s="1" t="s">
        <v>6409</v>
      </c>
      <c r="E679" s="1" t="s">
        <v>6410</v>
      </c>
      <c r="F679" s="1" t="s">
        <v>6411</v>
      </c>
      <c r="G679" s="1" t="s">
        <v>14129</v>
      </c>
      <c r="H679" s="1" t="s">
        <v>14679</v>
      </c>
      <c r="I679" s="1" t="s">
        <v>14796</v>
      </c>
      <c r="J679" s="1" t="s">
        <v>23</v>
      </c>
      <c r="K679" s="1"/>
      <c r="L679" s="1" t="s">
        <v>5197</v>
      </c>
      <c r="M679" s="1" t="s">
        <v>6412</v>
      </c>
      <c r="N679" s="1" t="s">
        <v>6413</v>
      </c>
      <c r="O679" s="1" t="s">
        <v>5200</v>
      </c>
      <c r="P679" s="1" t="s">
        <v>5201</v>
      </c>
      <c r="Q679" s="1" t="s">
        <v>6414</v>
      </c>
      <c r="R679" s="1" t="s">
        <v>6415</v>
      </c>
      <c r="S679" s="1" t="s">
        <v>6416</v>
      </c>
      <c r="T679" s="1" t="s">
        <v>5205</v>
      </c>
      <c r="U679">
        <v>999.69</v>
      </c>
      <c r="V679">
        <v>864.68</v>
      </c>
      <c r="W679">
        <v>15.113571</v>
      </c>
      <c r="X679">
        <v>108.78981899999999</v>
      </c>
      <c r="Y679">
        <v>135.01</v>
      </c>
      <c r="Z679">
        <v>15.094535</v>
      </c>
      <c r="AA679">
        <v>108.782274</v>
      </c>
      <c r="AB679" s="5">
        <f t="shared" si="61"/>
        <v>1.2970200000000001</v>
      </c>
      <c r="AC679" s="5">
        <f t="shared" si="62"/>
        <v>0.20251499999999997</v>
      </c>
      <c r="AD679" s="1" t="str">
        <f t="shared" si="63"/>
        <v>TT1 Quảng Ngãi</v>
      </c>
      <c r="AE679" s="1" t="str">
        <f t="shared" si="64"/>
        <v>Minh Long</v>
      </c>
      <c r="AG679">
        <f t="shared" si="65"/>
        <v>0.86468</v>
      </c>
      <c r="AH679">
        <f t="shared" si="66"/>
        <v>0.13500999999999999</v>
      </c>
      <c r="AI679">
        <f>VLOOKUP(L679,'[1]Tuyến cáp H04'!$B:$E,3,0)/1000</f>
        <v>45.045000000000002</v>
      </c>
      <c r="AJ679" t="str">
        <f>VLOOKUP(L679,'[1]Tuyến cáp H04'!$B:$E,4,0)</f>
        <v>Mạng cấp 3</v>
      </c>
    </row>
    <row r="680" spans="1:36" x14ac:dyDescent="0.25">
      <c r="A680" s="1" t="s">
        <v>6417</v>
      </c>
      <c r="B680" s="1" t="s">
        <v>6418</v>
      </c>
      <c r="C680" s="1" t="s">
        <v>5609</v>
      </c>
      <c r="D680" s="1" t="s">
        <v>6409</v>
      </c>
      <c r="E680" s="1" t="s">
        <v>6410</v>
      </c>
      <c r="F680" s="1" t="s">
        <v>6419</v>
      </c>
      <c r="G680" s="1" t="s">
        <v>14281</v>
      </c>
      <c r="H680" s="1" t="s">
        <v>14282</v>
      </c>
      <c r="I680" s="1" t="s">
        <v>14797</v>
      </c>
      <c r="J680" s="1" t="s">
        <v>23</v>
      </c>
      <c r="K680" s="1"/>
      <c r="L680" s="1" t="s">
        <v>5504</v>
      </c>
      <c r="M680" s="1" t="s">
        <v>6420</v>
      </c>
      <c r="N680" s="1" t="s">
        <v>6421</v>
      </c>
      <c r="O680" s="1" t="s">
        <v>6422</v>
      </c>
      <c r="P680" s="1" t="s">
        <v>6423</v>
      </c>
      <c r="Q680" s="1" t="s">
        <v>6424</v>
      </c>
      <c r="R680" s="1" t="s">
        <v>6425</v>
      </c>
      <c r="S680" s="1" t="s">
        <v>6426</v>
      </c>
      <c r="T680" s="1" t="s">
        <v>5512</v>
      </c>
      <c r="U680">
        <v>1247.8399999999999</v>
      </c>
      <c r="V680">
        <v>1115.8900000000001</v>
      </c>
      <c r="W680">
        <v>15.089324</v>
      </c>
      <c r="X680">
        <v>108.785945</v>
      </c>
      <c r="Y680">
        <v>131.94999999999999</v>
      </c>
      <c r="Z680">
        <v>15.094568000000001</v>
      </c>
      <c r="AA680">
        <v>108.78225500000001</v>
      </c>
      <c r="AB680" s="5">
        <f t="shared" si="61"/>
        <v>1.673835</v>
      </c>
      <c r="AC680" s="5">
        <f t="shared" si="62"/>
        <v>0.19792499999999999</v>
      </c>
      <c r="AD680" s="1" t="str">
        <f t="shared" si="63"/>
        <v>Nghĩa Hành</v>
      </c>
      <c r="AE680" s="1" t="str">
        <f t="shared" si="64"/>
        <v>Nghĩa Lộ</v>
      </c>
      <c r="AG680">
        <f t="shared" si="65"/>
        <v>1.11589</v>
      </c>
      <c r="AH680">
        <f t="shared" si="66"/>
        <v>0.13194999999999998</v>
      </c>
      <c r="AI680">
        <f>VLOOKUP(L680,'[1]Tuyến cáp H04'!$B:$E,3,0)/1000</f>
        <v>13.734</v>
      </c>
      <c r="AJ680" t="str">
        <f>VLOOKUP(L680,'[1]Tuyến cáp H04'!$B:$E,4,0)</f>
        <v>Mạng cấp 4</v>
      </c>
    </row>
    <row r="681" spans="1:36" x14ac:dyDescent="0.25">
      <c r="A681" s="1" t="s">
        <v>6427</v>
      </c>
      <c r="B681" s="1" t="s">
        <v>6409</v>
      </c>
      <c r="C681" s="1" t="s">
        <v>6410</v>
      </c>
      <c r="D681" s="1" t="s">
        <v>5321</v>
      </c>
      <c r="E681" s="1" t="s">
        <v>5322</v>
      </c>
      <c r="F681" s="1" t="s">
        <v>6428</v>
      </c>
      <c r="G681" s="1" t="s">
        <v>14281</v>
      </c>
      <c r="H681" s="1" t="s">
        <v>14282</v>
      </c>
      <c r="I681" s="1" t="s">
        <v>14798</v>
      </c>
      <c r="J681" s="1" t="s">
        <v>23</v>
      </c>
      <c r="K681" s="1"/>
      <c r="L681" s="1" t="s">
        <v>6429</v>
      </c>
      <c r="M681" s="1" t="s">
        <v>6430</v>
      </c>
      <c r="N681" s="1" t="s">
        <v>6431</v>
      </c>
      <c r="O681" s="1" t="s">
        <v>6432</v>
      </c>
      <c r="P681" s="1" t="s">
        <v>6433</v>
      </c>
      <c r="Q681" s="1" t="s">
        <v>6434</v>
      </c>
      <c r="R681" s="1" t="s">
        <v>6435</v>
      </c>
      <c r="S681" s="1" t="s">
        <v>6436</v>
      </c>
      <c r="T681" s="1" t="s">
        <v>6437</v>
      </c>
      <c r="U681">
        <v>2066.14</v>
      </c>
      <c r="V681">
        <v>693.13</v>
      </c>
      <c r="W681">
        <v>15.098264</v>
      </c>
      <c r="X681">
        <v>108.788479</v>
      </c>
      <c r="Y681">
        <v>1373.01</v>
      </c>
      <c r="Z681">
        <v>15.120972999999999</v>
      </c>
      <c r="AA681">
        <v>108.792068</v>
      </c>
      <c r="AB681" s="5">
        <f t="shared" si="61"/>
        <v>1.039695</v>
      </c>
      <c r="AC681" s="5">
        <f t="shared" si="62"/>
        <v>2.0595149999999998</v>
      </c>
      <c r="AD681" s="1" t="str">
        <f t="shared" si="63"/>
        <v>Nghĩa Giang</v>
      </c>
      <c r="AE681" s="1" t="str">
        <f t="shared" si="64"/>
        <v>TT1 QUẢNG NGÃI</v>
      </c>
      <c r="AG681">
        <f t="shared" si="65"/>
        <v>0.69313000000000002</v>
      </c>
      <c r="AH681">
        <f t="shared" si="66"/>
        <v>1.3730100000000001</v>
      </c>
      <c r="AI681">
        <f>VLOOKUP(L681,'[1]Tuyến cáp H04'!$B:$E,3,0)/1000</f>
        <v>4.782</v>
      </c>
      <c r="AJ681" t="str">
        <f>VLOOKUP(L681,'[1]Tuyến cáp H04'!$B:$E,4,0)</f>
        <v>Mạng cấp 4</v>
      </c>
    </row>
    <row r="682" spans="1:36" x14ac:dyDescent="0.25">
      <c r="A682" s="1" t="s">
        <v>6438</v>
      </c>
      <c r="B682" s="1" t="s">
        <v>5275</v>
      </c>
      <c r="C682" s="1" t="s">
        <v>5276</v>
      </c>
      <c r="D682" s="1" t="s">
        <v>6367</v>
      </c>
      <c r="E682" s="1" t="s">
        <v>6368</v>
      </c>
      <c r="F682" s="1" t="s">
        <v>6439</v>
      </c>
      <c r="G682" s="1" t="s">
        <v>14129</v>
      </c>
      <c r="H682" s="1" t="s">
        <v>14133</v>
      </c>
      <c r="I682" s="1" t="s">
        <v>14799</v>
      </c>
      <c r="J682" s="1" t="s">
        <v>23</v>
      </c>
      <c r="K682" s="1"/>
      <c r="L682" s="1" t="s">
        <v>5249</v>
      </c>
      <c r="M682" s="1" t="s">
        <v>6440</v>
      </c>
      <c r="N682" s="1" t="s">
        <v>5279</v>
      </c>
      <c r="O682" s="1" t="s">
        <v>5280</v>
      </c>
      <c r="P682" s="1" t="s">
        <v>5281</v>
      </c>
      <c r="Q682" s="1" t="s">
        <v>6441</v>
      </c>
      <c r="R682" s="1" t="s">
        <v>6442</v>
      </c>
      <c r="S682" s="1" t="s">
        <v>6443</v>
      </c>
      <c r="T682" s="1" t="s">
        <v>5257</v>
      </c>
      <c r="U682">
        <v>285.2</v>
      </c>
      <c r="V682">
        <v>268.31</v>
      </c>
      <c r="W682">
        <v>15.126120999999999</v>
      </c>
      <c r="X682">
        <v>108.779673</v>
      </c>
      <c r="Y682">
        <v>16.89</v>
      </c>
      <c r="Z682">
        <v>15.120799999999999</v>
      </c>
      <c r="AA682">
        <v>108.786826</v>
      </c>
      <c r="AB682" s="5">
        <f t="shared" si="61"/>
        <v>0.40246500000000002</v>
      </c>
      <c r="AC682" s="5">
        <f t="shared" si="62"/>
        <v>2.5335E-2</v>
      </c>
      <c r="AD682" s="1" t="str">
        <f t="shared" si="63"/>
        <v>Ba Gia</v>
      </c>
      <c r="AE682" s="1" t="str">
        <f t="shared" si="64"/>
        <v>TT1 QUẢNG NGÃI</v>
      </c>
      <c r="AG682">
        <f t="shared" si="65"/>
        <v>0.26830999999999999</v>
      </c>
      <c r="AH682">
        <f t="shared" si="66"/>
        <v>1.6890000000000002E-2</v>
      </c>
      <c r="AI682">
        <f>VLOOKUP(L682,'[1]Tuyến cáp H04'!$B:$E,3,0)/1000</f>
        <v>20.206</v>
      </c>
      <c r="AJ682" t="str">
        <f>VLOOKUP(L682,'[1]Tuyến cáp H04'!$B:$E,4,0)</f>
        <v>Mạng cấp 4</v>
      </c>
    </row>
    <row r="683" spans="1:36" x14ac:dyDescent="0.25">
      <c r="A683" s="1" t="s">
        <v>6444</v>
      </c>
      <c r="B683" s="1" t="s">
        <v>6367</v>
      </c>
      <c r="C683" s="1" t="s">
        <v>6368</v>
      </c>
      <c r="D683" s="1" t="s">
        <v>6445</v>
      </c>
      <c r="E683" s="1" t="s">
        <v>6446</v>
      </c>
      <c r="F683" s="1" t="s">
        <v>6447</v>
      </c>
      <c r="G683" s="1" t="s">
        <v>14129</v>
      </c>
      <c r="H683" s="1" t="s">
        <v>14133</v>
      </c>
      <c r="I683" s="1" t="s">
        <v>14800</v>
      </c>
      <c r="J683" s="1" t="s">
        <v>23</v>
      </c>
      <c r="K683" s="1"/>
      <c r="L683" s="1" t="s">
        <v>5249</v>
      </c>
      <c r="M683" s="1" t="s">
        <v>6448</v>
      </c>
      <c r="N683" s="1" t="s">
        <v>6441</v>
      </c>
      <c r="O683" s="1" t="s">
        <v>6442</v>
      </c>
      <c r="P683" s="1" t="s">
        <v>6443</v>
      </c>
      <c r="Q683" s="1" t="s">
        <v>6449</v>
      </c>
      <c r="R683" s="1" t="s">
        <v>6450</v>
      </c>
      <c r="S683" s="1" t="s">
        <v>6451</v>
      </c>
      <c r="T683" s="1" t="s">
        <v>5257</v>
      </c>
      <c r="U683">
        <v>212.76</v>
      </c>
      <c r="V683">
        <v>16.89</v>
      </c>
      <c r="W683">
        <v>15.120799999999999</v>
      </c>
      <c r="X683">
        <v>108.786826</v>
      </c>
      <c r="Y683">
        <v>195.87</v>
      </c>
      <c r="Z683">
        <v>15.125795</v>
      </c>
      <c r="AA683">
        <v>108.78645</v>
      </c>
      <c r="AB683" s="5">
        <f t="shared" si="61"/>
        <v>2.5335E-2</v>
      </c>
      <c r="AC683" s="5">
        <f t="shared" si="62"/>
        <v>0.29380499999999998</v>
      </c>
      <c r="AD683" s="1" t="str">
        <f t="shared" si="63"/>
        <v>Ba Gia</v>
      </c>
      <c r="AE683" s="1" t="str">
        <f t="shared" si="64"/>
        <v>TT1 QUẢNG NGÃI</v>
      </c>
      <c r="AG683">
        <f t="shared" si="65"/>
        <v>1.6890000000000002E-2</v>
      </c>
      <c r="AH683">
        <f t="shared" si="66"/>
        <v>0.19587000000000002</v>
      </c>
      <c r="AI683">
        <f>VLOOKUP(L683,'[1]Tuyến cáp H04'!$B:$E,3,0)/1000</f>
        <v>20.206</v>
      </c>
      <c r="AJ683" t="str">
        <f>VLOOKUP(L683,'[1]Tuyến cáp H04'!$B:$E,4,0)</f>
        <v>Mạng cấp 4</v>
      </c>
    </row>
    <row r="684" spans="1:36" x14ac:dyDescent="0.25">
      <c r="A684" s="1" t="s">
        <v>6452</v>
      </c>
      <c r="B684" s="1" t="s">
        <v>5337</v>
      </c>
      <c r="C684" s="1" t="s">
        <v>5338</v>
      </c>
      <c r="D684" s="1" t="s">
        <v>6453</v>
      </c>
      <c r="E684" s="1" t="s">
        <v>6454</v>
      </c>
      <c r="F684" s="1" t="s">
        <v>6455</v>
      </c>
      <c r="G684" s="1" t="s">
        <v>14129</v>
      </c>
      <c r="H684" s="1" t="s">
        <v>14133</v>
      </c>
      <c r="I684" s="1" t="s">
        <v>14801</v>
      </c>
      <c r="J684" s="1" t="s">
        <v>23</v>
      </c>
      <c r="K684" s="1"/>
      <c r="L684" s="1" t="s">
        <v>5340</v>
      </c>
      <c r="M684" s="1" t="s">
        <v>6456</v>
      </c>
      <c r="N684" s="1" t="s">
        <v>5345</v>
      </c>
      <c r="O684" s="1" t="s">
        <v>5346</v>
      </c>
      <c r="P684" s="1" t="s">
        <v>5347</v>
      </c>
      <c r="Q684" s="1" t="s">
        <v>6457</v>
      </c>
      <c r="R684" s="1" t="s">
        <v>6458</v>
      </c>
      <c r="S684" s="1" t="s">
        <v>6459</v>
      </c>
      <c r="T684" s="1" t="s">
        <v>5348</v>
      </c>
      <c r="U684">
        <v>16.579999999999998</v>
      </c>
      <c r="V684">
        <v>11.68</v>
      </c>
      <c r="W684">
        <v>15.113891000000001</v>
      </c>
      <c r="X684">
        <v>108.79631999999999</v>
      </c>
      <c r="Y684">
        <v>4.9000000000000004</v>
      </c>
      <c r="Z684">
        <v>15.114583</v>
      </c>
      <c r="AA684">
        <v>108.796239</v>
      </c>
      <c r="AB684" s="5">
        <f t="shared" si="61"/>
        <v>1.7520000000000001E-2</v>
      </c>
      <c r="AC684" s="5">
        <f t="shared" si="62"/>
        <v>7.3500000000000006E-3</v>
      </c>
      <c r="AD684" s="1" t="str">
        <f t="shared" si="63"/>
        <v>Khối Phòng PA08_PA05</v>
      </c>
      <c r="AE684" s="1" t="str">
        <f t="shared" si="64"/>
        <v>TT1 Quảng Ngãi</v>
      </c>
      <c r="AG684">
        <f t="shared" si="65"/>
        <v>1.1679999999999999E-2</v>
      </c>
      <c r="AH684">
        <f t="shared" si="66"/>
        <v>4.9000000000000007E-3</v>
      </c>
      <c r="AI684" t="e">
        <f>VLOOKUP(L684,'[1]Tuyến cáp H04'!$B:$E,3,0)/1000</f>
        <v>#N/A</v>
      </c>
      <c r="AJ684" t="e">
        <f>VLOOKUP(L684,'[1]Tuyến cáp H04'!$B:$E,4,0)</f>
        <v>#N/A</v>
      </c>
    </row>
    <row r="685" spans="1:36" x14ac:dyDescent="0.25">
      <c r="A685" s="1" t="s">
        <v>6460</v>
      </c>
      <c r="B685" s="1" t="s">
        <v>5337</v>
      </c>
      <c r="C685" s="1" t="s">
        <v>5338</v>
      </c>
      <c r="D685" s="1" t="s">
        <v>6461</v>
      </c>
      <c r="E685" s="1" t="s">
        <v>6462</v>
      </c>
      <c r="F685" s="1" t="s">
        <v>6463</v>
      </c>
      <c r="G685" s="1" t="s">
        <v>14129</v>
      </c>
      <c r="H685" s="1" t="s">
        <v>14133</v>
      </c>
      <c r="I685" s="1" t="s">
        <v>14802</v>
      </c>
      <c r="J685" s="1" t="s">
        <v>23</v>
      </c>
      <c r="K685" s="1"/>
      <c r="L685" s="1" t="s">
        <v>5340</v>
      </c>
      <c r="M685" s="1" t="s">
        <v>6464</v>
      </c>
      <c r="N685" s="1" t="s">
        <v>5345</v>
      </c>
      <c r="O685" s="1" t="s">
        <v>5346</v>
      </c>
      <c r="P685" s="1" t="s">
        <v>5347</v>
      </c>
      <c r="Q685" s="1" t="s">
        <v>6465</v>
      </c>
      <c r="R685" s="1" t="s">
        <v>6466</v>
      </c>
      <c r="S685" s="1" t="s">
        <v>6459</v>
      </c>
      <c r="T685" s="1" t="s">
        <v>5348</v>
      </c>
      <c r="U685">
        <v>311.37</v>
      </c>
      <c r="V685">
        <v>11.68</v>
      </c>
      <c r="W685">
        <v>15.113891000000001</v>
      </c>
      <c r="X685">
        <v>108.79631999999999</v>
      </c>
      <c r="Y685">
        <v>299.69</v>
      </c>
      <c r="Z685">
        <v>15.118803</v>
      </c>
      <c r="AA685">
        <v>108.796239</v>
      </c>
      <c r="AB685" s="5">
        <f t="shared" si="61"/>
        <v>1.7520000000000001E-2</v>
      </c>
      <c r="AC685" s="5">
        <f t="shared" si="62"/>
        <v>0.44953499999999996</v>
      </c>
      <c r="AD685" s="1" t="str">
        <f t="shared" si="63"/>
        <v>Khối Phòng PA08_PA05</v>
      </c>
      <c r="AE685" s="1" t="str">
        <f t="shared" si="64"/>
        <v>TT1 Quảng Ngãi</v>
      </c>
      <c r="AG685">
        <f t="shared" si="65"/>
        <v>1.1679999999999999E-2</v>
      </c>
      <c r="AH685">
        <f t="shared" si="66"/>
        <v>0.29969000000000001</v>
      </c>
      <c r="AI685" t="e">
        <f>VLOOKUP(L685,'[1]Tuyến cáp H04'!$B:$E,3,0)/1000</f>
        <v>#N/A</v>
      </c>
      <c r="AJ685" t="e">
        <f>VLOOKUP(L685,'[1]Tuyến cáp H04'!$B:$E,4,0)</f>
        <v>#N/A</v>
      </c>
    </row>
    <row r="686" spans="1:36" x14ac:dyDescent="0.25">
      <c r="A686" s="1" t="s">
        <v>6467</v>
      </c>
      <c r="B686" s="1" t="s">
        <v>5337</v>
      </c>
      <c r="C686" s="1" t="s">
        <v>5338</v>
      </c>
      <c r="D686" s="1" t="s">
        <v>6468</v>
      </c>
      <c r="E686" s="1" t="s">
        <v>6469</v>
      </c>
      <c r="F686" s="1" t="s">
        <v>6470</v>
      </c>
      <c r="G686" s="1" t="s">
        <v>14129</v>
      </c>
      <c r="H686" s="1" t="s">
        <v>14133</v>
      </c>
      <c r="I686" s="1" t="s">
        <v>14803</v>
      </c>
      <c r="J686" s="1" t="s">
        <v>23</v>
      </c>
      <c r="K686" s="1"/>
      <c r="L686" s="1" t="s">
        <v>6471</v>
      </c>
      <c r="M686" s="1" t="s">
        <v>6472</v>
      </c>
      <c r="N686" s="1" t="s">
        <v>6473</v>
      </c>
      <c r="O686" s="1" t="s">
        <v>6474</v>
      </c>
      <c r="P686" s="1" t="s">
        <v>6475</v>
      </c>
      <c r="Q686" s="1" t="s">
        <v>6476</v>
      </c>
      <c r="R686" s="1" t="s">
        <v>6477</v>
      </c>
      <c r="S686" s="1" t="s">
        <v>6478</v>
      </c>
      <c r="T686" s="1" t="s">
        <v>6479</v>
      </c>
      <c r="U686">
        <v>600.64</v>
      </c>
      <c r="V686">
        <v>309.87</v>
      </c>
      <c r="W686">
        <v>15.112746</v>
      </c>
      <c r="X686">
        <v>108.79373699999999</v>
      </c>
      <c r="Y686">
        <v>290.77</v>
      </c>
      <c r="Z686">
        <v>15.107789</v>
      </c>
      <c r="AA686">
        <v>108.790053</v>
      </c>
      <c r="AB686" s="5">
        <f t="shared" si="61"/>
        <v>0.46480500000000002</v>
      </c>
      <c r="AC686" s="5">
        <f t="shared" si="62"/>
        <v>0.43615499999999996</v>
      </c>
      <c r="AD686" s="1" t="str">
        <f t="shared" si="63"/>
        <v>Tư Nghĩa</v>
      </c>
      <c r="AE686" s="1" t="str">
        <f t="shared" si="64"/>
        <v>TT1 QUẢNG NGÃI</v>
      </c>
      <c r="AG686">
        <f t="shared" si="65"/>
        <v>0.30986999999999998</v>
      </c>
      <c r="AH686">
        <f t="shared" si="66"/>
        <v>0.29076999999999997</v>
      </c>
      <c r="AI686">
        <f>VLOOKUP(L686,'[1]Tuyến cáp H04'!$B:$E,3,0)/1000</f>
        <v>7.335</v>
      </c>
      <c r="AJ686" t="str">
        <f>VLOOKUP(L686,'[1]Tuyến cáp H04'!$B:$E,4,0)</f>
        <v>Mạng cấp 4</v>
      </c>
    </row>
    <row r="687" spans="1:36" x14ac:dyDescent="0.25">
      <c r="A687" s="1" t="s">
        <v>6480</v>
      </c>
      <c r="B687" s="1" t="s">
        <v>6481</v>
      </c>
      <c r="C687" s="1" t="s">
        <v>6482</v>
      </c>
      <c r="D687" s="1" t="s">
        <v>5337</v>
      </c>
      <c r="E687" s="1" t="s">
        <v>5338</v>
      </c>
      <c r="F687" s="1" t="s">
        <v>6483</v>
      </c>
      <c r="G687" s="1" t="s">
        <v>14129</v>
      </c>
      <c r="H687" s="1" t="s">
        <v>14679</v>
      </c>
      <c r="I687" s="1" t="s">
        <v>14804</v>
      </c>
      <c r="J687" s="1" t="s">
        <v>23</v>
      </c>
      <c r="K687" s="1"/>
      <c r="L687" s="1" t="s">
        <v>5340</v>
      </c>
      <c r="M687" s="1" t="s">
        <v>6484</v>
      </c>
      <c r="N687" s="1" t="s">
        <v>6485</v>
      </c>
      <c r="O687" s="1" t="s">
        <v>6486</v>
      </c>
      <c r="P687" s="1" t="s">
        <v>6487</v>
      </c>
      <c r="Q687" s="1" t="s">
        <v>5345</v>
      </c>
      <c r="R687" s="1" t="s">
        <v>5346</v>
      </c>
      <c r="S687" s="1" t="s">
        <v>5347</v>
      </c>
      <c r="T687" s="1" t="s">
        <v>5348</v>
      </c>
      <c r="U687">
        <v>121.29</v>
      </c>
      <c r="V687">
        <v>109.61</v>
      </c>
      <c r="W687">
        <v>15.118824999999999</v>
      </c>
      <c r="X687">
        <v>108.798416</v>
      </c>
      <c r="Y687">
        <v>11.68</v>
      </c>
      <c r="Z687">
        <v>15.113891000000001</v>
      </c>
      <c r="AA687">
        <v>108.79631999999999</v>
      </c>
      <c r="AB687" s="5">
        <f t="shared" si="61"/>
        <v>0.16441500000000001</v>
      </c>
      <c r="AC687" s="5">
        <f t="shared" si="62"/>
        <v>1.7520000000000001E-2</v>
      </c>
      <c r="AD687" s="1" t="str">
        <f t="shared" si="63"/>
        <v>Khối Phòng PA08_PA05</v>
      </c>
      <c r="AE687" s="1" t="str">
        <f t="shared" si="64"/>
        <v>TT1 Quảng Ngãi</v>
      </c>
      <c r="AG687">
        <f t="shared" si="65"/>
        <v>0.10961</v>
      </c>
      <c r="AH687">
        <f t="shared" si="66"/>
        <v>1.1679999999999999E-2</v>
      </c>
      <c r="AI687" t="e">
        <f>VLOOKUP(L687,'[1]Tuyến cáp H04'!$B:$E,3,0)/1000</f>
        <v>#N/A</v>
      </c>
      <c r="AJ687" t="e">
        <f>VLOOKUP(L687,'[1]Tuyến cáp H04'!$B:$E,4,0)</f>
        <v>#N/A</v>
      </c>
    </row>
    <row r="688" spans="1:36" x14ac:dyDescent="0.25">
      <c r="A688" s="1" t="s">
        <v>6488</v>
      </c>
      <c r="B688" s="1" t="s">
        <v>5337</v>
      </c>
      <c r="C688" s="1" t="s">
        <v>5338</v>
      </c>
      <c r="D688" s="1" t="s">
        <v>6489</v>
      </c>
      <c r="E688" s="1" t="s">
        <v>6490</v>
      </c>
      <c r="F688" s="1" t="s">
        <v>6491</v>
      </c>
      <c r="G688" s="1" t="s">
        <v>14281</v>
      </c>
      <c r="H688" s="1" t="s">
        <v>14282</v>
      </c>
      <c r="I688" s="1" t="s">
        <v>14805</v>
      </c>
      <c r="J688" s="1" t="s">
        <v>23</v>
      </c>
      <c r="K688" s="1"/>
      <c r="L688" s="1" t="s">
        <v>5340</v>
      </c>
      <c r="M688" s="1" t="s">
        <v>6492</v>
      </c>
      <c r="N688" s="1" t="s">
        <v>5345</v>
      </c>
      <c r="O688" s="1" t="s">
        <v>5346</v>
      </c>
      <c r="P688" s="1" t="s">
        <v>5347</v>
      </c>
      <c r="Q688" s="1" t="s">
        <v>6493</v>
      </c>
      <c r="R688" s="1" t="s">
        <v>6494</v>
      </c>
      <c r="S688" s="1" t="s">
        <v>6495</v>
      </c>
      <c r="T688" s="1" t="s">
        <v>5348</v>
      </c>
      <c r="U688">
        <v>229.16</v>
      </c>
      <c r="V688">
        <v>11.68</v>
      </c>
      <c r="W688">
        <v>15.113891000000001</v>
      </c>
      <c r="X688">
        <v>108.79631999999999</v>
      </c>
      <c r="Y688">
        <v>217.48</v>
      </c>
      <c r="Z688">
        <v>15.118926999999999</v>
      </c>
      <c r="AA688">
        <v>108.79814</v>
      </c>
      <c r="AB688" s="5">
        <f t="shared" si="61"/>
        <v>1.7520000000000001E-2</v>
      </c>
      <c r="AC688" s="5">
        <f t="shared" si="62"/>
        <v>0.32621999999999995</v>
      </c>
      <c r="AD688" s="1" t="str">
        <f t="shared" si="63"/>
        <v>Khối Phòng PA08_PA05</v>
      </c>
      <c r="AE688" s="1" t="str">
        <f t="shared" si="64"/>
        <v>TT1 Quảng Ngãi</v>
      </c>
      <c r="AG688">
        <f t="shared" si="65"/>
        <v>1.1679999999999999E-2</v>
      </c>
      <c r="AH688">
        <f t="shared" si="66"/>
        <v>0.21747999999999998</v>
      </c>
      <c r="AI688" t="e">
        <f>VLOOKUP(L688,'[1]Tuyến cáp H04'!$B:$E,3,0)/1000</f>
        <v>#N/A</v>
      </c>
      <c r="AJ688" t="e">
        <f>VLOOKUP(L688,'[1]Tuyến cáp H04'!$B:$E,4,0)</f>
        <v>#N/A</v>
      </c>
    </row>
    <row r="689" spans="1:36" x14ac:dyDescent="0.25">
      <c r="A689" s="1" t="s">
        <v>6496</v>
      </c>
      <c r="B689" s="1" t="s">
        <v>6497</v>
      </c>
      <c r="C689" s="1" t="s">
        <v>6498</v>
      </c>
      <c r="D689" s="1" t="s">
        <v>6499</v>
      </c>
      <c r="E689" s="1" t="s">
        <v>6500</v>
      </c>
      <c r="F689" s="1" t="s">
        <v>6501</v>
      </c>
      <c r="G689" s="1" t="s">
        <v>14281</v>
      </c>
      <c r="H689" s="1" t="s">
        <v>14282</v>
      </c>
      <c r="I689" s="1" t="s">
        <v>14806</v>
      </c>
      <c r="J689" s="1" t="s">
        <v>23</v>
      </c>
      <c r="K689" s="1"/>
      <c r="L689" s="1" t="s">
        <v>5777</v>
      </c>
      <c r="M689" s="1" t="s">
        <v>6502</v>
      </c>
      <c r="N689" s="1" t="s">
        <v>6503</v>
      </c>
      <c r="O689" s="1" t="s">
        <v>6339</v>
      </c>
      <c r="P689" s="1" t="s">
        <v>6340</v>
      </c>
      <c r="Q689" s="1" t="s">
        <v>6504</v>
      </c>
      <c r="R689" s="1" t="s">
        <v>6505</v>
      </c>
      <c r="S689" s="1" t="s">
        <v>6506</v>
      </c>
      <c r="T689" s="1" t="s">
        <v>6341</v>
      </c>
      <c r="U689">
        <v>560.87</v>
      </c>
      <c r="V689">
        <v>226.41</v>
      </c>
      <c r="W689">
        <v>15.122006000000001</v>
      </c>
      <c r="X689">
        <v>108.814892</v>
      </c>
      <c r="Y689">
        <v>334.46</v>
      </c>
      <c r="Z689">
        <v>15.115344</v>
      </c>
      <c r="AA689">
        <v>108.816458</v>
      </c>
      <c r="AB689" s="5">
        <f t="shared" si="61"/>
        <v>0.339615</v>
      </c>
      <c r="AC689" s="5">
        <f t="shared" si="62"/>
        <v>0.50168999999999997</v>
      </c>
      <c r="AD689" s="1" t="e">
        <f t="shared" si="63"/>
        <v>#VALUE!</v>
      </c>
      <c r="AE689" s="1" t="e">
        <f t="shared" si="64"/>
        <v>#VALUE!</v>
      </c>
      <c r="AG689">
        <f t="shared" si="65"/>
        <v>0.22641</v>
      </c>
      <c r="AH689">
        <f t="shared" si="66"/>
        <v>0.33445999999999998</v>
      </c>
      <c r="AI689" t="e">
        <f>VLOOKUP(L689,'[1]Tuyến cáp H04'!$B:$E,3,0)/1000</f>
        <v>#N/A</v>
      </c>
      <c r="AJ689" t="e">
        <f>VLOOKUP(L689,'[1]Tuyến cáp H04'!$B:$E,4,0)</f>
        <v>#N/A</v>
      </c>
    </row>
    <row r="690" spans="1:36" x14ac:dyDescent="0.25">
      <c r="A690" s="1" t="s">
        <v>6507</v>
      </c>
      <c r="B690" s="1" t="s">
        <v>6499</v>
      </c>
      <c r="C690" s="1" t="s">
        <v>6500</v>
      </c>
      <c r="D690" s="1" t="s">
        <v>6508</v>
      </c>
      <c r="E690" s="1" t="s">
        <v>6509</v>
      </c>
      <c r="F690" s="1" t="s">
        <v>6510</v>
      </c>
      <c r="G690" s="1" t="s">
        <v>14281</v>
      </c>
      <c r="H690" s="1" t="s">
        <v>14282</v>
      </c>
      <c r="I690" s="1" t="s">
        <v>14807</v>
      </c>
      <c r="J690" s="1" t="s">
        <v>23</v>
      </c>
      <c r="K690" s="1"/>
      <c r="L690" s="1" t="s">
        <v>5777</v>
      </c>
      <c r="M690" s="1" t="s">
        <v>6511</v>
      </c>
      <c r="N690" s="1" t="s">
        <v>6504</v>
      </c>
      <c r="O690" s="1" t="s">
        <v>6505</v>
      </c>
      <c r="P690" s="1" t="s">
        <v>6506</v>
      </c>
      <c r="Q690" s="1" t="s">
        <v>6512</v>
      </c>
      <c r="R690" s="1" t="s">
        <v>6513</v>
      </c>
      <c r="S690" s="1" t="s">
        <v>6514</v>
      </c>
      <c r="T690" s="1" t="s">
        <v>6341</v>
      </c>
      <c r="U690">
        <v>351.74</v>
      </c>
      <c r="V690">
        <v>334.46</v>
      </c>
      <c r="W690">
        <v>15.115344</v>
      </c>
      <c r="X690">
        <v>108.816458</v>
      </c>
      <c r="Y690">
        <v>17.29</v>
      </c>
      <c r="Z690">
        <v>15.131022</v>
      </c>
      <c r="AA690">
        <v>108.806347</v>
      </c>
      <c r="AB690" s="5">
        <f t="shared" si="61"/>
        <v>0.50168999999999997</v>
      </c>
      <c r="AC690" s="5">
        <f t="shared" si="62"/>
        <v>2.5935E-2</v>
      </c>
      <c r="AD690" s="1" t="e">
        <f t="shared" si="63"/>
        <v>#VALUE!</v>
      </c>
      <c r="AE690" s="1" t="e">
        <f t="shared" si="64"/>
        <v>#VALUE!</v>
      </c>
      <c r="AG690">
        <f t="shared" si="65"/>
        <v>0.33445999999999998</v>
      </c>
      <c r="AH690">
        <f t="shared" si="66"/>
        <v>1.729E-2</v>
      </c>
      <c r="AI690" t="e">
        <f>VLOOKUP(L690,'[1]Tuyến cáp H04'!$B:$E,3,0)/1000</f>
        <v>#N/A</v>
      </c>
      <c r="AJ690" t="e">
        <f>VLOOKUP(L690,'[1]Tuyến cáp H04'!$B:$E,4,0)</f>
        <v>#N/A</v>
      </c>
    </row>
    <row r="691" spans="1:36" x14ac:dyDescent="0.25">
      <c r="A691" s="1" t="s">
        <v>6515</v>
      </c>
      <c r="B691" s="1" t="s">
        <v>6516</v>
      </c>
      <c r="C691" s="1" t="s">
        <v>6517</v>
      </c>
      <c r="D691" s="1" t="s">
        <v>6518</v>
      </c>
      <c r="E691" s="1" t="s">
        <v>6519</v>
      </c>
      <c r="F691" s="1" t="s">
        <v>6520</v>
      </c>
      <c r="G691" s="1" t="s">
        <v>14129</v>
      </c>
      <c r="H691" s="1" t="s">
        <v>14679</v>
      </c>
      <c r="I691" s="1" t="s">
        <v>14808</v>
      </c>
      <c r="J691" s="1" t="s">
        <v>23</v>
      </c>
      <c r="K691" s="1"/>
      <c r="L691" s="1" t="s">
        <v>6521</v>
      </c>
      <c r="M691" s="1" t="s">
        <v>6522</v>
      </c>
      <c r="N691" s="1" t="s">
        <v>6523</v>
      </c>
      <c r="O691" s="1" t="s">
        <v>6524</v>
      </c>
      <c r="P691" s="1" t="s">
        <v>6525</v>
      </c>
      <c r="Q691" s="1" t="s">
        <v>6526</v>
      </c>
      <c r="R691" s="1" t="s">
        <v>6527</v>
      </c>
      <c r="S691" s="1" t="s">
        <v>6528</v>
      </c>
      <c r="T691" s="1" t="s">
        <v>6529</v>
      </c>
      <c r="U691">
        <v>3533.57</v>
      </c>
      <c r="V691">
        <v>3521.99</v>
      </c>
      <c r="W691">
        <v>15.126675000000001</v>
      </c>
      <c r="X691">
        <v>108.88433499999999</v>
      </c>
      <c r="Y691">
        <v>11.58</v>
      </c>
      <c r="Z691">
        <v>15.126735999999999</v>
      </c>
      <c r="AA691">
        <v>108.88436299999999</v>
      </c>
      <c r="AB691" s="5">
        <f t="shared" si="61"/>
        <v>5.282985</v>
      </c>
      <c r="AC691" s="5">
        <f t="shared" si="62"/>
        <v>1.737E-2</v>
      </c>
      <c r="AD691" s="1" t="str">
        <f t="shared" si="63"/>
        <v>Quảng Ngãi</v>
      </c>
      <c r="AE691" s="1" t="str">
        <f t="shared" si="64"/>
        <v>Ring 1_An Phú-CAT Quảng Ngãi</v>
      </c>
      <c r="AG691">
        <f t="shared" si="65"/>
        <v>3.5219899999999997</v>
      </c>
      <c r="AH691">
        <f t="shared" si="66"/>
        <v>1.158E-2</v>
      </c>
      <c r="AI691" t="e">
        <f>VLOOKUP(L691,'[1]Tuyến cáp H04'!$B:$E,3,0)/1000</f>
        <v>#N/A</v>
      </c>
      <c r="AJ691" t="e">
        <f>VLOOKUP(L691,'[1]Tuyến cáp H04'!$B:$E,4,0)</f>
        <v>#N/A</v>
      </c>
    </row>
    <row r="692" spans="1:36" x14ac:dyDescent="0.25">
      <c r="A692" s="1" t="s">
        <v>6530</v>
      </c>
      <c r="B692" s="1" t="s">
        <v>6518</v>
      </c>
      <c r="C692" s="1" t="s">
        <v>6519</v>
      </c>
      <c r="D692" s="1" t="s">
        <v>5704</v>
      </c>
      <c r="E692" s="1" t="s">
        <v>5705</v>
      </c>
      <c r="F692" s="1" t="s">
        <v>6531</v>
      </c>
      <c r="G692" s="1" t="s">
        <v>14129</v>
      </c>
      <c r="H692" s="1" t="s">
        <v>14679</v>
      </c>
      <c r="I692" s="1" t="s">
        <v>14809</v>
      </c>
      <c r="J692" s="1" t="s">
        <v>23</v>
      </c>
      <c r="K692" s="1"/>
      <c r="L692" s="1" t="s">
        <v>6521</v>
      </c>
      <c r="M692" s="1" t="s">
        <v>6532</v>
      </c>
      <c r="N692" s="1" t="s">
        <v>6526</v>
      </c>
      <c r="O692" s="1" t="s">
        <v>6527</v>
      </c>
      <c r="P692" s="1" t="s">
        <v>6528</v>
      </c>
      <c r="Q692" s="1" t="s">
        <v>6533</v>
      </c>
      <c r="R692" s="1" t="s">
        <v>6534</v>
      </c>
      <c r="S692" s="1" t="s">
        <v>6535</v>
      </c>
      <c r="T692" s="1" t="s">
        <v>6529</v>
      </c>
      <c r="U692">
        <v>1642.3</v>
      </c>
      <c r="V692">
        <v>11.58</v>
      </c>
      <c r="W692">
        <v>15.126735999999999</v>
      </c>
      <c r="X692">
        <v>108.88436299999999</v>
      </c>
      <c r="Y692">
        <v>1630.72</v>
      </c>
      <c r="Z692">
        <v>15.124923000000001</v>
      </c>
      <c r="AA692">
        <v>108.845949</v>
      </c>
      <c r="AB692" s="5">
        <f t="shared" si="61"/>
        <v>1.737E-2</v>
      </c>
      <c r="AC692" s="5">
        <f t="shared" si="62"/>
        <v>2.4460799999999998</v>
      </c>
      <c r="AD692" s="1" t="str">
        <f t="shared" si="63"/>
        <v>Quảng Ngãi</v>
      </c>
      <c r="AE692" s="1" t="str">
        <f t="shared" si="64"/>
        <v>Ring 1_An Phú-CAT Quảng Ngãi</v>
      </c>
      <c r="AG692">
        <f t="shared" si="65"/>
        <v>1.158E-2</v>
      </c>
      <c r="AH692">
        <f t="shared" si="66"/>
        <v>1.6307199999999999</v>
      </c>
      <c r="AI692" t="e">
        <f>VLOOKUP(L692,'[1]Tuyến cáp H04'!$B:$E,3,0)/1000</f>
        <v>#N/A</v>
      </c>
      <c r="AJ692" t="e">
        <f>VLOOKUP(L692,'[1]Tuyến cáp H04'!$B:$E,4,0)</f>
        <v>#N/A</v>
      </c>
    </row>
    <row r="693" spans="1:36" x14ac:dyDescent="0.25">
      <c r="A693" s="1" t="s">
        <v>6536</v>
      </c>
      <c r="B693" s="1" t="s">
        <v>6537</v>
      </c>
      <c r="C693" s="1" t="s">
        <v>6538</v>
      </c>
      <c r="D693" s="1" t="s">
        <v>6518</v>
      </c>
      <c r="E693" s="1" t="s">
        <v>6519</v>
      </c>
      <c r="F693" s="1" t="s">
        <v>6539</v>
      </c>
      <c r="G693" s="1" t="s">
        <v>14129</v>
      </c>
      <c r="H693" s="1" t="s">
        <v>14679</v>
      </c>
      <c r="I693" s="1" t="s">
        <v>14810</v>
      </c>
      <c r="J693" s="1" t="s">
        <v>23</v>
      </c>
      <c r="K693" s="1"/>
      <c r="L693" s="1" t="s">
        <v>6540</v>
      </c>
      <c r="M693" s="1" t="s">
        <v>6541</v>
      </c>
      <c r="N693" s="1" t="s">
        <v>6542</v>
      </c>
      <c r="O693" s="1" t="s">
        <v>6543</v>
      </c>
      <c r="P693" s="1" t="s">
        <v>6544</v>
      </c>
      <c r="Q693" s="1" t="s">
        <v>6545</v>
      </c>
      <c r="R693" s="1" t="s">
        <v>6546</v>
      </c>
      <c r="S693" s="1" t="s">
        <v>6547</v>
      </c>
      <c r="T693" s="1" t="s">
        <v>6548</v>
      </c>
      <c r="U693">
        <v>504.66</v>
      </c>
      <c r="V693">
        <v>469.96</v>
      </c>
      <c r="W693">
        <v>15.132929000000001</v>
      </c>
      <c r="X693">
        <v>108.876476</v>
      </c>
      <c r="Y693">
        <v>34.700000000000003</v>
      </c>
      <c r="Z693">
        <v>15.12703</v>
      </c>
      <c r="AA693">
        <v>108.884162</v>
      </c>
      <c r="AB693" s="5">
        <f t="shared" si="61"/>
        <v>0.7049399999999999</v>
      </c>
      <c r="AC693" s="5">
        <f t="shared" si="62"/>
        <v>5.2050000000000006E-2</v>
      </c>
      <c r="AD693" s="1" t="str">
        <f t="shared" si="63"/>
        <v>Quảng Ngãi</v>
      </c>
      <c r="AE693" s="1" t="str">
        <f t="shared" si="64"/>
        <v>Ring 1_Tịnh Khê - An Phú</v>
      </c>
      <c r="AG693">
        <f t="shared" si="65"/>
        <v>0.46995999999999999</v>
      </c>
      <c r="AH693">
        <f t="shared" si="66"/>
        <v>3.4700000000000002E-2</v>
      </c>
      <c r="AI693" t="e">
        <f>VLOOKUP(L693,'[1]Tuyến cáp H04'!$B:$E,3,0)/1000</f>
        <v>#N/A</v>
      </c>
      <c r="AJ693" t="e">
        <f>VLOOKUP(L693,'[1]Tuyến cáp H04'!$B:$E,4,0)</f>
        <v>#N/A</v>
      </c>
    </row>
    <row r="694" spans="1:36" x14ac:dyDescent="0.25">
      <c r="A694" s="1" t="s">
        <v>6549</v>
      </c>
      <c r="B694" s="1" t="s">
        <v>6550</v>
      </c>
      <c r="C694" s="1" t="s">
        <v>6551</v>
      </c>
      <c r="D694" s="1" t="s">
        <v>6518</v>
      </c>
      <c r="E694" s="1" t="s">
        <v>6519</v>
      </c>
      <c r="F694" s="1" t="s">
        <v>6552</v>
      </c>
      <c r="G694" s="1" t="s">
        <v>14129</v>
      </c>
      <c r="H694" s="1" t="s">
        <v>14679</v>
      </c>
      <c r="I694" s="1" t="s">
        <v>14811</v>
      </c>
      <c r="J694" s="1" t="s">
        <v>23</v>
      </c>
      <c r="K694" s="1"/>
      <c r="L694" s="1" t="s">
        <v>6521</v>
      </c>
      <c r="M694" s="1" t="s">
        <v>6553</v>
      </c>
      <c r="N694" s="1" t="s">
        <v>6554</v>
      </c>
      <c r="O694" s="1" t="s">
        <v>6555</v>
      </c>
      <c r="P694" s="1" t="s">
        <v>6556</v>
      </c>
      <c r="Q694" s="1" t="s">
        <v>6526</v>
      </c>
      <c r="R694" s="1" t="s">
        <v>6527</v>
      </c>
      <c r="S694" s="1" t="s">
        <v>6528</v>
      </c>
      <c r="T694" s="1" t="s">
        <v>6529</v>
      </c>
      <c r="U694">
        <v>293.08</v>
      </c>
      <c r="V694">
        <v>281.5</v>
      </c>
      <c r="W694">
        <v>15.128410000000001</v>
      </c>
      <c r="X694">
        <v>108.88037</v>
      </c>
      <c r="Y694">
        <v>11.58</v>
      </c>
      <c r="Z694">
        <v>15.126735999999999</v>
      </c>
      <c r="AA694">
        <v>108.88436299999999</v>
      </c>
      <c r="AB694" s="5">
        <f t="shared" si="61"/>
        <v>0.42225000000000001</v>
      </c>
      <c r="AC694" s="5">
        <f t="shared" si="62"/>
        <v>1.737E-2</v>
      </c>
      <c r="AD694" s="1" t="str">
        <f t="shared" si="63"/>
        <v>Quảng Ngãi</v>
      </c>
      <c r="AE694" s="1" t="str">
        <f t="shared" si="64"/>
        <v>Ring 1_An Phú-CAT Quảng Ngãi</v>
      </c>
      <c r="AG694">
        <f t="shared" si="65"/>
        <v>0.28149999999999997</v>
      </c>
      <c r="AH694">
        <f t="shared" si="66"/>
        <v>1.158E-2</v>
      </c>
      <c r="AI694" t="e">
        <f>VLOOKUP(L694,'[1]Tuyến cáp H04'!$B:$E,3,0)/1000</f>
        <v>#N/A</v>
      </c>
      <c r="AJ694" t="e">
        <f>VLOOKUP(L694,'[1]Tuyến cáp H04'!$B:$E,4,0)</f>
        <v>#N/A</v>
      </c>
    </row>
    <row r="695" spans="1:36" x14ac:dyDescent="0.25">
      <c r="A695" s="1" t="s">
        <v>6557</v>
      </c>
      <c r="B695" s="1" t="s">
        <v>6558</v>
      </c>
      <c r="C695" s="1" t="s">
        <v>6559</v>
      </c>
      <c r="D695" s="1" t="s">
        <v>6518</v>
      </c>
      <c r="E695" s="1" t="s">
        <v>6519</v>
      </c>
      <c r="F695" s="1" t="s">
        <v>6560</v>
      </c>
      <c r="G695" s="1" t="s">
        <v>14129</v>
      </c>
      <c r="H695" s="1" t="s">
        <v>14679</v>
      </c>
      <c r="I695" s="1" t="s">
        <v>14812</v>
      </c>
      <c r="J695" s="1" t="s">
        <v>23</v>
      </c>
      <c r="K695" s="1"/>
      <c r="L695" s="1" t="s">
        <v>6521</v>
      </c>
      <c r="M695" s="1" t="s">
        <v>6561</v>
      </c>
      <c r="N695" s="1" t="s">
        <v>6562</v>
      </c>
      <c r="O695" s="1" t="s">
        <v>6563</v>
      </c>
      <c r="P695" s="1" t="s">
        <v>6564</v>
      </c>
      <c r="Q695" s="1" t="s">
        <v>6526</v>
      </c>
      <c r="R695" s="1" t="s">
        <v>6527</v>
      </c>
      <c r="S695" s="1" t="s">
        <v>6528</v>
      </c>
      <c r="T695" s="1" t="s">
        <v>6529</v>
      </c>
      <c r="U695">
        <v>197.17</v>
      </c>
      <c r="V695">
        <v>185.59</v>
      </c>
      <c r="W695">
        <v>15.124615</v>
      </c>
      <c r="X695">
        <v>108.860423</v>
      </c>
      <c r="Y695">
        <v>11.58</v>
      </c>
      <c r="Z695">
        <v>15.126735999999999</v>
      </c>
      <c r="AA695">
        <v>108.88436299999999</v>
      </c>
      <c r="AB695" s="5">
        <f t="shared" si="61"/>
        <v>0.27838499999999999</v>
      </c>
      <c r="AC695" s="5">
        <f t="shared" si="62"/>
        <v>1.737E-2</v>
      </c>
      <c r="AD695" s="1" t="str">
        <f t="shared" si="63"/>
        <v>Quảng Ngãi</v>
      </c>
      <c r="AE695" s="1" t="str">
        <f t="shared" si="64"/>
        <v>Ring 1_An Phú-CAT Quảng Ngãi</v>
      </c>
      <c r="AG695">
        <f t="shared" si="65"/>
        <v>0.18559</v>
      </c>
      <c r="AH695">
        <f t="shared" si="66"/>
        <v>1.158E-2</v>
      </c>
      <c r="AI695" t="e">
        <f>VLOOKUP(L695,'[1]Tuyến cáp H04'!$B:$E,3,0)/1000</f>
        <v>#N/A</v>
      </c>
      <c r="AJ695" t="e">
        <f>VLOOKUP(L695,'[1]Tuyến cáp H04'!$B:$E,4,0)</f>
        <v>#N/A</v>
      </c>
    </row>
    <row r="696" spans="1:36" x14ac:dyDescent="0.25">
      <c r="A696" s="1" t="s">
        <v>6565</v>
      </c>
      <c r="B696" s="1" t="s">
        <v>6566</v>
      </c>
      <c r="C696" s="1" t="s">
        <v>6567</v>
      </c>
      <c r="D696" s="1" t="s">
        <v>6518</v>
      </c>
      <c r="E696" s="1" t="s">
        <v>6519</v>
      </c>
      <c r="F696" s="1" t="s">
        <v>6568</v>
      </c>
      <c r="G696" s="1" t="s">
        <v>14129</v>
      </c>
      <c r="H696" s="1" t="s">
        <v>14679</v>
      </c>
      <c r="I696" s="1" t="s">
        <v>14813</v>
      </c>
      <c r="J696" s="1" t="s">
        <v>23</v>
      </c>
      <c r="K696" s="1"/>
      <c r="L696" s="1" t="s">
        <v>6521</v>
      </c>
      <c r="M696" s="1" t="s">
        <v>6569</v>
      </c>
      <c r="N696" s="1" t="s">
        <v>6570</v>
      </c>
      <c r="O696" s="1" t="s">
        <v>6571</v>
      </c>
      <c r="P696" s="1" t="s">
        <v>6572</v>
      </c>
      <c r="Q696" s="1" t="s">
        <v>6526</v>
      </c>
      <c r="R696" s="1" t="s">
        <v>6527</v>
      </c>
      <c r="S696" s="1" t="s">
        <v>6528</v>
      </c>
      <c r="T696" s="1" t="s">
        <v>6529</v>
      </c>
      <c r="U696">
        <v>338.94</v>
      </c>
      <c r="V696">
        <v>327.36</v>
      </c>
      <c r="W696">
        <v>15.127604</v>
      </c>
      <c r="X696">
        <v>108.869018</v>
      </c>
      <c r="Y696">
        <v>11.58</v>
      </c>
      <c r="Z696">
        <v>15.126735999999999</v>
      </c>
      <c r="AA696">
        <v>108.88436299999999</v>
      </c>
      <c r="AB696" s="5">
        <f t="shared" si="61"/>
        <v>0.49104000000000003</v>
      </c>
      <c r="AC696" s="5">
        <f t="shared" si="62"/>
        <v>1.737E-2</v>
      </c>
      <c r="AD696" s="1" t="str">
        <f t="shared" si="63"/>
        <v>Quảng Ngãi</v>
      </c>
      <c r="AE696" s="1" t="str">
        <f t="shared" si="64"/>
        <v>Ring 1_An Phú-CAT Quảng Ngãi</v>
      </c>
      <c r="AG696">
        <f t="shared" si="65"/>
        <v>0.32736000000000004</v>
      </c>
      <c r="AH696">
        <f t="shared" si="66"/>
        <v>1.158E-2</v>
      </c>
      <c r="AI696" t="e">
        <f>VLOOKUP(L696,'[1]Tuyến cáp H04'!$B:$E,3,0)/1000</f>
        <v>#N/A</v>
      </c>
      <c r="AJ696" t="e">
        <f>VLOOKUP(L696,'[1]Tuyến cáp H04'!$B:$E,4,0)</f>
        <v>#N/A</v>
      </c>
    </row>
    <row r="697" spans="1:36" x14ac:dyDescent="0.25">
      <c r="A697" s="1" t="s">
        <v>6573</v>
      </c>
      <c r="B697" s="1" t="s">
        <v>6574</v>
      </c>
      <c r="C697" s="1" t="s">
        <v>6575</v>
      </c>
      <c r="D697" s="1" t="s">
        <v>6576</v>
      </c>
      <c r="E697" s="1" t="s">
        <v>6577</v>
      </c>
      <c r="F697" s="1" t="s">
        <v>6578</v>
      </c>
      <c r="G697" s="1" t="s">
        <v>14129</v>
      </c>
      <c r="H697" s="1" t="s">
        <v>14679</v>
      </c>
      <c r="I697" s="1" t="s">
        <v>14814</v>
      </c>
      <c r="J697" s="1" t="s">
        <v>23</v>
      </c>
      <c r="K697" s="1"/>
      <c r="L697" s="1" t="s">
        <v>5777</v>
      </c>
      <c r="M697" s="1" t="s">
        <v>6579</v>
      </c>
      <c r="N697" s="1" t="s">
        <v>6580</v>
      </c>
      <c r="O697" s="1" t="s">
        <v>6581</v>
      </c>
      <c r="P697" s="1" t="s">
        <v>6582</v>
      </c>
      <c r="Q697" s="1" t="s">
        <v>6583</v>
      </c>
      <c r="R697" s="1" t="s">
        <v>6584</v>
      </c>
      <c r="S697" s="1" t="s">
        <v>6585</v>
      </c>
      <c r="T697" s="1" t="s">
        <v>6341</v>
      </c>
      <c r="U697">
        <v>483.19</v>
      </c>
      <c r="V697">
        <v>443.89</v>
      </c>
      <c r="W697">
        <v>15.104867</v>
      </c>
      <c r="X697">
        <v>108.81532</v>
      </c>
      <c r="Y697">
        <v>39.299999999999997</v>
      </c>
      <c r="Z697">
        <v>15.099724</v>
      </c>
      <c r="AA697">
        <v>108.80691299999999</v>
      </c>
      <c r="AB697" s="5">
        <f t="shared" si="61"/>
        <v>0.66583500000000007</v>
      </c>
      <c r="AC697" s="5">
        <f t="shared" si="62"/>
        <v>5.8949999999999995E-2</v>
      </c>
      <c r="AD697" s="1" t="e">
        <f t="shared" si="63"/>
        <v>#VALUE!</v>
      </c>
      <c r="AE697" s="1" t="e">
        <f t="shared" si="64"/>
        <v>#VALUE!</v>
      </c>
      <c r="AG697">
        <f t="shared" si="65"/>
        <v>0.44389000000000001</v>
      </c>
      <c r="AH697">
        <f t="shared" si="66"/>
        <v>3.9299999999999995E-2</v>
      </c>
      <c r="AI697" t="e">
        <f>VLOOKUP(L697,'[1]Tuyến cáp H04'!$B:$E,3,0)/1000</f>
        <v>#N/A</v>
      </c>
      <c r="AJ697" t="e">
        <f>VLOOKUP(L697,'[1]Tuyến cáp H04'!$B:$E,4,0)</f>
        <v>#N/A</v>
      </c>
    </row>
    <row r="698" spans="1:36" x14ac:dyDescent="0.25">
      <c r="A698" s="1" t="s">
        <v>6586</v>
      </c>
      <c r="B698" s="1" t="s">
        <v>5706</v>
      </c>
      <c r="C698" s="1" t="s">
        <v>5707</v>
      </c>
      <c r="D698" s="1" t="s">
        <v>6576</v>
      </c>
      <c r="E698" s="1" t="s">
        <v>6577</v>
      </c>
      <c r="F698" s="1" t="s">
        <v>6587</v>
      </c>
      <c r="G698" s="1" t="s">
        <v>14281</v>
      </c>
      <c r="H698" s="1" t="s">
        <v>14282</v>
      </c>
      <c r="I698" s="1" t="s">
        <v>14815</v>
      </c>
      <c r="J698" s="1" t="s">
        <v>23</v>
      </c>
      <c r="K698" s="1"/>
      <c r="L698" s="1" t="s">
        <v>5734</v>
      </c>
      <c r="M698" s="1" t="s">
        <v>6588</v>
      </c>
      <c r="N698" s="1" t="s">
        <v>5739</v>
      </c>
      <c r="O698" s="1" t="s">
        <v>5740</v>
      </c>
      <c r="P698" s="1" t="s">
        <v>5741</v>
      </c>
      <c r="Q698" s="1" t="s">
        <v>6589</v>
      </c>
      <c r="R698" s="1" t="s">
        <v>6590</v>
      </c>
      <c r="S698" s="1" t="s">
        <v>6591</v>
      </c>
      <c r="T698" s="1" t="s">
        <v>5742</v>
      </c>
      <c r="U698">
        <v>515.21</v>
      </c>
      <c r="V698">
        <v>47.39</v>
      </c>
      <c r="W698">
        <v>15.08394</v>
      </c>
      <c r="X698">
        <v>108.82642800000001</v>
      </c>
      <c r="Y698">
        <v>467.82</v>
      </c>
      <c r="Z698">
        <v>15.104257</v>
      </c>
      <c r="AA698">
        <v>108.807107</v>
      </c>
      <c r="AB698" s="5">
        <f t="shared" si="61"/>
        <v>7.1085000000000009E-2</v>
      </c>
      <c r="AC698" s="5">
        <f t="shared" si="62"/>
        <v>0.70172999999999996</v>
      </c>
      <c r="AD698" s="1" t="str">
        <f t="shared" si="63"/>
        <v>Cơ sở cai nghiện (X. Nghĩa Kỳ, H. Tư Nghĩa)</v>
      </c>
      <c r="AE698" s="1" t="str">
        <f t="shared" si="64"/>
        <v>TTCMKV Tư Nghĩa</v>
      </c>
      <c r="AG698">
        <f t="shared" si="65"/>
        <v>4.7390000000000002E-2</v>
      </c>
      <c r="AH698">
        <f t="shared" si="66"/>
        <v>0.46782000000000001</v>
      </c>
      <c r="AI698">
        <f>VLOOKUP(L698,'[1]Tuyến cáp H04'!$B:$E,3,0)/1000</f>
        <v>12.4</v>
      </c>
      <c r="AJ698" t="str">
        <f>VLOOKUP(L698,'[1]Tuyến cáp H04'!$B:$E,4,0)</f>
        <v>Mạng cấp 3</v>
      </c>
    </row>
    <row r="699" spans="1:36" x14ac:dyDescent="0.25">
      <c r="A699" s="1" t="s">
        <v>6592</v>
      </c>
      <c r="B699" s="1" t="s">
        <v>6576</v>
      </c>
      <c r="C699" s="1" t="s">
        <v>6577</v>
      </c>
      <c r="D699" s="1" t="s">
        <v>6310</v>
      </c>
      <c r="E699" s="1" t="s">
        <v>6311</v>
      </c>
      <c r="F699" s="1" t="s">
        <v>6593</v>
      </c>
      <c r="G699" s="1" t="s">
        <v>14281</v>
      </c>
      <c r="H699" s="1" t="s">
        <v>14282</v>
      </c>
      <c r="I699" s="1" t="s">
        <v>14816</v>
      </c>
      <c r="J699" s="1" t="s">
        <v>23</v>
      </c>
      <c r="K699" s="1"/>
      <c r="L699" s="1" t="s">
        <v>6594</v>
      </c>
      <c r="M699" s="1" t="s">
        <v>6595</v>
      </c>
      <c r="N699" s="1" t="s">
        <v>6596</v>
      </c>
      <c r="O699" s="1" t="s">
        <v>6597</v>
      </c>
      <c r="P699" s="1" t="s">
        <v>6598</v>
      </c>
      <c r="Q699" s="1" t="s">
        <v>6599</v>
      </c>
      <c r="R699" s="1" t="s">
        <v>6600</v>
      </c>
      <c r="S699" s="1" t="s">
        <v>6601</v>
      </c>
      <c r="T699" s="1" t="s">
        <v>6602</v>
      </c>
      <c r="U699">
        <v>581.97</v>
      </c>
      <c r="V699">
        <v>49.13</v>
      </c>
      <c r="W699">
        <v>15.100458</v>
      </c>
      <c r="X699">
        <v>108.806602</v>
      </c>
      <c r="Y699">
        <v>532.84</v>
      </c>
      <c r="Z699">
        <v>15.113075</v>
      </c>
      <c r="AA699">
        <v>108.80313700000001</v>
      </c>
      <c r="AB699" s="5">
        <f t="shared" si="61"/>
        <v>7.369500000000001E-2</v>
      </c>
      <c r="AC699" s="5">
        <f t="shared" si="62"/>
        <v>0.79925999999999997</v>
      </c>
      <c r="AD699" s="1" t="str">
        <f t="shared" si="63"/>
        <v>PC08</v>
      </c>
      <c r="AE699" s="1" t="str">
        <f t="shared" si="64"/>
        <v>Khối Phòng PA08_PA05</v>
      </c>
      <c r="AG699">
        <f t="shared" si="65"/>
        <v>4.913E-2</v>
      </c>
      <c r="AH699">
        <f t="shared" si="66"/>
        <v>0.53283999999999998</v>
      </c>
      <c r="AI699" t="e">
        <f>VLOOKUP(L699,'[1]Tuyến cáp H04'!$B:$E,3,0)/1000</f>
        <v>#N/A</v>
      </c>
      <c r="AJ699" t="e">
        <f>VLOOKUP(L699,'[1]Tuyến cáp H04'!$B:$E,4,0)</f>
        <v>#N/A</v>
      </c>
    </row>
    <row r="700" spans="1:36" x14ac:dyDescent="0.25">
      <c r="A700" s="1" t="s">
        <v>6603</v>
      </c>
      <c r="B700" s="1" t="s">
        <v>6576</v>
      </c>
      <c r="C700" s="1" t="s">
        <v>6577</v>
      </c>
      <c r="D700" s="1" t="s">
        <v>6604</v>
      </c>
      <c r="E700" s="1" t="s">
        <v>6605</v>
      </c>
      <c r="F700" s="1" t="s">
        <v>6606</v>
      </c>
      <c r="G700" s="1" t="s">
        <v>14281</v>
      </c>
      <c r="H700" s="1" t="s">
        <v>14282</v>
      </c>
      <c r="I700" s="1" t="s">
        <v>14817</v>
      </c>
      <c r="J700" s="1" t="s">
        <v>23</v>
      </c>
      <c r="K700" s="1"/>
      <c r="L700" s="1" t="s">
        <v>6594</v>
      </c>
      <c r="M700" s="1" t="s">
        <v>6607</v>
      </c>
      <c r="N700" s="1" t="s">
        <v>6596</v>
      </c>
      <c r="O700" s="1" t="s">
        <v>6597</v>
      </c>
      <c r="P700" s="1" t="s">
        <v>6598</v>
      </c>
      <c r="Q700" s="1" t="s">
        <v>6608</v>
      </c>
      <c r="R700" s="1" t="s">
        <v>6609</v>
      </c>
      <c r="S700" s="1" t="s">
        <v>6610</v>
      </c>
      <c r="T700" s="1" t="s">
        <v>6602</v>
      </c>
      <c r="U700">
        <v>90.92</v>
      </c>
      <c r="V700">
        <v>49.13</v>
      </c>
      <c r="W700">
        <v>15.100458</v>
      </c>
      <c r="X700">
        <v>108.806602</v>
      </c>
      <c r="Y700">
        <v>41.79</v>
      </c>
      <c r="Z700">
        <v>15.107366000000001</v>
      </c>
      <c r="AA700">
        <v>108.803161</v>
      </c>
      <c r="AB700" s="5">
        <f t="shared" si="61"/>
        <v>7.369500000000001E-2</v>
      </c>
      <c r="AC700" s="5">
        <f t="shared" si="62"/>
        <v>6.2685000000000005E-2</v>
      </c>
      <c r="AD700" s="1" t="str">
        <f t="shared" si="63"/>
        <v>PC08</v>
      </c>
      <c r="AE700" s="1" t="str">
        <f t="shared" si="64"/>
        <v>Khối Phòng PA08_PA05</v>
      </c>
      <c r="AG700">
        <f t="shared" si="65"/>
        <v>4.913E-2</v>
      </c>
      <c r="AH700">
        <f t="shared" si="66"/>
        <v>4.1790000000000001E-2</v>
      </c>
      <c r="AI700" t="e">
        <f>VLOOKUP(L700,'[1]Tuyến cáp H04'!$B:$E,3,0)/1000</f>
        <v>#N/A</v>
      </c>
      <c r="AJ700" t="e">
        <f>VLOOKUP(L700,'[1]Tuyến cáp H04'!$B:$E,4,0)</f>
        <v>#N/A</v>
      </c>
    </row>
    <row r="701" spans="1:36" x14ac:dyDescent="0.25">
      <c r="A701" s="1" t="s">
        <v>6611</v>
      </c>
      <c r="B701" s="1" t="s">
        <v>6343</v>
      </c>
      <c r="C701" s="1" t="s">
        <v>6344</v>
      </c>
      <c r="D701" s="1" t="s">
        <v>6612</v>
      </c>
      <c r="E701" s="1" t="s">
        <v>6613</v>
      </c>
      <c r="F701" s="1" t="s">
        <v>6614</v>
      </c>
      <c r="G701" s="1" t="s">
        <v>14129</v>
      </c>
      <c r="H701" s="1" t="s">
        <v>14133</v>
      </c>
      <c r="I701" s="1" t="s">
        <v>14818</v>
      </c>
      <c r="J701" s="1" t="s">
        <v>23</v>
      </c>
      <c r="K701" s="1"/>
      <c r="L701" s="1" t="s">
        <v>6540</v>
      </c>
      <c r="M701" s="1" t="s">
        <v>6615</v>
      </c>
      <c r="N701" s="1" t="s">
        <v>6616</v>
      </c>
      <c r="O701" s="1" t="s">
        <v>6617</v>
      </c>
      <c r="P701" s="1" t="s">
        <v>6618</v>
      </c>
      <c r="Q701" s="1" t="s">
        <v>6619</v>
      </c>
      <c r="R701" s="1" t="s">
        <v>6620</v>
      </c>
      <c r="S701" s="1" t="s">
        <v>6621</v>
      </c>
      <c r="T701" s="1" t="s">
        <v>6622</v>
      </c>
      <c r="U701">
        <v>799.29</v>
      </c>
      <c r="V701">
        <v>443.88</v>
      </c>
      <c r="W701">
        <v>15.119071</v>
      </c>
      <c r="X701">
        <v>108.82515100000001</v>
      </c>
      <c r="Y701">
        <v>355.41</v>
      </c>
      <c r="Z701">
        <v>15.12162</v>
      </c>
      <c r="AA701">
        <v>108.83467400000001</v>
      </c>
      <c r="AB701" s="5">
        <f t="shared" si="61"/>
        <v>0.66581999999999997</v>
      </c>
      <c r="AC701" s="5">
        <f t="shared" si="62"/>
        <v>0.53311500000000001</v>
      </c>
      <c r="AD701" s="1" t="str">
        <f t="shared" si="63"/>
        <v>Quảng Ngãi</v>
      </c>
      <c r="AE701" s="1" t="str">
        <f t="shared" si="64"/>
        <v>Ring 1_Tịnh Khê - An Phú</v>
      </c>
      <c r="AG701">
        <f t="shared" si="65"/>
        <v>0.44388</v>
      </c>
      <c r="AH701">
        <f t="shared" si="66"/>
        <v>0.35541</v>
      </c>
      <c r="AI701" t="e">
        <f>VLOOKUP(L701,'[1]Tuyến cáp H04'!$B:$E,3,0)/1000</f>
        <v>#N/A</v>
      </c>
      <c r="AJ701" t="e">
        <f>VLOOKUP(L701,'[1]Tuyến cáp H04'!$B:$E,4,0)</f>
        <v>#N/A</v>
      </c>
    </row>
    <row r="702" spans="1:36" x14ac:dyDescent="0.25">
      <c r="A702" s="1" t="s">
        <v>6623</v>
      </c>
      <c r="B702" s="1" t="s">
        <v>6624</v>
      </c>
      <c r="C702" s="1" t="s">
        <v>6625</v>
      </c>
      <c r="D702" s="1" t="s">
        <v>6343</v>
      </c>
      <c r="E702" s="1" t="s">
        <v>6344</v>
      </c>
      <c r="F702" s="1" t="s">
        <v>6626</v>
      </c>
      <c r="G702" s="1" t="s">
        <v>14281</v>
      </c>
      <c r="H702" s="1" t="s">
        <v>14282</v>
      </c>
      <c r="I702" s="1" t="s">
        <v>14819</v>
      </c>
      <c r="J702" s="1" t="s">
        <v>23</v>
      </c>
      <c r="K702" s="1"/>
      <c r="L702" s="1" t="s">
        <v>6540</v>
      </c>
      <c r="M702" s="1" t="s">
        <v>6627</v>
      </c>
      <c r="N702" s="1" t="s">
        <v>6628</v>
      </c>
      <c r="O702" s="1" t="s">
        <v>6629</v>
      </c>
      <c r="P702" s="1" t="s">
        <v>6630</v>
      </c>
      <c r="Q702" s="1" t="s">
        <v>6616</v>
      </c>
      <c r="R702" s="1" t="s">
        <v>6617</v>
      </c>
      <c r="S702" s="1" t="s">
        <v>6618</v>
      </c>
      <c r="T702" s="1" t="s">
        <v>6622</v>
      </c>
      <c r="U702">
        <v>589.25</v>
      </c>
      <c r="V702">
        <v>145.37</v>
      </c>
      <c r="W702">
        <v>15.132324000000001</v>
      </c>
      <c r="X702">
        <v>108.842215</v>
      </c>
      <c r="Y702">
        <v>443.88</v>
      </c>
      <c r="Z702">
        <v>15.119071</v>
      </c>
      <c r="AA702">
        <v>108.82515100000001</v>
      </c>
      <c r="AB702" s="5">
        <f t="shared" si="61"/>
        <v>0.218055</v>
      </c>
      <c r="AC702" s="5">
        <f t="shared" si="62"/>
        <v>0.66581999999999997</v>
      </c>
      <c r="AD702" s="1" t="str">
        <f t="shared" si="63"/>
        <v>Quảng Ngãi</v>
      </c>
      <c r="AE702" s="1" t="str">
        <f t="shared" si="64"/>
        <v>Ring 1_Tịnh Khê - An Phú</v>
      </c>
      <c r="AG702">
        <f t="shared" si="65"/>
        <v>0.14537</v>
      </c>
      <c r="AH702">
        <f t="shared" si="66"/>
        <v>0.44388</v>
      </c>
      <c r="AI702" t="e">
        <f>VLOOKUP(L702,'[1]Tuyến cáp H04'!$B:$E,3,0)/1000</f>
        <v>#N/A</v>
      </c>
      <c r="AJ702" t="e">
        <f>VLOOKUP(L702,'[1]Tuyến cáp H04'!$B:$E,4,0)</f>
        <v>#N/A</v>
      </c>
    </row>
    <row r="703" spans="1:36" x14ac:dyDescent="0.25">
      <c r="A703" s="1" t="s">
        <v>6631</v>
      </c>
      <c r="B703" s="1" t="s">
        <v>6632</v>
      </c>
      <c r="C703" s="1" t="s">
        <v>6633</v>
      </c>
      <c r="D703" s="1" t="s">
        <v>6489</v>
      </c>
      <c r="E703" s="1" t="s">
        <v>6490</v>
      </c>
      <c r="F703" s="1" t="s">
        <v>6634</v>
      </c>
      <c r="G703" s="1" t="s">
        <v>14129</v>
      </c>
      <c r="H703" s="1" t="s">
        <v>14679</v>
      </c>
      <c r="I703" s="1" t="s">
        <v>14820</v>
      </c>
      <c r="J703" s="1" t="s">
        <v>23</v>
      </c>
      <c r="K703" s="1"/>
      <c r="L703" s="1" t="s">
        <v>6635</v>
      </c>
      <c r="M703" s="1" t="s">
        <v>6636</v>
      </c>
      <c r="N703" s="1" t="s">
        <v>6637</v>
      </c>
      <c r="O703" s="1" t="s">
        <v>6638</v>
      </c>
      <c r="P703" s="1" t="s">
        <v>6639</v>
      </c>
      <c r="Q703" s="1" t="s">
        <v>6640</v>
      </c>
      <c r="R703" s="1" t="s">
        <v>6641</v>
      </c>
      <c r="S703" s="1" t="s">
        <v>6642</v>
      </c>
      <c r="T703" s="1" t="s">
        <v>6643</v>
      </c>
      <c r="U703">
        <v>78.84</v>
      </c>
      <c r="V703">
        <v>65.989999999999995</v>
      </c>
      <c r="W703">
        <v>15.12265</v>
      </c>
      <c r="X703">
        <v>108.800957</v>
      </c>
      <c r="Y703">
        <v>12.86</v>
      </c>
      <c r="Z703">
        <v>15.120733</v>
      </c>
      <c r="AA703">
        <v>108.79877999999999</v>
      </c>
      <c r="AB703" s="5">
        <f t="shared" si="61"/>
        <v>9.898499999999999E-2</v>
      </c>
      <c r="AC703" s="5">
        <f t="shared" si="62"/>
        <v>1.9289999999999998E-2</v>
      </c>
      <c r="AD703" s="1" t="str">
        <f t="shared" si="63"/>
        <v>PA03</v>
      </c>
      <c r="AE703" s="1" t="str">
        <f t="shared" si="64"/>
        <v>PC03</v>
      </c>
      <c r="AG703">
        <f t="shared" si="65"/>
        <v>6.5989999999999993E-2</v>
      </c>
      <c r="AH703">
        <f t="shared" si="66"/>
        <v>1.286E-2</v>
      </c>
      <c r="AI703">
        <f>VLOOKUP(L703,'[1]Tuyến cáp H04'!$B:$E,3,0)/1000</f>
        <v>2.76</v>
      </c>
      <c r="AJ703" t="str">
        <f>VLOOKUP(L703,'[1]Tuyến cáp H04'!$B:$E,4,0)</f>
        <v>Mạng cấp 3</v>
      </c>
    </row>
    <row r="704" spans="1:36" x14ac:dyDescent="0.25">
      <c r="A704" s="1" t="s">
        <v>6644</v>
      </c>
      <c r="B704" s="1" t="s">
        <v>6489</v>
      </c>
      <c r="C704" s="1" t="s">
        <v>6490</v>
      </c>
      <c r="D704" s="1" t="s">
        <v>5321</v>
      </c>
      <c r="E704" s="1" t="s">
        <v>5322</v>
      </c>
      <c r="F704" s="1" t="s">
        <v>6645</v>
      </c>
      <c r="G704" s="1" t="s">
        <v>14281</v>
      </c>
      <c r="H704" s="1" t="s">
        <v>14282</v>
      </c>
      <c r="I704" s="1" t="s">
        <v>14821</v>
      </c>
      <c r="J704" s="1" t="s">
        <v>23</v>
      </c>
      <c r="K704" s="1"/>
      <c r="L704" s="1" t="s">
        <v>5236</v>
      </c>
      <c r="M704" s="1" t="s">
        <v>6646</v>
      </c>
      <c r="N704" s="1" t="s">
        <v>6647</v>
      </c>
      <c r="O704" s="1" t="s">
        <v>6648</v>
      </c>
      <c r="P704" s="1" t="s">
        <v>6649</v>
      </c>
      <c r="Q704" s="1" t="s">
        <v>6650</v>
      </c>
      <c r="R704" s="1" t="s">
        <v>6651</v>
      </c>
      <c r="S704" s="1" t="s">
        <v>6652</v>
      </c>
      <c r="T704" s="1" t="s">
        <v>6653</v>
      </c>
      <c r="U704">
        <v>1026.17</v>
      </c>
      <c r="V704">
        <v>926.76</v>
      </c>
      <c r="W704">
        <v>15.128491</v>
      </c>
      <c r="X704">
        <v>108.795727</v>
      </c>
      <c r="Y704">
        <v>99.41</v>
      </c>
      <c r="Z704">
        <v>15.132609</v>
      </c>
      <c r="AA704">
        <v>108.796115</v>
      </c>
      <c r="AB704" s="5">
        <f t="shared" si="61"/>
        <v>1.3901399999999999</v>
      </c>
      <c r="AC704" s="5">
        <f t="shared" si="62"/>
        <v>0.149115</v>
      </c>
      <c r="AD704" s="1" t="e">
        <f t="shared" si="63"/>
        <v>#VALUE!</v>
      </c>
      <c r="AE704" s="1" t="e">
        <f t="shared" si="64"/>
        <v>#VALUE!</v>
      </c>
      <c r="AG704">
        <f t="shared" si="65"/>
        <v>0.92676000000000003</v>
      </c>
      <c r="AH704">
        <f t="shared" si="66"/>
        <v>9.9409999999999998E-2</v>
      </c>
      <c r="AI704" t="e">
        <f>VLOOKUP(L704,'[1]Tuyến cáp H04'!$B:$E,3,0)/1000</f>
        <v>#N/A</v>
      </c>
      <c r="AJ704" t="e">
        <f>VLOOKUP(L704,'[1]Tuyến cáp H04'!$B:$E,4,0)</f>
        <v>#N/A</v>
      </c>
    </row>
    <row r="705" spans="1:36" x14ac:dyDescent="0.25">
      <c r="A705" s="1" t="s">
        <v>6654</v>
      </c>
      <c r="B705" s="1" t="s">
        <v>5337</v>
      </c>
      <c r="C705" s="1" t="s">
        <v>6655</v>
      </c>
      <c r="D705" s="1" t="s">
        <v>6497</v>
      </c>
      <c r="E705" s="1" t="s">
        <v>6498</v>
      </c>
      <c r="F705" s="1" t="s">
        <v>6656</v>
      </c>
      <c r="G705" s="1" t="s">
        <v>14129</v>
      </c>
      <c r="H705" s="1" t="s">
        <v>14679</v>
      </c>
      <c r="I705" s="1" t="s">
        <v>14822</v>
      </c>
      <c r="J705" s="1" t="s">
        <v>23</v>
      </c>
      <c r="K705" s="1"/>
      <c r="L705" s="1" t="s">
        <v>5777</v>
      </c>
      <c r="M705" s="1" t="s">
        <v>6657</v>
      </c>
      <c r="N705" s="1" t="s">
        <v>6658</v>
      </c>
      <c r="O705" s="1" t="s">
        <v>6659</v>
      </c>
      <c r="P705" s="1" t="s">
        <v>6660</v>
      </c>
      <c r="Q705" s="1" t="s">
        <v>6503</v>
      </c>
      <c r="R705" s="1" t="s">
        <v>6339</v>
      </c>
      <c r="S705" s="1" t="s">
        <v>6340</v>
      </c>
      <c r="T705" s="1" t="s">
        <v>6341</v>
      </c>
      <c r="U705">
        <v>587.94000000000005</v>
      </c>
      <c r="V705">
        <v>361.53</v>
      </c>
      <c r="W705">
        <v>15.112512000000001</v>
      </c>
      <c r="X705">
        <v>108.817047</v>
      </c>
      <c r="Y705">
        <v>226.41</v>
      </c>
      <c r="Z705">
        <v>15.122006000000001</v>
      </c>
      <c r="AA705">
        <v>108.814892</v>
      </c>
      <c r="AB705" s="5">
        <f t="shared" si="61"/>
        <v>0.54229499999999997</v>
      </c>
      <c r="AC705" s="5">
        <f t="shared" si="62"/>
        <v>0.339615</v>
      </c>
      <c r="AD705" s="1" t="e">
        <f t="shared" si="63"/>
        <v>#VALUE!</v>
      </c>
      <c r="AE705" s="1" t="e">
        <f t="shared" si="64"/>
        <v>#VALUE!</v>
      </c>
      <c r="AG705">
        <f t="shared" si="65"/>
        <v>0.36152999999999996</v>
      </c>
      <c r="AH705">
        <f t="shared" si="66"/>
        <v>0.22641</v>
      </c>
      <c r="AI705" t="e">
        <f>VLOOKUP(L705,'[1]Tuyến cáp H04'!$B:$E,3,0)/1000</f>
        <v>#N/A</v>
      </c>
      <c r="AJ705" t="e">
        <f>VLOOKUP(L705,'[1]Tuyến cáp H04'!$B:$E,4,0)</f>
        <v>#N/A</v>
      </c>
    </row>
    <row r="706" spans="1:36" x14ac:dyDescent="0.25">
      <c r="A706" s="1" t="s">
        <v>6661</v>
      </c>
      <c r="B706" s="1" t="s">
        <v>5706</v>
      </c>
      <c r="C706" s="1" t="s">
        <v>5707</v>
      </c>
      <c r="D706" s="1" t="s">
        <v>6497</v>
      </c>
      <c r="E706" s="1" t="s">
        <v>6498</v>
      </c>
      <c r="F706" s="1" t="s">
        <v>6662</v>
      </c>
      <c r="G706" s="1" t="s">
        <v>14281</v>
      </c>
      <c r="H706" s="1" t="s">
        <v>14282</v>
      </c>
      <c r="I706" s="1" t="s">
        <v>14823</v>
      </c>
      <c r="J706" s="1" t="s">
        <v>23</v>
      </c>
      <c r="K706" s="1"/>
      <c r="L706" s="1" t="s">
        <v>5721</v>
      </c>
      <c r="M706" s="1" t="s">
        <v>6663</v>
      </c>
      <c r="N706" s="1" t="s">
        <v>5726</v>
      </c>
      <c r="O706" s="1" t="s">
        <v>5727</v>
      </c>
      <c r="P706" s="1" t="s">
        <v>5728</v>
      </c>
      <c r="Q706" s="1" t="s">
        <v>6664</v>
      </c>
      <c r="R706" s="1" t="s">
        <v>6665</v>
      </c>
      <c r="S706" s="1" t="s">
        <v>6666</v>
      </c>
      <c r="T706" s="1" t="s">
        <v>5729</v>
      </c>
      <c r="U706">
        <v>971.37</v>
      </c>
      <c r="V706">
        <v>345.03</v>
      </c>
      <c r="W706">
        <v>15.085029</v>
      </c>
      <c r="X706">
        <v>108.829308</v>
      </c>
      <c r="Y706">
        <v>626.34</v>
      </c>
      <c r="Z706">
        <v>15.116374</v>
      </c>
      <c r="AA706">
        <v>108.816103</v>
      </c>
      <c r="AB706" s="5">
        <f t="shared" si="61"/>
        <v>0.51754499999999992</v>
      </c>
      <c r="AC706" s="5">
        <f t="shared" si="62"/>
        <v>0.93950999999999996</v>
      </c>
      <c r="AD706" s="1" t="str">
        <f t="shared" si="63"/>
        <v>Vệ Giang</v>
      </c>
      <c r="AE706" s="1" t="str">
        <f t="shared" si="64"/>
        <v>Cẩm Thành</v>
      </c>
      <c r="AG706">
        <f t="shared" si="65"/>
        <v>0.34502999999999995</v>
      </c>
      <c r="AH706">
        <f t="shared" si="66"/>
        <v>0.62634000000000001</v>
      </c>
      <c r="AI706">
        <f>VLOOKUP(L706,'[1]Tuyến cáp H04'!$B:$E,3,0)/1000</f>
        <v>11.173</v>
      </c>
      <c r="AJ706" t="str">
        <f>VLOOKUP(L706,'[1]Tuyến cáp H04'!$B:$E,4,0)</f>
        <v>Mạng cấp 4</v>
      </c>
    </row>
    <row r="707" spans="1:36" x14ac:dyDescent="0.25">
      <c r="A707" s="1" t="s">
        <v>6667</v>
      </c>
      <c r="B707" s="1" t="s">
        <v>6382</v>
      </c>
      <c r="C707" s="1" t="s">
        <v>6383</v>
      </c>
      <c r="D707" s="1" t="s">
        <v>5321</v>
      </c>
      <c r="E707" s="1" t="s">
        <v>5322</v>
      </c>
      <c r="F707" s="1" t="s">
        <v>6668</v>
      </c>
      <c r="G707" s="1" t="s">
        <v>14129</v>
      </c>
      <c r="H707" s="1" t="s">
        <v>14133</v>
      </c>
      <c r="I707" s="1" t="s">
        <v>14824</v>
      </c>
      <c r="J707" s="1" t="s">
        <v>23</v>
      </c>
      <c r="K707" s="1"/>
      <c r="L707" s="1" t="s">
        <v>5236</v>
      </c>
      <c r="M707" s="1" t="s">
        <v>6669</v>
      </c>
      <c r="N707" s="1" t="s">
        <v>6670</v>
      </c>
      <c r="O707" s="1" t="s">
        <v>6648</v>
      </c>
      <c r="P707" s="1" t="s">
        <v>6649</v>
      </c>
      <c r="Q707" s="1" t="s">
        <v>6650</v>
      </c>
      <c r="R707" s="1" t="s">
        <v>6651</v>
      </c>
      <c r="S707" s="1" t="s">
        <v>6652</v>
      </c>
      <c r="T707" s="1" t="s">
        <v>6653</v>
      </c>
      <c r="U707">
        <v>147.31</v>
      </c>
      <c r="V707">
        <v>47.91</v>
      </c>
      <c r="W707">
        <v>15.128491</v>
      </c>
      <c r="X707">
        <v>108.795727</v>
      </c>
      <c r="Y707">
        <v>99.41</v>
      </c>
      <c r="Z707">
        <v>15.132609</v>
      </c>
      <c r="AA707">
        <v>108.796115</v>
      </c>
      <c r="AB707" s="5">
        <f t="shared" ref="AB707:AB770" si="67">V707*1.5/1000</f>
        <v>7.1864999999999998E-2</v>
      </c>
      <c r="AC707" s="5">
        <f t="shared" ref="AC707:AC770" si="68">Y707*1.5/1000</f>
        <v>0.149115</v>
      </c>
      <c r="AD707" s="1" t="e">
        <f t="shared" ref="AD707:AD770" si="69">TRIM(LEFT(L707,FIND("-",L707)-1))</f>
        <v>#VALUE!</v>
      </c>
      <c r="AE707" s="1" t="e">
        <f t="shared" ref="AE707:AE770" si="70">TRIM(RIGHT(L707, LEN(L707) - FIND("-", L707)))</f>
        <v>#VALUE!</v>
      </c>
      <c r="AG707">
        <f t="shared" ref="AG707:AG770" si="71">V707/1000</f>
        <v>4.7909999999999994E-2</v>
      </c>
      <c r="AH707">
        <f t="shared" ref="AH707:AH770" si="72">Y707/1000</f>
        <v>9.9409999999999998E-2</v>
      </c>
      <c r="AI707" t="e">
        <f>VLOOKUP(L707,'[1]Tuyến cáp H04'!$B:$E,3,0)/1000</f>
        <v>#N/A</v>
      </c>
      <c r="AJ707" t="e">
        <f>VLOOKUP(L707,'[1]Tuyến cáp H04'!$B:$E,4,0)</f>
        <v>#N/A</v>
      </c>
    </row>
    <row r="708" spans="1:36" x14ac:dyDescent="0.25">
      <c r="A708" s="1" t="s">
        <v>6671</v>
      </c>
      <c r="B708" s="1" t="s">
        <v>6672</v>
      </c>
      <c r="C708" s="1" t="s">
        <v>6673</v>
      </c>
      <c r="D708" s="1" t="s">
        <v>6674</v>
      </c>
      <c r="E708" s="1" t="s">
        <v>6675</v>
      </c>
      <c r="F708" s="1" t="s">
        <v>6676</v>
      </c>
      <c r="G708" s="1" t="s">
        <v>14129</v>
      </c>
      <c r="H708" s="1" t="s">
        <v>14133</v>
      </c>
      <c r="I708" s="1" t="s">
        <v>14825</v>
      </c>
      <c r="J708" s="1" t="s">
        <v>23</v>
      </c>
      <c r="K708" s="1"/>
      <c r="L708" s="1" t="s">
        <v>5815</v>
      </c>
      <c r="M708" s="1" t="s">
        <v>6677</v>
      </c>
      <c r="N708" s="1" t="s">
        <v>6678</v>
      </c>
      <c r="O708" s="1" t="s">
        <v>6679</v>
      </c>
      <c r="P708" s="1" t="s">
        <v>6680</v>
      </c>
      <c r="Q708" s="1" t="s">
        <v>6681</v>
      </c>
      <c r="R708" s="1" t="s">
        <v>6682</v>
      </c>
      <c r="S708" s="1" t="s">
        <v>6683</v>
      </c>
      <c r="T708" s="1" t="s">
        <v>5823</v>
      </c>
      <c r="U708">
        <v>127.32</v>
      </c>
      <c r="V708">
        <v>52.8</v>
      </c>
      <c r="W708">
        <v>15.200165999999999</v>
      </c>
      <c r="X708">
        <v>108.83606</v>
      </c>
      <c r="Y708">
        <v>74.52</v>
      </c>
      <c r="Z708">
        <v>15.182302999999999</v>
      </c>
      <c r="AA708">
        <v>108.85267899999999</v>
      </c>
      <c r="AB708" s="5">
        <f t="shared" si="67"/>
        <v>7.9199999999999993E-2</v>
      </c>
      <c r="AC708" s="5">
        <f t="shared" si="68"/>
        <v>0.11178</v>
      </c>
      <c r="AD708" s="1" t="str">
        <f t="shared" si="69"/>
        <v>Quảng Ngãi</v>
      </c>
      <c r="AE708" s="1" t="str">
        <f t="shared" si="70"/>
        <v>Ring 1_Đông Sơn - Tịnh Khê</v>
      </c>
      <c r="AG708">
        <f t="shared" si="71"/>
        <v>5.28E-2</v>
      </c>
      <c r="AH708">
        <f t="shared" si="72"/>
        <v>7.4520000000000003E-2</v>
      </c>
      <c r="AI708" t="e">
        <f>VLOOKUP(L708,'[1]Tuyến cáp H04'!$B:$E,3,0)/1000</f>
        <v>#N/A</v>
      </c>
      <c r="AJ708" t="e">
        <f>VLOOKUP(L708,'[1]Tuyến cáp H04'!$B:$E,4,0)</f>
        <v>#N/A</v>
      </c>
    </row>
    <row r="709" spans="1:36" x14ac:dyDescent="0.25">
      <c r="A709" s="1" t="s">
        <v>6684</v>
      </c>
      <c r="B709" s="1" t="s">
        <v>6674</v>
      </c>
      <c r="C709" s="1" t="s">
        <v>6675</v>
      </c>
      <c r="D709" s="1" t="s">
        <v>5854</v>
      </c>
      <c r="E709" s="1" t="s">
        <v>5855</v>
      </c>
      <c r="F709" s="1" t="s">
        <v>6685</v>
      </c>
      <c r="G709" s="1" t="s">
        <v>14129</v>
      </c>
      <c r="H709" s="1" t="s">
        <v>14133</v>
      </c>
      <c r="I709" s="1" t="s">
        <v>14826</v>
      </c>
      <c r="J709" s="1" t="s">
        <v>23</v>
      </c>
      <c r="K709" s="1"/>
      <c r="L709" s="1" t="s">
        <v>5857</v>
      </c>
      <c r="M709" s="1" t="s">
        <v>6686</v>
      </c>
      <c r="N709" s="1" t="s">
        <v>6687</v>
      </c>
      <c r="O709" s="1" t="s">
        <v>6688</v>
      </c>
      <c r="P709" s="1" t="s">
        <v>6689</v>
      </c>
      <c r="Q709" s="1" t="s">
        <v>5862</v>
      </c>
      <c r="R709" s="1" t="s">
        <v>5863</v>
      </c>
      <c r="S709" s="1" t="s">
        <v>5864</v>
      </c>
      <c r="T709" s="1" t="s">
        <v>5865</v>
      </c>
      <c r="U709">
        <v>1869.73</v>
      </c>
      <c r="V709">
        <v>148.51</v>
      </c>
      <c r="W709">
        <v>15.181642999999999</v>
      </c>
      <c r="X709">
        <v>108.852451</v>
      </c>
      <c r="Y709">
        <v>1721.22</v>
      </c>
      <c r="Z709">
        <v>15.189964</v>
      </c>
      <c r="AA709">
        <v>108.869676</v>
      </c>
      <c r="AB709" s="5">
        <f t="shared" si="67"/>
        <v>0.22276499999999999</v>
      </c>
      <c r="AC709" s="5">
        <f t="shared" si="68"/>
        <v>2.5818300000000001</v>
      </c>
      <c r="AD709" s="1" t="str">
        <f t="shared" si="69"/>
        <v>Đội CSGT Đường Thuỷ</v>
      </c>
      <c r="AE709" s="1" t="str">
        <f t="shared" si="70"/>
        <v>PC08</v>
      </c>
      <c r="AG709">
        <f t="shared" si="71"/>
        <v>0.14851</v>
      </c>
      <c r="AH709">
        <f t="shared" si="72"/>
        <v>1.72122</v>
      </c>
      <c r="AI709" t="e">
        <f>VLOOKUP(L709,'[1]Tuyến cáp H04'!$B:$E,3,0)/1000</f>
        <v>#N/A</v>
      </c>
      <c r="AJ709" t="e">
        <f>VLOOKUP(L709,'[1]Tuyến cáp H04'!$B:$E,4,0)</f>
        <v>#N/A</v>
      </c>
    </row>
    <row r="710" spans="1:36" x14ac:dyDescent="0.25">
      <c r="A710" s="1" t="s">
        <v>6690</v>
      </c>
      <c r="B710" s="1" t="s">
        <v>6691</v>
      </c>
      <c r="C710" s="1" t="s">
        <v>6692</v>
      </c>
      <c r="D710" s="1" t="s">
        <v>6674</v>
      </c>
      <c r="E710" s="1" t="s">
        <v>6675</v>
      </c>
      <c r="F710" s="1" t="s">
        <v>6693</v>
      </c>
      <c r="G710" s="1" t="s">
        <v>14281</v>
      </c>
      <c r="H710" s="1" t="s">
        <v>14282</v>
      </c>
      <c r="I710" s="1" t="s">
        <v>14827</v>
      </c>
      <c r="J710" s="1" t="s">
        <v>23</v>
      </c>
      <c r="K710" s="1"/>
      <c r="L710" s="1" t="s">
        <v>5815</v>
      </c>
      <c r="M710" s="1" t="s">
        <v>6694</v>
      </c>
      <c r="N710" s="1" t="s">
        <v>6695</v>
      </c>
      <c r="O710" s="1" t="s">
        <v>6696</v>
      </c>
      <c r="P710" s="1" t="s">
        <v>6697</v>
      </c>
      <c r="Q710" s="1" t="s">
        <v>6681</v>
      </c>
      <c r="R710" s="1" t="s">
        <v>6682</v>
      </c>
      <c r="S710" s="1" t="s">
        <v>6683</v>
      </c>
      <c r="T710" s="1" t="s">
        <v>5823</v>
      </c>
      <c r="U710">
        <v>918.81</v>
      </c>
      <c r="V710">
        <v>844.29</v>
      </c>
      <c r="W710">
        <v>15.19181</v>
      </c>
      <c r="X710">
        <v>108.841418</v>
      </c>
      <c r="Y710">
        <v>74.52</v>
      </c>
      <c r="Z710">
        <v>15.182302999999999</v>
      </c>
      <c r="AA710">
        <v>108.85267899999999</v>
      </c>
      <c r="AB710" s="5">
        <f t="shared" si="67"/>
        <v>1.266435</v>
      </c>
      <c r="AC710" s="5">
        <f t="shared" si="68"/>
        <v>0.11178</v>
      </c>
      <c r="AD710" s="1" t="str">
        <f t="shared" si="69"/>
        <v>Quảng Ngãi</v>
      </c>
      <c r="AE710" s="1" t="str">
        <f t="shared" si="70"/>
        <v>Ring 1_Đông Sơn - Tịnh Khê</v>
      </c>
      <c r="AG710">
        <f t="shared" si="71"/>
        <v>0.84428999999999998</v>
      </c>
      <c r="AH710">
        <f t="shared" si="72"/>
        <v>7.4520000000000003E-2</v>
      </c>
      <c r="AI710" t="e">
        <f>VLOOKUP(L710,'[1]Tuyến cáp H04'!$B:$E,3,0)/1000</f>
        <v>#N/A</v>
      </c>
      <c r="AJ710" t="e">
        <f>VLOOKUP(L710,'[1]Tuyến cáp H04'!$B:$E,4,0)</f>
        <v>#N/A</v>
      </c>
    </row>
    <row r="711" spans="1:36" x14ac:dyDescent="0.25">
      <c r="A711" s="1" t="s">
        <v>6698</v>
      </c>
      <c r="B711" s="1" t="s">
        <v>6699</v>
      </c>
      <c r="C711" s="1" t="s">
        <v>6700</v>
      </c>
      <c r="D711" s="1" t="s">
        <v>6701</v>
      </c>
      <c r="E711" s="1" t="s">
        <v>6702</v>
      </c>
      <c r="F711" s="1" t="s">
        <v>6703</v>
      </c>
      <c r="G711" s="1" t="s">
        <v>14129</v>
      </c>
      <c r="H711" s="1" t="s">
        <v>14133</v>
      </c>
      <c r="I711" s="1" t="s">
        <v>14828</v>
      </c>
      <c r="J711" s="1" t="s">
        <v>23</v>
      </c>
      <c r="K711" s="1"/>
      <c r="L711" s="1" t="s">
        <v>6704</v>
      </c>
      <c r="M711" s="1" t="s">
        <v>6705</v>
      </c>
      <c r="N711" s="1" t="s">
        <v>6706</v>
      </c>
      <c r="O711" s="1" t="s">
        <v>6707</v>
      </c>
      <c r="P711" s="1" t="s">
        <v>6708</v>
      </c>
      <c r="Q711" s="1" t="s">
        <v>6709</v>
      </c>
      <c r="R711" s="1" t="s">
        <v>6710</v>
      </c>
      <c r="S711" s="1" t="s">
        <v>6711</v>
      </c>
      <c r="T711" s="1" t="s">
        <v>6712</v>
      </c>
      <c r="U711">
        <v>721.72</v>
      </c>
      <c r="V711">
        <v>192.61</v>
      </c>
      <c r="W711">
        <v>15.151139000000001</v>
      </c>
      <c r="X711">
        <v>108.787036</v>
      </c>
      <c r="Y711">
        <v>529.11</v>
      </c>
      <c r="Z711">
        <v>15.150714000000001</v>
      </c>
      <c r="AA711">
        <v>108.79671999999999</v>
      </c>
      <c r="AB711" s="5">
        <f t="shared" si="67"/>
        <v>0.28891500000000003</v>
      </c>
      <c r="AC711" s="5">
        <f t="shared" si="68"/>
        <v>0.79366499999999995</v>
      </c>
      <c r="AD711" s="1" t="str">
        <f t="shared" si="69"/>
        <v>PC10</v>
      </c>
      <c r="AE711" s="1" t="str">
        <f t="shared" si="70"/>
        <v>PA06</v>
      </c>
      <c r="AG711">
        <f t="shared" si="71"/>
        <v>0.19261</v>
      </c>
      <c r="AH711">
        <f t="shared" si="72"/>
        <v>0.52910999999999997</v>
      </c>
      <c r="AI711" t="e">
        <f>VLOOKUP(L711,'[1]Tuyến cáp H04'!$B:$E,3,0)/1000</f>
        <v>#N/A</v>
      </c>
      <c r="AJ711" t="e">
        <f>VLOOKUP(L711,'[1]Tuyến cáp H04'!$B:$E,4,0)</f>
        <v>#N/A</v>
      </c>
    </row>
    <row r="712" spans="1:36" x14ac:dyDescent="0.25">
      <c r="A712" s="1" t="s">
        <v>6713</v>
      </c>
      <c r="B712" s="1" t="s">
        <v>6701</v>
      </c>
      <c r="C712" s="1" t="s">
        <v>6702</v>
      </c>
      <c r="D712" s="1" t="s">
        <v>5233</v>
      </c>
      <c r="E712" s="1" t="s">
        <v>5234</v>
      </c>
      <c r="F712" s="1" t="s">
        <v>6714</v>
      </c>
      <c r="G712" s="1" t="s">
        <v>14129</v>
      </c>
      <c r="H712" s="1" t="s">
        <v>14133</v>
      </c>
      <c r="I712" s="1" t="s">
        <v>14829</v>
      </c>
      <c r="J712" s="1" t="s">
        <v>23</v>
      </c>
      <c r="K712" s="1"/>
      <c r="L712" s="1" t="s">
        <v>5644</v>
      </c>
      <c r="M712" s="1" t="s">
        <v>6715</v>
      </c>
      <c r="N712" s="1" t="s">
        <v>6716</v>
      </c>
      <c r="O712" s="1" t="s">
        <v>6717</v>
      </c>
      <c r="P712" s="1" t="s">
        <v>6718</v>
      </c>
      <c r="Q712" s="1" t="s">
        <v>5241</v>
      </c>
      <c r="R712" s="1" t="s">
        <v>5242</v>
      </c>
      <c r="S712" s="1" t="s">
        <v>5243</v>
      </c>
      <c r="T712" s="1" t="s">
        <v>6719</v>
      </c>
      <c r="U712">
        <v>209.25</v>
      </c>
      <c r="V712">
        <v>98.68</v>
      </c>
      <c r="W712">
        <v>15.156207999999999</v>
      </c>
      <c r="X712">
        <v>108.7974</v>
      </c>
      <c r="Y712">
        <v>110.57</v>
      </c>
      <c r="Z712">
        <v>15.201007000000001</v>
      </c>
      <c r="AA712">
        <v>108.78958</v>
      </c>
      <c r="AB712" s="5">
        <f t="shared" si="67"/>
        <v>0.14802000000000001</v>
      </c>
      <c r="AC712" s="5">
        <f t="shared" si="68"/>
        <v>0.165855</v>
      </c>
      <c r="AD712" s="1" t="str">
        <f t="shared" si="69"/>
        <v>Bình Sơn</v>
      </c>
      <c r="AE712" s="1" t="str">
        <f t="shared" si="70"/>
        <v>TT1 Quảng Ngãi</v>
      </c>
      <c r="AG712">
        <f t="shared" si="71"/>
        <v>9.8680000000000004E-2</v>
      </c>
      <c r="AH712">
        <f t="shared" si="72"/>
        <v>0.11056999999999999</v>
      </c>
      <c r="AI712">
        <f>VLOOKUP(L712,'[1]Tuyến cáp H04'!$B:$E,3,0)/1000</f>
        <v>25.260999999999999</v>
      </c>
      <c r="AJ712" t="str">
        <f>VLOOKUP(L712,'[1]Tuyến cáp H04'!$B:$E,4,0)</f>
        <v>Mạng cấp 3</v>
      </c>
    </row>
    <row r="713" spans="1:36" x14ac:dyDescent="0.25">
      <c r="A713" s="1" t="s">
        <v>6720</v>
      </c>
      <c r="B713" s="1" t="s">
        <v>5259</v>
      </c>
      <c r="C713" s="1" t="s">
        <v>5260</v>
      </c>
      <c r="D713" s="1" t="s">
        <v>6721</v>
      </c>
      <c r="E713" s="1" t="s">
        <v>6722</v>
      </c>
      <c r="F713" s="1" t="s">
        <v>6723</v>
      </c>
      <c r="G713" s="1" t="s">
        <v>14129</v>
      </c>
      <c r="H713" s="1" t="s">
        <v>14133</v>
      </c>
      <c r="I713" s="1" t="s">
        <v>14830</v>
      </c>
      <c r="J713" s="1" t="s">
        <v>23</v>
      </c>
      <c r="K713" s="1"/>
      <c r="L713" s="1" t="s">
        <v>6704</v>
      </c>
      <c r="M713" s="1" t="s">
        <v>6724</v>
      </c>
      <c r="N713" s="1" t="s">
        <v>6725</v>
      </c>
      <c r="O713" s="1" t="s">
        <v>6726</v>
      </c>
      <c r="P713" s="1" t="s">
        <v>6727</v>
      </c>
      <c r="Q713" s="1" t="s">
        <v>6728</v>
      </c>
      <c r="R713" s="1" t="s">
        <v>6729</v>
      </c>
      <c r="S713" s="1" t="s">
        <v>6730</v>
      </c>
      <c r="T713" s="1" t="s">
        <v>6712</v>
      </c>
      <c r="U713">
        <v>1549.89</v>
      </c>
      <c r="V713">
        <v>1518.7</v>
      </c>
      <c r="W713">
        <v>15.151586</v>
      </c>
      <c r="X713">
        <v>108.77870900000001</v>
      </c>
      <c r="Y713">
        <v>31.19</v>
      </c>
      <c r="Z713">
        <v>15.148739000000001</v>
      </c>
      <c r="AA713">
        <v>108.797346</v>
      </c>
      <c r="AB713" s="5">
        <f t="shared" si="67"/>
        <v>2.2780500000000004</v>
      </c>
      <c r="AC713" s="5">
        <f t="shared" si="68"/>
        <v>4.6785000000000007E-2</v>
      </c>
      <c r="AD713" s="1" t="str">
        <f t="shared" si="69"/>
        <v>PC10</v>
      </c>
      <c r="AE713" s="1" t="str">
        <f t="shared" si="70"/>
        <v>PA06</v>
      </c>
      <c r="AG713">
        <f t="shared" si="71"/>
        <v>1.5186999999999999</v>
      </c>
      <c r="AH713">
        <f t="shared" si="72"/>
        <v>3.1190000000000002E-2</v>
      </c>
      <c r="AI713" t="e">
        <f>VLOOKUP(L713,'[1]Tuyến cáp H04'!$B:$E,3,0)/1000</f>
        <v>#N/A</v>
      </c>
      <c r="AJ713" t="e">
        <f>VLOOKUP(L713,'[1]Tuyến cáp H04'!$B:$E,4,0)</f>
        <v>#N/A</v>
      </c>
    </row>
    <row r="714" spans="1:36" x14ac:dyDescent="0.25">
      <c r="A714" s="1" t="s">
        <v>6731</v>
      </c>
      <c r="B714" s="1" t="s">
        <v>6721</v>
      </c>
      <c r="C714" s="1" t="s">
        <v>6722</v>
      </c>
      <c r="D714" s="1" t="s">
        <v>6732</v>
      </c>
      <c r="E714" s="1" t="s">
        <v>6733</v>
      </c>
      <c r="F714" s="1" t="s">
        <v>6734</v>
      </c>
      <c r="G714" s="1" t="s">
        <v>14129</v>
      </c>
      <c r="H714" s="1" t="s">
        <v>14133</v>
      </c>
      <c r="I714" s="1" t="s">
        <v>14831</v>
      </c>
      <c r="J714" s="1" t="s">
        <v>23</v>
      </c>
      <c r="K714" s="1"/>
      <c r="L714" s="1" t="s">
        <v>5644</v>
      </c>
      <c r="M714" s="1" t="s">
        <v>6735</v>
      </c>
      <c r="N714" s="1" t="s">
        <v>6736</v>
      </c>
      <c r="O714" s="1" t="s">
        <v>6737</v>
      </c>
      <c r="P714" s="1" t="s">
        <v>6738</v>
      </c>
      <c r="Q714" s="1" t="s">
        <v>6739</v>
      </c>
      <c r="R714" s="1" t="s">
        <v>6740</v>
      </c>
      <c r="S714" s="1" t="s">
        <v>6741</v>
      </c>
      <c r="T714" s="1" t="s">
        <v>6719</v>
      </c>
      <c r="U714">
        <v>871.29</v>
      </c>
      <c r="V714">
        <v>244.9</v>
      </c>
      <c r="W714">
        <v>15.146458000000001</v>
      </c>
      <c r="X714">
        <v>108.797673</v>
      </c>
      <c r="Y714">
        <v>626.39</v>
      </c>
      <c r="Z714">
        <v>15.17798</v>
      </c>
      <c r="AA714">
        <v>108.797039</v>
      </c>
      <c r="AB714" s="5">
        <f t="shared" si="67"/>
        <v>0.36735000000000001</v>
      </c>
      <c r="AC714" s="5">
        <f t="shared" si="68"/>
        <v>0.939585</v>
      </c>
      <c r="AD714" s="1" t="str">
        <f t="shared" si="69"/>
        <v>Bình Sơn</v>
      </c>
      <c r="AE714" s="1" t="str">
        <f t="shared" si="70"/>
        <v>TT1 Quảng Ngãi</v>
      </c>
      <c r="AG714">
        <f t="shared" si="71"/>
        <v>0.24490000000000001</v>
      </c>
      <c r="AH714">
        <f t="shared" si="72"/>
        <v>0.62639</v>
      </c>
      <c r="AI714">
        <f>VLOOKUP(L714,'[1]Tuyến cáp H04'!$B:$E,3,0)/1000</f>
        <v>25.260999999999999</v>
      </c>
      <c r="AJ714" t="str">
        <f>VLOOKUP(L714,'[1]Tuyến cáp H04'!$B:$E,4,0)</f>
        <v>Mạng cấp 3</v>
      </c>
    </row>
    <row r="715" spans="1:36" x14ac:dyDescent="0.25">
      <c r="A715" s="1" t="s">
        <v>6742</v>
      </c>
      <c r="B715" s="1" t="s">
        <v>5233</v>
      </c>
      <c r="C715" s="1" t="s">
        <v>5234</v>
      </c>
      <c r="D715" s="1" t="s">
        <v>6743</v>
      </c>
      <c r="E715" s="1" t="s">
        <v>6744</v>
      </c>
      <c r="F715" s="1" t="s">
        <v>6745</v>
      </c>
      <c r="G715" s="1" t="s">
        <v>14129</v>
      </c>
      <c r="H715" s="1" t="s">
        <v>14133</v>
      </c>
      <c r="I715" s="1" t="s">
        <v>14832</v>
      </c>
      <c r="J715" s="1" t="s">
        <v>23</v>
      </c>
      <c r="K715" s="1"/>
      <c r="L715" s="1" t="s">
        <v>6746</v>
      </c>
      <c r="M715" s="1" t="s">
        <v>6747</v>
      </c>
      <c r="N715" s="1" t="s">
        <v>6748</v>
      </c>
      <c r="O715" s="1" t="s">
        <v>6749</v>
      </c>
      <c r="P715" s="1" t="s">
        <v>6750</v>
      </c>
      <c r="Q715" s="1" t="s">
        <v>6751</v>
      </c>
      <c r="R715" s="1" t="s">
        <v>6752</v>
      </c>
      <c r="S715" s="1" t="s">
        <v>6753</v>
      </c>
      <c r="T715" s="1" t="s">
        <v>6754</v>
      </c>
      <c r="U715">
        <v>427.25</v>
      </c>
      <c r="V715">
        <v>365.07</v>
      </c>
      <c r="W715">
        <v>15.197609</v>
      </c>
      <c r="X715">
        <v>108.78932</v>
      </c>
      <c r="Y715">
        <v>62.18</v>
      </c>
      <c r="Z715">
        <v>15.216231000000001</v>
      </c>
      <c r="AA715">
        <v>108.76206500000001</v>
      </c>
      <c r="AB715" s="5">
        <f t="shared" si="67"/>
        <v>0.54760500000000001</v>
      </c>
      <c r="AC715" s="5">
        <f t="shared" si="68"/>
        <v>9.3269999999999992E-2</v>
      </c>
      <c r="AD715" s="1" t="str">
        <f t="shared" si="69"/>
        <v>Thọ Phong</v>
      </c>
      <c r="AE715" s="1" t="str">
        <f t="shared" si="70"/>
        <v>Trương Quang Trọng</v>
      </c>
      <c r="AG715">
        <f t="shared" si="71"/>
        <v>0.36507000000000001</v>
      </c>
      <c r="AH715">
        <f t="shared" si="72"/>
        <v>6.2179999999999999E-2</v>
      </c>
      <c r="AI715">
        <f>VLOOKUP(L715,'[1]Tuyến cáp H04'!$B:$E,3,0)/1000</f>
        <v>10.209</v>
      </c>
      <c r="AJ715" t="str">
        <f>VLOOKUP(L715,'[1]Tuyến cáp H04'!$B:$E,4,0)</f>
        <v>Mạng cấp 4</v>
      </c>
    </row>
    <row r="716" spans="1:36" x14ac:dyDescent="0.25">
      <c r="A716" s="1" t="s">
        <v>6755</v>
      </c>
      <c r="B716" s="1" t="s">
        <v>6743</v>
      </c>
      <c r="C716" s="1" t="s">
        <v>6744</v>
      </c>
      <c r="D716" s="1" t="s">
        <v>6756</v>
      </c>
      <c r="E716" s="1" t="s">
        <v>6757</v>
      </c>
      <c r="F716" s="1" t="s">
        <v>6758</v>
      </c>
      <c r="G716" s="1" t="s">
        <v>14129</v>
      </c>
      <c r="H716" s="1" t="s">
        <v>14133</v>
      </c>
      <c r="I716" s="1" t="s">
        <v>14833</v>
      </c>
      <c r="J716" s="1" t="s">
        <v>23</v>
      </c>
      <c r="K716" s="1"/>
      <c r="L716" s="1" t="s">
        <v>5678</v>
      </c>
      <c r="M716" s="1" t="s">
        <v>6759</v>
      </c>
      <c r="N716" s="1" t="s">
        <v>6760</v>
      </c>
      <c r="O716" s="1" t="s">
        <v>6761</v>
      </c>
      <c r="P716" s="1" t="s">
        <v>6762</v>
      </c>
      <c r="Q716" s="1" t="s">
        <v>6763</v>
      </c>
      <c r="R716" s="1" t="s">
        <v>6764</v>
      </c>
      <c r="S716" s="1" t="s">
        <v>6765</v>
      </c>
      <c r="T716" s="1" t="s">
        <v>6766</v>
      </c>
      <c r="U716">
        <v>1405.98</v>
      </c>
      <c r="V716">
        <v>61.7</v>
      </c>
      <c r="W716">
        <v>15.216234</v>
      </c>
      <c r="X716">
        <v>108.762061</v>
      </c>
      <c r="Y716">
        <v>1344.28</v>
      </c>
      <c r="Z716">
        <v>15.239758999999999</v>
      </c>
      <c r="AA716">
        <v>108.759897</v>
      </c>
      <c r="AB716" s="5">
        <f t="shared" si="67"/>
        <v>9.2550000000000007E-2</v>
      </c>
      <c r="AC716" s="5">
        <f t="shared" si="68"/>
        <v>2.0164200000000001</v>
      </c>
      <c r="AD716" s="1" t="str">
        <f t="shared" si="69"/>
        <v>Bình Sơn</v>
      </c>
      <c r="AE716" s="1" t="str">
        <f t="shared" si="70"/>
        <v>Thọ Phong</v>
      </c>
      <c r="AG716">
        <f t="shared" si="71"/>
        <v>6.1700000000000005E-2</v>
      </c>
      <c r="AH716">
        <f t="shared" si="72"/>
        <v>1.3442799999999999</v>
      </c>
      <c r="AI716">
        <f>VLOOKUP(L716,'[1]Tuyến cáp H04'!$B:$E,3,0)/1000</f>
        <v>16.503</v>
      </c>
      <c r="AJ716" t="str">
        <f>VLOOKUP(L716,'[1]Tuyến cáp H04'!$B:$E,4,0)</f>
        <v>Mạng cấp 4</v>
      </c>
    </row>
    <row r="717" spans="1:36" x14ac:dyDescent="0.25">
      <c r="A717" s="1" t="s">
        <v>6767</v>
      </c>
      <c r="B717" s="1" t="s">
        <v>6768</v>
      </c>
      <c r="C717" s="1" t="s">
        <v>6769</v>
      </c>
      <c r="D717" s="1" t="s">
        <v>6743</v>
      </c>
      <c r="E717" s="1" t="s">
        <v>6744</v>
      </c>
      <c r="F717" s="1" t="s">
        <v>6770</v>
      </c>
      <c r="G717" s="1" t="s">
        <v>14129</v>
      </c>
      <c r="H717" s="1" t="s">
        <v>14133</v>
      </c>
      <c r="I717" s="1" t="s">
        <v>14834</v>
      </c>
      <c r="J717" s="1" t="s">
        <v>23</v>
      </c>
      <c r="K717" s="1"/>
      <c r="L717" s="1" t="s">
        <v>5678</v>
      </c>
      <c r="M717" s="1" t="s">
        <v>6771</v>
      </c>
      <c r="N717" s="1" t="s">
        <v>6772</v>
      </c>
      <c r="O717" s="1" t="s">
        <v>6773</v>
      </c>
      <c r="P717" s="1" t="s">
        <v>6774</v>
      </c>
      <c r="Q717" s="1" t="s">
        <v>6760</v>
      </c>
      <c r="R717" s="1" t="s">
        <v>6761</v>
      </c>
      <c r="S717" s="1" t="s">
        <v>6762</v>
      </c>
      <c r="T717" s="1" t="s">
        <v>6766</v>
      </c>
      <c r="U717">
        <v>117.83</v>
      </c>
      <c r="V717">
        <v>56.14</v>
      </c>
      <c r="W717">
        <v>15.240517000000001</v>
      </c>
      <c r="X717">
        <v>108.763161</v>
      </c>
      <c r="Y717">
        <v>61.7</v>
      </c>
      <c r="Z717">
        <v>15.216234</v>
      </c>
      <c r="AA717">
        <v>108.762061</v>
      </c>
      <c r="AB717" s="5">
        <f t="shared" si="67"/>
        <v>8.4210000000000007E-2</v>
      </c>
      <c r="AC717" s="5">
        <f t="shared" si="68"/>
        <v>9.2550000000000007E-2</v>
      </c>
      <c r="AD717" s="1" t="str">
        <f t="shared" si="69"/>
        <v>Bình Sơn</v>
      </c>
      <c r="AE717" s="1" t="str">
        <f t="shared" si="70"/>
        <v>Thọ Phong</v>
      </c>
      <c r="AG717">
        <f t="shared" si="71"/>
        <v>5.6140000000000002E-2</v>
      </c>
      <c r="AH717">
        <f t="shared" si="72"/>
        <v>6.1700000000000005E-2</v>
      </c>
      <c r="AI717">
        <f>VLOOKUP(L717,'[1]Tuyến cáp H04'!$B:$E,3,0)/1000</f>
        <v>16.503</v>
      </c>
      <c r="AJ717" t="str">
        <f>VLOOKUP(L717,'[1]Tuyến cáp H04'!$B:$E,4,0)</f>
        <v>Mạng cấp 4</v>
      </c>
    </row>
    <row r="718" spans="1:36" x14ac:dyDescent="0.25">
      <c r="A718" s="1" t="s">
        <v>6775</v>
      </c>
      <c r="B718" s="1" t="s">
        <v>6756</v>
      </c>
      <c r="C718" s="1" t="s">
        <v>6757</v>
      </c>
      <c r="D718" s="1" t="s">
        <v>6743</v>
      </c>
      <c r="E718" s="1" t="s">
        <v>6744</v>
      </c>
      <c r="F718" s="1" t="s">
        <v>6776</v>
      </c>
      <c r="G718" s="1" t="s">
        <v>14129</v>
      </c>
      <c r="H718" s="1" t="s">
        <v>14700</v>
      </c>
      <c r="I718" s="1" t="s">
        <v>14835</v>
      </c>
      <c r="J718" s="1" t="s">
        <v>23</v>
      </c>
      <c r="K718" s="1"/>
      <c r="L718" s="1" t="s">
        <v>5678</v>
      </c>
      <c r="M718" s="1" t="s">
        <v>6759</v>
      </c>
      <c r="N718" s="1" t="s">
        <v>6763</v>
      </c>
      <c r="O718" s="1" t="s">
        <v>6764</v>
      </c>
      <c r="P718" s="1" t="s">
        <v>6765</v>
      </c>
      <c r="Q718" s="1" t="s">
        <v>6760</v>
      </c>
      <c r="R718" s="1" t="s">
        <v>6761</v>
      </c>
      <c r="S718" s="1" t="s">
        <v>6762</v>
      </c>
      <c r="T718" s="1" t="s">
        <v>6766</v>
      </c>
      <c r="U718">
        <v>1405.98</v>
      </c>
      <c r="V718">
        <v>1344.28</v>
      </c>
      <c r="W718">
        <v>15.239758999999999</v>
      </c>
      <c r="X718">
        <v>108.759897</v>
      </c>
      <c r="Y718">
        <v>61.7</v>
      </c>
      <c r="Z718">
        <v>15.216234</v>
      </c>
      <c r="AA718">
        <v>108.762061</v>
      </c>
      <c r="AB718" s="5">
        <f t="shared" si="67"/>
        <v>2.0164200000000001</v>
      </c>
      <c r="AC718" s="5">
        <f t="shared" si="68"/>
        <v>9.2550000000000007E-2</v>
      </c>
      <c r="AD718" s="1" t="str">
        <f t="shared" si="69"/>
        <v>Bình Sơn</v>
      </c>
      <c r="AE718" s="1" t="str">
        <f t="shared" si="70"/>
        <v>Thọ Phong</v>
      </c>
      <c r="AG718">
        <f t="shared" si="71"/>
        <v>1.3442799999999999</v>
      </c>
      <c r="AH718">
        <f t="shared" si="72"/>
        <v>6.1700000000000005E-2</v>
      </c>
      <c r="AI718">
        <f>VLOOKUP(L718,'[1]Tuyến cáp H04'!$B:$E,3,0)/1000</f>
        <v>16.503</v>
      </c>
      <c r="AJ718" t="str">
        <f>VLOOKUP(L718,'[1]Tuyến cáp H04'!$B:$E,4,0)</f>
        <v>Mạng cấp 4</v>
      </c>
    </row>
    <row r="719" spans="1:36" x14ac:dyDescent="0.25">
      <c r="A719" s="1" t="s">
        <v>6777</v>
      </c>
      <c r="B719" s="1" t="s">
        <v>5207</v>
      </c>
      <c r="C719" s="1" t="s">
        <v>5208</v>
      </c>
      <c r="D719" s="1" t="s">
        <v>6778</v>
      </c>
      <c r="E719" s="1" t="s">
        <v>6779</v>
      </c>
      <c r="F719" s="1" t="s">
        <v>6780</v>
      </c>
      <c r="G719" s="1" t="s">
        <v>14129</v>
      </c>
      <c r="H719" s="1" t="s">
        <v>14133</v>
      </c>
      <c r="I719" s="1" t="s">
        <v>14836</v>
      </c>
      <c r="J719" s="1" t="s">
        <v>23</v>
      </c>
      <c r="K719" s="1"/>
      <c r="L719" s="1" t="s">
        <v>5936</v>
      </c>
      <c r="M719" s="1" t="s">
        <v>6781</v>
      </c>
      <c r="N719" s="1" t="s">
        <v>6782</v>
      </c>
      <c r="O719" s="1" t="s">
        <v>6783</v>
      </c>
      <c r="P719" s="1" t="s">
        <v>6784</v>
      </c>
      <c r="Q719" s="1" t="s">
        <v>6785</v>
      </c>
      <c r="R719" s="1" t="s">
        <v>6786</v>
      </c>
      <c r="S719" s="1" t="s">
        <v>6787</v>
      </c>
      <c r="T719" s="1" t="s">
        <v>6788</v>
      </c>
      <c r="U719">
        <v>4295.74</v>
      </c>
      <c r="V719">
        <v>78.06</v>
      </c>
      <c r="W719">
        <v>15.155013</v>
      </c>
      <c r="X719">
        <v>108.73597100000001</v>
      </c>
      <c r="Y719">
        <v>4217.68</v>
      </c>
      <c r="Z719">
        <v>15.190061</v>
      </c>
      <c r="AA719">
        <v>108.724847</v>
      </c>
      <c r="AB719" s="5">
        <f t="shared" si="67"/>
        <v>0.11709</v>
      </c>
      <c r="AC719" s="5">
        <f t="shared" si="68"/>
        <v>6.3265200000000004</v>
      </c>
      <c r="AD719" s="1" t="str">
        <f t="shared" si="69"/>
        <v>Bình Chương</v>
      </c>
      <c r="AE719" s="1" t="str">
        <f t="shared" si="70"/>
        <v>Sơn Tịnh</v>
      </c>
      <c r="AG719">
        <f t="shared" si="71"/>
        <v>7.8060000000000004E-2</v>
      </c>
      <c r="AH719">
        <f t="shared" si="72"/>
        <v>4.2176800000000005</v>
      </c>
      <c r="AI719">
        <f>VLOOKUP(L719,'[1]Tuyến cáp H04'!$B:$E,3,0)/1000</f>
        <v>16.984000000000002</v>
      </c>
      <c r="AJ719" t="str">
        <f>VLOOKUP(L719,'[1]Tuyến cáp H04'!$B:$E,4,0)</f>
        <v>Mạng cấp 4</v>
      </c>
    </row>
    <row r="720" spans="1:36" x14ac:dyDescent="0.25">
      <c r="A720" s="1" t="s">
        <v>6789</v>
      </c>
      <c r="B720" s="1" t="s">
        <v>6790</v>
      </c>
      <c r="C720" s="1" t="s">
        <v>6791</v>
      </c>
      <c r="D720" s="1" t="s">
        <v>5207</v>
      </c>
      <c r="E720" s="1" t="s">
        <v>5208</v>
      </c>
      <c r="F720" s="1" t="s">
        <v>6792</v>
      </c>
      <c r="G720" s="1" t="s">
        <v>14129</v>
      </c>
      <c r="H720" s="1" t="s">
        <v>14133</v>
      </c>
      <c r="I720" s="1" t="s">
        <v>14837</v>
      </c>
      <c r="J720" s="1" t="s">
        <v>23</v>
      </c>
      <c r="K720" s="1"/>
      <c r="L720" s="1" t="s">
        <v>5210</v>
      </c>
      <c r="M720" s="1" t="s">
        <v>6793</v>
      </c>
      <c r="N720" s="1" t="s">
        <v>6794</v>
      </c>
      <c r="O720" s="1" t="s">
        <v>6795</v>
      </c>
      <c r="P720" s="1" t="s">
        <v>6796</v>
      </c>
      <c r="Q720" s="1" t="s">
        <v>5215</v>
      </c>
      <c r="R720" s="1" t="s">
        <v>5216</v>
      </c>
      <c r="S720" s="1" t="s">
        <v>5217</v>
      </c>
      <c r="T720" s="1" t="s">
        <v>5218</v>
      </c>
      <c r="U720">
        <v>907.42</v>
      </c>
      <c r="V720">
        <v>790.8</v>
      </c>
      <c r="W720">
        <v>15.151778</v>
      </c>
      <c r="X720">
        <v>108.773307</v>
      </c>
      <c r="Y720">
        <v>116.62</v>
      </c>
      <c r="Z720">
        <v>15.155536</v>
      </c>
      <c r="AA720">
        <v>108.736003</v>
      </c>
      <c r="AB720" s="5">
        <f t="shared" si="67"/>
        <v>1.1861999999999999</v>
      </c>
      <c r="AC720" s="5">
        <f t="shared" si="68"/>
        <v>0.17493</v>
      </c>
      <c r="AD720" s="1" t="str">
        <f t="shared" si="69"/>
        <v>PC07</v>
      </c>
      <c r="AE720" s="1" t="str">
        <f t="shared" si="70"/>
        <v>Sơn Tịnh</v>
      </c>
      <c r="AG720">
        <f t="shared" si="71"/>
        <v>0.79079999999999995</v>
      </c>
      <c r="AH720">
        <f t="shared" si="72"/>
        <v>0.11662</v>
      </c>
      <c r="AI720">
        <f>VLOOKUP(L720,'[1]Tuyến cáp H04'!$B:$E,3,0)/1000</f>
        <v>9.1340000000000003</v>
      </c>
      <c r="AJ720" t="str">
        <f>VLOOKUP(L720,'[1]Tuyến cáp H04'!$B:$E,4,0)</f>
        <v>Mạng cấp 3</v>
      </c>
    </row>
    <row r="721" spans="1:36" x14ac:dyDescent="0.25">
      <c r="A721" s="1" t="s">
        <v>6797</v>
      </c>
      <c r="B721" s="1" t="s">
        <v>5220</v>
      </c>
      <c r="C721" s="1" t="s">
        <v>5221</v>
      </c>
      <c r="D721" s="1" t="s">
        <v>6798</v>
      </c>
      <c r="E721" s="1" t="s">
        <v>6799</v>
      </c>
      <c r="F721" s="1" t="s">
        <v>6800</v>
      </c>
      <c r="G721" s="1" t="s">
        <v>14129</v>
      </c>
      <c r="H721" s="1" t="s">
        <v>14679</v>
      </c>
      <c r="I721" s="1" t="s">
        <v>14838</v>
      </c>
      <c r="J721" s="1" t="s">
        <v>23</v>
      </c>
      <c r="K721" s="1"/>
      <c r="L721" s="1" t="s">
        <v>6801</v>
      </c>
      <c r="M721" s="1" t="s">
        <v>6802</v>
      </c>
      <c r="N721" s="1" t="s">
        <v>6803</v>
      </c>
      <c r="O721" s="1" t="s">
        <v>6804</v>
      </c>
      <c r="P721" s="1" t="s">
        <v>6805</v>
      </c>
      <c r="Q721" s="1" t="s">
        <v>6806</v>
      </c>
      <c r="R721" s="1" t="s">
        <v>6807</v>
      </c>
      <c r="S721" s="1" t="s">
        <v>6808</v>
      </c>
      <c r="T721" s="1" t="s">
        <v>6809</v>
      </c>
      <c r="U721">
        <v>2326.13</v>
      </c>
      <c r="V721">
        <v>1.62</v>
      </c>
      <c r="W721">
        <v>15.132306</v>
      </c>
      <c r="X721">
        <v>108.712856</v>
      </c>
      <c r="Y721">
        <v>2324.52</v>
      </c>
      <c r="Z721">
        <v>15.132866</v>
      </c>
      <c r="AA721">
        <v>108.712329</v>
      </c>
      <c r="AB721" s="5">
        <f t="shared" si="67"/>
        <v>2.4300000000000003E-3</v>
      </c>
      <c r="AC721" s="5">
        <f t="shared" si="68"/>
        <v>3.4867799999999995</v>
      </c>
      <c r="AD721" s="1" t="str">
        <f t="shared" si="69"/>
        <v>Trà Giang</v>
      </c>
      <c r="AE721" s="1" t="str">
        <f t="shared" si="70"/>
        <v>Nghĩa Giang</v>
      </c>
      <c r="AG721">
        <f t="shared" si="71"/>
        <v>1.6200000000000001E-3</v>
      </c>
      <c r="AH721">
        <f t="shared" si="72"/>
        <v>2.3245200000000001</v>
      </c>
      <c r="AI721">
        <f>VLOOKUP(L721,'[1]Tuyến cáp H04'!$B:$E,3,0)/1000</f>
        <v>10.778</v>
      </c>
      <c r="AJ721" t="str">
        <f>VLOOKUP(L721,'[1]Tuyến cáp H04'!$B:$E,4,0)</f>
        <v>Mạng cấp 4</v>
      </c>
    </row>
    <row r="722" spans="1:36" x14ac:dyDescent="0.25">
      <c r="A722" s="1" t="s">
        <v>6810</v>
      </c>
      <c r="B722" s="1" t="s">
        <v>6811</v>
      </c>
      <c r="C722" s="1" t="s">
        <v>6812</v>
      </c>
      <c r="D722" s="1" t="s">
        <v>5220</v>
      </c>
      <c r="E722" s="1" t="s">
        <v>5221</v>
      </c>
      <c r="F722" s="1" t="s">
        <v>6813</v>
      </c>
      <c r="G722" s="1" t="s">
        <v>14129</v>
      </c>
      <c r="H722" s="1" t="s">
        <v>14679</v>
      </c>
      <c r="I722" s="1" t="s">
        <v>14839</v>
      </c>
      <c r="J722" s="1" t="s">
        <v>23</v>
      </c>
      <c r="K722" s="1"/>
      <c r="L722" s="1" t="s">
        <v>5469</v>
      </c>
      <c r="M722" s="1" t="s">
        <v>6814</v>
      </c>
      <c r="N722" s="1" t="s">
        <v>6815</v>
      </c>
      <c r="O722" s="1" t="s">
        <v>6816</v>
      </c>
      <c r="P722" s="1" t="s">
        <v>6817</v>
      </c>
      <c r="Q722" s="1" t="s">
        <v>6818</v>
      </c>
      <c r="R722" s="1" t="s">
        <v>6819</v>
      </c>
      <c r="S722" s="1" t="s">
        <v>6820</v>
      </c>
      <c r="T722" s="1" t="s">
        <v>6821</v>
      </c>
      <c r="U722">
        <v>749.14</v>
      </c>
      <c r="V722">
        <v>682.8</v>
      </c>
      <c r="W722">
        <v>15.129135</v>
      </c>
      <c r="X722">
        <v>108.711259</v>
      </c>
      <c r="Y722">
        <v>66.34</v>
      </c>
      <c r="Z722">
        <v>15.132633999999999</v>
      </c>
      <c r="AA722">
        <v>108.71235799999999</v>
      </c>
      <c r="AB722" s="5">
        <f t="shared" si="67"/>
        <v>1.0241999999999998</v>
      </c>
      <c r="AC722" s="5">
        <f t="shared" si="68"/>
        <v>9.9510000000000001E-2</v>
      </c>
      <c r="AD722" s="1" t="str">
        <f t="shared" si="69"/>
        <v>Phước Giang</v>
      </c>
      <c r="AE722" s="1" t="str">
        <f t="shared" si="70"/>
        <v>Trà Giang</v>
      </c>
      <c r="AG722">
        <f t="shared" si="71"/>
        <v>0.68279999999999996</v>
      </c>
      <c r="AH722">
        <f t="shared" si="72"/>
        <v>6.634000000000001E-2</v>
      </c>
      <c r="AI722">
        <f>VLOOKUP(L722,'[1]Tuyến cáp H04'!$B:$E,3,0)/1000</f>
        <v>15.189</v>
      </c>
      <c r="AJ722" t="str">
        <f>VLOOKUP(L722,'[1]Tuyến cáp H04'!$B:$E,4,0)</f>
        <v>Mạng cấp 4</v>
      </c>
    </row>
    <row r="723" spans="1:36" x14ac:dyDescent="0.25">
      <c r="A723" s="1" t="s">
        <v>6822</v>
      </c>
      <c r="B723" s="1" t="s">
        <v>6823</v>
      </c>
      <c r="C723" s="1" t="s">
        <v>6824</v>
      </c>
      <c r="D723" s="1" t="s">
        <v>5220</v>
      </c>
      <c r="E723" s="1" t="s">
        <v>5221</v>
      </c>
      <c r="F723" s="1" t="s">
        <v>6825</v>
      </c>
      <c r="G723" s="1" t="s">
        <v>14129</v>
      </c>
      <c r="H723" s="1" t="s">
        <v>14679</v>
      </c>
      <c r="I723" s="1" t="s">
        <v>14840</v>
      </c>
      <c r="J723" s="1" t="s">
        <v>23</v>
      </c>
      <c r="K723" s="1"/>
      <c r="L723" s="1" t="s">
        <v>6801</v>
      </c>
      <c r="M723" s="1" t="s">
        <v>6826</v>
      </c>
      <c r="N723" s="1" t="s">
        <v>6827</v>
      </c>
      <c r="O723" s="1" t="s">
        <v>6828</v>
      </c>
      <c r="P723" s="1" t="s">
        <v>6829</v>
      </c>
      <c r="Q723" s="1" t="s">
        <v>6830</v>
      </c>
      <c r="R723" s="1" t="s">
        <v>6831</v>
      </c>
      <c r="S723" s="1" t="s">
        <v>6832</v>
      </c>
      <c r="T723" s="1" t="s">
        <v>6833</v>
      </c>
      <c r="U723">
        <v>1664.54</v>
      </c>
      <c r="V723">
        <v>1579.29</v>
      </c>
      <c r="W723">
        <v>15.132004</v>
      </c>
      <c r="X723">
        <v>108.72138</v>
      </c>
      <c r="Y723">
        <v>85.26</v>
      </c>
      <c r="Z723">
        <v>15.132866999999999</v>
      </c>
      <c r="AA723">
        <v>108.71233599999999</v>
      </c>
      <c r="AB723" s="5">
        <f t="shared" si="67"/>
        <v>2.368935</v>
      </c>
      <c r="AC723" s="5">
        <f t="shared" si="68"/>
        <v>0.12789</v>
      </c>
      <c r="AD723" s="1" t="str">
        <f t="shared" si="69"/>
        <v>Trà Giang</v>
      </c>
      <c r="AE723" s="1" t="str">
        <f t="shared" si="70"/>
        <v>Nghĩa Giang</v>
      </c>
      <c r="AG723">
        <f t="shared" si="71"/>
        <v>1.5792899999999999</v>
      </c>
      <c r="AH723">
        <f t="shared" si="72"/>
        <v>8.5260000000000002E-2</v>
      </c>
      <c r="AI723">
        <f>VLOOKUP(L723,'[1]Tuyến cáp H04'!$B:$E,3,0)/1000</f>
        <v>10.778</v>
      </c>
      <c r="AJ723" t="str">
        <f>VLOOKUP(L723,'[1]Tuyến cáp H04'!$B:$E,4,0)</f>
        <v>Mạng cấp 4</v>
      </c>
    </row>
    <row r="724" spans="1:36" x14ac:dyDescent="0.25">
      <c r="A724" s="1" t="s">
        <v>6834</v>
      </c>
      <c r="B724" s="1" t="s">
        <v>6835</v>
      </c>
      <c r="C724" s="1" t="s">
        <v>6836</v>
      </c>
      <c r="D724" s="1" t="s">
        <v>5220</v>
      </c>
      <c r="E724" s="1" t="s">
        <v>5221</v>
      </c>
      <c r="F724" s="1" t="s">
        <v>6837</v>
      </c>
      <c r="G724" s="1" t="s">
        <v>14281</v>
      </c>
      <c r="H724" s="1" t="s">
        <v>14282</v>
      </c>
      <c r="I724" s="1" t="s">
        <v>14841</v>
      </c>
      <c r="J724" s="1" t="s">
        <v>23</v>
      </c>
      <c r="K724" s="1"/>
      <c r="L724" s="1" t="s">
        <v>6801</v>
      </c>
      <c r="M724" s="1" t="s">
        <v>6838</v>
      </c>
      <c r="N724" s="1" t="s">
        <v>6839</v>
      </c>
      <c r="O724" s="1" t="s">
        <v>6840</v>
      </c>
      <c r="P724" s="1" t="s">
        <v>6841</v>
      </c>
      <c r="Q724" s="1" t="s">
        <v>6830</v>
      </c>
      <c r="R724" s="1" t="s">
        <v>6831</v>
      </c>
      <c r="S724" s="1" t="s">
        <v>6832</v>
      </c>
      <c r="T724" s="1" t="s">
        <v>6833</v>
      </c>
      <c r="U724">
        <v>376.76</v>
      </c>
      <c r="V724">
        <v>291.51</v>
      </c>
      <c r="W724">
        <v>15.119567999999999</v>
      </c>
      <c r="X724">
        <v>108.74714400000001</v>
      </c>
      <c r="Y724">
        <v>85.26</v>
      </c>
      <c r="Z724">
        <v>15.132866999999999</v>
      </c>
      <c r="AA724">
        <v>108.71233599999999</v>
      </c>
      <c r="AB724" s="5">
        <f t="shared" si="67"/>
        <v>0.43726499999999996</v>
      </c>
      <c r="AC724" s="5">
        <f t="shared" si="68"/>
        <v>0.12789</v>
      </c>
      <c r="AD724" s="1" t="str">
        <f t="shared" si="69"/>
        <v>Trà Giang</v>
      </c>
      <c r="AE724" s="1" t="str">
        <f t="shared" si="70"/>
        <v>Nghĩa Giang</v>
      </c>
      <c r="AG724">
        <f t="shared" si="71"/>
        <v>0.29150999999999999</v>
      </c>
      <c r="AH724">
        <f t="shared" si="72"/>
        <v>8.5260000000000002E-2</v>
      </c>
      <c r="AI724">
        <f>VLOOKUP(L724,'[1]Tuyến cáp H04'!$B:$E,3,0)/1000</f>
        <v>10.778</v>
      </c>
      <c r="AJ724" t="str">
        <f>VLOOKUP(L724,'[1]Tuyến cáp H04'!$B:$E,4,0)</f>
        <v>Mạng cấp 4</v>
      </c>
    </row>
    <row r="725" spans="1:36" x14ac:dyDescent="0.25">
      <c r="A725" s="1" t="s">
        <v>6842</v>
      </c>
      <c r="B725" s="1" t="s">
        <v>6843</v>
      </c>
      <c r="C725" s="1" t="s">
        <v>6844</v>
      </c>
      <c r="D725" s="1" t="s">
        <v>6845</v>
      </c>
      <c r="E725" s="1" t="s">
        <v>6846</v>
      </c>
      <c r="F725" s="1" t="s">
        <v>6847</v>
      </c>
      <c r="G725" s="1" t="s">
        <v>14281</v>
      </c>
      <c r="H725" s="1" t="s">
        <v>14282</v>
      </c>
      <c r="I725" s="1" t="s">
        <v>14842</v>
      </c>
      <c r="J725" s="1" t="s">
        <v>23</v>
      </c>
      <c r="K725" s="1"/>
      <c r="L725" s="1" t="s">
        <v>5381</v>
      </c>
      <c r="M725" s="1" t="s">
        <v>6848</v>
      </c>
      <c r="N725" s="1" t="s">
        <v>6849</v>
      </c>
      <c r="O725" s="1" t="s">
        <v>6850</v>
      </c>
      <c r="P725" s="1" t="s">
        <v>6851</v>
      </c>
      <c r="Q725" s="1" t="s">
        <v>6852</v>
      </c>
      <c r="R725" s="1" t="s">
        <v>6853</v>
      </c>
      <c r="S725" s="1" t="s">
        <v>6854</v>
      </c>
      <c r="T725" s="1" t="s">
        <v>6855</v>
      </c>
      <c r="U725">
        <v>358</v>
      </c>
      <c r="V725">
        <v>62.5</v>
      </c>
      <c r="W725">
        <v>15.030848000000001</v>
      </c>
      <c r="X725">
        <v>108.83918799999999</v>
      </c>
      <c r="Y725">
        <v>295.5</v>
      </c>
      <c r="Z725">
        <v>15.047159000000001</v>
      </c>
      <c r="AA725">
        <v>108.847313</v>
      </c>
      <c r="AB725" s="5">
        <f t="shared" si="67"/>
        <v>9.375E-2</v>
      </c>
      <c r="AC725" s="5">
        <f t="shared" si="68"/>
        <v>0.44324999999999998</v>
      </c>
      <c r="AD725" s="1" t="str">
        <f t="shared" si="69"/>
        <v>Mộ Đức</v>
      </c>
      <c r="AE725" s="1" t="str">
        <f t="shared" si="70"/>
        <v>Vệ Giang</v>
      </c>
      <c r="AG725">
        <f t="shared" si="71"/>
        <v>6.25E-2</v>
      </c>
      <c r="AH725">
        <f t="shared" si="72"/>
        <v>0.29549999999999998</v>
      </c>
      <c r="AI725">
        <f>VLOOKUP(L725,'[1]Tuyến cáp H04'!$B:$E,3,0)/1000</f>
        <v>17.908000000000001</v>
      </c>
      <c r="AJ725" t="str">
        <f>VLOOKUP(L725,'[1]Tuyến cáp H04'!$B:$E,4,0)</f>
        <v>Mạng cấp 4</v>
      </c>
    </row>
    <row r="726" spans="1:36" x14ac:dyDescent="0.25">
      <c r="A726" s="1" t="s">
        <v>6856</v>
      </c>
      <c r="B726" s="1" t="s">
        <v>6845</v>
      </c>
      <c r="C726" s="1" t="s">
        <v>6846</v>
      </c>
      <c r="D726" s="1" t="s">
        <v>5352</v>
      </c>
      <c r="E726" s="1" t="s">
        <v>5353</v>
      </c>
      <c r="F726" s="1" t="s">
        <v>6857</v>
      </c>
      <c r="G726" s="1" t="s">
        <v>14281</v>
      </c>
      <c r="H726" s="1" t="s">
        <v>14282</v>
      </c>
      <c r="I726" s="1" t="s">
        <v>14843</v>
      </c>
      <c r="J726" s="1" t="s">
        <v>23</v>
      </c>
      <c r="K726" s="1"/>
      <c r="L726" s="1" t="s">
        <v>5745</v>
      </c>
      <c r="M726" s="1" t="s">
        <v>6858</v>
      </c>
      <c r="N726" s="1" t="s">
        <v>6859</v>
      </c>
      <c r="O726" s="1" t="s">
        <v>6860</v>
      </c>
      <c r="P726" s="1" t="s">
        <v>6861</v>
      </c>
      <c r="Q726" s="1" t="s">
        <v>5747</v>
      </c>
      <c r="R726" s="1" t="s">
        <v>5748</v>
      </c>
      <c r="S726" s="1" t="s">
        <v>5749</v>
      </c>
      <c r="T726" s="1" t="s">
        <v>5753</v>
      </c>
      <c r="U726">
        <v>220.25</v>
      </c>
      <c r="V726">
        <v>115.37</v>
      </c>
      <c r="W726">
        <v>15.048643999999999</v>
      </c>
      <c r="X726">
        <v>108.84818</v>
      </c>
      <c r="Y726">
        <v>104.88</v>
      </c>
      <c r="Z726">
        <v>15.058427999999999</v>
      </c>
      <c r="AA726">
        <v>108.842528</v>
      </c>
      <c r="AB726" s="5">
        <f t="shared" si="67"/>
        <v>0.17305500000000001</v>
      </c>
      <c r="AC726" s="5">
        <f t="shared" si="68"/>
        <v>0.15731999999999999</v>
      </c>
      <c r="AD726" s="1" t="str">
        <f t="shared" si="69"/>
        <v>Long Phụng</v>
      </c>
      <c r="AE726" s="1" t="str">
        <f t="shared" si="70"/>
        <v>Tư Nghĩa</v>
      </c>
      <c r="AG726">
        <f t="shared" si="71"/>
        <v>0.11537</v>
      </c>
      <c r="AH726">
        <f t="shared" si="72"/>
        <v>0.10488</v>
      </c>
      <c r="AI726">
        <f>VLOOKUP(L726,'[1]Tuyến cáp H04'!$B:$E,3,0)/1000</f>
        <v>11.252000000000001</v>
      </c>
      <c r="AJ726" t="str">
        <f>VLOOKUP(L726,'[1]Tuyến cáp H04'!$B:$E,4,0)</f>
        <v>Mạng cấp 4</v>
      </c>
    </row>
    <row r="727" spans="1:36" x14ac:dyDescent="0.25">
      <c r="A727" s="1" t="s">
        <v>6862</v>
      </c>
      <c r="B727" s="1" t="s">
        <v>6088</v>
      </c>
      <c r="C727" s="1" t="s">
        <v>6089</v>
      </c>
      <c r="D727" s="1" t="s">
        <v>6845</v>
      </c>
      <c r="E727" s="1" t="s">
        <v>6846</v>
      </c>
      <c r="F727" s="1" t="s">
        <v>6863</v>
      </c>
      <c r="G727" s="1" t="s">
        <v>14281</v>
      </c>
      <c r="H727" s="1" t="s">
        <v>14282</v>
      </c>
      <c r="I727" s="1" t="s">
        <v>14844</v>
      </c>
      <c r="J727" s="1" t="s">
        <v>23</v>
      </c>
      <c r="K727" s="1"/>
      <c r="L727" s="1" t="s">
        <v>5745</v>
      </c>
      <c r="M727" s="1" t="s">
        <v>6864</v>
      </c>
      <c r="N727" s="1" t="s">
        <v>6095</v>
      </c>
      <c r="O727" s="1" t="s">
        <v>6096</v>
      </c>
      <c r="P727" s="1" t="s">
        <v>6097</v>
      </c>
      <c r="Q727" s="1" t="s">
        <v>6865</v>
      </c>
      <c r="R727" s="1" t="s">
        <v>6866</v>
      </c>
      <c r="S727" s="1" t="s">
        <v>6867</v>
      </c>
      <c r="T727" s="1" t="s">
        <v>6098</v>
      </c>
      <c r="U727">
        <v>1566.8</v>
      </c>
      <c r="V727">
        <v>365.36</v>
      </c>
      <c r="W727">
        <v>15.030893000000001</v>
      </c>
      <c r="X727">
        <v>108.86153400000001</v>
      </c>
      <c r="Y727">
        <v>1201.45</v>
      </c>
      <c r="Z727">
        <v>15.038814</v>
      </c>
      <c r="AA727">
        <v>108.852256</v>
      </c>
      <c r="AB727" s="5">
        <f t="shared" si="67"/>
        <v>0.54803999999999997</v>
      </c>
      <c r="AC727" s="5">
        <f t="shared" si="68"/>
        <v>1.8021750000000001</v>
      </c>
      <c r="AD727" s="1" t="str">
        <f t="shared" si="69"/>
        <v>Long Phụng</v>
      </c>
      <c r="AE727" s="1" t="str">
        <f t="shared" si="70"/>
        <v>Tư Nghĩa</v>
      </c>
      <c r="AG727">
        <f t="shared" si="71"/>
        <v>0.36536000000000002</v>
      </c>
      <c r="AH727">
        <f t="shared" si="72"/>
        <v>1.2014500000000001</v>
      </c>
      <c r="AI727">
        <f>VLOOKUP(L727,'[1]Tuyến cáp H04'!$B:$E,3,0)/1000</f>
        <v>11.252000000000001</v>
      </c>
      <c r="AJ727" t="str">
        <f>VLOOKUP(L727,'[1]Tuyến cáp H04'!$B:$E,4,0)</f>
        <v>Mạng cấp 4</v>
      </c>
    </row>
    <row r="728" spans="1:36" x14ac:dyDescent="0.25">
      <c r="A728" s="1" t="s">
        <v>6868</v>
      </c>
      <c r="B728" s="1" t="s">
        <v>6869</v>
      </c>
      <c r="C728" s="1" t="s">
        <v>6870</v>
      </c>
      <c r="D728" s="1" t="s">
        <v>6835</v>
      </c>
      <c r="E728" s="1" t="s">
        <v>6836</v>
      </c>
      <c r="F728" s="1" t="s">
        <v>6871</v>
      </c>
      <c r="G728" s="1" t="s">
        <v>14129</v>
      </c>
      <c r="H728" s="1" t="s">
        <v>14679</v>
      </c>
      <c r="I728" s="1" t="s">
        <v>14845</v>
      </c>
      <c r="J728" s="1" t="s">
        <v>23</v>
      </c>
      <c r="K728" s="1"/>
      <c r="L728" s="1" t="s">
        <v>5469</v>
      </c>
      <c r="M728" s="1" t="s">
        <v>6872</v>
      </c>
      <c r="N728" s="1" t="s">
        <v>6873</v>
      </c>
      <c r="O728" s="1" t="s">
        <v>6874</v>
      </c>
      <c r="P728" s="1" t="s">
        <v>6875</v>
      </c>
      <c r="Q728" s="1" t="s">
        <v>6876</v>
      </c>
      <c r="R728" s="1" t="s">
        <v>6877</v>
      </c>
      <c r="S728" s="1" t="s">
        <v>6878</v>
      </c>
      <c r="T728" s="1" t="s">
        <v>6821</v>
      </c>
      <c r="U728">
        <v>598.44000000000005</v>
      </c>
      <c r="V728">
        <v>100.68</v>
      </c>
      <c r="W728">
        <v>15.111948</v>
      </c>
      <c r="X728">
        <v>108.734939</v>
      </c>
      <c r="Y728">
        <v>497.76</v>
      </c>
      <c r="Z728">
        <v>15.112887000000001</v>
      </c>
      <c r="AA728">
        <v>108.74466099999999</v>
      </c>
      <c r="AB728" s="5">
        <f t="shared" si="67"/>
        <v>0.15102000000000002</v>
      </c>
      <c r="AC728" s="5">
        <f t="shared" si="68"/>
        <v>0.74663999999999997</v>
      </c>
      <c r="AD728" s="1" t="str">
        <f t="shared" si="69"/>
        <v>Phước Giang</v>
      </c>
      <c r="AE728" s="1" t="str">
        <f t="shared" si="70"/>
        <v>Trà Giang</v>
      </c>
      <c r="AG728">
        <f t="shared" si="71"/>
        <v>0.10068000000000001</v>
      </c>
      <c r="AH728">
        <f t="shared" si="72"/>
        <v>0.49775999999999998</v>
      </c>
      <c r="AI728">
        <f>VLOOKUP(L728,'[1]Tuyến cáp H04'!$B:$E,3,0)/1000</f>
        <v>15.189</v>
      </c>
      <c r="AJ728" t="str">
        <f>VLOOKUP(L728,'[1]Tuyến cáp H04'!$B:$E,4,0)</f>
        <v>Mạng cấp 4</v>
      </c>
    </row>
    <row r="729" spans="1:36" x14ac:dyDescent="0.25">
      <c r="A729" s="1" t="s">
        <v>6879</v>
      </c>
      <c r="B729" s="1" t="s">
        <v>5305</v>
      </c>
      <c r="C729" s="1" t="s">
        <v>5306</v>
      </c>
      <c r="D729" s="1" t="s">
        <v>6835</v>
      </c>
      <c r="E729" s="1" t="s">
        <v>6836</v>
      </c>
      <c r="F729" s="1" t="s">
        <v>6880</v>
      </c>
      <c r="G729" s="1" t="s">
        <v>14129</v>
      </c>
      <c r="H729" s="1" t="s">
        <v>14679</v>
      </c>
      <c r="I729" s="1" t="s">
        <v>14846</v>
      </c>
      <c r="J729" s="1" t="s">
        <v>23</v>
      </c>
      <c r="K729" s="1"/>
      <c r="L729" s="1" t="s">
        <v>6881</v>
      </c>
      <c r="M729" s="1" t="s">
        <v>6882</v>
      </c>
      <c r="N729" s="1" t="s">
        <v>6883</v>
      </c>
      <c r="O729" s="1" t="s">
        <v>6884</v>
      </c>
      <c r="P729" s="1" t="s">
        <v>6885</v>
      </c>
      <c r="Q729" s="1" t="s">
        <v>6886</v>
      </c>
      <c r="R729" s="1" t="s">
        <v>6887</v>
      </c>
      <c r="S729" s="1" t="s">
        <v>6888</v>
      </c>
      <c r="T729" s="1" t="s">
        <v>6889</v>
      </c>
      <c r="U729">
        <v>303.81</v>
      </c>
      <c r="V729">
        <v>97.22</v>
      </c>
      <c r="W729">
        <v>15.116405</v>
      </c>
      <c r="X729">
        <v>108.754485</v>
      </c>
      <c r="Y729">
        <v>206.6</v>
      </c>
      <c r="Z729">
        <v>15.118936</v>
      </c>
      <c r="AA729">
        <v>108.74655799999999</v>
      </c>
      <c r="AB729" s="5">
        <f t="shared" si="67"/>
        <v>0.14582999999999999</v>
      </c>
      <c r="AC729" s="5">
        <f t="shared" si="68"/>
        <v>0.30989999999999995</v>
      </c>
      <c r="AD729" s="1" t="str">
        <f t="shared" si="69"/>
        <v>Trường Giang</v>
      </c>
      <c r="AE729" s="1" t="str">
        <f t="shared" si="70"/>
        <v>TT1 QUẢNG NGÃI</v>
      </c>
      <c r="AG729">
        <f t="shared" si="71"/>
        <v>9.7220000000000001E-2</v>
      </c>
      <c r="AH729">
        <f t="shared" si="72"/>
        <v>0.20660000000000001</v>
      </c>
      <c r="AI729">
        <f>VLOOKUP(L729,'[1]Tuyến cáp H04'!$B:$E,3,0)/1000</f>
        <v>22.302</v>
      </c>
      <c r="AJ729" t="str">
        <f>VLOOKUP(L729,'[1]Tuyến cáp H04'!$B:$E,4,0)</f>
        <v>Mạng cấp 4</v>
      </c>
    </row>
    <row r="730" spans="1:36" x14ac:dyDescent="0.25">
      <c r="A730" s="1" t="s">
        <v>6890</v>
      </c>
      <c r="B730" s="1" t="s">
        <v>6835</v>
      </c>
      <c r="C730" s="1" t="s">
        <v>6836</v>
      </c>
      <c r="D730" s="1" t="s">
        <v>5514</v>
      </c>
      <c r="E730" s="1" t="s">
        <v>5515</v>
      </c>
      <c r="F730" s="1" t="s">
        <v>6891</v>
      </c>
      <c r="G730" s="1" t="s">
        <v>14129</v>
      </c>
      <c r="H730" s="1" t="s">
        <v>14679</v>
      </c>
      <c r="I730" s="1" t="s">
        <v>14847</v>
      </c>
      <c r="J730" s="1" t="s">
        <v>23</v>
      </c>
      <c r="K730" s="1"/>
      <c r="L730" s="1" t="s">
        <v>5469</v>
      </c>
      <c r="M730" s="1" t="s">
        <v>6892</v>
      </c>
      <c r="N730" s="1" t="s">
        <v>6876</v>
      </c>
      <c r="O730" s="1" t="s">
        <v>6877</v>
      </c>
      <c r="P730" s="1" t="s">
        <v>6878</v>
      </c>
      <c r="Q730" s="1" t="s">
        <v>6893</v>
      </c>
      <c r="R730" s="1" t="s">
        <v>6894</v>
      </c>
      <c r="S730" s="1" t="s">
        <v>6895</v>
      </c>
      <c r="T730" s="1" t="s">
        <v>6821</v>
      </c>
      <c r="U730">
        <v>564.6</v>
      </c>
      <c r="V730">
        <v>497.76</v>
      </c>
      <c r="W730">
        <v>15.112887000000001</v>
      </c>
      <c r="X730">
        <v>108.74466099999999</v>
      </c>
      <c r="Y730">
        <v>66.83</v>
      </c>
      <c r="Z730">
        <v>15.0936</v>
      </c>
      <c r="AA730">
        <v>108.75017</v>
      </c>
      <c r="AB730" s="5">
        <f t="shared" si="67"/>
        <v>0.74663999999999997</v>
      </c>
      <c r="AC730" s="5">
        <f t="shared" si="68"/>
        <v>0.100245</v>
      </c>
      <c r="AD730" s="1" t="str">
        <f t="shared" si="69"/>
        <v>Phước Giang</v>
      </c>
      <c r="AE730" s="1" t="str">
        <f t="shared" si="70"/>
        <v>Trà Giang</v>
      </c>
      <c r="AG730">
        <f t="shared" si="71"/>
        <v>0.49775999999999998</v>
      </c>
      <c r="AH730">
        <f t="shared" si="72"/>
        <v>6.6830000000000001E-2</v>
      </c>
      <c r="AI730">
        <f>VLOOKUP(L730,'[1]Tuyến cáp H04'!$B:$E,3,0)/1000</f>
        <v>15.189</v>
      </c>
      <c r="AJ730" t="str">
        <f>VLOOKUP(L730,'[1]Tuyến cáp H04'!$B:$E,4,0)</f>
        <v>Mạng cấp 4</v>
      </c>
    </row>
    <row r="731" spans="1:36" x14ac:dyDescent="0.25">
      <c r="A731" s="1" t="s">
        <v>6896</v>
      </c>
      <c r="B731" s="1" t="s">
        <v>6897</v>
      </c>
      <c r="C731" s="1" t="s">
        <v>6898</v>
      </c>
      <c r="D731" s="1" t="s">
        <v>5731</v>
      </c>
      <c r="E731" s="1" t="s">
        <v>5732</v>
      </c>
      <c r="F731" s="1" t="s">
        <v>6899</v>
      </c>
      <c r="G731" s="1" t="s">
        <v>14129</v>
      </c>
      <c r="H731" s="1" t="s">
        <v>14679</v>
      </c>
      <c r="I731" s="1" t="s">
        <v>14848</v>
      </c>
      <c r="J731" s="1" t="s">
        <v>23</v>
      </c>
      <c r="K731" s="1"/>
      <c r="L731" s="1" t="s">
        <v>6521</v>
      </c>
      <c r="M731" s="1" t="s">
        <v>6900</v>
      </c>
      <c r="N731" s="1" t="s">
        <v>6901</v>
      </c>
      <c r="O731" s="1" t="s">
        <v>6563</v>
      </c>
      <c r="P731" s="1" t="s">
        <v>6564</v>
      </c>
      <c r="Q731" s="1" t="s">
        <v>6902</v>
      </c>
      <c r="R731" s="1" t="s">
        <v>6903</v>
      </c>
      <c r="S731" s="1" t="s">
        <v>6904</v>
      </c>
      <c r="T731" s="1" t="s">
        <v>6529</v>
      </c>
      <c r="U731">
        <v>4454.04</v>
      </c>
      <c r="V731">
        <v>1296.06</v>
      </c>
      <c r="W731">
        <v>15.124615</v>
      </c>
      <c r="X731">
        <v>108.860423</v>
      </c>
      <c r="Y731">
        <v>3157.98</v>
      </c>
      <c r="Z731">
        <v>15.11913</v>
      </c>
      <c r="AA731">
        <v>108.82518</v>
      </c>
      <c r="AB731" s="5">
        <f t="shared" si="67"/>
        <v>1.9440899999999999</v>
      </c>
      <c r="AC731" s="5">
        <f t="shared" si="68"/>
        <v>4.7369700000000003</v>
      </c>
      <c r="AD731" s="1" t="str">
        <f t="shared" si="69"/>
        <v>Quảng Ngãi</v>
      </c>
      <c r="AE731" s="1" t="str">
        <f t="shared" si="70"/>
        <v>Ring 1_An Phú-CAT Quảng Ngãi</v>
      </c>
      <c r="AG731">
        <f t="shared" si="71"/>
        <v>1.29606</v>
      </c>
      <c r="AH731">
        <f t="shared" si="72"/>
        <v>3.1579800000000002</v>
      </c>
      <c r="AI731" t="e">
        <f>VLOOKUP(L731,'[1]Tuyến cáp H04'!$B:$E,3,0)/1000</f>
        <v>#N/A</v>
      </c>
      <c r="AJ731" t="e">
        <f>VLOOKUP(L731,'[1]Tuyến cáp H04'!$B:$E,4,0)</f>
        <v>#N/A</v>
      </c>
    </row>
    <row r="732" spans="1:36" x14ac:dyDescent="0.25">
      <c r="A732" s="1" t="s">
        <v>6905</v>
      </c>
      <c r="B732" s="1" t="s">
        <v>6906</v>
      </c>
      <c r="C732" s="1" t="s">
        <v>6907</v>
      </c>
      <c r="D732" s="1" t="s">
        <v>5731</v>
      </c>
      <c r="E732" s="1" t="s">
        <v>5732</v>
      </c>
      <c r="F732" s="1" t="s">
        <v>6908</v>
      </c>
      <c r="G732" s="1" t="s">
        <v>14129</v>
      </c>
      <c r="H732" s="1" t="s">
        <v>14679</v>
      </c>
      <c r="I732" s="1" t="s">
        <v>14849</v>
      </c>
      <c r="J732" s="1" t="s">
        <v>23</v>
      </c>
      <c r="K732" s="1"/>
      <c r="L732" s="1" t="s">
        <v>5721</v>
      </c>
      <c r="M732" s="1" t="s">
        <v>6909</v>
      </c>
      <c r="N732" s="1" t="s">
        <v>6910</v>
      </c>
      <c r="O732" s="1" t="s">
        <v>6911</v>
      </c>
      <c r="P732" s="1" t="s">
        <v>6912</v>
      </c>
      <c r="Q732" s="1" t="s">
        <v>6913</v>
      </c>
      <c r="R732" s="1" t="s">
        <v>6914</v>
      </c>
      <c r="S732" s="1" t="s">
        <v>6915</v>
      </c>
      <c r="T732" s="1" t="s">
        <v>5729</v>
      </c>
      <c r="U732">
        <v>2723.56</v>
      </c>
      <c r="V732">
        <v>2001.09</v>
      </c>
      <c r="W732">
        <v>15.08996</v>
      </c>
      <c r="X732">
        <v>108.830865</v>
      </c>
      <c r="Y732">
        <v>722.47</v>
      </c>
      <c r="Z732">
        <v>15.093292999999999</v>
      </c>
      <c r="AA732">
        <v>108.82804400000001</v>
      </c>
      <c r="AB732" s="5">
        <f t="shared" si="67"/>
        <v>3.0016349999999998</v>
      </c>
      <c r="AC732" s="5">
        <f t="shared" si="68"/>
        <v>1.0837049999999999</v>
      </c>
      <c r="AD732" s="1" t="str">
        <f t="shared" si="69"/>
        <v>Vệ Giang</v>
      </c>
      <c r="AE732" s="1" t="str">
        <f t="shared" si="70"/>
        <v>Cẩm Thành</v>
      </c>
      <c r="AG732">
        <f t="shared" si="71"/>
        <v>2.00109</v>
      </c>
      <c r="AH732">
        <f t="shared" si="72"/>
        <v>0.72247000000000006</v>
      </c>
      <c r="AI732">
        <f>VLOOKUP(L732,'[1]Tuyến cáp H04'!$B:$E,3,0)/1000</f>
        <v>11.173</v>
      </c>
      <c r="AJ732" t="str">
        <f>VLOOKUP(L732,'[1]Tuyến cáp H04'!$B:$E,4,0)</f>
        <v>Mạng cấp 4</v>
      </c>
    </row>
    <row r="733" spans="1:36" x14ac:dyDescent="0.25">
      <c r="A733" s="1" t="s">
        <v>6916</v>
      </c>
      <c r="B733" s="1" t="s">
        <v>6917</v>
      </c>
      <c r="C733" s="1" t="s">
        <v>6918</v>
      </c>
      <c r="D733" s="1" t="s">
        <v>6919</v>
      </c>
      <c r="E733" s="1" t="s">
        <v>6920</v>
      </c>
      <c r="F733" s="1" t="s">
        <v>6921</v>
      </c>
      <c r="G733" s="1" t="s">
        <v>14281</v>
      </c>
      <c r="H733" s="1" t="s">
        <v>14282</v>
      </c>
      <c r="I733" s="1" t="s">
        <v>14850</v>
      </c>
      <c r="J733" s="1" t="s">
        <v>23</v>
      </c>
      <c r="K733" s="1"/>
      <c r="L733" s="1" t="s">
        <v>6922</v>
      </c>
      <c r="M733" s="1" t="s">
        <v>6923</v>
      </c>
      <c r="N733" s="1" t="s">
        <v>6924</v>
      </c>
      <c r="O733" s="1" t="s">
        <v>6925</v>
      </c>
      <c r="P733" s="1" t="s">
        <v>6926</v>
      </c>
      <c r="Q733" s="1" t="s">
        <v>6927</v>
      </c>
      <c r="R733" s="1" t="s">
        <v>6928</v>
      </c>
      <c r="S733" s="1" t="s">
        <v>6929</v>
      </c>
      <c r="T733" s="1" t="s">
        <v>6930</v>
      </c>
      <c r="U733">
        <v>3507.62</v>
      </c>
      <c r="V733">
        <v>1903.66</v>
      </c>
      <c r="W733">
        <v>16.493866000000001</v>
      </c>
      <c r="X733">
        <v>107.622596</v>
      </c>
      <c r="Y733">
        <v>1603.95</v>
      </c>
      <c r="Z733">
        <v>16.534875</v>
      </c>
      <c r="AA733">
        <v>107.629738</v>
      </c>
      <c r="AB733" s="5">
        <f t="shared" si="67"/>
        <v>2.8554900000000001</v>
      </c>
      <c r="AC733" s="5">
        <f t="shared" si="68"/>
        <v>2.4059250000000003</v>
      </c>
      <c r="AD733" s="1" t="str">
        <f t="shared" si="69"/>
        <v>Ring 7 Hóa Châu</v>
      </c>
      <c r="AE733" s="1" t="str">
        <f t="shared" si="70"/>
        <v>Mỹ Thượng</v>
      </c>
      <c r="AG733">
        <f t="shared" si="71"/>
        <v>1.9036600000000001</v>
      </c>
      <c r="AH733">
        <f t="shared" si="72"/>
        <v>1.60395</v>
      </c>
      <c r="AI733" t="e">
        <f>VLOOKUP(L733,'[1]Tuyến cáp H04'!$B:$E,3,0)/1000</f>
        <v>#N/A</v>
      </c>
      <c r="AJ733" t="e">
        <f>VLOOKUP(L733,'[1]Tuyến cáp H04'!$B:$E,4,0)</f>
        <v>#N/A</v>
      </c>
    </row>
    <row r="734" spans="1:36" x14ac:dyDescent="0.25">
      <c r="A734" s="1" t="s">
        <v>6931</v>
      </c>
      <c r="B734" s="1" t="s">
        <v>6932</v>
      </c>
      <c r="C734" s="1" t="s">
        <v>6933</v>
      </c>
      <c r="D734" s="1" t="s">
        <v>6934</v>
      </c>
      <c r="E734" s="1" t="s">
        <v>6935</v>
      </c>
      <c r="F734" s="1" t="s">
        <v>6936</v>
      </c>
      <c r="G734" s="1" t="s">
        <v>14281</v>
      </c>
      <c r="H734" s="1" t="s">
        <v>14282</v>
      </c>
      <c r="I734" s="1" t="s">
        <v>14851</v>
      </c>
      <c r="J734" s="1" t="s">
        <v>23</v>
      </c>
      <c r="K734" s="1"/>
      <c r="L734" s="1" t="s">
        <v>6937</v>
      </c>
      <c r="M734" s="1" t="s">
        <v>6938</v>
      </c>
      <c r="N734" s="1" t="s">
        <v>6939</v>
      </c>
      <c r="O734" s="1" t="s">
        <v>6940</v>
      </c>
      <c r="P734" s="1" t="s">
        <v>6941</v>
      </c>
      <c r="Q734" s="1" t="s">
        <v>6942</v>
      </c>
      <c r="R734" s="1" t="s">
        <v>6943</v>
      </c>
      <c r="S734" s="1" t="s">
        <v>6944</v>
      </c>
      <c r="T734" s="1" t="s">
        <v>6945</v>
      </c>
      <c r="U734">
        <v>14876.49</v>
      </c>
      <c r="V734">
        <v>6451.64</v>
      </c>
      <c r="W734">
        <v>16.432220999999998</v>
      </c>
      <c r="X734">
        <v>107.776447</v>
      </c>
      <c r="Y734">
        <v>8424.86</v>
      </c>
      <c r="Z734">
        <v>16.345566000000002</v>
      </c>
      <c r="AA734">
        <v>107.89903099999999</v>
      </c>
      <c r="AB734" s="5">
        <f t="shared" si="67"/>
        <v>9.6774600000000017</v>
      </c>
      <c r="AC734" s="5">
        <f t="shared" si="68"/>
        <v>12.63729</v>
      </c>
      <c r="AD734" s="1" t="str">
        <f t="shared" si="69"/>
        <v>TTCMKV_Ring 1_Phú Vang</v>
      </c>
      <c r="AE734" s="1" t="str">
        <f t="shared" si="70"/>
        <v>Phú Lộc</v>
      </c>
      <c r="AG734">
        <f t="shared" si="71"/>
        <v>6.4516400000000003</v>
      </c>
      <c r="AH734">
        <f t="shared" si="72"/>
        <v>8.4248600000000007</v>
      </c>
      <c r="AI734" t="e">
        <f>VLOOKUP(L734,'[1]Tuyến cáp H04'!$B:$E,3,0)/1000</f>
        <v>#N/A</v>
      </c>
      <c r="AJ734" t="e">
        <f>VLOOKUP(L734,'[1]Tuyến cáp H04'!$B:$E,4,0)</f>
        <v>#N/A</v>
      </c>
    </row>
    <row r="735" spans="1:36" x14ac:dyDescent="0.25">
      <c r="A735" s="1" t="s">
        <v>6946</v>
      </c>
      <c r="B735" s="1" t="s">
        <v>6947</v>
      </c>
      <c r="C735" s="1" t="s">
        <v>6948</v>
      </c>
      <c r="D735" s="1" t="s">
        <v>6949</v>
      </c>
      <c r="E735" s="1" t="s">
        <v>6950</v>
      </c>
      <c r="F735" s="1" t="s">
        <v>6951</v>
      </c>
      <c r="G735" s="1" t="s">
        <v>14281</v>
      </c>
      <c r="H735" s="1" t="s">
        <v>14282</v>
      </c>
      <c r="I735" s="1" t="s">
        <v>14852</v>
      </c>
      <c r="J735" s="1" t="s">
        <v>23</v>
      </c>
      <c r="K735" s="1"/>
      <c r="L735" s="1" t="s">
        <v>6952</v>
      </c>
      <c r="M735" s="1" t="s">
        <v>6953</v>
      </c>
      <c r="N735" s="1" t="s">
        <v>6954</v>
      </c>
      <c r="O735" s="1" t="s">
        <v>6955</v>
      </c>
      <c r="P735" s="1" t="s">
        <v>6956</v>
      </c>
      <c r="Q735" s="1" t="s">
        <v>6957</v>
      </c>
      <c r="R735" s="1" t="s">
        <v>6958</v>
      </c>
      <c r="S735" s="1" t="s">
        <v>6959</v>
      </c>
      <c r="T735" s="1" t="s">
        <v>6960</v>
      </c>
      <c r="U735">
        <v>4467.6899999999996</v>
      </c>
      <c r="V735">
        <v>710.67</v>
      </c>
      <c r="W735">
        <v>16.282229999999998</v>
      </c>
      <c r="X735">
        <v>107.858773</v>
      </c>
      <c r="Y735">
        <v>3757.02</v>
      </c>
      <c r="Z735">
        <v>16.321273000000001</v>
      </c>
      <c r="AA735">
        <v>107.773392</v>
      </c>
      <c r="AB735" s="5">
        <f t="shared" si="67"/>
        <v>1.0660049999999999</v>
      </c>
      <c r="AC735" s="5">
        <f t="shared" si="68"/>
        <v>5.6355300000000002</v>
      </c>
      <c r="AD735" s="1" t="str">
        <f t="shared" si="69"/>
        <v>Ring 13_Hương Phú</v>
      </c>
      <c r="AE735" s="1" t="str">
        <f t="shared" si="70"/>
        <v>TTCMKV Phú Lộc</v>
      </c>
      <c r="AG735">
        <f t="shared" si="71"/>
        <v>0.71066999999999991</v>
      </c>
      <c r="AH735">
        <f t="shared" si="72"/>
        <v>3.7570199999999998</v>
      </c>
      <c r="AI735" t="e">
        <f>VLOOKUP(L735,'[1]Tuyến cáp H04'!$B:$E,3,0)/1000</f>
        <v>#N/A</v>
      </c>
      <c r="AJ735" t="e">
        <f>VLOOKUP(L735,'[1]Tuyến cáp H04'!$B:$E,4,0)</f>
        <v>#N/A</v>
      </c>
    </row>
    <row r="736" spans="1:36" x14ac:dyDescent="0.25">
      <c r="A736" s="1" t="s">
        <v>6961</v>
      </c>
      <c r="B736" s="1" t="s">
        <v>6962</v>
      </c>
      <c r="C736" s="1" t="s">
        <v>6963</v>
      </c>
      <c r="D736" s="1" t="s">
        <v>6964</v>
      </c>
      <c r="E736" s="1" t="s">
        <v>6965</v>
      </c>
      <c r="F736" s="1" t="s">
        <v>6966</v>
      </c>
      <c r="G736" s="1" t="s">
        <v>14281</v>
      </c>
      <c r="H736" s="1" t="s">
        <v>14282</v>
      </c>
      <c r="I736" s="1" t="s">
        <v>14853</v>
      </c>
      <c r="J736" s="1" t="s">
        <v>23</v>
      </c>
      <c r="K736" s="1"/>
      <c r="L736" s="1" t="s">
        <v>6967</v>
      </c>
      <c r="M736" s="1" t="s">
        <v>6968</v>
      </c>
      <c r="N736" s="1" t="s">
        <v>6969</v>
      </c>
      <c r="O736" s="1" t="s">
        <v>6970</v>
      </c>
      <c r="P736" s="1" t="s">
        <v>6971</v>
      </c>
      <c r="Q736" s="1" t="s">
        <v>6972</v>
      </c>
      <c r="R736" s="1" t="s">
        <v>6973</v>
      </c>
      <c r="S736" s="1" t="s">
        <v>6974</v>
      </c>
      <c r="T736" s="1" t="s">
        <v>6975</v>
      </c>
      <c r="U736">
        <v>5362.34</v>
      </c>
      <c r="V736">
        <v>281.25</v>
      </c>
      <c r="W736">
        <v>16.410368999999999</v>
      </c>
      <c r="X736">
        <v>107.679062</v>
      </c>
      <c r="Y736">
        <v>5081.09</v>
      </c>
      <c r="Z736">
        <v>16.449480999999999</v>
      </c>
      <c r="AA736">
        <v>107.62788500000001</v>
      </c>
      <c r="AB736" s="5">
        <f t="shared" si="67"/>
        <v>0.421875</v>
      </c>
      <c r="AC736" s="5">
        <f t="shared" si="68"/>
        <v>7.6216350000000004</v>
      </c>
      <c r="AD736" s="1" t="str">
        <f t="shared" si="69"/>
        <v>TTCMKV_Ring 1_Hương Thủy</v>
      </c>
      <c r="AE736" s="1" t="str">
        <f t="shared" si="70"/>
        <v>CAT Huế mới</v>
      </c>
      <c r="AG736">
        <f t="shared" si="71"/>
        <v>0.28125</v>
      </c>
      <c r="AH736">
        <f t="shared" si="72"/>
        <v>5.0810900000000006</v>
      </c>
      <c r="AI736" t="e">
        <f>VLOOKUP(L736,'[1]Tuyến cáp H04'!$B:$E,3,0)/1000</f>
        <v>#N/A</v>
      </c>
      <c r="AJ736" t="e">
        <f>VLOOKUP(L736,'[1]Tuyến cáp H04'!$B:$E,4,0)</f>
        <v>#N/A</v>
      </c>
    </row>
    <row r="737" spans="1:36" x14ac:dyDescent="0.25">
      <c r="A737" s="1" t="s">
        <v>6976</v>
      </c>
      <c r="B737" s="1" t="s">
        <v>6977</v>
      </c>
      <c r="C737" s="1" t="s">
        <v>6978</v>
      </c>
      <c r="D737" s="1" t="s">
        <v>6977</v>
      </c>
      <c r="E737" s="1" t="s">
        <v>6978</v>
      </c>
      <c r="F737" s="1" t="s">
        <v>6979</v>
      </c>
      <c r="G737" s="1" t="s">
        <v>14281</v>
      </c>
      <c r="H737" s="1" t="s">
        <v>14282</v>
      </c>
      <c r="I737" s="1" t="s">
        <v>14854</v>
      </c>
      <c r="J737" s="1" t="s">
        <v>23</v>
      </c>
      <c r="K737" s="1"/>
      <c r="L737" s="1" t="s">
        <v>6980</v>
      </c>
      <c r="M737" s="1" t="s">
        <v>6981</v>
      </c>
      <c r="N737" s="1" t="s">
        <v>6982</v>
      </c>
      <c r="O737" s="1" t="s">
        <v>6983</v>
      </c>
      <c r="P737" s="1" t="s">
        <v>6984</v>
      </c>
      <c r="Q737" s="1" t="s">
        <v>6982</v>
      </c>
      <c r="R737" s="1" t="s">
        <v>6983</v>
      </c>
      <c r="S737" s="1" t="s">
        <v>6984</v>
      </c>
      <c r="T737" s="1" t="s">
        <v>6985</v>
      </c>
      <c r="U737">
        <v>3050.43</v>
      </c>
      <c r="V737">
        <v>1525.21</v>
      </c>
      <c r="W737">
        <v>16.496891000000002</v>
      </c>
      <c r="X737">
        <v>107.507471</v>
      </c>
      <c r="Y737">
        <v>1525.21</v>
      </c>
      <c r="Z737">
        <v>16.496891000000002</v>
      </c>
      <c r="AA737">
        <v>107.507471</v>
      </c>
      <c r="AB737" s="5">
        <f t="shared" si="67"/>
        <v>2.2878150000000002</v>
      </c>
      <c r="AC737" s="5">
        <f t="shared" si="68"/>
        <v>2.2878150000000002</v>
      </c>
      <c r="AD737" s="1" t="str">
        <f t="shared" si="69"/>
        <v>Ring 6 TTCMKV Quảng Điền</v>
      </c>
      <c r="AE737" s="1" t="str">
        <f t="shared" si="70"/>
        <v>Kim Trà</v>
      </c>
      <c r="AG737">
        <f t="shared" si="71"/>
        <v>1.52521</v>
      </c>
      <c r="AH737">
        <f t="shared" si="72"/>
        <v>1.52521</v>
      </c>
      <c r="AI737" t="e">
        <f>VLOOKUP(L737,'[1]Tuyến cáp H04'!$B:$E,3,0)/1000</f>
        <v>#N/A</v>
      </c>
      <c r="AJ737" t="e">
        <f>VLOOKUP(L737,'[1]Tuyến cáp H04'!$B:$E,4,0)</f>
        <v>#N/A</v>
      </c>
    </row>
    <row r="738" spans="1:36" x14ac:dyDescent="0.25">
      <c r="A738" s="1" t="s">
        <v>6986</v>
      </c>
      <c r="B738" s="1" t="s">
        <v>6987</v>
      </c>
      <c r="C738" s="1" t="s">
        <v>6988</v>
      </c>
      <c r="D738" s="1" t="s">
        <v>6989</v>
      </c>
      <c r="E738" s="1" t="s">
        <v>6990</v>
      </c>
      <c r="F738" s="1" t="s">
        <v>6991</v>
      </c>
      <c r="G738" s="1" t="s">
        <v>14281</v>
      </c>
      <c r="H738" s="1" t="s">
        <v>14282</v>
      </c>
      <c r="I738" s="1" t="s">
        <v>6986</v>
      </c>
      <c r="J738" s="1" t="s">
        <v>23</v>
      </c>
      <c r="K738" s="1"/>
      <c r="L738" s="1" t="s">
        <v>6992</v>
      </c>
      <c r="M738" s="1" t="s">
        <v>6993</v>
      </c>
      <c r="N738" s="1" t="s">
        <v>6994</v>
      </c>
      <c r="O738" s="1" t="s">
        <v>6995</v>
      </c>
      <c r="P738" s="1" t="s">
        <v>6996</v>
      </c>
      <c r="Q738" s="1" t="s">
        <v>6997</v>
      </c>
      <c r="R738" s="1" t="s">
        <v>6998</v>
      </c>
      <c r="S738" s="1" t="s">
        <v>6999</v>
      </c>
      <c r="T738" s="1" t="s">
        <v>7000</v>
      </c>
      <c r="U738">
        <v>1763.15</v>
      </c>
      <c r="V738">
        <v>504.24</v>
      </c>
      <c r="W738">
        <v>16.568887</v>
      </c>
      <c r="X738">
        <v>107.386796</v>
      </c>
      <c r="Y738">
        <v>1258.9000000000001</v>
      </c>
      <c r="Z738">
        <v>16.58006</v>
      </c>
      <c r="AA738">
        <v>107.513435</v>
      </c>
      <c r="AB738" s="5">
        <f t="shared" si="67"/>
        <v>0.75636000000000003</v>
      </c>
      <c r="AC738" s="5">
        <f t="shared" si="68"/>
        <v>1.8883500000000002</v>
      </c>
      <c r="AD738" s="1" t="str">
        <f t="shared" si="69"/>
        <v>TTCMKV_Ring 2_Quảng Điền</v>
      </c>
      <c r="AE738" s="1" t="str">
        <f t="shared" si="70"/>
        <v>Phong Điền</v>
      </c>
      <c r="AG738">
        <f t="shared" si="71"/>
        <v>0.50424000000000002</v>
      </c>
      <c r="AH738">
        <f t="shared" si="72"/>
        <v>1.2589000000000001</v>
      </c>
      <c r="AI738" t="e">
        <f>VLOOKUP(L738,'[1]Tuyến cáp H04'!$B:$E,3,0)/1000</f>
        <v>#N/A</v>
      </c>
      <c r="AJ738" t="e">
        <f>VLOOKUP(L738,'[1]Tuyến cáp H04'!$B:$E,4,0)</f>
        <v>#N/A</v>
      </c>
    </row>
    <row r="739" spans="1:36" x14ac:dyDescent="0.25">
      <c r="A739" s="1" t="s">
        <v>7001</v>
      </c>
      <c r="B739" s="1" t="s">
        <v>7002</v>
      </c>
      <c r="C739" s="1" t="s">
        <v>7003</v>
      </c>
      <c r="D739" s="1" t="s">
        <v>7004</v>
      </c>
      <c r="E739" s="1" t="s">
        <v>7005</v>
      </c>
      <c r="F739" s="1" t="s">
        <v>7006</v>
      </c>
      <c r="G739" s="1" t="s">
        <v>14129</v>
      </c>
      <c r="H739" s="1" t="s">
        <v>14532</v>
      </c>
      <c r="I739" s="1" t="s">
        <v>14855</v>
      </c>
      <c r="J739" s="1" t="s">
        <v>23</v>
      </c>
      <c r="K739" s="1"/>
      <c r="L739" s="1" t="s">
        <v>7007</v>
      </c>
      <c r="M739" s="1" t="s">
        <v>7008</v>
      </c>
      <c r="N739" s="1" t="s">
        <v>7009</v>
      </c>
      <c r="O739" s="1" t="s">
        <v>7010</v>
      </c>
      <c r="P739" s="1" t="s">
        <v>7011</v>
      </c>
      <c r="Q739" s="1" t="s">
        <v>7012</v>
      </c>
      <c r="R739" s="1" t="s">
        <v>7013</v>
      </c>
      <c r="S739" s="1" t="s">
        <v>7014</v>
      </c>
      <c r="T739" s="1" t="s">
        <v>7015</v>
      </c>
      <c r="U739">
        <v>116.41</v>
      </c>
      <c r="V739">
        <v>24.59</v>
      </c>
      <c r="W739">
        <v>16.465112999999999</v>
      </c>
      <c r="X739">
        <v>107.595674</v>
      </c>
      <c r="Y739">
        <v>91.82</v>
      </c>
      <c r="Z739">
        <v>16.463172</v>
      </c>
      <c r="AA739">
        <v>107.594795</v>
      </c>
      <c r="AB739" s="5">
        <f t="shared" si="67"/>
        <v>3.6885000000000001E-2</v>
      </c>
      <c r="AC739" s="5">
        <f t="shared" si="68"/>
        <v>0.13772999999999999</v>
      </c>
      <c r="AD739" s="1" t="str">
        <f t="shared" si="69"/>
        <v>Ring 1 CA TP Huế</v>
      </c>
      <c r="AE739" s="1" t="str">
        <f t="shared" si="70"/>
        <v>PK02</v>
      </c>
      <c r="AG739">
        <f t="shared" si="71"/>
        <v>2.4590000000000001E-2</v>
      </c>
      <c r="AH739">
        <f t="shared" si="72"/>
        <v>9.1819999999999999E-2</v>
      </c>
      <c r="AI739" t="e">
        <f>VLOOKUP(L739,'[1]Tuyến cáp H04'!$B:$E,3,0)/1000</f>
        <v>#N/A</v>
      </c>
      <c r="AJ739" t="e">
        <f>VLOOKUP(L739,'[1]Tuyến cáp H04'!$B:$E,4,0)</f>
        <v>#N/A</v>
      </c>
    </row>
    <row r="740" spans="1:36" x14ac:dyDescent="0.25">
      <c r="A740" s="1" t="s">
        <v>7016</v>
      </c>
      <c r="B740" s="1" t="s">
        <v>7017</v>
      </c>
      <c r="C740" s="1" t="s">
        <v>7018</v>
      </c>
      <c r="D740" s="1" t="s">
        <v>7019</v>
      </c>
      <c r="E740" s="1" t="s">
        <v>7020</v>
      </c>
      <c r="F740" s="1" t="s">
        <v>7021</v>
      </c>
      <c r="G740" s="1" t="s">
        <v>14129</v>
      </c>
      <c r="H740" s="1" t="s">
        <v>14532</v>
      </c>
      <c r="I740" s="1" t="s">
        <v>14856</v>
      </c>
      <c r="J740" s="1" t="s">
        <v>23</v>
      </c>
      <c r="K740" s="1"/>
      <c r="L740" s="1" t="s">
        <v>7022</v>
      </c>
      <c r="M740" s="1" t="s">
        <v>7023</v>
      </c>
      <c r="N740" s="1" t="s">
        <v>7024</v>
      </c>
      <c r="O740" s="1" t="s">
        <v>7025</v>
      </c>
      <c r="P740" s="1" t="s">
        <v>7026</v>
      </c>
      <c r="Q740" s="1" t="s">
        <v>7027</v>
      </c>
      <c r="R740" s="1" t="s">
        <v>7028</v>
      </c>
      <c r="S740" s="1" t="s">
        <v>7029</v>
      </c>
      <c r="T740" s="1" t="s">
        <v>7030</v>
      </c>
      <c r="U740">
        <v>40.65</v>
      </c>
      <c r="V740">
        <v>23.03</v>
      </c>
      <c r="W740">
        <v>16.487348999999998</v>
      </c>
      <c r="X740">
        <v>107.58749</v>
      </c>
      <c r="Y740">
        <v>17.61</v>
      </c>
      <c r="Z740">
        <v>16.482997999999998</v>
      </c>
      <c r="AA740">
        <v>107.58643600000001</v>
      </c>
      <c r="AB740" s="5">
        <f t="shared" si="67"/>
        <v>3.4544999999999999E-2</v>
      </c>
      <c r="AC740" s="5">
        <f t="shared" si="68"/>
        <v>2.6414999999999998E-2</v>
      </c>
      <c r="AD740" s="1" t="str">
        <f t="shared" si="69"/>
        <v>Ring 1 Nguyễn Thái Học</v>
      </c>
      <c r="AE740" s="1" t="str">
        <f t="shared" si="70"/>
        <v>Phú Xuân</v>
      </c>
      <c r="AG740">
        <f t="shared" si="71"/>
        <v>2.3030000000000002E-2</v>
      </c>
      <c r="AH740">
        <f t="shared" si="72"/>
        <v>1.7610000000000001E-2</v>
      </c>
      <c r="AI740" t="e">
        <f>VLOOKUP(L740,'[1]Tuyến cáp H04'!$B:$E,3,0)/1000</f>
        <v>#N/A</v>
      </c>
      <c r="AJ740" t="e">
        <f>VLOOKUP(L740,'[1]Tuyến cáp H04'!$B:$E,4,0)</f>
        <v>#N/A</v>
      </c>
    </row>
    <row r="741" spans="1:36" x14ac:dyDescent="0.25">
      <c r="A741" s="1" t="s">
        <v>7031</v>
      </c>
      <c r="B741" s="1" t="s">
        <v>7032</v>
      </c>
      <c r="C741" s="1" t="s">
        <v>7033</v>
      </c>
      <c r="D741" s="1" t="s">
        <v>6964</v>
      </c>
      <c r="E741" s="1" t="s">
        <v>6965</v>
      </c>
      <c r="F741" s="1" t="s">
        <v>7034</v>
      </c>
      <c r="G741" s="1" t="s">
        <v>14129</v>
      </c>
      <c r="H741" s="1" t="s">
        <v>14532</v>
      </c>
      <c r="I741" s="1" t="s">
        <v>14857</v>
      </c>
      <c r="J741" s="1" t="s">
        <v>23</v>
      </c>
      <c r="K741" s="1"/>
      <c r="L741" s="1" t="s">
        <v>7035</v>
      </c>
      <c r="M741" s="1" t="s">
        <v>7036</v>
      </c>
      <c r="N741" s="1" t="s">
        <v>7037</v>
      </c>
      <c r="O741" s="1" t="s">
        <v>7038</v>
      </c>
      <c r="P741" s="1" t="s">
        <v>7039</v>
      </c>
      <c r="Q741" s="1" t="s">
        <v>7040</v>
      </c>
      <c r="R741" s="1" t="s">
        <v>7041</v>
      </c>
      <c r="S741" s="1" t="s">
        <v>7042</v>
      </c>
      <c r="T741" s="1" t="s">
        <v>7043</v>
      </c>
      <c r="U741">
        <v>772.53</v>
      </c>
      <c r="V741">
        <v>18.86</v>
      </c>
      <c r="W741">
        <v>16.495902000000001</v>
      </c>
      <c r="X741">
        <v>107.598653</v>
      </c>
      <c r="Y741">
        <v>753.68</v>
      </c>
      <c r="Z741">
        <v>16.493953999999999</v>
      </c>
      <c r="AA741">
        <v>107.622204</v>
      </c>
      <c r="AB741" s="5">
        <f t="shared" si="67"/>
        <v>2.8289999999999999E-2</v>
      </c>
      <c r="AC741" s="5">
        <f t="shared" si="68"/>
        <v>1.13052</v>
      </c>
      <c r="AD741" s="1" t="str">
        <f t="shared" si="69"/>
        <v>Ring 3 CAT TT Huế</v>
      </c>
      <c r="AE741" s="1" t="str">
        <f t="shared" si="70"/>
        <v>PA07</v>
      </c>
      <c r="AG741">
        <f t="shared" si="71"/>
        <v>1.8859999999999998E-2</v>
      </c>
      <c r="AH741">
        <f t="shared" si="72"/>
        <v>0.75367999999999991</v>
      </c>
      <c r="AI741" t="e">
        <f>VLOOKUP(L741,'[1]Tuyến cáp H04'!$B:$E,3,0)/1000</f>
        <v>#N/A</v>
      </c>
      <c r="AJ741" t="e">
        <f>VLOOKUP(L741,'[1]Tuyến cáp H04'!$B:$E,4,0)</f>
        <v>#N/A</v>
      </c>
    </row>
    <row r="742" spans="1:36" x14ac:dyDescent="0.25">
      <c r="A742" s="1" t="s">
        <v>7044</v>
      </c>
      <c r="B742" s="1" t="s">
        <v>7045</v>
      </c>
      <c r="C742" s="1" t="s">
        <v>7046</v>
      </c>
      <c r="D742" s="1" t="s">
        <v>7047</v>
      </c>
      <c r="E742" s="1" t="s">
        <v>7048</v>
      </c>
      <c r="F742" s="1" t="s">
        <v>7049</v>
      </c>
      <c r="G742" s="1" t="s">
        <v>14129</v>
      </c>
      <c r="H742" s="1" t="s">
        <v>14532</v>
      </c>
      <c r="I742" s="1" t="s">
        <v>14858</v>
      </c>
      <c r="J742" s="1" t="s">
        <v>23</v>
      </c>
      <c r="K742" s="1"/>
      <c r="L742" s="1" t="s">
        <v>7050</v>
      </c>
      <c r="M742" s="1" t="s">
        <v>7051</v>
      </c>
      <c r="N742" s="1" t="s">
        <v>7052</v>
      </c>
      <c r="O742" s="1" t="s">
        <v>7053</v>
      </c>
      <c r="P742" s="1" t="s">
        <v>7054</v>
      </c>
      <c r="Q742" s="1" t="s">
        <v>7055</v>
      </c>
      <c r="R742" s="1" t="s">
        <v>7056</v>
      </c>
      <c r="S742" s="1" t="s">
        <v>7057</v>
      </c>
      <c r="T742" s="1" t="s">
        <v>7058</v>
      </c>
      <c r="U742">
        <v>346.19</v>
      </c>
      <c r="V742">
        <v>13.97</v>
      </c>
      <c r="W742">
        <v>16.475570999999999</v>
      </c>
      <c r="X742">
        <v>107.60319</v>
      </c>
      <c r="Y742">
        <v>332.22</v>
      </c>
      <c r="Z742">
        <v>16.475852</v>
      </c>
      <c r="AA742">
        <v>107.603185</v>
      </c>
      <c r="AB742" s="5">
        <f t="shared" si="67"/>
        <v>2.0955000000000001E-2</v>
      </c>
      <c r="AC742" s="5">
        <f t="shared" si="68"/>
        <v>0.49833000000000005</v>
      </c>
      <c r="AD742" s="1" t="str">
        <f t="shared" si="69"/>
        <v>Ring 3 PA07</v>
      </c>
      <c r="AE742" s="1" t="str">
        <f t="shared" si="70"/>
        <v>PC01</v>
      </c>
      <c r="AG742">
        <f t="shared" si="71"/>
        <v>1.397E-2</v>
      </c>
      <c r="AH742">
        <f t="shared" si="72"/>
        <v>0.33222000000000002</v>
      </c>
      <c r="AI742" t="e">
        <f>VLOOKUP(L742,'[1]Tuyến cáp H04'!$B:$E,3,0)/1000</f>
        <v>#N/A</v>
      </c>
      <c r="AJ742" t="e">
        <f>VLOOKUP(L742,'[1]Tuyến cáp H04'!$B:$E,4,0)</f>
        <v>#N/A</v>
      </c>
    </row>
    <row r="743" spans="1:36" x14ac:dyDescent="0.25">
      <c r="A743" s="1" t="s">
        <v>7059</v>
      </c>
      <c r="B743" s="1" t="s">
        <v>7060</v>
      </c>
      <c r="C743" s="1" t="s">
        <v>7061</v>
      </c>
      <c r="D743" s="1" t="s">
        <v>7062</v>
      </c>
      <c r="E743" s="1" t="s">
        <v>7063</v>
      </c>
      <c r="F743" s="1" t="s">
        <v>7064</v>
      </c>
      <c r="G743" s="1" t="s">
        <v>14129</v>
      </c>
      <c r="H743" s="1" t="s">
        <v>14532</v>
      </c>
      <c r="I743" s="1" t="s">
        <v>14859</v>
      </c>
      <c r="J743" s="1" t="s">
        <v>23</v>
      </c>
      <c r="K743" s="1"/>
      <c r="L743" s="1" t="s">
        <v>7065</v>
      </c>
      <c r="M743" s="1" t="s">
        <v>7066</v>
      </c>
      <c r="N743" s="1" t="s">
        <v>7067</v>
      </c>
      <c r="O743" s="1" t="s">
        <v>7068</v>
      </c>
      <c r="P743" s="1" t="s">
        <v>7069</v>
      </c>
      <c r="Q743" s="1" t="s">
        <v>7070</v>
      </c>
      <c r="R743" s="1" t="s">
        <v>7071</v>
      </c>
      <c r="S743" s="1" t="s">
        <v>7072</v>
      </c>
      <c r="T743" s="1" t="s">
        <v>7073</v>
      </c>
      <c r="U743">
        <v>493.3</v>
      </c>
      <c r="V743">
        <v>111.91</v>
      </c>
      <c r="W743">
        <v>16.452242999999999</v>
      </c>
      <c r="X743">
        <v>107.613004</v>
      </c>
      <c r="Y743">
        <v>381.39</v>
      </c>
      <c r="Z743">
        <v>16.457075</v>
      </c>
      <c r="AA743">
        <v>107.600076</v>
      </c>
      <c r="AB743" s="5">
        <f t="shared" si="67"/>
        <v>0.16786500000000001</v>
      </c>
      <c r="AC743" s="5">
        <f t="shared" si="68"/>
        <v>0.57208500000000007</v>
      </c>
      <c r="AD743" s="1" t="str">
        <f t="shared" si="69"/>
        <v>TTCMKV_Ring 2_Phong Điền</v>
      </c>
      <c r="AE743" s="1" t="str">
        <f t="shared" si="70"/>
        <v>CAT Huế mới</v>
      </c>
      <c r="AG743">
        <f t="shared" si="71"/>
        <v>0.11191</v>
      </c>
      <c r="AH743">
        <f t="shared" si="72"/>
        <v>0.38139000000000001</v>
      </c>
      <c r="AI743" t="e">
        <f>VLOOKUP(L743,'[1]Tuyến cáp H04'!$B:$E,3,0)/1000</f>
        <v>#N/A</v>
      </c>
      <c r="AJ743" t="e">
        <f>VLOOKUP(L743,'[1]Tuyến cáp H04'!$B:$E,4,0)</f>
        <v>#N/A</v>
      </c>
    </row>
    <row r="744" spans="1:36" x14ac:dyDescent="0.25">
      <c r="A744" s="1" t="s">
        <v>7074</v>
      </c>
      <c r="B744" s="1" t="s">
        <v>7075</v>
      </c>
      <c r="C744" s="1" t="s">
        <v>7076</v>
      </c>
      <c r="D744" s="1" t="s">
        <v>7077</v>
      </c>
      <c r="E744" s="1" t="s">
        <v>7078</v>
      </c>
      <c r="F744" s="1" t="s">
        <v>7079</v>
      </c>
      <c r="G744" s="1" t="s">
        <v>14129</v>
      </c>
      <c r="H744" s="1" t="s">
        <v>14532</v>
      </c>
      <c r="I744" s="1" t="s">
        <v>14860</v>
      </c>
      <c r="J744" s="1" t="s">
        <v>23</v>
      </c>
      <c r="K744" s="1"/>
      <c r="L744" s="1" t="s">
        <v>7007</v>
      </c>
      <c r="M744" s="1" t="s">
        <v>7080</v>
      </c>
      <c r="N744" s="1" t="s">
        <v>7081</v>
      </c>
      <c r="O744" s="1" t="s">
        <v>7082</v>
      </c>
      <c r="P744" s="1" t="s">
        <v>7083</v>
      </c>
      <c r="Q744" s="1" t="s">
        <v>7084</v>
      </c>
      <c r="R744" s="1" t="s">
        <v>7085</v>
      </c>
      <c r="S744" s="1" t="s">
        <v>7086</v>
      </c>
      <c r="T744" s="1" t="s">
        <v>7015</v>
      </c>
      <c r="U744">
        <v>684.71</v>
      </c>
      <c r="V744">
        <v>143.93</v>
      </c>
      <c r="W744">
        <v>16.463031999999998</v>
      </c>
      <c r="X744">
        <v>107.595343</v>
      </c>
      <c r="Y744">
        <v>540.78</v>
      </c>
      <c r="Z744">
        <v>16.464182999999998</v>
      </c>
      <c r="AA744">
        <v>107.59474299999999</v>
      </c>
      <c r="AB744" s="5">
        <f t="shared" si="67"/>
        <v>0.215895</v>
      </c>
      <c r="AC744" s="5">
        <f t="shared" si="68"/>
        <v>0.81116999999999995</v>
      </c>
      <c r="AD744" s="1" t="str">
        <f t="shared" si="69"/>
        <v>Ring 1 CA TP Huế</v>
      </c>
      <c r="AE744" s="1" t="str">
        <f t="shared" si="70"/>
        <v>PK02</v>
      </c>
      <c r="AG744">
        <f t="shared" si="71"/>
        <v>0.14393</v>
      </c>
      <c r="AH744">
        <f t="shared" si="72"/>
        <v>0.54077999999999993</v>
      </c>
      <c r="AI744" t="e">
        <f>VLOOKUP(L744,'[1]Tuyến cáp H04'!$B:$E,3,0)/1000</f>
        <v>#N/A</v>
      </c>
      <c r="AJ744" t="e">
        <f>VLOOKUP(L744,'[1]Tuyến cáp H04'!$B:$E,4,0)</f>
        <v>#N/A</v>
      </c>
    </row>
    <row r="745" spans="1:36" x14ac:dyDescent="0.25">
      <c r="A745" s="1" t="s">
        <v>7087</v>
      </c>
      <c r="B745" s="1" t="s">
        <v>7088</v>
      </c>
      <c r="C745" s="1" t="s">
        <v>7089</v>
      </c>
      <c r="D745" s="1" t="s">
        <v>7090</v>
      </c>
      <c r="E745" s="1" t="s">
        <v>7091</v>
      </c>
      <c r="F745" s="1" t="s">
        <v>7092</v>
      </c>
      <c r="G745" s="1" t="s">
        <v>14129</v>
      </c>
      <c r="H745" s="1" t="s">
        <v>14532</v>
      </c>
      <c r="I745" s="1" t="s">
        <v>14861</v>
      </c>
      <c r="J745" s="1" t="s">
        <v>23</v>
      </c>
      <c r="K745" s="1"/>
      <c r="L745" s="1" t="s">
        <v>7093</v>
      </c>
      <c r="M745" s="1" t="s">
        <v>7094</v>
      </c>
      <c r="N745" s="1" t="s">
        <v>7095</v>
      </c>
      <c r="O745" s="1" t="s">
        <v>7096</v>
      </c>
      <c r="P745" s="1" t="s">
        <v>7097</v>
      </c>
      <c r="Q745" s="1" t="s">
        <v>7098</v>
      </c>
      <c r="R745" s="1" t="s">
        <v>7099</v>
      </c>
      <c r="S745" s="1" t="s">
        <v>7100</v>
      </c>
      <c r="T745" s="1" t="s">
        <v>7101</v>
      </c>
      <c r="U745">
        <v>6284.57</v>
      </c>
      <c r="V745">
        <v>3752.34</v>
      </c>
      <c r="W745">
        <v>16.397697000000001</v>
      </c>
      <c r="X745">
        <v>107.59733199999999</v>
      </c>
      <c r="Y745">
        <v>2532.23</v>
      </c>
      <c r="Z745">
        <v>16.393180000000001</v>
      </c>
      <c r="AA745">
        <v>107.577963</v>
      </c>
      <c r="AB745" s="5">
        <f t="shared" si="67"/>
        <v>5.6285100000000003</v>
      </c>
      <c r="AC745" s="5">
        <f t="shared" si="68"/>
        <v>3.7983450000000003</v>
      </c>
      <c r="AD745" s="1" t="str">
        <f t="shared" si="69"/>
        <v>Ring 12_Bình Điền</v>
      </c>
      <c r="AE745" s="1" t="str">
        <f t="shared" si="70"/>
        <v>TTCMKV Hương Thủy</v>
      </c>
      <c r="AG745">
        <f t="shared" si="71"/>
        <v>3.7523400000000002</v>
      </c>
      <c r="AH745">
        <f t="shared" si="72"/>
        <v>2.5322300000000002</v>
      </c>
      <c r="AI745" t="e">
        <f>VLOOKUP(L745,'[1]Tuyến cáp H04'!$B:$E,3,0)/1000</f>
        <v>#N/A</v>
      </c>
      <c r="AJ745" t="e">
        <f>VLOOKUP(L745,'[1]Tuyến cáp H04'!$B:$E,4,0)</f>
        <v>#N/A</v>
      </c>
    </row>
    <row r="746" spans="1:36" x14ac:dyDescent="0.25">
      <c r="A746" s="1" t="s">
        <v>7102</v>
      </c>
      <c r="B746" s="1" t="s">
        <v>7103</v>
      </c>
      <c r="C746" s="1" t="s">
        <v>7104</v>
      </c>
      <c r="D746" s="1" t="s">
        <v>7105</v>
      </c>
      <c r="E746" s="1" t="s">
        <v>7106</v>
      </c>
      <c r="F746" s="1" t="s">
        <v>7107</v>
      </c>
      <c r="G746" s="1" t="s">
        <v>14129</v>
      </c>
      <c r="H746" s="1" t="s">
        <v>14532</v>
      </c>
      <c r="I746" s="1" t="s">
        <v>14862</v>
      </c>
      <c r="J746" s="1" t="s">
        <v>23</v>
      </c>
      <c r="K746" s="1"/>
      <c r="L746" s="1" t="s">
        <v>7065</v>
      </c>
      <c r="M746" s="1" t="s">
        <v>7108</v>
      </c>
      <c r="N746" s="1" t="s">
        <v>7109</v>
      </c>
      <c r="O746" s="1" t="s">
        <v>7110</v>
      </c>
      <c r="P746" s="1" t="s">
        <v>7111</v>
      </c>
      <c r="Q746" s="1" t="s">
        <v>1755</v>
      </c>
      <c r="R746" s="1" t="s">
        <v>7112</v>
      </c>
      <c r="S746" s="1" t="s">
        <v>7113</v>
      </c>
      <c r="T746" s="1" t="s">
        <v>7114</v>
      </c>
      <c r="U746">
        <v>7974.8</v>
      </c>
      <c r="V746">
        <v>7414.04</v>
      </c>
      <c r="W746">
        <v>16.483526000000001</v>
      </c>
      <c r="X746">
        <v>107.549825</v>
      </c>
      <c r="Y746">
        <v>560.76</v>
      </c>
      <c r="Z746">
        <v>16.523812</v>
      </c>
      <c r="AA746">
        <v>107.480937</v>
      </c>
      <c r="AB746" s="5">
        <f t="shared" si="67"/>
        <v>11.12106</v>
      </c>
      <c r="AC746" s="5">
        <f t="shared" si="68"/>
        <v>0.84114</v>
      </c>
      <c r="AD746" s="1" t="str">
        <f t="shared" si="69"/>
        <v>TTCMKV_Ring 2_Phong Điền</v>
      </c>
      <c r="AE746" s="1" t="str">
        <f t="shared" si="70"/>
        <v>CAT Huế mới</v>
      </c>
      <c r="AG746">
        <f t="shared" si="71"/>
        <v>7.41404</v>
      </c>
      <c r="AH746">
        <f t="shared" si="72"/>
        <v>0.56076000000000004</v>
      </c>
      <c r="AI746" t="e">
        <f>VLOOKUP(L746,'[1]Tuyến cáp H04'!$B:$E,3,0)/1000</f>
        <v>#N/A</v>
      </c>
      <c r="AJ746" t="e">
        <f>VLOOKUP(L746,'[1]Tuyến cáp H04'!$B:$E,4,0)</f>
        <v>#N/A</v>
      </c>
    </row>
    <row r="747" spans="1:36" x14ac:dyDescent="0.25">
      <c r="A747" s="1" t="s">
        <v>7115</v>
      </c>
      <c r="B747" s="1" t="s">
        <v>7116</v>
      </c>
      <c r="C747" s="1" t="s">
        <v>7117</v>
      </c>
      <c r="D747" s="1" t="s">
        <v>7004</v>
      </c>
      <c r="E747" s="1" t="s">
        <v>7005</v>
      </c>
      <c r="F747" s="1" t="s">
        <v>7118</v>
      </c>
      <c r="G747" s="1" t="s">
        <v>14129</v>
      </c>
      <c r="H747" s="1" t="s">
        <v>14532</v>
      </c>
      <c r="I747" s="1" t="s">
        <v>14863</v>
      </c>
      <c r="J747" s="1" t="s">
        <v>23</v>
      </c>
      <c r="K747" s="1"/>
      <c r="L747" s="1" t="s">
        <v>7119</v>
      </c>
      <c r="M747" s="1" t="s">
        <v>2892</v>
      </c>
      <c r="N747" s="1" t="s">
        <v>1365</v>
      </c>
      <c r="O747" s="1" t="s">
        <v>7120</v>
      </c>
      <c r="P747" s="1" t="s">
        <v>7121</v>
      </c>
      <c r="Q747" s="1" t="s">
        <v>7122</v>
      </c>
      <c r="R747" s="1" t="s">
        <v>7120</v>
      </c>
      <c r="S747" s="1" t="s">
        <v>7121</v>
      </c>
      <c r="T747" s="1" t="s">
        <v>7123</v>
      </c>
      <c r="U747">
        <v>73.959999999999994</v>
      </c>
      <c r="V747">
        <v>13.09</v>
      </c>
      <c r="W747">
        <v>16.462486999999999</v>
      </c>
      <c r="X747">
        <v>107.594978</v>
      </c>
      <c r="Y747">
        <v>60.87</v>
      </c>
      <c r="Z747">
        <v>16.462486999999999</v>
      </c>
      <c r="AA747">
        <v>107.594978</v>
      </c>
      <c r="AB747" s="5">
        <f t="shared" si="67"/>
        <v>1.9635E-2</v>
      </c>
      <c r="AC747" s="5">
        <f t="shared" si="68"/>
        <v>9.1304999999999997E-2</v>
      </c>
      <c r="AD747" s="1" t="str">
        <f t="shared" si="69"/>
        <v>PC07 (52 Hùng Vương)</v>
      </c>
      <c r="AE747" s="1" t="str">
        <f t="shared" si="70"/>
        <v>TT Huế</v>
      </c>
      <c r="AG747">
        <f t="shared" si="71"/>
        <v>1.3089999999999999E-2</v>
      </c>
      <c r="AH747">
        <f t="shared" si="72"/>
        <v>6.087E-2</v>
      </c>
      <c r="AI747">
        <f>VLOOKUP(L747,'[1]Tuyến cáp H04'!$B:$E,3,0)/1000</f>
        <v>6.2</v>
      </c>
      <c r="AJ747" t="str">
        <f>VLOOKUP(L747,'[1]Tuyến cáp H04'!$B:$E,4,0)</f>
        <v>Mạng cấp 3</v>
      </c>
    </row>
    <row r="748" spans="1:36" x14ac:dyDescent="0.25">
      <c r="A748" s="1" t="s">
        <v>7124</v>
      </c>
      <c r="B748" s="1" t="s">
        <v>7125</v>
      </c>
      <c r="C748" s="1" t="s">
        <v>7126</v>
      </c>
      <c r="D748" s="1" t="s">
        <v>7127</v>
      </c>
      <c r="E748" s="1" t="s">
        <v>7128</v>
      </c>
      <c r="F748" s="1" t="s">
        <v>7129</v>
      </c>
      <c r="G748" s="1" t="s">
        <v>14129</v>
      </c>
      <c r="H748" s="1" t="s">
        <v>14532</v>
      </c>
      <c r="I748" s="1" t="s">
        <v>14864</v>
      </c>
      <c r="J748" s="1" t="s">
        <v>23</v>
      </c>
      <c r="K748" s="1"/>
      <c r="L748" s="1" t="s">
        <v>7093</v>
      </c>
      <c r="M748" s="1" t="s">
        <v>7130</v>
      </c>
      <c r="N748" s="1" t="s">
        <v>7131</v>
      </c>
      <c r="O748" s="1" t="s">
        <v>7132</v>
      </c>
      <c r="P748" s="1" t="s">
        <v>7133</v>
      </c>
      <c r="Q748" s="1" t="s">
        <v>7134</v>
      </c>
      <c r="R748" s="1" t="s">
        <v>7135</v>
      </c>
      <c r="S748" s="1" t="s">
        <v>7136</v>
      </c>
      <c r="T748" s="1" t="s">
        <v>7101</v>
      </c>
      <c r="U748">
        <v>4055.05</v>
      </c>
      <c r="V748">
        <v>3002.96</v>
      </c>
      <c r="W748">
        <v>16.410385999999999</v>
      </c>
      <c r="X748">
        <v>107.679068</v>
      </c>
      <c r="Y748">
        <v>1052.0899999999999</v>
      </c>
      <c r="Z748">
        <v>16.398534999999999</v>
      </c>
      <c r="AA748">
        <v>107.617428</v>
      </c>
      <c r="AB748" s="5">
        <f t="shared" si="67"/>
        <v>4.5044400000000007</v>
      </c>
      <c r="AC748" s="5">
        <f t="shared" si="68"/>
        <v>1.5781349999999998</v>
      </c>
      <c r="AD748" s="1" t="str">
        <f t="shared" si="69"/>
        <v>Ring 12_Bình Điền</v>
      </c>
      <c r="AE748" s="1" t="str">
        <f t="shared" si="70"/>
        <v>TTCMKV Hương Thủy</v>
      </c>
      <c r="AG748">
        <f t="shared" si="71"/>
        <v>3.0029599999999999</v>
      </c>
      <c r="AH748">
        <f t="shared" si="72"/>
        <v>1.05209</v>
      </c>
      <c r="AI748" t="e">
        <f>VLOOKUP(L748,'[1]Tuyến cáp H04'!$B:$E,3,0)/1000</f>
        <v>#N/A</v>
      </c>
      <c r="AJ748" t="e">
        <f>VLOOKUP(L748,'[1]Tuyến cáp H04'!$B:$E,4,0)</f>
        <v>#N/A</v>
      </c>
    </row>
    <row r="749" spans="1:36" x14ac:dyDescent="0.25">
      <c r="A749" s="1" t="s">
        <v>7137</v>
      </c>
      <c r="B749" s="1" t="s">
        <v>7138</v>
      </c>
      <c r="C749" s="1" t="s">
        <v>7139</v>
      </c>
      <c r="D749" s="1" t="s">
        <v>7004</v>
      </c>
      <c r="E749" s="1" t="s">
        <v>7005</v>
      </c>
      <c r="F749" s="1" t="s">
        <v>7140</v>
      </c>
      <c r="G749" s="1" t="s">
        <v>14129</v>
      </c>
      <c r="H749" s="1" t="s">
        <v>14532</v>
      </c>
      <c r="I749" s="1" t="s">
        <v>14865</v>
      </c>
      <c r="J749" s="1" t="s">
        <v>23</v>
      </c>
      <c r="K749" s="1"/>
      <c r="L749" s="1" t="s">
        <v>7141</v>
      </c>
      <c r="M749" s="1" t="s">
        <v>7142</v>
      </c>
      <c r="N749" s="1" t="s">
        <v>7143</v>
      </c>
      <c r="O749" s="1" t="s">
        <v>7144</v>
      </c>
      <c r="P749" s="1" t="s">
        <v>7145</v>
      </c>
      <c r="Q749" s="1" t="s">
        <v>7146</v>
      </c>
      <c r="R749" s="1" t="s">
        <v>7147</v>
      </c>
      <c r="S749" s="1" t="s">
        <v>7148</v>
      </c>
      <c r="T749" s="1" t="s">
        <v>7149</v>
      </c>
      <c r="U749">
        <v>338.8</v>
      </c>
      <c r="V749">
        <v>21.06</v>
      </c>
      <c r="W749">
        <v>16.467756000000001</v>
      </c>
      <c r="X749">
        <v>107.595181</v>
      </c>
      <c r="Y749">
        <v>317.75</v>
      </c>
      <c r="Z749">
        <v>16.465074000000001</v>
      </c>
      <c r="AA749">
        <v>107.595547</v>
      </c>
      <c r="AB749" s="5">
        <f t="shared" si="67"/>
        <v>3.1589999999999993E-2</v>
      </c>
      <c r="AC749" s="5">
        <f t="shared" si="68"/>
        <v>0.47662500000000002</v>
      </c>
      <c r="AD749" s="1" t="str">
        <f t="shared" si="69"/>
        <v>Ring 1 PK02</v>
      </c>
      <c r="AE749" s="1" t="str">
        <f t="shared" si="70"/>
        <v>Nguyễn Thái Học</v>
      </c>
      <c r="AG749">
        <f t="shared" si="71"/>
        <v>2.1059999999999999E-2</v>
      </c>
      <c r="AH749">
        <f t="shared" si="72"/>
        <v>0.31774999999999998</v>
      </c>
      <c r="AI749" t="e">
        <f>VLOOKUP(L749,'[1]Tuyến cáp H04'!$B:$E,3,0)/1000</f>
        <v>#N/A</v>
      </c>
      <c r="AJ749" t="e">
        <f>VLOOKUP(L749,'[1]Tuyến cáp H04'!$B:$E,4,0)</f>
        <v>#N/A</v>
      </c>
    </row>
    <row r="750" spans="1:36" x14ac:dyDescent="0.25">
      <c r="A750" s="1" t="s">
        <v>7150</v>
      </c>
      <c r="B750" s="1" t="s">
        <v>7151</v>
      </c>
      <c r="C750" s="1" t="s">
        <v>7152</v>
      </c>
      <c r="D750" s="1" t="s">
        <v>7153</v>
      </c>
      <c r="E750" s="1" t="s">
        <v>7154</v>
      </c>
      <c r="F750" s="1" t="s">
        <v>7155</v>
      </c>
      <c r="G750" s="1" t="s">
        <v>14129</v>
      </c>
      <c r="H750" s="1" t="s">
        <v>14532</v>
      </c>
      <c r="I750" s="1" t="s">
        <v>14866</v>
      </c>
      <c r="J750" s="1" t="s">
        <v>23</v>
      </c>
      <c r="K750" s="1"/>
      <c r="L750" s="1" t="s">
        <v>7156</v>
      </c>
      <c r="M750" s="1" t="s">
        <v>7157</v>
      </c>
      <c r="N750" s="1" t="s">
        <v>7158</v>
      </c>
      <c r="O750" s="1" t="s">
        <v>7159</v>
      </c>
      <c r="P750" s="1" t="s">
        <v>7160</v>
      </c>
      <c r="Q750" s="1" t="s">
        <v>7161</v>
      </c>
      <c r="R750" s="1" t="s">
        <v>7162</v>
      </c>
      <c r="S750" s="1" t="s">
        <v>7163</v>
      </c>
      <c r="T750" s="1" t="s">
        <v>7164</v>
      </c>
      <c r="U750">
        <v>146.69</v>
      </c>
      <c r="V750">
        <v>81.430000000000007</v>
      </c>
      <c r="W750">
        <v>16.668635999999999</v>
      </c>
      <c r="X750">
        <v>107.478525</v>
      </c>
      <c r="Y750">
        <v>65.260000000000005</v>
      </c>
      <c r="Z750">
        <v>16.595822999999999</v>
      </c>
      <c r="AA750">
        <v>107.575176</v>
      </c>
      <c r="AB750" s="5">
        <f t="shared" si="67"/>
        <v>0.122145</v>
      </c>
      <c r="AC750" s="5">
        <f t="shared" si="68"/>
        <v>9.7890000000000019E-2</v>
      </c>
      <c r="AD750" s="1" t="str">
        <f t="shared" si="69"/>
        <v>Ring 4 Phong Quảng</v>
      </c>
      <c r="AE750" s="1" t="str">
        <f t="shared" si="70"/>
        <v>TTCMKV Quảng
Điền</v>
      </c>
      <c r="AG750">
        <f t="shared" si="71"/>
        <v>8.1430000000000002E-2</v>
      </c>
      <c r="AH750">
        <f t="shared" si="72"/>
        <v>6.5259999999999999E-2</v>
      </c>
      <c r="AI750" t="e">
        <f>VLOOKUP(L750,'[1]Tuyến cáp H04'!$B:$E,3,0)/1000</f>
        <v>#N/A</v>
      </c>
      <c r="AJ750" t="e">
        <f>VLOOKUP(L750,'[1]Tuyến cáp H04'!$B:$E,4,0)</f>
        <v>#N/A</v>
      </c>
    </row>
    <row r="751" spans="1:36" x14ac:dyDescent="0.25">
      <c r="A751" s="1" t="s">
        <v>7165</v>
      </c>
      <c r="B751" s="1" t="s">
        <v>7166</v>
      </c>
      <c r="C751" s="1" t="s">
        <v>7167</v>
      </c>
      <c r="D751" s="1" t="s">
        <v>7168</v>
      </c>
      <c r="E751" s="1" t="s">
        <v>7169</v>
      </c>
      <c r="F751" s="1" t="s">
        <v>7170</v>
      </c>
      <c r="G751" s="1" t="s">
        <v>14129</v>
      </c>
      <c r="H751" s="1" t="s">
        <v>14532</v>
      </c>
      <c r="I751" s="1" t="s">
        <v>14867</v>
      </c>
      <c r="J751" s="1" t="s">
        <v>23</v>
      </c>
      <c r="K751" s="1"/>
      <c r="L751" s="1" t="s">
        <v>7171</v>
      </c>
      <c r="M751" s="1" t="s">
        <v>7172</v>
      </c>
      <c r="N751" s="1" t="s">
        <v>7173</v>
      </c>
      <c r="O751" s="1" t="s">
        <v>7174</v>
      </c>
      <c r="P751" s="1" t="s">
        <v>7175</v>
      </c>
      <c r="Q751" s="1" t="s">
        <v>7176</v>
      </c>
      <c r="R751" s="1" t="s">
        <v>7177</v>
      </c>
      <c r="S751" s="1" t="s">
        <v>7178</v>
      </c>
      <c r="T751" s="1" t="s">
        <v>7179</v>
      </c>
      <c r="U751">
        <v>3949.23</v>
      </c>
      <c r="V751">
        <v>75.87</v>
      </c>
      <c r="W751">
        <v>16.523371000000001</v>
      </c>
      <c r="X751">
        <v>107.47460100000001</v>
      </c>
      <c r="Y751">
        <v>3873.36</v>
      </c>
      <c r="Z751">
        <v>16.525274</v>
      </c>
      <c r="AA751">
        <v>107.469005</v>
      </c>
      <c r="AB751" s="5">
        <f t="shared" si="67"/>
        <v>0.113805</v>
      </c>
      <c r="AC751" s="5">
        <f t="shared" si="68"/>
        <v>5.8100399999999999</v>
      </c>
      <c r="AD751" s="1" t="str">
        <f t="shared" si="69"/>
        <v>Ring 5 Phong Thái</v>
      </c>
      <c r="AE751" s="1" t="str">
        <f t="shared" si="70"/>
        <v>Hương Trà</v>
      </c>
      <c r="AG751">
        <f t="shared" si="71"/>
        <v>7.5870000000000007E-2</v>
      </c>
      <c r="AH751">
        <f t="shared" si="72"/>
        <v>3.8733599999999999</v>
      </c>
      <c r="AI751" t="e">
        <f>VLOOKUP(L751,'[1]Tuyến cáp H04'!$B:$E,3,0)/1000</f>
        <v>#N/A</v>
      </c>
      <c r="AJ751" t="e">
        <f>VLOOKUP(L751,'[1]Tuyến cáp H04'!$B:$E,4,0)</f>
        <v>#N/A</v>
      </c>
    </row>
    <row r="752" spans="1:36" x14ac:dyDescent="0.25">
      <c r="A752" s="1" t="s">
        <v>7180</v>
      </c>
      <c r="B752" s="1" t="s">
        <v>7181</v>
      </c>
      <c r="C752" s="1" t="s">
        <v>7182</v>
      </c>
      <c r="D752" s="1" t="s">
        <v>7105</v>
      </c>
      <c r="E752" s="1" t="s">
        <v>7106</v>
      </c>
      <c r="F752" s="1" t="s">
        <v>7183</v>
      </c>
      <c r="G752" s="1" t="s">
        <v>14129</v>
      </c>
      <c r="H752" s="1" t="s">
        <v>14532</v>
      </c>
      <c r="I752" s="1" t="s">
        <v>14868</v>
      </c>
      <c r="J752" s="1" t="s">
        <v>23</v>
      </c>
      <c r="K752" s="1"/>
      <c r="L752" s="1" t="s">
        <v>7184</v>
      </c>
      <c r="M752" s="1" t="s">
        <v>7185</v>
      </c>
      <c r="N752" s="1" t="s">
        <v>7186</v>
      </c>
      <c r="O752" s="1" t="s">
        <v>7187</v>
      </c>
      <c r="P752" s="1" t="s">
        <v>7188</v>
      </c>
      <c r="Q752" s="1" t="s">
        <v>7189</v>
      </c>
      <c r="R752" s="1" t="s">
        <v>7190</v>
      </c>
      <c r="S752" s="1" t="s">
        <v>7191</v>
      </c>
      <c r="T752" s="1" t="s">
        <v>7192</v>
      </c>
      <c r="U752">
        <v>926.13</v>
      </c>
      <c r="V752">
        <v>362.13</v>
      </c>
      <c r="W752">
        <v>16.528243</v>
      </c>
      <c r="X752">
        <v>107.49378900000001</v>
      </c>
      <c r="Y752">
        <v>564</v>
      </c>
      <c r="Z752">
        <v>16.52338</v>
      </c>
      <c r="AA752">
        <v>107.480818</v>
      </c>
      <c r="AB752" s="5">
        <f t="shared" si="67"/>
        <v>0.54319499999999998</v>
      </c>
      <c r="AC752" s="5">
        <f t="shared" si="68"/>
        <v>0.84599999999999997</v>
      </c>
      <c r="AD752" s="1" t="str">
        <f t="shared" si="69"/>
        <v>Ring 5 Hương Trà</v>
      </c>
      <c r="AE752" s="1" t="str">
        <f t="shared" si="70"/>
        <v>Đan Điền</v>
      </c>
      <c r="AG752">
        <f t="shared" si="71"/>
        <v>0.36213000000000001</v>
      </c>
      <c r="AH752">
        <f t="shared" si="72"/>
        <v>0.56399999999999995</v>
      </c>
      <c r="AI752" t="e">
        <f>VLOOKUP(L752,'[1]Tuyến cáp H04'!$B:$E,3,0)/1000</f>
        <v>#N/A</v>
      </c>
      <c r="AJ752" t="e">
        <f>VLOOKUP(L752,'[1]Tuyến cáp H04'!$B:$E,4,0)</f>
        <v>#N/A</v>
      </c>
    </row>
    <row r="753" spans="1:36" x14ac:dyDescent="0.25">
      <c r="A753" s="1" t="s">
        <v>7193</v>
      </c>
      <c r="B753" s="1" t="s">
        <v>7194</v>
      </c>
      <c r="C753" s="1" t="s">
        <v>7195</v>
      </c>
      <c r="D753" s="1" t="s">
        <v>7196</v>
      </c>
      <c r="E753" s="1" t="s">
        <v>7197</v>
      </c>
      <c r="F753" s="1" t="s">
        <v>7198</v>
      </c>
      <c r="G753" s="1" t="s">
        <v>14129</v>
      </c>
      <c r="H753" s="1" t="s">
        <v>14532</v>
      </c>
      <c r="I753" s="1" t="s">
        <v>14869</v>
      </c>
      <c r="J753" s="1" t="s">
        <v>23</v>
      </c>
      <c r="K753" s="1"/>
      <c r="L753" s="1" t="s">
        <v>6980</v>
      </c>
      <c r="M753" s="1" t="s">
        <v>7199</v>
      </c>
      <c r="N753" s="1" t="s">
        <v>7200</v>
      </c>
      <c r="O753" s="1" t="s">
        <v>7201</v>
      </c>
      <c r="P753" s="1" t="s">
        <v>7202</v>
      </c>
      <c r="Q753" s="1" t="s">
        <v>7203</v>
      </c>
      <c r="R753" s="1" t="s">
        <v>7204</v>
      </c>
      <c r="S753" s="1" t="s">
        <v>7205</v>
      </c>
      <c r="T753" s="1" t="s">
        <v>6985</v>
      </c>
      <c r="U753">
        <v>115.09</v>
      </c>
      <c r="V753">
        <v>32.299999999999997</v>
      </c>
      <c r="W753">
        <v>16.491365999999999</v>
      </c>
      <c r="X753">
        <v>107.521095</v>
      </c>
      <c r="Y753">
        <v>82.79</v>
      </c>
      <c r="Z753">
        <v>16.503764</v>
      </c>
      <c r="AA753">
        <v>107.513632</v>
      </c>
      <c r="AB753" s="5">
        <f t="shared" si="67"/>
        <v>4.8449999999999993E-2</v>
      </c>
      <c r="AC753" s="5">
        <f t="shared" si="68"/>
        <v>0.124185</v>
      </c>
      <c r="AD753" s="1" t="str">
        <f t="shared" si="69"/>
        <v>Ring 6 TTCMKV Quảng Điền</v>
      </c>
      <c r="AE753" s="1" t="str">
        <f t="shared" si="70"/>
        <v>Kim Trà</v>
      </c>
      <c r="AG753">
        <f t="shared" si="71"/>
        <v>3.2299999999999995E-2</v>
      </c>
      <c r="AH753">
        <f t="shared" si="72"/>
        <v>8.2790000000000002E-2</v>
      </c>
      <c r="AI753" t="e">
        <f>VLOOKUP(L753,'[1]Tuyến cáp H04'!$B:$E,3,0)/1000</f>
        <v>#N/A</v>
      </c>
      <c r="AJ753" t="e">
        <f>VLOOKUP(L753,'[1]Tuyến cáp H04'!$B:$E,4,0)</f>
        <v>#N/A</v>
      </c>
    </row>
    <row r="754" spans="1:36" x14ac:dyDescent="0.25">
      <c r="A754" s="1" t="s">
        <v>7206</v>
      </c>
      <c r="B754" s="1" t="s">
        <v>7207</v>
      </c>
      <c r="C754" s="1" t="s">
        <v>7208</v>
      </c>
      <c r="D754" s="1" t="s">
        <v>7209</v>
      </c>
      <c r="E754" s="1" t="s">
        <v>7210</v>
      </c>
      <c r="F754" s="1" t="s">
        <v>7211</v>
      </c>
      <c r="G754" s="1" t="s">
        <v>14129</v>
      </c>
      <c r="H754" s="1" t="s">
        <v>14532</v>
      </c>
      <c r="I754" s="1" t="s">
        <v>14870</v>
      </c>
      <c r="J754" s="1" t="s">
        <v>23</v>
      </c>
      <c r="K754" s="1"/>
      <c r="L754" s="1" t="s">
        <v>7212</v>
      </c>
      <c r="M754" s="1" t="s">
        <v>7213</v>
      </c>
      <c r="N754" s="1" t="s">
        <v>7214</v>
      </c>
      <c r="O754" s="1" t="s">
        <v>7215</v>
      </c>
      <c r="P754" s="1" t="s">
        <v>7216</v>
      </c>
      <c r="Q754" s="1" t="s">
        <v>7217</v>
      </c>
      <c r="R754" s="1" t="s">
        <v>7218</v>
      </c>
      <c r="S754" s="1" t="s">
        <v>7219</v>
      </c>
      <c r="T754" s="1" t="s">
        <v>7220</v>
      </c>
      <c r="U754">
        <v>190.84</v>
      </c>
      <c r="V754">
        <v>59.18</v>
      </c>
      <c r="W754">
        <v>16.468192999999999</v>
      </c>
      <c r="X754">
        <v>107.524468</v>
      </c>
      <c r="Y754">
        <v>131.65</v>
      </c>
      <c r="Z754">
        <v>16.487960000000001</v>
      </c>
      <c r="AA754">
        <v>107.52082299999999</v>
      </c>
      <c r="AB754" s="5">
        <f t="shared" si="67"/>
        <v>8.8770000000000002E-2</v>
      </c>
      <c r="AC754" s="5">
        <f t="shared" si="68"/>
        <v>0.19747500000000001</v>
      </c>
      <c r="AD754" s="1" t="str">
        <f t="shared" si="69"/>
        <v>Ring 6 Kim Trà</v>
      </c>
      <c r="AE754" s="1" t="str">
        <f t="shared" si="70"/>
        <v>Hương An</v>
      </c>
      <c r="AG754">
        <f t="shared" si="71"/>
        <v>5.9179999999999996E-2</v>
      </c>
      <c r="AH754">
        <f t="shared" si="72"/>
        <v>0.13165000000000002</v>
      </c>
      <c r="AI754" t="e">
        <f>VLOOKUP(L754,'[1]Tuyến cáp H04'!$B:$E,3,0)/1000</f>
        <v>#N/A</v>
      </c>
      <c r="AJ754" t="e">
        <f>VLOOKUP(L754,'[1]Tuyến cáp H04'!$B:$E,4,0)</f>
        <v>#N/A</v>
      </c>
    </row>
    <row r="755" spans="1:36" x14ac:dyDescent="0.25">
      <c r="A755" s="1" t="s">
        <v>7221</v>
      </c>
      <c r="B755" s="1" t="s">
        <v>7222</v>
      </c>
      <c r="C755" s="1" t="s">
        <v>7223</v>
      </c>
      <c r="D755" s="1" t="s">
        <v>7224</v>
      </c>
      <c r="E755" s="1" t="s">
        <v>7225</v>
      </c>
      <c r="F755" s="1" t="s">
        <v>7226</v>
      </c>
      <c r="G755" s="1" t="s">
        <v>14129</v>
      </c>
      <c r="H755" s="1" t="s">
        <v>14532</v>
      </c>
      <c r="I755" s="1" t="s">
        <v>14871</v>
      </c>
      <c r="J755" s="1" t="s">
        <v>23</v>
      </c>
      <c r="K755" s="1"/>
      <c r="L755" s="1" t="s">
        <v>7227</v>
      </c>
      <c r="M755" s="1" t="s">
        <v>7228</v>
      </c>
      <c r="N755" s="1" t="s">
        <v>7229</v>
      </c>
      <c r="O755" s="1" t="s">
        <v>7230</v>
      </c>
      <c r="P755" s="1" t="s">
        <v>7231</v>
      </c>
      <c r="Q755" s="1" t="s">
        <v>7232</v>
      </c>
      <c r="R755" s="1" t="s">
        <v>7233</v>
      </c>
      <c r="S755" s="1" t="s">
        <v>7234</v>
      </c>
      <c r="T755" s="1" t="s">
        <v>7235</v>
      </c>
      <c r="U755">
        <v>129.84</v>
      </c>
      <c r="V755">
        <v>66.180000000000007</v>
      </c>
      <c r="W755">
        <v>16.439848000000001</v>
      </c>
      <c r="X755">
        <v>107.52389700000001</v>
      </c>
      <c r="Y755">
        <v>63.66</v>
      </c>
      <c r="Z755">
        <v>16.458561</v>
      </c>
      <c r="AA755">
        <v>107.5205</v>
      </c>
      <c r="AB755" s="5">
        <f t="shared" si="67"/>
        <v>9.9270000000000011E-2</v>
      </c>
      <c r="AC755" s="5">
        <f t="shared" si="68"/>
        <v>9.5489999999999992E-2</v>
      </c>
      <c r="AD755" s="1" t="str">
        <f t="shared" si="69"/>
        <v>Ring 6 Hương An</v>
      </c>
      <c r="AE755" s="1" t="str">
        <f t="shared" si="70"/>
        <v>Kim Long</v>
      </c>
      <c r="AG755">
        <f t="shared" si="71"/>
        <v>6.6180000000000003E-2</v>
      </c>
      <c r="AH755">
        <f t="shared" si="72"/>
        <v>6.3659999999999994E-2</v>
      </c>
      <c r="AI755" t="e">
        <f>VLOOKUP(L755,'[1]Tuyến cáp H04'!$B:$E,3,0)/1000</f>
        <v>#N/A</v>
      </c>
      <c r="AJ755" t="e">
        <f>VLOOKUP(L755,'[1]Tuyến cáp H04'!$B:$E,4,0)</f>
        <v>#N/A</v>
      </c>
    </row>
    <row r="756" spans="1:36" x14ac:dyDescent="0.25">
      <c r="A756" s="1" t="s">
        <v>7236</v>
      </c>
      <c r="B756" s="1" t="s">
        <v>7237</v>
      </c>
      <c r="C756" s="1" t="s">
        <v>7238</v>
      </c>
      <c r="D756" s="1" t="s">
        <v>6919</v>
      </c>
      <c r="E756" s="1" t="s">
        <v>6920</v>
      </c>
      <c r="F756" s="1" t="s">
        <v>7239</v>
      </c>
      <c r="G756" s="1" t="s">
        <v>14129</v>
      </c>
      <c r="H756" s="1" t="s">
        <v>14532</v>
      </c>
      <c r="I756" s="1" t="s">
        <v>14872</v>
      </c>
      <c r="J756" s="1" t="s">
        <v>23</v>
      </c>
      <c r="K756" s="1"/>
      <c r="L756" s="1" t="s">
        <v>6922</v>
      </c>
      <c r="M756" s="1" t="s">
        <v>7240</v>
      </c>
      <c r="N756" s="1" t="s">
        <v>7241</v>
      </c>
      <c r="O756" s="1" t="s">
        <v>7242</v>
      </c>
      <c r="P756" s="1" t="s">
        <v>7243</v>
      </c>
      <c r="Q756" s="1" t="s">
        <v>7244</v>
      </c>
      <c r="R756" s="1" t="s">
        <v>7245</v>
      </c>
      <c r="S756" s="1" t="s">
        <v>7246</v>
      </c>
      <c r="T756" s="1" t="s">
        <v>7247</v>
      </c>
      <c r="U756">
        <v>2241.2199999999998</v>
      </c>
      <c r="V756">
        <v>36.64</v>
      </c>
      <c r="W756">
        <v>16.554606</v>
      </c>
      <c r="X756">
        <v>107.580668</v>
      </c>
      <c r="Y756">
        <v>2204.58</v>
      </c>
      <c r="Z756">
        <v>16.549901999999999</v>
      </c>
      <c r="AA756">
        <v>107.617518</v>
      </c>
      <c r="AB756" s="5">
        <f t="shared" si="67"/>
        <v>5.4960000000000002E-2</v>
      </c>
      <c r="AC756" s="5">
        <f t="shared" si="68"/>
        <v>3.30687</v>
      </c>
      <c r="AD756" s="1" t="str">
        <f t="shared" si="69"/>
        <v>Ring 7 Hóa Châu</v>
      </c>
      <c r="AE756" s="1" t="str">
        <f t="shared" si="70"/>
        <v>Mỹ Thượng</v>
      </c>
      <c r="AG756">
        <f t="shared" si="71"/>
        <v>3.6639999999999999E-2</v>
      </c>
      <c r="AH756">
        <f t="shared" si="72"/>
        <v>2.20458</v>
      </c>
      <c r="AI756" t="e">
        <f>VLOOKUP(L756,'[1]Tuyến cáp H04'!$B:$E,3,0)/1000</f>
        <v>#N/A</v>
      </c>
      <c r="AJ756" t="e">
        <f>VLOOKUP(L756,'[1]Tuyến cáp H04'!$B:$E,4,0)</f>
        <v>#N/A</v>
      </c>
    </row>
    <row r="757" spans="1:36" x14ac:dyDescent="0.25">
      <c r="A757" s="1" t="s">
        <v>7248</v>
      </c>
      <c r="B757" s="1" t="s">
        <v>7249</v>
      </c>
      <c r="C757" s="1" t="s">
        <v>7250</v>
      </c>
      <c r="D757" s="1" t="s">
        <v>7251</v>
      </c>
      <c r="E757" s="1" t="s">
        <v>7252</v>
      </c>
      <c r="F757" s="1" t="s">
        <v>7253</v>
      </c>
      <c r="G757" s="1" t="s">
        <v>14129</v>
      </c>
      <c r="H757" s="1" t="s">
        <v>14532</v>
      </c>
      <c r="I757" s="1" t="s">
        <v>14850</v>
      </c>
      <c r="J757" s="1" t="s">
        <v>23</v>
      </c>
      <c r="K757" s="1"/>
      <c r="L757" s="1" t="s">
        <v>7254</v>
      </c>
      <c r="M757" s="1" t="s">
        <v>7255</v>
      </c>
      <c r="N757" s="1" t="s">
        <v>7256</v>
      </c>
      <c r="O757" s="1" t="s">
        <v>7257</v>
      </c>
      <c r="P757" s="1" t="s">
        <v>7258</v>
      </c>
      <c r="Q757" s="1" t="s">
        <v>7259</v>
      </c>
      <c r="R757" s="1" t="s">
        <v>7260</v>
      </c>
      <c r="S757" s="1" t="s">
        <v>7261</v>
      </c>
      <c r="T757" s="1" t="s">
        <v>7262</v>
      </c>
      <c r="U757">
        <v>2918.39</v>
      </c>
      <c r="V757">
        <v>2714.13</v>
      </c>
      <c r="W757">
        <v>16.487857999999999</v>
      </c>
      <c r="X757">
        <v>107.644924</v>
      </c>
      <c r="Y757">
        <v>204.26</v>
      </c>
      <c r="Z757">
        <v>16.480132999999999</v>
      </c>
      <c r="AA757">
        <v>107.682886</v>
      </c>
      <c r="AB757" s="5">
        <f t="shared" si="67"/>
        <v>4.0711950000000003</v>
      </c>
      <c r="AC757" s="5">
        <f t="shared" si="68"/>
        <v>0.30639</v>
      </c>
      <c r="AD757" s="1" t="str">
        <f t="shared" si="69"/>
        <v>TTCMKV_Ring 1_CAT Huế mới</v>
      </c>
      <c r="AE757" s="1" t="str">
        <f t="shared" si="70"/>
        <v>Phú Vang</v>
      </c>
      <c r="AG757">
        <f t="shared" si="71"/>
        <v>2.7141299999999999</v>
      </c>
      <c r="AH757">
        <f t="shared" si="72"/>
        <v>0.20426</v>
      </c>
      <c r="AI757" t="e">
        <f>VLOOKUP(L757,'[1]Tuyến cáp H04'!$B:$E,3,0)/1000</f>
        <v>#N/A</v>
      </c>
      <c r="AJ757" t="e">
        <f>VLOOKUP(L757,'[1]Tuyến cáp H04'!$B:$E,4,0)</f>
        <v>#N/A</v>
      </c>
    </row>
    <row r="758" spans="1:36" x14ac:dyDescent="0.25">
      <c r="A758" s="1" t="s">
        <v>7263</v>
      </c>
      <c r="B758" s="1" t="s">
        <v>7264</v>
      </c>
      <c r="C758" s="1" t="s">
        <v>7265</v>
      </c>
      <c r="D758" s="1" t="s">
        <v>7266</v>
      </c>
      <c r="E758" s="1" t="s">
        <v>7267</v>
      </c>
      <c r="F758" s="1" t="s">
        <v>7268</v>
      </c>
      <c r="G758" s="1" t="s">
        <v>14129</v>
      </c>
      <c r="H758" s="1" t="s">
        <v>14532</v>
      </c>
      <c r="I758" s="1" t="s">
        <v>14873</v>
      </c>
      <c r="J758" s="1" t="s">
        <v>23</v>
      </c>
      <c r="K758" s="1"/>
      <c r="L758" s="1" t="s">
        <v>7269</v>
      </c>
      <c r="M758" s="1" t="s">
        <v>7270</v>
      </c>
      <c r="N758" s="1" t="s">
        <v>7271</v>
      </c>
      <c r="O758" s="1" t="s">
        <v>7272</v>
      </c>
      <c r="P758" s="1" t="s">
        <v>7273</v>
      </c>
      <c r="Q758" s="1" t="s">
        <v>7274</v>
      </c>
      <c r="R758" s="1" t="s">
        <v>7275</v>
      </c>
      <c r="S758" s="1" t="s">
        <v>7276</v>
      </c>
      <c r="T758" s="1" t="s">
        <v>7277</v>
      </c>
      <c r="U758">
        <v>2010.03</v>
      </c>
      <c r="V758">
        <v>14.74</v>
      </c>
      <c r="W758">
        <v>16.512826</v>
      </c>
      <c r="X758">
        <v>107.59974200000001</v>
      </c>
      <c r="Y758">
        <v>1995.28</v>
      </c>
      <c r="Z758">
        <v>16.529236999999998</v>
      </c>
      <c r="AA758">
        <v>107.616541</v>
      </c>
      <c r="AB758" s="5">
        <f t="shared" si="67"/>
        <v>2.2109999999999998E-2</v>
      </c>
      <c r="AC758" s="5">
        <f t="shared" si="68"/>
        <v>2.9929200000000002</v>
      </c>
      <c r="AD758" s="1" t="str">
        <f t="shared" si="69"/>
        <v>Ring 8 Dương Nỗ</v>
      </c>
      <c r="AE758" s="1" t="str">
        <f t="shared" si="70"/>
        <v>Thuận An</v>
      </c>
      <c r="AG758">
        <f t="shared" si="71"/>
        <v>1.474E-2</v>
      </c>
      <c r="AH758">
        <f t="shared" si="72"/>
        <v>1.9952799999999999</v>
      </c>
      <c r="AI758" t="e">
        <f>VLOOKUP(L758,'[1]Tuyến cáp H04'!$B:$E,3,0)/1000</f>
        <v>#N/A</v>
      </c>
      <c r="AJ758" t="e">
        <f>VLOOKUP(L758,'[1]Tuyến cáp H04'!$B:$E,4,0)</f>
        <v>#N/A</v>
      </c>
    </row>
    <row r="759" spans="1:36" x14ac:dyDescent="0.25">
      <c r="A759" s="1" t="s">
        <v>7278</v>
      </c>
      <c r="B759" s="1" t="s">
        <v>7279</v>
      </c>
      <c r="C759" s="1" t="s">
        <v>7280</v>
      </c>
      <c r="D759" s="1" t="s">
        <v>7281</v>
      </c>
      <c r="E759" s="1" t="s">
        <v>7282</v>
      </c>
      <c r="F759" s="1" t="s">
        <v>7283</v>
      </c>
      <c r="G759" s="1" t="s">
        <v>14129</v>
      </c>
      <c r="H759" s="1" t="s">
        <v>14532</v>
      </c>
      <c r="I759" s="1" t="s">
        <v>14874</v>
      </c>
      <c r="J759" s="1" t="s">
        <v>23</v>
      </c>
      <c r="K759" s="1"/>
      <c r="L759" s="1" t="s">
        <v>7269</v>
      </c>
      <c r="M759" s="1" t="s">
        <v>7284</v>
      </c>
      <c r="N759" s="1" t="s">
        <v>1317</v>
      </c>
      <c r="O759" s="1" t="s">
        <v>7285</v>
      </c>
      <c r="P759" s="1" t="s">
        <v>7286</v>
      </c>
      <c r="Q759" s="1" t="s">
        <v>7287</v>
      </c>
      <c r="R759" s="1" t="s">
        <v>7288</v>
      </c>
      <c r="S759" s="1" t="s">
        <v>7289</v>
      </c>
      <c r="T759" s="1" t="s">
        <v>7277</v>
      </c>
      <c r="U759">
        <v>521.73</v>
      </c>
      <c r="V759">
        <v>12.56</v>
      </c>
      <c r="W759">
        <v>16.543879</v>
      </c>
      <c r="X759">
        <v>107.636127</v>
      </c>
      <c r="Y759">
        <v>509.17</v>
      </c>
      <c r="Z759">
        <v>16.530933000000001</v>
      </c>
      <c r="AA759">
        <v>107.61888399999999</v>
      </c>
      <c r="AB759" s="5">
        <f t="shared" si="67"/>
        <v>1.8839999999999999E-2</v>
      </c>
      <c r="AC759" s="5">
        <f t="shared" si="68"/>
        <v>0.76375499999999996</v>
      </c>
      <c r="AD759" s="1" t="str">
        <f t="shared" si="69"/>
        <v>Ring 8 Dương Nỗ</v>
      </c>
      <c r="AE759" s="1" t="str">
        <f t="shared" si="70"/>
        <v>Thuận An</v>
      </c>
      <c r="AG759">
        <f t="shared" si="71"/>
        <v>1.256E-2</v>
      </c>
      <c r="AH759">
        <f t="shared" si="72"/>
        <v>0.50917000000000001</v>
      </c>
      <c r="AI759" t="e">
        <f>VLOOKUP(L759,'[1]Tuyến cáp H04'!$B:$E,3,0)/1000</f>
        <v>#N/A</v>
      </c>
      <c r="AJ759" t="e">
        <f>VLOOKUP(L759,'[1]Tuyến cáp H04'!$B:$E,4,0)</f>
        <v>#N/A</v>
      </c>
    </row>
    <row r="760" spans="1:36" x14ac:dyDescent="0.25">
      <c r="A760" s="1" t="s">
        <v>7290</v>
      </c>
      <c r="B760" s="1" t="s">
        <v>7291</v>
      </c>
      <c r="C760" s="1" t="s">
        <v>7292</v>
      </c>
      <c r="D760" s="1" t="s">
        <v>7293</v>
      </c>
      <c r="E760" s="1" t="s">
        <v>7294</v>
      </c>
      <c r="F760" s="1" t="s">
        <v>7295</v>
      </c>
      <c r="G760" s="1" t="s">
        <v>14129</v>
      </c>
      <c r="H760" s="1" t="s">
        <v>14532</v>
      </c>
      <c r="I760" s="1" t="s">
        <v>14875</v>
      </c>
      <c r="J760" s="1" t="s">
        <v>23</v>
      </c>
      <c r="K760" s="1"/>
      <c r="L760" s="1" t="s">
        <v>7007</v>
      </c>
      <c r="M760" s="1" t="s">
        <v>7296</v>
      </c>
      <c r="N760" s="1" t="s">
        <v>7297</v>
      </c>
      <c r="O760" s="1" t="s">
        <v>7298</v>
      </c>
      <c r="P760" s="1" t="s">
        <v>7299</v>
      </c>
      <c r="Q760" s="1" t="s">
        <v>7300</v>
      </c>
      <c r="R760" s="1" t="s">
        <v>7301</v>
      </c>
      <c r="S760" s="1" t="s">
        <v>7302</v>
      </c>
      <c r="T760" s="1" t="s">
        <v>7303</v>
      </c>
      <c r="U760">
        <v>150.99</v>
      </c>
      <c r="V760">
        <v>144.19</v>
      </c>
      <c r="W760">
        <v>16.459177</v>
      </c>
      <c r="X760">
        <v>107.607506</v>
      </c>
      <c r="Y760">
        <v>6.8</v>
      </c>
      <c r="Z760">
        <v>16.462240999999999</v>
      </c>
      <c r="AA760">
        <v>107.60086</v>
      </c>
      <c r="AB760" s="5">
        <f t="shared" si="67"/>
        <v>0.21628500000000001</v>
      </c>
      <c r="AC760" s="5">
        <f t="shared" si="68"/>
        <v>1.0199999999999999E-2</v>
      </c>
      <c r="AD760" s="1" t="str">
        <f t="shared" si="69"/>
        <v>Ring 1 CA TP Huế</v>
      </c>
      <c r="AE760" s="1" t="str">
        <f t="shared" si="70"/>
        <v>PK02</v>
      </c>
      <c r="AG760">
        <f t="shared" si="71"/>
        <v>0.14418999999999998</v>
      </c>
      <c r="AH760">
        <f t="shared" si="72"/>
        <v>6.7999999999999996E-3</v>
      </c>
      <c r="AI760" t="e">
        <f>VLOOKUP(L760,'[1]Tuyến cáp H04'!$B:$E,3,0)/1000</f>
        <v>#N/A</v>
      </c>
      <c r="AJ760" t="e">
        <f>VLOOKUP(L760,'[1]Tuyến cáp H04'!$B:$E,4,0)</f>
        <v>#N/A</v>
      </c>
    </row>
    <row r="761" spans="1:36" x14ac:dyDescent="0.25">
      <c r="A761" s="1" t="s">
        <v>7304</v>
      </c>
      <c r="B761" s="1" t="s">
        <v>7305</v>
      </c>
      <c r="C761" s="1" t="s">
        <v>7306</v>
      </c>
      <c r="D761" s="1" t="s">
        <v>7307</v>
      </c>
      <c r="E761" s="1" t="s">
        <v>7308</v>
      </c>
      <c r="F761" s="1" t="s">
        <v>7309</v>
      </c>
      <c r="G761" s="1" t="s">
        <v>14129</v>
      </c>
      <c r="H761" s="1" t="s">
        <v>14532</v>
      </c>
      <c r="I761" s="1" t="s">
        <v>14876</v>
      </c>
      <c r="J761" s="1" t="s">
        <v>23</v>
      </c>
      <c r="K761" s="1"/>
      <c r="L761" s="1" t="s">
        <v>7310</v>
      </c>
      <c r="M761" s="1" t="s">
        <v>7311</v>
      </c>
      <c r="N761" s="1" t="s">
        <v>7312</v>
      </c>
      <c r="O761" s="1" t="s">
        <v>7313</v>
      </c>
      <c r="P761" s="1" t="s">
        <v>7314</v>
      </c>
      <c r="Q761" s="1" t="s">
        <v>7315</v>
      </c>
      <c r="R761" s="1" t="s">
        <v>7316</v>
      </c>
      <c r="S761" s="1" t="s">
        <v>7317</v>
      </c>
      <c r="T761" s="1" t="s">
        <v>7318</v>
      </c>
      <c r="U761">
        <v>1947.88</v>
      </c>
      <c r="V761">
        <v>16.07</v>
      </c>
      <c r="W761">
        <v>16.454187000000001</v>
      </c>
      <c r="X761">
        <v>107.680341</v>
      </c>
      <c r="Y761">
        <v>1931.81</v>
      </c>
      <c r="Z761">
        <v>16.443624</v>
      </c>
      <c r="AA761">
        <v>107.66766699999999</v>
      </c>
      <c r="AB761" s="5">
        <f t="shared" si="67"/>
        <v>2.4105000000000001E-2</v>
      </c>
      <c r="AC761" s="5">
        <f t="shared" si="68"/>
        <v>2.8977150000000003</v>
      </c>
      <c r="AD761" s="1" t="str">
        <f t="shared" si="69"/>
        <v>Ring 9 An Cựu</v>
      </c>
      <c r="AE761" s="1" t="str">
        <f t="shared" si="70"/>
        <v>Phú Hồ</v>
      </c>
      <c r="AG761">
        <f t="shared" si="71"/>
        <v>1.6070000000000001E-2</v>
      </c>
      <c r="AH761">
        <f t="shared" si="72"/>
        <v>1.93181</v>
      </c>
      <c r="AI761" t="e">
        <f>VLOOKUP(L761,'[1]Tuyến cáp H04'!$B:$E,3,0)/1000</f>
        <v>#N/A</v>
      </c>
      <c r="AJ761" t="e">
        <f>VLOOKUP(L761,'[1]Tuyến cáp H04'!$B:$E,4,0)</f>
        <v>#N/A</v>
      </c>
    </row>
    <row r="762" spans="1:36" x14ac:dyDescent="0.25">
      <c r="A762" s="1" t="s">
        <v>7319</v>
      </c>
      <c r="B762" s="1" t="s">
        <v>7320</v>
      </c>
      <c r="C762" s="1" t="s">
        <v>7321</v>
      </c>
      <c r="D762" s="1" t="s">
        <v>7322</v>
      </c>
      <c r="E762" s="1" t="s">
        <v>7323</v>
      </c>
      <c r="F762" s="1" t="s">
        <v>7324</v>
      </c>
      <c r="G762" s="1" t="s">
        <v>14129</v>
      </c>
      <c r="H762" s="1" t="s">
        <v>14532</v>
      </c>
      <c r="I762" s="1" t="s">
        <v>14877</v>
      </c>
      <c r="J762" s="1" t="s">
        <v>23</v>
      </c>
      <c r="K762" s="1"/>
      <c r="L762" s="1" t="s">
        <v>7119</v>
      </c>
      <c r="M762" s="1" t="s">
        <v>7325</v>
      </c>
      <c r="N762" s="1" t="s">
        <v>7326</v>
      </c>
      <c r="O762" s="1" t="s">
        <v>7327</v>
      </c>
      <c r="P762" s="1" t="s">
        <v>7328</v>
      </c>
      <c r="Q762" s="1" t="s">
        <v>7329</v>
      </c>
      <c r="R762" s="1" t="s">
        <v>7330</v>
      </c>
      <c r="S762" s="1" t="s">
        <v>7331</v>
      </c>
      <c r="T762" s="1" t="s">
        <v>7332</v>
      </c>
      <c r="U762">
        <v>491</v>
      </c>
      <c r="V762">
        <v>314.14999999999998</v>
      </c>
      <c r="W762">
        <v>16.479894999999999</v>
      </c>
      <c r="X762">
        <v>107.601732</v>
      </c>
      <c r="Y762">
        <v>176.85</v>
      </c>
      <c r="Z762">
        <v>16.471789000000001</v>
      </c>
      <c r="AA762">
        <v>107.600525</v>
      </c>
      <c r="AB762" s="5">
        <f t="shared" si="67"/>
        <v>0.47122499999999995</v>
      </c>
      <c r="AC762" s="5">
        <f t="shared" si="68"/>
        <v>0.26527499999999998</v>
      </c>
      <c r="AD762" s="1" t="str">
        <f t="shared" si="69"/>
        <v>PC07 (52 Hùng Vương)</v>
      </c>
      <c r="AE762" s="1" t="str">
        <f t="shared" si="70"/>
        <v>TT Huế</v>
      </c>
      <c r="AG762">
        <f t="shared" si="71"/>
        <v>0.31414999999999998</v>
      </c>
      <c r="AH762">
        <f t="shared" si="72"/>
        <v>0.17685000000000001</v>
      </c>
      <c r="AI762">
        <f>VLOOKUP(L762,'[1]Tuyến cáp H04'!$B:$E,3,0)/1000</f>
        <v>6.2</v>
      </c>
      <c r="AJ762" t="str">
        <f>VLOOKUP(L762,'[1]Tuyến cáp H04'!$B:$E,4,0)</f>
        <v>Mạng cấp 3</v>
      </c>
    </row>
    <row r="763" spans="1:36" x14ac:dyDescent="0.25">
      <c r="A763" s="1" t="s">
        <v>7333</v>
      </c>
      <c r="B763" s="1" t="s">
        <v>7334</v>
      </c>
      <c r="C763" s="1" t="s">
        <v>7335</v>
      </c>
      <c r="D763" s="1" t="s">
        <v>7336</v>
      </c>
      <c r="E763" s="1" t="s">
        <v>7337</v>
      </c>
      <c r="F763" s="1" t="s">
        <v>7338</v>
      </c>
      <c r="G763" s="1" t="s">
        <v>14129</v>
      </c>
      <c r="H763" s="1" t="s">
        <v>14532</v>
      </c>
      <c r="I763" s="1" t="s">
        <v>14878</v>
      </c>
      <c r="J763" s="1" t="s">
        <v>23</v>
      </c>
      <c r="K763" s="1"/>
      <c r="L763" s="1" t="s">
        <v>7065</v>
      </c>
      <c r="M763" s="1" t="s">
        <v>7339</v>
      </c>
      <c r="N763" s="1" t="s">
        <v>7340</v>
      </c>
      <c r="O763" s="1" t="s">
        <v>7341</v>
      </c>
      <c r="P763" s="1" t="s">
        <v>7342</v>
      </c>
      <c r="Q763" s="1" t="s">
        <v>7343</v>
      </c>
      <c r="R763" s="1" t="s">
        <v>7344</v>
      </c>
      <c r="S763" s="1" t="s">
        <v>7345</v>
      </c>
      <c r="T763" s="1" t="s">
        <v>7073</v>
      </c>
      <c r="U763">
        <v>1256.68</v>
      </c>
      <c r="V763">
        <v>814.52</v>
      </c>
      <c r="W763">
        <v>16.450233000000001</v>
      </c>
      <c r="X763">
        <v>107.61814</v>
      </c>
      <c r="Y763">
        <v>442.16</v>
      </c>
      <c r="Z763">
        <v>16.460460999999999</v>
      </c>
      <c r="AA763">
        <v>107.624076</v>
      </c>
      <c r="AB763" s="5">
        <f t="shared" si="67"/>
        <v>1.2217799999999999</v>
      </c>
      <c r="AC763" s="5">
        <f t="shared" si="68"/>
        <v>0.66324000000000005</v>
      </c>
      <c r="AD763" s="1" t="str">
        <f t="shared" si="69"/>
        <v>TTCMKV_Ring 2_Phong Điền</v>
      </c>
      <c r="AE763" s="1" t="str">
        <f t="shared" si="70"/>
        <v>CAT Huế mới</v>
      </c>
      <c r="AG763">
        <f t="shared" si="71"/>
        <v>0.81452000000000002</v>
      </c>
      <c r="AH763">
        <f t="shared" si="72"/>
        <v>0.44216</v>
      </c>
      <c r="AI763" t="e">
        <f>VLOOKUP(L763,'[1]Tuyến cáp H04'!$B:$E,3,0)/1000</f>
        <v>#N/A</v>
      </c>
      <c r="AJ763" t="e">
        <f>VLOOKUP(L763,'[1]Tuyến cáp H04'!$B:$E,4,0)</f>
        <v>#N/A</v>
      </c>
    </row>
    <row r="764" spans="1:36" x14ac:dyDescent="0.25">
      <c r="A764" s="1" t="s">
        <v>7346</v>
      </c>
      <c r="B764" s="1" t="s">
        <v>6962</v>
      </c>
      <c r="C764" s="1" t="s">
        <v>6963</v>
      </c>
      <c r="D764" s="1" t="s">
        <v>7347</v>
      </c>
      <c r="E764" s="1" t="s">
        <v>7348</v>
      </c>
      <c r="F764" s="1" t="s">
        <v>7349</v>
      </c>
      <c r="G764" s="1" t="s">
        <v>14129</v>
      </c>
      <c r="H764" s="1" t="s">
        <v>14532</v>
      </c>
      <c r="I764" s="1" t="s">
        <v>14879</v>
      </c>
      <c r="J764" s="1" t="s">
        <v>23</v>
      </c>
      <c r="K764" s="1"/>
      <c r="L764" s="1" t="s">
        <v>7350</v>
      </c>
      <c r="M764" s="1" t="s">
        <v>7351</v>
      </c>
      <c r="N764" s="1" t="s">
        <v>7352</v>
      </c>
      <c r="O764" s="1" t="s">
        <v>7353</v>
      </c>
      <c r="P764" s="1" t="s">
        <v>7354</v>
      </c>
      <c r="Q764" s="1" t="s">
        <v>7355</v>
      </c>
      <c r="R764" s="1" t="s">
        <v>7356</v>
      </c>
      <c r="S764" s="1" t="s">
        <v>7357</v>
      </c>
      <c r="T764" s="1" t="s">
        <v>7358</v>
      </c>
      <c r="U764">
        <v>669.52</v>
      </c>
      <c r="V764">
        <v>68.680000000000007</v>
      </c>
      <c r="W764">
        <v>16.408670999999998</v>
      </c>
      <c r="X764">
        <v>107.681068</v>
      </c>
      <c r="Y764">
        <v>600.84</v>
      </c>
      <c r="Z764">
        <v>16.434963</v>
      </c>
      <c r="AA764">
        <v>107.611178</v>
      </c>
      <c r="AB764" s="5">
        <f t="shared" si="67"/>
        <v>0.10302000000000001</v>
      </c>
      <c r="AC764" s="5">
        <f t="shared" si="68"/>
        <v>0.90125999999999995</v>
      </c>
      <c r="AD764" s="1" t="str">
        <f t="shared" si="69"/>
        <v>Ring 11 "Thủy Xuân</v>
      </c>
      <c r="AE764" s="1" t="str">
        <f t="shared" si="70"/>
        <v>TTCMKV TX Hương
Thủy"</v>
      </c>
      <c r="AG764">
        <f t="shared" si="71"/>
        <v>6.8680000000000005E-2</v>
      </c>
      <c r="AH764">
        <f t="shared" si="72"/>
        <v>0.60084000000000004</v>
      </c>
      <c r="AI764" t="e">
        <f>VLOOKUP(L764,'[1]Tuyến cáp H04'!$B:$E,3,0)/1000</f>
        <v>#N/A</v>
      </c>
      <c r="AJ764" t="e">
        <f>VLOOKUP(L764,'[1]Tuyến cáp H04'!$B:$E,4,0)</f>
        <v>#N/A</v>
      </c>
    </row>
    <row r="765" spans="1:36" x14ac:dyDescent="0.25">
      <c r="A765" s="1" t="s">
        <v>7359</v>
      </c>
      <c r="B765" s="1" t="s">
        <v>7360</v>
      </c>
      <c r="C765" s="1" t="s">
        <v>7361</v>
      </c>
      <c r="D765" s="1" t="s">
        <v>7004</v>
      </c>
      <c r="E765" s="1" t="s">
        <v>7005</v>
      </c>
      <c r="F765" s="1" t="s">
        <v>7362</v>
      </c>
      <c r="G765" s="1" t="s">
        <v>14129</v>
      </c>
      <c r="H765" s="1" t="s">
        <v>14532</v>
      </c>
      <c r="I765" s="1" t="s">
        <v>14880</v>
      </c>
      <c r="J765" s="1" t="s">
        <v>23</v>
      </c>
      <c r="K765" s="1"/>
      <c r="L765" s="1" t="s">
        <v>7363</v>
      </c>
      <c r="M765" s="1" t="s">
        <v>7364</v>
      </c>
      <c r="N765" s="1" t="s">
        <v>7365</v>
      </c>
      <c r="O765" s="1" t="s">
        <v>7366</v>
      </c>
      <c r="P765" s="1" t="s">
        <v>7367</v>
      </c>
      <c r="Q765" s="1" t="s">
        <v>7368</v>
      </c>
      <c r="R765" s="1" t="s">
        <v>7369</v>
      </c>
      <c r="S765" s="1" t="s">
        <v>7370</v>
      </c>
      <c r="T765" s="1" t="s">
        <v>7371</v>
      </c>
      <c r="U765">
        <v>3150.34</v>
      </c>
      <c r="V765">
        <v>459.56</v>
      </c>
      <c r="W765">
        <v>16.442993000000001</v>
      </c>
      <c r="X765">
        <v>107.540175</v>
      </c>
      <c r="Y765">
        <v>2690.77</v>
      </c>
      <c r="Z765">
        <v>16.439699999999998</v>
      </c>
      <c r="AA765">
        <v>107.58576100000001</v>
      </c>
      <c r="AB765" s="5">
        <f t="shared" si="67"/>
        <v>0.68934000000000006</v>
      </c>
      <c r="AC765" s="5">
        <f t="shared" si="68"/>
        <v>4.0361549999999999</v>
      </c>
      <c r="AD765" s="1" t="str">
        <f t="shared" si="69"/>
        <v>Ring 11 CAT Thừa Thiên Huế</v>
      </c>
      <c r="AE765" s="1" t="str">
        <f t="shared" si="70"/>
        <v>Thủy Xuân</v>
      </c>
      <c r="AG765">
        <f t="shared" si="71"/>
        <v>0.45956000000000002</v>
      </c>
      <c r="AH765">
        <f t="shared" si="72"/>
        <v>2.6907700000000001</v>
      </c>
      <c r="AI765" t="e">
        <f>VLOOKUP(L765,'[1]Tuyến cáp H04'!$B:$E,3,0)/1000</f>
        <v>#N/A</v>
      </c>
      <c r="AJ765" t="e">
        <f>VLOOKUP(L765,'[1]Tuyến cáp H04'!$B:$E,4,0)</f>
        <v>#N/A</v>
      </c>
    </row>
    <row r="766" spans="1:36" x14ac:dyDescent="0.25">
      <c r="A766" s="1" t="s">
        <v>7372</v>
      </c>
      <c r="B766" s="1" t="s">
        <v>7373</v>
      </c>
      <c r="C766" s="1" t="s">
        <v>7374</v>
      </c>
      <c r="D766" s="1" t="s">
        <v>7375</v>
      </c>
      <c r="E766" s="1" t="s">
        <v>7376</v>
      </c>
      <c r="F766" s="1" t="s">
        <v>7377</v>
      </c>
      <c r="G766" s="1" t="s">
        <v>14129</v>
      </c>
      <c r="H766" s="1" t="s">
        <v>14532</v>
      </c>
      <c r="I766" s="1" t="s">
        <v>14881</v>
      </c>
      <c r="J766" s="1" t="s">
        <v>23</v>
      </c>
      <c r="K766" s="1"/>
      <c r="L766" s="1" t="s">
        <v>7378</v>
      </c>
      <c r="M766" s="1" t="s">
        <v>7379</v>
      </c>
      <c r="N766" s="1" t="s">
        <v>7380</v>
      </c>
      <c r="O766" s="1" t="s">
        <v>7381</v>
      </c>
      <c r="P766" s="1" t="s">
        <v>7382</v>
      </c>
      <c r="Q766" s="1" t="s">
        <v>7383</v>
      </c>
      <c r="R766" s="1" t="s">
        <v>7384</v>
      </c>
      <c r="S766" s="1" t="s">
        <v>7385</v>
      </c>
      <c r="T766" s="1" t="s">
        <v>7386</v>
      </c>
      <c r="U766">
        <v>6002.95</v>
      </c>
      <c r="V766">
        <v>53.04</v>
      </c>
      <c r="W766">
        <v>16.349126999999999</v>
      </c>
      <c r="X766">
        <v>107.504623</v>
      </c>
      <c r="Y766">
        <v>5949.91</v>
      </c>
      <c r="Z766">
        <v>16.396788000000001</v>
      </c>
      <c r="AA766">
        <v>107.56425400000001</v>
      </c>
      <c r="AB766" s="5">
        <f t="shared" si="67"/>
        <v>7.9560000000000006E-2</v>
      </c>
      <c r="AC766" s="5">
        <f t="shared" si="68"/>
        <v>8.9248650000000005</v>
      </c>
      <c r="AD766" s="1" t="str">
        <f t="shared" si="69"/>
        <v>Ring 12_CAT Huế mới</v>
      </c>
      <c r="AE766" s="1" t="str">
        <f t="shared" si="70"/>
        <v>Bình Điền</v>
      </c>
      <c r="AG766">
        <f t="shared" si="71"/>
        <v>5.3039999999999997E-2</v>
      </c>
      <c r="AH766">
        <f t="shared" si="72"/>
        <v>5.94991</v>
      </c>
      <c r="AI766" t="e">
        <f>VLOOKUP(L766,'[1]Tuyến cáp H04'!$B:$E,3,0)/1000</f>
        <v>#N/A</v>
      </c>
      <c r="AJ766" t="e">
        <f>VLOOKUP(L766,'[1]Tuyến cáp H04'!$B:$E,4,0)</f>
        <v>#N/A</v>
      </c>
    </row>
    <row r="767" spans="1:36" x14ac:dyDescent="0.25">
      <c r="A767" s="1" t="s">
        <v>7387</v>
      </c>
      <c r="B767" s="1" t="s">
        <v>7388</v>
      </c>
      <c r="C767" s="1" t="s">
        <v>7389</v>
      </c>
      <c r="D767" s="1" t="s">
        <v>7390</v>
      </c>
      <c r="E767" s="1" t="s">
        <v>7391</v>
      </c>
      <c r="F767" s="1" t="s">
        <v>7392</v>
      </c>
      <c r="G767" s="1" t="s">
        <v>14129</v>
      </c>
      <c r="H767" s="1" t="s">
        <v>14532</v>
      </c>
      <c r="I767" s="1" t="s">
        <v>14882</v>
      </c>
      <c r="J767" s="1" t="s">
        <v>23</v>
      </c>
      <c r="K767" s="1"/>
      <c r="L767" s="1" t="s">
        <v>7393</v>
      </c>
      <c r="M767" s="1" t="s">
        <v>7394</v>
      </c>
      <c r="N767" s="1" t="s">
        <v>7395</v>
      </c>
      <c r="O767" s="1" t="s">
        <v>7396</v>
      </c>
      <c r="P767" s="1" t="s">
        <v>7397</v>
      </c>
      <c r="Q767" s="1" t="s">
        <v>7398</v>
      </c>
      <c r="R767" s="1" t="s">
        <v>7399</v>
      </c>
      <c r="S767" s="1" t="s">
        <v>7400</v>
      </c>
      <c r="T767" s="1" t="s">
        <v>7401</v>
      </c>
      <c r="U767">
        <v>172.6</v>
      </c>
      <c r="V767">
        <v>117.37</v>
      </c>
      <c r="W767">
        <v>16.444255999999999</v>
      </c>
      <c r="X767">
        <v>107.620498</v>
      </c>
      <c r="Y767">
        <v>55.23</v>
      </c>
      <c r="Z767">
        <v>16.449210999999998</v>
      </c>
      <c r="AA767">
        <v>107.607276</v>
      </c>
      <c r="AB767" s="5">
        <f t="shared" si="67"/>
        <v>0.17605500000000002</v>
      </c>
      <c r="AC767" s="5">
        <f t="shared" si="68"/>
        <v>8.2845000000000002E-2</v>
      </c>
      <c r="AD767" s="1" t="str">
        <f t="shared" si="69"/>
        <v>Ring 2 Phú Xuân</v>
      </c>
      <c r="AE767" s="1" t="str">
        <f t="shared" si="70"/>
        <v>Hương Thủy</v>
      </c>
      <c r="AG767">
        <f t="shared" si="71"/>
        <v>0.11737</v>
      </c>
      <c r="AH767">
        <f t="shared" si="72"/>
        <v>5.5229999999999994E-2</v>
      </c>
      <c r="AI767" t="e">
        <f>VLOOKUP(L767,'[1]Tuyến cáp H04'!$B:$E,3,0)/1000</f>
        <v>#N/A</v>
      </c>
      <c r="AJ767" t="e">
        <f>VLOOKUP(L767,'[1]Tuyến cáp H04'!$B:$E,4,0)</f>
        <v>#N/A</v>
      </c>
    </row>
    <row r="768" spans="1:36" x14ac:dyDescent="0.25">
      <c r="A768" s="1" t="s">
        <v>7402</v>
      </c>
      <c r="B768" s="1" t="s">
        <v>7403</v>
      </c>
      <c r="C768" s="1" t="s">
        <v>7404</v>
      </c>
      <c r="D768" s="1" t="s">
        <v>6917</v>
      </c>
      <c r="E768" s="1" t="s">
        <v>6918</v>
      </c>
      <c r="F768" s="1" t="s">
        <v>7405</v>
      </c>
      <c r="G768" s="1" t="s">
        <v>14129</v>
      </c>
      <c r="H768" s="1" t="s">
        <v>14532</v>
      </c>
      <c r="I768" s="1" t="s">
        <v>14883</v>
      </c>
      <c r="J768" s="1" t="s">
        <v>23</v>
      </c>
      <c r="K768" s="1"/>
      <c r="L768" s="1" t="s">
        <v>7406</v>
      </c>
      <c r="M768" s="1" t="s">
        <v>7407</v>
      </c>
      <c r="N768" s="1" t="s">
        <v>7408</v>
      </c>
      <c r="O768" s="1" t="s">
        <v>7409</v>
      </c>
      <c r="P768" s="1" t="s">
        <v>7410</v>
      </c>
      <c r="Q768" s="1" t="s">
        <v>7411</v>
      </c>
      <c r="R768" s="1" t="s">
        <v>7412</v>
      </c>
      <c r="S768" s="1" t="s">
        <v>7413</v>
      </c>
      <c r="T768" s="1" t="s">
        <v>7414</v>
      </c>
      <c r="U768">
        <v>3057.31</v>
      </c>
      <c r="V768">
        <v>2854.68</v>
      </c>
      <c r="W768">
        <v>16.493091</v>
      </c>
      <c r="X768">
        <v>107.594409</v>
      </c>
      <c r="Y768">
        <v>202.64</v>
      </c>
      <c r="Z768">
        <v>16.478172000000001</v>
      </c>
      <c r="AA768">
        <v>107.624154</v>
      </c>
      <c r="AB768" s="5">
        <f t="shared" si="67"/>
        <v>4.2820199999999993</v>
      </c>
      <c r="AC768" s="5">
        <f t="shared" si="68"/>
        <v>0.30395999999999995</v>
      </c>
      <c r="AD768" s="1" t="str">
        <f t="shared" si="69"/>
        <v>Ring 1 Phú Xuân</v>
      </c>
      <c r="AE768" s="1" t="str">
        <f t="shared" si="70"/>
        <v>CAT TT Huế</v>
      </c>
      <c r="AG768">
        <f t="shared" si="71"/>
        <v>2.8546799999999997</v>
      </c>
      <c r="AH768">
        <f t="shared" si="72"/>
        <v>0.20263999999999999</v>
      </c>
      <c r="AI768" t="e">
        <f>VLOOKUP(L768,'[1]Tuyến cáp H04'!$B:$E,3,0)/1000</f>
        <v>#N/A</v>
      </c>
      <c r="AJ768" t="e">
        <f>VLOOKUP(L768,'[1]Tuyến cáp H04'!$B:$E,4,0)</f>
        <v>#N/A</v>
      </c>
    </row>
    <row r="769" spans="1:36" x14ac:dyDescent="0.25">
      <c r="A769" s="1" t="s">
        <v>7415</v>
      </c>
      <c r="B769" s="1" t="s">
        <v>7416</v>
      </c>
      <c r="C769" s="1" t="s">
        <v>7417</v>
      </c>
      <c r="D769" s="1" t="s">
        <v>7237</v>
      </c>
      <c r="E769" s="1" t="s">
        <v>7238</v>
      </c>
      <c r="F769" s="1" t="s">
        <v>7418</v>
      </c>
      <c r="G769" s="1" t="s">
        <v>14129</v>
      </c>
      <c r="H769" s="1" t="s">
        <v>14532</v>
      </c>
      <c r="I769" s="1" t="s">
        <v>14884</v>
      </c>
      <c r="J769" s="1" t="s">
        <v>23</v>
      </c>
      <c r="K769" s="1"/>
      <c r="L769" s="1" t="s">
        <v>7419</v>
      </c>
      <c r="M769" s="1" t="s">
        <v>7420</v>
      </c>
      <c r="N769" s="1" t="s">
        <v>7421</v>
      </c>
      <c r="O769" s="1" t="s">
        <v>7422</v>
      </c>
      <c r="P769" s="1" t="s">
        <v>7423</v>
      </c>
      <c r="Q769" s="1" t="s">
        <v>7424</v>
      </c>
      <c r="R769" s="1" t="s">
        <v>7425</v>
      </c>
      <c r="S769" s="1" t="s">
        <v>7426</v>
      </c>
      <c r="T769" s="1" t="s">
        <v>7427</v>
      </c>
      <c r="U769">
        <v>6923.49</v>
      </c>
      <c r="V769">
        <v>6905.29</v>
      </c>
      <c r="W769">
        <v>16.537220000000001</v>
      </c>
      <c r="X769">
        <v>107.56147900000001</v>
      </c>
      <c r="Y769">
        <v>18.2</v>
      </c>
      <c r="Z769">
        <v>16.554478</v>
      </c>
      <c r="AA769">
        <v>107.58055</v>
      </c>
      <c r="AB769" s="5">
        <f t="shared" si="67"/>
        <v>10.357934999999999</v>
      </c>
      <c r="AC769" s="5">
        <f t="shared" si="68"/>
        <v>2.7299999999999998E-2</v>
      </c>
      <c r="AD769" s="1" t="str">
        <f t="shared" si="69"/>
        <v>Ring 7 TTCMKV Quảng Điền</v>
      </c>
      <c r="AE769" s="1" t="str">
        <f t="shared" si="70"/>
        <v>Hóa Châu</v>
      </c>
      <c r="AG769">
        <f t="shared" si="71"/>
        <v>6.9052899999999999</v>
      </c>
      <c r="AH769">
        <f t="shared" si="72"/>
        <v>1.8200000000000001E-2</v>
      </c>
      <c r="AI769" t="e">
        <f>VLOOKUP(L769,'[1]Tuyến cáp H04'!$B:$E,3,0)/1000</f>
        <v>#N/A</v>
      </c>
      <c r="AJ769" t="e">
        <f>VLOOKUP(L769,'[1]Tuyến cáp H04'!$B:$E,4,0)</f>
        <v>#N/A</v>
      </c>
    </row>
    <row r="770" spans="1:36" x14ac:dyDescent="0.25">
      <c r="A770" s="1" t="s">
        <v>7428</v>
      </c>
      <c r="B770" s="1" t="s">
        <v>7047</v>
      </c>
      <c r="C770" s="1" t="s">
        <v>7048</v>
      </c>
      <c r="D770" s="1" t="s">
        <v>7045</v>
      </c>
      <c r="E770" s="1" t="s">
        <v>7046</v>
      </c>
      <c r="F770" s="1" t="s">
        <v>7429</v>
      </c>
      <c r="G770" s="1" t="s">
        <v>14129</v>
      </c>
      <c r="H770" s="1" t="s">
        <v>14532</v>
      </c>
      <c r="I770" s="1" t="s">
        <v>14885</v>
      </c>
      <c r="J770" s="1" t="s">
        <v>23</v>
      </c>
      <c r="K770" s="1"/>
      <c r="L770" s="1" t="s">
        <v>7050</v>
      </c>
      <c r="M770" s="1" t="s">
        <v>7051</v>
      </c>
      <c r="N770" s="1" t="s">
        <v>7055</v>
      </c>
      <c r="O770" s="1" t="s">
        <v>7056</v>
      </c>
      <c r="P770" s="1" t="s">
        <v>7057</v>
      </c>
      <c r="Q770" s="1" t="s">
        <v>7052</v>
      </c>
      <c r="R770" s="1" t="s">
        <v>7053</v>
      </c>
      <c r="S770" s="1" t="s">
        <v>7054</v>
      </c>
      <c r="T770" s="1" t="s">
        <v>7058</v>
      </c>
      <c r="U770">
        <v>346.19</v>
      </c>
      <c r="V770">
        <v>332.22</v>
      </c>
      <c r="W770">
        <v>16.475852</v>
      </c>
      <c r="X770">
        <v>107.603185</v>
      </c>
      <c r="Y770">
        <v>13.97</v>
      </c>
      <c r="Z770">
        <v>16.475570999999999</v>
      </c>
      <c r="AA770">
        <v>107.60319</v>
      </c>
      <c r="AB770" s="5">
        <f t="shared" si="67"/>
        <v>0.49833000000000005</v>
      </c>
      <c r="AC770" s="5">
        <f t="shared" si="68"/>
        <v>2.0955000000000001E-2</v>
      </c>
      <c r="AD770" s="1" t="str">
        <f t="shared" si="69"/>
        <v>Ring 3 PA07</v>
      </c>
      <c r="AE770" s="1" t="str">
        <f t="shared" si="70"/>
        <v>PC01</v>
      </c>
      <c r="AG770">
        <f t="shared" si="71"/>
        <v>0.33222000000000002</v>
      </c>
      <c r="AH770">
        <f t="shared" si="72"/>
        <v>1.397E-2</v>
      </c>
      <c r="AI770" t="e">
        <f>VLOOKUP(L770,'[1]Tuyến cáp H04'!$B:$E,3,0)/1000</f>
        <v>#N/A</v>
      </c>
      <c r="AJ770" t="e">
        <f>VLOOKUP(L770,'[1]Tuyến cáp H04'!$B:$E,4,0)</f>
        <v>#N/A</v>
      </c>
    </row>
    <row r="771" spans="1:36" x14ac:dyDescent="0.25">
      <c r="A771" s="1" t="s">
        <v>7428</v>
      </c>
      <c r="B771" s="1" t="s">
        <v>7047</v>
      </c>
      <c r="C771" s="1" t="s">
        <v>7048</v>
      </c>
      <c r="D771" s="1" t="s">
        <v>7045</v>
      </c>
      <c r="E771" s="1" t="s">
        <v>7046</v>
      </c>
      <c r="F771" s="1" t="s">
        <v>7430</v>
      </c>
      <c r="G771" s="1" t="s">
        <v>14129</v>
      </c>
      <c r="H771" s="1" t="s">
        <v>14532</v>
      </c>
      <c r="I771" s="1" t="s">
        <v>14886</v>
      </c>
      <c r="J771" s="1" t="s">
        <v>23</v>
      </c>
      <c r="K771" s="1"/>
      <c r="L771" s="1" t="s">
        <v>7050</v>
      </c>
      <c r="M771" s="1" t="s">
        <v>7051</v>
      </c>
      <c r="N771" s="1" t="s">
        <v>7055</v>
      </c>
      <c r="O771" s="1" t="s">
        <v>7056</v>
      </c>
      <c r="P771" s="1" t="s">
        <v>7057</v>
      </c>
      <c r="Q771" s="1" t="s">
        <v>7052</v>
      </c>
      <c r="R771" s="1" t="s">
        <v>7053</v>
      </c>
      <c r="S771" s="1" t="s">
        <v>7054</v>
      </c>
      <c r="T771" s="1" t="s">
        <v>7058</v>
      </c>
      <c r="U771">
        <v>346.19</v>
      </c>
      <c r="V771">
        <v>332.22</v>
      </c>
      <c r="W771">
        <v>16.475852</v>
      </c>
      <c r="X771">
        <v>107.603185</v>
      </c>
      <c r="Y771">
        <v>13.97</v>
      </c>
      <c r="Z771">
        <v>16.475570999999999</v>
      </c>
      <c r="AA771">
        <v>107.60319</v>
      </c>
      <c r="AB771" s="5">
        <f t="shared" ref="AB771:AB834" si="73">V771*1.5/1000</f>
        <v>0.49833000000000005</v>
      </c>
      <c r="AC771" s="5">
        <f t="shared" ref="AC771:AC834" si="74">Y771*1.5/1000</f>
        <v>2.0955000000000001E-2</v>
      </c>
      <c r="AD771" s="1" t="str">
        <f t="shared" ref="AD771:AD834" si="75">TRIM(LEFT(L771,FIND("-",L771)-1))</f>
        <v>Ring 3 PA07</v>
      </c>
      <c r="AE771" s="1" t="str">
        <f t="shared" ref="AE771:AE834" si="76">TRIM(RIGHT(L771, LEN(L771) - FIND("-", L771)))</f>
        <v>PC01</v>
      </c>
      <c r="AG771">
        <f t="shared" ref="AG771:AG834" si="77">V771/1000</f>
        <v>0.33222000000000002</v>
      </c>
      <c r="AH771">
        <f t="shared" ref="AH771:AH834" si="78">Y771/1000</f>
        <v>1.397E-2</v>
      </c>
      <c r="AI771" t="e">
        <f>VLOOKUP(L771,'[1]Tuyến cáp H04'!$B:$E,3,0)/1000</f>
        <v>#N/A</v>
      </c>
      <c r="AJ771" t="e">
        <f>VLOOKUP(L771,'[1]Tuyến cáp H04'!$B:$E,4,0)</f>
        <v>#N/A</v>
      </c>
    </row>
    <row r="772" spans="1:36" x14ac:dyDescent="0.25">
      <c r="A772" s="1" t="s">
        <v>7431</v>
      </c>
      <c r="B772" s="1" t="s">
        <v>7375</v>
      </c>
      <c r="C772" s="1" t="s">
        <v>7376</v>
      </c>
      <c r="D772" s="1" t="s">
        <v>7360</v>
      </c>
      <c r="E772" s="1" t="s">
        <v>7361</v>
      </c>
      <c r="F772" s="1" t="s">
        <v>7432</v>
      </c>
      <c r="G772" s="1" t="s">
        <v>14129</v>
      </c>
      <c r="H772" s="1" t="s">
        <v>14532</v>
      </c>
      <c r="I772" s="1" t="s">
        <v>14887</v>
      </c>
      <c r="J772" s="1" t="s">
        <v>23</v>
      </c>
      <c r="K772" s="1"/>
      <c r="L772" s="1" t="s">
        <v>7363</v>
      </c>
      <c r="M772" s="1" t="s">
        <v>7433</v>
      </c>
      <c r="N772" s="1" t="s">
        <v>7434</v>
      </c>
      <c r="O772" s="1" t="s">
        <v>7435</v>
      </c>
      <c r="P772" s="1" t="s">
        <v>7436</v>
      </c>
      <c r="Q772" s="1" t="s">
        <v>7365</v>
      </c>
      <c r="R772" s="1" t="s">
        <v>7366</v>
      </c>
      <c r="S772" s="1" t="s">
        <v>7367</v>
      </c>
      <c r="T772" s="1" t="s">
        <v>7371</v>
      </c>
      <c r="U772">
        <v>827.83</v>
      </c>
      <c r="V772">
        <v>368.27</v>
      </c>
      <c r="W772">
        <v>16.435271</v>
      </c>
      <c r="X772">
        <v>107.600075</v>
      </c>
      <c r="Y772">
        <v>459.56</v>
      </c>
      <c r="Z772">
        <v>16.442993000000001</v>
      </c>
      <c r="AA772">
        <v>107.540175</v>
      </c>
      <c r="AB772" s="5">
        <f t="shared" si="73"/>
        <v>0.55240499999999992</v>
      </c>
      <c r="AC772" s="5">
        <f t="shared" si="74"/>
        <v>0.68934000000000006</v>
      </c>
      <c r="AD772" s="1" t="str">
        <f t="shared" si="75"/>
        <v>Ring 11 CAT Thừa Thiên Huế</v>
      </c>
      <c r="AE772" s="1" t="str">
        <f t="shared" si="76"/>
        <v>Thủy Xuân</v>
      </c>
      <c r="AG772">
        <f t="shared" si="77"/>
        <v>0.36826999999999999</v>
      </c>
      <c r="AH772">
        <f t="shared" si="78"/>
        <v>0.45956000000000002</v>
      </c>
      <c r="AI772" t="e">
        <f>VLOOKUP(L772,'[1]Tuyến cáp H04'!$B:$E,3,0)/1000</f>
        <v>#N/A</v>
      </c>
      <c r="AJ772" t="e">
        <f>VLOOKUP(L772,'[1]Tuyến cáp H04'!$B:$E,4,0)</f>
        <v>#N/A</v>
      </c>
    </row>
    <row r="773" spans="1:36" x14ac:dyDescent="0.25">
      <c r="A773" s="1" t="s">
        <v>7437</v>
      </c>
      <c r="B773" s="1" t="s">
        <v>7438</v>
      </c>
      <c r="C773" s="1" t="s">
        <v>7439</v>
      </c>
      <c r="D773" s="1" t="s">
        <v>6917</v>
      </c>
      <c r="E773" s="1" t="s">
        <v>6918</v>
      </c>
      <c r="F773" s="1" t="s">
        <v>7440</v>
      </c>
      <c r="G773" s="1" t="s">
        <v>14129</v>
      </c>
      <c r="H773" s="1" t="s">
        <v>14532</v>
      </c>
      <c r="I773" s="1" t="s">
        <v>14888</v>
      </c>
      <c r="J773" s="1" t="s">
        <v>23</v>
      </c>
      <c r="K773" s="1"/>
      <c r="L773" s="1" t="s">
        <v>7065</v>
      </c>
      <c r="M773" s="1" t="s">
        <v>7441</v>
      </c>
      <c r="N773" s="1" t="s">
        <v>7442</v>
      </c>
      <c r="O773" s="1" t="s">
        <v>7443</v>
      </c>
      <c r="P773" s="1" t="s">
        <v>7444</v>
      </c>
      <c r="Q773" s="1" t="s">
        <v>7445</v>
      </c>
      <c r="R773" s="1" t="s">
        <v>7446</v>
      </c>
      <c r="S773" s="1" t="s">
        <v>7447</v>
      </c>
      <c r="T773" s="1" t="s">
        <v>7073</v>
      </c>
      <c r="U773">
        <v>2170.08</v>
      </c>
      <c r="V773">
        <v>345.85</v>
      </c>
      <c r="W773">
        <v>16.456904999999999</v>
      </c>
      <c r="X773">
        <v>107.606543</v>
      </c>
      <c r="Y773">
        <v>1824.23</v>
      </c>
      <c r="Z773">
        <v>16.460649</v>
      </c>
      <c r="AA773">
        <v>107.624078</v>
      </c>
      <c r="AB773" s="5">
        <f t="shared" si="73"/>
        <v>0.5187750000000001</v>
      </c>
      <c r="AC773" s="5">
        <f t="shared" si="74"/>
        <v>2.7363450000000005</v>
      </c>
      <c r="AD773" s="1" t="str">
        <f t="shared" si="75"/>
        <v>TTCMKV_Ring 2_Phong Điền</v>
      </c>
      <c r="AE773" s="1" t="str">
        <f t="shared" si="76"/>
        <v>CAT Huế mới</v>
      </c>
      <c r="AG773">
        <f t="shared" si="77"/>
        <v>0.34585000000000005</v>
      </c>
      <c r="AH773">
        <f t="shared" si="78"/>
        <v>1.82423</v>
      </c>
      <c r="AI773" t="e">
        <f>VLOOKUP(L773,'[1]Tuyến cáp H04'!$B:$E,3,0)/1000</f>
        <v>#N/A</v>
      </c>
      <c r="AJ773" t="e">
        <f>VLOOKUP(L773,'[1]Tuyến cáp H04'!$B:$E,4,0)</f>
        <v>#N/A</v>
      </c>
    </row>
    <row r="774" spans="1:36" x14ac:dyDescent="0.25">
      <c r="A774" s="1" t="s">
        <v>7448</v>
      </c>
      <c r="B774" s="1" t="s">
        <v>7449</v>
      </c>
      <c r="C774" s="1" t="s">
        <v>7450</v>
      </c>
      <c r="D774" s="1" t="s">
        <v>7449</v>
      </c>
      <c r="E774" s="1" t="s">
        <v>7450</v>
      </c>
      <c r="F774" s="1" t="s">
        <v>7451</v>
      </c>
      <c r="G774" s="1" t="s">
        <v>14129</v>
      </c>
      <c r="H774" s="1" t="s">
        <v>14532</v>
      </c>
      <c r="I774" s="1" t="s">
        <v>14889</v>
      </c>
      <c r="J774" s="1" t="s">
        <v>23</v>
      </c>
      <c r="K774" s="1"/>
      <c r="L774" s="1" t="s">
        <v>7452</v>
      </c>
      <c r="M774" s="1" t="s">
        <v>7453</v>
      </c>
      <c r="N774" s="1" t="s">
        <v>985</v>
      </c>
      <c r="O774" s="1" t="s">
        <v>7454</v>
      </c>
      <c r="P774" s="1" t="s">
        <v>7455</v>
      </c>
      <c r="Q774" s="1" t="s">
        <v>985</v>
      </c>
      <c r="R774" s="1" t="s">
        <v>7454</v>
      </c>
      <c r="S774" s="1" t="s">
        <v>7455</v>
      </c>
      <c r="T774" s="1" t="s">
        <v>7456</v>
      </c>
      <c r="U774">
        <v>39.700000000000003</v>
      </c>
      <c r="V774">
        <v>19.850000000000001</v>
      </c>
      <c r="W774">
        <v>16.423393999999998</v>
      </c>
      <c r="X774">
        <v>107.588523</v>
      </c>
      <c r="Y774">
        <v>19.850000000000001</v>
      </c>
      <c r="Z774">
        <v>16.423393999999998</v>
      </c>
      <c r="AA774">
        <v>107.588523</v>
      </c>
      <c r="AB774" s="5">
        <f t="shared" si="73"/>
        <v>2.9775000000000003E-2</v>
      </c>
      <c r="AC774" s="5">
        <f t="shared" si="74"/>
        <v>2.9775000000000003E-2</v>
      </c>
      <c r="AD774" s="1" t="str">
        <f t="shared" si="75"/>
        <v>Ring 3 PC10</v>
      </c>
      <c r="AE774" s="1" t="str">
        <f t="shared" si="76"/>
        <v>PC11</v>
      </c>
      <c r="AG774">
        <f t="shared" si="77"/>
        <v>1.9850000000000003E-2</v>
      </c>
      <c r="AH774">
        <f t="shared" si="78"/>
        <v>1.9850000000000003E-2</v>
      </c>
      <c r="AI774" t="e">
        <f>VLOOKUP(L774,'[1]Tuyến cáp H04'!$B:$E,3,0)/1000</f>
        <v>#N/A</v>
      </c>
      <c r="AJ774" t="e">
        <f>VLOOKUP(L774,'[1]Tuyến cáp H04'!$B:$E,4,0)</f>
        <v>#N/A</v>
      </c>
    </row>
    <row r="775" spans="1:36" x14ac:dyDescent="0.25">
      <c r="A775" s="1" t="s">
        <v>7457</v>
      </c>
      <c r="B775" s="1" t="s">
        <v>6989</v>
      </c>
      <c r="C775" s="1" t="s">
        <v>6990</v>
      </c>
      <c r="D775" s="1" t="s">
        <v>7153</v>
      </c>
      <c r="E775" s="1" t="s">
        <v>7154</v>
      </c>
      <c r="F775" s="1" t="s">
        <v>7155</v>
      </c>
      <c r="G775" s="1" t="s">
        <v>14129</v>
      </c>
      <c r="H775" s="1" t="s">
        <v>14532</v>
      </c>
      <c r="I775" s="1" t="s">
        <v>14866</v>
      </c>
      <c r="J775" s="1" t="s">
        <v>23</v>
      </c>
      <c r="K775" s="1"/>
      <c r="L775" s="1" t="s">
        <v>7156</v>
      </c>
      <c r="M775" s="1" t="s">
        <v>7458</v>
      </c>
      <c r="N775" s="1" t="s">
        <v>7459</v>
      </c>
      <c r="O775" s="1" t="s">
        <v>7460</v>
      </c>
      <c r="P775" s="1" t="s">
        <v>7461</v>
      </c>
      <c r="Q775" s="1" t="s">
        <v>7462</v>
      </c>
      <c r="R775" s="1" t="s">
        <v>7463</v>
      </c>
      <c r="S775" s="1" t="s">
        <v>7464</v>
      </c>
      <c r="T775" s="1" t="s">
        <v>7465</v>
      </c>
      <c r="U775">
        <v>2328.67</v>
      </c>
      <c r="V775">
        <v>126.69</v>
      </c>
      <c r="W775">
        <v>16.569879</v>
      </c>
      <c r="X775">
        <v>107.513603</v>
      </c>
      <c r="Y775">
        <v>2201.98</v>
      </c>
      <c r="Z775">
        <v>16.579502999999999</v>
      </c>
      <c r="AA775">
        <v>107.587335</v>
      </c>
      <c r="AB775" s="5">
        <f t="shared" si="73"/>
        <v>0.19003500000000001</v>
      </c>
      <c r="AC775" s="5">
        <f t="shared" si="74"/>
        <v>3.3029700000000002</v>
      </c>
      <c r="AD775" s="1" t="str">
        <f t="shared" si="75"/>
        <v>Ring 4 Phong Quảng</v>
      </c>
      <c r="AE775" s="1" t="str">
        <f t="shared" si="76"/>
        <v>TTCMKV Quảng
Điền</v>
      </c>
      <c r="AG775">
        <f t="shared" si="77"/>
        <v>0.12669</v>
      </c>
      <c r="AH775">
        <f t="shared" si="78"/>
        <v>2.2019799999999998</v>
      </c>
      <c r="AI775" t="e">
        <f>VLOOKUP(L775,'[1]Tuyến cáp H04'!$B:$E,3,0)/1000</f>
        <v>#N/A</v>
      </c>
      <c r="AJ775" t="e">
        <f>VLOOKUP(L775,'[1]Tuyến cáp H04'!$B:$E,4,0)</f>
        <v>#N/A</v>
      </c>
    </row>
    <row r="776" spans="1:36" x14ac:dyDescent="0.25">
      <c r="A776" s="1" t="s">
        <v>7466</v>
      </c>
      <c r="B776" s="1" t="s">
        <v>7360</v>
      </c>
      <c r="C776" s="1" t="s">
        <v>7361</v>
      </c>
      <c r="D776" s="1" t="s">
        <v>7467</v>
      </c>
      <c r="E776" s="1" t="s">
        <v>7468</v>
      </c>
      <c r="F776" s="1" t="s">
        <v>7469</v>
      </c>
      <c r="G776" s="1" t="s">
        <v>14129</v>
      </c>
      <c r="H776" s="1" t="s">
        <v>14532</v>
      </c>
      <c r="I776" s="1" t="s">
        <v>14890</v>
      </c>
      <c r="J776" s="1" t="s">
        <v>23</v>
      </c>
      <c r="K776" s="1"/>
      <c r="L776" s="1" t="s">
        <v>7363</v>
      </c>
      <c r="M776" s="1" t="s">
        <v>7470</v>
      </c>
      <c r="N776" s="1" t="s">
        <v>7365</v>
      </c>
      <c r="O776" s="1" t="s">
        <v>7366</v>
      </c>
      <c r="P776" s="1" t="s">
        <v>7367</v>
      </c>
      <c r="Q776" s="1" t="s">
        <v>7471</v>
      </c>
      <c r="R776" s="1" t="s">
        <v>7472</v>
      </c>
      <c r="S776" s="1" t="s">
        <v>7473</v>
      </c>
      <c r="T776" s="1" t="s">
        <v>7371</v>
      </c>
      <c r="U776">
        <v>560.17999999999995</v>
      </c>
      <c r="V776">
        <v>459.56</v>
      </c>
      <c r="W776">
        <v>16.442993000000001</v>
      </c>
      <c r="X776">
        <v>107.540175</v>
      </c>
      <c r="Y776">
        <v>100.62</v>
      </c>
      <c r="Z776">
        <v>16.434708000000001</v>
      </c>
      <c r="AA776">
        <v>107.565218</v>
      </c>
      <c r="AB776" s="5">
        <f t="shared" si="73"/>
        <v>0.68934000000000006</v>
      </c>
      <c r="AC776" s="5">
        <f t="shared" si="74"/>
        <v>0.15093000000000001</v>
      </c>
      <c r="AD776" s="1" t="str">
        <f t="shared" si="75"/>
        <v>Ring 11 CAT Thừa Thiên Huế</v>
      </c>
      <c r="AE776" s="1" t="str">
        <f t="shared" si="76"/>
        <v>Thủy Xuân</v>
      </c>
      <c r="AG776">
        <f t="shared" si="77"/>
        <v>0.45956000000000002</v>
      </c>
      <c r="AH776">
        <f t="shared" si="78"/>
        <v>0.10062</v>
      </c>
      <c r="AI776" t="e">
        <f>VLOOKUP(L776,'[1]Tuyến cáp H04'!$B:$E,3,0)/1000</f>
        <v>#N/A</v>
      </c>
      <c r="AJ776" t="e">
        <f>VLOOKUP(L776,'[1]Tuyến cáp H04'!$B:$E,4,0)</f>
        <v>#N/A</v>
      </c>
    </row>
    <row r="777" spans="1:36" x14ac:dyDescent="0.25">
      <c r="A777" s="1" t="s">
        <v>7474</v>
      </c>
      <c r="B777" s="1" t="s">
        <v>6917</v>
      </c>
      <c r="C777" s="1" t="s">
        <v>6918</v>
      </c>
      <c r="D777" s="1" t="s">
        <v>7475</v>
      </c>
      <c r="E777" s="1" t="s">
        <v>7476</v>
      </c>
      <c r="F777" s="1" t="s">
        <v>7477</v>
      </c>
      <c r="G777" s="1" t="s">
        <v>14129</v>
      </c>
      <c r="H777" s="1" t="s">
        <v>14532</v>
      </c>
      <c r="I777" s="1" t="s">
        <v>14891</v>
      </c>
      <c r="J777" s="1" t="s">
        <v>23</v>
      </c>
      <c r="K777" s="1"/>
      <c r="L777" s="1" t="s">
        <v>7478</v>
      </c>
      <c r="M777" s="1" t="s">
        <v>7479</v>
      </c>
      <c r="N777" s="1" t="s">
        <v>7480</v>
      </c>
      <c r="O777" s="1" t="s">
        <v>7481</v>
      </c>
      <c r="P777" s="1" t="s">
        <v>7482</v>
      </c>
      <c r="Q777" s="1" t="s">
        <v>7483</v>
      </c>
      <c r="R777" s="1" t="s">
        <v>7484</v>
      </c>
      <c r="S777" s="1" t="s">
        <v>7485</v>
      </c>
      <c r="T777" s="1" t="s">
        <v>7486</v>
      </c>
      <c r="U777">
        <v>4689.78</v>
      </c>
      <c r="V777">
        <v>3828.14</v>
      </c>
      <c r="W777">
        <v>16.478936999999998</v>
      </c>
      <c r="X777">
        <v>107.58975599999999</v>
      </c>
      <c r="Y777">
        <v>861.64</v>
      </c>
      <c r="Z777">
        <v>16.460554999999999</v>
      </c>
      <c r="AA777">
        <v>107.569109</v>
      </c>
      <c r="AB777" s="5">
        <f t="shared" si="73"/>
        <v>5.74221</v>
      </c>
      <c r="AC777" s="5">
        <f t="shared" si="74"/>
        <v>1.2924599999999999</v>
      </c>
      <c r="AD777" s="1" t="str">
        <f t="shared" si="75"/>
        <v>PC04 (trung tâm cái nghiện)</v>
      </c>
      <c r="AE777" s="1" t="str">
        <f t="shared" si="76"/>
        <v>Phú Xuân</v>
      </c>
      <c r="AG777">
        <f t="shared" si="77"/>
        <v>3.8281399999999999</v>
      </c>
      <c r="AH777">
        <f t="shared" si="78"/>
        <v>0.86163999999999996</v>
      </c>
      <c r="AI777">
        <f>VLOOKUP(L777,'[1]Tuyến cáp H04'!$B:$E,3,0)/1000</f>
        <v>13.4</v>
      </c>
      <c r="AJ777" t="str">
        <f>VLOOKUP(L777,'[1]Tuyến cáp H04'!$B:$E,4,0)</f>
        <v>Mạng cấp 3</v>
      </c>
    </row>
    <row r="778" spans="1:36" x14ac:dyDescent="0.25">
      <c r="A778" s="1" t="s">
        <v>7487</v>
      </c>
      <c r="B778" s="1" t="s">
        <v>6917</v>
      </c>
      <c r="C778" s="1" t="s">
        <v>6918</v>
      </c>
      <c r="D778" s="1" t="s">
        <v>7488</v>
      </c>
      <c r="E778" s="1" t="s">
        <v>7489</v>
      </c>
      <c r="F778" s="1" t="s">
        <v>7490</v>
      </c>
      <c r="G778" s="1" t="s">
        <v>14129</v>
      </c>
      <c r="H778" s="1" t="s">
        <v>14532</v>
      </c>
      <c r="I778" s="1" t="s">
        <v>14892</v>
      </c>
      <c r="J778" s="1" t="s">
        <v>23</v>
      </c>
      <c r="K778" s="1"/>
      <c r="L778" s="1" t="s">
        <v>7406</v>
      </c>
      <c r="M778" s="1" t="s">
        <v>7491</v>
      </c>
      <c r="N778" s="1" t="s">
        <v>7411</v>
      </c>
      <c r="O778" s="1" t="s">
        <v>7412</v>
      </c>
      <c r="P778" s="1" t="s">
        <v>7413</v>
      </c>
      <c r="Q778" s="1" t="s">
        <v>7492</v>
      </c>
      <c r="R778" s="1" t="s">
        <v>7409</v>
      </c>
      <c r="S778" s="1" t="s">
        <v>7410</v>
      </c>
      <c r="T778" s="1" t="s">
        <v>7414</v>
      </c>
      <c r="U778">
        <v>3845.7</v>
      </c>
      <c r="V778">
        <v>202.64</v>
      </c>
      <c r="W778">
        <v>16.478172000000001</v>
      </c>
      <c r="X778">
        <v>107.624154</v>
      </c>
      <c r="Y778">
        <v>3643.07</v>
      </c>
      <c r="Z778">
        <v>16.493091</v>
      </c>
      <c r="AA778">
        <v>107.594409</v>
      </c>
      <c r="AB778" s="5">
        <f t="shared" si="73"/>
        <v>0.30395999999999995</v>
      </c>
      <c r="AC778" s="5">
        <f t="shared" si="74"/>
        <v>5.4646050000000006</v>
      </c>
      <c r="AD778" s="1" t="str">
        <f t="shared" si="75"/>
        <v>Ring 1 Phú Xuân</v>
      </c>
      <c r="AE778" s="1" t="str">
        <f t="shared" si="76"/>
        <v>CAT TT Huế</v>
      </c>
      <c r="AG778">
        <f t="shared" si="77"/>
        <v>0.20263999999999999</v>
      </c>
      <c r="AH778">
        <f t="shared" si="78"/>
        <v>3.6430700000000003</v>
      </c>
      <c r="AI778" t="e">
        <f>VLOOKUP(L778,'[1]Tuyến cáp H04'!$B:$E,3,0)/1000</f>
        <v>#N/A</v>
      </c>
      <c r="AJ778" t="e">
        <f>VLOOKUP(L778,'[1]Tuyến cáp H04'!$B:$E,4,0)</f>
        <v>#N/A</v>
      </c>
    </row>
    <row r="779" spans="1:36" x14ac:dyDescent="0.25">
      <c r="A779" s="1" t="s">
        <v>7493</v>
      </c>
      <c r="B779" s="1" t="s">
        <v>7017</v>
      </c>
      <c r="C779" s="1" t="s">
        <v>7018</v>
      </c>
      <c r="D779" s="1" t="s">
        <v>7494</v>
      </c>
      <c r="E779" s="1" t="s">
        <v>7495</v>
      </c>
      <c r="F779" s="1" t="s">
        <v>7496</v>
      </c>
      <c r="G779" s="1" t="s">
        <v>14129</v>
      </c>
      <c r="H779" s="1" t="s">
        <v>14532</v>
      </c>
      <c r="I779" s="1" t="s">
        <v>14893</v>
      </c>
      <c r="J779" s="1" t="s">
        <v>23</v>
      </c>
      <c r="K779" s="1"/>
      <c r="L779" s="1" t="s">
        <v>7478</v>
      </c>
      <c r="M779" s="1" t="s">
        <v>7497</v>
      </c>
      <c r="N779" s="1" t="s">
        <v>7498</v>
      </c>
      <c r="O779" s="1" t="s">
        <v>7499</v>
      </c>
      <c r="P779" s="1" t="s">
        <v>7500</v>
      </c>
      <c r="Q779" s="1" t="s">
        <v>7501</v>
      </c>
      <c r="R779" s="1" t="s">
        <v>7502</v>
      </c>
      <c r="S779" s="1" t="s">
        <v>7503</v>
      </c>
      <c r="T779" s="1" t="s">
        <v>7504</v>
      </c>
      <c r="U779">
        <v>812.4</v>
      </c>
      <c r="V779">
        <v>21.39</v>
      </c>
      <c r="W779">
        <v>16.487358</v>
      </c>
      <c r="X779">
        <v>107.587509</v>
      </c>
      <c r="Y779">
        <v>791.01</v>
      </c>
      <c r="Z779">
        <v>16.479980000000001</v>
      </c>
      <c r="AA779">
        <v>107.585702</v>
      </c>
      <c r="AB779" s="5">
        <f t="shared" si="73"/>
        <v>3.2085000000000002E-2</v>
      </c>
      <c r="AC779" s="5">
        <f t="shared" si="74"/>
        <v>1.1865149999999998</v>
      </c>
      <c r="AD779" s="1" t="str">
        <f t="shared" si="75"/>
        <v>PC04 (trung tâm cái nghiện)</v>
      </c>
      <c r="AE779" s="1" t="str">
        <f t="shared" si="76"/>
        <v>Phú Xuân</v>
      </c>
      <c r="AG779">
        <f t="shared" si="77"/>
        <v>2.1389999999999999E-2</v>
      </c>
      <c r="AH779">
        <f t="shared" si="78"/>
        <v>0.79100999999999999</v>
      </c>
      <c r="AI779">
        <f>VLOOKUP(L779,'[1]Tuyến cáp H04'!$B:$E,3,0)/1000</f>
        <v>13.4</v>
      </c>
      <c r="AJ779" t="str">
        <f>VLOOKUP(L779,'[1]Tuyến cáp H04'!$B:$E,4,0)</f>
        <v>Mạng cấp 3</v>
      </c>
    </row>
    <row r="780" spans="1:36" x14ac:dyDescent="0.25">
      <c r="A780" s="1" t="s">
        <v>7505</v>
      </c>
      <c r="B780" s="1" t="s">
        <v>7506</v>
      </c>
      <c r="C780" s="1" t="s">
        <v>7507</v>
      </c>
      <c r="D780" s="1" t="s">
        <v>6989</v>
      </c>
      <c r="E780" s="1" t="s">
        <v>6990</v>
      </c>
      <c r="F780" s="1" t="s">
        <v>7508</v>
      </c>
      <c r="G780" s="1" t="s">
        <v>14129</v>
      </c>
      <c r="H780" s="1" t="s">
        <v>14532</v>
      </c>
      <c r="I780" s="1" t="s">
        <v>14894</v>
      </c>
      <c r="J780" s="1" t="s">
        <v>23</v>
      </c>
      <c r="K780" s="1"/>
      <c r="L780" s="1" t="s">
        <v>7509</v>
      </c>
      <c r="M780" s="1" t="s">
        <v>7510</v>
      </c>
      <c r="N780" s="1" t="s">
        <v>7511</v>
      </c>
      <c r="O780" s="1" t="s">
        <v>7512</v>
      </c>
      <c r="P780" s="1" t="s">
        <v>7513</v>
      </c>
      <c r="Q780" s="1" t="s">
        <v>7514</v>
      </c>
      <c r="R780" s="1" t="s">
        <v>7515</v>
      </c>
      <c r="S780" s="1" t="s">
        <v>7516</v>
      </c>
      <c r="T780" s="1" t="s">
        <v>7517</v>
      </c>
      <c r="U780">
        <v>5064.17</v>
      </c>
      <c r="V780">
        <v>5010.4399999999996</v>
      </c>
      <c r="W780">
        <v>16.579530999999999</v>
      </c>
      <c r="X780">
        <v>107.513243</v>
      </c>
      <c r="Y780">
        <v>53.73</v>
      </c>
      <c r="Z780">
        <v>16.569082999999999</v>
      </c>
      <c r="AA780">
        <v>107.513955</v>
      </c>
      <c r="AB780" s="5">
        <f t="shared" si="73"/>
        <v>7.5156599999999996</v>
      </c>
      <c r="AC780" s="5">
        <f t="shared" si="74"/>
        <v>8.0595E-2</v>
      </c>
      <c r="AD780" s="1" t="str">
        <f t="shared" si="75"/>
        <v>Ring 3_Phong Dinh</v>
      </c>
      <c r="AE780" s="1" t="str">
        <f t="shared" si="76"/>
        <v>TTCMKV Quảng Điền</v>
      </c>
      <c r="AG780">
        <f t="shared" si="77"/>
        <v>5.01044</v>
      </c>
      <c r="AH780">
        <f t="shared" si="78"/>
        <v>5.373E-2</v>
      </c>
      <c r="AI780" t="e">
        <f>VLOOKUP(L780,'[1]Tuyến cáp H04'!$B:$E,3,0)/1000</f>
        <v>#N/A</v>
      </c>
      <c r="AJ780" t="e">
        <f>VLOOKUP(L780,'[1]Tuyến cáp H04'!$B:$E,4,0)</f>
        <v>#N/A</v>
      </c>
    </row>
    <row r="781" spans="1:36" x14ac:dyDescent="0.25">
      <c r="A781" s="1" t="s">
        <v>7518</v>
      </c>
      <c r="B781" s="1" t="s">
        <v>7519</v>
      </c>
      <c r="C781" s="1" t="s">
        <v>7520</v>
      </c>
      <c r="D781" s="1" t="s">
        <v>7521</v>
      </c>
      <c r="E781" s="1" t="s">
        <v>7522</v>
      </c>
      <c r="F781" s="1" t="s">
        <v>7523</v>
      </c>
      <c r="G781" s="1" t="s">
        <v>14129</v>
      </c>
      <c r="H781" s="1" t="s">
        <v>14532</v>
      </c>
      <c r="I781" s="1" t="s">
        <v>14895</v>
      </c>
      <c r="J781" s="1" t="s">
        <v>23</v>
      </c>
      <c r="K781" s="1"/>
      <c r="L781" s="1" t="s">
        <v>7524</v>
      </c>
      <c r="M781" s="1" t="s">
        <v>7525</v>
      </c>
      <c r="N781" s="1" t="s">
        <v>7526</v>
      </c>
      <c r="O781" s="1" t="s">
        <v>7527</v>
      </c>
      <c r="P781" s="1" t="s">
        <v>7528</v>
      </c>
      <c r="Q781" s="1" t="s">
        <v>7529</v>
      </c>
      <c r="R781" s="1" t="s">
        <v>7530</v>
      </c>
      <c r="S781" s="1" t="s">
        <v>7531</v>
      </c>
      <c r="T781" s="1" t="s">
        <v>7532</v>
      </c>
      <c r="U781">
        <v>190.52</v>
      </c>
      <c r="V781">
        <v>157.80000000000001</v>
      </c>
      <c r="W781">
        <v>16.452960999999998</v>
      </c>
      <c r="X781">
        <v>107.592315</v>
      </c>
      <c r="Y781">
        <v>32.72</v>
      </c>
      <c r="Z781">
        <v>16.45111</v>
      </c>
      <c r="AA781">
        <v>107.589151</v>
      </c>
      <c r="AB781" s="5">
        <f t="shared" si="73"/>
        <v>0.23670000000000002</v>
      </c>
      <c r="AC781" s="5">
        <f t="shared" si="74"/>
        <v>4.9079999999999999E-2</v>
      </c>
      <c r="AD781" s="1" t="str">
        <f t="shared" si="75"/>
        <v>Ring 9 CAT Thừa Thiên Huế</v>
      </c>
      <c r="AE781" s="1" t="str">
        <f t="shared" si="76"/>
        <v>Thuận Hóa</v>
      </c>
      <c r="AG781">
        <f t="shared" si="77"/>
        <v>0.15780000000000002</v>
      </c>
      <c r="AH781">
        <f t="shared" si="78"/>
        <v>3.2719999999999999E-2</v>
      </c>
      <c r="AI781" t="e">
        <f>VLOOKUP(L781,'[1]Tuyến cáp H04'!$B:$E,3,0)/1000</f>
        <v>#N/A</v>
      </c>
      <c r="AJ781" t="e">
        <f>VLOOKUP(L781,'[1]Tuyến cáp H04'!$B:$E,4,0)</f>
        <v>#N/A</v>
      </c>
    </row>
    <row r="782" spans="1:36" x14ac:dyDescent="0.25">
      <c r="A782" s="1" t="s">
        <v>7431</v>
      </c>
      <c r="B782" s="1" t="s">
        <v>7375</v>
      </c>
      <c r="C782" s="1" t="s">
        <v>7376</v>
      </c>
      <c r="D782" s="1" t="s">
        <v>7360</v>
      </c>
      <c r="E782" s="1" t="s">
        <v>7361</v>
      </c>
      <c r="F782" s="1" t="s">
        <v>7533</v>
      </c>
      <c r="G782" s="1" t="s">
        <v>14129</v>
      </c>
      <c r="H782" s="1" t="s">
        <v>14532</v>
      </c>
      <c r="I782" s="1" t="s">
        <v>14896</v>
      </c>
      <c r="J782" s="1" t="s">
        <v>23</v>
      </c>
      <c r="K782" s="1"/>
      <c r="L782" s="1" t="s">
        <v>7363</v>
      </c>
      <c r="M782" s="1" t="s">
        <v>7433</v>
      </c>
      <c r="N782" s="1" t="s">
        <v>7434</v>
      </c>
      <c r="O782" s="1" t="s">
        <v>7435</v>
      </c>
      <c r="P782" s="1" t="s">
        <v>7436</v>
      </c>
      <c r="Q782" s="1" t="s">
        <v>7365</v>
      </c>
      <c r="R782" s="1" t="s">
        <v>7366</v>
      </c>
      <c r="S782" s="1" t="s">
        <v>7367</v>
      </c>
      <c r="T782" s="1" t="s">
        <v>7371</v>
      </c>
      <c r="U782">
        <v>827.83</v>
      </c>
      <c r="V782">
        <v>368.27</v>
      </c>
      <c r="W782">
        <v>16.435271</v>
      </c>
      <c r="X782">
        <v>107.600075</v>
      </c>
      <c r="Y782">
        <v>459.56</v>
      </c>
      <c r="Z782">
        <v>16.442993000000001</v>
      </c>
      <c r="AA782">
        <v>107.540175</v>
      </c>
      <c r="AB782" s="5">
        <f t="shared" si="73"/>
        <v>0.55240499999999992</v>
      </c>
      <c r="AC782" s="5">
        <f t="shared" si="74"/>
        <v>0.68934000000000006</v>
      </c>
      <c r="AD782" s="1" t="str">
        <f t="shared" si="75"/>
        <v>Ring 11 CAT Thừa Thiên Huế</v>
      </c>
      <c r="AE782" s="1" t="str">
        <f t="shared" si="76"/>
        <v>Thủy Xuân</v>
      </c>
      <c r="AG782">
        <f t="shared" si="77"/>
        <v>0.36826999999999999</v>
      </c>
      <c r="AH782">
        <f t="shared" si="78"/>
        <v>0.45956000000000002</v>
      </c>
      <c r="AI782" t="e">
        <f>VLOOKUP(L782,'[1]Tuyến cáp H04'!$B:$E,3,0)/1000</f>
        <v>#N/A</v>
      </c>
      <c r="AJ782" t="e">
        <f>VLOOKUP(L782,'[1]Tuyến cáp H04'!$B:$E,4,0)</f>
        <v>#N/A</v>
      </c>
    </row>
    <row r="783" spans="1:36" x14ac:dyDescent="0.25">
      <c r="A783" s="1" t="s">
        <v>7534</v>
      </c>
      <c r="B783" s="1" t="s">
        <v>7535</v>
      </c>
      <c r="C783" s="1" t="s">
        <v>7536</v>
      </c>
      <c r="D783" s="1" t="s">
        <v>7449</v>
      </c>
      <c r="E783" s="1" t="s">
        <v>7450</v>
      </c>
      <c r="F783" s="1" t="s">
        <v>7537</v>
      </c>
      <c r="G783" s="1" t="s">
        <v>14129</v>
      </c>
      <c r="H783" s="1" t="s">
        <v>14532</v>
      </c>
      <c r="I783" s="1" t="s">
        <v>14897</v>
      </c>
      <c r="J783" s="1" t="s">
        <v>23</v>
      </c>
      <c r="K783" s="1"/>
      <c r="L783" s="1" t="s">
        <v>7452</v>
      </c>
      <c r="M783" s="1" t="s">
        <v>7538</v>
      </c>
      <c r="N783" s="1" t="s">
        <v>7539</v>
      </c>
      <c r="O783" s="1" t="s">
        <v>7540</v>
      </c>
      <c r="P783" s="1" t="s">
        <v>7541</v>
      </c>
      <c r="Q783" s="1" t="s">
        <v>7542</v>
      </c>
      <c r="R783" s="1" t="s">
        <v>7543</v>
      </c>
      <c r="S783" s="1" t="s">
        <v>7544</v>
      </c>
      <c r="T783" s="1" t="s">
        <v>7545</v>
      </c>
      <c r="U783">
        <v>2596.1</v>
      </c>
      <c r="V783">
        <v>1787.78</v>
      </c>
      <c r="W783">
        <v>16.451485000000002</v>
      </c>
      <c r="X783">
        <v>107.57438</v>
      </c>
      <c r="Y783">
        <v>808.32</v>
      </c>
      <c r="Z783">
        <v>16.430464000000001</v>
      </c>
      <c r="AA783">
        <v>107.58719000000001</v>
      </c>
      <c r="AB783" s="5">
        <f t="shared" si="73"/>
        <v>2.68167</v>
      </c>
      <c r="AC783" s="5">
        <f t="shared" si="74"/>
        <v>1.21248</v>
      </c>
      <c r="AD783" s="1" t="str">
        <f t="shared" si="75"/>
        <v>Ring 3 PC10</v>
      </c>
      <c r="AE783" s="1" t="str">
        <f t="shared" si="76"/>
        <v>PC11</v>
      </c>
      <c r="AG783">
        <f t="shared" si="77"/>
        <v>1.7877799999999999</v>
      </c>
      <c r="AH783">
        <f t="shared" si="78"/>
        <v>0.80832000000000004</v>
      </c>
      <c r="AI783" t="e">
        <f>VLOOKUP(L783,'[1]Tuyến cáp H04'!$B:$E,3,0)/1000</f>
        <v>#N/A</v>
      </c>
      <c r="AJ783" t="e">
        <f>VLOOKUP(L783,'[1]Tuyến cáp H04'!$B:$E,4,0)</f>
        <v>#N/A</v>
      </c>
    </row>
    <row r="784" spans="1:36" x14ac:dyDescent="0.25">
      <c r="A784" s="1" t="s">
        <v>7546</v>
      </c>
      <c r="B784" s="1" t="s">
        <v>7467</v>
      </c>
      <c r="C784" s="1" t="s">
        <v>7468</v>
      </c>
      <c r="D784" s="1" t="s">
        <v>7360</v>
      </c>
      <c r="E784" s="1" t="s">
        <v>7361</v>
      </c>
      <c r="F784" s="1" t="s">
        <v>7547</v>
      </c>
      <c r="G784" s="1" t="s">
        <v>14129</v>
      </c>
      <c r="H784" s="1" t="s">
        <v>14532</v>
      </c>
      <c r="I784" s="1" t="s">
        <v>14898</v>
      </c>
      <c r="J784" s="1" t="s">
        <v>23</v>
      </c>
      <c r="K784" s="1"/>
      <c r="L784" s="1" t="s">
        <v>7363</v>
      </c>
      <c r="M784" s="1" t="s">
        <v>7470</v>
      </c>
      <c r="N784" s="1" t="s">
        <v>7471</v>
      </c>
      <c r="O784" s="1" t="s">
        <v>7472</v>
      </c>
      <c r="P784" s="1" t="s">
        <v>7473</v>
      </c>
      <c r="Q784" s="1" t="s">
        <v>7365</v>
      </c>
      <c r="R784" s="1" t="s">
        <v>7366</v>
      </c>
      <c r="S784" s="1" t="s">
        <v>7367</v>
      </c>
      <c r="T784" s="1" t="s">
        <v>7371</v>
      </c>
      <c r="U784">
        <v>560.17999999999995</v>
      </c>
      <c r="V784">
        <v>100.62</v>
      </c>
      <c r="W784">
        <v>16.434708000000001</v>
      </c>
      <c r="X784">
        <v>107.565218</v>
      </c>
      <c r="Y784">
        <v>459.56</v>
      </c>
      <c r="Z784">
        <v>16.442993000000001</v>
      </c>
      <c r="AA784">
        <v>107.540175</v>
      </c>
      <c r="AB784" s="5">
        <f t="shared" si="73"/>
        <v>0.15093000000000001</v>
      </c>
      <c r="AC784" s="5">
        <f t="shared" si="74"/>
        <v>0.68934000000000006</v>
      </c>
      <c r="AD784" s="1" t="str">
        <f t="shared" si="75"/>
        <v>Ring 11 CAT Thừa Thiên Huế</v>
      </c>
      <c r="AE784" s="1" t="str">
        <f t="shared" si="76"/>
        <v>Thủy Xuân</v>
      </c>
      <c r="AG784">
        <f t="shared" si="77"/>
        <v>0.10062</v>
      </c>
      <c r="AH784">
        <f t="shared" si="78"/>
        <v>0.45956000000000002</v>
      </c>
      <c r="AI784" t="e">
        <f>VLOOKUP(L784,'[1]Tuyến cáp H04'!$B:$E,3,0)/1000</f>
        <v>#N/A</v>
      </c>
      <c r="AJ784" t="e">
        <f>VLOOKUP(L784,'[1]Tuyến cáp H04'!$B:$E,4,0)</f>
        <v>#N/A</v>
      </c>
    </row>
    <row r="785" spans="1:36" x14ac:dyDescent="0.25">
      <c r="A785" s="1" t="s">
        <v>7402</v>
      </c>
      <c r="B785" s="1" t="s">
        <v>7416</v>
      </c>
      <c r="C785" s="1" t="s">
        <v>7417</v>
      </c>
      <c r="D785" s="1" t="s">
        <v>6917</v>
      </c>
      <c r="E785" s="1" t="s">
        <v>6918</v>
      </c>
      <c r="F785" s="1" t="s">
        <v>7548</v>
      </c>
      <c r="G785" s="1" t="s">
        <v>14129</v>
      </c>
      <c r="H785" s="1" t="s">
        <v>14532</v>
      </c>
      <c r="I785" s="1" t="s">
        <v>14899</v>
      </c>
      <c r="J785" s="1" t="s">
        <v>23</v>
      </c>
      <c r="K785" s="1"/>
      <c r="L785" s="1" t="s">
        <v>7406</v>
      </c>
      <c r="M785" s="1" t="s">
        <v>7549</v>
      </c>
      <c r="N785" s="1" t="s">
        <v>7550</v>
      </c>
      <c r="O785" s="1" t="s">
        <v>7409</v>
      </c>
      <c r="P785" s="1" t="s">
        <v>7410</v>
      </c>
      <c r="Q785" s="1" t="s">
        <v>7411</v>
      </c>
      <c r="R785" s="1" t="s">
        <v>7412</v>
      </c>
      <c r="S785" s="1" t="s">
        <v>7413</v>
      </c>
      <c r="T785" s="1" t="s">
        <v>7414</v>
      </c>
      <c r="U785">
        <v>4278.71</v>
      </c>
      <c r="V785">
        <v>4076.07</v>
      </c>
      <c r="W785">
        <v>16.493091</v>
      </c>
      <c r="X785">
        <v>107.594409</v>
      </c>
      <c r="Y785">
        <v>202.64</v>
      </c>
      <c r="Z785">
        <v>16.478172000000001</v>
      </c>
      <c r="AA785">
        <v>107.624154</v>
      </c>
      <c r="AB785" s="5">
        <f t="shared" si="73"/>
        <v>6.1141050000000003</v>
      </c>
      <c r="AC785" s="5">
        <f t="shared" si="74"/>
        <v>0.30395999999999995</v>
      </c>
      <c r="AD785" s="1" t="str">
        <f t="shared" si="75"/>
        <v>Ring 1 Phú Xuân</v>
      </c>
      <c r="AE785" s="1" t="str">
        <f t="shared" si="76"/>
        <v>CAT TT Huế</v>
      </c>
      <c r="AG785">
        <f t="shared" si="77"/>
        <v>4.0760700000000005</v>
      </c>
      <c r="AH785">
        <f t="shared" si="78"/>
        <v>0.20263999999999999</v>
      </c>
      <c r="AI785" t="e">
        <f>VLOOKUP(L785,'[1]Tuyến cáp H04'!$B:$E,3,0)/1000</f>
        <v>#N/A</v>
      </c>
      <c r="AJ785" t="e">
        <f>VLOOKUP(L785,'[1]Tuyến cáp H04'!$B:$E,4,0)</f>
        <v>#N/A</v>
      </c>
    </row>
    <row r="786" spans="1:36" x14ac:dyDescent="0.25">
      <c r="A786" s="1" t="s">
        <v>7551</v>
      </c>
      <c r="B786" s="1" t="s">
        <v>7552</v>
      </c>
      <c r="C786" s="1" t="s">
        <v>7553</v>
      </c>
      <c r="D786" s="1" t="s">
        <v>7449</v>
      </c>
      <c r="E786" s="1" t="s">
        <v>7450</v>
      </c>
      <c r="F786" s="1" t="s">
        <v>7554</v>
      </c>
      <c r="G786" s="1" t="s">
        <v>14129</v>
      </c>
      <c r="H786" s="1" t="s">
        <v>14532</v>
      </c>
      <c r="I786" s="1" t="s">
        <v>14900</v>
      </c>
      <c r="J786" s="1" t="s">
        <v>23</v>
      </c>
      <c r="K786" s="1"/>
      <c r="L786" s="1" t="s">
        <v>7452</v>
      </c>
      <c r="M786" s="1" t="s">
        <v>7555</v>
      </c>
      <c r="N786" s="1" t="s">
        <v>7556</v>
      </c>
      <c r="O786" s="1" t="s">
        <v>7540</v>
      </c>
      <c r="P786" s="1" t="s">
        <v>7541</v>
      </c>
      <c r="Q786" s="1" t="s">
        <v>7542</v>
      </c>
      <c r="R786" s="1" t="s">
        <v>7543</v>
      </c>
      <c r="S786" s="1" t="s">
        <v>7544</v>
      </c>
      <c r="T786" s="1" t="s">
        <v>7545</v>
      </c>
      <c r="U786">
        <v>1195.21</v>
      </c>
      <c r="V786">
        <v>386.89</v>
      </c>
      <c r="W786">
        <v>16.451485000000002</v>
      </c>
      <c r="X786">
        <v>107.57438</v>
      </c>
      <c r="Y786">
        <v>808.32</v>
      </c>
      <c r="Z786">
        <v>16.430464000000001</v>
      </c>
      <c r="AA786">
        <v>107.58719000000001</v>
      </c>
      <c r="AB786" s="5">
        <f t="shared" si="73"/>
        <v>0.58033500000000005</v>
      </c>
      <c r="AC786" s="5">
        <f t="shared" si="74"/>
        <v>1.21248</v>
      </c>
      <c r="AD786" s="1" t="str">
        <f t="shared" si="75"/>
        <v>Ring 3 PC10</v>
      </c>
      <c r="AE786" s="1" t="str">
        <f t="shared" si="76"/>
        <v>PC11</v>
      </c>
      <c r="AG786">
        <f t="shared" si="77"/>
        <v>0.38689000000000001</v>
      </c>
      <c r="AH786">
        <f t="shared" si="78"/>
        <v>0.80832000000000004</v>
      </c>
      <c r="AI786" t="e">
        <f>VLOOKUP(L786,'[1]Tuyến cáp H04'!$B:$E,3,0)/1000</f>
        <v>#N/A</v>
      </c>
      <c r="AJ786" t="e">
        <f>VLOOKUP(L786,'[1]Tuyến cáp H04'!$B:$E,4,0)</f>
        <v>#N/A</v>
      </c>
    </row>
    <row r="787" spans="1:36" x14ac:dyDescent="0.25">
      <c r="A787" s="1" t="s">
        <v>7557</v>
      </c>
      <c r="B787" s="1" t="s">
        <v>7558</v>
      </c>
      <c r="C787" s="1" t="s">
        <v>7404</v>
      </c>
      <c r="D787" s="1" t="s">
        <v>6917</v>
      </c>
      <c r="E787" s="1" t="s">
        <v>6918</v>
      </c>
      <c r="F787" s="1" t="s">
        <v>7559</v>
      </c>
      <c r="G787" s="1" t="s">
        <v>14129</v>
      </c>
      <c r="H787" s="1" t="s">
        <v>14532</v>
      </c>
      <c r="I787" s="1" t="s">
        <v>14901</v>
      </c>
      <c r="J787" s="1" t="s">
        <v>23</v>
      </c>
      <c r="K787" s="1"/>
      <c r="L787" s="1" t="s">
        <v>7406</v>
      </c>
      <c r="M787" s="1" t="s">
        <v>7560</v>
      </c>
      <c r="N787" s="1" t="s">
        <v>7561</v>
      </c>
      <c r="O787" s="1" t="s">
        <v>7409</v>
      </c>
      <c r="P787" s="1" t="s">
        <v>7410</v>
      </c>
      <c r="Q787" s="1" t="s">
        <v>7411</v>
      </c>
      <c r="R787" s="1" t="s">
        <v>7412</v>
      </c>
      <c r="S787" s="1" t="s">
        <v>7413</v>
      </c>
      <c r="T787" s="1" t="s">
        <v>7414</v>
      </c>
      <c r="U787">
        <v>4315.8500000000004</v>
      </c>
      <c r="V787">
        <v>4113.21</v>
      </c>
      <c r="W787">
        <v>16.493091</v>
      </c>
      <c r="X787">
        <v>107.594409</v>
      </c>
      <c r="Y787">
        <v>202.64</v>
      </c>
      <c r="Z787">
        <v>16.478172000000001</v>
      </c>
      <c r="AA787">
        <v>107.624154</v>
      </c>
      <c r="AB787" s="5">
        <f t="shared" si="73"/>
        <v>6.1698150000000007</v>
      </c>
      <c r="AC787" s="5">
        <f t="shared" si="74"/>
        <v>0.30395999999999995</v>
      </c>
      <c r="AD787" s="1" t="str">
        <f t="shared" si="75"/>
        <v>Ring 1 Phú Xuân</v>
      </c>
      <c r="AE787" s="1" t="str">
        <f t="shared" si="76"/>
        <v>CAT TT Huế</v>
      </c>
      <c r="AG787">
        <f t="shared" si="77"/>
        <v>4.1132100000000005</v>
      </c>
      <c r="AH787">
        <f t="shared" si="78"/>
        <v>0.20263999999999999</v>
      </c>
      <c r="AI787" t="e">
        <f>VLOOKUP(L787,'[1]Tuyến cáp H04'!$B:$E,3,0)/1000</f>
        <v>#N/A</v>
      </c>
      <c r="AJ787" t="e">
        <f>VLOOKUP(L787,'[1]Tuyến cáp H04'!$B:$E,4,0)</f>
        <v>#N/A</v>
      </c>
    </row>
    <row r="788" spans="1:36" x14ac:dyDescent="0.25">
      <c r="A788" s="1" t="s">
        <v>7562</v>
      </c>
      <c r="B788" s="1" t="s">
        <v>7403</v>
      </c>
      <c r="C788" s="1" t="s">
        <v>7404</v>
      </c>
      <c r="D788" s="1" t="s">
        <v>6989</v>
      </c>
      <c r="E788" s="1" t="s">
        <v>6990</v>
      </c>
      <c r="F788" s="1" t="s">
        <v>7563</v>
      </c>
      <c r="G788" s="1" t="s">
        <v>14129</v>
      </c>
      <c r="H788" s="1" t="s">
        <v>14532</v>
      </c>
      <c r="I788" s="1" t="s">
        <v>14902</v>
      </c>
      <c r="J788" s="1" t="s">
        <v>23</v>
      </c>
      <c r="K788" s="1"/>
      <c r="L788" s="1" t="s">
        <v>6980</v>
      </c>
      <c r="M788" s="1" t="s">
        <v>7564</v>
      </c>
      <c r="N788" s="1" t="s">
        <v>7565</v>
      </c>
      <c r="O788" s="1" t="s">
        <v>7201</v>
      </c>
      <c r="P788" s="1" t="s">
        <v>7202</v>
      </c>
      <c r="Q788" s="1" t="s">
        <v>7566</v>
      </c>
      <c r="R788" s="1" t="s">
        <v>7567</v>
      </c>
      <c r="S788" s="1" t="s">
        <v>7568</v>
      </c>
      <c r="T788" s="1" t="s">
        <v>6985</v>
      </c>
      <c r="U788">
        <v>5227.7</v>
      </c>
      <c r="V788">
        <v>5158.09</v>
      </c>
      <c r="W788">
        <v>16.491365999999999</v>
      </c>
      <c r="X788">
        <v>107.521095</v>
      </c>
      <c r="Y788">
        <v>69.61</v>
      </c>
      <c r="Z788">
        <v>16.568549999999998</v>
      </c>
      <c r="AA788">
        <v>107.514222</v>
      </c>
      <c r="AB788" s="5">
        <f t="shared" si="73"/>
        <v>7.7371350000000003</v>
      </c>
      <c r="AC788" s="5">
        <f t="shared" si="74"/>
        <v>0.10441499999999999</v>
      </c>
      <c r="AD788" s="1" t="str">
        <f t="shared" si="75"/>
        <v>Ring 6 TTCMKV Quảng Điền</v>
      </c>
      <c r="AE788" s="1" t="str">
        <f t="shared" si="76"/>
        <v>Kim Trà</v>
      </c>
      <c r="AG788">
        <f t="shared" si="77"/>
        <v>5.1580900000000005</v>
      </c>
      <c r="AH788">
        <f t="shared" si="78"/>
        <v>6.9610000000000005E-2</v>
      </c>
      <c r="AI788" t="e">
        <f>VLOOKUP(L788,'[1]Tuyến cáp H04'!$B:$E,3,0)/1000</f>
        <v>#N/A</v>
      </c>
      <c r="AJ788" t="e">
        <f>VLOOKUP(L788,'[1]Tuyến cáp H04'!$B:$E,4,0)</f>
        <v>#N/A</v>
      </c>
    </row>
    <row r="789" spans="1:36" x14ac:dyDescent="0.25">
      <c r="A789" s="1" t="s">
        <v>7402</v>
      </c>
      <c r="B789" s="1" t="s">
        <v>7416</v>
      </c>
      <c r="C789" s="1" t="s">
        <v>7417</v>
      </c>
      <c r="D789" s="1" t="s">
        <v>6917</v>
      </c>
      <c r="E789" s="1" t="s">
        <v>6918</v>
      </c>
      <c r="F789" s="1" t="s">
        <v>7569</v>
      </c>
      <c r="G789" s="1" t="s">
        <v>14129</v>
      </c>
      <c r="H789" s="1" t="s">
        <v>14532</v>
      </c>
      <c r="I789" s="1" t="s">
        <v>14903</v>
      </c>
      <c r="J789" s="1" t="s">
        <v>23</v>
      </c>
      <c r="K789" s="1"/>
      <c r="L789" s="1" t="s">
        <v>7406</v>
      </c>
      <c r="M789" s="1" t="s">
        <v>7549</v>
      </c>
      <c r="N789" s="1" t="s">
        <v>7550</v>
      </c>
      <c r="O789" s="1" t="s">
        <v>7409</v>
      </c>
      <c r="P789" s="1" t="s">
        <v>7410</v>
      </c>
      <c r="Q789" s="1" t="s">
        <v>7411</v>
      </c>
      <c r="R789" s="1" t="s">
        <v>7412</v>
      </c>
      <c r="S789" s="1" t="s">
        <v>7413</v>
      </c>
      <c r="T789" s="1" t="s">
        <v>7414</v>
      </c>
      <c r="U789">
        <v>4278.71</v>
      </c>
      <c r="V789">
        <v>4076.07</v>
      </c>
      <c r="W789">
        <v>16.493091</v>
      </c>
      <c r="X789">
        <v>107.594409</v>
      </c>
      <c r="Y789">
        <v>202.64</v>
      </c>
      <c r="Z789">
        <v>16.478172000000001</v>
      </c>
      <c r="AA789">
        <v>107.624154</v>
      </c>
      <c r="AB789" s="5">
        <f t="shared" si="73"/>
        <v>6.1141050000000003</v>
      </c>
      <c r="AC789" s="5">
        <f t="shared" si="74"/>
        <v>0.30395999999999995</v>
      </c>
      <c r="AD789" s="1" t="str">
        <f t="shared" si="75"/>
        <v>Ring 1 Phú Xuân</v>
      </c>
      <c r="AE789" s="1" t="str">
        <f t="shared" si="76"/>
        <v>CAT TT Huế</v>
      </c>
      <c r="AG789">
        <f t="shared" si="77"/>
        <v>4.0760700000000005</v>
      </c>
      <c r="AH789">
        <f t="shared" si="78"/>
        <v>0.20263999999999999</v>
      </c>
      <c r="AI789" t="e">
        <f>VLOOKUP(L789,'[1]Tuyến cáp H04'!$B:$E,3,0)/1000</f>
        <v>#N/A</v>
      </c>
      <c r="AJ789" t="e">
        <f>VLOOKUP(L789,'[1]Tuyến cáp H04'!$B:$E,4,0)</f>
        <v>#N/A</v>
      </c>
    </row>
    <row r="790" spans="1:36" x14ac:dyDescent="0.25">
      <c r="A790" s="1" t="s">
        <v>7570</v>
      </c>
      <c r="B790" s="1" t="s">
        <v>6989</v>
      </c>
      <c r="C790" s="1" t="s">
        <v>6990</v>
      </c>
      <c r="D790" s="1" t="s">
        <v>7571</v>
      </c>
      <c r="E790" s="1" t="s">
        <v>7572</v>
      </c>
      <c r="F790" s="1" t="s">
        <v>7573</v>
      </c>
      <c r="G790" s="1" t="s">
        <v>14129</v>
      </c>
      <c r="H790" s="1" t="s">
        <v>14532</v>
      </c>
      <c r="I790" s="1" t="s">
        <v>14904</v>
      </c>
      <c r="J790" s="1" t="s">
        <v>23</v>
      </c>
      <c r="K790" s="1"/>
      <c r="L790" s="1" t="s">
        <v>7419</v>
      </c>
      <c r="M790" s="1" t="s">
        <v>7574</v>
      </c>
      <c r="N790" s="1" t="s">
        <v>7575</v>
      </c>
      <c r="O790" s="1" t="s">
        <v>7576</v>
      </c>
      <c r="P790" s="1" t="s">
        <v>7577</v>
      </c>
      <c r="Q790" s="1" t="s">
        <v>7578</v>
      </c>
      <c r="R790" s="1" t="s">
        <v>7422</v>
      </c>
      <c r="S790" s="1" t="s">
        <v>7423</v>
      </c>
      <c r="T790" s="1" t="s">
        <v>7427</v>
      </c>
      <c r="U790">
        <v>4485.49</v>
      </c>
      <c r="V790">
        <v>65.89</v>
      </c>
      <c r="W790">
        <v>16.568567999999999</v>
      </c>
      <c r="X790">
        <v>107.51419199999999</v>
      </c>
      <c r="Y790">
        <v>4419.6000000000004</v>
      </c>
      <c r="Z790">
        <v>16.537220000000001</v>
      </c>
      <c r="AA790">
        <v>107.56147900000001</v>
      </c>
      <c r="AB790" s="5">
        <f t="shared" si="73"/>
        <v>9.8835000000000006E-2</v>
      </c>
      <c r="AC790" s="5">
        <f t="shared" si="74"/>
        <v>6.6294000000000004</v>
      </c>
      <c r="AD790" s="1" t="str">
        <f t="shared" si="75"/>
        <v>Ring 7 TTCMKV Quảng Điền</v>
      </c>
      <c r="AE790" s="1" t="str">
        <f t="shared" si="76"/>
        <v>Hóa Châu</v>
      </c>
      <c r="AG790">
        <f t="shared" si="77"/>
        <v>6.5890000000000004E-2</v>
      </c>
      <c r="AH790">
        <f t="shared" si="78"/>
        <v>4.4196</v>
      </c>
      <c r="AI790" t="e">
        <f>VLOOKUP(L790,'[1]Tuyến cáp H04'!$B:$E,3,0)/1000</f>
        <v>#N/A</v>
      </c>
      <c r="AJ790" t="e">
        <f>VLOOKUP(L790,'[1]Tuyến cáp H04'!$B:$E,4,0)</f>
        <v>#N/A</v>
      </c>
    </row>
    <row r="791" spans="1:36" x14ac:dyDescent="0.25">
      <c r="A791" s="1" t="s">
        <v>7579</v>
      </c>
      <c r="B791" s="1" t="s">
        <v>7151</v>
      </c>
      <c r="C791" s="1" t="s">
        <v>7152</v>
      </c>
      <c r="D791" s="1" t="s">
        <v>7580</v>
      </c>
      <c r="E791" s="1" t="s">
        <v>7581</v>
      </c>
      <c r="F791" s="1" t="s">
        <v>7582</v>
      </c>
      <c r="G791" s="1" t="s">
        <v>14129</v>
      </c>
      <c r="H791" s="1" t="s">
        <v>14532</v>
      </c>
      <c r="I791" s="1" t="s">
        <v>14905</v>
      </c>
      <c r="J791" s="1" t="s">
        <v>23</v>
      </c>
      <c r="K791" s="1"/>
      <c r="L791" s="1" t="s">
        <v>7583</v>
      </c>
      <c r="M791" s="1" t="s">
        <v>7584</v>
      </c>
      <c r="N791" s="1" t="s">
        <v>7585</v>
      </c>
      <c r="O791" s="1" t="s">
        <v>7586</v>
      </c>
      <c r="P791" s="1" t="s">
        <v>7587</v>
      </c>
      <c r="Q791" s="1" t="s">
        <v>7588</v>
      </c>
      <c r="R791" s="1" t="s">
        <v>7589</v>
      </c>
      <c r="S791" s="1" t="s">
        <v>7590</v>
      </c>
      <c r="T791" s="1" t="s">
        <v>7591</v>
      </c>
      <c r="U791">
        <v>253.75</v>
      </c>
      <c r="V791">
        <v>67.099999999999994</v>
      </c>
      <c r="W791">
        <v>16.668462999999999</v>
      </c>
      <c r="X791">
        <v>107.478875</v>
      </c>
      <c r="Y791">
        <v>186.65</v>
      </c>
      <c r="Z791">
        <v>16.684887</v>
      </c>
      <c r="AA791">
        <v>107.41278200000001</v>
      </c>
      <c r="AB791" s="5">
        <f t="shared" si="73"/>
        <v>0.10064999999999999</v>
      </c>
      <c r="AC791" s="5">
        <f t="shared" si="74"/>
        <v>0.27997500000000003</v>
      </c>
      <c r="AD791" s="1" t="str">
        <f t="shared" si="75"/>
        <v>Ring 4 Phong Phú</v>
      </c>
      <c r="AE791" s="1" t="str">
        <f t="shared" si="76"/>
        <v>Phong Quảng</v>
      </c>
      <c r="AG791">
        <f t="shared" si="77"/>
        <v>6.7099999999999993E-2</v>
      </c>
      <c r="AH791">
        <f t="shared" si="78"/>
        <v>0.18665000000000001</v>
      </c>
      <c r="AI791" t="e">
        <f>VLOOKUP(L791,'[1]Tuyến cáp H04'!$B:$E,3,0)/1000</f>
        <v>#N/A</v>
      </c>
      <c r="AJ791" t="e">
        <f>VLOOKUP(L791,'[1]Tuyến cáp H04'!$B:$E,4,0)</f>
        <v>#N/A</v>
      </c>
    </row>
    <row r="792" spans="1:36" x14ac:dyDescent="0.25">
      <c r="A792" s="1" t="s">
        <v>7592</v>
      </c>
      <c r="B792" s="1" t="s">
        <v>6989</v>
      </c>
      <c r="C792" s="1" t="s">
        <v>6990</v>
      </c>
      <c r="D792" s="1" t="s">
        <v>7593</v>
      </c>
      <c r="E792" s="1" t="s">
        <v>7594</v>
      </c>
      <c r="F792" s="1" t="s">
        <v>7595</v>
      </c>
      <c r="G792" s="1" t="s">
        <v>14129</v>
      </c>
      <c r="H792" s="1" t="s">
        <v>14532</v>
      </c>
      <c r="I792" s="1" t="s">
        <v>14906</v>
      </c>
      <c r="J792" s="1" t="s">
        <v>23</v>
      </c>
      <c r="K792" s="1"/>
      <c r="L792" s="1" t="s">
        <v>7596</v>
      </c>
      <c r="M792" s="1" t="s">
        <v>7597</v>
      </c>
      <c r="N792" s="1" t="s">
        <v>7598</v>
      </c>
      <c r="O792" s="1" t="s">
        <v>7599</v>
      </c>
      <c r="P792" s="1" t="s">
        <v>7600</v>
      </c>
      <c r="Q792" s="1" t="s">
        <v>7601</v>
      </c>
      <c r="R792" s="1" t="s">
        <v>7602</v>
      </c>
      <c r="S792" s="1" t="s">
        <v>7603</v>
      </c>
      <c r="T792" s="1" t="s">
        <v>7604</v>
      </c>
      <c r="U792">
        <v>1022.75</v>
      </c>
      <c r="V792">
        <v>93.33</v>
      </c>
      <c r="W792">
        <v>16.569545999999999</v>
      </c>
      <c r="X792">
        <v>107.513842</v>
      </c>
      <c r="Y792">
        <v>929.42</v>
      </c>
      <c r="Z792">
        <v>16.544543999999998</v>
      </c>
      <c r="AA792">
        <v>107.49599600000001</v>
      </c>
      <c r="AB792" s="5">
        <f t="shared" si="73"/>
        <v>0.13999500000000001</v>
      </c>
      <c r="AC792" s="5">
        <f t="shared" si="74"/>
        <v>1.3941299999999999</v>
      </c>
      <c r="AD792" s="1" t="str">
        <f t="shared" si="75"/>
        <v>Ring 5 Đan Điền</v>
      </c>
      <c r="AE792" s="1" t="str">
        <f t="shared" si="76"/>
        <v>Quảng Điền</v>
      </c>
      <c r="AG792">
        <f t="shared" si="77"/>
        <v>9.3329999999999996E-2</v>
      </c>
      <c r="AH792">
        <f t="shared" si="78"/>
        <v>0.92941999999999991</v>
      </c>
      <c r="AI792" t="e">
        <f>VLOOKUP(L792,'[1]Tuyến cáp H04'!$B:$E,3,0)/1000</f>
        <v>#N/A</v>
      </c>
      <c r="AJ792" t="e">
        <f>VLOOKUP(L792,'[1]Tuyến cáp H04'!$B:$E,4,0)</f>
        <v>#N/A</v>
      </c>
    </row>
    <row r="793" spans="1:36" x14ac:dyDescent="0.25">
      <c r="A793" s="1" t="s">
        <v>7605</v>
      </c>
      <c r="B793" s="1" t="s">
        <v>6989</v>
      </c>
      <c r="C793" s="1" t="s">
        <v>6990</v>
      </c>
      <c r="D793" s="1" t="s">
        <v>7606</v>
      </c>
      <c r="E793" s="1" t="s">
        <v>7607</v>
      </c>
      <c r="F793" s="1" t="s">
        <v>7608</v>
      </c>
      <c r="G793" s="1" t="s">
        <v>14129</v>
      </c>
      <c r="H793" s="1" t="s">
        <v>14532</v>
      </c>
      <c r="I793" s="1" t="s">
        <v>14907</v>
      </c>
      <c r="J793" s="1" t="s">
        <v>23</v>
      </c>
      <c r="K793" s="1"/>
      <c r="L793" s="1" t="s">
        <v>7596</v>
      </c>
      <c r="M793" s="1" t="s">
        <v>7609</v>
      </c>
      <c r="N793" s="1" t="s">
        <v>7598</v>
      </c>
      <c r="O793" s="1" t="s">
        <v>7599</v>
      </c>
      <c r="P793" s="1" t="s">
        <v>7600</v>
      </c>
      <c r="Q793" s="1" t="s">
        <v>7610</v>
      </c>
      <c r="R793" s="1" t="s">
        <v>7611</v>
      </c>
      <c r="S793" s="1" t="s">
        <v>7612</v>
      </c>
      <c r="T793" s="1" t="s">
        <v>7604</v>
      </c>
      <c r="U793">
        <v>566.15</v>
      </c>
      <c r="V793">
        <v>93.33</v>
      </c>
      <c r="W793">
        <v>16.569545999999999</v>
      </c>
      <c r="X793">
        <v>107.513842</v>
      </c>
      <c r="Y793">
        <v>472.82</v>
      </c>
      <c r="Z793">
        <v>16.542021999999999</v>
      </c>
      <c r="AA793">
        <v>107.497739</v>
      </c>
      <c r="AB793" s="5">
        <f t="shared" si="73"/>
        <v>0.13999500000000001</v>
      </c>
      <c r="AC793" s="5">
        <f t="shared" si="74"/>
        <v>0.70923000000000003</v>
      </c>
      <c r="AD793" s="1" t="str">
        <f t="shared" si="75"/>
        <v>Ring 5 Đan Điền</v>
      </c>
      <c r="AE793" s="1" t="str">
        <f t="shared" si="76"/>
        <v>Quảng Điền</v>
      </c>
      <c r="AG793">
        <f t="shared" si="77"/>
        <v>9.3329999999999996E-2</v>
      </c>
      <c r="AH793">
        <f t="shared" si="78"/>
        <v>0.47282000000000002</v>
      </c>
      <c r="AI793" t="e">
        <f>VLOOKUP(L793,'[1]Tuyến cáp H04'!$B:$E,3,0)/1000</f>
        <v>#N/A</v>
      </c>
      <c r="AJ793" t="e">
        <f>VLOOKUP(L793,'[1]Tuyến cáp H04'!$B:$E,4,0)</f>
        <v>#N/A</v>
      </c>
    </row>
    <row r="794" spans="1:36" x14ac:dyDescent="0.25">
      <c r="A794" s="1" t="s">
        <v>7613</v>
      </c>
      <c r="B794" s="1" t="s">
        <v>6962</v>
      </c>
      <c r="C794" s="1" t="s">
        <v>6963</v>
      </c>
      <c r="D794" s="1" t="s">
        <v>7614</v>
      </c>
      <c r="E794" s="1" t="s">
        <v>7615</v>
      </c>
      <c r="F794" s="1" t="s">
        <v>7616</v>
      </c>
      <c r="G794" s="1" t="s">
        <v>14129</v>
      </c>
      <c r="H794" s="1" t="s">
        <v>14532</v>
      </c>
      <c r="I794" s="1" t="s">
        <v>14908</v>
      </c>
      <c r="J794" s="1" t="s">
        <v>23</v>
      </c>
      <c r="K794" s="1"/>
      <c r="L794" s="1" t="s">
        <v>7093</v>
      </c>
      <c r="M794" s="1" t="s">
        <v>7617</v>
      </c>
      <c r="N794" s="1" t="s">
        <v>7618</v>
      </c>
      <c r="O794" s="1" t="s">
        <v>7132</v>
      </c>
      <c r="P794" s="1" t="s">
        <v>7133</v>
      </c>
      <c r="Q794" s="1" t="s">
        <v>7619</v>
      </c>
      <c r="R794" s="1" t="s">
        <v>7620</v>
      </c>
      <c r="S794" s="1" t="s">
        <v>7621</v>
      </c>
      <c r="T794" s="1" t="s">
        <v>7101</v>
      </c>
      <c r="U794">
        <v>967.32</v>
      </c>
      <c r="V794">
        <v>281.56</v>
      </c>
      <c r="W794">
        <v>16.410385999999999</v>
      </c>
      <c r="X794">
        <v>107.679068</v>
      </c>
      <c r="Y794">
        <v>685.77</v>
      </c>
      <c r="Z794">
        <v>16.400524000000001</v>
      </c>
      <c r="AA794">
        <v>107.620839</v>
      </c>
      <c r="AB794" s="5">
        <f t="shared" si="73"/>
        <v>0.42234000000000005</v>
      </c>
      <c r="AC794" s="5">
        <f t="shared" si="74"/>
        <v>1.0286549999999999</v>
      </c>
      <c r="AD794" s="1" t="str">
        <f t="shared" si="75"/>
        <v>Ring 12_Bình Điền</v>
      </c>
      <c r="AE794" s="1" t="str">
        <f t="shared" si="76"/>
        <v>TTCMKV Hương Thủy</v>
      </c>
      <c r="AG794">
        <f t="shared" si="77"/>
        <v>0.28155999999999998</v>
      </c>
      <c r="AH794">
        <f t="shared" si="78"/>
        <v>0.68576999999999999</v>
      </c>
      <c r="AI794" t="e">
        <f>VLOOKUP(L794,'[1]Tuyến cáp H04'!$B:$E,3,0)/1000</f>
        <v>#N/A</v>
      </c>
      <c r="AJ794" t="e">
        <f>VLOOKUP(L794,'[1]Tuyến cáp H04'!$B:$E,4,0)</f>
        <v>#N/A</v>
      </c>
    </row>
    <row r="795" spans="1:36" x14ac:dyDescent="0.25">
      <c r="A795" s="1" t="s">
        <v>7622</v>
      </c>
      <c r="B795" s="1" t="s">
        <v>7623</v>
      </c>
      <c r="C795" s="1" t="s">
        <v>7624</v>
      </c>
      <c r="D795" s="1" t="s">
        <v>7017</v>
      </c>
      <c r="E795" s="1" t="s">
        <v>7018</v>
      </c>
      <c r="F795" s="1" t="s">
        <v>7625</v>
      </c>
      <c r="G795" s="1" t="s">
        <v>14129</v>
      </c>
      <c r="H795" s="1" t="s">
        <v>14532</v>
      </c>
      <c r="I795" s="1" t="s">
        <v>14909</v>
      </c>
      <c r="J795" s="1" t="s">
        <v>23</v>
      </c>
      <c r="K795" s="1"/>
      <c r="L795" s="1" t="s">
        <v>7478</v>
      </c>
      <c r="M795" s="1" t="s">
        <v>7626</v>
      </c>
      <c r="N795" s="1" t="s">
        <v>7627</v>
      </c>
      <c r="O795" s="1" t="s">
        <v>7484</v>
      </c>
      <c r="P795" s="1" t="s">
        <v>7485</v>
      </c>
      <c r="Q795" s="1" t="s">
        <v>7628</v>
      </c>
      <c r="R795" s="1" t="s">
        <v>7481</v>
      </c>
      <c r="S795" s="1" t="s">
        <v>7482</v>
      </c>
      <c r="T795" s="1" t="s">
        <v>7486</v>
      </c>
      <c r="U795">
        <v>2290.84</v>
      </c>
      <c r="V795">
        <v>1335.43</v>
      </c>
      <c r="W795">
        <v>16.460554999999999</v>
      </c>
      <c r="X795">
        <v>107.569109</v>
      </c>
      <c r="Y795">
        <v>955.41</v>
      </c>
      <c r="Z795">
        <v>16.478936999999998</v>
      </c>
      <c r="AA795">
        <v>107.58975599999999</v>
      </c>
      <c r="AB795" s="5">
        <f t="shared" si="73"/>
        <v>2.003145</v>
      </c>
      <c r="AC795" s="5">
        <f t="shared" si="74"/>
        <v>1.4331149999999999</v>
      </c>
      <c r="AD795" s="1" t="str">
        <f t="shared" si="75"/>
        <v>PC04 (trung tâm cái nghiện)</v>
      </c>
      <c r="AE795" s="1" t="str">
        <f t="shared" si="76"/>
        <v>Phú Xuân</v>
      </c>
      <c r="AG795">
        <f t="shared" si="77"/>
        <v>1.3354300000000001</v>
      </c>
      <c r="AH795">
        <f t="shared" si="78"/>
        <v>0.95540999999999998</v>
      </c>
      <c r="AI795">
        <f>VLOOKUP(L795,'[1]Tuyến cáp H04'!$B:$E,3,0)/1000</f>
        <v>13.4</v>
      </c>
      <c r="AJ795" t="str">
        <f>VLOOKUP(L795,'[1]Tuyến cáp H04'!$B:$E,4,0)</f>
        <v>Mạng cấp 3</v>
      </c>
    </row>
    <row r="796" spans="1:36" x14ac:dyDescent="0.25">
      <c r="A796" s="1" t="s">
        <v>7629</v>
      </c>
      <c r="B796" s="1" t="s">
        <v>6917</v>
      </c>
      <c r="C796" s="1" t="s">
        <v>6918</v>
      </c>
      <c r="D796" s="1" t="s">
        <v>7630</v>
      </c>
      <c r="E796" s="1" t="s">
        <v>7631</v>
      </c>
      <c r="F796" s="1" t="s">
        <v>7632</v>
      </c>
      <c r="G796" s="1" t="s">
        <v>14129</v>
      </c>
      <c r="H796" s="1" t="s">
        <v>14532</v>
      </c>
      <c r="I796" s="1" t="s">
        <v>14910</v>
      </c>
      <c r="J796" s="1" t="s">
        <v>23</v>
      </c>
      <c r="K796" s="1"/>
      <c r="L796" s="1" t="s">
        <v>7406</v>
      </c>
      <c r="M796" s="1" t="s">
        <v>7633</v>
      </c>
      <c r="N796" s="1" t="s">
        <v>7411</v>
      </c>
      <c r="O796" s="1" t="s">
        <v>7412</v>
      </c>
      <c r="P796" s="1" t="s">
        <v>7413</v>
      </c>
      <c r="Q796" s="1" t="s">
        <v>7634</v>
      </c>
      <c r="R796" s="1" t="s">
        <v>7409</v>
      </c>
      <c r="S796" s="1" t="s">
        <v>7410</v>
      </c>
      <c r="T796" s="1" t="s">
        <v>7414</v>
      </c>
      <c r="U796">
        <v>3916.26</v>
      </c>
      <c r="V796">
        <v>202.64</v>
      </c>
      <c r="W796">
        <v>16.478172000000001</v>
      </c>
      <c r="X796">
        <v>107.624154</v>
      </c>
      <c r="Y796">
        <v>3713.62</v>
      </c>
      <c r="Z796">
        <v>16.493091</v>
      </c>
      <c r="AA796">
        <v>107.594409</v>
      </c>
      <c r="AB796" s="5">
        <f t="shared" si="73"/>
        <v>0.30395999999999995</v>
      </c>
      <c r="AC796" s="5">
        <f t="shared" si="74"/>
        <v>5.57043</v>
      </c>
      <c r="AD796" s="1" t="str">
        <f t="shared" si="75"/>
        <v>Ring 1 Phú Xuân</v>
      </c>
      <c r="AE796" s="1" t="str">
        <f t="shared" si="76"/>
        <v>CAT TT Huế</v>
      </c>
      <c r="AG796">
        <f t="shared" si="77"/>
        <v>0.20263999999999999</v>
      </c>
      <c r="AH796">
        <f t="shared" si="78"/>
        <v>3.7136199999999997</v>
      </c>
      <c r="AI796" t="e">
        <f>VLOOKUP(L796,'[1]Tuyến cáp H04'!$B:$E,3,0)/1000</f>
        <v>#N/A</v>
      </c>
      <c r="AJ796" t="e">
        <f>VLOOKUP(L796,'[1]Tuyến cáp H04'!$B:$E,4,0)</f>
        <v>#N/A</v>
      </c>
    </row>
    <row r="797" spans="1:36" x14ac:dyDescent="0.25">
      <c r="A797" s="1" t="s">
        <v>7635</v>
      </c>
      <c r="B797" s="1" t="s">
        <v>6917</v>
      </c>
      <c r="C797" s="1" t="s">
        <v>6918</v>
      </c>
      <c r="D797" s="1" t="s">
        <v>7636</v>
      </c>
      <c r="E797" s="1" t="s">
        <v>7637</v>
      </c>
      <c r="F797" s="1" t="s">
        <v>7638</v>
      </c>
      <c r="G797" s="1" t="s">
        <v>14129</v>
      </c>
      <c r="H797" s="1" t="s">
        <v>14532</v>
      </c>
      <c r="I797" s="1" t="s">
        <v>14911</v>
      </c>
      <c r="J797" s="1" t="s">
        <v>23</v>
      </c>
      <c r="K797" s="1"/>
      <c r="L797" s="1" t="s">
        <v>7406</v>
      </c>
      <c r="M797" s="1" t="s">
        <v>7639</v>
      </c>
      <c r="N797" s="1" t="s">
        <v>7411</v>
      </c>
      <c r="O797" s="1" t="s">
        <v>7412</v>
      </c>
      <c r="P797" s="1" t="s">
        <v>7413</v>
      </c>
      <c r="Q797" s="1" t="s">
        <v>7640</v>
      </c>
      <c r="R797" s="1" t="s">
        <v>7409</v>
      </c>
      <c r="S797" s="1" t="s">
        <v>7410</v>
      </c>
      <c r="T797" s="1" t="s">
        <v>7414</v>
      </c>
      <c r="U797">
        <v>3529.71</v>
      </c>
      <c r="V797">
        <v>202.64</v>
      </c>
      <c r="W797">
        <v>16.478172000000001</v>
      </c>
      <c r="X797">
        <v>107.624154</v>
      </c>
      <c r="Y797">
        <v>3327.08</v>
      </c>
      <c r="Z797">
        <v>16.493091</v>
      </c>
      <c r="AA797">
        <v>107.594409</v>
      </c>
      <c r="AB797" s="5">
        <f t="shared" si="73"/>
        <v>0.30395999999999995</v>
      </c>
      <c r="AC797" s="5">
        <f t="shared" si="74"/>
        <v>4.9906199999999998</v>
      </c>
      <c r="AD797" s="1" t="str">
        <f t="shared" si="75"/>
        <v>Ring 1 Phú Xuân</v>
      </c>
      <c r="AE797" s="1" t="str">
        <f t="shared" si="76"/>
        <v>CAT TT Huế</v>
      </c>
      <c r="AG797">
        <f t="shared" si="77"/>
        <v>0.20263999999999999</v>
      </c>
      <c r="AH797">
        <f t="shared" si="78"/>
        <v>3.32708</v>
      </c>
      <c r="AI797" t="e">
        <f>VLOOKUP(L797,'[1]Tuyến cáp H04'!$B:$E,3,0)/1000</f>
        <v>#N/A</v>
      </c>
      <c r="AJ797" t="e">
        <f>VLOOKUP(L797,'[1]Tuyến cáp H04'!$B:$E,4,0)</f>
        <v>#N/A</v>
      </c>
    </row>
    <row r="798" spans="1:36" x14ac:dyDescent="0.25">
      <c r="A798" s="1" t="s">
        <v>7641</v>
      </c>
      <c r="B798" s="1" t="s">
        <v>6917</v>
      </c>
      <c r="C798" s="1" t="s">
        <v>6918</v>
      </c>
      <c r="D798" s="1" t="s">
        <v>7642</v>
      </c>
      <c r="E798" s="1" t="s">
        <v>7643</v>
      </c>
      <c r="F798" s="1" t="s">
        <v>7644</v>
      </c>
      <c r="G798" s="1" t="s">
        <v>14129</v>
      </c>
      <c r="H798" s="1" t="s">
        <v>14532</v>
      </c>
      <c r="I798" s="1" t="s">
        <v>14912</v>
      </c>
      <c r="J798" s="1" t="s">
        <v>23</v>
      </c>
      <c r="K798" s="1"/>
      <c r="L798" s="1" t="s">
        <v>7406</v>
      </c>
      <c r="M798" s="1" t="s">
        <v>7645</v>
      </c>
      <c r="N798" s="1" t="s">
        <v>7411</v>
      </c>
      <c r="O798" s="1" t="s">
        <v>7412</v>
      </c>
      <c r="P798" s="1" t="s">
        <v>7413</v>
      </c>
      <c r="Q798" s="1" t="s">
        <v>7646</v>
      </c>
      <c r="R798" s="1" t="s">
        <v>7409</v>
      </c>
      <c r="S798" s="1" t="s">
        <v>7410</v>
      </c>
      <c r="T798" s="1" t="s">
        <v>7414</v>
      </c>
      <c r="U798">
        <v>3558.91</v>
      </c>
      <c r="V798">
        <v>202.64</v>
      </c>
      <c r="W798">
        <v>16.478172000000001</v>
      </c>
      <c r="X798">
        <v>107.624154</v>
      </c>
      <c r="Y798">
        <v>3356.28</v>
      </c>
      <c r="Z798">
        <v>16.493091</v>
      </c>
      <c r="AA798">
        <v>107.594409</v>
      </c>
      <c r="AB798" s="5">
        <f t="shared" si="73"/>
        <v>0.30395999999999995</v>
      </c>
      <c r="AC798" s="5">
        <f t="shared" si="74"/>
        <v>5.0344199999999999</v>
      </c>
      <c r="AD798" s="1" t="str">
        <f t="shared" si="75"/>
        <v>Ring 1 Phú Xuân</v>
      </c>
      <c r="AE798" s="1" t="str">
        <f t="shared" si="76"/>
        <v>CAT TT Huế</v>
      </c>
      <c r="AG798">
        <f t="shared" si="77"/>
        <v>0.20263999999999999</v>
      </c>
      <c r="AH798">
        <f t="shared" si="78"/>
        <v>3.3562800000000004</v>
      </c>
      <c r="AI798" t="e">
        <f>VLOOKUP(L798,'[1]Tuyến cáp H04'!$B:$E,3,0)/1000</f>
        <v>#N/A</v>
      </c>
      <c r="AJ798" t="e">
        <f>VLOOKUP(L798,'[1]Tuyến cáp H04'!$B:$E,4,0)</f>
        <v>#N/A</v>
      </c>
    </row>
    <row r="799" spans="1:36" x14ac:dyDescent="0.25">
      <c r="A799" s="1" t="s">
        <v>7647</v>
      </c>
      <c r="B799" s="1" t="s">
        <v>7642</v>
      </c>
      <c r="C799" s="1" t="s">
        <v>7643</v>
      </c>
      <c r="D799" s="1" t="s">
        <v>6917</v>
      </c>
      <c r="E799" s="1" t="s">
        <v>6918</v>
      </c>
      <c r="F799" s="1" t="s">
        <v>7648</v>
      </c>
      <c r="G799" s="1" t="s">
        <v>14129</v>
      </c>
      <c r="H799" s="1" t="s">
        <v>14532</v>
      </c>
      <c r="I799" s="1" t="s">
        <v>14913</v>
      </c>
      <c r="J799" s="1" t="s">
        <v>23</v>
      </c>
      <c r="K799" s="1"/>
      <c r="L799" s="1" t="s">
        <v>7406</v>
      </c>
      <c r="M799" s="1" t="s">
        <v>7645</v>
      </c>
      <c r="N799" s="1" t="s">
        <v>7646</v>
      </c>
      <c r="O799" s="1" t="s">
        <v>7409</v>
      </c>
      <c r="P799" s="1" t="s">
        <v>7410</v>
      </c>
      <c r="Q799" s="1" t="s">
        <v>7411</v>
      </c>
      <c r="R799" s="1" t="s">
        <v>7412</v>
      </c>
      <c r="S799" s="1" t="s">
        <v>7413</v>
      </c>
      <c r="T799" s="1" t="s">
        <v>7414</v>
      </c>
      <c r="U799">
        <v>3558.91</v>
      </c>
      <c r="V799">
        <v>3356.28</v>
      </c>
      <c r="W799">
        <v>16.493091</v>
      </c>
      <c r="X799">
        <v>107.594409</v>
      </c>
      <c r="Y799">
        <v>202.64</v>
      </c>
      <c r="Z799">
        <v>16.478172000000001</v>
      </c>
      <c r="AA799">
        <v>107.624154</v>
      </c>
      <c r="AB799" s="5">
        <f t="shared" si="73"/>
        <v>5.0344199999999999</v>
      </c>
      <c r="AC799" s="5">
        <f t="shared" si="74"/>
        <v>0.30395999999999995</v>
      </c>
      <c r="AD799" s="1" t="str">
        <f t="shared" si="75"/>
        <v>Ring 1 Phú Xuân</v>
      </c>
      <c r="AE799" s="1" t="str">
        <f t="shared" si="76"/>
        <v>CAT TT Huế</v>
      </c>
      <c r="AG799">
        <f t="shared" si="77"/>
        <v>3.3562800000000004</v>
      </c>
      <c r="AH799">
        <f t="shared" si="78"/>
        <v>0.20263999999999999</v>
      </c>
      <c r="AI799" t="e">
        <f>VLOOKUP(L799,'[1]Tuyến cáp H04'!$B:$E,3,0)/1000</f>
        <v>#N/A</v>
      </c>
      <c r="AJ799" t="e">
        <f>VLOOKUP(L799,'[1]Tuyến cáp H04'!$B:$E,4,0)</f>
        <v>#N/A</v>
      </c>
    </row>
    <row r="800" spans="1:36" x14ac:dyDescent="0.25">
      <c r="A800" s="1" t="s">
        <v>7649</v>
      </c>
      <c r="B800" s="1" t="s">
        <v>7650</v>
      </c>
      <c r="C800" s="1" t="s">
        <v>7651</v>
      </c>
      <c r="D800" s="1" t="s">
        <v>6917</v>
      </c>
      <c r="E800" s="1" t="s">
        <v>6918</v>
      </c>
      <c r="F800" s="1" t="s">
        <v>7652</v>
      </c>
      <c r="G800" s="1" t="s">
        <v>14129</v>
      </c>
      <c r="H800" s="1" t="s">
        <v>14532</v>
      </c>
      <c r="I800" s="1" t="s">
        <v>14914</v>
      </c>
      <c r="J800" s="1" t="s">
        <v>23</v>
      </c>
      <c r="K800" s="1"/>
      <c r="L800" s="1" t="s">
        <v>7406</v>
      </c>
      <c r="M800" s="1" t="s">
        <v>7653</v>
      </c>
      <c r="N800" s="1" t="s">
        <v>7654</v>
      </c>
      <c r="O800" s="1" t="s">
        <v>7409</v>
      </c>
      <c r="P800" s="1" t="s">
        <v>7410</v>
      </c>
      <c r="Q800" s="1" t="s">
        <v>7411</v>
      </c>
      <c r="R800" s="1" t="s">
        <v>7412</v>
      </c>
      <c r="S800" s="1" t="s">
        <v>7413</v>
      </c>
      <c r="T800" s="1" t="s">
        <v>7414</v>
      </c>
      <c r="U800">
        <v>4023.15</v>
      </c>
      <c r="V800">
        <v>3820.51</v>
      </c>
      <c r="W800">
        <v>16.493091</v>
      </c>
      <c r="X800">
        <v>107.594409</v>
      </c>
      <c r="Y800">
        <v>202.64</v>
      </c>
      <c r="Z800">
        <v>16.478172000000001</v>
      </c>
      <c r="AA800">
        <v>107.624154</v>
      </c>
      <c r="AB800" s="5">
        <f t="shared" si="73"/>
        <v>5.7307649999999999</v>
      </c>
      <c r="AC800" s="5">
        <f t="shared" si="74"/>
        <v>0.30395999999999995</v>
      </c>
      <c r="AD800" s="1" t="str">
        <f t="shared" si="75"/>
        <v>Ring 1 Phú Xuân</v>
      </c>
      <c r="AE800" s="1" t="str">
        <f t="shared" si="76"/>
        <v>CAT TT Huế</v>
      </c>
      <c r="AG800">
        <f t="shared" si="77"/>
        <v>3.8205100000000001</v>
      </c>
      <c r="AH800">
        <f t="shared" si="78"/>
        <v>0.20263999999999999</v>
      </c>
      <c r="AI800" t="e">
        <f>VLOOKUP(L800,'[1]Tuyến cáp H04'!$B:$E,3,0)/1000</f>
        <v>#N/A</v>
      </c>
      <c r="AJ800" t="e">
        <f>VLOOKUP(L800,'[1]Tuyến cáp H04'!$B:$E,4,0)</f>
        <v>#N/A</v>
      </c>
    </row>
    <row r="801" spans="1:36" x14ac:dyDescent="0.25">
      <c r="A801" s="1" t="s">
        <v>7655</v>
      </c>
      <c r="B801" s="1" t="s">
        <v>7656</v>
      </c>
      <c r="C801" s="1" t="s">
        <v>7657</v>
      </c>
      <c r="D801" s="1" t="s">
        <v>7017</v>
      </c>
      <c r="E801" s="1" t="s">
        <v>7018</v>
      </c>
      <c r="F801" s="1" t="s">
        <v>7658</v>
      </c>
      <c r="G801" s="1" t="s">
        <v>14129</v>
      </c>
      <c r="H801" s="1" t="s">
        <v>14532</v>
      </c>
      <c r="I801" s="1" t="s">
        <v>14915</v>
      </c>
      <c r="J801" s="1" t="s">
        <v>23</v>
      </c>
      <c r="K801" s="1"/>
      <c r="L801" s="1" t="s">
        <v>7659</v>
      </c>
      <c r="M801" s="1" t="s">
        <v>7660</v>
      </c>
      <c r="N801" s="1" t="s">
        <v>7661</v>
      </c>
      <c r="O801" s="1" t="s">
        <v>7662</v>
      </c>
      <c r="P801" s="1" t="s">
        <v>7663</v>
      </c>
      <c r="Q801" s="1" t="s">
        <v>7664</v>
      </c>
      <c r="R801" s="1" t="s">
        <v>7665</v>
      </c>
      <c r="S801" s="1" t="s">
        <v>7666</v>
      </c>
      <c r="T801" s="1" t="s">
        <v>7667</v>
      </c>
      <c r="U801">
        <v>6264.39</v>
      </c>
      <c r="V801">
        <v>4904.6099999999997</v>
      </c>
      <c r="W801">
        <v>16.512765000000002</v>
      </c>
      <c r="X801">
        <v>107.53493</v>
      </c>
      <c r="Y801">
        <v>1359.78</v>
      </c>
      <c r="Z801">
        <v>16.494384</v>
      </c>
      <c r="AA801">
        <v>107.577304</v>
      </c>
      <c r="AB801" s="5">
        <f t="shared" si="73"/>
        <v>7.356914999999999</v>
      </c>
      <c r="AC801" s="5">
        <f t="shared" si="74"/>
        <v>2.0396700000000001</v>
      </c>
      <c r="AD801" s="1" t="str">
        <f t="shared" si="75"/>
        <v>TTCMKV_Ring 2_CAT Huế mới</v>
      </c>
      <c r="AE801" s="1" t="str">
        <f t="shared" si="76"/>
        <v>Quảng Điền</v>
      </c>
      <c r="AG801">
        <f t="shared" si="77"/>
        <v>4.9046099999999999</v>
      </c>
      <c r="AH801">
        <f t="shared" si="78"/>
        <v>1.35978</v>
      </c>
      <c r="AI801" t="e">
        <f>VLOOKUP(L801,'[1]Tuyến cáp H04'!$B:$E,3,0)/1000</f>
        <v>#N/A</v>
      </c>
      <c r="AJ801" t="e">
        <f>VLOOKUP(L801,'[1]Tuyến cáp H04'!$B:$E,4,0)</f>
        <v>#N/A</v>
      </c>
    </row>
    <row r="802" spans="1:36" x14ac:dyDescent="0.25">
      <c r="A802" s="1" t="s">
        <v>7668</v>
      </c>
      <c r="B802" s="1" t="s">
        <v>7669</v>
      </c>
      <c r="C802" s="1" t="s">
        <v>7670</v>
      </c>
      <c r="D802" s="1" t="s">
        <v>7237</v>
      </c>
      <c r="E802" s="1" t="s">
        <v>7238</v>
      </c>
      <c r="F802" s="1" t="s">
        <v>7671</v>
      </c>
      <c r="G802" s="1" t="s">
        <v>14129</v>
      </c>
      <c r="H802" s="1" t="s">
        <v>14532</v>
      </c>
      <c r="I802" s="1" t="s">
        <v>14916</v>
      </c>
      <c r="J802" s="1" t="s">
        <v>23</v>
      </c>
      <c r="K802" s="1"/>
      <c r="L802" s="1" t="s">
        <v>7672</v>
      </c>
      <c r="M802" s="1" t="s">
        <v>7673</v>
      </c>
      <c r="N802" s="1" t="s">
        <v>7674</v>
      </c>
      <c r="O802" s="1" t="s">
        <v>7675</v>
      </c>
      <c r="P802" s="1" t="s">
        <v>7676</v>
      </c>
      <c r="Q802" s="1" t="s">
        <v>7677</v>
      </c>
      <c r="R802" s="1" t="s">
        <v>7678</v>
      </c>
      <c r="S802" s="1" t="s">
        <v>7679</v>
      </c>
      <c r="T802" s="1" t="s">
        <v>7680</v>
      </c>
      <c r="U802">
        <v>18685.63</v>
      </c>
      <c r="V802">
        <v>11240.1</v>
      </c>
      <c r="W802">
        <v>16.432162999999999</v>
      </c>
      <c r="X802">
        <v>107.776574</v>
      </c>
      <c r="Y802">
        <v>7445.52</v>
      </c>
      <c r="Z802">
        <v>16.556287999999999</v>
      </c>
      <c r="AA802">
        <v>107.650227</v>
      </c>
      <c r="AB802" s="5">
        <f t="shared" si="73"/>
        <v>16.860150000000001</v>
      </c>
      <c r="AC802" s="5">
        <f t="shared" si="74"/>
        <v>11.168280000000001</v>
      </c>
      <c r="AD802" s="1" t="str">
        <f t="shared" si="75"/>
        <v>Ring 8 Thuận An</v>
      </c>
      <c r="AE802" s="1" t="str">
        <f t="shared" si="76"/>
        <v>TTCMKV Phú Vang</v>
      </c>
      <c r="AG802">
        <f t="shared" si="77"/>
        <v>11.2401</v>
      </c>
      <c r="AH802">
        <f t="shared" si="78"/>
        <v>7.4455200000000001</v>
      </c>
      <c r="AI802" t="e">
        <f>VLOOKUP(L802,'[1]Tuyến cáp H04'!$B:$E,3,0)/1000</f>
        <v>#N/A</v>
      </c>
      <c r="AJ802" t="e">
        <f>VLOOKUP(L802,'[1]Tuyến cáp H04'!$B:$E,4,0)</f>
        <v>#N/A</v>
      </c>
    </row>
    <row r="803" spans="1:36" x14ac:dyDescent="0.25">
      <c r="A803" s="1" t="s">
        <v>7681</v>
      </c>
      <c r="B803" s="1" t="s">
        <v>7682</v>
      </c>
      <c r="C803" s="1" t="s">
        <v>7683</v>
      </c>
      <c r="D803" s="1" t="s">
        <v>6947</v>
      </c>
      <c r="E803" s="1" t="s">
        <v>6948</v>
      </c>
      <c r="F803" s="1" t="s">
        <v>7684</v>
      </c>
      <c r="G803" s="1" t="s">
        <v>14129</v>
      </c>
      <c r="H803" s="1" t="s">
        <v>14532</v>
      </c>
      <c r="I803" s="1" t="s">
        <v>14917</v>
      </c>
      <c r="J803" s="1" t="s">
        <v>23</v>
      </c>
      <c r="K803" s="1"/>
      <c r="L803" s="1" t="s">
        <v>6937</v>
      </c>
      <c r="M803" s="1" t="s">
        <v>7685</v>
      </c>
      <c r="N803" s="1" t="s">
        <v>7686</v>
      </c>
      <c r="O803" s="1" t="s">
        <v>7687</v>
      </c>
      <c r="P803" s="1" t="s">
        <v>7688</v>
      </c>
      <c r="Q803" s="1" t="s">
        <v>7689</v>
      </c>
      <c r="R803" s="1" t="s">
        <v>7690</v>
      </c>
      <c r="S803" s="1" t="s">
        <v>7691</v>
      </c>
      <c r="T803" s="1" t="s">
        <v>6945</v>
      </c>
      <c r="U803">
        <v>5426.63</v>
      </c>
      <c r="V803">
        <v>2372.0100000000002</v>
      </c>
      <c r="W803">
        <v>16.349119999999999</v>
      </c>
      <c r="X803">
        <v>107.918336</v>
      </c>
      <c r="Y803">
        <v>3054.62</v>
      </c>
      <c r="Z803">
        <v>16.263999999999999</v>
      </c>
      <c r="AA803">
        <v>107.88781</v>
      </c>
      <c r="AB803" s="5">
        <f t="shared" si="73"/>
        <v>3.5580150000000001</v>
      </c>
      <c r="AC803" s="5">
        <f t="shared" si="74"/>
        <v>4.5819300000000007</v>
      </c>
      <c r="AD803" s="1" t="str">
        <f t="shared" si="75"/>
        <v>TTCMKV_Ring 1_Phú Vang</v>
      </c>
      <c r="AE803" s="1" t="str">
        <f t="shared" si="76"/>
        <v>Phú Lộc</v>
      </c>
      <c r="AG803">
        <f t="shared" si="77"/>
        <v>2.3720100000000004</v>
      </c>
      <c r="AH803">
        <f t="shared" si="78"/>
        <v>3.0546199999999999</v>
      </c>
      <c r="AI803" t="e">
        <f>VLOOKUP(L803,'[1]Tuyến cáp H04'!$B:$E,3,0)/1000</f>
        <v>#N/A</v>
      </c>
      <c r="AJ803" t="e">
        <f>VLOOKUP(L803,'[1]Tuyến cáp H04'!$B:$E,4,0)</f>
        <v>#N/A</v>
      </c>
    </row>
    <row r="804" spans="1:36" x14ac:dyDescent="0.25">
      <c r="A804" s="1" t="s">
        <v>7692</v>
      </c>
      <c r="B804" s="1" t="s">
        <v>7693</v>
      </c>
      <c r="C804" s="1" t="s">
        <v>7694</v>
      </c>
      <c r="D804" s="1" t="s">
        <v>6947</v>
      </c>
      <c r="E804" s="1" t="s">
        <v>6948</v>
      </c>
      <c r="F804" s="1" t="s">
        <v>7695</v>
      </c>
      <c r="G804" s="1" t="s">
        <v>14129</v>
      </c>
      <c r="H804" s="1" t="s">
        <v>14532</v>
      </c>
      <c r="I804" s="1" t="s">
        <v>14918</v>
      </c>
      <c r="J804" s="1" t="s">
        <v>23</v>
      </c>
      <c r="K804" s="1"/>
      <c r="L804" s="1" t="s">
        <v>7672</v>
      </c>
      <c r="M804" s="1" t="s">
        <v>7696</v>
      </c>
      <c r="N804" s="1" t="s">
        <v>7697</v>
      </c>
      <c r="O804" s="1" t="s">
        <v>7678</v>
      </c>
      <c r="P804" s="1" t="s">
        <v>7679</v>
      </c>
      <c r="Q804" s="1" t="s">
        <v>7698</v>
      </c>
      <c r="R804" s="1" t="s">
        <v>7675</v>
      </c>
      <c r="S804" s="1" t="s">
        <v>7676</v>
      </c>
      <c r="T804" s="1" t="s">
        <v>7680</v>
      </c>
      <c r="U804">
        <v>29450.85</v>
      </c>
      <c r="V804">
        <v>9907.93</v>
      </c>
      <c r="W804">
        <v>16.556287999999999</v>
      </c>
      <c r="X804">
        <v>107.650227</v>
      </c>
      <c r="Y804">
        <v>19542.919999999998</v>
      </c>
      <c r="Z804">
        <v>16.432162999999999</v>
      </c>
      <c r="AA804">
        <v>107.776574</v>
      </c>
      <c r="AB804" s="5">
        <f t="shared" si="73"/>
        <v>14.861895000000001</v>
      </c>
      <c r="AC804" s="5">
        <f t="shared" si="74"/>
        <v>29.314379999999996</v>
      </c>
      <c r="AD804" s="1" t="str">
        <f t="shared" si="75"/>
        <v>Ring 8 Thuận An</v>
      </c>
      <c r="AE804" s="1" t="str">
        <f t="shared" si="76"/>
        <v>TTCMKV Phú Vang</v>
      </c>
      <c r="AG804">
        <f t="shared" si="77"/>
        <v>9.9079300000000003</v>
      </c>
      <c r="AH804">
        <f t="shared" si="78"/>
        <v>19.542919999999999</v>
      </c>
      <c r="AI804" t="e">
        <f>VLOOKUP(L804,'[1]Tuyến cáp H04'!$B:$E,3,0)/1000</f>
        <v>#N/A</v>
      </c>
      <c r="AJ804" t="e">
        <f>VLOOKUP(L804,'[1]Tuyến cáp H04'!$B:$E,4,0)</f>
        <v>#N/A</v>
      </c>
    </row>
    <row r="805" spans="1:36" x14ac:dyDescent="0.25">
      <c r="A805" s="1" t="s">
        <v>7699</v>
      </c>
      <c r="B805" s="1" t="s">
        <v>6989</v>
      </c>
      <c r="C805" s="1" t="s">
        <v>6990</v>
      </c>
      <c r="D805" s="1" t="s">
        <v>6989</v>
      </c>
      <c r="E805" s="1" t="s">
        <v>6990</v>
      </c>
      <c r="F805" s="1" t="s">
        <v>7700</v>
      </c>
      <c r="G805" s="1" t="s">
        <v>14129</v>
      </c>
      <c r="H805" s="1" t="s">
        <v>14532</v>
      </c>
      <c r="I805" s="1" t="s">
        <v>14919</v>
      </c>
      <c r="J805" s="1" t="s">
        <v>23</v>
      </c>
      <c r="K805" s="1"/>
      <c r="L805" s="1" t="s">
        <v>7596</v>
      </c>
      <c r="M805" s="1" t="s">
        <v>7701</v>
      </c>
      <c r="N805" s="1" t="s">
        <v>7702</v>
      </c>
      <c r="O805" s="1" t="s">
        <v>7703</v>
      </c>
      <c r="P805" s="1" t="s">
        <v>7704</v>
      </c>
      <c r="Q805" s="1" t="s">
        <v>7702</v>
      </c>
      <c r="R805" s="1" t="s">
        <v>7703</v>
      </c>
      <c r="S805" s="1" t="s">
        <v>7704</v>
      </c>
      <c r="T805" s="1" t="s">
        <v>7705</v>
      </c>
      <c r="U805">
        <v>67.459999999999994</v>
      </c>
      <c r="V805">
        <v>33.729999999999997</v>
      </c>
      <c r="W805">
        <v>16.568541</v>
      </c>
      <c r="X805">
        <v>107.513361</v>
      </c>
      <c r="Y805">
        <v>33.729999999999997</v>
      </c>
      <c r="Z805">
        <v>16.568541</v>
      </c>
      <c r="AA805">
        <v>107.513361</v>
      </c>
      <c r="AB805" s="5">
        <f t="shared" si="73"/>
        <v>5.0595000000000001E-2</v>
      </c>
      <c r="AC805" s="5">
        <f t="shared" si="74"/>
        <v>5.0595000000000001E-2</v>
      </c>
      <c r="AD805" s="1" t="str">
        <f t="shared" si="75"/>
        <v>Ring 5 Đan Điền</v>
      </c>
      <c r="AE805" s="1" t="str">
        <f t="shared" si="76"/>
        <v>Quảng Điền</v>
      </c>
      <c r="AG805">
        <f t="shared" si="77"/>
        <v>3.3729999999999996E-2</v>
      </c>
      <c r="AH805">
        <f t="shared" si="78"/>
        <v>3.3729999999999996E-2</v>
      </c>
      <c r="AI805" t="e">
        <f>VLOOKUP(L805,'[1]Tuyến cáp H04'!$B:$E,3,0)/1000</f>
        <v>#N/A</v>
      </c>
      <c r="AJ805" t="e">
        <f>VLOOKUP(L805,'[1]Tuyến cáp H04'!$B:$E,4,0)</f>
        <v>#N/A</v>
      </c>
    </row>
    <row r="806" spans="1:36" x14ac:dyDescent="0.25">
      <c r="A806" s="1" t="s">
        <v>7706</v>
      </c>
      <c r="B806" s="1" t="s">
        <v>7194</v>
      </c>
      <c r="C806" s="1" t="s">
        <v>7195</v>
      </c>
      <c r="D806" s="1" t="s">
        <v>6977</v>
      </c>
      <c r="E806" s="1" t="s">
        <v>6978</v>
      </c>
      <c r="F806" s="1" t="s">
        <v>7707</v>
      </c>
      <c r="G806" s="1" t="s">
        <v>14129</v>
      </c>
      <c r="H806" s="1" t="s">
        <v>14532</v>
      </c>
      <c r="I806" s="1" t="s">
        <v>14920</v>
      </c>
      <c r="J806" s="1" t="s">
        <v>23</v>
      </c>
      <c r="K806" s="1"/>
      <c r="L806" s="1" t="s">
        <v>6980</v>
      </c>
      <c r="M806" s="1" t="s">
        <v>7708</v>
      </c>
      <c r="N806" s="1" t="s">
        <v>7200</v>
      </c>
      <c r="O806" s="1" t="s">
        <v>7201</v>
      </c>
      <c r="P806" s="1" t="s">
        <v>7202</v>
      </c>
      <c r="Q806" s="1" t="s">
        <v>6982</v>
      </c>
      <c r="R806" s="1" t="s">
        <v>6983</v>
      </c>
      <c r="S806" s="1" t="s">
        <v>6984</v>
      </c>
      <c r="T806" s="1" t="s">
        <v>6985</v>
      </c>
      <c r="U806">
        <v>1557.52</v>
      </c>
      <c r="V806">
        <v>32.299999999999997</v>
      </c>
      <c r="W806">
        <v>16.491365999999999</v>
      </c>
      <c r="X806">
        <v>107.521095</v>
      </c>
      <c r="Y806">
        <v>1525.21</v>
      </c>
      <c r="Z806">
        <v>16.496891000000002</v>
      </c>
      <c r="AA806">
        <v>107.507471</v>
      </c>
      <c r="AB806" s="5">
        <f t="shared" si="73"/>
        <v>4.8449999999999993E-2</v>
      </c>
      <c r="AC806" s="5">
        <f t="shared" si="74"/>
        <v>2.2878150000000002</v>
      </c>
      <c r="AD806" s="1" t="str">
        <f t="shared" si="75"/>
        <v>Ring 6 TTCMKV Quảng Điền</v>
      </c>
      <c r="AE806" s="1" t="str">
        <f t="shared" si="76"/>
        <v>Kim Trà</v>
      </c>
      <c r="AG806">
        <f t="shared" si="77"/>
        <v>3.2299999999999995E-2</v>
      </c>
      <c r="AH806">
        <f t="shared" si="78"/>
        <v>1.52521</v>
      </c>
      <c r="AI806" t="e">
        <f>VLOOKUP(L806,'[1]Tuyến cáp H04'!$B:$E,3,0)/1000</f>
        <v>#N/A</v>
      </c>
      <c r="AJ806" t="e">
        <f>VLOOKUP(L806,'[1]Tuyến cáp H04'!$B:$E,4,0)</f>
        <v>#N/A</v>
      </c>
    </row>
    <row r="807" spans="1:36" x14ac:dyDescent="0.25">
      <c r="A807" s="1" t="s">
        <v>7709</v>
      </c>
      <c r="B807" s="1" t="s">
        <v>7403</v>
      </c>
      <c r="C807" s="1" t="s">
        <v>7404</v>
      </c>
      <c r="D807" s="1" t="s">
        <v>7403</v>
      </c>
      <c r="E807" s="1" t="s">
        <v>7404</v>
      </c>
      <c r="F807" s="1" t="s">
        <v>7710</v>
      </c>
      <c r="G807" s="1" t="s">
        <v>14129</v>
      </c>
      <c r="H807" s="1" t="s">
        <v>14532</v>
      </c>
      <c r="I807" s="1" t="s">
        <v>14921</v>
      </c>
      <c r="J807" s="1" t="s">
        <v>23</v>
      </c>
      <c r="K807" s="1"/>
      <c r="L807" s="1" t="s">
        <v>7659</v>
      </c>
      <c r="M807" s="1" t="s">
        <v>7711</v>
      </c>
      <c r="N807" s="1" t="s">
        <v>7712</v>
      </c>
      <c r="O807" s="1" t="s">
        <v>7713</v>
      </c>
      <c r="P807" s="1" t="s">
        <v>7714</v>
      </c>
      <c r="Q807" s="1" t="s">
        <v>7712</v>
      </c>
      <c r="R807" s="1" t="s">
        <v>7713</v>
      </c>
      <c r="S807" s="1" t="s">
        <v>7714</v>
      </c>
      <c r="T807" s="1" t="s">
        <v>7667</v>
      </c>
      <c r="U807">
        <v>887.99</v>
      </c>
      <c r="V807">
        <v>444</v>
      </c>
      <c r="W807">
        <v>16.488939999999999</v>
      </c>
      <c r="X807">
        <v>107.569457</v>
      </c>
      <c r="Y807">
        <v>444</v>
      </c>
      <c r="Z807">
        <v>16.488939999999999</v>
      </c>
      <c r="AA807">
        <v>107.569457</v>
      </c>
      <c r="AB807" s="5">
        <f t="shared" si="73"/>
        <v>0.66600000000000004</v>
      </c>
      <c r="AC807" s="5">
        <f t="shared" si="74"/>
        <v>0.66600000000000004</v>
      </c>
      <c r="AD807" s="1" t="str">
        <f t="shared" si="75"/>
        <v>TTCMKV_Ring 2_CAT Huế mới</v>
      </c>
      <c r="AE807" s="1" t="str">
        <f t="shared" si="76"/>
        <v>Quảng Điền</v>
      </c>
      <c r="AG807">
        <f t="shared" si="77"/>
        <v>0.44400000000000001</v>
      </c>
      <c r="AH807">
        <f t="shared" si="78"/>
        <v>0.44400000000000001</v>
      </c>
      <c r="AI807" t="e">
        <f>VLOOKUP(L807,'[1]Tuyến cáp H04'!$B:$E,3,0)/1000</f>
        <v>#N/A</v>
      </c>
      <c r="AJ807" t="e">
        <f>VLOOKUP(L807,'[1]Tuyến cáp H04'!$B:$E,4,0)</f>
        <v>#N/A</v>
      </c>
    </row>
    <row r="808" spans="1:36" x14ac:dyDescent="0.25">
      <c r="A808" s="1" t="s">
        <v>7715</v>
      </c>
      <c r="B808" s="1" t="s">
        <v>7716</v>
      </c>
      <c r="C808" s="1" t="s">
        <v>7717</v>
      </c>
      <c r="D808" s="1" t="s">
        <v>7716</v>
      </c>
      <c r="E808" s="1" t="s">
        <v>7717</v>
      </c>
      <c r="F808" s="1" t="s">
        <v>7718</v>
      </c>
      <c r="G808" s="1" t="s">
        <v>14129</v>
      </c>
      <c r="H808" s="1" t="s">
        <v>14532</v>
      </c>
      <c r="I808" s="1" t="s">
        <v>14922</v>
      </c>
      <c r="J808" s="1" t="s">
        <v>23</v>
      </c>
      <c r="K808" s="1"/>
      <c r="L808" s="1" t="s">
        <v>7452</v>
      </c>
      <c r="M808" s="1" t="s">
        <v>7719</v>
      </c>
      <c r="N808" s="1" t="s">
        <v>7720</v>
      </c>
      <c r="O808" s="1" t="s">
        <v>7721</v>
      </c>
      <c r="P808" s="1" t="s">
        <v>7722</v>
      </c>
      <c r="Q808" s="1" t="s">
        <v>7720</v>
      </c>
      <c r="R808" s="1" t="s">
        <v>7721</v>
      </c>
      <c r="S808" s="1" t="s">
        <v>7722</v>
      </c>
      <c r="T808" s="1" t="s">
        <v>7545</v>
      </c>
      <c r="U808">
        <v>439.21</v>
      </c>
      <c r="V808">
        <v>219.61</v>
      </c>
      <c r="W808">
        <v>16.443131000000001</v>
      </c>
      <c r="X808">
        <v>107.579831</v>
      </c>
      <c r="Y808">
        <v>219.61</v>
      </c>
      <c r="Z808">
        <v>16.443131000000001</v>
      </c>
      <c r="AA808">
        <v>107.579831</v>
      </c>
      <c r="AB808" s="5">
        <f t="shared" si="73"/>
        <v>0.32941500000000001</v>
      </c>
      <c r="AC808" s="5">
        <f t="shared" si="74"/>
        <v>0.32941500000000001</v>
      </c>
      <c r="AD808" s="1" t="str">
        <f t="shared" si="75"/>
        <v>Ring 3 PC10</v>
      </c>
      <c r="AE808" s="1" t="str">
        <f t="shared" si="76"/>
        <v>PC11</v>
      </c>
      <c r="AG808">
        <f t="shared" si="77"/>
        <v>0.21961000000000003</v>
      </c>
      <c r="AH808">
        <f t="shared" si="78"/>
        <v>0.21961000000000003</v>
      </c>
      <c r="AI808" t="e">
        <f>VLOOKUP(L808,'[1]Tuyến cáp H04'!$B:$E,3,0)/1000</f>
        <v>#N/A</v>
      </c>
      <c r="AJ808" t="e">
        <f>VLOOKUP(L808,'[1]Tuyến cáp H04'!$B:$E,4,0)</f>
        <v>#N/A</v>
      </c>
    </row>
    <row r="809" spans="1:36" x14ac:dyDescent="0.25">
      <c r="A809" s="1" t="s">
        <v>7723</v>
      </c>
      <c r="B809" s="1" t="s">
        <v>7724</v>
      </c>
      <c r="C809" s="1" t="s">
        <v>7725</v>
      </c>
      <c r="D809" s="1" t="s">
        <v>7724</v>
      </c>
      <c r="E809" s="1" t="s">
        <v>7725</v>
      </c>
      <c r="F809" s="1" t="s">
        <v>7726</v>
      </c>
      <c r="G809" s="1" t="s">
        <v>14129</v>
      </c>
      <c r="H809" s="1" t="s">
        <v>14532</v>
      </c>
      <c r="I809" s="1" t="s">
        <v>14923</v>
      </c>
      <c r="J809" s="1" t="s">
        <v>23</v>
      </c>
      <c r="K809" s="1"/>
      <c r="L809" s="1" t="s">
        <v>7050</v>
      </c>
      <c r="M809" s="1" t="s">
        <v>7727</v>
      </c>
      <c r="N809" s="1" t="s">
        <v>7728</v>
      </c>
      <c r="O809" s="1" t="s">
        <v>7729</v>
      </c>
      <c r="P809" s="1" t="s">
        <v>7730</v>
      </c>
      <c r="Q809" s="1" t="s">
        <v>7728</v>
      </c>
      <c r="R809" s="1" t="s">
        <v>7729</v>
      </c>
      <c r="S809" s="1" t="s">
        <v>7730</v>
      </c>
      <c r="T809" s="1" t="s">
        <v>7058</v>
      </c>
      <c r="U809">
        <v>412.51</v>
      </c>
      <c r="V809">
        <v>206.26</v>
      </c>
      <c r="W809">
        <v>16.478684000000001</v>
      </c>
      <c r="X809">
        <v>107.598051</v>
      </c>
      <c r="Y809">
        <v>206.26</v>
      </c>
      <c r="Z809">
        <v>16.478684000000001</v>
      </c>
      <c r="AA809">
        <v>107.598051</v>
      </c>
      <c r="AB809" s="5">
        <f t="shared" si="73"/>
        <v>0.30939</v>
      </c>
      <c r="AC809" s="5">
        <f t="shared" si="74"/>
        <v>0.30939</v>
      </c>
      <c r="AD809" s="1" t="str">
        <f t="shared" si="75"/>
        <v>Ring 3 PA07</v>
      </c>
      <c r="AE809" s="1" t="str">
        <f t="shared" si="76"/>
        <v>PC01</v>
      </c>
      <c r="AG809">
        <f t="shared" si="77"/>
        <v>0.20626</v>
      </c>
      <c r="AH809">
        <f t="shared" si="78"/>
        <v>0.20626</v>
      </c>
      <c r="AI809" t="e">
        <f>VLOOKUP(L809,'[1]Tuyến cáp H04'!$B:$E,3,0)/1000</f>
        <v>#N/A</v>
      </c>
      <c r="AJ809" t="e">
        <f>VLOOKUP(L809,'[1]Tuyến cáp H04'!$B:$E,4,0)</f>
        <v>#N/A</v>
      </c>
    </row>
    <row r="810" spans="1:36" x14ac:dyDescent="0.25">
      <c r="A810" s="1" t="s">
        <v>7731</v>
      </c>
      <c r="B810" s="1" t="s">
        <v>7732</v>
      </c>
      <c r="C810" s="1" t="s">
        <v>7733</v>
      </c>
      <c r="D810" s="1" t="s">
        <v>7732</v>
      </c>
      <c r="E810" s="1" t="s">
        <v>7733</v>
      </c>
      <c r="F810" s="1" t="s">
        <v>7734</v>
      </c>
      <c r="G810" s="1" t="s">
        <v>14129</v>
      </c>
      <c r="H810" s="1" t="s">
        <v>14532</v>
      </c>
      <c r="I810" s="1" t="s">
        <v>14924</v>
      </c>
      <c r="J810" s="1" t="s">
        <v>23</v>
      </c>
      <c r="K810" s="1"/>
      <c r="L810" s="1" t="s">
        <v>7065</v>
      </c>
      <c r="M810" s="1" t="s">
        <v>7735</v>
      </c>
      <c r="N810" s="1" t="s">
        <v>7736</v>
      </c>
      <c r="O810" s="1" t="s">
        <v>7737</v>
      </c>
      <c r="P810" s="1" t="s">
        <v>7738</v>
      </c>
      <c r="Q810" s="1" t="s">
        <v>7736</v>
      </c>
      <c r="R810" s="1" t="s">
        <v>7737</v>
      </c>
      <c r="S810" s="1" t="s">
        <v>7738</v>
      </c>
      <c r="T810" s="1" t="s">
        <v>7114</v>
      </c>
      <c r="U810">
        <v>22.42</v>
      </c>
      <c r="V810">
        <v>11.21</v>
      </c>
      <c r="W810">
        <v>16.481582</v>
      </c>
      <c r="X810">
        <v>107.555908</v>
      </c>
      <c r="Y810">
        <v>11.21</v>
      </c>
      <c r="Z810">
        <v>16.481582</v>
      </c>
      <c r="AA810">
        <v>107.555908</v>
      </c>
      <c r="AB810" s="5">
        <f t="shared" si="73"/>
        <v>1.6815E-2</v>
      </c>
      <c r="AC810" s="5">
        <f t="shared" si="74"/>
        <v>1.6815E-2</v>
      </c>
      <c r="AD810" s="1" t="str">
        <f t="shared" si="75"/>
        <v>TTCMKV_Ring 2_Phong Điền</v>
      </c>
      <c r="AE810" s="1" t="str">
        <f t="shared" si="76"/>
        <v>CAT Huế mới</v>
      </c>
      <c r="AG810">
        <f t="shared" si="77"/>
        <v>1.1210000000000001E-2</v>
      </c>
      <c r="AH810">
        <f t="shared" si="78"/>
        <v>1.1210000000000001E-2</v>
      </c>
      <c r="AI810" t="e">
        <f>VLOOKUP(L810,'[1]Tuyến cáp H04'!$B:$E,3,0)/1000</f>
        <v>#N/A</v>
      </c>
      <c r="AJ810" t="e">
        <f>VLOOKUP(L810,'[1]Tuyến cáp H04'!$B:$E,4,0)</f>
        <v>#N/A</v>
      </c>
    </row>
    <row r="811" spans="1:36" x14ac:dyDescent="0.25">
      <c r="A811" s="1" t="s">
        <v>7739</v>
      </c>
      <c r="B811" s="1" t="s">
        <v>7535</v>
      </c>
      <c r="C811" s="1" t="s">
        <v>7536</v>
      </c>
      <c r="D811" s="1" t="s">
        <v>7535</v>
      </c>
      <c r="E811" s="1" t="s">
        <v>7536</v>
      </c>
      <c r="F811" s="1" t="s">
        <v>7740</v>
      </c>
      <c r="G811" s="1" t="s">
        <v>14129</v>
      </c>
      <c r="H811" s="1" t="s">
        <v>14532</v>
      </c>
      <c r="I811" s="1" t="s">
        <v>14925</v>
      </c>
      <c r="J811" s="1" t="s">
        <v>23</v>
      </c>
      <c r="K811" s="1"/>
      <c r="L811" s="1" t="s">
        <v>7452</v>
      </c>
      <c r="M811" s="1" t="s">
        <v>7741</v>
      </c>
      <c r="N811" s="1" t="s">
        <v>7742</v>
      </c>
      <c r="O811" s="1" t="s">
        <v>7743</v>
      </c>
      <c r="P811" s="1" t="s">
        <v>7744</v>
      </c>
      <c r="Q811" s="1" t="s">
        <v>7742</v>
      </c>
      <c r="R811" s="1" t="s">
        <v>7743</v>
      </c>
      <c r="S811" s="1" t="s">
        <v>7744</v>
      </c>
      <c r="T811" s="1" t="s">
        <v>7745</v>
      </c>
      <c r="U811">
        <v>816.87</v>
      </c>
      <c r="V811">
        <v>408.43</v>
      </c>
      <c r="W811">
        <v>16.463816999999999</v>
      </c>
      <c r="X811">
        <v>107.586459</v>
      </c>
      <c r="Y811">
        <v>408.43</v>
      </c>
      <c r="Z811">
        <v>16.463816999999999</v>
      </c>
      <c r="AA811">
        <v>107.586459</v>
      </c>
      <c r="AB811" s="5">
        <f t="shared" si="73"/>
        <v>0.612645</v>
      </c>
      <c r="AC811" s="5">
        <f t="shared" si="74"/>
        <v>0.612645</v>
      </c>
      <c r="AD811" s="1" t="str">
        <f t="shared" si="75"/>
        <v>Ring 3 PC10</v>
      </c>
      <c r="AE811" s="1" t="str">
        <f t="shared" si="76"/>
        <v>PC11</v>
      </c>
      <c r="AG811">
        <f t="shared" si="77"/>
        <v>0.40843000000000002</v>
      </c>
      <c r="AH811">
        <f t="shared" si="78"/>
        <v>0.40843000000000002</v>
      </c>
      <c r="AI811" t="e">
        <f>VLOOKUP(L811,'[1]Tuyến cáp H04'!$B:$E,3,0)/1000</f>
        <v>#N/A</v>
      </c>
      <c r="AJ811" t="e">
        <f>VLOOKUP(L811,'[1]Tuyến cáp H04'!$B:$E,4,0)</f>
        <v>#N/A</v>
      </c>
    </row>
    <row r="812" spans="1:36" x14ac:dyDescent="0.25">
      <c r="A812" s="1" t="s">
        <v>7746</v>
      </c>
      <c r="B812" s="1" t="s">
        <v>7438</v>
      </c>
      <c r="C812" s="1" t="s">
        <v>7439</v>
      </c>
      <c r="D812" s="1" t="s">
        <v>7438</v>
      </c>
      <c r="E812" s="1" t="s">
        <v>7439</v>
      </c>
      <c r="F812" s="1" t="s">
        <v>7747</v>
      </c>
      <c r="G812" s="1" t="s">
        <v>14129</v>
      </c>
      <c r="H812" s="1" t="s">
        <v>14532</v>
      </c>
      <c r="I812" s="1" t="s">
        <v>14926</v>
      </c>
      <c r="J812" s="1" t="s">
        <v>23</v>
      </c>
      <c r="K812" s="1"/>
      <c r="L812" s="1" t="s">
        <v>7748</v>
      </c>
      <c r="M812" s="1" t="s">
        <v>7749</v>
      </c>
      <c r="N812" s="1" t="s">
        <v>7750</v>
      </c>
      <c r="O812" s="1" t="s">
        <v>7751</v>
      </c>
      <c r="P812" s="1" t="s">
        <v>7752</v>
      </c>
      <c r="Q812" s="1" t="s">
        <v>7750</v>
      </c>
      <c r="R812" s="1" t="s">
        <v>7751</v>
      </c>
      <c r="S812" s="1" t="s">
        <v>7752</v>
      </c>
      <c r="T812" s="1" t="s">
        <v>7753</v>
      </c>
      <c r="U812">
        <v>35.35</v>
      </c>
      <c r="V812">
        <v>17.670000000000002</v>
      </c>
      <c r="W812">
        <v>16.459883999999999</v>
      </c>
      <c r="X812">
        <v>107.605284</v>
      </c>
      <c r="Y812">
        <v>17.670000000000002</v>
      </c>
      <c r="Z812">
        <v>16.459883999999999</v>
      </c>
      <c r="AA812">
        <v>107.605284</v>
      </c>
      <c r="AB812" s="5">
        <f t="shared" si="73"/>
        <v>2.6505000000000004E-2</v>
      </c>
      <c r="AC812" s="5">
        <f t="shared" si="74"/>
        <v>2.6505000000000004E-2</v>
      </c>
      <c r="AD812" s="1" t="str">
        <f t="shared" si="75"/>
        <v>PC06 (54 Hùng Vương)</v>
      </c>
      <c r="AE812" s="1" t="str">
        <f t="shared" si="76"/>
        <v>TT Huế</v>
      </c>
      <c r="AG812">
        <f t="shared" si="77"/>
        <v>1.7670000000000002E-2</v>
      </c>
      <c r="AH812">
        <f t="shared" si="78"/>
        <v>1.7670000000000002E-2</v>
      </c>
      <c r="AI812">
        <f>VLOOKUP(L812,'[1]Tuyến cáp H04'!$B:$E,3,0)/1000</f>
        <v>6.71</v>
      </c>
      <c r="AJ812" t="str">
        <f>VLOOKUP(L812,'[1]Tuyến cáp H04'!$B:$E,4,0)</f>
        <v>Mạng cấp 3</v>
      </c>
    </row>
    <row r="813" spans="1:36" x14ac:dyDescent="0.25">
      <c r="A813" s="1" t="s">
        <v>7754</v>
      </c>
      <c r="B813" s="1" t="s">
        <v>7755</v>
      </c>
      <c r="C813" s="1" t="s">
        <v>7756</v>
      </c>
      <c r="D813" s="1" t="s">
        <v>7017</v>
      </c>
      <c r="E813" s="1" t="s">
        <v>7018</v>
      </c>
      <c r="F813" s="1" t="s">
        <v>7757</v>
      </c>
      <c r="G813" s="1" t="s">
        <v>14129</v>
      </c>
      <c r="H813" s="1" t="s">
        <v>14532</v>
      </c>
      <c r="I813" s="1" t="s">
        <v>14927</v>
      </c>
      <c r="J813" s="1" t="s">
        <v>23</v>
      </c>
      <c r="K813" s="1"/>
      <c r="L813" s="1" t="s">
        <v>7022</v>
      </c>
      <c r="M813" s="1" t="s">
        <v>7758</v>
      </c>
      <c r="N813" s="1" t="s">
        <v>7759</v>
      </c>
      <c r="O813" s="1" t="s">
        <v>7760</v>
      </c>
      <c r="P813" s="1" t="s">
        <v>7761</v>
      </c>
      <c r="Q813" s="1" t="s">
        <v>7762</v>
      </c>
      <c r="R813" s="1" t="s">
        <v>7763</v>
      </c>
      <c r="S813" s="1" t="s">
        <v>7764</v>
      </c>
      <c r="T813" s="1" t="s">
        <v>7765</v>
      </c>
      <c r="U813">
        <v>743.01</v>
      </c>
      <c r="V813">
        <v>92.14</v>
      </c>
      <c r="W813">
        <v>16.470611999999999</v>
      </c>
      <c r="X813">
        <v>107.587018</v>
      </c>
      <c r="Y813">
        <v>650.87</v>
      </c>
      <c r="Z813">
        <v>16.481928</v>
      </c>
      <c r="AA813">
        <v>107.590125</v>
      </c>
      <c r="AB813" s="5">
        <f t="shared" si="73"/>
        <v>0.13821</v>
      </c>
      <c r="AC813" s="5">
        <f t="shared" si="74"/>
        <v>0.97630500000000009</v>
      </c>
      <c r="AD813" s="1" t="str">
        <f t="shared" si="75"/>
        <v>Ring 1 Nguyễn Thái Học</v>
      </c>
      <c r="AE813" s="1" t="str">
        <f t="shared" si="76"/>
        <v>Phú Xuân</v>
      </c>
      <c r="AG813">
        <f t="shared" si="77"/>
        <v>9.214E-2</v>
      </c>
      <c r="AH813">
        <f t="shared" si="78"/>
        <v>0.65087000000000006</v>
      </c>
      <c r="AI813" t="e">
        <f>VLOOKUP(L813,'[1]Tuyến cáp H04'!$B:$E,3,0)/1000</f>
        <v>#N/A</v>
      </c>
      <c r="AJ813" t="e">
        <f>VLOOKUP(L813,'[1]Tuyến cáp H04'!$B:$E,4,0)</f>
        <v>#N/A</v>
      </c>
    </row>
    <row r="814" spans="1:36" x14ac:dyDescent="0.25">
      <c r="A814" s="1" t="s">
        <v>7766</v>
      </c>
      <c r="B814" s="1" t="s">
        <v>7767</v>
      </c>
      <c r="C814" s="1" t="s">
        <v>7768</v>
      </c>
      <c r="D814" s="1" t="s">
        <v>7769</v>
      </c>
      <c r="E814" s="1" t="s">
        <v>7770</v>
      </c>
      <c r="F814" s="1" t="s">
        <v>7771</v>
      </c>
      <c r="G814" s="1" t="s">
        <v>14129</v>
      </c>
      <c r="H814" s="1" t="s">
        <v>14532</v>
      </c>
      <c r="I814" s="1" t="s">
        <v>14928</v>
      </c>
      <c r="J814" s="1" t="s">
        <v>23</v>
      </c>
      <c r="K814" s="1"/>
      <c r="L814" s="1" t="s">
        <v>7772</v>
      </c>
      <c r="M814" s="1" t="s">
        <v>7773</v>
      </c>
      <c r="N814" s="1" t="s">
        <v>7774</v>
      </c>
      <c r="O814" s="1" t="s">
        <v>7775</v>
      </c>
      <c r="P814" s="1" t="s">
        <v>7776</v>
      </c>
      <c r="Q814" s="1" t="s">
        <v>7777</v>
      </c>
      <c r="R814" s="1" t="s">
        <v>4958</v>
      </c>
      <c r="S814" s="1" t="s">
        <v>7778</v>
      </c>
      <c r="T814" s="1" t="s">
        <v>7779</v>
      </c>
      <c r="U814">
        <v>1322.43</v>
      </c>
      <c r="V814">
        <v>1095.6500000000001</v>
      </c>
      <c r="W814">
        <v>16.272387999999999</v>
      </c>
      <c r="X814">
        <v>107.972993</v>
      </c>
      <c r="Y814">
        <v>226.78</v>
      </c>
      <c r="Z814">
        <v>16.242723999999999</v>
      </c>
      <c r="AA814">
        <v>108.077697</v>
      </c>
      <c r="AB814" s="5">
        <f t="shared" si="73"/>
        <v>1.6434750000000002</v>
      </c>
      <c r="AC814" s="5">
        <f t="shared" si="74"/>
        <v>0.34017000000000003</v>
      </c>
      <c r="AD814" s="1" t="str">
        <f t="shared" si="75"/>
        <v>Ring 1 Vinh Lộc</v>
      </c>
      <c r="AE814" s="1" t="str">
        <f t="shared" si="76"/>
        <v>Chân Mây_Lăng Cô</v>
      </c>
      <c r="AG814">
        <f t="shared" si="77"/>
        <v>1.09565</v>
      </c>
      <c r="AH814">
        <f t="shared" si="78"/>
        <v>0.22678000000000001</v>
      </c>
      <c r="AI814" t="e">
        <f>VLOOKUP(L814,'[1]Tuyến cáp H04'!$B:$E,3,0)/1000</f>
        <v>#N/A</v>
      </c>
      <c r="AJ814" t="e">
        <f>VLOOKUP(L814,'[1]Tuyến cáp H04'!$B:$E,4,0)</f>
        <v>#N/A</v>
      </c>
    </row>
    <row r="815" spans="1:36" x14ac:dyDescent="0.25">
      <c r="A815" s="1" t="s">
        <v>7780</v>
      </c>
      <c r="B815" s="1" t="s">
        <v>7781</v>
      </c>
      <c r="C815" s="1" t="s">
        <v>7782</v>
      </c>
      <c r="D815" s="1" t="s">
        <v>7279</v>
      </c>
      <c r="E815" s="1" t="s">
        <v>7280</v>
      </c>
      <c r="F815" s="1" t="s">
        <v>7783</v>
      </c>
      <c r="G815" s="1" t="s">
        <v>14129</v>
      </c>
      <c r="H815" s="1" t="s">
        <v>14532</v>
      </c>
      <c r="I815" s="1" t="s">
        <v>14929</v>
      </c>
      <c r="J815" s="1" t="s">
        <v>23</v>
      </c>
      <c r="K815" s="1"/>
      <c r="L815" s="1" t="s">
        <v>7269</v>
      </c>
      <c r="M815" s="1" t="s">
        <v>7784</v>
      </c>
      <c r="N815" s="1" t="s">
        <v>7785</v>
      </c>
      <c r="O815" s="1" t="s">
        <v>7272</v>
      </c>
      <c r="P815" s="1" t="s">
        <v>7273</v>
      </c>
      <c r="Q815" s="1" t="s">
        <v>1317</v>
      </c>
      <c r="R815" s="1" t="s">
        <v>7285</v>
      </c>
      <c r="S815" s="1" t="s">
        <v>7286</v>
      </c>
      <c r="T815" s="1" t="s">
        <v>7277</v>
      </c>
      <c r="U815">
        <v>975.75</v>
      </c>
      <c r="V815">
        <v>963.19</v>
      </c>
      <c r="W815">
        <v>16.512826</v>
      </c>
      <c r="X815">
        <v>107.59974200000001</v>
      </c>
      <c r="Y815">
        <v>12.56</v>
      </c>
      <c r="Z815">
        <v>16.543879</v>
      </c>
      <c r="AA815">
        <v>107.636127</v>
      </c>
      <c r="AB815" s="5">
        <f t="shared" si="73"/>
        <v>1.444785</v>
      </c>
      <c r="AC815" s="5">
        <f t="shared" si="74"/>
        <v>1.8839999999999999E-2</v>
      </c>
      <c r="AD815" s="1" t="str">
        <f t="shared" si="75"/>
        <v>Ring 8 Dương Nỗ</v>
      </c>
      <c r="AE815" s="1" t="str">
        <f t="shared" si="76"/>
        <v>Thuận An</v>
      </c>
      <c r="AG815">
        <f t="shared" si="77"/>
        <v>0.9631900000000001</v>
      </c>
      <c r="AH815">
        <f t="shared" si="78"/>
        <v>1.256E-2</v>
      </c>
      <c r="AI815" t="e">
        <f>VLOOKUP(L815,'[1]Tuyến cáp H04'!$B:$E,3,0)/1000</f>
        <v>#N/A</v>
      </c>
      <c r="AJ815" t="e">
        <f>VLOOKUP(L815,'[1]Tuyến cáp H04'!$B:$E,4,0)</f>
        <v>#N/A</v>
      </c>
    </row>
    <row r="816" spans="1:36" x14ac:dyDescent="0.25">
      <c r="A816" s="1" t="s">
        <v>7786</v>
      </c>
      <c r="B816" s="1" t="s">
        <v>7787</v>
      </c>
      <c r="C816" s="1" t="s">
        <v>7788</v>
      </c>
      <c r="D816" s="1" t="s">
        <v>6932</v>
      </c>
      <c r="E816" s="1" t="s">
        <v>6933</v>
      </c>
      <c r="F816" s="1" t="s">
        <v>7789</v>
      </c>
      <c r="G816" s="1" t="s">
        <v>14129</v>
      </c>
      <c r="H816" s="1" t="s">
        <v>14532</v>
      </c>
      <c r="I816" s="1" t="s">
        <v>14930</v>
      </c>
      <c r="J816" s="1" t="s">
        <v>23</v>
      </c>
      <c r="K816" s="1"/>
      <c r="L816" s="1" t="s">
        <v>7254</v>
      </c>
      <c r="M816" s="1" t="s">
        <v>7790</v>
      </c>
      <c r="N816" s="1" t="s">
        <v>7791</v>
      </c>
      <c r="O816" s="1" t="s">
        <v>7257</v>
      </c>
      <c r="P816" s="1" t="s">
        <v>7258</v>
      </c>
      <c r="Q816" s="1" t="s">
        <v>7792</v>
      </c>
      <c r="R816" s="1" t="s">
        <v>7793</v>
      </c>
      <c r="S816" s="1" t="s">
        <v>7794</v>
      </c>
      <c r="T816" s="1" t="s">
        <v>7262</v>
      </c>
      <c r="U816">
        <v>783.8</v>
      </c>
      <c r="V816">
        <v>726.09</v>
      </c>
      <c r="W816">
        <v>16.487857999999999</v>
      </c>
      <c r="X816">
        <v>107.644924</v>
      </c>
      <c r="Y816">
        <v>57.71</v>
      </c>
      <c r="Z816">
        <v>16.439834000000001</v>
      </c>
      <c r="AA816">
        <v>107.715987</v>
      </c>
      <c r="AB816" s="5">
        <f t="shared" si="73"/>
        <v>1.089135</v>
      </c>
      <c r="AC816" s="5">
        <f t="shared" si="74"/>
        <v>8.6565000000000003E-2</v>
      </c>
      <c r="AD816" s="1" t="str">
        <f t="shared" si="75"/>
        <v>TTCMKV_Ring 1_CAT Huế mới</v>
      </c>
      <c r="AE816" s="1" t="str">
        <f t="shared" si="76"/>
        <v>Phú Vang</v>
      </c>
      <c r="AG816">
        <f t="shared" si="77"/>
        <v>0.72609000000000001</v>
      </c>
      <c r="AH816">
        <f t="shared" si="78"/>
        <v>5.7709999999999997E-2</v>
      </c>
      <c r="AI816" t="e">
        <f>VLOOKUP(L816,'[1]Tuyến cáp H04'!$B:$E,3,0)/1000</f>
        <v>#N/A</v>
      </c>
      <c r="AJ816" t="e">
        <f>VLOOKUP(L816,'[1]Tuyến cáp H04'!$B:$E,4,0)</f>
        <v>#N/A</v>
      </c>
    </row>
    <row r="817" spans="1:36" x14ac:dyDescent="0.25">
      <c r="A817" s="1" t="s">
        <v>7795</v>
      </c>
      <c r="B817" s="1" t="s">
        <v>7796</v>
      </c>
      <c r="C817" s="1" t="s">
        <v>7797</v>
      </c>
      <c r="D817" s="1" t="s">
        <v>6989</v>
      </c>
      <c r="E817" s="1" t="s">
        <v>6990</v>
      </c>
      <c r="F817" s="1" t="s">
        <v>7798</v>
      </c>
      <c r="G817" s="1" t="s">
        <v>14129</v>
      </c>
      <c r="H817" s="1" t="s">
        <v>14532</v>
      </c>
      <c r="I817" s="1" t="s">
        <v>14931</v>
      </c>
      <c r="J817" s="1" t="s">
        <v>23</v>
      </c>
      <c r="K817" s="1"/>
      <c r="L817" s="1" t="s">
        <v>7596</v>
      </c>
      <c r="M817" s="1" t="s">
        <v>7799</v>
      </c>
      <c r="N817" s="1" t="s">
        <v>7800</v>
      </c>
      <c r="O817" s="1" t="s">
        <v>7801</v>
      </c>
      <c r="P817" s="1" t="s">
        <v>7802</v>
      </c>
      <c r="Q817" s="1" t="s">
        <v>7598</v>
      </c>
      <c r="R817" s="1" t="s">
        <v>7599</v>
      </c>
      <c r="S817" s="1" t="s">
        <v>7600</v>
      </c>
      <c r="T817" s="1" t="s">
        <v>7604</v>
      </c>
      <c r="U817">
        <v>478.44</v>
      </c>
      <c r="V817">
        <v>385.11</v>
      </c>
      <c r="W817">
        <v>16.566452999999999</v>
      </c>
      <c r="X817">
        <v>107.498831</v>
      </c>
      <c r="Y817">
        <v>93.33</v>
      </c>
      <c r="Z817">
        <v>16.569545999999999</v>
      </c>
      <c r="AA817">
        <v>107.513842</v>
      </c>
      <c r="AB817" s="5">
        <f t="shared" si="73"/>
        <v>0.57766499999999998</v>
      </c>
      <c r="AC817" s="5">
        <f t="shared" si="74"/>
        <v>0.13999500000000001</v>
      </c>
      <c r="AD817" s="1" t="str">
        <f t="shared" si="75"/>
        <v>Ring 5 Đan Điền</v>
      </c>
      <c r="AE817" s="1" t="str">
        <f t="shared" si="76"/>
        <v>Quảng Điền</v>
      </c>
      <c r="AG817">
        <f t="shared" si="77"/>
        <v>0.38511000000000001</v>
      </c>
      <c r="AH817">
        <f t="shared" si="78"/>
        <v>9.3329999999999996E-2</v>
      </c>
      <c r="AI817" t="e">
        <f>VLOOKUP(L817,'[1]Tuyến cáp H04'!$B:$E,3,0)/1000</f>
        <v>#N/A</v>
      </c>
      <c r="AJ817" t="e">
        <f>VLOOKUP(L817,'[1]Tuyến cáp H04'!$B:$E,4,0)</f>
        <v>#N/A</v>
      </c>
    </row>
    <row r="818" spans="1:36" x14ac:dyDescent="0.25">
      <c r="A818" s="1" t="s">
        <v>7803</v>
      </c>
      <c r="B818" s="1" t="s">
        <v>7804</v>
      </c>
      <c r="C818" s="1" t="s">
        <v>7805</v>
      </c>
      <c r="D818" s="1" t="s">
        <v>6989</v>
      </c>
      <c r="E818" s="1" t="s">
        <v>6990</v>
      </c>
      <c r="F818" s="1" t="s">
        <v>7806</v>
      </c>
      <c r="G818" s="1" t="s">
        <v>14129</v>
      </c>
      <c r="H818" s="1" t="s">
        <v>14532</v>
      </c>
      <c r="I818" s="1" t="s">
        <v>14932</v>
      </c>
      <c r="J818" s="1" t="s">
        <v>23</v>
      </c>
      <c r="K818" s="1"/>
      <c r="L818" s="1" t="s">
        <v>7509</v>
      </c>
      <c r="M818" s="1" t="s">
        <v>7807</v>
      </c>
      <c r="N818" s="1" t="s">
        <v>7808</v>
      </c>
      <c r="O818" s="1" t="s">
        <v>7809</v>
      </c>
      <c r="P818" s="1" t="s">
        <v>7810</v>
      </c>
      <c r="Q818" s="1" t="s">
        <v>7811</v>
      </c>
      <c r="R818" s="1" t="s">
        <v>7812</v>
      </c>
      <c r="S818" s="1" t="s">
        <v>7813</v>
      </c>
      <c r="T818" s="1" t="s">
        <v>7517</v>
      </c>
      <c r="U818">
        <v>6198.63</v>
      </c>
      <c r="V818">
        <v>4938.2299999999996</v>
      </c>
      <c r="W818">
        <v>16.596872999999999</v>
      </c>
      <c r="X818">
        <v>107.50172499999999</v>
      </c>
      <c r="Y818">
        <v>1260.4000000000001</v>
      </c>
      <c r="Z818">
        <v>16.580074</v>
      </c>
      <c r="AA818">
        <v>107.513431</v>
      </c>
      <c r="AB818" s="5">
        <f t="shared" si="73"/>
        <v>7.4073449999999994</v>
      </c>
      <c r="AC818" s="5">
        <f t="shared" si="74"/>
        <v>1.8906000000000001</v>
      </c>
      <c r="AD818" s="1" t="str">
        <f t="shared" si="75"/>
        <v>Ring 3_Phong Dinh</v>
      </c>
      <c r="AE818" s="1" t="str">
        <f t="shared" si="76"/>
        <v>TTCMKV Quảng Điền</v>
      </c>
      <c r="AG818">
        <f t="shared" si="77"/>
        <v>4.9382299999999999</v>
      </c>
      <c r="AH818">
        <f t="shared" si="78"/>
        <v>1.2604000000000002</v>
      </c>
      <c r="AI818" t="e">
        <f>VLOOKUP(L818,'[1]Tuyến cáp H04'!$B:$E,3,0)/1000</f>
        <v>#N/A</v>
      </c>
      <c r="AJ818" t="e">
        <f>VLOOKUP(L818,'[1]Tuyến cáp H04'!$B:$E,4,0)</f>
        <v>#N/A</v>
      </c>
    </row>
    <row r="819" spans="1:36" x14ac:dyDescent="0.25">
      <c r="A819" s="1" t="s">
        <v>7814</v>
      </c>
      <c r="B819" s="1" t="s">
        <v>7815</v>
      </c>
      <c r="C819" s="1" t="s">
        <v>7816</v>
      </c>
      <c r="D819" s="1" t="s">
        <v>7017</v>
      </c>
      <c r="E819" s="1" t="s">
        <v>7018</v>
      </c>
      <c r="F819" s="1" t="s">
        <v>7817</v>
      </c>
      <c r="G819" s="1" t="s">
        <v>14129</v>
      </c>
      <c r="H819" s="1" t="s">
        <v>14532</v>
      </c>
      <c r="I819" s="1" t="s">
        <v>14933</v>
      </c>
      <c r="J819" s="1" t="s">
        <v>23</v>
      </c>
      <c r="K819" s="1"/>
      <c r="L819" s="1" t="s">
        <v>7478</v>
      </c>
      <c r="M819" s="1" t="s">
        <v>7818</v>
      </c>
      <c r="N819" s="1" t="s">
        <v>7819</v>
      </c>
      <c r="O819" s="1" t="s">
        <v>7484</v>
      </c>
      <c r="P819" s="1" t="s">
        <v>7485</v>
      </c>
      <c r="Q819" s="1" t="s">
        <v>7628</v>
      </c>
      <c r="R819" s="1" t="s">
        <v>7481</v>
      </c>
      <c r="S819" s="1" t="s">
        <v>7482</v>
      </c>
      <c r="T819" s="1" t="s">
        <v>7486</v>
      </c>
      <c r="U819">
        <v>1854.24</v>
      </c>
      <c r="V819">
        <v>898.82</v>
      </c>
      <c r="W819">
        <v>16.460554999999999</v>
      </c>
      <c r="X819">
        <v>107.569109</v>
      </c>
      <c r="Y819">
        <v>955.41</v>
      </c>
      <c r="Z819">
        <v>16.478936999999998</v>
      </c>
      <c r="AA819">
        <v>107.58975599999999</v>
      </c>
      <c r="AB819" s="5">
        <f t="shared" si="73"/>
        <v>1.34823</v>
      </c>
      <c r="AC819" s="5">
        <f t="shared" si="74"/>
        <v>1.4331149999999999</v>
      </c>
      <c r="AD819" s="1" t="str">
        <f t="shared" si="75"/>
        <v>PC04 (trung tâm cái nghiện)</v>
      </c>
      <c r="AE819" s="1" t="str">
        <f t="shared" si="76"/>
        <v>Phú Xuân</v>
      </c>
      <c r="AG819">
        <f t="shared" si="77"/>
        <v>0.89882000000000006</v>
      </c>
      <c r="AH819">
        <f t="shared" si="78"/>
        <v>0.95540999999999998</v>
      </c>
      <c r="AI819">
        <f>VLOOKUP(L819,'[1]Tuyến cáp H04'!$B:$E,3,0)/1000</f>
        <v>13.4</v>
      </c>
      <c r="AJ819" t="str">
        <f>VLOOKUP(L819,'[1]Tuyến cáp H04'!$B:$E,4,0)</f>
        <v>Mạng cấp 3</v>
      </c>
    </row>
    <row r="820" spans="1:36" x14ac:dyDescent="0.25">
      <c r="A820" s="1" t="s">
        <v>7820</v>
      </c>
      <c r="B820" s="1" t="s">
        <v>7821</v>
      </c>
      <c r="C820" s="1" t="s">
        <v>7822</v>
      </c>
      <c r="D820" s="1" t="s">
        <v>7449</v>
      </c>
      <c r="E820" s="1" t="s">
        <v>7450</v>
      </c>
      <c r="F820" s="1" t="s">
        <v>7823</v>
      </c>
      <c r="G820" s="1" t="s">
        <v>14129</v>
      </c>
      <c r="H820" s="1" t="s">
        <v>14532</v>
      </c>
      <c r="I820" s="1" t="s">
        <v>14934</v>
      </c>
      <c r="J820" s="1" t="s">
        <v>23</v>
      </c>
      <c r="K820" s="1"/>
      <c r="L820" s="1" t="s">
        <v>7452</v>
      </c>
      <c r="M820" s="1" t="s">
        <v>7824</v>
      </c>
      <c r="N820" s="1" t="s">
        <v>7825</v>
      </c>
      <c r="O820" s="1" t="s">
        <v>7540</v>
      </c>
      <c r="P820" s="1" t="s">
        <v>7541</v>
      </c>
      <c r="Q820" s="1" t="s">
        <v>7542</v>
      </c>
      <c r="R820" s="1" t="s">
        <v>7543</v>
      </c>
      <c r="S820" s="1" t="s">
        <v>7544</v>
      </c>
      <c r="T820" s="1" t="s">
        <v>7545</v>
      </c>
      <c r="U820">
        <v>2594.86</v>
      </c>
      <c r="V820">
        <v>1786.54</v>
      </c>
      <c r="W820">
        <v>16.451485000000002</v>
      </c>
      <c r="X820">
        <v>107.57438</v>
      </c>
      <c r="Y820">
        <v>808.32</v>
      </c>
      <c r="Z820">
        <v>16.430464000000001</v>
      </c>
      <c r="AA820">
        <v>107.58719000000001</v>
      </c>
      <c r="AB820" s="5">
        <f t="shared" si="73"/>
        <v>2.6798099999999998</v>
      </c>
      <c r="AC820" s="5">
        <f t="shared" si="74"/>
        <v>1.21248</v>
      </c>
      <c r="AD820" s="1" t="str">
        <f t="shared" si="75"/>
        <v>Ring 3 PC10</v>
      </c>
      <c r="AE820" s="1" t="str">
        <f t="shared" si="76"/>
        <v>PC11</v>
      </c>
      <c r="AG820">
        <f t="shared" si="77"/>
        <v>1.78654</v>
      </c>
      <c r="AH820">
        <f t="shared" si="78"/>
        <v>0.80832000000000004</v>
      </c>
      <c r="AI820" t="e">
        <f>VLOOKUP(L820,'[1]Tuyến cáp H04'!$B:$E,3,0)/1000</f>
        <v>#N/A</v>
      </c>
      <c r="AJ820" t="e">
        <f>VLOOKUP(L820,'[1]Tuyến cáp H04'!$B:$E,4,0)</f>
        <v>#N/A</v>
      </c>
    </row>
    <row r="821" spans="1:36" x14ac:dyDescent="0.25">
      <c r="A821" s="1" t="s">
        <v>7505</v>
      </c>
      <c r="B821" s="1" t="s">
        <v>7506</v>
      </c>
      <c r="C821" s="1" t="s">
        <v>7507</v>
      </c>
      <c r="D821" s="1" t="s">
        <v>6989</v>
      </c>
      <c r="E821" s="1" t="s">
        <v>6990</v>
      </c>
      <c r="F821" s="1" t="s">
        <v>7826</v>
      </c>
      <c r="G821" s="1" t="s">
        <v>14129</v>
      </c>
      <c r="H821" s="1" t="s">
        <v>14532</v>
      </c>
      <c r="I821" s="1" t="s">
        <v>14935</v>
      </c>
      <c r="J821" s="1" t="s">
        <v>23</v>
      </c>
      <c r="K821" s="1"/>
      <c r="L821" s="1" t="s">
        <v>7509</v>
      </c>
      <c r="M821" s="1" t="s">
        <v>7510</v>
      </c>
      <c r="N821" s="1" t="s">
        <v>7511</v>
      </c>
      <c r="O821" s="1" t="s">
        <v>7512</v>
      </c>
      <c r="P821" s="1" t="s">
        <v>7513</v>
      </c>
      <c r="Q821" s="1" t="s">
        <v>7514</v>
      </c>
      <c r="R821" s="1" t="s">
        <v>7515</v>
      </c>
      <c r="S821" s="1" t="s">
        <v>7516</v>
      </c>
      <c r="T821" s="1" t="s">
        <v>7517</v>
      </c>
      <c r="U821">
        <v>5064.17</v>
      </c>
      <c r="V821">
        <v>5010.4399999999996</v>
      </c>
      <c r="W821">
        <v>16.579530999999999</v>
      </c>
      <c r="X821">
        <v>107.513243</v>
      </c>
      <c r="Y821">
        <v>53.73</v>
      </c>
      <c r="Z821">
        <v>16.569082999999999</v>
      </c>
      <c r="AA821">
        <v>107.513955</v>
      </c>
      <c r="AB821" s="5">
        <f t="shared" si="73"/>
        <v>7.5156599999999996</v>
      </c>
      <c r="AC821" s="5">
        <f t="shared" si="74"/>
        <v>8.0595E-2</v>
      </c>
      <c r="AD821" s="1" t="str">
        <f t="shared" si="75"/>
        <v>Ring 3_Phong Dinh</v>
      </c>
      <c r="AE821" s="1" t="str">
        <f t="shared" si="76"/>
        <v>TTCMKV Quảng Điền</v>
      </c>
      <c r="AG821">
        <f t="shared" si="77"/>
        <v>5.01044</v>
      </c>
      <c r="AH821">
        <f t="shared" si="78"/>
        <v>5.373E-2</v>
      </c>
      <c r="AI821" t="e">
        <f>VLOOKUP(L821,'[1]Tuyến cáp H04'!$B:$E,3,0)/1000</f>
        <v>#N/A</v>
      </c>
      <c r="AJ821" t="e">
        <f>VLOOKUP(L821,'[1]Tuyến cáp H04'!$B:$E,4,0)</f>
        <v>#N/A</v>
      </c>
    </row>
    <row r="822" spans="1:36" x14ac:dyDescent="0.25">
      <c r="A822" s="1" t="s">
        <v>7827</v>
      </c>
      <c r="B822" s="1" t="s">
        <v>7828</v>
      </c>
      <c r="C822" s="1" t="s">
        <v>7829</v>
      </c>
      <c r="D822" s="1" t="s">
        <v>6962</v>
      </c>
      <c r="E822" s="1" t="s">
        <v>6963</v>
      </c>
      <c r="F822" s="1" t="s">
        <v>7830</v>
      </c>
      <c r="G822" s="1" t="s">
        <v>14129</v>
      </c>
      <c r="H822" s="1" t="s">
        <v>14532</v>
      </c>
      <c r="I822" s="1" t="s">
        <v>14936</v>
      </c>
      <c r="J822" s="1" t="s">
        <v>23</v>
      </c>
      <c r="K822" s="1"/>
      <c r="L822" s="1" t="s">
        <v>7093</v>
      </c>
      <c r="M822" s="1" t="s">
        <v>7831</v>
      </c>
      <c r="N822" s="1" t="s">
        <v>7832</v>
      </c>
      <c r="O822" s="1" t="s">
        <v>7135</v>
      </c>
      <c r="P822" s="1" t="s">
        <v>7136</v>
      </c>
      <c r="Q822" s="1" t="s">
        <v>7618</v>
      </c>
      <c r="R822" s="1" t="s">
        <v>7132</v>
      </c>
      <c r="S822" s="1" t="s">
        <v>7133</v>
      </c>
      <c r="T822" s="1" t="s">
        <v>7101</v>
      </c>
      <c r="U822">
        <v>3946.6</v>
      </c>
      <c r="V822">
        <v>3665.05</v>
      </c>
      <c r="W822">
        <v>16.398534999999999</v>
      </c>
      <c r="X822">
        <v>107.617428</v>
      </c>
      <c r="Y822">
        <v>281.56</v>
      </c>
      <c r="Z822">
        <v>16.410385999999999</v>
      </c>
      <c r="AA822">
        <v>107.679068</v>
      </c>
      <c r="AB822" s="5">
        <f t="shared" si="73"/>
        <v>5.4975750000000003</v>
      </c>
      <c r="AC822" s="5">
        <f t="shared" si="74"/>
        <v>0.42234000000000005</v>
      </c>
      <c r="AD822" s="1" t="str">
        <f t="shared" si="75"/>
        <v>Ring 12_Bình Điền</v>
      </c>
      <c r="AE822" s="1" t="str">
        <f t="shared" si="76"/>
        <v>TTCMKV Hương Thủy</v>
      </c>
      <c r="AG822">
        <f t="shared" si="77"/>
        <v>3.6650500000000004</v>
      </c>
      <c r="AH822">
        <f t="shared" si="78"/>
        <v>0.28155999999999998</v>
      </c>
      <c r="AI822" t="e">
        <f>VLOOKUP(L822,'[1]Tuyến cáp H04'!$B:$E,3,0)/1000</f>
        <v>#N/A</v>
      </c>
      <c r="AJ822" t="e">
        <f>VLOOKUP(L822,'[1]Tuyến cáp H04'!$B:$E,4,0)</f>
        <v>#N/A</v>
      </c>
    </row>
    <row r="823" spans="1:36" x14ac:dyDescent="0.25">
      <c r="A823" s="1" t="s">
        <v>7833</v>
      </c>
      <c r="B823" s="1" t="s">
        <v>7834</v>
      </c>
      <c r="C823" s="1" t="s">
        <v>7835</v>
      </c>
      <c r="D823" s="1" t="s">
        <v>7017</v>
      </c>
      <c r="E823" s="1" t="s">
        <v>7018</v>
      </c>
      <c r="F823" s="1" t="s">
        <v>7836</v>
      </c>
      <c r="G823" s="1" t="s">
        <v>14129</v>
      </c>
      <c r="H823" s="1" t="s">
        <v>14532</v>
      </c>
      <c r="I823" s="1" t="s">
        <v>14937</v>
      </c>
      <c r="J823" s="1" t="s">
        <v>23</v>
      </c>
      <c r="K823" s="1"/>
      <c r="L823" s="1" t="s">
        <v>7478</v>
      </c>
      <c r="M823" s="1" t="s">
        <v>7837</v>
      </c>
      <c r="N823" s="1" t="s">
        <v>7838</v>
      </c>
      <c r="O823" s="1" t="s">
        <v>7502</v>
      </c>
      <c r="P823" s="1" t="s">
        <v>7503</v>
      </c>
      <c r="Q823" s="1" t="s">
        <v>7498</v>
      </c>
      <c r="R823" s="1" t="s">
        <v>7499</v>
      </c>
      <c r="S823" s="1" t="s">
        <v>7500</v>
      </c>
      <c r="T823" s="1" t="s">
        <v>7504</v>
      </c>
      <c r="U823">
        <v>1134.9000000000001</v>
      </c>
      <c r="V823">
        <v>1113.51</v>
      </c>
      <c r="W823">
        <v>16.479980000000001</v>
      </c>
      <c r="X823">
        <v>107.585702</v>
      </c>
      <c r="Y823">
        <v>21.39</v>
      </c>
      <c r="Z823">
        <v>16.487358</v>
      </c>
      <c r="AA823">
        <v>107.587509</v>
      </c>
      <c r="AB823" s="5">
        <f t="shared" si="73"/>
        <v>1.6702649999999999</v>
      </c>
      <c r="AC823" s="5">
        <f t="shared" si="74"/>
        <v>3.2085000000000002E-2</v>
      </c>
      <c r="AD823" s="1" t="str">
        <f t="shared" si="75"/>
        <v>PC04 (trung tâm cái nghiện)</v>
      </c>
      <c r="AE823" s="1" t="str">
        <f t="shared" si="76"/>
        <v>Phú Xuân</v>
      </c>
      <c r="AG823">
        <f t="shared" si="77"/>
        <v>1.11351</v>
      </c>
      <c r="AH823">
        <f t="shared" si="78"/>
        <v>2.1389999999999999E-2</v>
      </c>
      <c r="AI823">
        <f>VLOOKUP(L823,'[1]Tuyến cáp H04'!$B:$E,3,0)/1000</f>
        <v>13.4</v>
      </c>
      <c r="AJ823" t="str">
        <f>VLOOKUP(L823,'[1]Tuyến cáp H04'!$B:$E,4,0)</f>
        <v>Mạng cấp 3</v>
      </c>
    </row>
    <row r="824" spans="1:36" x14ac:dyDescent="0.25">
      <c r="A824" s="1" t="s">
        <v>7839</v>
      </c>
      <c r="B824" s="1" t="s">
        <v>7840</v>
      </c>
      <c r="C824" s="1" t="s">
        <v>7841</v>
      </c>
      <c r="D824" s="1" t="s">
        <v>6989</v>
      </c>
      <c r="E824" s="1" t="s">
        <v>6990</v>
      </c>
      <c r="F824" s="1" t="s">
        <v>7842</v>
      </c>
      <c r="G824" s="1" t="s">
        <v>14129</v>
      </c>
      <c r="H824" s="1" t="s">
        <v>14532</v>
      </c>
      <c r="I824" s="1" t="s">
        <v>14938</v>
      </c>
      <c r="J824" s="1" t="s">
        <v>23</v>
      </c>
      <c r="K824" s="1"/>
      <c r="L824" s="1" t="s">
        <v>7509</v>
      </c>
      <c r="M824" s="1" t="s">
        <v>7843</v>
      </c>
      <c r="N824" s="1" t="s">
        <v>7844</v>
      </c>
      <c r="O824" s="1" t="s">
        <v>7845</v>
      </c>
      <c r="P824" s="1" t="s">
        <v>7846</v>
      </c>
      <c r="Q824" s="1" t="s">
        <v>7811</v>
      </c>
      <c r="R824" s="1" t="s">
        <v>7812</v>
      </c>
      <c r="S824" s="1" t="s">
        <v>7813</v>
      </c>
      <c r="T824" s="1" t="s">
        <v>7517</v>
      </c>
      <c r="U824">
        <v>1446.38</v>
      </c>
      <c r="V824">
        <v>185.98</v>
      </c>
      <c r="W824">
        <v>16.612981000000001</v>
      </c>
      <c r="X824">
        <v>107.465622</v>
      </c>
      <c r="Y824">
        <v>1260.4000000000001</v>
      </c>
      <c r="Z824">
        <v>16.580074</v>
      </c>
      <c r="AA824">
        <v>107.513431</v>
      </c>
      <c r="AB824" s="5">
        <f t="shared" si="73"/>
        <v>0.27897</v>
      </c>
      <c r="AC824" s="5">
        <f t="shared" si="74"/>
        <v>1.8906000000000001</v>
      </c>
      <c r="AD824" s="1" t="str">
        <f t="shared" si="75"/>
        <v>Ring 3_Phong Dinh</v>
      </c>
      <c r="AE824" s="1" t="str">
        <f t="shared" si="76"/>
        <v>TTCMKV Quảng Điền</v>
      </c>
      <c r="AG824">
        <f t="shared" si="77"/>
        <v>0.18597999999999998</v>
      </c>
      <c r="AH824">
        <f t="shared" si="78"/>
        <v>1.2604000000000002</v>
      </c>
      <c r="AI824" t="e">
        <f>VLOOKUP(L824,'[1]Tuyến cáp H04'!$B:$E,3,0)/1000</f>
        <v>#N/A</v>
      </c>
      <c r="AJ824" t="e">
        <f>VLOOKUP(L824,'[1]Tuyến cáp H04'!$B:$E,4,0)</f>
        <v>#N/A</v>
      </c>
    </row>
    <row r="825" spans="1:36" x14ac:dyDescent="0.25">
      <c r="A825" s="1" t="s">
        <v>7847</v>
      </c>
      <c r="B825" s="1" t="s">
        <v>7848</v>
      </c>
      <c r="C825" s="1" t="s">
        <v>7849</v>
      </c>
      <c r="D825" s="1" t="s">
        <v>7166</v>
      </c>
      <c r="E825" s="1" t="s">
        <v>7167</v>
      </c>
      <c r="F825" s="1" t="s">
        <v>7850</v>
      </c>
      <c r="G825" s="1" t="s">
        <v>14129</v>
      </c>
      <c r="H825" s="1" t="s">
        <v>14532</v>
      </c>
      <c r="I825" s="1" t="s">
        <v>14939</v>
      </c>
      <c r="J825" s="1" t="s">
        <v>23</v>
      </c>
      <c r="K825" s="1"/>
      <c r="L825" s="1" t="s">
        <v>7171</v>
      </c>
      <c r="M825" s="1" t="s">
        <v>7851</v>
      </c>
      <c r="N825" s="1" t="s">
        <v>7852</v>
      </c>
      <c r="O825" s="1" t="s">
        <v>7853</v>
      </c>
      <c r="P825" s="1" t="s">
        <v>7854</v>
      </c>
      <c r="Q825" s="1" t="s">
        <v>7173</v>
      </c>
      <c r="R825" s="1" t="s">
        <v>7174</v>
      </c>
      <c r="S825" s="1" t="s">
        <v>7175</v>
      </c>
      <c r="T825" s="1" t="s">
        <v>7179</v>
      </c>
      <c r="U825">
        <v>2398.4299999999998</v>
      </c>
      <c r="V825">
        <v>2322.56</v>
      </c>
      <c r="W825">
        <v>16.527670000000001</v>
      </c>
      <c r="X825">
        <v>107.465991</v>
      </c>
      <c r="Y825">
        <v>75.87</v>
      </c>
      <c r="Z825">
        <v>16.523371000000001</v>
      </c>
      <c r="AA825">
        <v>107.47460100000001</v>
      </c>
      <c r="AB825" s="5">
        <f t="shared" si="73"/>
        <v>3.4838400000000003</v>
      </c>
      <c r="AC825" s="5">
        <f t="shared" si="74"/>
        <v>0.113805</v>
      </c>
      <c r="AD825" s="1" t="str">
        <f t="shared" si="75"/>
        <v>Ring 5 Phong Thái</v>
      </c>
      <c r="AE825" s="1" t="str">
        <f t="shared" si="76"/>
        <v>Hương Trà</v>
      </c>
      <c r="AG825">
        <f t="shared" si="77"/>
        <v>2.3225599999999997</v>
      </c>
      <c r="AH825">
        <f t="shared" si="78"/>
        <v>7.5870000000000007E-2</v>
      </c>
      <c r="AI825" t="e">
        <f>VLOOKUP(L825,'[1]Tuyến cáp H04'!$B:$E,3,0)/1000</f>
        <v>#N/A</v>
      </c>
      <c r="AJ825" t="e">
        <f>VLOOKUP(L825,'[1]Tuyến cáp H04'!$B:$E,4,0)</f>
        <v>#N/A</v>
      </c>
    </row>
    <row r="826" spans="1:36" x14ac:dyDescent="0.25">
      <c r="A826" s="1" t="s">
        <v>7855</v>
      </c>
      <c r="B826" s="1" t="s">
        <v>7856</v>
      </c>
      <c r="C826" s="1" t="s">
        <v>7857</v>
      </c>
      <c r="D826" s="1" t="s">
        <v>7360</v>
      </c>
      <c r="E826" s="1" t="s">
        <v>7361</v>
      </c>
      <c r="F826" s="1" t="s">
        <v>7858</v>
      </c>
      <c r="G826" s="1" t="s">
        <v>14129</v>
      </c>
      <c r="H826" s="1" t="s">
        <v>14532</v>
      </c>
      <c r="I826" s="1" t="s">
        <v>14940</v>
      </c>
      <c r="J826" s="1" t="s">
        <v>23</v>
      </c>
      <c r="K826" s="1"/>
      <c r="L826" s="1" t="s">
        <v>7363</v>
      </c>
      <c r="M826" s="1" t="s">
        <v>7859</v>
      </c>
      <c r="N826" s="1" t="s">
        <v>7860</v>
      </c>
      <c r="O826" s="1" t="s">
        <v>7861</v>
      </c>
      <c r="P826" s="1" t="s">
        <v>7862</v>
      </c>
      <c r="Q826" s="1" t="s">
        <v>7365</v>
      </c>
      <c r="R826" s="1" t="s">
        <v>7366</v>
      </c>
      <c r="S826" s="1" t="s">
        <v>7367</v>
      </c>
      <c r="T826" s="1" t="s">
        <v>7371</v>
      </c>
      <c r="U826">
        <v>1649.43</v>
      </c>
      <c r="V826">
        <v>1189.8699999999999</v>
      </c>
      <c r="W826">
        <v>16.433596999999999</v>
      </c>
      <c r="X826">
        <v>107.57081700000001</v>
      </c>
      <c r="Y826">
        <v>459.56</v>
      </c>
      <c r="Z826">
        <v>16.442993000000001</v>
      </c>
      <c r="AA826">
        <v>107.540175</v>
      </c>
      <c r="AB826" s="5">
        <f t="shared" si="73"/>
        <v>1.7848049999999998</v>
      </c>
      <c r="AC826" s="5">
        <f t="shared" si="74"/>
        <v>0.68934000000000006</v>
      </c>
      <c r="AD826" s="1" t="str">
        <f t="shared" si="75"/>
        <v>Ring 11 CAT Thừa Thiên Huế</v>
      </c>
      <c r="AE826" s="1" t="str">
        <f t="shared" si="76"/>
        <v>Thủy Xuân</v>
      </c>
      <c r="AG826">
        <f t="shared" si="77"/>
        <v>1.18987</v>
      </c>
      <c r="AH826">
        <f t="shared" si="78"/>
        <v>0.45956000000000002</v>
      </c>
      <c r="AI826" t="e">
        <f>VLOOKUP(L826,'[1]Tuyến cáp H04'!$B:$E,3,0)/1000</f>
        <v>#N/A</v>
      </c>
      <c r="AJ826" t="e">
        <f>VLOOKUP(L826,'[1]Tuyến cáp H04'!$B:$E,4,0)</f>
        <v>#N/A</v>
      </c>
    </row>
    <row r="827" spans="1:36" x14ac:dyDescent="0.25">
      <c r="A827" s="1" t="s">
        <v>7863</v>
      </c>
      <c r="B827" s="1" t="s">
        <v>7864</v>
      </c>
      <c r="C827" s="1" t="s">
        <v>7865</v>
      </c>
      <c r="D827" s="1" t="s">
        <v>6989</v>
      </c>
      <c r="E827" s="1" t="s">
        <v>6990</v>
      </c>
      <c r="F827" s="1" t="s">
        <v>7866</v>
      </c>
      <c r="G827" s="1" t="s">
        <v>14129</v>
      </c>
      <c r="H827" s="1" t="s">
        <v>14532</v>
      </c>
      <c r="I827" s="1" t="s">
        <v>14941</v>
      </c>
      <c r="J827" s="1" t="s">
        <v>23</v>
      </c>
      <c r="K827" s="1"/>
      <c r="L827" s="1" t="s">
        <v>6980</v>
      </c>
      <c r="M827" s="1" t="s">
        <v>7867</v>
      </c>
      <c r="N827" s="1" t="s">
        <v>7868</v>
      </c>
      <c r="O827" s="1" t="s">
        <v>7201</v>
      </c>
      <c r="P827" s="1" t="s">
        <v>7202</v>
      </c>
      <c r="Q827" s="1" t="s">
        <v>7566</v>
      </c>
      <c r="R827" s="1" t="s">
        <v>7567</v>
      </c>
      <c r="S827" s="1" t="s">
        <v>7568</v>
      </c>
      <c r="T827" s="1" t="s">
        <v>6985</v>
      </c>
      <c r="U827">
        <v>5727.86</v>
      </c>
      <c r="V827">
        <v>5658.25</v>
      </c>
      <c r="W827">
        <v>16.491365999999999</v>
      </c>
      <c r="X827">
        <v>107.521095</v>
      </c>
      <c r="Y827">
        <v>69.61</v>
      </c>
      <c r="Z827">
        <v>16.568549999999998</v>
      </c>
      <c r="AA827">
        <v>107.514222</v>
      </c>
      <c r="AB827" s="5">
        <f t="shared" si="73"/>
        <v>8.4873750000000001</v>
      </c>
      <c r="AC827" s="5">
        <f t="shared" si="74"/>
        <v>0.10441499999999999</v>
      </c>
      <c r="AD827" s="1" t="str">
        <f t="shared" si="75"/>
        <v>Ring 6 TTCMKV Quảng Điền</v>
      </c>
      <c r="AE827" s="1" t="str">
        <f t="shared" si="76"/>
        <v>Kim Trà</v>
      </c>
      <c r="AG827">
        <f t="shared" si="77"/>
        <v>5.6582499999999998</v>
      </c>
      <c r="AH827">
        <f t="shared" si="78"/>
        <v>6.9610000000000005E-2</v>
      </c>
      <c r="AI827" t="e">
        <f>VLOOKUP(L827,'[1]Tuyến cáp H04'!$B:$E,3,0)/1000</f>
        <v>#N/A</v>
      </c>
      <c r="AJ827" t="e">
        <f>VLOOKUP(L827,'[1]Tuyến cáp H04'!$B:$E,4,0)</f>
        <v>#N/A</v>
      </c>
    </row>
    <row r="828" spans="1:36" x14ac:dyDescent="0.25">
      <c r="A828" s="1" t="s">
        <v>7869</v>
      </c>
      <c r="B828" s="1" t="s">
        <v>7870</v>
      </c>
      <c r="C828" s="1" t="s">
        <v>7871</v>
      </c>
      <c r="D828" s="1" t="s">
        <v>6962</v>
      </c>
      <c r="E828" s="1" t="s">
        <v>6963</v>
      </c>
      <c r="F828" s="1" t="s">
        <v>7872</v>
      </c>
      <c r="G828" s="1" t="s">
        <v>14129</v>
      </c>
      <c r="H828" s="1" t="s">
        <v>14532</v>
      </c>
      <c r="I828" s="1" t="s">
        <v>14942</v>
      </c>
      <c r="J828" s="1" t="s">
        <v>23</v>
      </c>
      <c r="K828" s="1"/>
      <c r="L828" s="1" t="s">
        <v>7350</v>
      </c>
      <c r="M828" s="1" t="s">
        <v>7873</v>
      </c>
      <c r="N828" s="1" t="s">
        <v>7874</v>
      </c>
      <c r="O828" s="1" t="s">
        <v>7875</v>
      </c>
      <c r="P828" s="1" t="s">
        <v>7876</v>
      </c>
      <c r="Q828" s="1" t="s">
        <v>7352</v>
      </c>
      <c r="R828" s="1" t="s">
        <v>7353</v>
      </c>
      <c r="S828" s="1" t="s">
        <v>7354</v>
      </c>
      <c r="T828" s="1" t="s">
        <v>7358</v>
      </c>
      <c r="U828">
        <v>1843.49</v>
      </c>
      <c r="V828">
        <v>1774.82</v>
      </c>
      <c r="W828">
        <v>16.436325</v>
      </c>
      <c r="X828">
        <v>107.608712</v>
      </c>
      <c r="Y828">
        <v>68.680000000000007</v>
      </c>
      <c r="Z828">
        <v>16.408670999999998</v>
      </c>
      <c r="AA828">
        <v>107.681068</v>
      </c>
      <c r="AB828" s="5">
        <f t="shared" si="73"/>
        <v>2.6622300000000001</v>
      </c>
      <c r="AC828" s="5">
        <f t="shared" si="74"/>
        <v>0.10302000000000001</v>
      </c>
      <c r="AD828" s="1" t="str">
        <f t="shared" si="75"/>
        <v>Ring 11 "Thủy Xuân</v>
      </c>
      <c r="AE828" s="1" t="str">
        <f t="shared" si="76"/>
        <v>TTCMKV TX Hương
Thủy"</v>
      </c>
      <c r="AG828">
        <f t="shared" si="77"/>
        <v>1.7748199999999998</v>
      </c>
      <c r="AH828">
        <f t="shared" si="78"/>
        <v>6.8680000000000005E-2</v>
      </c>
      <c r="AI828" t="e">
        <f>VLOOKUP(L828,'[1]Tuyến cáp H04'!$B:$E,3,0)/1000</f>
        <v>#N/A</v>
      </c>
      <c r="AJ828" t="e">
        <f>VLOOKUP(L828,'[1]Tuyến cáp H04'!$B:$E,4,0)</f>
        <v>#N/A</v>
      </c>
    </row>
    <row r="829" spans="1:36" x14ac:dyDescent="0.25">
      <c r="A829" s="1" t="s">
        <v>7877</v>
      </c>
      <c r="B829" s="1" t="s">
        <v>7878</v>
      </c>
      <c r="C829" s="1" t="s">
        <v>7879</v>
      </c>
      <c r="D829" s="1" t="s">
        <v>6989</v>
      </c>
      <c r="E829" s="1" t="s">
        <v>6990</v>
      </c>
      <c r="F829" s="1" t="s">
        <v>7880</v>
      </c>
      <c r="G829" s="1" t="s">
        <v>14129</v>
      </c>
      <c r="H829" s="1" t="s">
        <v>14532</v>
      </c>
      <c r="I829" s="1" t="s">
        <v>14943</v>
      </c>
      <c r="J829" s="1" t="s">
        <v>23</v>
      </c>
      <c r="K829" s="1"/>
      <c r="L829" s="1" t="s">
        <v>6980</v>
      </c>
      <c r="M829" s="1" t="s">
        <v>7881</v>
      </c>
      <c r="N829" s="1" t="s">
        <v>7882</v>
      </c>
      <c r="O829" s="1" t="s">
        <v>7201</v>
      </c>
      <c r="P829" s="1" t="s">
        <v>7202</v>
      </c>
      <c r="Q829" s="1" t="s">
        <v>7566</v>
      </c>
      <c r="R829" s="1" t="s">
        <v>7567</v>
      </c>
      <c r="S829" s="1" t="s">
        <v>7568</v>
      </c>
      <c r="T829" s="1" t="s">
        <v>6985</v>
      </c>
      <c r="U829">
        <v>5398.5</v>
      </c>
      <c r="V829">
        <v>5328.89</v>
      </c>
      <c r="W829">
        <v>16.491365999999999</v>
      </c>
      <c r="X829">
        <v>107.521095</v>
      </c>
      <c r="Y829">
        <v>69.61</v>
      </c>
      <c r="Z829">
        <v>16.568549999999998</v>
      </c>
      <c r="AA829">
        <v>107.514222</v>
      </c>
      <c r="AB829" s="5">
        <f t="shared" si="73"/>
        <v>7.993335000000001</v>
      </c>
      <c r="AC829" s="5">
        <f t="shared" si="74"/>
        <v>0.10441499999999999</v>
      </c>
      <c r="AD829" s="1" t="str">
        <f t="shared" si="75"/>
        <v>Ring 6 TTCMKV Quảng Điền</v>
      </c>
      <c r="AE829" s="1" t="str">
        <f t="shared" si="76"/>
        <v>Kim Trà</v>
      </c>
      <c r="AG829">
        <f t="shared" si="77"/>
        <v>5.3288900000000003</v>
      </c>
      <c r="AH829">
        <f t="shared" si="78"/>
        <v>6.9610000000000005E-2</v>
      </c>
      <c r="AI829" t="e">
        <f>VLOOKUP(L829,'[1]Tuyến cáp H04'!$B:$E,3,0)/1000</f>
        <v>#N/A</v>
      </c>
      <c r="AJ829" t="e">
        <f>VLOOKUP(L829,'[1]Tuyến cáp H04'!$B:$E,4,0)</f>
        <v>#N/A</v>
      </c>
    </row>
    <row r="830" spans="1:36" x14ac:dyDescent="0.25">
      <c r="A830" s="1" t="s">
        <v>7883</v>
      </c>
      <c r="B830" s="1" t="s">
        <v>7884</v>
      </c>
      <c r="C830" s="1" t="s">
        <v>7885</v>
      </c>
      <c r="D830" s="1" t="s">
        <v>7045</v>
      </c>
      <c r="E830" s="1" t="s">
        <v>7046</v>
      </c>
      <c r="F830" s="1" t="s">
        <v>7886</v>
      </c>
      <c r="G830" s="1" t="s">
        <v>14129</v>
      </c>
      <c r="H830" s="1" t="s">
        <v>14532</v>
      </c>
      <c r="I830" s="1" t="s">
        <v>14944</v>
      </c>
      <c r="J830" s="1" t="s">
        <v>23</v>
      </c>
      <c r="K830" s="1"/>
      <c r="L830" s="1" t="s">
        <v>7050</v>
      </c>
      <c r="M830" s="1" t="s">
        <v>7887</v>
      </c>
      <c r="N830" s="1" t="s">
        <v>7888</v>
      </c>
      <c r="O830" s="1" t="s">
        <v>7889</v>
      </c>
      <c r="P830" s="1" t="s">
        <v>7890</v>
      </c>
      <c r="Q830" s="1" t="s">
        <v>7052</v>
      </c>
      <c r="R830" s="1" t="s">
        <v>7053</v>
      </c>
      <c r="S830" s="1" t="s">
        <v>7054</v>
      </c>
      <c r="T830" s="1" t="s">
        <v>7058</v>
      </c>
      <c r="U830">
        <v>146.82</v>
      </c>
      <c r="V830">
        <v>132.85</v>
      </c>
      <c r="W830">
        <v>16.481052999999999</v>
      </c>
      <c r="X830">
        <v>107.598243</v>
      </c>
      <c r="Y830">
        <v>13.97</v>
      </c>
      <c r="Z830">
        <v>16.475570999999999</v>
      </c>
      <c r="AA830">
        <v>107.60319</v>
      </c>
      <c r="AB830" s="5">
        <f t="shared" si="73"/>
        <v>0.19927499999999998</v>
      </c>
      <c r="AC830" s="5">
        <f t="shared" si="74"/>
        <v>2.0955000000000001E-2</v>
      </c>
      <c r="AD830" s="1" t="str">
        <f t="shared" si="75"/>
        <v>Ring 3 PA07</v>
      </c>
      <c r="AE830" s="1" t="str">
        <f t="shared" si="76"/>
        <v>PC01</v>
      </c>
      <c r="AG830">
        <f t="shared" si="77"/>
        <v>0.13285</v>
      </c>
      <c r="AH830">
        <f t="shared" si="78"/>
        <v>1.397E-2</v>
      </c>
      <c r="AI830" t="e">
        <f>VLOOKUP(L830,'[1]Tuyến cáp H04'!$B:$E,3,0)/1000</f>
        <v>#N/A</v>
      </c>
      <c r="AJ830" t="e">
        <f>VLOOKUP(L830,'[1]Tuyến cáp H04'!$B:$E,4,0)</f>
        <v>#N/A</v>
      </c>
    </row>
    <row r="831" spans="1:36" x14ac:dyDescent="0.25">
      <c r="A831" s="1" t="s">
        <v>7891</v>
      </c>
      <c r="B831" s="1" t="s">
        <v>7892</v>
      </c>
      <c r="C831" s="1" t="s">
        <v>7893</v>
      </c>
      <c r="D831" s="1" t="s">
        <v>6917</v>
      </c>
      <c r="E831" s="1" t="s">
        <v>6918</v>
      </c>
      <c r="F831" s="1" t="s">
        <v>7894</v>
      </c>
      <c r="G831" s="1" t="s">
        <v>14129</v>
      </c>
      <c r="H831" s="1" t="s">
        <v>14532</v>
      </c>
      <c r="I831" s="1" t="s">
        <v>14945</v>
      </c>
      <c r="J831" s="1" t="s">
        <v>23</v>
      </c>
      <c r="K831" s="1"/>
      <c r="L831" s="1" t="s">
        <v>7065</v>
      </c>
      <c r="M831" s="1" t="s">
        <v>7895</v>
      </c>
      <c r="N831" s="1" t="s">
        <v>7896</v>
      </c>
      <c r="O831" s="1" t="s">
        <v>7071</v>
      </c>
      <c r="P831" s="1" t="s">
        <v>7072</v>
      </c>
      <c r="Q831" s="1" t="s">
        <v>7445</v>
      </c>
      <c r="R831" s="1" t="s">
        <v>7446</v>
      </c>
      <c r="S831" s="1" t="s">
        <v>7447</v>
      </c>
      <c r="T831" s="1" t="s">
        <v>7073</v>
      </c>
      <c r="U831">
        <v>2614.8200000000002</v>
      </c>
      <c r="V831">
        <v>790.6</v>
      </c>
      <c r="W831">
        <v>16.457075</v>
      </c>
      <c r="X831">
        <v>107.600076</v>
      </c>
      <c r="Y831">
        <v>1824.23</v>
      </c>
      <c r="Z831">
        <v>16.460649</v>
      </c>
      <c r="AA831">
        <v>107.624078</v>
      </c>
      <c r="AB831" s="5">
        <f t="shared" si="73"/>
        <v>1.1859000000000002</v>
      </c>
      <c r="AC831" s="5">
        <f t="shared" si="74"/>
        <v>2.7363450000000005</v>
      </c>
      <c r="AD831" s="1" t="str">
        <f t="shared" si="75"/>
        <v>TTCMKV_Ring 2_Phong Điền</v>
      </c>
      <c r="AE831" s="1" t="str">
        <f t="shared" si="76"/>
        <v>CAT Huế mới</v>
      </c>
      <c r="AG831">
        <f t="shared" si="77"/>
        <v>0.79059999999999997</v>
      </c>
      <c r="AH831">
        <f t="shared" si="78"/>
        <v>1.82423</v>
      </c>
      <c r="AI831" t="e">
        <f>VLOOKUP(L831,'[1]Tuyến cáp H04'!$B:$E,3,0)/1000</f>
        <v>#N/A</v>
      </c>
      <c r="AJ831" t="e">
        <f>VLOOKUP(L831,'[1]Tuyến cáp H04'!$B:$E,4,0)</f>
        <v>#N/A</v>
      </c>
    </row>
    <row r="832" spans="1:36" x14ac:dyDescent="0.25">
      <c r="A832" s="1" t="s">
        <v>7897</v>
      </c>
      <c r="B832" s="1" t="s">
        <v>7898</v>
      </c>
      <c r="C832" s="1" t="s">
        <v>7899</v>
      </c>
      <c r="D832" s="1" t="s">
        <v>7045</v>
      </c>
      <c r="E832" s="1" t="s">
        <v>7046</v>
      </c>
      <c r="F832" s="1" t="s">
        <v>7900</v>
      </c>
      <c r="G832" s="1" t="s">
        <v>14129</v>
      </c>
      <c r="H832" s="1" t="s">
        <v>14532</v>
      </c>
      <c r="I832" s="1" t="s">
        <v>14946</v>
      </c>
      <c r="J832" s="1" t="s">
        <v>23</v>
      </c>
      <c r="K832" s="1"/>
      <c r="L832" s="1" t="s">
        <v>7050</v>
      </c>
      <c r="M832" s="1" t="s">
        <v>7901</v>
      </c>
      <c r="N832" s="1" t="s">
        <v>7902</v>
      </c>
      <c r="O832" s="1" t="s">
        <v>7729</v>
      </c>
      <c r="P832" s="1" t="s">
        <v>7730</v>
      </c>
      <c r="Q832" s="1" t="s">
        <v>7052</v>
      </c>
      <c r="R832" s="1" t="s">
        <v>7053</v>
      </c>
      <c r="S832" s="1" t="s">
        <v>7054</v>
      </c>
      <c r="T832" s="1" t="s">
        <v>7058</v>
      </c>
      <c r="U832">
        <v>436.6</v>
      </c>
      <c r="V832">
        <v>422.63</v>
      </c>
      <c r="W832">
        <v>16.478684000000001</v>
      </c>
      <c r="X832">
        <v>107.598051</v>
      </c>
      <c r="Y832">
        <v>13.97</v>
      </c>
      <c r="Z832">
        <v>16.475570999999999</v>
      </c>
      <c r="AA832">
        <v>107.60319</v>
      </c>
      <c r="AB832" s="5">
        <f t="shared" si="73"/>
        <v>0.63394499999999998</v>
      </c>
      <c r="AC832" s="5">
        <f t="shared" si="74"/>
        <v>2.0955000000000001E-2</v>
      </c>
      <c r="AD832" s="1" t="str">
        <f t="shared" si="75"/>
        <v>Ring 3 PA07</v>
      </c>
      <c r="AE832" s="1" t="str">
        <f t="shared" si="76"/>
        <v>PC01</v>
      </c>
      <c r="AG832">
        <f t="shared" si="77"/>
        <v>0.42263000000000001</v>
      </c>
      <c r="AH832">
        <f t="shared" si="78"/>
        <v>1.397E-2</v>
      </c>
      <c r="AI832" t="e">
        <f>VLOOKUP(L832,'[1]Tuyến cáp H04'!$B:$E,3,0)/1000</f>
        <v>#N/A</v>
      </c>
      <c r="AJ832" t="e">
        <f>VLOOKUP(L832,'[1]Tuyến cáp H04'!$B:$E,4,0)</f>
        <v>#N/A</v>
      </c>
    </row>
    <row r="833" spans="1:36" x14ac:dyDescent="0.25">
      <c r="A833" s="1" t="s">
        <v>7903</v>
      </c>
      <c r="B833" s="1" t="s">
        <v>7904</v>
      </c>
      <c r="C833" s="1" t="s">
        <v>7905</v>
      </c>
      <c r="D833" s="1" t="s">
        <v>6962</v>
      </c>
      <c r="E833" s="1" t="s">
        <v>6963</v>
      </c>
      <c r="F833" s="1" t="s">
        <v>7906</v>
      </c>
      <c r="G833" s="1" t="s">
        <v>14129</v>
      </c>
      <c r="H833" s="1" t="s">
        <v>14532</v>
      </c>
      <c r="I833" s="1" t="s">
        <v>14947</v>
      </c>
      <c r="J833" s="1" t="s">
        <v>23</v>
      </c>
      <c r="K833" s="1"/>
      <c r="L833" s="1" t="s">
        <v>7907</v>
      </c>
      <c r="M833" s="1" t="s">
        <v>7908</v>
      </c>
      <c r="N833" s="1" t="s">
        <v>7909</v>
      </c>
      <c r="O833" s="1" t="s">
        <v>7910</v>
      </c>
      <c r="P833" s="1" t="s">
        <v>7911</v>
      </c>
      <c r="Q833" s="1" t="s">
        <v>7912</v>
      </c>
      <c r="R833" s="1" t="s">
        <v>7913</v>
      </c>
      <c r="S833" s="1" t="s">
        <v>7914</v>
      </c>
      <c r="T833" s="1" t="s">
        <v>7915</v>
      </c>
      <c r="U833">
        <v>5061.25</v>
      </c>
      <c r="V833">
        <v>5002</v>
      </c>
      <c r="W833">
        <v>16.335578000000002</v>
      </c>
      <c r="X833">
        <v>107.73928100000001</v>
      </c>
      <c r="Y833">
        <v>59.25</v>
      </c>
      <c r="Z833">
        <v>16.408867000000001</v>
      </c>
      <c r="AA833">
        <v>107.680966</v>
      </c>
      <c r="AB833" s="5">
        <f t="shared" si="73"/>
        <v>7.5030000000000001</v>
      </c>
      <c r="AC833" s="5">
        <f t="shared" si="74"/>
        <v>8.8874999999999996E-2</v>
      </c>
      <c r="AD833" s="1" t="e">
        <f t="shared" si="75"/>
        <v>#VALUE!</v>
      </c>
      <c r="AE833" s="1" t="e">
        <f t="shared" si="76"/>
        <v>#VALUE!</v>
      </c>
      <c r="AG833">
        <f t="shared" si="77"/>
        <v>5.0019999999999998</v>
      </c>
      <c r="AH833">
        <f t="shared" si="78"/>
        <v>5.9249999999999997E-2</v>
      </c>
      <c r="AI833" t="e">
        <f>VLOOKUP(L833,'[1]Tuyến cáp H04'!$B:$E,3,0)/1000</f>
        <v>#N/A</v>
      </c>
      <c r="AJ833" t="e">
        <f>VLOOKUP(L833,'[1]Tuyến cáp H04'!$B:$E,4,0)</f>
        <v>#N/A</v>
      </c>
    </row>
    <row r="834" spans="1:36" x14ac:dyDescent="0.25">
      <c r="A834" s="1" t="s">
        <v>7916</v>
      </c>
      <c r="B834" s="1" t="s">
        <v>7917</v>
      </c>
      <c r="C834" s="1" t="s">
        <v>7918</v>
      </c>
      <c r="D834" s="1" t="s">
        <v>6947</v>
      </c>
      <c r="E834" s="1" t="s">
        <v>6948</v>
      </c>
      <c r="F834" s="1" t="s">
        <v>7919</v>
      </c>
      <c r="G834" s="1" t="s">
        <v>14129</v>
      </c>
      <c r="H834" s="1" t="s">
        <v>14532</v>
      </c>
      <c r="I834" s="1" t="s">
        <v>14948</v>
      </c>
      <c r="J834" s="1" t="s">
        <v>23</v>
      </c>
      <c r="K834" s="1"/>
      <c r="L834" s="1" t="s">
        <v>6937</v>
      </c>
      <c r="M834" s="1" t="s">
        <v>7920</v>
      </c>
      <c r="N834" s="1" t="s">
        <v>7921</v>
      </c>
      <c r="O834" s="1" t="s">
        <v>7922</v>
      </c>
      <c r="P834" s="1" t="s">
        <v>7923</v>
      </c>
      <c r="Q834" s="1" t="s">
        <v>7924</v>
      </c>
      <c r="R834" s="1" t="s">
        <v>7925</v>
      </c>
      <c r="S834" s="1" t="s">
        <v>7926</v>
      </c>
      <c r="T834" s="1" t="s">
        <v>6945</v>
      </c>
      <c r="U834">
        <v>10224.049999999999</v>
      </c>
      <c r="V834">
        <v>1722.27</v>
      </c>
      <c r="W834">
        <v>16.387333000000002</v>
      </c>
      <c r="X834">
        <v>107.835729</v>
      </c>
      <c r="Y834">
        <v>8501.7800000000007</v>
      </c>
      <c r="Z834">
        <v>16.346129000000001</v>
      </c>
      <c r="AA834">
        <v>107.896635</v>
      </c>
      <c r="AB834" s="5">
        <f t="shared" si="73"/>
        <v>2.583405</v>
      </c>
      <c r="AC834" s="5">
        <f t="shared" si="74"/>
        <v>12.752670000000002</v>
      </c>
      <c r="AD834" s="1" t="str">
        <f t="shared" si="75"/>
        <v>TTCMKV_Ring 1_Phú Vang</v>
      </c>
      <c r="AE834" s="1" t="str">
        <f t="shared" si="76"/>
        <v>Phú Lộc</v>
      </c>
      <c r="AG834">
        <f t="shared" si="77"/>
        <v>1.72227</v>
      </c>
      <c r="AH834">
        <f t="shared" si="78"/>
        <v>8.5017800000000001</v>
      </c>
      <c r="AI834" t="e">
        <f>VLOOKUP(L834,'[1]Tuyến cáp H04'!$B:$E,3,0)/1000</f>
        <v>#N/A</v>
      </c>
      <c r="AJ834" t="e">
        <f>VLOOKUP(L834,'[1]Tuyến cáp H04'!$B:$E,4,0)</f>
        <v>#N/A</v>
      </c>
    </row>
    <row r="835" spans="1:36" x14ac:dyDescent="0.25">
      <c r="A835" s="1" t="s">
        <v>7927</v>
      </c>
      <c r="B835" s="1" t="s">
        <v>7928</v>
      </c>
      <c r="C835" s="1" t="s">
        <v>7929</v>
      </c>
      <c r="D835" s="1" t="s">
        <v>6932</v>
      </c>
      <c r="E835" s="1" t="s">
        <v>6933</v>
      </c>
      <c r="F835" s="1" t="s">
        <v>7930</v>
      </c>
      <c r="G835" s="1" t="s">
        <v>14129</v>
      </c>
      <c r="H835" s="1" t="s">
        <v>14532</v>
      </c>
      <c r="I835" s="1" t="s">
        <v>14949</v>
      </c>
      <c r="J835" s="1" t="s">
        <v>23</v>
      </c>
      <c r="K835" s="1"/>
      <c r="L835" s="1" t="s">
        <v>7254</v>
      </c>
      <c r="M835" s="1" t="s">
        <v>7931</v>
      </c>
      <c r="N835" s="1" t="s">
        <v>7932</v>
      </c>
      <c r="O835" s="1" t="s">
        <v>7933</v>
      </c>
      <c r="P835" s="1" t="s">
        <v>7934</v>
      </c>
      <c r="Q835" s="1" t="s">
        <v>7792</v>
      </c>
      <c r="R835" s="1" t="s">
        <v>7793</v>
      </c>
      <c r="S835" s="1" t="s">
        <v>7794</v>
      </c>
      <c r="T835" s="1" t="s">
        <v>7262</v>
      </c>
      <c r="U835">
        <v>80.319999999999993</v>
      </c>
      <c r="V835">
        <v>22.61</v>
      </c>
      <c r="W835">
        <v>16.484102</v>
      </c>
      <c r="X835">
        <v>107.668222</v>
      </c>
      <c r="Y835">
        <v>57.71</v>
      </c>
      <c r="Z835">
        <v>16.439834000000001</v>
      </c>
      <c r="AA835">
        <v>107.715987</v>
      </c>
      <c r="AB835" s="5">
        <f t="shared" ref="AB835:AB898" si="79">V835*1.5/1000</f>
        <v>3.3915000000000001E-2</v>
      </c>
      <c r="AC835" s="5">
        <f t="shared" ref="AC835:AC898" si="80">Y835*1.5/1000</f>
        <v>8.6565000000000003E-2</v>
      </c>
      <c r="AD835" s="1" t="str">
        <f t="shared" ref="AD835:AD898" si="81">TRIM(LEFT(L835,FIND("-",L835)-1))</f>
        <v>TTCMKV_Ring 1_CAT Huế mới</v>
      </c>
      <c r="AE835" s="1" t="str">
        <f t="shared" ref="AE835:AE898" si="82">TRIM(RIGHT(L835, LEN(L835) - FIND("-", L835)))</f>
        <v>Phú Vang</v>
      </c>
      <c r="AG835">
        <f t="shared" ref="AG835:AG898" si="83">V835/1000</f>
        <v>2.2609999999999998E-2</v>
      </c>
      <c r="AH835">
        <f t="shared" ref="AH835:AH898" si="84">Y835/1000</f>
        <v>5.7709999999999997E-2</v>
      </c>
      <c r="AI835" t="e">
        <f>VLOOKUP(L835,'[1]Tuyến cáp H04'!$B:$E,3,0)/1000</f>
        <v>#N/A</v>
      </c>
      <c r="AJ835" t="e">
        <f>VLOOKUP(L835,'[1]Tuyến cáp H04'!$B:$E,4,0)</f>
        <v>#N/A</v>
      </c>
    </row>
    <row r="836" spans="1:36" x14ac:dyDescent="0.25">
      <c r="A836" s="1" t="s">
        <v>7935</v>
      </c>
      <c r="B836" s="1" t="s">
        <v>7936</v>
      </c>
      <c r="C836" s="1" t="s">
        <v>7937</v>
      </c>
      <c r="D836" s="1" t="s">
        <v>6989</v>
      </c>
      <c r="E836" s="1" t="s">
        <v>6990</v>
      </c>
      <c r="F836" s="1" t="s">
        <v>7938</v>
      </c>
      <c r="G836" s="1" t="s">
        <v>14129</v>
      </c>
      <c r="H836" s="1" t="s">
        <v>14532</v>
      </c>
      <c r="I836" s="1" t="s">
        <v>14950</v>
      </c>
      <c r="J836" s="1" t="s">
        <v>23</v>
      </c>
      <c r="K836" s="1"/>
      <c r="L836" s="1" t="s">
        <v>7509</v>
      </c>
      <c r="M836" s="1" t="s">
        <v>7939</v>
      </c>
      <c r="N836" s="1" t="s">
        <v>7940</v>
      </c>
      <c r="O836" s="1" t="s">
        <v>7512</v>
      </c>
      <c r="P836" s="1" t="s">
        <v>7513</v>
      </c>
      <c r="Q836" s="1" t="s">
        <v>7514</v>
      </c>
      <c r="R836" s="1" t="s">
        <v>7515</v>
      </c>
      <c r="S836" s="1" t="s">
        <v>7516</v>
      </c>
      <c r="T836" s="1" t="s">
        <v>7517</v>
      </c>
      <c r="U836">
        <v>5041.82</v>
      </c>
      <c r="V836">
        <v>4988.09</v>
      </c>
      <c r="W836">
        <v>16.579530999999999</v>
      </c>
      <c r="X836">
        <v>107.513243</v>
      </c>
      <c r="Y836">
        <v>53.73</v>
      </c>
      <c r="Z836">
        <v>16.569082999999999</v>
      </c>
      <c r="AA836">
        <v>107.513955</v>
      </c>
      <c r="AB836" s="5">
        <f t="shared" si="79"/>
        <v>7.4821350000000004</v>
      </c>
      <c r="AC836" s="5">
        <f t="shared" si="80"/>
        <v>8.0595E-2</v>
      </c>
      <c r="AD836" s="1" t="str">
        <f t="shared" si="81"/>
        <v>Ring 3_Phong Dinh</v>
      </c>
      <c r="AE836" s="1" t="str">
        <f t="shared" si="82"/>
        <v>TTCMKV Quảng Điền</v>
      </c>
      <c r="AG836">
        <f t="shared" si="83"/>
        <v>4.9880900000000006</v>
      </c>
      <c r="AH836">
        <f t="shared" si="84"/>
        <v>5.373E-2</v>
      </c>
      <c r="AI836" t="e">
        <f>VLOOKUP(L836,'[1]Tuyến cáp H04'!$B:$E,3,0)/1000</f>
        <v>#N/A</v>
      </c>
      <c r="AJ836" t="e">
        <f>VLOOKUP(L836,'[1]Tuyến cáp H04'!$B:$E,4,0)</f>
        <v>#N/A</v>
      </c>
    </row>
    <row r="837" spans="1:36" x14ac:dyDescent="0.25">
      <c r="A837" s="1" t="s">
        <v>7941</v>
      </c>
      <c r="B837" s="1" t="s">
        <v>7942</v>
      </c>
      <c r="C837" s="1" t="s">
        <v>7943</v>
      </c>
      <c r="D837" s="1" t="s">
        <v>6989</v>
      </c>
      <c r="E837" s="1" t="s">
        <v>6990</v>
      </c>
      <c r="F837" s="1" t="s">
        <v>7944</v>
      </c>
      <c r="G837" s="1" t="s">
        <v>14129</v>
      </c>
      <c r="H837" s="1" t="s">
        <v>14532</v>
      </c>
      <c r="I837" s="1" t="s">
        <v>14951</v>
      </c>
      <c r="J837" s="1" t="s">
        <v>23</v>
      </c>
      <c r="K837" s="1"/>
      <c r="L837" s="1" t="s">
        <v>7509</v>
      </c>
      <c r="M837" s="1" t="s">
        <v>7945</v>
      </c>
      <c r="N837" s="1" t="s">
        <v>7946</v>
      </c>
      <c r="O837" s="1" t="s">
        <v>7809</v>
      </c>
      <c r="P837" s="1" t="s">
        <v>7810</v>
      </c>
      <c r="Q837" s="1" t="s">
        <v>7811</v>
      </c>
      <c r="R837" s="1" t="s">
        <v>7812</v>
      </c>
      <c r="S837" s="1" t="s">
        <v>7813</v>
      </c>
      <c r="T837" s="1" t="s">
        <v>7517</v>
      </c>
      <c r="U837">
        <v>5586.14</v>
      </c>
      <c r="V837">
        <v>4325.74</v>
      </c>
      <c r="W837">
        <v>16.596872999999999</v>
      </c>
      <c r="X837">
        <v>107.50172499999999</v>
      </c>
      <c r="Y837">
        <v>1260.4000000000001</v>
      </c>
      <c r="Z837">
        <v>16.580074</v>
      </c>
      <c r="AA837">
        <v>107.513431</v>
      </c>
      <c r="AB837" s="5">
        <f t="shared" si="79"/>
        <v>6.4886099999999995</v>
      </c>
      <c r="AC837" s="5">
        <f t="shared" si="80"/>
        <v>1.8906000000000001</v>
      </c>
      <c r="AD837" s="1" t="str">
        <f t="shared" si="81"/>
        <v>Ring 3_Phong Dinh</v>
      </c>
      <c r="AE837" s="1" t="str">
        <f t="shared" si="82"/>
        <v>TTCMKV Quảng Điền</v>
      </c>
      <c r="AG837">
        <f t="shared" si="83"/>
        <v>4.3257399999999997</v>
      </c>
      <c r="AH837">
        <f t="shared" si="84"/>
        <v>1.2604000000000002</v>
      </c>
      <c r="AI837" t="e">
        <f>VLOOKUP(L837,'[1]Tuyến cáp H04'!$B:$E,3,0)/1000</f>
        <v>#N/A</v>
      </c>
      <c r="AJ837" t="e">
        <f>VLOOKUP(L837,'[1]Tuyến cáp H04'!$B:$E,4,0)</f>
        <v>#N/A</v>
      </c>
    </row>
    <row r="838" spans="1:36" x14ac:dyDescent="0.25">
      <c r="A838" s="1" t="s">
        <v>7947</v>
      </c>
      <c r="B838" s="1" t="s">
        <v>7948</v>
      </c>
      <c r="C838" s="1" t="s">
        <v>7949</v>
      </c>
      <c r="D838" s="1" t="s">
        <v>7950</v>
      </c>
      <c r="E838" s="1" t="s">
        <v>7951</v>
      </c>
      <c r="F838" s="1" t="s">
        <v>7952</v>
      </c>
      <c r="G838" s="1" t="s">
        <v>14129</v>
      </c>
      <c r="H838" s="1" t="s">
        <v>14532</v>
      </c>
      <c r="I838" s="1" t="s">
        <v>14952</v>
      </c>
      <c r="J838" s="1" t="s">
        <v>23</v>
      </c>
      <c r="K838" s="1"/>
      <c r="L838" s="1" t="s">
        <v>7953</v>
      </c>
      <c r="M838" s="1" t="s">
        <v>7954</v>
      </c>
      <c r="N838" s="1" t="s">
        <v>7955</v>
      </c>
      <c r="O838" s="1" t="s">
        <v>7956</v>
      </c>
      <c r="P838" s="1" t="s">
        <v>7957</v>
      </c>
      <c r="Q838" s="1" t="s">
        <v>7958</v>
      </c>
      <c r="R838" s="1" t="s">
        <v>7959</v>
      </c>
      <c r="S838" s="1" t="s">
        <v>7960</v>
      </c>
      <c r="T838" s="1" t="s">
        <v>7961</v>
      </c>
      <c r="U838">
        <v>2697.99</v>
      </c>
      <c r="V838">
        <v>2498.12</v>
      </c>
      <c r="W838">
        <v>16.595790000000001</v>
      </c>
      <c r="X838">
        <v>107.357463</v>
      </c>
      <c r="Y838">
        <v>199.86</v>
      </c>
      <c r="Z838">
        <v>16.661760000000001</v>
      </c>
      <c r="AA838">
        <v>107.381658</v>
      </c>
      <c r="AB838" s="5">
        <f t="shared" si="79"/>
        <v>3.7471799999999997</v>
      </c>
      <c r="AC838" s="5">
        <f t="shared" si="80"/>
        <v>0.29979</v>
      </c>
      <c r="AD838" s="1" t="str">
        <f t="shared" si="81"/>
        <v>Ring 4 TTCMKV Phong Điền</v>
      </c>
      <c r="AE838" s="1" t="str">
        <f t="shared" si="82"/>
        <v>Phong Phú</v>
      </c>
      <c r="AG838">
        <f t="shared" si="83"/>
        <v>2.4981199999999997</v>
      </c>
      <c r="AH838">
        <f t="shared" si="84"/>
        <v>0.19986000000000001</v>
      </c>
      <c r="AI838" t="e">
        <f>VLOOKUP(L838,'[1]Tuyến cáp H04'!$B:$E,3,0)/1000</f>
        <v>#N/A</v>
      </c>
      <c r="AJ838" t="e">
        <f>VLOOKUP(L838,'[1]Tuyến cáp H04'!$B:$E,4,0)</f>
        <v>#N/A</v>
      </c>
    </row>
    <row r="839" spans="1:36" x14ac:dyDescent="0.25">
      <c r="A839" s="1" t="s">
        <v>7962</v>
      </c>
      <c r="B839" s="1" t="s">
        <v>7963</v>
      </c>
      <c r="C839" s="1" t="s">
        <v>7964</v>
      </c>
      <c r="D839" s="1" t="s">
        <v>6989</v>
      </c>
      <c r="E839" s="1" t="s">
        <v>6990</v>
      </c>
      <c r="F839" s="1" t="s">
        <v>7965</v>
      </c>
      <c r="G839" s="1" t="s">
        <v>14129</v>
      </c>
      <c r="H839" s="1" t="s">
        <v>14532</v>
      </c>
      <c r="I839" s="1" t="s">
        <v>14953</v>
      </c>
      <c r="J839" s="1" t="s">
        <v>23</v>
      </c>
      <c r="K839" s="1"/>
      <c r="L839" s="1" t="s">
        <v>7419</v>
      </c>
      <c r="M839" s="1" t="s">
        <v>7966</v>
      </c>
      <c r="N839" s="1" t="s">
        <v>7967</v>
      </c>
      <c r="O839" s="1" t="s">
        <v>7968</v>
      </c>
      <c r="P839" s="1" t="s">
        <v>7969</v>
      </c>
      <c r="Q839" s="1" t="s">
        <v>7575</v>
      </c>
      <c r="R839" s="1" t="s">
        <v>7576</v>
      </c>
      <c r="S839" s="1" t="s">
        <v>7577</v>
      </c>
      <c r="T839" s="1" t="s">
        <v>7427</v>
      </c>
      <c r="U839">
        <v>4815.21</v>
      </c>
      <c r="V839">
        <v>4749.32</v>
      </c>
      <c r="W839">
        <v>16.537596000000001</v>
      </c>
      <c r="X839">
        <v>107.563883</v>
      </c>
      <c r="Y839">
        <v>65.89</v>
      </c>
      <c r="Z839">
        <v>16.568567999999999</v>
      </c>
      <c r="AA839">
        <v>107.51419199999999</v>
      </c>
      <c r="AB839" s="5">
        <f t="shared" si="79"/>
        <v>7.1239799999999995</v>
      </c>
      <c r="AC839" s="5">
        <f t="shared" si="80"/>
        <v>9.8835000000000006E-2</v>
      </c>
      <c r="AD839" s="1" t="str">
        <f t="shared" si="81"/>
        <v>Ring 7 TTCMKV Quảng Điền</v>
      </c>
      <c r="AE839" s="1" t="str">
        <f t="shared" si="82"/>
        <v>Hóa Châu</v>
      </c>
      <c r="AG839">
        <f t="shared" si="83"/>
        <v>4.74932</v>
      </c>
      <c r="AH839">
        <f t="shared" si="84"/>
        <v>6.5890000000000004E-2</v>
      </c>
      <c r="AI839" t="e">
        <f>VLOOKUP(L839,'[1]Tuyến cáp H04'!$B:$E,3,0)/1000</f>
        <v>#N/A</v>
      </c>
      <c r="AJ839" t="e">
        <f>VLOOKUP(L839,'[1]Tuyến cáp H04'!$B:$E,4,0)</f>
        <v>#N/A</v>
      </c>
    </row>
    <row r="840" spans="1:36" x14ac:dyDescent="0.25">
      <c r="A840" s="1" t="s">
        <v>7970</v>
      </c>
      <c r="B840" s="1" t="s">
        <v>7971</v>
      </c>
      <c r="C840" s="1" t="s">
        <v>7972</v>
      </c>
      <c r="D840" s="1" t="s">
        <v>6947</v>
      </c>
      <c r="E840" s="1" t="s">
        <v>6948</v>
      </c>
      <c r="F840" s="1" t="s">
        <v>7973</v>
      </c>
      <c r="G840" s="1" t="s">
        <v>14129</v>
      </c>
      <c r="H840" s="1" t="s">
        <v>14532</v>
      </c>
      <c r="I840" s="1" t="s">
        <v>14954</v>
      </c>
      <c r="J840" s="1" t="s">
        <v>23</v>
      </c>
      <c r="K840" s="1"/>
      <c r="L840" s="1" t="s">
        <v>6937</v>
      </c>
      <c r="M840" s="1" t="s">
        <v>7974</v>
      </c>
      <c r="N840" s="1" t="s">
        <v>7975</v>
      </c>
      <c r="O840" s="1" t="s">
        <v>7976</v>
      </c>
      <c r="P840" s="1" t="s">
        <v>7977</v>
      </c>
      <c r="Q840" s="1" t="s">
        <v>7924</v>
      </c>
      <c r="R840" s="1" t="s">
        <v>7925</v>
      </c>
      <c r="S840" s="1" t="s">
        <v>7926</v>
      </c>
      <c r="T840" s="1" t="s">
        <v>6945</v>
      </c>
      <c r="U840">
        <v>8845.82</v>
      </c>
      <c r="V840">
        <v>344.04</v>
      </c>
      <c r="W840">
        <v>16.378900999999999</v>
      </c>
      <c r="X840">
        <v>107.851676</v>
      </c>
      <c r="Y840">
        <v>8501.7800000000007</v>
      </c>
      <c r="Z840">
        <v>16.346129000000001</v>
      </c>
      <c r="AA840">
        <v>107.896635</v>
      </c>
      <c r="AB840" s="5">
        <f t="shared" si="79"/>
        <v>0.51606000000000007</v>
      </c>
      <c r="AC840" s="5">
        <f t="shared" si="80"/>
        <v>12.752670000000002</v>
      </c>
      <c r="AD840" s="1" t="str">
        <f t="shared" si="81"/>
        <v>TTCMKV_Ring 1_Phú Vang</v>
      </c>
      <c r="AE840" s="1" t="str">
        <f t="shared" si="82"/>
        <v>Phú Lộc</v>
      </c>
      <c r="AG840">
        <f t="shared" si="83"/>
        <v>0.34404000000000001</v>
      </c>
      <c r="AH840">
        <f t="shared" si="84"/>
        <v>8.5017800000000001</v>
      </c>
      <c r="AI840" t="e">
        <f>VLOOKUP(L840,'[1]Tuyến cáp H04'!$B:$E,3,0)/1000</f>
        <v>#N/A</v>
      </c>
      <c r="AJ840" t="e">
        <f>VLOOKUP(L840,'[1]Tuyến cáp H04'!$B:$E,4,0)</f>
        <v>#N/A</v>
      </c>
    </row>
    <row r="841" spans="1:36" x14ac:dyDescent="0.25">
      <c r="A841" s="1" t="s">
        <v>7978</v>
      </c>
      <c r="B841" s="1" t="s">
        <v>7979</v>
      </c>
      <c r="C841" s="1" t="s">
        <v>7980</v>
      </c>
      <c r="D841" s="1" t="s">
        <v>7950</v>
      </c>
      <c r="E841" s="1" t="s">
        <v>7951</v>
      </c>
      <c r="F841" s="1" t="s">
        <v>7981</v>
      </c>
      <c r="G841" s="1" t="s">
        <v>14129</v>
      </c>
      <c r="H841" s="1" t="s">
        <v>14532</v>
      </c>
      <c r="I841" s="1" t="s">
        <v>14955</v>
      </c>
      <c r="J841" s="1" t="s">
        <v>23</v>
      </c>
      <c r="K841" s="1"/>
      <c r="L841" s="1" t="s">
        <v>7953</v>
      </c>
      <c r="M841" s="1" t="s">
        <v>7982</v>
      </c>
      <c r="N841" s="1" t="s">
        <v>7983</v>
      </c>
      <c r="O841" s="1" t="s">
        <v>7984</v>
      </c>
      <c r="P841" s="1" t="s">
        <v>7985</v>
      </c>
      <c r="Q841" s="1" t="s">
        <v>7958</v>
      </c>
      <c r="R841" s="1" t="s">
        <v>7959</v>
      </c>
      <c r="S841" s="1" t="s">
        <v>7960</v>
      </c>
      <c r="T841" s="1" t="s">
        <v>7961</v>
      </c>
      <c r="U841">
        <v>3937.89</v>
      </c>
      <c r="V841">
        <v>3738.03</v>
      </c>
      <c r="W841">
        <v>16.597567000000002</v>
      </c>
      <c r="X841">
        <v>107.360275</v>
      </c>
      <c r="Y841">
        <v>199.86</v>
      </c>
      <c r="Z841">
        <v>16.661760000000001</v>
      </c>
      <c r="AA841">
        <v>107.381658</v>
      </c>
      <c r="AB841" s="5">
        <f t="shared" si="79"/>
        <v>5.6070450000000003</v>
      </c>
      <c r="AC841" s="5">
        <f t="shared" si="80"/>
        <v>0.29979</v>
      </c>
      <c r="AD841" s="1" t="str">
        <f t="shared" si="81"/>
        <v>Ring 4 TTCMKV Phong Điền</v>
      </c>
      <c r="AE841" s="1" t="str">
        <f t="shared" si="82"/>
        <v>Phong Phú</v>
      </c>
      <c r="AG841">
        <f t="shared" si="83"/>
        <v>3.7380300000000002</v>
      </c>
      <c r="AH841">
        <f t="shared" si="84"/>
        <v>0.19986000000000001</v>
      </c>
      <c r="AI841" t="e">
        <f>VLOOKUP(L841,'[1]Tuyến cáp H04'!$B:$E,3,0)/1000</f>
        <v>#N/A</v>
      </c>
      <c r="AJ841" t="e">
        <f>VLOOKUP(L841,'[1]Tuyến cáp H04'!$B:$E,4,0)</f>
        <v>#N/A</v>
      </c>
    </row>
    <row r="842" spans="1:36" x14ac:dyDescent="0.25">
      <c r="A842" s="1" t="s">
        <v>7986</v>
      </c>
      <c r="B842" s="1" t="s">
        <v>7987</v>
      </c>
      <c r="C842" s="1" t="s">
        <v>7988</v>
      </c>
      <c r="D842" s="1" t="s">
        <v>6917</v>
      </c>
      <c r="E842" s="1" t="s">
        <v>6918</v>
      </c>
      <c r="F842" s="1" t="s">
        <v>7989</v>
      </c>
      <c r="G842" s="1" t="s">
        <v>14129</v>
      </c>
      <c r="H842" s="1" t="s">
        <v>14532</v>
      </c>
      <c r="I842" s="1" t="s">
        <v>14956</v>
      </c>
      <c r="J842" s="1" t="s">
        <v>23</v>
      </c>
      <c r="K842" s="1"/>
      <c r="L842" s="1" t="s">
        <v>7406</v>
      </c>
      <c r="M842" s="1" t="s">
        <v>7990</v>
      </c>
      <c r="N842" s="1" t="s">
        <v>7991</v>
      </c>
      <c r="O842" s="1" t="s">
        <v>7409</v>
      </c>
      <c r="P842" s="1" t="s">
        <v>7410</v>
      </c>
      <c r="Q842" s="1" t="s">
        <v>7411</v>
      </c>
      <c r="R842" s="1" t="s">
        <v>7412</v>
      </c>
      <c r="S842" s="1" t="s">
        <v>7413</v>
      </c>
      <c r="T842" s="1" t="s">
        <v>7414</v>
      </c>
      <c r="U842">
        <v>3443.02</v>
      </c>
      <c r="V842">
        <v>3240.38</v>
      </c>
      <c r="W842">
        <v>16.493091</v>
      </c>
      <c r="X842">
        <v>107.594409</v>
      </c>
      <c r="Y842">
        <v>202.64</v>
      </c>
      <c r="Z842">
        <v>16.478172000000001</v>
      </c>
      <c r="AA842">
        <v>107.624154</v>
      </c>
      <c r="AB842" s="5">
        <f t="shared" si="79"/>
        <v>4.8605700000000001</v>
      </c>
      <c r="AC842" s="5">
        <f t="shared" si="80"/>
        <v>0.30395999999999995</v>
      </c>
      <c r="AD842" s="1" t="str">
        <f t="shared" si="81"/>
        <v>Ring 1 Phú Xuân</v>
      </c>
      <c r="AE842" s="1" t="str">
        <f t="shared" si="82"/>
        <v>CAT TT Huế</v>
      </c>
      <c r="AG842">
        <f t="shared" si="83"/>
        <v>3.24038</v>
      </c>
      <c r="AH842">
        <f t="shared" si="84"/>
        <v>0.20263999999999999</v>
      </c>
      <c r="AI842" t="e">
        <f>VLOOKUP(L842,'[1]Tuyến cáp H04'!$B:$E,3,0)/1000</f>
        <v>#N/A</v>
      </c>
      <c r="AJ842" t="e">
        <f>VLOOKUP(L842,'[1]Tuyến cáp H04'!$B:$E,4,0)</f>
        <v>#N/A</v>
      </c>
    </row>
    <row r="843" spans="1:36" x14ac:dyDescent="0.25">
      <c r="A843" s="1" t="s">
        <v>7992</v>
      </c>
      <c r="B843" s="1" t="s">
        <v>7105</v>
      </c>
      <c r="C843" s="1" t="s">
        <v>7106</v>
      </c>
      <c r="D843" s="1" t="s">
        <v>6917</v>
      </c>
      <c r="E843" s="1" t="s">
        <v>6918</v>
      </c>
      <c r="F843" s="1" t="s">
        <v>7993</v>
      </c>
      <c r="G843" s="1" t="s">
        <v>14129</v>
      </c>
      <c r="H843" s="1" t="s">
        <v>14532</v>
      </c>
      <c r="I843" s="1" t="s">
        <v>14957</v>
      </c>
      <c r="J843" s="1" t="s">
        <v>23</v>
      </c>
      <c r="K843" s="1"/>
      <c r="L843" s="1" t="s">
        <v>7065</v>
      </c>
      <c r="M843" s="1" t="s">
        <v>7994</v>
      </c>
      <c r="N843" s="1" t="s">
        <v>1755</v>
      </c>
      <c r="O843" s="1" t="s">
        <v>7112</v>
      </c>
      <c r="P843" s="1" t="s">
        <v>7113</v>
      </c>
      <c r="Q843" s="1" t="s">
        <v>7995</v>
      </c>
      <c r="R843" s="1" t="s">
        <v>7996</v>
      </c>
      <c r="S843" s="1" t="s">
        <v>7997</v>
      </c>
      <c r="T843" s="1" t="s">
        <v>7114</v>
      </c>
      <c r="U843">
        <v>7950.65</v>
      </c>
      <c r="V843">
        <v>560.76</v>
      </c>
      <c r="W843">
        <v>16.523812</v>
      </c>
      <c r="X843">
        <v>107.480937</v>
      </c>
      <c r="Y843">
        <v>7389.89</v>
      </c>
      <c r="Z843">
        <v>16.479613000000001</v>
      </c>
      <c r="AA843">
        <v>107.556349</v>
      </c>
      <c r="AB843" s="5">
        <f t="shared" si="79"/>
        <v>0.84114</v>
      </c>
      <c r="AC843" s="5">
        <f t="shared" si="80"/>
        <v>11.084835000000002</v>
      </c>
      <c r="AD843" s="1" t="str">
        <f t="shared" si="81"/>
        <v>TTCMKV_Ring 2_Phong Điền</v>
      </c>
      <c r="AE843" s="1" t="str">
        <f t="shared" si="82"/>
        <v>CAT Huế mới</v>
      </c>
      <c r="AG843">
        <f t="shared" si="83"/>
        <v>0.56076000000000004</v>
      </c>
      <c r="AH843">
        <f t="shared" si="84"/>
        <v>7.3898900000000003</v>
      </c>
      <c r="AI843" t="e">
        <f>VLOOKUP(L843,'[1]Tuyến cáp H04'!$B:$E,3,0)/1000</f>
        <v>#N/A</v>
      </c>
      <c r="AJ843" t="e">
        <f>VLOOKUP(L843,'[1]Tuyến cáp H04'!$B:$E,4,0)</f>
        <v>#N/A</v>
      </c>
    </row>
    <row r="844" spans="1:36" x14ac:dyDescent="0.25">
      <c r="A844" s="1" t="s">
        <v>7998</v>
      </c>
      <c r="B844" s="1" t="s">
        <v>7999</v>
      </c>
      <c r="C844" s="1" t="s">
        <v>8000</v>
      </c>
      <c r="D844" s="1" t="s">
        <v>7222</v>
      </c>
      <c r="E844" s="1" t="s">
        <v>7223</v>
      </c>
      <c r="F844" s="1" t="s">
        <v>8001</v>
      </c>
      <c r="G844" s="1" t="s">
        <v>14129</v>
      </c>
      <c r="H844" s="1" t="s">
        <v>14532</v>
      </c>
      <c r="I844" s="1" t="s">
        <v>14958</v>
      </c>
      <c r="J844" s="1" t="s">
        <v>23</v>
      </c>
      <c r="K844" s="1"/>
      <c r="L844" s="1" t="s">
        <v>7227</v>
      </c>
      <c r="M844" s="1" t="s">
        <v>8002</v>
      </c>
      <c r="N844" s="1" t="s">
        <v>8003</v>
      </c>
      <c r="O844" s="1" t="s">
        <v>7527</v>
      </c>
      <c r="P844" s="1" t="s">
        <v>8004</v>
      </c>
      <c r="Q844" s="1" t="s">
        <v>7229</v>
      </c>
      <c r="R844" s="1" t="s">
        <v>7230</v>
      </c>
      <c r="S844" s="1" t="s">
        <v>7231</v>
      </c>
      <c r="T844" s="1" t="s">
        <v>7235</v>
      </c>
      <c r="U844">
        <v>248.1</v>
      </c>
      <c r="V844">
        <v>181.92</v>
      </c>
      <c r="W844">
        <v>16.452960999999998</v>
      </c>
      <c r="X844">
        <v>107.52951899999999</v>
      </c>
      <c r="Y844">
        <v>66.180000000000007</v>
      </c>
      <c r="Z844">
        <v>16.439848000000001</v>
      </c>
      <c r="AA844">
        <v>107.52389700000001</v>
      </c>
      <c r="AB844" s="5">
        <f t="shared" si="79"/>
        <v>0.27288000000000001</v>
      </c>
      <c r="AC844" s="5">
        <f t="shared" si="80"/>
        <v>9.9270000000000011E-2</v>
      </c>
      <c r="AD844" s="1" t="str">
        <f t="shared" si="81"/>
        <v>Ring 6 Hương An</v>
      </c>
      <c r="AE844" s="1" t="str">
        <f t="shared" si="82"/>
        <v>Kim Long</v>
      </c>
      <c r="AG844">
        <f t="shared" si="83"/>
        <v>0.18192</v>
      </c>
      <c r="AH844">
        <f t="shared" si="84"/>
        <v>6.6180000000000003E-2</v>
      </c>
      <c r="AI844" t="e">
        <f>VLOOKUP(L844,'[1]Tuyến cáp H04'!$B:$E,3,0)/1000</f>
        <v>#N/A</v>
      </c>
      <c r="AJ844" t="e">
        <f>VLOOKUP(L844,'[1]Tuyến cáp H04'!$B:$E,4,0)</f>
        <v>#N/A</v>
      </c>
    </row>
    <row r="845" spans="1:36" x14ac:dyDescent="0.25">
      <c r="A845" s="1" t="s">
        <v>8005</v>
      </c>
      <c r="B845" s="1" t="s">
        <v>8006</v>
      </c>
      <c r="C845" s="1" t="s">
        <v>8007</v>
      </c>
      <c r="D845" s="1" t="s">
        <v>6917</v>
      </c>
      <c r="E845" s="1" t="s">
        <v>6918</v>
      </c>
      <c r="F845" s="1" t="s">
        <v>8008</v>
      </c>
      <c r="G845" s="1" t="s">
        <v>14129</v>
      </c>
      <c r="H845" s="1" t="s">
        <v>14532</v>
      </c>
      <c r="I845" s="1" t="s">
        <v>14959</v>
      </c>
      <c r="J845" s="1" t="s">
        <v>23</v>
      </c>
      <c r="K845" s="1"/>
      <c r="L845" s="1" t="s">
        <v>6967</v>
      </c>
      <c r="M845" s="1" t="s">
        <v>8009</v>
      </c>
      <c r="N845" s="1" t="s">
        <v>8010</v>
      </c>
      <c r="O845" s="1" t="s">
        <v>8011</v>
      </c>
      <c r="P845" s="1" t="s">
        <v>8012</v>
      </c>
      <c r="Q845" s="1" t="s">
        <v>8013</v>
      </c>
      <c r="R845" s="1" t="s">
        <v>6973</v>
      </c>
      <c r="S845" s="1" t="s">
        <v>6974</v>
      </c>
      <c r="T845" s="1" t="s">
        <v>6975</v>
      </c>
      <c r="U845">
        <v>3373.19</v>
      </c>
      <c r="V845">
        <v>304.64</v>
      </c>
      <c r="W845">
        <v>16.426506</v>
      </c>
      <c r="X845">
        <v>107.65190800000001</v>
      </c>
      <c r="Y845">
        <v>3068.55</v>
      </c>
      <c r="Z845">
        <v>16.449480999999999</v>
      </c>
      <c r="AA845">
        <v>107.62788500000001</v>
      </c>
      <c r="AB845" s="5">
        <f t="shared" si="79"/>
        <v>0.45695999999999998</v>
      </c>
      <c r="AC845" s="5">
        <f t="shared" si="80"/>
        <v>4.6028250000000011</v>
      </c>
      <c r="AD845" s="1" t="str">
        <f t="shared" si="81"/>
        <v>TTCMKV_Ring 1_Hương Thủy</v>
      </c>
      <c r="AE845" s="1" t="str">
        <f t="shared" si="82"/>
        <v>CAT Huế mới</v>
      </c>
      <c r="AG845">
        <f t="shared" si="83"/>
        <v>0.30463999999999997</v>
      </c>
      <c r="AH845">
        <f t="shared" si="84"/>
        <v>3.0685500000000001</v>
      </c>
      <c r="AI845" t="e">
        <f>VLOOKUP(L845,'[1]Tuyến cáp H04'!$B:$E,3,0)/1000</f>
        <v>#N/A</v>
      </c>
      <c r="AJ845" t="e">
        <f>VLOOKUP(L845,'[1]Tuyến cáp H04'!$B:$E,4,0)</f>
        <v>#N/A</v>
      </c>
    </row>
    <row r="846" spans="1:36" x14ac:dyDescent="0.25">
      <c r="A846" s="1" t="s">
        <v>8014</v>
      </c>
      <c r="B846" s="1" t="s">
        <v>8015</v>
      </c>
      <c r="C846" s="1" t="s">
        <v>8016</v>
      </c>
      <c r="D846" s="1" t="s">
        <v>6962</v>
      </c>
      <c r="E846" s="1" t="s">
        <v>6963</v>
      </c>
      <c r="F846" s="1" t="s">
        <v>8017</v>
      </c>
      <c r="G846" s="1" t="s">
        <v>14129</v>
      </c>
      <c r="H846" s="1" t="s">
        <v>14532</v>
      </c>
      <c r="I846" s="1" t="s">
        <v>14960</v>
      </c>
      <c r="J846" s="1" t="s">
        <v>23</v>
      </c>
      <c r="K846" s="1"/>
      <c r="L846" s="1" t="s">
        <v>7393</v>
      </c>
      <c r="M846" s="1" t="s">
        <v>8018</v>
      </c>
      <c r="N846" s="1" t="s">
        <v>8019</v>
      </c>
      <c r="O846" s="1" t="s">
        <v>8020</v>
      </c>
      <c r="P846" s="1" t="s">
        <v>8021</v>
      </c>
      <c r="Q846" s="1" t="s">
        <v>8022</v>
      </c>
      <c r="R846" s="1" t="s">
        <v>8023</v>
      </c>
      <c r="S846" s="1" t="s">
        <v>8024</v>
      </c>
      <c r="T846" s="1" t="s">
        <v>8025</v>
      </c>
      <c r="U846">
        <v>207.23</v>
      </c>
      <c r="V846">
        <v>132.15</v>
      </c>
      <c r="W846">
        <v>16.412330000000001</v>
      </c>
      <c r="X846">
        <v>107.673615</v>
      </c>
      <c r="Y846">
        <v>75.08</v>
      </c>
      <c r="Z846">
        <v>16.408631</v>
      </c>
      <c r="AA846">
        <v>107.68102</v>
      </c>
      <c r="AB846" s="5">
        <f t="shared" si="79"/>
        <v>0.19822500000000001</v>
      </c>
      <c r="AC846" s="5">
        <f t="shared" si="80"/>
        <v>0.11262</v>
      </c>
      <c r="AD846" s="1" t="str">
        <f t="shared" si="81"/>
        <v>Ring 2 Phú Xuân</v>
      </c>
      <c r="AE846" s="1" t="str">
        <f t="shared" si="82"/>
        <v>Hương Thủy</v>
      </c>
      <c r="AG846">
        <f t="shared" si="83"/>
        <v>0.13215000000000002</v>
      </c>
      <c r="AH846">
        <f t="shared" si="84"/>
        <v>7.5079999999999994E-2</v>
      </c>
      <c r="AI846" t="e">
        <f>VLOOKUP(L846,'[1]Tuyến cáp H04'!$B:$E,3,0)/1000</f>
        <v>#N/A</v>
      </c>
      <c r="AJ846" t="e">
        <f>VLOOKUP(L846,'[1]Tuyến cáp H04'!$B:$E,4,0)</f>
        <v>#N/A</v>
      </c>
    </row>
    <row r="847" spans="1:36" x14ac:dyDescent="0.25">
      <c r="A847" s="1" t="s">
        <v>8026</v>
      </c>
      <c r="B847" s="1" t="s">
        <v>8027</v>
      </c>
      <c r="C847" s="1" t="s">
        <v>8028</v>
      </c>
      <c r="D847" s="1" t="s">
        <v>6932</v>
      </c>
      <c r="E847" s="1" t="s">
        <v>6933</v>
      </c>
      <c r="F847" s="1" t="s">
        <v>8029</v>
      </c>
      <c r="G847" s="1" t="s">
        <v>14129</v>
      </c>
      <c r="H847" s="1" t="s">
        <v>14532</v>
      </c>
      <c r="I847" s="1" t="s">
        <v>14961</v>
      </c>
      <c r="J847" s="1" t="s">
        <v>23</v>
      </c>
      <c r="K847" s="1"/>
      <c r="L847" s="1" t="s">
        <v>7672</v>
      </c>
      <c r="M847" s="1" t="s">
        <v>8030</v>
      </c>
      <c r="N847" s="1" t="s">
        <v>8031</v>
      </c>
      <c r="O847" s="1" t="s">
        <v>8032</v>
      </c>
      <c r="P847" s="1" t="s">
        <v>8033</v>
      </c>
      <c r="Q847" s="1" t="s">
        <v>8034</v>
      </c>
      <c r="R847" s="1" t="s">
        <v>8035</v>
      </c>
      <c r="S847" s="1" t="s">
        <v>8036</v>
      </c>
      <c r="T847" s="1" t="s">
        <v>7680</v>
      </c>
      <c r="U847">
        <v>5198.95</v>
      </c>
      <c r="V847">
        <v>53.01</v>
      </c>
      <c r="W847">
        <v>16.526153999999998</v>
      </c>
      <c r="X847">
        <v>107.702167</v>
      </c>
      <c r="Y847">
        <v>5145.9399999999996</v>
      </c>
      <c r="Z847">
        <v>16.471926</v>
      </c>
      <c r="AA847">
        <v>107.751434</v>
      </c>
      <c r="AB847" s="5">
        <f t="shared" si="79"/>
        <v>7.9515000000000002E-2</v>
      </c>
      <c r="AC847" s="5">
        <f t="shared" si="80"/>
        <v>7.7189100000000002</v>
      </c>
      <c r="AD847" s="1" t="str">
        <f t="shared" si="81"/>
        <v>Ring 8 Thuận An</v>
      </c>
      <c r="AE847" s="1" t="str">
        <f t="shared" si="82"/>
        <v>TTCMKV Phú Vang</v>
      </c>
      <c r="AG847">
        <f t="shared" si="83"/>
        <v>5.3009999999999995E-2</v>
      </c>
      <c r="AH847">
        <f t="shared" si="84"/>
        <v>5.1459399999999995</v>
      </c>
      <c r="AI847" t="e">
        <f>VLOOKUP(L847,'[1]Tuyến cáp H04'!$B:$E,3,0)/1000</f>
        <v>#N/A</v>
      </c>
      <c r="AJ847" t="e">
        <f>VLOOKUP(L847,'[1]Tuyến cáp H04'!$B:$E,4,0)</f>
        <v>#N/A</v>
      </c>
    </row>
    <row r="848" spans="1:36" x14ac:dyDescent="0.25">
      <c r="A848" s="1" t="s">
        <v>8037</v>
      </c>
      <c r="B848" s="1" t="s">
        <v>8038</v>
      </c>
      <c r="C848" s="1" t="s">
        <v>8039</v>
      </c>
      <c r="D848" s="1" t="s">
        <v>7264</v>
      </c>
      <c r="E848" s="1" t="s">
        <v>7265</v>
      </c>
      <c r="F848" s="1" t="s">
        <v>8040</v>
      </c>
      <c r="G848" s="1" t="s">
        <v>14129</v>
      </c>
      <c r="H848" s="1" t="s">
        <v>14532</v>
      </c>
      <c r="I848" s="1" t="s">
        <v>14962</v>
      </c>
      <c r="J848" s="1" t="s">
        <v>23</v>
      </c>
      <c r="K848" s="1"/>
      <c r="L848" s="1" t="s">
        <v>8041</v>
      </c>
      <c r="M848" s="1" t="s">
        <v>8042</v>
      </c>
      <c r="N848" s="1" t="s">
        <v>8043</v>
      </c>
      <c r="O848" s="1" t="s">
        <v>8044</v>
      </c>
      <c r="P848" s="1" t="s">
        <v>8045</v>
      </c>
      <c r="Q848" s="1" t="s">
        <v>8046</v>
      </c>
      <c r="R848" s="1" t="s">
        <v>8047</v>
      </c>
      <c r="S848" s="1" t="s">
        <v>8048</v>
      </c>
      <c r="T848" s="1" t="s">
        <v>8049</v>
      </c>
      <c r="U848">
        <v>108.71</v>
      </c>
      <c r="V848">
        <v>94.82</v>
      </c>
      <c r="W848">
        <v>16.492583</v>
      </c>
      <c r="X848">
        <v>107.6056</v>
      </c>
      <c r="Y848">
        <v>13.89</v>
      </c>
      <c r="Z848">
        <v>16.512819</v>
      </c>
      <c r="AA848">
        <v>107.599738</v>
      </c>
      <c r="AB848" s="5">
        <f t="shared" si="79"/>
        <v>0.14223</v>
      </c>
      <c r="AC848" s="5">
        <f t="shared" si="80"/>
        <v>2.0834999999999999E-2</v>
      </c>
      <c r="AD848" s="1" t="str">
        <f t="shared" si="81"/>
        <v>Ring 8 CAT Thừa Thiên Huế</v>
      </c>
      <c r="AE848" s="1" t="str">
        <f t="shared" si="82"/>
        <v>Dương Nỗ</v>
      </c>
      <c r="AG848">
        <f t="shared" si="83"/>
        <v>9.4819999999999988E-2</v>
      </c>
      <c r="AH848">
        <f t="shared" si="84"/>
        <v>1.3890000000000001E-2</v>
      </c>
      <c r="AI848" t="e">
        <f>VLOOKUP(L848,'[1]Tuyến cáp H04'!$B:$E,3,0)/1000</f>
        <v>#N/A</v>
      </c>
      <c r="AJ848" t="e">
        <f>VLOOKUP(L848,'[1]Tuyến cáp H04'!$B:$E,4,0)</f>
        <v>#N/A</v>
      </c>
    </row>
    <row r="849" spans="1:36" x14ac:dyDescent="0.25">
      <c r="A849" s="1" t="s">
        <v>8050</v>
      </c>
      <c r="B849" s="1" t="s">
        <v>8051</v>
      </c>
      <c r="C849" s="1" t="s">
        <v>8052</v>
      </c>
      <c r="D849" s="1" t="s">
        <v>7237</v>
      </c>
      <c r="E849" s="1" t="s">
        <v>7238</v>
      </c>
      <c r="F849" s="1" t="s">
        <v>8053</v>
      </c>
      <c r="G849" s="1" t="s">
        <v>14129</v>
      </c>
      <c r="H849" s="1" t="s">
        <v>14532</v>
      </c>
      <c r="I849" s="1" t="s">
        <v>14963</v>
      </c>
      <c r="J849" s="1" t="s">
        <v>23</v>
      </c>
      <c r="K849" s="1"/>
      <c r="L849" s="1" t="s">
        <v>7419</v>
      </c>
      <c r="M849" s="1" t="s">
        <v>8054</v>
      </c>
      <c r="N849" s="1" t="s">
        <v>8055</v>
      </c>
      <c r="O849" s="1" t="s">
        <v>8056</v>
      </c>
      <c r="P849" s="1" t="s">
        <v>8057</v>
      </c>
      <c r="Q849" s="1" t="s">
        <v>7424</v>
      </c>
      <c r="R849" s="1" t="s">
        <v>7425</v>
      </c>
      <c r="S849" s="1" t="s">
        <v>7426</v>
      </c>
      <c r="T849" s="1" t="s">
        <v>7427</v>
      </c>
      <c r="U849">
        <v>97.13</v>
      </c>
      <c r="V849">
        <v>78.92</v>
      </c>
      <c r="W849">
        <v>16.558935999999999</v>
      </c>
      <c r="X849">
        <v>107.529976</v>
      </c>
      <c r="Y849">
        <v>18.2</v>
      </c>
      <c r="Z849">
        <v>16.554478</v>
      </c>
      <c r="AA849">
        <v>107.58055</v>
      </c>
      <c r="AB849" s="5">
        <f t="shared" si="79"/>
        <v>0.11838</v>
      </c>
      <c r="AC849" s="5">
        <f t="shared" si="80"/>
        <v>2.7299999999999998E-2</v>
      </c>
      <c r="AD849" s="1" t="str">
        <f t="shared" si="81"/>
        <v>Ring 7 TTCMKV Quảng Điền</v>
      </c>
      <c r="AE849" s="1" t="str">
        <f t="shared" si="82"/>
        <v>Hóa Châu</v>
      </c>
      <c r="AG849">
        <f t="shared" si="83"/>
        <v>7.8920000000000004E-2</v>
      </c>
      <c r="AH849">
        <f t="shared" si="84"/>
        <v>1.8200000000000001E-2</v>
      </c>
      <c r="AI849" t="e">
        <f>VLOOKUP(L849,'[1]Tuyến cáp H04'!$B:$E,3,0)/1000</f>
        <v>#N/A</v>
      </c>
      <c r="AJ849" t="e">
        <f>VLOOKUP(L849,'[1]Tuyến cáp H04'!$B:$E,4,0)</f>
        <v>#N/A</v>
      </c>
    </row>
    <row r="850" spans="1:36" x14ac:dyDescent="0.25">
      <c r="A850" s="1" t="s">
        <v>8058</v>
      </c>
      <c r="B850" s="1" t="s">
        <v>8059</v>
      </c>
      <c r="C850" s="1" t="s">
        <v>8060</v>
      </c>
      <c r="D850" s="1" t="s">
        <v>8061</v>
      </c>
      <c r="E850" s="1" t="s">
        <v>8062</v>
      </c>
      <c r="F850" s="1" t="s">
        <v>8063</v>
      </c>
      <c r="G850" s="1" t="s">
        <v>14129</v>
      </c>
      <c r="H850" s="1" t="s">
        <v>14130</v>
      </c>
      <c r="I850" s="1" t="s">
        <v>14964</v>
      </c>
      <c r="J850" s="1" t="s">
        <v>23</v>
      </c>
      <c r="K850" s="1"/>
      <c r="L850" s="1" t="s">
        <v>8064</v>
      </c>
      <c r="M850" s="1" t="s">
        <v>8065</v>
      </c>
      <c r="N850" s="1" t="s">
        <v>8066</v>
      </c>
      <c r="O850" s="1" t="s">
        <v>8067</v>
      </c>
      <c r="P850" s="1" t="s">
        <v>8068</v>
      </c>
      <c r="Q850" s="1" t="s">
        <v>8069</v>
      </c>
      <c r="R850" s="1" t="s">
        <v>8070</v>
      </c>
      <c r="S850" s="1" t="s">
        <v>8071</v>
      </c>
      <c r="T850" s="1" t="s">
        <v>8072</v>
      </c>
      <c r="U850">
        <v>2472.34</v>
      </c>
      <c r="V850">
        <v>2321.14</v>
      </c>
      <c r="W850">
        <v>13.021641000000001</v>
      </c>
      <c r="X850">
        <v>109.280637</v>
      </c>
      <c r="Y850">
        <v>151.21</v>
      </c>
      <c r="Z850">
        <v>12.983107</v>
      </c>
      <c r="AA850">
        <v>109.095792</v>
      </c>
      <c r="AB850" s="5">
        <f t="shared" si="79"/>
        <v>3.4817100000000001</v>
      </c>
      <c r="AC850" s="5">
        <f t="shared" si="80"/>
        <v>0.22681499999999999</v>
      </c>
      <c r="AD850" s="1" t="str">
        <f t="shared" si="81"/>
        <v>ILA Sơn Thành</v>
      </c>
      <c r="AE850" s="1" t="str">
        <f t="shared" si="82"/>
        <v>TT2 Đăk Lăk (Tuy Hòa)</v>
      </c>
      <c r="AG850">
        <f t="shared" si="83"/>
        <v>2.3211399999999998</v>
      </c>
      <c r="AH850">
        <f t="shared" si="84"/>
        <v>0.15121000000000001</v>
      </c>
      <c r="AI850" t="e">
        <f>VLOOKUP(L850,'[1]Tuyến cáp H04'!$B:$E,3,0)/1000</f>
        <v>#N/A</v>
      </c>
      <c r="AJ850" t="e">
        <f>VLOOKUP(L850,'[1]Tuyến cáp H04'!$B:$E,4,0)</f>
        <v>#N/A</v>
      </c>
    </row>
    <row r="851" spans="1:36" x14ac:dyDescent="0.25">
      <c r="A851" s="1" t="s">
        <v>8073</v>
      </c>
      <c r="B851" s="1" t="s">
        <v>8061</v>
      </c>
      <c r="C851" s="1" t="s">
        <v>8062</v>
      </c>
      <c r="D851" s="1" t="s">
        <v>8074</v>
      </c>
      <c r="E851" s="1" t="s">
        <v>8075</v>
      </c>
      <c r="F851" s="1" t="s">
        <v>8076</v>
      </c>
      <c r="G851" s="1" t="s">
        <v>14129</v>
      </c>
      <c r="H851" s="1" t="s">
        <v>14130</v>
      </c>
      <c r="I851" s="1" t="s">
        <v>14965</v>
      </c>
      <c r="J851" s="1" t="s">
        <v>23</v>
      </c>
      <c r="K851" s="1"/>
      <c r="L851" s="1" t="s">
        <v>8064</v>
      </c>
      <c r="M851" s="1" t="s">
        <v>8077</v>
      </c>
      <c r="N851" s="1" t="s">
        <v>8069</v>
      </c>
      <c r="O851" s="1" t="s">
        <v>8070</v>
      </c>
      <c r="P851" s="1" t="s">
        <v>8071</v>
      </c>
      <c r="Q851" s="1" t="s">
        <v>8078</v>
      </c>
      <c r="R851" s="1" t="s">
        <v>8067</v>
      </c>
      <c r="S851" s="1" t="s">
        <v>8068</v>
      </c>
      <c r="T851" s="1" t="s">
        <v>8072</v>
      </c>
      <c r="U851">
        <v>8389.08</v>
      </c>
      <c r="V851">
        <v>151.21</v>
      </c>
      <c r="W851">
        <v>12.983107</v>
      </c>
      <c r="X851">
        <v>109.095792</v>
      </c>
      <c r="Y851">
        <v>8237.8700000000008</v>
      </c>
      <c r="Z851">
        <v>13.021641000000001</v>
      </c>
      <c r="AA851">
        <v>109.280637</v>
      </c>
      <c r="AB851" s="5">
        <f t="shared" si="79"/>
        <v>0.22681499999999999</v>
      </c>
      <c r="AC851" s="5">
        <f t="shared" si="80"/>
        <v>12.356805</v>
      </c>
      <c r="AD851" s="1" t="str">
        <f t="shared" si="81"/>
        <v>ILA Sơn Thành</v>
      </c>
      <c r="AE851" s="1" t="str">
        <f t="shared" si="82"/>
        <v>TT2 Đăk Lăk (Tuy Hòa)</v>
      </c>
      <c r="AG851">
        <f t="shared" si="83"/>
        <v>0.15121000000000001</v>
      </c>
      <c r="AH851">
        <f t="shared" si="84"/>
        <v>8.2378700000000009</v>
      </c>
      <c r="AI851" t="e">
        <f>VLOOKUP(L851,'[1]Tuyến cáp H04'!$B:$E,3,0)/1000</f>
        <v>#N/A</v>
      </c>
      <c r="AJ851" t="e">
        <f>VLOOKUP(L851,'[1]Tuyến cáp H04'!$B:$E,4,0)</f>
        <v>#N/A</v>
      </c>
    </row>
    <row r="852" spans="1:36" x14ac:dyDescent="0.25">
      <c r="A852" s="1" t="s">
        <v>8079</v>
      </c>
      <c r="B852" s="1" t="s">
        <v>8080</v>
      </c>
      <c r="C852" s="1" t="s">
        <v>8081</v>
      </c>
      <c r="D852" s="1" t="s">
        <v>8082</v>
      </c>
      <c r="E852" s="1" t="s">
        <v>8083</v>
      </c>
      <c r="F852" s="1" t="s">
        <v>8084</v>
      </c>
      <c r="G852" s="1" t="s">
        <v>14129</v>
      </c>
      <c r="H852" s="1" t="s">
        <v>14130</v>
      </c>
      <c r="I852" s="1" t="s">
        <v>14966</v>
      </c>
      <c r="J852" s="1" t="s">
        <v>23</v>
      </c>
      <c r="K852" s="1"/>
      <c r="L852" s="1" t="s">
        <v>8085</v>
      </c>
      <c r="M852" s="1" t="s">
        <v>8086</v>
      </c>
      <c r="N852" s="1" t="s">
        <v>8087</v>
      </c>
      <c r="O852" s="1" t="s">
        <v>8088</v>
      </c>
      <c r="P852" s="1" t="s">
        <v>8089</v>
      </c>
      <c r="Q852" s="1" t="s">
        <v>8090</v>
      </c>
      <c r="R852" s="1" t="s">
        <v>8091</v>
      </c>
      <c r="S852" s="1" t="s">
        <v>8092</v>
      </c>
      <c r="T852" s="1" t="s">
        <v>8093</v>
      </c>
      <c r="U852">
        <v>1023.35</v>
      </c>
      <c r="V852">
        <v>196.77</v>
      </c>
      <c r="W852">
        <v>13.064997</v>
      </c>
      <c r="X852">
        <v>109.02645800000001</v>
      </c>
      <c r="Y852">
        <v>826.58</v>
      </c>
      <c r="Z852">
        <v>13.017182999999999</v>
      </c>
      <c r="AA852">
        <v>109.202381</v>
      </c>
      <c r="AB852" s="5">
        <f t="shared" si="79"/>
        <v>0.29515500000000006</v>
      </c>
      <c r="AC852" s="5">
        <f t="shared" si="80"/>
        <v>1.23987</v>
      </c>
      <c r="AD852" s="1" t="str">
        <f t="shared" si="81"/>
        <v>ILA Sông Hinh</v>
      </c>
      <c r="AE852" s="1" t="str">
        <f t="shared" si="82"/>
        <v>TT2 Đăk Lăk (Tuy Hòa)</v>
      </c>
      <c r="AG852">
        <f t="shared" si="83"/>
        <v>0.19677</v>
      </c>
      <c r="AH852">
        <f t="shared" si="84"/>
        <v>0.82658000000000009</v>
      </c>
      <c r="AI852" t="e">
        <f>VLOOKUP(L852,'[1]Tuyến cáp H04'!$B:$E,3,0)/1000</f>
        <v>#N/A</v>
      </c>
      <c r="AJ852" t="e">
        <f>VLOOKUP(L852,'[1]Tuyến cáp H04'!$B:$E,4,0)</f>
        <v>#N/A</v>
      </c>
    </row>
    <row r="853" spans="1:36" x14ac:dyDescent="0.25">
      <c r="A853" s="1" t="s">
        <v>8094</v>
      </c>
      <c r="B853" s="1" t="s">
        <v>8082</v>
      </c>
      <c r="C853" s="1" t="s">
        <v>8083</v>
      </c>
      <c r="D853" s="1" t="s">
        <v>8074</v>
      </c>
      <c r="E853" s="1" t="s">
        <v>8075</v>
      </c>
      <c r="F853" s="1" t="s">
        <v>8095</v>
      </c>
      <c r="G853" s="1" t="s">
        <v>14129</v>
      </c>
      <c r="H853" s="1" t="s">
        <v>14130</v>
      </c>
      <c r="I853" s="1" t="s">
        <v>14967</v>
      </c>
      <c r="J853" s="1" t="s">
        <v>23</v>
      </c>
      <c r="K853" s="1"/>
      <c r="L853" s="1" t="s">
        <v>8096</v>
      </c>
      <c r="M853" s="1" t="s">
        <v>8097</v>
      </c>
      <c r="N853" s="1" t="s">
        <v>8098</v>
      </c>
      <c r="O853" s="1" t="s">
        <v>8099</v>
      </c>
      <c r="P853" s="1" t="s">
        <v>8100</v>
      </c>
      <c r="Q853" s="1" t="s">
        <v>8101</v>
      </c>
      <c r="R853" s="1" t="s">
        <v>8102</v>
      </c>
      <c r="S853" s="1" t="s">
        <v>8103</v>
      </c>
      <c r="T853" s="1" t="s">
        <v>8104</v>
      </c>
      <c r="U853">
        <v>5411.44</v>
      </c>
      <c r="V853">
        <v>533.28</v>
      </c>
      <c r="W853">
        <v>13.018408000000001</v>
      </c>
      <c r="X853">
        <v>109.20801899999999</v>
      </c>
      <c r="Y853">
        <v>4878.16</v>
      </c>
      <c r="Z853">
        <v>13.063355</v>
      </c>
      <c r="AA853">
        <v>109.26153100000001</v>
      </c>
      <c r="AB853" s="5">
        <f t="shared" si="79"/>
        <v>0.79991999999999996</v>
      </c>
      <c r="AC853" s="5">
        <f t="shared" si="80"/>
        <v>7.31724</v>
      </c>
      <c r="AD853" s="1" t="str">
        <f t="shared" si="81"/>
        <v>Tuy Hòa</v>
      </c>
      <c r="AE853" s="1" t="str">
        <f t="shared" si="82"/>
        <v>Sơn Hòa</v>
      </c>
      <c r="AG853">
        <f t="shared" si="83"/>
        <v>0.53327999999999998</v>
      </c>
      <c r="AH853">
        <f t="shared" si="84"/>
        <v>4.8781600000000003</v>
      </c>
      <c r="AI853">
        <f>VLOOKUP(L853,'[1]Tuyến cáp H04'!$B:$E,3,0)/1000</f>
        <v>46.665999999999997</v>
      </c>
      <c r="AJ853" t="str">
        <f>VLOOKUP(L853,'[1]Tuyến cáp H04'!$B:$E,4,0)</f>
        <v>Mạng cấp 3</v>
      </c>
    </row>
    <row r="854" spans="1:36" x14ac:dyDescent="0.25">
      <c r="A854" s="1" t="s">
        <v>8105</v>
      </c>
      <c r="B854" s="1" t="s">
        <v>8106</v>
      </c>
      <c r="C854" s="1" t="s">
        <v>8107</v>
      </c>
      <c r="D854" s="1" t="s">
        <v>8108</v>
      </c>
      <c r="E854" s="1" t="s">
        <v>8109</v>
      </c>
      <c r="F854" s="1" t="s">
        <v>8110</v>
      </c>
      <c r="G854" s="1" t="s">
        <v>14129</v>
      </c>
      <c r="H854" s="1" t="s">
        <v>14130</v>
      </c>
      <c r="I854" s="1" t="s">
        <v>14968</v>
      </c>
      <c r="J854" s="1" t="s">
        <v>23</v>
      </c>
      <c r="K854" s="1"/>
      <c r="L854" s="1" t="s">
        <v>8111</v>
      </c>
      <c r="M854" s="1" t="s">
        <v>8112</v>
      </c>
      <c r="N854" s="1" t="s">
        <v>8113</v>
      </c>
      <c r="O854" s="1" t="s">
        <v>8114</v>
      </c>
      <c r="P854" s="1" t="s">
        <v>8115</v>
      </c>
      <c r="Q854" s="1" t="s">
        <v>8116</v>
      </c>
      <c r="R854" s="1" t="s">
        <v>8117</v>
      </c>
      <c r="S854" s="1" t="s">
        <v>8118</v>
      </c>
      <c r="T854" s="1" t="s">
        <v>8119</v>
      </c>
      <c r="U854">
        <v>367.94</v>
      </c>
      <c r="V854">
        <v>234.35</v>
      </c>
      <c r="W854">
        <v>13.203866</v>
      </c>
      <c r="X854">
        <v>109.269097</v>
      </c>
      <c r="Y854">
        <v>133.6</v>
      </c>
      <c r="Z854">
        <v>13.308895</v>
      </c>
      <c r="AA854">
        <v>109.214591</v>
      </c>
      <c r="AB854" s="5">
        <f t="shared" si="79"/>
        <v>0.35152499999999998</v>
      </c>
      <c r="AC854" s="5">
        <f t="shared" si="80"/>
        <v>0.20039999999999997</v>
      </c>
      <c r="AD854" s="1" t="str">
        <f t="shared" si="81"/>
        <v>Sông Cầu</v>
      </c>
      <c r="AE854" s="1" t="str">
        <f t="shared" si="82"/>
        <v>TT2 Tuy Hòa</v>
      </c>
      <c r="AG854">
        <f t="shared" si="83"/>
        <v>0.23435</v>
      </c>
      <c r="AH854">
        <f t="shared" si="84"/>
        <v>0.1336</v>
      </c>
      <c r="AI854">
        <f>VLOOKUP(L854,'[1]Tuyến cáp H04'!$B:$E,3,0)/1000</f>
        <v>48.265999999999998</v>
      </c>
      <c r="AJ854" t="str">
        <f>VLOOKUP(L854,'[1]Tuyến cáp H04'!$B:$E,4,0)</f>
        <v>Mạng cấp 3</v>
      </c>
    </row>
    <row r="855" spans="1:36" x14ac:dyDescent="0.25">
      <c r="A855" s="1" t="s">
        <v>8120</v>
      </c>
      <c r="B855" s="1" t="s">
        <v>8108</v>
      </c>
      <c r="C855" s="1" t="s">
        <v>8109</v>
      </c>
      <c r="D855" s="1" t="s">
        <v>8121</v>
      </c>
      <c r="E855" s="1" t="s">
        <v>8122</v>
      </c>
      <c r="F855" s="1" t="s">
        <v>8123</v>
      </c>
      <c r="G855" s="1" t="s">
        <v>14129</v>
      </c>
      <c r="H855" s="1" t="s">
        <v>14130</v>
      </c>
      <c r="I855" s="1" t="s">
        <v>14969</v>
      </c>
      <c r="J855" s="1" t="s">
        <v>23</v>
      </c>
      <c r="K855" s="1"/>
      <c r="L855" s="1" t="s">
        <v>8124</v>
      </c>
      <c r="M855" s="1" t="s">
        <v>8125</v>
      </c>
      <c r="N855" s="1" t="s">
        <v>8126</v>
      </c>
      <c r="O855" s="1" t="s">
        <v>8127</v>
      </c>
      <c r="P855" s="1" t="s">
        <v>8128</v>
      </c>
      <c r="Q855" s="1" t="s">
        <v>8129</v>
      </c>
      <c r="R855" s="1" t="s">
        <v>8130</v>
      </c>
      <c r="S855" s="1" t="s">
        <v>8131</v>
      </c>
      <c r="T855" s="1" t="s">
        <v>8132</v>
      </c>
      <c r="U855">
        <v>3838.71</v>
      </c>
      <c r="V855">
        <v>61.31</v>
      </c>
      <c r="W855">
        <v>13.307845</v>
      </c>
      <c r="X855">
        <v>109.215296</v>
      </c>
      <c r="Y855">
        <v>3777.4</v>
      </c>
      <c r="Z855">
        <v>13.366142</v>
      </c>
      <c r="AA855">
        <v>109.14108</v>
      </c>
      <c r="AB855" s="5">
        <f t="shared" si="79"/>
        <v>9.1965000000000005E-2</v>
      </c>
      <c r="AC855" s="5">
        <f t="shared" si="80"/>
        <v>5.6661000000000001</v>
      </c>
      <c r="AD855" s="1" t="str">
        <f t="shared" si="81"/>
        <v>Xuân Đài</v>
      </c>
      <c r="AE855" s="1" t="str">
        <f t="shared" si="82"/>
        <v>Tuy An Bắc</v>
      </c>
      <c r="AG855">
        <f t="shared" si="83"/>
        <v>6.1310000000000003E-2</v>
      </c>
      <c r="AH855">
        <f t="shared" si="84"/>
        <v>3.7774000000000001</v>
      </c>
      <c r="AI855" t="e">
        <f>VLOOKUP(L855,'[1]Tuyến cáp H04'!$B:$E,3,0)/1000</f>
        <v>#N/A</v>
      </c>
      <c r="AJ855" t="e">
        <f>VLOOKUP(L855,'[1]Tuyến cáp H04'!$B:$E,4,0)</f>
        <v>#N/A</v>
      </c>
    </row>
    <row r="856" spans="1:36" x14ac:dyDescent="0.25">
      <c r="A856" s="1" t="s">
        <v>8133</v>
      </c>
      <c r="B856" s="1" t="s">
        <v>8121</v>
      </c>
      <c r="C856" s="1" t="s">
        <v>8122</v>
      </c>
      <c r="D856" s="1" t="s">
        <v>8134</v>
      </c>
      <c r="E856" s="1" t="s">
        <v>8135</v>
      </c>
      <c r="F856" s="1" t="s">
        <v>8136</v>
      </c>
      <c r="G856" s="1" t="s">
        <v>14129</v>
      </c>
      <c r="H856" s="1" t="s">
        <v>14130</v>
      </c>
      <c r="I856" s="1" t="s">
        <v>14970</v>
      </c>
      <c r="J856" s="1" t="s">
        <v>23</v>
      </c>
      <c r="K856" s="1"/>
      <c r="L856" s="1" t="s">
        <v>8137</v>
      </c>
      <c r="M856" s="1" t="s">
        <v>8138</v>
      </c>
      <c r="N856" s="1" t="s">
        <v>8139</v>
      </c>
      <c r="O856" s="1" t="s">
        <v>8140</v>
      </c>
      <c r="P856" s="1" t="s">
        <v>8141</v>
      </c>
      <c r="Q856" s="1" t="s">
        <v>8142</v>
      </c>
      <c r="R856" s="1" t="s">
        <v>8143</v>
      </c>
      <c r="S856" s="1" t="s">
        <v>8144</v>
      </c>
      <c r="T856" s="1" t="s">
        <v>8145</v>
      </c>
      <c r="U856">
        <v>12956.23</v>
      </c>
      <c r="V856">
        <v>2136.63</v>
      </c>
      <c r="W856">
        <v>13.361313000000001</v>
      </c>
      <c r="X856">
        <v>109.097143</v>
      </c>
      <c r="Y856">
        <v>10819.6</v>
      </c>
      <c r="Z856">
        <v>13.301634999999999</v>
      </c>
      <c r="AA856">
        <v>109.07319</v>
      </c>
      <c r="AB856" s="5">
        <f t="shared" si="79"/>
        <v>3.2049450000000004</v>
      </c>
      <c r="AC856" s="5">
        <f t="shared" si="80"/>
        <v>16.229400000000002</v>
      </c>
      <c r="AD856" s="1" t="str">
        <f t="shared" si="81"/>
        <v>CAX Sơn Định (Sơn Hòa)</v>
      </c>
      <c r="AE856" s="1" t="str">
        <f t="shared" si="82"/>
        <v>Đồng Xuân</v>
      </c>
      <c r="AG856">
        <f t="shared" si="83"/>
        <v>2.1366300000000003</v>
      </c>
      <c r="AH856">
        <f t="shared" si="84"/>
        <v>10.819600000000001</v>
      </c>
      <c r="AI856">
        <f>VLOOKUP(L856,'[1]Tuyến cáp H04'!$B:$E,3,0)/1000</f>
        <v>26.63</v>
      </c>
      <c r="AJ856" t="str">
        <f>VLOOKUP(L856,'[1]Tuyến cáp H04'!$B:$E,4,0)</f>
        <v>Mạng cấp 3</v>
      </c>
    </row>
    <row r="857" spans="1:36" x14ac:dyDescent="0.25">
      <c r="A857" s="1" t="s">
        <v>8146</v>
      </c>
      <c r="B857" s="1" t="s">
        <v>8134</v>
      </c>
      <c r="C857" s="1" t="s">
        <v>8135</v>
      </c>
      <c r="D857" s="1" t="s">
        <v>8074</v>
      </c>
      <c r="E857" s="1" t="s">
        <v>8075</v>
      </c>
      <c r="F857" s="1" t="s">
        <v>8147</v>
      </c>
      <c r="G857" s="1" t="s">
        <v>14129</v>
      </c>
      <c r="H857" s="1" t="s">
        <v>14130</v>
      </c>
      <c r="I857" s="1" t="s">
        <v>14971</v>
      </c>
      <c r="J857" s="1" t="s">
        <v>23</v>
      </c>
      <c r="K857" s="1"/>
      <c r="L857" s="1" t="s">
        <v>8148</v>
      </c>
      <c r="M857" s="1" t="s">
        <v>8149</v>
      </c>
      <c r="N857" s="1" t="s">
        <v>8150</v>
      </c>
      <c r="O857" s="1" t="s">
        <v>8151</v>
      </c>
      <c r="P857" s="1" t="s">
        <v>8152</v>
      </c>
      <c r="Q857" s="1" t="s">
        <v>8153</v>
      </c>
      <c r="R857" s="1" t="s">
        <v>8154</v>
      </c>
      <c r="S857" s="1" t="s">
        <v>8155</v>
      </c>
      <c r="T857" s="1" t="s">
        <v>8156</v>
      </c>
      <c r="U857">
        <v>19263.05</v>
      </c>
      <c r="V857">
        <v>98.5</v>
      </c>
      <c r="W857">
        <v>13.20501</v>
      </c>
      <c r="X857">
        <v>109.064284</v>
      </c>
      <c r="Y857">
        <v>19164.55</v>
      </c>
      <c r="Z857">
        <v>13.163214</v>
      </c>
      <c r="AA857">
        <v>109.13059</v>
      </c>
      <c r="AB857" s="5">
        <f t="shared" si="79"/>
        <v>0.14774999999999999</v>
      </c>
      <c r="AC857" s="5">
        <f t="shared" si="80"/>
        <v>28.746824999999998</v>
      </c>
      <c r="AD857" s="1" t="str">
        <f t="shared" si="81"/>
        <v>Xuân Phước</v>
      </c>
      <c r="AE857" s="1" t="str">
        <f t="shared" si="82"/>
        <v>Vân Hòa</v>
      </c>
      <c r="AG857">
        <f t="shared" si="83"/>
        <v>9.8500000000000004E-2</v>
      </c>
      <c r="AH857">
        <f t="shared" si="84"/>
        <v>19.164549999999998</v>
      </c>
      <c r="AI857">
        <f>VLOOKUP(L857,'[1]Tuyến cáp H04'!$B:$E,3,0)/1000</f>
        <v>29.954000000000001</v>
      </c>
      <c r="AJ857" t="str">
        <f>VLOOKUP(L857,'[1]Tuyến cáp H04'!$B:$E,4,0)</f>
        <v>Mạng cấp 4</v>
      </c>
    </row>
    <row r="858" spans="1:36" x14ac:dyDescent="0.25">
      <c r="A858" s="1" t="s">
        <v>8157</v>
      </c>
      <c r="B858" s="1" t="s">
        <v>8158</v>
      </c>
      <c r="C858" s="1" t="s">
        <v>8159</v>
      </c>
      <c r="D858" s="1" t="s">
        <v>8160</v>
      </c>
      <c r="E858" s="1" t="s">
        <v>8161</v>
      </c>
      <c r="F858" s="1" t="s">
        <v>8162</v>
      </c>
      <c r="G858" s="1" t="s">
        <v>14129</v>
      </c>
      <c r="H858" s="1" t="s">
        <v>14130</v>
      </c>
      <c r="I858" s="1" t="s">
        <v>14972</v>
      </c>
      <c r="J858" s="1" t="s">
        <v>23</v>
      </c>
      <c r="K858" s="1"/>
      <c r="L858" s="1" t="s">
        <v>8163</v>
      </c>
      <c r="M858" s="1" t="s">
        <v>8164</v>
      </c>
      <c r="N858" s="1" t="s">
        <v>8165</v>
      </c>
      <c r="O858" s="1" t="s">
        <v>8166</v>
      </c>
      <c r="P858" s="1" t="s">
        <v>8167</v>
      </c>
      <c r="Q858" s="1" t="s">
        <v>8168</v>
      </c>
      <c r="R858" s="1" t="s">
        <v>8169</v>
      </c>
      <c r="S858" s="1" t="s">
        <v>8170</v>
      </c>
      <c r="T858" s="1" t="s">
        <v>8171</v>
      </c>
      <c r="U858">
        <v>322.97000000000003</v>
      </c>
      <c r="V858">
        <v>220.97</v>
      </c>
      <c r="W858">
        <v>12.976203999999999</v>
      </c>
      <c r="X858">
        <v>108.24108099999999</v>
      </c>
      <c r="Y858">
        <v>102</v>
      </c>
      <c r="Z858">
        <v>12.970822</v>
      </c>
      <c r="AA858">
        <v>108.244495</v>
      </c>
      <c r="AB858" s="5">
        <f t="shared" si="79"/>
        <v>0.331455</v>
      </c>
      <c r="AC858" s="5">
        <f t="shared" si="80"/>
        <v>0.153</v>
      </c>
      <c r="AD858" s="1" t="str">
        <f t="shared" si="81"/>
        <v>Buôn Hồ</v>
      </c>
      <c r="AE858" s="1" t="str">
        <f t="shared" si="82"/>
        <v>Ea H'Leo</v>
      </c>
      <c r="AG858">
        <f t="shared" si="83"/>
        <v>0.22097</v>
      </c>
      <c r="AH858">
        <f t="shared" si="84"/>
        <v>0.10199999999999999</v>
      </c>
      <c r="AI858">
        <f>VLOOKUP(L858,'[1]Tuyến cáp H04'!$B:$E,3,0)/1000</f>
        <v>36.590000000000003</v>
      </c>
      <c r="AJ858" t="str">
        <f>VLOOKUP(L858,'[1]Tuyến cáp H04'!$B:$E,4,0)</f>
        <v>Mạng cấp 3</v>
      </c>
    </row>
    <row r="859" spans="1:36" x14ac:dyDescent="0.25">
      <c r="A859" s="1" t="s">
        <v>8172</v>
      </c>
      <c r="B859" s="1" t="s">
        <v>8173</v>
      </c>
      <c r="C859" s="1" t="s">
        <v>8174</v>
      </c>
      <c r="D859" s="1" t="s">
        <v>8175</v>
      </c>
      <c r="E859" s="1" t="s">
        <v>8176</v>
      </c>
      <c r="F859" s="1" t="s">
        <v>8177</v>
      </c>
      <c r="G859" s="1" t="s">
        <v>14129</v>
      </c>
      <c r="H859" s="1" t="s">
        <v>14130</v>
      </c>
      <c r="I859" s="1" t="s">
        <v>14973</v>
      </c>
      <c r="J859" s="1" t="s">
        <v>23</v>
      </c>
      <c r="K859" s="1"/>
      <c r="L859" s="1" t="s">
        <v>8178</v>
      </c>
      <c r="M859" s="1" t="s">
        <v>8179</v>
      </c>
      <c r="N859" s="1" t="s">
        <v>8180</v>
      </c>
      <c r="O859" s="1" t="s">
        <v>8181</v>
      </c>
      <c r="P859" s="1" t="s">
        <v>8182</v>
      </c>
      <c r="Q859" s="1" t="s">
        <v>8183</v>
      </c>
      <c r="R859" s="1" t="s">
        <v>8184</v>
      </c>
      <c r="S859" s="1" t="s">
        <v>8185</v>
      </c>
      <c r="T859" s="1" t="s">
        <v>8186</v>
      </c>
      <c r="U859">
        <v>2602.67</v>
      </c>
      <c r="V859">
        <v>2478.59</v>
      </c>
      <c r="W859">
        <v>12.651996</v>
      </c>
      <c r="X859">
        <v>108.101606</v>
      </c>
      <c r="Y859">
        <v>124.09</v>
      </c>
      <c r="Z859">
        <v>12.653543000000001</v>
      </c>
      <c r="AA859">
        <v>108.107871</v>
      </c>
      <c r="AB859" s="5">
        <f t="shared" si="79"/>
        <v>3.7178850000000003</v>
      </c>
      <c r="AC859" s="5">
        <f t="shared" si="80"/>
        <v>0.18613499999999999</v>
      </c>
      <c r="AD859" s="1" t="str">
        <f t="shared" si="81"/>
        <v>CAT Đắk Lắk</v>
      </c>
      <c r="AE859" s="1" t="str">
        <f t="shared" si="82"/>
        <v>Tân Lập</v>
      </c>
      <c r="AG859">
        <f t="shared" si="83"/>
        <v>2.4785900000000001</v>
      </c>
      <c r="AH859">
        <f t="shared" si="84"/>
        <v>0.12409000000000001</v>
      </c>
      <c r="AI859">
        <f>VLOOKUP(L859,'[1]Tuyến cáp H04'!$B:$E,3,0)/1000</f>
        <v>12.103999999999999</v>
      </c>
      <c r="AJ859" t="str">
        <f>VLOOKUP(L859,'[1]Tuyến cáp H04'!$B:$E,4,0)</f>
        <v>Mạng cấp 4</v>
      </c>
    </row>
    <row r="860" spans="1:36" x14ac:dyDescent="0.25">
      <c r="A860" s="1" t="s">
        <v>8187</v>
      </c>
      <c r="B860" s="1" t="s">
        <v>8188</v>
      </c>
      <c r="C860" s="1" t="s">
        <v>8189</v>
      </c>
      <c r="D860" s="1" t="s">
        <v>8190</v>
      </c>
      <c r="E860" s="1" t="s">
        <v>8191</v>
      </c>
      <c r="F860" s="1" t="s">
        <v>8192</v>
      </c>
      <c r="G860" s="1" t="s">
        <v>14129</v>
      </c>
      <c r="H860" s="1" t="s">
        <v>14130</v>
      </c>
      <c r="I860" s="1" t="s">
        <v>14974</v>
      </c>
      <c r="J860" s="1" t="s">
        <v>23</v>
      </c>
      <c r="K860" s="1"/>
      <c r="L860" s="1" t="s">
        <v>8193</v>
      </c>
      <c r="M860" s="1" t="s">
        <v>8194</v>
      </c>
      <c r="N860" s="1" t="s">
        <v>8195</v>
      </c>
      <c r="O860" s="1" t="s">
        <v>8196</v>
      </c>
      <c r="P860" s="1" t="s">
        <v>8197</v>
      </c>
      <c r="Q860" s="1" t="s">
        <v>8198</v>
      </c>
      <c r="R860" s="1" t="s">
        <v>8199</v>
      </c>
      <c r="S860" s="1" t="s">
        <v>8200</v>
      </c>
      <c r="T860" s="1" t="s">
        <v>8201</v>
      </c>
      <c r="U860">
        <v>41.73</v>
      </c>
      <c r="V860">
        <v>20.57</v>
      </c>
      <c r="W860">
        <v>12.697198999999999</v>
      </c>
      <c r="X860">
        <v>108.072289</v>
      </c>
      <c r="Y860">
        <v>21.17</v>
      </c>
      <c r="Z860">
        <v>12.696991000000001</v>
      </c>
      <c r="AA860">
        <v>108.072281</v>
      </c>
      <c r="AB860" s="5">
        <f t="shared" si="79"/>
        <v>3.0855E-2</v>
      </c>
      <c r="AC860" s="5">
        <f t="shared" si="80"/>
        <v>3.1755000000000005E-2</v>
      </c>
      <c r="AD860" s="1" t="str">
        <f t="shared" si="81"/>
        <v>Tân An</v>
      </c>
      <c r="AE860" s="1" t="str">
        <f t="shared" si="82"/>
        <v>Cuôr Đăng</v>
      </c>
      <c r="AG860">
        <f t="shared" si="83"/>
        <v>2.0570000000000001E-2</v>
      </c>
      <c r="AH860">
        <f t="shared" si="84"/>
        <v>2.1170000000000001E-2</v>
      </c>
      <c r="AI860">
        <f>VLOOKUP(L860,'[1]Tuyến cáp H04'!$B:$E,3,0)/1000</f>
        <v>13.172000000000001</v>
      </c>
      <c r="AJ860" t="str">
        <f>VLOOKUP(L860,'[1]Tuyến cáp H04'!$B:$E,4,0)</f>
        <v>Mạng cấp 4</v>
      </c>
    </row>
    <row r="861" spans="1:36" x14ac:dyDescent="0.25">
      <c r="A861" s="1" t="s">
        <v>8202</v>
      </c>
      <c r="B861" s="1" t="s">
        <v>8203</v>
      </c>
      <c r="C861" s="1" t="s">
        <v>8204</v>
      </c>
      <c r="D861" s="1" t="s">
        <v>8175</v>
      </c>
      <c r="E861" s="1" t="s">
        <v>8176</v>
      </c>
      <c r="F861" s="1" t="s">
        <v>8205</v>
      </c>
      <c r="G861" s="1" t="s">
        <v>14129</v>
      </c>
      <c r="H861" s="1" t="s">
        <v>14130</v>
      </c>
      <c r="I861" s="1" t="s">
        <v>14975</v>
      </c>
      <c r="J861" s="1" t="s">
        <v>23</v>
      </c>
      <c r="K861" s="1"/>
      <c r="L861" s="1" t="s">
        <v>8206</v>
      </c>
      <c r="M861" s="1" t="s">
        <v>8207</v>
      </c>
      <c r="N861" s="1" t="s">
        <v>8208</v>
      </c>
      <c r="O861" s="1" t="s">
        <v>8209</v>
      </c>
      <c r="P861" s="1" t="s">
        <v>8210</v>
      </c>
      <c r="Q861" s="1" t="s">
        <v>8211</v>
      </c>
      <c r="R861" s="1" t="s">
        <v>8212</v>
      </c>
      <c r="S861" s="1" t="s">
        <v>8213</v>
      </c>
      <c r="T861" s="1" t="s">
        <v>8214</v>
      </c>
      <c r="U861">
        <v>446.98</v>
      </c>
      <c r="V861">
        <v>328</v>
      </c>
      <c r="W861">
        <v>12.668918</v>
      </c>
      <c r="X861">
        <v>108.097835</v>
      </c>
      <c r="Y861">
        <v>118.99</v>
      </c>
      <c r="Z861">
        <v>12.655568000000001</v>
      </c>
      <c r="AA861">
        <v>108.107465</v>
      </c>
      <c r="AB861" s="5">
        <f t="shared" si="79"/>
        <v>0.49199999999999999</v>
      </c>
      <c r="AC861" s="5">
        <f t="shared" si="80"/>
        <v>0.17848499999999998</v>
      </c>
      <c r="AD861" s="1" t="str">
        <f t="shared" si="81"/>
        <v>Tân Lập</v>
      </c>
      <c r="AE861" s="1" t="str">
        <f t="shared" si="82"/>
        <v>Ea Knuec</v>
      </c>
      <c r="AG861">
        <f t="shared" si="83"/>
        <v>0.32800000000000001</v>
      </c>
      <c r="AH861">
        <f t="shared" si="84"/>
        <v>0.11899</v>
      </c>
      <c r="AI861" t="e">
        <f>VLOOKUP(L861,'[1]Tuyến cáp H04'!$B:$E,3,0)/1000</f>
        <v>#N/A</v>
      </c>
      <c r="AJ861" t="e">
        <f>VLOOKUP(L861,'[1]Tuyến cáp H04'!$B:$E,4,0)</f>
        <v>#N/A</v>
      </c>
    </row>
    <row r="862" spans="1:36" x14ac:dyDescent="0.25">
      <c r="A862" s="1" t="s">
        <v>8215</v>
      </c>
      <c r="B862" s="1" t="s">
        <v>8216</v>
      </c>
      <c r="C862" s="1" t="s">
        <v>8217</v>
      </c>
      <c r="D862" s="1" t="s">
        <v>8218</v>
      </c>
      <c r="E862" s="1" t="s">
        <v>8219</v>
      </c>
      <c r="F862" s="1" t="s">
        <v>8220</v>
      </c>
      <c r="G862" s="1" t="s">
        <v>14129</v>
      </c>
      <c r="H862" s="1" t="s">
        <v>14130</v>
      </c>
      <c r="I862" s="1" t="s">
        <v>14976</v>
      </c>
      <c r="J862" s="1" t="s">
        <v>23</v>
      </c>
      <c r="K862" s="1"/>
      <c r="L862" s="1" t="s">
        <v>8221</v>
      </c>
      <c r="M862" s="1" t="s">
        <v>8222</v>
      </c>
      <c r="N862" s="1" t="s">
        <v>8223</v>
      </c>
      <c r="O862" s="1" t="s">
        <v>8224</v>
      </c>
      <c r="P862" s="1" t="s">
        <v>8225</v>
      </c>
      <c r="Q862" s="1" t="s">
        <v>8226</v>
      </c>
      <c r="R862" s="1" t="s">
        <v>8227</v>
      </c>
      <c r="S862" s="1" t="s">
        <v>8228</v>
      </c>
      <c r="T862" s="1" t="s">
        <v>8229</v>
      </c>
      <c r="U862">
        <v>2604.9299999999998</v>
      </c>
      <c r="V862">
        <v>2332.11</v>
      </c>
      <c r="W862">
        <v>13.132066</v>
      </c>
      <c r="X862">
        <v>108.325123</v>
      </c>
      <c r="Y862">
        <v>272.81</v>
      </c>
      <c r="Z862">
        <v>13.118876999999999</v>
      </c>
      <c r="AA862">
        <v>108.329477</v>
      </c>
      <c r="AB862" s="5">
        <f t="shared" si="79"/>
        <v>3.4981649999999997</v>
      </c>
      <c r="AC862" s="5">
        <f t="shared" si="80"/>
        <v>0.40921500000000005</v>
      </c>
      <c r="AD862" s="1" t="e">
        <f t="shared" si="81"/>
        <v>#VALUE!</v>
      </c>
      <c r="AE862" s="1" t="e">
        <f t="shared" si="82"/>
        <v>#VALUE!</v>
      </c>
      <c r="AG862">
        <f t="shared" si="83"/>
        <v>2.3321100000000001</v>
      </c>
      <c r="AH862">
        <f t="shared" si="84"/>
        <v>0.27281</v>
      </c>
      <c r="AI862" t="e">
        <f>VLOOKUP(L862,'[1]Tuyến cáp H04'!$B:$E,3,0)/1000</f>
        <v>#N/A</v>
      </c>
      <c r="AJ862" t="e">
        <f>VLOOKUP(L862,'[1]Tuyến cáp H04'!$B:$E,4,0)</f>
        <v>#N/A</v>
      </c>
    </row>
    <row r="863" spans="1:36" x14ac:dyDescent="0.25">
      <c r="A863" s="1" t="s">
        <v>8230</v>
      </c>
      <c r="B863" s="1" t="s">
        <v>8231</v>
      </c>
      <c r="C863" s="1" t="s">
        <v>8232</v>
      </c>
      <c r="D863" s="1" t="s">
        <v>8233</v>
      </c>
      <c r="E863" s="1" t="s">
        <v>8234</v>
      </c>
      <c r="F863" s="1" t="s">
        <v>8235</v>
      </c>
      <c r="G863" s="1" t="s">
        <v>14129</v>
      </c>
      <c r="H863" s="1" t="s">
        <v>14130</v>
      </c>
      <c r="I863" s="1" t="s">
        <v>14977</v>
      </c>
      <c r="J863" s="1" t="s">
        <v>23</v>
      </c>
      <c r="K863" s="1"/>
      <c r="L863" s="1" t="s">
        <v>8236</v>
      </c>
      <c r="M863" s="1" t="s">
        <v>8237</v>
      </c>
      <c r="N863" s="1" t="s">
        <v>8238</v>
      </c>
      <c r="O863" s="1" t="s">
        <v>8239</v>
      </c>
      <c r="P863" s="1" t="s">
        <v>8240</v>
      </c>
      <c r="Q863" s="1" t="s">
        <v>8241</v>
      </c>
      <c r="R863" s="1" t="s">
        <v>8242</v>
      </c>
      <c r="S863" s="1" t="s">
        <v>8243</v>
      </c>
      <c r="T863" s="1" t="s">
        <v>8244</v>
      </c>
      <c r="U863">
        <v>865.89</v>
      </c>
      <c r="V863">
        <v>39.79</v>
      </c>
      <c r="W863">
        <v>13.043096</v>
      </c>
      <c r="X863">
        <v>108.193259</v>
      </c>
      <c r="Y863">
        <v>826.1</v>
      </c>
      <c r="Z863">
        <v>13.043447</v>
      </c>
      <c r="AA863">
        <v>108.212785</v>
      </c>
      <c r="AB863" s="5">
        <f t="shared" si="79"/>
        <v>5.9685000000000002E-2</v>
      </c>
      <c r="AC863" s="5">
        <f t="shared" si="80"/>
        <v>1.2391500000000002</v>
      </c>
      <c r="AD863" s="1" t="e">
        <f t="shared" si="81"/>
        <v>#VALUE!</v>
      </c>
      <c r="AE863" s="1" t="e">
        <f t="shared" si="82"/>
        <v>#VALUE!</v>
      </c>
      <c r="AG863">
        <f t="shared" si="83"/>
        <v>3.9789999999999999E-2</v>
      </c>
      <c r="AH863">
        <f t="shared" si="84"/>
        <v>0.82610000000000006</v>
      </c>
      <c r="AI863" t="e">
        <f>VLOOKUP(L863,'[1]Tuyến cáp H04'!$B:$E,3,0)/1000</f>
        <v>#N/A</v>
      </c>
      <c r="AJ863" t="e">
        <f>VLOOKUP(L863,'[1]Tuyến cáp H04'!$B:$E,4,0)</f>
        <v>#N/A</v>
      </c>
    </row>
    <row r="864" spans="1:36" x14ac:dyDescent="0.25">
      <c r="A864" s="1" t="s">
        <v>8245</v>
      </c>
      <c r="B864" s="1" t="s">
        <v>8246</v>
      </c>
      <c r="C864" s="1" t="s">
        <v>8247</v>
      </c>
      <c r="D864" s="1" t="s">
        <v>8175</v>
      </c>
      <c r="E864" s="1" t="s">
        <v>8176</v>
      </c>
      <c r="F864" s="1" t="s">
        <v>8248</v>
      </c>
      <c r="G864" s="1" t="s">
        <v>14129</v>
      </c>
      <c r="H864" s="1" t="s">
        <v>14130</v>
      </c>
      <c r="I864" s="1" t="s">
        <v>14978</v>
      </c>
      <c r="J864" s="1" t="s">
        <v>23</v>
      </c>
      <c r="K864" s="1"/>
      <c r="L864" s="1" t="s">
        <v>8178</v>
      </c>
      <c r="M864" s="1" t="s">
        <v>8249</v>
      </c>
      <c r="N864" s="1" t="s">
        <v>8250</v>
      </c>
      <c r="O864" s="1" t="s">
        <v>8251</v>
      </c>
      <c r="P864" s="1" t="s">
        <v>8252</v>
      </c>
      <c r="Q864" s="1" t="s">
        <v>8253</v>
      </c>
      <c r="R864" s="1" t="s">
        <v>8254</v>
      </c>
      <c r="S864" s="1" t="s">
        <v>8255</v>
      </c>
      <c r="T864" s="1" t="s">
        <v>8256</v>
      </c>
      <c r="U864">
        <v>1653.43</v>
      </c>
      <c r="V864">
        <v>1644.17</v>
      </c>
      <c r="W864">
        <v>12.654529</v>
      </c>
      <c r="X864">
        <v>108.10768899999999</v>
      </c>
      <c r="Y864">
        <v>9.25</v>
      </c>
      <c r="Z864">
        <v>12.654432999999999</v>
      </c>
      <c r="AA864">
        <v>108.107332</v>
      </c>
      <c r="AB864" s="5">
        <f t="shared" si="79"/>
        <v>2.4662550000000003</v>
      </c>
      <c r="AC864" s="5">
        <f t="shared" si="80"/>
        <v>1.3875E-2</v>
      </c>
      <c r="AD864" s="1" t="str">
        <f t="shared" si="81"/>
        <v>CAT Đắk Lắk</v>
      </c>
      <c r="AE864" s="1" t="str">
        <f t="shared" si="82"/>
        <v>Tân Lập</v>
      </c>
      <c r="AG864">
        <f t="shared" si="83"/>
        <v>1.6441700000000001</v>
      </c>
      <c r="AH864">
        <f t="shared" si="84"/>
        <v>9.2499999999999995E-3</v>
      </c>
      <c r="AI864">
        <f>VLOOKUP(L864,'[1]Tuyến cáp H04'!$B:$E,3,0)/1000</f>
        <v>12.103999999999999</v>
      </c>
      <c r="AJ864" t="str">
        <f>VLOOKUP(L864,'[1]Tuyến cáp H04'!$B:$E,4,0)</f>
        <v>Mạng cấp 4</v>
      </c>
    </row>
    <row r="865" spans="1:36" x14ac:dyDescent="0.25">
      <c r="A865" s="1" t="s">
        <v>8257</v>
      </c>
      <c r="B865" s="1" t="s">
        <v>8258</v>
      </c>
      <c r="C865" s="1" t="s">
        <v>8259</v>
      </c>
      <c r="D865" s="1" t="s">
        <v>8260</v>
      </c>
      <c r="E865" s="1" t="s">
        <v>8261</v>
      </c>
      <c r="F865" s="1" t="s">
        <v>8262</v>
      </c>
      <c r="G865" s="1" t="s">
        <v>14129</v>
      </c>
      <c r="H865" s="1" t="s">
        <v>14130</v>
      </c>
      <c r="I865" s="1" t="s">
        <v>14979</v>
      </c>
      <c r="J865" s="1" t="s">
        <v>23</v>
      </c>
      <c r="K865" s="1"/>
      <c r="L865" s="1" t="s">
        <v>8263</v>
      </c>
      <c r="M865" s="1" t="s">
        <v>8264</v>
      </c>
      <c r="N865" s="1" t="s">
        <v>8265</v>
      </c>
      <c r="O865" s="1" t="s">
        <v>8266</v>
      </c>
      <c r="P865" s="1" t="s">
        <v>8267</v>
      </c>
      <c r="Q865" s="1" t="s">
        <v>8268</v>
      </c>
      <c r="R865" s="1" t="s">
        <v>8269</v>
      </c>
      <c r="S865" s="1" t="s">
        <v>8270</v>
      </c>
      <c r="T865" s="1" t="s">
        <v>8271</v>
      </c>
      <c r="U865">
        <v>118.57</v>
      </c>
      <c r="V865">
        <v>82.58</v>
      </c>
      <c r="W865">
        <v>12.951738000000001</v>
      </c>
      <c r="X865">
        <v>108.34278399999999</v>
      </c>
      <c r="Y865">
        <v>35.99</v>
      </c>
      <c r="Z865">
        <v>12.951675</v>
      </c>
      <c r="AA865">
        <v>108.344356</v>
      </c>
      <c r="AB865" s="5">
        <f t="shared" si="79"/>
        <v>0.12387000000000001</v>
      </c>
      <c r="AC865" s="5">
        <f t="shared" si="80"/>
        <v>5.3984999999999998E-2</v>
      </c>
      <c r="AD865" s="1" t="e">
        <f t="shared" si="81"/>
        <v>#VALUE!</v>
      </c>
      <c r="AE865" s="1" t="e">
        <f t="shared" si="82"/>
        <v>#VALUE!</v>
      </c>
      <c r="AG865">
        <f t="shared" si="83"/>
        <v>8.2580000000000001E-2</v>
      </c>
      <c r="AH865">
        <f t="shared" si="84"/>
        <v>3.5990000000000001E-2</v>
      </c>
      <c r="AI865" t="e">
        <f>VLOOKUP(L865,'[1]Tuyến cáp H04'!$B:$E,3,0)/1000</f>
        <v>#N/A</v>
      </c>
      <c r="AJ865" t="e">
        <f>VLOOKUP(L865,'[1]Tuyến cáp H04'!$B:$E,4,0)</f>
        <v>#N/A</v>
      </c>
    </row>
    <row r="866" spans="1:36" x14ac:dyDescent="0.25">
      <c r="A866" s="1" t="s">
        <v>8272</v>
      </c>
      <c r="B866" s="1" t="s">
        <v>8273</v>
      </c>
      <c r="C866" s="1" t="s">
        <v>8274</v>
      </c>
      <c r="D866" s="1" t="s">
        <v>8275</v>
      </c>
      <c r="E866" s="1" t="s">
        <v>8276</v>
      </c>
      <c r="F866" s="1" t="s">
        <v>8277</v>
      </c>
      <c r="G866" s="1" t="s">
        <v>14129</v>
      </c>
      <c r="H866" s="1" t="s">
        <v>14130</v>
      </c>
      <c r="I866" s="1" t="s">
        <v>14980</v>
      </c>
      <c r="J866" s="1" t="s">
        <v>23</v>
      </c>
      <c r="K866" s="1"/>
      <c r="L866" s="1" t="s">
        <v>8278</v>
      </c>
      <c r="M866" s="1" t="s">
        <v>8279</v>
      </c>
      <c r="N866" s="1" t="s">
        <v>8280</v>
      </c>
      <c r="O866" s="1" t="s">
        <v>8281</v>
      </c>
      <c r="P866" s="1" t="s">
        <v>8282</v>
      </c>
      <c r="Q866" s="1" t="s">
        <v>8283</v>
      </c>
      <c r="R866" s="1" t="s">
        <v>8284</v>
      </c>
      <c r="S866" s="1" t="s">
        <v>8285</v>
      </c>
      <c r="T866" s="1" t="s">
        <v>8286</v>
      </c>
      <c r="U866">
        <v>3053.22</v>
      </c>
      <c r="V866">
        <v>2975.67</v>
      </c>
      <c r="W866">
        <v>12.858968000000001</v>
      </c>
      <c r="X866">
        <v>107.96449200000001</v>
      </c>
      <c r="Y866">
        <v>77.55</v>
      </c>
      <c r="Z866">
        <v>12.860792</v>
      </c>
      <c r="AA866">
        <v>107.964518</v>
      </c>
      <c r="AB866" s="5">
        <f t="shared" si="79"/>
        <v>4.4635050000000005</v>
      </c>
      <c r="AC866" s="5">
        <f t="shared" si="80"/>
        <v>0.11632499999999998</v>
      </c>
      <c r="AD866" s="1" t="str">
        <f t="shared" si="81"/>
        <v>Quảng Phú</v>
      </c>
      <c r="AE866" s="1" t="str">
        <f t="shared" si="82"/>
        <v>Ea M’Droh</v>
      </c>
      <c r="AG866">
        <f t="shared" si="83"/>
        <v>2.97567</v>
      </c>
      <c r="AH866">
        <f t="shared" si="84"/>
        <v>7.7549999999999994E-2</v>
      </c>
      <c r="AI866">
        <f>VLOOKUP(L866,'[1]Tuyến cáp H04'!$B:$E,3,0)/1000</f>
        <v>14.443</v>
      </c>
      <c r="AJ866" t="str">
        <f>VLOOKUP(L866,'[1]Tuyến cáp H04'!$B:$E,4,0)</f>
        <v>Mạng cấp 4</v>
      </c>
    </row>
    <row r="867" spans="1:36" x14ac:dyDescent="0.25">
      <c r="A867" s="1" t="s">
        <v>8287</v>
      </c>
      <c r="B867" s="1" t="s">
        <v>8288</v>
      </c>
      <c r="C867" s="1" t="s">
        <v>8289</v>
      </c>
      <c r="D867" s="1" t="s">
        <v>8290</v>
      </c>
      <c r="E867" s="1" t="s">
        <v>8291</v>
      </c>
      <c r="F867" s="1" t="s">
        <v>8292</v>
      </c>
      <c r="G867" s="1" t="s">
        <v>14129</v>
      </c>
      <c r="H867" s="1" t="s">
        <v>14130</v>
      </c>
      <c r="I867" s="1" t="s">
        <v>14981</v>
      </c>
      <c r="J867" s="1" t="s">
        <v>23</v>
      </c>
      <c r="K867" s="1"/>
      <c r="L867" s="1" t="s">
        <v>8293</v>
      </c>
      <c r="M867" s="1" t="s">
        <v>8294</v>
      </c>
      <c r="N867" s="1" t="s">
        <v>8295</v>
      </c>
      <c r="O867" s="1" t="s">
        <v>8296</v>
      </c>
      <c r="P867" s="1" t="s">
        <v>8297</v>
      </c>
      <c r="Q867" s="1" t="s">
        <v>8298</v>
      </c>
      <c r="R867" s="1" t="s">
        <v>8299</v>
      </c>
      <c r="S867" s="1" t="s">
        <v>8300</v>
      </c>
      <c r="T867" s="1" t="s">
        <v>8301</v>
      </c>
      <c r="U867">
        <v>1733.38</v>
      </c>
      <c r="V867">
        <v>1616.38</v>
      </c>
      <c r="W867">
        <v>12.861891999999999</v>
      </c>
      <c r="X867">
        <v>108.106399</v>
      </c>
      <c r="Y867">
        <v>117.01</v>
      </c>
      <c r="Z867">
        <v>12.853419000000001</v>
      </c>
      <c r="AA867">
        <v>108.10435699999999</v>
      </c>
      <c r="AB867" s="5">
        <f t="shared" si="79"/>
        <v>2.4245700000000001</v>
      </c>
      <c r="AC867" s="5">
        <f t="shared" si="80"/>
        <v>0.175515</v>
      </c>
      <c r="AD867" s="1" t="str">
        <f t="shared" si="81"/>
        <v>Cư M'ga</v>
      </c>
      <c r="AE867" s="1" t="str">
        <f t="shared" si="82"/>
        <v>Buôn Hồ</v>
      </c>
      <c r="AG867">
        <f t="shared" si="83"/>
        <v>1.6163800000000001</v>
      </c>
      <c r="AH867">
        <f t="shared" si="84"/>
        <v>0.11701</v>
      </c>
      <c r="AI867">
        <f>VLOOKUP(L867,'[1]Tuyến cáp H04'!$B:$E,3,0)/1000</f>
        <v>38.145000000000003</v>
      </c>
      <c r="AJ867" t="str">
        <f>VLOOKUP(L867,'[1]Tuyến cáp H04'!$B:$E,4,0)</f>
        <v>Mạng cấp 3</v>
      </c>
    </row>
    <row r="868" spans="1:36" x14ac:dyDescent="0.25">
      <c r="A868" s="1" t="s">
        <v>8302</v>
      </c>
      <c r="B868" s="1" t="s">
        <v>8303</v>
      </c>
      <c r="C868" s="1" t="s">
        <v>8304</v>
      </c>
      <c r="D868" s="1" t="s">
        <v>8305</v>
      </c>
      <c r="E868" s="1" t="s">
        <v>8306</v>
      </c>
      <c r="F868" s="1" t="s">
        <v>8307</v>
      </c>
      <c r="G868" s="1" t="s">
        <v>14129</v>
      </c>
      <c r="H868" s="1" t="s">
        <v>14130</v>
      </c>
      <c r="I868" s="1" t="s">
        <v>14982</v>
      </c>
      <c r="J868" s="1" t="s">
        <v>23</v>
      </c>
      <c r="K868" s="1"/>
      <c r="L868" s="1" t="s">
        <v>8308</v>
      </c>
      <c r="M868" s="1" t="s">
        <v>8309</v>
      </c>
      <c r="N868" s="1" t="s">
        <v>8310</v>
      </c>
      <c r="O868" s="1" t="s">
        <v>8311</v>
      </c>
      <c r="P868" s="1" t="s">
        <v>8312</v>
      </c>
      <c r="Q868" s="1" t="s">
        <v>8313</v>
      </c>
      <c r="R868" s="1" t="s">
        <v>8314</v>
      </c>
      <c r="S868" s="1" t="s">
        <v>8315</v>
      </c>
      <c r="T868" s="1" t="s">
        <v>8316</v>
      </c>
      <c r="U868">
        <v>1016.45</v>
      </c>
      <c r="V868">
        <v>965.45</v>
      </c>
      <c r="W868">
        <v>13.245972999999999</v>
      </c>
      <c r="X868">
        <v>108.29644500000001</v>
      </c>
      <c r="Y868">
        <v>51</v>
      </c>
      <c r="Z868">
        <v>13.266173</v>
      </c>
      <c r="AA868">
        <v>108.28749500000001</v>
      </c>
      <c r="AB868" s="5">
        <f t="shared" si="79"/>
        <v>1.4481750000000002</v>
      </c>
      <c r="AC868" s="5">
        <f t="shared" si="80"/>
        <v>7.6499999999999999E-2</v>
      </c>
      <c r="AD868" s="1" t="e">
        <f t="shared" si="81"/>
        <v>#VALUE!</v>
      </c>
      <c r="AE868" s="1" t="e">
        <f t="shared" si="82"/>
        <v>#VALUE!</v>
      </c>
      <c r="AG868">
        <f t="shared" si="83"/>
        <v>0.96545000000000003</v>
      </c>
      <c r="AH868">
        <f t="shared" si="84"/>
        <v>5.0999999999999997E-2</v>
      </c>
      <c r="AI868" t="e">
        <f>VLOOKUP(L868,'[1]Tuyến cáp H04'!$B:$E,3,0)/1000</f>
        <v>#N/A</v>
      </c>
      <c r="AJ868" t="e">
        <f>VLOOKUP(L868,'[1]Tuyến cáp H04'!$B:$E,4,0)</f>
        <v>#N/A</v>
      </c>
    </row>
    <row r="869" spans="1:36" x14ac:dyDescent="0.25">
      <c r="A869" s="1" t="s">
        <v>8317</v>
      </c>
      <c r="B869" s="1" t="s">
        <v>8318</v>
      </c>
      <c r="C869" s="1" t="s">
        <v>8319</v>
      </c>
      <c r="D869" s="1" t="s">
        <v>8275</v>
      </c>
      <c r="E869" s="1" t="s">
        <v>8276</v>
      </c>
      <c r="F869" s="1" t="s">
        <v>8320</v>
      </c>
      <c r="G869" s="1" t="s">
        <v>14129</v>
      </c>
      <c r="H869" s="1" t="s">
        <v>14130</v>
      </c>
      <c r="I869" s="1" t="s">
        <v>14983</v>
      </c>
      <c r="J869" s="1" t="s">
        <v>23</v>
      </c>
      <c r="K869" s="1"/>
      <c r="L869" s="1" t="s">
        <v>8278</v>
      </c>
      <c r="M869" s="1" t="s">
        <v>8321</v>
      </c>
      <c r="N869" s="1" t="s">
        <v>8322</v>
      </c>
      <c r="O869" s="1" t="s">
        <v>8323</v>
      </c>
      <c r="P869" s="1" t="s">
        <v>8324</v>
      </c>
      <c r="Q869" s="1" t="s">
        <v>8325</v>
      </c>
      <c r="R869" s="1" t="s">
        <v>8326</v>
      </c>
      <c r="S869" s="1" t="s">
        <v>8327</v>
      </c>
      <c r="T869" s="1" t="s">
        <v>8328</v>
      </c>
      <c r="U869">
        <v>4539.8599999999997</v>
      </c>
      <c r="V869">
        <v>4491</v>
      </c>
      <c r="W869">
        <v>12.861238</v>
      </c>
      <c r="X869">
        <v>107.964528</v>
      </c>
      <c r="Y869">
        <v>48.86</v>
      </c>
      <c r="Z869">
        <v>12.861019000000001</v>
      </c>
      <c r="AA869">
        <v>107.96522299999999</v>
      </c>
      <c r="AB869" s="5">
        <f t="shared" si="79"/>
        <v>6.7365000000000004</v>
      </c>
      <c r="AC869" s="5">
        <f t="shared" si="80"/>
        <v>7.3289999999999994E-2</v>
      </c>
      <c r="AD869" s="1" t="str">
        <f t="shared" si="81"/>
        <v>Quảng Phú</v>
      </c>
      <c r="AE869" s="1" t="str">
        <f t="shared" si="82"/>
        <v>Ea M’Droh</v>
      </c>
      <c r="AG869">
        <f t="shared" si="83"/>
        <v>4.4909999999999997</v>
      </c>
      <c r="AH869">
        <f t="shared" si="84"/>
        <v>4.8860000000000001E-2</v>
      </c>
      <c r="AI869">
        <f>VLOOKUP(L869,'[1]Tuyến cáp H04'!$B:$E,3,0)/1000</f>
        <v>14.443</v>
      </c>
      <c r="AJ869" t="str">
        <f>VLOOKUP(L869,'[1]Tuyến cáp H04'!$B:$E,4,0)</f>
        <v>Mạng cấp 4</v>
      </c>
    </row>
    <row r="870" spans="1:36" x14ac:dyDescent="0.25">
      <c r="A870" s="1" t="s">
        <v>8329</v>
      </c>
      <c r="B870" s="1" t="s">
        <v>8330</v>
      </c>
      <c r="C870" s="1" t="s">
        <v>8331</v>
      </c>
      <c r="D870" s="1" t="s">
        <v>8332</v>
      </c>
      <c r="E870" s="1" t="s">
        <v>8333</v>
      </c>
      <c r="F870" s="1" t="s">
        <v>8334</v>
      </c>
      <c r="G870" s="1" t="s">
        <v>14129</v>
      </c>
      <c r="H870" s="1" t="s">
        <v>14130</v>
      </c>
      <c r="I870" s="1" t="s">
        <v>14984</v>
      </c>
      <c r="J870" s="1" t="s">
        <v>23</v>
      </c>
      <c r="K870" s="1"/>
      <c r="L870" s="1" t="s">
        <v>8335</v>
      </c>
      <c r="M870" s="1" t="s">
        <v>8336</v>
      </c>
      <c r="N870" s="1" t="s">
        <v>8337</v>
      </c>
      <c r="O870" s="1" t="s">
        <v>8338</v>
      </c>
      <c r="P870" s="1" t="s">
        <v>8339</v>
      </c>
      <c r="Q870" s="1" t="s">
        <v>8340</v>
      </c>
      <c r="R870" s="1" t="s">
        <v>8341</v>
      </c>
      <c r="S870" s="1" t="s">
        <v>8342</v>
      </c>
      <c r="T870" s="1" t="s">
        <v>8343</v>
      </c>
      <c r="U870">
        <v>211.52</v>
      </c>
      <c r="V870">
        <v>153.57</v>
      </c>
      <c r="W870">
        <v>12.909005000000001</v>
      </c>
      <c r="X870">
        <v>108.266229</v>
      </c>
      <c r="Y870">
        <v>57.95</v>
      </c>
      <c r="Z870">
        <v>12.916482999999999</v>
      </c>
      <c r="AA870">
        <v>108.26607</v>
      </c>
      <c r="AB870" s="5">
        <f t="shared" si="79"/>
        <v>0.23035499999999998</v>
      </c>
      <c r="AC870" s="5">
        <f t="shared" si="80"/>
        <v>8.6925000000000016E-2</v>
      </c>
      <c r="AD870" s="1" t="e">
        <f t="shared" si="81"/>
        <v>#VALUE!</v>
      </c>
      <c r="AE870" s="1" t="e">
        <f t="shared" si="82"/>
        <v>#VALUE!</v>
      </c>
      <c r="AG870">
        <f t="shared" si="83"/>
        <v>0.15356999999999998</v>
      </c>
      <c r="AH870">
        <f t="shared" si="84"/>
        <v>5.7950000000000002E-2</v>
      </c>
      <c r="AI870" t="e">
        <f>VLOOKUP(L870,'[1]Tuyến cáp H04'!$B:$E,3,0)/1000</f>
        <v>#N/A</v>
      </c>
      <c r="AJ870" t="e">
        <f>VLOOKUP(L870,'[1]Tuyến cáp H04'!$B:$E,4,0)</f>
        <v>#N/A</v>
      </c>
    </row>
    <row r="871" spans="1:36" x14ac:dyDescent="0.25">
      <c r="A871" s="1" t="s">
        <v>8344</v>
      </c>
      <c r="B871" s="1" t="s">
        <v>8345</v>
      </c>
      <c r="C871" s="1" t="s">
        <v>8346</v>
      </c>
      <c r="D871" s="1" t="s">
        <v>8347</v>
      </c>
      <c r="E871" s="1" t="s">
        <v>8348</v>
      </c>
      <c r="F871" s="1" t="s">
        <v>8349</v>
      </c>
      <c r="G871" s="1" t="s">
        <v>14129</v>
      </c>
      <c r="H871" s="1" t="s">
        <v>14130</v>
      </c>
      <c r="I871" s="1" t="s">
        <v>14985</v>
      </c>
      <c r="J871" s="1" t="s">
        <v>23</v>
      </c>
      <c r="K871" s="1"/>
      <c r="L871" s="1" t="s">
        <v>8350</v>
      </c>
      <c r="M871" s="1" t="s">
        <v>8351</v>
      </c>
      <c r="N871" s="1" t="s">
        <v>8352</v>
      </c>
      <c r="O871" s="1" t="s">
        <v>8353</v>
      </c>
      <c r="P871" s="1" t="s">
        <v>8354</v>
      </c>
      <c r="Q871" s="1" t="s">
        <v>8355</v>
      </c>
      <c r="R871" s="1" t="s">
        <v>8356</v>
      </c>
      <c r="S871" s="1" t="s">
        <v>8357</v>
      </c>
      <c r="T871" s="1" t="s">
        <v>8358</v>
      </c>
      <c r="U871">
        <v>91981.11</v>
      </c>
      <c r="V871">
        <v>1359.62</v>
      </c>
      <c r="W871">
        <v>12.690893000000001</v>
      </c>
      <c r="X871">
        <v>108.06744999999999</v>
      </c>
      <c r="Y871">
        <v>90621.49</v>
      </c>
      <c r="Z871">
        <v>12.811565999999999</v>
      </c>
      <c r="AA871">
        <v>108.483311</v>
      </c>
      <c r="AB871" s="5">
        <f t="shared" si="79"/>
        <v>2.0394299999999999</v>
      </c>
      <c r="AC871" s="5">
        <f t="shared" si="80"/>
        <v>135.93223500000002</v>
      </c>
      <c r="AD871" s="1" t="str">
        <f t="shared" si="81"/>
        <v>TT1 Đăk Lăk</v>
      </c>
      <c r="AE871" s="1" t="str">
        <f t="shared" si="82"/>
        <v>ILA Ea Kar</v>
      </c>
      <c r="AG871">
        <f t="shared" si="83"/>
        <v>1.3596199999999998</v>
      </c>
      <c r="AH871">
        <f t="shared" si="84"/>
        <v>90.621490000000009</v>
      </c>
      <c r="AI871" t="e">
        <f>VLOOKUP(L871,'[1]Tuyến cáp H04'!$B:$E,3,0)/1000</f>
        <v>#N/A</v>
      </c>
      <c r="AJ871" t="e">
        <f>VLOOKUP(L871,'[1]Tuyến cáp H04'!$B:$E,4,0)</f>
        <v>#N/A</v>
      </c>
    </row>
    <row r="872" spans="1:36" x14ac:dyDescent="0.25">
      <c r="A872" s="1" t="s">
        <v>8359</v>
      </c>
      <c r="B872" s="1" t="s">
        <v>8360</v>
      </c>
      <c r="C872" s="1" t="s">
        <v>8361</v>
      </c>
      <c r="D872" s="1" t="s">
        <v>8362</v>
      </c>
      <c r="E872" s="1" t="s">
        <v>8363</v>
      </c>
      <c r="F872" s="1" t="s">
        <v>8364</v>
      </c>
      <c r="G872" s="1" t="s">
        <v>14129</v>
      </c>
      <c r="H872" s="1" t="s">
        <v>14130</v>
      </c>
      <c r="I872" s="1" t="s">
        <v>14986</v>
      </c>
      <c r="J872" s="1" t="s">
        <v>23</v>
      </c>
      <c r="K872" s="1"/>
      <c r="L872" s="1" t="s">
        <v>8365</v>
      </c>
      <c r="M872" s="1" t="s">
        <v>8366</v>
      </c>
      <c r="N872" s="1" t="s">
        <v>8367</v>
      </c>
      <c r="O872" s="1" t="s">
        <v>8368</v>
      </c>
      <c r="P872" s="1" t="s">
        <v>8369</v>
      </c>
      <c r="Q872" s="1" t="s">
        <v>8370</v>
      </c>
      <c r="R872" s="1" t="s">
        <v>8371</v>
      </c>
      <c r="S872" s="1" t="s">
        <v>8372</v>
      </c>
      <c r="T872" s="1" t="s">
        <v>8373</v>
      </c>
      <c r="U872">
        <v>844.35</v>
      </c>
      <c r="V872">
        <v>775.9</v>
      </c>
      <c r="W872">
        <v>12.682520999999999</v>
      </c>
      <c r="X872">
        <v>108.01187</v>
      </c>
      <c r="Y872">
        <v>68.45</v>
      </c>
      <c r="Z872">
        <v>12.682445</v>
      </c>
      <c r="AA872">
        <v>108.016256</v>
      </c>
      <c r="AB872" s="5">
        <f t="shared" si="79"/>
        <v>1.1638499999999998</v>
      </c>
      <c r="AC872" s="5">
        <f t="shared" si="80"/>
        <v>0.10267500000000002</v>
      </c>
      <c r="AD872" s="1" t="str">
        <f t="shared" si="81"/>
        <v>Thành Nhất</v>
      </c>
      <c r="AE872" s="1" t="str">
        <f t="shared" si="82"/>
        <v>Ea Nuôl</v>
      </c>
      <c r="AG872">
        <f t="shared" si="83"/>
        <v>0.77589999999999992</v>
      </c>
      <c r="AH872">
        <f t="shared" si="84"/>
        <v>6.8449999999999997E-2</v>
      </c>
      <c r="AI872">
        <f>VLOOKUP(L872,'[1]Tuyến cáp H04'!$B:$E,3,0)/1000</f>
        <v>7.931</v>
      </c>
      <c r="AJ872" t="str">
        <f>VLOOKUP(L872,'[1]Tuyến cáp H04'!$B:$E,4,0)</f>
        <v>Mạng cấp 4</v>
      </c>
    </row>
    <row r="873" spans="1:36" x14ac:dyDescent="0.25">
      <c r="A873" s="1" t="s">
        <v>8374</v>
      </c>
      <c r="B873" s="1" t="s">
        <v>8375</v>
      </c>
      <c r="C873" s="1" t="s">
        <v>8376</v>
      </c>
      <c r="D873" s="1" t="s">
        <v>8377</v>
      </c>
      <c r="E873" s="1" t="s">
        <v>8378</v>
      </c>
      <c r="F873" s="1" t="s">
        <v>8379</v>
      </c>
      <c r="G873" s="1" t="s">
        <v>14129</v>
      </c>
      <c r="H873" s="1" t="s">
        <v>14130</v>
      </c>
      <c r="I873" s="1" t="s">
        <v>14987</v>
      </c>
      <c r="J873" s="1" t="s">
        <v>23</v>
      </c>
      <c r="K873" s="1"/>
      <c r="L873" s="1" t="s">
        <v>8350</v>
      </c>
      <c r="M873" s="1" t="s">
        <v>8380</v>
      </c>
      <c r="N873" s="1" t="s">
        <v>8381</v>
      </c>
      <c r="O873" s="1" t="s">
        <v>8353</v>
      </c>
      <c r="P873" s="1" t="s">
        <v>8354</v>
      </c>
      <c r="Q873" s="1" t="s">
        <v>8382</v>
      </c>
      <c r="R873" s="1" t="s">
        <v>8356</v>
      </c>
      <c r="S873" s="1" t="s">
        <v>8357</v>
      </c>
      <c r="T873" s="1" t="s">
        <v>8358</v>
      </c>
      <c r="U873">
        <v>97510.54</v>
      </c>
      <c r="V873">
        <v>3004.72</v>
      </c>
      <c r="W873">
        <v>12.690893000000001</v>
      </c>
      <c r="X873">
        <v>108.06744999999999</v>
      </c>
      <c r="Y873">
        <v>94505.82</v>
      </c>
      <c r="Z873">
        <v>12.811565999999999</v>
      </c>
      <c r="AA873">
        <v>108.483311</v>
      </c>
      <c r="AB873" s="5">
        <f t="shared" si="79"/>
        <v>4.5070800000000002</v>
      </c>
      <c r="AC873" s="5">
        <f t="shared" si="80"/>
        <v>141.75873000000001</v>
      </c>
      <c r="AD873" s="1" t="str">
        <f t="shared" si="81"/>
        <v>TT1 Đăk Lăk</v>
      </c>
      <c r="AE873" s="1" t="str">
        <f t="shared" si="82"/>
        <v>ILA Ea Kar</v>
      </c>
      <c r="AG873">
        <f t="shared" si="83"/>
        <v>3.0047199999999998</v>
      </c>
      <c r="AH873">
        <f t="shared" si="84"/>
        <v>94.50582</v>
      </c>
      <c r="AI873" t="e">
        <f>VLOOKUP(L873,'[1]Tuyến cáp H04'!$B:$E,3,0)/1000</f>
        <v>#N/A</v>
      </c>
      <c r="AJ873" t="e">
        <f>VLOOKUP(L873,'[1]Tuyến cáp H04'!$B:$E,4,0)</f>
        <v>#N/A</v>
      </c>
    </row>
    <row r="874" spans="1:36" x14ac:dyDescent="0.25">
      <c r="A874" s="1" t="s">
        <v>8383</v>
      </c>
      <c r="B874" s="1" t="s">
        <v>8384</v>
      </c>
      <c r="C874" s="1" t="s">
        <v>8385</v>
      </c>
      <c r="D874" s="1" t="s">
        <v>8190</v>
      </c>
      <c r="E874" s="1" t="s">
        <v>8191</v>
      </c>
      <c r="F874" s="1" t="s">
        <v>8386</v>
      </c>
      <c r="G874" s="1" t="s">
        <v>14129</v>
      </c>
      <c r="H874" s="1" t="s">
        <v>14130</v>
      </c>
      <c r="I874" s="1" t="s">
        <v>14988</v>
      </c>
      <c r="J874" s="1" t="s">
        <v>23</v>
      </c>
      <c r="K874" s="1"/>
      <c r="L874" s="1" t="s">
        <v>8350</v>
      </c>
      <c r="M874" s="1" t="s">
        <v>8387</v>
      </c>
      <c r="N874" s="1" t="s">
        <v>8388</v>
      </c>
      <c r="O874" s="1" t="s">
        <v>8389</v>
      </c>
      <c r="P874" s="1" t="s">
        <v>8390</v>
      </c>
      <c r="Q874" s="1" t="s">
        <v>8391</v>
      </c>
      <c r="R874" s="1" t="s">
        <v>8392</v>
      </c>
      <c r="S874" s="1" t="s">
        <v>8393</v>
      </c>
      <c r="T874" s="1" t="s">
        <v>8358</v>
      </c>
      <c r="U874">
        <v>277.89</v>
      </c>
      <c r="V874">
        <v>244.3</v>
      </c>
      <c r="W874">
        <v>12.706446</v>
      </c>
      <c r="X874">
        <v>108.080821</v>
      </c>
      <c r="Y874">
        <v>33.590000000000003</v>
      </c>
      <c r="Z874">
        <v>12.697137</v>
      </c>
      <c r="AA874">
        <v>108.07234200000001</v>
      </c>
      <c r="AB874" s="5">
        <f t="shared" si="79"/>
        <v>0.36645000000000005</v>
      </c>
      <c r="AC874" s="5">
        <f t="shared" si="80"/>
        <v>5.0385000000000006E-2</v>
      </c>
      <c r="AD874" s="1" t="str">
        <f t="shared" si="81"/>
        <v>TT1 Đăk Lăk</v>
      </c>
      <c r="AE874" s="1" t="str">
        <f t="shared" si="82"/>
        <v>ILA Ea Kar</v>
      </c>
      <c r="AG874">
        <f t="shared" si="83"/>
        <v>0.24430000000000002</v>
      </c>
      <c r="AH874">
        <f t="shared" si="84"/>
        <v>3.3590000000000002E-2</v>
      </c>
      <c r="AI874" t="e">
        <f>VLOOKUP(L874,'[1]Tuyến cáp H04'!$B:$E,3,0)/1000</f>
        <v>#N/A</v>
      </c>
      <c r="AJ874" t="e">
        <f>VLOOKUP(L874,'[1]Tuyến cáp H04'!$B:$E,4,0)</f>
        <v>#N/A</v>
      </c>
    </row>
    <row r="875" spans="1:36" x14ac:dyDescent="0.25">
      <c r="A875" s="1" t="s">
        <v>8394</v>
      </c>
      <c r="B875" s="1" t="s">
        <v>8395</v>
      </c>
      <c r="C875" s="1" t="s">
        <v>8396</v>
      </c>
      <c r="D875" s="1" t="s">
        <v>8290</v>
      </c>
      <c r="E875" s="1" t="s">
        <v>8291</v>
      </c>
      <c r="F875" s="1" t="s">
        <v>8397</v>
      </c>
      <c r="G875" s="1" t="s">
        <v>14129</v>
      </c>
      <c r="H875" s="1" t="s">
        <v>14130</v>
      </c>
      <c r="I875" s="1" t="s">
        <v>14989</v>
      </c>
      <c r="J875" s="1" t="s">
        <v>23</v>
      </c>
      <c r="K875" s="1"/>
      <c r="L875" s="1" t="s">
        <v>8293</v>
      </c>
      <c r="M875" s="1" t="s">
        <v>8398</v>
      </c>
      <c r="N875" s="1" t="s">
        <v>8399</v>
      </c>
      <c r="O875" s="1" t="s">
        <v>8400</v>
      </c>
      <c r="P875" s="1" t="s">
        <v>8401</v>
      </c>
      <c r="Q875" s="1" t="s">
        <v>8402</v>
      </c>
      <c r="R875" s="1" t="s">
        <v>8403</v>
      </c>
      <c r="S875" s="1" t="s">
        <v>8404</v>
      </c>
      <c r="T875" s="1" t="s">
        <v>8405</v>
      </c>
      <c r="U875">
        <v>176.16</v>
      </c>
      <c r="V875">
        <v>58.6</v>
      </c>
      <c r="W875">
        <v>12.836508</v>
      </c>
      <c r="X875">
        <v>108.089682</v>
      </c>
      <c r="Y875">
        <v>117.56</v>
      </c>
      <c r="Z875">
        <v>12.853426000000001</v>
      </c>
      <c r="AA875">
        <v>108.104358</v>
      </c>
      <c r="AB875" s="5">
        <f t="shared" si="79"/>
        <v>8.7900000000000006E-2</v>
      </c>
      <c r="AC875" s="5">
        <f t="shared" si="80"/>
        <v>0.17634</v>
      </c>
      <c r="AD875" s="1" t="str">
        <f t="shared" si="81"/>
        <v>Cư M'ga</v>
      </c>
      <c r="AE875" s="1" t="str">
        <f t="shared" si="82"/>
        <v>Buôn Hồ</v>
      </c>
      <c r="AG875">
        <f t="shared" si="83"/>
        <v>5.8599999999999999E-2</v>
      </c>
      <c r="AH875">
        <f t="shared" si="84"/>
        <v>0.11756</v>
      </c>
      <c r="AI875">
        <f>VLOOKUP(L875,'[1]Tuyến cáp H04'!$B:$E,3,0)/1000</f>
        <v>38.145000000000003</v>
      </c>
      <c r="AJ875" t="str">
        <f>VLOOKUP(L875,'[1]Tuyến cáp H04'!$B:$E,4,0)</f>
        <v>Mạng cấp 3</v>
      </c>
    </row>
    <row r="876" spans="1:36" x14ac:dyDescent="0.25">
      <c r="A876" s="1" t="s">
        <v>8406</v>
      </c>
      <c r="B876" s="1" t="s">
        <v>8407</v>
      </c>
      <c r="C876" s="1" t="s">
        <v>8408</v>
      </c>
      <c r="D876" s="1" t="s">
        <v>8305</v>
      </c>
      <c r="E876" s="1" t="s">
        <v>8306</v>
      </c>
      <c r="F876" s="1" t="s">
        <v>8409</v>
      </c>
      <c r="G876" s="1" t="s">
        <v>14129</v>
      </c>
      <c r="H876" s="1" t="s">
        <v>14130</v>
      </c>
      <c r="I876" s="1" t="s">
        <v>14990</v>
      </c>
      <c r="J876" s="1" t="s">
        <v>23</v>
      </c>
      <c r="K876" s="1"/>
      <c r="L876" s="1" t="s">
        <v>8410</v>
      </c>
      <c r="M876" s="1" t="s">
        <v>8411</v>
      </c>
      <c r="N876" s="1" t="s">
        <v>8412</v>
      </c>
      <c r="O876" s="1" t="s">
        <v>8413</v>
      </c>
      <c r="P876" s="1" t="s">
        <v>8414</v>
      </c>
      <c r="Q876" s="1" t="s">
        <v>8415</v>
      </c>
      <c r="R876" s="1" t="s">
        <v>8416</v>
      </c>
      <c r="S876" s="1" t="s">
        <v>8417</v>
      </c>
      <c r="T876" s="1" t="s">
        <v>8418</v>
      </c>
      <c r="U876">
        <v>105.32</v>
      </c>
      <c r="V876">
        <v>61.08</v>
      </c>
      <c r="W876">
        <v>13.262589999999999</v>
      </c>
      <c r="X876">
        <v>108.276438</v>
      </c>
      <c r="Y876">
        <v>44.24</v>
      </c>
      <c r="Z876">
        <v>13.266166999999999</v>
      </c>
      <c r="AA876">
        <v>108.287032</v>
      </c>
      <c r="AB876" s="5">
        <f t="shared" si="79"/>
        <v>9.1620000000000007E-2</v>
      </c>
      <c r="AC876" s="5">
        <f t="shared" si="80"/>
        <v>6.6360000000000002E-2</v>
      </c>
      <c r="AD876" s="1" t="e">
        <f t="shared" si="81"/>
        <v>#VALUE!</v>
      </c>
      <c r="AE876" s="1" t="e">
        <f t="shared" si="82"/>
        <v>#VALUE!</v>
      </c>
      <c r="AG876">
        <f t="shared" si="83"/>
        <v>6.1079999999999995E-2</v>
      </c>
      <c r="AH876">
        <f t="shared" si="84"/>
        <v>4.4240000000000002E-2</v>
      </c>
      <c r="AI876" t="e">
        <f>VLOOKUP(L876,'[1]Tuyến cáp H04'!$B:$E,3,0)/1000</f>
        <v>#N/A</v>
      </c>
      <c r="AJ876" t="e">
        <f>VLOOKUP(L876,'[1]Tuyến cáp H04'!$B:$E,4,0)</f>
        <v>#N/A</v>
      </c>
    </row>
    <row r="877" spans="1:36" x14ac:dyDescent="0.25">
      <c r="A877" s="1" t="s">
        <v>8419</v>
      </c>
      <c r="B877" s="1" t="s">
        <v>8420</v>
      </c>
      <c r="C877" s="1" t="s">
        <v>8421</v>
      </c>
      <c r="D877" s="1" t="s">
        <v>8275</v>
      </c>
      <c r="E877" s="1" t="s">
        <v>8276</v>
      </c>
      <c r="F877" s="1" t="s">
        <v>8422</v>
      </c>
      <c r="G877" s="1" t="s">
        <v>14129</v>
      </c>
      <c r="H877" s="1" t="s">
        <v>14130</v>
      </c>
      <c r="I877" s="1" t="s">
        <v>14991</v>
      </c>
      <c r="J877" s="1" t="s">
        <v>23</v>
      </c>
      <c r="K877" s="1"/>
      <c r="L877" s="1" t="s">
        <v>8423</v>
      </c>
      <c r="M877" s="1" t="s">
        <v>8424</v>
      </c>
      <c r="N877" s="1" t="s">
        <v>8425</v>
      </c>
      <c r="O877" s="1" t="s">
        <v>8426</v>
      </c>
      <c r="P877" s="1" t="s">
        <v>8427</v>
      </c>
      <c r="Q877" s="1" t="s">
        <v>8428</v>
      </c>
      <c r="R877" s="1" t="s">
        <v>8429</v>
      </c>
      <c r="S877" s="1" t="s">
        <v>8430</v>
      </c>
      <c r="T877" s="1" t="s">
        <v>8431</v>
      </c>
      <c r="U877">
        <v>404.88</v>
      </c>
      <c r="V877">
        <v>76.319999999999993</v>
      </c>
      <c r="W877">
        <v>12.874235000000001</v>
      </c>
      <c r="X877">
        <v>107.98837</v>
      </c>
      <c r="Y877">
        <v>328.56</v>
      </c>
      <c r="Z877">
        <v>12.861001</v>
      </c>
      <c r="AA877">
        <v>107.9682</v>
      </c>
      <c r="AB877" s="5">
        <f t="shared" si="79"/>
        <v>0.11447999999999998</v>
      </c>
      <c r="AC877" s="5">
        <f t="shared" si="80"/>
        <v>0.49284000000000006</v>
      </c>
      <c r="AD877" s="1" t="str">
        <f t="shared" si="81"/>
        <v>Ea M’Droh</v>
      </c>
      <c r="AE877" s="1" t="str">
        <f t="shared" si="82"/>
        <v>Ea Kiết</v>
      </c>
      <c r="AG877">
        <f t="shared" si="83"/>
        <v>7.6319999999999999E-2</v>
      </c>
      <c r="AH877">
        <f t="shared" si="84"/>
        <v>0.32856000000000002</v>
      </c>
      <c r="AI877">
        <f>VLOOKUP(L877,'[1]Tuyến cáp H04'!$B:$E,3,0)/1000</f>
        <v>13.02</v>
      </c>
      <c r="AJ877" t="str">
        <f>VLOOKUP(L877,'[1]Tuyến cáp H04'!$B:$E,4,0)</f>
        <v>Mạng cấp 4</v>
      </c>
    </row>
    <row r="878" spans="1:36" x14ac:dyDescent="0.25">
      <c r="A878" s="1" t="s">
        <v>8432</v>
      </c>
      <c r="B878" s="1" t="s">
        <v>8433</v>
      </c>
      <c r="C878" s="1" t="s">
        <v>8434</v>
      </c>
      <c r="D878" s="1" t="s">
        <v>8275</v>
      </c>
      <c r="E878" s="1" t="s">
        <v>8276</v>
      </c>
      <c r="F878" s="1" t="s">
        <v>8435</v>
      </c>
      <c r="G878" s="1" t="s">
        <v>14129</v>
      </c>
      <c r="H878" s="1" t="s">
        <v>14130</v>
      </c>
      <c r="I878" s="1" t="s">
        <v>14992</v>
      </c>
      <c r="J878" s="1" t="s">
        <v>23</v>
      </c>
      <c r="K878" s="1"/>
      <c r="L878" s="1" t="s">
        <v>8278</v>
      </c>
      <c r="M878" s="1" t="s">
        <v>8436</v>
      </c>
      <c r="N878" s="1" t="s">
        <v>8437</v>
      </c>
      <c r="O878" s="1" t="s">
        <v>8438</v>
      </c>
      <c r="P878" s="1" t="s">
        <v>8439</v>
      </c>
      <c r="Q878" s="1" t="s">
        <v>8283</v>
      </c>
      <c r="R878" s="1" t="s">
        <v>8284</v>
      </c>
      <c r="S878" s="1" t="s">
        <v>8285</v>
      </c>
      <c r="T878" s="1" t="s">
        <v>8286</v>
      </c>
      <c r="U878">
        <v>343.09</v>
      </c>
      <c r="V878">
        <v>265.54000000000002</v>
      </c>
      <c r="W878">
        <v>12.840204</v>
      </c>
      <c r="X878">
        <v>107.98505900000001</v>
      </c>
      <c r="Y878">
        <v>77.55</v>
      </c>
      <c r="Z878">
        <v>12.860792</v>
      </c>
      <c r="AA878">
        <v>107.964518</v>
      </c>
      <c r="AB878" s="5">
        <f t="shared" si="79"/>
        <v>0.39831000000000005</v>
      </c>
      <c r="AC878" s="5">
        <f t="shared" si="80"/>
        <v>0.11632499999999998</v>
      </c>
      <c r="AD878" s="1" t="str">
        <f t="shared" si="81"/>
        <v>Quảng Phú</v>
      </c>
      <c r="AE878" s="1" t="str">
        <f t="shared" si="82"/>
        <v>Ea M’Droh</v>
      </c>
      <c r="AG878">
        <f t="shared" si="83"/>
        <v>0.26554</v>
      </c>
      <c r="AH878">
        <f t="shared" si="84"/>
        <v>7.7549999999999994E-2</v>
      </c>
      <c r="AI878">
        <f>VLOOKUP(L878,'[1]Tuyến cáp H04'!$B:$E,3,0)/1000</f>
        <v>14.443</v>
      </c>
      <c r="AJ878" t="str">
        <f>VLOOKUP(L878,'[1]Tuyến cáp H04'!$B:$E,4,0)</f>
        <v>Mạng cấp 4</v>
      </c>
    </row>
    <row r="879" spans="1:36" x14ac:dyDescent="0.25">
      <c r="A879" s="1" t="s">
        <v>8440</v>
      </c>
      <c r="B879" s="1" t="s">
        <v>2005</v>
      </c>
      <c r="C879" s="1" t="s">
        <v>8441</v>
      </c>
      <c r="D879" s="1" t="s">
        <v>8442</v>
      </c>
      <c r="E879" s="1" t="s">
        <v>8443</v>
      </c>
      <c r="F879" s="1" t="s">
        <v>8444</v>
      </c>
      <c r="G879" s="1" t="s">
        <v>14129</v>
      </c>
      <c r="H879" s="1" t="s">
        <v>14130</v>
      </c>
      <c r="I879" s="1" t="s">
        <v>14993</v>
      </c>
      <c r="J879" s="1" t="s">
        <v>23</v>
      </c>
      <c r="K879" s="1"/>
      <c r="L879" s="1" t="s">
        <v>8445</v>
      </c>
      <c r="M879" s="1" t="s">
        <v>8446</v>
      </c>
      <c r="N879" s="1" t="s">
        <v>8447</v>
      </c>
      <c r="O879" s="1" t="s">
        <v>8448</v>
      </c>
      <c r="P879" s="1" t="s">
        <v>8449</v>
      </c>
      <c r="Q879" s="1" t="s">
        <v>8450</v>
      </c>
      <c r="R879" s="1" t="s">
        <v>8451</v>
      </c>
      <c r="S879" s="1" t="s">
        <v>8452</v>
      </c>
      <c r="T879" s="1" t="s">
        <v>8453</v>
      </c>
      <c r="U879">
        <v>1086.22</v>
      </c>
      <c r="V879">
        <v>528.9</v>
      </c>
      <c r="W879">
        <v>12.553849</v>
      </c>
      <c r="X879">
        <v>108.180274</v>
      </c>
      <c r="Y879">
        <v>557.32000000000005</v>
      </c>
      <c r="Z879">
        <v>12.561992</v>
      </c>
      <c r="AA879">
        <v>108.168603</v>
      </c>
      <c r="AB879" s="5">
        <f t="shared" si="79"/>
        <v>0.79334999999999989</v>
      </c>
      <c r="AC879" s="5">
        <f t="shared" si="80"/>
        <v>0.83598000000000006</v>
      </c>
      <c r="AD879" s="1" t="str">
        <f t="shared" si="81"/>
        <v>TTCMKV Cư Kuin</v>
      </c>
      <c r="AE879" s="1" t="str">
        <f t="shared" si="82"/>
        <v>Dang Kang</v>
      </c>
      <c r="AG879">
        <f t="shared" si="83"/>
        <v>0.52889999999999993</v>
      </c>
      <c r="AH879">
        <f t="shared" si="84"/>
        <v>0.55732000000000004</v>
      </c>
      <c r="AI879">
        <f>VLOOKUP(L879,'[1]Tuyến cáp H04'!$B:$E,3,0)/1000</f>
        <v>24.331</v>
      </c>
      <c r="AJ879" t="str">
        <f>VLOOKUP(L879,'[1]Tuyến cáp H04'!$B:$E,4,0)</f>
        <v>Mạng cấp 4</v>
      </c>
    </row>
    <row r="880" spans="1:36" x14ac:dyDescent="0.25">
      <c r="A880" s="1" t="s">
        <v>8454</v>
      </c>
      <c r="B880" s="1" t="s">
        <v>8455</v>
      </c>
      <c r="C880" s="1" t="s">
        <v>8456</v>
      </c>
      <c r="D880" s="1" t="s">
        <v>8442</v>
      </c>
      <c r="E880" s="1" t="s">
        <v>8443</v>
      </c>
      <c r="F880" s="1" t="s">
        <v>8457</v>
      </c>
      <c r="G880" s="1" t="s">
        <v>14129</v>
      </c>
      <c r="H880" s="1" t="s">
        <v>14130</v>
      </c>
      <c r="I880" s="1" t="s">
        <v>14994</v>
      </c>
      <c r="J880" s="1" t="s">
        <v>23</v>
      </c>
      <c r="K880" s="1"/>
      <c r="L880" s="1" t="s">
        <v>8458</v>
      </c>
      <c r="M880" s="1" t="s">
        <v>8459</v>
      </c>
      <c r="N880" s="1" t="s">
        <v>8460</v>
      </c>
      <c r="O880" s="1" t="s">
        <v>8461</v>
      </c>
      <c r="P880" s="1" t="s">
        <v>8462</v>
      </c>
      <c r="Q880" s="1" t="s">
        <v>8463</v>
      </c>
      <c r="R880" s="1" t="s">
        <v>8464</v>
      </c>
      <c r="S880" s="1" t="s">
        <v>8465</v>
      </c>
      <c r="T880" s="1" t="s">
        <v>8466</v>
      </c>
      <c r="U880">
        <v>1010.67</v>
      </c>
      <c r="V880">
        <v>452.05</v>
      </c>
      <c r="W880">
        <v>12.573183</v>
      </c>
      <c r="X880">
        <v>108.164991</v>
      </c>
      <c r="Y880">
        <v>558.62</v>
      </c>
      <c r="Z880">
        <v>12.561987</v>
      </c>
      <c r="AA880">
        <v>108.16861900000001</v>
      </c>
      <c r="AB880" s="5">
        <f t="shared" si="79"/>
        <v>0.67807500000000009</v>
      </c>
      <c r="AC880" s="5">
        <f t="shared" si="80"/>
        <v>0.83793000000000006</v>
      </c>
      <c r="AD880" s="1" t="str">
        <f t="shared" si="81"/>
        <v>Ea Ning</v>
      </c>
      <c r="AE880" s="1" t="str">
        <f t="shared" si="82"/>
        <v>TTCMKV Cư Kuin</v>
      </c>
      <c r="AG880">
        <f t="shared" si="83"/>
        <v>0.45205000000000001</v>
      </c>
      <c r="AH880">
        <f t="shared" si="84"/>
        <v>0.55862000000000001</v>
      </c>
      <c r="AI880">
        <f>VLOOKUP(L880,'[1]Tuyến cáp H04'!$B:$E,3,0)/1000</f>
        <v>11.569000000000001</v>
      </c>
      <c r="AJ880" t="str">
        <f>VLOOKUP(L880,'[1]Tuyến cáp H04'!$B:$E,4,0)</f>
        <v>Mạng cấp 4</v>
      </c>
    </row>
    <row r="881" spans="1:36" x14ac:dyDescent="0.25">
      <c r="A881" s="1" t="s">
        <v>8467</v>
      </c>
      <c r="B881" s="1" t="s">
        <v>8468</v>
      </c>
      <c r="C881" s="1" t="s">
        <v>8469</v>
      </c>
      <c r="D881" s="1" t="s">
        <v>8470</v>
      </c>
      <c r="E881" s="1" t="s">
        <v>8471</v>
      </c>
      <c r="F881" s="1" t="s">
        <v>8472</v>
      </c>
      <c r="G881" s="1" t="s">
        <v>14129</v>
      </c>
      <c r="H881" s="1" t="s">
        <v>14130</v>
      </c>
      <c r="I881" s="1" t="s">
        <v>14995</v>
      </c>
      <c r="J881" s="1" t="s">
        <v>23</v>
      </c>
      <c r="K881" s="1"/>
      <c r="L881" s="1" t="s">
        <v>8350</v>
      </c>
      <c r="M881" s="1" t="s">
        <v>8473</v>
      </c>
      <c r="N881" s="1" t="s">
        <v>8474</v>
      </c>
      <c r="O881" s="1" t="s">
        <v>8475</v>
      </c>
      <c r="P881" s="1" t="s">
        <v>8476</v>
      </c>
      <c r="Q881" s="1" t="s">
        <v>8477</v>
      </c>
      <c r="R881" s="1" t="s">
        <v>8356</v>
      </c>
      <c r="S881" s="1" t="s">
        <v>8357</v>
      </c>
      <c r="T881" s="1" t="s">
        <v>8358</v>
      </c>
      <c r="U881">
        <v>161.05000000000001</v>
      </c>
      <c r="V881">
        <v>91.81</v>
      </c>
      <c r="W881">
        <v>12.807167</v>
      </c>
      <c r="X881">
        <v>108.433002</v>
      </c>
      <c r="Y881">
        <v>69.25</v>
      </c>
      <c r="Z881">
        <v>12.811565999999999</v>
      </c>
      <c r="AA881">
        <v>108.483311</v>
      </c>
      <c r="AB881" s="5">
        <f t="shared" si="79"/>
        <v>0.137715</v>
      </c>
      <c r="AC881" s="5">
        <f t="shared" si="80"/>
        <v>0.103875</v>
      </c>
      <c r="AD881" s="1" t="str">
        <f t="shared" si="81"/>
        <v>TT1 Đăk Lăk</v>
      </c>
      <c r="AE881" s="1" t="str">
        <f t="shared" si="82"/>
        <v>ILA Ea Kar</v>
      </c>
      <c r="AG881">
        <f t="shared" si="83"/>
        <v>9.1810000000000003E-2</v>
      </c>
      <c r="AH881">
        <f t="shared" si="84"/>
        <v>6.9250000000000006E-2</v>
      </c>
      <c r="AI881" t="e">
        <f>VLOOKUP(L881,'[1]Tuyến cáp H04'!$B:$E,3,0)/1000</f>
        <v>#N/A</v>
      </c>
      <c r="AJ881" t="e">
        <f>VLOOKUP(L881,'[1]Tuyến cáp H04'!$B:$E,4,0)</f>
        <v>#N/A</v>
      </c>
    </row>
    <row r="882" spans="1:36" x14ac:dyDescent="0.25">
      <c r="A882" s="1" t="s">
        <v>8478</v>
      </c>
      <c r="B882" s="1" t="s">
        <v>8479</v>
      </c>
      <c r="C882" s="1" t="s">
        <v>8480</v>
      </c>
      <c r="D882" s="1" t="s">
        <v>8260</v>
      </c>
      <c r="E882" s="1" t="s">
        <v>8261</v>
      </c>
      <c r="F882" s="1" t="s">
        <v>8481</v>
      </c>
      <c r="G882" s="1" t="s">
        <v>14129</v>
      </c>
      <c r="H882" s="1" t="s">
        <v>14130</v>
      </c>
      <c r="I882" s="1" t="s">
        <v>14996</v>
      </c>
      <c r="J882" s="1" t="s">
        <v>23</v>
      </c>
      <c r="K882" s="1"/>
      <c r="L882" s="1" t="s">
        <v>8263</v>
      </c>
      <c r="M882" s="1" t="s">
        <v>8482</v>
      </c>
      <c r="N882" s="1" t="s">
        <v>8483</v>
      </c>
      <c r="O882" s="1" t="s">
        <v>8484</v>
      </c>
      <c r="P882" s="1" t="s">
        <v>8485</v>
      </c>
      <c r="Q882" s="1" t="s">
        <v>8268</v>
      </c>
      <c r="R882" s="1" t="s">
        <v>8269</v>
      </c>
      <c r="S882" s="1" t="s">
        <v>8270</v>
      </c>
      <c r="T882" s="1" t="s">
        <v>8271</v>
      </c>
      <c r="U882">
        <v>315.25</v>
      </c>
      <c r="V882">
        <v>279.26</v>
      </c>
      <c r="W882">
        <v>12.954124999999999</v>
      </c>
      <c r="X882">
        <v>108.33299100000001</v>
      </c>
      <c r="Y882">
        <v>35.99</v>
      </c>
      <c r="Z882">
        <v>12.951675</v>
      </c>
      <c r="AA882">
        <v>108.344356</v>
      </c>
      <c r="AB882" s="5">
        <f t="shared" si="79"/>
        <v>0.41888999999999998</v>
      </c>
      <c r="AC882" s="5">
        <f t="shared" si="80"/>
        <v>5.3984999999999998E-2</v>
      </c>
      <c r="AD882" s="1" t="e">
        <f t="shared" si="81"/>
        <v>#VALUE!</v>
      </c>
      <c r="AE882" s="1" t="e">
        <f t="shared" si="82"/>
        <v>#VALUE!</v>
      </c>
      <c r="AG882">
        <f t="shared" si="83"/>
        <v>0.27926000000000001</v>
      </c>
      <c r="AH882">
        <f t="shared" si="84"/>
        <v>3.5990000000000001E-2</v>
      </c>
      <c r="AI882" t="e">
        <f>VLOOKUP(L882,'[1]Tuyến cáp H04'!$B:$E,3,0)/1000</f>
        <v>#N/A</v>
      </c>
      <c r="AJ882" t="e">
        <f>VLOOKUP(L882,'[1]Tuyến cáp H04'!$B:$E,4,0)</f>
        <v>#N/A</v>
      </c>
    </row>
    <row r="883" spans="1:36" x14ac:dyDescent="0.25">
      <c r="A883" s="1" t="s">
        <v>8486</v>
      </c>
      <c r="B883" s="1" t="s">
        <v>8487</v>
      </c>
      <c r="C883" s="1" t="s">
        <v>8488</v>
      </c>
      <c r="D883" s="1" t="s">
        <v>8218</v>
      </c>
      <c r="E883" s="1" t="s">
        <v>8219</v>
      </c>
      <c r="F883" s="1" t="s">
        <v>8489</v>
      </c>
      <c r="G883" s="1" t="s">
        <v>14129</v>
      </c>
      <c r="H883" s="1" t="s">
        <v>14130</v>
      </c>
      <c r="I883" s="1" t="s">
        <v>14997</v>
      </c>
      <c r="J883" s="1" t="s">
        <v>23</v>
      </c>
      <c r="K883" s="1"/>
      <c r="L883" s="1" t="s">
        <v>8221</v>
      </c>
      <c r="M883" s="1" t="s">
        <v>8490</v>
      </c>
      <c r="N883" s="1" t="s">
        <v>8491</v>
      </c>
      <c r="O883" s="1" t="s">
        <v>8492</v>
      </c>
      <c r="P883" s="1" t="s">
        <v>8493</v>
      </c>
      <c r="Q883" s="1" t="s">
        <v>8226</v>
      </c>
      <c r="R883" s="1" t="s">
        <v>8227</v>
      </c>
      <c r="S883" s="1" t="s">
        <v>8228</v>
      </c>
      <c r="T883" s="1" t="s">
        <v>8229</v>
      </c>
      <c r="U883">
        <v>565.14</v>
      </c>
      <c r="V883">
        <v>292.32</v>
      </c>
      <c r="W883">
        <v>13.136281</v>
      </c>
      <c r="X883">
        <v>108.327502</v>
      </c>
      <c r="Y883">
        <v>272.81</v>
      </c>
      <c r="Z883">
        <v>13.118876999999999</v>
      </c>
      <c r="AA883">
        <v>108.329477</v>
      </c>
      <c r="AB883" s="5">
        <f t="shared" si="79"/>
        <v>0.43848000000000004</v>
      </c>
      <c r="AC883" s="5">
        <f t="shared" si="80"/>
        <v>0.40921500000000005</v>
      </c>
      <c r="AD883" s="1" t="e">
        <f t="shared" si="81"/>
        <v>#VALUE!</v>
      </c>
      <c r="AE883" s="1" t="e">
        <f t="shared" si="82"/>
        <v>#VALUE!</v>
      </c>
      <c r="AG883">
        <f t="shared" si="83"/>
        <v>0.29231999999999997</v>
      </c>
      <c r="AH883">
        <f t="shared" si="84"/>
        <v>0.27281</v>
      </c>
      <c r="AI883" t="e">
        <f>VLOOKUP(L883,'[1]Tuyến cáp H04'!$B:$E,3,0)/1000</f>
        <v>#N/A</v>
      </c>
      <c r="AJ883" t="e">
        <f>VLOOKUP(L883,'[1]Tuyến cáp H04'!$B:$E,4,0)</f>
        <v>#N/A</v>
      </c>
    </row>
    <row r="884" spans="1:36" x14ac:dyDescent="0.25">
      <c r="A884" s="1" t="s">
        <v>8494</v>
      </c>
      <c r="B884" s="1" t="s">
        <v>8495</v>
      </c>
      <c r="C884" s="1" t="s">
        <v>8496</v>
      </c>
      <c r="D884" s="1" t="s">
        <v>8218</v>
      </c>
      <c r="E884" s="1" t="s">
        <v>8219</v>
      </c>
      <c r="F884" s="1" t="s">
        <v>8497</v>
      </c>
      <c r="G884" s="1" t="s">
        <v>14129</v>
      </c>
      <c r="H884" s="1" t="s">
        <v>14130</v>
      </c>
      <c r="I884" s="1" t="s">
        <v>14998</v>
      </c>
      <c r="J884" s="1" t="s">
        <v>23</v>
      </c>
      <c r="K884" s="1"/>
      <c r="L884" s="1" t="s">
        <v>8498</v>
      </c>
      <c r="M884" s="1" t="s">
        <v>8499</v>
      </c>
      <c r="N884" s="1" t="s">
        <v>8500</v>
      </c>
      <c r="O884" s="1" t="s">
        <v>8501</v>
      </c>
      <c r="P884" s="1" t="s">
        <v>8502</v>
      </c>
      <c r="Q884" s="1" t="s">
        <v>8503</v>
      </c>
      <c r="R884" s="1" t="s">
        <v>8504</v>
      </c>
      <c r="S884" s="1" t="s">
        <v>8505</v>
      </c>
      <c r="T884" s="1" t="s">
        <v>8506</v>
      </c>
      <c r="U884">
        <v>315.45</v>
      </c>
      <c r="V884">
        <v>132.01</v>
      </c>
      <c r="W884">
        <v>13.092209</v>
      </c>
      <c r="X884">
        <v>108.340898</v>
      </c>
      <c r="Y884">
        <v>183.44</v>
      </c>
      <c r="Z884">
        <v>13.114953</v>
      </c>
      <c r="AA884">
        <v>108.330055</v>
      </c>
      <c r="AB884" s="5">
        <f t="shared" si="79"/>
        <v>0.198015</v>
      </c>
      <c r="AC884" s="5">
        <f t="shared" si="80"/>
        <v>0.27515999999999996</v>
      </c>
      <c r="AD884" s="1" t="str">
        <f t="shared" si="81"/>
        <v>TTCMKV Buôn Hồ</v>
      </c>
      <c r="AE884" s="1" t="str">
        <f t="shared" si="82"/>
        <v>Dliê Ya</v>
      </c>
      <c r="AG884">
        <f t="shared" si="83"/>
        <v>0.13200999999999999</v>
      </c>
      <c r="AH884">
        <f t="shared" si="84"/>
        <v>0.18343999999999999</v>
      </c>
      <c r="AI884">
        <f>VLOOKUP(L884,'[1]Tuyến cáp H04'!$B:$E,3,0)/1000</f>
        <v>30.356000000000002</v>
      </c>
      <c r="AJ884" t="str">
        <f>VLOOKUP(L884,'[1]Tuyến cáp H04'!$B:$E,4,0)</f>
        <v>Mạng cấp 4</v>
      </c>
    </row>
    <row r="885" spans="1:36" x14ac:dyDescent="0.25">
      <c r="A885" s="1" t="s">
        <v>8507</v>
      </c>
      <c r="B885" s="1" t="s">
        <v>8508</v>
      </c>
      <c r="C885" s="1" t="s">
        <v>8509</v>
      </c>
      <c r="D885" s="1" t="s">
        <v>8510</v>
      </c>
      <c r="E885" s="1" t="s">
        <v>8511</v>
      </c>
      <c r="F885" s="1" t="s">
        <v>8512</v>
      </c>
      <c r="G885" s="1" t="s">
        <v>14129</v>
      </c>
      <c r="H885" s="1" t="s">
        <v>14130</v>
      </c>
      <c r="I885" s="1" t="s">
        <v>14999</v>
      </c>
      <c r="J885" s="1" t="s">
        <v>23</v>
      </c>
      <c r="K885" s="1"/>
      <c r="L885" s="1" t="s">
        <v>8513</v>
      </c>
      <c r="M885" s="1" t="s">
        <v>8514</v>
      </c>
      <c r="N885" s="1" t="s">
        <v>8515</v>
      </c>
      <c r="O885" s="1" t="s">
        <v>8516</v>
      </c>
      <c r="P885" s="1" t="s">
        <v>8517</v>
      </c>
      <c r="Q885" s="1" t="s">
        <v>8518</v>
      </c>
      <c r="R885" s="1" t="s">
        <v>8519</v>
      </c>
      <c r="S885" s="1" t="s">
        <v>8520</v>
      </c>
      <c r="T885" s="1" t="s">
        <v>8521</v>
      </c>
      <c r="U885">
        <v>159.72999999999999</v>
      </c>
      <c r="V885">
        <v>90.58</v>
      </c>
      <c r="W885">
        <v>12.674484</v>
      </c>
      <c r="X885">
        <v>108.341233</v>
      </c>
      <c r="Y885">
        <v>69.150000000000006</v>
      </c>
      <c r="Z885">
        <v>12.655666999999999</v>
      </c>
      <c r="AA885">
        <v>108.343625</v>
      </c>
      <c r="AB885" s="5">
        <f t="shared" si="79"/>
        <v>0.13586999999999999</v>
      </c>
      <c r="AC885" s="5">
        <f t="shared" si="80"/>
        <v>0.10372500000000001</v>
      </c>
      <c r="AD885" s="1" t="str">
        <f t="shared" si="81"/>
        <v>Cơ sở cai nghiện (X. Tân Tiến, H. Kron Pắc)</v>
      </c>
      <c r="AE885" s="1" t="str">
        <f t="shared" si="82"/>
        <v>TTCMKV Krong Pắc</v>
      </c>
      <c r="AG885">
        <f t="shared" si="83"/>
        <v>9.0579999999999994E-2</v>
      </c>
      <c r="AH885">
        <f t="shared" si="84"/>
        <v>6.9150000000000003E-2</v>
      </c>
      <c r="AI885">
        <f>VLOOKUP(L885,'[1]Tuyến cáp H04'!$B:$E,3,0)/1000</f>
        <v>8.8070000000000004</v>
      </c>
      <c r="AJ885" t="str">
        <f>VLOOKUP(L885,'[1]Tuyến cáp H04'!$B:$E,4,0)</f>
        <v>Mạng cấp 3</v>
      </c>
    </row>
    <row r="886" spans="1:36" x14ac:dyDescent="0.25">
      <c r="A886" s="1" t="s">
        <v>8522</v>
      </c>
      <c r="B886" s="1" t="s">
        <v>8523</v>
      </c>
      <c r="C886" s="1" t="s">
        <v>8524</v>
      </c>
      <c r="D886" s="1" t="s">
        <v>8290</v>
      </c>
      <c r="E886" s="1" t="s">
        <v>8291</v>
      </c>
      <c r="F886" s="1" t="s">
        <v>8525</v>
      </c>
      <c r="G886" s="1" t="s">
        <v>14129</v>
      </c>
      <c r="H886" s="1" t="s">
        <v>14130</v>
      </c>
      <c r="I886" s="1" t="s">
        <v>15000</v>
      </c>
      <c r="J886" s="1" t="s">
        <v>23</v>
      </c>
      <c r="K886" s="1"/>
      <c r="L886" s="1" t="s">
        <v>8293</v>
      </c>
      <c r="M886" s="1" t="s">
        <v>8526</v>
      </c>
      <c r="N886" s="1" t="s">
        <v>8527</v>
      </c>
      <c r="O886" s="1" t="s">
        <v>8528</v>
      </c>
      <c r="P886" s="1" t="s">
        <v>8529</v>
      </c>
      <c r="Q886" s="1" t="s">
        <v>8298</v>
      </c>
      <c r="R886" s="1" t="s">
        <v>8299</v>
      </c>
      <c r="S886" s="1" t="s">
        <v>8300</v>
      </c>
      <c r="T886" s="1" t="s">
        <v>8301</v>
      </c>
      <c r="U886">
        <v>324.75</v>
      </c>
      <c r="V886">
        <v>207.75</v>
      </c>
      <c r="W886">
        <v>12.887229</v>
      </c>
      <c r="X886">
        <v>108.11076</v>
      </c>
      <c r="Y886">
        <v>117.01</v>
      </c>
      <c r="Z886">
        <v>12.853419000000001</v>
      </c>
      <c r="AA886">
        <v>108.10435699999999</v>
      </c>
      <c r="AB886" s="5">
        <f t="shared" si="79"/>
        <v>0.31162499999999999</v>
      </c>
      <c r="AC886" s="5">
        <f t="shared" si="80"/>
        <v>0.175515</v>
      </c>
      <c r="AD886" s="1" t="str">
        <f t="shared" si="81"/>
        <v>Cư M'ga</v>
      </c>
      <c r="AE886" s="1" t="str">
        <f t="shared" si="82"/>
        <v>Buôn Hồ</v>
      </c>
      <c r="AG886">
        <f t="shared" si="83"/>
        <v>0.20774999999999999</v>
      </c>
      <c r="AH886">
        <f t="shared" si="84"/>
        <v>0.11701</v>
      </c>
      <c r="AI886">
        <f>VLOOKUP(L886,'[1]Tuyến cáp H04'!$B:$E,3,0)/1000</f>
        <v>38.145000000000003</v>
      </c>
      <c r="AJ886" t="str">
        <f>VLOOKUP(L886,'[1]Tuyến cáp H04'!$B:$E,4,0)</f>
        <v>Mạng cấp 3</v>
      </c>
    </row>
    <row r="887" spans="1:36" x14ac:dyDescent="0.25">
      <c r="A887" s="1" t="s">
        <v>8530</v>
      </c>
      <c r="B887" s="1" t="s">
        <v>8531</v>
      </c>
      <c r="C887" s="1" t="s">
        <v>8532</v>
      </c>
      <c r="D887" s="1" t="s">
        <v>8233</v>
      </c>
      <c r="E887" s="1" t="s">
        <v>8234</v>
      </c>
      <c r="F887" s="1" t="s">
        <v>8533</v>
      </c>
      <c r="G887" s="1" t="s">
        <v>14129</v>
      </c>
      <c r="H887" s="1" t="s">
        <v>14130</v>
      </c>
      <c r="I887" s="1" t="s">
        <v>15001</v>
      </c>
      <c r="J887" s="1" t="s">
        <v>23</v>
      </c>
      <c r="K887" s="1"/>
      <c r="L887" s="1" t="s">
        <v>8534</v>
      </c>
      <c r="M887" s="1" t="s">
        <v>8535</v>
      </c>
      <c r="N887" s="1" t="s">
        <v>8536</v>
      </c>
      <c r="O887" s="1" t="s">
        <v>8537</v>
      </c>
      <c r="P887" s="1" t="s">
        <v>8538</v>
      </c>
      <c r="Q887" s="1" t="s">
        <v>8539</v>
      </c>
      <c r="R887" s="1" t="s">
        <v>8540</v>
      </c>
      <c r="S887" s="1" t="s">
        <v>8541</v>
      </c>
      <c r="T887" s="1" t="s">
        <v>8542</v>
      </c>
      <c r="U887">
        <v>1073.3399999999999</v>
      </c>
      <c r="V887">
        <v>847.69</v>
      </c>
      <c r="W887">
        <v>13.059899</v>
      </c>
      <c r="X887">
        <v>108.227368</v>
      </c>
      <c r="Y887">
        <v>225.65</v>
      </c>
      <c r="Z887">
        <v>13.038637</v>
      </c>
      <c r="AA887">
        <v>108.22068299999999</v>
      </c>
      <c r="AB887" s="5">
        <f t="shared" si="79"/>
        <v>1.2715350000000001</v>
      </c>
      <c r="AC887" s="5">
        <f t="shared" si="80"/>
        <v>0.33847500000000003</v>
      </c>
      <c r="AD887" s="1" t="str">
        <f t="shared" si="81"/>
        <v>Krông Búk</v>
      </c>
      <c r="AE887" s="1" t="str">
        <f t="shared" si="82"/>
        <v>Ea Khăl</v>
      </c>
      <c r="AG887">
        <f t="shared" si="83"/>
        <v>0.84769000000000005</v>
      </c>
      <c r="AH887">
        <f t="shared" si="84"/>
        <v>0.22565000000000002</v>
      </c>
      <c r="AI887">
        <f>VLOOKUP(L887,'[1]Tuyến cáp H04'!$B:$E,3,0)/1000</f>
        <v>24.032</v>
      </c>
      <c r="AJ887" t="str">
        <f>VLOOKUP(L887,'[1]Tuyến cáp H04'!$B:$E,4,0)</f>
        <v>Mạng cấp 4</v>
      </c>
    </row>
    <row r="888" spans="1:36" x14ac:dyDescent="0.25">
      <c r="A888" s="1" t="s">
        <v>8543</v>
      </c>
      <c r="B888" s="1" t="s">
        <v>8544</v>
      </c>
      <c r="C888" s="1" t="s">
        <v>8545</v>
      </c>
      <c r="D888" s="1" t="s">
        <v>8332</v>
      </c>
      <c r="E888" s="1" t="s">
        <v>8333</v>
      </c>
      <c r="F888" s="1" t="s">
        <v>8546</v>
      </c>
      <c r="G888" s="1" t="s">
        <v>14129</v>
      </c>
      <c r="H888" s="1" t="s">
        <v>14130</v>
      </c>
      <c r="I888" s="1" t="s">
        <v>15002</v>
      </c>
      <c r="J888" s="1" t="s">
        <v>23</v>
      </c>
      <c r="K888" s="1"/>
      <c r="L888" s="1" t="s">
        <v>8335</v>
      </c>
      <c r="M888" s="1" t="s">
        <v>8547</v>
      </c>
      <c r="N888" s="1" t="s">
        <v>8548</v>
      </c>
      <c r="O888" s="1" t="s">
        <v>8549</v>
      </c>
      <c r="P888" s="1" t="s">
        <v>8550</v>
      </c>
      <c r="Q888" s="1" t="s">
        <v>8340</v>
      </c>
      <c r="R888" s="1" t="s">
        <v>8341</v>
      </c>
      <c r="S888" s="1" t="s">
        <v>8342</v>
      </c>
      <c r="T888" s="1" t="s">
        <v>8343</v>
      </c>
      <c r="U888">
        <v>381.06</v>
      </c>
      <c r="V888">
        <v>323.11</v>
      </c>
      <c r="W888">
        <v>12.904659000000001</v>
      </c>
      <c r="X888">
        <v>108.265595</v>
      </c>
      <c r="Y888">
        <v>57.95</v>
      </c>
      <c r="Z888">
        <v>12.916482999999999</v>
      </c>
      <c r="AA888">
        <v>108.26607</v>
      </c>
      <c r="AB888" s="5">
        <f t="shared" si="79"/>
        <v>0.48466500000000001</v>
      </c>
      <c r="AC888" s="5">
        <f t="shared" si="80"/>
        <v>8.6925000000000016E-2</v>
      </c>
      <c r="AD888" s="1" t="e">
        <f t="shared" si="81"/>
        <v>#VALUE!</v>
      </c>
      <c r="AE888" s="1" t="e">
        <f t="shared" si="82"/>
        <v>#VALUE!</v>
      </c>
      <c r="AG888">
        <f t="shared" si="83"/>
        <v>0.32311000000000001</v>
      </c>
      <c r="AH888">
        <f t="shared" si="84"/>
        <v>5.7950000000000002E-2</v>
      </c>
      <c r="AI888" t="e">
        <f>VLOOKUP(L888,'[1]Tuyến cáp H04'!$B:$E,3,0)/1000</f>
        <v>#N/A</v>
      </c>
      <c r="AJ888" t="e">
        <f>VLOOKUP(L888,'[1]Tuyến cáp H04'!$B:$E,4,0)</f>
        <v>#N/A</v>
      </c>
    </row>
    <row r="889" spans="1:36" x14ac:dyDescent="0.25">
      <c r="A889" s="1" t="s">
        <v>8551</v>
      </c>
      <c r="B889" s="1" t="s">
        <v>8552</v>
      </c>
      <c r="C889" s="1" t="s">
        <v>8553</v>
      </c>
      <c r="D889" s="1" t="s">
        <v>8554</v>
      </c>
      <c r="E889" s="1" t="s">
        <v>8555</v>
      </c>
      <c r="F889" s="1" t="s">
        <v>8556</v>
      </c>
      <c r="G889" s="1" t="s">
        <v>14129</v>
      </c>
      <c r="H889" s="1" t="s">
        <v>14133</v>
      </c>
      <c r="I889" s="1" t="s">
        <v>15003</v>
      </c>
      <c r="J889" s="1" t="s">
        <v>23</v>
      </c>
      <c r="K889" s="1"/>
      <c r="L889" s="1" t="s">
        <v>8557</v>
      </c>
      <c r="M889" s="1" t="s">
        <v>8558</v>
      </c>
      <c r="N889" s="1" t="s">
        <v>8559</v>
      </c>
      <c r="O889" s="1" t="s">
        <v>8560</v>
      </c>
      <c r="P889" s="1" t="s">
        <v>8561</v>
      </c>
      <c r="Q889" s="1" t="s">
        <v>8562</v>
      </c>
      <c r="R889" s="1" t="s">
        <v>8563</v>
      </c>
      <c r="S889" s="1" t="s">
        <v>8564</v>
      </c>
      <c r="T889" s="1" t="s">
        <v>8565</v>
      </c>
      <c r="U889">
        <v>531.51</v>
      </c>
      <c r="V889">
        <v>458.29</v>
      </c>
      <c r="W889">
        <v>12.681184</v>
      </c>
      <c r="X889">
        <v>108.04718</v>
      </c>
      <c r="Y889">
        <v>73.209999999999994</v>
      </c>
      <c r="Z889">
        <v>12.68474</v>
      </c>
      <c r="AA889">
        <v>108.05229799999999</v>
      </c>
      <c r="AB889" s="5">
        <f t="shared" si="79"/>
        <v>0.68743500000000002</v>
      </c>
      <c r="AC889" s="5">
        <f t="shared" si="80"/>
        <v>0.109815</v>
      </c>
      <c r="AD889" s="1" t="str">
        <f t="shared" si="81"/>
        <v>TT1 Đăk Lăk</v>
      </c>
      <c r="AE889" s="1" t="str">
        <f t="shared" si="82"/>
        <v>KRông Ana</v>
      </c>
      <c r="AG889">
        <f t="shared" si="83"/>
        <v>0.45829000000000003</v>
      </c>
      <c r="AH889">
        <f t="shared" si="84"/>
        <v>7.3209999999999997E-2</v>
      </c>
      <c r="AI889">
        <f>VLOOKUP(L889,'[1]Tuyến cáp H04'!$B:$E,3,0)/1000</f>
        <v>30.666</v>
      </c>
      <c r="AJ889" t="str">
        <f>VLOOKUP(L889,'[1]Tuyến cáp H04'!$B:$E,4,0)</f>
        <v>Mạng cấp 3</v>
      </c>
    </row>
    <row r="890" spans="1:36" x14ac:dyDescent="0.25">
      <c r="A890" s="1" t="s">
        <v>8566</v>
      </c>
      <c r="B890" s="1" t="s">
        <v>8567</v>
      </c>
      <c r="C890" s="1" t="s">
        <v>8568</v>
      </c>
      <c r="D890" s="1" t="s">
        <v>8569</v>
      </c>
      <c r="E890" s="1" t="s">
        <v>8570</v>
      </c>
      <c r="F890" s="1" t="s">
        <v>8571</v>
      </c>
      <c r="G890" s="1" t="s">
        <v>14129</v>
      </c>
      <c r="H890" s="1" t="s">
        <v>14133</v>
      </c>
      <c r="I890" s="1" t="s">
        <v>15004</v>
      </c>
      <c r="J890" s="1" t="s">
        <v>23</v>
      </c>
      <c r="K890" s="1"/>
      <c r="L890" s="1" t="s">
        <v>8572</v>
      </c>
      <c r="M890" s="1" t="s">
        <v>8573</v>
      </c>
      <c r="N890" s="1" t="s">
        <v>8574</v>
      </c>
      <c r="O890" s="1" t="s">
        <v>8575</v>
      </c>
      <c r="P890" s="1" t="s">
        <v>8576</v>
      </c>
      <c r="Q890" s="1" t="s">
        <v>8577</v>
      </c>
      <c r="R890" s="1" t="s">
        <v>8578</v>
      </c>
      <c r="S890" s="1" t="s">
        <v>8579</v>
      </c>
      <c r="T890" s="1" t="s">
        <v>8580</v>
      </c>
      <c r="U890">
        <v>1548.06</v>
      </c>
      <c r="V890">
        <v>1247.22</v>
      </c>
      <c r="W890">
        <v>12.685477000000001</v>
      </c>
      <c r="X890">
        <v>108.0461</v>
      </c>
      <c r="Y890">
        <v>300.83999999999997</v>
      </c>
      <c r="Z890">
        <v>12.710324999999999</v>
      </c>
      <c r="AA890">
        <v>108.068253</v>
      </c>
      <c r="AB890" s="5">
        <f t="shared" si="79"/>
        <v>1.87083</v>
      </c>
      <c r="AC890" s="5">
        <f t="shared" si="80"/>
        <v>0.45125999999999999</v>
      </c>
      <c r="AD890" s="1" t="str">
        <f t="shared" si="81"/>
        <v>CAT Đắk Lắk</v>
      </c>
      <c r="AE890" s="1" t="str">
        <f t="shared" si="82"/>
        <v>Buôn Ma Thuột</v>
      </c>
      <c r="AG890">
        <f t="shared" si="83"/>
        <v>1.24722</v>
      </c>
      <c r="AH890">
        <f t="shared" si="84"/>
        <v>0.30084</v>
      </c>
      <c r="AI890">
        <f>VLOOKUP(L890,'[1]Tuyến cáp H04'!$B:$E,3,0)/1000</f>
        <v>5.4139999999999997</v>
      </c>
      <c r="AJ890" t="str">
        <f>VLOOKUP(L890,'[1]Tuyến cáp H04'!$B:$E,4,0)</f>
        <v>Mạng cấp 4</v>
      </c>
    </row>
    <row r="891" spans="1:36" x14ac:dyDescent="0.25">
      <c r="A891" s="1" t="s">
        <v>8581</v>
      </c>
      <c r="B891" s="1" t="s">
        <v>8569</v>
      </c>
      <c r="C891" s="1" t="s">
        <v>8570</v>
      </c>
      <c r="D891" s="1" t="s">
        <v>8347</v>
      </c>
      <c r="E891" s="1" t="s">
        <v>8348</v>
      </c>
      <c r="F891" s="1" t="s">
        <v>8582</v>
      </c>
      <c r="G891" s="1" t="s">
        <v>14129</v>
      </c>
      <c r="H891" s="1" t="s">
        <v>14133</v>
      </c>
      <c r="I891" s="1" t="s">
        <v>15005</v>
      </c>
      <c r="J891" s="1" t="s">
        <v>23</v>
      </c>
      <c r="K891" s="1"/>
      <c r="L891" s="1" t="s">
        <v>8350</v>
      </c>
      <c r="M891" s="1" t="s">
        <v>8583</v>
      </c>
      <c r="N891" s="1" t="s">
        <v>8584</v>
      </c>
      <c r="O891" s="1" t="s">
        <v>8585</v>
      </c>
      <c r="P891" s="1" t="s">
        <v>8586</v>
      </c>
      <c r="Q891" s="1" t="s">
        <v>8355</v>
      </c>
      <c r="R891" s="1" t="s">
        <v>8356</v>
      </c>
      <c r="S891" s="1" t="s">
        <v>8357</v>
      </c>
      <c r="T891" s="1" t="s">
        <v>8358</v>
      </c>
      <c r="U891">
        <v>92205.65</v>
      </c>
      <c r="V891">
        <v>1584.15</v>
      </c>
      <c r="W891">
        <v>12.701527</v>
      </c>
      <c r="X891">
        <v>108.07596700000001</v>
      </c>
      <c r="Y891">
        <v>90621.49</v>
      </c>
      <c r="Z891">
        <v>12.811565999999999</v>
      </c>
      <c r="AA891">
        <v>108.483311</v>
      </c>
      <c r="AB891" s="5">
        <f t="shared" si="79"/>
        <v>2.3762250000000003</v>
      </c>
      <c r="AC891" s="5">
        <f t="shared" si="80"/>
        <v>135.93223500000002</v>
      </c>
      <c r="AD891" s="1" t="str">
        <f t="shared" si="81"/>
        <v>TT1 Đăk Lăk</v>
      </c>
      <c r="AE891" s="1" t="str">
        <f t="shared" si="82"/>
        <v>ILA Ea Kar</v>
      </c>
      <c r="AG891">
        <f t="shared" si="83"/>
        <v>1.5841500000000002</v>
      </c>
      <c r="AH891">
        <f t="shared" si="84"/>
        <v>90.621490000000009</v>
      </c>
      <c r="AI891" t="e">
        <f>VLOOKUP(L891,'[1]Tuyến cáp H04'!$B:$E,3,0)/1000</f>
        <v>#N/A</v>
      </c>
      <c r="AJ891" t="e">
        <f>VLOOKUP(L891,'[1]Tuyến cáp H04'!$B:$E,4,0)</f>
        <v>#N/A</v>
      </c>
    </row>
    <row r="892" spans="1:36" x14ac:dyDescent="0.25">
      <c r="A892" s="1" t="s">
        <v>8587</v>
      </c>
      <c r="B892" s="1" t="s">
        <v>8347</v>
      </c>
      <c r="C892" s="1" t="s">
        <v>8348</v>
      </c>
      <c r="D892" s="1" t="s">
        <v>8554</v>
      </c>
      <c r="E892" s="1" t="s">
        <v>8555</v>
      </c>
      <c r="F892" s="1" t="s">
        <v>8588</v>
      </c>
      <c r="G892" s="1" t="s">
        <v>14129</v>
      </c>
      <c r="H892" s="1" t="s">
        <v>14133</v>
      </c>
      <c r="I892" s="1" t="s">
        <v>15006</v>
      </c>
      <c r="J892" s="1" t="s">
        <v>23</v>
      </c>
      <c r="K892" s="1"/>
      <c r="L892" s="1" t="s">
        <v>8350</v>
      </c>
      <c r="M892" s="1" t="s">
        <v>8589</v>
      </c>
      <c r="N892" s="1" t="s">
        <v>8355</v>
      </c>
      <c r="O892" s="1" t="s">
        <v>8356</v>
      </c>
      <c r="P892" s="1" t="s">
        <v>8357</v>
      </c>
      <c r="Q892" s="1" t="s">
        <v>8590</v>
      </c>
      <c r="R892" s="1" t="s">
        <v>8353</v>
      </c>
      <c r="S892" s="1" t="s">
        <v>8354</v>
      </c>
      <c r="T892" s="1" t="s">
        <v>8358</v>
      </c>
      <c r="U892">
        <v>92371.6</v>
      </c>
      <c r="V892">
        <v>90621.49</v>
      </c>
      <c r="W892">
        <v>12.811565999999999</v>
      </c>
      <c r="X892">
        <v>108.483311</v>
      </c>
      <c r="Y892">
        <v>1750.11</v>
      </c>
      <c r="Z892">
        <v>12.690893000000001</v>
      </c>
      <c r="AA892">
        <v>108.06744999999999</v>
      </c>
      <c r="AB892" s="5">
        <f t="shared" si="79"/>
        <v>135.93223500000002</v>
      </c>
      <c r="AC892" s="5">
        <f t="shared" si="80"/>
        <v>2.625165</v>
      </c>
      <c r="AD892" s="1" t="str">
        <f t="shared" si="81"/>
        <v>TT1 Đăk Lăk</v>
      </c>
      <c r="AE892" s="1" t="str">
        <f t="shared" si="82"/>
        <v>ILA Ea Kar</v>
      </c>
      <c r="AG892">
        <f t="shared" si="83"/>
        <v>90.621490000000009</v>
      </c>
      <c r="AH892">
        <f t="shared" si="84"/>
        <v>1.7501099999999998</v>
      </c>
      <c r="AI892" t="e">
        <f>VLOOKUP(L892,'[1]Tuyến cáp H04'!$B:$E,3,0)/1000</f>
        <v>#N/A</v>
      </c>
      <c r="AJ892" t="e">
        <f>VLOOKUP(L892,'[1]Tuyến cáp H04'!$B:$E,4,0)</f>
        <v>#N/A</v>
      </c>
    </row>
    <row r="893" spans="1:36" x14ac:dyDescent="0.25">
      <c r="A893" s="1" t="s">
        <v>8591</v>
      </c>
      <c r="B893" s="1" t="s">
        <v>8554</v>
      </c>
      <c r="C893" s="1" t="s">
        <v>8555</v>
      </c>
      <c r="D893" s="1" t="s">
        <v>8592</v>
      </c>
      <c r="E893" s="1" t="s">
        <v>8593</v>
      </c>
      <c r="F893" s="1" t="s">
        <v>8594</v>
      </c>
      <c r="G893" s="1" t="s">
        <v>14129</v>
      </c>
      <c r="H893" s="1" t="s">
        <v>14133</v>
      </c>
      <c r="I893" s="1" t="s">
        <v>15007</v>
      </c>
      <c r="J893" s="1" t="s">
        <v>23</v>
      </c>
      <c r="K893" s="1"/>
      <c r="L893" s="1" t="s">
        <v>8557</v>
      </c>
      <c r="M893" s="1" t="s">
        <v>8595</v>
      </c>
      <c r="N893" s="1" t="s">
        <v>8596</v>
      </c>
      <c r="O893" s="1" t="s">
        <v>8597</v>
      </c>
      <c r="P893" s="1" t="s">
        <v>8598</v>
      </c>
      <c r="Q893" s="1" t="s">
        <v>8599</v>
      </c>
      <c r="R893" s="1" t="s">
        <v>8600</v>
      </c>
      <c r="S893" s="1" t="s">
        <v>8601</v>
      </c>
      <c r="T893" s="1" t="s">
        <v>8602</v>
      </c>
      <c r="U893">
        <v>1974.77</v>
      </c>
      <c r="V893">
        <v>699.16</v>
      </c>
      <c r="W893">
        <v>12.681206</v>
      </c>
      <c r="X893">
        <v>108.047189</v>
      </c>
      <c r="Y893">
        <v>1275.6099999999999</v>
      </c>
      <c r="Z893">
        <v>12.668706999999999</v>
      </c>
      <c r="AA893">
        <v>108.04349000000001</v>
      </c>
      <c r="AB893" s="5">
        <f t="shared" si="79"/>
        <v>1.04874</v>
      </c>
      <c r="AC893" s="5">
        <f t="shared" si="80"/>
        <v>1.9134149999999999</v>
      </c>
      <c r="AD893" s="1" t="str">
        <f t="shared" si="81"/>
        <v>TT1 Đăk Lăk</v>
      </c>
      <c r="AE893" s="1" t="str">
        <f t="shared" si="82"/>
        <v>KRông Ana</v>
      </c>
      <c r="AG893">
        <f t="shared" si="83"/>
        <v>0.69916</v>
      </c>
      <c r="AH893">
        <f t="shared" si="84"/>
        <v>1.2756099999999999</v>
      </c>
      <c r="AI893">
        <f>VLOOKUP(L893,'[1]Tuyến cáp H04'!$B:$E,3,0)/1000</f>
        <v>30.666</v>
      </c>
      <c r="AJ893" t="str">
        <f>VLOOKUP(L893,'[1]Tuyến cáp H04'!$B:$E,4,0)</f>
        <v>Mạng cấp 3</v>
      </c>
    </row>
    <row r="894" spans="1:36" x14ac:dyDescent="0.25">
      <c r="A894" s="1" t="s">
        <v>8603</v>
      </c>
      <c r="B894" s="1" t="s">
        <v>8554</v>
      </c>
      <c r="C894" s="1" t="s">
        <v>8555</v>
      </c>
      <c r="D894" s="1" t="s">
        <v>8604</v>
      </c>
      <c r="E894" s="1" t="s">
        <v>8605</v>
      </c>
      <c r="F894" s="1" t="s">
        <v>8606</v>
      </c>
      <c r="G894" s="1" t="s">
        <v>14129</v>
      </c>
      <c r="H894" s="1" t="s">
        <v>14133</v>
      </c>
      <c r="I894" s="1" t="s">
        <v>15008</v>
      </c>
      <c r="J894" s="1" t="s">
        <v>23</v>
      </c>
      <c r="K894" s="1"/>
      <c r="L894" s="1" t="s">
        <v>8607</v>
      </c>
      <c r="M894" s="1" t="s">
        <v>8608</v>
      </c>
      <c r="N894" s="1" t="s">
        <v>8609</v>
      </c>
      <c r="O894" s="1" t="s">
        <v>8610</v>
      </c>
      <c r="P894" s="1" t="s">
        <v>8611</v>
      </c>
      <c r="Q894" s="1" t="s">
        <v>8612</v>
      </c>
      <c r="R894" s="1" t="s">
        <v>8613</v>
      </c>
      <c r="S894" s="1" t="s">
        <v>8614</v>
      </c>
      <c r="T894" s="1" t="s">
        <v>8615</v>
      </c>
      <c r="U894">
        <v>4391.47</v>
      </c>
      <c r="V894">
        <v>4070.81</v>
      </c>
      <c r="W894">
        <v>12.656803999999999</v>
      </c>
      <c r="X894">
        <v>108.028026</v>
      </c>
      <c r="Y894">
        <v>320.66000000000003</v>
      </c>
      <c r="Z894">
        <v>12.63283</v>
      </c>
      <c r="AA894">
        <v>108.030221</v>
      </c>
      <c r="AB894" s="5">
        <f t="shared" si="79"/>
        <v>6.1062149999999997</v>
      </c>
      <c r="AC894" s="5">
        <f t="shared" si="80"/>
        <v>0.48099000000000003</v>
      </c>
      <c r="AD894" s="1" t="str">
        <f t="shared" si="81"/>
        <v>Ea Kao</v>
      </c>
      <c r="AE894" s="1" t="str">
        <f t="shared" si="82"/>
        <v>Ea Ktur</v>
      </c>
      <c r="AG894">
        <f t="shared" si="83"/>
        <v>4.0708099999999998</v>
      </c>
      <c r="AH894">
        <f t="shared" si="84"/>
        <v>0.32066</v>
      </c>
      <c r="AI894">
        <f>VLOOKUP(L894,'[1]Tuyến cáp H04'!$B:$E,3,0)/1000</f>
        <v>19.509</v>
      </c>
      <c r="AJ894" t="str">
        <f>VLOOKUP(L894,'[1]Tuyến cáp H04'!$B:$E,4,0)</f>
        <v>Mạng cấp 4</v>
      </c>
    </row>
    <row r="895" spans="1:36" x14ac:dyDescent="0.25">
      <c r="A895" s="1" t="s">
        <v>8616</v>
      </c>
      <c r="B895" s="1" t="s">
        <v>8617</v>
      </c>
      <c r="C895" s="1" t="s">
        <v>8618</v>
      </c>
      <c r="D895" s="1" t="s">
        <v>8554</v>
      </c>
      <c r="E895" s="1" t="s">
        <v>8555</v>
      </c>
      <c r="F895" s="1" t="s">
        <v>8619</v>
      </c>
      <c r="G895" s="1" t="s">
        <v>14129</v>
      </c>
      <c r="H895" s="1" t="s">
        <v>14133</v>
      </c>
      <c r="I895" s="1" t="s">
        <v>15009</v>
      </c>
      <c r="J895" s="1" t="s">
        <v>23</v>
      </c>
      <c r="K895" s="1"/>
      <c r="L895" s="1" t="s">
        <v>8620</v>
      </c>
      <c r="M895" s="1" t="s">
        <v>8621</v>
      </c>
      <c r="N895" s="1" t="s">
        <v>8622</v>
      </c>
      <c r="O895" s="1" t="s">
        <v>8623</v>
      </c>
      <c r="P895" s="1" t="s">
        <v>8624</v>
      </c>
      <c r="Q895" s="1" t="s">
        <v>8625</v>
      </c>
      <c r="R895" s="1" t="s">
        <v>8626</v>
      </c>
      <c r="S895" s="1" t="s">
        <v>8627</v>
      </c>
      <c r="T895" s="1" t="s">
        <v>8628</v>
      </c>
      <c r="U895">
        <v>362.98</v>
      </c>
      <c r="V895">
        <v>284.67</v>
      </c>
      <c r="W895">
        <v>12.692307</v>
      </c>
      <c r="X895">
        <v>108.064505</v>
      </c>
      <c r="Y895">
        <v>78.31</v>
      </c>
      <c r="Z895">
        <v>12.684723999999999</v>
      </c>
      <c r="AA895">
        <v>108.052223</v>
      </c>
      <c r="AB895" s="5">
        <f t="shared" si="79"/>
        <v>0.42700499999999997</v>
      </c>
      <c r="AC895" s="5">
        <f t="shared" si="80"/>
        <v>0.117465</v>
      </c>
      <c r="AD895" s="1" t="str">
        <f t="shared" si="81"/>
        <v>CAT Đắk Lắk</v>
      </c>
      <c r="AE895" s="1" t="str">
        <f t="shared" si="82"/>
        <v>Tân An</v>
      </c>
      <c r="AG895">
        <f t="shared" si="83"/>
        <v>0.28467000000000003</v>
      </c>
      <c r="AH895">
        <f t="shared" si="84"/>
        <v>7.8310000000000005E-2</v>
      </c>
      <c r="AI895">
        <f>VLOOKUP(L895,'[1]Tuyến cáp H04'!$B:$E,3,0)/1000</f>
        <v>3.0859999999999999</v>
      </c>
      <c r="AJ895" t="str">
        <f>VLOOKUP(L895,'[1]Tuyến cáp H04'!$B:$E,4,0)</f>
        <v>Mạng cấp 4</v>
      </c>
    </row>
    <row r="896" spans="1:36" x14ac:dyDescent="0.25">
      <c r="A896" s="1" t="s">
        <v>8629</v>
      </c>
      <c r="B896" s="1" t="s">
        <v>8630</v>
      </c>
      <c r="C896" s="1" t="s">
        <v>8631</v>
      </c>
      <c r="D896" s="1" t="s">
        <v>8260</v>
      </c>
      <c r="E896" s="1" t="s">
        <v>8261</v>
      </c>
      <c r="F896" s="1" t="s">
        <v>8632</v>
      </c>
      <c r="G896" s="1" t="s">
        <v>14129</v>
      </c>
      <c r="H896" s="1" t="s">
        <v>14133</v>
      </c>
      <c r="I896" s="1" t="s">
        <v>15010</v>
      </c>
      <c r="J896" s="1" t="s">
        <v>23</v>
      </c>
      <c r="K896" s="1"/>
      <c r="L896" s="1" t="s">
        <v>8633</v>
      </c>
      <c r="M896" s="1" t="s">
        <v>8634</v>
      </c>
      <c r="N896" s="1" t="s">
        <v>8635</v>
      </c>
      <c r="O896" s="1" t="s">
        <v>8636</v>
      </c>
      <c r="P896" s="1" t="s">
        <v>8637</v>
      </c>
      <c r="Q896" s="1" t="s">
        <v>8638</v>
      </c>
      <c r="R896" s="1" t="s">
        <v>8639</v>
      </c>
      <c r="S896" s="1" t="s">
        <v>8640</v>
      </c>
      <c r="T896" s="1" t="s">
        <v>8641</v>
      </c>
      <c r="U896">
        <v>813.21</v>
      </c>
      <c r="V896">
        <v>784.6</v>
      </c>
      <c r="W896">
        <v>12.984244</v>
      </c>
      <c r="X896">
        <v>108.42770400000001</v>
      </c>
      <c r="Y896">
        <v>28.61</v>
      </c>
      <c r="Z896">
        <v>12.951983999999999</v>
      </c>
      <c r="AA896">
        <v>108.344781</v>
      </c>
      <c r="AB896" s="5">
        <f t="shared" si="79"/>
        <v>1.1769000000000001</v>
      </c>
      <c r="AC896" s="5">
        <f t="shared" si="80"/>
        <v>4.2915000000000002E-2</v>
      </c>
      <c r="AD896" s="1" t="str">
        <f t="shared" si="81"/>
        <v>TTCMKV Krông Năng</v>
      </c>
      <c r="AE896" s="1" t="str">
        <f t="shared" si="82"/>
        <v>Tam Giang</v>
      </c>
      <c r="AG896">
        <f t="shared" si="83"/>
        <v>0.78460000000000008</v>
      </c>
      <c r="AH896">
        <f t="shared" si="84"/>
        <v>2.861E-2</v>
      </c>
      <c r="AI896" t="e">
        <f>VLOOKUP(L896,'[1]Tuyến cáp H04'!$B:$E,3,0)/1000</f>
        <v>#N/A</v>
      </c>
      <c r="AJ896" t="e">
        <f>VLOOKUP(L896,'[1]Tuyến cáp H04'!$B:$E,4,0)</f>
        <v>#N/A</v>
      </c>
    </row>
    <row r="897" spans="1:36" x14ac:dyDescent="0.25">
      <c r="A897" s="1" t="s">
        <v>8642</v>
      </c>
      <c r="B897" s="1" t="s">
        <v>8643</v>
      </c>
      <c r="C897" s="1" t="s">
        <v>8644</v>
      </c>
      <c r="D897" s="1" t="s">
        <v>8645</v>
      </c>
      <c r="E897" s="1" t="s">
        <v>8646</v>
      </c>
      <c r="F897" s="1" t="s">
        <v>8647</v>
      </c>
      <c r="G897" s="1" t="s">
        <v>14129</v>
      </c>
      <c r="H897" s="1" t="s">
        <v>14133</v>
      </c>
      <c r="I897" s="1" t="s">
        <v>15011</v>
      </c>
      <c r="J897" s="1" t="s">
        <v>23</v>
      </c>
      <c r="K897" s="1"/>
      <c r="L897" s="1" t="s">
        <v>8163</v>
      </c>
      <c r="M897" s="1" t="s">
        <v>8648</v>
      </c>
      <c r="N897" s="1" t="s">
        <v>8649</v>
      </c>
      <c r="O897" s="1" t="s">
        <v>8650</v>
      </c>
      <c r="P897" s="1" t="s">
        <v>8651</v>
      </c>
      <c r="Q897" s="1" t="s">
        <v>8652</v>
      </c>
      <c r="R897" s="1" t="s">
        <v>8653</v>
      </c>
      <c r="S897" s="1" t="s">
        <v>8654</v>
      </c>
      <c r="T897" s="1" t="s">
        <v>8171</v>
      </c>
      <c r="U897">
        <v>17290.89</v>
      </c>
      <c r="V897">
        <v>7793.81</v>
      </c>
      <c r="W897">
        <v>12.951309</v>
      </c>
      <c r="X897">
        <v>108.24881499999999</v>
      </c>
      <c r="Y897">
        <v>9497.08</v>
      </c>
      <c r="Z897">
        <v>13.192185</v>
      </c>
      <c r="AA897">
        <v>108.203992</v>
      </c>
      <c r="AB897" s="5">
        <f t="shared" si="79"/>
        <v>11.690715000000001</v>
      </c>
      <c r="AC897" s="5">
        <f t="shared" si="80"/>
        <v>14.245619999999999</v>
      </c>
      <c r="AD897" s="1" t="str">
        <f t="shared" si="81"/>
        <v>Buôn Hồ</v>
      </c>
      <c r="AE897" s="1" t="str">
        <f t="shared" si="82"/>
        <v>Ea H'Leo</v>
      </c>
      <c r="AG897">
        <f t="shared" si="83"/>
        <v>7.7938100000000006</v>
      </c>
      <c r="AH897">
        <f t="shared" si="84"/>
        <v>9.4970800000000004</v>
      </c>
      <c r="AI897">
        <f>VLOOKUP(L897,'[1]Tuyến cáp H04'!$B:$E,3,0)/1000</f>
        <v>36.590000000000003</v>
      </c>
      <c r="AJ897" t="str">
        <f>VLOOKUP(L897,'[1]Tuyến cáp H04'!$B:$E,4,0)</f>
        <v>Mạng cấp 3</v>
      </c>
    </row>
    <row r="898" spans="1:36" x14ac:dyDescent="0.25">
      <c r="A898" s="1" t="s">
        <v>8655</v>
      </c>
      <c r="B898" s="1" t="s">
        <v>8332</v>
      </c>
      <c r="C898" s="1" t="s">
        <v>8333</v>
      </c>
      <c r="D898" s="1" t="s">
        <v>8656</v>
      </c>
      <c r="E898" s="1" t="s">
        <v>8657</v>
      </c>
      <c r="F898" s="1" t="s">
        <v>8658</v>
      </c>
      <c r="G898" s="1" t="s">
        <v>14129</v>
      </c>
      <c r="H898" s="1" t="s">
        <v>14133</v>
      </c>
      <c r="I898" s="1" t="s">
        <v>15012</v>
      </c>
      <c r="J898" s="1" t="s">
        <v>23</v>
      </c>
      <c r="K898" s="1"/>
      <c r="L898" s="1" t="s">
        <v>8659</v>
      </c>
      <c r="M898" s="1" t="s">
        <v>8660</v>
      </c>
      <c r="N898" s="1" t="s">
        <v>8661</v>
      </c>
      <c r="O898" s="1" t="s">
        <v>8662</v>
      </c>
      <c r="P898" s="1" t="s">
        <v>8663</v>
      </c>
      <c r="Q898" s="1" t="s">
        <v>8664</v>
      </c>
      <c r="R898" s="1" t="s">
        <v>8665</v>
      </c>
      <c r="S898" s="1" t="s">
        <v>8666</v>
      </c>
      <c r="T898" s="1" t="s">
        <v>8667</v>
      </c>
      <c r="U898">
        <v>93.35</v>
      </c>
      <c r="V898">
        <v>56.69</v>
      </c>
      <c r="W898">
        <v>12.916477</v>
      </c>
      <c r="X898">
        <v>108.266079</v>
      </c>
      <c r="Y898">
        <v>36.659999999999997</v>
      </c>
      <c r="Z898">
        <v>12.920686999999999</v>
      </c>
      <c r="AA898">
        <v>108.264589</v>
      </c>
      <c r="AB898" s="5">
        <f t="shared" si="79"/>
        <v>8.5034999999999999E-2</v>
      </c>
      <c r="AC898" s="5">
        <f t="shared" si="80"/>
        <v>5.4989999999999997E-2</v>
      </c>
      <c r="AD898" s="1" t="e">
        <f t="shared" si="81"/>
        <v>#VALUE!</v>
      </c>
      <c r="AE898" s="1" t="e">
        <f t="shared" si="82"/>
        <v>#VALUE!</v>
      </c>
      <c r="AG898">
        <f t="shared" si="83"/>
        <v>5.6689999999999997E-2</v>
      </c>
      <c r="AH898">
        <f t="shared" si="84"/>
        <v>3.6659999999999998E-2</v>
      </c>
      <c r="AI898" t="e">
        <f>VLOOKUP(L898,'[1]Tuyến cáp H04'!$B:$E,3,0)/1000</f>
        <v>#N/A</v>
      </c>
      <c r="AJ898" t="e">
        <f>VLOOKUP(L898,'[1]Tuyến cáp H04'!$B:$E,4,0)</f>
        <v>#N/A</v>
      </c>
    </row>
    <row r="899" spans="1:36" x14ac:dyDescent="0.25">
      <c r="A899" s="1" t="s">
        <v>8668</v>
      </c>
      <c r="B899" s="1" t="s">
        <v>8347</v>
      </c>
      <c r="C899" s="1" t="s">
        <v>8348</v>
      </c>
      <c r="D899" s="1" t="s">
        <v>8669</v>
      </c>
      <c r="E899" s="1" t="s">
        <v>8670</v>
      </c>
      <c r="F899" s="1" t="s">
        <v>8671</v>
      </c>
      <c r="G899" s="1" t="s">
        <v>14129</v>
      </c>
      <c r="H899" s="1" t="s">
        <v>14133</v>
      </c>
      <c r="I899" s="1" t="s">
        <v>15013</v>
      </c>
      <c r="J899" s="1" t="s">
        <v>23</v>
      </c>
      <c r="K899" s="1"/>
      <c r="L899" s="1" t="s">
        <v>8350</v>
      </c>
      <c r="M899" s="1" t="s">
        <v>8672</v>
      </c>
      <c r="N899" s="1" t="s">
        <v>8355</v>
      </c>
      <c r="O899" s="1" t="s">
        <v>8356</v>
      </c>
      <c r="P899" s="1" t="s">
        <v>8357</v>
      </c>
      <c r="Q899" s="1" t="s">
        <v>8673</v>
      </c>
      <c r="R899" s="1" t="s">
        <v>8353</v>
      </c>
      <c r="S899" s="1" t="s">
        <v>8354</v>
      </c>
      <c r="T899" s="1" t="s">
        <v>8358</v>
      </c>
      <c r="U899">
        <v>92569</v>
      </c>
      <c r="V899">
        <v>90621.49</v>
      </c>
      <c r="W899">
        <v>12.811565999999999</v>
      </c>
      <c r="X899">
        <v>108.483311</v>
      </c>
      <c r="Y899">
        <v>1947.51</v>
      </c>
      <c r="Z899">
        <v>12.690893000000001</v>
      </c>
      <c r="AA899">
        <v>108.06744999999999</v>
      </c>
      <c r="AB899" s="5">
        <f t="shared" ref="AB899:AB962" si="85">V899*1.5/1000</f>
        <v>135.93223500000002</v>
      </c>
      <c r="AC899" s="5">
        <f t="shared" ref="AC899:AC962" si="86">Y899*1.5/1000</f>
        <v>2.921265</v>
      </c>
      <c r="AD899" s="1" t="str">
        <f t="shared" ref="AD899:AD962" si="87">TRIM(LEFT(L899,FIND("-",L899)-1))</f>
        <v>TT1 Đăk Lăk</v>
      </c>
      <c r="AE899" s="1" t="str">
        <f t="shared" ref="AE899:AE962" si="88">TRIM(RIGHT(L899, LEN(L899) - FIND("-", L899)))</f>
        <v>ILA Ea Kar</v>
      </c>
      <c r="AG899">
        <f t="shared" ref="AG899:AG962" si="89">V899/1000</f>
        <v>90.621490000000009</v>
      </c>
      <c r="AH899">
        <f t="shared" ref="AH899:AH962" si="90">Y899/1000</f>
        <v>1.9475100000000001</v>
      </c>
      <c r="AI899" t="e">
        <f>VLOOKUP(L899,'[1]Tuyến cáp H04'!$B:$E,3,0)/1000</f>
        <v>#N/A</v>
      </c>
      <c r="AJ899" t="e">
        <f>VLOOKUP(L899,'[1]Tuyến cáp H04'!$B:$E,4,0)</f>
        <v>#N/A</v>
      </c>
    </row>
    <row r="900" spans="1:36" x14ac:dyDescent="0.25">
      <c r="A900" s="1" t="s">
        <v>8674</v>
      </c>
      <c r="B900" s="1" t="s">
        <v>8675</v>
      </c>
      <c r="C900" s="1" t="s">
        <v>8676</v>
      </c>
      <c r="D900" s="1" t="s">
        <v>8677</v>
      </c>
      <c r="E900" s="1" t="s">
        <v>8678</v>
      </c>
      <c r="F900" s="1" t="s">
        <v>8679</v>
      </c>
      <c r="G900" s="1" t="s">
        <v>14129</v>
      </c>
      <c r="H900" s="1" t="s">
        <v>14133</v>
      </c>
      <c r="I900" s="1" t="s">
        <v>15014</v>
      </c>
      <c r="J900" s="1" t="s">
        <v>23</v>
      </c>
      <c r="K900" s="1"/>
      <c r="L900" s="1" t="s">
        <v>8680</v>
      </c>
      <c r="M900" s="1" t="s">
        <v>8681</v>
      </c>
      <c r="N900" s="1" t="s">
        <v>8682</v>
      </c>
      <c r="O900" s="1" t="s">
        <v>8683</v>
      </c>
      <c r="P900" s="1" t="s">
        <v>8684</v>
      </c>
      <c r="Q900" s="1" t="s">
        <v>8685</v>
      </c>
      <c r="R900" s="1" t="s">
        <v>8686</v>
      </c>
      <c r="S900" s="1" t="s">
        <v>8687</v>
      </c>
      <c r="T900" s="1" t="s">
        <v>8688</v>
      </c>
      <c r="U900">
        <v>260.27</v>
      </c>
      <c r="V900">
        <v>75.59</v>
      </c>
      <c r="W900">
        <v>12.712070000000001</v>
      </c>
      <c r="X900">
        <v>108.069571</v>
      </c>
      <c r="Y900">
        <v>184.68</v>
      </c>
      <c r="Z900">
        <v>12.733822</v>
      </c>
      <c r="AA900">
        <v>108.07914700000001</v>
      </c>
      <c r="AB900" s="5">
        <f t="shared" si="85"/>
        <v>0.113385</v>
      </c>
      <c r="AC900" s="5">
        <f t="shared" si="86"/>
        <v>0.27701999999999999</v>
      </c>
      <c r="AD900" s="1" t="str">
        <f t="shared" si="87"/>
        <v>"Buôn Ma Thuột</v>
      </c>
      <c r="AE900" s="1" t="str">
        <f t="shared" si="88"/>
        <v>TTCMKV Cư
M'gar"</v>
      </c>
      <c r="AG900">
        <f t="shared" si="89"/>
        <v>7.5590000000000004E-2</v>
      </c>
      <c r="AH900">
        <f t="shared" si="90"/>
        <v>0.18468000000000001</v>
      </c>
      <c r="AI900" t="e">
        <f>VLOOKUP(L900,'[1]Tuyến cáp H04'!$B:$E,3,0)/1000</f>
        <v>#N/A</v>
      </c>
      <c r="AJ900" t="e">
        <f>VLOOKUP(L900,'[1]Tuyến cáp H04'!$B:$E,4,0)</f>
        <v>#N/A</v>
      </c>
    </row>
    <row r="901" spans="1:36" x14ac:dyDescent="0.25">
      <c r="A901" s="1" t="s">
        <v>8689</v>
      </c>
      <c r="B901" s="1" t="s">
        <v>8233</v>
      </c>
      <c r="C901" s="1" t="s">
        <v>8234</v>
      </c>
      <c r="D901" s="1" t="s">
        <v>8690</v>
      </c>
      <c r="E901" s="1" t="s">
        <v>8691</v>
      </c>
      <c r="F901" s="1" t="s">
        <v>8692</v>
      </c>
      <c r="G901" s="1" t="s">
        <v>14129</v>
      </c>
      <c r="H901" s="1" t="s">
        <v>14133</v>
      </c>
      <c r="I901" s="1" t="s">
        <v>15015</v>
      </c>
      <c r="J901" s="1" t="s">
        <v>23</v>
      </c>
      <c r="K901" s="1"/>
      <c r="L901" s="1" t="s">
        <v>8693</v>
      </c>
      <c r="M901" s="1" t="s">
        <v>8694</v>
      </c>
      <c r="N901" s="1" t="s">
        <v>8695</v>
      </c>
      <c r="O901" s="1" t="s">
        <v>8696</v>
      </c>
      <c r="P901" s="1" t="s">
        <v>8697</v>
      </c>
      <c r="Q901" s="1" t="s">
        <v>8698</v>
      </c>
      <c r="R901" s="1" t="s">
        <v>8699</v>
      </c>
      <c r="S901" s="1" t="s">
        <v>8700</v>
      </c>
      <c r="T901" s="1" t="s">
        <v>8701</v>
      </c>
      <c r="U901">
        <v>1015.69</v>
      </c>
      <c r="V901">
        <v>115.74</v>
      </c>
      <c r="W901">
        <v>13.038183999999999</v>
      </c>
      <c r="X901">
        <v>108.21764</v>
      </c>
      <c r="Y901">
        <v>899.95</v>
      </c>
      <c r="Z901">
        <v>13.043448</v>
      </c>
      <c r="AA901">
        <v>108.21302799999999</v>
      </c>
      <c r="AB901" s="5">
        <f t="shared" si="85"/>
        <v>0.17360999999999999</v>
      </c>
      <c r="AC901" s="5">
        <f t="shared" si="86"/>
        <v>1.3499250000000003</v>
      </c>
      <c r="AD901" s="1" t="str">
        <f t="shared" si="87"/>
        <v>Cư Pơng</v>
      </c>
      <c r="AE901" s="1" t="str">
        <f t="shared" si="88"/>
        <v>Krông Búk</v>
      </c>
      <c r="AG901">
        <f t="shared" si="89"/>
        <v>0.11574</v>
      </c>
      <c r="AH901">
        <f t="shared" si="90"/>
        <v>0.89995000000000003</v>
      </c>
      <c r="AI901">
        <f>VLOOKUP(L901,'[1]Tuyến cáp H04'!$B:$E,3,0)/1000</f>
        <v>11.002000000000001</v>
      </c>
      <c r="AJ901" t="str">
        <f>VLOOKUP(L901,'[1]Tuyến cáp H04'!$B:$E,4,0)</f>
        <v>Mạng cấp 4</v>
      </c>
    </row>
    <row r="902" spans="1:36" x14ac:dyDescent="0.25">
      <c r="A902" s="1" t="s">
        <v>8702</v>
      </c>
      <c r="B902" s="1" t="s">
        <v>8160</v>
      </c>
      <c r="C902" s="1" t="s">
        <v>8161</v>
      </c>
      <c r="D902" s="1" t="s">
        <v>8703</v>
      </c>
      <c r="E902" s="1" t="s">
        <v>8704</v>
      </c>
      <c r="F902" s="1" t="s">
        <v>8705</v>
      </c>
      <c r="G902" s="1" t="s">
        <v>14129</v>
      </c>
      <c r="H902" s="1" t="s">
        <v>14133</v>
      </c>
      <c r="I902" s="1" t="s">
        <v>15016</v>
      </c>
      <c r="J902" s="1" t="s">
        <v>23</v>
      </c>
      <c r="K902" s="1"/>
      <c r="L902" s="1" t="s">
        <v>8163</v>
      </c>
      <c r="M902" s="1" t="s">
        <v>8706</v>
      </c>
      <c r="N902" s="1" t="s">
        <v>8168</v>
      </c>
      <c r="O902" s="1" t="s">
        <v>8169</v>
      </c>
      <c r="P902" s="1" t="s">
        <v>8170</v>
      </c>
      <c r="Q902" s="1" t="s">
        <v>8707</v>
      </c>
      <c r="R902" s="1" t="s">
        <v>8708</v>
      </c>
      <c r="S902" s="1" t="s">
        <v>8709</v>
      </c>
      <c r="T902" s="1" t="s">
        <v>8171</v>
      </c>
      <c r="U902">
        <v>288.27</v>
      </c>
      <c r="V902">
        <v>102</v>
      </c>
      <c r="W902">
        <v>12.970822</v>
      </c>
      <c r="X902">
        <v>108.244495</v>
      </c>
      <c r="Y902">
        <v>186.28</v>
      </c>
      <c r="Z902">
        <v>12.947990000000001</v>
      </c>
      <c r="AA902">
        <v>108.25184</v>
      </c>
      <c r="AB902" s="5">
        <f t="shared" si="85"/>
        <v>0.153</v>
      </c>
      <c r="AC902" s="5">
        <f t="shared" si="86"/>
        <v>0.27942</v>
      </c>
      <c r="AD902" s="1" t="str">
        <f t="shared" si="87"/>
        <v>Buôn Hồ</v>
      </c>
      <c r="AE902" s="1" t="str">
        <f t="shared" si="88"/>
        <v>Ea H'Leo</v>
      </c>
      <c r="AG902">
        <f t="shared" si="89"/>
        <v>0.10199999999999999</v>
      </c>
      <c r="AH902">
        <f t="shared" si="90"/>
        <v>0.18628</v>
      </c>
      <c r="AI902">
        <f>VLOOKUP(L902,'[1]Tuyến cáp H04'!$B:$E,3,0)/1000</f>
        <v>36.590000000000003</v>
      </c>
      <c r="AJ902" t="str">
        <f>VLOOKUP(L902,'[1]Tuyến cáp H04'!$B:$E,4,0)</f>
        <v>Mạng cấp 3</v>
      </c>
    </row>
    <row r="903" spans="1:36" x14ac:dyDescent="0.25">
      <c r="A903" s="1" t="s">
        <v>8710</v>
      </c>
      <c r="B903" s="1" t="s">
        <v>8233</v>
      </c>
      <c r="C903" s="1" t="s">
        <v>8234</v>
      </c>
      <c r="D903" s="1" t="s">
        <v>8711</v>
      </c>
      <c r="E903" s="1" t="s">
        <v>8712</v>
      </c>
      <c r="F903" s="1" t="s">
        <v>8713</v>
      </c>
      <c r="G903" s="1" t="s">
        <v>14129</v>
      </c>
      <c r="H903" s="1" t="s">
        <v>14133</v>
      </c>
      <c r="I903" s="1" t="s">
        <v>15017</v>
      </c>
      <c r="J903" s="1" t="s">
        <v>23</v>
      </c>
      <c r="K903" s="1"/>
      <c r="L903" s="1" t="s">
        <v>8236</v>
      </c>
      <c r="M903" s="1" t="s">
        <v>8714</v>
      </c>
      <c r="N903" s="1" t="s">
        <v>8241</v>
      </c>
      <c r="O903" s="1" t="s">
        <v>8242</v>
      </c>
      <c r="P903" s="1" t="s">
        <v>8243</v>
      </c>
      <c r="Q903" s="1" t="s">
        <v>8715</v>
      </c>
      <c r="R903" s="1" t="s">
        <v>8716</v>
      </c>
      <c r="S903" s="1" t="s">
        <v>8717</v>
      </c>
      <c r="T903" s="1" t="s">
        <v>8244</v>
      </c>
      <c r="U903">
        <v>938.27</v>
      </c>
      <c r="V903">
        <v>826.1</v>
      </c>
      <c r="W903">
        <v>13.043447</v>
      </c>
      <c r="X903">
        <v>108.212785</v>
      </c>
      <c r="Y903">
        <v>112.17</v>
      </c>
      <c r="Z903">
        <v>13.008883000000001</v>
      </c>
      <c r="AA903">
        <v>108.150448</v>
      </c>
      <c r="AB903" s="5">
        <f t="shared" si="85"/>
        <v>1.2391500000000002</v>
      </c>
      <c r="AC903" s="5">
        <f t="shared" si="86"/>
        <v>0.16825499999999999</v>
      </c>
      <c r="AD903" s="1" t="e">
        <f t="shared" si="87"/>
        <v>#VALUE!</v>
      </c>
      <c r="AE903" s="1" t="e">
        <f t="shared" si="88"/>
        <v>#VALUE!</v>
      </c>
      <c r="AG903">
        <f t="shared" si="89"/>
        <v>0.82610000000000006</v>
      </c>
      <c r="AH903">
        <f t="shared" si="90"/>
        <v>0.11217000000000001</v>
      </c>
      <c r="AI903" t="e">
        <f>VLOOKUP(L903,'[1]Tuyến cáp H04'!$B:$E,3,0)/1000</f>
        <v>#N/A</v>
      </c>
      <c r="AJ903" t="e">
        <f>VLOOKUP(L903,'[1]Tuyến cáp H04'!$B:$E,4,0)</f>
        <v>#N/A</v>
      </c>
    </row>
    <row r="904" spans="1:36" x14ac:dyDescent="0.25">
      <c r="A904" s="1" t="s">
        <v>8718</v>
      </c>
      <c r="B904" s="1" t="s">
        <v>8160</v>
      </c>
      <c r="C904" s="1" t="s">
        <v>8161</v>
      </c>
      <c r="D904" s="1" t="s">
        <v>8233</v>
      </c>
      <c r="E904" s="1" t="s">
        <v>8234</v>
      </c>
      <c r="F904" s="1" t="s">
        <v>8719</v>
      </c>
      <c r="G904" s="1" t="s">
        <v>14129</v>
      </c>
      <c r="H904" s="1" t="s">
        <v>14133</v>
      </c>
      <c r="I904" s="1" t="s">
        <v>15018</v>
      </c>
      <c r="J904" s="1" t="s">
        <v>23</v>
      </c>
      <c r="K904" s="1"/>
      <c r="L904" s="1" t="s">
        <v>8163</v>
      </c>
      <c r="M904" s="1" t="s">
        <v>8720</v>
      </c>
      <c r="N904" s="1" t="s">
        <v>8168</v>
      </c>
      <c r="O904" s="1" t="s">
        <v>8169</v>
      </c>
      <c r="P904" s="1" t="s">
        <v>8170</v>
      </c>
      <c r="Q904" s="1" t="s">
        <v>8721</v>
      </c>
      <c r="R904" s="1" t="s">
        <v>8722</v>
      </c>
      <c r="S904" s="1" t="s">
        <v>8723</v>
      </c>
      <c r="T904" s="1" t="s">
        <v>8171</v>
      </c>
      <c r="U904">
        <v>821.95</v>
      </c>
      <c r="V904">
        <v>102</v>
      </c>
      <c r="W904">
        <v>12.970822</v>
      </c>
      <c r="X904">
        <v>108.244495</v>
      </c>
      <c r="Y904">
        <v>719.96</v>
      </c>
      <c r="Z904">
        <v>13.039524999999999</v>
      </c>
      <c r="AA904">
        <v>108.225184</v>
      </c>
      <c r="AB904" s="5">
        <f t="shared" si="85"/>
        <v>0.153</v>
      </c>
      <c r="AC904" s="5">
        <f t="shared" si="86"/>
        <v>1.0799400000000001</v>
      </c>
      <c r="AD904" s="1" t="str">
        <f t="shared" si="87"/>
        <v>Buôn Hồ</v>
      </c>
      <c r="AE904" s="1" t="str">
        <f t="shared" si="88"/>
        <v>Ea H'Leo</v>
      </c>
      <c r="AG904">
        <f t="shared" si="89"/>
        <v>0.10199999999999999</v>
      </c>
      <c r="AH904">
        <f t="shared" si="90"/>
        <v>0.71996000000000004</v>
      </c>
      <c r="AI904">
        <f>VLOOKUP(L904,'[1]Tuyến cáp H04'!$B:$E,3,0)/1000</f>
        <v>36.590000000000003</v>
      </c>
      <c r="AJ904" t="str">
        <f>VLOOKUP(L904,'[1]Tuyến cáp H04'!$B:$E,4,0)</f>
        <v>Mạng cấp 3</v>
      </c>
    </row>
    <row r="905" spans="1:36" x14ac:dyDescent="0.25">
      <c r="A905" s="1" t="s">
        <v>8724</v>
      </c>
      <c r="B905" s="1" t="s">
        <v>8725</v>
      </c>
      <c r="C905" s="1" t="s">
        <v>8726</v>
      </c>
      <c r="D905" s="1" t="s">
        <v>8160</v>
      </c>
      <c r="E905" s="1" t="s">
        <v>8161</v>
      </c>
      <c r="F905" s="1" t="s">
        <v>8727</v>
      </c>
      <c r="G905" s="1" t="s">
        <v>14129</v>
      </c>
      <c r="H905" s="1" t="s">
        <v>14133</v>
      </c>
      <c r="I905" s="1" t="s">
        <v>15019</v>
      </c>
      <c r="J905" s="1" t="s">
        <v>23</v>
      </c>
      <c r="K905" s="1"/>
      <c r="L905" s="1" t="s">
        <v>8728</v>
      </c>
      <c r="M905" s="1" t="s">
        <v>8729</v>
      </c>
      <c r="N905" s="1" t="s">
        <v>8730</v>
      </c>
      <c r="O905" s="1" t="s">
        <v>8731</v>
      </c>
      <c r="P905" s="1" t="s">
        <v>8732</v>
      </c>
      <c r="Q905" s="1" t="s">
        <v>8733</v>
      </c>
      <c r="R905" s="1" t="s">
        <v>8734</v>
      </c>
      <c r="S905" s="1" t="s">
        <v>8735</v>
      </c>
      <c r="T905" s="1" t="s">
        <v>8736</v>
      </c>
      <c r="U905">
        <v>1917.7</v>
      </c>
      <c r="V905">
        <v>126.75</v>
      </c>
      <c r="W905">
        <v>12.939247</v>
      </c>
      <c r="X905">
        <v>108.23107299999999</v>
      </c>
      <c r="Y905">
        <v>1790.95</v>
      </c>
      <c r="Z905">
        <v>12.954533</v>
      </c>
      <c r="AA905">
        <v>108.246934</v>
      </c>
      <c r="AB905" s="5">
        <f t="shared" si="85"/>
        <v>0.19012499999999999</v>
      </c>
      <c r="AC905" s="5">
        <f t="shared" si="86"/>
        <v>2.6864250000000003</v>
      </c>
      <c r="AD905" s="1" t="str">
        <f t="shared" si="87"/>
        <v>Ea Tul</v>
      </c>
      <c r="AE905" s="1" t="str">
        <f t="shared" si="88"/>
        <v>Buôn Hồ</v>
      </c>
      <c r="AG905">
        <f t="shared" si="89"/>
        <v>0.12675</v>
      </c>
      <c r="AH905">
        <f t="shared" si="90"/>
        <v>1.79095</v>
      </c>
      <c r="AI905">
        <f>VLOOKUP(L905,'[1]Tuyến cáp H04'!$B:$E,3,0)/1000</f>
        <v>13.702999999999999</v>
      </c>
      <c r="AJ905" t="str">
        <f>VLOOKUP(L905,'[1]Tuyến cáp H04'!$B:$E,4,0)</f>
        <v>Mạng cấp 4</v>
      </c>
    </row>
    <row r="906" spans="1:36" x14ac:dyDescent="0.25">
      <c r="A906" s="1" t="s">
        <v>8737</v>
      </c>
      <c r="B906" s="1" t="s">
        <v>8738</v>
      </c>
      <c r="C906" s="1" t="s">
        <v>8739</v>
      </c>
      <c r="D906" s="1" t="s">
        <v>8260</v>
      </c>
      <c r="E906" s="1" t="s">
        <v>8261</v>
      </c>
      <c r="F906" s="1" t="s">
        <v>8740</v>
      </c>
      <c r="G906" s="1" t="s">
        <v>14129</v>
      </c>
      <c r="H906" s="1" t="s">
        <v>14133</v>
      </c>
      <c r="I906" s="1" t="s">
        <v>15020</v>
      </c>
      <c r="J906" s="1" t="s">
        <v>23</v>
      </c>
      <c r="K906" s="1"/>
      <c r="L906" s="1" t="s">
        <v>8263</v>
      </c>
      <c r="M906" s="1" t="s">
        <v>8741</v>
      </c>
      <c r="N906" s="1" t="s">
        <v>8742</v>
      </c>
      <c r="O906" s="1" t="s">
        <v>8743</v>
      </c>
      <c r="P906" s="1" t="s">
        <v>8744</v>
      </c>
      <c r="Q906" s="1" t="s">
        <v>8268</v>
      </c>
      <c r="R906" s="1" t="s">
        <v>8269</v>
      </c>
      <c r="S906" s="1" t="s">
        <v>8270</v>
      </c>
      <c r="T906" s="1" t="s">
        <v>8271</v>
      </c>
      <c r="U906">
        <v>121.03</v>
      </c>
      <c r="V906">
        <v>85.03</v>
      </c>
      <c r="W906">
        <v>13.041829</v>
      </c>
      <c r="X906">
        <v>108.332318</v>
      </c>
      <c r="Y906">
        <v>35.99</v>
      </c>
      <c r="Z906">
        <v>12.951675</v>
      </c>
      <c r="AA906">
        <v>108.344356</v>
      </c>
      <c r="AB906" s="5">
        <f t="shared" si="85"/>
        <v>0.12754499999999999</v>
      </c>
      <c r="AC906" s="5">
        <f t="shared" si="86"/>
        <v>5.3984999999999998E-2</v>
      </c>
      <c r="AD906" s="1" t="e">
        <f t="shared" si="87"/>
        <v>#VALUE!</v>
      </c>
      <c r="AE906" s="1" t="e">
        <f t="shared" si="88"/>
        <v>#VALUE!</v>
      </c>
      <c r="AG906">
        <f t="shared" si="89"/>
        <v>8.5029999999999994E-2</v>
      </c>
      <c r="AH906">
        <f t="shared" si="90"/>
        <v>3.5990000000000001E-2</v>
      </c>
      <c r="AI906" t="e">
        <f>VLOOKUP(L906,'[1]Tuyến cáp H04'!$B:$E,3,0)/1000</f>
        <v>#N/A</v>
      </c>
      <c r="AJ906" t="e">
        <f>VLOOKUP(L906,'[1]Tuyến cáp H04'!$B:$E,4,0)</f>
        <v>#N/A</v>
      </c>
    </row>
    <row r="907" spans="1:36" x14ac:dyDescent="0.25">
      <c r="A907" s="1" t="s">
        <v>8745</v>
      </c>
      <c r="B907" s="1" t="s">
        <v>8332</v>
      </c>
      <c r="C907" s="1" t="s">
        <v>8333</v>
      </c>
      <c r="D907" s="1" t="s">
        <v>8746</v>
      </c>
      <c r="E907" s="1" t="s">
        <v>8747</v>
      </c>
      <c r="F907" s="1" t="s">
        <v>8748</v>
      </c>
      <c r="G907" s="1" t="s">
        <v>14129</v>
      </c>
      <c r="H907" s="1" t="s">
        <v>14133</v>
      </c>
      <c r="I907" s="1" t="s">
        <v>15021</v>
      </c>
      <c r="J907" s="1" t="s">
        <v>23</v>
      </c>
      <c r="K907" s="1"/>
      <c r="L907" s="1" t="s">
        <v>8163</v>
      </c>
      <c r="M907" s="1" t="s">
        <v>8749</v>
      </c>
      <c r="N907" s="1" t="s">
        <v>8750</v>
      </c>
      <c r="O907" s="1" t="s">
        <v>8751</v>
      </c>
      <c r="P907" s="1" t="s">
        <v>8752</v>
      </c>
      <c r="Q907" s="1" t="s">
        <v>8753</v>
      </c>
      <c r="R907" s="1" t="s">
        <v>8754</v>
      </c>
      <c r="S907" s="1" t="s">
        <v>8755</v>
      </c>
      <c r="T907" s="1" t="s">
        <v>8171</v>
      </c>
      <c r="U907">
        <v>150.19999999999999</v>
      </c>
      <c r="V907">
        <v>58.27</v>
      </c>
      <c r="W907">
        <v>12.916486000000001</v>
      </c>
      <c r="X907">
        <v>108.266068</v>
      </c>
      <c r="Y907">
        <v>91.93</v>
      </c>
      <c r="Z907">
        <v>13.175210999999999</v>
      </c>
      <c r="AA907">
        <v>108.21837600000001</v>
      </c>
      <c r="AB907" s="5">
        <f t="shared" si="85"/>
        <v>8.7404999999999997E-2</v>
      </c>
      <c r="AC907" s="5">
        <f t="shared" si="86"/>
        <v>0.13789500000000002</v>
      </c>
      <c r="AD907" s="1" t="str">
        <f t="shared" si="87"/>
        <v>Buôn Hồ</v>
      </c>
      <c r="AE907" s="1" t="str">
        <f t="shared" si="88"/>
        <v>Ea H'Leo</v>
      </c>
      <c r="AG907">
        <f t="shared" si="89"/>
        <v>5.8270000000000002E-2</v>
      </c>
      <c r="AH907">
        <f t="shared" si="90"/>
        <v>9.1930000000000012E-2</v>
      </c>
      <c r="AI907">
        <f>VLOOKUP(L907,'[1]Tuyến cáp H04'!$B:$E,3,0)/1000</f>
        <v>36.590000000000003</v>
      </c>
      <c r="AJ907" t="str">
        <f>VLOOKUP(L907,'[1]Tuyến cáp H04'!$B:$E,4,0)</f>
        <v>Mạng cấp 3</v>
      </c>
    </row>
    <row r="908" spans="1:36" x14ac:dyDescent="0.25">
      <c r="A908" s="1" t="s">
        <v>8756</v>
      </c>
      <c r="B908" s="1" t="s">
        <v>8757</v>
      </c>
      <c r="C908" s="1" t="s">
        <v>8758</v>
      </c>
      <c r="D908" s="1" t="s">
        <v>8260</v>
      </c>
      <c r="E908" s="1" t="s">
        <v>8261</v>
      </c>
      <c r="F908" s="1" t="s">
        <v>8759</v>
      </c>
      <c r="G908" s="1" t="s">
        <v>14129</v>
      </c>
      <c r="H908" s="1" t="s">
        <v>14133</v>
      </c>
      <c r="I908" s="1" t="s">
        <v>15022</v>
      </c>
      <c r="J908" s="1" t="s">
        <v>23</v>
      </c>
      <c r="K908" s="1"/>
      <c r="L908" s="1" t="s">
        <v>8760</v>
      </c>
      <c r="M908" s="1" t="s">
        <v>8761</v>
      </c>
      <c r="N908" s="1" t="s">
        <v>8762</v>
      </c>
      <c r="O908" s="1" t="s">
        <v>8763</v>
      </c>
      <c r="P908" s="1" t="s">
        <v>8764</v>
      </c>
      <c r="Q908" s="1" t="s">
        <v>8765</v>
      </c>
      <c r="R908" s="1" t="s">
        <v>8766</v>
      </c>
      <c r="S908" s="1" t="s">
        <v>8767</v>
      </c>
      <c r="T908" s="1" t="s">
        <v>8768</v>
      </c>
      <c r="U908">
        <v>196.5</v>
      </c>
      <c r="V908">
        <v>165.63</v>
      </c>
      <c r="W908">
        <v>12.951854000000001</v>
      </c>
      <c r="X908">
        <v>108.305722</v>
      </c>
      <c r="Y908">
        <v>30.87</v>
      </c>
      <c r="Z908">
        <v>12.951995999999999</v>
      </c>
      <c r="AA908">
        <v>108.344803</v>
      </c>
      <c r="AB908" s="5">
        <f t="shared" si="85"/>
        <v>0.248445</v>
      </c>
      <c r="AC908" s="5">
        <f t="shared" si="86"/>
        <v>4.6304999999999999E-2</v>
      </c>
      <c r="AD908" s="1" t="e">
        <f t="shared" si="87"/>
        <v>#VALUE!</v>
      </c>
      <c r="AE908" s="1" t="e">
        <f t="shared" si="88"/>
        <v>#VALUE!</v>
      </c>
      <c r="AG908">
        <f t="shared" si="89"/>
        <v>0.16563</v>
      </c>
      <c r="AH908">
        <f t="shared" si="90"/>
        <v>3.0870000000000002E-2</v>
      </c>
      <c r="AI908" t="e">
        <f>VLOOKUP(L908,'[1]Tuyến cáp H04'!$B:$E,3,0)/1000</f>
        <v>#N/A</v>
      </c>
      <c r="AJ908" t="e">
        <f>VLOOKUP(L908,'[1]Tuyến cáp H04'!$B:$E,4,0)</f>
        <v>#N/A</v>
      </c>
    </row>
    <row r="909" spans="1:36" x14ac:dyDescent="0.25">
      <c r="A909" s="1" t="s">
        <v>8769</v>
      </c>
      <c r="B909" s="1" t="s">
        <v>8332</v>
      </c>
      <c r="C909" s="1" t="s">
        <v>8333</v>
      </c>
      <c r="D909" s="1" t="s">
        <v>8757</v>
      </c>
      <c r="E909" s="1" t="s">
        <v>8758</v>
      </c>
      <c r="F909" s="1" t="s">
        <v>8770</v>
      </c>
      <c r="G909" s="1" t="s">
        <v>14129</v>
      </c>
      <c r="H909" s="1" t="s">
        <v>14133</v>
      </c>
      <c r="I909" s="1" t="s">
        <v>15023</v>
      </c>
      <c r="J909" s="1" t="s">
        <v>23</v>
      </c>
      <c r="K909" s="1"/>
      <c r="L909" s="1" t="s">
        <v>8498</v>
      </c>
      <c r="M909" s="1" t="s">
        <v>8771</v>
      </c>
      <c r="N909" s="1" t="s">
        <v>8772</v>
      </c>
      <c r="O909" s="1" t="s">
        <v>8773</v>
      </c>
      <c r="P909" s="1" t="s">
        <v>8774</v>
      </c>
      <c r="Q909" s="1" t="s">
        <v>8775</v>
      </c>
      <c r="R909" s="1" t="s">
        <v>8776</v>
      </c>
      <c r="S909" s="1" t="s">
        <v>8777</v>
      </c>
      <c r="T909" s="1" t="s">
        <v>8506</v>
      </c>
      <c r="U909">
        <v>223.08</v>
      </c>
      <c r="V909">
        <v>58</v>
      </c>
      <c r="W909">
        <v>12.916520999999999</v>
      </c>
      <c r="X909">
        <v>108.266099</v>
      </c>
      <c r="Y909">
        <v>165.08</v>
      </c>
      <c r="Z909">
        <v>12.951841999999999</v>
      </c>
      <c r="AA909">
        <v>108.305711</v>
      </c>
      <c r="AB909" s="5">
        <f t="shared" si="85"/>
        <v>8.6999999999999994E-2</v>
      </c>
      <c r="AC909" s="5">
        <f t="shared" si="86"/>
        <v>0.24762000000000001</v>
      </c>
      <c r="AD909" s="1" t="str">
        <f t="shared" si="87"/>
        <v>TTCMKV Buôn Hồ</v>
      </c>
      <c r="AE909" s="1" t="str">
        <f t="shared" si="88"/>
        <v>Dliê Ya</v>
      </c>
      <c r="AG909">
        <f t="shared" si="89"/>
        <v>5.8000000000000003E-2</v>
      </c>
      <c r="AH909">
        <f t="shared" si="90"/>
        <v>0.16508</v>
      </c>
      <c r="AI909">
        <f>VLOOKUP(L909,'[1]Tuyến cáp H04'!$B:$E,3,0)/1000</f>
        <v>30.356000000000002</v>
      </c>
      <c r="AJ909" t="str">
        <f>VLOOKUP(L909,'[1]Tuyến cáp H04'!$B:$E,4,0)</f>
        <v>Mạng cấp 4</v>
      </c>
    </row>
    <row r="910" spans="1:36" x14ac:dyDescent="0.25">
      <c r="A910" s="1" t="s">
        <v>8778</v>
      </c>
      <c r="B910" s="1" t="s">
        <v>8218</v>
      </c>
      <c r="C910" s="1" t="s">
        <v>8219</v>
      </c>
      <c r="D910" s="1" t="s">
        <v>8260</v>
      </c>
      <c r="E910" s="1" t="s">
        <v>8261</v>
      </c>
      <c r="F910" s="1" t="s">
        <v>8779</v>
      </c>
      <c r="G910" s="1" t="s">
        <v>14129</v>
      </c>
      <c r="H910" s="1" t="s">
        <v>14133</v>
      </c>
      <c r="I910" s="1" t="s">
        <v>15024</v>
      </c>
      <c r="J910" s="1" t="s">
        <v>23</v>
      </c>
      <c r="K910" s="1"/>
      <c r="L910" s="1" t="s">
        <v>8498</v>
      </c>
      <c r="M910" s="1" t="s">
        <v>8780</v>
      </c>
      <c r="N910" s="1" t="s">
        <v>8503</v>
      </c>
      <c r="O910" s="1" t="s">
        <v>8504</v>
      </c>
      <c r="P910" s="1" t="s">
        <v>8505</v>
      </c>
      <c r="Q910" s="1" t="s">
        <v>8781</v>
      </c>
      <c r="R910" s="1" t="s">
        <v>8782</v>
      </c>
      <c r="S910" s="1" t="s">
        <v>8783</v>
      </c>
      <c r="T910" s="1" t="s">
        <v>8506</v>
      </c>
      <c r="U910">
        <v>4309.1099999999997</v>
      </c>
      <c r="V910">
        <v>183.44</v>
      </c>
      <c r="W910">
        <v>13.114953</v>
      </c>
      <c r="X910">
        <v>108.330055</v>
      </c>
      <c r="Y910">
        <v>4125.67</v>
      </c>
      <c r="Z910">
        <v>12.959835</v>
      </c>
      <c r="AA910">
        <v>108.307524</v>
      </c>
      <c r="AB910" s="5">
        <f t="shared" si="85"/>
        <v>0.27515999999999996</v>
      </c>
      <c r="AC910" s="5">
        <f t="shared" si="86"/>
        <v>6.1885050000000001</v>
      </c>
      <c r="AD910" s="1" t="str">
        <f t="shared" si="87"/>
        <v>TTCMKV Buôn Hồ</v>
      </c>
      <c r="AE910" s="1" t="str">
        <f t="shared" si="88"/>
        <v>Dliê Ya</v>
      </c>
      <c r="AG910">
        <f t="shared" si="89"/>
        <v>0.18343999999999999</v>
      </c>
      <c r="AH910">
        <f t="shared" si="90"/>
        <v>4.1256700000000004</v>
      </c>
      <c r="AI910">
        <f>VLOOKUP(L910,'[1]Tuyến cáp H04'!$B:$E,3,0)/1000</f>
        <v>30.356000000000002</v>
      </c>
      <c r="AJ910" t="str">
        <f>VLOOKUP(L910,'[1]Tuyến cáp H04'!$B:$E,4,0)</f>
        <v>Mạng cấp 4</v>
      </c>
    </row>
    <row r="911" spans="1:36" x14ac:dyDescent="0.25">
      <c r="A911" s="1" t="s">
        <v>8784</v>
      </c>
      <c r="B911" s="1" t="s">
        <v>8305</v>
      </c>
      <c r="C911" s="1" t="s">
        <v>8306</v>
      </c>
      <c r="D911" s="1" t="s">
        <v>8218</v>
      </c>
      <c r="E911" s="1" t="s">
        <v>8219</v>
      </c>
      <c r="F911" s="1" t="s">
        <v>8785</v>
      </c>
      <c r="G911" s="1" t="s">
        <v>14129</v>
      </c>
      <c r="H911" s="1" t="s">
        <v>14133</v>
      </c>
      <c r="I911" s="1" t="s">
        <v>15025</v>
      </c>
      <c r="J911" s="1" t="s">
        <v>23</v>
      </c>
      <c r="K911" s="1"/>
      <c r="L911" s="1" t="s">
        <v>8786</v>
      </c>
      <c r="M911" s="1" t="s">
        <v>8787</v>
      </c>
      <c r="N911" s="1" t="s">
        <v>8788</v>
      </c>
      <c r="O911" s="1" t="s">
        <v>8789</v>
      </c>
      <c r="P911" s="1" t="s">
        <v>8790</v>
      </c>
      <c r="Q911" s="1" t="s">
        <v>8791</v>
      </c>
      <c r="R911" s="1" t="s">
        <v>8792</v>
      </c>
      <c r="S911" s="1" t="s">
        <v>8793</v>
      </c>
      <c r="T911" s="1" t="s">
        <v>8794</v>
      </c>
      <c r="U911">
        <v>8933.98</v>
      </c>
      <c r="V911">
        <v>4630.83</v>
      </c>
      <c r="W911">
        <v>13.225431</v>
      </c>
      <c r="X911">
        <v>108.29411399999999</v>
      </c>
      <c r="Y911">
        <v>4303.16</v>
      </c>
      <c r="Z911">
        <v>13.154978</v>
      </c>
      <c r="AA911">
        <v>108.325789</v>
      </c>
      <c r="AB911" s="5">
        <f t="shared" si="85"/>
        <v>6.9462450000000002</v>
      </c>
      <c r="AC911" s="5">
        <f t="shared" si="86"/>
        <v>6.4547400000000001</v>
      </c>
      <c r="AD911" s="1" t="e">
        <f t="shared" si="87"/>
        <v>#VALUE!</v>
      </c>
      <c r="AE911" s="1" t="e">
        <f t="shared" si="88"/>
        <v>#VALUE!</v>
      </c>
      <c r="AG911">
        <f t="shared" si="89"/>
        <v>4.6308299999999996</v>
      </c>
      <c r="AH911">
        <f t="shared" si="90"/>
        <v>4.3031600000000001</v>
      </c>
      <c r="AI911" t="e">
        <f>VLOOKUP(L911,'[1]Tuyến cáp H04'!$B:$E,3,0)/1000</f>
        <v>#N/A</v>
      </c>
      <c r="AJ911" t="e">
        <f>VLOOKUP(L911,'[1]Tuyến cáp H04'!$B:$E,4,0)</f>
        <v>#N/A</v>
      </c>
    </row>
    <row r="912" spans="1:36" x14ac:dyDescent="0.25">
      <c r="A912" s="1" t="s">
        <v>8795</v>
      </c>
      <c r="B912" s="1" t="s">
        <v>8796</v>
      </c>
      <c r="C912" s="1" t="s">
        <v>8797</v>
      </c>
      <c r="D912" s="1" t="s">
        <v>8305</v>
      </c>
      <c r="E912" s="1" t="s">
        <v>8306</v>
      </c>
      <c r="F912" s="1" t="s">
        <v>8798</v>
      </c>
      <c r="G912" s="1" t="s">
        <v>14129</v>
      </c>
      <c r="H912" s="1" t="s">
        <v>14133</v>
      </c>
      <c r="I912" s="1" t="s">
        <v>15026</v>
      </c>
      <c r="J912" s="1" t="s">
        <v>23</v>
      </c>
      <c r="K912" s="1"/>
      <c r="L912" s="1" t="s">
        <v>8410</v>
      </c>
      <c r="M912" s="1" t="s">
        <v>8799</v>
      </c>
      <c r="N912" s="1" t="s">
        <v>8800</v>
      </c>
      <c r="O912" s="1" t="s">
        <v>8801</v>
      </c>
      <c r="P912" s="1" t="s">
        <v>8802</v>
      </c>
      <c r="Q912" s="1" t="s">
        <v>8415</v>
      </c>
      <c r="R912" s="1" t="s">
        <v>8416</v>
      </c>
      <c r="S912" s="1" t="s">
        <v>8417</v>
      </c>
      <c r="T912" s="1" t="s">
        <v>8418</v>
      </c>
      <c r="U912">
        <v>153.88</v>
      </c>
      <c r="V912">
        <v>109.64</v>
      </c>
      <c r="W912">
        <v>13.201871000000001</v>
      </c>
      <c r="X912">
        <v>108.214752</v>
      </c>
      <c r="Y912">
        <v>44.24</v>
      </c>
      <c r="Z912">
        <v>13.266166999999999</v>
      </c>
      <c r="AA912">
        <v>108.287032</v>
      </c>
      <c r="AB912" s="5">
        <f t="shared" si="85"/>
        <v>0.16446</v>
      </c>
      <c r="AC912" s="5">
        <f t="shared" si="86"/>
        <v>6.6360000000000002E-2</v>
      </c>
      <c r="AD912" s="1" t="e">
        <f t="shared" si="87"/>
        <v>#VALUE!</v>
      </c>
      <c r="AE912" s="1" t="e">
        <f t="shared" si="88"/>
        <v>#VALUE!</v>
      </c>
      <c r="AG912">
        <f t="shared" si="89"/>
        <v>0.10964</v>
      </c>
      <c r="AH912">
        <f t="shared" si="90"/>
        <v>4.4240000000000002E-2</v>
      </c>
      <c r="AI912" t="e">
        <f>VLOOKUP(L912,'[1]Tuyến cáp H04'!$B:$E,3,0)/1000</f>
        <v>#N/A</v>
      </c>
      <c r="AJ912" t="e">
        <f>VLOOKUP(L912,'[1]Tuyến cáp H04'!$B:$E,4,0)</f>
        <v>#N/A</v>
      </c>
    </row>
    <row r="913" spans="1:36" x14ac:dyDescent="0.25">
      <c r="A913" s="1" t="s">
        <v>8803</v>
      </c>
      <c r="B913" s="1" t="s">
        <v>8332</v>
      </c>
      <c r="C913" s="1" t="s">
        <v>8333</v>
      </c>
      <c r="D913" s="1" t="s">
        <v>8796</v>
      </c>
      <c r="E913" s="1" t="s">
        <v>8797</v>
      </c>
      <c r="F913" s="1" t="s">
        <v>8804</v>
      </c>
      <c r="G913" s="1" t="s">
        <v>14129</v>
      </c>
      <c r="H913" s="1" t="s">
        <v>14133</v>
      </c>
      <c r="I913" s="1" t="s">
        <v>15027</v>
      </c>
      <c r="J913" s="1" t="s">
        <v>23</v>
      </c>
      <c r="K913" s="1"/>
      <c r="L913" s="1" t="s">
        <v>8163</v>
      </c>
      <c r="M913" s="1" t="s">
        <v>8805</v>
      </c>
      <c r="N913" s="1" t="s">
        <v>8750</v>
      </c>
      <c r="O913" s="1" t="s">
        <v>8751</v>
      </c>
      <c r="P913" s="1" t="s">
        <v>8752</v>
      </c>
      <c r="Q913" s="1" t="s">
        <v>8806</v>
      </c>
      <c r="R913" s="1" t="s">
        <v>8807</v>
      </c>
      <c r="S913" s="1" t="s">
        <v>8808</v>
      </c>
      <c r="T913" s="1" t="s">
        <v>8171</v>
      </c>
      <c r="U913">
        <v>1026.28</v>
      </c>
      <c r="V913">
        <v>58.27</v>
      </c>
      <c r="W913">
        <v>12.916486000000001</v>
      </c>
      <c r="X913">
        <v>108.266068</v>
      </c>
      <c r="Y913">
        <v>968.01</v>
      </c>
      <c r="Z913">
        <v>13.204205999999999</v>
      </c>
      <c r="AA913">
        <v>108.207145</v>
      </c>
      <c r="AB913" s="5">
        <f t="shared" si="85"/>
        <v>8.7404999999999997E-2</v>
      </c>
      <c r="AC913" s="5">
        <f t="shared" si="86"/>
        <v>1.4520149999999998</v>
      </c>
      <c r="AD913" s="1" t="str">
        <f t="shared" si="87"/>
        <v>Buôn Hồ</v>
      </c>
      <c r="AE913" s="1" t="str">
        <f t="shared" si="88"/>
        <v>Ea H'Leo</v>
      </c>
      <c r="AG913">
        <f t="shared" si="89"/>
        <v>5.8270000000000002E-2</v>
      </c>
      <c r="AH913">
        <f t="shared" si="90"/>
        <v>0.96801000000000004</v>
      </c>
      <c r="AI913">
        <f>VLOOKUP(L913,'[1]Tuyến cáp H04'!$B:$E,3,0)/1000</f>
        <v>36.590000000000003</v>
      </c>
      <c r="AJ913" t="str">
        <f>VLOOKUP(L913,'[1]Tuyến cáp H04'!$B:$E,4,0)</f>
        <v>Mạng cấp 3</v>
      </c>
    </row>
    <row r="914" spans="1:36" x14ac:dyDescent="0.25">
      <c r="A914" s="1" t="s">
        <v>8809</v>
      </c>
      <c r="B914" s="1" t="s">
        <v>8332</v>
      </c>
      <c r="C914" s="1" t="s">
        <v>8333</v>
      </c>
      <c r="D914" s="1" t="s">
        <v>8810</v>
      </c>
      <c r="E914" s="1" t="s">
        <v>8811</v>
      </c>
      <c r="F914" s="1" t="s">
        <v>8812</v>
      </c>
      <c r="G914" s="1" t="s">
        <v>14129</v>
      </c>
      <c r="H914" s="1" t="s">
        <v>14133</v>
      </c>
      <c r="I914" s="1" t="s">
        <v>15028</v>
      </c>
      <c r="J914" s="1" t="s">
        <v>23</v>
      </c>
      <c r="K914" s="1"/>
      <c r="L914" s="1" t="s">
        <v>8813</v>
      </c>
      <c r="M914" s="1" t="s">
        <v>8814</v>
      </c>
      <c r="N914" s="1" t="s">
        <v>8815</v>
      </c>
      <c r="O914" s="1" t="s">
        <v>8816</v>
      </c>
      <c r="P914" s="1" t="s">
        <v>8817</v>
      </c>
      <c r="Q914" s="1" t="s">
        <v>8818</v>
      </c>
      <c r="R914" s="1" t="s">
        <v>8819</v>
      </c>
      <c r="S914" s="1" t="s">
        <v>8820</v>
      </c>
      <c r="T914" s="1" t="s">
        <v>8821</v>
      </c>
      <c r="U914">
        <v>9422.7900000000009</v>
      </c>
      <c r="V914">
        <v>9287.61</v>
      </c>
      <c r="W914">
        <v>12.924609999999999</v>
      </c>
      <c r="X914">
        <v>108.35176800000001</v>
      </c>
      <c r="Y914">
        <v>135.18</v>
      </c>
      <c r="Z914">
        <v>12.88081</v>
      </c>
      <c r="AA914">
        <v>108.38649100000001</v>
      </c>
      <c r="AB914" s="5">
        <f t="shared" si="85"/>
        <v>13.931415000000001</v>
      </c>
      <c r="AC914" s="5">
        <f t="shared" si="86"/>
        <v>0.20277000000000001</v>
      </c>
      <c r="AD914" s="1" t="str">
        <f t="shared" si="87"/>
        <v>Ea Kar</v>
      </c>
      <c r="AE914" s="1" t="str">
        <f t="shared" si="88"/>
        <v>KRông Năng</v>
      </c>
      <c r="AG914">
        <f t="shared" si="89"/>
        <v>9.2876100000000008</v>
      </c>
      <c r="AH914">
        <f t="shared" si="90"/>
        <v>0.13517999999999999</v>
      </c>
      <c r="AI914">
        <f>VLOOKUP(L914,'[1]Tuyến cáp H04'!$B:$E,3,0)/1000</f>
        <v>28.914000000000001</v>
      </c>
      <c r="AJ914" t="str">
        <f>VLOOKUP(L914,'[1]Tuyến cáp H04'!$B:$E,4,0)</f>
        <v>Mạng cấp 3</v>
      </c>
    </row>
    <row r="915" spans="1:36" x14ac:dyDescent="0.25">
      <c r="A915" s="1" t="s">
        <v>8822</v>
      </c>
      <c r="B915" s="1" t="s">
        <v>8675</v>
      </c>
      <c r="C915" s="1" t="s">
        <v>8676</v>
      </c>
      <c r="D915" s="1" t="s">
        <v>8823</v>
      </c>
      <c r="E915" s="1" t="s">
        <v>8824</v>
      </c>
      <c r="F915" s="1" t="s">
        <v>8825</v>
      </c>
      <c r="G915" s="1" t="s">
        <v>14129</v>
      </c>
      <c r="H915" s="1" t="s">
        <v>14133</v>
      </c>
      <c r="I915" s="1" t="s">
        <v>15029</v>
      </c>
      <c r="J915" s="1" t="s">
        <v>23</v>
      </c>
      <c r="K915" s="1"/>
      <c r="L915" s="1" t="s">
        <v>8572</v>
      </c>
      <c r="M915" s="1" t="s">
        <v>8826</v>
      </c>
      <c r="N915" s="1" t="s">
        <v>8827</v>
      </c>
      <c r="O915" s="1" t="s">
        <v>8828</v>
      </c>
      <c r="P915" s="1" t="s">
        <v>8829</v>
      </c>
      <c r="Q915" s="1" t="s">
        <v>8830</v>
      </c>
      <c r="R915" s="1" t="s">
        <v>8831</v>
      </c>
      <c r="S915" s="1" t="s">
        <v>8832</v>
      </c>
      <c r="T915" s="1" t="s">
        <v>8580</v>
      </c>
      <c r="U915">
        <v>2274.6</v>
      </c>
      <c r="V915">
        <v>76.38</v>
      </c>
      <c r="W915">
        <v>12.711752000000001</v>
      </c>
      <c r="X915">
        <v>108.069326</v>
      </c>
      <c r="Y915">
        <v>2198.21</v>
      </c>
      <c r="Z915">
        <v>12.687671999999999</v>
      </c>
      <c r="AA915">
        <v>108.046783</v>
      </c>
      <c r="AB915" s="5">
        <f t="shared" si="85"/>
        <v>0.11456999999999999</v>
      </c>
      <c r="AC915" s="5">
        <f t="shared" si="86"/>
        <v>3.2973150000000002</v>
      </c>
      <c r="AD915" s="1" t="str">
        <f t="shared" si="87"/>
        <v>CAT Đắk Lắk</v>
      </c>
      <c r="AE915" s="1" t="str">
        <f t="shared" si="88"/>
        <v>Buôn Ma Thuột</v>
      </c>
      <c r="AG915">
        <f t="shared" si="89"/>
        <v>7.637999999999999E-2</v>
      </c>
      <c r="AH915">
        <f t="shared" si="90"/>
        <v>2.19821</v>
      </c>
      <c r="AI915">
        <f>VLOOKUP(L915,'[1]Tuyến cáp H04'!$B:$E,3,0)/1000</f>
        <v>5.4139999999999997</v>
      </c>
      <c r="AJ915" t="str">
        <f>VLOOKUP(L915,'[1]Tuyến cáp H04'!$B:$E,4,0)</f>
        <v>Mạng cấp 4</v>
      </c>
    </row>
    <row r="916" spans="1:36" x14ac:dyDescent="0.25">
      <c r="A916" s="1" t="s">
        <v>8833</v>
      </c>
      <c r="B916" s="1" t="s">
        <v>8834</v>
      </c>
      <c r="C916" s="1" t="s">
        <v>8835</v>
      </c>
      <c r="D916" s="1" t="s">
        <v>8675</v>
      </c>
      <c r="E916" s="1" t="s">
        <v>8676</v>
      </c>
      <c r="F916" s="1" t="s">
        <v>8836</v>
      </c>
      <c r="G916" s="1" t="s">
        <v>14129</v>
      </c>
      <c r="H916" s="1" t="s">
        <v>14133</v>
      </c>
      <c r="I916" s="1" t="s">
        <v>15030</v>
      </c>
      <c r="J916" s="1" t="s">
        <v>23</v>
      </c>
      <c r="K916" s="1"/>
      <c r="L916" s="1" t="s">
        <v>8572</v>
      </c>
      <c r="M916" s="1" t="s">
        <v>8837</v>
      </c>
      <c r="N916" s="1" t="s">
        <v>8838</v>
      </c>
      <c r="O916" s="1" t="s">
        <v>8839</v>
      </c>
      <c r="P916" s="1" t="s">
        <v>8840</v>
      </c>
      <c r="Q916" s="1" t="s">
        <v>8827</v>
      </c>
      <c r="R916" s="1" t="s">
        <v>8828</v>
      </c>
      <c r="S916" s="1" t="s">
        <v>8829</v>
      </c>
      <c r="T916" s="1" t="s">
        <v>8580</v>
      </c>
      <c r="U916">
        <v>137.86000000000001</v>
      </c>
      <c r="V916">
        <v>61.48</v>
      </c>
      <c r="W916">
        <v>12.688961000000001</v>
      </c>
      <c r="X916">
        <v>108.047808</v>
      </c>
      <c r="Y916">
        <v>76.38</v>
      </c>
      <c r="Z916">
        <v>12.711752000000001</v>
      </c>
      <c r="AA916">
        <v>108.069326</v>
      </c>
      <c r="AB916" s="5">
        <f t="shared" si="85"/>
        <v>9.2219999999999996E-2</v>
      </c>
      <c r="AC916" s="5">
        <f t="shared" si="86"/>
        <v>0.11456999999999999</v>
      </c>
      <c r="AD916" s="1" t="str">
        <f t="shared" si="87"/>
        <v>CAT Đắk Lắk</v>
      </c>
      <c r="AE916" s="1" t="str">
        <f t="shared" si="88"/>
        <v>Buôn Ma Thuột</v>
      </c>
      <c r="AG916">
        <f t="shared" si="89"/>
        <v>6.148E-2</v>
      </c>
      <c r="AH916">
        <f t="shared" si="90"/>
        <v>7.637999999999999E-2</v>
      </c>
      <c r="AI916">
        <f>VLOOKUP(L916,'[1]Tuyến cáp H04'!$B:$E,3,0)/1000</f>
        <v>5.4139999999999997</v>
      </c>
      <c r="AJ916" t="str">
        <f>VLOOKUP(L916,'[1]Tuyến cáp H04'!$B:$E,4,0)</f>
        <v>Mạng cấp 4</v>
      </c>
    </row>
    <row r="917" spans="1:36" x14ac:dyDescent="0.25">
      <c r="A917" s="1" t="s">
        <v>8841</v>
      </c>
      <c r="B917" s="1" t="s">
        <v>8554</v>
      </c>
      <c r="C917" s="1" t="s">
        <v>8555</v>
      </c>
      <c r="D917" s="1" t="s">
        <v>8842</v>
      </c>
      <c r="E917" s="1" t="s">
        <v>8843</v>
      </c>
      <c r="F917" s="1" t="s">
        <v>8844</v>
      </c>
      <c r="G917" s="1" t="s">
        <v>14129</v>
      </c>
      <c r="H917" s="1" t="s">
        <v>14133</v>
      </c>
      <c r="I917" s="1" t="s">
        <v>15031</v>
      </c>
      <c r="J917" s="1" t="s">
        <v>23</v>
      </c>
      <c r="K917" s="1"/>
      <c r="L917" s="1" t="s">
        <v>8350</v>
      </c>
      <c r="M917" s="1" t="s">
        <v>8845</v>
      </c>
      <c r="N917" s="1" t="s">
        <v>8590</v>
      </c>
      <c r="O917" s="1" t="s">
        <v>8353</v>
      </c>
      <c r="P917" s="1" t="s">
        <v>8354</v>
      </c>
      <c r="Q917" s="1" t="s">
        <v>8846</v>
      </c>
      <c r="R917" s="1" t="s">
        <v>8847</v>
      </c>
      <c r="S917" s="1" t="s">
        <v>8848</v>
      </c>
      <c r="T917" s="1" t="s">
        <v>8358</v>
      </c>
      <c r="U917">
        <v>1899.34</v>
      </c>
      <c r="V917">
        <v>1750.11</v>
      </c>
      <c r="W917">
        <v>12.690893000000001</v>
      </c>
      <c r="X917">
        <v>108.06744999999999</v>
      </c>
      <c r="Y917">
        <v>149.24</v>
      </c>
      <c r="Z917">
        <v>12.721553</v>
      </c>
      <c r="AA917">
        <v>108.093073</v>
      </c>
      <c r="AB917" s="5">
        <f t="shared" si="85"/>
        <v>2.625165</v>
      </c>
      <c r="AC917" s="5">
        <f t="shared" si="86"/>
        <v>0.22386</v>
      </c>
      <c r="AD917" s="1" t="str">
        <f t="shared" si="87"/>
        <v>TT1 Đăk Lăk</v>
      </c>
      <c r="AE917" s="1" t="str">
        <f t="shared" si="88"/>
        <v>ILA Ea Kar</v>
      </c>
      <c r="AG917">
        <f t="shared" si="89"/>
        <v>1.7501099999999998</v>
      </c>
      <c r="AH917">
        <f t="shared" si="90"/>
        <v>0.14924000000000001</v>
      </c>
      <c r="AI917" t="e">
        <f>VLOOKUP(L917,'[1]Tuyến cáp H04'!$B:$E,3,0)/1000</f>
        <v>#N/A</v>
      </c>
      <c r="AJ917" t="e">
        <f>VLOOKUP(L917,'[1]Tuyến cáp H04'!$B:$E,4,0)</f>
        <v>#N/A</v>
      </c>
    </row>
    <row r="918" spans="1:36" x14ac:dyDescent="0.25">
      <c r="A918" s="1" t="s">
        <v>8849</v>
      </c>
      <c r="B918" s="1" t="s">
        <v>8850</v>
      </c>
      <c r="C918" s="1" t="s">
        <v>8851</v>
      </c>
      <c r="D918" s="1" t="s">
        <v>8643</v>
      </c>
      <c r="E918" s="1" t="s">
        <v>8644</v>
      </c>
      <c r="F918" s="1" t="s">
        <v>8852</v>
      </c>
      <c r="G918" s="1" t="s">
        <v>14129</v>
      </c>
      <c r="H918" s="1" t="s">
        <v>14133</v>
      </c>
      <c r="I918" s="1" t="s">
        <v>15032</v>
      </c>
      <c r="J918" s="1" t="s">
        <v>23</v>
      </c>
      <c r="K918" s="1"/>
      <c r="L918" s="1" t="s">
        <v>8293</v>
      </c>
      <c r="M918" s="1" t="s">
        <v>8853</v>
      </c>
      <c r="N918" s="1" t="s">
        <v>8854</v>
      </c>
      <c r="O918" s="1" t="s">
        <v>8855</v>
      </c>
      <c r="P918" s="1" t="s">
        <v>8856</v>
      </c>
      <c r="Q918" s="1" t="s">
        <v>8857</v>
      </c>
      <c r="R918" s="1" t="s">
        <v>8858</v>
      </c>
      <c r="S918" s="1" t="s">
        <v>8859</v>
      </c>
      <c r="T918" s="1" t="s">
        <v>8301</v>
      </c>
      <c r="U918">
        <v>7353.97</v>
      </c>
      <c r="V918">
        <v>7309.52</v>
      </c>
      <c r="W918">
        <v>12.899435</v>
      </c>
      <c r="X918">
        <v>108.116934</v>
      </c>
      <c r="Y918">
        <v>44.45</v>
      </c>
      <c r="Z918">
        <v>12.910539</v>
      </c>
      <c r="AA918">
        <v>108.190575</v>
      </c>
      <c r="AB918" s="5">
        <f t="shared" si="85"/>
        <v>10.96428</v>
      </c>
      <c r="AC918" s="5">
        <f t="shared" si="86"/>
        <v>6.6675000000000012E-2</v>
      </c>
      <c r="AD918" s="1" t="str">
        <f t="shared" si="87"/>
        <v>Cư M'ga</v>
      </c>
      <c r="AE918" s="1" t="str">
        <f t="shared" si="88"/>
        <v>Buôn Hồ</v>
      </c>
      <c r="AG918">
        <f t="shared" si="89"/>
        <v>7.30952</v>
      </c>
      <c r="AH918">
        <f t="shared" si="90"/>
        <v>4.4450000000000003E-2</v>
      </c>
      <c r="AI918">
        <f>VLOOKUP(L918,'[1]Tuyến cáp H04'!$B:$E,3,0)/1000</f>
        <v>38.145000000000003</v>
      </c>
      <c r="AJ918" t="str">
        <f>VLOOKUP(L918,'[1]Tuyến cáp H04'!$B:$E,4,0)</f>
        <v>Mạng cấp 3</v>
      </c>
    </row>
    <row r="919" spans="1:36" x14ac:dyDescent="0.25">
      <c r="A919" s="1" t="s">
        <v>8860</v>
      </c>
      <c r="B919" s="1" t="s">
        <v>8711</v>
      </c>
      <c r="C919" s="1" t="s">
        <v>8712</v>
      </c>
      <c r="D919" s="1" t="s">
        <v>8850</v>
      </c>
      <c r="E919" s="1" t="s">
        <v>8851</v>
      </c>
      <c r="F919" s="1" t="s">
        <v>8861</v>
      </c>
      <c r="G919" s="1" t="s">
        <v>14129</v>
      </c>
      <c r="H919" s="1" t="s">
        <v>14133</v>
      </c>
      <c r="I919" s="1" t="s">
        <v>15033</v>
      </c>
      <c r="J919" s="1" t="s">
        <v>23</v>
      </c>
      <c r="K919" s="1"/>
      <c r="L919" s="1" t="s">
        <v>8236</v>
      </c>
      <c r="M919" s="1" t="s">
        <v>8862</v>
      </c>
      <c r="N919" s="1" t="s">
        <v>8715</v>
      </c>
      <c r="O919" s="1" t="s">
        <v>8716</v>
      </c>
      <c r="P919" s="1" t="s">
        <v>8717</v>
      </c>
      <c r="Q919" s="1" t="s">
        <v>8863</v>
      </c>
      <c r="R919" s="1" t="s">
        <v>8864</v>
      </c>
      <c r="S919" s="1" t="s">
        <v>8865</v>
      </c>
      <c r="T919" s="1" t="s">
        <v>8244</v>
      </c>
      <c r="U919">
        <v>8547.33</v>
      </c>
      <c r="V919">
        <v>112.17</v>
      </c>
      <c r="W919">
        <v>13.008883000000001</v>
      </c>
      <c r="X919">
        <v>108.150448</v>
      </c>
      <c r="Y919">
        <v>8435.16</v>
      </c>
      <c r="Z919">
        <v>13.010324000000001</v>
      </c>
      <c r="AA919">
        <v>108.147325</v>
      </c>
      <c r="AB919" s="5">
        <f t="shared" si="85"/>
        <v>0.16825499999999999</v>
      </c>
      <c r="AC919" s="5">
        <f t="shared" si="86"/>
        <v>12.65274</v>
      </c>
      <c r="AD919" s="1" t="e">
        <f t="shared" si="87"/>
        <v>#VALUE!</v>
      </c>
      <c r="AE919" s="1" t="e">
        <f t="shared" si="88"/>
        <v>#VALUE!</v>
      </c>
      <c r="AG919">
        <f t="shared" si="89"/>
        <v>0.11217000000000001</v>
      </c>
      <c r="AH919">
        <f t="shared" si="90"/>
        <v>8.4351599999999998</v>
      </c>
      <c r="AI919" t="e">
        <f>VLOOKUP(L919,'[1]Tuyến cáp H04'!$B:$E,3,0)/1000</f>
        <v>#N/A</v>
      </c>
      <c r="AJ919" t="e">
        <f>VLOOKUP(L919,'[1]Tuyến cáp H04'!$B:$E,4,0)</f>
        <v>#N/A</v>
      </c>
    </row>
    <row r="920" spans="1:36" x14ac:dyDescent="0.25">
      <c r="A920" s="1" t="s">
        <v>8866</v>
      </c>
      <c r="B920" s="1" t="s">
        <v>8332</v>
      </c>
      <c r="C920" s="1" t="s">
        <v>8333</v>
      </c>
      <c r="D920" s="1" t="s">
        <v>8867</v>
      </c>
      <c r="E920" s="1" t="s">
        <v>8868</v>
      </c>
      <c r="F920" s="1" t="s">
        <v>8869</v>
      </c>
      <c r="G920" s="1" t="s">
        <v>14129</v>
      </c>
      <c r="H920" s="1" t="s">
        <v>14133</v>
      </c>
      <c r="I920" s="1" t="s">
        <v>15034</v>
      </c>
      <c r="J920" s="1" t="s">
        <v>23</v>
      </c>
      <c r="K920" s="1"/>
      <c r="L920" s="1" t="s">
        <v>8728</v>
      </c>
      <c r="M920" s="1" t="s">
        <v>8870</v>
      </c>
      <c r="N920" s="1" t="s">
        <v>8871</v>
      </c>
      <c r="O920" s="1" t="s">
        <v>8872</v>
      </c>
      <c r="P920" s="1" t="s">
        <v>8873</v>
      </c>
      <c r="Q920" s="1" t="s">
        <v>8874</v>
      </c>
      <c r="R920" s="1" t="s">
        <v>8875</v>
      </c>
      <c r="S920" s="1" t="s">
        <v>8876</v>
      </c>
      <c r="T920" s="1" t="s">
        <v>8736</v>
      </c>
      <c r="U920">
        <v>259.18</v>
      </c>
      <c r="V920">
        <v>55.16</v>
      </c>
      <c r="W920">
        <v>12.916409</v>
      </c>
      <c r="X920">
        <v>108.26605499999999</v>
      </c>
      <c r="Y920">
        <v>204.02</v>
      </c>
      <c r="Z920">
        <v>12.930183</v>
      </c>
      <c r="AA920">
        <v>108.26278600000001</v>
      </c>
      <c r="AB920" s="5">
        <f t="shared" si="85"/>
        <v>8.2739999999999994E-2</v>
      </c>
      <c r="AC920" s="5">
        <f t="shared" si="86"/>
        <v>0.30603000000000002</v>
      </c>
      <c r="AD920" s="1" t="str">
        <f t="shared" si="87"/>
        <v>Ea Tul</v>
      </c>
      <c r="AE920" s="1" t="str">
        <f t="shared" si="88"/>
        <v>Buôn Hồ</v>
      </c>
      <c r="AG920">
        <f t="shared" si="89"/>
        <v>5.5159999999999994E-2</v>
      </c>
      <c r="AH920">
        <f t="shared" si="90"/>
        <v>0.20402000000000001</v>
      </c>
      <c r="AI920">
        <f>VLOOKUP(L920,'[1]Tuyến cáp H04'!$B:$E,3,0)/1000</f>
        <v>13.702999999999999</v>
      </c>
      <c r="AJ920" t="str">
        <f>VLOOKUP(L920,'[1]Tuyến cáp H04'!$B:$E,4,0)</f>
        <v>Mạng cấp 4</v>
      </c>
    </row>
    <row r="921" spans="1:36" x14ac:dyDescent="0.25">
      <c r="A921" s="1" t="s">
        <v>8877</v>
      </c>
      <c r="B921" s="1" t="s">
        <v>8290</v>
      </c>
      <c r="C921" s="1" t="s">
        <v>8291</v>
      </c>
      <c r="D921" s="1" t="s">
        <v>8878</v>
      </c>
      <c r="E921" s="1" t="s">
        <v>8879</v>
      </c>
      <c r="F921" s="1" t="s">
        <v>8880</v>
      </c>
      <c r="G921" s="1" t="s">
        <v>14129</v>
      </c>
      <c r="H921" s="1" t="s">
        <v>14133</v>
      </c>
      <c r="I921" s="1" t="s">
        <v>15035</v>
      </c>
      <c r="J921" s="1" t="s">
        <v>23</v>
      </c>
      <c r="K921" s="1"/>
      <c r="L921" s="1" t="s">
        <v>8293</v>
      </c>
      <c r="M921" s="1" t="s">
        <v>8881</v>
      </c>
      <c r="N921" s="1" t="s">
        <v>8402</v>
      </c>
      <c r="O921" s="1" t="s">
        <v>8403</v>
      </c>
      <c r="P921" s="1" t="s">
        <v>8404</v>
      </c>
      <c r="Q921" s="1" t="s">
        <v>8882</v>
      </c>
      <c r="R921" s="1" t="s">
        <v>8883</v>
      </c>
      <c r="S921" s="1" t="s">
        <v>4959</v>
      </c>
      <c r="T921" s="1" t="s">
        <v>8405</v>
      </c>
      <c r="U921">
        <v>1172.31</v>
      </c>
      <c r="V921">
        <v>117.56</v>
      </c>
      <c r="W921">
        <v>12.853426000000001</v>
      </c>
      <c r="X921">
        <v>108.104358</v>
      </c>
      <c r="Y921">
        <v>1054.75</v>
      </c>
      <c r="Z921">
        <v>12.823486000000001</v>
      </c>
      <c r="AA921">
        <v>108.077691</v>
      </c>
      <c r="AB921" s="5">
        <f t="shared" si="85"/>
        <v>0.17634</v>
      </c>
      <c r="AC921" s="5">
        <f t="shared" si="86"/>
        <v>1.582125</v>
      </c>
      <c r="AD921" s="1" t="str">
        <f t="shared" si="87"/>
        <v>Cư M'ga</v>
      </c>
      <c r="AE921" s="1" t="str">
        <f t="shared" si="88"/>
        <v>Buôn Hồ</v>
      </c>
      <c r="AG921">
        <f t="shared" si="89"/>
        <v>0.11756</v>
      </c>
      <c r="AH921">
        <f t="shared" si="90"/>
        <v>1.0547500000000001</v>
      </c>
      <c r="AI921">
        <f>VLOOKUP(L921,'[1]Tuyến cáp H04'!$B:$E,3,0)/1000</f>
        <v>38.145000000000003</v>
      </c>
      <c r="AJ921" t="str">
        <f>VLOOKUP(L921,'[1]Tuyến cáp H04'!$B:$E,4,0)</f>
        <v>Mạng cấp 3</v>
      </c>
    </row>
    <row r="922" spans="1:36" x14ac:dyDescent="0.25">
      <c r="A922" s="1" t="s">
        <v>8884</v>
      </c>
      <c r="B922" s="1" t="s">
        <v>8885</v>
      </c>
      <c r="C922" s="1" t="s">
        <v>8886</v>
      </c>
      <c r="D922" s="1" t="s">
        <v>8290</v>
      </c>
      <c r="E922" s="1" t="s">
        <v>8291</v>
      </c>
      <c r="F922" s="1" t="s">
        <v>8887</v>
      </c>
      <c r="G922" s="1" t="s">
        <v>14129</v>
      </c>
      <c r="H922" s="1" t="s">
        <v>14133</v>
      </c>
      <c r="I922" s="1" t="s">
        <v>15036</v>
      </c>
      <c r="J922" s="1" t="s">
        <v>23</v>
      </c>
      <c r="K922" s="1"/>
      <c r="L922" s="1" t="s">
        <v>8293</v>
      </c>
      <c r="M922" s="1" t="s">
        <v>8888</v>
      </c>
      <c r="N922" s="1" t="s">
        <v>8889</v>
      </c>
      <c r="O922" s="1" t="s">
        <v>8890</v>
      </c>
      <c r="P922" s="1" t="s">
        <v>8891</v>
      </c>
      <c r="Q922" s="1" t="s">
        <v>8298</v>
      </c>
      <c r="R922" s="1" t="s">
        <v>8299</v>
      </c>
      <c r="S922" s="1" t="s">
        <v>8300</v>
      </c>
      <c r="T922" s="1" t="s">
        <v>8301</v>
      </c>
      <c r="U922">
        <v>235.06</v>
      </c>
      <c r="V922">
        <v>118.05</v>
      </c>
      <c r="W922">
        <v>12.892032</v>
      </c>
      <c r="X922">
        <v>108.181015</v>
      </c>
      <c r="Y922">
        <v>117.01</v>
      </c>
      <c r="Z922">
        <v>12.853419000000001</v>
      </c>
      <c r="AA922">
        <v>108.10435699999999</v>
      </c>
      <c r="AB922" s="5">
        <f t="shared" si="85"/>
        <v>0.17707499999999998</v>
      </c>
      <c r="AC922" s="5">
        <f t="shared" si="86"/>
        <v>0.175515</v>
      </c>
      <c r="AD922" s="1" t="str">
        <f t="shared" si="87"/>
        <v>Cư M'ga</v>
      </c>
      <c r="AE922" s="1" t="str">
        <f t="shared" si="88"/>
        <v>Buôn Hồ</v>
      </c>
      <c r="AG922">
        <f t="shared" si="89"/>
        <v>0.11805</v>
      </c>
      <c r="AH922">
        <f t="shared" si="90"/>
        <v>0.11701</v>
      </c>
      <c r="AI922">
        <f>VLOOKUP(L922,'[1]Tuyến cáp H04'!$B:$E,3,0)/1000</f>
        <v>38.145000000000003</v>
      </c>
      <c r="AJ922" t="str">
        <f>VLOOKUP(L922,'[1]Tuyến cáp H04'!$B:$E,4,0)</f>
        <v>Mạng cấp 3</v>
      </c>
    </row>
    <row r="923" spans="1:36" x14ac:dyDescent="0.25">
      <c r="A923" s="1" t="s">
        <v>8892</v>
      </c>
      <c r="B923" s="1" t="s">
        <v>8275</v>
      </c>
      <c r="C923" s="1" t="s">
        <v>8276</v>
      </c>
      <c r="D923" s="1" t="s">
        <v>8893</v>
      </c>
      <c r="E923" s="1" t="s">
        <v>8894</v>
      </c>
      <c r="F923" s="1" t="s">
        <v>8895</v>
      </c>
      <c r="G923" s="1" t="s">
        <v>14129</v>
      </c>
      <c r="H923" s="1" t="s">
        <v>14133</v>
      </c>
      <c r="I923" s="1" t="s">
        <v>15037</v>
      </c>
      <c r="J923" s="1" t="s">
        <v>23</v>
      </c>
      <c r="K923" s="1"/>
      <c r="L923" s="1" t="s">
        <v>8278</v>
      </c>
      <c r="M923" s="1" t="s">
        <v>8896</v>
      </c>
      <c r="N923" s="1" t="s">
        <v>8283</v>
      </c>
      <c r="O923" s="1" t="s">
        <v>8284</v>
      </c>
      <c r="P923" s="1" t="s">
        <v>8285</v>
      </c>
      <c r="Q923" s="1" t="s">
        <v>8897</v>
      </c>
      <c r="R923" s="1" t="s">
        <v>8898</v>
      </c>
      <c r="S923" s="1" t="s">
        <v>8899</v>
      </c>
      <c r="T923" s="1" t="s">
        <v>8286</v>
      </c>
      <c r="U923">
        <v>141.74</v>
      </c>
      <c r="V923">
        <v>77.55</v>
      </c>
      <c r="W923">
        <v>12.860792</v>
      </c>
      <c r="X923">
        <v>107.964518</v>
      </c>
      <c r="Y923">
        <v>64.19</v>
      </c>
      <c r="Z923">
        <v>12.831251</v>
      </c>
      <c r="AA923">
        <v>108.03356100000001</v>
      </c>
      <c r="AB923" s="5">
        <f t="shared" si="85"/>
        <v>0.11632499999999998</v>
      </c>
      <c r="AC923" s="5">
        <f t="shared" si="86"/>
        <v>9.6284999999999996E-2</v>
      </c>
      <c r="AD923" s="1" t="str">
        <f t="shared" si="87"/>
        <v>Quảng Phú</v>
      </c>
      <c r="AE923" s="1" t="str">
        <f t="shared" si="88"/>
        <v>Ea M’Droh</v>
      </c>
      <c r="AG923">
        <f t="shared" si="89"/>
        <v>7.7549999999999994E-2</v>
      </c>
      <c r="AH923">
        <f t="shared" si="90"/>
        <v>6.4189999999999997E-2</v>
      </c>
      <c r="AI923">
        <f>VLOOKUP(L923,'[1]Tuyến cáp H04'!$B:$E,3,0)/1000</f>
        <v>14.443</v>
      </c>
      <c r="AJ923" t="str">
        <f>VLOOKUP(L923,'[1]Tuyến cáp H04'!$B:$E,4,0)</f>
        <v>Mạng cấp 4</v>
      </c>
    </row>
    <row r="924" spans="1:36" x14ac:dyDescent="0.25">
      <c r="A924" s="1" t="s">
        <v>8900</v>
      </c>
      <c r="B924" s="1" t="s">
        <v>8901</v>
      </c>
      <c r="C924" s="1" t="s">
        <v>8902</v>
      </c>
      <c r="D924" s="1" t="s">
        <v>8275</v>
      </c>
      <c r="E924" s="1" t="s">
        <v>8276</v>
      </c>
      <c r="F924" s="1" t="s">
        <v>8903</v>
      </c>
      <c r="G924" s="1" t="s">
        <v>14129</v>
      </c>
      <c r="H924" s="1" t="s">
        <v>14133</v>
      </c>
      <c r="I924" s="1" t="s">
        <v>15038</v>
      </c>
      <c r="J924" s="1" t="s">
        <v>23</v>
      </c>
      <c r="K924" s="1"/>
      <c r="L924" s="1" t="s">
        <v>8278</v>
      </c>
      <c r="M924" s="1" t="s">
        <v>8904</v>
      </c>
      <c r="N924" s="1" t="s">
        <v>8905</v>
      </c>
      <c r="O924" s="1" t="s">
        <v>8906</v>
      </c>
      <c r="P924" s="1" t="s">
        <v>8907</v>
      </c>
      <c r="Q924" s="1" t="s">
        <v>8283</v>
      </c>
      <c r="R924" s="1" t="s">
        <v>8284</v>
      </c>
      <c r="S924" s="1" t="s">
        <v>8285</v>
      </c>
      <c r="T924" s="1" t="s">
        <v>8286</v>
      </c>
      <c r="U924">
        <v>7409.13</v>
      </c>
      <c r="V924">
        <v>7331.58</v>
      </c>
      <c r="W924">
        <v>12.831721999999999</v>
      </c>
      <c r="X924">
        <v>108.050026</v>
      </c>
      <c r="Y924">
        <v>77.55</v>
      </c>
      <c r="Z924">
        <v>12.860792</v>
      </c>
      <c r="AA924">
        <v>107.964518</v>
      </c>
      <c r="AB924" s="5">
        <f t="shared" si="85"/>
        <v>10.997369999999998</v>
      </c>
      <c r="AC924" s="5">
        <f t="shared" si="86"/>
        <v>0.11632499999999998</v>
      </c>
      <c r="AD924" s="1" t="str">
        <f t="shared" si="87"/>
        <v>Quảng Phú</v>
      </c>
      <c r="AE924" s="1" t="str">
        <f t="shared" si="88"/>
        <v>Ea M’Droh</v>
      </c>
      <c r="AG924">
        <f t="shared" si="89"/>
        <v>7.3315799999999998</v>
      </c>
      <c r="AH924">
        <f t="shared" si="90"/>
        <v>7.7549999999999994E-2</v>
      </c>
      <c r="AI924">
        <f>VLOOKUP(L924,'[1]Tuyến cáp H04'!$B:$E,3,0)/1000</f>
        <v>14.443</v>
      </c>
      <c r="AJ924" t="str">
        <f>VLOOKUP(L924,'[1]Tuyến cáp H04'!$B:$E,4,0)</f>
        <v>Mạng cấp 4</v>
      </c>
    </row>
    <row r="925" spans="1:36" x14ac:dyDescent="0.25">
      <c r="A925" s="1" t="s">
        <v>8908</v>
      </c>
      <c r="B925" s="1" t="s">
        <v>8643</v>
      </c>
      <c r="C925" s="1" t="s">
        <v>8644</v>
      </c>
      <c r="D925" s="1" t="s">
        <v>8901</v>
      </c>
      <c r="E925" s="1" t="s">
        <v>8902</v>
      </c>
      <c r="F925" s="1" t="s">
        <v>8909</v>
      </c>
      <c r="G925" s="1" t="s">
        <v>14129</v>
      </c>
      <c r="H925" s="1" t="s">
        <v>14133</v>
      </c>
      <c r="I925" s="1" t="s">
        <v>15039</v>
      </c>
      <c r="J925" s="1" t="s">
        <v>23</v>
      </c>
      <c r="K925" s="1"/>
      <c r="L925" s="1" t="s">
        <v>8293</v>
      </c>
      <c r="M925" s="1" t="s">
        <v>8910</v>
      </c>
      <c r="N925" s="1" t="s">
        <v>8857</v>
      </c>
      <c r="O925" s="1" t="s">
        <v>8858</v>
      </c>
      <c r="P925" s="1" t="s">
        <v>8859</v>
      </c>
      <c r="Q925" s="1" t="s">
        <v>8911</v>
      </c>
      <c r="R925" s="1" t="s">
        <v>8528</v>
      </c>
      <c r="S925" s="1" t="s">
        <v>8529</v>
      </c>
      <c r="T925" s="1" t="s">
        <v>8301</v>
      </c>
      <c r="U925">
        <v>4978.63</v>
      </c>
      <c r="V925">
        <v>44.45</v>
      </c>
      <c r="W925">
        <v>12.910539</v>
      </c>
      <c r="X925">
        <v>108.190575</v>
      </c>
      <c r="Y925">
        <v>4934.18</v>
      </c>
      <c r="Z925">
        <v>12.887229</v>
      </c>
      <c r="AA925">
        <v>108.11076</v>
      </c>
      <c r="AB925" s="5">
        <f t="shared" si="85"/>
        <v>6.6675000000000012E-2</v>
      </c>
      <c r="AC925" s="5">
        <f t="shared" si="86"/>
        <v>7.4012700000000002</v>
      </c>
      <c r="AD925" s="1" t="str">
        <f t="shared" si="87"/>
        <v>Cư M'ga</v>
      </c>
      <c r="AE925" s="1" t="str">
        <f t="shared" si="88"/>
        <v>Buôn Hồ</v>
      </c>
      <c r="AG925">
        <f t="shared" si="89"/>
        <v>4.4450000000000003E-2</v>
      </c>
      <c r="AH925">
        <f t="shared" si="90"/>
        <v>4.9341800000000005</v>
      </c>
      <c r="AI925">
        <f>VLOOKUP(L925,'[1]Tuyến cáp H04'!$B:$E,3,0)/1000</f>
        <v>38.145000000000003</v>
      </c>
      <c r="AJ925" t="str">
        <f>VLOOKUP(L925,'[1]Tuyến cáp H04'!$B:$E,4,0)</f>
        <v>Mạng cấp 3</v>
      </c>
    </row>
    <row r="926" spans="1:36" x14ac:dyDescent="0.25">
      <c r="A926" s="1" t="s">
        <v>8912</v>
      </c>
      <c r="B926" s="1" t="s">
        <v>8913</v>
      </c>
      <c r="C926" s="1" t="s">
        <v>8914</v>
      </c>
      <c r="D926" s="1" t="s">
        <v>8643</v>
      </c>
      <c r="E926" s="1" t="s">
        <v>8644</v>
      </c>
      <c r="F926" s="1" t="s">
        <v>8915</v>
      </c>
      <c r="G926" s="1" t="s">
        <v>14129</v>
      </c>
      <c r="H926" s="1" t="s">
        <v>14133</v>
      </c>
      <c r="I926" s="1" t="s">
        <v>15040</v>
      </c>
      <c r="J926" s="1" t="s">
        <v>23</v>
      </c>
      <c r="K926" s="1"/>
      <c r="L926" s="1" t="s">
        <v>8728</v>
      </c>
      <c r="M926" s="1" t="s">
        <v>8916</v>
      </c>
      <c r="N926" s="1" t="s">
        <v>8917</v>
      </c>
      <c r="O926" s="1" t="s">
        <v>8872</v>
      </c>
      <c r="P926" s="1" t="s">
        <v>8873</v>
      </c>
      <c r="Q926" s="1" t="s">
        <v>8918</v>
      </c>
      <c r="R926" s="1" t="s">
        <v>8919</v>
      </c>
      <c r="S926" s="1" t="s">
        <v>8920</v>
      </c>
      <c r="T926" s="1" t="s">
        <v>8736</v>
      </c>
      <c r="U926">
        <v>6231.31</v>
      </c>
      <c r="V926">
        <v>6175.76</v>
      </c>
      <c r="W926">
        <v>12.916409</v>
      </c>
      <c r="X926">
        <v>108.26605499999999</v>
      </c>
      <c r="Y926">
        <v>55.55</v>
      </c>
      <c r="Z926">
        <v>12.910633000000001</v>
      </c>
      <c r="AA926">
        <v>108.190708</v>
      </c>
      <c r="AB926" s="5">
        <f t="shared" si="85"/>
        <v>9.2636399999999988</v>
      </c>
      <c r="AC926" s="5">
        <f t="shared" si="86"/>
        <v>8.3324999999999982E-2</v>
      </c>
      <c r="AD926" s="1" t="str">
        <f t="shared" si="87"/>
        <v>Ea Tul</v>
      </c>
      <c r="AE926" s="1" t="str">
        <f t="shared" si="88"/>
        <v>Buôn Hồ</v>
      </c>
      <c r="AG926">
        <f t="shared" si="89"/>
        <v>6.1757600000000004</v>
      </c>
      <c r="AH926">
        <f t="shared" si="90"/>
        <v>5.5549999999999995E-2</v>
      </c>
      <c r="AI926">
        <f>VLOOKUP(L926,'[1]Tuyến cáp H04'!$B:$E,3,0)/1000</f>
        <v>13.702999999999999</v>
      </c>
      <c r="AJ926" t="str">
        <f>VLOOKUP(L926,'[1]Tuyến cáp H04'!$B:$E,4,0)</f>
        <v>Mạng cấp 4</v>
      </c>
    </row>
    <row r="927" spans="1:36" x14ac:dyDescent="0.25">
      <c r="A927" s="1" t="s">
        <v>8921</v>
      </c>
      <c r="B927" s="1" t="s">
        <v>8922</v>
      </c>
      <c r="C927" s="1" t="s">
        <v>8923</v>
      </c>
      <c r="D927" s="1" t="s">
        <v>8074</v>
      </c>
      <c r="E927" s="1" t="s">
        <v>8075</v>
      </c>
      <c r="F927" s="1" t="s">
        <v>8924</v>
      </c>
      <c r="G927" s="1" t="s">
        <v>14129</v>
      </c>
      <c r="H927" s="1" t="s">
        <v>14133</v>
      </c>
      <c r="I927" s="1" t="s">
        <v>15041</v>
      </c>
      <c r="J927" s="1" t="s">
        <v>23</v>
      </c>
      <c r="K927" s="1"/>
      <c r="L927" s="1" t="s">
        <v>8925</v>
      </c>
      <c r="M927" s="1" t="s">
        <v>8926</v>
      </c>
      <c r="N927" s="1" t="s">
        <v>8927</v>
      </c>
      <c r="O927" s="1" t="s">
        <v>8928</v>
      </c>
      <c r="P927" s="1" t="s">
        <v>8929</v>
      </c>
      <c r="Q927" s="1" t="s">
        <v>8930</v>
      </c>
      <c r="R927" s="1" t="s">
        <v>8931</v>
      </c>
      <c r="S927" s="1" t="s">
        <v>8932</v>
      </c>
      <c r="T927" s="1" t="s">
        <v>8933</v>
      </c>
      <c r="U927">
        <v>108.78</v>
      </c>
      <c r="V927">
        <v>102.57</v>
      </c>
      <c r="W927">
        <v>13.091844</v>
      </c>
      <c r="X927">
        <v>109.294985</v>
      </c>
      <c r="Y927">
        <v>6.2</v>
      </c>
      <c r="Z927">
        <v>13.094789</v>
      </c>
      <c r="AA927">
        <v>109.292973</v>
      </c>
      <c r="AB927" s="5">
        <f t="shared" si="85"/>
        <v>0.15385499999999999</v>
      </c>
      <c r="AC927" s="5">
        <f t="shared" si="86"/>
        <v>9.300000000000001E-3</v>
      </c>
      <c r="AD927" s="1" t="str">
        <f t="shared" si="87"/>
        <v>TT2 Đăk Lăk (Tuy Hòa)</v>
      </c>
      <c r="AE927" s="1" t="str">
        <f t="shared" si="88"/>
        <v>Cơ quan điều tra
 Tuy Hòa</v>
      </c>
      <c r="AG927">
        <f t="shared" si="89"/>
        <v>0.10256999999999999</v>
      </c>
      <c r="AH927">
        <f t="shared" si="90"/>
        <v>6.1999999999999998E-3</v>
      </c>
      <c r="AI927" t="e">
        <f>VLOOKUP(L927,'[1]Tuyến cáp H04'!$B:$E,3,0)/1000</f>
        <v>#N/A</v>
      </c>
      <c r="AJ927" t="e">
        <f>VLOOKUP(L927,'[1]Tuyến cáp H04'!$B:$E,4,0)</f>
        <v>#N/A</v>
      </c>
    </row>
    <row r="928" spans="1:36" x14ac:dyDescent="0.25">
      <c r="A928" s="1" t="s">
        <v>8934</v>
      </c>
      <c r="B928" s="1" t="s">
        <v>8935</v>
      </c>
      <c r="C928" s="1" t="s">
        <v>8936</v>
      </c>
      <c r="D928" s="1" t="s">
        <v>8937</v>
      </c>
      <c r="E928" s="1" t="s">
        <v>8938</v>
      </c>
      <c r="F928" s="1" t="s">
        <v>8939</v>
      </c>
      <c r="G928" s="1" t="s">
        <v>14129</v>
      </c>
      <c r="H928" s="1" t="s">
        <v>14133</v>
      </c>
      <c r="I928" s="1" t="s">
        <v>15042</v>
      </c>
      <c r="J928" s="1" t="s">
        <v>23</v>
      </c>
      <c r="K928" s="1"/>
      <c r="L928" s="1" t="s">
        <v>8940</v>
      </c>
      <c r="M928" s="1" t="s">
        <v>8941</v>
      </c>
      <c r="N928" s="1" t="s">
        <v>2433</v>
      </c>
      <c r="O928" s="1" t="s">
        <v>8942</v>
      </c>
      <c r="P928" s="1" t="s">
        <v>8943</v>
      </c>
      <c r="Q928" s="1" t="s">
        <v>8944</v>
      </c>
      <c r="R928" s="1" t="s">
        <v>8945</v>
      </c>
      <c r="S928" s="1" t="s">
        <v>8946</v>
      </c>
      <c r="T928" s="1" t="s">
        <v>8947</v>
      </c>
      <c r="U928">
        <v>2358.9299999999998</v>
      </c>
      <c r="V928">
        <v>1.67</v>
      </c>
      <c r="W928">
        <v>13.052982</v>
      </c>
      <c r="X928">
        <v>109.310524</v>
      </c>
      <c r="Y928">
        <v>2357.2600000000002</v>
      </c>
      <c r="Z928">
        <v>13.045337</v>
      </c>
      <c r="AA928">
        <v>109.30177399999999</v>
      </c>
      <c r="AB928" s="5">
        <f t="shared" si="85"/>
        <v>2.5049999999999998E-3</v>
      </c>
      <c r="AC928" s="5">
        <f t="shared" si="86"/>
        <v>3.5358900000000002</v>
      </c>
      <c r="AD928" s="1" t="str">
        <f t="shared" si="87"/>
        <v>Phú Hòa 2</v>
      </c>
      <c r="AE928" s="1" t="str">
        <f t="shared" si="88"/>
        <v>Phú Yên</v>
      </c>
      <c r="AG928">
        <f t="shared" si="89"/>
        <v>1.6699999999999998E-3</v>
      </c>
      <c r="AH928">
        <f t="shared" si="90"/>
        <v>2.3572600000000001</v>
      </c>
      <c r="AI928">
        <f>VLOOKUP(L928,'[1]Tuyến cáp H04'!$B:$E,3,0)/1000</f>
        <v>20.920999999999999</v>
      </c>
      <c r="AJ928" t="str">
        <f>VLOOKUP(L928,'[1]Tuyến cáp H04'!$B:$E,4,0)</f>
        <v>Mạng cấp 4</v>
      </c>
    </row>
    <row r="929" spans="1:36" x14ac:dyDescent="0.25">
      <c r="A929" s="1" t="s">
        <v>8948</v>
      </c>
      <c r="B929" s="1" t="s">
        <v>8949</v>
      </c>
      <c r="C929" s="1" t="s">
        <v>8950</v>
      </c>
      <c r="D929" s="1" t="s">
        <v>8332</v>
      </c>
      <c r="E929" s="1" t="s">
        <v>8333</v>
      </c>
      <c r="F929" s="1" t="s">
        <v>8951</v>
      </c>
      <c r="G929" s="1" t="s">
        <v>14129</v>
      </c>
      <c r="H929" s="1" t="s">
        <v>14133</v>
      </c>
      <c r="I929" s="1" t="s">
        <v>15043</v>
      </c>
      <c r="J929" s="1" t="s">
        <v>23</v>
      </c>
      <c r="K929" s="1"/>
      <c r="L929" s="1" t="s">
        <v>8952</v>
      </c>
      <c r="M929" s="1" t="s">
        <v>8953</v>
      </c>
      <c r="N929" s="1" t="s">
        <v>8954</v>
      </c>
      <c r="O929" s="1" t="s">
        <v>8955</v>
      </c>
      <c r="P929" s="1" t="s">
        <v>8956</v>
      </c>
      <c r="Q929" s="1" t="s">
        <v>8957</v>
      </c>
      <c r="R929" s="1" t="s">
        <v>8958</v>
      </c>
      <c r="S929" s="1" t="s">
        <v>8959</v>
      </c>
      <c r="T929" s="1" t="s">
        <v>8960</v>
      </c>
      <c r="U929">
        <v>7373.48</v>
      </c>
      <c r="V929">
        <v>6845.67</v>
      </c>
      <c r="W929">
        <v>12.841982</v>
      </c>
      <c r="X929">
        <v>108.24921500000001</v>
      </c>
      <c r="Y929">
        <v>527.80999999999995</v>
      </c>
      <c r="Z929">
        <v>12.911440000000001</v>
      </c>
      <c r="AA929">
        <v>108.26655</v>
      </c>
      <c r="AB929" s="5">
        <f t="shared" si="85"/>
        <v>10.268505000000001</v>
      </c>
      <c r="AC929" s="5">
        <f t="shared" si="86"/>
        <v>0.79171499999999995</v>
      </c>
      <c r="AD929" s="1" t="str">
        <f t="shared" si="87"/>
        <v>Cư Bao</v>
      </c>
      <c r="AE929" s="1" t="str">
        <f t="shared" si="88"/>
        <v>Ea Drông</v>
      </c>
      <c r="AG929">
        <f t="shared" si="89"/>
        <v>6.8456700000000001</v>
      </c>
      <c r="AH929">
        <f t="shared" si="90"/>
        <v>0.52780999999999989</v>
      </c>
      <c r="AI929">
        <f>VLOOKUP(L929,'[1]Tuyến cáp H04'!$B:$E,3,0)/1000</f>
        <v>15.976000000000001</v>
      </c>
      <c r="AJ929" t="str">
        <f>VLOOKUP(L929,'[1]Tuyến cáp H04'!$B:$E,4,0)</f>
        <v>Mạng cấp 4</v>
      </c>
    </row>
    <row r="930" spans="1:36" x14ac:dyDescent="0.25">
      <c r="A930" s="1" t="s">
        <v>8961</v>
      </c>
      <c r="B930" s="1" t="s">
        <v>8554</v>
      </c>
      <c r="C930" s="1" t="s">
        <v>8555</v>
      </c>
      <c r="D930" s="1" t="s">
        <v>8949</v>
      </c>
      <c r="E930" s="1" t="s">
        <v>8950</v>
      </c>
      <c r="F930" s="1" t="s">
        <v>8962</v>
      </c>
      <c r="G930" s="1" t="s">
        <v>14129</v>
      </c>
      <c r="H930" s="1" t="s">
        <v>14133</v>
      </c>
      <c r="I930" s="1" t="s">
        <v>15044</v>
      </c>
      <c r="J930" s="1" t="s">
        <v>23</v>
      </c>
      <c r="K930" s="1"/>
      <c r="L930" s="1" t="s">
        <v>8350</v>
      </c>
      <c r="M930" s="1" t="s">
        <v>8963</v>
      </c>
      <c r="N930" s="1" t="s">
        <v>8590</v>
      </c>
      <c r="O930" s="1" t="s">
        <v>8353</v>
      </c>
      <c r="P930" s="1" t="s">
        <v>8354</v>
      </c>
      <c r="Q930" s="1" t="s">
        <v>8964</v>
      </c>
      <c r="R930" s="1" t="s">
        <v>8965</v>
      </c>
      <c r="S930" s="1" t="s">
        <v>8966</v>
      </c>
      <c r="T930" s="1" t="s">
        <v>8358</v>
      </c>
      <c r="U930">
        <v>1807.41</v>
      </c>
      <c r="V930">
        <v>1750.11</v>
      </c>
      <c r="W930">
        <v>12.690893000000001</v>
      </c>
      <c r="X930">
        <v>108.06744999999999</v>
      </c>
      <c r="Y930">
        <v>57.3</v>
      </c>
      <c r="Z930">
        <v>12.789365</v>
      </c>
      <c r="AA930">
        <v>108.217463</v>
      </c>
      <c r="AB930" s="5">
        <f t="shared" si="85"/>
        <v>2.625165</v>
      </c>
      <c r="AC930" s="5">
        <f t="shared" si="86"/>
        <v>8.5949999999999985E-2</v>
      </c>
      <c r="AD930" s="1" t="str">
        <f t="shared" si="87"/>
        <v>TT1 Đăk Lăk</v>
      </c>
      <c r="AE930" s="1" t="str">
        <f t="shared" si="88"/>
        <v>ILA Ea Kar</v>
      </c>
      <c r="AG930">
        <f t="shared" si="89"/>
        <v>1.7501099999999998</v>
      </c>
      <c r="AH930">
        <f t="shared" si="90"/>
        <v>5.7299999999999997E-2</v>
      </c>
      <c r="AI930" t="e">
        <f>VLOOKUP(L930,'[1]Tuyến cáp H04'!$B:$E,3,0)/1000</f>
        <v>#N/A</v>
      </c>
      <c r="AJ930" t="e">
        <f>VLOOKUP(L930,'[1]Tuyến cáp H04'!$B:$E,4,0)</f>
        <v>#N/A</v>
      </c>
    </row>
    <row r="931" spans="1:36" x14ac:dyDescent="0.25">
      <c r="A931" s="1" t="s">
        <v>8967</v>
      </c>
      <c r="B931" s="1" t="s">
        <v>8332</v>
      </c>
      <c r="C931" s="1" t="s">
        <v>8333</v>
      </c>
      <c r="D931" s="1" t="s">
        <v>8643</v>
      </c>
      <c r="E931" s="1" t="s">
        <v>8644</v>
      </c>
      <c r="F931" s="1" t="s">
        <v>8968</v>
      </c>
      <c r="G931" s="1" t="s">
        <v>14129</v>
      </c>
      <c r="H931" s="1" t="s">
        <v>14133</v>
      </c>
      <c r="I931" s="1" t="s">
        <v>15045</v>
      </c>
      <c r="J931" s="1" t="s">
        <v>23</v>
      </c>
      <c r="K931" s="1"/>
      <c r="L931" s="1" t="s">
        <v>8728</v>
      </c>
      <c r="M931" s="1" t="s">
        <v>8969</v>
      </c>
      <c r="N931" s="1" t="s">
        <v>8871</v>
      </c>
      <c r="O931" s="1" t="s">
        <v>8872</v>
      </c>
      <c r="P931" s="1" t="s">
        <v>8873</v>
      </c>
      <c r="Q931" s="1" t="s">
        <v>8918</v>
      </c>
      <c r="R931" s="1" t="s">
        <v>8919</v>
      </c>
      <c r="S931" s="1" t="s">
        <v>8920</v>
      </c>
      <c r="T931" s="1" t="s">
        <v>8736</v>
      </c>
      <c r="U931">
        <v>110.7</v>
      </c>
      <c r="V931">
        <v>55.16</v>
      </c>
      <c r="W931">
        <v>12.916409</v>
      </c>
      <c r="X931">
        <v>108.26605499999999</v>
      </c>
      <c r="Y931">
        <v>55.55</v>
      </c>
      <c r="Z931">
        <v>12.910633000000001</v>
      </c>
      <c r="AA931">
        <v>108.190708</v>
      </c>
      <c r="AB931" s="5">
        <f t="shared" si="85"/>
        <v>8.2739999999999994E-2</v>
      </c>
      <c r="AC931" s="5">
        <f t="shared" si="86"/>
        <v>8.3324999999999982E-2</v>
      </c>
      <c r="AD931" s="1" t="str">
        <f t="shared" si="87"/>
        <v>Ea Tul</v>
      </c>
      <c r="AE931" s="1" t="str">
        <f t="shared" si="88"/>
        <v>Buôn Hồ</v>
      </c>
      <c r="AG931">
        <f t="shared" si="89"/>
        <v>5.5159999999999994E-2</v>
      </c>
      <c r="AH931">
        <f t="shared" si="90"/>
        <v>5.5549999999999995E-2</v>
      </c>
      <c r="AI931">
        <f>VLOOKUP(L931,'[1]Tuyến cáp H04'!$B:$E,3,0)/1000</f>
        <v>13.702999999999999</v>
      </c>
      <c r="AJ931" t="str">
        <f>VLOOKUP(L931,'[1]Tuyến cáp H04'!$B:$E,4,0)</f>
        <v>Mạng cấp 4</v>
      </c>
    </row>
    <row r="932" spans="1:36" x14ac:dyDescent="0.25">
      <c r="A932" s="1" t="s">
        <v>8948</v>
      </c>
      <c r="B932" s="1" t="s">
        <v>8949</v>
      </c>
      <c r="C932" s="1" t="s">
        <v>8950</v>
      </c>
      <c r="D932" s="1" t="s">
        <v>8332</v>
      </c>
      <c r="E932" s="1" t="s">
        <v>8333</v>
      </c>
      <c r="F932" s="1" t="s">
        <v>8951</v>
      </c>
      <c r="G932" s="1" t="s">
        <v>14129</v>
      </c>
      <c r="H932" s="1" t="s">
        <v>14133</v>
      </c>
      <c r="I932" s="1" t="s">
        <v>15043</v>
      </c>
      <c r="J932" s="1" t="s">
        <v>23</v>
      </c>
      <c r="K932" s="1"/>
      <c r="L932" s="1" t="s">
        <v>8952</v>
      </c>
      <c r="M932" s="1" t="s">
        <v>8953</v>
      </c>
      <c r="N932" s="1" t="s">
        <v>8954</v>
      </c>
      <c r="O932" s="1" t="s">
        <v>8955</v>
      </c>
      <c r="P932" s="1" t="s">
        <v>8956</v>
      </c>
      <c r="Q932" s="1" t="s">
        <v>8957</v>
      </c>
      <c r="R932" s="1" t="s">
        <v>8958</v>
      </c>
      <c r="S932" s="1" t="s">
        <v>8959</v>
      </c>
      <c r="T932" s="1" t="s">
        <v>8960</v>
      </c>
      <c r="U932">
        <v>7373.48</v>
      </c>
      <c r="V932">
        <v>6845.67</v>
      </c>
      <c r="W932">
        <v>12.841982</v>
      </c>
      <c r="X932">
        <v>108.24921500000001</v>
      </c>
      <c r="Y932">
        <v>527.80999999999995</v>
      </c>
      <c r="Z932">
        <v>12.911440000000001</v>
      </c>
      <c r="AA932">
        <v>108.26655</v>
      </c>
      <c r="AB932" s="5">
        <f t="shared" si="85"/>
        <v>10.268505000000001</v>
      </c>
      <c r="AC932" s="5">
        <f t="shared" si="86"/>
        <v>0.79171499999999995</v>
      </c>
      <c r="AD932" s="1" t="str">
        <f t="shared" si="87"/>
        <v>Cư Bao</v>
      </c>
      <c r="AE932" s="1" t="str">
        <f t="shared" si="88"/>
        <v>Ea Drông</v>
      </c>
      <c r="AG932">
        <f t="shared" si="89"/>
        <v>6.8456700000000001</v>
      </c>
      <c r="AH932">
        <f t="shared" si="90"/>
        <v>0.52780999999999989</v>
      </c>
      <c r="AI932">
        <f>VLOOKUP(L932,'[1]Tuyến cáp H04'!$B:$E,3,0)/1000</f>
        <v>15.976000000000001</v>
      </c>
      <c r="AJ932" t="str">
        <f>VLOOKUP(L932,'[1]Tuyến cáp H04'!$B:$E,4,0)</f>
        <v>Mạng cấp 4</v>
      </c>
    </row>
    <row r="933" spans="1:36" x14ac:dyDescent="0.25">
      <c r="A933" s="1" t="s">
        <v>8967</v>
      </c>
      <c r="B933" s="1" t="s">
        <v>8332</v>
      </c>
      <c r="C933" s="1" t="s">
        <v>8333</v>
      </c>
      <c r="D933" s="1" t="s">
        <v>8643</v>
      </c>
      <c r="E933" s="1" t="s">
        <v>8644</v>
      </c>
      <c r="F933" s="1" t="s">
        <v>8968</v>
      </c>
      <c r="G933" s="1" t="s">
        <v>14129</v>
      </c>
      <c r="H933" s="1" t="s">
        <v>14133</v>
      </c>
      <c r="I933" s="1" t="s">
        <v>15045</v>
      </c>
      <c r="J933" s="1" t="s">
        <v>23</v>
      </c>
      <c r="K933" s="1"/>
      <c r="L933" s="1" t="s">
        <v>8728</v>
      </c>
      <c r="M933" s="1" t="s">
        <v>8969</v>
      </c>
      <c r="N933" s="1" t="s">
        <v>8871</v>
      </c>
      <c r="O933" s="1" t="s">
        <v>8872</v>
      </c>
      <c r="P933" s="1" t="s">
        <v>8873</v>
      </c>
      <c r="Q933" s="1" t="s">
        <v>8918</v>
      </c>
      <c r="R933" s="1" t="s">
        <v>8919</v>
      </c>
      <c r="S933" s="1" t="s">
        <v>8920</v>
      </c>
      <c r="T933" s="1" t="s">
        <v>8736</v>
      </c>
      <c r="U933">
        <v>110.7</v>
      </c>
      <c r="V933">
        <v>55.16</v>
      </c>
      <c r="W933">
        <v>12.916409</v>
      </c>
      <c r="X933">
        <v>108.26605499999999</v>
      </c>
      <c r="Y933">
        <v>55.55</v>
      </c>
      <c r="Z933">
        <v>12.910633000000001</v>
      </c>
      <c r="AA933">
        <v>108.190708</v>
      </c>
      <c r="AB933" s="5">
        <f t="shared" si="85"/>
        <v>8.2739999999999994E-2</v>
      </c>
      <c r="AC933" s="5">
        <f t="shared" si="86"/>
        <v>8.3324999999999982E-2</v>
      </c>
      <c r="AD933" s="1" t="str">
        <f t="shared" si="87"/>
        <v>Ea Tul</v>
      </c>
      <c r="AE933" s="1" t="str">
        <f t="shared" si="88"/>
        <v>Buôn Hồ</v>
      </c>
      <c r="AG933">
        <f t="shared" si="89"/>
        <v>5.5159999999999994E-2</v>
      </c>
      <c r="AH933">
        <f t="shared" si="90"/>
        <v>5.5549999999999995E-2</v>
      </c>
      <c r="AI933">
        <f>VLOOKUP(L933,'[1]Tuyến cáp H04'!$B:$E,3,0)/1000</f>
        <v>13.702999999999999</v>
      </c>
      <c r="AJ933" t="str">
        <f>VLOOKUP(L933,'[1]Tuyến cáp H04'!$B:$E,4,0)</f>
        <v>Mạng cấp 4</v>
      </c>
    </row>
    <row r="934" spans="1:36" x14ac:dyDescent="0.25">
      <c r="A934" s="1" t="s">
        <v>8970</v>
      </c>
      <c r="B934" s="1" t="s">
        <v>8260</v>
      </c>
      <c r="C934" s="1" t="s">
        <v>8261</v>
      </c>
      <c r="D934" s="1" t="s">
        <v>8332</v>
      </c>
      <c r="E934" s="1" t="s">
        <v>8333</v>
      </c>
      <c r="F934" s="1" t="s">
        <v>8971</v>
      </c>
      <c r="G934" s="1" t="s">
        <v>14129</v>
      </c>
      <c r="H934" s="1" t="s">
        <v>14133</v>
      </c>
      <c r="I934" s="1" t="s">
        <v>15046</v>
      </c>
      <c r="J934" s="1" t="s">
        <v>23</v>
      </c>
      <c r="K934" s="1"/>
      <c r="L934" s="1" t="s">
        <v>8760</v>
      </c>
      <c r="M934" s="1" t="s">
        <v>8972</v>
      </c>
      <c r="N934" s="1" t="s">
        <v>8765</v>
      </c>
      <c r="O934" s="1" t="s">
        <v>8766</v>
      </c>
      <c r="P934" s="1" t="s">
        <v>8767</v>
      </c>
      <c r="Q934" s="1" t="s">
        <v>8973</v>
      </c>
      <c r="R934" s="1" t="s">
        <v>8974</v>
      </c>
      <c r="S934" s="1" t="s">
        <v>8975</v>
      </c>
      <c r="T934" s="1" t="s">
        <v>8768</v>
      </c>
      <c r="U934">
        <v>3821.65</v>
      </c>
      <c r="V934">
        <v>30.87</v>
      </c>
      <c r="W934">
        <v>12.951995999999999</v>
      </c>
      <c r="X934">
        <v>108.344803</v>
      </c>
      <c r="Y934">
        <v>3790.77</v>
      </c>
      <c r="Z934">
        <v>12.941435999999999</v>
      </c>
      <c r="AA934">
        <v>108.290012</v>
      </c>
      <c r="AB934" s="5">
        <f t="shared" si="85"/>
        <v>4.6304999999999999E-2</v>
      </c>
      <c r="AC934" s="5">
        <f t="shared" si="86"/>
        <v>5.6861549999999994</v>
      </c>
      <c r="AD934" s="1" t="e">
        <f t="shared" si="87"/>
        <v>#VALUE!</v>
      </c>
      <c r="AE934" s="1" t="e">
        <f t="shared" si="88"/>
        <v>#VALUE!</v>
      </c>
      <c r="AG934">
        <f t="shared" si="89"/>
        <v>3.0870000000000002E-2</v>
      </c>
      <c r="AH934">
        <f t="shared" si="90"/>
        <v>3.7907700000000002</v>
      </c>
      <c r="AI934" t="e">
        <f>VLOOKUP(L934,'[1]Tuyến cáp H04'!$B:$E,3,0)/1000</f>
        <v>#N/A</v>
      </c>
      <c r="AJ934" t="e">
        <f>VLOOKUP(L934,'[1]Tuyến cáp H04'!$B:$E,4,0)</f>
        <v>#N/A</v>
      </c>
    </row>
    <row r="935" spans="1:36" x14ac:dyDescent="0.25">
      <c r="A935" s="1" t="s">
        <v>8976</v>
      </c>
      <c r="B935" s="1" t="s">
        <v>8977</v>
      </c>
      <c r="C935" s="1" t="s">
        <v>8978</v>
      </c>
      <c r="D935" s="1" t="s">
        <v>8979</v>
      </c>
      <c r="E935" s="1" t="s">
        <v>8980</v>
      </c>
      <c r="F935" s="1" t="s">
        <v>8981</v>
      </c>
      <c r="G935" s="1" t="s">
        <v>14129</v>
      </c>
      <c r="H935" s="1" t="s">
        <v>14133</v>
      </c>
      <c r="I935" s="1" t="s">
        <v>15047</v>
      </c>
      <c r="J935" s="1" t="s">
        <v>23</v>
      </c>
      <c r="K935" s="1"/>
      <c r="L935" s="1" t="s">
        <v>8982</v>
      </c>
      <c r="M935" s="1" t="s">
        <v>8983</v>
      </c>
      <c r="N935" s="1" t="s">
        <v>8984</v>
      </c>
      <c r="O935" s="1" t="s">
        <v>8985</v>
      </c>
      <c r="P935" s="1" t="s">
        <v>8986</v>
      </c>
      <c r="Q935" s="1" t="s">
        <v>8987</v>
      </c>
      <c r="R935" s="1" t="s">
        <v>8988</v>
      </c>
      <c r="S935" s="1" t="s">
        <v>8989</v>
      </c>
      <c r="T935" s="1" t="s">
        <v>8990</v>
      </c>
      <c r="U935">
        <v>557.95000000000005</v>
      </c>
      <c r="V935">
        <v>527.65</v>
      </c>
      <c r="W935">
        <v>12.618945</v>
      </c>
      <c r="X935">
        <v>107.94655</v>
      </c>
      <c r="Y935">
        <v>30.3</v>
      </c>
      <c r="Z935">
        <v>12.617361000000001</v>
      </c>
      <c r="AA935">
        <v>107.94005799999999</v>
      </c>
      <c r="AB935" s="5">
        <f t="shared" si="85"/>
        <v>0.79147499999999993</v>
      </c>
      <c r="AC935" s="5">
        <f t="shared" si="86"/>
        <v>4.5450000000000004E-2</v>
      </c>
      <c r="AD935" s="1" t="str">
        <f t="shared" si="87"/>
        <v>Hòa Phú</v>
      </c>
      <c r="AE935" s="1" t="str">
        <f t="shared" si="88"/>
        <v>Ea Na</v>
      </c>
      <c r="AG935">
        <f t="shared" si="89"/>
        <v>0.52764999999999995</v>
      </c>
      <c r="AH935">
        <f t="shared" si="90"/>
        <v>3.0300000000000001E-2</v>
      </c>
      <c r="AI935">
        <f>VLOOKUP(L935,'[1]Tuyến cáp H04'!$B:$E,3,0)/1000</f>
        <v>19.419</v>
      </c>
      <c r="AJ935" t="str">
        <f>VLOOKUP(L935,'[1]Tuyến cáp H04'!$B:$E,4,0)</f>
        <v>Mạng cấp 4</v>
      </c>
    </row>
    <row r="936" spans="1:36" x14ac:dyDescent="0.25">
      <c r="A936" s="1" t="s">
        <v>8991</v>
      </c>
      <c r="B936" s="1" t="s">
        <v>8554</v>
      </c>
      <c r="C936" s="1" t="s">
        <v>8555</v>
      </c>
      <c r="D936" s="1" t="s">
        <v>8992</v>
      </c>
      <c r="E936" s="1" t="s">
        <v>8993</v>
      </c>
      <c r="F936" s="1" t="s">
        <v>8994</v>
      </c>
      <c r="G936" s="1" t="s">
        <v>14129</v>
      </c>
      <c r="H936" s="1" t="s">
        <v>14133</v>
      </c>
      <c r="I936" s="1" t="s">
        <v>15048</v>
      </c>
      <c r="J936" s="1" t="s">
        <v>23</v>
      </c>
      <c r="K936" s="1"/>
      <c r="L936" s="1" t="s">
        <v>8995</v>
      </c>
      <c r="M936" s="1" t="s">
        <v>8996</v>
      </c>
      <c r="N936" s="1" t="s">
        <v>8997</v>
      </c>
      <c r="O936" s="1" t="s">
        <v>8998</v>
      </c>
      <c r="P936" s="1" t="s">
        <v>8999</v>
      </c>
      <c r="Q936" s="1" t="s">
        <v>9000</v>
      </c>
      <c r="R936" s="1" t="s">
        <v>9001</v>
      </c>
      <c r="S936" s="1" t="s">
        <v>9002</v>
      </c>
      <c r="T936" s="1" t="s">
        <v>9003</v>
      </c>
      <c r="U936">
        <v>355.97</v>
      </c>
      <c r="V936">
        <v>72.489999999999995</v>
      </c>
      <c r="W936">
        <v>12.684661999999999</v>
      </c>
      <c r="X936">
        <v>108.052244</v>
      </c>
      <c r="Y936">
        <v>283.47000000000003</v>
      </c>
      <c r="Z936">
        <v>12.689913000000001</v>
      </c>
      <c r="AA936">
        <v>108.059804</v>
      </c>
      <c r="AB936" s="5">
        <f t="shared" si="85"/>
        <v>0.10873499999999998</v>
      </c>
      <c r="AC936" s="5">
        <f t="shared" si="86"/>
        <v>0.42520500000000006</v>
      </c>
      <c r="AD936" s="1" t="str">
        <f t="shared" si="87"/>
        <v>TT1 Đak Lak</v>
      </c>
      <c r="AE936" s="1" t="str">
        <f t="shared" si="88"/>
        <v>Krong Pak</v>
      </c>
      <c r="AG936">
        <f t="shared" si="89"/>
        <v>7.2489999999999999E-2</v>
      </c>
      <c r="AH936">
        <f t="shared" si="90"/>
        <v>0.28347</v>
      </c>
      <c r="AI936" t="e">
        <f>VLOOKUP(L936,'[1]Tuyến cáp H04'!$B:$E,3,0)/1000</f>
        <v>#N/A</v>
      </c>
      <c r="AJ936" t="e">
        <f>VLOOKUP(L936,'[1]Tuyến cáp H04'!$B:$E,4,0)</f>
        <v>#N/A</v>
      </c>
    </row>
    <row r="937" spans="1:36" x14ac:dyDescent="0.25">
      <c r="A937" s="1" t="s">
        <v>9004</v>
      </c>
      <c r="B937" s="1" t="s">
        <v>8617</v>
      </c>
      <c r="C937" s="1" t="s">
        <v>8618</v>
      </c>
      <c r="D937" s="1" t="s">
        <v>8190</v>
      </c>
      <c r="E937" s="1" t="s">
        <v>8191</v>
      </c>
      <c r="F937" s="1" t="s">
        <v>9005</v>
      </c>
      <c r="G937" s="1" t="s">
        <v>14129</v>
      </c>
      <c r="H937" s="1" t="s">
        <v>14133</v>
      </c>
      <c r="I937" s="1" t="s">
        <v>15049</v>
      </c>
      <c r="J937" s="1" t="s">
        <v>23</v>
      </c>
      <c r="K937" s="1"/>
      <c r="L937" s="1" t="s">
        <v>8350</v>
      </c>
      <c r="M937" s="1" t="s">
        <v>9006</v>
      </c>
      <c r="N937" s="1" t="s">
        <v>9007</v>
      </c>
      <c r="O937" s="1" t="s">
        <v>8353</v>
      </c>
      <c r="P937" s="1" t="s">
        <v>8354</v>
      </c>
      <c r="Q937" s="1" t="s">
        <v>8391</v>
      </c>
      <c r="R937" s="1" t="s">
        <v>8392</v>
      </c>
      <c r="S937" s="1" t="s">
        <v>8393</v>
      </c>
      <c r="T937" s="1" t="s">
        <v>8358</v>
      </c>
      <c r="U937">
        <v>125.55</v>
      </c>
      <c r="V937">
        <v>91.96</v>
      </c>
      <c r="W937">
        <v>12.690893000000001</v>
      </c>
      <c r="X937">
        <v>108.06744999999999</v>
      </c>
      <c r="Y937">
        <v>33.590000000000003</v>
      </c>
      <c r="Z937">
        <v>12.697137</v>
      </c>
      <c r="AA937">
        <v>108.07234200000001</v>
      </c>
      <c r="AB937" s="5">
        <f t="shared" si="85"/>
        <v>0.13794000000000001</v>
      </c>
      <c r="AC937" s="5">
        <f t="shared" si="86"/>
        <v>5.0385000000000006E-2</v>
      </c>
      <c r="AD937" s="1" t="str">
        <f t="shared" si="87"/>
        <v>TT1 Đăk Lăk</v>
      </c>
      <c r="AE937" s="1" t="str">
        <f t="shared" si="88"/>
        <v>ILA Ea Kar</v>
      </c>
      <c r="AG937">
        <f t="shared" si="89"/>
        <v>9.196E-2</v>
      </c>
      <c r="AH937">
        <f t="shared" si="90"/>
        <v>3.3590000000000002E-2</v>
      </c>
      <c r="AI937" t="e">
        <f>VLOOKUP(L937,'[1]Tuyến cáp H04'!$B:$E,3,0)/1000</f>
        <v>#N/A</v>
      </c>
      <c r="AJ937" t="e">
        <f>VLOOKUP(L937,'[1]Tuyến cáp H04'!$B:$E,4,0)</f>
        <v>#N/A</v>
      </c>
    </row>
    <row r="938" spans="1:36" x14ac:dyDescent="0.25">
      <c r="A938" s="1" t="s">
        <v>9008</v>
      </c>
      <c r="B938" s="1" t="s">
        <v>8347</v>
      </c>
      <c r="C938" s="1" t="s">
        <v>8348</v>
      </c>
      <c r="D938" s="1" t="s">
        <v>8377</v>
      </c>
      <c r="E938" s="1" t="s">
        <v>8378</v>
      </c>
      <c r="F938" s="1" t="s">
        <v>9009</v>
      </c>
      <c r="G938" s="1" t="s">
        <v>14129</v>
      </c>
      <c r="H938" s="1" t="s">
        <v>14133</v>
      </c>
      <c r="I938" s="1" t="s">
        <v>15050</v>
      </c>
      <c r="J938" s="1" t="s">
        <v>23</v>
      </c>
      <c r="K938" s="1"/>
      <c r="L938" s="1" t="s">
        <v>8111</v>
      </c>
      <c r="M938" s="1" t="s">
        <v>9010</v>
      </c>
      <c r="N938" s="1" t="s">
        <v>9011</v>
      </c>
      <c r="O938" s="1" t="s">
        <v>9012</v>
      </c>
      <c r="P938" s="1" t="s">
        <v>9013</v>
      </c>
      <c r="Q938" s="1" t="s">
        <v>9014</v>
      </c>
      <c r="R938" s="1" t="s">
        <v>9015</v>
      </c>
      <c r="S938" s="1" t="s">
        <v>9016</v>
      </c>
      <c r="T938" s="1" t="s">
        <v>8119</v>
      </c>
      <c r="U938">
        <v>3136.08</v>
      </c>
      <c r="V938">
        <v>2642.09</v>
      </c>
      <c r="W938">
        <v>13.091364</v>
      </c>
      <c r="X938">
        <v>109.28920599999999</v>
      </c>
      <c r="Y938">
        <v>493.99</v>
      </c>
      <c r="Z938">
        <v>13.147905</v>
      </c>
      <c r="AA938">
        <v>109.280089</v>
      </c>
      <c r="AB938" s="5">
        <f t="shared" si="85"/>
        <v>3.9631350000000003</v>
      </c>
      <c r="AC938" s="5">
        <f t="shared" si="86"/>
        <v>0.740985</v>
      </c>
      <c r="AD938" s="1" t="str">
        <f t="shared" si="87"/>
        <v>Sông Cầu</v>
      </c>
      <c r="AE938" s="1" t="str">
        <f t="shared" si="88"/>
        <v>TT2 Tuy Hòa</v>
      </c>
      <c r="AG938">
        <f t="shared" si="89"/>
        <v>2.64209</v>
      </c>
      <c r="AH938">
        <f t="shared" si="90"/>
        <v>0.49398999999999998</v>
      </c>
      <c r="AI938">
        <f>VLOOKUP(L938,'[1]Tuyến cáp H04'!$B:$E,3,0)/1000</f>
        <v>48.265999999999998</v>
      </c>
      <c r="AJ938" t="str">
        <f>VLOOKUP(L938,'[1]Tuyến cáp H04'!$B:$E,4,0)</f>
        <v>Mạng cấp 3</v>
      </c>
    </row>
    <row r="939" spans="1:36" x14ac:dyDescent="0.25">
      <c r="A939" s="1" t="s">
        <v>9017</v>
      </c>
      <c r="B939" s="1" t="s">
        <v>8604</v>
      </c>
      <c r="C939" s="1" t="s">
        <v>8605</v>
      </c>
      <c r="D939" s="1" t="s">
        <v>9018</v>
      </c>
      <c r="E939" s="1" t="s">
        <v>9019</v>
      </c>
      <c r="F939" s="1" t="s">
        <v>9020</v>
      </c>
      <c r="G939" s="1" t="s">
        <v>14129</v>
      </c>
      <c r="H939" s="1" t="s">
        <v>14133</v>
      </c>
      <c r="I939" s="1" t="s">
        <v>15051</v>
      </c>
      <c r="J939" s="1" t="s">
        <v>23</v>
      </c>
      <c r="K939" s="1"/>
      <c r="L939" s="1" t="s">
        <v>8350</v>
      </c>
      <c r="M939" s="1" t="s">
        <v>9021</v>
      </c>
      <c r="N939" s="1" t="s">
        <v>9022</v>
      </c>
      <c r="O939" s="1" t="s">
        <v>8353</v>
      </c>
      <c r="P939" s="1" t="s">
        <v>8354</v>
      </c>
      <c r="Q939" s="1" t="s">
        <v>9023</v>
      </c>
      <c r="R939" s="1" t="s">
        <v>8356</v>
      </c>
      <c r="S939" s="1" t="s">
        <v>8357</v>
      </c>
      <c r="T939" s="1" t="s">
        <v>8358</v>
      </c>
      <c r="U939">
        <v>100845.75</v>
      </c>
      <c r="V939">
        <v>7844.66</v>
      </c>
      <c r="W939">
        <v>12.690893000000001</v>
      </c>
      <c r="X939">
        <v>108.06744999999999</v>
      </c>
      <c r="Y939">
        <v>93001.1</v>
      </c>
      <c r="Z939">
        <v>12.811565999999999</v>
      </c>
      <c r="AA939">
        <v>108.483311</v>
      </c>
      <c r="AB939" s="5">
        <f t="shared" si="85"/>
        <v>11.76699</v>
      </c>
      <c r="AC939" s="5">
        <f t="shared" si="86"/>
        <v>139.50165000000001</v>
      </c>
      <c r="AD939" s="1" t="str">
        <f t="shared" si="87"/>
        <v>TT1 Đăk Lăk</v>
      </c>
      <c r="AE939" s="1" t="str">
        <f t="shared" si="88"/>
        <v>ILA Ea Kar</v>
      </c>
      <c r="AG939">
        <f t="shared" si="89"/>
        <v>7.8446600000000002</v>
      </c>
      <c r="AH939">
        <f t="shared" si="90"/>
        <v>93.001100000000008</v>
      </c>
      <c r="AI939" t="e">
        <f>VLOOKUP(L939,'[1]Tuyến cáp H04'!$B:$E,3,0)/1000</f>
        <v>#N/A</v>
      </c>
      <c r="AJ939" t="e">
        <f>VLOOKUP(L939,'[1]Tuyến cáp H04'!$B:$E,4,0)</f>
        <v>#N/A</v>
      </c>
    </row>
    <row r="940" spans="1:36" x14ac:dyDescent="0.25">
      <c r="A940" s="1" t="s">
        <v>9024</v>
      </c>
      <c r="B940" s="1" t="s">
        <v>9025</v>
      </c>
      <c r="C940" s="1" t="s">
        <v>9026</v>
      </c>
      <c r="D940" s="1" t="s">
        <v>9027</v>
      </c>
      <c r="E940" s="1" t="s">
        <v>9028</v>
      </c>
      <c r="F940" s="1" t="s">
        <v>9029</v>
      </c>
      <c r="G940" s="1" t="s">
        <v>14129</v>
      </c>
      <c r="H940" s="1" t="s">
        <v>14133</v>
      </c>
      <c r="I940" s="1" t="s">
        <v>15052</v>
      </c>
      <c r="J940" s="1" t="s">
        <v>23</v>
      </c>
      <c r="K940" s="1"/>
      <c r="L940" s="1" t="s">
        <v>9030</v>
      </c>
      <c r="M940" s="1" t="s">
        <v>9031</v>
      </c>
      <c r="N940" s="1" t="s">
        <v>9032</v>
      </c>
      <c r="O940" s="1" t="s">
        <v>9033</v>
      </c>
      <c r="P940" s="1" t="s">
        <v>9034</v>
      </c>
      <c r="Q940" s="1" t="s">
        <v>9035</v>
      </c>
      <c r="R940" s="1" t="s">
        <v>9036</v>
      </c>
      <c r="S940" s="1" t="s">
        <v>9037</v>
      </c>
      <c r="T940" s="1" t="s">
        <v>9038</v>
      </c>
      <c r="U940">
        <v>870.47</v>
      </c>
      <c r="V940">
        <v>867.07</v>
      </c>
      <c r="W940">
        <v>12.673182000000001</v>
      </c>
      <c r="X940">
        <v>108.03377500000001</v>
      </c>
      <c r="Y940">
        <v>3.41</v>
      </c>
      <c r="Z940">
        <v>12.673265000000001</v>
      </c>
      <c r="AA940">
        <v>108.03362799999999</v>
      </c>
      <c r="AB940" s="5">
        <f t="shared" si="85"/>
        <v>1.300605</v>
      </c>
      <c r="AC940" s="5">
        <f t="shared" si="86"/>
        <v>5.1150000000000006E-3</v>
      </c>
      <c r="AD940" s="1" t="str">
        <f t="shared" si="87"/>
        <v>Trung tâm huấn luyện PX01</v>
      </c>
      <c r="AE940" s="1" t="str">
        <f t="shared" si="88"/>
        <v>TT1 Đăk Lăk</v>
      </c>
      <c r="AG940">
        <f t="shared" si="89"/>
        <v>0.86707000000000001</v>
      </c>
      <c r="AH940">
        <f t="shared" si="90"/>
        <v>3.4100000000000003E-3</v>
      </c>
      <c r="AI940">
        <f>VLOOKUP(L940,'[1]Tuyến cáp H04'!$B:$E,3,0)/1000</f>
        <v>3.3519999999999999</v>
      </c>
      <c r="AJ940" t="str">
        <f>VLOOKUP(L940,'[1]Tuyến cáp H04'!$B:$E,4,0)</f>
        <v>Mạng cấp 3</v>
      </c>
    </row>
    <row r="941" spans="1:36" x14ac:dyDescent="0.25">
      <c r="A941" s="1" t="s">
        <v>9039</v>
      </c>
      <c r="B941" s="1" t="s">
        <v>8554</v>
      </c>
      <c r="C941" s="1" t="s">
        <v>8555</v>
      </c>
      <c r="D941" s="1" t="s">
        <v>9040</v>
      </c>
      <c r="E941" s="1" t="s">
        <v>9041</v>
      </c>
      <c r="F941" s="1" t="s">
        <v>9042</v>
      </c>
      <c r="G941" s="1" t="s">
        <v>14129</v>
      </c>
      <c r="H941" s="1" t="s">
        <v>14133</v>
      </c>
      <c r="I941" s="1" t="s">
        <v>15053</v>
      </c>
      <c r="J941" s="1" t="s">
        <v>23</v>
      </c>
      <c r="K941" s="1"/>
      <c r="L941" s="1" t="s">
        <v>9043</v>
      </c>
      <c r="M941" s="1" t="s">
        <v>9044</v>
      </c>
      <c r="N941" s="1" t="s">
        <v>9045</v>
      </c>
      <c r="O941" s="1" t="s">
        <v>9046</v>
      </c>
      <c r="P941" s="1" t="s">
        <v>9047</v>
      </c>
      <c r="Q941" s="1" t="s">
        <v>9048</v>
      </c>
      <c r="R941" s="1" t="s">
        <v>9049</v>
      </c>
      <c r="S941" s="1" t="s">
        <v>9050</v>
      </c>
      <c r="T941" s="1" t="s">
        <v>9051</v>
      </c>
      <c r="U941">
        <v>278.42</v>
      </c>
      <c r="V941">
        <v>225.88</v>
      </c>
      <c r="W941">
        <v>12.683052999999999</v>
      </c>
      <c r="X941">
        <v>108.05115600000001</v>
      </c>
      <c r="Y941">
        <v>52.55</v>
      </c>
      <c r="Z941">
        <v>12.683980999999999</v>
      </c>
      <c r="AA941">
        <v>108.059354</v>
      </c>
      <c r="AB941" s="5">
        <f t="shared" si="85"/>
        <v>0.33882000000000001</v>
      </c>
      <c r="AC941" s="5">
        <f t="shared" si="86"/>
        <v>7.8824999999999992E-2</v>
      </c>
      <c r="AD941" s="1" t="str">
        <f t="shared" si="87"/>
        <v>TT1 Đăk Lăk</v>
      </c>
      <c r="AE941" s="1" t="str">
        <f t="shared" si="88"/>
        <v>ILA Ea Pal</v>
      </c>
      <c r="AG941">
        <f t="shared" si="89"/>
        <v>0.22588</v>
      </c>
      <c r="AH941">
        <f t="shared" si="90"/>
        <v>5.2549999999999999E-2</v>
      </c>
      <c r="AI941" t="e">
        <f>VLOOKUP(L941,'[1]Tuyến cáp H04'!$B:$E,3,0)/1000</f>
        <v>#N/A</v>
      </c>
      <c r="AJ941" t="e">
        <f>VLOOKUP(L941,'[1]Tuyến cáp H04'!$B:$E,4,0)</f>
        <v>#N/A</v>
      </c>
    </row>
    <row r="942" spans="1:36" x14ac:dyDescent="0.25">
      <c r="A942" s="1" t="s">
        <v>9052</v>
      </c>
      <c r="B942" s="1" t="s">
        <v>9025</v>
      </c>
      <c r="C942" s="1" t="s">
        <v>9026</v>
      </c>
      <c r="D942" s="1" t="s">
        <v>9053</v>
      </c>
      <c r="E942" s="1" t="s">
        <v>9054</v>
      </c>
      <c r="F942" s="1" t="s">
        <v>9055</v>
      </c>
      <c r="G942" s="1" t="s">
        <v>14129</v>
      </c>
      <c r="H942" s="1" t="s">
        <v>14133</v>
      </c>
      <c r="I942" s="1" t="s">
        <v>15054</v>
      </c>
      <c r="J942" s="1" t="s">
        <v>23</v>
      </c>
      <c r="K942" s="1"/>
      <c r="L942" s="1" t="s">
        <v>9056</v>
      </c>
      <c r="M942" s="1" t="s">
        <v>9057</v>
      </c>
      <c r="N942" s="1" t="s">
        <v>9058</v>
      </c>
      <c r="O942" s="1" t="s">
        <v>9059</v>
      </c>
      <c r="P942" s="1" t="s">
        <v>9060</v>
      </c>
      <c r="Q942" s="1" t="s">
        <v>9061</v>
      </c>
      <c r="R942" s="1" t="s">
        <v>9062</v>
      </c>
      <c r="S942" s="1" t="s">
        <v>9063</v>
      </c>
      <c r="T942" s="1" t="s">
        <v>9064</v>
      </c>
      <c r="U942">
        <v>560.96</v>
      </c>
      <c r="V942">
        <v>471.01</v>
      </c>
      <c r="W942">
        <v>12.662886</v>
      </c>
      <c r="X942">
        <v>108.03439</v>
      </c>
      <c r="Y942">
        <v>89.95</v>
      </c>
      <c r="Z942">
        <v>12.660361</v>
      </c>
      <c r="AA942">
        <v>108.031069</v>
      </c>
      <c r="AB942" s="5">
        <f t="shared" si="85"/>
        <v>0.706515</v>
      </c>
      <c r="AC942" s="5">
        <f t="shared" si="86"/>
        <v>0.13492500000000002</v>
      </c>
      <c r="AD942" s="1" t="str">
        <f t="shared" si="87"/>
        <v>CAT Đắk Lắk</v>
      </c>
      <c r="AE942" s="1" t="str">
        <f t="shared" si="88"/>
        <v>Ea Kao</v>
      </c>
      <c r="AG942">
        <f t="shared" si="89"/>
        <v>0.47100999999999998</v>
      </c>
      <c r="AH942">
        <f t="shared" si="90"/>
        <v>8.9950000000000002E-2</v>
      </c>
      <c r="AI942">
        <f>VLOOKUP(L942,'[1]Tuyến cáp H04'!$B:$E,3,0)/1000</f>
        <v>4.133</v>
      </c>
      <c r="AJ942" t="str">
        <f>VLOOKUP(L942,'[1]Tuyến cáp H04'!$B:$E,4,0)</f>
        <v>Mạng cấp 4</v>
      </c>
    </row>
    <row r="943" spans="1:36" x14ac:dyDescent="0.25">
      <c r="A943" s="1" t="s">
        <v>9065</v>
      </c>
      <c r="B943" s="1" t="s">
        <v>9066</v>
      </c>
      <c r="C943" s="1" t="s">
        <v>9067</v>
      </c>
      <c r="D943" s="1" t="s">
        <v>8175</v>
      </c>
      <c r="E943" s="1" t="s">
        <v>8176</v>
      </c>
      <c r="F943" s="1" t="s">
        <v>9068</v>
      </c>
      <c r="G943" s="1" t="s">
        <v>14129</v>
      </c>
      <c r="H943" s="1" t="s">
        <v>14133</v>
      </c>
      <c r="I943" s="1" t="s">
        <v>15055</v>
      </c>
      <c r="J943" s="1" t="s">
        <v>23</v>
      </c>
      <c r="K943" s="1"/>
      <c r="L943" s="1" t="s">
        <v>8206</v>
      </c>
      <c r="M943" s="1" t="s">
        <v>9069</v>
      </c>
      <c r="N943" s="1" t="s">
        <v>9070</v>
      </c>
      <c r="O943" s="1" t="s">
        <v>9071</v>
      </c>
      <c r="P943" s="1" t="s">
        <v>9072</v>
      </c>
      <c r="Q943" s="1" t="s">
        <v>8211</v>
      </c>
      <c r="R943" s="1" t="s">
        <v>8212</v>
      </c>
      <c r="S943" s="1" t="s">
        <v>8213</v>
      </c>
      <c r="T943" s="1" t="s">
        <v>8214</v>
      </c>
      <c r="U943">
        <v>1300.24</v>
      </c>
      <c r="V943">
        <v>1181.25</v>
      </c>
      <c r="W943">
        <v>12.679326</v>
      </c>
      <c r="X943">
        <v>108.087198</v>
      </c>
      <c r="Y943">
        <v>118.99</v>
      </c>
      <c r="Z943">
        <v>12.655568000000001</v>
      </c>
      <c r="AA943">
        <v>108.107465</v>
      </c>
      <c r="AB943" s="5">
        <f t="shared" si="85"/>
        <v>1.7718750000000001</v>
      </c>
      <c r="AC943" s="5">
        <f t="shared" si="86"/>
        <v>0.17848499999999998</v>
      </c>
      <c r="AD943" s="1" t="str">
        <f t="shared" si="87"/>
        <v>Tân Lập</v>
      </c>
      <c r="AE943" s="1" t="str">
        <f t="shared" si="88"/>
        <v>Ea Knuec</v>
      </c>
      <c r="AG943">
        <f t="shared" si="89"/>
        <v>1.1812499999999999</v>
      </c>
      <c r="AH943">
        <f t="shared" si="90"/>
        <v>0.11899</v>
      </c>
      <c r="AI943" t="e">
        <f>VLOOKUP(L943,'[1]Tuyến cáp H04'!$B:$E,3,0)/1000</f>
        <v>#N/A</v>
      </c>
      <c r="AJ943" t="e">
        <f>VLOOKUP(L943,'[1]Tuyến cáp H04'!$B:$E,4,0)</f>
        <v>#N/A</v>
      </c>
    </row>
    <row r="944" spans="1:36" x14ac:dyDescent="0.25">
      <c r="A944" s="1" t="s">
        <v>9073</v>
      </c>
      <c r="B944" s="1" t="s">
        <v>9074</v>
      </c>
      <c r="C944" s="1" t="s">
        <v>9075</v>
      </c>
      <c r="D944" s="1" t="s">
        <v>8362</v>
      </c>
      <c r="E944" s="1" t="s">
        <v>8363</v>
      </c>
      <c r="F944" s="1" t="s">
        <v>9076</v>
      </c>
      <c r="G944" s="1" t="s">
        <v>14129</v>
      </c>
      <c r="H944" s="1" t="s">
        <v>14133</v>
      </c>
      <c r="I944" s="1" t="s">
        <v>15056</v>
      </c>
      <c r="J944" s="1" t="s">
        <v>23</v>
      </c>
      <c r="K944" s="1"/>
      <c r="L944" s="1" t="s">
        <v>8365</v>
      </c>
      <c r="M944" s="1" t="s">
        <v>9077</v>
      </c>
      <c r="N944" s="1" t="s">
        <v>9078</v>
      </c>
      <c r="O944" s="1" t="s">
        <v>9079</v>
      </c>
      <c r="P944" s="1" t="s">
        <v>9080</v>
      </c>
      <c r="Q944" s="1" t="s">
        <v>9081</v>
      </c>
      <c r="R944" s="1" t="s">
        <v>9082</v>
      </c>
      <c r="S944" s="1" t="s">
        <v>9083</v>
      </c>
      <c r="T944" s="1" t="s">
        <v>9084</v>
      </c>
      <c r="U944">
        <v>434.7</v>
      </c>
      <c r="V944">
        <v>22.72</v>
      </c>
      <c r="W944">
        <v>12.676812999999999</v>
      </c>
      <c r="X944">
        <v>107.99398100000001</v>
      </c>
      <c r="Y944">
        <v>411.98</v>
      </c>
      <c r="Z944">
        <v>12.682619000000001</v>
      </c>
      <c r="AA944">
        <v>108.012011</v>
      </c>
      <c r="AB944" s="5">
        <f t="shared" si="85"/>
        <v>3.4079999999999999E-2</v>
      </c>
      <c r="AC944" s="5">
        <f t="shared" si="86"/>
        <v>0.61797000000000002</v>
      </c>
      <c r="AD944" s="1" t="str">
        <f t="shared" si="87"/>
        <v>Thành Nhất</v>
      </c>
      <c r="AE944" s="1" t="str">
        <f t="shared" si="88"/>
        <v>Ea Nuôl</v>
      </c>
      <c r="AG944">
        <f t="shared" si="89"/>
        <v>2.2719999999999997E-2</v>
      </c>
      <c r="AH944">
        <f t="shared" si="90"/>
        <v>0.41198000000000001</v>
      </c>
      <c r="AI944">
        <f>VLOOKUP(L944,'[1]Tuyến cáp H04'!$B:$E,3,0)/1000</f>
        <v>7.931</v>
      </c>
      <c r="AJ944" t="str">
        <f>VLOOKUP(L944,'[1]Tuyến cáp H04'!$B:$E,4,0)</f>
        <v>Mạng cấp 4</v>
      </c>
    </row>
    <row r="945" spans="1:36" x14ac:dyDescent="0.25">
      <c r="A945" s="1" t="s">
        <v>9085</v>
      </c>
      <c r="B945" s="1" t="s">
        <v>8569</v>
      </c>
      <c r="C945" s="1" t="s">
        <v>8570</v>
      </c>
      <c r="D945" s="1" t="s">
        <v>9086</v>
      </c>
      <c r="E945" s="1" t="s">
        <v>9087</v>
      </c>
      <c r="F945" s="1" t="s">
        <v>9088</v>
      </c>
      <c r="G945" s="1" t="s">
        <v>14129</v>
      </c>
      <c r="H945" s="1" t="s">
        <v>14133</v>
      </c>
      <c r="I945" s="1" t="s">
        <v>15057</v>
      </c>
      <c r="J945" s="1" t="s">
        <v>23</v>
      </c>
      <c r="K945" s="1"/>
      <c r="L945" s="1" t="s">
        <v>9089</v>
      </c>
      <c r="M945" s="1" t="s">
        <v>9090</v>
      </c>
      <c r="N945" s="1" t="s">
        <v>9091</v>
      </c>
      <c r="O945" s="1" t="s">
        <v>9092</v>
      </c>
      <c r="P945" s="1" t="s">
        <v>9093</v>
      </c>
      <c r="Q945" s="1" t="s">
        <v>9094</v>
      </c>
      <c r="R945" s="1" t="s">
        <v>9095</v>
      </c>
      <c r="S945" s="1" t="s">
        <v>9096</v>
      </c>
      <c r="T945" s="1" t="s">
        <v>9097</v>
      </c>
      <c r="U945">
        <v>2288.04</v>
      </c>
      <c r="V945">
        <v>37.880000000000003</v>
      </c>
      <c r="W945">
        <v>12.711841</v>
      </c>
      <c r="X945">
        <v>108.066391</v>
      </c>
      <c r="Y945">
        <v>2250.16</v>
      </c>
      <c r="Z945">
        <v>12.712285</v>
      </c>
      <c r="AA945">
        <v>108.066721</v>
      </c>
      <c r="AB945" s="5">
        <f t="shared" si="85"/>
        <v>5.6820000000000009E-2</v>
      </c>
      <c r="AC945" s="5">
        <f t="shared" si="86"/>
        <v>3.3752399999999998</v>
      </c>
      <c r="AD945" s="1" t="str">
        <f t="shared" si="87"/>
        <v>Trại tạm giam Buôn Mê Thuột</v>
      </c>
      <c r="AE945" s="1" t="str">
        <f t="shared" si="88"/>
        <v>TT1 Đăk Lăk</v>
      </c>
      <c r="AG945">
        <f t="shared" si="89"/>
        <v>3.7880000000000004E-2</v>
      </c>
      <c r="AH945">
        <f t="shared" si="90"/>
        <v>2.2501599999999997</v>
      </c>
      <c r="AI945">
        <f>VLOOKUP(L945,'[1]Tuyến cáp H04'!$B:$E,3,0)/1000</f>
        <v>5.3780000000000001</v>
      </c>
      <c r="AJ945" t="str">
        <f>VLOOKUP(L945,'[1]Tuyến cáp H04'!$B:$E,4,0)</f>
        <v>Mạng cấp 3</v>
      </c>
    </row>
    <row r="946" spans="1:36" x14ac:dyDescent="0.25">
      <c r="A946" s="1" t="s">
        <v>9098</v>
      </c>
      <c r="B946" s="1" t="s">
        <v>9099</v>
      </c>
      <c r="C946" s="1" t="s">
        <v>9100</v>
      </c>
      <c r="D946" s="1" t="s">
        <v>9101</v>
      </c>
      <c r="E946" s="1" t="s">
        <v>9102</v>
      </c>
      <c r="F946" s="1" t="s">
        <v>9103</v>
      </c>
      <c r="G946" s="1" t="s">
        <v>14129</v>
      </c>
      <c r="H946" s="1" t="s">
        <v>14133</v>
      </c>
      <c r="I946" s="1" t="s">
        <v>15058</v>
      </c>
      <c r="J946" s="1" t="s">
        <v>23</v>
      </c>
      <c r="K946" s="1"/>
      <c r="L946" s="1" t="s">
        <v>8350</v>
      </c>
      <c r="M946" s="1" t="s">
        <v>9104</v>
      </c>
      <c r="N946" s="1" t="s">
        <v>9105</v>
      </c>
      <c r="O946" s="1" t="s">
        <v>9106</v>
      </c>
      <c r="P946" s="1" t="s">
        <v>9107</v>
      </c>
      <c r="Q946" s="1" t="s">
        <v>9108</v>
      </c>
      <c r="R946" s="1" t="s">
        <v>9109</v>
      </c>
      <c r="S946" s="1" t="s">
        <v>9110</v>
      </c>
      <c r="T946" s="1" t="s">
        <v>8358</v>
      </c>
      <c r="U946">
        <v>190.27</v>
      </c>
      <c r="V946">
        <v>88.89</v>
      </c>
      <c r="W946">
        <v>12.736509</v>
      </c>
      <c r="X946">
        <v>108.14225</v>
      </c>
      <c r="Y946">
        <v>101.38</v>
      </c>
      <c r="Z946">
        <v>12.753318999999999</v>
      </c>
      <c r="AA946">
        <v>108.169235</v>
      </c>
      <c r="AB946" s="5">
        <f t="shared" si="85"/>
        <v>0.13333500000000001</v>
      </c>
      <c r="AC946" s="5">
        <f t="shared" si="86"/>
        <v>0.15206999999999998</v>
      </c>
      <c r="AD946" s="1" t="str">
        <f t="shared" si="87"/>
        <v>TT1 Đăk Lăk</v>
      </c>
      <c r="AE946" s="1" t="str">
        <f t="shared" si="88"/>
        <v>ILA Ea Kar</v>
      </c>
      <c r="AG946">
        <f t="shared" si="89"/>
        <v>8.8889999999999997E-2</v>
      </c>
      <c r="AH946">
        <f t="shared" si="90"/>
        <v>0.10138</v>
      </c>
      <c r="AI946" t="e">
        <f>VLOOKUP(L946,'[1]Tuyến cáp H04'!$B:$E,3,0)/1000</f>
        <v>#N/A</v>
      </c>
      <c r="AJ946" t="e">
        <f>VLOOKUP(L946,'[1]Tuyến cáp H04'!$B:$E,4,0)</f>
        <v>#N/A</v>
      </c>
    </row>
    <row r="947" spans="1:36" x14ac:dyDescent="0.25">
      <c r="A947" s="1" t="s">
        <v>9111</v>
      </c>
      <c r="B947" s="1" t="s">
        <v>8332</v>
      </c>
      <c r="C947" s="1" t="s">
        <v>8333</v>
      </c>
      <c r="D947" s="1" t="s">
        <v>9112</v>
      </c>
      <c r="E947" s="1" t="s">
        <v>9113</v>
      </c>
      <c r="F947" s="1" t="s">
        <v>9114</v>
      </c>
      <c r="G947" s="1" t="s">
        <v>14129</v>
      </c>
      <c r="H947" s="1" t="s">
        <v>14133</v>
      </c>
      <c r="I947" s="1" t="s">
        <v>15059</v>
      </c>
      <c r="J947" s="1" t="s">
        <v>23</v>
      </c>
      <c r="K947" s="1"/>
      <c r="L947" s="1" t="s">
        <v>8335</v>
      </c>
      <c r="M947" s="1" t="s">
        <v>9115</v>
      </c>
      <c r="N947" s="1" t="s">
        <v>8340</v>
      </c>
      <c r="O947" s="1" t="s">
        <v>8341</v>
      </c>
      <c r="P947" s="1" t="s">
        <v>8342</v>
      </c>
      <c r="Q947" s="1" t="s">
        <v>9116</v>
      </c>
      <c r="R947" s="1" t="s">
        <v>9117</v>
      </c>
      <c r="S947" s="1" t="s">
        <v>9118</v>
      </c>
      <c r="T947" s="1" t="s">
        <v>8343</v>
      </c>
      <c r="U947">
        <v>547.86</v>
      </c>
      <c r="V947">
        <v>57.95</v>
      </c>
      <c r="W947">
        <v>12.916482999999999</v>
      </c>
      <c r="X947">
        <v>108.26607</v>
      </c>
      <c r="Y947">
        <v>489.91</v>
      </c>
      <c r="Z947">
        <v>12.911094</v>
      </c>
      <c r="AA947">
        <v>108.266525</v>
      </c>
      <c r="AB947" s="5">
        <f t="shared" si="85"/>
        <v>8.6925000000000016E-2</v>
      </c>
      <c r="AC947" s="5">
        <f t="shared" si="86"/>
        <v>0.73486499999999999</v>
      </c>
      <c r="AD947" s="1" t="e">
        <f t="shared" si="87"/>
        <v>#VALUE!</v>
      </c>
      <c r="AE947" s="1" t="e">
        <f t="shared" si="88"/>
        <v>#VALUE!</v>
      </c>
      <c r="AG947">
        <f t="shared" si="89"/>
        <v>5.7950000000000002E-2</v>
      </c>
      <c r="AH947">
        <f t="shared" si="90"/>
        <v>0.48991000000000001</v>
      </c>
      <c r="AI947" t="e">
        <f>VLOOKUP(L947,'[1]Tuyến cáp H04'!$B:$E,3,0)/1000</f>
        <v>#N/A</v>
      </c>
      <c r="AJ947" t="e">
        <f>VLOOKUP(L947,'[1]Tuyến cáp H04'!$B:$E,4,0)</f>
        <v>#N/A</v>
      </c>
    </row>
    <row r="948" spans="1:36" x14ac:dyDescent="0.25">
      <c r="A948" s="1" t="s">
        <v>9119</v>
      </c>
      <c r="B948" s="1" t="s">
        <v>9120</v>
      </c>
      <c r="C948" s="1" t="s">
        <v>9121</v>
      </c>
      <c r="D948" s="1" t="s">
        <v>8935</v>
      </c>
      <c r="E948" s="1" t="s">
        <v>8936</v>
      </c>
      <c r="F948" s="1" t="s">
        <v>9122</v>
      </c>
      <c r="G948" s="1" t="s">
        <v>14129</v>
      </c>
      <c r="H948" s="1" t="s">
        <v>14130</v>
      </c>
      <c r="I948" s="1" t="s">
        <v>15060</v>
      </c>
      <c r="J948" s="1" t="s">
        <v>23</v>
      </c>
      <c r="K948" s="1"/>
      <c r="L948" s="1" t="s">
        <v>8940</v>
      </c>
      <c r="M948" s="1" t="s">
        <v>9123</v>
      </c>
      <c r="N948" s="1" t="s">
        <v>9124</v>
      </c>
      <c r="O948" s="1" t="s">
        <v>9125</v>
      </c>
      <c r="P948" s="1" t="s">
        <v>9126</v>
      </c>
      <c r="Q948" s="1" t="s">
        <v>2433</v>
      </c>
      <c r="R948" s="1" t="s">
        <v>8942</v>
      </c>
      <c r="S948" s="1" t="s">
        <v>8943</v>
      </c>
      <c r="T948" s="1" t="s">
        <v>8947</v>
      </c>
      <c r="U948">
        <v>602.63</v>
      </c>
      <c r="V948">
        <v>600.95000000000005</v>
      </c>
      <c r="W948">
        <v>13.044897000000001</v>
      </c>
      <c r="X948">
        <v>109.304889</v>
      </c>
      <c r="Y948">
        <v>1.67</v>
      </c>
      <c r="Z948">
        <v>13.052982</v>
      </c>
      <c r="AA948">
        <v>109.310524</v>
      </c>
      <c r="AB948" s="5">
        <f t="shared" si="85"/>
        <v>0.90142500000000003</v>
      </c>
      <c r="AC948" s="5">
        <f t="shared" si="86"/>
        <v>2.5049999999999998E-3</v>
      </c>
      <c r="AD948" s="1" t="str">
        <f t="shared" si="87"/>
        <v>Phú Hòa 2</v>
      </c>
      <c r="AE948" s="1" t="str">
        <f t="shared" si="88"/>
        <v>Phú Yên</v>
      </c>
      <c r="AG948">
        <f t="shared" si="89"/>
        <v>0.6009500000000001</v>
      </c>
      <c r="AH948">
        <f t="shared" si="90"/>
        <v>1.6699999999999998E-3</v>
      </c>
      <c r="AI948">
        <f>VLOOKUP(L948,'[1]Tuyến cáp H04'!$B:$E,3,0)/1000</f>
        <v>20.920999999999999</v>
      </c>
      <c r="AJ948" t="str">
        <f>VLOOKUP(L948,'[1]Tuyến cáp H04'!$B:$E,4,0)</f>
        <v>Mạng cấp 4</v>
      </c>
    </row>
    <row r="949" spans="1:36" x14ac:dyDescent="0.25">
      <c r="A949" s="1" t="s">
        <v>9127</v>
      </c>
      <c r="B949" s="1" t="s">
        <v>8059</v>
      </c>
      <c r="C949" s="1" t="s">
        <v>8060</v>
      </c>
      <c r="D949" s="1" t="s">
        <v>8935</v>
      </c>
      <c r="E949" s="1" t="s">
        <v>8936</v>
      </c>
      <c r="F949" s="1" t="s">
        <v>9128</v>
      </c>
      <c r="G949" s="1" t="s">
        <v>14129</v>
      </c>
      <c r="H949" s="1" t="s">
        <v>14130</v>
      </c>
      <c r="I949" s="1" t="s">
        <v>15061</v>
      </c>
      <c r="J949" s="1" t="s">
        <v>23</v>
      </c>
      <c r="K949" s="1"/>
      <c r="L949" s="1" t="s">
        <v>8940</v>
      </c>
      <c r="M949" s="1" t="s">
        <v>9129</v>
      </c>
      <c r="N949" s="1" t="s">
        <v>9130</v>
      </c>
      <c r="O949" s="1" t="s">
        <v>8945</v>
      </c>
      <c r="P949" s="1" t="s">
        <v>8946</v>
      </c>
      <c r="Q949" s="1" t="s">
        <v>2433</v>
      </c>
      <c r="R949" s="1" t="s">
        <v>8942</v>
      </c>
      <c r="S949" s="1" t="s">
        <v>8943</v>
      </c>
      <c r="T949" s="1" t="s">
        <v>8947</v>
      </c>
      <c r="U949">
        <v>1303.29</v>
      </c>
      <c r="V949">
        <v>1301.6199999999999</v>
      </c>
      <c r="W949">
        <v>13.045337</v>
      </c>
      <c r="X949">
        <v>109.30177399999999</v>
      </c>
      <c r="Y949">
        <v>1.67</v>
      </c>
      <c r="Z949">
        <v>13.052982</v>
      </c>
      <c r="AA949">
        <v>109.310524</v>
      </c>
      <c r="AB949" s="5">
        <f t="shared" si="85"/>
        <v>1.9524299999999999</v>
      </c>
      <c r="AC949" s="5">
        <f t="shared" si="86"/>
        <v>2.5049999999999998E-3</v>
      </c>
      <c r="AD949" s="1" t="str">
        <f t="shared" si="87"/>
        <v>Phú Hòa 2</v>
      </c>
      <c r="AE949" s="1" t="str">
        <f t="shared" si="88"/>
        <v>Phú Yên</v>
      </c>
      <c r="AG949">
        <f t="shared" si="89"/>
        <v>1.30162</v>
      </c>
      <c r="AH949">
        <f t="shared" si="90"/>
        <v>1.6699999999999998E-3</v>
      </c>
      <c r="AI949">
        <f>VLOOKUP(L949,'[1]Tuyến cáp H04'!$B:$E,3,0)/1000</f>
        <v>20.920999999999999</v>
      </c>
      <c r="AJ949" t="str">
        <f>VLOOKUP(L949,'[1]Tuyến cáp H04'!$B:$E,4,0)</f>
        <v>Mạng cấp 4</v>
      </c>
    </row>
    <row r="950" spans="1:36" x14ac:dyDescent="0.25">
      <c r="A950" s="1" t="s">
        <v>9131</v>
      </c>
      <c r="B950" s="1" t="s">
        <v>8935</v>
      </c>
      <c r="C950" s="1" t="s">
        <v>8936</v>
      </c>
      <c r="D950" s="1" t="s">
        <v>9132</v>
      </c>
      <c r="E950" s="1" t="s">
        <v>9133</v>
      </c>
      <c r="F950" s="1" t="s">
        <v>9134</v>
      </c>
      <c r="G950" s="1" t="s">
        <v>14129</v>
      </c>
      <c r="H950" s="1" t="s">
        <v>14130</v>
      </c>
      <c r="I950" s="1" t="s">
        <v>15062</v>
      </c>
      <c r="J950" s="1" t="s">
        <v>23</v>
      </c>
      <c r="K950" s="1"/>
      <c r="L950" s="1" t="s">
        <v>9135</v>
      </c>
      <c r="M950" s="1" t="s">
        <v>9136</v>
      </c>
      <c r="N950" s="1" t="s">
        <v>9137</v>
      </c>
      <c r="O950" s="1" t="s">
        <v>9138</v>
      </c>
      <c r="P950" s="1" t="s">
        <v>9139</v>
      </c>
      <c r="Q950" s="1" t="s">
        <v>9140</v>
      </c>
      <c r="R950" s="1" t="s">
        <v>9141</v>
      </c>
      <c r="S950" s="1" t="s">
        <v>9142</v>
      </c>
      <c r="T950" s="1" t="s">
        <v>9143</v>
      </c>
      <c r="U950">
        <v>3368.71</v>
      </c>
      <c r="V950">
        <v>1421.45</v>
      </c>
      <c r="W950">
        <v>13.052277999999999</v>
      </c>
      <c r="X950">
        <v>109.32362500000001</v>
      </c>
      <c r="Y950">
        <v>1947.25</v>
      </c>
      <c r="Z950">
        <v>13.033217</v>
      </c>
      <c r="AA950">
        <v>109.323196</v>
      </c>
      <c r="AB950" s="5">
        <f t="shared" si="85"/>
        <v>2.1321750000000002</v>
      </c>
      <c r="AC950" s="5">
        <f t="shared" si="86"/>
        <v>2.9208750000000001</v>
      </c>
      <c r="AD950" s="1" t="str">
        <f t="shared" si="87"/>
        <v>CAT PHÚ YÊN</v>
      </c>
      <c r="AE950" s="1" t="str">
        <f t="shared" si="88"/>
        <v>Cảng hàng không Tuy Hòa</v>
      </c>
      <c r="AG950">
        <f t="shared" si="89"/>
        <v>1.4214500000000001</v>
      </c>
      <c r="AH950">
        <f t="shared" si="90"/>
        <v>1.9472499999999999</v>
      </c>
      <c r="AI950" t="e">
        <f>VLOOKUP(L950,'[1]Tuyến cáp H04'!$B:$E,3,0)/1000</f>
        <v>#N/A</v>
      </c>
      <c r="AJ950" t="e">
        <f>VLOOKUP(L950,'[1]Tuyến cáp H04'!$B:$E,4,0)</f>
        <v>#N/A</v>
      </c>
    </row>
    <row r="951" spans="1:36" x14ac:dyDescent="0.25">
      <c r="A951" s="1" t="s">
        <v>9144</v>
      </c>
      <c r="B951" s="1" t="s">
        <v>9145</v>
      </c>
      <c r="C951" s="1" t="s">
        <v>9146</v>
      </c>
      <c r="D951" s="1" t="s">
        <v>9147</v>
      </c>
      <c r="E951" s="1" t="s">
        <v>9148</v>
      </c>
      <c r="F951" s="1" t="s">
        <v>9149</v>
      </c>
      <c r="G951" s="1" t="s">
        <v>14129</v>
      </c>
      <c r="H951" s="1" t="s">
        <v>14130</v>
      </c>
      <c r="I951" s="1" t="s">
        <v>15063</v>
      </c>
      <c r="J951" s="1" t="s">
        <v>23</v>
      </c>
      <c r="K951" s="1"/>
      <c r="L951" s="1" t="s">
        <v>9150</v>
      </c>
      <c r="M951" s="1" t="s">
        <v>9151</v>
      </c>
      <c r="N951" s="1" t="s">
        <v>9152</v>
      </c>
      <c r="O951" s="1" t="s">
        <v>9153</v>
      </c>
      <c r="P951" s="1" t="s">
        <v>9154</v>
      </c>
      <c r="Q951" s="1" t="s">
        <v>9155</v>
      </c>
      <c r="R951" s="1" t="s">
        <v>9156</v>
      </c>
      <c r="S951" s="1" t="s">
        <v>9157</v>
      </c>
      <c r="T951" s="1" t="s">
        <v>9158</v>
      </c>
      <c r="U951">
        <v>3778.71</v>
      </c>
      <c r="V951">
        <v>3773.93</v>
      </c>
      <c r="W951">
        <v>12.953796000000001</v>
      </c>
      <c r="X951">
        <v>109.353542</v>
      </c>
      <c r="Y951">
        <v>4.7699999999999996</v>
      </c>
      <c r="Z951">
        <v>12.908752</v>
      </c>
      <c r="AA951">
        <v>109.369775</v>
      </c>
      <c r="AB951" s="5">
        <f t="shared" si="85"/>
        <v>5.6608949999999991</v>
      </c>
      <c r="AC951" s="5">
        <f t="shared" si="86"/>
        <v>7.154999999999999E-3</v>
      </c>
      <c r="AD951" s="1" t="str">
        <f t="shared" si="87"/>
        <v>Đông Hòa</v>
      </c>
      <c r="AE951" s="1" t="str">
        <f t="shared" si="88"/>
        <v>Hòa Xuân</v>
      </c>
      <c r="AG951">
        <f t="shared" si="89"/>
        <v>3.77393</v>
      </c>
      <c r="AH951">
        <f t="shared" si="90"/>
        <v>4.7699999999999999E-3</v>
      </c>
      <c r="AI951">
        <f>VLOOKUP(L951,'[1]Tuyến cáp H04'!$B:$E,3,0)/1000</f>
        <v>11.542999999999999</v>
      </c>
      <c r="AJ951" t="str">
        <f>VLOOKUP(L951,'[1]Tuyến cáp H04'!$B:$E,4,0)</f>
        <v>Mạng cấp 4</v>
      </c>
    </row>
    <row r="952" spans="1:36" x14ac:dyDescent="0.25">
      <c r="A952" s="1" t="s">
        <v>9159</v>
      </c>
      <c r="B952" s="1" t="s">
        <v>9147</v>
      </c>
      <c r="C952" s="1" t="s">
        <v>9148</v>
      </c>
      <c r="D952" s="1" t="s">
        <v>9160</v>
      </c>
      <c r="E952" s="1" t="s">
        <v>9161</v>
      </c>
      <c r="F952" s="1" t="s">
        <v>9162</v>
      </c>
      <c r="G952" s="1" t="s">
        <v>14129</v>
      </c>
      <c r="H952" s="1" t="s">
        <v>14130</v>
      </c>
      <c r="I952" s="1" t="s">
        <v>15064</v>
      </c>
      <c r="J952" s="1" t="s">
        <v>23</v>
      </c>
      <c r="K952" s="1"/>
      <c r="L952" s="1" t="s">
        <v>9150</v>
      </c>
      <c r="M952" s="1" t="s">
        <v>9163</v>
      </c>
      <c r="N952" s="1" t="s">
        <v>9155</v>
      </c>
      <c r="O952" s="1" t="s">
        <v>9156</v>
      </c>
      <c r="P952" s="1" t="s">
        <v>9157</v>
      </c>
      <c r="Q952" s="1" t="s">
        <v>9164</v>
      </c>
      <c r="R952" s="1" t="s">
        <v>9165</v>
      </c>
      <c r="S952" s="1" t="s">
        <v>9166</v>
      </c>
      <c r="T952" s="1" t="s">
        <v>9158</v>
      </c>
      <c r="U952">
        <v>4854.8900000000003</v>
      </c>
      <c r="V952">
        <v>4.7699999999999996</v>
      </c>
      <c r="W952">
        <v>12.908752</v>
      </c>
      <c r="X952">
        <v>109.369775</v>
      </c>
      <c r="Y952">
        <v>4850.12</v>
      </c>
      <c r="Z952">
        <v>12.948195</v>
      </c>
      <c r="AA952">
        <v>109.35910800000001</v>
      </c>
      <c r="AB952" s="5">
        <f t="shared" si="85"/>
        <v>7.154999999999999E-3</v>
      </c>
      <c r="AC952" s="5">
        <f t="shared" si="86"/>
        <v>7.2751800000000006</v>
      </c>
      <c r="AD952" s="1" t="str">
        <f t="shared" si="87"/>
        <v>Đông Hòa</v>
      </c>
      <c r="AE952" s="1" t="str">
        <f t="shared" si="88"/>
        <v>Hòa Xuân</v>
      </c>
      <c r="AG952">
        <f t="shared" si="89"/>
        <v>4.7699999999999999E-3</v>
      </c>
      <c r="AH952">
        <f t="shared" si="90"/>
        <v>4.8501199999999995</v>
      </c>
      <c r="AI952">
        <f>VLOOKUP(L952,'[1]Tuyến cáp H04'!$B:$E,3,0)/1000</f>
        <v>11.542999999999999</v>
      </c>
      <c r="AJ952" t="str">
        <f>VLOOKUP(L952,'[1]Tuyến cáp H04'!$B:$E,4,0)</f>
        <v>Mạng cấp 4</v>
      </c>
    </row>
    <row r="953" spans="1:36" x14ac:dyDescent="0.25">
      <c r="A953" s="1" t="s">
        <v>9167</v>
      </c>
      <c r="B953" s="1" t="s">
        <v>8059</v>
      </c>
      <c r="C953" s="1" t="s">
        <v>8060</v>
      </c>
      <c r="D953" s="1" t="s">
        <v>9168</v>
      </c>
      <c r="E953" s="1" t="s">
        <v>9169</v>
      </c>
      <c r="F953" s="1" t="s">
        <v>9170</v>
      </c>
      <c r="G953" s="1" t="s">
        <v>14129</v>
      </c>
      <c r="H953" s="1" t="s">
        <v>14130</v>
      </c>
      <c r="I953" s="1" t="s">
        <v>15065</v>
      </c>
      <c r="J953" s="1" t="s">
        <v>23</v>
      </c>
      <c r="K953" s="1"/>
      <c r="L953" s="1" t="s">
        <v>9171</v>
      </c>
      <c r="M953" s="1" t="s">
        <v>9172</v>
      </c>
      <c r="N953" s="1" t="s">
        <v>9173</v>
      </c>
      <c r="O953" s="1" t="s">
        <v>9174</v>
      </c>
      <c r="P953" s="1" t="s">
        <v>9175</v>
      </c>
      <c r="Q953" s="1" t="s">
        <v>6748</v>
      </c>
      <c r="R953" s="1" t="s">
        <v>9176</v>
      </c>
      <c r="S953" s="1" t="s">
        <v>9177</v>
      </c>
      <c r="T953" s="1" t="s">
        <v>9178</v>
      </c>
      <c r="U953">
        <v>4456.05</v>
      </c>
      <c r="V953">
        <v>4090.97</v>
      </c>
      <c r="W953">
        <v>12.998060000000001</v>
      </c>
      <c r="X953">
        <v>109.303864</v>
      </c>
      <c r="Y953">
        <v>365.07</v>
      </c>
      <c r="Z953">
        <v>12.993864</v>
      </c>
      <c r="AA953">
        <v>109.330805</v>
      </c>
      <c r="AB953" s="5">
        <f t="shared" si="85"/>
        <v>6.1364549999999998</v>
      </c>
      <c r="AC953" s="5">
        <f t="shared" si="86"/>
        <v>0.54760500000000001</v>
      </c>
      <c r="AD953" s="1" t="str">
        <f t="shared" si="87"/>
        <v>TTCMKV Tây Hòa</v>
      </c>
      <c r="AE953" s="1" t="str">
        <f t="shared" si="88"/>
        <v>Đông Hòa</v>
      </c>
      <c r="AG953">
        <f t="shared" si="89"/>
        <v>4.0909699999999996</v>
      </c>
      <c r="AH953">
        <f t="shared" si="90"/>
        <v>0.36507000000000001</v>
      </c>
      <c r="AI953">
        <f>VLOOKUP(L953,'[1]Tuyến cáp H04'!$B:$E,3,0)/1000</f>
        <v>10.177</v>
      </c>
      <c r="AJ953" t="str">
        <f>VLOOKUP(L953,'[1]Tuyến cáp H04'!$B:$E,4,0)</f>
        <v>Mạng cấp 4</v>
      </c>
    </row>
    <row r="954" spans="1:36" x14ac:dyDescent="0.25">
      <c r="A954" s="1" t="s">
        <v>9179</v>
      </c>
      <c r="B954" s="1" t="s">
        <v>9168</v>
      </c>
      <c r="C954" s="1" t="s">
        <v>9169</v>
      </c>
      <c r="D954" s="1" t="s">
        <v>9180</v>
      </c>
      <c r="E954" s="1" t="s">
        <v>9181</v>
      </c>
      <c r="F954" s="1" t="s">
        <v>9182</v>
      </c>
      <c r="G954" s="1" t="s">
        <v>14129</v>
      </c>
      <c r="H954" s="1" t="s">
        <v>14130</v>
      </c>
      <c r="I954" s="1" t="s">
        <v>15066</v>
      </c>
      <c r="J954" s="1" t="s">
        <v>23</v>
      </c>
      <c r="K954" s="1"/>
      <c r="L954" s="1" t="s">
        <v>9150</v>
      </c>
      <c r="M954" s="1" t="s">
        <v>9183</v>
      </c>
      <c r="N954" s="1" t="s">
        <v>9184</v>
      </c>
      <c r="O954" s="1" t="s">
        <v>9185</v>
      </c>
      <c r="P954" s="1" t="s">
        <v>9186</v>
      </c>
      <c r="Q954" s="1" t="s">
        <v>9187</v>
      </c>
      <c r="R954" s="1" t="s">
        <v>9188</v>
      </c>
      <c r="S954" s="1" t="s">
        <v>9189</v>
      </c>
      <c r="T954" s="1" t="s">
        <v>9158</v>
      </c>
      <c r="U954">
        <v>3130.16</v>
      </c>
      <c r="V954">
        <v>34.04</v>
      </c>
      <c r="W954">
        <v>12.990997999999999</v>
      </c>
      <c r="X954">
        <v>109.331638</v>
      </c>
      <c r="Y954">
        <v>3096.11</v>
      </c>
      <c r="Z954">
        <v>12.973879</v>
      </c>
      <c r="AA954">
        <v>109.337135</v>
      </c>
      <c r="AB954" s="5">
        <f t="shared" si="85"/>
        <v>5.1060000000000001E-2</v>
      </c>
      <c r="AC954" s="5">
        <f t="shared" si="86"/>
        <v>4.6441650000000001</v>
      </c>
      <c r="AD954" s="1" t="str">
        <f t="shared" si="87"/>
        <v>Đông Hòa</v>
      </c>
      <c r="AE954" s="1" t="str">
        <f t="shared" si="88"/>
        <v>Hòa Xuân</v>
      </c>
      <c r="AG954">
        <f t="shared" si="89"/>
        <v>3.4040000000000001E-2</v>
      </c>
      <c r="AH954">
        <f t="shared" si="90"/>
        <v>3.0961099999999999</v>
      </c>
      <c r="AI954">
        <f>VLOOKUP(L954,'[1]Tuyến cáp H04'!$B:$E,3,0)/1000</f>
        <v>11.542999999999999</v>
      </c>
      <c r="AJ954" t="str">
        <f>VLOOKUP(L954,'[1]Tuyến cáp H04'!$B:$E,4,0)</f>
        <v>Mạng cấp 4</v>
      </c>
    </row>
    <row r="955" spans="1:36" x14ac:dyDescent="0.25">
      <c r="A955" s="1" t="s">
        <v>9190</v>
      </c>
      <c r="B955" s="1" t="s">
        <v>9191</v>
      </c>
      <c r="C955" s="1" t="s">
        <v>9192</v>
      </c>
      <c r="D955" s="1" t="s">
        <v>9193</v>
      </c>
      <c r="E955" s="1" t="s">
        <v>9194</v>
      </c>
      <c r="F955" s="1" t="s">
        <v>9195</v>
      </c>
      <c r="G955" s="1" t="s">
        <v>14129</v>
      </c>
      <c r="H955" s="1" t="s">
        <v>14130</v>
      </c>
      <c r="I955" s="1" t="s">
        <v>15067</v>
      </c>
      <c r="J955" s="1" t="s">
        <v>23</v>
      </c>
      <c r="K955" s="1"/>
      <c r="L955" s="1" t="s">
        <v>9196</v>
      </c>
      <c r="M955" s="1" t="s">
        <v>9197</v>
      </c>
      <c r="N955" s="1" t="s">
        <v>9198</v>
      </c>
      <c r="O955" s="1" t="s">
        <v>9199</v>
      </c>
      <c r="P955" s="1" t="s">
        <v>9200</v>
      </c>
      <c r="Q955" s="1" t="s">
        <v>2842</v>
      </c>
      <c r="R955" s="1" t="s">
        <v>9201</v>
      </c>
      <c r="S955" s="1" t="s">
        <v>9202</v>
      </c>
      <c r="T955" s="1" t="s">
        <v>9203</v>
      </c>
      <c r="U955">
        <v>172.82</v>
      </c>
      <c r="V955">
        <v>142.46</v>
      </c>
      <c r="W955">
        <v>12.997871999999999</v>
      </c>
      <c r="X955">
        <v>109.36313800000001</v>
      </c>
      <c r="Y955">
        <v>30.35</v>
      </c>
      <c r="Z955">
        <v>12.997567</v>
      </c>
      <c r="AA955">
        <v>109.370097</v>
      </c>
      <c r="AB955" s="5">
        <f t="shared" si="85"/>
        <v>0.21368999999999999</v>
      </c>
      <c r="AC955" s="5">
        <f t="shared" si="86"/>
        <v>4.5525000000000003E-2</v>
      </c>
      <c r="AD955" s="1" t="str">
        <f t="shared" si="87"/>
        <v>Hòa Hiệp</v>
      </c>
      <c r="AE955" s="1" t="str">
        <f t="shared" si="88"/>
        <v>Hòa Hiệp CS2</v>
      </c>
      <c r="AG955">
        <f t="shared" si="89"/>
        <v>0.14246</v>
      </c>
      <c r="AH955">
        <f t="shared" si="90"/>
        <v>3.0350000000000002E-2</v>
      </c>
      <c r="AI955">
        <f>VLOOKUP(L955,'[1]Tuyến cáp H04'!$B:$E,3,0)/1000</f>
        <v>3.6160000000000001</v>
      </c>
      <c r="AJ955" t="str">
        <f>VLOOKUP(L955,'[1]Tuyến cáp H04'!$B:$E,4,0)</f>
        <v>Mạng cấp 4</v>
      </c>
    </row>
    <row r="956" spans="1:36" x14ac:dyDescent="0.25">
      <c r="A956" s="1" t="s">
        <v>9204</v>
      </c>
      <c r="B956" s="1" t="s">
        <v>9193</v>
      </c>
      <c r="C956" s="1" t="s">
        <v>9194</v>
      </c>
      <c r="D956" s="1" t="s">
        <v>9205</v>
      </c>
      <c r="E956" s="1" t="s">
        <v>9206</v>
      </c>
      <c r="F956" s="1" t="s">
        <v>9207</v>
      </c>
      <c r="G956" s="1" t="s">
        <v>14129</v>
      </c>
      <c r="H956" s="1" t="s">
        <v>14130</v>
      </c>
      <c r="I956" s="1" t="s">
        <v>15068</v>
      </c>
      <c r="J956" s="1" t="s">
        <v>23</v>
      </c>
      <c r="K956" s="1"/>
      <c r="L956" s="1" t="s">
        <v>9208</v>
      </c>
      <c r="M956" s="1" t="s">
        <v>9209</v>
      </c>
      <c r="N956" s="1" t="s">
        <v>9210</v>
      </c>
      <c r="O956" s="1" t="s">
        <v>9211</v>
      </c>
      <c r="P956" s="1" t="s">
        <v>9212</v>
      </c>
      <c r="Q956" s="1" t="s">
        <v>9213</v>
      </c>
      <c r="R956" s="1" t="s">
        <v>9214</v>
      </c>
      <c r="S956" s="1" t="s">
        <v>9215</v>
      </c>
      <c r="T956" s="1" t="s">
        <v>9216</v>
      </c>
      <c r="U956">
        <v>3338.19</v>
      </c>
      <c r="V956">
        <v>769.43</v>
      </c>
      <c r="W956">
        <v>12.998116</v>
      </c>
      <c r="X956">
        <v>109.363004</v>
      </c>
      <c r="Y956">
        <v>2568.7600000000002</v>
      </c>
      <c r="Z956">
        <v>13.050817</v>
      </c>
      <c r="AA956">
        <v>109.347016</v>
      </c>
      <c r="AB956" s="5">
        <f t="shared" si="85"/>
        <v>1.154145</v>
      </c>
      <c r="AC956" s="5">
        <f t="shared" si="86"/>
        <v>3.8531400000000002</v>
      </c>
      <c r="AD956" s="1" t="str">
        <f t="shared" si="87"/>
        <v>Cảng hàng không Tuy Hòa</v>
      </c>
      <c r="AE956" s="1" t="str">
        <f t="shared" si="88"/>
        <v>TTCMKV Đông
 Hòa</v>
      </c>
      <c r="AG956">
        <f t="shared" si="89"/>
        <v>0.76942999999999995</v>
      </c>
      <c r="AH956">
        <f t="shared" si="90"/>
        <v>2.5687600000000002</v>
      </c>
      <c r="AI956" t="e">
        <f>VLOOKUP(L956,'[1]Tuyến cáp H04'!$B:$E,3,0)/1000</f>
        <v>#N/A</v>
      </c>
      <c r="AJ956" t="e">
        <f>VLOOKUP(L956,'[1]Tuyến cáp H04'!$B:$E,4,0)</f>
        <v>#N/A</v>
      </c>
    </row>
    <row r="957" spans="1:36" x14ac:dyDescent="0.25">
      <c r="A957" s="1" t="s">
        <v>9217</v>
      </c>
      <c r="B957" s="1" t="s">
        <v>9218</v>
      </c>
      <c r="C957" s="1" t="s">
        <v>9219</v>
      </c>
      <c r="D957" s="1" t="s">
        <v>8074</v>
      </c>
      <c r="E957" s="1" t="s">
        <v>8075</v>
      </c>
      <c r="F957" s="1" t="s">
        <v>9220</v>
      </c>
      <c r="G957" s="1" t="s">
        <v>14129</v>
      </c>
      <c r="H957" s="1" t="s">
        <v>14130</v>
      </c>
      <c r="I957" s="1" t="s">
        <v>15069</v>
      </c>
      <c r="J957" s="1" t="s">
        <v>23</v>
      </c>
      <c r="K957" s="1"/>
      <c r="L957" s="1" t="s">
        <v>9135</v>
      </c>
      <c r="M957" s="1" t="s">
        <v>9221</v>
      </c>
      <c r="N957" s="1" t="s">
        <v>9222</v>
      </c>
      <c r="O957" s="1" t="s">
        <v>9223</v>
      </c>
      <c r="P957" s="1" t="s">
        <v>9224</v>
      </c>
      <c r="Q957" s="1" t="s">
        <v>9225</v>
      </c>
      <c r="R957" s="1" t="s">
        <v>9226</v>
      </c>
      <c r="S957" s="1" t="s">
        <v>9227</v>
      </c>
      <c r="T957" s="1" t="s">
        <v>9228</v>
      </c>
      <c r="U957">
        <v>2396.39</v>
      </c>
      <c r="V957">
        <v>475.78</v>
      </c>
      <c r="W957">
        <v>13.065352000000001</v>
      </c>
      <c r="X957">
        <v>109.331435</v>
      </c>
      <c r="Y957">
        <v>1920.62</v>
      </c>
      <c r="Z957">
        <v>13.087066999999999</v>
      </c>
      <c r="AA957">
        <v>109.308887</v>
      </c>
      <c r="AB957" s="5">
        <f t="shared" si="85"/>
        <v>0.71366999999999992</v>
      </c>
      <c r="AC957" s="5">
        <f t="shared" si="86"/>
        <v>2.8809299999999998</v>
      </c>
      <c r="AD957" s="1" t="str">
        <f t="shared" si="87"/>
        <v>CAT PHÚ YÊN</v>
      </c>
      <c r="AE957" s="1" t="str">
        <f t="shared" si="88"/>
        <v>Cảng hàng không Tuy Hòa</v>
      </c>
      <c r="AG957">
        <f t="shared" si="89"/>
        <v>0.47577999999999998</v>
      </c>
      <c r="AH957">
        <f t="shared" si="90"/>
        <v>1.92062</v>
      </c>
      <c r="AI957" t="e">
        <f>VLOOKUP(L957,'[1]Tuyến cáp H04'!$B:$E,3,0)/1000</f>
        <v>#N/A</v>
      </c>
      <c r="AJ957" t="e">
        <f>VLOOKUP(L957,'[1]Tuyến cáp H04'!$B:$E,4,0)</f>
        <v>#N/A</v>
      </c>
    </row>
    <row r="958" spans="1:36" x14ac:dyDescent="0.25">
      <c r="A958" s="1" t="s">
        <v>9229</v>
      </c>
      <c r="B958" s="1" t="s">
        <v>9230</v>
      </c>
      <c r="C958" s="1" t="s">
        <v>9231</v>
      </c>
      <c r="D958" s="1" t="s">
        <v>8061</v>
      </c>
      <c r="E958" s="1" t="s">
        <v>8062</v>
      </c>
      <c r="F958" s="1" t="s">
        <v>9232</v>
      </c>
      <c r="G958" s="1" t="s">
        <v>14129</v>
      </c>
      <c r="H958" s="1" t="s">
        <v>14130</v>
      </c>
      <c r="I958" s="1" t="s">
        <v>15070</v>
      </c>
      <c r="J958" s="1" t="s">
        <v>23</v>
      </c>
      <c r="K958" s="1"/>
      <c r="L958" s="1" t="s">
        <v>9233</v>
      </c>
      <c r="M958" s="1" t="s">
        <v>9234</v>
      </c>
      <c r="N958" s="1" t="s">
        <v>9235</v>
      </c>
      <c r="O958" s="1" t="s">
        <v>9236</v>
      </c>
      <c r="P958" s="1" t="s">
        <v>9237</v>
      </c>
      <c r="Q958" s="1" t="s">
        <v>9238</v>
      </c>
      <c r="R958" s="1" t="s">
        <v>9239</v>
      </c>
      <c r="S958" s="1" t="s">
        <v>9240</v>
      </c>
      <c r="T958" s="1" t="s">
        <v>9241</v>
      </c>
      <c r="U958">
        <v>387.99</v>
      </c>
      <c r="V958">
        <v>235.18</v>
      </c>
      <c r="W958">
        <v>12.990932000000001</v>
      </c>
      <c r="X958">
        <v>109.129245</v>
      </c>
      <c r="Y958">
        <v>152.82</v>
      </c>
      <c r="Z958">
        <v>12.983090000000001</v>
      </c>
      <c r="AA958">
        <v>109.095788</v>
      </c>
      <c r="AB958" s="5">
        <f t="shared" si="85"/>
        <v>0.35276999999999997</v>
      </c>
      <c r="AC958" s="5">
        <f t="shared" si="86"/>
        <v>0.22922999999999999</v>
      </c>
      <c r="AD958" s="1" t="str">
        <f t="shared" si="87"/>
        <v>Sơn Thành</v>
      </c>
      <c r="AE958" s="1" t="str">
        <f t="shared" si="88"/>
        <v>Hòa Mỹ</v>
      </c>
      <c r="AG958">
        <f t="shared" si="89"/>
        <v>0.23518</v>
      </c>
      <c r="AH958">
        <f t="shared" si="90"/>
        <v>0.15281999999999998</v>
      </c>
      <c r="AI958">
        <f>VLOOKUP(L958,'[1]Tuyến cáp H04'!$B:$E,3,0)/1000</f>
        <v>11.445</v>
      </c>
      <c r="AJ958" t="str">
        <f>VLOOKUP(L958,'[1]Tuyến cáp H04'!$B:$E,4,0)</f>
        <v>Mạng cấp 4</v>
      </c>
    </row>
    <row r="959" spans="1:36" x14ac:dyDescent="0.25">
      <c r="A959" s="1" t="s">
        <v>9242</v>
      </c>
      <c r="B959" s="1" t="s">
        <v>9243</v>
      </c>
      <c r="C959" s="1" t="s">
        <v>9244</v>
      </c>
      <c r="D959" s="1" t="s">
        <v>9245</v>
      </c>
      <c r="E959" s="1" t="s">
        <v>9246</v>
      </c>
      <c r="F959" s="1" t="s">
        <v>9247</v>
      </c>
      <c r="G959" s="1" t="s">
        <v>14129</v>
      </c>
      <c r="H959" s="1" t="s">
        <v>14130</v>
      </c>
      <c r="I959" s="1" t="s">
        <v>15071</v>
      </c>
      <c r="J959" s="1" t="s">
        <v>23</v>
      </c>
      <c r="K959" s="1"/>
      <c r="L959" s="1" t="s">
        <v>9248</v>
      </c>
      <c r="M959" s="1" t="s">
        <v>9249</v>
      </c>
      <c r="N959" s="1" t="s">
        <v>9250</v>
      </c>
      <c r="O959" s="1" t="s">
        <v>9251</v>
      </c>
      <c r="P959" s="1" t="s">
        <v>9252</v>
      </c>
      <c r="Q959" s="1" t="s">
        <v>9253</v>
      </c>
      <c r="R959" s="1" t="s">
        <v>9254</v>
      </c>
      <c r="S959" s="1" t="s">
        <v>9255</v>
      </c>
      <c r="T959" s="1" t="s">
        <v>9256</v>
      </c>
      <c r="U959">
        <v>5803.89</v>
      </c>
      <c r="V959">
        <v>2824.82</v>
      </c>
      <c r="W959">
        <v>12.997173999999999</v>
      </c>
      <c r="X959">
        <v>109.25207399999999</v>
      </c>
      <c r="Y959">
        <v>2979.08</v>
      </c>
      <c r="Z959">
        <v>12.957407999999999</v>
      </c>
      <c r="AA959">
        <v>109.22835600000001</v>
      </c>
      <c r="AB959" s="5">
        <f t="shared" si="85"/>
        <v>4.2372300000000003</v>
      </c>
      <c r="AC959" s="5">
        <f t="shared" si="86"/>
        <v>4.4686199999999996</v>
      </c>
      <c r="AD959" s="1" t="str">
        <f t="shared" si="87"/>
        <v>Hòa Thịnh</v>
      </c>
      <c r="AE959" s="1" t="str">
        <f t="shared" si="88"/>
        <v>TTCMKV Tây Hòa</v>
      </c>
      <c r="AG959">
        <f t="shared" si="89"/>
        <v>2.8248200000000003</v>
      </c>
      <c r="AH959">
        <f t="shared" si="90"/>
        <v>2.9790799999999997</v>
      </c>
      <c r="AI959">
        <f>VLOOKUP(L959,'[1]Tuyến cáp H04'!$B:$E,3,0)/1000</f>
        <v>10.246</v>
      </c>
      <c r="AJ959" t="str">
        <f>VLOOKUP(L959,'[1]Tuyến cáp H04'!$B:$E,4,0)</f>
        <v>Mạng cấp 4</v>
      </c>
    </row>
    <row r="960" spans="1:36" x14ac:dyDescent="0.25">
      <c r="A960" s="1" t="s">
        <v>9257</v>
      </c>
      <c r="B960" s="1" t="s">
        <v>9245</v>
      </c>
      <c r="C960" s="1" t="s">
        <v>9246</v>
      </c>
      <c r="D960" s="1" t="s">
        <v>9258</v>
      </c>
      <c r="E960" s="1" t="s">
        <v>9259</v>
      </c>
      <c r="F960" s="1" t="s">
        <v>9260</v>
      </c>
      <c r="G960" s="1" t="s">
        <v>14129</v>
      </c>
      <c r="H960" s="1" t="s">
        <v>14130</v>
      </c>
      <c r="I960" s="1" t="s">
        <v>15072</v>
      </c>
      <c r="J960" s="1" t="s">
        <v>23</v>
      </c>
      <c r="K960" s="1"/>
      <c r="L960" s="1" t="s">
        <v>9261</v>
      </c>
      <c r="M960" s="1" t="s">
        <v>9262</v>
      </c>
      <c r="N960" s="1" t="s">
        <v>9263</v>
      </c>
      <c r="O960" s="1" t="s">
        <v>9264</v>
      </c>
      <c r="P960" s="1" t="s">
        <v>9265</v>
      </c>
      <c r="Q960" s="1" t="s">
        <v>9266</v>
      </c>
      <c r="R960" s="1" t="s">
        <v>9267</v>
      </c>
      <c r="S960" s="1" t="s">
        <v>9268</v>
      </c>
      <c r="T960" s="1" t="s">
        <v>9269</v>
      </c>
      <c r="U960">
        <v>1229.79</v>
      </c>
      <c r="V960">
        <v>1217.93</v>
      </c>
      <c r="W960">
        <v>12.936411</v>
      </c>
      <c r="X960">
        <v>109.22854100000001</v>
      </c>
      <c r="Y960">
        <v>11.86</v>
      </c>
      <c r="Z960">
        <v>12.964506</v>
      </c>
      <c r="AA960">
        <v>109.18393500000001</v>
      </c>
      <c r="AB960" s="5">
        <f t="shared" si="85"/>
        <v>1.8268949999999999</v>
      </c>
      <c r="AC960" s="5">
        <f t="shared" si="86"/>
        <v>1.779E-2</v>
      </c>
      <c r="AD960" s="1" t="str">
        <f t="shared" si="87"/>
        <v>Hòa Mỹ</v>
      </c>
      <c r="AE960" s="1" t="str">
        <f t="shared" si="88"/>
        <v>Hòa Thịnh</v>
      </c>
      <c r="AG960">
        <f t="shared" si="89"/>
        <v>1.21793</v>
      </c>
      <c r="AH960">
        <f t="shared" si="90"/>
        <v>1.1859999999999999E-2</v>
      </c>
      <c r="AI960">
        <f>VLOOKUP(L960,'[1]Tuyến cáp H04'!$B:$E,3,0)/1000</f>
        <v>13.688000000000001</v>
      </c>
      <c r="AJ960" t="str">
        <f>VLOOKUP(L960,'[1]Tuyến cáp H04'!$B:$E,4,0)</f>
        <v>Mạng cấp 4</v>
      </c>
    </row>
    <row r="961" spans="1:36" x14ac:dyDescent="0.25">
      <c r="A961" s="1" t="s">
        <v>9270</v>
      </c>
      <c r="B961" s="1" t="s">
        <v>9258</v>
      </c>
      <c r="C961" s="1" t="s">
        <v>9259</v>
      </c>
      <c r="D961" s="1" t="s">
        <v>8061</v>
      </c>
      <c r="E961" s="1" t="s">
        <v>8062</v>
      </c>
      <c r="F961" s="1" t="s">
        <v>9271</v>
      </c>
      <c r="G961" s="1" t="s">
        <v>14129</v>
      </c>
      <c r="H961" s="1" t="s">
        <v>14130</v>
      </c>
      <c r="I961" s="1" t="s">
        <v>15073</v>
      </c>
      <c r="J961" s="1" t="s">
        <v>23</v>
      </c>
      <c r="K961" s="1"/>
      <c r="L961" s="1" t="s">
        <v>8064</v>
      </c>
      <c r="M961" s="1" t="s">
        <v>9272</v>
      </c>
      <c r="N961" s="1" t="s">
        <v>9273</v>
      </c>
      <c r="O961" s="1" t="s">
        <v>9274</v>
      </c>
      <c r="P961" s="1" t="s">
        <v>9275</v>
      </c>
      <c r="Q961" s="1" t="s">
        <v>8069</v>
      </c>
      <c r="R961" s="1" t="s">
        <v>8070</v>
      </c>
      <c r="S961" s="1" t="s">
        <v>8071</v>
      </c>
      <c r="T961" s="1" t="s">
        <v>8072</v>
      </c>
      <c r="U961">
        <v>2614.81</v>
      </c>
      <c r="V961">
        <v>2463.61</v>
      </c>
      <c r="W961">
        <v>12.979671</v>
      </c>
      <c r="X961">
        <v>109.167378</v>
      </c>
      <c r="Y961">
        <v>151.21</v>
      </c>
      <c r="Z961">
        <v>12.983107</v>
      </c>
      <c r="AA961">
        <v>109.095792</v>
      </c>
      <c r="AB961" s="5">
        <f t="shared" si="85"/>
        <v>3.6954150000000001</v>
      </c>
      <c r="AC961" s="5">
        <f t="shared" si="86"/>
        <v>0.22681499999999999</v>
      </c>
      <c r="AD961" s="1" t="str">
        <f t="shared" si="87"/>
        <v>ILA Sơn Thành</v>
      </c>
      <c r="AE961" s="1" t="str">
        <f t="shared" si="88"/>
        <v>TT2 Đăk Lăk (Tuy Hòa)</v>
      </c>
      <c r="AG961">
        <f t="shared" si="89"/>
        <v>2.4636100000000001</v>
      </c>
      <c r="AH961">
        <f t="shared" si="90"/>
        <v>0.15121000000000001</v>
      </c>
      <c r="AI961" t="e">
        <f>VLOOKUP(L961,'[1]Tuyến cáp H04'!$B:$E,3,0)/1000</f>
        <v>#N/A</v>
      </c>
      <c r="AJ961" t="e">
        <f>VLOOKUP(L961,'[1]Tuyến cáp H04'!$B:$E,4,0)</f>
        <v>#N/A</v>
      </c>
    </row>
    <row r="962" spans="1:36" x14ac:dyDescent="0.25">
      <c r="A962" s="1" t="s">
        <v>9276</v>
      </c>
      <c r="B962" s="1" t="s">
        <v>9277</v>
      </c>
      <c r="C962" s="1" t="s">
        <v>9278</v>
      </c>
      <c r="D962" s="1" t="s">
        <v>8061</v>
      </c>
      <c r="E962" s="1" t="s">
        <v>8062</v>
      </c>
      <c r="F962" s="1" t="s">
        <v>9279</v>
      </c>
      <c r="G962" s="1" t="s">
        <v>14129</v>
      </c>
      <c r="H962" s="1" t="s">
        <v>14130</v>
      </c>
      <c r="I962" s="1" t="s">
        <v>15074</v>
      </c>
      <c r="J962" s="1" t="s">
        <v>23</v>
      </c>
      <c r="K962" s="1"/>
      <c r="L962" s="1" t="s">
        <v>8064</v>
      </c>
      <c r="M962" s="1" t="s">
        <v>9280</v>
      </c>
      <c r="N962" s="1" t="s">
        <v>9281</v>
      </c>
      <c r="O962" s="1" t="s">
        <v>9282</v>
      </c>
      <c r="P962" s="1" t="s">
        <v>9283</v>
      </c>
      <c r="Q962" s="1" t="s">
        <v>8069</v>
      </c>
      <c r="R962" s="1" t="s">
        <v>8070</v>
      </c>
      <c r="S962" s="1" t="s">
        <v>8071</v>
      </c>
      <c r="T962" s="1" t="s">
        <v>8072</v>
      </c>
      <c r="U962">
        <v>4957.51</v>
      </c>
      <c r="V962">
        <v>4806.3</v>
      </c>
      <c r="W962">
        <v>12.975726</v>
      </c>
      <c r="X962">
        <v>109.157507</v>
      </c>
      <c r="Y962">
        <v>151.21</v>
      </c>
      <c r="Z962">
        <v>12.983107</v>
      </c>
      <c r="AA962">
        <v>109.095792</v>
      </c>
      <c r="AB962" s="5">
        <f t="shared" si="85"/>
        <v>7.2094500000000004</v>
      </c>
      <c r="AC962" s="5">
        <f t="shared" si="86"/>
        <v>0.22681499999999999</v>
      </c>
      <c r="AD962" s="1" t="str">
        <f t="shared" si="87"/>
        <v>ILA Sơn Thành</v>
      </c>
      <c r="AE962" s="1" t="str">
        <f t="shared" si="88"/>
        <v>TT2 Đăk Lăk (Tuy Hòa)</v>
      </c>
      <c r="AG962">
        <f t="shared" si="89"/>
        <v>4.8063000000000002</v>
      </c>
      <c r="AH962">
        <f t="shared" si="90"/>
        <v>0.15121000000000001</v>
      </c>
      <c r="AI962" t="e">
        <f>VLOOKUP(L962,'[1]Tuyến cáp H04'!$B:$E,3,0)/1000</f>
        <v>#N/A</v>
      </c>
      <c r="AJ962" t="e">
        <f>VLOOKUP(L962,'[1]Tuyến cáp H04'!$B:$E,4,0)</f>
        <v>#N/A</v>
      </c>
    </row>
    <row r="963" spans="1:36" x14ac:dyDescent="0.25">
      <c r="A963" s="1" t="s">
        <v>9284</v>
      </c>
      <c r="B963" s="1" t="s">
        <v>8061</v>
      </c>
      <c r="C963" s="1" t="s">
        <v>8062</v>
      </c>
      <c r="D963" s="1" t="s">
        <v>9285</v>
      </c>
      <c r="E963" s="1" t="s">
        <v>9286</v>
      </c>
      <c r="F963" s="1" t="s">
        <v>9287</v>
      </c>
      <c r="G963" s="1" t="s">
        <v>14129</v>
      </c>
      <c r="H963" s="1" t="s">
        <v>14130</v>
      </c>
      <c r="I963" s="1" t="s">
        <v>15075</v>
      </c>
      <c r="J963" s="1" t="s">
        <v>23</v>
      </c>
      <c r="K963" s="1"/>
      <c r="L963" s="1" t="s">
        <v>9288</v>
      </c>
      <c r="M963" s="1" t="s">
        <v>9289</v>
      </c>
      <c r="N963" s="1" t="s">
        <v>9290</v>
      </c>
      <c r="O963" s="1" t="s">
        <v>9291</v>
      </c>
      <c r="P963" s="1" t="s">
        <v>9292</v>
      </c>
      <c r="Q963" s="1" t="s">
        <v>9293</v>
      </c>
      <c r="R963" s="1" t="s">
        <v>9294</v>
      </c>
      <c r="S963" s="1" t="s">
        <v>9295</v>
      </c>
      <c r="T963" s="1" t="s">
        <v>9296</v>
      </c>
      <c r="U963">
        <v>155.02000000000001</v>
      </c>
      <c r="V963">
        <v>109.65</v>
      </c>
      <c r="W963">
        <v>12.984125000000001</v>
      </c>
      <c r="X963">
        <v>109.09434</v>
      </c>
      <c r="Y963">
        <v>45.37</v>
      </c>
      <c r="Z963">
        <v>12.963513000000001</v>
      </c>
      <c r="AA963">
        <v>109.054197</v>
      </c>
      <c r="AB963" s="5">
        <f t="shared" ref="AB963:AB1026" si="91">V963*1.5/1000</f>
        <v>0.16447500000000001</v>
      </c>
      <c r="AC963" s="5">
        <f t="shared" ref="AC963:AC1026" si="92">Y963*1.5/1000</f>
        <v>6.8054999999999991E-2</v>
      </c>
      <c r="AD963" s="1" t="str">
        <f t="shared" ref="AD963:AD1026" si="93">TRIM(LEFT(L963,FIND("-",L963)-1))</f>
        <v>Đức Bình</v>
      </c>
      <c r="AE963" s="1" t="str">
        <f t="shared" ref="AE963:AE1026" si="94">TRIM(RIGHT(L963, LEN(L963) - FIND("-", L963)))</f>
        <v>Sơn Thành</v>
      </c>
      <c r="AG963">
        <f t="shared" ref="AG963:AG1026" si="95">V963/1000</f>
        <v>0.10965000000000001</v>
      </c>
      <c r="AH963">
        <f t="shared" ref="AH963:AH1026" si="96">Y963/1000</f>
        <v>4.5370000000000001E-2</v>
      </c>
      <c r="AI963">
        <f>VLOOKUP(L963,'[1]Tuyến cáp H04'!$B:$E,3,0)/1000</f>
        <v>27.661999999999999</v>
      </c>
      <c r="AJ963" t="str">
        <f>VLOOKUP(L963,'[1]Tuyến cáp H04'!$B:$E,4,0)</f>
        <v>Mạng cấp 4</v>
      </c>
    </row>
    <row r="964" spans="1:36" x14ac:dyDescent="0.25">
      <c r="A964" s="1" t="s">
        <v>9297</v>
      </c>
      <c r="B964" s="1" t="s">
        <v>9285</v>
      </c>
      <c r="C964" s="1" t="s">
        <v>9286</v>
      </c>
      <c r="D964" s="1" t="s">
        <v>8061</v>
      </c>
      <c r="E964" s="1" t="s">
        <v>8062</v>
      </c>
      <c r="F964" s="1" t="s">
        <v>9298</v>
      </c>
      <c r="G964" s="1" t="s">
        <v>14129</v>
      </c>
      <c r="H964" s="1" t="s">
        <v>14130</v>
      </c>
      <c r="I964" s="1" t="s">
        <v>15076</v>
      </c>
      <c r="J964" s="1" t="s">
        <v>23</v>
      </c>
      <c r="K964" s="1"/>
      <c r="L964" s="1" t="s">
        <v>9288</v>
      </c>
      <c r="M964" s="1" t="s">
        <v>9289</v>
      </c>
      <c r="N964" s="1" t="s">
        <v>9293</v>
      </c>
      <c r="O964" s="1" t="s">
        <v>9294</v>
      </c>
      <c r="P964" s="1" t="s">
        <v>9295</v>
      </c>
      <c r="Q964" s="1" t="s">
        <v>9290</v>
      </c>
      <c r="R964" s="1" t="s">
        <v>9291</v>
      </c>
      <c r="S964" s="1" t="s">
        <v>9292</v>
      </c>
      <c r="T964" s="1" t="s">
        <v>9296</v>
      </c>
      <c r="U964">
        <v>155.02000000000001</v>
      </c>
      <c r="V964">
        <v>45.37</v>
      </c>
      <c r="W964">
        <v>12.963513000000001</v>
      </c>
      <c r="X964">
        <v>109.054197</v>
      </c>
      <c r="Y964">
        <v>109.65</v>
      </c>
      <c r="Z964">
        <v>12.984125000000001</v>
      </c>
      <c r="AA964">
        <v>109.09434</v>
      </c>
      <c r="AB964" s="5">
        <f t="shared" si="91"/>
        <v>6.8054999999999991E-2</v>
      </c>
      <c r="AC964" s="5">
        <f t="shared" si="92"/>
        <v>0.16447500000000001</v>
      </c>
      <c r="AD964" s="1" t="str">
        <f t="shared" si="93"/>
        <v>Đức Bình</v>
      </c>
      <c r="AE964" s="1" t="str">
        <f t="shared" si="94"/>
        <v>Sơn Thành</v>
      </c>
      <c r="AG964">
        <f t="shared" si="95"/>
        <v>4.5370000000000001E-2</v>
      </c>
      <c r="AH964">
        <f t="shared" si="96"/>
        <v>0.10965000000000001</v>
      </c>
      <c r="AI964">
        <f>VLOOKUP(L964,'[1]Tuyến cáp H04'!$B:$E,3,0)/1000</f>
        <v>27.661999999999999</v>
      </c>
      <c r="AJ964" t="str">
        <f>VLOOKUP(L964,'[1]Tuyến cáp H04'!$B:$E,4,0)</f>
        <v>Mạng cấp 4</v>
      </c>
    </row>
    <row r="965" spans="1:36" x14ac:dyDescent="0.25">
      <c r="A965" s="1" t="s">
        <v>9299</v>
      </c>
      <c r="B965" s="1" t="s">
        <v>9300</v>
      </c>
      <c r="C965" s="1" t="s">
        <v>9301</v>
      </c>
      <c r="D965" s="1" t="s">
        <v>9302</v>
      </c>
      <c r="E965" s="1" t="s">
        <v>9303</v>
      </c>
      <c r="F965" s="1" t="s">
        <v>9304</v>
      </c>
      <c r="G965" s="1" t="s">
        <v>14129</v>
      </c>
      <c r="H965" s="1" t="s">
        <v>14130</v>
      </c>
      <c r="I965" s="1" t="s">
        <v>15077</v>
      </c>
      <c r="J965" s="1" t="s">
        <v>23</v>
      </c>
      <c r="K965" s="1"/>
      <c r="L965" s="1" t="s">
        <v>9305</v>
      </c>
      <c r="M965" s="1" t="s">
        <v>9306</v>
      </c>
      <c r="N965" s="1" t="s">
        <v>9307</v>
      </c>
      <c r="O965" s="1" t="s">
        <v>9308</v>
      </c>
      <c r="P965" s="1" t="s">
        <v>9309</v>
      </c>
      <c r="Q965" s="1" t="s">
        <v>9310</v>
      </c>
      <c r="R965" s="1" t="s">
        <v>9311</v>
      </c>
      <c r="S965" s="1" t="s">
        <v>9312</v>
      </c>
      <c r="T965" s="1" t="s">
        <v>9313</v>
      </c>
      <c r="U965">
        <v>131.52000000000001</v>
      </c>
      <c r="V965">
        <v>104.16</v>
      </c>
      <c r="W965">
        <v>13.085635</v>
      </c>
      <c r="X965">
        <v>108.955135</v>
      </c>
      <c r="Y965">
        <v>27.36</v>
      </c>
      <c r="Z965">
        <v>13.049846000000001</v>
      </c>
      <c r="AA965">
        <v>108.978668</v>
      </c>
      <c r="AB965" s="5">
        <f t="shared" si="91"/>
        <v>0.15624000000000002</v>
      </c>
      <c r="AC965" s="5">
        <f t="shared" si="92"/>
        <v>4.104E-2</v>
      </c>
      <c r="AD965" s="1" t="str">
        <f t="shared" si="93"/>
        <v>Suối Trai</v>
      </c>
      <c r="AE965" s="1" t="str">
        <f t="shared" si="94"/>
        <v>Sơn Hòa</v>
      </c>
      <c r="AG965">
        <f t="shared" si="95"/>
        <v>0.10416</v>
      </c>
      <c r="AH965">
        <f t="shared" si="96"/>
        <v>2.7359999999999999E-2</v>
      </c>
      <c r="AI965">
        <f>VLOOKUP(L965,'[1]Tuyến cáp H04'!$B:$E,3,0)/1000</f>
        <v>14.349</v>
      </c>
      <c r="AJ965" t="str">
        <f>VLOOKUP(L965,'[1]Tuyến cáp H04'!$B:$E,4,0)</f>
        <v>Mạng cấp 4</v>
      </c>
    </row>
    <row r="966" spans="1:36" x14ac:dyDescent="0.25">
      <c r="A966" s="1" t="s">
        <v>9314</v>
      </c>
      <c r="B966" s="1" t="s">
        <v>9302</v>
      </c>
      <c r="C966" s="1" t="s">
        <v>9303</v>
      </c>
      <c r="D966" s="1" t="s">
        <v>8080</v>
      </c>
      <c r="E966" s="1" t="s">
        <v>8081</v>
      </c>
      <c r="F966" s="1" t="s">
        <v>9315</v>
      </c>
      <c r="G966" s="1" t="s">
        <v>14129</v>
      </c>
      <c r="H966" s="1" t="s">
        <v>14130</v>
      </c>
      <c r="I966" s="1" t="s">
        <v>15078</v>
      </c>
      <c r="J966" s="1" t="s">
        <v>23</v>
      </c>
      <c r="K966" s="1"/>
      <c r="L966" s="1" t="s">
        <v>9316</v>
      </c>
      <c r="M966" s="1" t="s">
        <v>9317</v>
      </c>
      <c r="N966" s="1" t="s">
        <v>9318</v>
      </c>
      <c r="O966" s="1" t="s">
        <v>9319</v>
      </c>
      <c r="P966" s="1" t="s">
        <v>9320</v>
      </c>
      <c r="Q966" s="1" t="s">
        <v>9321</v>
      </c>
      <c r="R966" s="1" t="s">
        <v>9322</v>
      </c>
      <c r="S966" s="1" t="s">
        <v>9323</v>
      </c>
      <c r="T966" s="1" t="s">
        <v>9324</v>
      </c>
      <c r="U966">
        <v>244.22</v>
      </c>
      <c r="V966">
        <v>26.55</v>
      </c>
      <c r="W966">
        <v>13.049868999999999</v>
      </c>
      <c r="X966">
        <v>108.97868800000001</v>
      </c>
      <c r="Y966">
        <v>217.67</v>
      </c>
      <c r="Z966">
        <v>13.065547</v>
      </c>
      <c r="AA966">
        <v>109.024782</v>
      </c>
      <c r="AB966" s="5">
        <f t="shared" si="91"/>
        <v>3.9825000000000006E-2</v>
      </c>
      <c r="AC966" s="5">
        <f t="shared" si="92"/>
        <v>0.32650499999999999</v>
      </c>
      <c r="AD966" s="1" t="str">
        <f t="shared" si="93"/>
        <v>Sơn Hòa</v>
      </c>
      <c r="AE966" s="1" t="str">
        <f t="shared" si="94"/>
        <v>CAX Sơn Định (Sơn Hòa)</v>
      </c>
      <c r="AG966">
        <f t="shared" si="95"/>
        <v>2.6550000000000001E-2</v>
      </c>
      <c r="AH966">
        <f t="shared" si="96"/>
        <v>0.21766999999999997</v>
      </c>
      <c r="AI966">
        <f>VLOOKUP(L966,'[1]Tuyến cáp H04'!$B:$E,3,0)/1000</f>
        <v>38.549999999999997</v>
      </c>
      <c r="AJ966" t="str">
        <f>VLOOKUP(L966,'[1]Tuyến cáp H04'!$B:$E,4,0)</f>
        <v>Mạng cấp 3</v>
      </c>
    </row>
    <row r="967" spans="1:36" x14ac:dyDescent="0.25">
      <c r="A967" s="1" t="s">
        <v>9325</v>
      </c>
      <c r="B967" s="1" t="s">
        <v>9326</v>
      </c>
      <c r="C967" s="1" t="s">
        <v>9327</v>
      </c>
      <c r="D967" s="1" t="s">
        <v>8082</v>
      </c>
      <c r="E967" s="1" t="s">
        <v>8083</v>
      </c>
      <c r="F967" s="1" t="s">
        <v>9328</v>
      </c>
      <c r="G967" s="1" t="s">
        <v>14129</v>
      </c>
      <c r="H967" s="1" t="s">
        <v>14130</v>
      </c>
      <c r="I967" s="1" t="s">
        <v>15079</v>
      </c>
      <c r="J967" s="1" t="s">
        <v>23</v>
      </c>
      <c r="K967" s="1"/>
      <c r="L967" s="1" t="s">
        <v>8096</v>
      </c>
      <c r="M967" s="1" t="s">
        <v>9329</v>
      </c>
      <c r="N967" s="1" t="s">
        <v>9330</v>
      </c>
      <c r="O967" s="1" t="s">
        <v>9331</v>
      </c>
      <c r="P967" s="1" t="s">
        <v>9332</v>
      </c>
      <c r="Q967" s="1" t="s">
        <v>8098</v>
      </c>
      <c r="R967" s="1" t="s">
        <v>8099</v>
      </c>
      <c r="S967" s="1" t="s">
        <v>8100</v>
      </c>
      <c r="T967" s="1" t="s">
        <v>8104</v>
      </c>
      <c r="U967">
        <v>677.65</v>
      </c>
      <c r="V967">
        <v>144.37</v>
      </c>
      <c r="W967">
        <v>13.011044999999999</v>
      </c>
      <c r="X967">
        <v>109.162729</v>
      </c>
      <c r="Y967">
        <v>533.28</v>
      </c>
      <c r="Z967">
        <v>13.018408000000001</v>
      </c>
      <c r="AA967">
        <v>109.20801899999999</v>
      </c>
      <c r="AB967" s="5">
        <f t="shared" si="91"/>
        <v>0.216555</v>
      </c>
      <c r="AC967" s="5">
        <f t="shared" si="92"/>
        <v>0.79991999999999996</v>
      </c>
      <c r="AD967" s="1" t="str">
        <f t="shared" si="93"/>
        <v>Tuy Hòa</v>
      </c>
      <c r="AE967" s="1" t="str">
        <f t="shared" si="94"/>
        <v>Sơn Hòa</v>
      </c>
      <c r="AG967">
        <f t="shared" si="95"/>
        <v>0.14437</v>
      </c>
      <c r="AH967">
        <f t="shared" si="96"/>
        <v>0.53327999999999998</v>
      </c>
      <c r="AI967">
        <f>VLOOKUP(L967,'[1]Tuyến cáp H04'!$B:$E,3,0)/1000</f>
        <v>46.665999999999997</v>
      </c>
      <c r="AJ967" t="str">
        <f>VLOOKUP(L967,'[1]Tuyến cáp H04'!$B:$E,4,0)</f>
        <v>Mạng cấp 3</v>
      </c>
    </row>
    <row r="968" spans="1:36" x14ac:dyDescent="0.25">
      <c r="A968" s="1" t="s">
        <v>9333</v>
      </c>
      <c r="B968" s="1" t="s">
        <v>8082</v>
      </c>
      <c r="C968" s="1" t="s">
        <v>8083</v>
      </c>
      <c r="D968" s="1" t="s">
        <v>9334</v>
      </c>
      <c r="E968" s="1" t="s">
        <v>9335</v>
      </c>
      <c r="F968" s="1" t="s">
        <v>9336</v>
      </c>
      <c r="G968" s="1" t="s">
        <v>14129</v>
      </c>
      <c r="H968" s="1" t="s">
        <v>14130</v>
      </c>
      <c r="I968" s="1" t="s">
        <v>15080</v>
      </c>
      <c r="J968" s="1" t="s">
        <v>23</v>
      </c>
      <c r="K968" s="1"/>
      <c r="L968" s="1" t="s">
        <v>9337</v>
      </c>
      <c r="M968" s="1" t="s">
        <v>9338</v>
      </c>
      <c r="N968" s="1" t="s">
        <v>9339</v>
      </c>
      <c r="O968" s="1" t="s">
        <v>9340</v>
      </c>
      <c r="P968" s="1" t="s">
        <v>9341</v>
      </c>
      <c r="Q968" s="1" t="s">
        <v>9342</v>
      </c>
      <c r="R968" s="1" t="s">
        <v>9343</v>
      </c>
      <c r="S968" s="1" t="s">
        <v>9344</v>
      </c>
      <c r="T968" s="1" t="s">
        <v>9345</v>
      </c>
      <c r="U968">
        <v>3389.35</v>
      </c>
      <c r="V968">
        <v>147.21</v>
      </c>
      <c r="W968">
        <v>13.023840999999999</v>
      </c>
      <c r="X968">
        <v>109.20587399999999</v>
      </c>
      <c r="Y968">
        <v>3242.14</v>
      </c>
      <c r="Z968">
        <v>13.028377000000001</v>
      </c>
      <c r="AA968">
        <v>109.20417</v>
      </c>
      <c r="AB968" s="5">
        <f t="shared" si="91"/>
        <v>0.22081500000000001</v>
      </c>
      <c r="AC968" s="5">
        <f t="shared" si="92"/>
        <v>4.8632100000000005</v>
      </c>
      <c r="AD968" s="1" t="str">
        <f t="shared" si="93"/>
        <v>TTCMKV Phú Hòa</v>
      </c>
      <c r="AE968" s="1" t="str">
        <f t="shared" si="94"/>
        <v>Phú Hòa 2</v>
      </c>
      <c r="AG968">
        <f t="shared" si="95"/>
        <v>0.14721000000000001</v>
      </c>
      <c r="AH968">
        <f t="shared" si="96"/>
        <v>3.24214</v>
      </c>
      <c r="AI968">
        <f>VLOOKUP(L968,'[1]Tuyến cáp H04'!$B:$E,3,0)/1000</f>
        <v>14.364000000000001</v>
      </c>
      <c r="AJ968" t="str">
        <f>VLOOKUP(L968,'[1]Tuyến cáp H04'!$B:$E,4,0)</f>
        <v>Mạng cấp 4</v>
      </c>
    </row>
    <row r="969" spans="1:36" x14ac:dyDescent="0.25">
      <c r="A969" s="1" t="s">
        <v>9346</v>
      </c>
      <c r="B969" s="1" t="s">
        <v>9347</v>
      </c>
      <c r="C969" s="1" t="s">
        <v>9348</v>
      </c>
      <c r="D969" s="1" t="s">
        <v>8074</v>
      </c>
      <c r="E969" s="1" t="s">
        <v>8075</v>
      </c>
      <c r="F969" s="1" t="s">
        <v>9349</v>
      </c>
      <c r="G969" s="1" t="s">
        <v>14129</v>
      </c>
      <c r="H969" s="1" t="s">
        <v>14130</v>
      </c>
      <c r="I969" s="1" t="s">
        <v>15081</v>
      </c>
      <c r="J969" s="1" t="s">
        <v>23</v>
      </c>
      <c r="K969" s="1"/>
      <c r="L969" s="1" t="s">
        <v>8085</v>
      </c>
      <c r="M969" s="1" t="s">
        <v>9350</v>
      </c>
      <c r="N969" s="1" t="s">
        <v>9351</v>
      </c>
      <c r="O969" s="1" t="s">
        <v>9352</v>
      </c>
      <c r="P969" s="1" t="s">
        <v>9353</v>
      </c>
      <c r="Q969" s="1" t="s">
        <v>911</v>
      </c>
      <c r="R969" s="1" t="s">
        <v>9354</v>
      </c>
      <c r="S969" s="1" t="s">
        <v>9355</v>
      </c>
      <c r="T969" s="1" t="s">
        <v>8093</v>
      </c>
      <c r="U969">
        <v>862.52</v>
      </c>
      <c r="V969">
        <v>857.2</v>
      </c>
      <c r="W969">
        <v>13.081011999999999</v>
      </c>
      <c r="X969">
        <v>109.28247</v>
      </c>
      <c r="Y969">
        <v>5.32</v>
      </c>
      <c r="Z969">
        <v>13.094754999999999</v>
      </c>
      <c r="AA969">
        <v>109.292953</v>
      </c>
      <c r="AB969" s="5">
        <f t="shared" si="91"/>
        <v>1.2858000000000003</v>
      </c>
      <c r="AC969" s="5">
        <f t="shared" si="92"/>
        <v>7.980000000000001E-3</v>
      </c>
      <c r="AD969" s="1" t="str">
        <f t="shared" si="93"/>
        <v>ILA Sông Hinh</v>
      </c>
      <c r="AE969" s="1" t="str">
        <f t="shared" si="94"/>
        <v>TT2 Đăk Lăk (Tuy Hòa)</v>
      </c>
      <c r="AG969">
        <f t="shared" si="95"/>
        <v>0.85720000000000007</v>
      </c>
      <c r="AH969">
        <f t="shared" si="96"/>
        <v>5.3200000000000001E-3</v>
      </c>
      <c r="AI969" t="e">
        <f>VLOOKUP(L969,'[1]Tuyến cáp H04'!$B:$E,3,0)/1000</f>
        <v>#N/A</v>
      </c>
      <c r="AJ969" t="e">
        <f>VLOOKUP(L969,'[1]Tuyến cáp H04'!$B:$E,4,0)</f>
        <v>#N/A</v>
      </c>
    </row>
    <row r="970" spans="1:36" x14ac:dyDescent="0.25">
      <c r="A970" s="1" t="s">
        <v>9356</v>
      </c>
      <c r="B970" s="1" t="s">
        <v>9357</v>
      </c>
      <c r="C970" s="1" t="s">
        <v>2094</v>
      </c>
      <c r="D970" s="1" t="s">
        <v>8082</v>
      </c>
      <c r="E970" s="1" t="s">
        <v>8083</v>
      </c>
      <c r="F970" s="1" t="s">
        <v>9358</v>
      </c>
      <c r="G970" s="1" t="s">
        <v>14129</v>
      </c>
      <c r="H970" s="1" t="s">
        <v>14130</v>
      </c>
      <c r="I970" s="1" t="s">
        <v>15082</v>
      </c>
      <c r="J970" s="1" t="s">
        <v>23</v>
      </c>
      <c r="K970" s="1"/>
      <c r="L970" s="1" t="s">
        <v>8096</v>
      </c>
      <c r="M970" s="1" t="s">
        <v>9359</v>
      </c>
      <c r="N970" s="1" t="s">
        <v>9360</v>
      </c>
      <c r="O970" s="1" t="s">
        <v>9361</v>
      </c>
      <c r="P970" s="1" t="s">
        <v>9362</v>
      </c>
      <c r="Q970" s="1" t="s">
        <v>8098</v>
      </c>
      <c r="R970" s="1" t="s">
        <v>8099</v>
      </c>
      <c r="S970" s="1" t="s">
        <v>8100</v>
      </c>
      <c r="T970" s="1" t="s">
        <v>8104</v>
      </c>
      <c r="U970">
        <v>584.05999999999995</v>
      </c>
      <c r="V970">
        <v>50.78</v>
      </c>
      <c r="W970">
        <v>13.014644000000001</v>
      </c>
      <c r="X970">
        <v>109.19495999999999</v>
      </c>
      <c r="Y970">
        <v>533.28</v>
      </c>
      <c r="Z970">
        <v>13.018408000000001</v>
      </c>
      <c r="AA970">
        <v>109.20801899999999</v>
      </c>
      <c r="AB970" s="5">
        <f t="shared" si="91"/>
        <v>7.6170000000000002E-2</v>
      </c>
      <c r="AC970" s="5">
        <f t="shared" si="92"/>
        <v>0.79991999999999996</v>
      </c>
      <c r="AD970" s="1" t="str">
        <f t="shared" si="93"/>
        <v>Tuy Hòa</v>
      </c>
      <c r="AE970" s="1" t="str">
        <f t="shared" si="94"/>
        <v>Sơn Hòa</v>
      </c>
      <c r="AG970">
        <f t="shared" si="95"/>
        <v>5.0779999999999999E-2</v>
      </c>
      <c r="AH970">
        <f t="shared" si="96"/>
        <v>0.53327999999999998</v>
      </c>
      <c r="AI970">
        <f>VLOOKUP(L970,'[1]Tuyến cáp H04'!$B:$E,3,0)/1000</f>
        <v>46.665999999999997</v>
      </c>
      <c r="AJ970" t="str">
        <f>VLOOKUP(L970,'[1]Tuyến cáp H04'!$B:$E,4,0)</f>
        <v>Mạng cấp 3</v>
      </c>
    </row>
    <row r="971" spans="1:36" x14ac:dyDescent="0.25">
      <c r="A971" s="1" t="s">
        <v>9363</v>
      </c>
      <c r="B971" s="1" t="s">
        <v>9364</v>
      </c>
      <c r="C971" s="1" t="s">
        <v>9365</v>
      </c>
      <c r="D971" s="1" t="s">
        <v>9366</v>
      </c>
      <c r="E971" s="1" t="s">
        <v>9367</v>
      </c>
      <c r="F971" s="1" t="s">
        <v>9368</v>
      </c>
      <c r="G971" s="1" t="s">
        <v>14129</v>
      </c>
      <c r="H971" s="1" t="s">
        <v>14130</v>
      </c>
      <c r="I971" s="1" t="s">
        <v>15083</v>
      </c>
      <c r="J971" s="1" t="s">
        <v>23</v>
      </c>
      <c r="K971" s="1"/>
      <c r="L971" s="1" t="s">
        <v>8940</v>
      </c>
      <c r="M971" s="1" t="s">
        <v>9369</v>
      </c>
      <c r="N971" s="1" t="s">
        <v>9370</v>
      </c>
      <c r="O971" s="1" t="s">
        <v>9371</v>
      </c>
      <c r="P971" s="1" t="s">
        <v>9372</v>
      </c>
      <c r="Q971" s="1" t="s">
        <v>9373</v>
      </c>
      <c r="R971" s="1" t="s">
        <v>9374</v>
      </c>
      <c r="S971" s="1" t="s">
        <v>9375</v>
      </c>
      <c r="T971" s="1" t="s">
        <v>9376</v>
      </c>
      <c r="U971">
        <v>3413.53</v>
      </c>
      <c r="V971">
        <v>2620.96</v>
      </c>
      <c r="W971">
        <v>13.078117000000001</v>
      </c>
      <c r="X971">
        <v>109.240162</v>
      </c>
      <c r="Y971">
        <v>792.57</v>
      </c>
      <c r="Z971">
        <v>13.075571999999999</v>
      </c>
      <c r="AA971">
        <v>109.253478</v>
      </c>
      <c r="AB971" s="5">
        <f t="shared" si="91"/>
        <v>3.9314400000000003</v>
      </c>
      <c r="AC971" s="5">
        <f t="shared" si="92"/>
        <v>1.188855</v>
      </c>
      <c r="AD971" s="1" t="str">
        <f t="shared" si="93"/>
        <v>Phú Hòa 2</v>
      </c>
      <c r="AE971" s="1" t="str">
        <f t="shared" si="94"/>
        <v>Phú Yên</v>
      </c>
      <c r="AG971">
        <f t="shared" si="95"/>
        <v>2.6209600000000002</v>
      </c>
      <c r="AH971">
        <f t="shared" si="96"/>
        <v>0.79257</v>
      </c>
      <c r="AI971">
        <f>VLOOKUP(L971,'[1]Tuyến cáp H04'!$B:$E,3,0)/1000</f>
        <v>20.920999999999999</v>
      </c>
      <c r="AJ971" t="str">
        <f>VLOOKUP(L971,'[1]Tuyến cáp H04'!$B:$E,4,0)</f>
        <v>Mạng cấp 4</v>
      </c>
    </row>
    <row r="972" spans="1:36" x14ac:dyDescent="0.25">
      <c r="A972" s="1" t="s">
        <v>9377</v>
      </c>
      <c r="B972" s="1" t="s">
        <v>9378</v>
      </c>
      <c r="C972" s="1" t="s">
        <v>9379</v>
      </c>
      <c r="D972" s="1" t="s">
        <v>8074</v>
      </c>
      <c r="E972" s="1" t="s">
        <v>8075</v>
      </c>
      <c r="F972" s="1" t="s">
        <v>9380</v>
      </c>
      <c r="G972" s="1" t="s">
        <v>14129</v>
      </c>
      <c r="H972" s="1" t="s">
        <v>14130</v>
      </c>
      <c r="I972" s="1" t="s">
        <v>15084</v>
      </c>
      <c r="J972" s="1" t="s">
        <v>23</v>
      </c>
      <c r="K972" s="1"/>
      <c r="L972" s="1" t="s">
        <v>9381</v>
      </c>
      <c r="M972" s="1" t="s">
        <v>9382</v>
      </c>
      <c r="N972" s="1" t="s">
        <v>9383</v>
      </c>
      <c r="O972" s="1" t="s">
        <v>9384</v>
      </c>
      <c r="P972" s="1" t="s">
        <v>9385</v>
      </c>
      <c r="Q972" s="1" t="s">
        <v>9386</v>
      </c>
      <c r="R972" s="1" t="s">
        <v>9387</v>
      </c>
      <c r="S972" s="1" t="s">
        <v>9388</v>
      </c>
      <c r="T972" s="1" t="s">
        <v>9389</v>
      </c>
      <c r="U972">
        <v>379.27</v>
      </c>
      <c r="V972">
        <v>373.33</v>
      </c>
      <c r="W972">
        <v>13.081462999999999</v>
      </c>
      <c r="X972">
        <v>109.292321</v>
      </c>
      <c r="Y972">
        <v>5.94</v>
      </c>
      <c r="Z972">
        <v>13.094739000000001</v>
      </c>
      <c r="AA972">
        <v>109.292945</v>
      </c>
      <c r="AB972" s="5">
        <f t="shared" si="91"/>
        <v>0.55999500000000002</v>
      </c>
      <c r="AC972" s="5">
        <f t="shared" si="92"/>
        <v>8.9099999999999995E-3</v>
      </c>
      <c r="AD972" s="1" t="str">
        <f t="shared" si="93"/>
        <v>Tây Hòa</v>
      </c>
      <c r="AE972" s="1" t="str">
        <f t="shared" si="94"/>
        <v>TT2 Tuy Hòa</v>
      </c>
      <c r="AG972">
        <f t="shared" si="95"/>
        <v>0.37333</v>
      </c>
      <c r="AH972">
        <f t="shared" si="96"/>
        <v>5.94E-3</v>
      </c>
      <c r="AI972">
        <f>VLOOKUP(L972,'[1]Tuyến cáp H04'!$B:$E,3,0)/1000</f>
        <v>16.552</v>
      </c>
      <c r="AJ972" t="str">
        <f>VLOOKUP(L972,'[1]Tuyến cáp H04'!$B:$E,4,0)</f>
        <v>Mạng cấp 3</v>
      </c>
    </row>
    <row r="973" spans="1:36" x14ac:dyDescent="0.25">
      <c r="A973" s="1" t="s">
        <v>9390</v>
      </c>
      <c r="B973" s="1" t="s">
        <v>8082</v>
      </c>
      <c r="C973" s="1" t="s">
        <v>8083</v>
      </c>
      <c r="D973" s="1" t="s">
        <v>9364</v>
      </c>
      <c r="E973" s="1" t="s">
        <v>9365</v>
      </c>
      <c r="F973" s="1" t="s">
        <v>9391</v>
      </c>
      <c r="G973" s="1" t="s">
        <v>14129</v>
      </c>
      <c r="H973" s="1" t="s">
        <v>14130</v>
      </c>
      <c r="I973" s="1" t="s">
        <v>15085</v>
      </c>
      <c r="J973" s="1" t="s">
        <v>23</v>
      </c>
      <c r="K973" s="1"/>
      <c r="L973" s="1" t="s">
        <v>9392</v>
      </c>
      <c r="M973" s="1" t="s">
        <v>9393</v>
      </c>
      <c r="N973" s="1" t="s">
        <v>9394</v>
      </c>
      <c r="O973" s="1" t="s">
        <v>9395</v>
      </c>
      <c r="P973" s="1" t="s">
        <v>9396</v>
      </c>
      <c r="Q973" s="1" t="s">
        <v>9397</v>
      </c>
      <c r="R973" s="1" t="s">
        <v>9398</v>
      </c>
      <c r="S973" s="1" t="s">
        <v>9399</v>
      </c>
      <c r="T973" s="1" t="s">
        <v>9400</v>
      </c>
      <c r="U973">
        <v>5360.61</v>
      </c>
      <c r="V973">
        <v>11.26</v>
      </c>
      <c r="W973">
        <v>13.023192999999999</v>
      </c>
      <c r="X973">
        <v>109.206958</v>
      </c>
      <c r="Y973">
        <v>5349.35</v>
      </c>
      <c r="Z973">
        <v>13.045888</v>
      </c>
      <c r="AA973">
        <v>109.248909</v>
      </c>
      <c r="AB973" s="5">
        <f t="shared" si="91"/>
        <v>1.6890000000000002E-2</v>
      </c>
      <c r="AC973" s="5">
        <f t="shared" si="92"/>
        <v>8.024025</v>
      </c>
      <c r="AD973" s="1" t="str">
        <f t="shared" si="93"/>
        <v>TT2 Tuy Hòa</v>
      </c>
      <c r="AE973" s="1" t="str">
        <f t="shared" si="94"/>
        <v>Phú Hòa</v>
      </c>
      <c r="AG973">
        <f t="shared" si="95"/>
        <v>1.1259999999999999E-2</v>
      </c>
      <c r="AH973">
        <f t="shared" si="96"/>
        <v>5.3493500000000003</v>
      </c>
      <c r="AI973" t="e">
        <f>VLOOKUP(L973,'[1]Tuyến cáp H04'!$B:$E,3,0)/1000</f>
        <v>#N/A</v>
      </c>
      <c r="AJ973" t="e">
        <f>VLOOKUP(L973,'[1]Tuyến cáp H04'!$B:$E,4,0)</f>
        <v>#N/A</v>
      </c>
    </row>
    <row r="974" spans="1:36" x14ac:dyDescent="0.25">
      <c r="A974" s="1" t="s">
        <v>9401</v>
      </c>
      <c r="B974" s="1" t="s">
        <v>8082</v>
      </c>
      <c r="C974" s="1" t="s">
        <v>8083</v>
      </c>
      <c r="D974" s="1" t="s">
        <v>9402</v>
      </c>
      <c r="E974" s="1" t="s">
        <v>9403</v>
      </c>
      <c r="F974" s="1" t="s">
        <v>9404</v>
      </c>
      <c r="G974" s="1" t="s">
        <v>14129</v>
      </c>
      <c r="H974" s="1" t="s">
        <v>14130</v>
      </c>
      <c r="I974" s="1" t="s">
        <v>15086</v>
      </c>
      <c r="J974" s="1" t="s">
        <v>23</v>
      </c>
      <c r="K974" s="1"/>
      <c r="L974" s="1" t="s">
        <v>9392</v>
      </c>
      <c r="M974" s="1" t="s">
        <v>9405</v>
      </c>
      <c r="N974" s="1" t="s">
        <v>9394</v>
      </c>
      <c r="O974" s="1" t="s">
        <v>9395</v>
      </c>
      <c r="P974" s="1" t="s">
        <v>9396</v>
      </c>
      <c r="Q974" s="1" t="s">
        <v>9406</v>
      </c>
      <c r="R974" s="1" t="s">
        <v>9407</v>
      </c>
      <c r="S974" s="1" t="s">
        <v>9408</v>
      </c>
      <c r="T974" s="1" t="s">
        <v>9400</v>
      </c>
      <c r="U974">
        <v>1203.5899999999999</v>
      </c>
      <c r="V974">
        <v>11.26</v>
      </c>
      <c r="W974">
        <v>13.023192999999999</v>
      </c>
      <c r="X974">
        <v>109.206958</v>
      </c>
      <c r="Y974">
        <v>1192.33</v>
      </c>
      <c r="Z974">
        <v>13.046706</v>
      </c>
      <c r="AA974">
        <v>109.250027</v>
      </c>
      <c r="AB974" s="5">
        <f t="shared" si="91"/>
        <v>1.6890000000000002E-2</v>
      </c>
      <c r="AC974" s="5">
        <f t="shared" si="92"/>
        <v>1.7884949999999999</v>
      </c>
      <c r="AD974" s="1" t="str">
        <f t="shared" si="93"/>
        <v>TT2 Tuy Hòa</v>
      </c>
      <c r="AE974" s="1" t="str">
        <f t="shared" si="94"/>
        <v>Phú Hòa</v>
      </c>
      <c r="AG974">
        <f t="shared" si="95"/>
        <v>1.1259999999999999E-2</v>
      </c>
      <c r="AH974">
        <f t="shared" si="96"/>
        <v>1.1923299999999999</v>
      </c>
      <c r="AI974" t="e">
        <f>VLOOKUP(L974,'[1]Tuyến cáp H04'!$B:$E,3,0)/1000</f>
        <v>#N/A</v>
      </c>
      <c r="AJ974" t="e">
        <f>VLOOKUP(L974,'[1]Tuyến cáp H04'!$B:$E,4,0)</f>
        <v>#N/A</v>
      </c>
    </row>
    <row r="975" spans="1:36" x14ac:dyDescent="0.25">
      <c r="A975" s="1" t="s">
        <v>9409</v>
      </c>
      <c r="B975" s="1" t="s">
        <v>9410</v>
      </c>
      <c r="C975" s="1" t="s">
        <v>9411</v>
      </c>
      <c r="D975" s="1" t="s">
        <v>8074</v>
      </c>
      <c r="E975" s="1" t="s">
        <v>8075</v>
      </c>
      <c r="F975" s="1" t="s">
        <v>9412</v>
      </c>
      <c r="G975" s="1" t="s">
        <v>14129</v>
      </c>
      <c r="H975" s="1" t="s">
        <v>14130</v>
      </c>
      <c r="I975" s="1" t="s">
        <v>15087</v>
      </c>
      <c r="J975" s="1" t="s">
        <v>23</v>
      </c>
      <c r="K975" s="1"/>
      <c r="L975" s="1" t="s">
        <v>9392</v>
      </c>
      <c r="M975" s="1" t="s">
        <v>1515</v>
      </c>
      <c r="N975" s="1" t="s">
        <v>9413</v>
      </c>
      <c r="O975" s="1" t="s">
        <v>9414</v>
      </c>
      <c r="P975" s="1" t="s">
        <v>9415</v>
      </c>
      <c r="Q975" s="1" t="s">
        <v>9416</v>
      </c>
      <c r="R975" s="1" t="s">
        <v>9417</v>
      </c>
      <c r="S975" s="1" t="s">
        <v>9418</v>
      </c>
      <c r="T975" s="1" t="s">
        <v>9400</v>
      </c>
      <c r="U975">
        <v>568.54999999999995</v>
      </c>
      <c r="V975">
        <v>556.29</v>
      </c>
      <c r="W975">
        <v>13.055089000000001</v>
      </c>
      <c r="X975">
        <v>109.268252</v>
      </c>
      <c r="Y975">
        <v>12.26</v>
      </c>
      <c r="Z975">
        <v>13.094692999999999</v>
      </c>
      <c r="AA975">
        <v>109.292897</v>
      </c>
      <c r="AB975" s="5">
        <f t="shared" si="91"/>
        <v>0.83443499999999993</v>
      </c>
      <c r="AC975" s="5">
        <f t="shared" si="92"/>
        <v>1.839E-2</v>
      </c>
      <c r="AD975" s="1" t="str">
        <f t="shared" si="93"/>
        <v>TT2 Tuy Hòa</v>
      </c>
      <c r="AE975" s="1" t="str">
        <f t="shared" si="94"/>
        <v>Phú Hòa</v>
      </c>
      <c r="AG975">
        <f t="shared" si="95"/>
        <v>0.55628999999999995</v>
      </c>
      <c r="AH975">
        <f t="shared" si="96"/>
        <v>1.226E-2</v>
      </c>
      <c r="AI975" t="e">
        <f>VLOOKUP(L975,'[1]Tuyến cáp H04'!$B:$E,3,0)/1000</f>
        <v>#N/A</v>
      </c>
      <c r="AJ975" t="e">
        <f>VLOOKUP(L975,'[1]Tuyến cáp H04'!$B:$E,4,0)</f>
        <v>#N/A</v>
      </c>
    </row>
    <row r="976" spans="1:36" x14ac:dyDescent="0.25">
      <c r="A976" s="1" t="s">
        <v>9419</v>
      </c>
      <c r="B976" s="1" t="s">
        <v>8082</v>
      </c>
      <c r="C976" s="1" t="s">
        <v>8083</v>
      </c>
      <c r="D976" s="1" t="s">
        <v>9420</v>
      </c>
      <c r="E976" s="1" t="s">
        <v>9421</v>
      </c>
      <c r="F976" s="1" t="s">
        <v>9422</v>
      </c>
      <c r="G976" s="1" t="s">
        <v>14129</v>
      </c>
      <c r="H976" s="1" t="s">
        <v>14130</v>
      </c>
      <c r="I976" s="1" t="s">
        <v>15088</v>
      </c>
      <c r="J976" s="1" t="s">
        <v>23</v>
      </c>
      <c r="K976" s="1"/>
      <c r="L976" s="1" t="s">
        <v>9392</v>
      </c>
      <c r="M976" s="1" t="s">
        <v>9423</v>
      </c>
      <c r="N976" s="1" t="s">
        <v>9394</v>
      </c>
      <c r="O976" s="1" t="s">
        <v>9395</v>
      </c>
      <c r="P976" s="1" t="s">
        <v>9396</v>
      </c>
      <c r="Q976" s="1" t="s">
        <v>9424</v>
      </c>
      <c r="R976" s="1" t="s">
        <v>9425</v>
      </c>
      <c r="S976" s="1" t="s">
        <v>9426</v>
      </c>
      <c r="T976" s="1" t="s">
        <v>9400</v>
      </c>
      <c r="U976">
        <v>98.77</v>
      </c>
      <c r="V976">
        <v>11.26</v>
      </c>
      <c r="W976">
        <v>13.023192999999999</v>
      </c>
      <c r="X976">
        <v>109.206958</v>
      </c>
      <c r="Y976">
        <v>87.51</v>
      </c>
      <c r="Z976">
        <v>13.024115</v>
      </c>
      <c r="AA976">
        <v>109.219852</v>
      </c>
      <c r="AB976" s="5">
        <f t="shared" si="91"/>
        <v>1.6890000000000002E-2</v>
      </c>
      <c r="AC976" s="5">
        <f t="shared" si="92"/>
        <v>0.13126500000000002</v>
      </c>
      <c r="AD976" s="1" t="str">
        <f t="shared" si="93"/>
        <v>TT2 Tuy Hòa</v>
      </c>
      <c r="AE976" s="1" t="str">
        <f t="shared" si="94"/>
        <v>Phú Hòa</v>
      </c>
      <c r="AG976">
        <f t="shared" si="95"/>
        <v>1.1259999999999999E-2</v>
      </c>
      <c r="AH976">
        <f t="shared" si="96"/>
        <v>8.7510000000000004E-2</v>
      </c>
      <c r="AI976" t="e">
        <f>VLOOKUP(L976,'[1]Tuyến cáp H04'!$B:$E,3,0)/1000</f>
        <v>#N/A</v>
      </c>
      <c r="AJ976" t="e">
        <f>VLOOKUP(L976,'[1]Tuyến cáp H04'!$B:$E,4,0)</f>
        <v>#N/A</v>
      </c>
    </row>
    <row r="977" spans="1:36" x14ac:dyDescent="0.25">
      <c r="A977" s="1" t="s">
        <v>9427</v>
      </c>
      <c r="B977" s="1" t="s">
        <v>9428</v>
      </c>
      <c r="C977" s="1" t="s">
        <v>9429</v>
      </c>
      <c r="D977" s="1" t="s">
        <v>8347</v>
      </c>
      <c r="E977" s="1" t="s">
        <v>8348</v>
      </c>
      <c r="F977" s="1" t="s">
        <v>9430</v>
      </c>
      <c r="G977" s="1" t="s">
        <v>14129</v>
      </c>
      <c r="H977" s="1" t="s">
        <v>14130</v>
      </c>
      <c r="I977" s="1" t="s">
        <v>15089</v>
      </c>
      <c r="J977" s="1" t="s">
        <v>23</v>
      </c>
      <c r="K977" s="1"/>
      <c r="L977" s="1" t="s">
        <v>9008</v>
      </c>
      <c r="M977" s="1" t="s">
        <v>9431</v>
      </c>
      <c r="N977" s="1" t="s">
        <v>9432</v>
      </c>
      <c r="O977" s="1" t="s">
        <v>9433</v>
      </c>
      <c r="P977" s="1" t="s">
        <v>9434</v>
      </c>
      <c r="Q977" s="1" t="s">
        <v>9435</v>
      </c>
      <c r="R977" s="1" t="s">
        <v>9436</v>
      </c>
      <c r="S977" s="1" t="s">
        <v>9437</v>
      </c>
      <c r="T977" s="1" t="s">
        <v>9438</v>
      </c>
      <c r="U977">
        <v>1531.8</v>
      </c>
      <c r="V977">
        <v>1526</v>
      </c>
      <c r="W977">
        <v>13.051769</v>
      </c>
      <c r="X977">
        <v>109.257884</v>
      </c>
      <c r="Y977">
        <v>5.8</v>
      </c>
      <c r="Z977">
        <v>13.07142</v>
      </c>
      <c r="AA977">
        <v>109.275852</v>
      </c>
      <c r="AB977" s="5">
        <f t="shared" si="91"/>
        <v>2.2890000000000001</v>
      </c>
      <c r="AC977" s="5">
        <f t="shared" si="92"/>
        <v>8.6999999999999994E-3</v>
      </c>
      <c r="AD977" s="1" t="str">
        <f t="shared" si="93"/>
        <v>PC08</v>
      </c>
      <c r="AE977" s="1" t="str">
        <f t="shared" si="94"/>
        <v>PK02</v>
      </c>
      <c r="AG977">
        <f t="shared" si="95"/>
        <v>1.526</v>
      </c>
      <c r="AH977">
        <f t="shared" si="96"/>
        <v>5.7999999999999996E-3</v>
      </c>
      <c r="AI977" t="e">
        <f>VLOOKUP(L977,'[1]Tuyến cáp H04'!$B:$E,3,0)/1000</f>
        <v>#N/A</v>
      </c>
      <c r="AJ977" t="e">
        <f>VLOOKUP(L977,'[1]Tuyến cáp H04'!$B:$E,4,0)</f>
        <v>#N/A</v>
      </c>
    </row>
    <row r="978" spans="1:36" x14ac:dyDescent="0.25">
      <c r="A978" s="1" t="s">
        <v>9439</v>
      </c>
      <c r="B978" s="1" t="s">
        <v>8347</v>
      </c>
      <c r="C978" s="1" t="s">
        <v>8348</v>
      </c>
      <c r="D978" s="1" t="s">
        <v>8074</v>
      </c>
      <c r="E978" s="1" t="s">
        <v>8075</v>
      </c>
      <c r="F978" s="1" t="s">
        <v>9440</v>
      </c>
      <c r="G978" s="1" t="s">
        <v>14129</v>
      </c>
      <c r="H978" s="1" t="s">
        <v>14130</v>
      </c>
      <c r="I978" s="1" t="s">
        <v>15090</v>
      </c>
      <c r="J978" s="1" t="s">
        <v>23</v>
      </c>
      <c r="K978" s="1"/>
      <c r="L978" s="1" t="s">
        <v>9441</v>
      </c>
      <c r="M978" s="1" t="s">
        <v>9442</v>
      </c>
      <c r="N978" s="1" t="s">
        <v>9443</v>
      </c>
      <c r="O978" s="1" t="s">
        <v>9444</v>
      </c>
      <c r="P978" s="1" t="s">
        <v>9445</v>
      </c>
      <c r="Q978" s="1" t="s">
        <v>9446</v>
      </c>
      <c r="R978" s="1" t="s">
        <v>9447</v>
      </c>
      <c r="S978" s="1" t="s">
        <v>9448</v>
      </c>
      <c r="T978" s="1" t="s">
        <v>9449</v>
      </c>
      <c r="U978">
        <v>97.72</v>
      </c>
      <c r="V978">
        <v>15.88</v>
      </c>
      <c r="W978">
        <v>13.071588</v>
      </c>
      <c r="X978">
        <v>109.275789</v>
      </c>
      <c r="Y978">
        <v>81.84</v>
      </c>
      <c r="Z978">
        <v>13.094094999999999</v>
      </c>
      <c r="AA978">
        <v>109.292637</v>
      </c>
      <c r="AB978" s="5">
        <f t="shared" si="91"/>
        <v>2.3820000000000001E-2</v>
      </c>
      <c r="AC978" s="5">
        <f t="shared" si="92"/>
        <v>0.12276000000000001</v>
      </c>
      <c r="AD978" s="1" t="str">
        <f t="shared" si="93"/>
        <v>PC11</v>
      </c>
      <c r="AE978" s="1" t="str">
        <f t="shared" si="94"/>
        <v>PC08</v>
      </c>
      <c r="AG978">
        <f t="shared" si="95"/>
        <v>1.5880000000000002E-2</v>
      </c>
      <c r="AH978">
        <f t="shared" si="96"/>
        <v>8.184000000000001E-2</v>
      </c>
      <c r="AI978">
        <f>VLOOKUP(L978,'[1]Tuyến cáp H04'!$B:$E,3,0)/1000</f>
        <v>26.952000000000002</v>
      </c>
      <c r="AJ978" t="str">
        <f>VLOOKUP(L978,'[1]Tuyến cáp H04'!$B:$E,4,0)</f>
        <v>Mạng cấp 3</v>
      </c>
    </row>
    <row r="979" spans="1:36" x14ac:dyDescent="0.25">
      <c r="A979" s="1" t="s">
        <v>9450</v>
      </c>
      <c r="B979" s="1" t="s">
        <v>9451</v>
      </c>
      <c r="C979" s="1" t="s">
        <v>9452</v>
      </c>
      <c r="D979" s="1" t="s">
        <v>9453</v>
      </c>
      <c r="E979" s="1" t="s">
        <v>9454</v>
      </c>
      <c r="F979" s="1" t="s">
        <v>9455</v>
      </c>
      <c r="G979" s="1" t="s">
        <v>14129</v>
      </c>
      <c r="H979" s="1" t="s">
        <v>14130</v>
      </c>
      <c r="I979" s="1" t="s">
        <v>15091</v>
      </c>
      <c r="J979" s="1" t="s">
        <v>23</v>
      </c>
      <c r="K979" s="1"/>
      <c r="L979" s="1" t="s">
        <v>9456</v>
      </c>
      <c r="M979" s="1" t="s">
        <v>9457</v>
      </c>
      <c r="N979" s="1" t="s">
        <v>9458</v>
      </c>
      <c r="O979" s="1" t="s">
        <v>9459</v>
      </c>
      <c r="P979" s="1" t="s">
        <v>9460</v>
      </c>
      <c r="Q979" s="1" t="s">
        <v>9461</v>
      </c>
      <c r="R979" s="1" t="s">
        <v>9453</v>
      </c>
      <c r="S979" s="1" t="s">
        <v>9462</v>
      </c>
      <c r="T979" s="1" t="s">
        <v>9463</v>
      </c>
      <c r="U979">
        <v>413.21</v>
      </c>
      <c r="V979">
        <v>412.87</v>
      </c>
      <c r="W979">
        <v>13.164842</v>
      </c>
      <c r="X979">
        <v>109.28851</v>
      </c>
      <c r="Y979">
        <v>0.34</v>
      </c>
      <c r="Z979">
        <v>13.181704</v>
      </c>
      <c r="AA979">
        <v>109.287283</v>
      </c>
      <c r="AB979" s="5">
        <f t="shared" si="91"/>
        <v>0.61930500000000011</v>
      </c>
      <c r="AC979" s="5">
        <f t="shared" si="92"/>
        <v>5.1000000000000004E-4</v>
      </c>
      <c r="AD979" s="1" t="str">
        <f t="shared" si="93"/>
        <v>CAT Phú Yên</v>
      </c>
      <c r="AE979" s="1" t="str">
        <f t="shared" si="94"/>
        <v>Tuy An Nam</v>
      </c>
      <c r="AG979">
        <f t="shared" si="95"/>
        <v>0.41287000000000001</v>
      </c>
      <c r="AH979">
        <f t="shared" si="96"/>
        <v>3.4000000000000002E-4</v>
      </c>
      <c r="AI979">
        <f>VLOOKUP(L979,'[1]Tuyến cáp H04'!$B:$E,3,0)/1000</f>
        <v>8.3849999999999998</v>
      </c>
      <c r="AJ979" t="str">
        <f>VLOOKUP(L979,'[1]Tuyến cáp H04'!$B:$E,4,0)</f>
        <v>Mạng cấp 4</v>
      </c>
    </row>
    <row r="980" spans="1:36" x14ac:dyDescent="0.25">
      <c r="A980" s="1" t="s">
        <v>9464</v>
      </c>
      <c r="B980" s="1" t="s">
        <v>9453</v>
      </c>
      <c r="C980" s="1" t="s">
        <v>9454</v>
      </c>
      <c r="D980" s="1" t="s">
        <v>9465</v>
      </c>
      <c r="E980" s="1" t="s">
        <v>9466</v>
      </c>
      <c r="F980" s="1" t="s">
        <v>9467</v>
      </c>
      <c r="G980" s="1" t="s">
        <v>14129</v>
      </c>
      <c r="H980" s="1" t="s">
        <v>14130</v>
      </c>
      <c r="I980" s="1" t="s">
        <v>15092</v>
      </c>
      <c r="J980" s="1" t="s">
        <v>23</v>
      </c>
      <c r="K980" s="1"/>
      <c r="L980" s="1" t="s">
        <v>9468</v>
      </c>
      <c r="M980" s="1" t="s">
        <v>9469</v>
      </c>
      <c r="N980" s="1" t="s">
        <v>9470</v>
      </c>
      <c r="O980" s="1" t="s">
        <v>9471</v>
      </c>
      <c r="P980" s="1" t="s">
        <v>9472</v>
      </c>
      <c r="Q980" s="1" t="s">
        <v>9473</v>
      </c>
      <c r="R980" s="1" t="s">
        <v>9474</v>
      </c>
      <c r="S980" s="1" t="s">
        <v>9475</v>
      </c>
      <c r="T980" s="1" t="s">
        <v>9476</v>
      </c>
      <c r="U980">
        <v>222.54</v>
      </c>
      <c r="V980">
        <v>175.83</v>
      </c>
      <c r="W980">
        <v>13.183259</v>
      </c>
      <c r="X980">
        <v>109.28698300000001</v>
      </c>
      <c r="Y980">
        <v>46.71</v>
      </c>
      <c r="Z980">
        <v>13.201929</v>
      </c>
      <c r="AA980">
        <v>109.276332</v>
      </c>
      <c r="AB980" s="5">
        <f t="shared" si="91"/>
        <v>0.26374500000000001</v>
      </c>
      <c r="AC980" s="5">
        <f t="shared" si="92"/>
        <v>7.0065000000000002E-2</v>
      </c>
      <c r="AD980" s="1" t="str">
        <f t="shared" si="93"/>
        <v>Tuy An Nam</v>
      </c>
      <c r="AE980" s="1" t="str">
        <f t="shared" si="94"/>
        <v>Ô Loan</v>
      </c>
      <c r="AG980">
        <f t="shared" si="95"/>
        <v>0.17583000000000001</v>
      </c>
      <c r="AH980">
        <f t="shared" si="96"/>
        <v>4.6710000000000002E-2</v>
      </c>
      <c r="AI980">
        <f>VLOOKUP(L980,'[1]Tuyến cáp H04'!$B:$E,3,0)/1000</f>
        <v>8.7910000000000004</v>
      </c>
      <c r="AJ980" t="str">
        <f>VLOOKUP(L980,'[1]Tuyến cáp H04'!$B:$E,4,0)</f>
        <v>Mạng cấp 4</v>
      </c>
    </row>
    <row r="981" spans="1:36" x14ac:dyDescent="0.25">
      <c r="A981" s="1" t="s">
        <v>9477</v>
      </c>
      <c r="B981" s="1" t="s">
        <v>9478</v>
      </c>
      <c r="C981" s="1" t="s">
        <v>9479</v>
      </c>
      <c r="D981" s="1" t="s">
        <v>9480</v>
      </c>
      <c r="E981" s="1" t="s">
        <v>9481</v>
      </c>
      <c r="F981" s="1" t="s">
        <v>9482</v>
      </c>
      <c r="G981" s="1" t="s">
        <v>14129</v>
      </c>
      <c r="H981" s="1" t="s">
        <v>14130</v>
      </c>
      <c r="I981" s="1" t="s">
        <v>15093</v>
      </c>
      <c r="J981" s="1" t="s">
        <v>23</v>
      </c>
      <c r="K981" s="1"/>
      <c r="L981" s="1" t="s">
        <v>9483</v>
      </c>
      <c r="M981" s="1" t="s">
        <v>9484</v>
      </c>
      <c r="N981" s="1" t="s">
        <v>9485</v>
      </c>
      <c r="O981" s="1" t="s">
        <v>9486</v>
      </c>
      <c r="P981" s="1" t="s">
        <v>9487</v>
      </c>
      <c r="Q981" s="1" t="s">
        <v>9488</v>
      </c>
      <c r="R981" s="1" t="s">
        <v>9489</v>
      </c>
      <c r="S981" s="1" t="s">
        <v>9490</v>
      </c>
      <c r="T981" s="1" t="s">
        <v>9491</v>
      </c>
      <c r="U981">
        <v>1135.25</v>
      </c>
      <c r="V981">
        <v>1102.79</v>
      </c>
      <c r="W981">
        <v>13.342204000000001</v>
      </c>
      <c r="X981">
        <v>109.247726</v>
      </c>
      <c r="Y981">
        <v>32.46</v>
      </c>
      <c r="Z981">
        <v>13.340761000000001</v>
      </c>
      <c r="AA981">
        <v>109.254114</v>
      </c>
      <c r="AB981" s="5">
        <f t="shared" si="91"/>
        <v>1.654185</v>
      </c>
      <c r="AC981" s="5">
        <f t="shared" si="92"/>
        <v>4.8689999999999997E-2</v>
      </c>
      <c r="AD981" s="1" t="str">
        <f t="shared" si="93"/>
        <v>Tuy An Đông</v>
      </c>
      <c r="AE981" s="1" t="str">
        <f t="shared" si="94"/>
        <v>TTCMKV TX Sông Cầu</v>
      </c>
      <c r="AG981">
        <f t="shared" si="95"/>
        <v>1.1027899999999999</v>
      </c>
      <c r="AH981">
        <f t="shared" si="96"/>
        <v>3.2460000000000003E-2</v>
      </c>
      <c r="AI981">
        <f>VLOOKUP(L981,'[1]Tuyến cáp H04'!$B:$E,3,0)/1000</f>
        <v>25.989000000000001</v>
      </c>
      <c r="AJ981" t="str">
        <f>VLOOKUP(L981,'[1]Tuyến cáp H04'!$B:$E,4,0)</f>
        <v>Mạng cấp 4</v>
      </c>
    </row>
    <row r="982" spans="1:36" x14ac:dyDescent="0.25">
      <c r="A982" s="1" t="s">
        <v>9492</v>
      </c>
      <c r="B982" s="1" t="s">
        <v>9480</v>
      </c>
      <c r="C982" s="1" t="s">
        <v>9481</v>
      </c>
      <c r="D982" s="1" t="s">
        <v>8108</v>
      </c>
      <c r="E982" s="1" t="s">
        <v>8109</v>
      </c>
      <c r="F982" s="1" t="s">
        <v>9493</v>
      </c>
      <c r="G982" s="1" t="s">
        <v>14129</v>
      </c>
      <c r="H982" s="1" t="s">
        <v>14130</v>
      </c>
      <c r="I982" s="1" t="s">
        <v>15094</v>
      </c>
      <c r="J982" s="1" t="s">
        <v>23</v>
      </c>
      <c r="K982" s="1"/>
      <c r="L982" s="1" t="s">
        <v>9483</v>
      </c>
      <c r="M982" s="1" t="s">
        <v>9494</v>
      </c>
      <c r="N982" s="1" t="s">
        <v>9488</v>
      </c>
      <c r="O982" s="1" t="s">
        <v>9489</v>
      </c>
      <c r="P982" s="1" t="s">
        <v>9490</v>
      </c>
      <c r="Q982" s="1" t="s">
        <v>9495</v>
      </c>
      <c r="R982" s="1" t="s">
        <v>9496</v>
      </c>
      <c r="S982" s="1" t="s">
        <v>9497</v>
      </c>
      <c r="T982" s="1" t="s">
        <v>9491</v>
      </c>
      <c r="U982">
        <v>2601.3200000000002</v>
      </c>
      <c r="V982">
        <v>32.46</v>
      </c>
      <c r="W982">
        <v>13.340761000000001</v>
      </c>
      <c r="X982">
        <v>109.254114</v>
      </c>
      <c r="Y982">
        <v>2568.86</v>
      </c>
      <c r="Z982">
        <v>13.331121</v>
      </c>
      <c r="AA982">
        <v>109.21918100000001</v>
      </c>
      <c r="AB982" s="5">
        <f t="shared" si="91"/>
        <v>4.8689999999999997E-2</v>
      </c>
      <c r="AC982" s="5">
        <f t="shared" si="92"/>
        <v>3.8532899999999999</v>
      </c>
      <c r="AD982" s="1" t="str">
        <f t="shared" si="93"/>
        <v>Tuy An Đông</v>
      </c>
      <c r="AE982" s="1" t="str">
        <f t="shared" si="94"/>
        <v>TTCMKV TX Sông Cầu</v>
      </c>
      <c r="AG982">
        <f t="shared" si="95"/>
        <v>3.2460000000000003E-2</v>
      </c>
      <c r="AH982">
        <f t="shared" si="96"/>
        <v>2.5688599999999999</v>
      </c>
      <c r="AI982">
        <f>VLOOKUP(L982,'[1]Tuyến cáp H04'!$B:$E,3,0)/1000</f>
        <v>25.989000000000001</v>
      </c>
      <c r="AJ982" t="str">
        <f>VLOOKUP(L982,'[1]Tuyến cáp H04'!$B:$E,4,0)</f>
        <v>Mạng cấp 4</v>
      </c>
    </row>
    <row r="983" spans="1:36" x14ac:dyDescent="0.25">
      <c r="A983" s="1" t="s">
        <v>9498</v>
      </c>
      <c r="B983" s="1" t="s">
        <v>8106</v>
      </c>
      <c r="C983" s="1" t="s">
        <v>8107</v>
      </c>
      <c r="D983" s="1" t="s">
        <v>9499</v>
      </c>
      <c r="E983" s="1" t="s">
        <v>9500</v>
      </c>
      <c r="F983" s="1" t="s">
        <v>9501</v>
      </c>
      <c r="G983" s="1" t="s">
        <v>14129</v>
      </c>
      <c r="H983" s="1" t="s">
        <v>14130</v>
      </c>
      <c r="I983" s="1" t="s">
        <v>15095</v>
      </c>
      <c r="J983" s="1" t="s">
        <v>23</v>
      </c>
      <c r="K983" s="1"/>
      <c r="L983" s="1" t="s">
        <v>8111</v>
      </c>
      <c r="M983" s="1" t="s">
        <v>9502</v>
      </c>
      <c r="N983" s="1" t="s">
        <v>8113</v>
      </c>
      <c r="O983" s="1" t="s">
        <v>8114</v>
      </c>
      <c r="P983" s="1" t="s">
        <v>8115</v>
      </c>
      <c r="Q983" s="1" t="s">
        <v>9503</v>
      </c>
      <c r="R983" s="1" t="s">
        <v>9504</v>
      </c>
      <c r="S983" s="1" t="s">
        <v>9505</v>
      </c>
      <c r="T983" s="1" t="s">
        <v>8119</v>
      </c>
      <c r="U983">
        <v>491.83</v>
      </c>
      <c r="V983">
        <v>234.35</v>
      </c>
      <c r="W983">
        <v>13.203866</v>
      </c>
      <c r="X983">
        <v>109.269097</v>
      </c>
      <c r="Y983">
        <v>257.48</v>
      </c>
      <c r="Z983">
        <v>13.240807</v>
      </c>
      <c r="AA983">
        <v>109.255388</v>
      </c>
      <c r="AB983" s="5">
        <f t="shared" si="91"/>
        <v>0.35152499999999998</v>
      </c>
      <c r="AC983" s="5">
        <f t="shared" si="92"/>
        <v>0.38622000000000001</v>
      </c>
      <c r="AD983" s="1" t="str">
        <f t="shared" si="93"/>
        <v>Sông Cầu</v>
      </c>
      <c r="AE983" s="1" t="str">
        <f t="shared" si="94"/>
        <v>TT2 Tuy Hòa</v>
      </c>
      <c r="AG983">
        <f t="shared" si="95"/>
        <v>0.23435</v>
      </c>
      <c r="AH983">
        <f t="shared" si="96"/>
        <v>0.25748000000000004</v>
      </c>
      <c r="AI983">
        <f>VLOOKUP(L983,'[1]Tuyến cáp H04'!$B:$E,3,0)/1000</f>
        <v>48.265999999999998</v>
      </c>
      <c r="AJ983" t="str">
        <f>VLOOKUP(L983,'[1]Tuyến cáp H04'!$B:$E,4,0)</f>
        <v>Mạng cấp 3</v>
      </c>
    </row>
    <row r="984" spans="1:36" x14ac:dyDescent="0.25">
      <c r="A984" s="1" t="s">
        <v>9506</v>
      </c>
      <c r="B984" s="1" t="s">
        <v>9499</v>
      </c>
      <c r="C984" s="1" t="s">
        <v>9500</v>
      </c>
      <c r="D984" s="1" t="s">
        <v>9507</v>
      </c>
      <c r="E984" s="1" t="s">
        <v>9508</v>
      </c>
      <c r="F984" s="1" t="s">
        <v>9509</v>
      </c>
      <c r="G984" s="1" t="s">
        <v>14129</v>
      </c>
      <c r="H984" s="1" t="s">
        <v>14130</v>
      </c>
      <c r="I984" s="1" t="s">
        <v>15096</v>
      </c>
      <c r="J984" s="1" t="s">
        <v>23</v>
      </c>
      <c r="K984" s="1"/>
      <c r="L984" s="1" t="s">
        <v>8111</v>
      </c>
      <c r="M984" s="1" t="s">
        <v>9510</v>
      </c>
      <c r="N984" s="1" t="s">
        <v>9503</v>
      </c>
      <c r="O984" s="1" t="s">
        <v>9504</v>
      </c>
      <c r="P984" s="1" t="s">
        <v>9505</v>
      </c>
      <c r="Q984" s="1" t="s">
        <v>9511</v>
      </c>
      <c r="R984" s="1" t="s">
        <v>9512</v>
      </c>
      <c r="S984" s="1" t="s">
        <v>9513</v>
      </c>
      <c r="T984" s="1" t="s">
        <v>8119</v>
      </c>
      <c r="U984">
        <v>472.31</v>
      </c>
      <c r="V984">
        <v>257.48</v>
      </c>
      <c r="W984">
        <v>13.240807</v>
      </c>
      <c r="X984">
        <v>109.255388</v>
      </c>
      <c r="Y984">
        <v>214.83</v>
      </c>
      <c r="Z984">
        <v>13.262245999999999</v>
      </c>
      <c r="AA984">
        <v>109.250433</v>
      </c>
      <c r="AB984" s="5">
        <f t="shared" si="91"/>
        <v>0.38622000000000001</v>
      </c>
      <c r="AC984" s="5">
        <f t="shared" si="92"/>
        <v>0.322245</v>
      </c>
      <c r="AD984" s="1" t="str">
        <f t="shared" si="93"/>
        <v>Sông Cầu</v>
      </c>
      <c r="AE984" s="1" t="str">
        <f t="shared" si="94"/>
        <v>TT2 Tuy Hòa</v>
      </c>
      <c r="AG984">
        <f t="shared" si="95"/>
        <v>0.25748000000000004</v>
      </c>
      <c r="AH984">
        <f t="shared" si="96"/>
        <v>0.21483000000000002</v>
      </c>
      <c r="AI984">
        <f>VLOOKUP(L984,'[1]Tuyến cáp H04'!$B:$E,3,0)/1000</f>
        <v>48.265999999999998</v>
      </c>
      <c r="AJ984" t="str">
        <f>VLOOKUP(L984,'[1]Tuyến cáp H04'!$B:$E,4,0)</f>
        <v>Mạng cấp 3</v>
      </c>
    </row>
    <row r="985" spans="1:36" x14ac:dyDescent="0.25">
      <c r="A985" s="1" t="s">
        <v>9514</v>
      </c>
      <c r="B985" s="1" t="s">
        <v>9515</v>
      </c>
      <c r="C985" s="1" t="s">
        <v>9516</v>
      </c>
      <c r="D985" s="1" t="s">
        <v>8108</v>
      </c>
      <c r="E985" s="1" t="s">
        <v>8109</v>
      </c>
      <c r="F985" s="1" t="s">
        <v>9517</v>
      </c>
      <c r="G985" s="1" t="s">
        <v>14129</v>
      </c>
      <c r="H985" s="1" t="s">
        <v>14130</v>
      </c>
      <c r="I985" s="1" t="s">
        <v>15097</v>
      </c>
      <c r="J985" s="1" t="s">
        <v>23</v>
      </c>
      <c r="K985" s="1"/>
      <c r="L985" s="1" t="s">
        <v>8111</v>
      </c>
      <c r="M985" s="1" t="s">
        <v>9518</v>
      </c>
      <c r="N985" s="1" t="s">
        <v>6859</v>
      </c>
      <c r="O985" s="1" t="s">
        <v>9519</v>
      </c>
      <c r="P985" s="1" t="s">
        <v>9520</v>
      </c>
      <c r="Q985" s="1" t="s">
        <v>8116</v>
      </c>
      <c r="R985" s="1" t="s">
        <v>8117</v>
      </c>
      <c r="S985" s="1" t="s">
        <v>8118</v>
      </c>
      <c r="T985" s="1" t="s">
        <v>8119</v>
      </c>
      <c r="U985">
        <v>248.97</v>
      </c>
      <c r="V985">
        <v>115.37</v>
      </c>
      <c r="W985">
        <v>13.295128</v>
      </c>
      <c r="X985">
        <v>109.234527</v>
      </c>
      <c r="Y985">
        <v>133.6</v>
      </c>
      <c r="Z985">
        <v>13.308895</v>
      </c>
      <c r="AA985">
        <v>109.214591</v>
      </c>
      <c r="AB985" s="5">
        <f t="shared" si="91"/>
        <v>0.17305500000000001</v>
      </c>
      <c r="AC985" s="5">
        <f t="shared" si="92"/>
        <v>0.20039999999999997</v>
      </c>
      <c r="AD985" s="1" t="str">
        <f t="shared" si="93"/>
        <v>Sông Cầu</v>
      </c>
      <c r="AE985" s="1" t="str">
        <f t="shared" si="94"/>
        <v>TT2 Tuy Hòa</v>
      </c>
      <c r="AG985">
        <f t="shared" si="95"/>
        <v>0.11537</v>
      </c>
      <c r="AH985">
        <f t="shared" si="96"/>
        <v>0.1336</v>
      </c>
      <c r="AI985">
        <f>VLOOKUP(L985,'[1]Tuyến cáp H04'!$B:$E,3,0)/1000</f>
        <v>48.265999999999998</v>
      </c>
      <c r="AJ985" t="str">
        <f>VLOOKUP(L985,'[1]Tuyến cáp H04'!$B:$E,4,0)</f>
        <v>Mạng cấp 3</v>
      </c>
    </row>
    <row r="986" spans="1:36" x14ac:dyDescent="0.25">
      <c r="A986" s="1" t="s">
        <v>9521</v>
      </c>
      <c r="B986" s="1" t="s">
        <v>9522</v>
      </c>
      <c r="C986" s="1" t="s">
        <v>9523</v>
      </c>
      <c r="D986" s="1" t="s">
        <v>8108</v>
      </c>
      <c r="E986" s="1" t="s">
        <v>8109</v>
      </c>
      <c r="F986" s="1" t="s">
        <v>9524</v>
      </c>
      <c r="G986" s="1" t="s">
        <v>14129</v>
      </c>
      <c r="H986" s="1" t="s">
        <v>14130</v>
      </c>
      <c r="I986" s="1" t="s">
        <v>15098</v>
      </c>
      <c r="J986" s="1" t="s">
        <v>23</v>
      </c>
      <c r="K986" s="1"/>
      <c r="L986" s="1" t="s">
        <v>8111</v>
      </c>
      <c r="M986" s="1" t="s">
        <v>9525</v>
      </c>
      <c r="N986" s="1" t="s">
        <v>9526</v>
      </c>
      <c r="O986" s="1" t="s">
        <v>9527</v>
      </c>
      <c r="P986" s="1" t="s">
        <v>9528</v>
      </c>
      <c r="Q986" s="1" t="s">
        <v>8116</v>
      </c>
      <c r="R986" s="1" t="s">
        <v>8117</v>
      </c>
      <c r="S986" s="1" t="s">
        <v>8118</v>
      </c>
      <c r="T986" s="1" t="s">
        <v>8119</v>
      </c>
      <c r="U986">
        <v>376.04</v>
      </c>
      <c r="V986">
        <v>242.45</v>
      </c>
      <c r="W986">
        <v>13.32213</v>
      </c>
      <c r="X986">
        <v>109.21287100000001</v>
      </c>
      <c r="Y986">
        <v>133.6</v>
      </c>
      <c r="Z986">
        <v>13.308895</v>
      </c>
      <c r="AA986">
        <v>109.214591</v>
      </c>
      <c r="AB986" s="5">
        <f t="shared" si="91"/>
        <v>0.36367499999999997</v>
      </c>
      <c r="AC986" s="5">
        <f t="shared" si="92"/>
        <v>0.20039999999999997</v>
      </c>
      <c r="AD986" s="1" t="str">
        <f t="shared" si="93"/>
        <v>Sông Cầu</v>
      </c>
      <c r="AE986" s="1" t="str">
        <f t="shared" si="94"/>
        <v>TT2 Tuy Hòa</v>
      </c>
      <c r="AG986">
        <f t="shared" si="95"/>
        <v>0.24245</v>
      </c>
      <c r="AH986">
        <f t="shared" si="96"/>
        <v>0.1336</v>
      </c>
      <c r="AI986">
        <f>VLOOKUP(L986,'[1]Tuyến cáp H04'!$B:$E,3,0)/1000</f>
        <v>48.265999999999998</v>
      </c>
      <c r="AJ986" t="str">
        <f>VLOOKUP(L986,'[1]Tuyến cáp H04'!$B:$E,4,0)</f>
        <v>Mạng cấp 3</v>
      </c>
    </row>
    <row r="987" spans="1:36" x14ac:dyDescent="0.25">
      <c r="A987" s="1" t="s">
        <v>9529</v>
      </c>
      <c r="B987" s="1" t="s">
        <v>8108</v>
      </c>
      <c r="C987" s="1" t="s">
        <v>8109</v>
      </c>
      <c r="D987" s="1" t="s">
        <v>9530</v>
      </c>
      <c r="E987" s="1" t="s">
        <v>9531</v>
      </c>
      <c r="F987" s="1" t="s">
        <v>9532</v>
      </c>
      <c r="G987" s="1" t="s">
        <v>14129</v>
      </c>
      <c r="H987" s="1" t="s">
        <v>14130</v>
      </c>
      <c r="I987" s="1" t="s">
        <v>15099</v>
      </c>
      <c r="J987" s="1" t="s">
        <v>23</v>
      </c>
      <c r="K987" s="1"/>
      <c r="L987" s="1" t="s">
        <v>8124</v>
      </c>
      <c r="M987" s="1" t="s">
        <v>9533</v>
      </c>
      <c r="N987" s="1" t="s">
        <v>8126</v>
      </c>
      <c r="O987" s="1" t="s">
        <v>8127</v>
      </c>
      <c r="P987" s="1" t="s">
        <v>8128</v>
      </c>
      <c r="Q987" s="1" t="s">
        <v>9534</v>
      </c>
      <c r="R987" s="1" t="s">
        <v>9535</v>
      </c>
      <c r="S987" s="1" t="s">
        <v>9536</v>
      </c>
      <c r="T987" s="1" t="s">
        <v>8132</v>
      </c>
      <c r="U987">
        <v>776.74</v>
      </c>
      <c r="V987">
        <v>61.31</v>
      </c>
      <c r="W987">
        <v>13.307845</v>
      </c>
      <c r="X987">
        <v>109.215296</v>
      </c>
      <c r="Y987">
        <v>715.43</v>
      </c>
      <c r="Z987">
        <v>13.33548</v>
      </c>
      <c r="AA987">
        <v>109.165701</v>
      </c>
      <c r="AB987" s="5">
        <f t="shared" si="91"/>
        <v>9.1965000000000005E-2</v>
      </c>
      <c r="AC987" s="5">
        <f t="shared" si="92"/>
        <v>1.073145</v>
      </c>
      <c r="AD987" s="1" t="str">
        <f t="shared" si="93"/>
        <v>Xuân Đài</v>
      </c>
      <c r="AE987" s="1" t="str">
        <f t="shared" si="94"/>
        <v>Tuy An Bắc</v>
      </c>
      <c r="AG987">
        <f t="shared" si="95"/>
        <v>6.1310000000000003E-2</v>
      </c>
      <c r="AH987">
        <f t="shared" si="96"/>
        <v>0.7154299999999999</v>
      </c>
      <c r="AI987" t="e">
        <f>VLOOKUP(L987,'[1]Tuyến cáp H04'!$B:$E,3,0)/1000</f>
        <v>#N/A</v>
      </c>
      <c r="AJ987" t="e">
        <f>VLOOKUP(L987,'[1]Tuyến cáp H04'!$B:$E,4,0)</f>
        <v>#N/A</v>
      </c>
    </row>
    <row r="988" spans="1:36" x14ac:dyDescent="0.25">
      <c r="A988" s="1" t="s">
        <v>9537</v>
      </c>
      <c r="B988" s="1" t="s">
        <v>9538</v>
      </c>
      <c r="C988" s="1" t="s">
        <v>9539</v>
      </c>
      <c r="D988" s="1" t="s">
        <v>8121</v>
      </c>
      <c r="E988" s="1" t="s">
        <v>8122</v>
      </c>
      <c r="F988" s="1" t="s">
        <v>9540</v>
      </c>
      <c r="G988" s="1" t="s">
        <v>14129</v>
      </c>
      <c r="H988" s="1" t="s">
        <v>14130</v>
      </c>
      <c r="I988" s="1" t="s">
        <v>15100</v>
      </c>
      <c r="J988" s="1" t="s">
        <v>23</v>
      </c>
      <c r="K988" s="1"/>
      <c r="L988" s="1" t="s">
        <v>9541</v>
      </c>
      <c r="M988" s="1" t="s">
        <v>9542</v>
      </c>
      <c r="N988" s="1" t="s">
        <v>9543</v>
      </c>
      <c r="O988" s="1" t="s">
        <v>9544</v>
      </c>
      <c r="P988" s="1" t="s">
        <v>9545</v>
      </c>
      <c r="Q988" s="1" t="s">
        <v>9546</v>
      </c>
      <c r="R988" s="1" t="s">
        <v>9547</v>
      </c>
      <c r="S988" s="1" t="s">
        <v>9548</v>
      </c>
      <c r="T988" s="1" t="s">
        <v>9549</v>
      </c>
      <c r="U988">
        <v>120.95</v>
      </c>
      <c r="V988">
        <v>106.03</v>
      </c>
      <c r="W988">
        <v>13.398467</v>
      </c>
      <c r="X988">
        <v>109.104494</v>
      </c>
      <c r="Y988">
        <v>14.92</v>
      </c>
      <c r="Z988">
        <v>13.377414999999999</v>
      </c>
      <c r="AA988">
        <v>109.108029</v>
      </c>
      <c r="AB988" s="5">
        <f t="shared" si="91"/>
        <v>0.15904500000000002</v>
      </c>
      <c r="AC988" s="5">
        <f t="shared" si="92"/>
        <v>2.2380000000000001E-2</v>
      </c>
      <c r="AD988" s="1" t="str">
        <f t="shared" si="93"/>
        <v>Xuân Lãnh</v>
      </c>
      <c r="AE988" s="1" t="str">
        <f t="shared" si="94"/>
        <v>Đồng Xuân</v>
      </c>
      <c r="AG988">
        <f t="shared" si="95"/>
        <v>0.10603</v>
      </c>
      <c r="AH988">
        <f t="shared" si="96"/>
        <v>1.4919999999999999E-2</v>
      </c>
      <c r="AI988">
        <f>VLOOKUP(L988,'[1]Tuyến cáp H04'!$B:$E,3,0)/1000</f>
        <v>16.41</v>
      </c>
      <c r="AJ988" t="str">
        <f>VLOOKUP(L988,'[1]Tuyến cáp H04'!$B:$E,4,0)</f>
        <v>Mạng cấp 4</v>
      </c>
    </row>
    <row r="989" spans="1:36" x14ac:dyDescent="0.25">
      <c r="A989" s="1" t="s">
        <v>9550</v>
      </c>
      <c r="B989" s="1" t="s">
        <v>8108</v>
      </c>
      <c r="C989" s="1" t="s">
        <v>8109</v>
      </c>
      <c r="D989" s="1" t="s">
        <v>9551</v>
      </c>
      <c r="E989" s="1" t="s">
        <v>9552</v>
      </c>
      <c r="F989" s="1" t="s">
        <v>9553</v>
      </c>
      <c r="G989" s="1" t="s">
        <v>14129</v>
      </c>
      <c r="H989" s="1" t="s">
        <v>14130</v>
      </c>
      <c r="I989" s="1" t="s">
        <v>15101</v>
      </c>
      <c r="J989" s="1" t="s">
        <v>23</v>
      </c>
      <c r="K989" s="1"/>
      <c r="L989" s="1" t="s">
        <v>8124</v>
      </c>
      <c r="M989" s="1" t="s">
        <v>9554</v>
      </c>
      <c r="N989" s="1" t="s">
        <v>8126</v>
      </c>
      <c r="O989" s="1" t="s">
        <v>8127</v>
      </c>
      <c r="P989" s="1" t="s">
        <v>8128</v>
      </c>
      <c r="Q989" s="1" t="s">
        <v>9555</v>
      </c>
      <c r="R989" s="1" t="s">
        <v>9556</v>
      </c>
      <c r="S989" s="1" t="s">
        <v>9557</v>
      </c>
      <c r="T989" s="1" t="s">
        <v>8132</v>
      </c>
      <c r="U989">
        <v>227.93</v>
      </c>
      <c r="V989">
        <v>61.31</v>
      </c>
      <c r="W989">
        <v>13.307845</v>
      </c>
      <c r="X989">
        <v>109.215296</v>
      </c>
      <c r="Y989">
        <v>166.62</v>
      </c>
      <c r="Z989">
        <v>13.318313</v>
      </c>
      <c r="AA989">
        <v>109.18471099999999</v>
      </c>
      <c r="AB989" s="5">
        <f t="shared" si="91"/>
        <v>9.1965000000000005E-2</v>
      </c>
      <c r="AC989" s="5">
        <f t="shared" si="92"/>
        <v>0.24993000000000001</v>
      </c>
      <c r="AD989" s="1" t="str">
        <f t="shared" si="93"/>
        <v>Xuân Đài</v>
      </c>
      <c r="AE989" s="1" t="str">
        <f t="shared" si="94"/>
        <v>Tuy An Bắc</v>
      </c>
      <c r="AG989">
        <f t="shared" si="95"/>
        <v>6.1310000000000003E-2</v>
      </c>
      <c r="AH989">
        <f t="shared" si="96"/>
        <v>0.16662000000000002</v>
      </c>
      <c r="AI989" t="e">
        <f>VLOOKUP(L989,'[1]Tuyến cáp H04'!$B:$E,3,0)/1000</f>
        <v>#N/A</v>
      </c>
      <c r="AJ989" t="e">
        <f>VLOOKUP(L989,'[1]Tuyến cáp H04'!$B:$E,4,0)</f>
        <v>#N/A</v>
      </c>
    </row>
    <row r="990" spans="1:36" x14ac:dyDescent="0.25">
      <c r="A990" s="1" t="s">
        <v>9558</v>
      </c>
      <c r="B990" s="1" t="s">
        <v>9559</v>
      </c>
      <c r="C990" s="1" t="s">
        <v>9560</v>
      </c>
      <c r="D990" s="1" t="s">
        <v>8121</v>
      </c>
      <c r="E990" s="1" t="s">
        <v>8122</v>
      </c>
      <c r="F990" s="1" t="s">
        <v>9561</v>
      </c>
      <c r="G990" s="1" t="s">
        <v>14129</v>
      </c>
      <c r="H990" s="1" t="s">
        <v>14130</v>
      </c>
      <c r="I990" s="1" t="s">
        <v>15102</v>
      </c>
      <c r="J990" s="1" t="s">
        <v>23</v>
      </c>
      <c r="K990" s="1"/>
      <c r="L990" s="1" t="s">
        <v>9562</v>
      </c>
      <c r="M990" s="1" t="s">
        <v>9563</v>
      </c>
      <c r="N990" s="1" t="s">
        <v>9564</v>
      </c>
      <c r="O990" s="1" t="s">
        <v>9565</v>
      </c>
      <c r="P990" s="1" t="s">
        <v>9566</v>
      </c>
      <c r="Q990" s="1" t="s">
        <v>9567</v>
      </c>
      <c r="R990" s="1" t="s">
        <v>9568</v>
      </c>
      <c r="S990" s="1" t="s">
        <v>9569</v>
      </c>
      <c r="T990" s="1" t="s">
        <v>9570</v>
      </c>
      <c r="U990">
        <v>1147.72</v>
      </c>
      <c r="V990">
        <v>57.21</v>
      </c>
      <c r="W990">
        <v>13.364934999999999</v>
      </c>
      <c r="X990">
        <v>109.125821</v>
      </c>
      <c r="Y990">
        <v>1090.51</v>
      </c>
      <c r="Z990">
        <v>13.369785</v>
      </c>
      <c r="AA990">
        <v>109.114576</v>
      </c>
      <c r="AB990" s="5">
        <f t="shared" si="91"/>
        <v>8.5815000000000002E-2</v>
      </c>
      <c r="AC990" s="5">
        <f t="shared" si="92"/>
        <v>1.6357649999999999</v>
      </c>
      <c r="AD990" s="1" t="str">
        <f t="shared" si="93"/>
        <v>Tuy An Tây</v>
      </c>
      <c r="AE990" s="1" t="str">
        <f t="shared" si="94"/>
        <v>TTCMKV Đồng
 Xuân</v>
      </c>
      <c r="AG990">
        <f t="shared" si="95"/>
        <v>5.7210000000000004E-2</v>
      </c>
      <c r="AH990">
        <f t="shared" si="96"/>
        <v>1.0905100000000001</v>
      </c>
      <c r="AI990" t="e">
        <f>VLOOKUP(L990,'[1]Tuyến cáp H04'!$B:$E,3,0)/1000</f>
        <v>#N/A</v>
      </c>
      <c r="AJ990" t="e">
        <f>VLOOKUP(L990,'[1]Tuyến cáp H04'!$B:$E,4,0)</f>
        <v>#N/A</v>
      </c>
    </row>
    <row r="991" spans="1:36" x14ac:dyDescent="0.25">
      <c r="A991" s="1" t="s">
        <v>9571</v>
      </c>
      <c r="B991" s="1" t="s">
        <v>8108</v>
      </c>
      <c r="C991" s="1" t="s">
        <v>8109</v>
      </c>
      <c r="D991" s="1" t="s">
        <v>9572</v>
      </c>
      <c r="E991" s="1" t="s">
        <v>9573</v>
      </c>
      <c r="F991" s="1" t="s">
        <v>9574</v>
      </c>
      <c r="G991" s="1" t="s">
        <v>14129</v>
      </c>
      <c r="H991" s="1" t="s">
        <v>14130</v>
      </c>
      <c r="I991" s="1" t="s">
        <v>15103</v>
      </c>
      <c r="J991" s="1" t="s">
        <v>23</v>
      </c>
      <c r="K991" s="1"/>
      <c r="L991" s="1" t="s">
        <v>8124</v>
      </c>
      <c r="M991" s="1" t="s">
        <v>9575</v>
      </c>
      <c r="N991" s="1" t="s">
        <v>8126</v>
      </c>
      <c r="O991" s="1" t="s">
        <v>8127</v>
      </c>
      <c r="P991" s="1" t="s">
        <v>8128</v>
      </c>
      <c r="Q991" s="1" t="s">
        <v>9576</v>
      </c>
      <c r="R991" s="1" t="s">
        <v>9577</v>
      </c>
      <c r="S991" s="1" t="s">
        <v>9578</v>
      </c>
      <c r="T991" s="1" t="s">
        <v>8132</v>
      </c>
      <c r="U991">
        <v>4426.9799999999996</v>
      </c>
      <c r="V991">
        <v>61.31</v>
      </c>
      <c r="W991">
        <v>13.307845</v>
      </c>
      <c r="X991">
        <v>109.215296</v>
      </c>
      <c r="Y991">
        <v>4365.67</v>
      </c>
      <c r="Z991">
        <v>13.322787</v>
      </c>
      <c r="AA991">
        <v>109.175021</v>
      </c>
      <c r="AB991" s="5">
        <f t="shared" si="91"/>
        <v>9.1965000000000005E-2</v>
      </c>
      <c r="AC991" s="5">
        <f t="shared" si="92"/>
        <v>6.5485050000000005</v>
      </c>
      <c r="AD991" s="1" t="str">
        <f t="shared" si="93"/>
        <v>Xuân Đài</v>
      </c>
      <c r="AE991" s="1" t="str">
        <f t="shared" si="94"/>
        <v>Tuy An Bắc</v>
      </c>
      <c r="AG991">
        <f t="shared" si="95"/>
        <v>6.1310000000000003E-2</v>
      </c>
      <c r="AH991">
        <f t="shared" si="96"/>
        <v>4.3656699999999997</v>
      </c>
      <c r="AI991" t="e">
        <f>VLOOKUP(L991,'[1]Tuyến cáp H04'!$B:$E,3,0)/1000</f>
        <v>#N/A</v>
      </c>
      <c r="AJ991" t="e">
        <f>VLOOKUP(L991,'[1]Tuyến cáp H04'!$B:$E,4,0)</f>
        <v>#N/A</v>
      </c>
    </row>
    <row r="992" spans="1:36" x14ac:dyDescent="0.25">
      <c r="A992" s="1" t="s">
        <v>9579</v>
      </c>
      <c r="B992" s="1" t="s">
        <v>9580</v>
      </c>
      <c r="C992" s="1" t="s">
        <v>9581</v>
      </c>
      <c r="D992" s="1" t="s">
        <v>8121</v>
      </c>
      <c r="E992" s="1" t="s">
        <v>8122</v>
      </c>
      <c r="F992" s="1" t="s">
        <v>9582</v>
      </c>
      <c r="G992" s="1" t="s">
        <v>14129</v>
      </c>
      <c r="H992" s="1" t="s">
        <v>14130</v>
      </c>
      <c r="I992" s="1" t="s">
        <v>15104</v>
      </c>
      <c r="J992" s="1" t="s">
        <v>23</v>
      </c>
      <c r="K992" s="1"/>
      <c r="L992" s="1" t="s">
        <v>9562</v>
      </c>
      <c r="M992" s="1" t="s">
        <v>9583</v>
      </c>
      <c r="N992" s="1" t="s">
        <v>9584</v>
      </c>
      <c r="O992" s="1" t="s">
        <v>9585</v>
      </c>
      <c r="P992" s="1" t="s">
        <v>9586</v>
      </c>
      <c r="Q992" s="1" t="s">
        <v>9567</v>
      </c>
      <c r="R992" s="1" t="s">
        <v>9568</v>
      </c>
      <c r="S992" s="1" t="s">
        <v>9569</v>
      </c>
      <c r="T992" s="1" t="s">
        <v>9570</v>
      </c>
      <c r="U992">
        <v>6852.7</v>
      </c>
      <c r="V992">
        <v>5762.19</v>
      </c>
      <c r="W992">
        <v>13.256083</v>
      </c>
      <c r="X992">
        <v>109.17153999999999</v>
      </c>
      <c r="Y992">
        <v>1090.51</v>
      </c>
      <c r="Z992">
        <v>13.369785</v>
      </c>
      <c r="AA992">
        <v>109.114576</v>
      </c>
      <c r="AB992" s="5">
        <f t="shared" si="91"/>
        <v>8.6432850000000006</v>
      </c>
      <c r="AC992" s="5">
        <f t="shared" si="92"/>
        <v>1.6357649999999999</v>
      </c>
      <c r="AD992" s="1" t="str">
        <f t="shared" si="93"/>
        <v>Tuy An Tây</v>
      </c>
      <c r="AE992" s="1" t="str">
        <f t="shared" si="94"/>
        <v>TTCMKV Đồng
 Xuân</v>
      </c>
      <c r="AG992">
        <f t="shared" si="95"/>
        <v>5.7621899999999995</v>
      </c>
      <c r="AH992">
        <f t="shared" si="96"/>
        <v>1.0905100000000001</v>
      </c>
      <c r="AI992" t="e">
        <f>VLOOKUP(L992,'[1]Tuyến cáp H04'!$B:$E,3,0)/1000</f>
        <v>#N/A</v>
      </c>
      <c r="AJ992" t="e">
        <f>VLOOKUP(L992,'[1]Tuyến cáp H04'!$B:$E,4,0)</f>
        <v>#N/A</v>
      </c>
    </row>
    <row r="993" spans="1:36" x14ac:dyDescent="0.25">
      <c r="A993" s="1" t="s">
        <v>9587</v>
      </c>
      <c r="B993" s="1" t="s">
        <v>8121</v>
      </c>
      <c r="C993" s="1" t="s">
        <v>8122</v>
      </c>
      <c r="D993" s="1" t="s">
        <v>9588</v>
      </c>
      <c r="E993" s="1" t="s">
        <v>9589</v>
      </c>
      <c r="F993" s="1" t="s">
        <v>9590</v>
      </c>
      <c r="G993" s="1" t="s">
        <v>14129</v>
      </c>
      <c r="H993" s="1" t="s">
        <v>14130</v>
      </c>
      <c r="I993" s="1" t="s">
        <v>15105</v>
      </c>
      <c r="J993" s="1" t="s">
        <v>23</v>
      </c>
      <c r="K993" s="1"/>
      <c r="L993" s="1" t="s">
        <v>9591</v>
      </c>
      <c r="M993" s="1" t="s">
        <v>9592</v>
      </c>
      <c r="N993" s="1" t="s">
        <v>9593</v>
      </c>
      <c r="O993" s="1" t="s">
        <v>9594</v>
      </c>
      <c r="P993" s="1" t="s">
        <v>9595</v>
      </c>
      <c r="Q993" s="1" t="s">
        <v>9596</v>
      </c>
      <c r="R993" s="1" t="s">
        <v>9597</v>
      </c>
      <c r="S993" s="1" t="s">
        <v>9598</v>
      </c>
      <c r="T993" s="1" t="s">
        <v>9599</v>
      </c>
      <c r="U993">
        <v>1483.39</v>
      </c>
      <c r="V993">
        <v>276.61</v>
      </c>
      <c r="W993">
        <v>13.378349</v>
      </c>
      <c r="X993">
        <v>109.110418</v>
      </c>
      <c r="Y993">
        <v>1206.78</v>
      </c>
      <c r="Z993">
        <v>13.36351</v>
      </c>
      <c r="AA993">
        <v>109.092275</v>
      </c>
      <c r="AB993" s="5">
        <f t="shared" si="91"/>
        <v>0.41491500000000003</v>
      </c>
      <c r="AC993" s="5">
        <f t="shared" si="92"/>
        <v>1.8101700000000001</v>
      </c>
      <c r="AD993" s="1" t="str">
        <f t="shared" si="93"/>
        <v>Trại giam Xuân Phước (C10)</v>
      </c>
      <c r="AE993" s="1" t="str">
        <f t="shared" si="94"/>
        <v>TTCMKV Đồng Xuân</v>
      </c>
      <c r="AG993">
        <f t="shared" si="95"/>
        <v>0.27661000000000002</v>
      </c>
      <c r="AH993">
        <f t="shared" si="96"/>
        <v>1.20678</v>
      </c>
      <c r="AI993">
        <f>VLOOKUP(L993,'[1]Tuyến cáp H04'!$B:$E,3,0)/1000</f>
        <v>14.55</v>
      </c>
      <c r="AJ993" t="str">
        <f>VLOOKUP(L993,'[1]Tuyến cáp H04'!$B:$E,4,0)</f>
        <v>Mạng cấp 3</v>
      </c>
    </row>
    <row r="994" spans="1:36" x14ac:dyDescent="0.25">
      <c r="A994" s="1" t="s">
        <v>9600</v>
      </c>
      <c r="B994" s="1" t="s">
        <v>9601</v>
      </c>
      <c r="C994" s="1" t="s">
        <v>9602</v>
      </c>
      <c r="D994" s="1" t="s">
        <v>9603</v>
      </c>
      <c r="E994" s="1" t="s">
        <v>9604</v>
      </c>
      <c r="F994" s="1" t="s">
        <v>9605</v>
      </c>
      <c r="G994" s="1" t="s">
        <v>14129</v>
      </c>
      <c r="H994" s="1" t="s">
        <v>14130</v>
      </c>
      <c r="I994" s="1" t="s">
        <v>15106</v>
      </c>
      <c r="J994" s="1" t="s">
        <v>23</v>
      </c>
      <c r="K994" s="1"/>
      <c r="L994" s="1" t="s">
        <v>8137</v>
      </c>
      <c r="M994" s="1" t="s">
        <v>9606</v>
      </c>
      <c r="N994" s="1" t="s">
        <v>9607</v>
      </c>
      <c r="O994" s="1" t="s">
        <v>9608</v>
      </c>
      <c r="P994" s="1" t="s">
        <v>9609</v>
      </c>
      <c r="Q994" s="1" t="s">
        <v>9610</v>
      </c>
      <c r="R994" s="1" t="s">
        <v>9611</v>
      </c>
      <c r="S994" s="1" t="s">
        <v>9612</v>
      </c>
      <c r="T994" s="1" t="s">
        <v>8145</v>
      </c>
      <c r="U994">
        <v>944.4</v>
      </c>
      <c r="V994">
        <v>98.12</v>
      </c>
      <c r="W994">
        <v>13.322913</v>
      </c>
      <c r="X994">
        <v>109.079144</v>
      </c>
      <c r="Y994">
        <v>846.29</v>
      </c>
      <c r="Z994">
        <v>13.301697000000001</v>
      </c>
      <c r="AA994">
        <v>109.07306699999999</v>
      </c>
      <c r="AB994" s="5">
        <f t="shared" si="91"/>
        <v>0.14718000000000001</v>
      </c>
      <c r="AC994" s="5">
        <f t="shared" si="92"/>
        <v>1.2694349999999999</v>
      </c>
      <c r="AD994" s="1" t="str">
        <f t="shared" si="93"/>
        <v>CAX Sơn Định (Sơn Hòa)</v>
      </c>
      <c r="AE994" s="1" t="str">
        <f t="shared" si="94"/>
        <v>Đồng Xuân</v>
      </c>
      <c r="AG994">
        <f t="shared" si="95"/>
        <v>9.8119999999999999E-2</v>
      </c>
      <c r="AH994">
        <f t="shared" si="96"/>
        <v>0.84628999999999999</v>
      </c>
      <c r="AI994">
        <f>VLOOKUP(L994,'[1]Tuyến cáp H04'!$B:$E,3,0)/1000</f>
        <v>26.63</v>
      </c>
      <c r="AJ994" t="str">
        <f>VLOOKUP(L994,'[1]Tuyến cáp H04'!$B:$E,4,0)</f>
        <v>Mạng cấp 3</v>
      </c>
    </row>
    <row r="995" spans="1:36" x14ac:dyDescent="0.25">
      <c r="A995" s="1" t="s">
        <v>9613</v>
      </c>
      <c r="B995" s="1" t="s">
        <v>9603</v>
      </c>
      <c r="C995" s="1" t="s">
        <v>9604</v>
      </c>
      <c r="D995" s="1" t="s">
        <v>8134</v>
      </c>
      <c r="E995" s="1" t="s">
        <v>8135</v>
      </c>
      <c r="F995" s="1" t="s">
        <v>9614</v>
      </c>
      <c r="G995" s="1" t="s">
        <v>14129</v>
      </c>
      <c r="H995" s="1" t="s">
        <v>14130</v>
      </c>
      <c r="I995" s="1" t="s">
        <v>15107</v>
      </c>
      <c r="J995" s="1" t="s">
        <v>23</v>
      </c>
      <c r="K995" s="1"/>
      <c r="L995" s="1" t="s">
        <v>8148</v>
      </c>
      <c r="M995" s="1" t="s">
        <v>9615</v>
      </c>
      <c r="N995" s="1" t="s">
        <v>9616</v>
      </c>
      <c r="O995" s="1" t="s">
        <v>9617</v>
      </c>
      <c r="P995" s="1" t="s">
        <v>9618</v>
      </c>
      <c r="Q995" s="1" t="s">
        <v>9619</v>
      </c>
      <c r="R995" s="1" t="s">
        <v>9620</v>
      </c>
      <c r="S995" s="1" t="s">
        <v>9621</v>
      </c>
      <c r="T995" s="1" t="s">
        <v>8156</v>
      </c>
      <c r="U995">
        <v>7155.68</v>
      </c>
      <c r="V995">
        <v>125.14</v>
      </c>
      <c r="W995">
        <v>13.29852</v>
      </c>
      <c r="X995">
        <v>109.064847</v>
      </c>
      <c r="Y995">
        <v>7030.55</v>
      </c>
      <c r="Z995">
        <v>13.266185</v>
      </c>
      <c r="AA995">
        <v>109.047833</v>
      </c>
      <c r="AB995" s="5">
        <f t="shared" si="91"/>
        <v>0.18771000000000002</v>
      </c>
      <c r="AC995" s="5">
        <f t="shared" si="92"/>
        <v>10.545825000000001</v>
      </c>
      <c r="AD995" s="1" t="str">
        <f t="shared" si="93"/>
        <v>Xuân Phước</v>
      </c>
      <c r="AE995" s="1" t="str">
        <f t="shared" si="94"/>
        <v>Vân Hòa</v>
      </c>
      <c r="AG995">
        <f t="shared" si="95"/>
        <v>0.12514</v>
      </c>
      <c r="AH995">
        <f t="shared" si="96"/>
        <v>7.0305499999999999</v>
      </c>
      <c r="AI995">
        <f>VLOOKUP(L995,'[1]Tuyến cáp H04'!$B:$E,3,0)/1000</f>
        <v>29.954000000000001</v>
      </c>
      <c r="AJ995" t="str">
        <f>VLOOKUP(L995,'[1]Tuyến cáp H04'!$B:$E,4,0)</f>
        <v>Mạng cấp 4</v>
      </c>
    </row>
    <row r="996" spans="1:36" x14ac:dyDescent="0.25">
      <c r="A996" s="1" t="s">
        <v>9622</v>
      </c>
      <c r="B996" s="1" t="s">
        <v>9623</v>
      </c>
      <c r="C996" s="1" t="s">
        <v>9624</v>
      </c>
      <c r="D996" s="1" t="s">
        <v>9147</v>
      </c>
      <c r="E996" s="1" t="s">
        <v>9148</v>
      </c>
      <c r="F996" s="1" t="s">
        <v>9625</v>
      </c>
      <c r="G996" s="1" t="s">
        <v>14129</v>
      </c>
      <c r="H996" s="1" t="s">
        <v>14130</v>
      </c>
      <c r="I996" s="1" t="s">
        <v>15108</v>
      </c>
      <c r="J996" s="1" t="s">
        <v>23</v>
      </c>
      <c r="K996" s="1"/>
      <c r="L996" s="1" t="s">
        <v>9626</v>
      </c>
      <c r="M996" s="1" t="s">
        <v>9627</v>
      </c>
      <c r="N996" s="1" t="s">
        <v>9628</v>
      </c>
      <c r="O996" s="1" t="s">
        <v>9629</v>
      </c>
      <c r="P996" s="1" t="s">
        <v>9630</v>
      </c>
      <c r="Q996" s="1" t="s">
        <v>9631</v>
      </c>
      <c r="R996" s="1" t="s">
        <v>9629</v>
      </c>
      <c r="S996" s="1" t="s">
        <v>9630</v>
      </c>
      <c r="T996" s="1" t="s">
        <v>9632</v>
      </c>
      <c r="U996">
        <v>2829.47</v>
      </c>
      <c r="V996">
        <v>2821.78</v>
      </c>
      <c r="W996">
        <v>12.908676</v>
      </c>
      <c r="X996">
        <v>109.369789</v>
      </c>
      <c r="Y996">
        <v>7.69</v>
      </c>
      <c r="Z996">
        <v>12.908676</v>
      </c>
      <c r="AA996">
        <v>109.369789</v>
      </c>
      <c r="AB996" s="5">
        <f t="shared" si="91"/>
        <v>4.2326699999999997</v>
      </c>
      <c r="AC996" s="5">
        <f t="shared" si="92"/>
        <v>1.1535E-2</v>
      </c>
      <c r="AD996" s="1" t="str">
        <f t="shared" si="93"/>
        <v>Hòa Xuân</v>
      </c>
      <c r="AE996" s="1" t="str">
        <f t="shared" si="94"/>
        <v>Hòa Hiệp</v>
      </c>
      <c r="AG996">
        <f t="shared" si="95"/>
        <v>2.8217800000000004</v>
      </c>
      <c r="AH996">
        <f t="shared" si="96"/>
        <v>7.6900000000000007E-3</v>
      </c>
      <c r="AI996">
        <f>VLOOKUP(L996,'[1]Tuyến cáp H04'!$B:$E,3,0)/1000</f>
        <v>15.784000000000001</v>
      </c>
      <c r="AJ996" t="str">
        <f>VLOOKUP(L996,'[1]Tuyến cáp H04'!$B:$E,4,0)</f>
        <v>Mạng cấp 4</v>
      </c>
    </row>
    <row r="997" spans="1:36" x14ac:dyDescent="0.25">
      <c r="A997" s="1" t="s">
        <v>9633</v>
      </c>
      <c r="B997" s="1" t="s">
        <v>9634</v>
      </c>
      <c r="C997" s="1" t="s">
        <v>9635</v>
      </c>
      <c r="D997" s="1" t="s">
        <v>9147</v>
      </c>
      <c r="E997" s="1" t="s">
        <v>9148</v>
      </c>
      <c r="F997" s="1" t="s">
        <v>9636</v>
      </c>
      <c r="G997" s="1" t="s">
        <v>14129</v>
      </c>
      <c r="H997" s="1" t="s">
        <v>14130</v>
      </c>
      <c r="I997" s="1" t="s">
        <v>15109</v>
      </c>
      <c r="J997" s="1" t="s">
        <v>23</v>
      </c>
      <c r="K997" s="1"/>
      <c r="L997" s="1" t="s">
        <v>9150</v>
      </c>
      <c r="M997" s="1" t="s">
        <v>9637</v>
      </c>
      <c r="N997" s="1" t="s">
        <v>9638</v>
      </c>
      <c r="O997" s="1" t="s">
        <v>9639</v>
      </c>
      <c r="P997" s="1" t="s">
        <v>9640</v>
      </c>
      <c r="Q997" s="1" t="s">
        <v>9155</v>
      </c>
      <c r="R997" s="1" t="s">
        <v>9156</v>
      </c>
      <c r="S997" s="1" t="s">
        <v>9157</v>
      </c>
      <c r="T997" s="1" t="s">
        <v>9158</v>
      </c>
      <c r="U997">
        <v>469.73</v>
      </c>
      <c r="V997">
        <v>464.96</v>
      </c>
      <c r="W997">
        <v>12.946676999999999</v>
      </c>
      <c r="X997">
        <v>109.35947899999999</v>
      </c>
      <c r="Y997">
        <v>4.7699999999999996</v>
      </c>
      <c r="Z997">
        <v>12.908752</v>
      </c>
      <c r="AA997">
        <v>109.369775</v>
      </c>
      <c r="AB997" s="5">
        <f t="shared" si="91"/>
        <v>0.69743999999999995</v>
      </c>
      <c r="AC997" s="5">
        <f t="shared" si="92"/>
        <v>7.154999999999999E-3</v>
      </c>
      <c r="AD997" s="1" t="str">
        <f t="shared" si="93"/>
        <v>Đông Hòa</v>
      </c>
      <c r="AE997" s="1" t="str">
        <f t="shared" si="94"/>
        <v>Hòa Xuân</v>
      </c>
      <c r="AG997">
        <f t="shared" si="95"/>
        <v>0.46495999999999998</v>
      </c>
      <c r="AH997">
        <f t="shared" si="96"/>
        <v>4.7699999999999999E-3</v>
      </c>
      <c r="AI997">
        <f>VLOOKUP(L997,'[1]Tuyến cáp H04'!$B:$E,3,0)/1000</f>
        <v>11.542999999999999</v>
      </c>
      <c r="AJ997" t="str">
        <f>VLOOKUP(L997,'[1]Tuyến cáp H04'!$B:$E,4,0)</f>
        <v>Mạng cấp 4</v>
      </c>
    </row>
    <row r="998" spans="1:36" x14ac:dyDescent="0.25">
      <c r="A998" s="1" t="s">
        <v>9641</v>
      </c>
      <c r="B998" s="1" t="s">
        <v>9642</v>
      </c>
      <c r="C998" s="1" t="s">
        <v>9643</v>
      </c>
      <c r="D998" s="1" t="s">
        <v>9193</v>
      </c>
      <c r="E998" s="1" t="s">
        <v>9194</v>
      </c>
      <c r="F998" s="1" t="s">
        <v>9644</v>
      </c>
      <c r="G998" s="1" t="s">
        <v>14129</v>
      </c>
      <c r="H998" s="1" t="s">
        <v>14130</v>
      </c>
      <c r="I998" s="1" t="s">
        <v>15110</v>
      </c>
      <c r="J998" s="1" t="s">
        <v>23</v>
      </c>
      <c r="K998" s="1"/>
      <c r="L998" s="1" t="s">
        <v>9645</v>
      </c>
      <c r="M998" s="1" t="s">
        <v>9646</v>
      </c>
      <c r="N998" s="1" t="s">
        <v>9647</v>
      </c>
      <c r="O998" s="1" t="s">
        <v>9648</v>
      </c>
      <c r="P998" s="1" t="s">
        <v>9649</v>
      </c>
      <c r="Q998" s="1" t="s">
        <v>9650</v>
      </c>
      <c r="R998" s="1" t="s">
        <v>9651</v>
      </c>
      <c r="S998" s="1" t="s">
        <v>9652</v>
      </c>
      <c r="T998" s="1" t="s">
        <v>9653</v>
      </c>
      <c r="U998">
        <v>1461.24</v>
      </c>
      <c r="V998">
        <v>1431.52</v>
      </c>
      <c r="W998">
        <v>12.999019000000001</v>
      </c>
      <c r="X998">
        <v>109.374774</v>
      </c>
      <c r="Y998">
        <v>29.72</v>
      </c>
      <c r="Z998">
        <v>12.997832000000001</v>
      </c>
      <c r="AA998">
        <v>109.370374</v>
      </c>
      <c r="AB998" s="5">
        <f t="shared" si="91"/>
        <v>2.1472799999999999</v>
      </c>
      <c r="AC998" s="5">
        <f t="shared" si="92"/>
        <v>4.4580000000000002E-2</v>
      </c>
      <c r="AD998" s="1" t="str">
        <f t="shared" si="93"/>
        <v>Hòa Hiệp CS2</v>
      </c>
      <c r="AE998" s="1" t="str">
        <f t="shared" si="94"/>
        <v>CAT Phú Yên</v>
      </c>
      <c r="AG998">
        <f t="shared" si="95"/>
        <v>1.4315199999999999</v>
      </c>
      <c r="AH998">
        <f t="shared" si="96"/>
        <v>2.972E-2</v>
      </c>
      <c r="AI998">
        <f>VLOOKUP(L998,'[1]Tuyến cáp H04'!$B:$E,3,0)/1000</f>
        <v>23.792000000000002</v>
      </c>
      <c r="AJ998" t="str">
        <f>VLOOKUP(L998,'[1]Tuyến cáp H04'!$B:$E,4,0)</f>
        <v>Mạng cấp 4</v>
      </c>
    </row>
    <row r="999" spans="1:36" x14ac:dyDescent="0.25">
      <c r="A999" s="1" t="s">
        <v>9654</v>
      </c>
      <c r="B999" s="1" t="s">
        <v>9655</v>
      </c>
      <c r="C999" s="1" t="s">
        <v>9656</v>
      </c>
      <c r="D999" s="1" t="s">
        <v>9657</v>
      </c>
      <c r="E999" s="1" t="s">
        <v>9658</v>
      </c>
      <c r="F999" s="1" t="s">
        <v>9659</v>
      </c>
      <c r="G999" s="1" t="s">
        <v>14129</v>
      </c>
      <c r="H999" s="1" t="s">
        <v>14130</v>
      </c>
      <c r="I999" s="1" t="s">
        <v>15111</v>
      </c>
      <c r="J999" s="1" t="s">
        <v>23</v>
      </c>
      <c r="K999" s="1"/>
      <c r="L999" s="1" t="s">
        <v>9660</v>
      </c>
      <c r="M999" s="1" t="s">
        <v>9661</v>
      </c>
      <c r="N999" s="1" t="s">
        <v>9662</v>
      </c>
      <c r="O999" s="1" t="s">
        <v>9663</v>
      </c>
      <c r="P999" s="1" t="s">
        <v>9664</v>
      </c>
      <c r="Q999" s="1" t="s">
        <v>9665</v>
      </c>
      <c r="R999" s="1" t="s">
        <v>9666</v>
      </c>
      <c r="S999" s="1" t="s">
        <v>9667</v>
      </c>
      <c r="T999" s="1" t="s">
        <v>9668</v>
      </c>
      <c r="U999">
        <v>263.62</v>
      </c>
      <c r="V999">
        <v>215.09</v>
      </c>
      <c r="W999">
        <v>13.099017</v>
      </c>
      <c r="X999">
        <v>109.289473</v>
      </c>
      <c r="Y999">
        <v>48.53</v>
      </c>
      <c r="Z999">
        <v>13.095419</v>
      </c>
      <c r="AA999">
        <v>109.29175499999999</v>
      </c>
      <c r="AB999" s="5">
        <f t="shared" si="91"/>
        <v>0.32263500000000001</v>
      </c>
      <c r="AC999" s="5">
        <f t="shared" si="92"/>
        <v>7.2794999999999999E-2</v>
      </c>
      <c r="AD999" s="1" t="str">
        <f t="shared" si="93"/>
        <v>PA06</v>
      </c>
      <c r="AE999" s="1" t="str">
        <f t="shared" si="94"/>
        <v>TT2 Đắk Lắk (Tuy Hòa)</v>
      </c>
      <c r="AG999">
        <f t="shared" si="95"/>
        <v>0.21509</v>
      </c>
      <c r="AH999">
        <f t="shared" si="96"/>
        <v>4.8530000000000004E-2</v>
      </c>
      <c r="AI999" t="e">
        <f>VLOOKUP(L999,'[1]Tuyến cáp H04'!$B:$E,3,0)/1000</f>
        <v>#N/A</v>
      </c>
      <c r="AJ999" t="e">
        <f>VLOOKUP(L999,'[1]Tuyến cáp H04'!$B:$E,4,0)</f>
        <v>#N/A</v>
      </c>
    </row>
    <row r="1000" spans="1:36" x14ac:dyDescent="0.25">
      <c r="A1000" s="1" t="s">
        <v>9669</v>
      </c>
      <c r="B1000" s="1" t="s">
        <v>9670</v>
      </c>
      <c r="C1000" s="1" t="s">
        <v>9671</v>
      </c>
      <c r="D1000" s="1" t="s">
        <v>9480</v>
      </c>
      <c r="E1000" s="1" t="s">
        <v>9481</v>
      </c>
      <c r="F1000" s="1" t="s">
        <v>9672</v>
      </c>
      <c r="G1000" s="1" t="s">
        <v>14129</v>
      </c>
      <c r="H1000" s="1" t="s">
        <v>14130</v>
      </c>
      <c r="I1000" s="1" t="s">
        <v>15112</v>
      </c>
      <c r="J1000" s="1" t="s">
        <v>23</v>
      </c>
      <c r="K1000" s="1"/>
      <c r="L1000" s="1" t="s">
        <v>9673</v>
      </c>
      <c r="M1000" s="1" t="s">
        <v>9674</v>
      </c>
      <c r="N1000" s="1" t="s">
        <v>9675</v>
      </c>
      <c r="O1000" s="1" t="s">
        <v>9676</v>
      </c>
      <c r="P1000" s="1" t="s">
        <v>9677</v>
      </c>
      <c r="Q1000" s="1" t="s">
        <v>9678</v>
      </c>
      <c r="R1000" s="1" t="s">
        <v>9679</v>
      </c>
      <c r="S1000" s="1" t="s">
        <v>9680</v>
      </c>
      <c r="T1000" s="1" t="s">
        <v>9681</v>
      </c>
      <c r="U1000">
        <v>248.59</v>
      </c>
      <c r="V1000">
        <v>212.95</v>
      </c>
      <c r="W1000">
        <v>13.341809</v>
      </c>
      <c r="X1000">
        <v>109.254057</v>
      </c>
      <c r="Y1000">
        <v>35.630000000000003</v>
      </c>
      <c r="Z1000">
        <v>13.340781</v>
      </c>
      <c r="AA1000">
        <v>109.254279</v>
      </c>
      <c r="AB1000" s="5">
        <f t="shared" si="91"/>
        <v>0.31942499999999996</v>
      </c>
      <c r="AC1000" s="5">
        <f t="shared" si="92"/>
        <v>5.3445000000000006E-2</v>
      </c>
      <c r="AD1000" s="1" t="str">
        <f t="shared" si="93"/>
        <v>Ô Loan</v>
      </c>
      <c r="AE1000" s="1" t="str">
        <f t="shared" si="94"/>
        <v>Tuy An Đông</v>
      </c>
      <c r="AG1000">
        <f t="shared" si="95"/>
        <v>0.21295</v>
      </c>
      <c r="AH1000">
        <f t="shared" si="96"/>
        <v>3.5630000000000002E-2</v>
      </c>
      <c r="AI1000">
        <f>VLOOKUP(L1000,'[1]Tuyến cáp H04'!$B:$E,3,0)/1000</f>
        <v>20.734000000000002</v>
      </c>
      <c r="AJ1000" t="str">
        <f>VLOOKUP(L1000,'[1]Tuyến cáp H04'!$B:$E,4,0)</f>
        <v>Mạng cấp 4</v>
      </c>
    </row>
    <row r="1001" spans="1:36" x14ac:dyDescent="0.25">
      <c r="A1001" s="1" t="s">
        <v>9682</v>
      </c>
      <c r="B1001" s="1" t="s">
        <v>9683</v>
      </c>
      <c r="C1001" s="1" t="s">
        <v>9684</v>
      </c>
      <c r="D1001" s="1" t="s">
        <v>9499</v>
      </c>
      <c r="E1001" s="1" t="s">
        <v>9500</v>
      </c>
      <c r="F1001" s="1" t="s">
        <v>9685</v>
      </c>
      <c r="G1001" s="1" t="s">
        <v>14129</v>
      </c>
      <c r="H1001" s="1" t="s">
        <v>14130</v>
      </c>
      <c r="I1001" s="1" t="s">
        <v>15113</v>
      </c>
      <c r="J1001" s="1" t="s">
        <v>23</v>
      </c>
      <c r="K1001" s="1"/>
      <c r="L1001" s="1" t="s">
        <v>8111</v>
      </c>
      <c r="M1001" s="1" t="s">
        <v>9686</v>
      </c>
      <c r="N1001" s="1" t="s">
        <v>9687</v>
      </c>
      <c r="O1001" s="1" t="s">
        <v>9688</v>
      </c>
      <c r="P1001" s="1" t="s">
        <v>9689</v>
      </c>
      <c r="Q1001" s="1" t="s">
        <v>9503</v>
      </c>
      <c r="R1001" s="1" t="s">
        <v>9504</v>
      </c>
      <c r="S1001" s="1" t="s">
        <v>9505</v>
      </c>
      <c r="T1001" s="1" t="s">
        <v>8119</v>
      </c>
      <c r="U1001">
        <v>1451.42</v>
      </c>
      <c r="V1001">
        <v>1193.94</v>
      </c>
      <c r="W1001">
        <v>13.251925</v>
      </c>
      <c r="X1001">
        <v>109.251918</v>
      </c>
      <c r="Y1001">
        <v>257.48</v>
      </c>
      <c r="Z1001">
        <v>13.240807</v>
      </c>
      <c r="AA1001">
        <v>109.255388</v>
      </c>
      <c r="AB1001" s="5">
        <f t="shared" si="91"/>
        <v>1.79091</v>
      </c>
      <c r="AC1001" s="5">
        <f t="shared" si="92"/>
        <v>0.38622000000000001</v>
      </c>
      <c r="AD1001" s="1" t="str">
        <f t="shared" si="93"/>
        <v>Sông Cầu</v>
      </c>
      <c r="AE1001" s="1" t="str">
        <f t="shared" si="94"/>
        <v>TT2 Tuy Hòa</v>
      </c>
      <c r="AG1001">
        <f t="shared" si="95"/>
        <v>1.19394</v>
      </c>
      <c r="AH1001">
        <f t="shared" si="96"/>
        <v>0.25748000000000004</v>
      </c>
      <c r="AI1001">
        <f>VLOOKUP(L1001,'[1]Tuyến cáp H04'!$B:$E,3,0)/1000</f>
        <v>48.265999999999998</v>
      </c>
      <c r="AJ1001" t="str">
        <f>VLOOKUP(L1001,'[1]Tuyến cáp H04'!$B:$E,4,0)</f>
        <v>Mạng cấp 3</v>
      </c>
    </row>
    <row r="1002" spans="1:36" x14ac:dyDescent="0.25">
      <c r="A1002" s="1" t="s">
        <v>9690</v>
      </c>
      <c r="B1002" s="1" t="s">
        <v>9691</v>
      </c>
      <c r="C1002" s="1" t="s">
        <v>9692</v>
      </c>
      <c r="D1002" s="1" t="s">
        <v>9499</v>
      </c>
      <c r="E1002" s="1" t="s">
        <v>9500</v>
      </c>
      <c r="F1002" s="1" t="s">
        <v>9693</v>
      </c>
      <c r="G1002" s="1" t="s">
        <v>14129</v>
      </c>
      <c r="H1002" s="1" t="s">
        <v>14130</v>
      </c>
      <c r="I1002" s="1" t="s">
        <v>15114</v>
      </c>
      <c r="J1002" s="1" t="s">
        <v>23</v>
      </c>
      <c r="K1002" s="1"/>
      <c r="L1002" s="1" t="s">
        <v>8111</v>
      </c>
      <c r="M1002" s="1" t="s">
        <v>9694</v>
      </c>
      <c r="N1002" s="1" t="s">
        <v>9695</v>
      </c>
      <c r="O1002" s="1" t="s">
        <v>9696</v>
      </c>
      <c r="P1002" s="1" t="s">
        <v>9697</v>
      </c>
      <c r="Q1002" s="1" t="s">
        <v>9503</v>
      </c>
      <c r="R1002" s="1" t="s">
        <v>9504</v>
      </c>
      <c r="S1002" s="1" t="s">
        <v>9505</v>
      </c>
      <c r="T1002" s="1" t="s">
        <v>8119</v>
      </c>
      <c r="U1002">
        <v>2584.96</v>
      </c>
      <c r="V1002">
        <v>2327.48</v>
      </c>
      <c r="W1002">
        <v>13.246874999999999</v>
      </c>
      <c r="X1002">
        <v>109.25350400000001</v>
      </c>
      <c r="Y1002">
        <v>257.48</v>
      </c>
      <c r="Z1002">
        <v>13.240807</v>
      </c>
      <c r="AA1002">
        <v>109.255388</v>
      </c>
      <c r="AB1002" s="5">
        <f t="shared" si="91"/>
        <v>3.4912200000000002</v>
      </c>
      <c r="AC1002" s="5">
        <f t="shared" si="92"/>
        <v>0.38622000000000001</v>
      </c>
      <c r="AD1002" s="1" t="str">
        <f t="shared" si="93"/>
        <v>Sông Cầu</v>
      </c>
      <c r="AE1002" s="1" t="str">
        <f t="shared" si="94"/>
        <v>TT2 Tuy Hòa</v>
      </c>
      <c r="AG1002">
        <f t="shared" si="95"/>
        <v>2.32748</v>
      </c>
      <c r="AH1002">
        <f t="shared" si="96"/>
        <v>0.25748000000000004</v>
      </c>
      <c r="AI1002">
        <f>VLOOKUP(L1002,'[1]Tuyến cáp H04'!$B:$E,3,0)/1000</f>
        <v>48.265999999999998</v>
      </c>
      <c r="AJ1002" t="str">
        <f>VLOOKUP(L1002,'[1]Tuyến cáp H04'!$B:$E,4,0)</f>
        <v>Mạng cấp 3</v>
      </c>
    </row>
    <row r="1003" spans="1:36" x14ac:dyDescent="0.25">
      <c r="A1003" s="1" t="s">
        <v>9698</v>
      </c>
      <c r="B1003" s="1" t="s">
        <v>9699</v>
      </c>
      <c r="C1003" s="1" t="s">
        <v>9700</v>
      </c>
      <c r="D1003" s="1" t="s">
        <v>8121</v>
      </c>
      <c r="E1003" s="1" t="s">
        <v>8122</v>
      </c>
      <c r="F1003" s="1" t="s">
        <v>9701</v>
      </c>
      <c r="G1003" s="1" t="s">
        <v>14129</v>
      </c>
      <c r="H1003" s="1" t="s">
        <v>14130</v>
      </c>
      <c r="I1003" s="1" t="s">
        <v>15115</v>
      </c>
      <c r="J1003" s="1" t="s">
        <v>23</v>
      </c>
      <c r="K1003" s="1"/>
      <c r="L1003" s="1" t="s">
        <v>9591</v>
      </c>
      <c r="M1003" s="1" t="s">
        <v>9702</v>
      </c>
      <c r="N1003" s="1" t="s">
        <v>9703</v>
      </c>
      <c r="O1003" s="1" t="s">
        <v>9704</v>
      </c>
      <c r="P1003" s="1" t="s">
        <v>9705</v>
      </c>
      <c r="Q1003" s="1" t="s">
        <v>9593</v>
      </c>
      <c r="R1003" s="1" t="s">
        <v>9594</v>
      </c>
      <c r="S1003" s="1" t="s">
        <v>9595</v>
      </c>
      <c r="T1003" s="1" t="s">
        <v>9599</v>
      </c>
      <c r="U1003">
        <v>692.49</v>
      </c>
      <c r="V1003">
        <v>415.89</v>
      </c>
      <c r="W1003">
        <v>13.364877999999999</v>
      </c>
      <c r="X1003">
        <v>109.098874</v>
      </c>
      <c r="Y1003">
        <v>276.61</v>
      </c>
      <c r="Z1003">
        <v>13.378349</v>
      </c>
      <c r="AA1003">
        <v>109.110418</v>
      </c>
      <c r="AB1003" s="5">
        <f t="shared" si="91"/>
        <v>0.62383500000000003</v>
      </c>
      <c r="AC1003" s="5">
        <f t="shared" si="92"/>
        <v>0.41491500000000003</v>
      </c>
      <c r="AD1003" s="1" t="str">
        <f t="shared" si="93"/>
        <v>Trại giam Xuân Phước (C10)</v>
      </c>
      <c r="AE1003" s="1" t="str">
        <f t="shared" si="94"/>
        <v>TTCMKV Đồng Xuân</v>
      </c>
      <c r="AG1003">
        <f t="shared" si="95"/>
        <v>0.41588999999999998</v>
      </c>
      <c r="AH1003">
        <f t="shared" si="96"/>
        <v>0.27661000000000002</v>
      </c>
      <c r="AI1003">
        <f>VLOOKUP(L1003,'[1]Tuyến cáp H04'!$B:$E,3,0)/1000</f>
        <v>14.55</v>
      </c>
      <c r="AJ1003" t="str">
        <f>VLOOKUP(L1003,'[1]Tuyến cáp H04'!$B:$E,4,0)</f>
        <v>Mạng cấp 3</v>
      </c>
    </row>
    <row r="1004" spans="1:36" x14ac:dyDescent="0.25">
      <c r="A1004" s="1" t="s">
        <v>9706</v>
      </c>
      <c r="B1004" s="1" t="s">
        <v>9707</v>
      </c>
      <c r="C1004" s="1" t="s">
        <v>9708</v>
      </c>
      <c r="D1004" s="1" t="s">
        <v>9258</v>
      </c>
      <c r="E1004" s="1" t="s">
        <v>9259</v>
      </c>
      <c r="F1004" s="1" t="s">
        <v>9709</v>
      </c>
      <c r="G1004" s="1" t="s">
        <v>14129</v>
      </c>
      <c r="H1004" s="1" t="s">
        <v>14130</v>
      </c>
      <c r="I1004" s="1" t="s">
        <v>15116</v>
      </c>
      <c r="J1004" s="1" t="s">
        <v>23</v>
      </c>
      <c r="K1004" s="1"/>
      <c r="L1004" s="1" t="s">
        <v>9233</v>
      </c>
      <c r="M1004" s="1" t="s">
        <v>9710</v>
      </c>
      <c r="N1004" s="1" t="s">
        <v>9711</v>
      </c>
      <c r="O1004" s="1" t="s">
        <v>9712</v>
      </c>
      <c r="P1004" s="1" t="s">
        <v>9713</v>
      </c>
      <c r="Q1004" s="1" t="s">
        <v>9714</v>
      </c>
      <c r="R1004" s="1" t="s">
        <v>9715</v>
      </c>
      <c r="S1004" s="1" t="s">
        <v>9716</v>
      </c>
      <c r="T1004" s="1" t="s">
        <v>9241</v>
      </c>
      <c r="U1004">
        <v>151.4</v>
      </c>
      <c r="V1004">
        <v>130.26</v>
      </c>
      <c r="W1004">
        <v>12.964807</v>
      </c>
      <c r="X1004">
        <v>109.181684</v>
      </c>
      <c r="Y1004">
        <v>21.14</v>
      </c>
      <c r="Z1004">
        <v>12.964556999999999</v>
      </c>
      <c r="AA1004">
        <v>109.183734</v>
      </c>
      <c r="AB1004" s="5">
        <f t="shared" si="91"/>
        <v>0.19538999999999998</v>
      </c>
      <c r="AC1004" s="5">
        <f t="shared" si="92"/>
        <v>3.1710000000000002E-2</v>
      </c>
      <c r="AD1004" s="1" t="str">
        <f t="shared" si="93"/>
        <v>Sơn Thành</v>
      </c>
      <c r="AE1004" s="1" t="str">
        <f t="shared" si="94"/>
        <v>Hòa Mỹ</v>
      </c>
      <c r="AG1004">
        <f t="shared" si="95"/>
        <v>0.13025999999999999</v>
      </c>
      <c r="AH1004">
        <f t="shared" si="96"/>
        <v>2.1139999999999999E-2</v>
      </c>
      <c r="AI1004">
        <f>VLOOKUP(L1004,'[1]Tuyến cáp H04'!$B:$E,3,0)/1000</f>
        <v>11.445</v>
      </c>
      <c r="AJ1004" t="str">
        <f>VLOOKUP(L1004,'[1]Tuyến cáp H04'!$B:$E,4,0)</f>
        <v>Mạng cấp 4</v>
      </c>
    </row>
    <row r="1005" spans="1:36" x14ac:dyDescent="0.25">
      <c r="A1005" s="1" t="s">
        <v>9717</v>
      </c>
      <c r="B1005" s="1" t="s">
        <v>9718</v>
      </c>
      <c r="C1005" s="1" t="s">
        <v>9719</v>
      </c>
      <c r="D1005" s="1" t="s">
        <v>9258</v>
      </c>
      <c r="E1005" s="1" t="s">
        <v>9259</v>
      </c>
      <c r="F1005" s="1" t="s">
        <v>9720</v>
      </c>
      <c r="G1005" s="1" t="s">
        <v>14129</v>
      </c>
      <c r="H1005" s="1" t="s">
        <v>14130</v>
      </c>
      <c r="I1005" s="1" t="s">
        <v>15117</v>
      </c>
      <c r="J1005" s="1" t="s">
        <v>23</v>
      </c>
      <c r="K1005" s="1"/>
      <c r="L1005" s="1" t="s">
        <v>9261</v>
      </c>
      <c r="M1005" s="1" t="s">
        <v>9721</v>
      </c>
      <c r="N1005" s="1" t="s">
        <v>9722</v>
      </c>
      <c r="O1005" s="1" t="s">
        <v>9723</v>
      </c>
      <c r="P1005" s="1" t="s">
        <v>9724</v>
      </c>
      <c r="Q1005" s="1" t="s">
        <v>9266</v>
      </c>
      <c r="R1005" s="1" t="s">
        <v>9267</v>
      </c>
      <c r="S1005" s="1" t="s">
        <v>9268</v>
      </c>
      <c r="T1005" s="1" t="s">
        <v>9269</v>
      </c>
      <c r="U1005">
        <v>677.37</v>
      </c>
      <c r="V1005">
        <v>665.51</v>
      </c>
      <c r="W1005">
        <v>12.943085</v>
      </c>
      <c r="X1005">
        <v>109.207543</v>
      </c>
      <c r="Y1005">
        <v>11.86</v>
      </c>
      <c r="Z1005">
        <v>12.964506</v>
      </c>
      <c r="AA1005">
        <v>109.18393500000001</v>
      </c>
      <c r="AB1005" s="5">
        <f t="shared" si="91"/>
        <v>0.99826499999999996</v>
      </c>
      <c r="AC1005" s="5">
        <f t="shared" si="92"/>
        <v>1.779E-2</v>
      </c>
      <c r="AD1005" s="1" t="str">
        <f t="shared" si="93"/>
        <v>Hòa Mỹ</v>
      </c>
      <c r="AE1005" s="1" t="str">
        <f t="shared" si="94"/>
        <v>Hòa Thịnh</v>
      </c>
      <c r="AG1005">
        <f t="shared" si="95"/>
        <v>0.66551000000000005</v>
      </c>
      <c r="AH1005">
        <f t="shared" si="96"/>
        <v>1.1859999999999999E-2</v>
      </c>
      <c r="AI1005">
        <f>VLOOKUP(L1005,'[1]Tuyến cáp H04'!$B:$E,3,0)/1000</f>
        <v>13.688000000000001</v>
      </c>
      <c r="AJ1005" t="str">
        <f>VLOOKUP(L1005,'[1]Tuyến cáp H04'!$B:$E,4,0)</f>
        <v>Mạng cấp 4</v>
      </c>
    </row>
    <row r="1006" spans="1:36" x14ac:dyDescent="0.25">
      <c r="A1006" s="1" t="s">
        <v>9725</v>
      </c>
      <c r="B1006" s="1" t="s">
        <v>9245</v>
      </c>
      <c r="C1006" s="1" t="s">
        <v>9246</v>
      </c>
      <c r="D1006" s="1" t="s">
        <v>9726</v>
      </c>
      <c r="E1006" s="1" t="s">
        <v>9727</v>
      </c>
      <c r="F1006" s="1" t="s">
        <v>9728</v>
      </c>
      <c r="G1006" s="1" t="s">
        <v>14129</v>
      </c>
      <c r="H1006" s="1" t="s">
        <v>14130</v>
      </c>
      <c r="I1006" s="1" t="s">
        <v>15118</v>
      </c>
      <c r="J1006" s="1" t="s">
        <v>23</v>
      </c>
      <c r="K1006" s="1"/>
      <c r="L1006" s="1" t="s">
        <v>9248</v>
      </c>
      <c r="M1006" s="1" t="s">
        <v>9729</v>
      </c>
      <c r="N1006" s="1" t="s">
        <v>9730</v>
      </c>
      <c r="O1006" s="1" t="s">
        <v>9731</v>
      </c>
      <c r="P1006" s="1" t="s">
        <v>9732</v>
      </c>
      <c r="Q1006" s="1" t="s">
        <v>9733</v>
      </c>
      <c r="R1006" s="1" t="s">
        <v>9734</v>
      </c>
      <c r="S1006" s="1" t="s">
        <v>9735</v>
      </c>
      <c r="T1006" s="1" t="s">
        <v>9256</v>
      </c>
      <c r="U1006">
        <v>2798.35</v>
      </c>
      <c r="V1006">
        <v>3.63</v>
      </c>
      <c r="W1006">
        <v>12.932778000000001</v>
      </c>
      <c r="X1006">
        <v>109.23916800000001</v>
      </c>
      <c r="Y1006">
        <v>2794.71</v>
      </c>
      <c r="Z1006">
        <v>12.939657</v>
      </c>
      <c r="AA1006">
        <v>109.238243</v>
      </c>
      <c r="AB1006" s="5">
        <f t="shared" si="91"/>
        <v>5.4450000000000002E-3</v>
      </c>
      <c r="AC1006" s="5">
        <f t="shared" si="92"/>
        <v>4.1920650000000004</v>
      </c>
      <c r="AD1006" s="1" t="str">
        <f t="shared" si="93"/>
        <v>Hòa Thịnh</v>
      </c>
      <c r="AE1006" s="1" t="str">
        <f t="shared" si="94"/>
        <v>TTCMKV Tây Hòa</v>
      </c>
      <c r="AG1006">
        <f t="shared" si="95"/>
        <v>3.63E-3</v>
      </c>
      <c r="AH1006">
        <f t="shared" si="96"/>
        <v>2.7947100000000002</v>
      </c>
      <c r="AI1006">
        <f>VLOOKUP(L1006,'[1]Tuyến cáp H04'!$B:$E,3,0)/1000</f>
        <v>10.246</v>
      </c>
      <c r="AJ1006" t="str">
        <f>VLOOKUP(L1006,'[1]Tuyến cáp H04'!$B:$E,4,0)</f>
        <v>Mạng cấp 4</v>
      </c>
    </row>
    <row r="1007" spans="1:36" x14ac:dyDescent="0.25">
      <c r="A1007" s="1" t="s">
        <v>9736</v>
      </c>
      <c r="B1007" s="1" t="s">
        <v>9737</v>
      </c>
      <c r="C1007" s="1" t="s">
        <v>9738</v>
      </c>
      <c r="D1007" s="1" t="s">
        <v>9302</v>
      </c>
      <c r="E1007" s="1" t="s">
        <v>9303</v>
      </c>
      <c r="F1007" s="1" t="s">
        <v>9739</v>
      </c>
      <c r="G1007" s="1" t="s">
        <v>14129</v>
      </c>
      <c r="H1007" s="1" t="s">
        <v>14130</v>
      </c>
      <c r="I1007" s="1" t="s">
        <v>15119</v>
      </c>
      <c r="J1007" s="1" t="s">
        <v>23</v>
      </c>
      <c r="K1007" s="1"/>
      <c r="L1007" s="1" t="s">
        <v>9316</v>
      </c>
      <c r="M1007" s="1" t="s">
        <v>9740</v>
      </c>
      <c r="N1007" s="1" t="s">
        <v>9741</v>
      </c>
      <c r="O1007" s="1" t="s">
        <v>9742</v>
      </c>
      <c r="P1007" s="1" t="s">
        <v>9743</v>
      </c>
      <c r="Q1007" s="1" t="s">
        <v>9318</v>
      </c>
      <c r="R1007" s="1" t="s">
        <v>9319</v>
      </c>
      <c r="S1007" s="1" t="s">
        <v>9320</v>
      </c>
      <c r="T1007" s="1" t="s">
        <v>9324</v>
      </c>
      <c r="U1007">
        <v>54.42</v>
      </c>
      <c r="V1007">
        <v>27.87</v>
      </c>
      <c r="W1007">
        <v>13.049759</v>
      </c>
      <c r="X1007">
        <v>108.97462400000001</v>
      </c>
      <c r="Y1007">
        <v>26.55</v>
      </c>
      <c r="Z1007">
        <v>13.049868999999999</v>
      </c>
      <c r="AA1007">
        <v>108.97868800000001</v>
      </c>
      <c r="AB1007" s="5">
        <f t="shared" si="91"/>
        <v>4.1805000000000002E-2</v>
      </c>
      <c r="AC1007" s="5">
        <f t="shared" si="92"/>
        <v>3.9825000000000006E-2</v>
      </c>
      <c r="AD1007" s="1" t="str">
        <f t="shared" si="93"/>
        <v>Sơn Hòa</v>
      </c>
      <c r="AE1007" s="1" t="str">
        <f t="shared" si="94"/>
        <v>CAX Sơn Định (Sơn Hòa)</v>
      </c>
      <c r="AG1007">
        <f t="shared" si="95"/>
        <v>2.7870000000000002E-2</v>
      </c>
      <c r="AH1007">
        <f t="shared" si="96"/>
        <v>2.6550000000000001E-2</v>
      </c>
      <c r="AI1007">
        <f>VLOOKUP(L1007,'[1]Tuyến cáp H04'!$B:$E,3,0)/1000</f>
        <v>38.549999999999997</v>
      </c>
      <c r="AJ1007" t="str">
        <f>VLOOKUP(L1007,'[1]Tuyến cáp H04'!$B:$E,4,0)</f>
        <v>Mạng cấp 3</v>
      </c>
    </row>
    <row r="1008" spans="1:36" x14ac:dyDescent="0.25">
      <c r="A1008" s="1" t="s">
        <v>9744</v>
      </c>
      <c r="B1008" s="1" t="s">
        <v>9745</v>
      </c>
      <c r="C1008" s="1" t="s">
        <v>9746</v>
      </c>
      <c r="D1008" s="1" t="s">
        <v>9364</v>
      </c>
      <c r="E1008" s="1" t="s">
        <v>9365</v>
      </c>
      <c r="F1008" s="1" t="s">
        <v>9747</v>
      </c>
      <c r="G1008" s="1" t="s">
        <v>14129</v>
      </c>
      <c r="H1008" s="1" t="s">
        <v>14130</v>
      </c>
      <c r="I1008" s="1" t="s">
        <v>15120</v>
      </c>
      <c r="J1008" s="1" t="s">
        <v>23</v>
      </c>
      <c r="K1008" s="1"/>
      <c r="L1008" s="1" t="s">
        <v>9337</v>
      </c>
      <c r="M1008" s="1" t="s">
        <v>9748</v>
      </c>
      <c r="N1008" s="1" t="s">
        <v>9749</v>
      </c>
      <c r="O1008" s="1" t="s">
        <v>9750</v>
      </c>
      <c r="P1008" s="1" t="s">
        <v>9751</v>
      </c>
      <c r="Q1008" s="1" t="s">
        <v>9752</v>
      </c>
      <c r="R1008" s="1" t="s">
        <v>9753</v>
      </c>
      <c r="S1008" s="1" t="s">
        <v>9754</v>
      </c>
      <c r="T1008" s="1" t="s">
        <v>9345</v>
      </c>
      <c r="U1008">
        <v>796.65</v>
      </c>
      <c r="V1008">
        <v>785.41</v>
      </c>
      <c r="W1008">
        <v>13.078198</v>
      </c>
      <c r="X1008">
        <v>109.219561</v>
      </c>
      <c r="Y1008">
        <v>11.24</v>
      </c>
      <c r="Z1008">
        <v>13.081939</v>
      </c>
      <c r="AA1008">
        <v>109.216229</v>
      </c>
      <c r="AB1008" s="5">
        <f t="shared" si="91"/>
        <v>1.178115</v>
      </c>
      <c r="AC1008" s="5">
        <f t="shared" si="92"/>
        <v>1.686E-2</v>
      </c>
      <c r="AD1008" s="1" t="str">
        <f t="shared" si="93"/>
        <v>TTCMKV Phú Hòa</v>
      </c>
      <c r="AE1008" s="1" t="str">
        <f t="shared" si="94"/>
        <v>Phú Hòa 2</v>
      </c>
      <c r="AG1008">
        <f t="shared" si="95"/>
        <v>0.78540999999999994</v>
      </c>
      <c r="AH1008">
        <f t="shared" si="96"/>
        <v>1.124E-2</v>
      </c>
      <c r="AI1008">
        <f>VLOOKUP(L1008,'[1]Tuyến cáp H04'!$B:$E,3,0)/1000</f>
        <v>14.364000000000001</v>
      </c>
      <c r="AJ1008" t="str">
        <f>VLOOKUP(L1008,'[1]Tuyến cáp H04'!$B:$E,4,0)</f>
        <v>Mạng cấp 4</v>
      </c>
    </row>
    <row r="1009" spans="1:36" x14ac:dyDescent="0.25">
      <c r="A1009" s="1" t="s">
        <v>9477</v>
      </c>
      <c r="B1009" s="1" t="s">
        <v>9478</v>
      </c>
      <c r="C1009" s="1" t="s">
        <v>9479</v>
      </c>
      <c r="D1009" s="1" t="s">
        <v>9480</v>
      </c>
      <c r="E1009" s="1" t="s">
        <v>9481</v>
      </c>
      <c r="F1009" s="1" t="s">
        <v>9482</v>
      </c>
      <c r="G1009" s="1" t="s">
        <v>14129</v>
      </c>
      <c r="H1009" s="1" t="s">
        <v>14130</v>
      </c>
      <c r="I1009" s="1" t="s">
        <v>15093</v>
      </c>
      <c r="J1009" s="1" t="s">
        <v>23</v>
      </c>
      <c r="K1009" s="1"/>
      <c r="L1009" s="1" t="s">
        <v>9483</v>
      </c>
      <c r="M1009" s="1" t="s">
        <v>9484</v>
      </c>
      <c r="N1009" s="1" t="s">
        <v>9485</v>
      </c>
      <c r="O1009" s="1" t="s">
        <v>9486</v>
      </c>
      <c r="P1009" s="1" t="s">
        <v>9487</v>
      </c>
      <c r="Q1009" s="1" t="s">
        <v>9488</v>
      </c>
      <c r="R1009" s="1" t="s">
        <v>9489</v>
      </c>
      <c r="S1009" s="1" t="s">
        <v>9490</v>
      </c>
      <c r="T1009" s="1" t="s">
        <v>9491</v>
      </c>
      <c r="U1009">
        <v>1135.25</v>
      </c>
      <c r="V1009">
        <v>1102.79</v>
      </c>
      <c r="W1009">
        <v>13.342204000000001</v>
      </c>
      <c r="X1009">
        <v>109.247726</v>
      </c>
      <c r="Y1009">
        <v>32.46</v>
      </c>
      <c r="Z1009">
        <v>13.340761000000001</v>
      </c>
      <c r="AA1009">
        <v>109.254114</v>
      </c>
      <c r="AB1009" s="5">
        <f t="shared" si="91"/>
        <v>1.654185</v>
      </c>
      <c r="AC1009" s="5">
        <f t="shared" si="92"/>
        <v>4.8689999999999997E-2</v>
      </c>
      <c r="AD1009" s="1" t="str">
        <f t="shared" si="93"/>
        <v>Tuy An Đông</v>
      </c>
      <c r="AE1009" s="1" t="str">
        <f t="shared" si="94"/>
        <v>TTCMKV TX Sông Cầu</v>
      </c>
      <c r="AG1009">
        <f t="shared" si="95"/>
        <v>1.1027899999999999</v>
      </c>
      <c r="AH1009">
        <f t="shared" si="96"/>
        <v>3.2460000000000003E-2</v>
      </c>
      <c r="AI1009">
        <f>VLOOKUP(L1009,'[1]Tuyến cáp H04'!$B:$E,3,0)/1000</f>
        <v>25.989000000000001</v>
      </c>
      <c r="AJ1009" t="str">
        <f>VLOOKUP(L1009,'[1]Tuyến cáp H04'!$B:$E,4,0)</f>
        <v>Mạng cấp 4</v>
      </c>
    </row>
    <row r="1010" spans="1:36" x14ac:dyDescent="0.25">
      <c r="A1010" s="1" t="s">
        <v>9755</v>
      </c>
      <c r="B1010" s="1" t="s">
        <v>9756</v>
      </c>
      <c r="C1010" s="1" t="s">
        <v>9757</v>
      </c>
      <c r="D1010" s="1" t="s">
        <v>9480</v>
      </c>
      <c r="E1010" s="1" t="s">
        <v>9481</v>
      </c>
      <c r="F1010" s="1" t="s">
        <v>9758</v>
      </c>
      <c r="G1010" s="1" t="s">
        <v>14129</v>
      </c>
      <c r="H1010" s="1" t="s">
        <v>14130</v>
      </c>
      <c r="I1010" s="1" t="s">
        <v>15121</v>
      </c>
      <c r="J1010" s="1" t="s">
        <v>23</v>
      </c>
      <c r="K1010" s="1"/>
      <c r="L1010" s="1" t="s">
        <v>9483</v>
      </c>
      <c r="M1010" s="1" t="s">
        <v>9759</v>
      </c>
      <c r="N1010" s="1" t="s">
        <v>9760</v>
      </c>
      <c r="O1010" s="1" t="s">
        <v>9761</v>
      </c>
      <c r="P1010" s="1" t="s">
        <v>9762</v>
      </c>
      <c r="Q1010" s="1" t="s">
        <v>9488</v>
      </c>
      <c r="R1010" s="1" t="s">
        <v>9489</v>
      </c>
      <c r="S1010" s="1" t="s">
        <v>9490</v>
      </c>
      <c r="T1010" s="1" t="s">
        <v>9491</v>
      </c>
      <c r="U1010">
        <v>80.45</v>
      </c>
      <c r="V1010">
        <v>47.99</v>
      </c>
      <c r="W1010">
        <v>13.333803</v>
      </c>
      <c r="X1010">
        <v>109.22730300000001</v>
      </c>
      <c r="Y1010">
        <v>32.46</v>
      </c>
      <c r="Z1010">
        <v>13.340761000000001</v>
      </c>
      <c r="AA1010">
        <v>109.254114</v>
      </c>
      <c r="AB1010" s="5">
        <f t="shared" si="91"/>
        <v>7.1984999999999993E-2</v>
      </c>
      <c r="AC1010" s="5">
        <f t="shared" si="92"/>
        <v>4.8689999999999997E-2</v>
      </c>
      <c r="AD1010" s="1" t="str">
        <f t="shared" si="93"/>
        <v>Tuy An Đông</v>
      </c>
      <c r="AE1010" s="1" t="str">
        <f t="shared" si="94"/>
        <v>TTCMKV TX Sông Cầu</v>
      </c>
      <c r="AG1010">
        <f t="shared" si="95"/>
        <v>4.7990000000000005E-2</v>
      </c>
      <c r="AH1010">
        <f t="shared" si="96"/>
        <v>3.2460000000000003E-2</v>
      </c>
      <c r="AI1010">
        <f>VLOOKUP(L1010,'[1]Tuyến cáp H04'!$B:$E,3,0)/1000</f>
        <v>25.989000000000001</v>
      </c>
      <c r="AJ1010" t="str">
        <f>VLOOKUP(L1010,'[1]Tuyến cáp H04'!$B:$E,4,0)</f>
        <v>Mạng cấp 4</v>
      </c>
    </row>
    <row r="1011" spans="1:36" x14ac:dyDescent="0.25">
      <c r="A1011" s="1" t="s">
        <v>9763</v>
      </c>
      <c r="B1011" s="1" t="s">
        <v>9764</v>
      </c>
      <c r="C1011" s="1" t="s">
        <v>9765</v>
      </c>
      <c r="D1011" s="1" t="s">
        <v>9499</v>
      </c>
      <c r="E1011" s="1" t="s">
        <v>9500</v>
      </c>
      <c r="F1011" s="1" t="s">
        <v>9766</v>
      </c>
      <c r="G1011" s="1" t="s">
        <v>14129</v>
      </c>
      <c r="H1011" s="1" t="s">
        <v>14130</v>
      </c>
      <c r="I1011" s="1" t="s">
        <v>15122</v>
      </c>
      <c r="J1011" s="1" t="s">
        <v>23</v>
      </c>
      <c r="K1011" s="1"/>
      <c r="L1011" s="1" t="s">
        <v>9673</v>
      </c>
      <c r="M1011" s="1" t="s">
        <v>9767</v>
      </c>
      <c r="N1011" s="1" t="s">
        <v>9768</v>
      </c>
      <c r="O1011" s="1" t="s">
        <v>9769</v>
      </c>
      <c r="P1011" s="1" t="s">
        <v>9770</v>
      </c>
      <c r="Q1011" s="1" t="s">
        <v>9771</v>
      </c>
      <c r="R1011" s="1" t="s">
        <v>9772</v>
      </c>
      <c r="S1011" s="1" t="s">
        <v>9773</v>
      </c>
      <c r="T1011" s="1" t="s">
        <v>9774</v>
      </c>
      <c r="U1011">
        <v>365.18</v>
      </c>
      <c r="V1011">
        <v>363.62</v>
      </c>
      <c r="W1011">
        <v>13.226704</v>
      </c>
      <c r="X1011">
        <v>109.263869</v>
      </c>
      <c r="Y1011">
        <v>1.57</v>
      </c>
      <c r="Z1011">
        <v>13.240076999999999</v>
      </c>
      <c r="AA1011">
        <v>109.25763000000001</v>
      </c>
      <c r="AB1011" s="5">
        <f t="shared" si="91"/>
        <v>0.54543000000000008</v>
      </c>
      <c r="AC1011" s="5">
        <f t="shared" si="92"/>
        <v>2.3549999999999999E-3</v>
      </c>
      <c r="AD1011" s="1" t="str">
        <f t="shared" si="93"/>
        <v>Ô Loan</v>
      </c>
      <c r="AE1011" s="1" t="str">
        <f t="shared" si="94"/>
        <v>Tuy An Đông</v>
      </c>
      <c r="AG1011">
        <f t="shared" si="95"/>
        <v>0.36362</v>
      </c>
      <c r="AH1011">
        <f t="shared" si="96"/>
        <v>1.57E-3</v>
      </c>
      <c r="AI1011">
        <f>VLOOKUP(L1011,'[1]Tuyến cáp H04'!$B:$E,3,0)/1000</f>
        <v>20.734000000000002</v>
      </c>
      <c r="AJ1011" t="str">
        <f>VLOOKUP(L1011,'[1]Tuyến cáp H04'!$B:$E,4,0)</f>
        <v>Mạng cấp 4</v>
      </c>
    </row>
    <row r="1012" spans="1:36" x14ac:dyDescent="0.25">
      <c r="A1012" s="1" t="s">
        <v>9775</v>
      </c>
      <c r="B1012" s="1" t="s">
        <v>9776</v>
      </c>
      <c r="C1012" s="1" t="s">
        <v>9777</v>
      </c>
      <c r="D1012" s="1" t="s">
        <v>9453</v>
      </c>
      <c r="E1012" s="1" t="s">
        <v>9454</v>
      </c>
      <c r="F1012" s="1" t="s">
        <v>9778</v>
      </c>
      <c r="G1012" s="1" t="s">
        <v>14129</v>
      </c>
      <c r="H1012" s="1" t="s">
        <v>14130</v>
      </c>
      <c r="I1012" s="1" t="s">
        <v>15123</v>
      </c>
      <c r="J1012" s="1" t="s">
        <v>23</v>
      </c>
      <c r="K1012" s="1"/>
      <c r="L1012" s="1" t="s">
        <v>9456</v>
      </c>
      <c r="M1012" s="1" t="s">
        <v>9779</v>
      </c>
      <c r="N1012" s="1" t="s">
        <v>9780</v>
      </c>
      <c r="O1012" s="1" t="s">
        <v>9781</v>
      </c>
      <c r="P1012" s="1" t="s">
        <v>9782</v>
      </c>
      <c r="Q1012" s="1" t="s">
        <v>9461</v>
      </c>
      <c r="R1012" s="1" t="s">
        <v>9453</v>
      </c>
      <c r="S1012" s="1" t="s">
        <v>9462</v>
      </c>
      <c r="T1012" s="1" t="s">
        <v>9463</v>
      </c>
      <c r="U1012">
        <v>78.67</v>
      </c>
      <c r="V1012">
        <v>78.33</v>
      </c>
      <c r="W1012">
        <v>13.174818999999999</v>
      </c>
      <c r="X1012">
        <v>109.29135599999999</v>
      </c>
      <c r="Y1012">
        <v>0.34</v>
      </c>
      <c r="Z1012">
        <v>13.181704</v>
      </c>
      <c r="AA1012">
        <v>109.287283</v>
      </c>
      <c r="AB1012" s="5">
        <f t="shared" si="91"/>
        <v>0.117495</v>
      </c>
      <c r="AC1012" s="5">
        <f t="shared" si="92"/>
        <v>5.1000000000000004E-4</v>
      </c>
      <c r="AD1012" s="1" t="str">
        <f t="shared" si="93"/>
        <v>CAT Phú Yên</v>
      </c>
      <c r="AE1012" s="1" t="str">
        <f t="shared" si="94"/>
        <v>Tuy An Nam</v>
      </c>
      <c r="AG1012">
        <f t="shared" si="95"/>
        <v>7.8329999999999997E-2</v>
      </c>
      <c r="AH1012">
        <f t="shared" si="96"/>
        <v>3.4000000000000002E-4</v>
      </c>
      <c r="AI1012">
        <f>VLOOKUP(L1012,'[1]Tuyến cáp H04'!$B:$E,3,0)/1000</f>
        <v>8.3849999999999998</v>
      </c>
      <c r="AJ1012" t="str">
        <f>VLOOKUP(L1012,'[1]Tuyến cáp H04'!$B:$E,4,0)</f>
        <v>Mạng cấp 4</v>
      </c>
    </row>
    <row r="1013" spans="1:36" x14ac:dyDescent="0.25">
      <c r="A1013" s="1" t="s">
        <v>9783</v>
      </c>
      <c r="B1013" s="1" t="s">
        <v>9784</v>
      </c>
      <c r="C1013" s="1" t="s">
        <v>9785</v>
      </c>
      <c r="D1013" s="1" t="s">
        <v>9603</v>
      </c>
      <c r="E1013" s="1" t="s">
        <v>9604</v>
      </c>
      <c r="F1013" s="1" t="s">
        <v>9786</v>
      </c>
      <c r="G1013" s="1" t="s">
        <v>14129</v>
      </c>
      <c r="H1013" s="1" t="s">
        <v>14130</v>
      </c>
      <c r="I1013" s="1" t="s">
        <v>15124</v>
      </c>
      <c r="J1013" s="1" t="s">
        <v>23</v>
      </c>
      <c r="K1013" s="1"/>
      <c r="L1013" s="1" t="s">
        <v>9787</v>
      </c>
      <c r="M1013" s="1" t="s">
        <v>9788</v>
      </c>
      <c r="N1013" s="1" t="s">
        <v>9789</v>
      </c>
      <c r="O1013" s="1" t="s">
        <v>9790</v>
      </c>
      <c r="P1013" s="1" t="s">
        <v>9791</v>
      </c>
      <c r="Q1013" s="1" t="s">
        <v>9792</v>
      </c>
      <c r="R1013" s="1" t="s">
        <v>9793</v>
      </c>
      <c r="S1013" s="1" t="s">
        <v>9794</v>
      </c>
      <c r="T1013" s="1" t="s">
        <v>9795</v>
      </c>
      <c r="U1013">
        <v>172.66</v>
      </c>
      <c r="V1013">
        <v>118.95</v>
      </c>
      <c r="W1013">
        <v>13.311693</v>
      </c>
      <c r="X1013">
        <v>109.046639</v>
      </c>
      <c r="Y1013">
        <v>53.71</v>
      </c>
      <c r="Z1013">
        <v>13.298667</v>
      </c>
      <c r="AA1013">
        <v>109.065563</v>
      </c>
      <c r="AB1013" s="5">
        <f t="shared" si="91"/>
        <v>0.178425</v>
      </c>
      <c r="AC1013" s="5">
        <f t="shared" si="92"/>
        <v>8.0564999999999998E-2</v>
      </c>
      <c r="AD1013" s="1" t="str">
        <f t="shared" si="93"/>
        <v>Phú Mỡ</v>
      </c>
      <c r="AE1013" s="1" t="str">
        <f t="shared" si="94"/>
        <v>Xuân Phước</v>
      </c>
      <c r="AG1013">
        <f t="shared" si="95"/>
        <v>0.11895</v>
      </c>
      <c r="AH1013">
        <f t="shared" si="96"/>
        <v>5.3710000000000001E-2</v>
      </c>
      <c r="AI1013">
        <f>VLOOKUP(L1013,'[1]Tuyến cáp H04'!$B:$E,3,0)/1000</f>
        <v>12.504</v>
      </c>
      <c r="AJ1013" t="str">
        <f>VLOOKUP(L1013,'[1]Tuyến cáp H04'!$B:$E,4,0)</f>
        <v>Mạng cấp 4</v>
      </c>
    </row>
    <row r="1014" spans="1:36" x14ac:dyDescent="0.25">
      <c r="A1014" s="1" t="s">
        <v>9796</v>
      </c>
      <c r="B1014" s="1" t="s">
        <v>9797</v>
      </c>
      <c r="C1014" s="1" t="s">
        <v>9798</v>
      </c>
      <c r="D1014" s="1" t="s">
        <v>9603</v>
      </c>
      <c r="E1014" s="1" t="s">
        <v>9604</v>
      </c>
      <c r="F1014" s="1" t="s">
        <v>9799</v>
      </c>
      <c r="G1014" s="1" t="s">
        <v>14129</v>
      </c>
      <c r="H1014" s="1" t="s">
        <v>14130</v>
      </c>
      <c r="I1014" s="1" t="s">
        <v>15125</v>
      </c>
      <c r="J1014" s="1" t="s">
        <v>23</v>
      </c>
      <c r="K1014" s="1"/>
      <c r="L1014" s="1" t="s">
        <v>8148</v>
      </c>
      <c r="M1014" s="1" t="s">
        <v>2174</v>
      </c>
      <c r="N1014" s="1" t="s">
        <v>9800</v>
      </c>
      <c r="O1014" s="1" t="s">
        <v>9801</v>
      </c>
      <c r="P1014" s="1" t="s">
        <v>9802</v>
      </c>
      <c r="Q1014" s="1" t="s">
        <v>9616</v>
      </c>
      <c r="R1014" s="1" t="s">
        <v>9617</v>
      </c>
      <c r="S1014" s="1" t="s">
        <v>9618</v>
      </c>
      <c r="T1014" s="1" t="s">
        <v>8156</v>
      </c>
      <c r="U1014">
        <v>727.92</v>
      </c>
      <c r="V1014">
        <v>602.78</v>
      </c>
      <c r="W1014">
        <v>13.27576</v>
      </c>
      <c r="X1014">
        <v>109.06242399999999</v>
      </c>
      <c r="Y1014">
        <v>125.14</v>
      </c>
      <c r="Z1014">
        <v>13.29852</v>
      </c>
      <c r="AA1014">
        <v>109.064847</v>
      </c>
      <c r="AB1014" s="5">
        <f t="shared" si="91"/>
        <v>0.90416999999999992</v>
      </c>
      <c r="AC1014" s="5">
        <f t="shared" si="92"/>
        <v>0.18771000000000002</v>
      </c>
      <c r="AD1014" s="1" t="str">
        <f t="shared" si="93"/>
        <v>Xuân Phước</v>
      </c>
      <c r="AE1014" s="1" t="str">
        <f t="shared" si="94"/>
        <v>Vân Hòa</v>
      </c>
      <c r="AG1014">
        <f t="shared" si="95"/>
        <v>0.60277999999999998</v>
      </c>
      <c r="AH1014">
        <f t="shared" si="96"/>
        <v>0.12514</v>
      </c>
      <c r="AI1014">
        <f>VLOOKUP(L1014,'[1]Tuyến cáp H04'!$B:$E,3,0)/1000</f>
        <v>29.954000000000001</v>
      </c>
      <c r="AJ1014" t="str">
        <f>VLOOKUP(L1014,'[1]Tuyến cáp H04'!$B:$E,4,0)</f>
        <v>Mạng cấp 4</v>
      </c>
    </row>
    <row r="1015" spans="1:36" x14ac:dyDescent="0.25">
      <c r="A1015" s="1" t="s">
        <v>9803</v>
      </c>
      <c r="B1015" s="1" t="s">
        <v>9804</v>
      </c>
      <c r="C1015" s="1" t="s">
        <v>9805</v>
      </c>
      <c r="D1015" s="1" t="s">
        <v>8218</v>
      </c>
      <c r="E1015" s="1" t="s">
        <v>8219</v>
      </c>
      <c r="F1015" s="1" t="s">
        <v>9806</v>
      </c>
      <c r="G1015" s="1" t="s">
        <v>14129</v>
      </c>
      <c r="H1015" s="1" t="s">
        <v>14130</v>
      </c>
      <c r="I1015" s="1" t="s">
        <v>15126</v>
      </c>
      <c r="J1015" s="1" t="s">
        <v>23</v>
      </c>
      <c r="K1015" s="1"/>
      <c r="L1015" s="1" t="s">
        <v>8221</v>
      </c>
      <c r="M1015" s="1" t="s">
        <v>9807</v>
      </c>
      <c r="N1015" s="1" t="s">
        <v>9808</v>
      </c>
      <c r="O1015" s="1" t="s">
        <v>9809</v>
      </c>
      <c r="P1015" s="1" t="s">
        <v>9810</v>
      </c>
      <c r="Q1015" s="1" t="s">
        <v>8226</v>
      </c>
      <c r="R1015" s="1" t="s">
        <v>8227</v>
      </c>
      <c r="S1015" s="1" t="s">
        <v>8228</v>
      </c>
      <c r="T1015" s="1" t="s">
        <v>8229</v>
      </c>
      <c r="U1015">
        <v>2927.54</v>
      </c>
      <c r="V1015">
        <v>2654.73</v>
      </c>
      <c r="W1015">
        <v>13.128857</v>
      </c>
      <c r="X1015">
        <v>108.32411</v>
      </c>
      <c r="Y1015">
        <v>272.81</v>
      </c>
      <c r="Z1015">
        <v>13.118876999999999</v>
      </c>
      <c r="AA1015">
        <v>108.329477</v>
      </c>
      <c r="AB1015" s="5">
        <f t="shared" si="91"/>
        <v>3.9820950000000002</v>
      </c>
      <c r="AC1015" s="5">
        <f t="shared" si="92"/>
        <v>0.40921500000000005</v>
      </c>
      <c r="AD1015" s="1" t="e">
        <f t="shared" si="93"/>
        <v>#VALUE!</v>
      </c>
      <c r="AE1015" s="1" t="e">
        <f t="shared" si="94"/>
        <v>#VALUE!</v>
      </c>
      <c r="AG1015">
        <f t="shared" si="95"/>
        <v>2.6547299999999998</v>
      </c>
      <c r="AH1015">
        <f t="shared" si="96"/>
        <v>0.27281</v>
      </c>
      <c r="AI1015" t="e">
        <f>VLOOKUP(L1015,'[1]Tuyến cáp H04'!$B:$E,3,0)/1000</f>
        <v>#N/A</v>
      </c>
      <c r="AJ1015" t="e">
        <f>VLOOKUP(L1015,'[1]Tuyến cáp H04'!$B:$E,4,0)</f>
        <v>#N/A</v>
      </c>
    </row>
    <row r="1016" spans="1:36" x14ac:dyDescent="0.25">
      <c r="A1016" s="1" t="s">
        <v>9811</v>
      </c>
      <c r="B1016" s="1" t="s">
        <v>9812</v>
      </c>
      <c r="C1016" s="1" t="s">
        <v>9813</v>
      </c>
      <c r="D1016" s="1" t="s">
        <v>9101</v>
      </c>
      <c r="E1016" s="1" t="s">
        <v>9102</v>
      </c>
      <c r="F1016" s="1" t="s">
        <v>9814</v>
      </c>
      <c r="G1016" s="1" t="s">
        <v>14129</v>
      </c>
      <c r="H1016" s="1" t="s">
        <v>14130</v>
      </c>
      <c r="I1016" s="1" t="s">
        <v>15127</v>
      </c>
      <c r="J1016" s="1" t="s">
        <v>23</v>
      </c>
      <c r="K1016" s="1"/>
      <c r="L1016" s="1" t="s">
        <v>8350</v>
      </c>
      <c r="M1016" s="1" t="s">
        <v>9815</v>
      </c>
      <c r="N1016" s="1" t="s">
        <v>9816</v>
      </c>
      <c r="O1016" s="1" t="s">
        <v>9817</v>
      </c>
      <c r="P1016" s="1" t="s">
        <v>9818</v>
      </c>
      <c r="Q1016" s="1" t="s">
        <v>9108</v>
      </c>
      <c r="R1016" s="1" t="s">
        <v>9109</v>
      </c>
      <c r="S1016" s="1" t="s">
        <v>9110</v>
      </c>
      <c r="T1016" s="1" t="s">
        <v>8358</v>
      </c>
      <c r="U1016">
        <v>193.16</v>
      </c>
      <c r="V1016">
        <v>91.78</v>
      </c>
      <c r="W1016">
        <v>12.750474000000001</v>
      </c>
      <c r="X1016">
        <v>108.16580399999999</v>
      </c>
      <c r="Y1016">
        <v>101.38</v>
      </c>
      <c r="Z1016">
        <v>12.753318999999999</v>
      </c>
      <c r="AA1016">
        <v>108.169235</v>
      </c>
      <c r="AB1016" s="5">
        <f t="shared" si="91"/>
        <v>0.13767000000000001</v>
      </c>
      <c r="AC1016" s="5">
        <f t="shared" si="92"/>
        <v>0.15206999999999998</v>
      </c>
      <c r="AD1016" s="1" t="str">
        <f t="shared" si="93"/>
        <v>TT1 Đăk Lăk</v>
      </c>
      <c r="AE1016" s="1" t="str">
        <f t="shared" si="94"/>
        <v>ILA Ea Kar</v>
      </c>
      <c r="AG1016">
        <f t="shared" si="95"/>
        <v>9.178E-2</v>
      </c>
      <c r="AH1016">
        <f t="shared" si="96"/>
        <v>0.10138</v>
      </c>
      <c r="AI1016" t="e">
        <f>VLOOKUP(L1016,'[1]Tuyến cáp H04'!$B:$E,3,0)/1000</f>
        <v>#N/A</v>
      </c>
      <c r="AJ1016" t="e">
        <f>VLOOKUP(L1016,'[1]Tuyến cáp H04'!$B:$E,4,0)</f>
        <v>#N/A</v>
      </c>
    </row>
    <row r="1017" spans="1:36" x14ac:dyDescent="0.25">
      <c r="A1017" s="1" t="s">
        <v>9819</v>
      </c>
      <c r="B1017" s="1" t="s">
        <v>9820</v>
      </c>
      <c r="C1017" s="1" t="s">
        <v>9821</v>
      </c>
      <c r="D1017" s="1" t="s">
        <v>8332</v>
      </c>
      <c r="E1017" s="1" t="s">
        <v>8333</v>
      </c>
      <c r="F1017" s="1" t="s">
        <v>9822</v>
      </c>
      <c r="G1017" s="1" t="s">
        <v>14129</v>
      </c>
      <c r="H1017" s="1" t="s">
        <v>14130</v>
      </c>
      <c r="I1017" s="1" t="s">
        <v>15128</v>
      </c>
      <c r="J1017" s="1" t="s">
        <v>23</v>
      </c>
      <c r="K1017" s="1"/>
      <c r="L1017" s="1" t="s">
        <v>9823</v>
      </c>
      <c r="M1017" s="1" t="s">
        <v>9824</v>
      </c>
      <c r="N1017" s="1" t="s">
        <v>9825</v>
      </c>
      <c r="O1017" s="1" t="s">
        <v>9826</v>
      </c>
      <c r="P1017" s="1" t="s">
        <v>9827</v>
      </c>
      <c r="Q1017" s="1" t="s">
        <v>9828</v>
      </c>
      <c r="R1017" s="1" t="s">
        <v>9829</v>
      </c>
      <c r="S1017" s="1" t="s">
        <v>9830</v>
      </c>
      <c r="T1017" s="1" t="s">
        <v>9831</v>
      </c>
      <c r="U1017">
        <v>64.790000000000006</v>
      </c>
      <c r="V1017">
        <v>53.24</v>
      </c>
      <c r="W1017">
        <v>12.916411</v>
      </c>
      <c r="X1017">
        <v>108.26605000000001</v>
      </c>
      <c r="Y1017">
        <v>11.55</v>
      </c>
      <c r="Z1017">
        <v>12.916282000000001</v>
      </c>
      <c r="AA1017">
        <v>108.266552</v>
      </c>
      <c r="AB1017" s="5">
        <f t="shared" si="91"/>
        <v>7.986E-2</v>
      </c>
      <c r="AC1017" s="5">
        <f t="shared" si="92"/>
        <v>1.7325000000000004E-2</v>
      </c>
      <c r="AD1017" s="1" t="str">
        <f t="shared" si="93"/>
        <v>Ea Drông</v>
      </c>
      <c r="AE1017" s="1" t="str">
        <f t="shared" si="94"/>
        <v>TTCMKV Thị xã Buôn
Hồ"</v>
      </c>
      <c r="AG1017">
        <f t="shared" si="95"/>
        <v>5.3240000000000003E-2</v>
      </c>
      <c r="AH1017">
        <f t="shared" si="96"/>
        <v>1.1550000000000001E-2</v>
      </c>
      <c r="AI1017" t="e">
        <f>VLOOKUP(L1017,'[1]Tuyến cáp H04'!$B:$E,3,0)/1000</f>
        <v>#N/A</v>
      </c>
      <c r="AJ1017" t="e">
        <f>VLOOKUP(L1017,'[1]Tuyến cáp H04'!$B:$E,4,0)</f>
        <v>#N/A</v>
      </c>
    </row>
    <row r="1018" spans="1:36" x14ac:dyDescent="0.25">
      <c r="A1018" s="1" t="s">
        <v>9832</v>
      </c>
      <c r="B1018" s="1" t="s">
        <v>9833</v>
      </c>
      <c r="C1018" s="1" t="s">
        <v>9834</v>
      </c>
      <c r="D1018" s="1" t="s">
        <v>8569</v>
      </c>
      <c r="E1018" s="1" t="s">
        <v>8570</v>
      </c>
      <c r="F1018" s="1" t="s">
        <v>9835</v>
      </c>
      <c r="G1018" s="1" t="s">
        <v>14129</v>
      </c>
      <c r="H1018" s="1" t="s">
        <v>14130</v>
      </c>
      <c r="I1018" s="1" t="s">
        <v>15129</v>
      </c>
      <c r="J1018" s="1" t="s">
        <v>23</v>
      </c>
      <c r="K1018" s="1"/>
      <c r="L1018" s="1" t="s">
        <v>9089</v>
      </c>
      <c r="M1018" s="1" t="s">
        <v>9836</v>
      </c>
      <c r="N1018" s="1" t="s">
        <v>9837</v>
      </c>
      <c r="O1018" s="1" t="s">
        <v>9838</v>
      </c>
      <c r="P1018" s="1" t="s">
        <v>9839</v>
      </c>
      <c r="Q1018" s="1" t="s">
        <v>9840</v>
      </c>
      <c r="R1018" s="1" t="s">
        <v>9841</v>
      </c>
      <c r="S1018" s="1" t="s">
        <v>9842</v>
      </c>
      <c r="T1018" s="1" t="s">
        <v>9843</v>
      </c>
      <c r="U1018">
        <v>433.61</v>
      </c>
      <c r="V1018">
        <v>360.14</v>
      </c>
      <c r="W1018">
        <v>12.703111</v>
      </c>
      <c r="X1018">
        <v>108.074478</v>
      </c>
      <c r="Y1018">
        <v>73.47</v>
      </c>
      <c r="Z1018">
        <v>12.712294999999999</v>
      </c>
      <c r="AA1018">
        <v>108.06672</v>
      </c>
      <c r="AB1018" s="5">
        <f t="shared" si="91"/>
        <v>0.54021000000000008</v>
      </c>
      <c r="AC1018" s="5">
        <f t="shared" si="92"/>
        <v>0.110205</v>
      </c>
      <c r="AD1018" s="1" t="str">
        <f t="shared" si="93"/>
        <v>Trại tạm giam Buôn Mê Thuột</v>
      </c>
      <c r="AE1018" s="1" t="str">
        <f t="shared" si="94"/>
        <v>TT1 Đăk Lăk</v>
      </c>
      <c r="AG1018">
        <f t="shared" si="95"/>
        <v>0.36013999999999996</v>
      </c>
      <c r="AH1018">
        <f t="shared" si="96"/>
        <v>7.3469999999999994E-2</v>
      </c>
      <c r="AI1018">
        <f>VLOOKUP(L1018,'[1]Tuyến cáp H04'!$B:$E,3,0)/1000</f>
        <v>5.3780000000000001</v>
      </c>
      <c r="AJ1018" t="str">
        <f>VLOOKUP(L1018,'[1]Tuyến cáp H04'!$B:$E,4,0)</f>
        <v>Mạng cấp 3</v>
      </c>
    </row>
    <row r="1019" spans="1:36" x14ac:dyDescent="0.25">
      <c r="A1019" s="1" t="s">
        <v>9844</v>
      </c>
      <c r="B1019" s="1" t="s">
        <v>9845</v>
      </c>
      <c r="C1019" s="1" t="s">
        <v>9846</v>
      </c>
      <c r="D1019" s="1" t="s">
        <v>9847</v>
      </c>
      <c r="E1019" s="1" t="s">
        <v>9848</v>
      </c>
      <c r="F1019" s="1" t="s">
        <v>9849</v>
      </c>
      <c r="G1019" s="1" t="s">
        <v>14281</v>
      </c>
      <c r="H1019" s="1" t="s">
        <v>14282</v>
      </c>
      <c r="I1019" s="1" t="s">
        <v>15130</v>
      </c>
      <c r="J1019" s="1" t="s">
        <v>23</v>
      </c>
      <c r="K1019" s="1"/>
      <c r="L1019" s="1" t="s">
        <v>8111</v>
      </c>
      <c r="M1019" s="1" t="s">
        <v>9850</v>
      </c>
      <c r="N1019" s="1" t="s">
        <v>9851</v>
      </c>
      <c r="O1019" s="1" t="s">
        <v>9852</v>
      </c>
      <c r="P1019" s="1" t="s">
        <v>9853</v>
      </c>
      <c r="Q1019" s="1" t="s">
        <v>9854</v>
      </c>
      <c r="R1019" s="1" t="s">
        <v>9855</v>
      </c>
      <c r="S1019" s="1" t="s">
        <v>9856</v>
      </c>
      <c r="T1019" s="1" t="s">
        <v>8119</v>
      </c>
      <c r="U1019">
        <v>392.55</v>
      </c>
      <c r="V1019">
        <v>192.47</v>
      </c>
      <c r="W1019">
        <v>13.130394000000001</v>
      </c>
      <c r="X1019">
        <v>109.27485799999999</v>
      </c>
      <c r="Y1019">
        <v>200.08</v>
      </c>
      <c r="Z1019">
        <v>13.111753</v>
      </c>
      <c r="AA1019">
        <v>109.28274</v>
      </c>
      <c r="AB1019" s="5">
        <f t="shared" si="91"/>
        <v>0.28870499999999999</v>
      </c>
      <c r="AC1019" s="5">
        <f t="shared" si="92"/>
        <v>0.30012</v>
      </c>
      <c r="AD1019" s="1" t="str">
        <f t="shared" si="93"/>
        <v>Sông Cầu</v>
      </c>
      <c r="AE1019" s="1" t="str">
        <f t="shared" si="94"/>
        <v>TT2 Tuy Hòa</v>
      </c>
      <c r="AG1019">
        <f t="shared" si="95"/>
        <v>0.19247</v>
      </c>
      <c r="AH1019">
        <f t="shared" si="96"/>
        <v>0.20008000000000001</v>
      </c>
      <c r="AI1019">
        <f>VLOOKUP(L1019,'[1]Tuyến cáp H04'!$B:$E,3,0)/1000</f>
        <v>48.265999999999998</v>
      </c>
      <c r="AJ1019" t="str">
        <f>VLOOKUP(L1019,'[1]Tuyến cáp H04'!$B:$E,4,0)</f>
        <v>Mạng cấp 3</v>
      </c>
    </row>
    <row r="1020" spans="1:36" x14ac:dyDescent="0.25">
      <c r="A1020" s="1" t="s">
        <v>9857</v>
      </c>
      <c r="B1020" s="1" t="s">
        <v>9847</v>
      </c>
      <c r="C1020" s="1" t="s">
        <v>9848</v>
      </c>
      <c r="D1020" s="1" t="s">
        <v>9657</v>
      </c>
      <c r="E1020" s="1" t="s">
        <v>9658</v>
      </c>
      <c r="F1020" s="1" t="s">
        <v>9858</v>
      </c>
      <c r="G1020" s="1" t="s">
        <v>14281</v>
      </c>
      <c r="H1020" s="1" t="s">
        <v>14282</v>
      </c>
      <c r="I1020" s="1" t="s">
        <v>15131</v>
      </c>
      <c r="J1020" s="1" t="s">
        <v>23</v>
      </c>
      <c r="K1020" s="1"/>
      <c r="L1020" s="1" t="s">
        <v>8111</v>
      </c>
      <c r="M1020" s="1" t="s">
        <v>9859</v>
      </c>
      <c r="N1020" s="1" t="s">
        <v>9854</v>
      </c>
      <c r="O1020" s="1" t="s">
        <v>9855</v>
      </c>
      <c r="P1020" s="1" t="s">
        <v>9856</v>
      </c>
      <c r="Q1020" s="1" t="s">
        <v>9860</v>
      </c>
      <c r="R1020" s="1" t="s">
        <v>9861</v>
      </c>
      <c r="S1020" s="1" t="s">
        <v>9862</v>
      </c>
      <c r="T1020" s="1" t="s">
        <v>8119</v>
      </c>
      <c r="U1020">
        <v>347.65</v>
      </c>
      <c r="V1020">
        <v>200.08</v>
      </c>
      <c r="W1020">
        <v>13.111753</v>
      </c>
      <c r="X1020">
        <v>109.28274</v>
      </c>
      <c r="Y1020">
        <v>147.58000000000001</v>
      </c>
      <c r="Z1020">
        <v>13.094139</v>
      </c>
      <c r="AA1020">
        <v>109.29262799999999</v>
      </c>
      <c r="AB1020" s="5">
        <f t="shared" si="91"/>
        <v>0.30012</v>
      </c>
      <c r="AC1020" s="5">
        <f t="shared" si="92"/>
        <v>0.22137000000000001</v>
      </c>
      <c r="AD1020" s="1" t="str">
        <f t="shared" si="93"/>
        <v>Sông Cầu</v>
      </c>
      <c r="AE1020" s="1" t="str">
        <f t="shared" si="94"/>
        <v>TT2 Tuy Hòa</v>
      </c>
      <c r="AG1020">
        <f t="shared" si="95"/>
        <v>0.20008000000000001</v>
      </c>
      <c r="AH1020">
        <f t="shared" si="96"/>
        <v>0.14758000000000002</v>
      </c>
      <c r="AI1020">
        <f>VLOOKUP(L1020,'[1]Tuyến cáp H04'!$B:$E,3,0)/1000</f>
        <v>48.265999999999998</v>
      </c>
      <c r="AJ1020" t="str">
        <f>VLOOKUP(L1020,'[1]Tuyến cáp H04'!$B:$E,4,0)</f>
        <v>Mạng cấp 3</v>
      </c>
    </row>
    <row r="1021" spans="1:36" x14ac:dyDescent="0.25">
      <c r="A1021" s="1" t="s">
        <v>9863</v>
      </c>
      <c r="B1021" s="1" t="s">
        <v>9657</v>
      </c>
      <c r="C1021" s="1" t="s">
        <v>9658</v>
      </c>
      <c r="D1021" s="1" t="s">
        <v>9018</v>
      </c>
      <c r="E1021" s="1" t="s">
        <v>9019</v>
      </c>
      <c r="F1021" s="1" t="s">
        <v>9864</v>
      </c>
      <c r="G1021" s="1" t="s">
        <v>14281</v>
      </c>
      <c r="H1021" s="1" t="s">
        <v>14282</v>
      </c>
      <c r="I1021" s="1" t="s">
        <v>15132</v>
      </c>
      <c r="J1021" s="1" t="s">
        <v>23</v>
      </c>
      <c r="K1021" s="1"/>
      <c r="L1021" s="1" t="s">
        <v>9865</v>
      </c>
      <c r="M1021" s="1" t="s">
        <v>9866</v>
      </c>
      <c r="N1021" s="1" t="s">
        <v>9867</v>
      </c>
      <c r="O1021" s="1" t="s">
        <v>9868</v>
      </c>
      <c r="P1021" s="1" t="s">
        <v>9869</v>
      </c>
      <c r="Q1021" s="1" t="s">
        <v>9870</v>
      </c>
      <c r="R1021" s="1" t="s">
        <v>9871</v>
      </c>
      <c r="S1021" s="1" t="s">
        <v>9872</v>
      </c>
      <c r="T1021" s="1" t="s">
        <v>9873</v>
      </c>
      <c r="U1021">
        <v>18.809999999999999</v>
      </c>
      <c r="V1021">
        <v>6.02</v>
      </c>
      <c r="W1021">
        <v>13.094963</v>
      </c>
      <c r="X1021">
        <v>109.291572</v>
      </c>
      <c r="Y1021">
        <v>12.79</v>
      </c>
      <c r="Z1021">
        <v>13.093813000000001</v>
      </c>
      <c r="AA1021">
        <v>109.29109099999999</v>
      </c>
      <c r="AB1021" s="5">
        <f t="shared" si="91"/>
        <v>9.0299999999999998E-3</v>
      </c>
      <c r="AC1021" s="5">
        <f t="shared" si="92"/>
        <v>1.9184999999999997E-2</v>
      </c>
      <c r="AD1021" s="1" t="str">
        <f t="shared" si="93"/>
        <v>PC07</v>
      </c>
      <c r="AE1021" s="1" t="str">
        <f t="shared" si="94"/>
        <v>PC11</v>
      </c>
      <c r="AG1021">
        <f t="shared" si="95"/>
        <v>6.0199999999999993E-3</v>
      </c>
      <c r="AH1021">
        <f t="shared" si="96"/>
        <v>1.2789999999999999E-2</v>
      </c>
      <c r="AI1021">
        <f>VLOOKUP(L1021,'[1]Tuyến cáp H04'!$B:$E,3,0)/1000</f>
        <v>0.372</v>
      </c>
      <c r="AJ1021" t="str">
        <f>VLOOKUP(L1021,'[1]Tuyến cáp H04'!$B:$E,4,0)</f>
        <v>Mạng cấp 3</v>
      </c>
    </row>
    <row r="1022" spans="1:36" x14ac:dyDescent="0.25">
      <c r="A1022" s="1" t="s">
        <v>9874</v>
      </c>
      <c r="B1022" s="1" t="s">
        <v>9018</v>
      </c>
      <c r="C1022" s="1" t="s">
        <v>9019</v>
      </c>
      <c r="D1022" s="1" t="s">
        <v>9875</v>
      </c>
      <c r="E1022" s="1" t="s">
        <v>9876</v>
      </c>
      <c r="F1022" s="1" t="s">
        <v>9877</v>
      </c>
      <c r="G1022" s="1" t="s">
        <v>14281</v>
      </c>
      <c r="H1022" s="1" t="s">
        <v>14282</v>
      </c>
      <c r="I1022" s="1" t="s">
        <v>15133</v>
      </c>
      <c r="J1022" s="1" t="s">
        <v>23</v>
      </c>
      <c r="K1022" s="1"/>
      <c r="L1022" s="1" t="s">
        <v>9878</v>
      </c>
      <c r="M1022" s="1" t="s">
        <v>9879</v>
      </c>
      <c r="N1022" s="1" t="s">
        <v>9880</v>
      </c>
      <c r="O1022" s="1" t="s">
        <v>9881</v>
      </c>
      <c r="P1022" s="1" t="s">
        <v>9882</v>
      </c>
      <c r="Q1022" s="1" t="s">
        <v>1017</v>
      </c>
      <c r="R1022" s="1" t="s">
        <v>9883</v>
      </c>
      <c r="S1022" s="1" t="s">
        <v>9884</v>
      </c>
      <c r="T1022" s="1" t="s">
        <v>9885</v>
      </c>
      <c r="U1022">
        <v>165.06</v>
      </c>
      <c r="V1022">
        <v>161.49</v>
      </c>
      <c r="W1022">
        <v>13.094086000000001</v>
      </c>
      <c r="X1022">
        <v>109.292655</v>
      </c>
      <c r="Y1022">
        <v>3.57</v>
      </c>
      <c r="Z1022">
        <v>13.088816</v>
      </c>
      <c r="AA1022">
        <v>109.299329</v>
      </c>
      <c r="AB1022" s="5">
        <f t="shared" si="91"/>
        <v>0.24223500000000001</v>
      </c>
      <c r="AC1022" s="5">
        <f t="shared" si="92"/>
        <v>5.3549999999999995E-3</v>
      </c>
      <c r="AD1022" s="1" t="str">
        <f t="shared" si="93"/>
        <v>TT2 Đăk Lăk (Tuy Hòa)</v>
      </c>
      <c r="AE1022" s="1" t="str">
        <f t="shared" si="94"/>
        <v>PC06</v>
      </c>
      <c r="AG1022">
        <f t="shared" si="95"/>
        <v>0.16149000000000002</v>
      </c>
      <c r="AH1022">
        <f t="shared" si="96"/>
        <v>3.5699999999999998E-3</v>
      </c>
      <c r="AI1022">
        <f>VLOOKUP(L1022,'[1]Tuyến cáp H04'!$B:$E,3,0)/1000</f>
        <v>1.96</v>
      </c>
      <c r="AJ1022" t="str">
        <f>VLOOKUP(L1022,'[1]Tuyến cáp H04'!$B:$E,4,0)</f>
        <v>Mạng cấp 3</v>
      </c>
    </row>
    <row r="1023" spans="1:36" x14ac:dyDescent="0.25">
      <c r="A1023" s="1" t="s">
        <v>9886</v>
      </c>
      <c r="B1023" s="1" t="s">
        <v>9875</v>
      </c>
      <c r="C1023" s="1" t="s">
        <v>9876</v>
      </c>
      <c r="D1023" s="1" t="s">
        <v>9887</v>
      </c>
      <c r="E1023" s="1" t="s">
        <v>9888</v>
      </c>
      <c r="F1023" s="1" t="s">
        <v>9889</v>
      </c>
      <c r="G1023" s="1" t="s">
        <v>14281</v>
      </c>
      <c r="H1023" s="1" t="s">
        <v>14282</v>
      </c>
      <c r="I1023" s="1" t="s">
        <v>15134</v>
      </c>
      <c r="J1023" s="1" t="s">
        <v>23</v>
      </c>
      <c r="K1023" s="1"/>
      <c r="L1023" s="1" t="s">
        <v>8925</v>
      </c>
      <c r="M1023" s="1" t="s">
        <v>9890</v>
      </c>
      <c r="N1023" s="1" t="s">
        <v>9891</v>
      </c>
      <c r="O1023" s="1" t="s">
        <v>9892</v>
      </c>
      <c r="P1023" s="1" t="s">
        <v>9893</v>
      </c>
      <c r="Q1023" s="1" t="s">
        <v>9894</v>
      </c>
      <c r="R1023" s="1" t="s">
        <v>9895</v>
      </c>
      <c r="S1023" s="1" t="s">
        <v>9896</v>
      </c>
      <c r="T1023" s="1" t="s">
        <v>8933</v>
      </c>
      <c r="U1023">
        <v>196.33</v>
      </c>
      <c r="V1023">
        <v>43.3</v>
      </c>
      <c r="W1023">
        <v>13.089169</v>
      </c>
      <c r="X1023">
        <v>109.29942800000001</v>
      </c>
      <c r="Y1023">
        <v>153.02000000000001</v>
      </c>
      <c r="Z1023">
        <v>13.086256000000001</v>
      </c>
      <c r="AA1023">
        <v>109.30136299999999</v>
      </c>
      <c r="AB1023" s="5">
        <f t="shared" si="91"/>
        <v>6.4949999999999994E-2</v>
      </c>
      <c r="AC1023" s="5">
        <f t="shared" si="92"/>
        <v>0.22953000000000004</v>
      </c>
      <c r="AD1023" s="1" t="str">
        <f t="shared" si="93"/>
        <v>TT2 Đăk Lăk (Tuy Hòa)</v>
      </c>
      <c r="AE1023" s="1" t="str">
        <f t="shared" si="94"/>
        <v>Cơ quan điều tra
 Tuy Hòa</v>
      </c>
      <c r="AG1023">
        <f t="shared" si="95"/>
        <v>4.3299999999999998E-2</v>
      </c>
      <c r="AH1023">
        <f t="shared" si="96"/>
        <v>0.15302000000000002</v>
      </c>
      <c r="AI1023" t="e">
        <f>VLOOKUP(L1023,'[1]Tuyến cáp H04'!$B:$E,3,0)/1000</f>
        <v>#N/A</v>
      </c>
      <c r="AJ1023" t="e">
        <f>VLOOKUP(L1023,'[1]Tuyến cáp H04'!$B:$E,4,0)</f>
        <v>#N/A</v>
      </c>
    </row>
    <row r="1024" spans="1:36" x14ac:dyDescent="0.25">
      <c r="A1024" s="1" t="s">
        <v>9897</v>
      </c>
      <c r="B1024" s="1" t="s">
        <v>9898</v>
      </c>
      <c r="C1024" s="1" t="s">
        <v>9899</v>
      </c>
      <c r="D1024" s="1" t="s">
        <v>9900</v>
      </c>
      <c r="E1024" s="1" t="s">
        <v>9901</v>
      </c>
      <c r="F1024" s="1" t="s">
        <v>9902</v>
      </c>
      <c r="G1024" s="1" t="s">
        <v>14281</v>
      </c>
      <c r="H1024" s="1" t="s">
        <v>14282</v>
      </c>
      <c r="I1024" s="1" t="s">
        <v>15135</v>
      </c>
      <c r="J1024" s="1" t="s">
        <v>23</v>
      </c>
      <c r="K1024" s="1"/>
      <c r="L1024" s="1" t="s">
        <v>9903</v>
      </c>
      <c r="M1024" s="1" t="s">
        <v>9904</v>
      </c>
      <c r="N1024" s="1" t="s">
        <v>9905</v>
      </c>
      <c r="O1024" s="1" t="s">
        <v>9906</v>
      </c>
      <c r="P1024" s="1" t="s">
        <v>9907</v>
      </c>
      <c r="Q1024" s="1" t="s">
        <v>9908</v>
      </c>
      <c r="R1024" s="1" t="s">
        <v>9909</v>
      </c>
      <c r="S1024" s="1" t="s">
        <v>9910</v>
      </c>
      <c r="T1024" s="1" t="s">
        <v>9911</v>
      </c>
      <c r="U1024">
        <v>305.94</v>
      </c>
      <c r="V1024">
        <v>289.02</v>
      </c>
      <c r="W1024">
        <v>13.094658000000001</v>
      </c>
      <c r="X1024">
        <v>109.314221</v>
      </c>
      <c r="Y1024">
        <v>16.920000000000002</v>
      </c>
      <c r="Z1024">
        <v>13.089726000000001</v>
      </c>
      <c r="AA1024">
        <v>109.309629</v>
      </c>
      <c r="AB1024" s="5">
        <f t="shared" si="91"/>
        <v>0.43352999999999997</v>
      </c>
      <c r="AC1024" s="5">
        <f t="shared" si="92"/>
        <v>2.5380000000000003E-2</v>
      </c>
      <c r="AD1024" s="1" t="str">
        <f t="shared" si="93"/>
        <v>Phú Yên</v>
      </c>
      <c r="AE1024" s="1" t="str">
        <f t="shared" si="94"/>
        <v>CAT Phú Yên</v>
      </c>
      <c r="AG1024">
        <f t="shared" si="95"/>
        <v>0.28902</v>
      </c>
      <c r="AH1024">
        <f t="shared" si="96"/>
        <v>1.6920000000000001E-2</v>
      </c>
      <c r="AI1024">
        <f>VLOOKUP(L1024,'[1]Tuyến cáp H04'!$B:$E,3,0)/1000</f>
        <v>9.9039999999999999</v>
      </c>
      <c r="AJ1024" t="str">
        <f>VLOOKUP(L1024,'[1]Tuyến cáp H04'!$B:$E,4,0)</f>
        <v>Mạng cấp 4</v>
      </c>
    </row>
    <row r="1025" spans="1:36" x14ac:dyDescent="0.25">
      <c r="A1025" s="1" t="s">
        <v>9912</v>
      </c>
      <c r="B1025" s="1" t="s">
        <v>9900</v>
      </c>
      <c r="C1025" s="1" t="s">
        <v>9901</v>
      </c>
      <c r="D1025" s="1" t="s">
        <v>9913</v>
      </c>
      <c r="E1025" s="1" t="s">
        <v>9914</v>
      </c>
      <c r="F1025" s="1" t="s">
        <v>9915</v>
      </c>
      <c r="G1025" s="1" t="s">
        <v>14281</v>
      </c>
      <c r="H1025" s="1" t="s">
        <v>14282</v>
      </c>
      <c r="I1025" s="1" t="s">
        <v>15136</v>
      </c>
      <c r="J1025" s="1" t="s">
        <v>23</v>
      </c>
      <c r="K1025" s="1"/>
      <c r="L1025" s="1" t="s">
        <v>9903</v>
      </c>
      <c r="M1025" s="1" t="s">
        <v>9916</v>
      </c>
      <c r="N1025" s="1" t="s">
        <v>9908</v>
      </c>
      <c r="O1025" s="1" t="s">
        <v>9909</v>
      </c>
      <c r="P1025" s="1" t="s">
        <v>9910</v>
      </c>
      <c r="Q1025" s="1" t="s">
        <v>9917</v>
      </c>
      <c r="R1025" s="1" t="s">
        <v>9918</v>
      </c>
      <c r="S1025" s="1" t="s">
        <v>9919</v>
      </c>
      <c r="T1025" s="1" t="s">
        <v>9911</v>
      </c>
      <c r="U1025">
        <v>225.82</v>
      </c>
      <c r="V1025">
        <v>16.920000000000002</v>
      </c>
      <c r="W1025">
        <v>13.089726000000001</v>
      </c>
      <c r="X1025">
        <v>109.309629</v>
      </c>
      <c r="Y1025">
        <v>208.9</v>
      </c>
      <c r="Z1025">
        <v>13.088728</v>
      </c>
      <c r="AA1025">
        <v>109.30623900000001</v>
      </c>
      <c r="AB1025" s="5">
        <f t="shared" si="91"/>
        <v>2.5380000000000003E-2</v>
      </c>
      <c r="AC1025" s="5">
        <f t="shared" si="92"/>
        <v>0.31335000000000002</v>
      </c>
      <c r="AD1025" s="1" t="str">
        <f t="shared" si="93"/>
        <v>Phú Yên</v>
      </c>
      <c r="AE1025" s="1" t="str">
        <f t="shared" si="94"/>
        <v>CAT Phú Yên</v>
      </c>
      <c r="AG1025">
        <f t="shared" si="95"/>
        <v>1.6920000000000001E-2</v>
      </c>
      <c r="AH1025">
        <f t="shared" si="96"/>
        <v>0.2089</v>
      </c>
      <c r="AI1025">
        <f>VLOOKUP(L1025,'[1]Tuyến cáp H04'!$B:$E,3,0)/1000</f>
        <v>9.9039999999999999</v>
      </c>
      <c r="AJ1025" t="str">
        <f>VLOOKUP(L1025,'[1]Tuyến cáp H04'!$B:$E,4,0)</f>
        <v>Mạng cấp 4</v>
      </c>
    </row>
    <row r="1026" spans="1:36" x14ac:dyDescent="0.25">
      <c r="A1026" s="1" t="s">
        <v>9920</v>
      </c>
      <c r="B1026" s="1" t="s">
        <v>9921</v>
      </c>
      <c r="C1026" s="1" t="s">
        <v>9922</v>
      </c>
      <c r="D1026" s="1" t="s">
        <v>9923</v>
      </c>
      <c r="E1026" s="1" t="s">
        <v>9924</v>
      </c>
      <c r="F1026" s="1" t="s">
        <v>9925</v>
      </c>
      <c r="G1026" s="1" t="s">
        <v>14281</v>
      </c>
      <c r="H1026" s="1" t="s">
        <v>14282</v>
      </c>
      <c r="I1026" s="1" t="s">
        <v>15137</v>
      </c>
      <c r="J1026" s="1" t="s">
        <v>23</v>
      </c>
      <c r="K1026" s="1"/>
      <c r="L1026" s="1" t="s">
        <v>9456</v>
      </c>
      <c r="M1026" s="1" t="s">
        <v>9926</v>
      </c>
      <c r="N1026" s="1" t="s">
        <v>9927</v>
      </c>
      <c r="O1026" s="1" t="s">
        <v>9928</v>
      </c>
      <c r="P1026" s="1" t="s">
        <v>9929</v>
      </c>
      <c r="Q1026" s="1" t="s">
        <v>9930</v>
      </c>
      <c r="R1026" s="1" t="s">
        <v>9931</v>
      </c>
      <c r="S1026" s="1" t="s">
        <v>9932</v>
      </c>
      <c r="T1026" s="1" t="s">
        <v>9933</v>
      </c>
      <c r="U1026">
        <v>1502.01</v>
      </c>
      <c r="V1026">
        <v>656.9</v>
      </c>
      <c r="W1026">
        <v>13.141819999999999</v>
      </c>
      <c r="X1026">
        <v>109.28716300000001</v>
      </c>
      <c r="Y1026">
        <v>845.11</v>
      </c>
      <c r="Z1026">
        <v>13.117717000000001</v>
      </c>
      <c r="AA1026">
        <v>109.302817</v>
      </c>
      <c r="AB1026" s="5">
        <f t="shared" si="91"/>
        <v>0.98534999999999995</v>
      </c>
      <c r="AC1026" s="5">
        <f t="shared" si="92"/>
        <v>1.267665</v>
      </c>
      <c r="AD1026" s="1" t="str">
        <f t="shared" si="93"/>
        <v>CAT Phú Yên</v>
      </c>
      <c r="AE1026" s="1" t="str">
        <f t="shared" si="94"/>
        <v>Tuy An Nam</v>
      </c>
      <c r="AG1026">
        <f t="shared" si="95"/>
        <v>0.65689999999999993</v>
      </c>
      <c r="AH1026">
        <f t="shared" si="96"/>
        <v>0.84511000000000003</v>
      </c>
      <c r="AI1026">
        <f>VLOOKUP(L1026,'[1]Tuyến cáp H04'!$B:$E,3,0)/1000</f>
        <v>8.3849999999999998</v>
      </c>
      <c r="AJ1026" t="str">
        <f>VLOOKUP(L1026,'[1]Tuyến cáp H04'!$B:$E,4,0)</f>
        <v>Mạng cấp 4</v>
      </c>
    </row>
    <row r="1027" spans="1:36" x14ac:dyDescent="0.25">
      <c r="A1027" s="1" t="s">
        <v>9934</v>
      </c>
      <c r="B1027" s="1" t="s">
        <v>9923</v>
      </c>
      <c r="C1027" s="1" t="s">
        <v>9924</v>
      </c>
      <c r="D1027" s="1" t="s">
        <v>9935</v>
      </c>
      <c r="E1027" s="1" t="s">
        <v>9936</v>
      </c>
      <c r="F1027" s="1" t="s">
        <v>9937</v>
      </c>
      <c r="G1027" s="1" t="s">
        <v>14281</v>
      </c>
      <c r="H1027" s="1" t="s">
        <v>14282</v>
      </c>
      <c r="I1027" s="1" t="s">
        <v>15138</v>
      </c>
      <c r="J1027" s="1" t="s">
        <v>23</v>
      </c>
      <c r="K1027" s="1"/>
      <c r="L1027" s="1" t="s">
        <v>9135</v>
      </c>
      <c r="M1027" s="1" t="s">
        <v>9938</v>
      </c>
      <c r="N1027" s="1" t="s">
        <v>9939</v>
      </c>
      <c r="O1027" s="1" t="s">
        <v>9940</v>
      </c>
      <c r="P1027" s="1" t="s">
        <v>9941</v>
      </c>
      <c r="Q1027" s="1" t="s">
        <v>9942</v>
      </c>
      <c r="R1027" s="1" t="s">
        <v>9943</v>
      </c>
      <c r="S1027" s="1" t="s">
        <v>9944</v>
      </c>
      <c r="T1027" s="1" t="s">
        <v>9143</v>
      </c>
      <c r="U1027">
        <v>1033.82</v>
      </c>
      <c r="V1027">
        <v>745.28</v>
      </c>
      <c r="W1027">
        <v>13.116629</v>
      </c>
      <c r="X1027">
        <v>109.30365399999999</v>
      </c>
      <c r="Y1027">
        <v>288.54000000000002</v>
      </c>
      <c r="Z1027">
        <v>13.108523</v>
      </c>
      <c r="AA1027">
        <v>109.304092</v>
      </c>
      <c r="AB1027" s="5">
        <f t="shared" ref="AB1027:AB1090" si="97">V1027*1.5/1000</f>
        <v>1.11792</v>
      </c>
      <c r="AC1027" s="5">
        <f t="shared" ref="AC1027:AC1090" si="98">Y1027*1.5/1000</f>
        <v>0.43281000000000008</v>
      </c>
      <c r="AD1027" s="1" t="str">
        <f t="shared" ref="AD1027:AD1090" si="99">TRIM(LEFT(L1027,FIND("-",L1027)-1))</f>
        <v>CAT PHÚ YÊN</v>
      </c>
      <c r="AE1027" s="1" t="str">
        <f t="shared" ref="AE1027:AE1090" si="100">TRIM(RIGHT(L1027, LEN(L1027) - FIND("-", L1027)))</f>
        <v>Cảng hàng không Tuy Hòa</v>
      </c>
      <c r="AG1027">
        <f t="shared" ref="AG1027:AG1090" si="101">V1027/1000</f>
        <v>0.74527999999999994</v>
      </c>
      <c r="AH1027">
        <f t="shared" ref="AH1027:AH1090" si="102">Y1027/1000</f>
        <v>0.28854000000000002</v>
      </c>
      <c r="AI1027" t="e">
        <f>VLOOKUP(L1027,'[1]Tuyến cáp H04'!$B:$E,3,0)/1000</f>
        <v>#N/A</v>
      </c>
      <c r="AJ1027" t="e">
        <f>VLOOKUP(L1027,'[1]Tuyến cáp H04'!$B:$E,4,0)</f>
        <v>#N/A</v>
      </c>
    </row>
    <row r="1028" spans="1:36" x14ac:dyDescent="0.25">
      <c r="A1028" s="1" t="s">
        <v>9945</v>
      </c>
      <c r="B1028" s="1" t="s">
        <v>9921</v>
      </c>
      <c r="C1028" s="1" t="s">
        <v>9922</v>
      </c>
      <c r="D1028" s="1" t="s">
        <v>9946</v>
      </c>
      <c r="E1028" s="1" t="s">
        <v>9947</v>
      </c>
      <c r="F1028" s="1" t="s">
        <v>9948</v>
      </c>
      <c r="G1028" s="1" t="s">
        <v>14281</v>
      </c>
      <c r="H1028" s="1" t="s">
        <v>14282</v>
      </c>
      <c r="I1028" s="1" t="s">
        <v>15139</v>
      </c>
      <c r="J1028" s="1" t="s">
        <v>23</v>
      </c>
      <c r="K1028" s="1"/>
      <c r="L1028" s="1" t="s">
        <v>8111</v>
      </c>
      <c r="M1028" s="1" t="s">
        <v>9949</v>
      </c>
      <c r="N1028" s="1" t="s">
        <v>9950</v>
      </c>
      <c r="O1028" s="1" t="s">
        <v>9951</v>
      </c>
      <c r="P1028" s="1" t="s">
        <v>9952</v>
      </c>
      <c r="Q1028" s="1" t="s">
        <v>9953</v>
      </c>
      <c r="R1028" s="1" t="s">
        <v>9954</v>
      </c>
      <c r="S1028" s="1" t="s">
        <v>9955</v>
      </c>
      <c r="T1028" s="1" t="s">
        <v>8119</v>
      </c>
      <c r="U1028">
        <v>3290.52</v>
      </c>
      <c r="V1028">
        <v>342.96</v>
      </c>
      <c r="W1028">
        <v>13.143236999999999</v>
      </c>
      <c r="X1028">
        <v>109.27804500000001</v>
      </c>
      <c r="Y1028">
        <v>2947.56</v>
      </c>
      <c r="Z1028">
        <v>13.093349999999999</v>
      </c>
      <c r="AA1028">
        <v>109.29304399999999</v>
      </c>
      <c r="AB1028" s="5">
        <f t="shared" si="97"/>
        <v>0.5144399999999999</v>
      </c>
      <c r="AC1028" s="5">
        <f t="shared" si="98"/>
        <v>4.4213399999999998</v>
      </c>
      <c r="AD1028" s="1" t="str">
        <f t="shared" si="99"/>
        <v>Sông Cầu</v>
      </c>
      <c r="AE1028" s="1" t="str">
        <f t="shared" si="100"/>
        <v>TT2 Tuy Hòa</v>
      </c>
      <c r="AG1028">
        <f t="shared" si="101"/>
        <v>0.34295999999999999</v>
      </c>
      <c r="AH1028">
        <f t="shared" si="102"/>
        <v>2.9475599999999997</v>
      </c>
      <c r="AI1028">
        <f>VLOOKUP(L1028,'[1]Tuyến cáp H04'!$B:$E,3,0)/1000</f>
        <v>48.265999999999998</v>
      </c>
      <c r="AJ1028" t="str">
        <f>VLOOKUP(L1028,'[1]Tuyến cáp H04'!$B:$E,4,0)</f>
        <v>Mạng cấp 3</v>
      </c>
    </row>
    <row r="1029" spans="1:36" x14ac:dyDescent="0.25">
      <c r="A1029" s="1" t="s">
        <v>9956</v>
      </c>
      <c r="B1029" s="1" t="s">
        <v>9946</v>
      </c>
      <c r="C1029" s="1" t="s">
        <v>9947</v>
      </c>
      <c r="D1029" s="1" t="s">
        <v>9957</v>
      </c>
      <c r="E1029" s="1" t="s">
        <v>9958</v>
      </c>
      <c r="F1029" s="1" t="s">
        <v>9959</v>
      </c>
      <c r="G1029" s="1" t="s">
        <v>14281</v>
      </c>
      <c r="H1029" s="1" t="s">
        <v>14282</v>
      </c>
      <c r="I1029" s="1" t="s">
        <v>15140</v>
      </c>
      <c r="J1029" s="1" t="s">
        <v>23</v>
      </c>
      <c r="K1029" s="1"/>
      <c r="L1029" s="1" t="s">
        <v>8925</v>
      </c>
      <c r="M1029" s="1" t="s">
        <v>9960</v>
      </c>
      <c r="N1029" s="1" t="s">
        <v>9961</v>
      </c>
      <c r="O1029" s="1" t="s">
        <v>9962</v>
      </c>
      <c r="P1029" s="1" t="s">
        <v>9963</v>
      </c>
      <c r="Q1029" s="1" t="s">
        <v>9964</v>
      </c>
      <c r="R1029" s="1" t="s">
        <v>9965</v>
      </c>
      <c r="S1029" s="1" t="s">
        <v>9966</v>
      </c>
      <c r="T1029" s="1" t="s">
        <v>9967</v>
      </c>
      <c r="U1029">
        <v>74.53</v>
      </c>
      <c r="V1029">
        <v>20.2</v>
      </c>
      <c r="W1029">
        <v>13.094965999999999</v>
      </c>
      <c r="X1029">
        <v>109.32032599999999</v>
      </c>
      <c r="Y1029">
        <v>54.33</v>
      </c>
      <c r="Z1029">
        <v>13.087904999999999</v>
      </c>
      <c r="AA1029">
        <v>109.311836</v>
      </c>
      <c r="AB1029" s="5">
        <f t="shared" si="97"/>
        <v>3.0299999999999997E-2</v>
      </c>
      <c r="AC1029" s="5">
        <f t="shared" si="98"/>
        <v>8.1494999999999998E-2</v>
      </c>
      <c r="AD1029" s="1" t="str">
        <f t="shared" si="99"/>
        <v>TT2 Đăk Lăk (Tuy Hòa)</v>
      </c>
      <c r="AE1029" s="1" t="str">
        <f t="shared" si="100"/>
        <v>Cơ quan điều tra
 Tuy Hòa</v>
      </c>
      <c r="AG1029">
        <f t="shared" si="101"/>
        <v>2.0199999999999999E-2</v>
      </c>
      <c r="AH1029">
        <f t="shared" si="102"/>
        <v>5.4329999999999996E-2</v>
      </c>
      <c r="AI1029" t="e">
        <f>VLOOKUP(L1029,'[1]Tuyến cáp H04'!$B:$E,3,0)/1000</f>
        <v>#N/A</v>
      </c>
      <c r="AJ1029" t="e">
        <f>VLOOKUP(L1029,'[1]Tuyến cáp H04'!$B:$E,4,0)</f>
        <v>#N/A</v>
      </c>
    </row>
    <row r="1030" spans="1:36" x14ac:dyDescent="0.25">
      <c r="A1030" s="1" t="s">
        <v>9968</v>
      </c>
      <c r="B1030" s="1" t="s">
        <v>9957</v>
      </c>
      <c r="C1030" s="1" t="s">
        <v>9958</v>
      </c>
      <c r="D1030" s="1" t="s">
        <v>9957</v>
      </c>
      <c r="E1030" s="1" t="s">
        <v>9958</v>
      </c>
      <c r="F1030" s="1" t="s">
        <v>9969</v>
      </c>
      <c r="G1030" s="1" t="s">
        <v>14281</v>
      </c>
      <c r="H1030" s="1" t="s">
        <v>14282</v>
      </c>
      <c r="I1030" s="1" t="s">
        <v>15141</v>
      </c>
      <c r="J1030" s="1" t="s">
        <v>23</v>
      </c>
      <c r="K1030" s="1"/>
      <c r="L1030" s="1" t="s">
        <v>9970</v>
      </c>
      <c r="M1030" s="1" t="s">
        <v>9971</v>
      </c>
      <c r="N1030" s="1" t="s">
        <v>9972</v>
      </c>
      <c r="O1030" s="1" t="s">
        <v>9973</v>
      </c>
      <c r="P1030" s="1" t="s">
        <v>9974</v>
      </c>
      <c r="Q1030" s="1" t="s">
        <v>9972</v>
      </c>
      <c r="R1030" s="1" t="s">
        <v>9973</v>
      </c>
      <c r="S1030" s="1" t="s">
        <v>9974</v>
      </c>
      <c r="T1030" s="1" t="s">
        <v>9975</v>
      </c>
      <c r="U1030">
        <v>8.68</v>
      </c>
      <c r="V1030">
        <v>4.34</v>
      </c>
      <c r="W1030">
        <v>13.088093000000001</v>
      </c>
      <c r="X1030">
        <v>109.31225999999999</v>
      </c>
      <c r="Y1030">
        <v>4.34</v>
      </c>
      <c r="Z1030">
        <v>13.088093000000001</v>
      </c>
      <c r="AA1030">
        <v>109.31225999999999</v>
      </c>
      <c r="AB1030" s="5">
        <f t="shared" si="97"/>
        <v>6.5100000000000002E-3</v>
      </c>
      <c r="AC1030" s="5">
        <f t="shared" si="98"/>
        <v>6.5100000000000002E-3</v>
      </c>
      <c r="AD1030" s="1" t="str">
        <f t="shared" si="99"/>
        <v>Cơ quan điều tra Tuy Hòa</v>
      </c>
      <c r="AE1030" s="1" t="str">
        <f t="shared" si="100"/>
        <v>PA08</v>
      </c>
      <c r="AG1030">
        <f t="shared" si="101"/>
        <v>4.3400000000000001E-3</v>
      </c>
      <c r="AH1030">
        <f t="shared" si="102"/>
        <v>4.3400000000000001E-3</v>
      </c>
      <c r="AI1030">
        <f>VLOOKUP(L1030,'[1]Tuyến cáp H04'!$B:$E,3,0)/1000</f>
        <v>2.27</v>
      </c>
      <c r="AJ1030" t="str">
        <f>VLOOKUP(L1030,'[1]Tuyến cáp H04'!$B:$E,4,0)</f>
        <v>Mạng cấp 3</v>
      </c>
    </row>
    <row r="1031" spans="1:36" x14ac:dyDescent="0.25">
      <c r="A1031" s="1" t="s">
        <v>9976</v>
      </c>
      <c r="B1031" s="1" t="s">
        <v>9957</v>
      </c>
      <c r="C1031" s="1" t="s">
        <v>9958</v>
      </c>
      <c r="D1031" s="1" t="s">
        <v>9913</v>
      </c>
      <c r="E1031" s="1" t="s">
        <v>9914</v>
      </c>
      <c r="F1031" s="1" t="s">
        <v>9977</v>
      </c>
      <c r="G1031" s="1" t="s">
        <v>14281</v>
      </c>
      <c r="H1031" s="1" t="s">
        <v>14282</v>
      </c>
      <c r="I1031" s="1" t="s">
        <v>15142</v>
      </c>
      <c r="J1031" s="1" t="s">
        <v>23</v>
      </c>
      <c r="K1031" s="1"/>
      <c r="L1031" s="1" t="s">
        <v>9135</v>
      </c>
      <c r="M1031" s="1" t="s">
        <v>9978</v>
      </c>
      <c r="N1031" s="1" t="s">
        <v>9979</v>
      </c>
      <c r="O1031" s="1" t="s">
        <v>9980</v>
      </c>
      <c r="P1031" s="1" t="s">
        <v>9981</v>
      </c>
      <c r="Q1031" s="1" t="s">
        <v>9982</v>
      </c>
      <c r="R1031" s="1" t="s">
        <v>9226</v>
      </c>
      <c r="S1031" s="1" t="s">
        <v>9227</v>
      </c>
      <c r="T1031" s="1" t="s">
        <v>9228</v>
      </c>
      <c r="U1031">
        <v>306.38</v>
      </c>
      <c r="V1031">
        <v>104.02</v>
      </c>
      <c r="W1031">
        <v>13.088291</v>
      </c>
      <c r="X1031">
        <v>109.313238</v>
      </c>
      <c r="Y1031">
        <v>202.36</v>
      </c>
      <c r="Z1031">
        <v>13.087066999999999</v>
      </c>
      <c r="AA1031">
        <v>109.308887</v>
      </c>
      <c r="AB1031" s="5">
        <f t="shared" si="97"/>
        <v>0.15603</v>
      </c>
      <c r="AC1031" s="5">
        <f t="shared" si="98"/>
        <v>0.30354000000000003</v>
      </c>
      <c r="AD1031" s="1" t="str">
        <f t="shared" si="99"/>
        <v>CAT PHÚ YÊN</v>
      </c>
      <c r="AE1031" s="1" t="str">
        <f t="shared" si="100"/>
        <v>Cảng hàng không Tuy Hòa</v>
      </c>
      <c r="AG1031">
        <f t="shared" si="101"/>
        <v>0.10402</v>
      </c>
      <c r="AH1031">
        <f t="shared" si="102"/>
        <v>0.20236000000000001</v>
      </c>
      <c r="AI1031" t="e">
        <f>VLOOKUP(L1031,'[1]Tuyến cáp H04'!$B:$E,3,0)/1000</f>
        <v>#N/A</v>
      </c>
      <c r="AJ1031" t="e">
        <f>VLOOKUP(L1031,'[1]Tuyến cáp H04'!$B:$E,4,0)</f>
        <v>#N/A</v>
      </c>
    </row>
    <row r="1032" spans="1:36" x14ac:dyDescent="0.25">
      <c r="A1032" s="1" t="s">
        <v>9983</v>
      </c>
      <c r="B1032" s="1" t="s">
        <v>9984</v>
      </c>
      <c r="C1032" s="1" t="s">
        <v>9985</v>
      </c>
      <c r="D1032" s="1" t="s">
        <v>8347</v>
      </c>
      <c r="E1032" s="1" t="s">
        <v>8348</v>
      </c>
      <c r="F1032" s="1" t="s">
        <v>9986</v>
      </c>
      <c r="G1032" s="1" t="s">
        <v>14281</v>
      </c>
      <c r="H1032" s="1" t="s">
        <v>14282</v>
      </c>
      <c r="I1032" s="1" t="s">
        <v>15143</v>
      </c>
      <c r="J1032" s="1" t="s">
        <v>23</v>
      </c>
      <c r="K1032" s="1"/>
      <c r="L1032" s="1" t="s">
        <v>9441</v>
      </c>
      <c r="M1032" s="1" t="s">
        <v>9987</v>
      </c>
      <c r="N1032" s="1" t="s">
        <v>9988</v>
      </c>
      <c r="O1032" s="1" t="s">
        <v>9989</v>
      </c>
      <c r="P1032" s="1" t="s">
        <v>9990</v>
      </c>
      <c r="Q1032" s="1" t="s">
        <v>9443</v>
      </c>
      <c r="R1032" s="1" t="s">
        <v>9444</v>
      </c>
      <c r="S1032" s="1" t="s">
        <v>9445</v>
      </c>
      <c r="T1032" s="1" t="s">
        <v>9449</v>
      </c>
      <c r="U1032">
        <v>738.12</v>
      </c>
      <c r="V1032">
        <v>722.25</v>
      </c>
      <c r="W1032">
        <v>13.074517999999999</v>
      </c>
      <c r="X1032">
        <v>109.27986900000001</v>
      </c>
      <c r="Y1032">
        <v>15.88</v>
      </c>
      <c r="Z1032">
        <v>13.071588</v>
      </c>
      <c r="AA1032">
        <v>109.275789</v>
      </c>
      <c r="AB1032" s="5">
        <f t="shared" si="97"/>
        <v>1.083375</v>
      </c>
      <c r="AC1032" s="5">
        <f t="shared" si="98"/>
        <v>2.3820000000000001E-2</v>
      </c>
      <c r="AD1032" s="1" t="str">
        <f t="shared" si="99"/>
        <v>PC11</v>
      </c>
      <c r="AE1032" s="1" t="str">
        <f t="shared" si="100"/>
        <v>PC08</v>
      </c>
      <c r="AG1032">
        <f t="shared" si="101"/>
        <v>0.72224999999999995</v>
      </c>
      <c r="AH1032">
        <f t="shared" si="102"/>
        <v>1.5880000000000002E-2</v>
      </c>
      <c r="AI1032">
        <f>VLOOKUP(L1032,'[1]Tuyến cáp H04'!$B:$E,3,0)/1000</f>
        <v>26.952000000000002</v>
      </c>
      <c r="AJ1032" t="str">
        <f>VLOOKUP(L1032,'[1]Tuyến cáp H04'!$B:$E,4,0)</f>
        <v>Mạng cấp 3</v>
      </c>
    </row>
    <row r="1033" spans="1:36" x14ac:dyDescent="0.25">
      <c r="A1033" s="1" t="s">
        <v>9991</v>
      </c>
      <c r="B1033" s="1" t="s">
        <v>9992</v>
      </c>
      <c r="C1033" s="1" t="s">
        <v>9993</v>
      </c>
      <c r="D1033" s="1" t="s">
        <v>8935</v>
      </c>
      <c r="E1033" s="1" t="s">
        <v>8936</v>
      </c>
      <c r="F1033" s="1" t="s">
        <v>9994</v>
      </c>
      <c r="G1033" s="1" t="s">
        <v>14281</v>
      </c>
      <c r="H1033" s="1" t="s">
        <v>14282</v>
      </c>
      <c r="I1033" s="1" t="s">
        <v>15144</v>
      </c>
      <c r="J1033" s="1" t="s">
        <v>23</v>
      </c>
      <c r="K1033" s="1"/>
      <c r="L1033" s="1" t="s">
        <v>8940</v>
      </c>
      <c r="M1033" s="1" t="s">
        <v>9995</v>
      </c>
      <c r="N1033" s="1" t="s">
        <v>9996</v>
      </c>
      <c r="O1033" s="1" t="s">
        <v>9997</v>
      </c>
      <c r="P1033" s="1" t="s">
        <v>9998</v>
      </c>
      <c r="Q1033" s="1" t="s">
        <v>2433</v>
      </c>
      <c r="R1033" s="1" t="s">
        <v>8942</v>
      </c>
      <c r="S1033" s="1" t="s">
        <v>8943</v>
      </c>
      <c r="T1033" s="1" t="s">
        <v>8947</v>
      </c>
      <c r="U1033">
        <v>83.3</v>
      </c>
      <c r="V1033">
        <v>81.63</v>
      </c>
      <c r="W1033">
        <v>13.049013</v>
      </c>
      <c r="X1033">
        <v>109.310469</v>
      </c>
      <c r="Y1033">
        <v>1.67</v>
      </c>
      <c r="Z1033">
        <v>13.052982</v>
      </c>
      <c r="AA1033">
        <v>109.310524</v>
      </c>
      <c r="AB1033" s="5">
        <f t="shared" si="97"/>
        <v>0.122445</v>
      </c>
      <c r="AC1033" s="5">
        <f t="shared" si="98"/>
        <v>2.5049999999999998E-3</v>
      </c>
      <c r="AD1033" s="1" t="str">
        <f t="shared" si="99"/>
        <v>Phú Hòa 2</v>
      </c>
      <c r="AE1033" s="1" t="str">
        <f t="shared" si="100"/>
        <v>Phú Yên</v>
      </c>
      <c r="AG1033">
        <f t="shared" si="101"/>
        <v>8.1629999999999994E-2</v>
      </c>
      <c r="AH1033">
        <f t="shared" si="102"/>
        <v>1.6699999999999998E-3</v>
      </c>
      <c r="AI1033">
        <f>VLOOKUP(L1033,'[1]Tuyến cáp H04'!$B:$E,3,0)/1000</f>
        <v>20.920999999999999</v>
      </c>
      <c r="AJ1033" t="str">
        <f>VLOOKUP(L1033,'[1]Tuyến cáp H04'!$B:$E,4,0)</f>
        <v>Mạng cấp 4</v>
      </c>
    </row>
    <row r="1034" spans="1:36" x14ac:dyDescent="0.25">
      <c r="A1034" s="1" t="s">
        <v>9999</v>
      </c>
      <c r="B1034" s="1" t="s">
        <v>10000</v>
      </c>
      <c r="C1034" s="1" t="s">
        <v>10001</v>
      </c>
      <c r="D1034" s="1" t="s">
        <v>8074</v>
      </c>
      <c r="E1034" s="1" t="s">
        <v>8075</v>
      </c>
      <c r="F1034" s="1" t="s">
        <v>10002</v>
      </c>
      <c r="G1034" s="1" t="s">
        <v>14281</v>
      </c>
      <c r="H1034" s="1" t="s">
        <v>14282</v>
      </c>
      <c r="I1034" s="1" t="s">
        <v>15145</v>
      </c>
      <c r="J1034" s="1" t="s">
        <v>23</v>
      </c>
      <c r="K1034" s="1"/>
      <c r="L1034" s="1" t="s">
        <v>9878</v>
      </c>
      <c r="M1034" s="1" t="s">
        <v>10003</v>
      </c>
      <c r="N1034" s="1" t="s">
        <v>10004</v>
      </c>
      <c r="O1034" s="1" t="s">
        <v>10005</v>
      </c>
      <c r="P1034" s="1" t="s">
        <v>10006</v>
      </c>
      <c r="Q1034" s="1" t="s">
        <v>10007</v>
      </c>
      <c r="R1034" s="1" t="s">
        <v>10008</v>
      </c>
      <c r="S1034" s="1" t="s">
        <v>10009</v>
      </c>
      <c r="T1034" s="1" t="s">
        <v>9885</v>
      </c>
      <c r="U1034">
        <v>482.86</v>
      </c>
      <c r="V1034">
        <v>481.9</v>
      </c>
      <c r="W1034">
        <v>13.088972</v>
      </c>
      <c r="X1034">
        <v>109.29941599999999</v>
      </c>
      <c r="Y1034">
        <v>0.95</v>
      </c>
      <c r="Z1034">
        <v>13.094738</v>
      </c>
      <c r="AA1034">
        <v>109.293009</v>
      </c>
      <c r="AB1034" s="5">
        <f t="shared" si="97"/>
        <v>0.72284999999999988</v>
      </c>
      <c r="AC1034" s="5">
        <f t="shared" si="98"/>
        <v>1.4249999999999998E-3</v>
      </c>
      <c r="AD1034" s="1" t="str">
        <f t="shared" si="99"/>
        <v>TT2 Đăk Lăk (Tuy Hòa)</v>
      </c>
      <c r="AE1034" s="1" t="str">
        <f t="shared" si="100"/>
        <v>PC06</v>
      </c>
      <c r="AG1034">
        <f t="shared" si="101"/>
        <v>0.4819</v>
      </c>
      <c r="AH1034">
        <f t="shared" si="102"/>
        <v>9.5E-4</v>
      </c>
      <c r="AI1034">
        <f>VLOOKUP(L1034,'[1]Tuyến cáp H04'!$B:$E,3,0)/1000</f>
        <v>1.96</v>
      </c>
      <c r="AJ1034" t="str">
        <f>VLOOKUP(L1034,'[1]Tuyến cáp H04'!$B:$E,4,0)</f>
        <v>Mạng cấp 3</v>
      </c>
    </row>
    <row r="1035" spans="1:36" x14ac:dyDescent="0.25">
      <c r="A1035" s="1" t="s">
        <v>10010</v>
      </c>
      <c r="B1035" s="1" t="s">
        <v>10011</v>
      </c>
      <c r="C1035" s="1" t="s">
        <v>10012</v>
      </c>
      <c r="D1035" s="1" t="s">
        <v>9847</v>
      </c>
      <c r="E1035" s="1" t="s">
        <v>9848</v>
      </c>
      <c r="F1035" s="1" t="s">
        <v>10013</v>
      </c>
      <c r="G1035" s="1" t="s">
        <v>14281</v>
      </c>
      <c r="H1035" s="1" t="s">
        <v>14282</v>
      </c>
      <c r="I1035" s="1" t="s">
        <v>15146</v>
      </c>
      <c r="J1035" s="1" t="s">
        <v>23</v>
      </c>
      <c r="K1035" s="1"/>
      <c r="L1035" s="1" t="s">
        <v>10014</v>
      </c>
      <c r="M1035" s="1" t="s">
        <v>10015</v>
      </c>
      <c r="N1035" s="1" t="s">
        <v>10016</v>
      </c>
      <c r="O1035" s="1" t="s">
        <v>10017</v>
      </c>
      <c r="P1035" s="1" t="s">
        <v>10018</v>
      </c>
      <c r="Q1035" s="1" t="s">
        <v>10019</v>
      </c>
      <c r="R1035" s="1" t="s">
        <v>10020</v>
      </c>
      <c r="S1035" s="1" t="s">
        <v>10021</v>
      </c>
      <c r="T1035" s="1" t="s">
        <v>10022</v>
      </c>
      <c r="U1035">
        <v>89.32</v>
      </c>
      <c r="V1035">
        <v>83.47</v>
      </c>
      <c r="W1035">
        <v>13.110291999999999</v>
      </c>
      <c r="X1035">
        <v>109.285296</v>
      </c>
      <c r="Y1035">
        <v>5.85</v>
      </c>
      <c r="Z1035">
        <v>13.112349</v>
      </c>
      <c r="AA1035">
        <v>109.28452</v>
      </c>
      <c r="AB1035" s="5">
        <f t="shared" si="97"/>
        <v>0.12520500000000001</v>
      </c>
      <c r="AC1035" s="5">
        <f t="shared" si="98"/>
        <v>8.7749999999999981E-3</v>
      </c>
      <c r="AD1035" s="1" t="str">
        <f t="shared" si="99"/>
        <v>Điểm đăng ký sát hạch lái xe (PC08)</v>
      </c>
      <c r="AE1035" s="1" t="str">
        <f t="shared" si="100"/>
        <v>TT2
 Đăk Lăk (Tuy Hòa)</v>
      </c>
      <c r="AG1035">
        <f t="shared" si="101"/>
        <v>8.3470000000000003E-2</v>
      </c>
      <c r="AH1035">
        <f t="shared" si="102"/>
        <v>5.8499999999999993E-3</v>
      </c>
      <c r="AI1035" t="e">
        <f>VLOOKUP(L1035,'[1]Tuyến cáp H04'!$B:$E,3,0)/1000</f>
        <v>#N/A</v>
      </c>
      <c r="AJ1035" t="e">
        <f>VLOOKUP(L1035,'[1]Tuyến cáp H04'!$B:$E,4,0)</f>
        <v>#N/A</v>
      </c>
    </row>
    <row r="1036" spans="1:36" x14ac:dyDescent="0.25">
      <c r="A1036" s="1" t="s">
        <v>10023</v>
      </c>
      <c r="B1036" s="1" t="s">
        <v>10024</v>
      </c>
      <c r="C1036" s="1" t="s">
        <v>10025</v>
      </c>
      <c r="D1036" s="1" t="s">
        <v>9245</v>
      </c>
      <c r="E1036" s="1" t="s">
        <v>9246</v>
      </c>
      <c r="F1036" s="1" t="s">
        <v>10026</v>
      </c>
      <c r="G1036" s="1" t="s">
        <v>14281</v>
      </c>
      <c r="H1036" s="1" t="s">
        <v>14282</v>
      </c>
      <c r="I1036" s="1" t="s">
        <v>15147</v>
      </c>
      <c r="J1036" s="1" t="s">
        <v>23</v>
      </c>
      <c r="K1036" s="1"/>
      <c r="L1036" s="1" t="s">
        <v>9261</v>
      </c>
      <c r="M1036" s="1" t="s">
        <v>10027</v>
      </c>
      <c r="N1036" s="1" t="s">
        <v>10028</v>
      </c>
      <c r="O1036" s="1" t="s">
        <v>10029</v>
      </c>
      <c r="P1036" s="1" t="s">
        <v>10030</v>
      </c>
      <c r="Q1036" s="1" t="s">
        <v>10031</v>
      </c>
      <c r="R1036" s="1" t="s">
        <v>10032</v>
      </c>
      <c r="S1036" s="1" t="s">
        <v>10033</v>
      </c>
      <c r="T1036" s="1" t="s">
        <v>9269</v>
      </c>
      <c r="U1036">
        <v>857.89</v>
      </c>
      <c r="V1036">
        <v>853.99</v>
      </c>
      <c r="W1036">
        <v>12.92977</v>
      </c>
      <c r="X1036">
        <v>109.239602</v>
      </c>
      <c r="Y1036">
        <v>3.9</v>
      </c>
      <c r="Z1036">
        <v>12.932771000000001</v>
      </c>
      <c r="AA1036">
        <v>109.23917299999999</v>
      </c>
      <c r="AB1036" s="5">
        <f t="shared" si="97"/>
        <v>1.280985</v>
      </c>
      <c r="AC1036" s="5">
        <f t="shared" si="98"/>
        <v>5.8499999999999993E-3</v>
      </c>
      <c r="AD1036" s="1" t="str">
        <f t="shared" si="99"/>
        <v>Hòa Mỹ</v>
      </c>
      <c r="AE1036" s="1" t="str">
        <f t="shared" si="100"/>
        <v>Hòa Thịnh</v>
      </c>
      <c r="AG1036">
        <f t="shared" si="101"/>
        <v>0.85399000000000003</v>
      </c>
      <c r="AH1036">
        <f t="shared" si="102"/>
        <v>3.8999999999999998E-3</v>
      </c>
      <c r="AI1036">
        <f>VLOOKUP(L1036,'[1]Tuyến cáp H04'!$B:$E,3,0)/1000</f>
        <v>13.688000000000001</v>
      </c>
      <c r="AJ1036" t="str">
        <f>VLOOKUP(L1036,'[1]Tuyến cáp H04'!$B:$E,4,0)</f>
        <v>Mạng cấp 4</v>
      </c>
    </row>
    <row r="1037" spans="1:36" x14ac:dyDescent="0.25">
      <c r="A1037" s="1" t="s">
        <v>10034</v>
      </c>
      <c r="B1037" s="1" t="s">
        <v>9657</v>
      </c>
      <c r="C1037" s="1" t="s">
        <v>9658</v>
      </c>
      <c r="D1037" s="1" t="s">
        <v>10035</v>
      </c>
      <c r="E1037" s="1" t="s">
        <v>10036</v>
      </c>
      <c r="F1037" s="1" t="s">
        <v>10037</v>
      </c>
      <c r="G1037" s="1" t="s">
        <v>14281</v>
      </c>
      <c r="H1037" s="1" t="s">
        <v>14282</v>
      </c>
      <c r="I1037" s="1" t="s">
        <v>15148</v>
      </c>
      <c r="J1037" s="1" t="s">
        <v>23</v>
      </c>
      <c r="K1037" s="1"/>
      <c r="L1037" s="1" t="s">
        <v>9865</v>
      </c>
      <c r="M1037" s="1" t="s">
        <v>10038</v>
      </c>
      <c r="N1037" s="1" t="s">
        <v>9867</v>
      </c>
      <c r="O1037" s="1" t="s">
        <v>9868</v>
      </c>
      <c r="P1037" s="1" t="s">
        <v>9869</v>
      </c>
      <c r="Q1037" s="1" t="s">
        <v>10039</v>
      </c>
      <c r="R1037" s="1" t="s">
        <v>10040</v>
      </c>
      <c r="S1037" s="1" t="s">
        <v>10041</v>
      </c>
      <c r="T1037" s="1" t="s">
        <v>9873</v>
      </c>
      <c r="U1037">
        <v>84.83</v>
      </c>
      <c r="V1037">
        <v>6.02</v>
      </c>
      <c r="W1037">
        <v>13.094963</v>
      </c>
      <c r="X1037">
        <v>109.291572</v>
      </c>
      <c r="Y1037">
        <v>78.81</v>
      </c>
      <c r="Z1037">
        <v>13.093843</v>
      </c>
      <c r="AA1037">
        <v>109.291611</v>
      </c>
      <c r="AB1037" s="5">
        <f t="shared" si="97"/>
        <v>9.0299999999999998E-3</v>
      </c>
      <c r="AC1037" s="5">
        <f t="shared" si="98"/>
        <v>0.118215</v>
      </c>
      <c r="AD1037" s="1" t="str">
        <f t="shared" si="99"/>
        <v>PC07</v>
      </c>
      <c r="AE1037" s="1" t="str">
        <f t="shared" si="100"/>
        <v>PC11</v>
      </c>
      <c r="AG1037">
        <f t="shared" si="101"/>
        <v>6.0199999999999993E-3</v>
      </c>
      <c r="AH1037">
        <f t="shared" si="102"/>
        <v>7.8810000000000005E-2</v>
      </c>
      <c r="AI1037">
        <f>VLOOKUP(L1037,'[1]Tuyến cáp H04'!$B:$E,3,0)/1000</f>
        <v>0.372</v>
      </c>
      <c r="AJ1037" t="str">
        <f>VLOOKUP(L1037,'[1]Tuyến cáp H04'!$B:$E,4,0)</f>
        <v>Mạng cấp 3</v>
      </c>
    </row>
    <row r="1038" spans="1:36" x14ac:dyDescent="0.25">
      <c r="A1038" s="1" t="s">
        <v>10042</v>
      </c>
      <c r="B1038" s="1" t="s">
        <v>9923</v>
      </c>
      <c r="C1038" s="1" t="s">
        <v>9924</v>
      </c>
      <c r="D1038" s="1" t="s">
        <v>10043</v>
      </c>
      <c r="E1038" s="1" t="s">
        <v>10044</v>
      </c>
      <c r="F1038" s="1" t="s">
        <v>10045</v>
      </c>
      <c r="G1038" s="1" t="s">
        <v>14281</v>
      </c>
      <c r="H1038" s="1" t="s">
        <v>14282</v>
      </c>
      <c r="I1038" s="1" t="s">
        <v>15149</v>
      </c>
      <c r="J1038" s="1" t="s">
        <v>23</v>
      </c>
      <c r="K1038" s="1"/>
      <c r="L1038" s="1" t="s">
        <v>9135</v>
      </c>
      <c r="M1038" s="1" t="s">
        <v>10046</v>
      </c>
      <c r="N1038" s="1" t="s">
        <v>9939</v>
      </c>
      <c r="O1038" s="1" t="s">
        <v>9940</v>
      </c>
      <c r="P1038" s="1" t="s">
        <v>9941</v>
      </c>
      <c r="Q1038" s="1" t="s">
        <v>10047</v>
      </c>
      <c r="R1038" s="1" t="s">
        <v>10048</v>
      </c>
      <c r="S1038" s="1" t="s">
        <v>10049</v>
      </c>
      <c r="T1038" s="1" t="s">
        <v>9143</v>
      </c>
      <c r="U1038">
        <v>1319.1</v>
      </c>
      <c r="V1038">
        <v>745.28</v>
      </c>
      <c r="W1038">
        <v>13.116629</v>
      </c>
      <c r="X1038">
        <v>109.30365399999999</v>
      </c>
      <c r="Y1038">
        <v>573.82000000000005</v>
      </c>
      <c r="Z1038">
        <v>13.115219</v>
      </c>
      <c r="AA1038">
        <v>109.29927600000001</v>
      </c>
      <c r="AB1038" s="5">
        <f t="shared" si="97"/>
        <v>1.11792</v>
      </c>
      <c r="AC1038" s="5">
        <f t="shared" si="98"/>
        <v>0.86073</v>
      </c>
      <c r="AD1038" s="1" t="str">
        <f t="shared" si="99"/>
        <v>CAT PHÚ YÊN</v>
      </c>
      <c r="AE1038" s="1" t="str">
        <f t="shared" si="100"/>
        <v>Cảng hàng không Tuy Hòa</v>
      </c>
      <c r="AG1038">
        <f t="shared" si="101"/>
        <v>0.74527999999999994</v>
      </c>
      <c r="AH1038">
        <f t="shared" si="102"/>
        <v>0.57382</v>
      </c>
      <c r="AI1038" t="e">
        <f>VLOOKUP(L1038,'[1]Tuyến cáp H04'!$B:$E,3,0)/1000</f>
        <v>#N/A</v>
      </c>
      <c r="AJ1038" t="e">
        <f>VLOOKUP(L1038,'[1]Tuyến cáp H04'!$B:$E,4,0)</f>
        <v>#N/A</v>
      </c>
    </row>
    <row r="1039" spans="1:36" x14ac:dyDescent="0.25">
      <c r="A1039" s="1" t="s">
        <v>10050</v>
      </c>
      <c r="B1039" s="1" t="s">
        <v>9923</v>
      </c>
      <c r="C1039" s="1" t="s">
        <v>9924</v>
      </c>
      <c r="D1039" s="1" t="s">
        <v>10051</v>
      </c>
      <c r="E1039" s="1" t="s">
        <v>10052</v>
      </c>
      <c r="F1039" s="1" t="s">
        <v>10053</v>
      </c>
      <c r="G1039" s="1" t="s">
        <v>14281</v>
      </c>
      <c r="H1039" s="1" t="s">
        <v>14282</v>
      </c>
      <c r="I1039" s="1" t="s">
        <v>15150</v>
      </c>
      <c r="J1039" s="1" t="s">
        <v>23</v>
      </c>
      <c r="K1039" s="1"/>
      <c r="L1039" s="1" t="s">
        <v>9135</v>
      </c>
      <c r="M1039" s="1" t="s">
        <v>10054</v>
      </c>
      <c r="N1039" s="1" t="s">
        <v>9939</v>
      </c>
      <c r="O1039" s="1" t="s">
        <v>9940</v>
      </c>
      <c r="P1039" s="1" t="s">
        <v>9941</v>
      </c>
      <c r="Q1039" s="1" t="s">
        <v>10055</v>
      </c>
      <c r="R1039" s="1" t="s">
        <v>10048</v>
      </c>
      <c r="S1039" s="1" t="s">
        <v>10049</v>
      </c>
      <c r="T1039" s="1" t="s">
        <v>9143</v>
      </c>
      <c r="U1039">
        <v>977.79</v>
      </c>
      <c r="V1039">
        <v>745.28</v>
      </c>
      <c r="W1039">
        <v>13.116629</v>
      </c>
      <c r="X1039">
        <v>109.30365399999999</v>
      </c>
      <c r="Y1039">
        <v>232.51</v>
      </c>
      <c r="Z1039">
        <v>13.115219</v>
      </c>
      <c r="AA1039">
        <v>109.29927600000001</v>
      </c>
      <c r="AB1039" s="5">
        <f t="shared" si="97"/>
        <v>1.11792</v>
      </c>
      <c r="AC1039" s="5">
        <f t="shared" si="98"/>
        <v>0.34876499999999999</v>
      </c>
      <c r="AD1039" s="1" t="str">
        <f t="shared" si="99"/>
        <v>CAT PHÚ YÊN</v>
      </c>
      <c r="AE1039" s="1" t="str">
        <f t="shared" si="100"/>
        <v>Cảng hàng không Tuy Hòa</v>
      </c>
      <c r="AG1039">
        <f t="shared" si="101"/>
        <v>0.74527999999999994</v>
      </c>
      <c r="AH1039">
        <f t="shared" si="102"/>
        <v>0.23250999999999999</v>
      </c>
      <c r="AI1039" t="e">
        <f>VLOOKUP(L1039,'[1]Tuyến cáp H04'!$B:$E,3,0)/1000</f>
        <v>#N/A</v>
      </c>
      <c r="AJ1039" t="e">
        <f>VLOOKUP(L1039,'[1]Tuyến cáp H04'!$B:$E,4,0)</f>
        <v>#N/A</v>
      </c>
    </row>
    <row r="1040" spans="1:36" x14ac:dyDescent="0.25">
      <c r="A1040" s="1" t="s">
        <v>10056</v>
      </c>
      <c r="B1040" s="1" t="s">
        <v>9657</v>
      </c>
      <c r="C1040" s="1" t="s">
        <v>9658</v>
      </c>
      <c r="D1040" s="1" t="s">
        <v>10057</v>
      </c>
      <c r="E1040" s="1" t="s">
        <v>10058</v>
      </c>
      <c r="F1040" s="1" t="s">
        <v>10059</v>
      </c>
      <c r="G1040" s="1" t="s">
        <v>14281</v>
      </c>
      <c r="H1040" s="1" t="s">
        <v>14282</v>
      </c>
      <c r="I1040" s="1" t="s">
        <v>15151</v>
      </c>
      <c r="J1040" s="1" t="s">
        <v>23</v>
      </c>
      <c r="K1040" s="1"/>
      <c r="L1040" s="1" t="s">
        <v>10060</v>
      </c>
      <c r="M1040" s="1" t="s">
        <v>10061</v>
      </c>
      <c r="N1040" s="1" t="s">
        <v>10062</v>
      </c>
      <c r="O1040" s="1" t="s">
        <v>10063</v>
      </c>
      <c r="P1040" s="1" t="s">
        <v>10064</v>
      </c>
      <c r="Q1040" s="1" t="s">
        <v>10065</v>
      </c>
      <c r="R1040" s="1" t="s">
        <v>10066</v>
      </c>
      <c r="S1040" s="1" t="s">
        <v>10067</v>
      </c>
      <c r="T1040" s="1" t="s">
        <v>10068</v>
      </c>
      <c r="U1040">
        <v>89.51</v>
      </c>
      <c r="V1040">
        <v>44</v>
      </c>
      <c r="W1040">
        <v>13.094901</v>
      </c>
      <c r="X1040">
        <v>109.291991</v>
      </c>
      <c r="Y1040">
        <v>45.51</v>
      </c>
      <c r="Z1040">
        <v>13.105964999999999</v>
      </c>
      <c r="AA1040">
        <v>109.28790600000001</v>
      </c>
      <c r="AB1040" s="5">
        <f t="shared" si="97"/>
        <v>6.6000000000000003E-2</v>
      </c>
      <c r="AC1040" s="5">
        <f t="shared" si="98"/>
        <v>6.8265000000000006E-2</v>
      </c>
      <c r="AD1040" s="1" t="str">
        <f t="shared" si="99"/>
        <v>PK02</v>
      </c>
      <c r="AE1040" s="1" t="str">
        <f t="shared" si="100"/>
        <v>TT2 Đăk Lăk (Tuy Hòa)</v>
      </c>
      <c r="AG1040">
        <f t="shared" si="101"/>
        <v>4.3999999999999997E-2</v>
      </c>
      <c r="AH1040">
        <f t="shared" si="102"/>
        <v>4.5509999999999995E-2</v>
      </c>
      <c r="AI1040">
        <f>VLOOKUP(L1040,'[1]Tuyến cáp H04'!$B:$E,3,0)/1000</f>
        <v>8.3049999999999997</v>
      </c>
      <c r="AJ1040" t="str">
        <f>VLOOKUP(L1040,'[1]Tuyến cáp H04'!$B:$E,4,0)</f>
        <v>Mạng cấp 3</v>
      </c>
    </row>
    <row r="1041" spans="1:36" x14ac:dyDescent="0.25">
      <c r="A1041" s="1" t="s">
        <v>10069</v>
      </c>
      <c r="B1041" s="1" t="s">
        <v>10070</v>
      </c>
      <c r="C1041" s="1" t="s">
        <v>10071</v>
      </c>
      <c r="D1041" s="1" t="s">
        <v>8108</v>
      </c>
      <c r="E1041" s="1" t="s">
        <v>8109</v>
      </c>
      <c r="F1041" s="1" t="s">
        <v>10072</v>
      </c>
      <c r="G1041" s="1" t="s">
        <v>14281</v>
      </c>
      <c r="H1041" s="1" t="s">
        <v>14282</v>
      </c>
      <c r="I1041" s="1" t="s">
        <v>15152</v>
      </c>
      <c r="J1041" s="1" t="s">
        <v>23</v>
      </c>
      <c r="K1041" s="1"/>
      <c r="L1041" s="1" t="s">
        <v>10073</v>
      </c>
      <c r="M1041" s="1" t="s">
        <v>10074</v>
      </c>
      <c r="N1041" s="1" t="s">
        <v>10075</v>
      </c>
      <c r="O1041" s="1" t="s">
        <v>10076</v>
      </c>
      <c r="P1041" s="1" t="s">
        <v>10077</v>
      </c>
      <c r="Q1041" s="1" t="s">
        <v>10078</v>
      </c>
      <c r="R1041" s="1" t="s">
        <v>10079</v>
      </c>
      <c r="S1041" s="1" t="s">
        <v>10080</v>
      </c>
      <c r="T1041" s="1" t="s">
        <v>10081</v>
      </c>
      <c r="U1041">
        <v>342.65</v>
      </c>
      <c r="V1041">
        <v>128.97999999999999</v>
      </c>
      <c r="W1041">
        <v>13.263899</v>
      </c>
      <c r="X1041">
        <v>109.203452</v>
      </c>
      <c r="Y1041">
        <v>213.67</v>
      </c>
      <c r="Z1041">
        <v>13.306805000000001</v>
      </c>
      <c r="AA1041">
        <v>109.21437899999999</v>
      </c>
      <c r="AB1041" s="5">
        <f t="shared" si="97"/>
        <v>0.19346999999999998</v>
      </c>
      <c r="AC1041" s="5">
        <f t="shared" si="98"/>
        <v>0.32050499999999998</v>
      </c>
      <c r="AD1041" s="1" t="str">
        <f t="shared" si="99"/>
        <v>Tuy An Bắc</v>
      </c>
      <c r="AE1041" s="1" t="str">
        <f t="shared" si="100"/>
        <v>Tuy An Tây</v>
      </c>
      <c r="AG1041">
        <f t="shared" si="101"/>
        <v>0.12897999999999998</v>
      </c>
      <c r="AH1041">
        <f t="shared" si="102"/>
        <v>0.21367</v>
      </c>
      <c r="AI1041">
        <f>VLOOKUP(L1041,'[1]Tuyến cáp H04'!$B:$E,3,0)/1000</f>
        <v>11.901</v>
      </c>
      <c r="AJ1041" t="str">
        <f>VLOOKUP(L1041,'[1]Tuyến cáp H04'!$B:$E,4,0)</f>
        <v>Mạng cấp 4</v>
      </c>
    </row>
    <row r="1042" spans="1:36" x14ac:dyDescent="0.25">
      <c r="A1042" s="1" t="s">
        <v>10082</v>
      </c>
      <c r="B1042" s="1" t="s">
        <v>10083</v>
      </c>
      <c r="C1042" s="1" t="s">
        <v>10084</v>
      </c>
      <c r="D1042" s="1" t="s">
        <v>9900</v>
      </c>
      <c r="E1042" s="1" t="s">
        <v>9901</v>
      </c>
      <c r="F1042" s="1" t="s">
        <v>10085</v>
      </c>
      <c r="G1042" s="1" t="s">
        <v>14281</v>
      </c>
      <c r="H1042" s="1" t="s">
        <v>14282</v>
      </c>
      <c r="I1042" s="1" t="s">
        <v>15153</v>
      </c>
      <c r="J1042" s="1" t="s">
        <v>23</v>
      </c>
      <c r="K1042" s="1"/>
      <c r="L1042" s="1" t="s">
        <v>9970</v>
      </c>
      <c r="M1042" s="1" t="s">
        <v>10086</v>
      </c>
      <c r="N1042" s="1" t="s">
        <v>10087</v>
      </c>
      <c r="O1042" s="1" t="s">
        <v>10088</v>
      </c>
      <c r="P1042" s="1" t="s">
        <v>10089</v>
      </c>
      <c r="Q1042" s="1" t="s">
        <v>10090</v>
      </c>
      <c r="R1042" s="1" t="s">
        <v>10091</v>
      </c>
      <c r="S1042" s="1" t="s">
        <v>10092</v>
      </c>
      <c r="T1042" s="1" t="s">
        <v>10093</v>
      </c>
      <c r="U1042">
        <v>197.97</v>
      </c>
      <c r="V1042">
        <v>181.29</v>
      </c>
      <c r="W1042">
        <v>13.090185999999999</v>
      </c>
      <c r="X1042">
        <v>109.3113</v>
      </c>
      <c r="Y1042">
        <v>16.68</v>
      </c>
      <c r="Z1042">
        <v>13.089724</v>
      </c>
      <c r="AA1042">
        <v>109.309628</v>
      </c>
      <c r="AB1042" s="5">
        <f t="shared" si="97"/>
        <v>0.27193499999999998</v>
      </c>
      <c r="AC1042" s="5">
        <f t="shared" si="98"/>
        <v>2.5020000000000001E-2</v>
      </c>
      <c r="AD1042" s="1" t="str">
        <f t="shared" si="99"/>
        <v>Cơ quan điều tra Tuy Hòa</v>
      </c>
      <c r="AE1042" s="1" t="str">
        <f t="shared" si="100"/>
        <v>PA08</v>
      </c>
      <c r="AG1042">
        <f t="shared" si="101"/>
        <v>0.18128999999999998</v>
      </c>
      <c r="AH1042">
        <f t="shared" si="102"/>
        <v>1.668E-2</v>
      </c>
      <c r="AI1042">
        <f>VLOOKUP(L1042,'[1]Tuyến cáp H04'!$B:$E,3,0)/1000</f>
        <v>2.27</v>
      </c>
      <c r="AJ1042" t="str">
        <f>VLOOKUP(L1042,'[1]Tuyến cáp H04'!$B:$E,4,0)</f>
        <v>Mạng cấp 3</v>
      </c>
    </row>
    <row r="1043" spans="1:36" x14ac:dyDescent="0.25">
      <c r="A1043" s="1" t="s">
        <v>10094</v>
      </c>
      <c r="B1043" s="1" t="s">
        <v>8061</v>
      </c>
      <c r="C1043" s="1" t="s">
        <v>8062</v>
      </c>
      <c r="D1043" s="1" t="s">
        <v>8059</v>
      </c>
      <c r="E1043" s="1" t="s">
        <v>8060</v>
      </c>
      <c r="F1043" s="1" t="s">
        <v>10095</v>
      </c>
      <c r="G1043" s="1" t="s">
        <v>14281</v>
      </c>
      <c r="H1043" s="1" t="s">
        <v>14282</v>
      </c>
      <c r="I1043" s="1" t="s">
        <v>15154</v>
      </c>
      <c r="J1043" s="1" t="s">
        <v>23</v>
      </c>
      <c r="K1043" s="1"/>
      <c r="L1043" s="1" t="s">
        <v>8064</v>
      </c>
      <c r="M1043" s="1" t="s">
        <v>8065</v>
      </c>
      <c r="N1043" s="1" t="s">
        <v>8069</v>
      </c>
      <c r="O1043" s="1" t="s">
        <v>8070</v>
      </c>
      <c r="P1043" s="1" t="s">
        <v>8071</v>
      </c>
      <c r="Q1043" s="1" t="s">
        <v>8066</v>
      </c>
      <c r="R1043" s="1" t="s">
        <v>8067</v>
      </c>
      <c r="S1043" s="1" t="s">
        <v>8068</v>
      </c>
      <c r="T1043" s="1" t="s">
        <v>8072</v>
      </c>
      <c r="U1043">
        <v>2472.34</v>
      </c>
      <c r="V1043">
        <v>151.21</v>
      </c>
      <c r="W1043">
        <v>12.983107</v>
      </c>
      <c r="X1043">
        <v>109.095792</v>
      </c>
      <c r="Y1043">
        <v>2321.14</v>
      </c>
      <c r="Z1043">
        <v>13.021641000000001</v>
      </c>
      <c r="AA1043">
        <v>109.280637</v>
      </c>
      <c r="AB1043" s="5">
        <f t="shared" si="97"/>
        <v>0.22681499999999999</v>
      </c>
      <c r="AC1043" s="5">
        <f t="shared" si="98"/>
        <v>3.4817100000000001</v>
      </c>
      <c r="AD1043" s="1" t="str">
        <f t="shared" si="99"/>
        <v>ILA Sơn Thành</v>
      </c>
      <c r="AE1043" s="1" t="str">
        <f t="shared" si="100"/>
        <v>TT2 Đăk Lăk (Tuy Hòa)</v>
      </c>
      <c r="AG1043">
        <f t="shared" si="101"/>
        <v>0.15121000000000001</v>
      </c>
      <c r="AH1043">
        <f t="shared" si="102"/>
        <v>2.3211399999999998</v>
      </c>
      <c r="AI1043" t="e">
        <f>VLOOKUP(L1043,'[1]Tuyến cáp H04'!$B:$E,3,0)/1000</f>
        <v>#N/A</v>
      </c>
      <c r="AJ1043" t="e">
        <f>VLOOKUP(L1043,'[1]Tuyến cáp H04'!$B:$E,4,0)</f>
        <v>#N/A</v>
      </c>
    </row>
    <row r="1044" spans="1:36" x14ac:dyDescent="0.25">
      <c r="A1044" s="1" t="s">
        <v>10096</v>
      </c>
      <c r="B1044" s="1" t="s">
        <v>8362</v>
      </c>
      <c r="C1044" s="1" t="s">
        <v>10097</v>
      </c>
      <c r="D1044" s="1" t="s">
        <v>8554</v>
      </c>
      <c r="E1044" s="1" t="s">
        <v>8555</v>
      </c>
      <c r="F1044" s="1" t="s">
        <v>10098</v>
      </c>
      <c r="G1044" s="1" t="s">
        <v>14281</v>
      </c>
      <c r="H1044" s="1" t="s">
        <v>14282</v>
      </c>
      <c r="I1044" s="1" t="s">
        <v>15155</v>
      </c>
      <c r="J1044" s="1" t="s">
        <v>23</v>
      </c>
      <c r="K1044" s="1"/>
      <c r="L1044" s="1" t="s">
        <v>10099</v>
      </c>
      <c r="M1044" s="1" t="s">
        <v>10100</v>
      </c>
      <c r="N1044" s="1" t="s">
        <v>10101</v>
      </c>
      <c r="O1044" s="1" t="s">
        <v>10102</v>
      </c>
      <c r="P1044" s="1" t="s">
        <v>10103</v>
      </c>
      <c r="Q1044" s="1" t="s">
        <v>10104</v>
      </c>
      <c r="R1044" s="1" t="s">
        <v>10105</v>
      </c>
      <c r="S1044" s="1" t="s">
        <v>10106</v>
      </c>
      <c r="T1044" s="1" t="s">
        <v>10107</v>
      </c>
      <c r="U1044">
        <v>1284.02</v>
      </c>
      <c r="V1044">
        <v>581.76</v>
      </c>
      <c r="W1044">
        <v>12.682363</v>
      </c>
      <c r="X1044">
        <v>108.040537</v>
      </c>
      <c r="Y1044">
        <v>702.27</v>
      </c>
      <c r="Z1044">
        <v>12.681628999999999</v>
      </c>
      <c r="AA1044">
        <v>108.04693399999999</v>
      </c>
      <c r="AB1044" s="5">
        <f t="shared" si="97"/>
        <v>0.87263999999999997</v>
      </c>
      <c r="AC1044" s="5">
        <f t="shared" si="98"/>
        <v>1.0534049999999999</v>
      </c>
      <c r="AD1044" s="1" t="str">
        <f t="shared" si="99"/>
        <v>CAT Đắk Lắk</v>
      </c>
      <c r="AE1044" s="1" t="str">
        <f t="shared" si="100"/>
        <v>Thành Nhất</v>
      </c>
      <c r="AG1044">
        <f t="shared" si="101"/>
        <v>0.58175999999999994</v>
      </c>
      <c r="AH1044">
        <f t="shared" si="102"/>
        <v>0.70226999999999995</v>
      </c>
      <c r="AI1044">
        <f>VLOOKUP(L1044,'[1]Tuyến cáp H04'!$B:$E,3,0)/1000</f>
        <v>4.242</v>
      </c>
      <c r="AJ1044" t="str">
        <f>VLOOKUP(L1044,'[1]Tuyến cáp H04'!$B:$E,4,0)</f>
        <v>Mạng cấp 4</v>
      </c>
    </row>
    <row r="1045" spans="1:36" x14ac:dyDescent="0.25">
      <c r="A1045" s="1" t="s">
        <v>10096</v>
      </c>
      <c r="B1045" s="1" t="s">
        <v>8362</v>
      </c>
      <c r="C1045" s="1" t="s">
        <v>10097</v>
      </c>
      <c r="D1045" s="1" t="s">
        <v>8554</v>
      </c>
      <c r="E1045" s="1" t="s">
        <v>8555</v>
      </c>
      <c r="F1045" s="1" t="s">
        <v>10098</v>
      </c>
      <c r="G1045" s="1" t="s">
        <v>14281</v>
      </c>
      <c r="H1045" s="1" t="s">
        <v>14282</v>
      </c>
      <c r="I1045" s="1" t="s">
        <v>15155</v>
      </c>
      <c r="J1045" s="1" t="s">
        <v>23</v>
      </c>
      <c r="K1045" s="1"/>
      <c r="L1045" s="1" t="s">
        <v>10099</v>
      </c>
      <c r="M1045" s="1" t="s">
        <v>10100</v>
      </c>
      <c r="N1045" s="1" t="s">
        <v>10101</v>
      </c>
      <c r="O1045" s="1" t="s">
        <v>10102</v>
      </c>
      <c r="P1045" s="1" t="s">
        <v>10103</v>
      </c>
      <c r="Q1045" s="1" t="s">
        <v>10104</v>
      </c>
      <c r="R1045" s="1" t="s">
        <v>10105</v>
      </c>
      <c r="S1045" s="1" t="s">
        <v>10106</v>
      </c>
      <c r="T1045" s="1" t="s">
        <v>10107</v>
      </c>
      <c r="U1045">
        <v>1284.02</v>
      </c>
      <c r="V1045">
        <v>581.76</v>
      </c>
      <c r="W1045">
        <v>12.682363</v>
      </c>
      <c r="X1045">
        <v>108.040537</v>
      </c>
      <c r="Y1045">
        <v>702.27</v>
      </c>
      <c r="Z1045">
        <v>12.681628999999999</v>
      </c>
      <c r="AA1045">
        <v>108.04693399999999</v>
      </c>
      <c r="AB1045" s="5">
        <f t="shared" si="97"/>
        <v>0.87263999999999997</v>
      </c>
      <c r="AC1045" s="5">
        <f t="shared" si="98"/>
        <v>1.0534049999999999</v>
      </c>
      <c r="AD1045" s="1" t="str">
        <f t="shared" si="99"/>
        <v>CAT Đắk Lắk</v>
      </c>
      <c r="AE1045" s="1" t="str">
        <f t="shared" si="100"/>
        <v>Thành Nhất</v>
      </c>
      <c r="AG1045">
        <f t="shared" si="101"/>
        <v>0.58175999999999994</v>
      </c>
      <c r="AH1045">
        <f t="shared" si="102"/>
        <v>0.70226999999999995</v>
      </c>
      <c r="AI1045">
        <f>VLOOKUP(L1045,'[1]Tuyến cáp H04'!$B:$E,3,0)/1000</f>
        <v>4.242</v>
      </c>
      <c r="AJ1045" t="str">
        <f>VLOOKUP(L1045,'[1]Tuyến cáp H04'!$B:$E,4,0)</f>
        <v>Mạng cấp 4</v>
      </c>
    </row>
    <row r="1046" spans="1:36" x14ac:dyDescent="0.25">
      <c r="A1046" s="1" t="s">
        <v>10108</v>
      </c>
      <c r="B1046" s="1" t="s">
        <v>8554</v>
      </c>
      <c r="C1046" s="1" t="s">
        <v>8555</v>
      </c>
      <c r="D1046" s="1" t="s">
        <v>8362</v>
      </c>
      <c r="E1046" s="1" t="s">
        <v>10097</v>
      </c>
      <c r="F1046" s="1" t="s">
        <v>10109</v>
      </c>
      <c r="G1046" s="1" t="s">
        <v>14281</v>
      </c>
      <c r="H1046" s="1" t="s">
        <v>14282</v>
      </c>
      <c r="I1046" s="1" t="s">
        <v>15156</v>
      </c>
      <c r="J1046" s="1" t="s">
        <v>23</v>
      </c>
      <c r="K1046" s="1"/>
      <c r="L1046" s="1" t="s">
        <v>10099</v>
      </c>
      <c r="M1046" s="1" t="s">
        <v>10100</v>
      </c>
      <c r="N1046" s="1" t="s">
        <v>10104</v>
      </c>
      <c r="O1046" s="1" t="s">
        <v>10105</v>
      </c>
      <c r="P1046" s="1" t="s">
        <v>10106</v>
      </c>
      <c r="Q1046" s="1" t="s">
        <v>10101</v>
      </c>
      <c r="R1046" s="1" t="s">
        <v>10102</v>
      </c>
      <c r="S1046" s="1" t="s">
        <v>10103</v>
      </c>
      <c r="T1046" s="1" t="s">
        <v>10107</v>
      </c>
      <c r="U1046">
        <v>1284.02</v>
      </c>
      <c r="V1046">
        <v>702.27</v>
      </c>
      <c r="W1046">
        <v>12.681628999999999</v>
      </c>
      <c r="X1046">
        <v>108.04693399999999</v>
      </c>
      <c r="Y1046">
        <v>581.76</v>
      </c>
      <c r="Z1046">
        <v>12.682363</v>
      </c>
      <c r="AA1046">
        <v>108.040537</v>
      </c>
      <c r="AB1046" s="5">
        <f t="shared" si="97"/>
        <v>1.0534049999999999</v>
      </c>
      <c r="AC1046" s="5">
        <f t="shared" si="98"/>
        <v>0.87263999999999997</v>
      </c>
      <c r="AD1046" s="1" t="str">
        <f t="shared" si="99"/>
        <v>CAT Đắk Lắk</v>
      </c>
      <c r="AE1046" s="1" t="str">
        <f t="shared" si="100"/>
        <v>Thành Nhất</v>
      </c>
      <c r="AG1046">
        <f t="shared" si="101"/>
        <v>0.70226999999999995</v>
      </c>
      <c r="AH1046">
        <f t="shared" si="102"/>
        <v>0.58175999999999994</v>
      </c>
      <c r="AI1046">
        <f>VLOOKUP(L1046,'[1]Tuyến cáp H04'!$B:$E,3,0)/1000</f>
        <v>4.242</v>
      </c>
      <c r="AJ1046" t="str">
        <f>VLOOKUP(L1046,'[1]Tuyến cáp H04'!$B:$E,4,0)</f>
        <v>Mạng cấp 4</v>
      </c>
    </row>
    <row r="1047" spans="1:36" x14ac:dyDescent="0.25">
      <c r="A1047" s="1" t="s">
        <v>10110</v>
      </c>
      <c r="B1047" s="1" t="s">
        <v>10111</v>
      </c>
      <c r="C1047" s="1" t="s">
        <v>10112</v>
      </c>
      <c r="D1047" s="1" t="s">
        <v>8643</v>
      </c>
      <c r="E1047" s="1" t="s">
        <v>8644</v>
      </c>
      <c r="F1047" s="1" t="s">
        <v>10113</v>
      </c>
      <c r="G1047" s="1" t="s">
        <v>14281</v>
      </c>
      <c r="H1047" s="1" t="s">
        <v>14282</v>
      </c>
      <c r="I1047" s="1" t="s">
        <v>15157</v>
      </c>
      <c r="J1047" s="1" t="s">
        <v>23</v>
      </c>
      <c r="K1047" s="1"/>
      <c r="L1047" s="1" t="s">
        <v>8293</v>
      </c>
      <c r="M1047" s="1" t="s">
        <v>10114</v>
      </c>
      <c r="N1047" s="1" t="s">
        <v>10115</v>
      </c>
      <c r="O1047" s="1" t="s">
        <v>8299</v>
      </c>
      <c r="P1047" s="1" t="s">
        <v>8300</v>
      </c>
      <c r="Q1047" s="1" t="s">
        <v>8857</v>
      </c>
      <c r="R1047" s="1" t="s">
        <v>8858</v>
      </c>
      <c r="S1047" s="1" t="s">
        <v>8859</v>
      </c>
      <c r="T1047" s="1" t="s">
        <v>8301</v>
      </c>
      <c r="U1047">
        <v>8912.4699999999993</v>
      </c>
      <c r="V1047">
        <v>8868.01</v>
      </c>
      <c r="W1047">
        <v>12.853419000000001</v>
      </c>
      <c r="X1047">
        <v>108.10435699999999</v>
      </c>
      <c r="Y1047">
        <v>44.45</v>
      </c>
      <c r="Z1047">
        <v>12.910539</v>
      </c>
      <c r="AA1047">
        <v>108.190575</v>
      </c>
      <c r="AB1047" s="5">
        <f t="shared" si="97"/>
        <v>13.302014999999999</v>
      </c>
      <c r="AC1047" s="5">
        <f t="shared" si="98"/>
        <v>6.6675000000000012E-2</v>
      </c>
      <c r="AD1047" s="1" t="str">
        <f t="shared" si="99"/>
        <v>Cư M'ga</v>
      </c>
      <c r="AE1047" s="1" t="str">
        <f t="shared" si="100"/>
        <v>Buôn Hồ</v>
      </c>
      <c r="AG1047">
        <f t="shared" si="101"/>
        <v>8.8680099999999999</v>
      </c>
      <c r="AH1047">
        <f t="shared" si="102"/>
        <v>4.4450000000000003E-2</v>
      </c>
      <c r="AI1047">
        <f>VLOOKUP(L1047,'[1]Tuyến cáp H04'!$B:$E,3,0)/1000</f>
        <v>38.145000000000003</v>
      </c>
      <c r="AJ1047" t="str">
        <f>VLOOKUP(L1047,'[1]Tuyến cáp H04'!$B:$E,4,0)</f>
        <v>Mạng cấp 3</v>
      </c>
    </row>
    <row r="1048" spans="1:36" x14ac:dyDescent="0.25">
      <c r="A1048" s="1" t="s">
        <v>10116</v>
      </c>
      <c r="B1048" s="1" t="s">
        <v>10117</v>
      </c>
      <c r="C1048" s="1" t="s">
        <v>10118</v>
      </c>
      <c r="D1048" s="1" t="s">
        <v>8643</v>
      </c>
      <c r="E1048" s="1" t="s">
        <v>8644</v>
      </c>
      <c r="F1048" s="1" t="s">
        <v>10119</v>
      </c>
      <c r="G1048" s="1" t="s">
        <v>14281</v>
      </c>
      <c r="H1048" s="1" t="s">
        <v>14282</v>
      </c>
      <c r="I1048" s="1" t="s">
        <v>15158</v>
      </c>
      <c r="J1048" s="1" t="s">
        <v>23</v>
      </c>
      <c r="K1048" s="1"/>
      <c r="L1048" s="1" t="s">
        <v>10120</v>
      </c>
      <c r="M1048" s="1" t="s">
        <v>10121</v>
      </c>
      <c r="N1048" s="1" t="s">
        <v>10122</v>
      </c>
      <c r="O1048" s="1" t="s">
        <v>10123</v>
      </c>
      <c r="P1048" s="1" t="s">
        <v>10124</v>
      </c>
      <c r="Q1048" s="1" t="s">
        <v>10125</v>
      </c>
      <c r="R1048" s="1" t="s">
        <v>10126</v>
      </c>
      <c r="S1048" s="1" t="s">
        <v>10127</v>
      </c>
      <c r="T1048" s="1" t="s">
        <v>10128</v>
      </c>
      <c r="U1048">
        <v>10015.73</v>
      </c>
      <c r="V1048">
        <v>73.569999999999993</v>
      </c>
      <c r="W1048">
        <v>12.788779999999999</v>
      </c>
      <c r="X1048">
        <v>108.21725499999999</v>
      </c>
      <c r="Y1048">
        <v>9942.16</v>
      </c>
      <c r="Z1048">
        <v>12.840890999999999</v>
      </c>
      <c r="AA1048">
        <v>108.24750899999999</v>
      </c>
      <c r="AB1048" s="5">
        <f t="shared" si="97"/>
        <v>0.11035499999999999</v>
      </c>
      <c r="AC1048" s="5">
        <f t="shared" si="98"/>
        <v>14.91324</v>
      </c>
      <c r="AD1048" s="1" t="str">
        <f t="shared" si="99"/>
        <v>Cuôr Đăng</v>
      </c>
      <c r="AE1048" s="1" t="str">
        <f t="shared" si="100"/>
        <v>Cư Bao</v>
      </c>
      <c r="AG1048">
        <f t="shared" si="101"/>
        <v>7.3569999999999997E-2</v>
      </c>
      <c r="AH1048">
        <f t="shared" si="102"/>
        <v>9.9421599999999994</v>
      </c>
      <c r="AI1048">
        <f>VLOOKUP(L1048,'[1]Tuyến cáp H04'!$B:$E,3,0)/1000</f>
        <v>15.755000000000001</v>
      </c>
      <c r="AJ1048" t="str">
        <f>VLOOKUP(L1048,'[1]Tuyến cáp H04'!$B:$E,4,0)</f>
        <v>Mạng cấp 4</v>
      </c>
    </row>
    <row r="1049" spans="1:36" x14ac:dyDescent="0.25">
      <c r="A1049" s="1" t="s">
        <v>10129</v>
      </c>
      <c r="B1049" s="1" t="s">
        <v>8554</v>
      </c>
      <c r="C1049" s="1" t="s">
        <v>8555</v>
      </c>
      <c r="D1049" s="1" t="s">
        <v>10117</v>
      </c>
      <c r="E1049" s="1" t="s">
        <v>10118</v>
      </c>
      <c r="F1049" s="1" t="s">
        <v>10130</v>
      </c>
      <c r="G1049" s="1" t="s">
        <v>14281</v>
      </c>
      <c r="H1049" s="1" t="s">
        <v>14282</v>
      </c>
      <c r="I1049" s="1" t="s">
        <v>15159</v>
      </c>
      <c r="J1049" s="1" t="s">
        <v>23</v>
      </c>
      <c r="K1049" s="1"/>
      <c r="L1049" s="1" t="s">
        <v>8350</v>
      </c>
      <c r="M1049" s="1" t="s">
        <v>10131</v>
      </c>
      <c r="N1049" s="1" t="s">
        <v>8590</v>
      </c>
      <c r="O1049" s="1" t="s">
        <v>8353</v>
      </c>
      <c r="P1049" s="1" t="s">
        <v>8354</v>
      </c>
      <c r="Q1049" s="1" t="s">
        <v>10132</v>
      </c>
      <c r="R1049" s="1" t="s">
        <v>8965</v>
      </c>
      <c r="S1049" s="1" t="s">
        <v>8966</v>
      </c>
      <c r="T1049" s="1" t="s">
        <v>8358</v>
      </c>
      <c r="U1049">
        <v>1861.86</v>
      </c>
      <c r="V1049">
        <v>1750.11</v>
      </c>
      <c r="W1049">
        <v>12.690893000000001</v>
      </c>
      <c r="X1049">
        <v>108.06744999999999</v>
      </c>
      <c r="Y1049">
        <v>111.75</v>
      </c>
      <c r="Z1049">
        <v>12.789365</v>
      </c>
      <c r="AA1049">
        <v>108.217463</v>
      </c>
      <c r="AB1049" s="5">
        <f t="shared" si="97"/>
        <v>2.625165</v>
      </c>
      <c r="AC1049" s="5">
        <f t="shared" si="98"/>
        <v>0.167625</v>
      </c>
      <c r="AD1049" s="1" t="str">
        <f t="shared" si="99"/>
        <v>TT1 Đăk Lăk</v>
      </c>
      <c r="AE1049" s="1" t="str">
        <f t="shared" si="100"/>
        <v>ILA Ea Kar</v>
      </c>
      <c r="AG1049">
        <f t="shared" si="101"/>
        <v>1.7501099999999998</v>
      </c>
      <c r="AH1049">
        <f t="shared" si="102"/>
        <v>0.11175</v>
      </c>
      <c r="AI1049" t="e">
        <f>VLOOKUP(L1049,'[1]Tuyến cáp H04'!$B:$E,3,0)/1000</f>
        <v>#N/A</v>
      </c>
      <c r="AJ1049" t="e">
        <f>VLOOKUP(L1049,'[1]Tuyến cáp H04'!$B:$E,4,0)</f>
        <v>#N/A</v>
      </c>
    </row>
    <row r="1050" spans="1:36" x14ac:dyDescent="0.25">
      <c r="A1050" s="1" t="s">
        <v>10133</v>
      </c>
      <c r="B1050" s="1" t="s">
        <v>8362</v>
      </c>
      <c r="C1050" s="1" t="s">
        <v>10097</v>
      </c>
      <c r="D1050" s="1" t="s">
        <v>8643</v>
      </c>
      <c r="E1050" s="1" t="s">
        <v>8644</v>
      </c>
      <c r="F1050" s="1" t="s">
        <v>10134</v>
      </c>
      <c r="G1050" s="1" t="s">
        <v>14281</v>
      </c>
      <c r="H1050" s="1" t="s">
        <v>14282</v>
      </c>
      <c r="I1050" s="1" t="s">
        <v>15160</v>
      </c>
      <c r="J1050" s="1" t="s">
        <v>23</v>
      </c>
      <c r="K1050" s="1"/>
      <c r="L1050" s="1" t="s">
        <v>8350</v>
      </c>
      <c r="M1050" s="1" t="s">
        <v>10135</v>
      </c>
      <c r="N1050" s="1" t="s">
        <v>10136</v>
      </c>
      <c r="O1050" s="1" t="s">
        <v>8353</v>
      </c>
      <c r="P1050" s="1" t="s">
        <v>8354</v>
      </c>
      <c r="Q1050" s="1" t="s">
        <v>10137</v>
      </c>
      <c r="R1050" s="1" t="s">
        <v>10138</v>
      </c>
      <c r="S1050" s="1" t="s">
        <v>10139</v>
      </c>
      <c r="T1050" s="1" t="s">
        <v>8358</v>
      </c>
      <c r="U1050">
        <v>15390.47</v>
      </c>
      <c r="V1050">
        <v>3610.38</v>
      </c>
      <c r="W1050">
        <v>12.690893000000001</v>
      </c>
      <c r="X1050">
        <v>108.06744999999999</v>
      </c>
      <c r="Y1050">
        <v>11780.09</v>
      </c>
      <c r="Z1050">
        <v>12.813561999999999</v>
      </c>
      <c r="AA1050">
        <v>108.23357</v>
      </c>
      <c r="AB1050" s="5">
        <f t="shared" si="97"/>
        <v>5.4155699999999998</v>
      </c>
      <c r="AC1050" s="5">
        <f t="shared" si="98"/>
        <v>17.670135000000002</v>
      </c>
      <c r="AD1050" s="1" t="str">
        <f t="shared" si="99"/>
        <v>TT1 Đăk Lăk</v>
      </c>
      <c r="AE1050" s="1" t="str">
        <f t="shared" si="100"/>
        <v>ILA Ea Kar</v>
      </c>
      <c r="AG1050">
        <f t="shared" si="101"/>
        <v>3.6103800000000001</v>
      </c>
      <c r="AH1050">
        <f t="shared" si="102"/>
        <v>11.78009</v>
      </c>
      <c r="AI1050" t="e">
        <f>VLOOKUP(L1050,'[1]Tuyến cáp H04'!$B:$E,3,0)/1000</f>
        <v>#N/A</v>
      </c>
      <c r="AJ1050" t="e">
        <f>VLOOKUP(L1050,'[1]Tuyến cáp H04'!$B:$E,4,0)</f>
        <v>#N/A</v>
      </c>
    </row>
    <row r="1051" spans="1:36" x14ac:dyDescent="0.25">
      <c r="A1051" s="1" t="s">
        <v>10140</v>
      </c>
      <c r="B1051" s="1" t="s">
        <v>8643</v>
      </c>
      <c r="C1051" s="1" t="s">
        <v>8644</v>
      </c>
      <c r="D1051" s="1" t="s">
        <v>8260</v>
      </c>
      <c r="E1051" s="1" t="s">
        <v>8261</v>
      </c>
      <c r="F1051" s="1" t="s">
        <v>10141</v>
      </c>
      <c r="G1051" s="1" t="s">
        <v>14281</v>
      </c>
      <c r="H1051" s="1" t="s">
        <v>14282</v>
      </c>
      <c r="I1051" s="1" t="s">
        <v>15161</v>
      </c>
      <c r="J1051" s="1" t="s">
        <v>23</v>
      </c>
      <c r="K1051" s="1"/>
      <c r="L1051" s="1" t="s">
        <v>8728</v>
      </c>
      <c r="M1051" s="1" t="s">
        <v>10142</v>
      </c>
      <c r="N1051" s="1" t="s">
        <v>8918</v>
      </c>
      <c r="O1051" s="1" t="s">
        <v>8919</v>
      </c>
      <c r="P1051" s="1" t="s">
        <v>8920</v>
      </c>
      <c r="Q1051" s="1" t="s">
        <v>10143</v>
      </c>
      <c r="R1051" s="1" t="s">
        <v>8875</v>
      </c>
      <c r="S1051" s="1" t="s">
        <v>8876</v>
      </c>
      <c r="T1051" s="1" t="s">
        <v>8736</v>
      </c>
      <c r="U1051">
        <v>9248.6200000000008</v>
      </c>
      <c r="V1051">
        <v>55.55</v>
      </c>
      <c r="W1051">
        <v>12.910633000000001</v>
      </c>
      <c r="X1051">
        <v>108.190708</v>
      </c>
      <c r="Y1051">
        <v>9193.08</v>
      </c>
      <c r="Z1051">
        <v>12.930183</v>
      </c>
      <c r="AA1051">
        <v>108.26278600000001</v>
      </c>
      <c r="AB1051" s="5">
        <f t="shared" si="97"/>
        <v>8.3324999999999982E-2</v>
      </c>
      <c r="AC1051" s="5">
        <f t="shared" si="98"/>
        <v>13.789619999999999</v>
      </c>
      <c r="AD1051" s="1" t="str">
        <f t="shared" si="99"/>
        <v>Ea Tul</v>
      </c>
      <c r="AE1051" s="1" t="str">
        <f t="shared" si="100"/>
        <v>Buôn Hồ</v>
      </c>
      <c r="AG1051">
        <f t="shared" si="101"/>
        <v>5.5549999999999995E-2</v>
      </c>
      <c r="AH1051">
        <f t="shared" si="102"/>
        <v>9.1930800000000001</v>
      </c>
      <c r="AI1051">
        <f>VLOOKUP(L1051,'[1]Tuyến cáp H04'!$B:$E,3,0)/1000</f>
        <v>13.702999999999999</v>
      </c>
      <c r="AJ1051" t="str">
        <f>VLOOKUP(L1051,'[1]Tuyến cáp H04'!$B:$E,4,0)</f>
        <v>Mạng cấp 4</v>
      </c>
    </row>
    <row r="1052" spans="1:36" x14ac:dyDescent="0.25">
      <c r="A1052" s="1" t="s">
        <v>10144</v>
      </c>
      <c r="B1052" s="1" t="s">
        <v>8260</v>
      </c>
      <c r="C1052" s="1" t="s">
        <v>8261</v>
      </c>
      <c r="D1052" s="1" t="s">
        <v>8810</v>
      </c>
      <c r="E1052" s="1" t="s">
        <v>8811</v>
      </c>
      <c r="F1052" s="1" t="s">
        <v>10145</v>
      </c>
      <c r="G1052" s="1" t="s">
        <v>14281</v>
      </c>
      <c r="H1052" s="1" t="s">
        <v>14282</v>
      </c>
      <c r="I1052" s="1" t="s">
        <v>15162</v>
      </c>
      <c r="J1052" s="1" t="s">
        <v>23</v>
      </c>
      <c r="K1052" s="1"/>
      <c r="L1052" s="1" t="s">
        <v>8813</v>
      </c>
      <c r="M1052" s="1" t="s">
        <v>10146</v>
      </c>
      <c r="N1052" s="1" t="s">
        <v>10147</v>
      </c>
      <c r="O1052" s="1" t="s">
        <v>8816</v>
      </c>
      <c r="P1052" s="1" t="s">
        <v>8817</v>
      </c>
      <c r="Q1052" s="1" t="s">
        <v>8818</v>
      </c>
      <c r="R1052" s="1" t="s">
        <v>8819</v>
      </c>
      <c r="S1052" s="1" t="s">
        <v>8820</v>
      </c>
      <c r="T1052" s="1" t="s">
        <v>8821</v>
      </c>
      <c r="U1052">
        <v>3248.76</v>
      </c>
      <c r="V1052">
        <v>3113.58</v>
      </c>
      <c r="W1052">
        <v>12.924609999999999</v>
      </c>
      <c r="X1052">
        <v>108.35176800000001</v>
      </c>
      <c r="Y1052">
        <v>135.18</v>
      </c>
      <c r="Z1052">
        <v>12.88081</v>
      </c>
      <c r="AA1052">
        <v>108.38649100000001</v>
      </c>
      <c r="AB1052" s="5">
        <f t="shared" si="97"/>
        <v>4.6703700000000001</v>
      </c>
      <c r="AC1052" s="5">
        <f t="shared" si="98"/>
        <v>0.20277000000000001</v>
      </c>
      <c r="AD1052" s="1" t="str">
        <f t="shared" si="99"/>
        <v>Ea Kar</v>
      </c>
      <c r="AE1052" s="1" t="str">
        <f t="shared" si="100"/>
        <v>KRông Năng</v>
      </c>
      <c r="AG1052">
        <f t="shared" si="101"/>
        <v>3.1135799999999998</v>
      </c>
      <c r="AH1052">
        <f t="shared" si="102"/>
        <v>0.13517999999999999</v>
      </c>
      <c r="AI1052">
        <f>VLOOKUP(L1052,'[1]Tuyến cáp H04'!$B:$E,3,0)/1000</f>
        <v>28.914000000000001</v>
      </c>
      <c r="AJ1052" t="str">
        <f>VLOOKUP(L1052,'[1]Tuyến cáp H04'!$B:$E,4,0)</f>
        <v>Mạng cấp 3</v>
      </c>
    </row>
    <row r="1053" spans="1:36" x14ac:dyDescent="0.25">
      <c r="A1053" s="1" t="s">
        <v>10148</v>
      </c>
      <c r="B1053" s="1" t="s">
        <v>8810</v>
      </c>
      <c r="C1053" s="1" t="s">
        <v>8811</v>
      </c>
      <c r="D1053" s="1" t="s">
        <v>8332</v>
      </c>
      <c r="E1053" s="1" t="s">
        <v>8333</v>
      </c>
      <c r="F1053" s="1" t="s">
        <v>10149</v>
      </c>
      <c r="G1053" s="1" t="s">
        <v>14281</v>
      </c>
      <c r="H1053" s="1" t="s">
        <v>14282</v>
      </c>
      <c r="I1053" s="1" t="s">
        <v>15163</v>
      </c>
      <c r="J1053" s="1" t="s">
        <v>23</v>
      </c>
      <c r="K1053" s="1"/>
      <c r="L1053" s="1" t="s">
        <v>8813</v>
      </c>
      <c r="M1053" s="1" t="s">
        <v>8814</v>
      </c>
      <c r="N1053" s="1" t="s">
        <v>8818</v>
      </c>
      <c r="O1053" s="1" t="s">
        <v>8819</v>
      </c>
      <c r="P1053" s="1" t="s">
        <v>8820</v>
      </c>
      <c r="Q1053" s="1" t="s">
        <v>8815</v>
      </c>
      <c r="R1053" s="1" t="s">
        <v>8816</v>
      </c>
      <c r="S1053" s="1" t="s">
        <v>8817</v>
      </c>
      <c r="T1053" s="1" t="s">
        <v>8821</v>
      </c>
      <c r="U1053">
        <v>9422.7900000000009</v>
      </c>
      <c r="V1053">
        <v>135.18</v>
      </c>
      <c r="W1053">
        <v>12.88081</v>
      </c>
      <c r="X1053">
        <v>108.38649100000001</v>
      </c>
      <c r="Y1053">
        <v>9287.61</v>
      </c>
      <c r="Z1053">
        <v>12.924609999999999</v>
      </c>
      <c r="AA1053">
        <v>108.35176800000001</v>
      </c>
      <c r="AB1053" s="5">
        <f t="shared" si="97"/>
        <v>0.20277000000000001</v>
      </c>
      <c r="AC1053" s="5">
        <f t="shared" si="98"/>
        <v>13.931415000000001</v>
      </c>
      <c r="AD1053" s="1" t="str">
        <f t="shared" si="99"/>
        <v>Ea Kar</v>
      </c>
      <c r="AE1053" s="1" t="str">
        <f t="shared" si="100"/>
        <v>KRông Năng</v>
      </c>
      <c r="AG1053">
        <f t="shared" si="101"/>
        <v>0.13517999999999999</v>
      </c>
      <c r="AH1053">
        <f t="shared" si="102"/>
        <v>9.2876100000000008</v>
      </c>
      <c r="AI1053">
        <f>VLOOKUP(L1053,'[1]Tuyến cáp H04'!$B:$E,3,0)/1000</f>
        <v>28.914000000000001</v>
      </c>
      <c r="AJ1053" t="str">
        <f>VLOOKUP(L1053,'[1]Tuyến cáp H04'!$B:$E,4,0)</f>
        <v>Mạng cấp 3</v>
      </c>
    </row>
    <row r="1054" spans="1:36" x14ac:dyDescent="0.25">
      <c r="A1054" s="1" t="s">
        <v>10150</v>
      </c>
      <c r="B1054" s="1" t="s">
        <v>8332</v>
      </c>
      <c r="C1054" s="1" t="s">
        <v>8333</v>
      </c>
      <c r="D1054" s="1" t="s">
        <v>8554</v>
      </c>
      <c r="E1054" s="1" t="s">
        <v>8555</v>
      </c>
      <c r="F1054" s="1" t="s">
        <v>10151</v>
      </c>
      <c r="G1054" s="1" t="s">
        <v>14281</v>
      </c>
      <c r="H1054" s="1" t="s">
        <v>14282</v>
      </c>
      <c r="I1054" s="1" t="s">
        <v>15164</v>
      </c>
      <c r="J1054" s="1" t="s">
        <v>23</v>
      </c>
      <c r="K1054" s="1"/>
      <c r="L1054" s="1" t="s">
        <v>8350</v>
      </c>
      <c r="M1054" s="1" t="s">
        <v>10152</v>
      </c>
      <c r="N1054" s="1" t="s">
        <v>10153</v>
      </c>
      <c r="O1054" s="1" t="s">
        <v>10154</v>
      </c>
      <c r="P1054" s="1" t="s">
        <v>10155</v>
      </c>
      <c r="Q1054" s="1" t="s">
        <v>8590</v>
      </c>
      <c r="R1054" s="1" t="s">
        <v>8353</v>
      </c>
      <c r="S1054" s="1" t="s">
        <v>8354</v>
      </c>
      <c r="T1054" s="1" t="s">
        <v>8358</v>
      </c>
      <c r="U1054">
        <v>13265.44</v>
      </c>
      <c r="V1054">
        <v>11515.33</v>
      </c>
      <c r="W1054">
        <v>12.815362</v>
      </c>
      <c r="X1054">
        <v>108.24225800000001</v>
      </c>
      <c r="Y1054">
        <v>1750.11</v>
      </c>
      <c r="Z1054">
        <v>12.690893000000001</v>
      </c>
      <c r="AA1054">
        <v>108.06744999999999</v>
      </c>
      <c r="AB1054" s="5">
        <f t="shared" si="97"/>
        <v>17.272994999999998</v>
      </c>
      <c r="AC1054" s="5">
        <f t="shared" si="98"/>
        <v>2.625165</v>
      </c>
      <c r="AD1054" s="1" t="str">
        <f t="shared" si="99"/>
        <v>TT1 Đăk Lăk</v>
      </c>
      <c r="AE1054" s="1" t="str">
        <f t="shared" si="100"/>
        <v>ILA Ea Kar</v>
      </c>
      <c r="AG1054">
        <f t="shared" si="101"/>
        <v>11.515330000000001</v>
      </c>
      <c r="AH1054">
        <f t="shared" si="102"/>
        <v>1.7501099999999998</v>
      </c>
      <c r="AI1054" t="e">
        <f>VLOOKUP(L1054,'[1]Tuyến cáp H04'!$B:$E,3,0)/1000</f>
        <v>#N/A</v>
      </c>
      <c r="AJ1054" t="e">
        <f>VLOOKUP(L1054,'[1]Tuyến cáp H04'!$B:$E,4,0)</f>
        <v>#N/A</v>
      </c>
    </row>
    <row r="1055" spans="1:36" x14ac:dyDescent="0.25">
      <c r="A1055" s="1" t="s">
        <v>10156</v>
      </c>
      <c r="B1055" s="1" t="s">
        <v>8470</v>
      </c>
      <c r="C1055" s="1" t="s">
        <v>8471</v>
      </c>
      <c r="D1055" s="1" t="s">
        <v>8810</v>
      </c>
      <c r="E1055" s="1" t="s">
        <v>8811</v>
      </c>
      <c r="F1055" s="1" t="s">
        <v>10157</v>
      </c>
      <c r="G1055" s="1" t="s">
        <v>14281</v>
      </c>
      <c r="H1055" s="1" t="s">
        <v>14282</v>
      </c>
      <c r="I1055" s="1" t="s">
        <v>15165</v>
      </c>
      <c r="J1055" s="1" t="s">
        <v>23</v>
      </c>
      <c r="K1055" s="1"/>
      <c r="L1055" s="1" t="s">
        <v>10158</v>
      </c>
      <c r="M1055" s="1" t="s">
        <v>10159</v>
      </c>
      <c r="N1055" s="1" t="s">
        <v>10160</v>
      </c>
      <c r="O1055" s="1" t="s">
        <v>10161</v>
      </c>
      <c r="P1055" s="1" t="s">
        <v>10162</v>
      </c>
      <c r="Q1055" s="1" t="s">
        <v>10163</v>
      </c>
      <c r="R1055" s="1" t="s">
        <v>10164</v>
      </c>
      <c r="S1055" s="1" t="s">
        <v>10165</v>
      </c>
      <c r="T1055" s="1" t="s">
        <v>10166</v>
      </c>
      <c r="U1055">
        <v>5249.55</v>
      </c>
      <c r="V1055">
        <v>70.81</v>
      </c>
      <c r="W1055">
        <v>12.81155</v>
      </c>
      <c r="X1055">
        <v>108.48330900000001</v>
      </c>
      <c r="Y1055">
        <v>5178.75</v>
      </c>
      <c r="Z1055">
        <v>12.852957999999999</v>
      </c>
      <c r="AA1055">
        <v>108.423523</v>
      </c>
      <c r="AB1055" s="5">
        <f t="shared" si="97"/>
        <v>0.106215</v>
      </c>
      <c r="AC1055" s="5">
        <f t="shared" si="98"/>
        <v>7.7681250000000004</v>
      </c>
      <c r="AD1055" s="1" t="e">
        <f t="shared" si="99"/>
        <v>#VALUE!</v>
      </c>
      <c r="AE1055" s="1" t="e">
        <f t="shared" si="100"/>
        <v>#VALUE!</v>
      </c>
      <c r="AG1055">
        <f t="shared" si="101"/>
        <v>7.0809999999999998E-2</v>
      </c>
      <c r="AH1055">
        <f t="shared" si="102"/>
        <v>5.17875</v>
      </c>
      <c r="AI1055" t="e">
        <f>VLOOKUP(L1055,'[1]Tuyến cáp H04'!$B:$E,3,0)/1000</f>
        <v>#N/A</v>
      </c>
      <c r="AJ1055" t="e">
        <f>VLOOKUP(L1055,'[1]Tuyến cáp H04'!$B:$E,4,0)</f>
        <v>#N/A</v>
      </c>
    </row>
    <row r="1056" spans="1:36" x14ac:dyDescent="0.25">
      <c r="A1056" s="1" t="s">
        <v>10167</v>
      </c>
      <c r="B1056" s="1" t="s">
        <v>10168</v>
      </c>
      <c r="C1056" s="1" t="s">
        <v>10169</v>
      </c>
      <c r="D1056" s="1" t="s">
        <v>8470</v>
      </c>
      <c r="E1056" s="1" t="s">
        <v>8471</v>
      </c>
      <c r="F1056" s="1" t="s">
        <v>10170</v>
      </c>
      <c r="G1056" s="1" t="s">
        <v>14281</v>
      </c>
      <c r="H1056" s="1" t="s">
        <v>14282</v>
      </c>
      <c r="I1056" s="1" t="s">
        <v>15166</v>
      </c>
      <c r="J1056" s="1" t="s">
        <v>23</v>
      </c>
      <c r="K1056" s="1"/>
      <c r="L1056" s="1" t="s">
        <v>8350</v>
      </c>
      <c r="M1056" s="1" t="s">
        <v>10171</v>
      </c>
      <c r="N1056" s="1" t="s">
        <v>10172</v>
      </c>
      <c r="O1056" s="1" t="s">
        <v>10173</v>
      </c>
      <c r="P1056" s="1" t="s">
        <v>10174</v>
      </c>
      <c r="Q1056" s="1" t="s">
        <v>8477</v>
      </c>
      <c r="R1056" s="1" t="s">
        <v>8356</v>
      </c>
      <c r="S1056" s="1" t="s">
        <v>8357</v>
      </c>
      <c r="T1056" s="1" t="s">
        <v>8358</v>
      </c>
      <c r="U1056">
        <v>8086.6</v>
      </c>
      <c r="V1056">
        <v>8017.36</v>
      </c>
      <c r="W1056">
        <v>12.778797000000001</v>
      </c>
      <c r="X1056">
        <v>108.205924</v>
      </c>
      <c r="Y1056">
        <v>69.25</v>
      </c>
      <c r="Z1056">
        <v>12.811565999999999</v>
      </c>
      <c r="AA1056">
        <v>108.483311</v>
      </c>
      <c r="AB1056" s="5">
        <f t="shared" si="97"/>
        <v>12.026039999999998</v>
      </c>
      <c r="AC1056" s="5">
        <f t="shared" si="98"/>
        <v>0.103875</v>
      </c>
      <c r="AD1056" s="1" t="str">
        <f t="shared" si="99"/>
        <v>TT1 Đăk Lăk</v>
      </c>
      <c r="AE1056" s="1" t="str">
        <f t="shared" si="100"/>
        <v>ILA Ea Kar</v>
      </c>
      <c r="AG1056">
        <f t="shared" si="101"/>
        <v>8.01736</v>
      </c>
      <c r="AH1056">
        <f t="shared" si="102"/>
        <v>6.9250000000000006E-2</v>
      </c>
      <c r="AI1056" t="e">
        <f>VLOOKUP(L1056,'[1]Tuyến cáp H04'!$B:$E,3,0)/1000</f>
        <v>#N/A</v>
      </c>
      <c r="AJ1056" t="e">
        <f>VLOOKUP(L1056,'[1]Tuyến cáp H04'!$B:$E,4,0)</f>
        <v>#N/A</v>
      </c>
    </row>
    <row r="1057" spans="1:36" x14ac:dyDescent="0.25">
      <c r="A1057" s="1" t="s">
        <v>10175</v>
      </c>
      <c r="B1057" s="1" t="s">
        <v>8554</v>
      </c>
      <c r="C1057" s="1" t="s">
        <v>8555</v>
      </c>
      <c r="D1057" s="1" t="s">
        <v>10168</v>
      </c>
      <c r="E1057" s="1" t="s">
        <v>10169</v>
      </c>
      <c r="F1057" s="1" t="s">
        <v>10176</v>
      </c>
      <c r="G1057" s="1" t="s">
        <v>14281</v>
      </c>
      <c r="H1057" s="1" t="s">
        <v>14282</v>
      </c>
      <c r="I1057" s="1" t="s">
        <v>15167</v>
      </c>
      <c r="J1057" s="1" t="s">
        <v>23</v>
      </c>
      <c r="K1057" s="1"/>
      <c r="L1057" s="1" t="s">
        <v>9043</v>
      </c>
      <c r="M1057" s="1" t="s">
        <v>10177</v>
      </c>
      <c r="N1057" s="1" t="s">
        <v>10178</v>
      </c>
      <c r="O1057" s="1" t="s">
        <v>10179</v>
      </c>
      <c r="P1057" s="1" t="s">
        <v>10180</v>
      </c>
      <c r="Q1057" s="1" t="s">
        <v>10181</v>
      </c>
      <c r="R1057" s="1" t="s">
        <v>10182</v>
      </c>
      <c r="S1057" s="1" t="s">
        <v>10183</v>
      </c>
      <c r="T1057" s="1" t="s">
        <v>9051</v>
      </c>
      <c r="U1057">
        <v>2711.82</v>
      </c>
      <c r="V1057">
        <v>2489.64</v>
      </c>
      <c r="W1057">
        <v>12.684058</v>
      </c>
      <c r="X1057">
        <v>108.075749</v>
      </c>
      <c r="Y1057">
        <v>222.19</v>
      </c>
      <c r="Z1057">
        <v>12.716179</v>
      </c>
      <c r="AA1057">
        <v>108.23956200000001</v>
      </c>
      <c r="AB1057" s="5">
        <f t="shared" si="97"/>
        <v>3.7344599999999999</v>
      </c>
      <c r="AC1057" s="5">
        <f t="shared" si="98"/>
        <v>0.33328499999999994</v>
      </c>
      <c r="AD1057" s="1" t="str">
        <f t="shared" si="99"/>
        <v>TT1 Đăk Lăk</v>
      </c>
      <c r="AE1057" s="1" t="str">
        <f t="shared" si="100"/>
        <v>ILA Ea Pal</v>
      </c>
      <c r="AG1057">
        <f t="shared" si="101"/>
        <v>2.4896400000000001</v>
      </c>
      <c r="AH1057">
        <f t="shared" si="102"/>
        <v>0.22219</v>
      </c>
      <c r="AI1057" t="e">
        <f>VLOOKUP(L1057,'[1]Tuyến cáp H04'!$B:$E,3,0)/1000</f>
        <v>#N/A</v>
      </c>
      <c r="AJ1057" t="e">
        <f>VLOOKUP(L1057,'[1]Tuyến cáp H04'!$B:$E,4,0)</f>
        <v>#N/A</v>
      </c>
    </row>
    <row r="1058" spans="1:36" x14ac:dyDescent="0.25">
      <c r="A1058" s="1" t="s">
        <v>10184</v>
      </c>
      <c r="B1058" s="1" t="s">
        <v>10185</v>
      </c>
      <c r="C1058" s="1" t="s">
        <v>10186</v>
      </c>
      <c r="D1058" s="1" t="s">
        <v>8442</v>
      </c>
      <c r="E1058" s="1" t="s">
        <v>8443</v>
      </c>
      <c r="F1058" s="1" t="s">
        <v>10187</v>
      </c>
      <c r="G1058" s="1" t="s">
        <v>14281</v>
      </c>
      <c r="H1058" s="1" t="s">
        <v>14282</v>
      </c>
      <c r="I1058" s="1" t="s">
        <v>15168</v>
      </c>
      <c r="J1058" s="1" t="s">
        <v>23</v>
      </c>
      <c r="K1058" s="1"/>
      <c r="L1058" s="1" t="s">
        <v>10188</v>
      </c>
      <c r="M1058" s="1" t="s">
        <v>10189</v>
      </c>
      <c r="N1058" s="1" t="s">
        <v>10190</v>
      </c>
      <c r="O1058" s="1" t="s">
        <v>10191</v>
      </c>
      <c r="P1058" s="1" t="s">
        <v>10192</v>
      </c>
      <c r="Q1058" s="1" t="s">
        <v>10193</v>
      </c>
      <c r="R1058" s="1" t="s">
        <v>10194</v>
      </c>
      <c r="S1058" s="1" t="s">
        <v>10195</v>
      </c>
      <c r="T1058" s="1" t="s">
        <v>10196</v>
      </c>
      <c r="U1058">
        <v>7948.64</v>
      </c>
      <c r="V1058">
        <v>7831.89</v>
      </c>
      <c r="W1058">
        <v>12.567697000000001</v>
      </c>
      <c r="X1058">
        <v>108.120884</v>
      </c>
      <c r="Y1058">
        <v>116.75</v>
      </c>
      <c r="Z1058">
        <v>12.559718</v>
      </c>
      <c r="AA1058">
        <v>108.162858</v>
      </c>
      <c r="AB1058" s="5">
        <f t="shared" si="97"/>
        <v>11.747835</v>
      </c>
      <c r="AC1058" s="5">
        <f t="shared" si="98"/>
        <v>0.175125</v>
      </c>
      <c r="AD1058" s="1" t="str">
        <f t="shared" si="99"/>
        <v>KRông Ana</v>
      </c>
      <c r="AE1058" s="1" t="str">
        <f t="shared" si="100"/>
        <v>Cư Kuin</v>
      </c>
      <c r="AG1058">
        <f t="shared" si="101"/>
        <v>7.8318900000000005</v>
      </c>
      <c r="AH1058">
        <f t="shared" si="102"/>
        <v>0.11675000000000001</v>
      </c>
      <c r="AI1058">
        <f>VLOOKUP(L1058,'[1]Tuyến cáp H04'!$B:$E,3,0)/1000</f>
        <v>31.129000000000001</v>
      </c>
      <c r="AJ1058" t="str">
        <f>VLOOKUP(L1058,'[1]Tuyến cáp H04'!$B:$E,4,0)</f>
        <v>Mạng cấp 3</v>
      </c>
    </row>
    <row r="1059" spans="1:36" x14ac:dyDescent="0.25">
      <c r="A1059" s="1" t="s">
        <v>10197</v>
      </c>
      <c r="B1059" s="1" t="s">
        <v>8442</v>
      </c>
      <c r="C1059" s="1" t="s">
        <v>8443</v>
      </c>
      <c r="D1059" s="1" t="s">
        <v>8510</v>
      </c>
      <c r="E1059" s="1" t="s">
        <v>8511</v>
      </c>
      <c r="F1059" s="1" t="s">
        <v>10198</v>
      </c>
      <c r="G1059" s="1" t="s">
        <v>14281</v>
      </c>
      <c r="H1059" s="1" t="s">
        <v>14282</v>
      </c>
      <c r="I1059" s="1" t="s">
        <v>15169</v>
      </c>
      <c r="J1059" s="1" t="s">
        <v>23</v>
      </c>
      <c r="K1059" s="1"/>
      <c r="L1059" s="1" t="s">
        <v>9043</v>
      </c>
      <c r="M1059" s="1" t="s">
        <v>10199</v>
      </c>
      <c r="N1059" s="1" t="s">
        <v>10200</v>
      </c>
      <c r="O1059" s="1" t="s">
        <v>10201</v>
      </c>
      <c r="P1059" s="1" t="s">
        <v>10202</v>
      </c>
      <c r="Q1059" s="1" t="s">
        <v>10203</v>
      </c>
      <c r="R1059" s="1" t="s">
        <v>10204</v>
      </c>
      <c r="S1059" s="1" t="s">
        <v>10205</v>
      </c>
      <c r="T1059" s="1" t="s">
        <v>9051</v>
      </c>
      <c r="U1059">
        <v>16251.38</v>
      </c>
      <c r="V1059">
        <v>15501.01</v>
      </c>
      <c r="W1059">
        <v>12.699287</v>
      </c>
      <c r="X1059">
        <v>108.16922700000001</v>
      </c>
      <c r="Y1059">
        <v>750.37</v>
      </c>
      <c r="Z1059">
        <v>12.661210000000001</v>
      </c>
      <c r="AA1059">
        <v>108.347521</v>
      </c>
      <c r="AB1059" s="5">
        <f t="shared" si="97"/>
        <v>23.251514999999998</v>
      </c>
      <c r="AC1059" s="5">
        <f t="shared" si="98"/>
        <v>1.1255550000000001</v>
      </c>
      <c r="AD1059" s="1" t="str">
        <f t="shared" si="99"/>
        <v>TT1 Đăk Lăk</v>
      </c>
      <c r="AE1059" s="1" t="str">
        <f t="shared" si="100"/>
        <v>ILA Ea Pal</v>
      </c>
      <c r="AG1059">
        <f t="shared" si="101"/>
        <v>15.501010000000001</v>
      </c>
      <c r="AH1059">
        <f t="shared" si="102"/>
        <v>0.75036999999999998</v>
      </c>
      <c r="AI1059" t="e">
        <f>VLOOKUP(L1059,'[1]Tuyến cáp H04'!$B:$E,3,0)/1000</f>
        <v>#N/A</v>
      </c>
      <c r="AJ1059" t="e">
        <f>VLOOKUP(L1059,'[1]Tuyến cáp H04'!$B:$E,4,0)</f>
        <v>#N/A</v>
      </c>
    </row>
    <row r="1060" spans="1:36" x14ac:dyDescent="0.25">
      <c r="A1060" s="1" t="s">
        <v>10206</v>
      </c>
      <c r="B1060" s="1" t="s">
        <v>8510</v>
      </c>
      <c r="C1060" s="1" t="s">
        <v>8511</v>
      </c>
      <c r="D1060" s="1" t="s">
        <v>10168</v>
      </c>
      <c r="E1060" s="1" t="s">
        <v>10169</v>
      </c>
      <c r="F1060" s="1" t="s">
        <v>10207</v>
      </c>
      <c r="G1060" s="1" t="s">
        <v>14281</v>
      </c>
      <c r="H1060" s="1" t="s">
        <v>14282</v>
      </c>
      <c r="I1060" s="1" t="s">
        <v>15170</v>
      </c>
      <c r="J1060" s="1" t="s">
        <v>23</v>
      </c>
      <c r="K1060" s="1"/>
      <c r="L1060" s="1" t="s">
        <v>9043</v>
      </c>
      <c r="M1060" s="1" t="s">
        <v>10208</v>
      </c>
      <c r="N1060" s="1" t="s">
        <v>10203</v>
      </c>
      <c r="O1060" s="1" t="s">
        <v>10204</v>
      </c>
      <c r="P1060" s="1" t="s">
        <v>10205</v>
      </c>
      <c r="Q1060" s="1" t="s">
        <v>10181</v>
      </c>
      <c r="R1060" s="1" t="s">
        <v>10182</v>
      </c>
      <c r="S1060" s="1" t="s">
        <v>10183</v>
      </c>
      <c r="T1060" s="1" t="s">
        <v>9051</v>
      </c>
      <c r="U1060">
        <v>972.56</v>
      </c>
      <c r="V1060">
        <v>750.37</v>
      </c>
      <c r="W1060">
        <v>12.661210000000001</v>
      </c>
      <c r="X1060">
        <v>108.347521</v>
      </c>
      <c r="Y1060">
        <v>222.19</v>
      </c>
      <c r="Z1060">
        <v>12.716179</v>
      </c>
      <c r="AA1060">
        <v>108.23956200000001</v>
      </c>
      <c r="AB1060" s="5">
        <f t="shared" si="97"/>
        <v>1.1255550000000001</v>
      </c>
      <c r="AC1060" s="5">
        <f t="shared" si="98"/>
        <v>0.33328499999999994</v>
      </c>
      <c r="AD1060" s="1" t="str">
        <f t="shared" si="99"/>
        <v>TT1 Đăk Lăk</v>
      </c>
      <c r="AE1060" s="1" t="str">
        <f t="shared" si="100"/>
        <v>ILA Ea Pal</v>
      </c>
      <c r="AG1060">
        <f t="shared" si="101"/>
        <v>0.75036999999999998</v>
      </c>
      <c r="AH1060">
        <f t="shared" si="102"/>
        <v>0.22219</v>
      </c>
      <c r="AI1060" t="e">
        <f>VLOOKUP(L1060,'[1]Tuyến cáp H04'!$B:$E,3,0)/1000</f>
        <v>#N/A</v>
      </c>
      <c r="AJ1060" t="e">
        <f>VLOOKUP(L1060,'[1]Tuyến cáp H04'!$B:$E,4,0)</f>
        <v>#N/A</v>
      </c>
    </row>
    <row r="1061" spans="1:36" x14ac:dyDescent="0.25">
      <c r="A1061" s="1" t="s">
        <v>10175</v>
      </c>
      <c r="B1061" s="1" t="s">
        <v>8554</v>
      </c>
      <c r="C1061" s="1" t="s">
        <v>8555</v>
      </c>
      <c r="D1061" s="1" t="s">
        <v>10168</v>
      </c>
      <c r="E1061" s="1" t="s">
        <v>10169</v>
      </c>
      <c r="F1061" s="1" t="s">
        <v>10176</v>
      </c>
      <c r="G1061" s="1" t="s">
        <v>14281</v>
      </c>
      <c r="H1061" s="1" t="s">
        <v>14282</v>
      </c>
      <c r="I1061" s="1" t="s">
        <v>15167</v>
      </c>
      <c r="J1061" s="1" t="s">
        <v>23</v>
      </c>
      <c r="K1061" s="1"/>
      <c r="L1061" s="1" t="s">
        <v>9043</v>
      </c>
      <c r="M1061" s="1" t="s">
        <v>10177</v>
      </c>
      <c r="N1061" s="1" t="s">
        <v>10178</v>
      </c>
      <c r="O1061" s="1" t="s">
        <v>10179</v>
      </c>
      <c r="P1061" s="1" t="s">
        <v>10180</v>
      </c>
      <c r="Q1061" s="1" t="s">
        <v>10181</v>
      </c>
      <c r="R1061" s="1" t="s">
        <v>10182</v>
      </c>
      <c r="S1061" s="1" t="s">
        <v>10183</v>
      </c>
      <c r="T1061" s="1" t="s">
        <v>9051</v>
      </c>
      <c r="U1061">
        <v>2711.82</v>
      </c>
      <c r="V1061">
        <v>2489.64</v>
      </c>
      <c r="W1061">
        <v>12.684058</v>
      </c>
      <c r="X1061">
        <v>108.075749</v>
      </c>
      <c r="Y1061">
        <v>222.19</v>
      </c>
      <c r="Z1061">
        <v>12.716179</v>
      </c>
      <c r="AA1061">
        <v>108.23956200000001</v>
      </c>
      <c r="AB1061" s="5">
        <f t="shared" si="97"/>
        <v>3.7344599999999999</v>
      </c>
      <c r="AC1061" s="5">
        <f t="shared" si="98"/>
        <v>0.33328499999999994</v>
      </c>
      <c r="AD1061" s="1" t="str">
        <f t="shared" si="99"/>
        <v>TT1 Đăk Lăk</v>
      </c>
      <c r="AE1061" s="1" t="str">
        <f t="shared" si="100"/>
        <v>ILA Ea Pal</v>
      </c>
      <c r="AG1061">
        <f t="shared" si="101"/>
        <v>2.4896400000000001</v>
      </c>
      <c r="AH1061">
        <f t="shared" si="102"/>
        <v>0.22219</v>
      </c>
      <c r="AI1061" t="e">
        <f>VLOOKUP(L1061,'[1]Tuyến cáp H04'!$B:$E,3,0)/1000</f>
        <v>#N/A</v>
      </c>
      <c r="AJ1061" t="e">
        <f>VLOOKUP(L1061,'[1]Tuyến cáp H04'!$B:$E,4,0)</f>
        <v>#N/A</v>
      </c>
    </row>
    <row r="1062" spans="1:36" x14ac:dyDescent="0.25">
      <c r="A1062" s="1" t="s">
        <v>10209</v>
      </c>
      <c r="B1062" s="1" t="s">
        <v>10210</v>
      </c>
      <c r="C1062" s="1" t="s">
        <v>10211</v>
      </c>
      <c r="D1062" s="1" t="s">
        <v>10212</v>
      </c>
      <c r="E1062" s="1" t="s">
        <v>10213</v>
      </c>
      <c r="F1062" s="1" t="s">
        <v>10214</v>
      </c>
      <c r="G1062" s="1" t="s">
        <v>14281</v>
      </c>
      <c r="H1062" s="1" t="s">
        <v>14282</v>
      </c>
      <c r="I1062" s="1" t="s">
        <v>15171</v>
      </c>
      <c r="J1062" s="1" t="s">
        <v>23</v>
      </c>
      <c r="K1062" s="1"/>
      <c r="L1062" s="1" t="s">
        <v>10215</v>
      </c>
      <c r="M1062" s="1" t="s">
        <v>10216</v>
      </c>
      <c r="N1062" s="1" t="s">
        <v>10217</v>
      </c>
      <c r="O1062" s="1" t="s">
        <v>10218</v>
      </c>
      <c r="P1062" s="1" t="s">
        <v>10219</v>
      </c>
      <c r="Q1062" s="1" t="s">
        <v>10220</v>
      </c>
      <c r="R1062" s="1" t="s">
        <v>10221</v>
      </c>
      <c r="S1062" s="1" t="s">
        <v>10222</v>
      </c>
      <c r="T1062" s="1" t="s">
        <v>10223</v>
      </c>
      <c r="U1062">
        <v>119.77</v>
      </c>
      <c r="V1062">
        <v>117.93</v>
      </c>
      <c r="W1062">
        <v>12.813067</v>
      </c>
      <c r="X1062">
        <v>108.51879599999999</v>
      </c>
      <c r="Y1062">
        <v>1.84</v>
      </c>
      <c r="Z1062">
        <v>12.803341</v>
      </c>
      <c r="AA1062">
        <v>108.541213</v>
      </c>
      <c r="AB1062" s="5">
        <f t="shared" si="97"/>
        <v>0.176895</v>
      </c>
      <c r="AC1062" s="5">
        <f t="shared" si="98"/>
        <v>2.7600000000000003E-3</v>
      </c>
      <c r="AD1062" s="1" t="str">
        <f t="shared" si="99"/>
        <v>Ea Knốp</v>
      </c>
      <c r="AE1062" s="1" t="str">
        <f t="shared" si="100"/>
        <v>TTCMKV Ea Kar</v>
      </c>
      <c r="AG1062">
        <f t="shared" si="101"/>
        <v>0.11793000000000001</v>
      </c>
      <c r="AH1062">
        <f t="shared" si="102"/>
        <v>1.8400000000000001E-3</v>
      </c>
      <c r="AI1062">
        <f>VLOOKUP(L1062,'[1]Tuyến cáp H04'!$B:$E,3,0)/1000</f>
        <v>7.01</v>
      </c>
      <c r="AJ1062" t="str">
        <f>VLOOKUP(L1062,'[1]Tuyến cáp H04'!$B:$E,4,0)</f>
        <v>Mạng cấp 4</v>
      </c>
    </row>
    <row r="1063" spans="1:36" x14ac:dyDescent="0.25">
      <c r="A1063" s="1" t="s">
        <v>10224</v>
      </c>
      <c r="B1063" s="1" t="s">
        <v>10212</v>
      </c>
      <c r="C1063" s="1" t="s">
        <v>10213</v>
      </c>
      <c r="D1063" s="1" t="s">
        <v>10225</v>
      </c>
      <c r="E1063" s="1" t="s">
        <v>10226</v>
      </c>
      <c r="F1063" s="1" t="s">
        <v>10227</v>
      </c>
      <c r="G1063" s="1" t="s">
        <v>14281</v>
      </c>
      <c r="H1063" s="1" t="s">
        <v>14282</v>
      </c>
      <c r="I1063" s="1" t="s">
        <v>15172</v>
      </c>
      <c r="J1063" s="1" t="s">
        <v>23</v>
      </c>
      <c r="K1063" s="1"/>
      <c r="L1063" s="1" t="s">
        <v>10228</v>
      </c>
      <c r="M1063" s="1" t="s">
        <v>10229</v>
      </c>
      <c r="N1063" s="1" t="s">
        <v>10230</v>
      </c>
      <c r="O1063" s="1" t="s">
        <v>10231</v>
      </c>
      <c r="P1063" s="1" t="s">
        <v>10232</v>
      </c>
      <c r="Q1063" s="1" t="s">
        <v>10233</v>
      </c>
      <c r="R1063" s="1" t="s">
        <v>10234</v>
      </c>
      <c r="S1063" s="1" t="s">
        <v>10235</v>
      </c>
      <c r="T1063" s="1" t="s">
        <v>10236</v>
      </c>
      <c r="U1063">
        <v>1343.96</v>
      </c>
      <c r="V1063">
        <v>226.79</v>
      </c>
      <c r="W1063">
        <v>12.805263999999999</v>
      </c>
      <c r="X1063">
        <v>108.54186300000001</v>
      </c>
      <c r="Y1063">
        <v>1117.17</v>
      </c>
      <c r="Z1063">
        <v>12.811743999999999</v>
      </c>
      <c r="AA1063">
        <v>108.470349</v>
      </c>
      <c r="AB1063" s="5">
        <f t="shared" si="97"/>
        <v>0.34018500000000002</v>
      </c>
      <c r="AC1063" s="5">
        <f t="shared" si="98"/>
        <v>1.6757550000000001</v>
      </c>
      <c r="AD1063" s="1" t="str">
        <f t="shared" si="99"/>
        <v>Trung thế 472EKA__1</v>
      </c>
      <c r="AE1063" s="1" t="str">
        <f t="shared" si="100"/>
        <v>2-3_C5__5</v>
      </c>
      <c r="AG1063">
        <f t="shared" si="101"/>
        <v>0.22678999999999999</v>
      </c>
      <c r="AH1063">
        <f t="shared" si="102"/>
        <v>1.11717</v>
      </c>
      <c r="AI1063" t="e">
        <f>VLOOKUP(L1063,'[1]Tuyến cáp H04'!$B:$E,3,0)/1000</f>
        <v>#N/A</v>
      </c>
      <c r="AJ1063" t="e">
        <f>VLOOKUP(L1063,'[1]Tuyến cáp H04'!$B:$E,4,0)</f>
        <v>#N/A</v>
      </c>
    </row>
    <row r="1064" spans="1:36" x14ac:dyDescent="0.25">
      <c r="A1064" s="1" t="s">
        <v>10237</v>
      </c>
      <c r="B1064" s="1" t="s">
        <v>8470</v>
      </c>
      <c r="C1064" s="1" t="s">
        <v>8471</v>
      </c>
      <c r="D1064" s="1" t="s">
        <v>10225</v>
      </c>
      <c r="E1064" s="1" t="s">
        <v>10226</v>
      </c>
      <c r="F1064" s="1" t="s">
        <v>10238</v>
      </c>
      <c r="G1064" s="1" t="s">
        <v>14281</v>
      </c>
      <c r="H1064" s="1" t="s">
        <v>14282</v>
      </c>
      <c r="I1064" s="1" t="s">
        <v>15173</v>
      </c>
      <c r="J1064" s="1" t="s">
        <v>23</v>
      </c>
      <c r="K1064" s="1"/>
      <c r="L1064" s="1" t="s">
        <v>8350</v>
      </c>
      <c r="M1064" s="1" t="s">
        <v>10239</v>
      </c>
      <c r="N1064" s="1" t="s">
        <v>8477</v>
      </c>
      <c r="O1064" s="1" t="s">
        <v>8356</v>
      </c>
      <c r="P1064" s="1" t="s">
        <v>8357</v>
      </c>
      <c r="Q1064" s="1" t="s">
        <v>10240</v>
      </c>
      <c r="R1064" s="1" t="s">
        <v>10241</v>
      </c>
      <c r="S1064" s="1" t="s">
        <v>10242</v>
      </c>
      <c r="T1064" s="1" t="s">
        <v>8358</v>
      </c>
      <c r="U1064">
        <v>116.89</v>
      </c>
      <c r="V1064">
        <v>69.25</v>
      </c>
      <c r="W1064">
        <v>12.811565999999999</v>
      </c>
      <c r="X1064">
        <v>108.483311</v>
      </c>
      <c r="Y1064">
        <v>47.64</v>
      </c>
      <c r="Z1064">
        <v>12.812188000000001</v>
      </c>
      <c r="AA1064">
        <v>108.45995600000001</v>
      </c>
      <c r="AB1064" s="5">
        <f t="shared" si="97"/>
        <v>0.103875</v>
      </c>
      <c r="AC1064" s="5">
        <f t="shared" si="98"/>
        <v>7.146000000000001E-2</v>
      </c>
      <c r="AD1064" s="1" t="str">
        <f t="shared" si="99"/>
        <v>TT1 Đăk Lăk</v>
      </c>
      <c r="AE1064" s="1" t="str">
        <f t="shared" si="100"/>
        <v>ILA Ea Kar</v>
      </c>
      <c r="AG1064">
        <f t="shared" si="101"/>
        <v>6.9250000000000006E-2</v>
      </c>
      <c r="AH1064">
        <f t="shared" si="102"/>
        <v>4.7640000000000002E-2</v>
      </c>
      <c r="AI1064" t="e">
        <f>VLOOKUP(L1064,'[1]Tuyến cáp H04'!$B:$E,3,0)/1000</f>
        <v>#N/A</v>
      </c>
      <c r="AJ1064" t="e">
        <f>VLOOKUP(L1064,'[1]Tuyến cáp H04'!$B:$E,4,0)</f>
        <v>#N/A</v>
      </c>
    </row>
    <row r="1065" spans="1:36" x14ac:dyDescent="0.25">
      <c r="A1065" s="1" t="s">
        <v>10243</v>
      </c>
      <c r="B1065" s="1" t="s">
        <v>8470</v>
      </c>
      <c r="C1065" s="1" t="s">
        <v>8471</v>
      </c>
      <c r="D1065" s="1" t="s">
        <v>10244</v>
      </c>
      <c r="E1065" s="1" t="s">
        <v>10245</v>
      </c>
      <c r="F1065" s="1" t="s">
        <v>10246</v>
      </c>
      <c r="G1065" s="1" t="s">
        <v>14281</v>
      </c>
      <c r="H1065" s="1" t="s">
        <v>14282</v>
      </c>
      <c r="I1065" s="1" t="s">
        <v>15174</v>
      </c>
      <c r="J1065" s="1" t="s">
        <v>23</v>
      </c>
      <c r="K1065" s="1"/>
      <c r="L1065" s="1" t="s">
        <v>10158</v>
      </c>
      <c r="M1065" s="1" t="s">
        <v>10247</v>
      </c>
      <c r="N1065" s="1" t="s">
        <v>10160</v>
      </c>
      <c r="O1065" s="1" t="s">
        <v>10161</v>
      </c>
      <c r="P1065" s="1" t="s">
        <v>10162</v>
      </c>
      <c r="Q1065" s="1" t="s">
        <v>10248</v>
      </c>
      <c r="R1065" s="1" t="s">
        <v>10249</v>
      </c>
      <c r="S1065" s="1" t="s">
        <v>10250</v>
      </c>
      <c r="T1065" s="1" t="s">
        <v>10166</v>
      </c>
      <c r="U1065">
        <v>175.65</v>
      </c>
      <c r="V1065">
        <v>70.81</v>
      </c>
      <c r="W1065">
        <v>12.81155</v>
      </c>
      <c r="X1065">
        <v>108.48330900000001</v>
      </c>
      <c r="Y1065">
        <v>104.85</v>
      </c>
      <c r="Z1065">
        <v>12.841301</v>
      </c>
      <c r="AA1065">
        <v>108.430002</v>
      </c>
      <c r="AB1065" s="5">
        <f t="shared" si="97"/>
        <v>0.106215</v>
      </c>
      <c r="AC1065" s="5">
        <f t="shared" si="98"/>
        <v>0.15727499999999997</v>
      </c>
      <c r="AD1065" s="1" t="e">
        <f t="shared" si="99"/>
        <v>#VALUE!</v>
      </c>
      <c r="AE1065" s="1" t="e">
        <f t="shared" si="100"/>
        <v>#VALUE!</v>
      </c>
      <c r="AG1065">
        <f t="shared" si="101"/>
        <v>7.0809999999999998E-2</v>
      </c>
      <c r="AH1065">
        <f t="shared" si="102"/>
        <v>0.10485</v>
      </c>
      <c r="AI1065" t="e">
        <f>VLOOKUP(L1065,'[1]Tuyến cáp H04'!$B:$E,3,0)/1000</f>
        <v>#N/A</v>
      </c>
      <c r="AJ1065" t="e">
        <f>VLOOKUP(L1065,'[1]Tuyến cáp H04'!$B:$E,4,0)</f>
        <v>#N/A</v>
      </c>
    </row>
    <row r="1066" spans="1:36" x14ac:dyDescent="0.25">
      <c r="A1066" s="1" t="s">
        <v>10251</v>
      </c>
      <c r="B1066" s="1" t="s">
        <v>10252</v>
      </c>
      <c r="C1066" s="1" t="s">
        <v>10253</v>
      </c>
      <c r="D1066" s="1" t="s">
        <v>8470</v>
      </c>
      <c r="E1066" s="1" t="s">
        <v>8471</v>
      </c>
      <c r="F1066" s="1" t="s">
        <v>10254</v>
      </c>
      <c r="G1066" s="1" t="s">
        <v>14281</v>
      </c>
      <c r="H1066" s="1" t="s">
        <v>14282</v>
      </c>
      <c r="I1066" s="1" t="s">
        <v>15175</v>
      </c>
      <c r="J1066" s="1" t="s">
        <v>23</v>
      </c>
      <c r="K1066" s="1"/>
      <c r="L1066" s="1" t="s">
        <v>8350</v>
      </c>
      <c r="M1066" s="1" t="s">
        <v>10255</v>
      </c>
      <c r="N1066" s="1" t="s">
        <v>10256</v>
      </c>
      <c r="O1066" s="1" t="s">
        <v>10257</v>
      </c>
      <c r="P1066" s="1" t="s">
        <v>10258</v>
      </c>
      <c r="Q1066" s="1" t="s">
        <v>8477</v>
      </c>
      <c r="R1066" s="1" t="s">
        <v>8356</v>
      </c>
      <c r="S1066" s="1" t="s">
        <v>8357</v>
      </c>
      <c r="T1066" s="1" t="s">
        <v>8358</v>
      </c>
      <c r="U1066">
        <v>1380.85</v>
      </c>
      <c r="V1066">
        <v>1311.61</v>
      </c>
      <c r="W1066">
        <v>12.770509000000001</v>
      </c>
      <c r="X1066">
        <v>108.405835</v>
      </c>
      <c r="Y1066">
        <v>69.25</v>
      </c>
      <c r="Z1066">
        <v>12.811565999999999</v>
      </c>
      <c r="AA1066">
        <v>108.483311</v>
      </c>
      <c r="AB1066" s="5">
        <f t="shared" si="97"/>
        <v>1.9674149999999999</v>
      </c>
      <c r="AC1066" s="5">
        <f t="shared" si="98"/>
        <v>0.103875</v>
      </c>
      <c r="AD1066" s="1" t="str">
        <f t="shared" si="99"/>
        <v>TT1 Đăk Lăk</v>
      </c>
      <c r="AE1066" s="1" t="str">
        <f t="shared" si="100"/>
        <v>ILA Ea Kar</v>
      </c>
      <c r="AG1066">
        <f t="shared" si="101"/>
        <v>1.3116099999999999</v>
      </c>
      <c r="AH1066">
        <f t="shared" si="102"/>
        <v>6.9250000000000006E-2</v>
      </c>
      <c r="AI1066" t="e">
        <f>VLOOKUP(L1066,'[1]Tuyến cáp H04'!$B:$E,3,0)/1000</f>
        <v>#N/A</v>
      </c>
      <c r="AJ1066" t="e">
        <f>VLOOKUP(L1066,'[1]Tuyến cáp H04'!$B:$E,4,0)</f>
        <v>#N/A</v>
      </c>
    </row>
    <row r="1067" spans="1:36" x14ac:dyDescent="0.25">
      <c r="A1067" s="1" t="s">
        <v>10259</v>
      </c>
      <c r="B1067" s="1" t="s">
        <v>10260</v>
      </c>
      <c r="C1067" s="1" t="s">
        <v>10261</v>
      </c>
      <c r="D1067" s="1" t="s">
        <v>10252</v>
      </c>
      <c r="E1067" s="1" t="s">
        <v>10253</v>
      </c>
      <c r="F1067" s="1" t="s">
        <v>10262</v>
      </c>
      <c r="G1067" s="1" t="s">
        <v>14281</v>
      </c>
      <c r="H1067" s="1" t="s">
        <v>14282</v>
      </c>
      <c r="I1067" s="1" t="s">
        <v>15176</v>
      </c>
      <c r="J1067" s="1" t="s">
        <v>23</v>
      </c>
      <c r="K1067" s="1"/>
      <c r="L1067" s="1" t="s">
        <v>10263</v>
      </c>
      <c r="M1067" s="1" t="s">
        <v>10264</v>
      </c>
      <c r="N1067" s="1" t="s">
        <v>10265</v>
      </c>
      <c r="O1067" s="1" t="s">
        <v>10266</v>
      </c>
      <c r="P1067" s="1" t="s">
        <v>10267</v>
      </c>
      <c r="Q1067" s="1" t="s">
        <v>10268</v>
      </c>
      <c r="R1067" s="1" t="s">
        <v>10269</v>
      </c>
      <c r="S1067" s="1" t="s">
        <v>10270</v>
      </c>
      <c r="T1067" s="1" t="s">
        <v>10271</v>
      </c>
      <c r="U1067">
        <v>1467.87</v>
      </c>
      <c r="V1067">
        <v>85.4</v>
      </c>
      <c r="W1067">
        <v>12.727708</v>
      </c>
      <c r="X1067">
        <v>108.36395400000001</v>
      </c>
      <c r="Y1067">
        <v>1382.47</v>
      </c>
      <c r="Z1067">
        <v>12.769828</v>
      </c>
      <c r="AA1067">
        <v>108.40437</v>
      </c>
      <c r="AB1067" s="5">
        <f t="shared" si="97"/>
        <v>0.12810000000000002</v>
      </c>
      <c r="AC1067" s="5">
        <f t="shared" si="98"/>
        <v>2.0737049999999999</v>
      </c>
      <c r="AD1067" s="1" t="str">
        <f t="shared" si="99"/>
        <v>KRông Păk</v>
      </c>
      <c r="AE1067" s="1" t="str">
        <f t="shared" si="100"/>
        <v>Trại giam Đăk Tân (C10)</v>
      </c>
      <c r="AG1067">
        <f t="shared" si="101"/>
        <v>8.5400000000000004E-2</v>
      </c>
      <c r="AH1067">
        <f t="shared" si="102"/>
        <v>1.3824700000000001</v>
      </c>
      <c r="AI1067">
        <f>VLOOKUP(L1067,'[1]Tuyến cáp H04'!$B:$E,3,0)/1000</f>
        <v>53.56</v>
      </c>
      <c r="AJ1067" t="str">
        <f>VLOOKUP(L1067,'[1]Tuyến cáp H04'!$B:$E,4,0)</f>
        <v>Mạng cấp 3</v>
      </c>
    </row>
    <row r="1068" spans="1:36" x14ac:dyDescent="0.25">
      <c r="A1068" s="1" t="s">
        <v>10272</v>
      </c>
      <c r="B1068" s="1" t="s">
        <v>10168</v>
      </c>
      <c r="C1068" s="1" t="s">
        <v>10169</v>
      </c>
      <c r="D1068" s="1" t="s">
        <v>10260</v>
      </c>
      <c r="E1068" s="1" t="s">
        <v>10261</v>
      </c>
      <c r="F1068" s="1" t="s">
        <v>10273</v>
      </c>
      <c r="G1068" s="1" t="s">
        <v>14281</v>
      </c>
      <c r="H1068" s="1" t="s">
        <v>14282</v>
      </c>
      <c r="I1068" s="1" t="s">
        <v>15177</v>
      </c>
      <c r="J1068" s="1" t="s">
        <v>23</v>
      </c>
      <c r="K1068" s="1"/>
      <c r="L1068" s="1" t="s">
        <v>9043</v>
      </c>
      <c r="M1068" s="1" t="s">
        <v>10274</v>
      </c>
      <c r="N1068" s="1" t="s">
        <v>10181</v>
      </c>
      <c r="O1068" s="1" t="s">
        <v>10182</v>
      </c>
      <c r="P1068" s="1" t="s">
        <v>10183</v>
      </c>
      <c r="Q1068" s="1" t="s">
        <v>10275</v>
      </c>
      <c r="R1068" s="1" t="s">
        <v>10276</v>
      </c>
      <c r="S1068" s="1" t="s">
        <v>10277</v>
      </c>
      <c r="T1068" s="1" t="s">
        <v>9051</v>
      </c>
      <c r="U1068">
        <v>5159.71</v>
      </c>
      <c r="V1068">
        <v>222.19</v>
      </c>
      <c r="W1068">
        <v>12.716179</v>
      </c>
      <c r="X1068">
        <v>108.23956200000001</v>
      </c>
      <c r="Y1068">
        <v>4937.53</v>
      </c>
      <c r="Z1068">
        <v>12.699309</v>
      </c>
      <c r="AA1068">
        <v>108.328397</v>
      </c>
      <c r="AB1068" s="5">
        <f t="shared" si="97"/>
        <v>0.33328499999999994</v>
      </c>
      <c r="AC1068" s="5">
        <f t="shared" si="98"/>
        <v>7.4062950000000001</v>
      </c>
      <c r="AD1068" s="1" t="str">
        <f t="shared" si="99"/>
        <v>TT1 Đăk Lăk</v>
      </c>
      <c r="AE1068" s="1" t="str">
        <f t="shared" si="100"/>
        <v>ILA Ea Pal</v>
      </c>
      <c r="AG1068">
        <f t="shared" si="101"/>
        <v>0.22219</v>
      </c>
      <c r="AH1068">
        <f t="shared" si="102"/>
        <v>4.9375299999999998</v>
      </c>
      <c r="AI1068" t="e">
        <f>VLOOKUP(L1068,'[1]Tuyến cáp H04'!$B:$E,3,0)/1000</f>
        <v>#N/A</v>
      </c>
      <c r="AJ1068" t="e">
        <f>VLOOKUP(L1068,'[1]Tuyến cáp H04'!$B:$E,4,0)</f>
        <v>#N/A</v>
      </c>
    </row>
    <row r="1069" spans="1:36" x14ac:dyDescent="0.25">
      <c r="A1069" s="1" t="s">
        <v>10278</v>
      </c>
      <c r="B1069" s="1" t="s">
        <v>8470</v>
      </c>
      <c r="C1069" s="1" t="s">
        <v>8471</v>
      </c>
      <c r="D1069" s="1" t="s">
        <v>10279</v>
      </c>
      <c r="E1069" s="1" t="s">
        <v>10280</v>
      </c>
      <c r="F1069" s="1" t="s">
        <v>10281</v>
      </c>
      <c r="G1069" s="1" t="s">
        <v>14281</v>
      </c>
      <c r="H1069" s="1" t="s">
        <v>14282</v>
      </c>
      <c r="I1069" s="1" t="s">
        <v>15178</v>
      </c>
      <c r="J1069" s="1" t="s">
        <v>23</v>
      </c>
      <c r="K1069" s="1"/>
      <c r="L1069" s="1" t="s">
        <v>10282</v>
      </c>
      <c r="M1069" s="1" t="s">
        <v>10283</v>
      </c>
      <c r="N1069" s="1" t="s">
        <v>10284</v>
      </c>
      <c r="O1069" s="1" t="s">
        <v>10285</v>
      </c>
      <c r="P1069" s="1" t="s">
        <v>10286</v>
      </c>
      <c r="Q1069" s="1" t="s">
        <v>10287</v>
      </c>
      <c r="R1069" s="1" t="s">
        <v>10288</v>
      </c>
      <c r="S1069" s="1" t="s">
        <v>10289</v>
      </c>
      <c r="T1069" s="1" t="s">
        <v>10290</v>
      </c>
      <c r="U1069">
        <v>5101.38</v>
      </c>
      <c r="V1069">
        <v>70.5</v>
      </c>
      <c r="W1069">
        <v>12.811557000000001</v>
      </c>
      <c r="X1069">
        <v>108.483304</v>
      </c>
      <c r="Y1069">
        <v>5030.8900000000003</v>
      </c>
      <c r="Z1069">
        <v>12.721520999999999</v>
      </c>
      <c r="AA1069">
        <v>108.48093</v>
      </c>
      <c r="AB1069" s="5">
        <f t="shared" si="97"/>
        <v>0.10575</v>
      </c>
      <c r="AC1069" s="5">
        <f t="shared" si="98"/>
        <v>7.5463350000000009</v>
      </c>
      <c r="AD1069" s="1" t="str">
        <f t="shared" si="99"/>
        <v>Ea Ô</v>
      </c>
      <c r="AE1069" s="1" t="str">
        <f t="shared" si="100"/>
        <v>TTCMKV Ea Kar</v>
      </c>
      <c r="AG1069">
        <f t="shared" si="101"/>
        <v>7.0499999999999993E-2</v>
      </c>
      <c r="AH1069">
        <f t="shared" si="102"/>
        <v>5.0308900000000003</v>
      </c>
      <c r="AI1069">
        <f>VLOOKUP(L1069,'[1]Tuyến cáp H04'!$B:$E,3,0)/1000</f>
        <v>15.553000000000001</v>
      </c>
      <c r="AJ1069" t="str">
        <f>VLOOKUP(L1069,'[1]Tuyến cáp H04'!$B:$E,4,0)</f>
        <v>Mạng cấp 4</v>
      </c>
    </row>
    <row r="1070" spans="1:36" x14ac:dyDescent="0.25">
      <c r="A1070" s="1" t="s">
        <v>10291</v>
      </c>
      <c r="B1070" s="1" t="s">
        <v>10292</v>
      </c>
      <c r="C1070" s="1" t="s">
        <v>10293</v>
      </c>
      <c r="D1070" s="1" t="s">
        <v>10294</v>
      </c>
      <c r="E1070" s="1" t="s">
        <v>10295</v>
      </c>
      <c r="F1070" s="1" t="s">
        <v>10296</v>
      </c>
      <c r="G1070" s="1" t="s">
        <v>14281</v>
      </c>
      <c r="H1070" s="1" t="s">
        <v>14282</v>
      </c>
      <c r="I1070" s="1" t="s">
        <v>15179</v>
      </c>
      <c r="J1070" s="1" t="s">
        <v>23</v>
      </c>
      <c r="K1070" s="1"/>
      <c r="L1070" s="1" t="s">
        <v>10297</v>
      </c>
      <c r="M1070" s="1" t="s">
        <v>10298</v>
      </c>
      <c r="N1070" s="1" t="s">
        <v>10299</v>
      </c>
      <c r="O1070" s="1" t="s">
        <v>10300</v>
      </c>
      <c r="P1070" s="1" t="s">
        <v>10301</v>
      </c>
      <c r="Q1070" s="1" t="s">
        <v>10302</v>
      </c>
      <c r="R1070" s="1" t="s">
        <v>10303</v>
      </c>
      <c r="S1070" s="1" t="s">
        <v>10304</v>
      </c>
      <c r="T1070" s="1" t="s">
        <v>10305</v>
      </c>
      <c r="U1070">
        <v>7268.34</v>
      </c>
      <c r="V1070">
        <v>127.41</v>
      </c>
      <c r="W1070">
        <v>12.658647</v>
      </c>
      <c r="X1070">
        <v>108.43165500000001</v>
      </c>
      <c r="Y1070">
        <v>7140.93</v>
      </c>
      <c r="Z1070">
        <v>12.634971</v>
      </c>
      <c r="AA1070">
        <v>108.39324000000001</v>
      </c>
      <c r="AB1070" s="5">
        <f t="shared" si="97"/>
        <v>0.19111500000000001</v>
      </c>
      <c r="AC1070" s="5">
        <f t="shared" si="98"/>
        <v>10.711395</v>
      </c>
      <c r="AD1070" s="1" t="e">
        <f t="shared" si="99"/>
        <v>#VALUE!</v>
      </c>
      <c r="AE1070" s="1" t="e">
        <f t="shared" si="100"/>
        <v>#VALUE!</v>
      </c>
      <c r="AG1070">
        <f t="shared" si="101"/>
        <v>0.12741</v>
      </c>
      <c r="AH1070">
        <f t="shared" si="102"/>
        <v>7.14093</v>
      </c>
      <c r="AI1070" t="e">
        <f>VLOOKUP(L1070,'[1]Tuyến cáp H04'!$B:$E,3,0)/1000</f>
        <v>#N/A</v>
      </c>
      <c r="AJ1070" t="e">
        <f>VLOOKUP(L1070,'[1]Tuyến cáp H04'!$B:$E,4,0)</f>
        <v>#N/A</v>
      </c>
    </row>
    <row r="1071" spans="1:36" x14ac:dyDescent="0.25">
      <c r="A1071" s="1" t="s">
        <v>10306</v>
      </c>
      <c r="B1071" s="1" t="s">
        <v>10307</v>
      </c>
      <c r="C1071" s="1" t="s">
        <v>10308</v>
      </c>
      <c r="D1071" s="1" t="s">
        <v>10292</v>
      </c>
      <c r="E1071" s="1" t="s">
        <v>10293</v>
      </c>
      <c r="F1071" s="1" t="s">
        <v>10309</v>
      </c>
      <c r="G1071" s="1" t="s">
        <v>14281</v>
      </c>
      <c r="H1071" s="1" t="s">
        <v>14282</v>
      </c>
      <c r="I1071" s="1" t="s">
        <v>15180</v>
      </c>
      <c r="J1071" s="1" t="s">
        <v>23</v>
      </c>
      <c r="K1071" s="1"/>
      <c r="L1071" s="1" t="s">
        <v>9043</v>
      </c>
      <c r="M1071" s="1" t="s">
        <v>10310</v>
      </c>
      <c r="N1071" s="1" t="s">
        <v>10311</v>
      </c>
      <c r="O1071" s="1" t="s">
        <v>10312</v>
      </c>
      <c r="P1071" s="1" t="s">
        <v>10313</v>
      </c>
      <c r="Q1071" s="1" t="s">
        <v>10314</v>
      </c>
      <c r="R1071" s="1" t="s">
        <v>10315</v>
      </c>
      <c r="S1071" s="1" t="s">
        <v>10316</v>
      </c>
      <c r="T1071" s="1" t="s">
        <v>9051</v>
      </c>
      <c r="U1071">
        <v>4715.5</v>
      </c>
      <c r="V1071">
        <v>4559.54</v>
      </c>
      <c r="W1071">
        <v>12.654074</v>
      </c>
      <c r="X1071">
        <v>108.369075</v>
      </c>
      <c r="Y1071">
        <v>155.96</v>
      </c>
      <c r="Z1071">
        <v>12.658018</v>
      </c>
      <c r="AA1071">
        <v>108.431682</v>
      </c>
      <c r="AB1071" s="5">
        <f t="shared" si="97"/>
        <v>6.8393099999999993</v>
      </c>
      <c r="AC1071" s="5">
        <f t="shared" si="98"/>
        <v>0.23394000000000001</v>
      </c>
      <c r="AD1071" s="1" t="str">
        <f t="shared" si="99"/>
        <v>TT1 Đăk Lăk</v>
      </c>
      <c r="AE1071" s="1" t="str">
        <f t="shared" si="100"/>
        <v>ILA Ea Pal</v>
      </c>
      <c r="AG1071">
        <f t="shared" si="101"/>
        <v>4.5595400000000001</v>
      </c>
      <c r="AH1071">
        <f t="shared" si="102"/>
        <v>0.15596000000000002</v>
      </c>
      <c r="AI1071" t="e">
        <f>VLOOKUP(L1071,'[1]Tuyến cáp H04'!$B:$E,3,0)/1000</f>
        <v>#N/A</v>
      </c>
      <c r="AJ1071" t="e">
        <f>VLOOKUP(L1071,'[1]Tuyến cáp H04'!$B:$E,4,0)</f>
        <v>#N/A</v>
      </c>
    </row>
    <row r="1072" spans="1:36" x14ac:dyDescent="0.25">
      <c r="A1072" s="1" t="s">
        <v>10317</v>
      </c>
      <c r="B1072" s="1" t="s">
        <v>8470</v>
      </c>
      <c r="C1072" s="1" t="s">
        <v>8471</v>
      </c>
      <c r="D1072" s="1" t="s">
        <v>10318</v>
      </c>
      <c r="E1072" s="1" t="s">
        <v>10319</v>
      </c>
      <c r="F1072" s="1" t="s">
        <v>10320</v>
      </c>
      <c r="G1072" s="1" t="s">
        <v>14281</v>
      </c>
      <c r="H1072" s="1" t="s">
        <v>14282</v>
      </c>
      <c r="I1072" s="1" t="s">
        <v>15181</v>
      </c>
      <c r="J1072" s="1" t="s">
        <v>23</v>
      </c>
      <c r="K1072" s="1"/>
      <c r="L1072" s="1" t="s">
        <v>10321</v>
      </c>
      <c r="M1072" s="1" t="s">
        <v>10322</v>
      </c>
      <c r="N1072" s="1" t="s">
        <v>10323</v>
      </c>
      <c r="O1072" s="1" t="s">
        <v>10324</v>
      </c>
      <c r="P1072" s="1" t="s">
        <v>10325</v>
      </c>
      <c r="Q1072" s="1" t="s">
        <v>10326</v>
      </c>
      <c r="R1072" s="1" t="s">
        <v>10327</v>
      </c>
      <c r="S1072" s="1" t="s">
        <v>10328</v>
      </c>
      <c r="T1072" s="1" t="s">
        <v>10329</v>
      </c>
      <c r="U1072">
        <v>3730.16</v>
      </c>
      <c r="V1072">
        <v>110.23</v>
      </c>
      <c r="W1072">
        <v>12.81124</v>
      </c>
      <c r="X1072">
        <v>108.48427100000001</v>
      </c>
      <c r="Y1072">
        <v>3619.92</v>
      </c>
      <c r="Z1072">
        <v>12.749832</v>
      </c>
      <c r="AA1072">
        <v>108.542889</v>
      </c>
      <c r="AB1072" s="5">
        <f t="shared" si="97"/>
        <v>0.16534499999999999</v>
      </c>
      <c r="AC1072" s="5">
        <f t="shared" si="98"/>
        <v>5.4298799999999998</v>
      </c>
      <c r="AD1072" s="1" t="e">
        <f t="shared" si="99"/>
        <v>#VALUE!</v>
      </c>
      <c r="AE1072" s="1" t="e">
        <f t="shared" si="100"/>
        <v>#VALUE!</v>
      </c>
      <c r="AG1072">
        <f t="shared" si="101"/>
        <v>0.11023000000000001</v>
      </c>
      <c r="AH1072">
        <f t="shared" si="102"/>
        <v>3.61992</v>
      </c>
      <c r="AI1072" t="e">
        <f>VLOOKUP(L1072,'[1]Tuyến cáp H04'!$B:$E,3,0)/1000</f>
        <v>#N/A</v>
      </c>
      <c r="AJ1072" t="e">
        <f>VLOOKUP(L1072,'[1]Tuyến cáp H04'!$B:$E,4,0)</f>
        <v>#N/A</v>
      </c>
    </row>
    <row r="1073" spans="1:36" x14ac:dyDescent="0.25">
      <c r="A1073" s="1" t="s">
        <v>10330</v>
      </c>
      <c r="B1073" s="1" t="s">
        <v>10318</v>
      </c>
      <c r="C1073" s="1" t="s">
        <v>10319</v>
      </c>
      <c r="D1073" s="1" t="s">
        <v>10331</v>
      </c>
      <c r="E1073" s="1" t="s">
        <v>10332</v>
      </c>
      <c r="F1073" s="1" t="s">
        <v>10333</v>
      </c>
      <c r="G1073" s="1" t="s">
        <v>14281</v>
      </c>
      <c r="H1073" s="1" t="s">
        <v>14282</v>
      </c>
      <c r="I1073" s="1" t="s">
        <v>15182</v>
      </c>
      <c r="J1073" s="1" t="s">
        <v>23</v>
      </c>
      <c r="K1073" s="1"/>
      <c r="L1073" s="1" t="s">
        <v>10321</v>
      </c>
      <c r="M1073" s="1" t="s">
        <v>10334</v>
      </c>
      <c r="N1073" s="1" t="s">
        <v>10326</v>
      </c>
      <c r="O1073" s="1" t="s">
        <v>10327</v>
      </c>
      <c r="P1073" s="1" t="s">
        <v>10328</v>
      </c>
      <c r="Q1073" s="1" t="s">
        <v>10335</v>
      </c>
      <c r="R1073" s="1" t="s">
        <v>10336</v>
      </c>
      <c r="S1073" s="1" t="s">
        <v>10337</v>
      </c>
      <c r="T1073" s="1" t="s">
        <v>10329</v>
      </c>
      <c r="U1073">
        <v>3788.4</v>
      </c>
      <c r="V1073">
        <v>3619.92</v>
      </c>
      <c r="W1073">
        <v>12.749832</v>
      </c>
      <c r="X1073">
        <v>108.542889</v>
      </c>
      <c r="Y1073">
        <v>168.48</v>
      </c>
      <c r="Z1073">
        <v>12.726937</v>
      </c>
      <c r="AA1073">
        <v>108.554203</v>
      </c>
      <c r="AB1073" s="5">
        <f t="shared" si="97"/>
        <v>5.4298799999999998</v>
      </c>
      <c r="AC1073" s="5">
        <f t="shared" si="98"/>
        <v>0.25271999999999994</v>
      </c>
      <c r="AD1073" s="1" t="e">
        <f t="shared" si="99"/>
        <v>#VALUE!</v>
      </c>
      <c r="AE1073" s="1" t="e">
        <f t="shared" si="100"/>
        <v>#VALUE!</v>
      </c>
      <c r="AG1073">
        <f t="shared" si="101"/>
        <v>3.61992</v>
      </c>
      <c r="AH1073">
        <f t="shared" si="102"/>
        <v>0.16847999999999999</v>
      </c>
      <c r="AI1073" t="e">
        <f>VLOOKUP(L1073,'[1]Tuyến cáp H04'!$B:$E,3,0)/1000</f>
        <v>#N/A</v>
      </c>
      <c r="AJ1073" t="e">
        <f>VLOOKUP(L1073,'[1]Tuyến cáp H04'!$B:$E,4,0)</f>
        <v>#N/A</v>
      </c>
    </row>
    <row r="1074" spans="1:36" x14ac:dyDescent="0.25">
      <c r="A1074" s="1" t="s">
        <v>10338</v>
      </c>
      <c r="B1074" s="1" t="s">
        <v>10339</v>
      </c>
      <c r="C1074" s="1" t="s">
        <v>10340</v>
      </c>
      <c r="D1074" s="1" t="s">
        <v>10331</v>
      </c>
      <c r="E1074" s="1" t="s">
        <v>10332</v>
      </c>
      <c r="F1074" s="1" t="s">
        <v>10341</v>
      </c>
      <c r="G1074" s="1" t="s">
        <v>14281</v>
      </c>
      <c r="H1074" s="1" t="s">
        <v>14282</v>
      </c>
      <c r="I1074" s="1" t="s">
        <v>15183</v>
      </c>
      <c r="J1074" s="1" t="s">
        <v>23</v>
      </c>
      <c r="K1074" s="1"/>
      <c r="L1074" s="1" t="s">
        <v>9043</v>
      </c>
      <c r="M1074" s="1" t="s">
        <v>10342</v>
      </c>
      <c r="N1074" s="1" t="s">
        <v>10343</v>
      </c>
      <c r="O1074" s="1" t="s">
        <v>10344</v>
      </c>
      <c r="P1074" s="1" t="s">
        <v>10345</v>
      </c>
      <c r="Q1074" s="1" t="s">
        <v>10346</v>
      </c>
      <c r="R1074" s="1" t="s">
        <v>10347</v>
      </c>
      <c r="S1074" s="1" t="s">
        <v>10348</v>
      </c>
      <c r="T1074" s="1" t="s">
        <v>9051</v>
      </c>
      <c r="U1074">
        <v>6977.86</v>
      </c>
      <c r="V1074">
        <v>6805.83</v>
      </c>
      <c r="W1074">
        <v>12.700711</v>
      </c>
      <c r="X1074">
        <v>108.503832</v>
      </c>
      <c r="Y1074">
        <v>172.02</v>
      </c>
      <c r="Z1074">
        <v>12.726613</v>
      </c>
      <c r="AA1074">
        <v>108.55382</v>
      </c>
      <c r="AB1074" s="5">
        <f t="shared" si="97"/>
        <v>10.208744999999999</v>
      </c>
      <c r="AC1074" s="5">
        <f t="shared" si="98"/>
        <v>0.25803000000000004</v>
      </c>
      <c r="AD1074" s="1" t="str">
        <f t="shared" si="99"/>
        <v>TT1 Đăk Lăk</v>
      </c>
      <c r="AE1074" s="1" t="str">
        <f t="shared" si="100"/>
        <v>ILA Ea Pal</v>
      </c>
      <c r="AG1074">
        <f t="shared" si="101"/>
        <v>6.8058300000000003</v>
      </c>
      <c r="AH1074">
        <f t="shared" si="102"/>
        <v>0.17202000000000001</v>
      </c>
      <c r="AI1074" t="e">
        <f>VLOOKUP(L1074,'[1]Tuyến cáp H04'!$B:$E,3,0)/1000</f>
        <v>#N/A</v>
      </c>
      <c r="AJ1074" t="e">
        <f>VLOOKUP(L1074,'[1]Tuyến cáp H04'!$B:$E,4,0)</f>
        <v>#N/A</v>
      </c>
    </row>
    <row r="1075" spans="1:36" x14ac:dyDescent="0.25">
      <c r="A1075" s="1" t="s">
        <v>10349</v>
      </c>
      <c r="B1075" s="1" t="s">
        <v>8554</v>
      </c>
      <c r="C1075" s="1" t="s">
        <v>8555</v>
      </c>
      <c r="D1075" s="1" t="s">
        <v>10350</v>
      </c>
      <c r="E1075" s="1" t="s">
        <v>10351</v>
      </c>
      <c r="F1075" s="1" t="s">
        <v>10352</v>
      </c>
      <c r="G1075" s="1" t="s">
        <v>14281</v>
      </c>
      <c r="H1075" s="1" t="s">
        <v>14282</v>
      </c>
      <c r="I1075" s="1" t="s">
        <v>15184</v>
      </c>
      <c r="J1075" s="1" t="s">
        <v>23</v>
      </c>
      <c r="K1075" s="1"/>
      <c r="L1075" s="1" t="s">
        <v>10353</v>
      </c>
      <c r="M1075" s="1" t="s">
        <v>10354</v>
      </c>
      <c r="N1075" s="1" t="s">
        <v>10355</v>
      </c>
      <c r="O1075" s="1" t="s">
        <v>10356</v>
      </c>
      <c r="P1075" s="1" t="s">
        <v>10357</v>
      </c>
      <c r="Q1075" s="1" t="s">
        <v>2569</v>
      </c>
      <c r="R1075" s="1" t="s">
        <v>10358</v>
      </c>
      <c r="S1075" s="1" t="s">
        <v>10359</v>
      </c>
      <c r="T1075" s="1" t="s">
        <v>10360</v>
      </c>
      <c r="U1075">
        <v>1847.74</v>
      </c>
      <c r="V1075">
        <v>1752</v>
      </c>
      <c r="W1075">
        <v>12.690887</v>
      </c>
      <c r="X1075">
        <v>108.067472</v>
      </c>
      <c r="Y1075">
        <v>95.74</v>
      </c>
      <c r="Z1075">
        <v>12.703134</v>
      </c>
      <c r="AA1075">
        <v>108.15682200000001</v>
      </c>
      <c r="AB1075" s="5">
        <f t="shared" si="97"/>
        <v>2.6280000000000001</v>
      </c>
      <c r="AC1075" s="5">
        <f t="shared" si="98"/>
        <v>0.14360999999999999</v>
      </c>
      <c r="AD1075" s="1" t="str">
        <f t="shared" si="99"/>
        <v>KRông Bông</v>
      </c>
      <c r="AE1075" s="1" t="str">
        <f t="shared" si="100"/>
        <v>TT1 Đăk Lăk</v>
      </c>
      <c r="AG1075">
        <f t="shared" si="101"/>
        <v>1.752</v>
      </c>
      <c r="AH1075">
        <f t="shared" si="102"/>
        <v>9.5739999999999992E-2</v>
      </c>
      <c r="AI1075">
        <f>VLOOKUP(L1075,'[1]Tuyến cáp H04'!$B:$E,3,0)/1000</f>
        <v>58.271999999999998</v>
      </c>
      <c r="AJ1075" t="str">
        <f>VLOOKUP(L1075,'[1]Tuyến cáp H04'!$B:$E,4,0)</f>
        <v>Mạng cấp 3</v>
      </c>
    </row>
    <row r="1076" spans="1:36" x14ac:dyDescent="0.25">
      <c r="A1076" s="1" t="s">
        <v>10361</v>
      </c>
      <c r="B1076" s="1" t="s">
        <v>10350</v>
      </c>
      <c r="C1076" s="1" t="s">
        <v>10351</v>
      </c>
      <c r="D1076" s="1" t="s">
        <v>10362</v>
      </c>
      <c r="E1076" s="1" t="s">
        <v>10363</v>
      </c>
      <c r="F1076" s="1" t="s">
        <v>10364</v>
      </c>
      <c r="G1076" s="1" t="s">
        <v>14281</v>
      </c>
      <c r="H1076" s="1" t="s">
        <v>14282</v>
      </c>
      <c r="I1076" s="1" t="s">
        <v>15185</v>
      </c>
      <c r="J1076" s="1" t="s">
        <v>23</v>
      </c>
      <c r="K1076" s="1"/>
      <c r="L1076" s="1" t="s">
        <v>10365</v>
      </c>
      <c r="M1076" s="1" t="s">
        <v>10366</v>
      </c>
      <c r="N1076" s="1" t="s">
        <v>10367</v>
      </c>
      <c r="O1076" s="1" t="s">
        <v>10368</v>
      </c>
      <c r="P1076" s="1" t="s">
        <v>10369</v>
      </c>
      <c r="Q1076" s="1" t="s">
        <v>10370</v>
      </c>
      <c r="R1076" s="1" t="s">
        <v>10371</v>
      </c>
      <c r="S1076" s="1" t="s">
        <v>10372</v>
      </c>
      <c r="T1076" s="1" t="s">
        <v>10373</v>
      </c>
      <c r="U1076">
        <v>170.58</v>
      </c>
      <c r="V1076">
        <v>96.45</v>
      </c>
      <c r="W1076">
        <v>12.70313</v>
      </c>
      <c r="X1076">
        <v>108.156829</v>
      </c>
      <c r="Y1076">
        <v>74.14</v>
      </c>
      <c r="Z1076">
        <v>12.703072000000001</v>
      </c>
      <c r="AA1076">
        <v>108.19707200000001</v>
      </c>
      <c r="AB1076" s="5">
        <f t="shared" si="97"/>
        <v>0.144675</v>
      </c>
      <c r="AC1076" s="5">
        <f t="shared" si="98"/>
        <v>0.11121</v>
      </c>
      <c r="AD1076" s="1" t="e">
        <f t="shared" si="99"/>
        <v>#VALUE!</v>
      </c>
      <c r="AE1076" s="1" t="e">
        <f t="shared" si="100"/>
        <v>#VALUE!</v>
      </c>
      <c r="AG1076">
        <f t="shared" si="101"/>
        <v>9.6450000000000008E-2</v>
      </c>
      <c r="AH1076">
        <f t="shared" si="102"/>
        <v>7.4139999999999998E-2</v>
      </c>
      <c r="AI1076" t="e">
        <f>VLOOKUP(L1076,'[1]Tuyến cáp H04'!$B:$E,3,0)/1000</f>
        <v>#N/A</v>
      </c>
      <c r="AJ1076" t="e">
        <f>VLOOKUP(L1076,'[1]Tuyến cáp H04'!$B:$E,4,0)</f>
        <v>#N/A</v>
      </c>
    </row>
    <row r="1077" spans="1:36" x14ac:dyDescent="0.25">
      <c r="A1077" s="1" t="s">
        <v>10374</v>
      </c>
      <c r="B1077" s="1" t="s">
        <v>10375</v>
      </c>
      <c r="C1077" s="1" t="s">
        <v>10376</v>
      </c>
      <c r="D1077" s="1" t="s">
        <v>8442</v>
      </c>
      <c r="E1077" s="1" t="s">
        <v>8443</v>
      </c>
      <c r="F1077" s="1" t="s">
        <v>10377</v>
      </c>
      <c r="G1077" s="1" t="s">
        <v>14281</v>
      </c>
      <c r="H1077" s="1" t="s">
        <v>14282</v>
      </c>
      <c r="I1077" s="1" t="s">
        <v>15186</v>
      </c>
      <c r="J1077" s="1" t="s">
        <v>23</v>
      </c>
      <c r="K1077" s="1"/>
      <c r="L1077" s="1" t="s">
        <v>8458</v>
      </c>
      <c r="M1077" s="1" t="s">
        <v>10378</v>
      </c>
      <c r="N1077" s="1" t="s">
        <v>10379</v>
      </c>
      <c r="O1077" s="1" t="s">
        <v>8461</v>
      </c>
      <c r="P1077" s="1" t="s">
        <v>8462</v>
      </c>
      <c r="Q1077" s="1" t="s">
        <v>8463</v>
      </c>
      <c r="R1077" s="1" t="s">
        <v>8464</v>
      </c>
      <c r="S1077" s="1" t="s">
        <v>8465</v>
      </c>
      <c r="T1077" s="1" t="s">
        <v>8466</v>
      </c>
      <c r="U1077">
        <v>3493.74</v>
      </c>
      <c r="V1077">
        <v>2935.12</v>
      </c>
      <c r="W1077">
        <v>12.573183</v>
      </c>
      <c r="X1077">
        <v>108.164991</v>
      </c>
      <c r="Y1077">
        <v>558.62</v>
      </c>
      <c r="Z1077">
        <v>12.561987</v>
      </c>
      <c r="AA1077">
        <v>108.16861900000001</v>
      </c>
      <c r="AB1077" s="5">
        <f t="shared" si="97"/>
        <v>4.4026800000000001</v>
      </c>
      <c r="AC1077" s="5">
        <f t="shared" si="98"/>
        <v>0.83793000000000006</v>
      </c>
      <c r="AD1077" s="1" t="str">
        <f t="shared" si="99"/>
        <v>Ea Ning</v>
      </c>
      <c r="AE1077" s="1" t="str">
        <f t="shared" si="100"/>
        <v>TTCMKV Cư Kuin</v>
      </c>
      <c r="AG1077">
        <f t="shared" si="101"/>
        <v>2.93512</v>
      </c>
      <c r="AH1077">
        <f t="shared" si="102"/>
        <v>0.55862000000000001</v>
      </c>
      <c r="AI1077">
        <f>VLOOKUP(L1077,'[1]Tuyến cáp H04'!$B:$E,3,0)/1000</f>
        <v>11.569000000000001</v>
      </c>
      <c r="AJ1077" t="str">
        <f>VLOOKUP(L1077,'[1]Tuyến cáp H04'!$B:$E,4,0)</f>
        <v>Mạng cấp 4</v>
      </c>
    </row>
    <row r="1078" spans="1:36" x14ac:dyDescent="0.25">
      <c r="A1078" s="1" t="s">
        <v>10380</v>
      </c>
      <c r="B1078" s="1" t="s">
        <v>8510</v>
      </c>
      <c r="C1078" s="1" t="s">
        <v>8511</v>
      </c>
      <c r="D1078" s="1" t="s">
        <v>10381</v>
      </c>
      <c r="E1078" s="1" t="s">
        <v>10382</v>
      </c>
      <c r="F1078" s="1" t="s">
        <v>10383</v>
      </c>
      <c r="G1078" s="1" t="s">
        <v>14281</v>
      </c>
      <c r="H1078" s="1" t="s">
        <v>14282</v>
      </c>
      <c r="I1078" s="1" t="s">
        <v>15187</v>
      </c>
      <c r="J1078" s="1" t="s">
        <v>23</v>
      </c>
      <c r="K1078" s="1"/>
      <c r="L1078" s="1" t="s">
        <v>8513</v>
      </c>
      <c r="M1078" s="1" t="s">
        <v>10384</v>
      </c>
      <c r="N1078" s="1" t="s">
        <v>8518</v>
      </c>
      <c r="O1078" s="1" t="s">
        <v>8519</v>
      </c>
      <c r="P1078" s="1" t="s">
        <v>8520</v>
      </c>
      <c r="Q1078" s="1" t="s">
        <v>10385</v>
      </c>
      <c r="R1078" s="1" t="s">
        <v>10386</v>
      </c>
      <c r="S1078" s="1" t="s">
        <v>10387</v>
      </c>
      <c r="T1078" s="1" t="s">
        <v>8521</v>
      </c>
      <c r="U1078">
        <v>273.45999999999998</v>
      </c>
      <c r="V1078">
        <v>69.150000000000006</v>
      </c>
      <c r="W1078">
        <v>12.655666999999999</v>
      </c>
      <c r="X1078">
        <v>108.343625</v>
      </c>
      <c r="Y1078">
        <v>204.32</v>
      </c>
      <c r="Z1078">
        <v>12.703611</v>
      </c>
      <c r="AA1078">
        <v>108.321577</v>
      </c>
      <c r="AB1078" s="5">
        <f t="shared" si="97"/>
        <v>0.10372500000000001</v>
      </c>
      <c r="AC1078" s="5">
        <f t="shared" si="98"/>
        <v>0.30648000000000003</v>
      </c>
      <c r="AD1078" s="1" t="str">
        <f t="shared" si="99"/>
        <v>Cơ sở cai nghiện (X. Tân Tiến, H. Kron Pắc)</v>
      </c>
      <c r="AE1078" s="1" t="str">
        <f t="shared" si="100"/>
        <v>TTCMKV Krong Pắc</v>
      </c>
      <c r="AG1078">
        <f t="shared" si="101"/>
        <v>6.9150000000000003E-2</v>
      </c>
      <c r="AH1078">
        <f t="shared" si="102"/>
        <v>0.20432</v>
      </c>
      <c r="AI1078">
        <f>VLOOKUP(L1078,'[1]Tuyến cáp H04'!$B:$E,3,0)/1000</f>
        <v>8.8070000000000004</v>
      </c>
      <c r="AJ1078" t="str">
        <f>VLOOKUP(L1078,'[1]Tuyến cáp H04'!$B:$E,4,0)</f>
        <v>Mạng cấp 3</v>
      </c>
    </row>
    <row r="1079" spans="1:36" x14ac:dyDescent="0.25">
      <c r="A1079" s="1" t="s">
        <v>10388</v>
      </c>
      <c r="B1079" s="1" t="s">
        <v>10389</v>
      </c>
      <c r="C1079" s="1" t="s">
        <v>10390</v>
      </c>
      <c r="D1079" s="1" t="s">
        <v>8347</v>
      </c>
      <c r="E1079" s="1" t="s">
        <v>8348</v>
      </c>
      <c r="F1079" s="1" t="s">
        <v>10391</v>
      </c>
      <c r="G1079" s="1" t="s">
        <v>14281</v>
      </c>
      <c r="H1079" s="1" t="s">
        <v>14282</v>
      </c>
      <c r="I1079" s="1" t="s">
        <v>15188</v>
      </c>
      <c r="J1079" s="1" t="s">
        <v>23</v>
      </c>
      <c r="K1079" s="1"/>
      <c r="L1079" s="1" t="s">
        <v>8350</v>
      </c>
      <c r="M1079" s="1" t="s">
        <v>10392</v>
      </c>
      <c r="N1079" s="1" t="s">
        <v>10393</v>
      </c>
      <c r="O1079" s="1" t="s">
        <v>8353</v>
      </c>
      <c r="P1079" s="1" t="s">
        <v>8354</v>
      </c>
      <c r="Q1079" s="1" t="s">
        <v>8355</v>
      </c>
      <c r="R1079" s="1" t="s">
        <v>8356</v>
      </c>
      <c r="S1079" s="1" t="s">
        <v>8357</v>
      </c>
      <c r="T1079" s="1" t="s">
        <v>8358</v>
      </c>
      <c r="U1079">
        <v>91513.71</v>
      </c>
      <c r="V1079">
        <v>892.22</v>
      </c>
      <c r="W1079">
        <v>12.690893000000001</v>
      </c>
      <c r="X1079">
        <v>108.06744999999999</v>
      </c>
      <c r="Y1079">
        <v>90621.49</v>
      </c>
      <c r="Z1079">
        <v>12.811565999999999</v>
      </c>
      <c r="AA1079">
        <v>108.483311</v>
      </c>
      <c r="AB1079" s="5">
        <f t="shared" si="97"/>
        <v>1.33833</v>
      </c>
      <c r="AC1079" s="5">
        <f t="shared" si="98"/>
        <v>135.93223500000002</v>
      </c>
      <c r="AD1079" s="1" t="str">
        <f t="shared" si="99"/>
        <v>TT1 Đăk Lăk</v>
      </c>
      <c r="AE1079" s="1" t="str">
        <f t="shared" si="100"/>
        <v>ILA Ea Kar</v>
      </c>
      <c r="AG1079">
        <f t="shared" si="101"/>
        <v>0.89222000000000001</v>
      </c>
      <c r="AH1079">
        <f t="shared" si="102"/>
        <v>90.621490000000009</v>
      </c>
      <c r="AI1079" t="e">
        <f>VLOOKUP(L1079,'[1]Tuyến cáp H04'!$B:$E,3,0)/1000</f>
        <v>#N/A</v>
      </c>
      <c r="AJ1079" t="e">
        <f>VLOOKUP(L1079,'[1]Tuyến cáp H04'!$B:$E,4,0)</f>
        <v>#N/A</v>
      </c>
    </row>
    <row r="1080" spans="1:36" x14ac:dyDescent="0.25">
      <c r="A1080" s="1" t="s">
        <v>10394</v>
      </c>
      <c r="B1080" s="1" t="s">
        <v>10395</v>
      </c>
      <c r="C1080" s="1" t="s">
        <v>10396</v>
      </c>
      <c r="D1080" s="1" t="s">
        <v>8332</v>
      </c>
      <c r="E1080" s="1" t="s">
        <v>8333</v>
      </c>
      <c r="F1080" s="1" t="s">
        <v>10397</v>
      </c>
      <c r="G1080" s="1" t="s">
        <v>14281</v>
      </c>
      <c r="H1080" s="1" t="s">
        <v>14282</v>
      </c>
      <c r="I1080" s="1" t="s">
        <v>15189</v>
      </c>
      <c r="J1080" s="1" t="s">
        <v>23</v>
      </c>
      <c r="K1080" s="1"/>
      <c r="L1080" s="1" t="s">
        <v>8163</v>
      </c>
      <c r="M1080" s="1" t="s">
        <v>10398</v>
      </c>
      <c r="N1080" s="1" t="s">
        <v>10399</v>
      </c>
      <c r="O1080" s="1" t="s">
        <v>10400</v>
      </c>
      <c r="P1080" s="1" t="s">
        <v>10401</v>
      </c>
      <c r="Q1080" s="1" t="s">
        <v>8750</v>
      </c>
      <c r="R1080" s="1" t="s">
        <v>8751</v>
      </c>
      <c r="S1080" s="1" t="s">
        <v>8752</v>
      </c>
      <c r="T1080" s="1" t="s">
        <v>8171</v>
      </c>
      <c r="U1080">
        <v>830.55</v>
      </c>
      <c r="V1080">
        <v>772.28</v>
      </c>
      <c r="W1080">
        <v>12.920681999999999</v>
      </c>
      <c r="X1080">
        <v>108.264574</v>
      </c>
      <c r="Y1080">
        <v>58.27</v>
      </c>
      <c r="Z1080">
        <v>12.916486000000001</v>
      </c>
      <c r="AA1080">
        <v>108.266068</v>
      </c>
      <c r="AB1080" s="5">
        <f t="shared" si="97"/>
        <v>1.15842</v>
      </c>
      <c r="AC1080" s="5">
        <f t="shared" si="98"/>
        <v>8.7404999999999997E-2</v>
      </c>
      <c r="AD1080" s="1" t="str">
        <f t="shared" si="99"/>
        <v>Buôn Hồ</v>
      </c>
      <c r="AE1080" s="1" t="str">
        <f t="shared" si="100"/>
        <v>Ea H'Leo</v>
      </c>
      <c r="AG1080">
        <f t="shared" si="101"/>
        <v>0.77227999999999997</v>
      </c>
      <c r="AH1080">
        <f t="shared" si="102"/>
        <v>5.8270000000000002E-2</v>
      </c>
      <c r="AI1080">
        <f>VLOOKUP(L1080,'[1]Tuyến cáp H04'!$B:$E,3,0)/1000</f>
        <v>36.590000000000003</v>
      </c>
      <c r="AJ1080" t="str">
        <f>VLOOKUP(L1080,'[1]Tuyến cáp H04'!$B:$E,4,0)</f>
        <v>Mạng cấp 3</v>
      </c>
    </row>
    <row r="1081" spans="1:36" x14ac:dyDescent="0.25">
      <c r="A1081" s="1" t="s">
        <v>10402</v>
      </c>
      <c r="B1081" s="1" t="s">
        <v>10403</v>
      </c>
      <c r="C1081" s="1" t="s">
        <v>10404</v>
      </c>
      <c r="D1081" s="1" t="s">
        <v>8218</v>
      </c>
      <c r="E1081" s="1" t="s">
        <v>8219</v>
      </c>
      <c r="F1081" s="1" t="s">
        <v>10405</v>
      </c>
      <c r="G1081" s="1" t="s">
        <v>14281</v>
      </c>
      <c r="H1081" s="1" t="s">
        <v>14282</v>
      </c>
      <c r="I1081" s="1" t="s">
        <v>15190</v>
      </c>
      <c r="J1081" s="1" t="s">
        <v>23</v>
      </c>
      <c r="K1081" s="1"/>
      <c r="L1081" s="1" t="s">
        <v>10406</v>
      </c>
      <c r="M1081" s="1" t="s">
        <v>10407</v>
      </c>
      <c r="N1081" s="1" t="s">
        <v>10408</v>
      </c>
      <c r="O1081" s="1" t="s">
        <v>10409</v>
      </c>
      <c r="P1081" s="1" t="s">
        <v>10410</v>
      </c>
      <c r="Q1081" s="1" t="s">
        <v>10411</v>
      </c>
      <c r="R1081" s="1" t="s">
        <v>10412</v>
      </c>
      <c r="S1081" s="1" t="s">
        <v>10413</v>
      </c>
      <c r="T1081" s="1" t="s">
        <v>10414</v>
      </c>
      <c r="U1081">
        <v>3378.13</v>
      </c>
      <c r="V1081">
        <v>3360.45</v>
      </c>
      <c r="W1081">
        <v>13.118842000000001</v>
      </c>
      <c r="X1081">
        <v>108.329487</v>
      </c>
      <c r="Y1081">
        <v>17.68</v>
      </c>
      <c r="Z1081">
        <v>13.116583</v>
      </c>
      <c r="AA1081">
        <v>108.329257</v>
      </c>
      <c r="AB1081" s="5">
        <f t="shared" si="97"/>
        <v>5.0406749999999994</v>
      </c>
      <c r="AC1081" s="5">
        <f t="shared" si="98"/>
        <v>2.6519999999999998E-2</v>
      </c>
      <c r="AD1081" s="1" t="e">
        <f t="shared" si="99"/>
        <v>#VALUE!</v>
      </c>
      <c r="AE1081" s="1" t="e">
        <f t="shared" si="100"/>
        <v>#VALUE!</v>
      </c>
      <c r="AG1081">
        <f t="shared" si="101"/>
        <v>3.3604499999999997</v>
      </c>
      <c r="AH1081">
        <f t="shared" si="102"/>
        <v>1.7680000000000001E-2</v>
      </c>
      <c r="AI1081" t="e">
        <f>VLOOKUP(L1081,'[1]Tuyến cáp H04'!$B:$E,3,0)/1000</f>
        <v>#N/A</v>
      </c>
      <c r="AJ1081" t="e">
        <f>VLOOKUP(L1081,'[1]Tuyến cáp H04'!$B:$E,4,0)</f>
        <v>#N/A</v>
      </c>
    </row>
    <row r="1082" spans="1:36" x14ac:dyDescent="0.25">
      <c r="A1082" s="1" t="s">
        <v>10415</v>
      </c>
      <c r="B1082" s="1" t="s">
        <v>10416</v>
      </c>
      <c r="C1082" s="1" t="s">
        <v>10417</v>
      </c>
      <c r="D1082" s="1" t="s">
        <v>8260</v>
      </c>
      <c r="E1082" s="1" t="s">
        <v>8261</v>
      </c>
      <c r="F1082" s="1" t="s">
        <v>10418</v>
      </c>
      <c r="G1082" s="1" t="s">
        <v>14281</v>
      </c>
      <c r="H1082" s="1" t="s">
        <v>14282</v>
      </c>
      <c r="I1082" s="1" t="s">
        <v>15191</v>
      </c>
      <c r="J1082" s="1" t="s">
        <v>23</v>
      </c>
      <c r="K1082" s="1"/>
      <c r="L1082" s="1" t="s">
        <v>8263</v>
      </c>
      <c r="M1082" s="1" t="s">
        <v>10419</v>
      </c>
      <c r="N1082" s="1" t="s">
        <v>10420</v>
      </c>
      <c r="O1082" s="1" t="s">
        <v>10421</v>
      </c>
      <c r="P1082" s="1" t="s">
        <v>10422</v>
      </c>
      <c r="Q1082" s="1" t="s">
        <v>8268</v>
      </c>
      <c r="R1082" s="1" t="s">
        <v>8269</v>
      </c>
      <c r="S1082" s="1" t="s">
        <v>8270</v>
      </c>
      <c r="T1082" s="1" t="s">
        <v>8271</v>
      </c>
      <c r="U1082">
        <v>2069.59</v>
      </c>
      <c r="V1082">
        <v>2033.59</v>
      </c>
      <c r="W1082">
        <v>12.989837</v>
      </c>
      <c r="X1082">
        <v>108.32131200000001</v>
      </c>
      <c r="Y1082">
        <v>35.99</v>
      </c>
      <c r="Z1082">
        <v>12.951675</v>
      </c>
      <c r="AA1082">
        <v>108.344356</v>
      </c>
      <c r="AB1082" s="5">
        <f t="shared" si="97"/>
        <v>3.0503849999999999</v>
      </c>
      <c r="AC1082" s="5">
        <f t="shared" si="98"/>
        <v>5.3984999999999998E-2</v>
      </c>
      <c r="AD1082" s="1" t="e">
        <f t="shared" si="99"/>
        <v>#VALUE!</v>
      </c>
      <c r="AE1082" s="1" t="e">
        <f t="shared" si="100"/>
        <v>#VALUE!</v>
      </c>
      <c r="AG1082">
        <f t="shared" si="101"/>
        <v>2.0335899999999998</v>
      </c>
      <c r="AH1082">
        <f t="shared" si="102"/>
        <v>3.5990000000000001E-2</v>
      </c>
      <c r="AI1082" t="e">
        <f>VLOOKUP(L1082,'[1]Tuyến cáp H04'!$B:$E,3,0)/1000</f>
        <v>#N/A</v>
      </c>
      <c r="AJ1082" t="e">
        <f>VLOOKUP(L1082,'[1]Tuyến cáp H04'!$B:$E,4,0)</f>
        <v>#N/A</v>
      </c>
    </row>
    <row r="1083" spans="1:36" x14ac:dyDescent="0.25">
      <c r="A1083" s="1" t="s">
        <v>10423</v>
      </c>
      <c r="B1083" s="1" t="s">
        <v>8643</v>
      </c>
      <c r="C1083" s="1" t="s">
        <v>8644</v>
      </c>
      <c r="D1083" s="1" t="s">
        <v>8885</v>
      </c>
      <c r="E1083" s="1" t="s">
        <v>8886</v>
      </c>
      <c r="F1083" s="1" t="s">
        <v>10424</v>
      </c>
      <c r="G1083" s="1" t="s">
        <v>14281</v>
      </c>
      <c r="H1083" s="1" t="s">
        <v>14282</v>
      </c>
      <c r="I1083" s="1" t="s">
        <v>15192</v>
      </c>
      <c r="J1083" s="1" t="s">
        <v>23</v>
      </c>
      <c r="K1083" s="1"/>
      <c r="L1083" s="1" t="s">
        <v>8293</v>
      </c>
      <c r="M1083" s="1" t="s">
        <v>10425</v>
      </c>
      <c r="N1083" s="1" t="s">
        <v>8857</v>
      </c>
      <c r="O1083" s="1" t="s">
        <v>8858</v>
      </c>
      <c r="P1083" s="1" t="s">
        <v>8859</v>
      </c>
      <c r="Q1083" s="1" t="s">
        <v>8889</v>
      </c>
      <c r="R1083" s="1" t="s">
        <v>8890</v>
      </c>
      <c r="S1083" s="1" t="s">
        <v>8891</v>
      </c>
      <c r="T1083" s="1" t="s">
        <v>8301</v>
      </c>
      <c r="U1083">
        <v>162.51</v>
      </c>
      <c r="V1083">
        <v>44.45</v>
      </c>
      <c r="W1083">
        <v>12.910539</v>
      </c>
      <c r="X1083">
        <v>108.190575</v>
      </c>
      <c r="Y1083">
        <v>118.05</v>
      </c>
      <c r="Z1083">
        <v>12.892032</v>
      </c>
      <c r="AA1083">
        <v>108.181015</v>
      </c>
      <c r="AB1083" s="5">
        <f t="shared" si="97"/>
        <v>6.6675000000000012E-2</v>
      </c>
      <c r="AC1083" s="5">
        <f t="shared" si="98"/>
        <v>0.17707499999999998</v>
      </c>
      <c r="AD1083" s="1" t="str">
        <f t="shared" si="99"/>
        <v>Cư M'ga</v>
      </c>
      <c r="AE1083" s="1" t="str">
        <f t="shared" si="100"/>
        <v>Buôn Hồ</v>
      </c>
      <c r="AG1083">
        <f t="shared" si="101"/>
        <v>4.4450000000000003E-2</v>
      </c>
      <c r="AH1083">
        <f t="shared" si="102"/>
        <v>0.11805</v>
      </c>
      <c r="AI1083">
        <f>VLOOKUP(L1083,'[1]Tuyến cáp H04'!$B:$E,3,0)/1000</f>
        <v>38.145000000000003</v>
      </c>
      <c r="AJ1083" t="str">
        <f>VLOOKUP(L1083,'[1]Tuyến cáp H04'!$B:$E,4,0)</f>
        <v>Mạng cấp 3</v>
      </c>
    </row>
    <row r="1084" spans="1:36" x14ac:dyDescent="0.25">
      <c r="A1084" s="1" t="s">
        <v>10426</v>
      </c>
      <c r="B1084" s="1" t="s">
        <v>10427</v>
      </c>
      <c r="C1084" s="1" t="s">
        <v>10428</v>
      </c>
      <c r="D1084" s="1" t="s">
        <v>8643</v>
      </c>
      <c r="E1084" s="1" t="s">
        <v>8644</v>
      </c>
      <c r="F1084" s="1" t="s">
        <v>10429</v>
      </c>
      <c r="G1084" s="1" t="s">
        <v>14281</v>
      </c>
      <c r="H1084" s="1" t="s">
        <v>14282</v>
      </c>
      <c r="I1084" s="1" t="s">
        <v>15193</v>
      </c>
      <c r="J1084" s="1" t="s">
        <v>23</v>
      </c>
      <c r="K1084" s="1"/>
      <c r="L1084" s="1" t="s">
        <v>8293</v>
      </c>
      <c r="M1084" s="1" t="s">
        <v>10430</v>
      </c>
      <c r="N1084" s="1" t="s">
        <v>10431</v>
      </c>
      <c r="O1084" s="1" t="s">
        <v>10432</v>
      </c>
      <c r="P1084" s="1" t="s">
        <v>10433</v>
      </c>
      <c r="Q1084" s="1" t="s">
        <v>8857</v>
      </c>
      <c r="R1084" s="1" t="s">
        <v>8858</v>
      </c>
      <c r="S1084" s="1" t="s">
        <v>8859</v>
      </c>
      <c r="T1084" s="1" t="s">
        <v>8301</v>
      </c>
      <c r="U1084">
        <v>1958.36</v>
      </c>
      <c r="V1084">
        <v>1913.91</v>
      </c>
      <c r="W1084">
        <v>12.906499999999999</v>
      </c>
      <c r="X1084">
        <v>108.152697</v>
      </c>
      <c r="Y1084">
        <v>44.45</v>
      </c>
      <c r="Z1084">
        <v>12.910539</v>
      </c>
      <c r="AA1084">
        <v>108.190575</v>
      </c>
      <c r="AB1084" s="5">
        <f t="shared" si="97"/>
        <v>2.8708650000000002</v>
      </c>
      <c r="AC1084" s="5">
        <f t="shared" si="98"/>
        <v>6.6675000000000012E-2</v>
      </c>
      <c r="AD1084" s="1" t="str">
        <f t="shared" si="99"/>
        <v>Cư M'ga</v>
      </c>
      <c r="AE1084" s="1" t="str">
        <f t="shared" si="100"/>
        <v>Buôn Hồ</v>
      </c>
      <c r="AG1084">
        <f t="shared" si="101"/>
        <v>1.91391</v>
      </c>
      <c r="AH1084">
        <f t="shared" si="102"/>
        <v>4.4450000000000003E-2</v>
      </c>
      <c r="AI1084">
        <f>VLOOKUP(L1084,'[1]Tuyến cáp H04'!$B:$E,3,0)/1000</f>
        <v>38.145000000000003</v>
      </c>
      <c r="AJ1084" t="str">
        <f>VLOOKUP(L1084,'[1]Tuyến cáp H04'!$B:$E,4,0)</f>
        <v>Mạng cấp 3</v>
      </c>
    </row>
    <row r="1085" spans="1:36" x14ac:dyDescent="0.25">
      <c r="A1085" s="1" t="s">
        <v>10434</v>
      </c>
      <c r="B1085" s="1" t="s">
        <v>10435</v>
      </c>
      <c r="C1085" s="1" t="s">
        <v>10436</v>
      </c>
      <c r="D1085" s="1" t="s">
        <v>8979</v>
      </c>
      <c r="E1085" s="1" t="s">
        <v>8980</v>
      </c>
      <c r="F1085" s="1" t="s">
        <v>10437</v>
      </c>
      <c r="G1085" s="1" t="s">
        <v>14281</v>
      </c>
      <c r="H1085" s="1" t="s">
        <v>14282</v>
      </c>
      <c r="I1085" s="1" t="s">
        <v>15194</v>
      </c>
      <c r="J1085" s="1" t="s">
        <v>23</v>
      </c>
      <c r="K1085" s="1"/>
      <c r="L1085" s="1" t="s">
        <v>8982</v>
      </c>
      <c r="M1085" s="1" t="s">
        <v>10438</v>
      </c>
      <c r="N1085" s="1" t="s">
        <v>10439</v>
      </c>
      <c r="O1085" s="1" t="s">
        <v>10440</v>
      </c>
      <c r="P1085" s="1" t="s">
        <v>10441</v>
      </c>
      <c r="Q1085" s="1" t="s">
        <v>10442</v>
      </c>
      <c r="R1085" s="1" t="s">
        <v>10443</v>
      </c>
      <c r="S1085" s="1" t="s">
        <v>10444</v>
      </c>
      <c r="T1085" s="1" t="s">
        <v>10445</v>
      </c>
      <c r="U1085">
        <v>3377.85</v>
      </c>
      <c r="V1085">
        <v>2662.74</v>
      </c>
      <c r="W1085">
        <v>12.600441</v>
      </c>
      <c r="X1085">
        <v>107.950039</v>
      </c>
      <c r="Y1085">
        <v>715.11</v>
      </c>
      <c r="Z1085">
        <v>12.618955</v>
      </c>
      <c r="AA1085">
        <v>107.946549</v>
      </c>
      <c r="AB1085" s="5">
        <f t="shared" si="97"/>
        <v>3.9941099999999996</v>
      </c>
      <c r="AC1085" s="5">
        <f t="shared" si="98"/>
        <v>1.072665</v>
      </c>
      <c r="AD1085" s="1" t="str">
        <f t="shared" si="99"/>
        <v>Hòa Phú</v>
      </c>
      <c r="AE1085" s="1" t="str">
        <f t="shared" si="100"/>
        <v>Ea Na</v>
      </c>
      <c r="AG1085">
        <f t="shared" si="101"/>
        <v>2.6627399999999999</v>
      </c>
      <c r="AH1085">
        <f t="shared" si="102"/>
        <v>0.71511000000000002</v>
      </c>
      <c r="AI1085">
        <f>VLOOKUP(L1085,'[1]Tuyến cáp H04'!$B:$E,3,0)/1000</f>
        <v>19.419</v>
      </c>
      <c r="AJ1085" t="str">
        <f>VLOOKUP(L1085,'[1]Tuyến cáp H04'!$B:$E,4,0)</f>
        <v>Mạng cấp 4</v>
      </c>
    </row>
    <row r="1086" spans="1:36" x14ac:dyDescent="0.25">
      <c r="A1086" s="1" t="s">
        <v>10446</v>
      </c>
      <c r="B1086" s="1" t="s">
        <v>10447</v>
      </c>
      <c r="C1086" s="1" t="s">
        <v>10448</v>
      </c>
      <c r="D1086" s="1" t="s">
        <v>8160</v>
      </c>
      <c r="E1086" s="1" t="s">
        <v>8161</v>
      </c>
      <c r="F1086" s="1" t="s">
        <v>10449</v>
      </c>
      <c r="G1086" s="1" t="s">
        <v>14281</v>
      </c>
      <c r="H1086" s="1" t="s">
        <v>14282</v>
      </c>
      <c r="I1086" s="1" t="s">
        <v>15195</v>
      </c>
      <c r="J1086" s="1" t="s">
        <v>23</v>
      </c>
      <c r="K1086" s="1"/>
      <c r="L1086" s="1" t="s">
        <v>10450</v>
      </c>
      <c r="M1086" s="1" t="s">
        <v>10451</v>
      </c>
      <c r="N1086" s="1" t="s">
        <v>10452</v>
      </c>
      <c r="O1086" s="1" t="s">
        <v>10453</v>
      </c>
      <c r="P1086" s="1" t="s">
        <v>10454</v>
      </c>
      <c r="Q1086" s="1" t="s">
        <v>10455</v>
      </c>
      <c r="R1086" s="1" t="s">
        <v>10456</v>
      </c>
      <c r="S1086" s="1" t="s">
        <v>10457</v>
      </c>
      <c r="T1086" s="1" t="s">
        <v>10458</v>
      </c>
      <c r="U1086">
        <v>1286.07</v>
      </c>
      <c r="V1086">
        <v>211.3</v>
      </c>
      <c r="W1086">
        <v>12.955921</v>
      </c>
      <c r="X1086">
        <v>108.227239</v>
      </c>
      <c r="Y1086">
        <v>1074.77</v>
      </c>
      <c r="Z1086">
        <v>12.961758</v>
      </c>
      <c r="AA1086">
        <v>108.24132400000001</v>
      </c>
      <c r="AB1086" s="5">
        <f t="shared" si="97"/>
        <v>0.31695000000000007</v>
      </c>
      <c r="AC1086" s="5">
        <f t="shared" si="98"/>
        <v>1.612155</v>
      </c>
      <c r="AD1086" s="1" t="e">
        <f t="shared" si="99"/>
        <v>#VALUE!</v>
      </c>
      <c r="AE1086" s="1" t="e">
        <f t="shared" si="100"/>
        <v>#VALUE!</v>
      </c>
      <c r="AG1086">
        <f t="shared" si="101"/>
        <v>0.21130000000000002</v>
      </c>
      <c r="AH1086">
        <f t="shared" si="102"/>
        <v>1.07477</v>
      </c>
      <c r="AI1086" t="e">
        <f>VLOOKUP(L1086,'[1]Tuyến cáp H04'!$B:$E,3,0)/1000</f>
        <v>#N/A</v>
      </c>
      <c r="AJ1086" t="e">
        <f>VLOOKUP(L1086,'[1]Tuyến cáp H04'!$B:$E,4,0)</f>
        <v>#N/A</v>
      </c>
    </row>
    <row r="1087" spans="1:36" x14ac:dyDescent="0.25">
      <c r="A1087" s="1" t="s">
        <v>10459</v>
      </c>
      <c r="B1087" s="1" t="s">
        <v>8711</v>
      </c>
      <c r="C1087" s="1" t="s">
        <v>8712</v>
      </c>
      <c r="D1087" s="1" t="s">
        <v>10460</v>
      </c>
      <c r="E1087" s="1" t="s">
        <v>10461</v>
      </c>
      <c r="F1087" s="1" t="s">
        <v>10462</v>
      </c>
      <c r="G1087" s="1" t="s">
        <v>14281</v>
      </c>
      <c r="H1087" s="1" t="s">
        <v>14282</v>
      </c>
      <c r="I1087" s="1" t="s">
        <v>15196</v>
      </c>
      <c r="J1087" s="1" t="s">
        <v>23</v>
      </c>
      <c r="K1087" s="1"/>
      <c r="L1087" s="1" t="s">
        <v>10463</v>
      </c>
      <c r="M1087" s="1" t="s">
        <v>10464</v>
      </c>
      <c r="N1087" s="1" t="s">
        <v>10465</v>
      </c>
      <c r="O1087" s="1" t="s">
        <v>10466</v>
      </c>
      <c r="P1087" s="1" t="s">
        <v>10467</v>
      </c>
      <c r="Q1087" s="1" t="s">
        <v>10468</v>
      </c>
      <c r="R1087" s="1" t="s">
        <v>10469</v>
      </c>
      <c r="S1087" s="1" t="s">
        <v>10470</v>
      </c>
      <c r="T1087" s="1" t="s">
        <v>10471</v>
      </c>
      <c r="U1087">
        <v>2462.79</v>
      </c>
      <c r="V1087">
        <v>2013.2</v>
      </c>
      <c r="W1087">
        <v>12.994935</v>
      </c>
      <c r="X1087">
        <v>108.16152200000001</v>
      </c>
      <c r="Y1087">
        <v>449.59</v>
      </c>
      <c r="Z1087">
        <v>12.976003</v>
      </c>
      <c r="AA1087">
        <v>108.16717800000001</v>
      </c>
      <c r="AB1087" s="5">
        <f t="shared" si="97"/>
        <v>3.0198</v>
      </c>
      <c r="AC1087" s="5">
        <f t="shared" si="98"/>
        <v>0.67438500000000001</v>
      </c>
      <c r="AD1087" s="1" t="e">
        <f t="shared" si="99"/>
        <v>#VALUE!</v>
      </c>
      <c r="AE1087" s="1" t="e">
        <f t="shared" si="100"/>
        <v>#VALUE!</v>
      </c>
      <c r="AG1087">
        <f t="shared" si="101"/>
        <v>2.0131999999999999</v>
      </c>
      <c r="AH1087">
        <f t="shared" si="102"/>
        <v>0.44958999999999999</v>
      </c>
      <c r="AI1087" t="e">
        <f>VLOOKUP(L1087,'[1]Tuyến cáp H04'!$B:$E,3,0)/1000</f>
        <v>#N/A</v>
      </c>
      <c r="AJ1087" t="e">
        <f>VLOOKUP(L1087,'[1]Tuyến cáp H04'!$B:$E,4,0)</f>
        <v>#N/A</v>
      </c>
    </row>
    <row r="1088" spans="1:36" x14ac:dyDescent="0.25">
      <c r="A1088" s="1" t="s">
        <v>10472</v>
      </c>
      <c r="B1088" s="1" t="s">
        <v>8470</v>
      </c>
      <c r="C1088" s="1" t="s">
        <v>8471</v>
      </c>
      <c r="D1088" s="1" t="s">
        <v>10473</v>
      </c>
      <c r="E1088" s="1" t="s">
        <v>10474</v>
      </c>
      <c r="F1088" s="1" t="s">
        <v>10475</v>
      </c>
      <c r="G1088" s="1" t="s">
        <v>14281</v>
      </c>
      <c r="H1088" s="1" t="s">
        <v>14282</v>
      </c>
      <c r="I1088" s="1" t="s">
        <v>15197</v>
      </c>
      <c r="J1088" s="1" t="s">
        <v>23</v>
      </c>
      <c r="K1088" s="1"/>
      <c r="L1088" s="1" t="s">
        <v>8350</v>
      </c>
      <c r="M1088" s="1" t="s">
        <v>10476</v>
      </c>
      <c r="N1088" s="1" t="s">
        <v>8477</v>
      </c>
      <c r="O1088" s="1" t="s">
        <v>8356</v>
      </c>
      <c r="P1088" s="1" t="s">
        <v>8357</v>
      </c>
      <c r="Q1088" s="1" t="s">
        <v>10477</v>
      </c>
      <c r="R1088" s="1" t="s">
        <v>10478</v>
      </c>
      <c r="S1088" s="1" t="s">
        <v>10479</v>
      </c>
      <c r="T1088" s="1" t="s">
        <v>8358</v>
      </c>
      <c r="U1088">
        <v>764.99</v>
      </c>
      <c r="V1088">
        <v>69.25</v>
      </c>
      <c r="W1088">
        <v>12.811565999999999</v>
      </c>
      <c r="X1088">
        <v>108.483311</v>
      </c>
      <c r="Y1088">
        <v>695.74</v>
      </c>
      <c r="Z1088">
        <v>12.809037999999999</v>
      </c>
      <c r="AA1088">
        <v>108.447738</v>
      </c>
      <c r="AB1088" s="5">
        <f t="shared" si="97"/>
        <v>0.103875</v>
      </c>
      <c r="AC1088" s="5">
        <f t="shared" si="98"/>
        <v>1.0436100000000001</v>
      </c>
      <c r="AD1088" s="1" t="str">
        <f t="shared" si="99"/>
        <v>TT1 Đăk Lăk</v>
      </c>
      <c r="AE1088" s="1" t="str">
        <f t="shared" si="100"/>
        <v>ILA Ea Kar</v>
      </c>
      <c r="AG1088">
        <f t="shared" si="101"/>
        <v>6.9250000000000006E-2</v>
      </c>
      <c r="AH1088">
        <f t="shared" si="102"/>
        <v>0.69574000000000003</v>
      </c>
      <c r="AI1088" t="e">
        <f>VLOOKUP(L1088,'[1]Tuyến cáp H04'!$B:$E,3,0)/1000</f>
        <v>#N/A</v>
      </c>
      <c r="AJ1088" t="e">
        <f>VLOOKUP(L1088,'[1]Tuyến cáp H04'!$B:$E,4,0)</f>
        <v>#N/A</v>
      </c>
    </row>
    <row r="1089" spans="1:36" x14ac:dyDescent="0.25">
      <c r="A1089" s="1" t="s">
        <v>10480</v>
      </c>
      <c r="B1089" s="1" t="s">
        <v>10481</v>
      </c>
      <c r="C1089" s="1" t="s">
        <v>10482</v>
      </c>
      <c r="D1089" s="1" t="s">
        <v>10212</v>
      </c>
      <c r="E1089" s="1" t="s">
        <v>10213</v>
      </c>
      <c r="F1089" s="1" t="s">
        <v>10483</v>
      </c>
      <c r="G1089" s="1" t="s">
        <v>14281</v>
      </c>
      <c r="H1089" s="1" t="s">
        <v>14282</v>
      </c>
      <c r="I1089" s="1" t="s">
        <v>15198</v>
      </c>
      <c r="J1089" s="1" t="s">
        <v>23</v>
      </c>
      <c r="K1089" s="1"/>
      <c r="L1089" s="1" t="s">
        <v>10484</v>
      </c>
      <c r="M1089" s="1" t="s">
        <v>10485</v>
      </c>
      <c r="N1089" s="1" t="s">
        <v>10486</v>
      </c>
      <c r="O1089" s="1" t="s">
        <v>10487</v>
      </c>
      <c r="P1089" s="1" t="s">
        <v>10488</v>
      </c>
      <c r="Q1089" s="1" t="s">
        <v>10489</v>
      </c>
      <c r="R1089" s="1" t="s">
        <v>10490</v>
      </c>
      <c r="S1089" s="1" t="s">
        <v>10491</v>
      </c>
      <c r="T1089" s="1" t="s">
        <v>10492</v>
      </c>
      <c r="U1089">
        <v>337.09</v>
      </c>
      <c r="V1089">
        <v>107.36</v>
      </c>
      <c r="W1089">
        <v>12.80843</v>
      </c>
      <c r="X1089">
        <v>108.563661</v>
      </c>
      <c r="Y1089">
        <v>229.73</v>
      </c>
      <c r="Z1089">
        <v>12.805197</v>
      </c>
      <c r="AA1089">
        <v>108.542107</v>
      </c>
      <c r="AB1089" s="5">
        <f t="shared" si="97"/>
        <v>0.16103999999999999</v>
      </c>
      <c r="AC1089" s="5">
        <f t="shared" si="98"/>
        <v>0.34459499999999998</v>
      </c>
      <c r="AD1089" s="1" t="e">
        <f t="shared" si="99"/>
        <v>#VALUE!</v>
      </c>
      <c r="AE1089" s="1" t="e">
        <f t="shared" si="100"/>
        <v>#VALUE!</v>
      </c>
      <c r="AG1089">
        <f t="shared" si="101"/>
        <v>0.10736</v>
      </c>
      <c r="AH1089">
        <f t="shared" si="102"/>
        <v>0.22972999999999999</v>
      </c>
      <c r="AI1089" t="e">
        <f>VLOOKUP(L1089,'[1]Tuyến cáp H04'!$B:$E,3,0)/1000</f>
        <v>#N/A</v>
      </c>
      <c r="AJ1089" t="e">
        <f>VLOOKUP(L1089,'[1]Tuyến cáp H04'!$B:$E,4,0)</f>
        <v>#N/A</v>
      </c>
    </row>
    <row r="1090" spans="1:36" x14ac:dyDescent="0.25">
      <c r="A1090" s="1" t="s">
        <v>10493</v>
      </c>
      <c r="B1090" s="1" t="s">
        <v>10494</v>
      </c>
      <c r="C1090" s="1" t="s">
        <v>10495</v>
      </c>
      <c r="D1090" s="1" t="s">
        <v>10212</v>
      </c>
      <c r="E1090" s="1" t="s">
        <v>10213</v>
      </c>
      <c r="F1090" s="1" t="s">
        <v>10496</v>
      </c>
      <c r="G1090" s="1" t="s">
        <v>14281</v>
      </c>
      <c r="H1090" s="1" t="s">
        <v>14282</v>
      </c>
      <c r="I1090" s="1" t="s">
        <v>15199</v>
      </c>
      <c r="J1090" s="1" t="s">
        <v>23</v>
      </c>
      <c r="K1090" s="1"/>
      <c r="L1090" s="1" t="s">
        <v>10321</v>
      </c>
      <c r="M1090" s="1" t="s">
        <v>10497</v>
      </c>
      <c r="N1090" s="1" t="s">
        <v>10498</v>
      </c>
      <c r="O1090" s="1" t="s">
        <v>10499</v>
      </c>
      <c r="P1090" s="1" t="s">
        <v>10500</v>
      </c>
      <c r="Q1090" s="1" t="s">
        <v>10501</v>
      </c>
      <c r="R1090" s="1" t="s">
        <v>10502</v>
      </c>
      <c r="S1090" s="1" t="s">
        <v>10503</v>
      </c>
      <c r="T1090" s="1" t="s">
        <v>10329</v>
      </c>
      <c r="U1090">
        <v>411.86</v>
      </c>
      <c r="V1090">
        <v>229.9</v>
      </c>
      <c r="W1090">
        <v>12.785000999999999</v>
      </c>
      <c r="X1090">
        <v>108.543803</v>
      </c>
      <c r="Y1090">
        <v>181.96</v>
      </c>
      <c r="Z1090">
        <v>12.803478</v>
      </c>
      <c r="AA1090">
        <v>108.539529</v>
      </c>
      <c r="AB1090" s="5">
        <f t="shared" si="97"/>
        <v>0.34485000000000005</v>
      </c>
      <c r="AC1090" s="5">
        <f t="shared" si="98"/>
        <v>0.27294000000000002</v>
      </c>
      <c r="AD1090" s="1" t="e">
        <f t="shared" si="99"/>
        <v>#VALUE!</v>
      </c>
      <c r="AE1090" s="1" t="e">
        <f t="shared" si="100"/>
        <v>#VALUE!</v>
      </c>
      <c r="AG1090">
        <f t="shared" si="101"/>
        <v>0.22989999999999999</v>
      </c>
      <c r="AH1090">
        <f t="shared" si="102"/>
        <v>0.18196000000000001</v>
      </c>
      <c r="AI1090" t="e">
        <f>VLOOKUP(L1090,'[1]Tuyến cáp H04'!$B:$E,3,0)/1000</f>
        <v>#N/A</v>
      </c>
      <c r="AJ1090" t="e">
        <f>VLOOKUP(L1090,'[1]Tuyến cáp H04'!$B:$E,4,0)</f>
        <v>#N/A</v>
      </c>
    </row>
    <row r="1091" spans="1:36" x14ac:dyDescent="0.25">
      <c r="A1091" s="1" t="s">
        <v>10504</v>
      </c>
      <c r="B1091" s="1" t="s">
        <v>10505</v>
      </c>
      <c r="C1091" s="1" t="s">
        <v>10506</v>
      </c>
      <c r="D1091" s="1" t="s">
        <v>10331</v>
      </c>
      <c r="E1091" s="1" t="s">
        <v>10332</v>
      </c>
      <c r="F1091" s="1" t="s">
        <v>10507</v>
      </c>
      <c r="G1091" s="1" t="s">
        <v>14281</v>
      </c>
      <c r="H1091" s="1" t="s">
        <v>14282</v>
      </c>
      <c r="I1091" s="1" t="s">
        <v>15200</v>
      </c>
      <c r="J1091" s="1" t="s">
        <v>23</v>
      </c>
      <c r="K1091" s="1"/>
      <c r="L1091" s="1" t="s">
        <v>10508</v>
      </c>
      <c r="M1091" s="1" t="s">
        <v>10509</v>
      </c>
      <c r="N1091" s="1" t="s">
        <v>10510</v>
      </c>
      <c r="O1091" s="1" t="s">
        <v>10511</v>
      </c>
      <c r="P1091" s="1" t="s">
        <v>10512</v>
      </c>
      <c r="Q1091" s="1" t="s">
        <v>10513</v>
      </c>
      <c r="R1091" s="1" t="s">
        <v>10514</v>
      </c>
      <c r="S1091" s="1" t="s">
        <v>10515</v>
      </c>
      <c r="T1091" s="1" t="s">
        <v>10516</v>
      </c>
      <c r="U1091">
        <v>3543.63</v>
      </c>
      <c r="V1091">
        <v>3525.09</v>
      </c>
      <c r="W1091">
        <v>12.726099</v>
      </c>
      <c r="X1091">
        <v>108.55577</v>
      </c>
      <c r="Y1091">
        <v>18.55</v>
      </c>
      <c r="Z1091">
        <v>12.725866999999999</v>
      </c>
      <c r="AA1091">
        <v>108.555091</v>
      </c>
      <c r="AB1091" s="5">
        <f t="shared" ref="AB1091:AB1154" si="103">V1091*1.5/1000</f>
        <v>5.2876349999999999</v>
      </c>
      <c r="AC1091" s="5">
        <f t="shared" ref="AC1091:AC1154" si="104">Y1091*1.5/1000</f>
        <v>2.7825000000000003E-2</v>
      </c>
      <c r="AD1091" s="1" t="str">
        <f t="shared" ref="AD1091:AD1154" si="105">TRIM(LEFT(L1091,FIND("-",L1091)-1))</f>
        <v>ILA Ea Pal</v>
      </c>
      <c r="AE1091" s="1" t="str">
        <f t="shared" ref="AE1091:AE1154" si="106">TRIM(RIGHT(L1091, LEN(L1091) - FIND("-", L1091)))</f>
        <v>ILA Sơn Thành</v>
      </c>
      <c r="AG1091">
        <f t="shared" ref="AG1091:AG1154" si="107">V1091/1000</f>
        <v>3.5250900000000001</v>
      </c>
      <c r="AH1091">
        <f t="shared" ref="AH1091:AH1154" si="108">Y1091/1000</f>
        <v>1.8550000000000001E-2</v>
      </c>
      <c r="AI1091" t="e">
        <f>VLOOKUP(L1091,'[1]Tuyến cáp H04'!$B:$E,3,0)/1000</f>
        <v>#N/A</v>
      </c>
      <c r="AJ1091" t="e">
        <f>VLOOKUP(L1091,'[1]Tuyến cáp H04'!$B:$E,4,0)</f>
        <v>#N/A</v>
      </c>
    </row>
    <row r="1092" spans="1:36" x14ac:dyDescent="0.25">
      <c r="A1092" s="1" t="s">
        <v>10517</v>
      </c>
      <c r="B1092" s="1" t="s">
        <v>10518</v>
      </c>
      <c r="C1092" s="1" t="s">
        <v>10519</v>
      </c>
      <c r="D1092" s="1" t="s">
        <v>10331</v>
      </c>
      <c r="E1092" s="1" t="s">
        <v>10332</v>
      </c>
      <c r="F1092" s="1" t="s">
        <v>10520</v>
      </c>
      <c r="G1092" s="1" t="s">
        <v>14281</v>
      </c>
      <c r="H1092" s="1" t="s">
        <v>14282</v>
      </c>
      <c r="I1092" s="1" t="s">
        <v>15201</v>
      </c>
      <c r="J1092" s="1" t="s">
        <v>23</v>
      </c>
      <c r="K1092" s="1"/>
      <c r="L1092" s="1" t="s">
        <v>10508</v>
      </c>
      <c r="M1092" s="1" t="s">
        <v>10521</v>
      </c>
      <c r="N1092" s="1" t="s">
        <v>10522</v>
      </c>
      <c r="O1092" s="1" t="s">
        <v>10523</v>
      </c>
      <c r="P1092" s="1" t="s">
        <v>10524</v>
      </c>
      <c r="Q1092" s="1" t="s">
        <v>10525</v>
      </c>
      <c r="R1092" s="1" t="s">
        <v>10526</v>
      </c>
      <c r="S1092" s="1" t="s">
        <v>10527</v>
      </c>
      <c r="T1092" s="1" t="s">
        <v>10528</v>
      </c>
      <c r="U1092">
        <v>476.08</v>
      </c>
      <c r="V1092">
        <v>389.47</v>
      </c>
      <c r="W1092">
        <v>12.703554</v>
      </c>
      <c r="X1092">
        <v>108.583943</v>
      </c>
      <c r="Y1092">
        <v>86.61</v>
      </c>
      <c r="Z1092">
        <v>12.726106</v>
      </c>
      <c r="AA1092">
        <v>108.555781</v>
      </c>
      <c r="AB1092" s="5">
        <f t="shared" si="103"/>
        <v>0.58420500000000009</v>
      </c>
      <c r="AC1092" s="5">
        <f t="shared" si="104"/>
        <v>0.129915</v>
      </c>
      <c r="AD1092" s="1" t="str">
        <f t="shared" si="105"/>
        <v>ILA Ea Pal</v>
      </c>
      <c r="AE1092" s="1" t="str">
        <f t="shared" si="106"/>
        <v>ILA Sơn Thành</v>
      </c>
      <c r="AG1092">
        <f t="shared" si="107"/>
        <v>0.38947000000000004</v>
      </c>
      <c r="AH1092">
        <f t="shared" si="108"/>
        <v>8.6609999999999993E-2</v>
      </c>
      <c r="AI1092" t="e">
        <f>VLOOKUP(L1092,'[1]Tuyến cáp H04'!$B:$E,3,0)/1000</f>
        <v>#N/A</v>
      </c>
      <c r="AJ1092" t="e">
        <f>VLOOKUP(L1092,'[1]Tuyến cáp H04'!$B:$E,4,0)</f>
        <v>#N/A</v>
      </c>
    </row>
    <row r="1093" spans="1:36" x14ac:dyDescent="0.25">
      <c r="A1093" s="1" t="s">
        <v>10529</v>
      </c>
      <c r="B1093" s="1" t="s">
        <v>10530</v>
      </c>
      <c r="C1093" s="1" t="s">
        <v>10531</v>
      </c>
      <c r="D1093" s="1" t="s">
        <v>10252</v>
      </c>
      <c r="E1093" s="1" t="s">
        <v>10253</v>
      </c>
      <c r="F1093" s="1" t="s">
        <v>10532</v>
      </c>
      <c r="G1093" s="1" t="s">
        <v>14281</v>
      </c>
      <c r="H1093" s="1" t="s">
        <v>14282</v>
      </c>
      <c r="I1093" s="1" t="s">
        <v>15202</v>
      </c>
      <c r="J1093" s="1" t="s">
        <v>23</v>
      </c>
      <c r="K1093" s="1"/>
      <c r="L1093" s="1" t="s">
        <v>10533</v>
      </c>
      <c r="M1093" s="1" t="s">
        <v>10534</v>
      </c>
      <c r="N1093" s="1" t="s">
        <v>10535</v>
      </c>
      <c r="O1093" s="1" t="s">
        <v>10536</v>
      </c>
      <c r="P1093" s="1" t="s">
        <v>10537</v>
      </c>
      <c r="Q1093" s="1" t="s">
        <v>10538</v>
      </c>
      <c r="R1093" s="1" t="s">
        <v>10539</v>
      </c>
      <c r="S1093" s="1" t="s">
        <v>10540</v>
      </c>
      <c r="T1093" s="1" t="s">
        <v>10541</v>
      </c>
      <c r="U1093">
        <v>306.67</v>
      </c>
      <c r="V1093">
        <v>255.67</v>
      </c>
      <c r="W1093">
        <v>12.785982000000001</v>
      </c>
      <c r="X1093">
        <v>108.410808</v>
      </c>
      <c r="Y1093">
        <v>51.01</v>
      </c>
      <c r="Z1093">
        <v>12.762475</v>
      </c>
      <c r="AA1093">
        <v>108.41492599999999</v>
      </c>
      <c r="AB1093" s="5">
        <f t="shared" si="103"/>
        <v>0.38350499999999998</v>
      </c>
      <c r="AC1093" s="5">
        <f t="shared" si="104"/>
        <v>7.6515E-2</v>
      </c>
      <c r="AD1093" s="1" t="str">
        <f t="shared" si="105"/>
        <v>Ea Kly</v>
      </c>
      <c r="AE1093" s="1" t="str">
        <f t="shared" si="106"/>
        <v>Ea Kar</v>
      </c>
      <c r="AG1093">
        <f t="shared" si="107"/>
        <v>0.25567000000000001</v>
      </c>
      <c r="AH1093">
        <f t="shared" si="108"/>
        <v>5.101E-2</v>
      </c>
      <c r="AI1093">
        <f>VLOOKUP(L1093,'[1]Tuyến cáp H04'!$B:$E,3,0)/1000</f>
        <v>12.215999999999999</v>
      </c>
      <c r="AJ1093" t="str">
        <f>VLOOKUP(L1093,'[1]Tuyến cáp H04'!$B:$E,4,0)</f>
        <v>Mạng cấp 4</v>
      </c>
    </row>
    <row r="1094" spans="1:36" x14ac:dyDescent="0.25">
      <c r="A1094" s="1" t="s">
        <v>10542</v>
      </c>
      <c r="B1094" s="1" t="s">
        <v>10543</v>
      </c>
      <c r="C1094" s="1" t="s">
        <v>10544</v>
      </c>
      <c r="D1094" s="1" t="s">
        <v>10252</v>
      </c>
      <c r="E1094" s="1" t="s">
        <v>10253</v>
      </c>
      <c r="F1094" s="1" t="s">
        <v>10545</v>
      </c>
      <c r="G1094" s="1" t="s">
        <v>14281</v>
      </c>
      <c r="H1094" s="1" t="s">
        <v>14282</v>
      </c>
      <c r="I1094" s="1" t="s">
        <v>15203</v>
      </c>
      <c r="J1094" s="1" t="s">
        <v>23</v>
      </c>
      <c r="K1094" s="1"/>
      <c r="L1094" s="1" t="s">
        <v>8350</v>
      </c>
      <c r="M1094" s="1" t="s">
        <v>10546</v>
      </c>
      <c r="N1094" s="1" t="s">
        <v>10547</v>
      </c>
      <c r="O1094" s="1" t="s">
        <v>10548</v>
      </c>
      <c r="P1094" s="1" t="s">
        <v>10549</v>
      </c>
      <c r="Q1094" s="1" t="s">
        <v>10256</v>
      </c>
      <c r="R1094" s="1" t="s">
        <v>10257</v>
      </c>
      <c r="S1094" s="1" t="s">
        <v>10258</v>
      </c>
      <c r="T1094" s="1" t="s">
        <v>8358</v>
      </c>
      <c r="U1094">
        <v>1432.09</v>
      </c>
      <c r="V1094">
        <v>120.49</v>
      </c>
      <c r="W1094">
        <v>12.770160000000001</v>
      </c>
      <c r="X1094">
        <v>108.391271</v>
      </c>
      <c r="Y1094">
        <v>1311.61</v>
      </c>
      <c r="Z1094">
        <v>12.770509000000001</v>
      </c>
      <c r="AA1094">
        <v>108.405835</v>
      </c>
      <c r="AB1094" s="5">
        <f t="shared" si="103"/>
        <v>0.18073499999999998</v>
      </c>
      <c r="AC1094" s="5">
        <f t="shared" si="104"/>
        <v>1.9674149999999999</v>
      </c>
      <c r="AD1094" s="1" t="str">
        <f t="shared" si="105"/>
        <v>TT1 Đăk Lăk</v>
      </c>
      <c r="AE1094" s="1" t="str">
        <f t="shared" si="106"/>
        <v>ILA Ea Kar</v>
      </c>
      <c r="AG1094">
        <f t="shared" si="107"/>
        <v>0.12049</v>
      </c>
      <c r="AH1094">
        <f t="shared" si="108"/>
        <v>1.3116099999999999</v>
      </c>
      <c r="AI1094" t="e">
        <f>VLOOKUP(L1094,'[1]Tuyến cáp H04'!$B:$E,3,0)/1000</f>
        <v>#N/A</v>
      </c>
      <c r="AJ1094" t="e">
        <f>VLOOKUP(L1094,'[1]Tuyến cáp H04'!$B:$E,4,0)</f>
        <v>#N/A</v>
      </c>
    </row>
    <row r="1095" spans="1:36" x14ac:dyDescent="0.25">
      <c r="A1095" s="1" t="s">
        <v>10550</v>
      </c>
      <c r="B1095" s="1" t="s">
        <v>10551</v>
      </c>
      <c r="C1095" s="1" t="s">
        <v>10552</v>
      </c>
      <c r="D1095" s="1" t="s">
        <v>10252</v>
      </c>
      <c r="E1095" s="1" t="s">
        <v>10253</v>
      </c>
      <c r="F1095" s="1" t="s">
        <v>10553</v>
      </c>
      <c r="G1095" s="1" t="s">
        <v>14281</v>
      </c>
      <c r="H1095" s="1" t="s">
        <v>14282</v>
      </c>
      <c r="I1095" s="1" t="s">
        <v>15204</v>
      </c>
      <c r="J1095" s="1" t="s">
        <v>23</v>
      </c>
      <c r="K1095" s="1"/>
      <c r="L1095" s="1" t="s">
        <v>10554</v>
      </c>
      <c r="M1095" s="1" t="s">
        <v>10555</v>
      </c>
      <c r="N1095" s="1" t="s">
        <v>10556</v>
      </c>
      <c r="O1095" s="1" t="s">
        <v>10557</v>
      </c>
      <c r="P1095" s="1" t="s">
        <v>10558</v>
      </c>
      <c r="Q1095" s="1" t="s">
        <v>10559</v>
      </c>
      <c r="R1095" s="1" t="s">
        <v>10560</v>
      </c>
      <c r="S1095" s="1" t="s">
        <v>10561</v>
      </c>
      <c r="T1095" s="1" t="s">
        <v>10562</v>
      </c>
      <c r="U1095">
        <v>1811.48</v>
      </c>
      <c r="V1095">
        <v>1748.06</v>
      </c>
      <c r="W1095">
        <v>12.749114000000001</v>
      </c>
      <c r="X1095">
        <v>108.421342</v>
      </c>
      <c r="Y1095">
        <v>63.42</v>
      </c>
      <c r="Z1095">
        <v>12.762024</v>
      </c>
      <c r="AA1095">
        <v>108.41502199999999</v>
      </c>
      <c r="AB1095" s="5">
        <f t="shared" si="103"/>
        <v>2.62209</v>
      </c>
      <c r="AC1095" s="5">
        <f t="shared" si="104"/>
        <v>9.5129999999999992E-2</v>
      </c>
      <c r="AD1095" s="1" t="str">
        <f t="shared" si="105"/>
        <v>Ea Phê</v>
      </c>
      <c r="AE1095" s="1" t="str">
        <f t="shared" si="106"/>
        <v>Ea Kly</v>
      </c>
      <c r="AG1095">
        <f t="shared" si="107"/>
        <v>1.7480599999999999</v>
      </c>
      <c r="AH1095">
        <f t="shared" si="108"/>
        <v>6.3420000000000004E-2</v>
      </c>
      <c r="AI1095">
        <f>VLOOKUP(L1095,'[1]Tuyến cáp H04'!$B:$E,3,0)/1000</f>
        <v>14.612</v>
      </c>
      <c r="AJ1095" t="str">
        <f>VLOOKUP(L1095,'[1]Tuyến cáp H04'!$B:$E,4,0)</f>
        <v>Mạng cấp 4</v>
      </c>
    </row>
    <row r="1096" spans="1:36" x14ac:dyDescent="0.25">
      <c r="A1096" s="1" t="s">
        <v>10563</v>
      </c>
      <c r="B1096" s="1" t="s">
        <v>10564</v>
      </c>
      <c r="C1096" s="1" t="s">
        <v>10565</v>
      </c>
      <c r="D1096" s="1" t="s">
        <v>10252</v>
      </c>
      <c r="E1096" s="1" t="s">
        <v>10253</v>
      </c>
      <c r="F1096" s="1" t="s">
        <v>10566</v>
      </c>
      <c r="G1096" s="1" t="s">
        <v>14281</v>
      </c>
      <c r="H1096" s="1" t="s">
        <v>14282</v>
      </c>
      <c r="I1096" s="1" t="s">
        <v>15205</v>
      </c>
      <c r="J1096" s="1" t="s">
        <v>23</v>
      </c>
      <c r="K1096" s="1"/>
      <c r="L1096" s="1" t="s">
        <v>10554</v>
      </c>
      <c r="M1096" s="1" t="s">
        <v>10567</v>
      </c>
      <c r="N1096" s="1" t="s">
        <v>10568</v>
      </c>
      <c r="O1096" s="1" t="s">
        <v>10569</v>
      </c>
      <c r="P1096" s="1" t="s">
        <v>10570</v>
      </c>
      <c r="Q1096" s="1" t="s">
        <v>10559</v>
      </c>
      <c r="R1096" s="1" t="s">
        <v>10560</v>
      </c>
      <c r="S1096" s="1" t="s">
        <v>10561</v>
      </c>
      <c r="T1096" s="1" t="s">
        <v>10562</v>
      </c>
      <c r="U1096">
        <v>818.05</v>
      </c>
      <c r="V1096">
        <v>754.63</v>
      </c>
      <c r="W1096">
        <v>12.748787</v>
      </c>
      <c r="X1096">
        <v>108.421536</v>
      </c>
      <c r="Y1096">
        <v>63.42</v>
      </c>
      <c r="Z1096">
        <v>12.762024</v>
      </c>
      <c r="AA1096">
        <v>108.41502199999999</v>
      </c>
      <c r="AB1096" s="5">
        <f t="shared" si="103"/>
        <v>1.131945</v>
      </c>
      <c r="AC1096" s="5">
        <f t="shared" si="104"/>
        <v>9.5129999999999992E-2</v>
      </c>
      <c r="AD1096" s="1" t="str">
        <f t="shared" si="105"/>
        <v>Ea Phê</v>
      </c>
      <c r="AE1096" s="1" t="str">
        <f t="shared" si="106"/>
        <v>Ea Kly</v>
      </c>
      <c r="AG1096">
        <f t="shared" si="107"/>
        <v>0.75463000000000002</v>
      </c>
      <c r="AH1096">
        <f t="shared" si="108"/>
        <v>6.3420000000000004E-2</v>
      </c>
      <c r="AI1096">
        <f>VLOOKUP(L1096,'[1]Tuyến cáp H04'!$B:$E,3,0)/1000</f>
        <v>14.612</v>
      </c>
      <c r="AJ1096" t="str">
        <f>VLOOKUP(L1096,'[1]Tuyến cáp H04'!$B:$E,4,0)</f>
        <v>Mạng cấp 4</v>
      </c>
    </row>
    <row r="1097" spans="1:36" x14ac:dyDescent="0.25">
      <c r="A1097" s="1" t="s">
        <v>10571</v>
      </c>
      <c r="B1097" s="1" t="s">
        <v>10572</v>
      </c>
      <c r="C1097" s="1" t="s">
        <v>10573</v>
      </c>
      <c r="D1097" s="1" t="s">
        <v>10260</v>
      </c>
      <c r="E1097" s="1" t="s">
        <v>10261</v>
      </c>
      <c r="F1097" s="1" t="s">
        <v>10574</v>
      </c>
      <c r="G1097" s="1" t="s">
        <v>14281</v>
      </c>
      <c r="H1097" s="1" t="s">
        <v>14282</v>
      </c>
      <c r="I1097" s="1" t="s">
        <v>15206</v>
      </c>
      <c r="J1097" s="1" t="s">
        <v>23</v>
      </c>
      <c r="K1097" s="1"/>
      <c r="L1097" s="1" t="s">
        <v>10554</v>
      </c>
      <c r="M1097" s="1" t="s">
        <v>10575</v>
      </c>
      <c r="N1097" s="1" t="s">
        <v>10576</v>
      </c>
      <c r="O1097" s="1" t="s">
        <v>10577</v>
      </c>
      <c r="P1097" s="1" t="s">
        <v>10578</v>
      </c>
      <c r="Q1097" s="1" t="s">
        <v>10579</v>
      </c>
      <c r="R1097" s="1" t="s">
        <v>10580</v>
      </c>
      <c r="S1097" s="1" t="s">
        <v>10581</v>
      </c>
      <c r="T1097" s="1" t="s">
        <v>10582</v>
      </c>
      <c r="U1097">
        <v>407.09</v>
      </c>
      <c r="V1097">
        <v>306.63</v>
      </c>
      <c r="W1097">
        <v>12.766622</v>
      </c>
      <c r="X1097">
        <v>108.36987000000001</v>
      </c>
      <c r="Y1097">
        <v>100.46</v>
      </c>
      <c r="Z1097">
        <v>12.727857</v>
      </c>
      <c r="AA1097">
        <v>108.36412300000001</v>
      </c>
      <c r="AB1097" s="5">
        <f t="shared" si="103"/>
        <v>0.45994499999999999</v>
      </c>
      <c r="AC1097" s="5">
        <f t="shared" si="104"/>
        <v>0.15068999999999999</v>
      </c>
      <c r="AD1097" s="1" t="str">
        <f t="shared" si="105"/>
        <v>Ea Phê</v>
      </c>
      <c r="AE1097" s="1" t="str">
        <f t="shared" si="106"/>
        <v>Ea Kly</v>
      </c>
      <c r="AG1097">
        <f t="shared" si="107"/>
        <v>0.30663000000000001</v>
      </c>
      <c r="AH1097">
        <f t="shared" si="108"/>
        <v>0.10045999999999999</v>
      </c>
      <c r="AI1097">
        <f>VLOOKUP(L1097,'[1]Tuyến cáp H04'!$B:$E,3,0)/1000</f>
        <v>14.612</v>
      </c>
      <c r="AJ1097" t="str">
        <f>VLOOKUP(L1097,'[1]Tuyến cáp H04'!$B:$E,4,0)</f>
        <v>Mạng cấp 4</v>
      </c>
    </row>
    <row r="1098" spans="1:36" x14ac:dyDescent="0.25">
      <c r="A1098" s="1" t="s">
        <v>10583</v>
      </c>
      <c r="B1098" s="1" t="s">
        <v>10584</v>
      </c>
      <c r="C1098" s="1" t="s">
        <v>10585</v>
      </c>
      <c r="D1098" s="1" t="s">
        <v>10260</v>
      </c>
      <c r="E1098" s="1" t="s">
        <v>10261</v>
      </c>
      <c r="F1098" s="1" t="s">
        <v>10586</v>
      </c>
      <c r="G1098" s="1" t="s">
        <v>14281</v>
      </c>
      <c r="H1098" s="1" t="s">
        <v>14282</v>
      </c>
      <c r="I1098" s="1" t="s">
        <v>15207</v>
      </c>
      <c r="J1098" s="1" t="s">
        <v>23</v>
      </c>
      <c r="K1098" s="1"/>
      <c r="L1098" s="1" t="s">
        <v>10263</v>
      </c>
      <c r="M1098" s="1" t="s">
        <v>10587</v>
      </c>
      <c r="N1098" s="1" t="s">
        <v>10588</v>
      </c>
      <c r="O1098" s="1" t="s">
        <v>10589</v>
      </c>
      <c r="P1098" s="1" t="s">
        <v>10590</v>
      </c>
      <c r="Q1098" s="1" t="s">
        <v>10265</v>
      </c>
      <c r="R1098" s="1" t="s">
        <v>10266</v>
      </c>
      <c r="S1098" s="1" t="s">
        <v>10267</v>
      </c>
      <c r="T1098" s="1" t="s">
        <v>10271</v>
      </c>
      <c r="U1098">
        <v>2940.95</v>
      </c>
      <c r="V1098">
        <v>2855.55</v>
      </c>
      <c r="W1098">
        <v>12.760439999999999</v>
      </c>
      <c r="X1098">
        <v>108.36897999999999</v>
      </c>
      <c r="Y1098">
        <v>85.4</v>
      </c>
      <c r="Z1098">
        <v>12.727708</v>
      </c>
      <c r="AA1098">
        <v>108.36395400000001</v>
      </c>
      <c r="AB1098" s="5">
        <f t="shared" si="103"/>
        <v>4.2833250000000005</v>
      </c>
      <c r="AC1098" s="5">
        <f t="shared" si="104"/>
        <v>0.12810000000000002</v>
      </c>
      <c r="AD1098" s="1" t="str">
        <f t="shared" si="105"/>
        <v>KRông Păk</v>
      </c>
      <c r="AE1098" s="1" t="str">
        <f t="shared" si="106"/>
        <v>Trại giam Đăk Tân (C10)</v>
      </c>
      <c r="AG1098">
        <f t="shared" si="107"/>
        <v>2.85555</v>
      </c>
      <c r="AH1098">
        <f t="shared" si="108"/>
        <v>8.5400000000000004E-2</v>
      </c>
      <c r="AI1098">
        <f>VLOOKUP(L1098,'[1]Tuyến cáp H04'!$B:$E,3,0)/1000</f>
        <v>53.56</v>
      </c>
      <c r="AJ1098" t="str">
        <f>VLOOKUP(L1098,'[1]Tuyến cáp H04'!$B:$E,4,0)</f>
        <v>Mạng cấp 3</v>
      </c>
    </row>
    <row r="1099" spans="1:36" x14ac:dyDescent="0.25">
      <c r="A1099" s="1" t="s">
        <v>10591</v>
      </c>
      <c r="B1099" s="1" t="s">
        <v>10592</v>
      </c>
      <c r="C1099" s="1" t="s">
        <v>10593</v>
      </c>
      <c r="D1099" s="1" t="s">
        <v>10292</v>
      </c>
      <c r="E1099" s="1" t="s">
        <v>10293</v>
      </c>
      <c r="F1099" s="1" t="s">
        <v>10594</v>
      </c>
      <c r="G1099" s="1" t="s">
        <v>14281</v>
      </c>
      <c r="H1099" s="1" t="s">
        <v>14282</v>
      </c>
      <c r="I1099" s="1" t="s">
        <v>15208</v>
      </c>
      <c r="J1099" s="1" t="s">
        <v>23</v>
      </c>
      <c r="K1099" s="1"/>
      <c r="L1099" s="1" t="s">
        <v>10297</v>
      </c>
      <c r="M1099" s="1" t="s">
        <v>10595</v>
      </c>
      <c r="N1099" s="1" t="s">
        <v>10596</v>
      </c>
      <c r="O1099" s="1" t="s">
        <v>10597</v>
      </c>
      <c r="P1099" s="1" t="s">
        <v>10598</v>
      </c>
      <c r="Q1099" s="1" t="s">
        <v>10299</v>
      </c>
      <c r="R1099" s="1" t="s">
        <v>10300</v>
      </c>
      <c r="S1099" s="1" t="s">
        <v>10301</v>
      </c>
      <c r="T1099" s="1" t="s">
        <v>10305</v>
      </c>
      <c r="U1099">
        <v>957.88</v>
      </c>
      <c r="V1099">
        <v>830.47</v>
      </c>
      <c r="W1099">
        <v>12.650548000000001</v>
      </c>
      <c r="X1099">
        <v>108.432001</v>
      </c>
      <c r="Y1099">
        <v>127.41</v>
      </c>
      <c r="Z1099">
        <v>12.658647</v>
      </c>
      <c r="AA1099">
        <v>108.43165500000001</v>
      </c>
      <c r="AB1099" s="5">
        <f t="shared" si="103"/>
        <v>1.2457049999999998</v>
      </c>
      <c r="AC1099" s="5">
        <f t="shared" si="104"/>
        <v>0.19111500000000001</v>
      </c>
      <c r="AD1099" s="1" t="e">
        <f t="shared" si="105"/>
        <v>#VALUE!</v>
      </c>
      <c r="AE1099" s="1" t="e">
        <f t="shared" si="106"/>
        <v>#VALUE!</v>
      </c>
      <c r="AG1099">
        <f t="shared" si="107"/>
        <v>0.83047000000000004</v>
      </c>
      <c r="AH1099">
        <f t="shared" si="108"/>
        <v>0.12741</v>
      </c>
      <c r="AI1099" t="e">
        <f>VLOOKUP(L1099,'[1]Tuyến cáp H04'!$B:$E,3,0)/1000</f>
        <v>#N/A</v>
      </c>
      <c r="AJ1099" t="e">
        <f>VLOOKUP(L1099,'[1]Tuyến cáp H04'!$B:$E,4,0)</f>
        <v>#N/A</v>
      </c>
    </row>
    <row r="1100" spans="1:36" x14ac:dyDescent="0.25">
      <c r="A1100" s="1" t="s">
        <v>10599</v>
      </c>
      <c r="B1100" s="1" t="s">
        <v>10600</v>
      </c>
      <c r="C1100" s="1" t="s">
        <v>10601</v>
      </c>
      <c r="D1100" s="1" t="s">
        <v>8510</v>
      </c>
      <c r="E1100" s="1" t="s">
        <v>8511</v>
      </c>
      <c r="F1100" s="1" t="s">
        <v>10602</v>
      </c>
      <c r="G1100" s="1" t="s">
        <v>14281</v>
      </c>
      <c r="H1100" s="1" t="s">
        <v>14282</v>
      </c>
      <c r="I1100" s="1" t="s">
        <v>15209</v>
      </c>
      <c r="J1100" s="1" t="s">
        <v>23</v>
      </c>
      <c r="K1100" s="1"/>
      <c r="L1100" s="1" t="s">
        <v>9043</v>
      </c>
      <c r="M1100" s="1" t="s">
        <v>10603</v>
      </c>
      <c r="N1100" s="1" t="s">
        <v>10604</v>
      </c>
      <c r="O1100" s="1" t="s">
        <v>10605</v>
      </c>
      <c r="P1100" s="1" t="s">
        <v>10606</v>
      </c>
      <c r="Q1100" s="1" t="s">
        <v>10203</v>
      </c>
      <c r="R1100" s="1" t="s">
        <v>10204</v>
      </c>
      <c r="S1100" s="1" t="s">
        <v>10205</v>
      </c>
      <c r="T1100" s="1" t="s">
        <v>9051</v>
      </c>
      <c r="U1100">
        <v>889.08</v>
      </c>
      <c r="V1100">
        <v>138.69999999999999</v>
      </c>
      <c r="W1100">
        <v>12.651728</v>
      </c>
      <c r="X1100">
        <v>108.374584</v>
      </c>
      <c r="Y1100">
        <v>750.37</v>
      </c>
      <c r="Z1100">
        <v>12.661210000000001</v>
      </c>
      <c r="AA1100">
        <v>108.347521</v>
      </c>
      <c r="AB1100" s="5">
        <f t="shared" si="103"/>
        <v>0.20804999999999998</v>
      </c>
      <c r="AC1100" s="5">
        <f t="shared" si="104"/>
        <v>1.1255550000000001</v>
      </c>
      <c r="AD1100" s="1" t="str">
        <f t="shared" si="105"/>
        <v>TT1 Đăk Lăk</v>
      </c>
      <c r="AE1100" s="1" t="str">
        <f t="shared" si="106"/>
        <v>ILA Ea Pal</v>
      </c>
      <c r="AG1100">
        <f t="shared" si="107"/>
        <v>0.13869999999999999</v>
      </c>
      <c r="AH1100">
        <f t="shared" si="108"/>
        <v>0.75036999999999998</v>
      </c>
      <c r="AI1100" t="e">
        <f>VLOOKUP(L1100,'[1]Tuyến cáp H04'!$B:$E,3,0)/1000</f>
        <v>#N/A</v>
      </c>
      <c r="AJ1100" t="e">
        <f>VLOOKUP(L1100,'[1]Tuyến cáp H04'!$B:$E,4,0)</f>
        <v>#N/A</v>
      </c>
    </row>
    <row r="1101" spans="1:36" x14ac:dyDescent="0.25">
      <c r="A1101" s="1" t="s">
        <v>10607</v>
      </c>
      <c r="B1101" s="1" t="s">
        <v>10608</v>
      </c>
      <c r="C1101" s="1" t="s">
        <v>10609</v>
      </c>
      <c r="D1101" s="1" t="s">
        <v>8510</v>
      </c>
      <c r="E1101" s="1" t="s">
        <v>8511</v>
      </c>
      <c r="F1101" s="1" t="s">
        <v>10610</v>
      </c>
      <c r="G1101" s="1" t="s">
        <v>14281</v>
      </c>
      <c r="H1101" s="1" t="s">
        <v>14282</v>
      </c>
      <c r="I1101" s="1" t="s">
        <v>15210</v>
      </c>
      <c r="J1101" s="1" t="s">
        <v>23</v>
      </c>
      <c r="K1101" s="1"/>
      <c r="L1101" s="1" t="s">
        <v>10353</v>
      </c>
      <c r="M1101" s="1" t="s">
        <v>10611</v>
      </c>
      <c r="N1101" s="1" t="s">
        <v>10612</v>
      </c>
      <c r="O1101" s="1" t="s">
        <v>10613</v>
      </c>
      <c r="P1101" s="1" t="s">
        <v>10614</v>
      </c>
      <c r="Q1101" s="1" t="s">
        <v>10615</v>
      </c>
      <c r="R1101" s="1" t="s">
        <v>10616</v>
      </c>
      <c r="S1101" s="1" t="s">
        <v>10617</v>
      </c>
      <c r="T1101" s="1" t="s">
        <v>10618</v>
      </c>
      <c r="U1101">
        <v>750.43</v>
      </c>
      <c r="V1101">
        <v>328.86</v>
      </c>
      <c r="W1101">
        <v>12.635908000000001</v>
      </c>
      <c r="X1101">
        <v>108.340936</v>
      </c>
      <c r="Y1101">
        <v>421.57</v>
      </c>
      <c r="Z1101">
        <v>12.652396</v>
      </c>
      <c r="AA1101">
        <v>108.341959</v>
      </c>
      <c r="AB1101" s="5">
        <f t="shared" si="103"/>
        <v>0.49329000000000001</v>
      </c>
      <c r="AC1101" s="5">
        <f t="shared" si="104"/>
        <v>0.632355</v>
      </c>
      <c r="AD1101" s="1" t="str">
        <f t="shared" si="105"/>
        <v>KRông Bông</v>
      </c>
      <c r="AE1101" s="1" t="str">
        <f t="shared" si="106"/>
        <v>TT1 Đăk Lăk</v>
      </c>
      <c r="AG1101">
        <f t="shared" si="107"/>
        <v>0.32886000000000004</v>
      </c>
      <c r="AH1101">
        <f t="shared" si="108"/>
        <v>0.42157</v>
      </c>
      <c r="AI1101">
        <f>VLOOKUP(L1101,'[1]Tuyến cáp H04'!$B:$E,3,0)/1000</f>
        <v>58.271999999999998</v>
      </c>
      <c r="AJ1101" t="str">
        <f>VLOOKUP(L1101,'[1]Tuyến cáp H04'!$B:$E,4,0)</f>
        <v>Mạng cấp 3</v>
      </c>
    </row>
    <row r="1102" spans="1:36" x14ac:dyDescent="0.25">
      <c r="A1102" s="1" t="s">
        <v>10619</v>
      </c>
      <c r="B1102" s="1" t="s">
        <v>10620</v>
      </c>
      <c r="C1102" s="1" t="s">
        <v>10621</v>
      </c>
      <c r="D1102" s="1" t="s">
        <v>10350</v>
      </c>
      <c r="E1102" s="1" t="s">
        <v>10351</v>
      </c>
      <c r="F1102" s="1" t="s">
        <v>10622</v>
      </c>
      <c r="G1102" s="1" t="s">
        <v>14281</v>
      </c>
      <c r="H1102" s="1" t="s">
        <v>14282</v>
      </c>
      <c r="I1102" s="1" t="s">
        <v>15211</v>
      </c>
      <c r="J1102" s="1" t="s">
        <v>23</v>
      </c>
      <c r="K1102" s="1"/>
      <c r="L1102" s="1" t="s">
        <v>10365</v>
      </c>
      <c r="M1102" s="1" t="s">
        <v>10623</v>
      </c>
      <c r="N1102" s="1" t="s">
        <v>10624</v>
      </c>
      <c r="O1102" s="1" t="s">
        <v>10625</v>
      </c>
      <c r="P1102" s="1" t="s">
        <v>10626</v>
      </c>
      <c r="Q1102" s="1" t="s">
        <v>10367</v>
      </c>
      <c r="R1102" s="1" t="s">
        <v>10368</v>
      </c>
      <c r="S1102" s="1" t="s">
        <v>10369</v>
      </c>
      <c r="T1102" s="1" t="s">
        <v>10373</v>
      </c>
      <c r="U1102">
        <v>1709.26</v>
      </c>
      <c r="V1102">
        <v>1612.81</v>
      </c>
      <c r="W1102">
        <v>12.698812</v>
      </c>
      <c r="X1102">
        <v>108.138423</v>
      </c>
      <c r="Y1102">
        <v>96.45</v>
      </c>
      <c r="Z1102">
        <v>12.70313</v>
      </c>
      <c r="AA1102">
        <v>108.156829</v>
      </c>
      <c r="AB1102" s="5">
        <f t="shared" si="103"/>
        <v>2.4192150000000003</v>
      </c>
      <c r="AC1102" s="5">
        <f t="shared" si="104"/>
        <v>0.144675</v>
      </c>
      <c r="AD1102" s="1" t="e">
        <f t="shared" si="105"/>
        <v>#VALUE!</v>
      </c>
      <c r="AE1102" s="1" t="e">
        <f t="shared" si="106"/>
        <v>#VALUE!</v>
      </c>
      <c r="AG1102">
        <f t="shared" si="107"/>
        <v>1.6128099999999999</v>
      </c>
      <c r="AH1102">
        <f t="shared" si="108"/>
        <v>9.6450000000000008E-2</v>
      </c>
      <c r="AI1102" t="e">
        <f>VLOOKUP(L1102,'[1]Tuyến cáp H04'!$B:$E,3,0)/1000</f>
        <v>#N/A</v>
      </c>
      <c r="AJ1102" t="e">
        <f>VLOOKUP(L1102,'[1]Tuyến cáp H04'!$B:$E,4,0)</f>
        <v>#N/A</v>
      </c>
    </row>
    <row r="1103" spans="1:36" x14ac:dyDescent="0.25">
      <c r="A1103" s="1" t="s">
        <v>10627</v>
      </c>
      <c r="B1103" s="1" t="s">
        <v>10628</v>
      </c>
      <c r="C1103" s="1" t="s">
        <v>10629</v>
      </c>
      <c r="D1103" s="1" t="s">
        <v>10350</v>
      </c>
      <c r="E1103" s="1" t="s">
        <v>10351</v>
      </c>
      <c r="F1103" s="1" t="s">
        <v>10630</v>
      </c>
      <c r="G1103" s="1" t="s">
        <v>14281</v>
      </c>
      <c r="H1103" s="1" t="s">
        <v>14282</v>
      </c>
      <c r="I1103" s="1" t="s">
        <v>15212</v>
      </c>
      <c r="J1103" s="1" t="s">
        <v>23</v>
      </c>
      <c r="K1103" s="1"/>
      <c r="L1103" s="1" t="s">
        <v>10353</v>
      </c>
      <c r="M1103" s="1" t="s">
        <v>10631</v>
      </c>
      <c r="N1103" s="1" t="s">
        <v>10632</v>
      </c>
      <c r="O1103" s="1" t="s">
        <v>10633</v>
      </c>
      <c r="P1103" s="1" t="s">
        <v>10634</v>
      </c>
      <c r="Q1103" s="1" t="s">
        <v>2569</v>
      </c>
      <c r="R1103" s="1" t="s">
        <v>10358</v>
      </c>
      <c r="S1103" s="1" t="s">
        <v>10359</v>
      </c>
      <c r="T1103" s="1" t="s">
        <v>10360</v>
      </c>
      <c r="U1103">
        <v>580.85</v>
      </c>
      <c r="V1103">
        <v>485.1</v>
      </c>
      <c r="W1103">
        <v>12.699388000000001</v>
      </c>
      <c r="X1103">
        <v>108.167626</v>
      </c>
      <c r="Y1103">
        <v>95.74</v>
      </c>
      <c r="Z1103">
        <v>12.703134</v>
      </c>
      <c r="AA1103">
        <v>108.15682200000001</v>
      </c>
      <c r="AB1103" s="5">
        <f t="shared" si="103"/>
        <v>0.72765000000000013</v>
      </c>
      <c r="AC1103" s="5">
        <f t="shared" si="104"/>
        <v>0.14360999999999999</v>
      </c>
      <c r="AD1103" s="1" t="str">
        <f t="shared" si="105"/>
        <v>KRông Bông</v>
      </c>
      <c r="AE1103" s="1" t="str">
        <f t="shared" si="106"/>
        <v>TT1 Đăk Lăk</v>
      </c>
      <c r="AG1103">
        <f t="shared" si="107"/>
        <v>0.48510000000000003</v>
      </c>
      <c r="AH1103">
        <f t="shared" si="108"/>
        <v>9.5739999999999992E-2</v>
      </c>
      <c r="AI1103">
        <f>VLOOKUP(L1103,'[1]Tuyến cáp H04'!$B:$E,3,0)/1000</f>
        <v>58.271999999999998</v>
      </c>
      <c r="AJ1103" t="str">
        <f>VLOOKUP(L1103,'[1]Tuyến cáp H04'!$B:$E,4,0)</f>
        <v>Mạng cấp 3</v>
      </c>
    </row>
    <row r="1104" spans="1:36" x14ac:dyDescent="0.25">
      <c r="A1104" s="1" t="s">
        <v>10635</v>
      </c>
      <c r="B1104" s="1" t="s">
        <v>10636</v>
      </c>
      <c r="C1104" s="1" t="s">
        <v>10637</v>
      </c>
      <c r="D1104" s="1" t="s">
        <v>10350</v>
      </c>
      <c r="E1104" s="1" t="s">
        <v>10351</v>
      </c>
      <c r="F1104" s="1" t="s">
        <v>10638</v>
      </c>
      <c r="G1104" s="1" t="s">
        <v>14281</v>
      </c>
      <c r="H1104" s="1" t="s">
        <v>14282</v>
      </c>
      <c r="I1104" s="1" t="s">
        <v>15213</v>
      </c>
      <c r="J1104" s="1" t="s">
        <v>23</v>
      </c>
      <c r="K1104" s="1"/>
      <c r="L1104" s="1" t="s">
        <v>10365</v>
      </c>
      <c r="M1104" s="1" t="s">
        <v>10639</v>
      </c>
      <c r="N1104" s="1" t="s">
        <v>10640</v>
      </c>
      <c r="O1104" s="1" t="s">
        <v>10641</v>
      </c>
      <c r="P1104" s="1" t="s">
        <v>10642</v>
      </c>
      <c r="Q1104" s="1" t="s">
        <v>10367</v>
      </c>
      <c r="R1104" s="1" t="s">
        <v>10368</v>
      </c>
      <c r="S1104" s="1" t="s">
        <v>10369</v>
      </c>
      <c r="T1104" s="1" t="s">
        <v>10373</v>
      </c>
      <c r="U1104">
        <v>264.11</v>
      </c>
      <c r="V1104">
        <v>167.66</v>
      </c>
      <c r="W1104">
        <v>12.701105999999999</v>
      </c>
      <c r="X1104">
        <v>108.181884</v>
      </c>
      <c r="Y1104">
        <v>96.45</v>
      </c>
      <c r="Z1104">
        <v>12.70313</v>
      </c>
      <c r="AA1104">
        <v>108.156829</v>
      </c>
      <c r="AB1104" s="5">
        <f t="shared" si="103"/>
        <v>0.25148999999999999</v>
      </c>
      <c r="AC1104" s="5">
        <f t="shared" si="104"/>
        <v>0.144675</v>
      </c>
      <c r="AD1104" s="1" t="e">
        <f t="shared" si="105"/>
        <v>#VALUE!</v>
      </c>
      <c r="AE1104" s="1" t="e">
        <f t="shared" si="106"/>
        <v>#VALUE!</v>
      </c>
      <c r="AG1104">
        <f t="shared" si="107"/>
        <v>0.16766</v>
      </c>
      <c r="AH1104">
        <f t="shared" si="108"/>
        <v>9.6450000000000008E-2</v>
      </c>
      <c r="AI1104" t="e">
        <f>VLOOKUP(L1104,'[1]Tuyến cáp H04'!$B:$E,3,0)/1000</f>
        <v>#N/A</v>
      </c>
      <c r="AJ1104" t="e">
        <f>VLOOKUP(L1104,'[1]Tuyến cáp H04'!$B:$E,4,0)</f>
        <v>#N/A</v>
      </c>
    </row>
    <row r="1105" spans="1:36" x14ac:dyDescent="0.25">
      <c r="A1105" s="1" t="s">
        <v>10643</v>
      </c>
      <c r="B1105" s="1" t="s">
        <v>10644</v>
      </c>
      <c r="C1105" s="1" t="s">
        <v>10645</v>
      </c>
      <c r="D1105" s="1" t="s">
        <v>8442</v>
      </c>
      <c r="E1105" s="1" t="s">
        <v>8443</v>
      </c>
      <c r="F1105" s="1" t="s">
        <v>10646</v>
      </c>
      <c r="G1105" s="1" t="s">
        <v>14281</v>
      </c>
      <c r="H1105" s="1" t="s">
        <v>14282</v>
      </c>
      <c r="I1105" s="1" t="s">
        <v>15214</v>
      </c>
      <c r="J1105" s="1" t="s">
        <v>23</v>
      </c>
      <c r="K1105" s="1"/>
      <c r="L1105" s="1" t="s">
        <v>8445</v>
      </c>
      <c r="M1105" s="1" t="s">
        <v>10647</v>
      </c>
      <c r="N1105" s="1" t="s">
        <v>10648</v>
      </c>
      <c r="O1105" s="1" t="s">
        <v>10649</v>
      </c>
      <c r="P1105" s="1" t="s">
        <v>10650</v>
      </c>
      <c r="Q1105" s="1" t="s">
        <v>8450</v>
      </c>
      <c r="R1105" s="1" t="s">
        <v>8451</v>
      </c>
      <c r="S1105" s="1" t="s">
        <v>8452</v>
      </c>
      <c r="T1105" s="1" t="s">
        <v>8453</v>
      </c>
      <c r="U1105">
        <v>733.33</v>
      </c>
      <c r="V1105">
        <v>176.01</v>
      </c>
      <c r="W1105">
        <v>12.553972</v>
      </c>
      <c r="X1105">
        <v>108.203045</v>
      </c>
      <c r="Y1105">
        <v>557.32000000000005</v>
      </c>
      <c r="Z1105">
        <v>12.561992</v>
      </c>
      <c r="AA1105">
        <v>108.168603</v>
      </c>
      <c r="AB1105" s="5">
        <f t="shared" si="103"/>
        <v>0.264015</v>
      </c>
      <c r="AC1105" s="5">
        <f t="shared" si="104"/>
        <v>0.83598000000000006</v>
      </c>
      <c r="AD1105" s="1" t="str">
        <f t="shared" si="105"/>
        <v>TTCMKV Cư Kuin</v>
      </c>
      <c r="AE1105" s="1" t="str">
        <f t="shared" si="106"/>
        <v>Dang Kang</v>
      </c>
      <c r="AG1105">
        <f t="shared" si="107"/>
        <v>0.17601</v>
      </c>
      <c r="AH1105">
        <f t="shared" si="108"/>
        <v>0.55732000000000004</v>
      </c>
      <c r="AI1105">
        <f>VLOOKUP(L1105,'[1]Tuyến cáp H04'!$B:$E,3,0)/1000</f>
        <v>24.331</v>
      </c>
      <c r="AJ1105" t="str">
        <f>VLOOKUP(L1105,'[1]Tuyến cáp H04'!$B:$E,4,0)</f>
        <v>Mạng cấp 4</v>
      </c>
    </row>
    <row r="1106" spans="1:36" x14ac:dyDescent="0.25">
      <c r="A1106" s="1" t="s">
        <v>10651</v>
      </c>
      <c r="B1106" s="1" t="s">
        <v>10652</v>
      </c>
      <c r="C1106" s="1" t="s">
        <v>10653</v>
      </c>
      <c r="D1106" s="1" t="s">
        <v>10654</v>
      </c>
      <c r="E1106" s="1" t="s">
        <v>10655</v>
      </c>
      <c r="F1106" s="1" t="s">
        <v>10656</v>
      </c>
      <c r="G1106" s="1" t="s">
        <v>14281</v>
      </c>
      <c r="H1106" s="1" t="s">
        <v>14282</v>
      </c>
      <c r="I1106" s="1" t="s">
        <v>15215</v>
      </c>
      <c r="J1106" s="1" t="s">
        <v>23</v>
      </c>
      <c r="K1106" s="1"/>
      <c r="L1106" s="1" t="s">
        <v>10353</v>
      </c>
      <c r="M1106" s="1" t="s">
        <v>10657</v>
      </c>
      <c r="N1106" s="1" t="s">
        <v>10658</v>
      </c>
      <c r="O1106" s="1" t="s">
        <v>10659</v>
      </c>
      <c r="P1106" s="1" t="s">
        <v>10660</v>
      </c>
      <c r="Q1106" s="1" t="s">
        <v>10661</v>
      </c>
      <c r="R1106" s="1" t="s">
        <v>10662</v>
      </c>
      <c r="S1106" s="1" t="s">
        <v>10663</v>
      </c>
      <c r="T1106" s="1" t="s">
        <v>10664</v>
      </c>
      <c r="U1106">
        <v>208.69</v>
      </c>
      <c r="V1106">
        <v>77.94</v>
      </c>
      <c r="W1106">
        <v>12.572417</v>
      </c>
      <c r="X1106">
        <v>108.33487100000001</v>
      </c>
      <c r="Y1106">
        <v>130.75</v>
      </c>
      <c r="Z1106">
        <v>12.590354</v>
      </c>
      <c r="AA1106">
        <v>108.327568</v>
      </c>
      <c r="AB1106" s="5">
        <f t="shared" si="103"/>
        <v>0.11691</v>
      </c>
      <c r="AC1106" s="5">
        <f t="shared" si="104"/>
        <v>0.19612499999999999</v>
      </c>
      <c r="AD1106" s="1" t="str">
        <f t="shared" si="105"/>
        <v>KRông Bông</v>
      </c>
      <c r="AE1106" s="1" t="str">
        <f t="shared" si="106"/>
        <v>TT1 Đăk Lăk</v>
      </c>
      <c r="AG1106">
        <f t="shared" si="107"/>
        <v>7.7939999999999995E-2</v>
      </c>
      <c r="AH1106">
        <f t="shared" si="108"/>
        <v>0.13075000000000001</v>
      </c>
      <c r="AI1106">
        <f>VLOOKUP(L1106,'[1]Tuyến cáp H04'!$B:$E,3,0)/1000</f>
        <v>58.271999999999998</v>
      </c>
      <c r="AJ1106" t="str">
        <f>VLOOKUP(L1106,'[1]Tuyến cáp H04'!$B:$E,4,0)</f>
        <v>Mạng cấp 3</v>
      </c>
    </row>
    <row r="1107" spans="1:36" x14ac:dyDescent="0.25">
      <c r="A1107" s="1" t="s">
        <v>10665</v>
      </c>
      <c r="B1107" s="1" t="s">
        <v>10666</v>
      </c>
      <c r="C1107" s="1" t="s">
        <v>10667</v>
      </c>
      <c r="D1107" s="1" t="s">
        <v>10652</v>
      </c>
      <c r="E1107" s="1" t="s">
        <v>10653</v>
      </c>
      <c r="F1107" s="1" t="s">
        <v>10668</v>
      </c>
      <c r="G1107" s="1" t="s">
        <v>14281</v>
      </c>
      <c r="H1107" s="1" t="s">
        <v>14282</v>
      </c>
      <c r="I1107" s="1" t="s">
        <v>15216</v>
      </c>
      <c r="J1107" s="1" t="s">
        <v>23</v>
      </c>
      <c r="K1107" s="1"/>
      <c r="L1107" s="1" t="s">
        <v>10353</v>
      </c>
      <c r="M1107" s="1" t="s">
        <v>10669</v>
      </c>
      <c r="N1107" s="1" t="s">
        <v>10670</v>
      </c>
      <c r="O1107" s="1" t="s">
        <v>10671</v>
      </c>
      <c r="P1107" s="1" t="s">
        <v>10672</v>
      </c>
      <c r="Q1107" s="1" t="s">
        <v>10658</v>
      </c>
      <c r="R1107" s="1" t="s">
        <v>10659</v>
      </c>
      <c r="S1107" s="1" t="s">
        <v>10660</v>
      </c>
      <c r="T1107" s="1" t="s">
        <v>10664</v>
      </c>
      <c r="U1107">
        <v>1111.03</v>
      </c>
      <c r="V1107">
        <v>1033.0899999999999</v>
      </c>
      <c r="W1107">
        <v>12.554665999999999</v>
      </c>
      <c r="X1107">
        <v>108.32606800000001</v>
      </c>
      <c r="Y1107">
        <v>77.94</v>
      </c>
      <c r="Z1107">
        <v>12.572417</v>
      </c>
      <c r="AA1107">
        <v>108.33487100000001</v>
      </c>
      <c r="AB1107" s="5">
        <f t="shared" si="103"/>
        <v>1.5496349999999999</v>
      </c>
      <c r="AC1107" s="5">
        <f t="shared" si="104"/>
        <v>0.11691</v>
      </c>
      <c r="AD1107" s="1" t="str">
        <f t="shared" si="105"/>
        <v>KRông Bông</v>
      </c>
      <c r="AE1107" s="1" t="str">
        <f t="shared" si="106"/>
        <v>TT1 Đăk Lăk</v>
      </c>
      <c r="AG1107">
        <f t="shared" si="107"/>
        <v>1.0330899999999998</v>
      </c>
      <c r="AH1107">
        <f t="shared" si="108"/>
        <v>7.7939999999999995E-2</v>
      </c>
      <c r="AI1107">
        <f>VLOOKUP(L1107,'[1]Tuyến cáp H04'!$B:$E,3,0)/1000</f>
        <v>58.271999999999998</v>
      </c>
      <c r="AJ1107" t="str">
        <f>VLOOKUP(L1107,'[1]Tuyến cáp H04'!$B:$E,4,0)</f>
        <v>Mạng cấp 3</v>
      </c>
    </row>
    <row r="1108" spans="1:36" x14ac:dyDescent="0.25">
      <c r="A1108" s="1" t="s">
        <v>10673</v>
      </c>
      <c r="B1108" s="1" t="s">
        <v>10674</v>
      </c>
      <c r="C1108" s="1" t="s">
        <v>10675</v>
      </c>
      <c r="D1108" s="1" t="s">
        <v>8377</v>
      </c>
      <c r="E1108" s="1" t="s">
        <v>8378</v>
      </c>
      <c r="F1108" s="1" t="s">
        <v>10676</v>
      </c>
      <c r="G1108" s="1" t="s">
        <v>14281</v>
      </c>
      <c r="H1108" s="1" t="s">
        <v>14282</v>
      </c>
      <c r="I1108" s="1" t="s">
        <v>15217</v>
      </c>
      <c r="J1108" s="1" t="s">
        <v>23</v>
      </c>
      <c r="K1108" s="1"/>
      <c r="L1108" s="1" t="s">
        <v>8350</v>
      </c>
      <c r="M1108" s="1" t="s">
        <v>10677</v>
      </c>
      <c r="N1108" s="1" t="s">
        <v>10678</v>
      </c>
      <c r="O1108" s="1" t="s">
        <v>10679</v>
      </c>
      <c r="P1108" s="1" t="s">
        <v>10680</v>
      </c>
      <c r="Q1108" s="1" t="s">
        <v>8382</v>
      </c>
      <c r="R1108" s="1" t="s">
        <v>8356</v>
      </c>
      <c r="S1108" s="1" t="s">
        <v>8357</v>
      </c>
      <c r="T1108" s="1" t="s">
        <v>8358</v>
      </c>
      <c r="U1108">
        <v>95655.21</v>
      </c>
      <c r="V1108">
        <v>1149.3900000000001</v>
      </c>
      <c r="W1108">
        <v>12.697469</v>
      </c>
      <c r="X1108">
        <v>108.071369</v>
      </c>
      <c r="Y1108">
        <v>94505.82</v>
      </c>
      <c r="Z1108">
        <v>12.811565999999999</v>
      </c>
      <c r="AA1108">
        <v>108.483311</v>
      </c>
      <c r="AB1108" s="5">
        <f t="shared" si="103"/>
        <v>1.7240850000000001</v>
      </c>
      <c r="AC1108" s="5">
        <f t="shared" si="104"/>
        <v>141.75873000000001</v>
      </c>
      <c r="AD1108" s="1" t="str">
        <f t="shared" si="105"/>
        <v>TT1 Đăk Lăk</v>
      </c>
      <c r="AE1108" s="1" t="str">
        <f t="shared" si="106"/>
        <v>ILA Ea Kar</v>
      </c>
      <c r="AG1108">
        <f t="shared" si="107"/>
        <v>1.1493900000000001</v>
      </c>
      <c r="AH1108">
        <f t="shared" si="108"/>
        <v>94.50582</v>
      </c>
      <c r="AI1108" t="e">
        <f>VLOOKUP(L1108,'[1]Tuyến cáp H04'!$B:$E,3,0)/1000</f>
        <v>#N/A</v>
      </c>
      <c r="AJ1108" t="e">
        <f>VLOOKUP(L1108,'[1]Tuyến cáp H04'!$B:$E,4,0)</f>
        <v>#N/A</v>
      </c>
    </row>
    <row r="1109" spans="1:36" x14ac:dyDescent="0.25">
      <c r="A1109" s="1" t="s">
        <v>10681</v>
      </c>
      <c r="B1109" s="1" t="s">
        <v>10682</v>
      </c>
      <c r="C1109" s="1" t="s">
        <v>10683</v>
      </c>
      <c r="D1109" s="1" t="s">
        <v>8362</v>
      </c>
      <c r="E1109" s="1" t="s">
        <v>8363</v>
      </c>
      <c r="F1109" s="1" t="s">
        <v>10684</v>
      </c>
      <c r="G1109" s="1" t="s">
        <v>14281</v>
      </c>
      <c r="H1109" s="1" t="s">
        <v>14282</v>
      </c>
      <c r="I1109" s="1" t="s">
        <v>15218</v>
      </c>
      <c r="J1109" s="1" t="s">
        <v>23</v>
      </c>
      <c r="K1109" s="1"/>
      <c r="L1109" s="1" t="s">
        <v>8365</v>
      </c>
      <c r="M1109" s="1" t="s">
        <v>10685</v>
      </c>
      <c r="N1109" s="1" t="s">
        <v>10686</v>
      </c>
      <c r="O1109" s="1" t="s">
        <v>10687</v>
      </c>
      <c r="P1109" s="1" t="s">
        <v>10688</v>
      </c>
      <c r="Q1109" s="1" t="s">
        <v>9081</v>
      </c>
      <c r="R1109" s="1" t="s">
        <v>9082</v>
      </c>
      <c r="S1109" s="1" t="s">
        <v>9083</v>
      </c>
      <c r="T1109" s="1" t="s">
        <v>9084</v>
      </c>
      <c r="U1109">
        <v>1637.45</v>
      </c>
      <c r="V1109">
        <v>1225.47</v>
      </c>
      <c r="W1109">
        <v>12.682732</v>
      </c>
      <c r="X1109">
        <v>108.006702</v>
      </c>
      <c r="Y1109">
        <v>411.98</v>
      </c>
      <c r="Z1109">
        <v>12.682619000000001</v>
      </c>
      <c r="AA1109">
        <v>108.012011</v>
      </c>
      <c r="AB1109" s="5">
        <f t="shared" si="103"/>
        <v>1.8382049999999999</v>
      </c>
      <c r="AC1109" s="5">
        <f t="shared" si="104"/>
        <v>0.61797000000000002</v>
      </c>
      <c r="AD1109" s="1" t="str">
        <f t="shared" si="105"/>
        <v>Thành Nhất</v>
      </c>
      <c r="AE1109" s="1" t="str">
        <f t="shared" si="106"/>
        <v>Ea Nuôl</v>
      </c>
      <c r="AG1109">
        <f t="shared" si="107"/>
        <v>1.2254700000000001</v>
      </c>
      <c r="AH1109">
        <f t="shared" si="108"/>
        <v>0.41198000000000001</v>
      </c>
      <c r="AI1109">
        <f>VLOOKUP(L1109,'[1]Tuyến cáp H04'!$B:$E,3,0)/1000</f>
        <v>7.931</v>
      </c>
      <c r="AJ1109" t="str">
        <f>VLOOKUP(L1109,'[1]Tuyến cáp H04'!$B:$E,4,0)</f>
        <v>Mạng cấp 4</v>
      </c>
    </row>
    <row r="1110" spans="1:36" x14ac:dyDescent="0.25">
      <c r="A1110" s="1" t="s">
        <v>10689</v>
      </c>
      <c r="B1110" s="1" t="s">
        <v>10690</v>
      </c>
      <c r="C1110" s="1" t="s">
        <v>10691</v>
      </c>
      <c r="D1110" s="1" t="s">
        <v>8305</v>
      </c>
      <c r="E1110" s="1" t="s">
        <v>8306</v>
      </c>
      <c r="F1110" s="1" t="s">
        <v>10692</v>
      </c>
      <c r="G1110" s="1" t="s">
        <v>14281</v>
      </c>
      <c r="H1110" s="1" t="s">
        <v>14282</v>
      </c>
      <c r="I1110" s="1" t="s">
        <v>15219</v>
      </c>
      <c r="J1110" s="1" t="s">
        <v>23</v>
      </c>
      <c r="K1110" s="1"/>
      <c r="L1110" s="1" t="s">
        <v>8308</v>
      </c>
      <c r="M1110" s="1" t="s">
        <v>10693</v>
      </c>
      <c r="N1110" s="1" t="s">
        <v>10694</v>
      </c>
      <c r="O1110" s="1" t="s">
        <v>10695</v>
      </c>
      <c r="P1110" s="1" t="s">
        <v>10696</v>
      </c>
      <c r="Q1110" s="1" t="s">
        <v>8313</v>
      </c>
      <c r="R1110" s="1" t="s">
        <v>8314</v>
      </c>
      <c r="S1110" s="1" t="s">
        <v>8315</v>
      </c>
      <c r="T1110" s="1" t="s">
        <v>8316</v>
      </c>
      <c r="U1110">
        <v>1584.32</v>
      </c>
      <c r="V1110">
        <v>1533.33</v>
      </c>
      <c r="W1110">
        <v>13.267206</v>
      </c>
      <c r="X1110">
        <v>108.29180599999999</v>
      </c>
      <c r="Y1110">
        <v>51</v>
      </c>
      <c r="Z1110">
        <v>13.266173</v>
      </c>
      <c r="AA1110">
        <v>108.28749500000001</v>
      </c>
      <c r="AB1110" s="5">
        <f t="shared" si="103"/>
        <v>2.299995</v>
      </c>
      <c r="AC1110" s="5">
        <f t="shared" si="104"/>
        <v>7.6499999999999999E-2</v>
      </c>
      <c r="AD1110" s="1" t="e">
        <f t="shared" si="105"/>
        <v>#VALUE!</v>
      </c>
      <c r="AE1110" s="1" t="e">
        <f t="shared" si="106"/>
        <v>#VALUE!</v>
      </c>
      <c r="AG1110">
        <f t="shared" si="107"/>
        <v>1.5333299999999999</v>
      </c>
      <c r="AH1110">
        <f t="shared" si="108"/>
        <v>5.0999999999999997E-2</v>
      </c>
      <c r="AI1110" t="e">
        <f>VLOOKUP(L1110,'[1]Tuyến cáp H04'!$B:$E,3,0)/1000</f>
        <v>#N/A</v>
      </c>
      <c r="AJ1110" t="e">
        <f>VLOOKUP(L1110,'[1]Tuyến cáp H04'!$B:$E,4,0)</f>
        <v>#N/A</v>
      </c>
    </row>
    <row r="1111" spans="1:36" x14ac:dyDescent="0.25">
      <c r="A1111" s="1" t="s">
        <v>10697</v>
      </c>
      <c r="B1111" s="1" t="s">
        <v>10698</v>
      </c>
      <c r="C1111" s="1" t="s">
        <v>10699</v>
      </c>
      <c r="D1111" s="1" t="s">
        <v>8305</v>
      </c>
      <c r="E1111" s="1" t="s">
        <v>8306</v>
      </c>
      <c r="F1111" s="1" t="s">
        <v>10700</v>
      </c>
      <c r="G1111" s="1" t="s">
        <v>14281</v>
      </c>
      <c r="H1111" s="1" t="s">
        <v>14282</v>
      </c>
      <c r="I1111" s="1" t="s">
        <v>15220</v>
      </c>
      <c r="J1111" s="1" t="s">
        <v>23</v>
      </c>
      <c r="K1111" s="1"/>
      <c r="L1111" s="1" t="s">
        <v>8308</v>
      </c>
      <c r="M1111" s="1" t="s">
        <v>10701</v>
      </c>
      <c r="N1111" s="1" t="s">
        <v>10702</v>
      </c>
      <c r="O1111" s="1" t="s">
        <v>10703</v>
      </c>
      <c r="P1111" s="1" t="s">
        <v>10704</v>
      </c>
      <c r="Q1111" s="1" t="s">
        <v>8313</v>
      </c>
      <c r="R1111" s="1" t="s">
        <v>8314</v>
      </c>
      <c r="S1111" s="1" t="s">
        <v>8315</v>
      </c>
      <c r="T1111" s="1" t="s">
        <v>8316</v>
      </c>
      <c r="U1111">
        <v>967.46</v>
      </c>
      <c r="V1111">
        <v>916.47</v>
      </c>
      <c r="W1111">
        <v>13.259207999999999</v>
      </c>
      <c r="X1111">
        <v>108.29445800000001</v>
      </c>
      <c r="Y1111">
        <v>51</v>
      </c>
      <c r="Z1111">
        <v>13.266173</v>
      </c>
      <c r="AA1111">
        <v>108.28749500000001</v>
      </c>
      <c r="AB1111" s="5">
        <f t="shared" si="103"/>
        <v>1.3747049999999998</v>
      </c>
      <c r="AC1111" s="5">
        <f t="shared" si="104"/>
        <v>7.6499999999999999E-2</v>
      </c>
      <c r="AD1111" s="1" t="e">
        <f t="shared" si="105"/>
        <v>#VALUE!</v>
      </c>
      <c r="AE1111" s="1" t="e">
        <f t="shared" si="106"/>
        <v>#VALUE!</v>
      </c>
      <c r="AG1111">
        <f t="shared" si="107"/>
        <v>0.91647000000000001</v>
      </c>
      <c r="AH1111">
        <f t="shared" si="108"/>
        <v>5.0999999999999997E-2</v>
      </c>
      <c r="AI1111" t="e">
        <f>VLOOKUP(L1111,'[1]Tuyến cáp H04'!$B:$E,3,0)/1000</f>
        <v>#N/A</v>
      </c>
      <c r="AJ1111" t="e">
        <f>VLOOKUP(L1111,'[1]Tuyến cáp H04'!$B:$E,4,0)</f>
        <v>#N/A</v>
      </c>
    </row>
    <row r="1112" spans="1:36" x14ac:dyDescent="0.25">
      <c r="A1112" s="1" t="s">
        <v>10705</v>
      </c>
      <c r="B1112" s="1" t="s">
        <v>10706</v>
      </c>
      <c r="C1112" s="1" t="s">
        <v>10707</v>
      </c>
      <c r="D1112" s="1" t="s">
        <v>9027</v>
      </c>
      <c r="E1112" s="1" t="s">
        <v>9028</v>
      </c>
      <c r="F1112" s="1" t="s">
        <v>10708</v>
      </c>
      <c r="G1112" s="1" t="s">
        <v>14281</v>
      </c>
      <c r="H1112" s="1" t="s">
        <v>14282</v>
      </c>
      <c r="I1112" s="1" t="s">
        <v>15221</v>
      </c>
      <c r="J1112" s="1" t="s">
        <v>23</v>
      </c>
      <c r="K1112" s="1"/>
      <c r="L1112" s="1" t="s">
        <v>9030</v>
      </c>
      <c r="M1112" s="1" t="s">
        <v>10709</v>
      </c>
      <c r="N1112" s="1" t="s">
        <v>10710</v>
      </c>
      <c r="O1112" s="1" t="s">
        <v>9036</v>
      </c>
      <c r="P1112" s="1" t="s">
        <v>9037</v>
      </c>
      <c r="Q1112" s="1" t="s">
        <v>9035</v>
      </c>
      <c r="R1112" s="1" t="s">
        <v>9036</v>
      </c>
      <c r="S1112" s="1" t="s">
        <v>9037</v>
      </c>
      <c r="T1112" s="1" t="s">
        <v>9038</v>
      </c>
      <c r="U1112">
        <v>192.74</v>
      </c>
      <c r="V1112">
        <v>189.33</v>
      </c>
      <c r="W1112">
        <v>12.673265000000001</v>
      </c>
      <c r="X1112">
        <v>108.03362799999999</v>
      </c>
      <c r="Y1112">
        <v>3.41</v>
      </c>
      <c r="Z1112">
        <v>12.673265000000001</v>
      </c>
      <c r="AA1112">
        <v>108.03362799999999</v>
      </c>
      <c r="AB1112" s="5">
        <f t="shared" si="103"/>
        <v>0.283995</v>
      </c>
      <c r="AC1112" s="5">
        <f t="shared" si="104"/>
        <v>5.1150000000000006E-3</v>
      </c>
      <c r="AD1112" s="1" t="str">
        <f t="shared" si="105"/>
        <v>Trung tâm huấn luyện PX01</v>
      </c>
      <c r="AE1112" s="1" t="str">
        <f t="shared" si="106"/>
        <v>TT1 Đăk Lăk</v>
      </c>
      <c r="AG1112">
        <f t="shared" si="107"/>
        <v>0.18933000000000003</v>
      </c>
      <c r="AH1112">
        <f t="shared" si="108"/>
        <v>3.4100000000000003E-3</v>
      </c>
      <c r="AI1112">
        <f>VLOOKUP(L1112,'[1]Tuyến cáp H04'!$B:$E,3,0)/1000</f>
        <v>3.3519999999999999</v>
      </c>
      <c r="AJ1112" t="str">
        <f>VLOOKUP(L1112,'[1]Tuyến cáp H04'!$B:$E,4,0)</f>
        <v>Mạng cấp 3</v>
      </c>
    </row>
    <row r="1113" spans="1:36" x14ac:dyDescent="0.25">
      <c r="A1113" s="1" t="s">
        <v>10711</v>
      </c>
      <c r="B1113" s="1" t="s">
        <v>10712</v>
      </c>
      <c r="C1113" s="1" t="s">
        <v>10713</v>
      </c>
      <c r="D1113" s="1" t="s">
        <v>9053</v>
      </c>
      <c r="E1113" s="1" t="s">
        <v>9054</v>
      </c>
      <c r="F1113" s="1" t="s">
        <v>10714</v>
      </c>
      <c r="G1113" s="1" t="s">
        <v>14281</v>
      </c>
      <c r="H1113" s="1" t="s">
        <v>14282</v>
      </c>
      <c r="I1113" s="1" t="s">
        <v>15222</v>
      </c>
      <c r="J1113" s="1" t="s">
        <v>23</v>
      </c>
      <c r="K1113" s="1"/>
      <c r="L1113" s="1" t="s">
        <v>9056</v>
      </c>
      <c r="M1113" s="1" t="s">
        <v>10715</v>
      </c>
      <c r="N1113" s="1" t="s">
        <v>10716</v>
      </c>
      <c r="O1113" s="1" t="s">
        <v>9059</v>
      </c>
      <c r="P1113" s="1" t="s">
        <v>9060</v>
      </c>
      <c r="Q1113" s="1" t="s">
        <v>9061</v>
      </c>
      <c r="R1113" s="1" t="s">
        <v>9062</v>
      </c>
      <c r="S1113" s="1" t="s">
        <v>9063</v>
      </c>
      <c r="T1113" s="1" t="s">
        <v>9064</v>
      </c>
      <c r="U1113">
        <v>162.19999999999999</v>
      </c>
      <c r="V1113">
        <v>72.25</v>
      </c>
      <c r="W1113">
        <v>12.662886</v>
      </c>
      <c r="X1113">
        <v>108.03439</v>
      </c>
      <c r="Y1113">
        <v>89.95</v>
      </c>
      <c r="Z1113">
        <v>12.660361</v>
      </c>
      <c r="AA1113">
        <v>108.031069</v>
      </c>
      <c r="AB1113" s="5">
        <f t="shared" si="103"/>
        <v>0.108375</v>
      </c>
      <c r="AC1113" s="5">
        <f t="shared" si="104"/>
        <v>0.13492500000000002</v>
      </c>
      <c r="AD1113" s="1" t="str">
        <f t="shared" si="105"/>
        <v>CAT Đắk Lắk</v>
      </c>
      <c r="AE1113" s="1" t="str">
        <f t="shared" si="106"/>
        <v>Ea Kao</v>
      </c>
      <c r="AG1113">
        <f t="shared" si="107"/>
        <v>7.2249999999999995E-2</v>
      </c>
      <c r="AH1113">
        <f t="shared" si="108"/>
        <v>8.9950000000000002E-2</v>
      </c>
      <c r="AI1113">
        <f>VLOOKUP(L1113,'[1]Tuyến cáp H04'!$B:$E,3,0)/1000</f>
        <v>4.133</v>
      </c>
      <c r="AJ1113" t="str">
        <f>VLOOKUP(L1113,'[1]Tuyến cáp H04'!$B:$E,4,0)</f>
        <v>Mạng cấp 4</v>
      </c>
    </row>
    <row r="1114" spans="1:36" x14ac:dyDescent="0.25">
      <c r="A1114" s="1" t="s">
        <v>10717</v>
      </c>
      <c r="B1114" s="1" t="s">
        <v>10718</v>
      </c>
      <c r="C1114" s="1" t="s">
        <v>10719</v>
      </c>
      <c r="D1114" s="1" t="s">
        <v>8554</v>
      </c>
      <c r="E1114" s="1" t="s">
        <v>8555</v>
      </c>
      <c r="F1114" s="1" t="s">
        <v>10720</v>
      </c>
      <c r="G1114" s="1" t="s">
        <v>14281</v>
      </c>
      <c r="H1114" s="1" t="s">
        <v>14282</v>
      </c>
      <c r="I1114" s="1" t="s">
        <v>15223</v>
      </c>
      <c r="J1114" s="1" t="s">
        <v>23</v>
      </c>
      <c r="K1114" s="1"/>
      <c r="L1114" s="1" t="s">
        <v>10721</v>
      </c>
      <c r="M1114" s="1" t="s">
        <v>10722</v>
      </c>
      <c r="N1114" s="1" t="s">
        <v>10723</v>
      </c>
      <c r="O1114" s="1" t="s">
        <v>10724</v>
      </c>
      <c r="P1114" s="1" t="s">
        <v>10725</v>
      </c>
      <c r="Q1114" s="1" t="s">
        <v>10726</v>
      </c>
      <c r="R1114" s="1" t="s">
        <v>10727</v>
      </c>
      <c r="S1114" s="1" t="s">
        <v>10728</v>
      </c>
      <c r="T1114" s="1" t="s">
        <v>10729</v>
      </c>
      <c r="U1114">
        <v>371.48</v>
      </c>
      <c r="V1114">
        <v>77.88</v>
      </c>
      <c r="W1114">
        <v>12.687635999999999</v>
      </c>
      <c r="X1114">
        <v>108.05217</v>
      </c>
      <c r="Y1114">
        <v>293.60000000000002</v>
      </c>
      <c r="Z1114">
        <v>12.686939000000001</v>
      </c>
      <c r="AA1114">
        <v>108.052724</v>
      </c>
      <c r="AB1114" s="5">
        <f t="shared" si="103"/>
        <v>0.11681999999999999</v>
      </c>
      <c r="AC1114" s="5">
        <f t="shared" si="104"/>
        <v>0.44040000000000001</v>
      </c>
      <c r="AD1114" s="1" t="str">
        <f t="shared" si="105"/>
        <v>TT1 Đăk Lăk</v>
      </c>
      <c r="AE1114" s="1" t="str">
        <f t="shared" si="106"/>
        <v>PA07</v>
      </c>
      <c r="AG1114">
        <f t="shared" si="107"/>
        <v>7.7879999999999991E-2</v>
      </c>
      <c r="AH1114">
        <f t="shared" si="108"/>
        <v>0.29360000000000003</v>
      </c>
      <c r="AI1114">
        <f>VLOOKUP(L1114,'[1]Tuyến cáp H04'!$B:$E,3,0)/1000</f>
        <v>1.147</v>
      </c>
      <c r="AJ1114" t="str">
        <f>VLOOKUP(L1114,'[1]Tuyến cáp H04'!$B:$E,4,0)</f>
        <v>Mạng cấp 3</v>
      </c>
    </row>
    <row r="1115" spans="1:36" x14ac:dyDescent="0.25">
      <c r="A1115" s="1" t="s">
        <v>10730</v>
      </c>
      <c r="B1115" s="1" t="s">
        <v>10731</v>
      </c>
      <c r="C1115" s="1" t="s">
        <v>10732</v>
      </c>
      <c r="D1115" s="1" t="s">
        <v>10331</v>
      </c>
      <c r="E1115" s="1" t="s">
        <v>10332</v>
      </c>
      <c r="F1115" s="1" t="s">
        <v>10733</v>
      </c>
      <c r="G1115" s="1" t="s">
        <v>14281</v>
      </c>
      <c r="H1115" s="1" t="s">
        <v>14282</v>
      </c>
      <c r="I1115" s="1" t="s">
        <v>15224</v>
      </c>
      <c r="J1115" s="1" t="s">
        <v>23</v>
      </c>
      <c r="K1115" s="1"/>
      <c r="L1115" s="1" t="s">
        <v>9043</v>
      </c>
      <c r="M1115" s="1" t="s">
        <v>10734</v>
      </c>
      <c r="N1115" s="1" t="s">
        <v>10735</v>
      </c>
      <c r="O1115" s="1" t="s">
        <v>10736</v>
      </c>
      <c r="P1115" s="1" t="s">
        <v>10737</v>
      </c>
      <c r="Q1115" s="1" t="s">
        <v>10346</v>
      </c>
      <c r="R1115" s="1" t="s">
        <v>10347</v>
      </c>
      <c r="S1115" s="1" t="s">
        <v>10348</v>
      </c>
      <c r="T1115" s="1" t="s">
        <v>9051</v>
      </c>
      <c r="U1115">
        <v>302.64999999999998</v>
      </c>
      <c r="V1115">
        <v>130.63</v>
      </c>
      <c r="W1115">
        <v>12.735424999999999</v>
      </c>
      <c r="X1115">
        <v>108.537651</v>
      </c>
      <c r="Y1115">
        <v>172.02</v>
      </c>
      <c r="Z1115">
        <v>12.726613</v>
      </c>
      <c r="AA1115">
        <v>108.55382</v>
      </c>
      <c r="AB1115" s="5">
        <f t="shared" si="103"/>
        <v>0.19594499999999998</v>
      </c>
      <c r="AC1115" s="5">
        <f t="shared" si="104"/>
        <v>0.25803000000000004</v>
      </c>
      <c r="AD1115" s="1" t="str">
        <f t="shared" si="105"/>
        <v>TT1 Đăk Lăk</v>
      </c>
      <c r="AE1115" s="1" t="str">
        <f t="shared" si="106"/>
        <v>ILA Ea Pal</v>
      </c>
      <c r="AG1115">
        <f t="shared" si="107"/>
        <v>0.13063</v>
      </c>
      <c r="AH1115">
        <f t="shared" si="108"/>
        <v>0.17202000000000001</v>
      </c>
      <c r="AI1115" t="e">
        <f>VLOOKUP(L1115,'[1]Tuyến cáp H04'!$B:$E,3,0)/1000</f>
        <v>#N/A</v>
      </c>
      <c r="AJ1115" t="e">
        <f>VLOOKUP(L1115,'[1]Tuyến cáp H04'!$B:$E,4,0)</f>
        <v>#N/A</v>
      </c>
    </row>
    <row r="1116" spans="1:36" x14ac:dyDescent="0.25">
      <c r="A1116" s="1" t="s">
        <v>10738</v>
      </c>
      <c r="B1116" s="1" t="s">
        <v>10739</v>
      </c>
      <c r="C1116" s="1" t="s">
        <v>10740</v>
      </c>
      <c r="D1116" s="1" t="s">
        <v>10331</v>
      </c>
      <c r="E1116" s="1" t="s">
        <v>10332</v>
      </c>
      <c r="F1116" s="1" t="s">
        <v>10741</v>
      </c>
      <c r="G1116" s="1" t="s">
        <v>14281</v>
      </c>
      <c r="H1116" s="1" t="s">
        <v>14282</v>
      </c>
      <c r="I1116" s="1" t="s">
        <v>15225</v>
      </c>
      <c r="J1116" s="1" t="s">
        <v>23</v>
      </c>
      <c r="K1116" s="1"/>
      <c r="L1116" s="1" t="s">
        <v>9043</v>
      </c>
      <c r="M1116" s="1" t="s">
        <v>10742</v>
      </c>
      <c r="N1116" s="1" t="s">
        <v>10743</v>
      </c>
      <c r="O1116" s="1" t="s">
        <v>10744</v>
      </c>
      <c r="P1116" s="1" t="s">
        <v>10745</v>
      </c>
      <c r="Q1116" s="1" t="s">
        <v>10346</v>
      </c>
      <c r="R1116" s="1" t="s">
        <v>10347</v>
      </c>
      <c r="S1116" s="1" t="s">
        <v>10348</v>
      </c>
      <c r="T1116" s="1" t="s">
        <v>9051</v>
      </c>
      <c r="U1116">
        <v>1558.06</v>
      </c>
      <c r="V1116">
        <v>1386.04</v>
      </c>
      <c r="W1116">
        <v>12.709548</v>
      </c>
      <c r="X1116">
        <v>108.529346</v>
      </c>
      <c r="Y1116">
        <v>172.02</v>
      </c>
      <c r="Z1116">
        <v>12.726613</v>
      </c>
      <c r="AA1116">
        <v>108.55382</v>
      </c>
      <c r="AB1116" s="5">
        <f t="shared" si="103"/>
        <v>2.0790600000000001</v>
      </c>
      <c r="AC1116" s="5">
        <f t="shared" si="104"/>
        <v>0.25803000000000004</v>
      </c>
      <c r="AD1116" s="1" t="str">
        <f t="shared" si="105"/>
        <v>TT1 Đăk Lăk</v>
      </c>
      <c r="AE1116" s="1" t="str">
        <f t="shared" si="106"/>
        <v>ILA Ea Pal</v>
      </c>
      <c r="AG1116">
        <f t="shared" si="107"/>
        <v>1.3860399999999999</v>
      </c>
      <c r="AH1116">
        <f t="shared" si="108"/>
        <v>0.17202000000000001</v>
      </c>
      <c r="AI1116" t="e">
        <f>VLOOKUP(L1116,'[1]Tuyến cáp H04'!$B:$E,3,0)/1000</f>
        <v>#N/A</v>
      </c>
      <c r="AJ1116" t="e">
        <f>VLOOKUP(L1116,'[1]Tuyến cáp H04'!$B:$E,4,0)</f>
        <v>#N/A</v>
      </c>
    </row>
    <row r="1117" spans="1:36" x14ac:dyDescent="0.25">
      <c r="A1117" s="1" t="s">
        <v>10746</v>
      </c>
      <c r="B1117" s="1" t="s">
        <v>10747</v>
      </c>
      <c r="C1117" s="1" t="s">
        <v>10748</v>
      </c>
      <c r="D1117" s="1" t="s">
        <v>10749</v>
      </c>
      <c r="E1117" s="1" t="s">
        <v>10750</v>
      </c>
      <c r="F1117" s="1" t="s">
        <v>10751</v>
      </c>
      <c r="G1117" s="1" t="s">
        <v>14281</v>
      </c>
      <c r="H1117" s="1" t="s">
        <v>14282</v>
      </c>
      <c r="I1117" s="1" t="s">
        <v>15226</v>
      </c>
      <c r="J1117" s="1" t="s">
        <v>23</v>
      </c>
      <c r="K1117" s="1"/>
      <c r="L1117" s="1" t="s">
        <v>10752</v>
      </c>
      <c r="M1117" s="1" t="s">
        <v>10753</v>
      </c>
      <c r="N1117" s="1" t="s">
        <v>10754</v>
      </c>
      <c r="O1117" s="1" t="s">
        <v>10755</v>
      </c>
      <c r="P1117" s="1" t="s">
        <v>10756</v>
      </c>
      <c r="Q1117" s="1" t="s">
        <v>10757</v>
      </c>
      <c r="R1117" s="1" t="s">
        <v>10758</v>
      </c>
      <c r="S1117" s="1" t="s">
        <v>10759</v>
      </c>
      <c r="T1117" s="1" t="s">
        <v>10760</v>
      </c>
      <c r="U1117">
        <v>250.35</v>
      </c>
      <c r="V1117">
        <v>99.57</v>
      </c>
      <c r="W1117">
        <v>12.504058000000001</v>
      </c>
      <c r="X1117">
        <v>108.230287</v>
      </c>
      <c r="Y1117">
        <v>150.79</v>
      </c>
      <c r="Z1117">
        <v>12.508934</v>
      </c>
      <c r="AA1117">
        <v>108.218582</v>
      </c>
      <c r="AB1117" s="5">
        <f t="shared" si="103"/>
        <v>0.14935499999999999</v>
      </c>
      <c r="AC1117" s="5">
        <f t="shared" si="104"/>
        <v>0.226185</v>
      </c>
      <c r="AD1117" s="1" t="str">
        <f t="shared" si="105"/>
        <v>TTCMKV Cư Kuin</v>
      </c>
      <c r="AE1117" s="1" t="str">
        <f t="shared" si="106"/>
        <v>Hòa Sơn</v>
      </c>
      <c r="AG1117">
        <f t="shared" si="107"/>
        <v>9.9569999999999992E-2</v>
      </c>
      <c r="AH1117">
        <f t="shared" si="108"/>
        <v>0.15078999999999998</v>
      </c>
      <c r="AI1117">
        <f>VLOOKUP(L1117,'[1]Tuyến cáp H04'!$B:$E,3,0)/1000</f>
        <v>11.904999999999999</v>
      </c>
      <c r="AJ1117" t="str">
        <f>VLOOKUP(L1117,'[1]Tuyến cáp H04'!$B:$E,4,0)</f>
        <v>Mạng cấp 4</v>
      </c>
    </row>
    <row r="1118" spans="1:36" x14ac:dyDescent="0.25">
      <c r="A1118" s="1" t="s">
        <v>10761</v>
      </c>
      <c r="B1118" s="1" t="s">
        <v>10762</v>
      </c>
      <c r="C1118" s="1" t="s">
        <v>10763</v>
      </c>
      <c r="D1118" s="1" t="s">
        <v>10747</v>
      </c>
      <c r="E1118" s="1" t="s">
        <v>10748</v>
      </c>
      <c r="F1118" s="1" t="s">
        <v>10764</v>
      </c>
      <c r="G1118" s="1" t="s">
        <v>14281</v>
      </c>
      <c r="H1118" s="1" t="s">
        <v>14282</v>
      </c>
      <c r="I1118" s="1" t="s">
        <v>15227</v>
      </c>
      <c r="J1118" s="1" t="s">
        <v>23</v>
      </c>
      <c r="K1118" s="1"/>
      <c r="L1118" s="1" t="s">
        <v>10765</v>
      </c>
      <c r="M1118" s="1" t="s">
        <v>10766</v>
      </c>
      <c r="N1118" s="1" t="s">
        <v>10767</v>
      </c>
      <c r="O1118" s="1" t="s">
        <v>10768</v>
      </c>
      <c r="P1118" s="1" t="s">
        <v>10769</v>
      </c>
      <c r="Q1118" s="1" t="s">
        <v>10770</v>
      </c>
      <c r="R1118" s="1" t="s">
        <v>10771</v>
      </c>
      <c r="S1118" s="1" t="s">
        <v>10772</v>
      </c>
      <c r="T1118" s="1" t="s">
        <v>10773</v>
      </c>
      <c r="U1118">
        <v>252.85</v>
      </c>
      <c r="V1118">
        <v>150.01</v>
      </c>
      <c r="W1118">
        <v>12.491547000000001</v>
      </c>
      <c r="X1118">
        <v>108.26345600000001</v>
      </c>
      <c r="Y1118">
        <v>102.84</v>
      </c>
      <c r="Z1118">
        <v>12.503901000000001</v>
      </c>
      <c r="AA1118">
        <v>108.230475</v>
      </c>
      <c r="AB1118" s="5">
        <f t="shared" si="103"/>
        <v>0.22501499999999999</v>
      </c>
      <c r="AC1118" s="5">
        <f t="shared" si="104"/>
        <v>0.15425999999999998</v>
      </c>
      <c r="AD1118" s="1" t="str">
        <f t="shared" si="105"/>
        <v>Hòa Sơn</v>
      </c>
      <c r="AE1118" s="1" t="str">
        <f t="shared" si="106"/>
        <v>Krông Bông</v>
      </c>
      <c r="AG1118">
        <f t="shared" si="107"/>
        <v>0.15001</v>
      </c>
      <c r="AH1118">
        <f t="shared" si="108"/>
        <v>0.10284</v>
      </c>
      <c r="AI1118">
        <f>VLOOKUP(L1118,'[1]Tuyến cáp H04'!$B:$E,3,0)/1000</f>
        <v>14.2</v>
      </c>
      <c r="AJ1118" t="str">
        <f>VLOOKUP(L1118,'[1]Tuyến cáp H04'!$B:$E,4,0)</f>
        <v>Mạng cấp 4</v>
      </c>
    </row>
    <row r="1119" spans="1:36" x14ac:dyDescent="0.25">
      <c r="A1119" s="1" t="s">
        <v>10774</v>
      </c>
      <c r="B1119" s="1" t="s">
        <v>10775</v>
      </c>
      <c r="C1119" s="1" t="s">
        <v>10776</v>
      </c>
      <c r="D1119" s="1" t="s">
        <v>10747</v>
      </c>
      <c r="E1119" s="1" t="s">
        <v>10748</v>
      </c>
      <c r="F1119" s="1" t="s">
        <v>10777</v>
      </c>
      <c r="G1119" s="1" t="s">
        <v>14281</v>
      </c>
      <c r="H1119" s="1" t="s">
        <v>14282</v>
      </c>
      <c r="I1119" s="1" t="s">
        <v>15228</v>
      </c>
      <c r="J1119" s="1" t="s">
        <v>23</v>
      </c>
      <c r="K1119" s="1"/>
      <c r="L1119" s="1" t="s">
        <v>10778</v>
      </c>
      <c r="M1119" s="1" t="s">
        <v>10779</v>
      </c>
      <c r="N1119" s="1" t="s">
        <v>10780</v>
      </c>
      <c r="O1119" s="1" t="s">
        <v>10781</v>
      </c>
      <c r="P1119" s="1" t="s">
        <v>10782</v>
      </c>
      <c r="Q1119" s="1" t="s">
        <v>10783</v>
      </c>
      <c r="R1119" s="1" t="s">
        <v>10784</v>
      </c>
      <c r="S1119" s="1" t="s">
        <v>10785</v>
      </c>
      <c r="T1119" s="1" t="s">
        <v>10786</v>
      </c>
      <c r="U1119">
        <v>1326.43</v>
      </c>
      <c r="V1119">
        <v>316.24</v>
      </c>
      <c r="W1119">
        <v>12.486843</v>
      </c>
      <c r="X1119">
        <v>108.231129</v>
      </c>
      <c r="Y1119">
        <v>1010.2</v>
      </c>
      <c r="Z1119">
        <v>12.494372</v>
      </c>
      <c r="AA1119">
        <v>108.228418</v>
      </c>
      <c r="AB1119" s="5">
        <f t="shared" si="103"/>
        <v>0.47436</v>
      </c>
      <c r="AC1119" s="5">
        <f t="shared" si="104"/>
        <v>1.5153000000000001</v>
      </c>
      <c r="AD1119" s="1" t="str">
        <f t="shared" si="105"/>
        <v>Lăk</v>
      </c>
      <c r="AE1119" s="1" t="str">
        <f t="shared" si="106"/>
        <v>KRông Bông</v>
      </c>
      <c r="AG1119">
        <f t="shared" si="107"/>
        <v>0.31624000000000002</v>
      </c>
      <c r="AH1119">
        <f t="shared" si="108"/>
        <v>1.0102</v>
      </c>
      <c r="AI1119">
        <f>VLOOKUP(L1119,'[1]Tuyến cáp H04'!$B:$E,3,0)/1000</f>
        <v>25.132999999999999</v>
      </c>
      <c r="AJ1119" t="str">
        <f>VLOOKUP(L1119,'[1]Tuyến cáp H04'!$B:$E,4,0)</f>
        <v>Mạng cấp 3</v>
      </c>
    </row>
    <row r="1120" spans="1:36" x14ac:dyDescent="0.25">
      <c r="A1120" s="1" t="s">
        <v>10787</v>
      </c>
      <c r="B1120" s="1" t="s">
        <v>10788</v>
      </c>
      <c r="C1120" s="1" t="s">
        <v>10789</v>
      </c>
      <c r="D1120" s="1" t="s">
        <v>10652</v>
      </c>
      <c r="E1120" s="1" t="s">
        <v>10653</v>
      </c>
      <c r="F1120" s="1" t="s">
        <v>10790</v>
      </c>
      <c r="G1120" s="1" t="s">
        <v>14281</v>
      </c>
      <c r="H1120" s="1" t="s">
        <v>14282</v>
      </c>
      <c r="I1120" s="1" t="s">
        <v>15229</v>
      </c>
      <c r="J1120" s="1" t="s">
        <v>23</v>
      </c>
      <c r="K1120" s="1"/>
      <c r="L1120" s="1" t="s">
        <v>10353</v>
      </c>
      <c r="M1120" s="1" t="s">
        <v>10791</v>
      </c>
      <c r="N1120" s="1" t="s">
        <v>10792</v>
      </c>
      <c r="O1120" s="1" t="s">
        <v>10793</v>
      </c>
      <c r="P1120" s="1" t="s">
        <v>10794</v>
      </c>
      <c r="Q1120" s="1" t="s">
        <v>10658</v>
      </c>
      <c r="R1120" s="1" t="s">
        <v>10659</v>
      </c>
      <c r="S1120" s="1" t="s">
        <v>10660</v>
      </c>
      <c r="T1120" s="1" t="s">
        <v>10664</v>
      </c>
      <c r="U1120">
        <v>1680.26</v>
      </c>
      <c r="V1120">
        <v>1602.32</v>
      </c>
      <c r="W1120">
        <v>12.547162999999999</v>
      </c>
      <c r="X1120">
        <v>108.324113</v>
      </c>
      <c r="Y1120">
        <v>77.94</v>
      </c>
      <c r="Z1120">
        <v>12.572417</v>
      </c>
      <c r="AA1120">
        <v>108.33487100000001</v>
      </c>
      <c r="AB1120" s="5">
        <f t="shared" si="103"/>
        <v>2.4034800000000001</v>
      </c>
      <c r="AC1120" s="5">
        <f t="shared" si="104"/>
        <v>0.11691</v>
      </c>
      <c r="AD1120" s="1" t="str">
        <f t="shared" si="105"/>
        <v>KRông Bông</v>
      </c>
      <c r="AE1120" s="1" t="str">
        <f t="shared" si="106"/>
        <v>TT1 Đăk Lăk</v>
      </c>
      <c r="AG1120">
        <f t="shared" si="107"/>
        <v>1.60232</v>
      </c>
      <c r="AH1120">
        <f t="shared" si="108"/>
        <v>7.7939999999999995E-2</v>
      </c>
      <c r="AI1120">
        <f>VLOOKUP(L1120,'[1]Tuyến cáp H04'!$B:$E,3,0)/1000</f>
        <v>58.271999999999998</v>
      </c>
      <c r="AJ1120" t="str">
        <f>VLOOKUP(L1120,'[1]Tuyến cáp H04'!$B:$E,4,0)</f>
        <v>Mạng cấp 3</v>
      </c>
    </row>
    <row r="1121" spans="1:36" x14ac:dyDescent="0.25">
      <c r="A1121" s="1" t="s">
        <v>10795</v>
      </c>
      <c r="B1121" s="1" t="s">
        <v>10796</v>
      </c>
      <c r="C1121" s="1" t="s">
        <v>10797</v>
      </c>
      <c r="D1121" s="1" t="s">
        <v>8175</v>
      </c>
      <c r="E1121" s="1" t="s">
        <v>8176</v>
      </c>
      <c r="F1121" s="1" t="s">
        <v>10798</v>
      </c>
      <c r="G1121" s="1" t="s">
        <v>14281</v>
      </c>
      <c r="H1121" s="1" t="s">
        <v>14282</v>
      </c>
      <c r="I1121" s="1" t="s">
        <v>15230</v>
      </c>
      <c r="J1121" s="1" t="s">
        <v>23</v>
      </c>
      <c r="K1121" s="1"/>
      <c r="L1121" s="1" t="s">
        <v>8206</v>
      </c>
      <c r="M1121" s="1" t="s">
        <v>10799</v>
      </c>
      <c r="N1121" s="1" t="s">
        <v>10800</v>
      </c>
      <c r="O1121" s="1" t="s">
        <v>10801</v>
      </c>
      <c r="P1121" s="1" t="s">
        <v>10802</v>
      </c>
      <c r="Q1121" s="1" t="s">
        <v>8211</v>
      </c>
      <c r="R1121" s="1" t="s">
        <v>8212</v>
      </c>
      <c r="S1121" s="1" t="s">
        <v>8213</v>
      </c>
      <c r="T1121" s="1" t="s">
        <v>8214</v>
      </c>
      <c r="U1121">
        <v>149.16</v>
      </c>
      <c r="V1121">
        <v>30.17</v>
      </c>
      <c r="W1121">
        <v>12.662906</v>
      </c>
      <c r="X1121">
        <v>108.103032</v>
      </c>
      <c r="Y1121">
        <v>118.99</v>
      </c>
      <c r="Z1121">
        <v>12.655568000000001</v>
      </c>
      <c r="AA1121">
        <v>108.107465</v>
      </c>
      <c r="AB1121" s="5">
        <f t="shared" si="103"/>
        <v>4.5255000000000004E-2</v>
      </c>
      <c r="AC1121" s="5">
        <f t="shared" si="104"/>
        <v>0.17848499999999998</v>
      </c>
      <c r="AD1121" s="1" t="str">
        <f t="shared" si="105"/>
        <v>Tân Lập</v>
      </c>
      <c r="AE1121" s="1" t="str">
        <f t="shared" si="106"/>
        <v>Ea Knuec</v>
      </c>
      <c r="AG1121">
        <f t="shared" si="107"/>
        <v>3.0170000000000002E-2</v>
      </c>
      <c r="AH1121">
        <f t="shared" si="108"/>
        <v>0.11899</v>
      </c>
      <c r="AI1121" t="e">
        <f>VLOOKUP(L1121,'[1]Tuyến cáp H04'!$B:$E,3,0)/1000</f>
        <v>#N/A</v>
      </c>
      <c r="AJ1121" t="e">
        <f>VLOOKUP(L1121,'[1]Tuyến cáp H04'!$B:$E,4,0)</f>
        <v>#N/A</v>
      </c>
    </row>
    <row r="1122" spans="1:36" x14ac:dyDescent="0.25">
      <c r="A1122" s="1" t="s">
        <v>10803</v>
      </c>
      <c r="B1122" s="1" t="s">
        <v>10804</v>
      </c>
      <c r="C1122" s="1" t="s">
        <v>10805</v>
      </c>
      <c r="D1122" s="1" t="s">
        <v>8260</v>
      </c>
      <c r="E1122" s="1" t="s">
        <v>8261</v>
      </c>
      <c r="F1122" s="1" t="s">
        <v>10806</v>
      </c>
      <c r="G1122" s="1" t="s">
        <v>14281</v>
      </c>
      <c r="H1122" s="1" t="s">
        <v>14282</v>
      </c>
      <c r="I1122" s="1" t="s">
        <v>15231</v>
      </c>
      <c r="J1122" s="1" t="s">
        <v>23</v>
      </c>
      <c r="K1122" s="1"/>
      <c r="L1122" s="1" t="s">
        <v>8760</v>
      </c>
      <c r="M1122" s="1" t="s">
        <v>10807</v>
      </c>
      <c r="N1122" s="1" t="s">
        <v>10808</v>
      </c>
      <c r="O1122" s="1" t="s">
        <v>10809</v>
      </c>
      <c r="P1122" s="1" t="s">
        <v>10810</v>
      </c>
      <c r="Q1122" s="1" t="s">
        <v>8765</v>
      </c>
      <c r="R1122" s="1" t="s">
        <v>8766</v>
      </c>
      <c r="S1122" s="1" t="s">
        <v>8767</v>
      </c>
      <c r="T1122" s="1" t="s">
        <v>8768</v>
      </c>
      <c r="U1122">
        <v>2466.69</v>
      </c>
      <c r="V1122">
        <v>2435.8200000000002</v>
      </c>
      <c r="W1122">
        <v>12.954212</v>
      </c>
      <c r="X1122">
        <v>108.34378700000001</v>
      </c>
      <c r="Y1122">
        <v>30.87</v>
      </c>
      <c r="Z1122">
        <v>12.951995999999999</v>
      </c>
      <c r="AA1122">
        <v>108.344803</v>
      </c>
      <c r="AB1122" s="5">
        <f t="shared" si="103"/>
        <v>3.6537300000000004</v>
      </c>
      <c r="AC1122" s="5">
        <f t="shared" si="104"/>
        <v>4.6304999999999999E-2</v>
      </c>
      <c r="AD1122" s="1" t="e">
        <f t="shared" si="105"/>
        <v>#VALUE!</v>
      </c>
      <c r="AE1122" s="1" t="e">
        <f t="shared" si="106"/>
        <v>#VALUE!</v>
      </c>
      <c r="AG1122">
        <f t="shared" si="107"/>
        <v>2.4358200000000001</v>
      </c>
      <c r="AH1122">
        <f t="shared" si="108"/>
        <v>3.0870000000000002E-2</v>
      </c>
      <c r="AI1122" t="e">
        <f>VLOOKUP(L1122,'[1]Tuyến cáp H04'!$B:$E,3,0)/1000</f>
        <v>#N/A</v>
      </c>
      <c r="AJ1122" t="e">
        <f>VLOOKUP(L1122,'[1]Tuyến cáp H04'!$B:$E,4,0)</f>
        <v>#N/A</v>
      </c>
    </row>
    <row r="1123" spans="1:36" x14ac:dyDescent="0.25">
      <c r="A1123" s="1" t="s">
        <v>10811</v>
      </c>
      <c r="B1123" s="1" t="s">
        <v>10812</v>
      </c>
      <c r="C1123" s="1" t="s">
        <v>10813</v>
      </c>
      <c r="D1123" s="1" t="s">
        <v>8260</v>
      </c>
      <c r="E1123" s="1" t="s">
        <v>8261</v>
      </c>
      <c r="F1123" s="1" t="s">
        <v>10814</v>
      </c>
      <c r="G1123" s="1" t="s">
        <v>14281</v>
      </c>
      <c r="H1123" s="1" t="s">
        <v>14282</v>
      </c>
      <c r="I1123" s="1" t="s">
        <v>15232</v>
      </c>
      <c r="J1123" s="1" t="s">
        <v>23</v>
      </c>
      <c r="K1123" s="1"/>
      <c r="L1123" s="1" t="s">
        <v>8813</v>
      </c>
      <c r="M1123" s="1" t="s">
        <v>10815</v>
      </c>
      <c r="N1123" s="1" t="s">
        <v>10816</v>
      </c>
      <c r="O1123" s="1" t="s">
        <v>10817</v>
      </c>
      <c r="P1123" s="1" t="s">
        <v>10818</v>
      </c>
      <c r="Q1123" s="1" t="s">
        <v>10819</v>
      </c>
      <c r="R1123" s="1" t="s">
        <v>10820</v>
      </c>
      <c r="S1123" s="1" t="s">
        <v>10821</v>
      </c>
      <c r="T1123" s="1" t="s">
        <v>10822</v>
      </c>
      <c r="U1123">
        <v>213.85</v>
      </c>
      <c r="V1123">
        <v>172.21</v>
      </c>
      <c r="W1123">
        <v>12.943</v>
      </c>
      <c r="X1123">
        <v>108.350148</v>
      </c>
      <c r="Y1123">
        <v>41.65</v>
      </c>
      <c r="Z1123">
        <v>12.951938999999999</v>
      </c>
      <c r="AA1123">
        <v>108.344351</v>
      </c>
      <c r="AB1123" s="5">
        <f t="shared" si="103"/>
        <v>0.25831500000000002</v>
      </c>
      <c r="AC1123" s="5">
        <f t="shared" si="104"/>
        <v>6.2474999999999996E-2</v>
      </c>
      <c r="AD1123" s="1" t="str">
        <f t="shared" si="105"/>
        <v>Ea Kar</v>
      </c>
      <c r="AE1123" s="1" t="str">
        <f t="shared" si="106"/>
        <v>KRông Năng</v>
      </c>
      <c r="AG1123">
        <f t="shared" si="107"/>
        <v>0.17221</v>
      </c>
      <c r="AH1123">
        <f t="shared" si="108"/>
        <v>4.165E-2</v>
      </c>
      <c r="AI1123">
        <f>VLOOKUP(L1123,'[1]Tuyến cáp H04'!$B:$E,3,0)/1000</f>
        <v>28.914000000000001</v>
      </c>
      <c r="AJ1123" t="str">
        <f>VLOOKUP(L1123,'[1]Tuyến cáp H04'!$B:$E,4,0)</f>
        <v>Mạng cấp 3</v>
      </c>
    </row>
    <row r="1124" spans="1:36" x14ac:dyDescent="0.25">
      <c r="A1124" s="1" t="s">
        <v>10823</v>
      </c>
      <c r="B1124" s="1" t="s">
        <v>10824</v>
      </c>
      <c r="C1124" s="1" t="s">
        <v>10825</v>
      </c>
      <c r="D1124" s="1" t="s">
        <v>8160</v>
      </c>
      <c r="E1124" s="1" t="s">
        <v>8161</v>
      </c>
      <c r="F1124" s="1" t="s">
        <v>10826</v>
      </c>
      <c r="G1124" s="1" t="s">
        <v>14281</v>
      </c>
      <c r="H1124" s="1" t="s">
        <v>14282</v>
      </c>
      <c r="I1124" s="1" t="s">
        <v>15233</v>
      </c>
      <c r="J1124" s="1" t="s">
        <v>23</v>
      </c>
      <c r="K1124" s="1"/>
      <c r="L1124" s="1" t="s">
        <v>8163</v>
      </c>
      <c r="M1124" s="1" t="s">
        <v>10827</v>
      </c>
      <c r="N1124" s="1" t="s">
        <v>10828</v>
      </c>
      <c r="O1124" s="1" t="s">
        <v>10829</v>
      </c>
      <c r="P1124" s="1" t="s">
        <v>10830</v>
      </c>
      <c r="Q1124" s="1" t="s">
        <v>8168</v>
      </c>
      <c r="R1124" s="1" t="s">
        <v>8169</v>
      </c>
      <c r="S1124" s="1" t="s">
        <v>8170</v>
      </c>
      <c r="T1124" s="1" t="s">
        <v>8171</v>
      </c>
      <c r="U1124">
        <v>430.75</v>
      </c>
      <c r="V1124">
        <v>328.76</v>
      </c>
      <c r="W1124">
        <v>12.955263</v>
      </c>
      <c r="X1124">
        <v>108.246701</v>
      </c>
      <c r="Y1124">
        <v>102</v>
      </c>
      <c r="Z1124">
        <v>12.970822</v>
      </c>
      <c r="AA1124">
        <v>108.244495</v>
      </c>
      <c r="AB1124" s="5">
        <f t="shared" si="103"/>
        <v>0.49313999999999997</v>
      </c>
      <c r="AC1124" s="5">
        <f t="shared" si="104"/>
        <v>0.153</v>
      </c>
      <c r="AD1124" s="1" t="str">
        <f t="shared" si="105"/>
        <v>Buôn Hồ</v>
      </c>
      <c r="AE1124" s="1" t="str">
        <f t="shared" si="106"/>
        <v>Ea H'Leo</v>
      </c>
      <c r="AG1124">
        <f t="shared" si="107"/>
        <v>0.32876</v>
      </c>
      <c r="AH1124">
        <f t="shared" si="108"/>
        <v>0.10199999999999999</v>
      </c>
      <c r="AI1124">
        <f>VLOOKUP(L1124,'[1]Tuyến cáp H04'!$B:$E,3,0)/1000</f>
        <v>36.590000000000003</v>
      </c>
      <c r="AJ1124" t="str">
        <f>VLOOKUP(L1124,'[1]Tuyến cáp H04'!$B:$E,4,0)</f>
        <v>Mạng cấp 3</v>
      </c>
    </row>
    <row r="1125" spans="1:36" x14ac:dyDescent="0.25">
      <c r="A1125" s="1" t="s">
        <v>10831</v>
      </c>
      <c r="B1125" s="1" t="s">
        <v>10832</v>
      </c>
      <c r="C1125" s="1" t="s">
        <v>10833</v>
      </c>
      <c r="D1125" s="1" t="s">
        <v>8470</v>
      </c>
      <c r="E1125" s="1" t="s">
        <v>8471</v>
      </c>
      <c r="F1125" s="1" t="s">
        <v>10834</v>
      </c>
      <c r="G1125" s="1" t="s">
        <v>14281</v>
      </c>
      <c r="H1125" s="1" t="s">
        <v>14282</v>
      </c>
      <c r="I1125" s="1" t="s">
        <v>15234</v>
      </c>
      <c r="J1125" s="1" t="s">
        <v>23</v>
      </c>
      <c r="K1125" s="1"/>
      <c r="L1125" s="1" t="s">
        <v>10282</v>
      </c>
      <c r="M1125" s="1" t="s">
        <v>10835</v>
      </c>
      <c r="N1125" s="1" t="s">
        <v>10836</v>
      </c>
      <c r="O1125" s="1" t="s">
        <v>10837</v>
      </c>
      <c r="P1125" s="1" t="s">
        <v>10838</v>
      </c>
      <c r="Q1125" s="1" t="s">
        <v>10284</v>
      </c>
      <c r="R1125" s="1" t="s">
        <v>10285</v>
      </c>
      <c r="S1125" s="1" t="s">
        <v>10286</v>
      </c>
      <c r="T1125" s="1" t="s">
        <v>10290</v>
      </c>
      <c r="U1125">
        <v>469.53</v>
      </c>
      <c r="V1125">
        <v>399.03</v>
      </c>
      <c r="W1125">
        <v>12.790459</v>
      </c>
      <c r="X1125">
        <v>108.462628</v>
      </c>
      <c r="Y1125">
        <v>70.5</v>
      </c>
      <c r="Z1125">
        <v>12.811557000000001</v>
      </c>
      <c r="AA1125">
        <v>108.483304</v>
      </c>
      <c r="AB1125" s="5">
        <f t="shared" si="103"/>
        <v>0.59854499999999999</v>
      </c>
      <c r="AC1125" s="5">
        <f t="shared" si="104"/>
        <v>0.10575</v>
      </c>
      <c r="AD1125" s="1" t="str">
        <f t="shared" si="105"/>
        <v>Ea Ô</v>
      </c>
      <c r="AE1125" s="1" t="str">
        <f t="shared" si="106"/>
        <v>TTCMKV Ea Kar</v>
      </c>
      <c r="AG1125">
        <f t="shared" si="107"/>
        <v>0.39903</v>
      </c>
      <c r="AH1125">
        <f t="shared" si="108"/>
        <v>7.0499999999999993E-2</v>
      </c>
      <c r="AI1125">
        <f>VLOOKUP(L1125,'[1]Tuyến cáp H04'!$B:$E,3,0)/1000</f>
        <v>15.553000000000001</v>
      </c>
      <c r="AJ1125" t="str">
        <f>VLOOKUP(L1125,'[1]Tuyến cáp H04'!$B:$E,4,0)</f>
        <v>Mạng cấp 4</v>
      </c>
    </row>
    <row r="1126" spans="1:36" x14ac:dyDescent="0.25">
      <c r="A1126" s="1" t="s">
        <v>10839</v>
      </c>
      <c r="B1126" s="1" t="s">
        <v>10840</v>
      </c>
      <c r="C1126" s="1" t="s">
        <v>10841</v>
      </c>
      <c r="D1126" s="1" t="s">
        <v>10292</v>
      </c>
      <c r="E1126" s="1" t="s">
        <v>10293</v>
      </c>
      <c r="F1126" s="1" t="s">
        <v>10842</v>
      </c>
      <c r="G1126" s="1" t="s">
        <v>14281</v>
      </c>
      <c r="H1126" s="1" t="s">
        <v>14282</v>
      </c>
      <c r="I1126" s="1" t="s">
        <v>15235</v>
      </c>
      <c r="J1126" s="1" t="s">
        <v>23</v>
      </c>
      <c r="K1126" s="1"/>
      <c r="L1126" s="1" t="s">
        <v>10297</v>
      </c>
      <c r="M1126" s="1" t="s">
        <v>10843</v>
      </c>
      <c r="N1126" s="1" t="s">
        <v>10844</v>
      </c>
      <c r="O1126" s="1" t="s">
        <v>10845</v>
      </c>
      <c r="P1126" s="1" t="s">
        <v>10846</v>
      </c>
      <c r="Q1126" s="1" t="s">
        <v>10299</v>
      </c>
      <c r="R1126" s="1" t="s">
        <v>10300</v>
      </c>
      <c r="S1126" s="1" t="s">
        <v>10301</v>
      </c>
      <c r="T1126" s="1" t="s">
        <v>10305</v>
      </c>
      <c r="U1126">
        <v>572.53</v>
      </c>
      <c r="V1126">
        <v>445.11</v>
      </c>
      <c r="W1126">
        <v>12.648235</v>
      </c>
      <c r="X1126">
        <v>108.417293</v>
      </c>
      <c r="Y1126">
        <v>127.41</v>
      </c>
      <c r="Z1126">
        <v>12.658647</v>
      </c>
      <c r="AA1126">
        <v>108.43165500000001</v>
      </c>
      <c r="AB1126" s="5">
        <f t="shared" si="103"/>
        <v>0.66766499999999995</v>
      </c>
      <c r="AC1126" s="5">
        <f t="shared" si="104"/>
        <v>0.19111500000000001</v>
      </c>
      <c r="AD1126" s="1" t="e">
        <f t="shared" si="105"/>
        <v>#VALUE!</v>
      </c>
      <c r="AE1126" s="1" t="e">
        <f t="shared" si="106"/>
        <v>#VALUE!</v>
      </c>
      <c r="AG1126">
        <f t="shared" si="107"/>
        <v>0.44511000000000001</v>
      </c>
      <c r="AH1126">
        <f t="shared" si="108"/>
        <v>0.12741</v>
      </c>
      <c r="AI1126" t="e">
        <f>VLOOKUP(L1126,'[1]Tuyến cáp H04'!$B:$E,3,0)/1000</f>
        <v>#N/A</v>
      </c>
      <c r="AJ1126" t="e">
        <f>VLOOKUP(L1126,'[1]Tuyến cáp H04'!$B:$E,4,0)</f>
        <v>#N/A</v>
      </c>
    </row>
    <row r="1127" spans="1:36" x14ac:dyDescent="0.25">
      <c r="A1127" s="1" t="s">
        <v>10847</v>
      </c>
      <c r="B1127" s="1" t="s">
        <v>10848</v>
      </c>
      <c r="C1127" s="1" t="s">
        <v>10849</v>
      </c>
      <c r="D1127" s="1" t="s">
        <v>8442</v>
      </c>
      <c r="E1127" s="1" t="s">
        <v>8443</v>
      </c>
      <c r="F1127" s="1" t="s">
        <v>10850</v>
      </c>
      <c r="G1127" s="1" t="s">
        <v>14281</v>
      </c>
      <c r="H1127" s="1" t="s">
        <v>14282</v>
      </c>
      <c r="I1127" s="1" t="s">
        <v>15236</v>
      </c>
      <c r="J1127" s="1" t="s">
        <v>23</v>
      </c>
      <c r="K1127" s="1"/>
      <c r="L1127" s="1" t="s">
        <v>10188</v>
      </c>
      <c r="M1127" s="1" t="s">
        <v>10851</v>
      </c>
      <c r="N1127" s="1" t="s">
        <v>10852</v>
      </c>
      <c r="O1127" s="1" t="s">
        <v>10853</v>
      </c>
      <c r="P1127" s="1" t="s">
        <v>10854</v>
      </c>
      <c r="Q1127" s="1" t="s">
        <v>10193</v>
      </c>
      <c r="R1127" s="1" t="s">
        <v>10194</v>
      </c>
      <c r="S1127" s="1" t="s">
        <v>10195</v>
      </c>
      <c r="T1127" s="1" t="s">
        <v>10196</v>
      </c>
      <c r="U1127">
        <v>1685.75</v>
      </c>
      <c r="V1127">
        <v>1569</v>
      </c>
      <c r="W1127">
        <v>12.563748</v>
      </c>
      <c r="X1127">
        <v>108.149928</v>
      </c>
      <c r="Y1127">
        <v>116.75</v>
      </c>
      <c r="Z1127">
        <v>12.559718</v>
      </c>
      <c r="AA1127">
        <v>108.162858</v>
      </c>
      <c r="AB1127" s="5">
        <f t="shared" si="103"/>
        <v>2.3534999999999999</v>
      </c>
      <c r="AC1127" s="5">
        <f t="shared" si="104"/>
        <v>0.175125</v>
      </c>
      <c r="AD1127" s="1" t="str">
        <f t="shared" si="105"/>
        <v>KRông Ana</v>
      </c>
      <c r="AE1127" s="1" t="str">
        <f t="shared" si="106"/>
        <v>Cư Kuin</v>
      </c>
      <c r="AG1127">
        <f t="shared" si="107"/>
        <v>1.569</v>
      </c>
      <c r="AH1127">
        <f t="shared" si="108"/>
        <v>0.11675000000000001</v>
      </c>
      <c r="AI1127">
        <f>VLOOKUP(L1127,'[1]Tuyến cáp H04'!$B:$E,3,0)/1000</f>
        <v>31.129000000000001</v>
      </c>
      <c r="AJ1127" t="str">
        <f>VLOOKUP(L1127,'[1]Tuyến cáp H04'!$B:$E,4,0)</f>
        <v>Mạng cấp 3</v>
      </c>
    </row>
    <row r="1128" spans="1:36" x14ac:dyDescent="0.25">
      <c r="A1128" s="1" t="s">
        <v>10855</v>
      </c>
      <c r="B1128" s="1" t="s">
        <v>10856</v>
      </c>
      <c r="C1128" s="1" t="s">
        <v>10857</v>
      </c>
      <c r="D1128" s="1" t="s">
        <v>8442</v>
      </c>
      <c r="E1128" s="1" t="s">
        <v>8443</v>
      </c>
      <c r="F1128" s="1" t="s">
        <v>10858</v>
      </c>
      <c r="G1128" s="1" t="s">
        <v>14281</v>
      </c>
      <c r="H1128" s="1" t="s">
        <v>14282</v>
      </c>
      <c r="I1128" s="1" t="s">
        <v>15237</v>
      </c>
      <c r="J1128" s="1" t="s">
        <v>23</v>
      </c>
      <c r="K1128" s="1"/>
      <c r="L1128" s="1" t="s">
        <v>10859</v>
      </c>
      <c r="M1128" s="1" t="s">
        <v>10860</v>
      </c>
      <c r="N1128" s="1" t="s">
        <v>10861</v>
      </c>
      <c r="O1128" s="1" t="s">
        <v>10862</v>
      </c>
      <c r="P1128" s="1" t="s">
        <v>10863</v>
      </c>
      <c r="Q1128" s="1" t="s">
        <v>10864</v>
      </c>
      <c r="R1128" s="1" t="s">
        <v>10865</v>
      </c>
      <c r="S1128" s="1" t="s">
        <v>10866</v>
      </c>
      <c r="T1128" s="1" t="s">
        <v>10867</v>
      </c>
      <c r="U1128">
        <v>632.69000000000005</v>
      </c>
      <c r="V1128">
        <v>76.459999999999994</v>
      </c>
      <c r="W1128">
        <v>12.542707999999999</v>
      </c>
      <c r="X1128">
        <v>108.171049</v>
      </c>
      <c r="Y1128">
        <v>556.22</v>
      </c>
      <c r="Z1128">
        <v>12.561978</v>
      </c>
      <c r="AA1128">
        <v>108.168598</v>
      </c>
      <c r="AB1128" s="5">
        <f t="shared" si="103"/>
        <v>0.11469</v>
      </c>
      <c r="AC1128" s="5">
        <f t="shared" si="104"/>
        <v>0.83433000000000002</v>
      </c>
      <c r="AD1128" s="1" t="str">
        <f t="shared" si="105"/>
        <v>Cư Kuin</v>
      </c>
      <c r="AE1128" s="1" t="str">
        <f t="shared" si="106"/>
        <v>Lăk</v>
      </c>
      <c r="AG1128">
        <f t="shared" si="107"/>
        <v>7.646E-2</v>
      </c>
      <c r="AH1128">
        <f t="shared" si="108"/>
        <v>0.55622000000000005</v>
      </c>
      <c r="AI1128">
        <f>VLOOKUP(L1128,'[1]Tuyến cáp H04'!$B:$E,3,0)/1000</f>
        <v>31.872</v>
      </c>
      <c r="AJ1128" t="str">
        <f>VLOOKUP(L1128,'[1]Tuyến cáp H04'!$B:$E,4,0)</f>
        <v>Mạng cấp 3</v>
      </c>
    </row>
    <row r="1129" spans="1:36" x14ac:dyDescent="0.25">
      <c r="A1129" s="1" t="s">
        <v>10868</v>
      </c>
      <c r="B1129" s="1" t="s">
        <v>10473</v>
      </c>
      <c r="C1129" s="1" t="s">
        <v>10474</v>
      </c>
      <c r="D1129" s="1" t="s">
        <v>8470</v>
      </c>
      <c r="E1129" s="1" t="s">
        <v>8471</v>
      </c>
      <c r="F1129" s="1" t="s">
        <v>10869</v>
      </c>
      <c r="G1129" s="1" t="s">
        <v>14281</v>
      </c>
      <c r="H1129" s="1" t="s">
        <v>14282</v>
      </c>
      <c r="I1129" s="1" t="s">
        <v>15238</v>
      </c>
      <c r="J1129" s="1" t="s">
        <v>23</v>
      </c>
      <c r="K1129" s="1"/>
      <c r="L1129" s="1" t="s">
        <v>8350</v>
      </c>
      <c r="M1129" s="1" t="s">
        <v>10476</v>
      </c>
      <c r="N1129" s="1" t="s">
        <v>10477</v>
      </c>
      <c r="O1129" s="1" t="s">
        <v>10478</v>
      </c>
      <c r="P1129" s="1" t="s">
        <v>10479</v>
      </c>
      <c r="Q1129" s="1" t="s">
        <v>8477</v>
      </c>
      <c r="R1129" s="1" t="s">
        <v>8356</v>
      </c>
      <c r="S1129" s="1" t="s">
        <v>8357</v>
      </c>
      <c r="T1129" s="1" t="s">
        <v>8358</v>
      </c>
      <c r="U1129">
        <v>764.99</v>
      </c>
      <c r="V1129">
        <v>695.74</v>
      </c>
      <c r="W1129">
        <v>12.809037999999999</v>
      </c>
      <c r="X1129">
        <v>108.447738</v>
      </c>
      <c r="Y1129">
        <v>69.25</v>
      </c>
      <c r="Z1129">
        <v>12.811565999999999</v>
      </c>
      <c r="AA1129">
        <v>108.483311</v>
      </c>
      <c r="AB1129" s="5">
        <f t="shared" si="103"/>
        <v>1.0436100000000001</v>
      </c>
      <c r="AC1129" s="5">
        <f t="shared" si="104"/>
        <v>0.103875</v>
      </c>
      <c r="AD1129" s="1" t="str">
        <f t="shared" si="105"/>
        <v>TT1 Đăk Lăk</v>
      </c>
      <c r="AE1129" s="1" t="str">
        <f t="shared" si="106"/>
        <v>ILA Ea Kar</v>
      </c>
      <c r="AG1129">
        <f t="shared" si="107"/>
        <v>0.69574000000000003</v>
      </c>
      <c r="AH1129">
        <f t="shared" si="108"/>
        <v>6.9250000000000006E-2</v>
      </c>
      <c r="AI1129" t="e">
        <f>VLOOKUP(L1129,'[1]Tuyến cáp H04'!$B:$E,3,0)/1000</f>
        <v>#N/A</v>
      </c>
      <c r="AJ1129" t="e">
        <f>VLOOKUP(L1129,'[1]Tuyến cáp H04'!$B:$E,4,0)</f>
        <v>#N/A</v>
      </c>
    </row>
    <row r="1130" spans="1:36" x14ac:dyDescent="0.25">
      <c r="A1130" s="1" t="s">
        <v>10870</v>
      </c>
      <c r="B1130" s="1" t="s">
        <v>10871</v>
      </c>
      <c r="C1130" s="1" t="s">
        <v>10872</v>
      </c>
      <c r="D1130" s="1" t="s">
        <v>8470</v>
      </c>
      <c r="E1130" s="1" t="s">
        <v>8471</v>
      </c>
      <c r="F1130" s="1" t="s">
        <v>10873</v>
      </c>
      <c r="G1130" s="1" t="s">
        <v>14281</v>
      </c>
      <c r="H1130" s="1" t="s">
        <v>14282</v>
      </c>
      <c r="I1130" s="1" t="s">
        <v>15239</v>
      </c>
      <c r="J1130" s="1" t="s">
        <v>23</v>
      </c>
      <c r="K1130" s="1"/>
      <c r="L1130" s="1" t="s">
        <v>8350</v>
      </c>
      <c r="M1130" s="1" t="s">
        <v>10874</v>
      </c>
      <c r="N1130" s="1" t="s">
        <v>10875</v>
      </c>
      <c r="O1130" s="1" t="s">
        <v>10876</v>
      </c>
      <c r="P1130" s="1" t="s">
        <v>10877</v>
      </c>
      <c r="Q1130" s="1" t="s">
        <v>8477</v>
      </c>
      <c r="R1130" s="1" t="s">
        <v>8356</v>
      </c>
      <c r="S1130" s="1" t="s">
        <v>8357</v>
      </c>
      <c r="T1130" s="1" t="s">
        <v>8358</v>
      </c>
      <c r="U1130">
        <v>419.66</v>
      </c>
      <c r="V1130">
        <v>350.41</v>
      </c>
      <c r="W1130">
        <v>12.802802</v>
      </c>
      <c r="X1130">
        <v>108.425128</v>
      </c>
      <c r="Y1130">
        <v>69.25</v>
      </c>
      <c r="Z1130">
        <v>12.811565999999999</v>
      </c>
      <c r="AA1130">
        <v>108.483311</v>
      </c>
      <c r="AB1130" s="5">
        <f t="shared" si="103"/>
        <v>0.52561500000000005</v>
      </c>
      <c r="AC1130" s="5">
        <f t="shared" si="104"/>
        <v>0.103875</v>
      </c>
      <c r="AD1130" s="1" t="str">
        <f t="shared" si="105"/>
        <v>TT1 Đăk Lăk</v>
      </c>
      <c r="AE1130" s="1" t="str">
        <f t="shared" si="106"/>
        <v>ILA Ea Kar</v>
      </c>
      <c r="AG1130">
        <f t="shared" si="107"/>
        <v>0.35041</v>
      </c>
      <c r="AH1130">
        <f t="shared" si="108"/>
        <v>6.9250000000000006E-2</v>
      </c>
      <c r="AI1130" t="e">
        <f>VLOOKUP(L1130,'[1]Tuyến cáp H04'!$B:$E,3,0)/1000</f>
        <v>#N/A</v>
      </c>
      <c r="AJ1130" t="e">
        <f>VLOOKUP(L1130,'[1]Tuyến cáp H04'!$B:$E,4,0)</f>
        <v>#N/A</v>
      </c>
    </row>
    <row r="1131" spans="1:36" x14ac:dyDescent="0.25">
      <c r="A1131" s="1" t="s">
        <v>10878</v>
      </c>
      <c r="B1131" s="1" t="s">
        <v>10879</v>
      </c>
      <c r="C1131" s="1" t="s">
        <v>10880</v>
      </c>
      <c r="D1131" s="1" t="s">
        <v>8332</v>
      </c>
      <c r="E1131" s="1" t="s">
        <v>8333</v>
      </c>
      <c r="F1131" s="1" t="s">
        <v>10881</v>
      </c>
      <c r="G1131" s="1" t="s">
        <v>14281</v>
      </c>
      <c r="H1131" s="1" t="s">
        <v>14282</v>
      </c>
      <c r="I1131" s="1" t="s">
        <v>15240</v>
      </c>
      <c r="J1131" s="1" t="s">
        <v>23</v>
      </c>
      <c r="K1131" s="1"/>
      <c r="L1131" s="1" t="s">
        <v>8335</v>
      </c>
      <c r="M1131" s="1" t="s">
        <v>10882</v>
      </c>
      <c r="N1131" s="1" t="s">
        <v>1462</v>
      </c>
      <c r="O1131" s="1" t="s">
        <v>10883</v>
      </c>
      <c r="P1131" s="1" t="s">
        <v>10884</v>
      </c>
      <c r="Q1131" s="1" t="s">
        <v>8340</v>
      </c>
      <c r="R1131" s="1" t="s">
        <v>8341</v>
      </c>
      <c r="S1131" s="1" t="s">
        <v>8342</v>
      </c>
      <c r="T1131" s="1" t="s">
        <v>8343</v>
      </c>
      <c r="U1131">
        <v>100.61</v>
      </c>
      <c r="V1131">
        <v>42.66</v>
      </c>
      <c r="W1131">
        <v>12.917756000000001</v>
      </c>
      <c r="X1131">
        <v>108.267475</v>
      </c>
      <c r="Y1131">
        <v>57.95</v>
      </c>
      <c r="Z1131">
        <v>12.916482999999999</v>
      </c>
      <c r="AA1131">
        <v>108.26607</v>
      </c>
      <c r="AB1131" s="5">
        <f t="shared" si="103"/>
        <v>6.3989999999999991E-2</v>
      </c>
      <c r="AC1131" s="5">
        <f t="shared" si="104"/>
        <v>8.6925000000000016E-2</v>
      </c>
      <c r="AD1131" s="1" t="e">
        <f t="shared" si="105"/>
        <v>#VALUE!</v>
      </c>
      <c r="AE1131" s="1" t="e">
        <f t="shared" si="106"/>
        <v>#VALUE!</v>
      </c>
      <c r="AG1131">
        <f t="shared" si="107"/>
        <v>4.2659999999999997E-2</v>
      </c>
      <c r="AH1131">
        <f t="shared" si="108"/>
        <v>5.7950000000000002E-2</v>
      </c>
      <c r="AI1131" t="e">
        <f>VLOOKUP(L1131,'[1]Tuyến cáp H04'!$B:$E,3,0)/1000</f>
        <v>#N/A</v>
      </c>
      <c r="AJ1131" t="e">
        <f>VLOOKUP(L1131,'[1]Tuyến cáp H04'!$B:$E,4,0)</f>
        <v>#N/A</v>
      </c>
    </row>
    <row r="1132" spans="1:36" x14ac:dyDescent="0.25">
      <c r="A1132" s="1" t="s">
        <v>10885</v>
      </c>
      <c r="B1132" s="1" t="s">
        <v>10886</v>
      </c>
      <c r="C1132" s="1" t="s">
        <v>10887</v>
      </c>
      <c r="D1132" s="1" t="s">
        <v>10747</v>
      </c>
      <c r="E1132" s="1" t="s">
        <v>10748</v>
      </c>
      <c r="F1132" s="1" t="s">
        <v>10888</v>
      </c>
      <c r="G1132" s="1" t="s">
        <v>14281</v>
      </c>
      <c r="H1132" s="1" t="s">
        <v>14282</v>
      </c>
      <c r="I1132" s="1" t="s">
        <v>15241</v>
      </c>
      <c r="J1132" s="1" t="s">
        <v>23</v>
      </c>
      <c r="K1132" s="1"/>
      <c r="L1132" s="1" t="s">
        <v>10765</v>
      </c>
      <c r="M1132" s="1" t="s">
        <v>10889</v>
      </c>
      <c r="N1132" s="1" t="s">
        <v>10890</v>
      </c>
      <c r="O1132" s="1" t="s">
        <v>10891</v>
      </c>
      <c r="P1132" s="1" t="s">
        <v>10892</v>
      </c>
      <c r="Q1132" s="1" t="s">
        <v>10770</v>
      </c>
      <c r="R1132" s="1" t="s">
        <v>10771</v>
      </c>
      <c r="S1132" s="1" t="s">
        <v>10772</v>
      </c>
      <c r="T1132" s="1" t="s">
        <v>10773</v>
      </c>
      <c r="U1132">
        <v>106.77</v>
      </c>
      <c r="V1132">
        <v>3.93</v>
      </c>
      <c r="W1132">
        <v>12.504905000000001</v>
      </c>
      <c r="X1132">
        <v>108.257575</v>
      </c>
      <c r="Y1132">
        <v>102.84</v>
      </c>
      <c r="Z1132">
        <v>12.503901000000001</v>
      </c>
      <c r="AA1132">
        <v>108.230475</v>
      </c>
      <c r="AB1132" s="5">
        <f t="shared" si="103"/>
        <v>5.8950000000000001E-3</v>
      </c>
      <c r="AC1132" s="5">
        <f t="shared" si="104"/>
        <v>0.15425999999999998</v>
      </c>
      <c r="AD1132" s="1" t="str">
        <f t="shared" si="105"/>
        <v>Hòa Sơn</v>
      </c>
      <c r="AE1132" s="1" t="str">
        <f t="shared" si="106"/>
        <v>Krông Bông</v>
      </c>
      <c r="AG1132">
        <f t="shared" si="107"/>
        <v>3.9300000000000003E-3</v>
      </c>
      <c r="AH1132">
        <f t="shared" si="108"/>
        <v>0.10284</v>
      </c>
      <c r="AI1132">
        <f>VLOOKUP(L1132,'[1]Tuyến cáp H04'!$B:$E,3,0)/1000</f>
        <v>14.2</v>
      </c>
      <c r="AJ1132" t="str">
        <f>VLOOKUP(L1132,'[1]Tuyến cáp H04'!$B:$E,4,0)</f>
        <v>Mạng cấp 4</v>
      </c>
    </row>
    <row r="1133" spans="1:36" x14ac:dyDescent="0.25">
      <c r="A1133" s="1" t="s">
        <v>10893</v>
      </c>
      <c r="B1133" s="1" t="s">
        <v>10894</v>
      </c>
      <c r="C1133" s="1" t="s">
        <v>10895</v>
      </c>
      <c r="D1133" s="1" t="s">
        <v>10260</v>
      </c>
      <c r="E1133" s="1" t="s">
        <v>10261</v>
      </c>
      <c r="F1133" s="1" t="s">
        <v>10896</v>
      </c>
      <c r="G1133" s="1" t="s">
        <v>14281</v>
      </c>
      <c r="H1133" s="1" t="s">
        <v>14282</v>
      </c>
      <c r="I1133" s="1" t="s">
        <v>15242</v>
      </c>
      <c r="J1133" s="1" t="s">
        <v>23</v>
      </c>
      <c r="K1133" s="1"/>
      <c r="L1133" s="1" t="s">
        <v>10263</v>
      </c>
      <c r="M1133" s="1" t="s">
        <v>10897</v>
      </c>
      <c r="N1133" s="1" t="s">
        <v>10898</v>
      </c>
      <c r="O1133" s="1" t="s">
        <v>10899</v>
      </c>
      <c r="P1133" s="1" t="s">
        <v>10900</v>
      </c>
      <c r="Q1133" s="1" t="s">
        <v>10265</v>
      </c>
      <c r="R1133" s="1" t="s">
        <v>10266</v>
      </c>
      <c r="S1133" s="1" t="s">
        <v>10267</v>
      </c>
      <c r="T1133" s="1" t="s">
        <v>10271</v>
      </c>
      <c r="U1133">
        <v>1443.71</v>
      </c>
      <c r="V1133">
        <v>1358.31</v>
      </c>
      <c r="W1133">
        <v>12.738009</v>
      </c>
      <c r="X1133">
        <v>108.370137</v>
      </c>
      <c r="Y1133">
        <v>85.4</v>
      </c>
      <c r="Z1133">
        <v>12.727708</v>
      </c>
      <c r="AA1133">
        <v>108.36395400000001</v>
      </c>
      <c r="AB1133" s="5">
        <f t="shared" si="103"/>
        <v>2.0374650000000001</v>
      </c>
      <c r="AC1133" s="5">
        <f t="shared" si="104"/>
        <v>0.12810000000000002</v>
      </c>
      <c r="AD1133" s="1" t="str">
        <f t="shared" si="105"/>
        <v>KRông Păk</v>
      </c>
      <c r="AE1133" s="1" t="str">
        <f t="shared" si="106"/>
        <v>Trại giam Đăk Tân (C10)</v>
      </c>
      <c r="AG1133">
        <f t="shared" si="107"/>
        <v>1.3583099999999999</v>
      </c>
      <c r="AH1133">
        <f t="shared" si="108"/>
        <v>8.5400000000000004E-2</v>
      </c>
      <c r="AI1133">
        <f>VLOOKUP(L1133,'[1]Tuyến cáp H04'!$B:$E,3,0)/1000</f>
        <v>53.56</v>
      </c>
      <c r="AJ1133" t="str">
        <f>VLOOKUP(L1133,'[1]Tuyến cáp H04'!$B:$E,4,0)</f>
        <v>Mạng cấp 3</v>
      </c>
    </row>
    <row r="1134" spans="1:36" x14ac:dyDescent="0.25">
      <c r="A1134" s="1" t="s">
        <v>10901</v>
      </c>
      <c r="B1134" s="1" t="s">
        <v>10902</v>
      </c>
      <c r="C1134" s="1" t="s">
        <v>10903</v>
      </c>
      <c r="D1134" s="1" t="s">
        <v>8175</v>
      </c>
      <c r="E1134" s="1" t="s">
        <v>8176</v>
      </c>
      <c r="F1134" s="1" t="s">
        <v>10904</v>
      </c>
      <c r="G1134" s="1" t="s">
        <v>14281</v>
      </c>
      <c r="H1134" s="1" t="s">
        <v>14282</v>
      </c>
      <c r="I1134" s="1" t="s">
        <v>15243</v>
      </c>
      <c r="J1134" s="1" t="s">
        <v>23</v>
      </c>
      <c r="K1134" s="1"/>
      <c r="L1134" s="1" t="s">
        <v>10905</v>
      </c>
      <c r="M1134" s="1" t="s">
        <v>10906</v>
      </c>
      <c r="N1134" s="1" t="s">
        <v>10907</v>
      </c>
      <c r="O1134" s="1" t="s">
        <v>10908</v>
      </c>
      <c r="P1134" s="1" t="s">
        <v>10909</v>
      </c>
      <c r="Q1134" s="1" t="s">
        <v>10910</v>
      </c>
      <c r="R1134" s="1" t="s">
        <v>10911</v>
      </c>
      <c r="S1134" s="1" t="s">
        <v>10912</v>
      </c>
      <c r="T1134" s="1" t="s">
        <v>10913</v>
      </c>
      <c r="U1134">
        <v>1183.43</v>
      </c>
      <c r="V1134">
        <v>229.7</v>
      </c>
      <c r="W1134">
        <v>12.664429</v>
      </c>
      <c r="X1134">
        <v>108.114558</v>
      </c>
      <c r="Y1134">
        <v>953.73</v>
      </c>
      <c r="Z1134">
        <v>12.662739</v>
      </c>
      <c r="AA1134">
        <v>108.10481900000001</v>
      </c>
      <c r="AB1134" s="5">
        <f t="shared" si="103"/>
        <v>0.34454999999999997</v>
      </c>
      <c r="AC1134" s="5">
        <f t="shared" si="104"/>
        <v>1.4305950000000001</v>
      </c>
      <c r="AD1134" s="1" t="str">
        <f t="shared" si="105"/>
        <v>Cảng hàng không Buôn Mê Thuột</v>
      </c>
      <c r="AE1134" s="1" t="str">
        <f t="shared" si="106"/>
        <v>TT1 Đăk
Lăk</v>
      </c>
      <c r="AG1134">
        <f t="shared" si="107"/>
        <v>0.22969999999999999</v>
      </c>
      <c r="AH1134">
        <f t="shared" si="108"/>
        <v>0.95372999999999997</v>
      </c>
      <c r="AI1134">
        <f>VLOOKUP(L1134,'[1]Tuyến cáp H04'!$B:$E,3,0)/1000</f>
        <v>8.7349999999999994</v>
      </c>
      <c r="AJ1134" t="str">
        <f>VLOOKUP(L1134,'[1]Tuyến cáp H04'!$B:$E,4,0)</f>
        <v>Mạng cấp 3</v>
      </c>
    </row>
    <row r="1135" spans="1:36" x14ac:dyDescent="0.25">
      <c r="A1135" s="1" t="s">
        <v>10914</v>
      </c>
      <c r="B1135" s="1" t="s">
        <v>10915</v>
      </c>
      <c r="C1135" s="1" t="s">
        <v>10916</v>
      </c>
      <c r="D1135" s="1" t="s">
        <v>9053</v>
      </c>
      <c r="E1135" s="1" t="s">
        <v>9054</v>
      </c>
      <c r="F1135" s="1" t="s">
        <v>10917</v>
      </c>
      <c r="G1135" s="1" t="s">
        <v>14281</v>
      </c>
      <c r="H1135" s="1" t="s">
        <v>14282</v>
      </c>
      <c r="I1135" s="1" t="s">
        <v>15244</v>
      </c>
      <c r="J1135" s="1" t="s">
        <v>23</v>
      </c>
      <c r="K1135" s="1"/>
      <c r="L1135" s="1" t="s">
        <v>9056</v>
      </c>
      <c r="M1135" s="1" t="s">
        <v>10918</v>
      </c>
      <c r="N1135" s="1" t="s">
        <v>10919</v>
      </c>
      <c r="O1135" s="1" t="s">
        <v>10920</v>
      </c>
      <c r="P1135" s="1" t="s">
        <v>10921</v>
      </c>
      <c r="Q1135" s="1" t="s">
        <v>10922</v>
      </c>
      <c r="R1135" s="1" t="s">
        <v>10923</v>
      </c>
      <c r="S1135" s="1" t="s">
        <v>10924</v>
      </c>
      <c r="T1135" s="1" t="s">
        <v>10925</v>
      </c>
      <c r="U1135">
        <v>680.65</v>
      </c>
      <c r="V1135">
        <v>654.73</v>
      </c>
      <c r="W1135">
        <v>12.660380999999999</v>
      </c>
      <c r="X1135">
        <v>108.03106</v>
      </c>
      <c r="Y1135">
        <v>25.93</v>
      </c>
      <c r="Z1135">
        <v>12.659843</v>
      </c>
      <c r="AA1135">
        <v>108.030387</v>
      </c>
      <c r="AB1135" s="5">
        <f t="shared" si="103"/>
        <v>0.98209500000000005</v>
      </c>
      <c r="AC1135" s="5">
        <f t="shared" si="104"/>
        <v>3.8894999999999999E-2</v>
      </c>
      <c r="AD1135" s="1" t="str">
        <f t="shared" si="105"/>
        <v>CAT Đắk Lắk</v>
      </c>
      <c r="AE1135" s="1" t="str">
        <f t="shared" si="106"/>
        <v>Ea Kao</v>
      </c>
      <c r="AG1135">
        <f t="shared" si="107"/>
        <v>0.65473000000000003</v>
      </c>
      <c r="AH1135">
        <f t="shared" si="108"/>
        <v>2.5929999999999998E-2</v>
      </c>
      <c r="AI1135">
        <f>VLOOKUP(L1135,'[1]Tuyến cáp H04'!$B:$E,3,0)/1000</f>
        <v>4.133</v>
      </c>
      <c r="AJ1135" t="str">
        <f>VLOOKUP(L1135,'[1]Tuyến cáp H04'!$B:$E,4,0)</f>
        <v>Mạng cấp 4</v>
      </c>
    </row>
    <row r="1136" spans="1:36" x14ac:dyDescent="0.25">
      <c r="A1136" s="1" t="s">
        <v>10926</v>
      </c>
      <c r="B1136" s="1" t="s">
        <v>8377</v>
      </c>
      <c r="C1136" s="1" t="s">
        <v>8378</v>
      </c>
      <c r="D1136" s="1" t="s">
        <v>10927</v>
      </c>
      <c r="E1136" s="1" t="s">
        <v>10928</v>
      </c>
      <c r="F1136" s="1" t="s">
        <v>10929</v>
      </c>
      <c r="G1136" s="1" t="s">
        <v>14281</v>
      </c>
      <c r="H1136" s="1" t="s">
        <v>14282</v>
      </c>
      <c r="I1136" s="1" t="s">
        <v>15245</v>
      </c>
      <c r="J1136" s="1" t="s">
        <v>23</v>
      </c>
      <c r="K1136" s="1"/>
      <c r="L1136" s="1" t="s">
        <v>8350</v>
      </c>
      <c r="M1136" s="1" t="s">
        <v>10930</v>
      </c>
      <c r="N1136" s="1" t="s">
        <v>8382</v>
      </c>
      <c r="O1136" s="1" t="s">
        <v>8356</v>
      </c>
      <c r="P1136" s="1" t="s">
        <v>8357</v>
      </c>
      <c r="Q1136" s="1" t="s">
        <v>10931</v>
      </c>
      <c r="R1136" s="1" t="s">
        <v>10679</v>
      </c>
      <c r="S1136" s="1" t="s">
        <v>10680</v>
      </c>
      <c r="T1136" s="1" t="s">
        <v>8358</v>
      </c>
      <c r="U1136">
        <v>97054.24</v>
      </c>
      <c r="V1136">
        <v>94505.82</v>
      </c>
      <c r="W1136">
        <v>12.811565999999999</v>
      </c>
      <c r="X1136">
        <v>108.483311</v>
      </c>
      <c r="Y1136">
        <v>2548.42</v>
      </c>
      <c r="Z1136">
        <v>12.697469</v>
      </c>
      <c r="AA1136">
        <v>108.071369</v>
      </c>
      <c r="AB1136" s="5">
        <f t="shared" si="103"/>
        <v>141.75873000000001</v>
      </c>
      <c r="AC1136" s="5">
        <f t="shared" si="104"/>
        <v>3.8226300000000002</v>
      </c>
      <c r="AD1136" s="1" t="str">
        <f t="shared" si="105"/>
        <v>TT1 Đăk Lăk</v>
      </c>
      <c r="AE1136" s="1" t="str">
        <f t="shared" si="106"/>
        <v>ILA Ea Kar</v>
      </c>
      <c r="AG1136">
        <f t="shared" si="107"/>
        <v>94.50582</v>
      </c>
      <c r="AH1136">
        <f t="shared" si="108"/>
        <v>2.5484200000000001</v>
      </c>
      <c r="AI1136" t="e">
        <f>VLOOKUP(L1136,'[1]Tuyến cáp H04'!$B:$E,3,0)/1000</f>
        <v>#N/A</v>
      </c>
      <c r="AJ1136" t="e">
        <f>VLOOKUP(L1136,'[1]Tuyến cáp H04'!$B:$E,4,0)</f>
        <v>#N/A</v>
      </c>
    </row>
    <row r="1137" spans="1:36" x14ac:dyDescent="0.25">
      <c r="A1137" s="1" t="s">
        <v>10932</v>
      </c>
      <c r="B1137" s="1" t="s">
        <v>10933</v>
      </c>
      <c r="C1137" s="1" t="s">
        <v>10934</v>
      </c>
      <c r="D1137" s="1" t="s">
        <v>8554</v>
      </c>
      <c r="E1137" s="1" t="s">
        <v>8555</v>
      </c>
      <c r="F1137" s="1" t="s">
        <v>10935</v>
      </c>
      <c r="G1137" s="1" t="s">
        <v>14281</v>
      </c>
      <c r="H1137" s="1" t="s">
        <v>14282</v>
      </c>
      <c r="I1137" s="1" t="s">
        <v>15246</v>
      </c>
      <c r="J1137" s="1" t="s">
        <v>23</v>
      </c>
      <c r="K1137" s="1"/>
      <c r="L1137" s="1" t="s">
        <v>10099</v>
      </c>
      <c r="M1137" s="1" t="s">
        <v>10936</v>
      </c>
      <c r="N1137" s="1" t="s">
        <v>10937</v>
      </c>
      <c r="O1137" s="1" t="s">
        <v>10938</v>
      </c>
      <c r="P1137" s="1" t="s">
        <v>10939</v>
      </c>
      <c r="Q1137" s="1" t="s">
        <v>10940</v>
      </c>
      <c r="R1137" s="1" t="s">
        <v>10941</v>
      </c>
      <c r="S1137" s="1" t="s">
        <v>10942</v>
      </c>
      <c r="T1137" s="1" t="s">
        <v>10943</v>
      </c>
      <c r="U1137">
        <v>154.06</v>
      </c>
      <c r="V1137">
        <v>121.17</v>
      </c>
      <c r="W1137">
        <v>12.684739</v>
      </c>
      <c r="X1137">
        <v>108.052206</v>
      </c>
      <c r="Y1137">
        <v>32.89</v>
      </c>
      <c r="Z1137">
        <v>12.684350999999999</v>
      </c>
      <c r="AA1137">
        <v>108.05250100000001</v>
      </c>
      <c r="AB1137" s="5">
        <f t="shared" si="103"/>
        <v>0.181755</v>
      </c>
      <c r="AC1137" s="5">
        <f t="shared" si="104"/>
        <v>4.9335000000000004E-2</v>
      </c>
      <c r="AD1137" s="1" t="str">
        <f t="shared" si="105"/>
        <v>CAT Đắk Lắk</v>
      </c>
      <c r="AE1137" s="1" t="str">
        <f t="shared" si="106"/>
        <v>Thành Nhất</v>
      </c>
      <c r="AG1137">
        <f t="shared" si="107"/>
        <v>0.12117</v>
      </c>
      <c r="AH1137">
        <f t="shared" si="108"/>
        <v>3.2890000000000003E-2</v>
      </c>
      <c r="AI1137">
        <f>VLOOKUP(L1137,'[1]Tuyến cáp H04'!$B:$E,3,0)/1000</f>
        <v>4.242</v>
      </c>
      <c r="AJ1137" t="str">
        <f>VLOOKUP(L1137,'[1]Tuyến cáp H04'!$B:$E,4,0)</f>
        <v>Mạng cấp 4</v>
      </c>
    </row>
    <row r="1138" spans="1:36" x14ac:dyDescent="0.25">
      <c r="A1138" s="1" t="s">
        <v>10944</v>
      </c>
      <c r="B1138" s="1" t="s">
        <v>10945</v>
      </c>
      <c r="C1138" s="1" t="s">
        <v>10946</v>
      </c>
      <c r="D1138" s="1" t="s">
        <v>8554</v>
      </c>
      <c r="E1138" s="1" t="s">
        <v>8555</v>
      </c>
      <c r="F1138" s="1" t="s">
        <v>10947</v>
      </c>
      <c r="G1138" s="1" t="s">
        <v>14281</v>
      </c>
      <c r="H1138" s="1" t="s">
        <v>14282</v>
      </c>
      <c r="I1138" s="1" t="s">
        <v>15247</v>
      </c>
      <c r="J1138" s="1" t="s">
        <v>23</v>
      </c>
      <c r="K1138" s="1"/>
      <c r="L1138" s="1" t="s">
        <v>9043</v>
      </c>
      <c r="M1138" s="1" t="s">
        <v>10948</v>
      </c>
      <c r="N1138" s="1" t="s">
        <v>10949</v>
      </c>
      <c r="O1138" s="1" t="s">
        <v>10950</v>
      </c>
      <c r="P1138" s="1" t="s">
        <v>10951</v>
      </c>
      <c r="Q1138" s="1" t="s">
        <v>9045</v>
      </c>
      <c r="R1138" s="1" t="s">
        <v>9046</v>
      </c>
      <c r="S1138" s="1" t="s">
        <v>9047</v>
      </c>
      <c r="T1138" s="1" t="s">
        <v>9051</v>
      </c>
      <c r="U1138">
        <v>520.25</v>
      </c>
      <c r="V1138">
        <v>294.37</v>
      </c>
      <c r="W1138">
        <v>12.682585</v>
      </c>
      <c r="X1138">
        <v>108.054059</v>
      </c>
      <c r="Y1138">
        <v>225.88</v>
      </c>
      <c r="Z1138">
        <v>12.683052999999999</v>
      </c>
      <c r="AA1138">
        <v>108.05115600000001</v>
      </c>
      <c r="AB1138" s="5">
        <f t="shared" si="103"/>
        <v>0.44155500000000003</v>
      </c>
      <c r="AC1138" s="5">
        <f t="shared" si="104"/>
        <v>0.33882000000000001</v>
      </c>
      <c r="AD1138" s="1" t="str">
        <f t="shared" si="105"/>
        <v>TT1 Đăk Lăk</v>
      </c>
      <c r="AE1138" s="1" t="str">
        <f t="shared" si="106"/>
        <v>ILA Ea Pal</v>
      </c>
      <c r="AG1138">
        <f t="shared" si="107"/>
        <v>0.29437000000000002</v>
      </c>
      <c r="AH1138">
        <f t="shared" si="108"/>
        <v>0.22588</v>
      </c>
      <c r="AI1138" t="e">
        <f>VLOOKUP(L1138,'[1]Tuyến cáp H04'!$B:$E,3,0)/1000</f>
        <v>#N/A</v>
      </c>
      <c r="AJ1138" t="e">
        <f>VLOOKUP(L1138,'[1]Tuyến cáp H04'!$B:$E,4,0)</f>
        <v>#N/A</v>
      </c>
    </row>
    <row r="1139" spans="1:36" x14ac:dyDescent="0.25">
      <c r="A1139" s="1" t="s">
        <v>10952</v>
      </c>
      <c r="B1139" s="1" t="s">
        <v>9027</v>
      </c>
      <c r="C1139" s="1" t="s">
        <v>9028</v>
      </c>
      <c r="D1139" s="1" t="s">
        <v>10953</v>
      </c>
      <c r="E1139" s="1" t="s">
        <v>10954</v>
      </c>
      <c r="F1139" s="1" t="s">
        <v>10955</v>
      </c>
      <c r="G1139" s="1" t="s">
        <v>14281</v>
      </c>
      <c r="H1139" s="1" t="s">
        <v>14282</v>
      </c>
      <c r="I1139" s="1" t="s">
        <v>15248</v>
      </c>
      <c r="J1139" s="1" t="s">
        <v>23</v>
      </c>
      <c r="K1139" s="1"/>
      <c r="L1139" s="1" t="s">
        <v>9030</v>
      </c>
      <c r="M1139" s="1" t="s">
        <v>10956</v>
      </c>
      <c r="N1139" s="1" t="s">
        <v>9035</v>
      </c>
      <c r="O1139" s="1" t="s">
        <v>9036</v>
      </c>
      <c r="P1139" s="1" t="s">
        <v>9037</v>
      </c>
      <c r="Q1139" s="1" t="s">
        <v>10957</v>
      </c>
      <c r="R1139" s="1" t="s">
        <v>9036</v>
      </c>
      <c r="S1139" s="1" t="s">
        <v>9037</v>
      </c>
      <c r="T1139" s="1" t="s">
        <v>9038</v>
      </c>
      <c r="U1139">
        <v>819.03</v>
      </c>
      <c r="V1139">
        <v>3.41</v>
      </c>
      <c r="W1139">
        <v>12.673265000000001</v>
      </c>
      <c r="X1139">
        <v>108.03362799999999</v>
      </c>
      <c r="Y1139">
        <v>815.63</v>
      </c>
      <c r="Z1139">
        <v>12.673265000000001</v>
      </c>
      <c r="AA1139">
        <v>108.03362799999999</v>
      </c>
      <c r="AB1139" s="5">
        <f t="shared" si="103"/>
        <v>5.1150000000000006E-3</v>
      </c>
      <c r="AC1139" s="5">
        <f t="shared" si="104"/>
        <v>1.2234449999999999</v>
      </c>
      <c r="AD1139" s="1" t="str">
        <f t="shared" si="105"/>
        <v>Trung tâm huấn luyện PX01</v>
      </c>
      <c r="AE1139" s="1" t="str">
        <f t="shared" si="106"/>
        <v>TT1 Đăk Lăk</v>
      </c>
      <c r="AG1139">
        <f t="shared" si="107"/>
        <v>3.4100000000000003E-3</v>
      </c>
      <c r="AH1139">
        <f t="shared" si="108"/>
        <v>0.81562999999999997</v>
      </c>
      <c r="AI1139">
        <f>VLOOKUP(L1139,'[1]Tuyến cáp H04'!$B:$E,3,0)/1000</f>
        <v>3.3519999999999999</v>
      </c>
      <c r="AJ1139" t="str">
        <f>VLOOKUP(L1139,'[1]Tuyến cáp H04'!$B:$E,4,0)</f>
        <v>Mạng cấp 3</v>
      </c>
    </row>
    <row r="1140" spans="1:36" x14ac:dyDescent="0.25">
      <c r="A1140" s="1" t="s">
        <v>10958</v>
      </c>
      <c r="B1140" s="1" t="s">
        <v>10959</v>
      </c>
      <c r="C1140" s="1" t="s">
        <v>10960</v>
      </c>
      <c r="D1140" s="1" t="s">
        <v>9053</v>
      </c>
      <c r="E1140" s="1" t="s">
        <v>9054</v>
      </c>
      <c r="F1140" s="1" t="s">
        <v>10961</v>
      </c>
      <c r="G1140" s="1" t="s">
        <v>14281</v>
      </c>
      <c r="H1140" s="1" t="s">
        <v>14282</v>
      </c>
      <c r="I1140" s="1" t="s">
        <v>15249</v>
      </c>
      <c r="J1140" s="1" t="s">
        <v>23</v>
      </c>
      <c r="K1140" s="1"/>
      <c r="L1140" s="1" t="s">
        <v>8557</v>
      </c>
      <c r="M1140" s="1" t="s">
        <v>10962</v>
      </c>
      <c r="N1140" s="1" t="s">
        <v>10963</v>
      </c>
      <c r="O1140" s="1" t="s">
        <v>10964</v>
      </c>
      <c r="P1140" s="1" t="s">
        <v>10965</v>
      </c>
      <c r="Q1140" s="1" t="s">
        <v>10966</v>
      </c>
      <c r="R1140" s="1" t="s">
        <v>10967</v>
      </c>
      <c r="S1140" s="1" t="s">
        <v>10968</v>
      </c>
      <c r="T1140" s="1" t="s">
        <v>10969</v>
      </c>
      <c r="U1140">
        <v>458.86</v>
      </c>
      <c r="V1140">
        <v>425.3</v>
      </c>
      <c r="W1140">
        <v>12.65441</v>
      </c>
      <c r="X1140">
        <v>108.025854</v>
      </c>
      <c r="Y1140">
        <v>33.56</v>
      </c>
      <c r="Z1140">
        <v>12.659758</v>
      </c>
      <c r="AA1140">
        <v>108.03031</v>
      </c>
      <c r="AB1140" s="5">
        <f t="shared" si="103"/>
        <v>0.63795000000000002</v>
      </c>
      <c r="AC1140" s="5">
        <f t="shared" si="104"/>
        <v>5.0340000000000003E-2</v>
      </c>
      <c r="AD1140" s="1" t="str">
        <f t="shared" si="105"/>
        <v>TT1 Đăk Lăk</v>
      </c>
      <c r="AE1140" s="1" t="str">
        <f t="shared" si="106"/>
        <v>KRông Ana</v>
      </c>
      <c r="AG1140">
        <f t="shared" si="107"/>
        <v>0.42530000000000001</v>
      </c>
      <c r="AH1140">
        <f t="shared" si="108"/>
        <v>3.356E-2</v>
      </c>
      <c r="AI1140">
        <f>VLOOKUP(L1140,'[1]Tuyến cáp H04'!$B:$E,3,0)/1000</f>
        <v>30.666</v>
      </c>
      <c r="AJ1140" t="str">
        <f>VLOOKUP(L1140,'[1]Tuyến cáp H04'!$B:$E,4,0)</f>
        <v>Mạng cấp 3</v>
      </c>
    </row>
    <row r="1141" spans="1:36" x14ac:dyDescent="0.25">
      <c r="A1141" s="1" t="s">
        <v>10970</v>
      </c>
      <c r="B1141" s="1" t="s">
        <v>8834</v>
      </c>
      <c r="C1141" s="1" t="s">
        <v>8835</v>
      </c>
      <c r="D1141" s="1" t="s">
        <v>8554</v>
      </c>
      <c r="E1141" s="1" t="s">
        <v>8555</v>
      </c>
      <c r="F1141" s="1" t="s">
        <v>10971</v>
      </c>
      <c r="G1141" s="1" t="s">
        <v>14281</v>
      </c>
      <c r="H1141" s="1" t="s">
        <v>14282</v>
      </c>
      <c r="I1141" s="1" t="s">
        <v>15250</v>
      </c>
      <c r="J1141" s="1" t="s">
        <v>23</v>
      </c>
      <c r="K1141" s="1"/>
      <c r="L1141" s="1" t="s">
        <v>10099</v>
      </c>
      <c r="M1141" s="1" t="s">
        <v>10972</v>
      </c>
      <c r="N1141" s="1" t="s">
        <v>10973</v>
      </c>
      <c r="O1141" s="1" t="s">
        <v>10938</v>
      </c>
      <c r="P1141" s="1" t="s">
        <v>10939</v>
      </c>
      <c r="Q1141" s="1" t="s">
        <v>10940</v>
      </c>
      <c r="R1141" s="1" t="s">
        <v>10941</v>
      </c>
      <c r="S1141" s="1" t="s">
        <v>10942</v>
      </c>
      <c r="T1141" s="1" t="s">
        <v>10943</v>
      </c>
      <c r="U1141">
        <v>678.26</v>
      </c>
      <c r="V1141">
        <v>645.36</v>
      </c>
      <c r="W1141">
        <v>12.684739</v>
      </c>
      <c r="X1141">
        <v>108.052206</v>
      </c>
      <c r="Y1141">
        <v>32.89</v>
      </c>
      <c r="Z1141">
        <v>12.684350999999999</v>
      </c>
      <c r="AA1141">
        <v>108.05250100000001</v>
      </c>
      <c r="AB1141" s="5">
        <f t="shared" si="103"/>
        <v>0.96804000000000001</v>
      </c>
      <c r="AC1141" s="5">
        <f t="shared" si="104"/>
        <v>4.9335000000000004E-2</v>
      </c>
      <c r="AD1141" s="1" t="str">
        <f t="shared" si="105"/>
        <v>CAT Đắk Lắk</v>
      </c>
      <c r="AE1141" s="1" t="str">
        <f t="shared" si="106"/>
        <v>Thành Nhất</v>
      </c>
      <c r="AG1141">
        <f t="shared" si="107"/>
        <v>0.64536000000000004</v>
      </c>
      <c r="AH1141">
        <f t="shared" si="108"/>
        <v>3.2890000000000003E-2</v>
      </c>
      <c r="AI1141">
        <f>VLOOKUP(L1141,'[1]Tuyến cáp H04'!$B:$E,3,0)/1000</f>
        <v>4.242</v>
      </c>
      <c r="AJ1141" t="str">
        <f>VLOOKUP(L1141,'[1]Tuyến cáp H04'!$B:$E,4,0)</f>
        <v>Mạng cấp 4</v>
      </c>
    </row>
    <row r="1142" spans="1:36" x14ac:dyDescent="0.25">
      <c r="A1142" s="1" t="s">
        <v>10974</v>
      </c>
      <c r="B1142" s="1" t="s">
        <v>10975</v>
      </c>
      <c r="C1142" s="1" t="s">
        <v>10976</v>
      </c>
      <c r="D1142" s="1" t="s">
        <v>8834</v>
      </c>
      <c r="E1142" s="1" t="s">
        <v>8835</v>
      </c>
      <c r="F1142" s="1" t="s">
        <v>10977</v>
      </c>
      <c r="G1142" s="1" t="s">
        <v>14281</v>
      </c>
      <c r="H1142" s="1" t="s">
        <v>14282</v>
      </c>
      <c r="I1142" s="1" t="s">
        <v>15251</v>
      </c>
      <c r="J1142" s="1" t="s">
        <v>23</v>
      </c>
      <c r="K1142" s="1"/>
      <c r="L1142" s="1" t="s">
        <v>8572</v>
      </c>
      <c r="M1142" s="1" t="s">
        <v>10978</v>
      </c>
      <c r="N1142" s="1" t="s">
        <v>10979</v>
      </c>
      <c r="O1142" s="1" t="s">
        <v>8575</v>
      </c>
      <c r="P1142" s="1" t="s">
        <v>8576</v>
      </c>
      <c r="Q1142" s="1" t="s">
        <v>8838</v>
      </c>
      <c r="R1142" s="1" t="s">
        <v>8839</v>
      </c>
      <c r="S1142" s="1" t="s">
        <v>8840</v>
      </c>
      <c r="T1142" s="1" t="s">
        <v>8580</v>
      </c>
      <c r="U1142">
        <v>337.19</v>
      </c>
      <c r="V1142">
        <v>275.70999999999998</v>
      </c>
      <c r="W1142">
        <v>12.685477000000001</v>
      </c>
      <c r="X1142">
        <v>108.0461</v>
      </c>
      <c r="Y1142">
        <v>61.48</v>
      </c>
      <c r="Z1142">
        <v>12.688961000000001</v>
      </c>
      <c r="AA1142">
        <v>108.047808</v>
      </c>
      <c r="AB1142" s="5">
        <f t="shared" si="103"/>
        <v>0.41356499999999996</v>
      </c>
      <c r="AC1142" s="5">
        <f t="shared" si="104"/>
        <v>9.2219999999999996E-2</v>
      </c>
      <c r="AD1142" s="1" t="str">
        <f t="shared" si="105"/>
        <v>CAT Đắk Lắk</v>
      </c>
      <c r="AE1142" s="1" t="str">
        <f t="shared" si="106"/>
        <v>Buôn Ma Thuột</v>
      </c>
      <c r="AG1142">
        <f t="shared" si="107"/>
        <v>0.27570999999999996</v>
      </c>
      <c r="AH1142">
        <f t="shared" si="108"/>
        <v>6.148E-2</v>
      </c>
      <c r="AI1142">
        <f>VLOOKUP(L1142,'[1]Tuyến cáp H04'!$B:$E,3,0)/1000</f>
        <v>5.4139999999999997</v>
      </c>
      <c r="AJ1142" t="str">
        <f>VLOOKUP(L1142,'[1]Tuyến cáp H04'!$B:$E,4,0)</f>
        <v>Mạng cấp 4</v>
      </c>
    </row>
    <row r="1143" spans="1:36" x14ac:dyDescent="0.25">
      <c r="A1143" s="1" t="s">
        <v>10980</v>
      </c>
      <c r="B1143" s="1" t="s">
        <v>8362</v>
      </c>
      <c r="C1143" s="1" t="s">
        <v>10097</v>
      </c>
      <c r="D1143" s="1" t="s">
        <v>10975</v>
      </c>
      <c r="E1143" s="1" t="s">
        <v>10976</v>
      </c>
      <c r="F1143" s="1" t="s">
        <v>10981</v>
      </c>
      <c r="G1143" s="1" t="s">
        <v>14281</v>
      </c>
      <c r="H1143" s="1" t="s">
        <v>14282</v>
      </c>
      <c r="I1143" s="1" t="s">
        <v>15252</v>
      </c>
      <c r="J1143" s="1" t="s">
        <v>23</v>
      </c>
      <c r="K1143" s="1"/>
      <c r="L1143" s="1" t="s">
        <v>10099</v>
      </c>
      <c r="M1143" s="1" t="s">
        <v>10982</v>
      </c>
      <c r="N1143" s="1" t="s">
        <v>10983</v>
      </c>
      <c r="O1143" s="1" t="s">
        <v>10984</v>
      </c>
      <c r="P1143" s="1" t="s">
        <v>10985</v>
      </c>
      <c r="Q1143" s="1" t="s">
        <v>10986</v>
      </c>
      <c r="R1143" s="1" t="s">
        <v>10987</v>
      </c>
      <c r="S1143" s="1" t="s">
        <v>10988</v>
      </c>
      <c r="T1143" s="1" t="s">
        <v>10989</v>
      </c>
      <c r="U1143">
        <v>494.22</v>
      </c>
      <c r="V1143">
        <v>44.83</v>
      </c>
      <c r="W1143">
        <v>12.682617</v>
      </c>
      <c r="X1143">
        <v>108.03487800000001</v>
      </c>
      <c r="Y1143">
        <v>449.38</v>
      </c>
      <c r="Z1143">
        <v>12.682357</v>
      </c>
      <c r="AA1143">
        <v>108.040542</v>
      </c>
      <c r="AB1143" s="5">
        <f t="shared" si="103"/>
        <v>6.7244999999999999E-2</v>
      </c>
      <c r="AC1143" s="5">
        <f t="shared" si="104"/>
        <v>0.67406999999999995</v>
      </c>
      <c r="AD1143" s="1" t="str">
        <f t="shared" si="105"/>
        <v>CAT Đắk Lắk</v>
      </c>
      <c r="AE1143" s="1" t="str">
        <f t="shared" si="106"/>
        <v>Thành Nhất</v>
      </c>
      <c r="AG1143">
        <f t="shared" si="107"/>
        <v>4.4829999999999995E-2</v>
      </c>
      <c r="AH1143">
        <f t="shared" si="108"/>
        <v>0.44938</v>
      </c>
      <c r="AI1143">
        <f>VLOOKUP(L1143,'[1]Tuyến cáp H04'!$B:$E,3,0)/1000</f>
        <v>4.242</v>
      </c>
      <c r="AJ1143" t="str">
        <f>VLOOKUP(L1143,'[1]Tuyến cáp H04'!$B:$E,4,0)</f>
        <v>Mạng cấp 4</v>
      </c>
    </row>
    <row r="1144" spans="1:36" x14ac:dyDescent="0.25">
      <c r="A1144" s="1" t="s">
        <v>10990</v>
      </c>
      <c r="B1144" s="1" t="s">
        <v>10991</v>
      </c>
      <c r="C1144" s="1" t="s">
        <v>10992</v>
      </c>
      <c r="D1144" s="1" t="s">
        <v>10993</v>
      </c>
      <c r="E1144" s="1" t="s">
        <v>10994</v>
      </c>
      <c r="F1144" s="1" t="s">
        <v>10995</v>
      </c>
      <c r="G1144" s="1" t="s">
        <v>14129</v>
      </c>
      <c r="H1144" s="1" t="s">
        <v>14133</v>
      </c>
      <c r="I1144" s="1" t="s">
        <v>15253</v>
      </c>
      <c r="J1144" s="1" t="s">
        <v>23</v>
      </c>
      <c r="K1144" s="1"/>
      <c r="L1144" s="1" t="s">
        <v>10996</v>
      </c>
      <c r="M1144" s="1" t="s">
        <v>10997</v>
      </c>
      <c r="N1144" s="1" t="s">
        <v>10998</v>
      </c>
      <c r="O1144" s="1" t="s">
        <v>10999</v>
      </c>
      <c r="P1144" s="1" t="s">
        <v>11000</v>
      </c>
      <c r="Q1144" s="1" t="s">
        <v>11001</v>
      </c>
      <c r="R1144" s="1" t="s">
        <v>11002</v>
      </c>
      <c r="S1144" s="1" t="s">
        <v>11003</v>
      </c>
      <c r="T1144" s="1" t="s">
        <v>11004</v>
      </c>
      <c r="U1144">
        <v>659.88</v>
      </c>
      <c r="V1144">
        <v>44.67</v>
      </c>
      <c r="W1144">
        <v>16.016590000000001</v>
      </c>
      <c r="X1144">
        <v>108.203738</v>
      </c>
      <c r="Y1144">
        <v>615.21</v>
      </c>
      <c r="Z1144">
        <v>16.018668999999999</v>
      </c>
      <c r="AA1144">
        <v>108.197982</v>
      </c>
      <c r="AB1144" s="5">
        <f t="shared" si="103"/>
        <v>6.7004999999999995E-2</v>
      </c>
      <c r="AC1144" s="5">
        <f t="shared" si="104"/>
        <v>0.92281500000000005</v>
      </c>
      <c r="AD1144" s="1" t="str">
        <f t="shared" si="105"/>
        <v>A06 (CS1)</v>
      </c>
      <c r="AE1144" s="1" t="str">
        <f t="shared" si="106"/>
        <v>H03</v>
      </c>
      <c r="AG1144">
        <f t="shared" si="107"/>
        <v>4.4670000000000001E-2</v>
      </c>
      <c r="AH1144">
        <f t="shared" si="108"/>
        <v>0.61521000000000003</v>
      </c>
      <c r="AI1144" t="e">
        <f>VLOOKUP(L1144,'[1]Tuyến cáp H04'!$B:$E,3,0)/1000</f>
        <v>#N/A</v>
      </c>
      <c r="AJ1144" t="e">
        <f>VLOOKUP(L1144,'[1]Tuyến cáp H04'!$B:$E,4,0)</f>
        <v>#N/A</v>
      </c>
    </row>
    <row r="1145" spans="1:36" x14ac:dyDescent="0.25">
      <c r="A1145" s="1" t="s">
        <v>11005</v>
      </c>
      <c r="B1145" s="1" t="s">
        <v>10991</v>
      </c>
      <c r="C1145" s="1" t="s">
        <v>10992</v>
      </c>
      <c r="D1145" s="1" t="s">
        <v>11006</v>
      </c>
      <c r="E1145" s="1" t="s">
        <v>11007</v>
      </c>
      <c r="F1145" s="1" t="s">
        <v>11008</v>
      </c>
      <c r="G1145" s="1" t="s">
        <v>14129</v>
      </c>
      <c r="H1145" s="1" t="s">
        <v>14532</v>
      </c>
      <c r="I1145" s="1" t="s">
        <v>15254</v>
      </c>
      <c r="J1145" s="1" t="s">
        <v>23</v>
      </c>
      <c r="K1145" s="1"/>
      <c r="L1145" s="1" t="s">
        <v>11009</v>
      </c>
      <c r="M1145" s="1" t="s">
        <v>11010</v>
      </c>
      <c r="N1145" s="1" t="s">
        <v>11011</v>
      </c>
      <c r="O1145" s="1" t="s">
        <v>11012</v>
      </c>
      <c r="P1145" s="1" t="s">
        <v>11013</v>
      </c>
      <c r="Q1145" s="1" t="s">
        <v>11014</v>
      </c>
      <c r="R1145" s="1" t="s">
        <v>11015</v>
      </c>
      <c r="S1145" s="1" t="s">
        <v>11016</v>
      </c>
      <c r="T1145" s="1" t="s">
        <v>11017</v>
      </c>
      <c r="U1145">
        <v>1023.05</v>
      </c>
      <c r="V1145">
        <v>959.24</v>
      </c>
      <c r="W1145">
        <v>16.020675000000001</v>
      </c>
      <c r="X1145">
        <v>108.21158</v>
      </c>
      <c r="Y1145">
        <v>63.82</v>
      </c>
      <c r="Z1145">
        <v>16.036673</v>
      </c>
      <c r="AA1145">
        <v>108.20980400000001</v>
      </c>
      <c r="AB1145" s="5">
        <f t="shared" si="103"/>
        <v>1.43886</v>
      </c>
      <c r="AC1145" s="5">
        <f t="shared" si="104"/>
        <v>9.573000000000001E-2</v>
      </c>
      <c r="AD1145" s="1" t="str">
        <f t="shared" si="105"/>
        <v>TT1 Đà Nẵng</v>
      </c>
      <c r="AE1145" s="1" t="str">
        <f t="shared" si="106"/>
        <v>Cẩm Lệ</v>
      </c>
      <c r="AG1145">
        <f t="shared" si="107"/>
        <v>0.95923999999999998</v>
      </c>
      <c r="AH1145">
        <f t="shared" si="108"/>
        <v>6.3820000000000002E-2</v>
      </c>
      <c r="AI1145">
        <f>VLOOKUP(L1145,'[1]Tuyến cáp H04'!$B:$E,3,0)/1000</f>
        <v>8.4979999999999993</v>
      </c>
      <c r="AJ1145" t="str">
        <f>VLOOKUP(L1145,'[1]Tuyến cáp H04'!$B:$E,4,0)</f>
        <v>Mạng cấp 3</v>
      </c>
    </row>
    <row r="1146" spans="1:36" x14ac:dyDescent="0.25">
      <c r="A1146" s="1" t="s">
        <v>11018</v>
      </c>
      <c r="B1146" s="1" t="s">
        <v>10991</v>
      </c>
      <c r="C1146" s="1" t="s">
        <v>10992</v>
      </c>
      <c r="D1146" s="1" t="s">
        <v>11019</v>
      </c>
      <c r="E1146" s="1" t="s">
        <v>11020</v>
      </c>
      <c r="F1146" s="1" t="s">
        <v>11021</v>
      </c>
      <c r="G1146" s="1" t="s">
        <v>14129</v>
      </c>
      <c r="H1146" s="1" t="s">
        <v>14133</v>
      </c>
      <c r="I1146" s="1" t="s">
        <v>15255</v>
      </c>
      <c r="J1146" s="1" t="s">
        <v>23</v>
      </c>
      <c r="K1146" s="1"/>
      <c r="L1146" s="1" t="s">
        <v>11022</v>
      </c>
      <c r="M1146" s="1" t="s">
        <v>11023</v>
      </c>
      <c r="N1146" s="1" t="s">
        <v>11024</v>
      </c>
      <c r="O1146" s="1" t="s">
        <v>11025</v>
      </c>
      <c r="P1146" s="1" t="s">
        <v>11026</v>
      </c>
      <c r="Q1146" s="1" t="s">
        <v>11027</v>
      </c>
      <c r="R1146" s="1" t="s">
        <v>11028</v>
      </c>
      <c r="S1146" s="1" t="s">
        <v>11029</v>
      </c>
      <c r="T1146" s="1" t="s">
        <v>11030</v>
      </c>
      <c r="U1146">
        <v>404.42</v>
      </c>
      <c r="V1146">
        <v>2.15</v>
      </c>
      <c r="W1146">
        <v>16.016921</v>
      </c>
      <c r="X1146">
        <v>108.20348</v>
      </c>
      <c r="Y1146">
        <v>402.26</v>
      </c>
      <c r="Z1146">
        <v>16.010182</v>
      </c>
      <c r="AA1146">
        <v>108.19343600000001</v>
      </c>
      <c r="AB1146" s="5">
        <f t="shared" si="103"/>
        <v>3.2249999999999996E-3</v>
      </c>
      <c r="AC1146" s="5">
        <f t="shared" si="104"/>
        <v>0.60338999999999998</v>
      </c>
      <c r="AD1146" s="1" t="str">
        <f t="shared" si="105"/>
        <v>Hòa Xuân</v>
      </c>
      <c r="AE1146" s="1" t="str">
        <f t="shared" si="106"/>
        <v>TTKV Cẩm Lệ</v>
      </c>
      <c r="AG1146">
        <f t="shared" si="107"/>
        <v>2.15E-3</v>
      </c>
      <c r="AH1146">
        <f t="shared" si="108"/>
        <v>0.40226000000000001</v>
      </c>
      <c r="AI1146" t="e">
        <f>VLOOKUP(L1146,'[1]Tuyến cáp H04'!$B:$E,3,0)/1000</f>
        <v>#N/A</v>
      </c>
      <c r="AJ1146" t="e">
        <f>VLOOKUP(L1146,'[1]Tuyến cáp H04'!$B:$E,4,0)</f>
        <v>#N/A</v>
      </c>
    </row>
    <row r="1147" spans="1:36" x14ac:dyDescent="0.25">
      <c r="A1147" s="1" t="s">
        <v>11031</v>
      </c>
      <c r="B1147" s="1" t="s">
        <v>10991</v>
      </c>
      <c r="C1147" s="1" t="s">
        <v>10992</v>
      </c>
      <c r="D1147" s="1" t="s">
        <v>11032</v>
      </c>
      <c r="E1147" s="1" t="s">
        <v>11033</v>
      </c>
      <c r="F1147" s="1" t="s">
        <v>11034</v>
      </c>
      <c r="G1147" s="1" t="s">
        <v>14129</v>
      </c>
      <c r="H1147" s="1" t="s">
        <v>14133</v>
      </c>
      <c r="I1147" s="1" t="s">
        <v>15256</v>
      </c>
      <c r="J1147" s="1" t="s">
        <v>23</v>
      </c>
      <c r="K1147" s="1"/>
      <c r="L1147" s="1" t="s">
        <v>10996</v>
      </c>
      <c r="M1147" s="1" t="s">
        <v>11035</v>
      </c>
      <c r="N1147" s="1" t="s">
        <v>10998</v>
      </c>
      <c r="O1147" s="1" t="s">
        <v>10999</v>
      </c>
      <c r="P1147" s="1" t="s">
        <v>11000</v>
      </c>
      <c r="Q1147" s="1" t="s">
        <v>11036</v>
      </c>
      <c r="R1147" s="1" t="s">
        <v>11037</v>
      </c>
      <c r="S1147" s="1" t="s">
        <v>11038</v>
      </c>
      <c r="T1147" s="1" t="s">
        <v>11004</v>
      </c>
      <c r="U1147">
        <v>318.83999999999997</v>
      </c>
      <c r="V1147">
        <v>44.67</v>
      </c>
      <c r="W1147">
        <v>16.016590000000001</v>
      </c>
      <c r="X1147">
        <v>108.203738</v>
      </c>
      <c r="Y1147">
        <v>274.17</v>
      </c>
      <c r="Z1147">
        <v>16.018421</v>
      </c>
      <c r="AA1147">
        <v>108.19808500000001</v>
      </c>
      <c r="AB1147" s="5">
        <f t="shared" si="103"/>
        <v>6.7004999999999995E-2</v>
      </c>
      <c r="AC1147" s="5">
        <f t="shared" si="104"/>
        <v>0.41125499999999998</v>
      </c>
      <c r="AD1147" s="1" t="str">
        <f t="shared" si="105"/>
        <v>A06 (CS1)</v>
      </c>
      <c r="AE1147" s="1" t="str">
        <f t="shared" si="106"/>
        <v>H03</v>
      </c>
      <c r="AG1147">
        <f t="shared" si="107"/>
        <v>4.4670000000000001E-2</v>
      </c>
      <c r="AH1147">
        <f t="shared" si="108"/>
        <v>0.27417000000000002</v>
      </c>
      <c r="AI1147" t="e">
        <f>VLOOKUP(L1147,'[1]Tuyến cáp H04'!$B:$E,3,0)/1000</f>
        <v>#N/A</v>
      </c>
      <c r="AJ1147" t="e">
        <f>VLOOKUP(L1147,'[1]Tuyến cáp H04'!$B:$E,4,0)</f>
        <v>#N/A</v>
      </c>
    </row>
    <row r="1148" spans="1:36" x14ac:dyDescent="0.25">
      <c r="A1148" s="1" t="s">
        <v>11039</v>
      </c>
      <c r="B1148" s="1" t="s">
        <v>11040</v>
      </c>
      <c r="C1148" s="1" t="s">
        <v>11041</v>
      </c>
      <c r="D1148" s="1" t="s">
        <v>11042</v>
      </c>
      <c r="E1148" s="1" t="s">
        <v>11043</v>
      </c>
      <c r="F1148" s="1" t="s">
        <v>11044</v>
      </c>
      <c r="G1148" s="1" t="s">
        <v>14129</v>
      </c>
      <c r="H1148" s="1" t="s">
        <v>14133</v>
      </c>
      <c r="I1148" s="1" t="s">
        <v>15257</v>
      </c>
      <c r="J1148" s="1" t="s">
        <v>23</v>
      </c>
      <c r="K1148" s="1"/>
      <c r="L1148" s="1" t="s">
        <v>11045</v>
      </c>
      <c r="M1148" s="1" t="s">
        <v>11046</v>
      </c>
      <c r="N1148" s="1" t="s">
        <v>11047</v>
      </c>
      <c r="O1148" s="1" t="s">
        <v>11048</v>
      </c>
      <c r="P1148" s="1" t="s">
        <v>11049</v>
      </c>
      <c r="Q1148" s="1" t="s">
        <v>11050</v>
      </c>
      <c r="R1148" s="1" t="s">
        <v>11051</v>
      </c>
      <c r="S1148" s="1" t="s">
        <v>11052</v>
      </c>
      <c r="T1148" s="1" t="s">
        <v>11053</v>
      </c>
      <c r="U1148">
        <v>43.62</v>
      </c>
      <c r="V1148">
        <v>27.45</v>
      </c>
      <c r="W1148">
        <v>16.077317000000001</v>
      </c>
      <c r="X1148">
        <v>108.21924799999999</v>
      </c>
      <c r="Y1148">
        <v>16.170000000000002</v>
      </c>
      <c r="Z1148">
        <v>16.067585999999999</v>
      </c>
      <c r="AA1148">
        <v>108.21583800000001</v>
      </c>
      <c r="AB1148" s="5">
        <f t="shared" si="103"/>
        <v>4.1174999999999996E-2</v>
      </c>
      <c r="AC1148" s="5">
        <f t="shared" si="104"/>
        <v>2.4255000000000002E-2</v>
      </c>
      <c r="AD1148" s="1" t="e">
        <f t="shared" si="105"/>
        <v>#VALUE!</v>
      </c>
      <c r="AE1148" s="1" t="e">
        <f t="shared" si="106"/>
        <v>#VALUE!</v>
      </c>
      <c r="AG1148">
        <f t="shared" si="107"/>
        <v>2.7449999999999999E-2</v>
      </c>
      <c r="AH1148">
        <f t="shared" si="108"/>
        <v>1.617E-2</v>
      </c>
      <c r="AI1148" t="e">
        <f>VLOOKUP(L1148,'[1]Tuyến cáp H04'!$B:$E,3,0)/1000</f>
        <v>#N/A</v>
      </c>
      <c r="AJ1148" t="e">
        <f>VLOOKUP(L1148,'[1]Tuyến cáp H04'!$B:$E,4,0)</f>
        <v>#N/A</v>
      </c>
    </row>
    <row r="1149" spans="1:36" x14ac:dyDescent="0.25">
      <c r="A1149" s="1" t="s">
        <v>11054</v>
      </c>
      <c r="B1149" s="1" t="s">
        <v>11040</v>
      </c>
      <c r="C1149" s="1" t="s">
        <v>11041</v>
      </c>
      <c r="D1149" s="1" t="s">
        <v>11055</v>
      </c>
      <c r="E1149" s="1" t="s">
        <v>11056</v>
      </c>
      <c r="F1149" s="1" t="s">
        <v>11057</v>
      </c>
      <c r="G1149" s="1" t="s">
        <v>14129</v>
      </c>
      <c r="H1149" s="1" t="s">
        <v>14133</v>
      </c>
      <c r="I1149" s="1" t="s">
        <v>15258</v>
      </c>
      <c r="J1149" s="1" t="s">
        <v>23</v>
      </c>
      <c r="K1149" s="1"/>
      <c r="L1149" s="1" t="s">
        <v>11058</v>
      </c>
      <c r="M1149" s="1" t="s">
        <v>11059</v>
      </c>
      <c r="N1149" s="1" t="s">
        <v>11060</v>
      </c>
      <c r="O1149" s="1" t="s">
        <v>11061</v>
      </c>
      <c r="P1149" s="1" t="s">
        <v>11062</v>
      </c>
      <c r="Q1149" s="1" t="s">
        <v>11063</v>
      </c>
      <c r="R1149" s="1" t="s">
        <v>11064</v>
      </c>
      <c r="S1149" s="1" t="s">
        <v>11065</v>
      </c>
      <c r="T1149" s="1" t="s">
        <v>11066</v>
      </c>
      <c r="U1149">
        <v>144.82</v>
      </c>
      <c r="V1149">
        <v>23.59</v>
      </c>
      <c r="W1149">
        <v>16.077625999999999</v>
      </c>
      <c r="X1149">
        <v>108.21941</v>
      </c>
      <c r="Y1149">
        <v>121.23</v>
      </c>
      <c r="Z1149">
        <v>16.081696999999998</v>
      </c>
      <c r="AA1149">
        <v>108.21949499999999</v>
      </c>
      <c r="AB1149" s="5">
        <f t="shared" si="103"/>
        <v>3.5385E-2</v>
      </c>
      <c r="AC1149" s="5">
        <f t="shared" si="104"/>
        <v>0.18184500000000001</v>
      </c>
      <c r="AD1149" s="1" t="str">
        <f t="shared" si="105"/>
        <v>Sơn Trà</v>
      </c>
      <c r="AE1149" s="1" t="str">
        <f t="shared" si="106"/>
        <v>TT1 Đà Nẵng</v>
      </c>
      <c r="AG1149">
        <f t="shared" si="107"/>
        <v>2.359E-2</v>
      </c>
      <c r="AH1149">
        <f t="shared" si="108"/>
        <v>0.12123</v>
      </c>
      <c r="AI1149">
        <f>VLOOKUP(L1149,'[1]Tuyến cáp H04'!$B:$E,3,0)/1000</f>
        <v>8.64</v>
      </c>
      <c r="AJ1149" t="str">
        <f>VLOOKUP(L1149,'[1]Tuyến cáp H04'!$B:$E,4,0)</f>
        <v>Mạng cấp 3</v>
      </c>
    </row>
    <row r="1150" spans="1:36" x14ac:dyDescent="0.25">
      <c r="A1150" s="1" t="s">
        <v>11067</v>
      </c>
      <c r="B1150" s="1" t="s">
        <v>11040</v>
      </c>
      <c r="C1150" s="1" t="s">
        <v>11041</v>
      </c>
      <c r="D1150" s="1" t="s">
        <v>11068</v>
      </c>
      <c r="E1150" s="1" t="s">
        <v>11069</v>
      </c>
      <c r="F1150" s="1" t="s">
        <v>11070</v>
      </c>
      <c r="G1150" s="1" t="s">
        <v>14129</v>
      </c>
      <c r="H1150" s="1" t="s">
        <v>14133</v>
      </c>
      <c r="I1150" s="1" t="s">
        <v>15259</v>
      </c>
      <c r="J1150" s="1" t="s">
        <v>23</v>
      </c>
      <c r="K1150" s="1"/>
      <c r="L1150" s="1" t="s">
        <v>11071</v>
      </c>
      <c r="M1150" s="1" t="s">
        <v>11072</v>
      </c>
      <c r="N1150" s="1" t="s">
        <v>11073</v>
      </c>
      <c r="O1150" s="1" t="s">
        <v>11074</v>
      </c>
      <c r="P1150" s="1" t="s">
        <v>11075</v>
      </c>
      <c r="Q1150" s="1" t="s">
        <v>11076</v>
      </c>
      <c r="R1150" s="1" t="s">
        <v>11077</v>
      </c>
      <c r="S1150" s="1" t="s">
        <v>11078</v>
      </c>
      <c r="T1150" s="1" t="s">
        <v>11079</v>
      </c>
      <c r="U1150">
        <v>241.02</v>
      </c>
      <c r="V1150">
        <v>7.02</v>
      </c>
      <c r="W1150">
        <v>16.077608000000001</v>
      </c>
      <c r="X1150">
        <v>108.21924300000001</v>
      </c>
      <c r="Y1150">
        <v>233.99</v>
      </c>
      <c r="Z1150">
        <v>16.077649000000001</v>
      </c>
      <c r="AA1150">
        <v>108.22168000000001</v>
      </c>
      <c r="AB1150" s="5">
        <f t="shared" si="103"/>
        <v>1.0529999999999999E-2</v>
      </c>
      <c r="AC1150" s="5">
        <f t="shared" si="104"/>
        <v>0.35098499999999999</v>
      </c>
      <c r="AD1150" s="1" t="str">
        <f t="shared" si="105"/>
        <v>TT1 Đà Nẵng</v>
      </c>
      <c r="AE1150" s="1" t="str">
        <f t="shared" si="106"/>
        <v>Hải Châu</v>
      </c>
      <c r="AG1150">
        <f t="shared" si="107"/>
        <v>7.0199999999999993E-3</v>
      </c>
      <c r="AH1150">
        <f t="shared" si="108"/>
        <v>0.23399</v>
      </c>
      <c r="AI1150" t="e">
        <f>VLOOKUP(L1150,'[1]Tuyến cáp H04'!$B:$E,3,0)/1000</f>
        <v>#N/A</v>
      </c>
      <c r="AJ1150" t="e">
        <f>VLOOKUP(L1150,'[1]Tuyến cáp H04'!$B:$E,4,0)</f>
        <v>#N/A</v>
      </c>
    </row>
    <row r="1151" spans="1:36" x14ac:dyDescent="0.25">
      <c r="A1151" s="1" t="s">
        <v>11080</v>
      </c>
      <c r="B1151" s="1" t="s">
        <v>11081</v>
      </c>
      <c r="C1151" s="1" t="s">
        <v>11082</v>
      </c>
      <c r="D1151" s="1" t="s">
        <v>11083</v>
      </c>
      <c r="E1151" s="1" t="s">
        <v>11084</v>
      </c>
      <c r="F1151" s="1" t="s">
        <v>11085</v>
      </c>
      <c r="G1151" s="1" t="s">
        <v>14129</v>
      </c>
      <c r="H1151" s="1" t="s">
        <v>14133</v>
      </c>
      <c r="I1151" s="1" t="s">
        <v>15260</v>
      </c>
      <c r="J1151" s="1" t="s">
        <v>23</v>
      </c>
      <c r="K1151" s="1"/>
      <c r="L1151" s="1" t="s">
        <v>11086</v>
      </c>
      <c r="M1151" s="1" t="s">
        <v>11087</v>
      </c>
      <c r="N1151" s="1" t="s">
        <v>11088</v>
      </c>
      <c r="O1151" s="1" t="s">
        <v>11089</v>
      </c>
      <c r="P1151" s="1" t="s">
        <v>11090</v>
      </c>
      <c r="Q1151" s="1" t="s">
        <v>3343</v>
      </c>
      <c r="R1151" s="1" t="s">
        <v>11091</v>
      </c>
      <c r="S1151" s="1" t="s">
        <v>11092</v>
      </c>
      <c r="T1151" s="1" t="s">
        <v>11093</v>
      </c>
      <c r="U1151">
        <v>15.25</v>
      </c>
      <c r="V1151">
        <v>3.35</v>
      </c>
      <c r="W1151">
        <v>15.988075</v>
      </c>
      <c r="X1151">
        <v>108.140218</v>
      </c>
      <c r="Y1151">
        <v>11.9</v>
      </c>
      <c r="Z1151">
        <v>15.99797</v>
      </c>
      <c r="AA1151">
        <v>108.138018</v>
      </c>
      <c r="AB1151" s="5">
        <f t="shared" si="103"/>
        <v>5.025E-3</v>
      </c>
      <c r="AC1151" s="5">
        <f t="shared" si="104"/>
        <v>1.7850000000000001E-2</v>
      </c>
      <c r="AD1151" s="1" t="str">
        <f t="shared" si="105"/>
        <v>"Cơ sở cai nghiện (X. Hòa Bắc, Hòa Vang)</v>
      </c>
      <c r="AE1151" s="1" t="str">
        <f t="shared" si="106"/>
        <v xml:space="preserve">
TTCMKV Hòa Vang"</v>
      </c>
      <c r="AG1151">
        <f t="shared" si="107"/>
        <v>3.3500000000000001E-3</v>
      </c>
      <c r="AH1151">
        <f t="shared" si="108"/>
        <v>1.1900000000000001E-2</v>
      </c>
      <c r="AI1151" t="e">
        <f>VLOOKUP(L1151,'[1]Tuyến cáp H04'!$B:$E,3,0)/1000</f>
        <v>#N/A</v>
      </c>
      <c r="AJ1151" t="e">
        <f>VLOOKUP(L1151,'[1]Tuyến cáp H04'!$B:$E,4,0)</f>
        <v>#N/A</v>
      </c>
    </row>
    <row r="1152" spans="1:36" x14ac:dyDescent="0.25">
      <c r="A1152" s="1" t="s">
        <v>11094</v>
      </c>
      <c r="B1152" s="1" t="s">
        <v>11081</v>
      </c>
      <c r="C1152" s="1" t="s">
        <v>11082</v>
      </c>
      <c r="D1152" s="1" t="s">
        <v>11095</v>
      </c>
      <c r="E1152" s="1" t="s">
        <v>11096</v>
      </c>
      <c r="F1152" s="1" t="s">
        <v>11097</v>
      </c>
      <c r="G1152" s="1" t="s">
        <v>14129</v>
      </c>
      <c r="H1152" s="1" t="s">
        <v>14133</v>
      </c>
      <c r="I1152" s="1" t="s">
        <v>15261</v>
      </c>
      <c r="J1152" s="1" t="s">
        <v>23</v>
      </c>
      <c r="K1152" s="1"/>
      <c r="L1152" s="1" t="s">
        <v>11098</v>
      </c>
      <c r="M1152" s="1" t="s">
        <v>11099</v>
      </c>
      <c r="N1152" s="1" t="s">
        <v>11100</v>
      </c>
      <c r="O1152" s="1" t="s">
        <v>11101</v>
      </c>
      <c r="P1152" s="1" t="s">
        <v>11102</v>
      </c>
      <c r="Q1152" s="1" t="s">
        <v>11103</v>
      </c>
      <c r="R1152" s="1" t="s">
        <v>11104</v>
      </c>
      <c r="S1152" s="1" t="s">
        <v>11105</v>
      </c>
      <c r="T1152" s="1" t="s">
        <v>11106</v>
      </c>
      <c r="U1152">
        <v>1343.33</v>
      </c>
      <c r="V1152">
        <v>1240.6099999999999</v>
      </c>
      <c r="W1152">
        <v>15.997909</v>
      </c>
      <c r="X1152">
        <v>108.145731</v>
      </c>
      <c r="Y1152">
        <v>102.73</v>
      </c>
      <c r="Z1152">
        <v>16.009</v>
      </c>
      <c r="AA1152">
        <v>108.154405</v>
      </c>
      <c r="AB1152" s="5">
        <f t="shared" si="103"/>
        <v>1.8609149999999999</v>
      </c>
      <c r="AC1152" s="5">
        <f t="shared" si="104"/>
        <v>0.15409500000000001</v>
      </c>
      <c r="AD1152" s="1" t="str">
        <f t="shared" si="105"/>
        <v>Hòa Vang</v>
      </c>
      <c r="AE1152" s="1" t="str">
        <f t="shared" si="106"/>
        <v>TT1 Đà Nẵng</v>
      </c>
      <c r="AG1152">
        <f t="shared" si="107"/>
        <v>1.24061</v>
      </c>
      <c r="AH1152">
        <f t="shared" si="108"/>
        <v>0.10273</v>
      </c>
      <c r="AI1152">
        <f>VLOOKUP(L1152,'[1]Tuyến cáp H04'!$B:$E,3,0)/1000</f>
        <v>17.654</v>
      </c>
      <c r="AJ1152" t="str">
        <f>VLOOKUP(L1152,'[1]Tuyến cáp H04'!$B:$E,4,0)</f>
        <v>Mạng cấp 3</v>
      </c>
    </row>
    <row r="1153" spans="1:36" x14ac:dyDescent="0.25">
      <c r="A1153" s="1" t="s">
        <v>11107</v>
      </c>
      <c r="B1153" s="1" t="s">
        <v>11081</v>
      </c>
      <c r="C1153" s="1" t="s">
        <v>11082</v>
      </c>
      <c r="D1153" s="1" t="s">
        <v>11108</v>
      </c>
      <c r="E1153" s="1" t="s">
        <v>11109</v>
      </c>
      <c r="F1153" s="1" t="s">
        <v>11110</v>
      </c>
      <c r="G1153" s="1" t="s">
        <v>14129</v>
      </c>
      <c r="H1153" s="1" t="s">
        <v>14133</v>
      </c>
      <c r="I1153" s="1" t="s">
        <v>15262</v>
      </c>
      <c r="J1153" s="1" t="s">
        <v>23</v>
      </c>
      <c r="K1153" s="1"/>
      <c r="L1153" s="1" t="s">
        <v>11111</v>
      </c>
      <c r="M1153" s="1" t="s">
        <v>11112</v>
      </c>
      <c r="N1153" s="1" t="s">
        <v>11113</v>
      </c>
      <c r="O1153" s="1" t="s">
        <v>11114</v>
      </c>
      <c r="P1153" s="1" t="s">
        <v>11115</v>
      </c>
      <c r="Q1153" s="1" t="s">
        <v>11116</v>
      </c>
      <c r="R1153" s="1" t="s">
        <v>11117</v>
      </c>
      <c r="S1153" s="1" t="s">
        <v>11118</v>
      </c>
      <c r="T1153" s="1" t="s">
        <v>11119</v>
      </c>
      <c r="U1153">
        <v>968.06</v>
      </c>
      <c r="V1153">
        <v>588.26</v>
      </c>
      <c r="W1153">
        <v>15.983065</v>
      </c>
      <c r="X1153">
        <v>108.13851099999999</v>
      </c>
      <c r="Y1153">
        <v>379.79</v>
      </c>
      <c r="Z1153">
        <v>15.980283</v>
      </c>
      <c r="AA1153">
        <v>108.127217</v>
      </c>
      <c r="AB1153" s="5">
        <f t="shared" si="103"/>
        <v>0.88239000000000001</v>
      </c>
      <c r="AC1153" s="5">
        <f t="shared" si="104"/>
        <v>0.56968500000000011</v>
      </c>
      <c r="AD1153" s="1" t="str">
        <f t="shared" si="105"/>
        <v>Sông Vàng</v>
      </c>
      <c r="AE1153" s="1" t="str">
        <f t="shared" si="106"/>
        <v>TTCMKV Đại Lộc</v>
      </c>
      <c r="AG1153">
        <f t="shared" si="107"/>
        <v>0.58826000000000001</v>
      </c>
      <c r="AH1153">
        <f t="shared" si="108"/>
        <v>0.37979000000000002</v>
      </c>
      <c r="AI1153">
        <f>VLOOKUP(L1153,'[1]Tuyến cáp H04'!$B:$E,3,0)/1000</f>
        <v>38.832000000000001</v>
      </c>
      <c r="AJ1153" t="str">
        <f>VLOOKUP(L1153,'[1]Tuyến cáp H04'!$B:$E,4,0)</f>
        <v>Mạng cấp 4</v>
      </c>
    </row>
    <row r="1154" spans="1:36" x14ac:dyDescent="0.25">
      <c r="A1154" s="1" t="s">
        <v>11120</v>
      </c>
      <c r="B1154" s="1" t="s">
        <v>11081</v>
      </c>
      <c r="C1154" s="1" t="s">
        <v>11082</v>
      </c>
      <c r="D1154" s="1" t="s">
        <v>11121</v>
      </c>
      <c r="E1154" s="1" t="s">
        <v>11122</v>
      </c>
      <c r="F1154" s="1" t="s">
        <v>11123</v>
      </c>
      <c r="G1154" s="1" t="s">
        <v>14129</v>
      </c>
      <c r="H1154" s="1" t="s">
        <v>14133</v>
      </c>
      <c r="I1154" s="1" t="s">
        <v>15263</v>
      </c>
      <c r="J1154" s="1" t="s">
        <v>23</v>
      </c>
      <c r="K1154" s="1"/>
      <c r="L1154" s="1" t="s">
        <v>11098</v>
      </c>
      <c r="M1154" s="1" t="s">
        <v>11124</v>
      </c>
      <c r="N1154" s="1" t="s">
        <v>11125</v>
      </c>
      <c r="O1154" s="1" t="s">
        <v>11126</v>
      </c>
      <c r="P1154" s="1" t="s">
        <v>11127</v>
      </c>
      <c r="Q1154" s="1" t="s">
        <v>11128</v>
      </c>
      <c r="R1154" s="1" t="s">
        <v>11129</v>
      </c>
      <c r="S1154" s="1" t="s">
        <v>11130</v>
      </c>
      <c r="T1154" s="1" t="s">
        <v>11131</v>
      </c>
      <c r="U1154">
        <v>76.8</v>
      </c>
      <c r="V1154">
        <v>10.3</v>
      </c>
      <c r="W1154">
        <v>15.988042</v>
      </c>
      <c r="X1154">
        <v>108.140275</v>
      </c>
      <c r="Y1154">
        <v>66.5</v>
      </c>
      <c r="Z1154">
        <v>15.989824</v>
      </c>
      <c r="AA1154">
        <v>108.142754</v>
      </c>
      <c r="AB1154" s="5">
        <f t="shared" si="103"/>
        <v>1.5450000000000002E-2</v>
      </c>
      <c r="AC1154" s="5">
        <f t="shared" si="104"/>
        <v>9.9750000000000005E-2</v>
      </c>
      <c r="AD1154" s="1" t="str">
        <f t="shared" si="105"/>
        <v>Hòa Vang</v>
      </c>
      <c r="AE1154" s="1" t="str">
        <f t="shared" si="106"/>
        <v>TT1 Đà Nẵng</v>
      </c>
      <c r="AG1154">
        <f t="shared" si="107"/>
        <v>1.03E-2</v>
      </c>
      <c r="AH1154">
        <f t="shared" si="108"/>
        <v>6.6500000000000004E-2</v>
      </c>
      <c r="AI1154">
        <f>VLOOKUP(L1154,'[1]Tuyến cáp H04'!$B:$E,3,0)/1000</f>
        <v>17.654</v>
      </c>
      <c r="AJ1154" t="str">
        <f>VLOOKUP(L1154,'[1]Tuyến cáp H04'!$B:$E,4,0)</f>
        <v>Mạng cấp 3</v>
      </c>
    </row>
    <row r="1155" spans="1:36" x14ac:dyDescent="0.25">
      <c r="A1155" s="1" t="s">
        <v>11132</v>
      </c>
      <c r="B1155" s="1" t="s">
        <v>11081</v>
      </c>
      <c r="C1155" s="1" t="s">
        <v>11082</v>
      </c>
      <c r="D1155" s="1" t="s">
        <v>11133</v>
      </c>
      <c r="E1155" s="1" t="s">
        <v>11134</v>
      </c>
      <c r="F1155" s="1" t="s">
        <v>11135</v>
      </c>
      <c r="G1155" s="1" t="s">
        <v>14129</v>
      </c>
      <c r="H1155" s="1" t="s">
        <v>14130</v>
      </c>
      <c r="I1155" s="1" t="s">
        <v>15264</v>
      </c>
      <c r="J1155" s="1" t="s">
        <v>23</v>
      </c>
      <c r="K1155" s="1"/>
      <c r="L1155" s="1" t="s">
        <v>11098</v>
      </c>
      <c r="M1155" s="1" t="s">
        <v>11136</v>
      </c>
      <c r="N1155" s="1" t="s">
        <v>11125</v>
      </c>
      <c r="O1155" s="1" t="s">
        <v>11126</v>
      </c>
      <c r="P1155" s="1" t="s">
        <v>11127</v>
      </c>
      <c r="Q1155" s="1" t="s">
        <v>11137</v>
      </c>
      <c r="R1155" s="1" t="s">
        <v>11138</v>
      </c>
      <c r="S1155" s="1" t="s">
        <v>11139</v>
      </c>
      <c r="T1155" s="1" t="s">
        <v>11131</v>
      </c>
      <c r="U1155">
        <v>493.67</v>
      </c>
      <c r="V1155">
        <v>10.3</v>
      </c>
      <c r="W1155">
        <v>15.988042</v>
      </c>
      <c r="X1155">
        <v>108.140275</v>
      </c>
      <c r="Y1155">
        <v>483.38</v>
      </c>
      <c r="Z1155">
        <v>15.992659</v>
      </c>
      <c r="AA1155">
        <v>108.14371300000001</v>
      </c>
      <c r="AB1155" s="5">
        <f t="shared" ref="AB1155:AB1218" si="109">V1155*1.5/1000</f>
        <v>1.5450000000000002E-2</v>
      </c>
      <c r="AC1155" s="5">
        <f t="shared" ref="AC1155:AC1218" si="110">Y1155*1.5/1000</f>
        <v>0.72506999999999988</v>
      </c>
      <c r="AD1155" s="1" t="str">
        <f t="shared" ref="AD1155:AD1218" si="111">TRIM(LEFT(L1155,FIND("-",L1155)-1))</f>
        <v>Hòa Vang</v>
      </c>
      <c r="AE1155" s="1" t="str">
        <f t="shared" ref="AE1155:AE1218" si="112">TRIM(RIGHT(L1155, LEN(L1155) - FIND("-", L1155)))</f>
        <v>TT1 Đà Nẵng</v>
      </c>
      <c r="AG1155">
        <f t="shared" ref="AG1155:AG1218" si="113">V1155/1000</f>
        <v>1.03E-2</v>
      </c>
      <c r="AH1155">
        <f t="shared" ref="AH1155:AH1218" si="114">Y1155/1000</f>
        <v>0.48337999999999998</v>
      </c>
      <c r="AI1155">
        <f>VLOOKUP(L1155,'[1]Tuyến cáp H04'!$B:$E,3,0)/1000</f>
        <v>17.654</v>
      </c>
      <c r="AJ1155" t="str">
        <f>VLOOKUP(L1155,'[1]Tuyến cáp H04'!$B:$E,4,0)</f>
        <v>Mạng cấp 3</v>
      </c>
    </row>
    <row r="1156" spans="1:36" x14ac:dyDescent="0.25">
      <c r="A1156" s="1" t="s">
        <v>11140</v>
      </c>
      <c r="B1156" s="1" t="s">
        <v>11141</v>
      </c>
      <c r="C1156" s="1" t="s">
        <v>11142</v>
      </c>
      <c r="D1156" s="1" t="s">
        <v>11143</v>
      </c>
      <c r="E1156" s="1" t="s">
        <v>11144</v>
      </c>
      <c r="F1156" s="1" t="s">
        <v>11145</v>
      </c>
      <c r="G1156" s="1" t="s">
        <v>14129</v>
      </c>
      <c r="H1156" s="1" t="s">
        <v>14130</v>
      </c>
      <c r="I1156" s="1" t="s">
        <v>15265</v>
      </c>
      <c r="J1156" s="1" t="s">
        <v>23</v>
      </c>
      <c r="K1156" s="1"/>
      <c r="L1156" s="1" t="s">
        <v>11146</v>
      </c>
      <c r="M1156" s="1" t="s">
        <v>11147</v>
      </c>
      <c r="N1156" s="1" t="s">
        <v>11148</v>
      </c>
      <c r="O1156" s="1" t="s">
        <v>11149</v>
      </c>
      <c r="P1156" s="1" t="s">
        <v>11150</v>
      </c>
      <c r="Q1156" s="1" t="s">
        <v>3188</v>
      </c>
      <c r="R1156" s="1" t="s">
        <v>11151</v>
      </c>
      <c r="S1156" s="1" t="s">
        <v>11152</v>
      </c>
      <c r="T1156" s="1" t="s">
        <v>11153</v>
      </c>
      <c r="U1156">
        <v>438.56</v>
      </c>
      <c r="V1156">
        <v>317.12</v>
      </c>
      <c r="W1156">
        <v>16.076900999999999</v>
      </c>
      <c r="X1156">
        <v>108.15944399999999</v>
      </c>
      <c r="Y1156">
        <v>121.44</v>
      </c>
      <c r="Z1156">
        <v>16.081568999999998</v>
      </c>
      <c r="AA1156">
        <v>108.160889</v>
      </c>
      <c r="AB1156" s="5">
        <f t="shared" si="109"/>
        <v>0.47567999999999999</v>
      </c>
      <c r="AC1156" s="5">
        <f t="shared" si="110"/>
        <v>0.18215999999999999</v>
      </c>
      <c r="AD1156" s="1" t="str">
        <f t="shared" si="111"/>
        <v>TT1 Đà Nẵng</v>
      </c>
      <c r="AE1156" s="1" t="str">
        <f t="shared" si="112"/>
        <v>Liên Chiểu</v>
      </c>
      <c r="AG1156">
        <f t="shared" si="113"/>
        <v>0.31712000000000001</v>
      </c>
      <c r="AH1156">
        <f t="shared" si="114"/>
        <v>0.12143999999999999</v>
      </c>
      <c r="AI1156">
        <f>VLOOKUP(L1156,'[1]Tuyến cáp H04'!$B:$E,3,0)/1000</f>
        <v>9.8698999999999995</v>
      </c>
      <c r="AJ1156" t="str">
        <f>VLOOKUP(L1156,'[1]Tuyến cáp H04'!$B:$E,4,0)</f>
        <v>Mạng cấp 3</v>
      </c>
    </row>
    <row r="1157" spans="1:36" x14ac:dyDescent="0.25">
      <c r="A1157" s="1" t="s">
        <v>11154</v>
      </c>
      <c r="B1157" s="1" t="s">
        <v>11141</v>
      </c>
      <c r="C1157" s="1" t="s">
        <v>11142</v>
      </c>
      <c r="D1157" s="1" t="s">
        <v>11155</v>
      </c>
      <c r="E1157" s="1" t="s">
        <v>11156</v>
      </c>
      <c r="F1157" s="1" t="s">
        <v>11157</v>
      </c>
      <c r="G1157" s="1" t="s">
        <v>14129</v>
      </c>
      <c r="H1157" s="1" t="s">
        <v>14133</v>
      </c>
      <c r="I1157" s="1" t="s">
        <v>15266</v>
      </c>
      <c r="J1157" s="1" t="s">
        <v>23</v>
      </c>
      <c r="K1157" s="1"/>
      <c r="L1157" s="1" t="s">
        <v>11146</v>
      </c>
      <c r="M1157" s="1" t="s">
        <v>11158</v>
      </c>
      <c r="N1157" s="1" t="s">
        <v>11148</v>
      </c>
      <c r="O1157" s="1" t="s">
        <v>11149</v>
      </c>
      <c r="P1157" s="1" t="s">
        <v>11150</v>
      </c>
      <c r="Q1157" s="1" t="s">
        <v>11159</v>
      </c>
      <c r="R1157" s="1" t="s">
        <v>11160</v>
      </c>
      <c r="S1157" s="1" t="s">
        <v>11161</v>
      </c>
      <c r="T1157" s="1" t="s">
        <v>11153</v>
      </c>
      <c r="U1157">
        <v>463.93</v>
      </c>
      <c r="V1157">
        <v>317.12</v>
      </c>
      <c r="W1157">
        <v>16.076900999999999</v>
      </c>
      <c r="X1157">
        <v>108.15944399999999</v>
      </c>
      <c r="Y1157">
        <v>146.80000000000001</v>
      </c>
      <c r="Z1157">
        <v>16.080864999999999</v>
      </c>
      <c r="AA1157">
        <v>108.162509</v>
      </c>
      <c r="AB1157" s="5">
        <f t="shared" si="109"/>
        <v>0.47567999999999999</v>
      </c>
      <c r="AC1157" s="5">
        <f t="shared" si="110"/>
        <v>0.22020000000000001</v>
      </c>
      <c r="AD1157" s="1" t="str">
        <f t="shared" si="111"/>
        <v>TT1 Đà Nẵng</v>
      </c>
      <c r="AE1157" s="1" t="str">
        <f t="shared" si="112"/>
        <v>Liên Chiểu</v>
      </c>
      <c r="AG1157">
        <f t="shared" si="113"/>
        <v>0.31712000000000001</v>
      </c>
      <c r="AH1157">
        <f t="shared" si="114"/>
        <v>0.14680000000000001</v>
      </c>
      <c r="AI1157">
        <f>VLOOKUP(L1157,'[1]Tuyến cáp H04'!$B:$E,3,0)/1000</f>
        <v>9.8698999999999995</v>
      </c>
      <c r="AJ1157" t="str">
        <f>VLOOKUP(L1157,'[1]Tuyến cáp H04'!$B:$E,4,0)</f>
        <v>Mạng cấp 3</v>
      </c>
    </row>
    <row r="1158" spans="1:36" x14ac:dyDescent="0.25">
      <c r="A1158" s="1" t="s">
        <v>11162</v>
      </c>
      <c r="B1158" s="1" t="s">
        <v>11141</v>
      </c>
      <c r="C1158" s="1" t="s">
        <v>11142</v>
      </c>
      <c r="D1158" s="1" t="s">
        <v>11163</v>
      </c>
      <c r="E1158" s="1" t="s">
        <v>11164</v>
      </c>
      <c r="F1158" s="1" t="s">
        <v>11165</v>
      </c>
      <c r="G1158" s="1" t="s">
        <v>14129</v>
      </c>
      <c r="H1158" s="1" t="s">
        <v>14532</v>
      </c>
      <c r="I1158" s="1" t="s">
        <v>15267</v>
      </c>
      <c r="J1158" s="1" t="s">
        <v>23</v>
      </c>
      <c r="K1158" s="1"/>
      <c r="L1158" s="1" t="s">
        <v>11166</v>
      </c>
      <c r="M1158" s="1" t="s">
        <v>11167</v>
      </c>
      <c r="N1158" s="1" t="s">
        <v>11168</v>
      </c>
      <c r="O1158" s="1" t="s">
        <v>11169</v>
      </c>
      <c r="P1158" s="1" t="s">
        <v>11170</v>
      </c>
      <c r="Q1158" s="1" t="s">
        <v>11171</v>
      </c>
      <c r="R1158" s="1" t="s">
        <v>11172</v>
      </c>
      <c r="S1158" s="1" t="s">
        <v>11173</v>
      </c>
      <c r="T1158" s="1" t="s">
        <v>11174</v>
      </c>
      <c r="U1158">
        <v>823.71</v>
      </c>
      <c r="V1158">
        <v>792.46</v>
      </c>
      <c r="W1158">
        <v>16.077791000000001</v>
      </c>
      <c r="X1158">
        <v>108.164749</v>
      </c>
      <c r="Y1158">
        <v>31.26</v>
      </c>
      <c r="Z1158">
        <v>16.073207</v>
      </c>
      <c r="AA1158">
        <v>108.177558</v>
      </c>
      <c r="AB1158" s="5">
        <f t="shared" si="109"/>
        <v>1.18869</v>
      </c>
      <c r="AC1158" s="5">
        <f t="shared" si="110"/>
        <v>4.6890000000000001E-2</v>
      </c>
      <c r="AD1158" s="1" t="str">
        <f t="shared" si="111"/>
        <v>TT1 Đà Nẵng</v>
      </c>
      <c r="AE1158" s="1" t="str">
        <f t="shared" si="112"/>
        <v>Hải Vân</v>
      </c>
      <c r="AG1158">
        <f t="shared" si="113"/>
        <v>0.79246000000000005</v>
      </c>
      <c r="AH1158">
        <f t="shared" si="114"/>
        <v>3.1260000000000003E-2</v>
      </c>
      <c r="AI1158">
        <f>VLOOKUP(L1158,'[1]Tuyến cáp H04'!$B:$E,3,0)/1000</f>
        <v>14.76</v>
      </c>
      <c r="AJ1158" t="str">
        <f>VLOOKUP(L1158,'[1]Tuyến cáp H04'!$B:$E,4,0)</f>
        <v>Mạng cấp 4</v>
      </c>
    </row>
    <row r="1159" spans="1:36" x14ac:dyDescent="0.25">
      <c r="A1159" s="1" t="s">
        <v>11175</v>
      </c>
      <c r="B1159" s="1" t="s">
        <v>11141</v>
      </c>
      <c r="C1159" s="1" t="s">
        <v>11142</v>
      </c>
      <c r="D1159" s="1" t="s">
        <v>11176</v>
      </c>
      <c r="E1159" s="1" t="s">
        <v>11177</v>
      </c>
      <c r="F1159" s="1" t="s">
        <v>11178</v>
      </c>
      <c r="G1159" s="1"/>
      <c r="H1159" s="1" t="s">
        <v>14532</v>
      </c>
      <c r="I1159" s="1" t="s">
        <v>15268</v>
      </c>
      <c r="J1159" s="1" t="s">
        <v>23</v>
      </c>
      <c r="K1159" s="1"/>
      <c r="L1159" s="1" t="s">
        <v>11179</v>
      </c>
      <c r="M1159" s="1" t="s">
        <v>11180</v>
      </c>
      <c r="N1159" s="1" t="s">
        <v>11181</v>
      </c>
      <c r="O1159" s="1" t="s">
        <v>11182</v>
      </c>
      <c r="P1159" s="1" t="s">
        <v>11183</v>
      </c>
      <c r="Q1159" s="1" t="s">
        <v>11184</v>
      </c>
      <c r="R1159" s="1" t="s">
        <v>11185</v>
      </c>
      <c r="S1159" s="1" t="s">
        <v>11186</v>
      </c>
      <c r="T1159" s="1" t="s">
        <v>11187</v>
      </c>
      <c r="U1159">
        <v>490.42</v>
      </c>
      <c r="V1159">
        <v>27.31</v>
      </c>
      <c r="W1159">
        <v>16.074273999999999</v>
      </c>
      <c r="X1159">
        <v>108.158044</v>
      </c>
      <c r="Y1159">
        <v>463.11</v>
      </c>
      <c r="Z1159">
        <v>16.074614</v>
      </c>
      <c r="AA1159">
        <v>108.14948099999999</v>
      </c>
      <c r="AB1159" s="5">
        <f t="shared" si="109"/>
        <v>4.0964999999999994E-2</v>
      </c>
      <c r="AC1159" s="5">
        <f t="shared" si="110"/>
        <v>0.69466499999999998</v>
      </c>
      <c r="AD1159" s="1" t="str">
        <f t="shared" si="111"/>
        <v>TTCMKV Liên Chiểu</v>
      </c>
      <c r="AE1159" s="1" t="str">
        <f t="shared" si="112"/>
        <v>Trạm CSGT Hòa Hiệp</v>
      </c>
      <c r="AG1159">
        <f t="shared" si="113"/>
        <v>2.7309999999999997E-2</v>
      </c>
      <c r="AH1159">
        <f t="shared" si="114"/>
        <v>0.46311000000000002</v>
      </c>
      <c r="AI1159">
        <f>VLOOKUP(L1159,'[1]Tuyến cáp H04'!$B:$E,3,0)/1000</f>
        <v>9.5169999999999995</v>
      </c>
      <c r="AJ1159" t="str">
        <f>VLOOKUP(L1159,'[1]Tuyến cáp H04'!$B:$E,4,0)</f>
        <v>Mạng cấp 3</v>
      </c>
    </row>
    <row r="1160" spans="1:36" x14ac:dyDescent="0.25">
      <c r="A1160" s="1" t="s">
        <v>11188</v>
      </c>
      <c r="B1160" s="1" t="s">
        <v>11141</v>
      </c>
      <c r="C1160" s="1" t="s">
        <v>11142</v>
      </c>
      <c r="D1160" s="1" t="s">
        <v>11189</v>
      </c>
      <c r="E1160" s="1" t="s">
        <v>11190</v>
      </c>
      <c r="F1160" s="1" t="s">
        <v>11191</v>
      </c>
      <c r="G1160" s="1" t="s">
        <v>14129</v>
      </c>
      <c r="H1160" s="1" t="s">
        <v>14532</v>
      </c>
      <c r="I1160" s="1" t="s">
        <v>15269</v>
      </c>
      <c r="J1160" s="1" t="s">
        <v>23</v>
      </c>
      <c r="K1160" s="1"/>
      <c r="L1160" s="1" t="s">
        <v>11179</v>
      </c>
      <c r="M1160" s="1" t="s">
        <v>11192</v>
      </c>
      <c r="N1160" s="1" t="s">
        <v>11181</v>
      </c>
      <c r="O1160" s="1" t="s">
        <v>11182</v>
      </c>
      <c r="P1160" s="1" t="s">
        <v>11183</v>
      </c>
      <c r="Q1160" s="1" t="s">
        <v>11193</v>
      </c>
      <c r="R1160" s="1" t="s">
        <v>11194</v>
      </c>
      <c r="S1160" s="1" t="s">
        <v>11195</v>
      </c>
      <c r="T1160" s="1" t="s">
        <v>11187</v>
      </c>
      <c r="U1160">
        <v>98.86</v>
      </c>
      <c r="V1160">
        <v>27.31</v>
      </c>
      <c r="W1160">
        <v>16.074273999999999</v>
      </c>
      <c r="X1160">
        <v>108.158044</v>
      </c>
      <c r="Y1160">
        <v>71.55</v>
      </c>
      <c r="Z1160">
        <v>16.090608</v>
      </c>
      <c r="AA1160">
        <v>108.14290800000001</v>
      </c>
      <c r="AB1160" s="5">
        <f t="shared" si="109"/>
        <v>4.0964999999999994E-2</v>
      </c>
      <c r="AC1160" s="5">
        <f t="shared" si="110"/>
        <v>0.10732499999999999</v>
      </c>
      <c r="AD1160" s="1" t="str">
        <f t="shared" si="111"/>
        <v>TTCMKV Liên Chiểu</v>
      </c>
      <c r="AE1160" s="1" t="str">
        <f t="shared" si="112"/>
        <v>Trạm CSGT Hòa Hiệp</v>
      </c>
      <c r="AG1160">
        <f t="shared" si="113"/>
        <v>2.7309999999999997E-2</v>
      </c>
      <c r="AH1160">
        <f t="shared" si="114"/>
        <v>7.1550000000000002E-2</v>
      </c>
      <c r="AI1160">
        <f>VLOOKUP(L1160,'[1]Tuyến cáp H04'!$B:$E,3,0)/1000</f>
        <v>9.5169999999999995</v>
      </c>
      <c r="AJ1160" t="str">
        <f>VLOOKUP(L1160,'[1]Tuyến cáp H04'!$B:$E,4,0)</f>
        <v>Mạng cấp 3</v>
      </c>
    </row>
    <row r="1161" spans="1:36" x14ac:dyDescent="0.25">
      <c r="A1161" s="1" t="s">
        <v>11196</v>
      </c>
      <c r="B1161" s="1" t="s">
        <v>11197</v>
      </c>
      <c r="C1161" s="1" t="s">
        <v>11198</v>
      </c>
      <c r="D1161" s="1" t="s">
        <v>11199</v>
      </c>
      <c r="E1161" s="1" t="s">
        <v>11200</v>
      </c>
      <c r="F1161" s="1" t="s">
        <v>11201</v>
      </c>
      <c r="G1161" s="1" t="s">
        <v>14129</v>
      </c>
      <c r="H1161" s="1" t="s">
        <v>14133</v>
      </c>
      <c r="I1161" s="1" t="s">
        <v>15270</v>
      </c>
      <c r="J1161" s="1" t="s">
        <v>23</v>
      </c>
      <c r="K1161" s="1"/>
      <c r="L1161" s="1" t="s">
        <v>11202</v>
      </c>
      <c r="M1161" s="1" t="s">
        <v>11203</v>
      </c>
      <c r="N1161" s="1" t="s">
        <v>11204</v>
      </c>
      <c r="O1161" s="1" t="s">
        <v>11205</v>
      </c>
      <c r="P1161" s="1" t="s">
        <v>11206</v>
      </c>
      <c r="Q1161" s="1" t="s">
        <v>11207</v>
      </c>
      <c r="R1161" s="1" t="s">
        <v>11208</v>
      </c>
      <c r="S1161" s="1" t="s">
        <v>11209</v>
      </c>
      <c r="T1161" s="1" t="s">
        <v>11210</v>
      </c>
      <c r="U1161">
        <v>824.18</v>
      </c>
      <c r="V1161">
        <v>14.34</v>
      </c>
      <c r="W1161">
        <v>16.015280000000001</v>
      </c>
      <c r="X1161">
        <v>108.254448</v>
      </c>
      <c r="Y1161">
        <v>809.84</v>
      </c>
      <c r="Z1161">
        <v>15.998049</v>
      </c>
      <c r="AA1161">
        <v>108.261855</v>
      </c>
      <c r="AB1161" s="5">
        <f t="shared" si="109"/>
        <v>2.1509999999999998E-2</v>
      </c>
      <c r="AC1161" s="5">
        <f t="shared" si="110"/>
        <v>1.2147600000000001</v>
      </c>
      <c r="AD1161" s="1" t="str">
        <f t="shared" si="111"/>
        <v>Hội An</v>
      </c>
      <c r="AE1161" s="1" t="str">
        <f t="shared" si="112"/>
        <v>Ngũ Hành Sơn</v>
      </c>
      <c r="AG1161">
        <f t="shared" si="113"/>
        <v>1.434E-2</v>
      </c>
      <c r="AH1161">
        <f t="shared" si="114"/>
        <v>0.80984</v>
      </c>
      <c r="AI1161">
        <f>VLOOKUP(L1161,'[1]Tuyến cáp H04'!$B:$E,3,0)/1000</f>
        <v>20.16</v>
      </c>
      <c r="AJ1161" t="str">
        <f>VLOOKUP(L1161,'[1]Tuyến cáp H04'!$B:$E,4,0)</f>
        <v>Mạng cấp 3</v>
      </c>
    </row>
    <row r="1162" spans="1:36" x14ac:dyDescent="0.25">
      <c r="A1162" s="1" t="s">
        <v>11211</v>
      </c>
      <c r="B1162" s="1" t="s">
        <v>11197</v>
      </c>
      <c r="C1162" s="1" t="s">
        <v>11198</v>
      </c>
      <c r="D1162" s="1" t="s">
        <v>11212</v>
      </c>
      <c r="E1162" s="1" t="s">
        <v>11213</v>
      </c>
      <c r="F1162" s="1" t="s">
        <v>11214</v>
      </c>
      <c r="G1162" s="1" t="s">
        <v>14129</v>
      </c>
      <c r="H1162" s="1" t="s">
        <v>14133</v>
      </c>
      <c r="I1162" s="1" t="s">
        <v>15271</v>
      </c>
      <c r="J1162" s="1" t="s">
        <v>23</v>
      </c>
      <c r="K1162" s="1"/>
      <c r="L1162" s="1" t="s">
        <v>11202</v>
      </c>
      <c r="M1162" s="1" t="s">
        <v>11215</v>
      </c>
      <c r="N1162" s="1" t="s">
        <v>11204</v>
      </c>
      <c r="O1162" s="1" t="s">
        <v>11205</v>
      </c>
      <c r="P1162" s="1" t="s">
        <v>11206</v>
      </c>
      <c r="Q1162" s="1" t="s">
        <v>11216</v>
      </c>
      <c r="R1162" s="1" t="s">
        <v>11217</v>
      </c>
      <c r="S1162" s="1" t="s">
        <v>11218</v>
      </c>
      <c r="T1162" s="1" t="s">
        <v>11210</v>
      </c>
      <c r="U1162">
        <v>714.37</v>
      </c>
      <c r="V1162">
        <v>14.34</v>
      </c>
      <c r="W1162">
        <v>16.015280000000001</v>
      </c>
      <c r="X1162">
        <v>108.254448</v>
      </c>
      <c r="Y1162">
        <v>700.04</v>
      </c>
      <c r="Z1162">
        <v>16.012157999999999</v>
      </c>
      <c r="AA1162">
        <v>108.25636299999999</v>
      </c>
      <c r="AB1162" s="5">
        <f t="shared" si="109"/>
        <v>2.1509999999999998E-2</v>
      </c>
      <c r="AC1162" s="5">
        <f t="shared" si="110"/>
        <v>1.05006</v>
      </c>
      <c r="AD1162" s="1" t="str">
        <f t="shared" si="111"/>
        <v>Hội An</v>
      </c>
      <c r="AE1162" s="1" t="str">
        <f t="shared" si="112"/>
        <v>Ngũ Hành Sơn</v>
      </c>
      <c r="AG1162">
        <f t="shared" si="113"/>
        <v>1.434E-2</v>
      </c>
      <c r="AH1162">
        <f t="shared" si="114"/>
        <v>0.70004</v>
      </c>
      <c r="AI1162">
        <f>VLOOKUP(L1162,'[1]Tuyến cáp H04'!$B:$E,3,0)/1000</f>
        <v>20.16</v>
      </c>
      <c r="AJ1162" t="str">
        <f>VLOOKUP(L1162,'[1]Tuyến cáp H04'!$B:$E,4,0)</f>
        <v>Mạng cấp 3</v>
      </c>
    </row>
    <row r="1163" spans="1:36" x14ac:dyDescent="0.25">
      <c r="A1163" s="1" t="s">
        <v>11219</v>
      </c>
      <c r="B1163" s="1" t="s">
        <v>11220</v>
      </c>
      <c r="C1163" s="1" t="s">
        <v>11221</v>
      </c>
      <c r="D1163" s="1" t="s">
        <v>11222</v>
      </c>
      <c r="E1163" s="1" t="s">
        <v>11223</v>
      </c>
      <c r="F1163" s="1" t="s">
        <v>11224</v>
      </c>
      <c r="G1163" s="1" t="s">
        <v>14129</v>
      </c>
      <c r="H1163" s="1" t="s">
        <v>14532</v>
      </c>
      <c r="I1163" s="1" t="s">
        <v>15272</v>
      </c>
      <c r="J1163" s="1" t="s">
        <v>23</v>
      </c>
      <c r="K1163" s="1"/>
      <c r="L1163" s="1" t="s">
        <v>11225</v>
      </c>
      <c r="M1163" s="1" t="s">
        <v>11226</v>
      </c>
      <c r="N1163" s="1" t="s">
        <v>11227</v>
      </c>
      <c r="O1163" s="1" t="s">
        <v>11228</v>
      </c>
      <c r="P1163" s="1" t="s">
        <v>11229</v>
      </c>
      <c r="Q1163" s="1" t="s">
        <v>11230</v>
      </c>
      <c r="R1163" s="1" t="s">
        <v>11231</v>
      </c>
      <c r="S1163" s="1" t="s">
        <v>11232</v>
      </c>
      <c r="T1163" s="1" t="s">
        <v>11233</v>
      </c>
      <c r="U1163">
        <v>674.89</v>
      </c>
      <c r="V1163">
        <v>208.25</v>
      </c>
      <c r="W1163">
        <v>16.071846000000001</v>
      </c>
      <c r="X1163">
        <v>108.23430399999999</v>
      </c>
      <c r="Y1163">
        <v>466.64</v>
      </c>
      <c r="Z1163">
        <v>16.069942000000001</v>
      </c>
      <c r="AA1163">
        <v>108.24113199999999</v>
      </c>
      <c r="AB1163" s="5">
        <f t="shared" si="109"/>
        <v>0.31237500000000001</v>
      </c>
      <c r="AC1163" s="5">
        <f t="shared" si="110"/>
        <v>0.69996000000000003</v>
      </c>
      <c r="AD1163" s="1" t="str">
        <f t="shared" si="111"/>
        <v>An Hải</v>
      </c>
      <c r="AE1163" s="1" t="str">
        <f t="shared" si="112"/>
        <v>Sơn Trà</v>
      </c>
      <c r="AG1163">
        <f t="shared" si="113"/>
        <v>0.20824999999999999</v>
      </c>
      <c r="AH1163">
        <f t="shared" si="114"/>
        <v>0.46664</v>
      </c>
      <c r="AI1163" t="e">
        <f>VLOOKUP(L1163,'[1]Tuyến cáp H04'!$B:$E,3,0)/1000</f>
        <v>#N/A</v>
      </c>
      <c r="AJ1163" t="e">
        <f>VLOOKUP(L1163,'[1]Tuyến cáp H04'!$B:$E,4,0)</f>
        <v>#N/A</v>
      </c>
    </row>
    <row r="1164" spans="1:36" x14ac:dyDescent="0.25">
      <c r="A1164" s="1" t="s">
        <v>11234</v>
      </c>
      <c r="B1164" s="1" t="s">
        <v>11220</v>
      </c>
      <c r="C1164" s="1" t="s">
        <v>11221</v>
      </c>
      <c r="D1164" s="1" t="s">
        <v>11235</v>
      </c>
      <c r="E1164" s="1" t="s">
        <v>11236</v>
      </c>
      <c r="F1164" s="1" t="s">
        <v>11237</v>
      </c>
      <c r="G1164" s="1" t="s">
        <v>14129</v>
      </c>
      <c r="H1164" s="1" t="s">
        <v>14133</v>
      </c>
      <c r="I1164" s="1" t="s">
        <v>15273</v>
      </c>
      <c r="J1164" s="1" t="s">
        <v>23</v>
      </c>
      <c r="K1164" s="1"/>
      <c r="L1164" s="1" t="s">
        <v>11225</v>
      </c>
      <c r="M1164" s="1" t="s">
        <v>11238</v>
      </c>
      <c r="N1164" s="1" t="s">
        <v>11227</v>
      </c>
      <c r="O1164" s="1" t="s">
        <v>11228</v>
      </c>
      <c r="P1164" s="1" t="s">
        <v>11229</v>
      </c>
      <c r="Q1164" s="1" t="s">
        <v>11239</v>
      </c>
      <c r="R1164" s="1" t="s">
        <v>11231</v>
      </c>
      <c r="S1164" s="1" t="s">
        <v>11232</v>
      </c>
      <c r="T1164" s="1" t="s">
        <v>11233</v>
      </c>
      <c r="U1164">
        <v>638.32000000000005</v>
      </c>
      <c r="V1164">
        <v>208.25</v>
      </c>
      <c r="W1164">
        <v>16.071846000000001</v>
      </c>
      <c r="X1164">
        <v>108.23430399999999</v>
      </c>
      <c r="Y1164">
        <v>430.07</v>
      </c>
      <c r="Z1164">
        <v>16.069942000000001</v>
      </c>
      <c r="AA1164">
        <v>108.24113199999999</v>
      </c>
      <c r="AB1164" s="5">
        <f t="shared" si="109"/>
        <v>0.31237500000000001</v>
      </c>
      <c r="AC1164" s="5">
        <f t="shared" si="110"/>
        <v>0.64510500000000004</v>
      </c>
      <c r="AD1164" s="1" t="str">
        <f t="shared" si="111"/>
        <v>An Hải</v>
      </c>
      <c r="AE1164" s="1" t="str">
        <f t="shared" si="112"/>
        <v>Sơn Trà</v>
      </c>
      <c r="AG1164">
        <f t="shared" si="113"/>
        <v>0.20824999999999999</v>
      </c>
      <c r="AH1164">
        <f t="shared" si="114"/>
        <v>0.43007000000000001</v>
      </c>
      <c r="AI1164" t="e">
        <f>VLOOKUP(L1164,'[1]Tuyến cáp H04'!$B:$E,3,0)/1000</f>
        <v>#N/A</v>
      </c>
      <c r="AJ1164" t="e">
        <f>VLOOKUP(L1164,'[1]Tuyến cáp H04'!$B:$E,4,0)</f>
        <v>#N/A</v>
      </c>
    </row>
    <row r="1165" spans="1:36" x14ac:dyDescent="0.25">
      <c r="A1165" s="1" t="s">
        <v>11240</v>
      </c>
      <c r="B1165" s="1" t="s">
        <v>11220</v>
      </c>
      <c r="C1165" s="1" t="s">
        <v>11221</v>
      </c>
      <c r="D1165" s="1" t="s">
        <v>11241</v>
      </c>
      <c r="E1165" s="1" t="s">
        <v>11242</v>
      </c>
      <c r="F1165" s="1" t="s">
        <v>11243</v>
      </c>
      <c r="G1165" s="1" t="s">
        <v>14129</v>
      </c>
      <c r="H1165" s="1" t="s">
        <v>14133</v>
      </c>
      <c r="I1165" s="1" t="s">
        <v>15274</v>
      </c>
      <c r="J1165" s="1" t="s">
        <v>23</v>
      </c>
      <c r="K1165" s="1"/>
      <c r="L1165" s="1" t="s">
        <v>11244</v>
      </c>
      <c r="M1165" s="1" t="s">
        <v>11245</v>
      </c>
      <c r="N1165" s="1" t="s">
        <v>11246</v>
      </c>
      <c r="O1165" s="1" t="s">
        <v>11247</v>
      </c>
      <c r="P1165" s="1" t="s">
        <v>11248</v>
      </c>
      <c r="Q1165" s="1" t="s">
        <v>11249</v>
      </c>
      <c r="R1165" s="1" t="s">
        <v>11250</v>
      </c>
      <c r="S1165" s="1" t="s">
        <v>11251</v>
      </c>
      <c r="T1165" s="1" t="s">
        <v>11252</v>
      </c>
      <c r="U1165">
        <v>330.3</v>
      </c>
      <c r="V1165">
        <v>231.85</v>
      </c>
      <c r="W1165">
        <v>16.068318999999999</v>
      </c>
      <c r="X1165">
        <v>108.232472</v>
      </c>
      <c r="Y1165">
        <v>98.45</v>
      </c>
      <c r="Z1165">
        <v>16.059259000000001</v>
      </c>
      <c r="AA1165">
        <v>108.234865</v>
      </c>
      <c r="AB1165" s="5">
        <f t="shared" si="109"/>
        <v>0.347775</v>
      </c>
      <c r="AC1165" s="5">
        <f t="shared" si="110"/>
        <v>0.147675</v>
      </c>
      <c r="AD1165" s="1" t="str">
        <f t="shared" si="111"/>
        <v>Ngũ Hành Sơn</v>
      </c>
      <c r="AE1165" s="1" t="str">
        <f t="shared" si="112"/>
        <v>Sơn Trà</v>
      </c>
      <c r="AG1165">
        <f t="shared" si="113"/>
        <v>0.23185</v>
      </c>
      <c r="AH1165">
        <f t="shared" si="114"/>
        <v>9.845000000000001E-2</v>
      </c>
      <c r="AI1165">
        <f>VLOOKUP(L1165,'[1]Tuyến cáp H04'!$B:$E,3,0)/1000</f>
        <v>6.73</v>
      </c>
      <c r="AJ1165" t="str">
        <f>VLOOKUP(L1165,'[1]Tuyến cáp H04'!$B:$E,4,0)</f>
        <v>Mạng cấp 3</v>
      </c>
    </row>
    <row r="1166" spans="1:36" x14ac:dyDescent="0.25">
      <c r="A1166" s="1" t="s">
        <v>11253</v>
      </c>
      <c r="B1166" s="1" t="s">
        <v>11220</v>
      </c>
      <c r="C1166" s="1" t="s">
        <v>11221</v>
      </c>
      <c r="D1166" s="1" t="s">
        <v>11254</v>
      </c>
      <c r="E1166" s="1" t="s">
        <v>11255</v>
      </c>
      <c r="F1166" s="1" t="s">
        <v>11256</v>
      </c>
      <c r="G1166" s="1" t="s">
        <v>14129</v>
      </c>
      <c r="H1166" s="1" t="s">
        <v>14133</v>
      </c>
      <c r="I1166" s="1" t="s">
        <v>15275</v>
      </c>
      <c r="J1166" s="1" t="s">
        <v>23</v>
      </c>
      <c r="K1166" s="1"/>
      <c r="L1166" s="1" t="s">
        <v>11225</v>
      </c>
      <c r="M1166" s="1" t="s">
        <v>11257</v>
      </c>
      <c r="N1166" s="1" t="s">
        <v>11227</v>
      </c>
      <c r="O1166" s="1" t="s">
        <v>11228</v>
      </c>
      <c r="P1166" s="1" t="s">
        <v>11229</v>
      </c>
      <c r="Q1166" s="1" t="s">
        <v>11258</v>
      </c>
      <c r="R1166" s="1" t="s">
        <v>11231</v>
      </c>
      <c r="S1166" s="1" t="s">
        <v>11232</v>
      </c>
      <c r="T1166" s="1" t="s">
        <v>11233</v>
      </c>
      <c r="U1166">
        <v>580.01</v>
      </c>
      <c r="V1166">
        <v>208.25</v>
      </c>
      <c r="W1166">
        <v>16.071846000000001</v>
      </c>
      <c r="X1166">
        <v>108.23430399999999</v>
      </c>
      <c r="Y1166">
        <v>371.75</v>
      </c>
      <c r="Z1166">
        <v>16.069942000000001</v>
      </c>
      <c r="AA1166">
        <v>108.24113199999999</v>
      </c>
      <c r="AB1166" s="5">
        <f t="shared" si="109"/>
        <v>0.31237500000000001</v>
      </c>
      <c r="AC1166" s="5">
        <f t="shared" si="110"/>
        <v>0.55762500000000004</v>
      </c>
      <c r="AD1166" s="1" t="str">
        <f t="shared" si="111"/>
        <v>An Hải</v>
      </c>
      <c r="AE1166" s="1" t="str">
        <f t="shared" si="112"/>
        <v>Sơn Trà</v>
      </c>
      <c r="AG1166">
        <f t="shared" si="113"/>
        <v>0.20824999999999999</v>
      </c>
      <c r="AH1166">
        <f t="shared" si="114"/>
        <v>0.37175000000000002</v>
      </c>
      <c r="AI1166" t="e">
        <f>VLOOKUP(L1166,'[1]Tuyến cáp H04'!$B:$E,3,0)/1000</f>
        <v>#N/A</v>
      </c>
      <c r="AJ1166" t="e">
        <f>VLOOKUP(L1166,'[1]Tuyến cáp H04'!$B:$E,4,0)</f>
        <v>#N/A</v>
      </c>
    </row>
    <row r="1167" spans="1:36" x14ac:dyDescent="0.25">
      <c r="A1167" s="1" t="s">
        <v>11259</v>
      </c>
      <c r="B1167" s="1" t="s">
        <v>11220</v>
      </c>
      <c r="C1167" s="1" t="s">
        <v>11221</v>
      </c>
      <c r="D1167" s="1" t="s">
        <v>11260</v>
      </c>
      <c r="E1167" s="1" t="s">
        <v>11261</v>
      </c>
      <c r="F1167" s="1" t="s">
        <v>11262</v>
      </c>
      <c r="G1167" s="1" t="s">
        <v>14129</v>
      </c>
      <c r="H1167" s="1" t="s">
        <v>14133</v>
      </c>
      <c r="I1167" s="1" t="s">
        <v>15276</v>
      </c>
      <c r="J1167" s="1" t="s">
        <v>23</v>
      </c>
      <c r="K1167" s="1"/>
      <c r="L1167" s="1" t="s">
        <v>11244</v>
      </c>
      <c r="M1167" s="1" t="s">
        <v>11263</v>
      </c>
      <c r="N1167" s="1" t="s">
        <v>11246</v>
      </c>
      <c r="O1167" s="1" t="s">
        <v>11247</v>
      </c>
      <c r="P1167" s="1" t="s">
        <v>11248</v>
      </c>
      <c r="Q1167" s="1" t="s">
        <v>11264</v>
      </c>
      <c r="R1167" s="1" t="s">
        <v>11265</v>
      </c>
      <c r="S1167" s="1" t="s">
        <v>11266</v>
      </c>
      <c r="T1167" s="1" t="s">
        <v>11252</v>
      </c>
      <c r="U1167">
        <v>358.42</v>
      </c>
      <c r="V1167">
        <v>231.85</v>
      </c>
      <c r="W1167">
        <v>16.068318999999999</v>
      </c>
      <c r="X1167">
        <v>108.232472</v>
      </c>
      <c r="Y1167">
        <v>126.58</v>
      </c>
      <c r="Z1167">
        <v>16.061031</v>
      </c>
      <c r="AA1167">
        <v>108.234295</v>
      </c>
      <c r="AB1167" s="5">
        <f t="shared" si="109"/>
        <v>0.347775</v>
      </c>
      <c r="AC1167" s="5">
        <f t="shared" si="110"/>
        <v>0.18987000000000001</v>
      </c>
      <c r="AD1167" s="1" t="str">
        <f t="shared" si="111"/>
        <v>Ngũ Hành Sơn</v>
      </c>
      <c r="AE1167" s="1" t="str">
        <f t="shared" si="112"/>
        <v>Sơn Trà</v>
      </c>
      <c r="AG1167">
        <f t="shared" si="113"/>
        <v>0.23185</v>
      </c>
      <c r="AH1167">
        <f t="shared" si="114"/>
        <v>0.12658</v>
      </c>
      <c r="AI1167">
        <f>VLOOKUP(L1167,'[1]Tuyến cáp H04'!$B:$E,3,0)/1000</f>
        <v>6.73</v>
      </c>
      <c r="AJ1167" t="str">
        <f>VLOOKUP(L1167,'[1]Tuyến cáp H04'!$B:$E,4,0)</f>
        <v>Mạng cấp 3</v>
      </c>
    </row>
    <row r="1168" spans="1:36" x14ac:dyDescent="0.25">
      <c r="A1168" s="1" t="s">
        <v>11267</v>
      </c>
      <c r="B1168" s="1" t="s">
        <v>11220</v>
      </c>
      <c r="C1168" s="1" t="s">
        <v>11221</v>
      </c>
      <c r="D1168" s="1" t="s">
        <v>11268</v>
      </c>
      <c r="E1168" s="1" t="s">
        <v>11269</v>
      </c>
      <c r="F1168" s="1" t="s">
        <v>11270</v>
      </c>
      <c r="G1168" s="1" t="s">
        <v>14129</v>
      </c>
      <c r="H1168" s="1" t="s">
        <v>14133</v>
      </c>
      <c r="I1168" s="1" t="s">
        <v>15277</v>
      </c>
      <c r="J1168" s="1" t="s">
        <v>23</v>
      </c>
      <c r="K1168" s="1"/>
      <c r="L1168" s="1" t="s">
        <v>11271</v>
      </c>
      <c r="M1168" s="1" t="s">
        <v>11272</v>
      </c>
      <c r="N1168" s="1" t="s">
        <v>11273</v>
      </c>
      <c r="O1168" s="1" t="s">
        <v>11274</v>
      </c>
      <c r="P1168" s="1" t="s">
        <v>11275</v>
      </c>
      <c r="Q1168" s="1" t="s">
        <v>11276</v>
      </c>
      <c r="R1168" s="1" t="s">
        <v>11277</v>
      </c>
      <c r="S1168" s="1" t="s">
        <v>11278</v>
      </c>
      <c r="T1168" s="1" t="s">
        <v>11279</v>
      </c>
      <c r="U1168">
        <v>730.15</v>
      </c>
      <c r="V1168">
        <v>340.44</v>
      </c>
      <c r="W1168">
        <v>16.067177999999998</v>
      </c>
      <c r="X1168">
        <v>108.23455199999999</v>
      </c>
      <c r="Y1168">
        <v>389.71</v>
      </c>
      <c r="Z1168">
        <v>16.066327000000001</v>
      </c>
      <c r="AA1168">
        <v>108.241332</v>
      </c>
      <c r="AB1168" s="5">
        <f t="shared" si="109"/>
        <v>0.51066</v>
      </c>
      <c r="AC1168" s="5">
        <f t="shared" si="110"/>
        <v>0.58456499999999989</v>
      </c>
      <c r="AD1168" s="1" t="str">
        <f t="shared" si="111"/>
        <v>TTCMKV Sơn Trà</v>
      </c>
      <c r="AE1168" s="1" t="str">
        <f t="shared" si="112"/>
        <v>An Hải</v>
      </c>
      <c r="AG1168">
        <f t="shared" si="113"/>
        <v>0.34044000000000002</v>
      </c>
      <c r="AH1168">
        <f t="shared" si="114"/>
        <v>0.38971</v>
      </c>
      <c r="AI1168">
        <f>VLOOKUP(L1168,'[1]Tuyến cáp H04'!$B:$E,3,0)/1000</f>
        <v>1.393</v>
      </c>
      <c r="AJ1168" t="str">
        <f>VLOOKUP(L1168,'[1]Tuyến cáp H04'!$B:$E,4,0)</f>
        <v>Mạng cấp 4</v>
      </c>
    </row>
    <row r="1169" spans="1:36" x14ac:dyDescent="0.25">
      <c r="A1169" s="1" t="s">
        <v>11280</v>
      </c>
      <c r="B1169" s="1" t="s">
        <v>11220</v>
      </c>
      <c r="C1169" s="1" t="s">
        <v>11221</v>
      </c>
      <c r="D1169" s="1" t="s">
        <v>11281</v>
      </c>
      <c r="E1169" s="1" t="s">
        <v>11282</v>
      </c>
      <c r="F1169" s="1" t="s">
        <v>11283</v>
      </c>
      <c r="G1169" s="1" t="s">
        <v>14129</v>
      </c>
      <c r="H1169" s="1" t="s">
        <v>14532</v>
      </c>
      <c r="I1169" s="1" t="s">
        <v>15278</v>
      </c>
      <c r="J1169" s="1" t="s">
        <v>23</v>
      </c>
      <c r="K1169" s="1"/>
      <c r="L1169" s="1" t="s">
        <v>11244</v>
      </c>
      <c r="M1169" s="1" t="s">
        <v>11284</v>
      </c>
      <c r="N1169" s="1" t="s">
        <v>11246</v>
      </c>
      <c r="O1169" s="1" t="s">
        <v>11247</v>
      </c>
      <c r="P1169" s="1" t="s">
        <v>11248</v>
      </c>
      <c r="Q1169" s="1" t="s">
        <v>11285</v>
      </c>
      <c r="R1169" s="1" t="s">
        <v>11286</v>
      </c>
      <c r="S1169" s="1" t="s">
        <v>11287</v>
      </c>
      <c r="T1169" s="1" t="s">
        <v>11252</v>
      </c>
      <c r="U1169">
        <v>806.13</v>
      </c>
      <c r="V1169">
        <v>231.85</v>
      </c>
      <c r="W1169">
        <v>16.068318999999999</v>
      </c>
      <c r="X1169">
        <v>108.232472</v>
      </c>
      <c r="Y1169">
        <v>574.28</v>
      </c>
      <c r="Z1169">
        <v>16.056984</v>
      </c>
      <c r="AA1169">
        <v>108.235525</v>
      </c>
      <c r="AB1169" s="5">
        <f t="shared" si="109"/>
        <v>0.347775</v>
      </c>
      <c r="AC1169" s="5">
        <f t="shared" si="110"/>
        <v>0.86141999999999996</v>
      </c>
      <c r="AD1169" s="1" t="str">
        <f t="shared" si="111"/>
        <v>Ngũ Hành Sơn</v>
      </c>
      <c r="AE1169" s="1" t="str">
        <f t="shared" si="112"/>
        <v>Sơn Trà</v>
      </c>
      <c r="AG1169">
        <f t="shared" si="113"/>
        <v>0.23185</v>
      </c>
      <c r="AH1169">
        <f t="shared" si="114"/>
        <v>0.57428000000000001</v>
      </c>
      <c r="AI1169">
        <f>VLOOKUP(L1169,'[1]Tuyến cáp H04'!$B:$E,3,0)/1000</f>
        <v>6.73</v>
      </c>
      <c r="AJ1169" t="str">
        <f>VLOOKUP(L1169,'[1]Tuyến cáp H04'!$B:$E,4,0)</f>
        <v>Mạng cấp 3</v>
      </c>
    </row>
    <row r="1170" spans="1:36" x14ac:dyDescent="0.25">
      <c r="A1170" s="1" t="s">
        <v>11288</v>
      </c>
      <c r="B1170" s="1" t="s">
        <v>11289</v>
      </c>
      <c r="C1170" s="1" t="s">
        <v>11290</v>
      </c>
      <c r="D1170" s="1" t="s">
        <v>11291</v>
      </c>
      <c r="E1170" s="1" t="s">
        <v>11292</v>
      </c>
      <c r="F1170" s="1" t="s">
        <v>11293</v>
      </c>
      <c r="G1170" s="1" t="s">
        <v>14129</v>
      </c>
      <c r="H1170" s="1" t="s">
        <v>14133</v>
      </c>
      <c r="I1170" s="1" t="s">
        <v>15279</v>
      </c>
      <c r="J1170" s="1" t="s">
        <v>23</v>
      </c>
      <c r="K1170" s="1"/>
      <c r="L1170" s="1" t="s">
        <v>11202</v>
      </c>
      <c r="M1170" s="1" t="s">
        <v>11294</v>
      </c>
      <c r="N1170" s="1" t="s">
        <v>11295</v>
      </c>
      <c r="O1170" s="1" t="s">
        <v>11296</v>
      </c>
      <c r="P1170" s="1" t="s">
        <v>11297</v>
      </c>
      <c r="Q1170" s="1" t="s">
        <v>11298</v>
      </c>
      <c r="R1170" s="1" t="s">
        <v>11299</v>
      </c>
      <c r="S1170" s="1" t="s">
        <v>11300</v>
      </c>
      <c r="T1170" s="1" t="s">
        <v>11301</v>
      </c>
      <c r="U1170">
        <v>1028.99</v>
      </c>
      <c r="V1170">
        <v>32.130000000000003</v>
      </c>
      <c r="W1170">
        <v>15.880691000000001</v>
      </c>
      <c r="X1170">
        <v>108.332196</v>
      </c>
      <c r="Y1170">
        <v>996.86</v>
      </c>
      <c r="Z1170">
        <v>15.881036999999999</v>
      </c>
      <c r="AA1170">
        <v>108.33668</v>
      </c>
      <c r="AB1170" s="5">
        <f t="shared" si="109"/>
        <v>4.8195000000000009E-2</v>
      </c>
      <c r="AC1170" s="5">
        <f t="shared" si="110"/>
        <v>1.49529</v>
      </c>
      <c r="AD1170" s="1" t="str">
        <f t="shared" si="111"/>
        <v>Hội An</v>
      </c>
      <c r="AE1170" s="1" t="str">
        <f t="shared" si="112"/>
        <v>Ngũ Hành Sơn</v>
      </c>
      <c r="AG1170">
        <f t="shared" si="113"/>
        <v>3.2130000000000006E-2</v>
      </c>
      <c r="AH1170">
        <f t="shared" si="114"/>
        <v>0.99685999999999997</v>
      </c>
      <c r="AI1170">
        <f>VLOOKUP(L1170,'[1]Tuyến cáp H04'!$B:$E,3,0)/1000</f>
        <v>20.16</v>
      </c>
      <c r="AJ1170" t="str">
        <f>VLOOKUP(L1170,'[1]Tuyến cáp H04'!$B:$E,4,0)</f>
        <v>Mạng cấp 3</v>
      </c>
    </row>
    <row r="1171" spans="1:36" x14ac:dyDescent="0.25">
      <c r="A1171" s="1" t="s">
        <v>11302</v>
      </c>
      <c r="B1171" s="1" t="s">
        <v>11289</v>
      </c>
      <c r="C1171" s="1" t="s">
        <v>11290</v>
      </c>
      <c r="D1171" s="1" t="s">
        <v>11303</v>
      </c>
      <c r="E1171" s="1" t="s">
        <v>11304</v>
      </c>
      <c r="F1171" s="1" t="s">
        <v>11305</v>
      </c>
      <c r="G1171" s="1" t="s">
        <v>14129</v>
      </c>
      <c r="H1171" s="1" t="s">
        <v>14133</v>
      </c>
      <c r="I1171" s="1" t="s">
        <v>15280</v>
      </c>
      <c r="J1171" s="1" t="s">
        <v>23</v>
      </c>
      <c r="K1171" s="1"/>
      <c r="L1171" s="1" t="s">
        <v>11306</v>
      </c>
      <c r="M1171" s="1" t="s">
        <v>11307</v>
      </c>
      <c r="N1171" s="1" t="s">
        <v>11308</v>
      </c>
      <c r="O1171" s="1" t="s">
        <v>11309</v>
      </c>
      <c r="P1171" s="1" t="s">
        <v>11310</v>
      </c>
      <c r="Q1171" s="1" t="s">
        <v>11311</v>
      </c>
      <c r="R1171" s="1" t="s">
        <v>11312</v>
      </c>
      <c r="S1171" s="1" t="s">
        <v>11313</v>
      </c>
      <c r="T1171" s="1" t="s">
        <v>11314</v>
      </c>
      <c r="U1171">
        <v>859.69</v>
      </c>
      <c r="V1171">
        <v>30.36</v>
      </c>
      <c r="W1171">
        <v>15.880701999999999</v>
      </c>
      <c r="X1171">
        <v>108.33218100000001</v>
      </c>
      <c r="Y1171">
        <v>829.33</v>
      </c>
      <c r="Z1171">
        <v>15.896825</v>
      </c>
      <c r="AA1171">
        <v>108.305206</v>
      </c>
      <c r="AB1171" s="5">
        <f t="shared" si="109"/>
        <v>4.5539999999999997E-2</v>
      </c>
      <c r="AC1171" s="5">
        <f t="shared" si="110"/>
        <v>1.2439950000000002</v>
      </c>
      <c r="AD1171" s="1" t="str">
        <f t="shared" si="111"/>
        <v>điện bàn</v>
      </c>
      <c r="AE1171" s="1" t="str">
        <f t="shared" si="112"/>
        <v>Hội An</v>
      </c>
      <c r="AG1171">
        <f t="shared" si="113"/>
        <v>3.0359999999999998E-2</v>
      </c>
      <c r="AH1171">
        <f t="shared" si="114"/>
        <v>0.82933000000000001</v>
      </c>
      <c r="AI1171" t="e">
        <f>VLOOKUP(L1171,'[1]Tuyến cáp H04'!$B:$E,3,0)/1000</f>
        <v>#N/A</v>
      </c>
      <c r="AJ1171" t="e">
        <f>VLOOKUP(L1171,'[1]Tuyến cáp H04'!$B:$E,4,0)</f>
        <v>#N/A</v>
      </c>
    </row>
    <row r="1172" spans="1:36" x14ac:dyDescent="0.25">
      <c r="A1172" s="1" t="s">
        <v>11315</v>
      </c>
      <c r="B1172" s="1" t="s">
        <v>11289</v>
      </c>
      <c r="C1172" s="1" t="s">
        <v>11290</v>
      </c>
      <c r="D1172" s="1" t="s">
        <v>11316</v>
      </c>
      <c r="E1172" s="1" t="s">
        <v>11317</v>
      </c>
      <c r="F1172" s="1" t="s">
        <v>11318</v>
      </c>
      <c r="G1172" s="1" t="s">
        <v>14129</v>
      </c>
      <c r="H1172" s="1" t="s">
        <v>14133</v>
      </c>
      <c r="I1172" s="1" t="s">
        <v>15281</v>
      </c>
      <c r="J1172" s="1" t="s">
        <v>23</v>
      </c>
      <c r="K1172" s="1"/>
      <c r="L1172" s="1" t="s">
        <v>11306</v>
      </c>
      <c r="M1172" s="1" t="s">
        <v>11319</v>
      </c>
      <c r="N1172" s="1" t="s">
        <v>11308</v>
      </c>
      <c r="O1172" s="1" t="s">
        <v>11309</v>
      </c>
      <c r="P1172" s="1" t="s">
        <v>11310</v>
      </c>
      <c r="Q1172" s="1" t="s">
        <v>11320</v>
      </c>
      <c r="R1172" s="1" t="s">
        <v>11321</v>
      </c>
      <c r="S1172" s="1" t="s">
        <v>11322</v>
      </c>
      <c r="T1172" s="1" t="s">
        <v>11314</v>
      </c>
      <c r="U1172">
        <v>218.75</v>
      </c>
      <c r="V1172">
        <v>30.36</v>
      </c>
      <c r="W1172">
        <v>15.880701999999999</v>
      </c>
      <c r="X1172">
        <v>108.33218100000001</v>
      </c>
      <c r="Y1172">
        <v>188.38</v>
      </c>
      <c r="Z1172">
        <v>15.883502999999999</v>
      </c>
      <c r="AA1172">
        <v>108.327519</v>
      </c>
      <c r="AB1172" s="5">
        <f t="shared" si="109"/>
        <v>4.5539999999999997E-2</v>
      </c>
      <c r="AC1172" s="5">
        <f t="shared" si="110"/>
        <v>0.28256999999999999</v>
      </c>
      <c r="AD1172" s="1" t="str">
        <f t="shared" si="111"/>
        <v>điện bàn</v>
      </c>
      <c r="AE1172" s="1" t="str">
        <f t="shared" si="112"/>
        <v>Hội An</v>
      </c>
      <c r="AG1172">
        <f t="shared" si="113"/>
        <v>3.0359999999999998E-2</v>
      </c>
      <c r="AH1172">
        <f t="shared" si="114"/>
        <v>0.18837999999999999</v>
      </c>
      <c r="AI1172" t="e">
        <f>VLOOKUP(L1172,'[1]Tuyến cáp H04'!$B:$E,3,0)/1000</f>
        <v>#N/A</v>
      </c>
      <c r="AJ1172" t="e">
        <f>VLOOKUP(L1172,'[1]Tuyến cáp H04'!$B:$E,4,0)</f>
        <v>#N/A</v>
      </c>
    </row>
    <row r="1173" spans="1:36" x14ac:dyDescent="0.25">
      <c r="A1173" s="1" t="s">
        <v>11323</v>
      </c>
      <c r="B1173" s="1" t="s">
        <v>11289</v>
      </c>
      <c r="C1173" s="1" t="s">
        <v>11290</v>
      </c>
      <c r="D1173" s="1" t="s">
        <v>11324</v>
      </c>
      <c r="E1173" s="1" t="s">
        <v>11325</v>
      </c>
      <c r="F1173" s="1" t="s">
        <v>11326</v>
      </c>
      <c r="G1173" s="1" t="s">
        <v>14129</v>
      </c>
      <c r="H1173" s="1" t="s">
        <v>14133</v>
      </c>
      <c r="I1173" s="1" t="s">
        <v>15282</v>
      </c>
      <c r="J1173" s="1" t="s">
        <v>23</v>
      </c>
      <c r="K1173" s="1"/>
      <c r="L1173" s="1" t="s">
        <v>11202</v>
      </c>
      <c r="M1173" s="1" t="s">
        <v>11327</v>
      </c>
      <c r="N1173" s="1" t="s">
        <v>11295</v>
      </c>
      <c r="O1173" s="1" t="s">
        <v>11296</v>
      </c>
      <c r="P1173" s="1" t="s">
        <v>11297</v>
      </c>
      <c r="Q1173" s="1" t="s">
        <v>11328</v>
      </c>
      <c r="R1173" s="1" t="s">
        <v>11329</v>
      </c>
      <c r="S1173" s="1" t="s">
        <v>11330</v>
      </c>
      <c r="T1173" s="1" t="s">
        <v>11301</v>
      </c>
      <c r="U1173">
        <v>221.47</v>
      </c>
      <c r="V1173">
        <v>32.130000000000003</v>
      </c>
      <c r="W1173">
        <v>15.880691000000001</v>
      </c>
      <c r="X1173">
        <v>108.332196</v>
      </c>
      <c r="Y1173">
        <v>189.34</v>
      </c>
      <c r="Z1173">
        <v>15.891702</v>
      </c>
      <c r="AA1173">
        <v>108.330015</v>
      </c>
      <c r="AB1173" s="5">
        <f t="shared" si="109"/>
        <v>4.8195000000000009E-2</v>
      </c>
      <c r="AC1173" s="5">
        <f t="shared" si="110"/>
        <v>0.28400999999999998</v>
      </c>
      <c r="AD1173" s="1" t="str">
        <f t="shared" si="111"/>
        <v>Hội An</v>
      </c>
      <c r="AE1173" s="1" t="str">
        <f t="shared" si="112"/>
        <v>Ngũ Hành Sơn</v>
      </c>
      <c r="AG1173">
        <f t="shared" si="113"/>
        <v>3.2130000000000006E-2</v>
      </c>
      <c r="AH1173">
        <f t="shared" si="114"/>
        <v>0.18934000000000001</v>
      </c>
      <c r="AI1173">
        <f>VLOOKUP(L1173,'[1]Tuyến cáp H04'!$B:$E,3,0)/1000</f>
        <v>20.16</v>
      </c>
      <c r="AJ1173" t="str">
        <f>VLOOKUP(L1173,'[1]Tuyến cáp H04'!$B:$E,4,0)</f>
        <v>Mạng cấp 3</v>
      </c>
    </row>
    <row r="1174" spans="1:36" x14ac:dyDescent="0.25">
      <c r="A1174" s="1" t="s">
        <v>11331</v>
      </c>
      <c r="B1174" s="1" t="s">
        <v>11289</v>
      </c>
      <c r="C1174" s="1" t="s">
        <v>11290</v>
      </c>
      <c r="D1174" s="1" t="s">
        <v>11332</v>
      </c>
      <c r="E1174" s="1" t="s">
        <v>11333</v>
      </c>
      <c r="F1174" s="1" t="s">
        <v>11334</v>
      </c>
      <c r="G1174" s="1" t="s">
        <v>14129</v>
      </c>
      <c r="H1174" s="1" t="s">
        <v>14532</v>
      </c>
      <c r="I1174" s="1" t="s">
        <v>15283</v>
      </c>
      <c r="J1174" s="1" t="s">
        <v>23</v>
      </c>
      <c r="K1174" s="1"/>
      <c r="L1174" s="1" t="s">
        <v>11306</v>
      </c>
      <c r="M1174" s="1" t="s">
        <v>11335</v>
      </c>
      <c r="N1174" s="1" t="s">
        <v>11308</v>
      </c>
      <c r="O1174" s="1" t="s">
        <v>11309</v>
      </c>
      <c r="P1174" s="1" t="s">
        <v>11310</v>
      </c>
      <c r="Q1174" s="1" t="s">
        <v>11336</v>
      </c>
      <c r="R1174" s="1" t="s">
        <v>11337</v>
      </c>
      <c r="S1174" s="1" t="s">
        <v>11338</v>
      </c>
      <c r="T1174" s="1" t="s">
        <v>11314</v>
      </c>
      <c r="U1174">
        <v>512.65</v>
      </c>
      <c r="V1174">
        <v>30.36</v>
      </c>
      <c r="W1174">
        <v>15.880701999999999</v>
      </c>
      <c r="X1174">
        <v>108.33218100000001</v>
      </c>
      <c r="Y1174">
        <v>482.29</v>
      </c>
      <c r="Z1174">
        <v>15.88527</v>
      </c>
      <c r="AA1174">
        <v>108.32350599999999</v>
      </c>
      <c r="AB1174" s="5">
        <f t="shared" si="109"/>
        <v>4.5539999999999997E-2</v>
      </c>
      <c r="AC1174" s="5">
        <f t="shared" si="110"/>
        <v>0.72343500000000005</v>
      </c>
      <c r="AD1174" s="1" t="str">
        <f t="shared" si="111"/>
        <v>điện bàn</v>
      </c>
      <c r="AE1174" s="1" t="str">
        <f t="shared" si="112"/>
        <v>Hội An</v>
      </c>
      <c r="AG1174">
        <f t="shared" si="113"/>
        <v>3.0359999999999998E-2</v>
      </c>
      <c r="AH1174">
        <f t="shared" si="114"/>
        <v>0.48229</v>
      </c>
      <c r="AI1174" t="e">
        <f>VLOOKUP(L1174,'[1]Tuyến cáp H04'!$B:$E,3,0)/1000</f>
        <v>#N/A</v>
      </c>
      <c r="AJ1174" t="e">
        <f>VLOOKUP(L1174,'[1]Tuyến cáp H04'!$B:$E,4,0)</f>
        <v>#N/A</v>
      </c>
    </row>
    <row r="1175" spans="1:36" x14ac:dyDescent="0.25">
      <c r="A1175" s="1" t="s">
        <v>11339</v>
      </c>
      <c r="B1175" s="1" t="s">
        <v>11340</v>
      </c>
      <c r="C1175" s="1" t="s">
        <v>11341</v>
      </c>
      <c r="D1175" s="1" t="s">
        <v>11342</v>
      </c>
      <c r="E1175" s="1" t="s">
        <v>11343</v>
      </c>
      <c r="F1175" s="1" t="s">
        <v>11344</v>
      </c>
      <c r="G1175" s="1" t="s">
        <v>14129</v>
      </c>
      <c r="H1175" s="1" t="s">
        <v>14532</v>
      </c>
      <c r="I1175" s="1" t="s">
        <v>15284</v>
      </c>
      <c r="J1175" s="1" t="s">
        <v>23</v>
      </c>
      <c r="K1175" s="1"/>
      <c r="L1175" s="1" t="s">
        <v>11345</v>
      </c>
      <c r="M1175" s="1" t="s">
        <v>11346</v>
      </c>
      <c r="N1175" s="1" t="s">
        <v>11347</v>
      </c>
      <c r="O1175" s="1" t="s">
        <v>11348</v>
      </c>
      <c r="P1175" s="1" t="s">
        <v>11349</v>
      </c>
      <c r="Q1175" s="1" t="s">
        <v>11350</v>
      </c>
      <c r="R1175" s="1" t="s">
        <v>11351</v>
      </c>
      <c r="S1175" s="1" t="s">
        <v>11352</v>
      </c>
      <c r="T1175" s="1" t="s">
        <v>11353</v>
      </c>
      <c r="U1175">
        <v>1384.24</v>
      </c>
      <c r="V1175">
        <v>3.91</v>
      </c>
      <c r="W1175">
        <v>15.433142</v>
      </c>
      <c r="X1175">
        <v>108.660472</v>
      </c>
      <c r="Y1175">
        <v>1380.33</v>
      </c>
      <c r="Z1175">
        <v>15.432864</v>
      </c>
      <c r="AA1175">
        <v>108.66029</v>
      </c>
      <c r="AB1175" s="5">
        <f t="shared" si="109"/>
        <v>5.8650000000000004E-3</v>
      </c>
      <c r="AC1175" s="5">
        <f t="shared" si="110"/>
        <v>2.0704949999999998</v>
      </c>
      <c r="AD1175" s="1" t="str">
        <f t="shared" si="111"/>
        <v>Tam Anh</v>
      </c>
      <c r="AE1175" s="1" t="str">
        <f t="shared" si="112"/>
        <v>Núi Thành</v>
      </c>
      <c r="AG1175">
        <f t="shared" si="113"/>
        <v>3.9100000000000003E-3</v>
      </c>
      <c r="AH1175">
        <f t="shared" si="114"/>
        <v>1.3803299999999998</v>
      </c>
      <c r="AI1175">
        <f>VLOOKUP(L1175,'[1]Tuyến cáp H04'!$B:$E,3,0)/1000</f>
        <v>14.798</v>
      </c>
      <c r="AJ1175" t="str">
        <f>VLOOKUP(L1175,'[1]Tuyến cáp H04'!$B:$E,4,0)</f>
        <v>Mạng cấp 4</v>
      </c>
    </row>
    <row r="1176" spans="1:36" x14ac:dyDescent="0.25">
      <c r="A1176" s="1" t="s">
        <v>11354</v>
      </c>
      <c r="B1176" s="1" t="s">
        <v>11355</v>
      </c>
      <c r="C1176" s="1" t="s">
        <v>11356</v>
      </c>
      <c r="D1176" s="1" t="s">
        <v>11357</v>
      </c>
      <c r="E1176" s="1" t="s">
        <v>11358</v>
      </c>
      <c r="F1176" s="1" t="s">
        <v>11359</v>
      </c>
      <c r="G1176" s="1" t="s">
        <v>14129</v>
      </c>
      <c r="H1176" s="1" t="s">
        <v>14532</v>
      </c>
      <c r="I1176" s="1" t="s">
        <v>15285</v>
      </c>
      <c r="J1176" s="1" t="s">
        <v>23</v>
      </c>
      <c r="K1176" s="1"/>
      <c r="L1176" s="1" t="s">
        <v>11360</v>
      </c>
      <c r="M1176" s="1" t="s">
        <v>11361</v>
      </c>
      <c r="N1176" s="1" t="s">
        <v>11362</v>
      </c>
      <c r="O1176" s="1" t="s">
        <v>11363</v>
      </c>
      <c r="P1176" s="1" t="s">
        <v>11364</v>
      </c>
      <c r="Q1176" s="1" t="s">
        <v>11365</v>
      </c>
      <c r="R1176" s="1" t="s">
        <v>11366</v>
      </c>
      <c r="S1176" s="1" t="s">
        <v>11367</v>
      </c>
      <c r="T1176" s="1" t="s">
        <v>11368</v>
      </c>
      <c r="U1176">
        <v>96.86</v>
      </c>
      <c r="V1176">
        <v>70.69</v>
      </c>
      <c r="W1176">
        <v>15.736033000000001</v>
      </c>
      <c r="X1176">
        <v>108.352322</v>
      </c>
      <c r="Y1176">
        <v>26.17</v>
      </c>
      <c r="Z1176">
        <v>15.734149</v>
      </c>
      <c r="AA1176">
        <v>108.348348</v>
      </c>
      <c r="AB1176" s="5">
        <f t="shared" si="109"/>
        <v>0.10603499999999999</v>
      </c>
      <c r="AC1176" s="5">
        <f t="shared" si="110"/>
        <v>3.9255000000000005E-2</v>
      </c>
      <c r="AD1176" s="1" t="str">
        <f t="shared" si="111"/>
        <v>Thăng Bình</v>
      </c>
      <c r="AE1176" s="1" t="str">
        <f t="shared" si="112"/>
        <v>Quế Sơn</v>
      </c>
      <c r="AG1176">
        <f t="shared" si="113"/>
        <v>7.0690000000000003E-2</v>
      </c>
      <c r="AH1176">
        <f t="shared" si="114"/>
        <v>2.6170000000000002E-2</v>
      </c>
      <c r="AI1176">
        <f>VLOOKUP(L1176,'[1]Tuyến cáp H04'!$B:$E,3,0)/1000</f>
        <v>20.538</v>
      </c>
      <c r="AJ1176" t="str">
        <f>VLOOKUP(L1176,'[1]Tuyến cáp H04'!$B:$E,4,0)</f>
        <v>Mạng cấp 3</v>
      </c>
    </row>
    <row r="1177" spans="1:36" x14ac:dyDescent="0.25">
      <c r="A1177" s="1" t="s">
        <v>11369</v>
      </c>
      <c r="B1177" s="1" t="s">
        <v>11355</v>
      </c>
      <c r="C1177" s="1" t="s">
        <v>11356</v>
      </c>
      <c r="D1177" s="1" t="s">
        <v>11370</v>
      </c>
      <c r="E1177" s="1" t="s">
        <v>11371</v>
      </c>
      <c r="F1177" s="1" t="s">
        <v>11372</v>
      </c>
      <c r="G1177" s="1" t="s">
        <v>14129</v>
      </c>
      <c r="H1177" s="1" t="s">
        <v>14532</v>
      </c>
      <c r="I1177" s="1" t="s">
        <v>15286</v>
      </c>
      <c r="J1177" s="1" t="s">
        <v>23</v>
      </c>
      <c r="K1177" s="1"/>
      <c r="L1177" s="1" t="s">
        <v>11373</v>
      </c>
      <c r="M1177" s="1" t="s">
        <v>11374</v>
      </c>
      <c r="N1177" s="1" t="s">
        <v>11375</v>
      </c>
      <c r="O1177" s="1" t="s">
        <v>11376</v>
      </c>
      <c r="P1177" s="1" t="s">
        <v>11377</v>
      </c>
      <c r="Q1177" s="1" t="s">
        <v>11378</v>
      </c>
      <c r="R1177" s="1" t="s">
        <v>11379</v>
      </c>
      <c r="S1177" s="1" t="s">
        <v>11380</v>
      </c>
      <c r="T1177" s="1" t="s">
        <v>11381</v>
      </c>
      <c r="U1177">
        <v>1254.67</v>
      </c>
      <c r="V1177">
        <v>813.22</v>
      </c>
      <c r="W1177">
        <v>15.741393</v>
      </c>
      <c r="X1177">
        <v>108.35662000000001</v>
      </c>
      <c r="Y1177">
        <v>441.44</v>
      </c>
      <c r="Z1177">
        <v>15.754937999999999</v>
      </c>
      <c r="AA1177">
        <v>108.3492</v>
      </c>
      <c r="AB1177" s="5">
        <f t="shared" si="109"/>
        <v>1.21983</v>
      </c>
      <c r="AC1177" s="5">
        <f t="shared" si="110"/>
        <v>0.66215999999999997</v>
      </c>
      <c r="AD1177" s="1" t="str">
        <f t="shared" si="111"/>
        <v>Duy Xuyên</v>
      </c>
      <c r="AE1177" s="1" t="str">
        <f t="shared" si="112"/>
        <v>TT2 Tam Kỳ</v>
      </c>
      <c r="AG1177">
        <f t="shared" si="113"/>
        <v>0.81322000000000005</v>
      </c>
      <c r="AH1177">
        <f t="shared" si="114"/>
        <v>0.44144</v>
      </c>
      <c r="AI1177">
        <f>VLOOKUP(L1177,'[1]Tuyến cáp H04'!$B:$E,3,0)/1000</f>
        <v>44.616</v>
      </c>
      <c r="AJ1177" t="str">
        <f>VLOOKUP(L1177,'[1]Tuyến cáp H04'!$B:$E,4,0)</f>
        <v>Mạng cấp 3</v>
      </c>
    </row>
    <row r="1178" spans="1:36" x14ac:dyDescent="0.25">
      <c r="A1178" s="1" t="s">
        <v>11382</v>
      </c>
      <c r="B1178" s="1" t="s">
        <v>11355</v>
      </c>
      <c r="C1178" s="1" t="s">
        <v>11356</v>
      </c>
      <c r="D1178" s="1" t="s">
        <v>11383</v>
      </c>
      <c r="E1178" s="1" t="s">
        <v>11384</v>
      </c>
      <c r="F1178" s="1" t="s">
        <v>11385</v>
      </c>
      <c r="G1178" s="1" t="s">
        <v>14129</v>
      </c>
      <c r="H1178" s="1" t="s">
        <v>14532</v>
      </c>
      <c r="I1178" s="1" t="s">
        <v>15287</v>
      </c>
      <c r="J1178" s="1" t="s">
        <v>23</v>
      </c>
      <c r="K1178" s="1"/>
      <c r="L1178" s="1" t="s">
        <v>11386</v>
      </c>
      <c r="M1178" s="1" t="s">
        <v>11387</v>
      </c>
      <c r="N1178" s="1" t="s">
        <v>11388</v>
      </c>
      <c r="O1178" s="1" t="s">
        <v>11389</v>
      </c>
      <c r="P1178" s="1" t="s">
        <v>11390</v>
      </c>
      <c r="Q1178" s="1" t="s">
        <v>11391</v>
      </c>
      <c r="R1178" s="1" t="s">
        <v>11392</v>
      </c>
      <c r="S1178" s="1" t="s">
        <v>11393</v>
      </c>
      <c r="T1178" s="1" t="s">
        <v>11394</v>
      </c>
      <c r="U1178">
        <v>2191.16</v>
      </c>
      <c r="V1178">
        <v>69.42</v>
      </c>
      <c r="W1178">
        <v>15.736057000000001</v>
      </c>
      <c r="X1178">
        <v>108.3523</v>
      </c>
      <c r="Y1178">
        <v>2121.7399999999998</v>
      </c>
      <c r="Z1178">
        <v>15.720257</v>
      </c>
      <c r="AA1178">
        <v>108.375578</v>
      </c>
      <c r="AB1178" s="5">
        <f t="shared" si="109"/>
        <v>0.10413</v>
      </c>
      <c r="AC1178" s="5">
        <f t="shared" si="110"/>
        <v>3.1826099999999995</v>
      </c>
      <c r="AD1178" s="1" t="str">
        <f t="shared" si="111"/>
        <v>Trạm CSGT Thăng Bình (X. Bình Phục, Thăng
Bình)</v>
      </c>
      <c r="AE1178" s="1" t="str">
        <f t="shared" si="112"/>
        <v>TTCMKV Thăng Bình</v>
      </c>
      <c r="AG1178">
        <f t="shared" si="113"/>
        <v>6.9419999999999996E-2</v>
      </c>
      <c r="AH1178">
        <f t="shared" si="114"/>
        <v>2.12174</v>
      </c>
      <c r="AI1178">
        <f>VLOOKUP(L1178,'[1]Tuyến cáp H04'!$B:$E,3,0)/1000</f>
        <v>4.1900000000000004</v>
      </c>
      <c r="AJ1178" t="str">
        <f>VLOOKUP(L1178,'[1]Tuyến cáp H04'!$B:$E,4,0)</f>
        <v>Mạng cấp 3</v>
      </c>
    </row>
    <row r="1179" spans="1:36" x14ac:dyDescent="0.25">
      <c r="A1179" s="1" t="s">
        <v>11395</v>
      </c>
      <c r="B1179" s="1" t="s">
        <v>11355</v>
      </c>
      <c r="C1179" s="1" t="s">
        <v>11356</v>
      </c>
      <c r="D1179" s="1" t="s">
        <v>11396</v>
      </c>
      <c r="E1179" s="1" t="s">
        <v>11397</v>
      </c>
      <c r="F1179" s="1" t="s">
        <v>11398</v>
      </c>
      <c r="G1179" s="1"/>
      <c r="H1179" s="1" t="s">
        <v>14133</v>
      </c>
      <c r="I1179" s="1" t="s">
        <v>15288</v>
      </c>
      <c r="J1179" s="1" t="s">
        <v>23</v>
      </c>
      <c r="K1179" s="1"/>
      <c r="L1179" s="1" t="s">
        <v>11360</v>
      </c>
      <c r="M1179" s="1" t="s">
        <v>11399</v>
      </c>
      <c r="N1179" s="1" t="s">
        <v>11362</v>
      </c>
      <c r="O1179" s="1" t="s">
        <v>11363</v>
      </c>
      <c r="P1179" s="1" t="s">
        <v>11364</v>
      </c>
      <c r="Q1179" s="1" t="s">
        <v>11400</v>
      </c>
      <c r="R1179" s="1" t="s">
        <v>11401</v>
      </c>
      <c r="S1179" s="1" t="s">
        <v>11402</v>
      </c>
      <c r="T1179" s="1" t="s">
        <v>11368</v>
      </c>
      <c r="U1179">
        <v>3862.47</v>
      </c>
      <c r="V1179">
        <v>70.69</v>
      </c>
      <c r="W1179">
        <v>15.736033000000001</v>
      </c>
      <c r="X1179">
        <v>108.352322</v>
      </c>
      <c r="Y1179">
        <v>3791.78</v>
      </c>
      <c r="Z1179">
        <v>15.702866</v>
      </c>
      <c r="AA1179">
        <v>108.28560899999999</v>
      </c>
      <c r="AB1179" s="5">
        <f t="shared" si="109"/>
        <v>0.10603499999999999</v>
      </c>
      <c r="AC1179" s="5">
        <f t="shared" si="110"/>
        <v>5.6876699999999998</v>
      </c>
      <c r="AD1179" s="1" t="str">
        <f t="shared" si="111"/>
        <v>Thăng Bình</v>
      </c>
      <c r="AE1179" s="1" t="str">
        <f t="shared" si="112"/>
        <v>Quế Sơn</v>
      </c>
      <c r="AG1179">
        <f t="shared" si="113"/>
        <v>7.0690000000000003E-2</v>
      </c>
      <c r="AH1179">
        <f t="shared" si="114"/>
        <v>3.7917800000000002</v>
      </c>
      <c r="AI1179">
        <f>VLOOKUP(L1179,'[1]Tuyến cáp H04'!$B:$E,3,0)/1000</f>
        <v>20.538</v>
      </c>
      <c r="AJ1179" t="str">
        <f>VLOOKUP(L1179,'[1]Tuyến cáp H04'!$B:$E,4,0)</f>
        <v>Mạng cấp 3</v>
      </c>
    </row>
    <row r="1180" spans="1:36" x14ac:dyDescent="0.25">
      <c r="A1180" s="1" t="s">
        <v>11403</v>
      </c>
      <c r="B1180" s="1" t="s">
        <v>11355</v>
      </c>
      <c r="C1180" s="1" t="s">
        <v>11356</v>
      </c>
      <c r="D1180" s="1" t="s">
        <v>11404</v>
      </c>
      <c r="E1180" s="1" t="s">
        <v>11405</v>
      </c>
      <c r="F1180" s="1" t="s">
        <v>11406</v>
      </c>
      <c r="G1180" s="1" t="s">
        <v>14129</v>
      </c>
      <c r="H1180" s="1" t="s">
        <v>14133</v>
      </c>
      <c r="I1180" s="1" t="s">
        <v>15289</v>
      </c>
      <c r="J1180" s="1" t="s">
        <v>23</v>
      </c>
      <c r="K1180" s="1"/>
      <c r="L1180" s="1" t="s">
        <v>11360</v>
      </c>
      <c r="M1180" s="1" t="s">
        <v>11407</v>
      </c>
      <c r="N1180" s="1" t="s">
        <v>11362</v>
      </c>
      <c r="O1180" s="1" t="s">
        <v>11363</v>
      </c>
      <c r="P1180" s="1" t="s">
        <v>11364</v>
      </c>
      <c r="Q1180" s="1" t="s">
        <v>11408</v>
      </c>
      <c r="R1180" s="1" t="s">
        <v>11401</v>
      </c>
      <c r="S1180" s="1" t="s">
        <v>11402</v>
      </c>
      <c r="T1180" s="1" t="s">
        <v>11368</v>
      </c>
      <c r="U1180">
        <v>2243</v>
      </c>
      <c r="V1180">
        <v>70.69</v>
      </c>
      <c r="W1180">
        <v>15.736033000000001</v>
      </c>
      <c r="X1180">
        <v>108.352322</v>
      </c>
      <c r="Y1180">
        <v>2172.31</v>
      </c>
      <c r="Z1180">
        <v>15.702866</v>
      </c>
      <c r="AA1180">
        <v>108.28560899999999</v>
      </c>
      <c r="AB1180" s="5">
        <f t="shared" si="109"/>
        <v>0.10603499999999999</v>
      </c>
      <c r="AC1180" s="5">
        <f t="shared" si="110"/>
        <v>3.2584650000000002</v>
      </c>
      <c r="AD1180" s="1" t="str">
        <f t="shared" si="111"/>
        <v>Thăng Bình</v>
      </c>
      <c r="AE1180" s="1" t="str">
        <f t="shared" si="112"/>
        <v>Quế Sơn</v>
      </c>
      <c r="AG1180">
        <f t="shared" si="113"/>
        <v>7.0690000000000003E-2</v>
      </c>
      <c r="AH1180">
        <f t="shared" si="114"/>
        <v>2.17231</v>
      </c>
      <c r="AI1180">
        <f>VLOOKUP(L1180,'[1]Tuyến cáp H04'!$B:$E,3,0)/1000</f>
        <v>20.538</v>
      </c>
      <c r="AJ1180" t="str">
        <f>VLOOKUP(L1180,'[1]Tuyến cáp H04'!$B:$E,4,0)</f>
        <v>Mạng cấp 3</v>
      </c>
    </row>
    <row r="1181" spans="1:36" x14ac:dyDescent="0.25">
      <c r="A1181" s="1" t="s">
        <v>11409</v>
      </c>
      <c r="B1181" s="1" t="s">
        <v>11355</v>
      </c>
      <c r="C1181" s="1" t="s">
        <v>11356</v>
      </c>
      <c r="D1181" s="1" t="s">
        <v>11410</v>
      </c>
      <c r="E1181" s="1" t="s">
        <v>11411</v>
      </c>
      <c r="F1181" s="1" t="s">
        <v>11412</v>
      </c>
      <c r="G1181" s="1" t="s">
        <v>14129</v>
      </c>
      <c r="H1181" s="1" t="s">
        <v>14133</v>
      </c>
      <c r="I1181" s="1" t="s">
        <v>15290</v>
      </c>
      <c r="J1181" s="1" t="s">
        <v>23</v>
      </c>
      <c r="K1181" s="1"/>
      <c r="L1181" s="1" t="s">
        <v>11373</v>
      </c>
      <c r="M1181" s="1" t="s">
        <v>11413</v>
      </c>
      <c r="N1181" s="1" t="s">
        <v>11375</v>
      </c>
      <c r="O1181" s="1" t="s">
        <v>11376</v>
      </c>
      <c r="P1181" s="1" t="s">
        <v>11377</v>
      </c>
      <c r="Q1181" s="1" t="s">
        <v>11414</v>
      </c>
      <c r="R1181" s="1" t="s">
        <v>11415</v>
      </c>
      <c r="S1181" s="1" t="s">
        <v>11416</v>
      </c>
      <c r="T1181" s="1" t="s">
        <v>11381</v>
      </c>
      <c r="U1181">
        <v>1524.45</v>
      </c>
      <c r="V1181">
        <v>813.22</v>
      </c>
      <c r="W1181">
        <v>15.741393</v>
      </c>
      <c r="X1181">
        <v>108.35662000000001</v>
      </c>
      <c r="Y1181">
        <v>711.23</v>
      </c>
      <c r="Z1181">
        <v>15.772945</v>
      </c>
      <c r="AA1181">
        <v>108.33508</v>
      </c>
      <c r="AB1181" s="5">
        <f t="shared" si="109"/>
        <v>1.21983</v>
      </c>
      <c r="AC1181" s="5">
        <f t="shared" si="110"/>
        <v>1.066845</v>
      </c>
      <c r="AD1181" s="1" t="str">
        <f t="shared" si="111"/>
        <v>Duy Xuyên</v>
      </c>
      <c r="AE1181" s="1" t="str">
        <f t="shared" si="112"/>
        <v>TT2 Tam Kỳ</v>
      </c>
      <c r="AG1181">
        <f t="shared" si="113"/>
        <v>0.81322000000000005</v>
      </c>
      <c r="AH1181">
        <f t="shared" si="114"/>
        <v>0.71123000000000003</v>
      </c>
      <c r="AI1181">
        <f>VLOOKUP(L1181,'[1]Tuyến cáp H04'!$B:$E,3,0)/1000</f>
        <v>44.616</v>
      </c>
      <c r="AJ1181" t="str">
        <f>VLOOKUP(L1181,'[1]Tuyến cáp H04'!$B:$E,4,0)</f>
        <v>Mạng cấp 3</v>
      </c>
    </row>
    <row r="1182" spans="1:36" x14ac:dyDescent="0.25">
      <c r="A1182" s="1" t="s">
        <v>11417</v>
      </c>
      <c r="B1182" s="1" t="s">
        <v>11355</v>
      </c>
      <c r="C1182" s="1" t="s">
        <v>11356</v>
      </c>
      <c r="D1182" s="1" t="s">
        <v>11418</v>
      </c>
      <c r="E1182" s="1" t="s">
        <v>11419</v>
      </c>
      <c r="F1182" s="1" t="s">
        <v>11420</v>
      </c>
      <c r="G1182" s="1" t="s">
        <v>14129</v>
      </c>
      <c r="H1182" s="1" t="s">
        <v>14532</v>
      </c>
      <c r="I1182" s="1" t="s">
        <v>15291</v>
      </c>
      <c r="J1182" s="1" t="s">
        <v>23</v>
      </c>
      <c r="K1182" s="1"/>
      <c r="L1182" s="1" t="s">
        <v>11373</v>
      </c>
      <c r="M1182" s="1" t="s">
        <v>11421</v>
      </c>
      <c r="N1182" s="1" t="s">
        <v>11375</v>
      </c>
      <c r="O1182" s="1" t="s">
        <v>11376</v>
      </c>
      <c r="P1182" s="1" t="s">
        <v>11377</v>
      </c>
      <c r="Q1182" s="1" t="s">
        <v>11422</v>
      </c>
      <c r="R1182" s="1" t="s">
        <v>11423</v>
      </c>
      <c r="S1182" s="1" t="s">
        <v>11424</v>
      </c>
      <c r="T1182" s="1" t="s">
        <v>11381</v>
      </c>
      <c r="U1182">
        <v>868.63</v>
      </c>
      <c r="V1182">
        <v>813.22</v>
      </c>
      <c r="W1182">
        <v>15.741393</v>
      </c>
      <c r="X1182">
        <v>108.35662000000001</v>
      </c>
      <c r="Y1182">
        <v>55.4</v>
      </c>
      <c r="Z1182">
        <v>15.742511</v>
      </c>
      <c r="AA1182">
        <v>108.35896700000001</v>
      </c>
      <c r="AB1182" s="5">
        <f t="shared" si="109"/>
        <v>1.21983</v>
      </c>
      <c r="AC1182" s="5">
        <f t="shared" si="110"/>
        <v>8.3099999999999993E-2</v>
      </c>
      <c r="AD1182" s="1" t="str">
        <f t="shared" si="111"/>
        <v>Duy Xuyên</v>
      </c>
      <c r="AE1182" s="1" t="str">
        <f t="shared" si="112"/>
        <v>TT2 Tam Kỳ</v>
      </c>
      <c r="AG1182">
        <f t="shared" si="113"/>
        <v>0.81322000000000005</v>
      </c>
      <c r="AH1182">
        <f t="shared" si="114"/>
        <v>5.5399999999999998E-2</v>
      </c>
      <c r="AI1182">
        <f>VLOOKUP(L1182,'[1]Tuyến cáp H04'!$B:$E,3,0)/1000</f>
        <v>44.616</v>
      </c>
      <c r="AJ1182" t="str">
        <f>VLOOKUP(L1182,'[1]Tuyến cáp H04'!$B:$E,4,0)</f>
        <v>Mạng cấp 3</v>
      </c>
    </row>
    <row r="1183" spans="1:36" x14ac:dyDescent="0.25">
      <c r="A1183" s="1" t="s">
        <v>11425</v>
      </c>
      <c r="B1183" s="1" t="s">
        <v>11355</v>
      </c>
      <c r="C1183" s="1" t="s">
        <v>11356</v>
      </c>
      <c r="D1183" s="1" t="s">
        <v>11426</v>
      </c>
      <c r="E1183" s="1" t="s">
        <v>11427</v>
      </c>
      <c r="F1183" s="1" t="s">
        <v>11428</v>
      </c>
      <c r="G1183" s="1" t="s">
        <v>14129</v>
      </c>
      <c r="H1183" s="1" t="s">
        <v>14532</v>
      </c>
      <c r="I1183" s="1" t="s">
        <v>15292</v>
      </c>
      <c r="J1183" s="1" t="s">
        <v>23</v>
      </c>
      <c r="K1183" s="1"/>
      <c r="L1183" s="1" t="s">
        <v>11429</v>
      </c>
      <c r="M1183" s="1" t="s">
        <v>11430</v>
      </c>
      <c r="N1183" s="1" t="s">
        <v>11431</v>
      </c>
      <c r="O1183" s="1" t="s">
        <v>11432</v>
      </c>
      <c r="P1183" s="1" t="s">
        <v>11433</v>
      </c>
      <c r="Q1183" s="1" t="s">
        <v>11434</v>
      </c>
      <c r="R1183" s="1" t="s">
        <v>11435</v>
      </c>
      <c r="S1183" s="1" t="s">
        <v>11436</v>
      </c>
      <c r="T1183" s="1" t="s">
        <v>11437</v>
      </c>
      <c r="U1183">
        <v>1289.8900000000001</v>
      </c>
      <c r="V1183">
        <v>1063.79</v>
      </c>
      <c r="W1183">
        <v>15.742058</v>
      </c>
      <c r="X1183">
        <v>108.359236</v>
      </c>
      <c r="Y1183">
        <v>226.1</v>
      </c>
      <c r="Z1183">
        <v>15.747146000000001</v>
      </c>
      <c r="AA1183">
        <v>108.376503</v>
      </c>
      <c r="AB1183" s="5">
        <f t="shared" si="109"/>
        <v>1.595685</v>
      </c>
      <c r="AC1183" s="5">
        <f t="shared" si="110"/>
        <v>0.33914999999999995</v>
      </c>
      <c r="AD1183" s="1" t="str">
        <f t="shared" si="111"/>
        <v>E28</v>
      </c>
      <c r="AE1183" s="1" t="str">
        <f t="shared" si="112"/>
        <v>Thăng An</v>
      </c>
      <c r="AG1183">
        <f t="shared" si="113"/>
        <v>1.06379</v>
      </c>
      <c r="AH1183">
        <f t="shared" si="114"/>
        <v>0.2261</v>
      </c>
      <c r="AI1183">
        <f>VLOOKUP(L1183,'[1]Tuyến cáp H04'!$B:$E,3,0)/1000</f>
        <v>7.88</v>
      </c>
      <c r="AJ1183" t="str">
        <f>VLOOKUP(L1183,'[1]Tuyến cáp H04'!$B:$E,4,0)</f>
        <v>Mạng cấp 4</v>
      </c>
    </row>
    <row r="1184" spans="1:36" x14ac:dyDescent="0.25">
      <c r="A1184" s="1" t="s">
        <v>11438</v>
      </c>
      <c r="B1184" s="1" t="s">
        <v>11439</v>
      </c>
      <c r="C1184" s="1" t="s">
        <v>11440</v>
      </c>
      <c r="D1184" s="1" t="s">
        <v>11441</v>
      </c>
      <c r="E1184" s="1" t="s">
        <v>11442</v>
      </c>
      <c r="F1184" s="1" t="s">
        <v>11443</v>
      </c>
      <c r="G1184" s="1" t="s">
        <v>14129</v>
      </c>
      <c r="H1184" s="1" t="s">
        <v>14532</v>
      </c>
      <c r="I1184" s="1" t="s">
        <v>15293</v>
      </c>
      <c r="J1184" s="1" t="s">
        <v>23</v>
      </c>
      <c r="K1184" s="1"/>
      <c r="L1184" s="1" t="s">
        <v>11444</v>
      </c>
      <c r="M1184" s="1" t="s">
        <v>11445</v>
      </c>
      <c r="N1184" s="1" t="s">
        <v>11446</v>
      </c>
      <c r="O1184" s="1" t="s">
        <v>11447</v>
      </c>
      <c r="P1184" s="1" t="s">
        <v>11448</v>
      </c>
      <c r="Q1184" s="1" t="s">
        <v>11449</v>
      </c>
      <c r="R1184" s="1" t="s">
        <v>11450</v>
      </c>
      <c r="S1184" s="1" t="s">
        <v>11451</v>
      </c>
      <c r="T1184" s="1" t="s">
        <v>11452</v>
      </c>
      <c r="U1184">
        <v>5860.24</v>
      </c>
      <c r="V1184">
        <v>2867.84</v>
      </c>
      <c r="W1184">
        <v>15.643528999999999</v>
      </c>
      <c r="X1184">
        <v>108.51124799999999</v>
      </c>
      <c r="Y1184">
        <v>2992.4</v>
      </c>
      <c r="Z1184">
        <v>15.60615</v>
      </c>
      <c r="AA1184">
        <v>108.53691600000001</v>
      </c>
      <c r="AB1184" s="5">
        <f t="shared" si="109"/>
        <v>4.3017599999999998</v>
      </c>
      <c r="AC1184" s="5">
        <f t="shared" si="110"/>
        <v>4.4885999999999999</v>
      </c>
      <c r="AD1184" s="1" t="str">
        <f t="shared" si="111"/>
        <v>Thăng Trường</v>
      </c>
      <c r="AE1184" s="1" t="str">
        <f t="shared" si="112"/>
        <v>Quảng Phú</v>
      </c>
      <c r="AG1184">
        <f t="shared" si="113"/>
        <v>2.8678400000000002</v>
      </c>
      <c r="AH1184">
        <f t="shared" si="114"/>
        <v>2.9923999999999999</v>
      </c>
      <c r="AI1184">
        <f>VLOOKUP(L1184,'[1]Tuyến cáp H04'!$B:$E,3,0)/1000</f>
        <v>9.484</v>
      </c>
      <c r="AJ1184" t="str">
        <f>VLOOKUP(L1184,'[1]Tuyến cáp H04'!$B:$E,4,0)</f>
        <v>Mạng cấp 4</v>
      </c>
    </row>
    <row r="1185" spans="1:36" x14ac:dyDescent="0.25">
      <c r="A1185" s="1" t="s">
        <v>11453</v>
      </c>
      <c r="B1185" s="1" t="s">
        <v>11439</v>
      </c>
      <c r="C1185" s="1" t="s">
        <v>11440</v>
      </c>
      <c r="D1185" s="1" t="s">
        <v>11454</v>
      </c>
      <c r="E1185" s="1" t="s">
        <v>11455</v>
      </c>
      <c r="F1185" s="1" t="s">
        <v>11456</v>
      </c>
      <c r="G1185" s="1" t="s">
        <v>14129</v>
      </c>
      <c r="H1185" s="1" t="s">
        <v>14532</v>
      </c>
      <c r="I1185" s="1" t="s">
        <v>15294</v>
      </c>
      <c r="J1185" s="1" t="s">
        <v>23</v>
      </c>
      <c r="K1185" s="1"/>
      <c r="L1185" s="1" t="s">
        <v>11457</v>
      </c>
      <c r="M1185" s="1" t="s">
        <v>11458</v>
      </c>
      <c r="N1185" s="1" t="s">
        <v>11459</v>
      </c>
      <c r="O1185" s="1" t="s">
        <v>11460</v>
      </c>
      <c r="P1185" s="1" t="s">
        <v>11461</v>
      </c>
      <c r="Q1185" s="1" t="s">
        <v>11462</v>
      </c>
      <c r="R1185" s="1" t="s">
        <v>11463</v>
      </c>
      <c r="S1185" s="1" t="s">
        <v>11464</v>
      </c>
      <c r="T1185" s="1" t="s">
        <v>11465</v>
      </c>
      <c r="U1185">
        <v>7674.26</v>
      </c>
      <c r="V1185">
        <v>9.8000000000000007</v>
      </c>
      <c r="W1185">
        <v>15.650872</v>
      </c>
      <c r="X1185">
        <v>108.48560500000001</v>
      </c>
      <c r="Y1185">
        <v>7664.46</v>
      </c>
      <c r="Z1185">
        <v>15.649153</v>
      </c>
      <c r="AA1185">
        <v>108.467534</v>
      </c>
      <c r="AB1185" s="5">
        <f t="shared" si="109"/>
        <v>1.4700000000000001E-2</v>
      </c>
      <c r="AC1185" s="5">
        <f t="shared" si="110"/>
        <v>11.496690000000001</v>
      </c>
      <c r="AD1185" s="1" t="str">
        <f t="shared" si="111"/>
        <v>TTCMKV Thăng Bình</v>
      </c>
      <c r="AE1185" s="1" t="str">
        <f t="shared" si="112"/>
        <v>Thăng
Trường</v>
      </c>
      <c r="AG1185">
        <f t="shared" si="113"/>
        <v>9.8000000000000014E-3</v>
      </c>
      <c r="AH1185">
        <f t="shared" si="114"/>
        <v>7.6644600000000001</v>
      </c>
      <c r="AI1185">
        <f>VLOOKUP(L1185,'[1]Tuyến cáp H04'!$B:$E,3,0)/1000</f>
        <v>20.260999999999999</v>
      </c>
      <c r="AJ1185" t="str">
        <f>VLOOKUP(L1185,'[1]Tuyến cáp H04'!$B:$E,4,0)</f>
        <v>Mạng cấp 4</v>
      </c>
    </row>
    <row r="1186" spans="1:36" x14ac:dyDescent="0.25">
      <c r="A1186" s="1" t="s">
        <v>11466</v>
      </c>
      <c r="B1186" s="1" t="s">
        <v>11439</v>
      </c>
      <c r="C1186" s="1" t="s">
        <v>11440</v>
      </c>
      <c r="D1186" s="1" t="s">
        <v>11467</v>
      </c>
      <c r="E1186" s="1" t="s">
        <v>11468</v>
      </c>
      <c r="F1186" s="1" t="s">
        <v>11469</v>
      </c>
      <c r="G1186" s="1"/>
      <c r="H1186" s="1" t="s">
        <v>14532</v>
      </c>
      <c r="I1186" s="1" t="s">
        <v>15295</v>
      </c>
      <c r="J1186" s="1" t="s">
        <v>23</v>
      </c>
      <c r="K1186" s="1"/>
      <c r="L1186" s="1" t="s">
        <v>11470</v>
      </c>
      <c r="M1186" s="1" t="s">
        <v>11471</v>
      </c>
      <c r="N1186" s="1" t="s">
        <v>11472</v>
      </c>
      <c r="O1186" s="1" t="s">
        <v>11473</v>
      </c>
      <c r="P1186" s="1" t="s">
        <v>11474</v>
      </c>
      <c r="Q1186" s="1" t="s">
        <v>11475</v>
      </c>
      <c r="R1186" s="1" t="s">
        <v>11476</v>
      </c>
      <c r="S1186" s="1" t="s">
        <v>11477</v>
      </c>
      <c r="T1186" s="1" t="s">
        <v>11478</v>
      </c>
      <c r="U1186">
        <v>5601.75</v>
      </c>
      <c r="V1186">
        <v>5524.52</v>
      </c>
      <c r="W1186">
        <v>15.621184</v>
      </c>
      <c r="X1186">
        <v>108.444299</v>
      </c>
      <c r="Y1186">
        <v>77.23</v>
      </c>
      <c r="Z1186">
        <v>15.574672</v>
      </c>
      <c r="AA1186">
        <v>108.47391</v>
      </c>
      <c r="AB1186" s="5">
        <f t="shared" si="109"/>
        <v>8.2867800000000003</v>
      </c>
      <c r="AC1186" s="5">
        <f t="shared" si="110"/>
        <v>0.115845</v>
      </c>
      <c r="AD1186" s="1" t="str">
        <f t="shared" si="111"/>
        <v>TT2 Tam Kỳ</v>
      </c>
      <c r="AE1186" s="1" t="str">
        <f t="shared" si="112"/>
        <v>Thăng Bình</v>
      </c>
      <c r="AG1186">
        <f t="shared" si="113"/>
        <v>5.5245200000000008</v>
      </c>
      <c r="AH1186">
        <f t="shared" si="114"/>
        <v>7.7230000000000007E-2</v>
      </c>
      <c r="AI1186">
        <f>VLOOKUP(L1186,'[1]Tuyến cáp H04'!$B:$E,3,0)/1000</f>
        <v>24.648</v>
      </c>
      <c r="AJ1186" t="str">
        <f>VLOOKUP(L1186,'[1]Tuyến cáp H04'!$B:$E,4,0)</f>
        <v>Mạng cấp 3</v>
      </c>
    </row>
    <row r="1187" spans="1:36" x14ac:dyDescent="0.25">
      <c r="A1187" s="1" t="s">
        <v>11479</v>
      </c>
      <c r="B1187" s="1" t="s">
        <v>11439</v>
      </c>
      <c r="C1187" s="1" t="s">
        <v>11440</v>
      </c>
      <c r="D1187" s="1" t="s">
        <v>11480</v>
      </c>
      <c r="E1187" s="1" t="s">
        <v>11481</v>
      </c>
      <c r="F1187" s="1" t="s">
        <v>11482</v>
      </c>
      <c r="G1187" s="1" t="s">
        <v>14129</v>
      </c>
      <c r="H1187" s="1" t="s">
        <v>14532</v>
      </c>
      <c r="I1187" s="1" t="s">
        <v>15296</v>
      </c>
      <c r="J1187" s="1" t="s">
        <v>23</v>
      </c>
      <c r="K1187" s="1"/>
      <c r="L1187" s="1" t="s">
        <v>11457</v>
      </c>
      <c r="M1187" s="1" t="s">
        <v>11483</v>
      </c>
      <c r="N1187" s="1" t="s">
        <v>11484</v>
      </c>
      <c r="O1187" s="1" t="s">
        <v>11485</v>
      </c>
      <c r="P1187" s="1" t="s">
        <v>11486</v>
      </c>
      <c r="Q1187" s="1" t="s">
        <v>11487</v>
      </c>
      <c r="R1187" s="1" t="s">
        <v>11488</v>
      </c>
      <c r="S1187" s="1" t="s">
        <v>11489</v>
      </c>
      <c r="T1187" s="1" t="s">
        <v>11490</v>
      </c>
      <c r="U1187">
        <v>13367.54</v>
      </c>
      <c r="V1187">
        <v>2543.98</v>
      </c>
      <c r="W1187">
        <v>15.646300999999999</v>
      </c>
      <c r="X1187">
        <v>108.462339</v>
      </c>
      <c r="Y1187">
        <v>10823.56</v>
      </c>
      <c r="Z1187">
        <v>15.736029</v>
      </c>
      <c r="AA1187">
        <v>108.352341</v>
      </c>
      <c r="AB1187" s="5">
        <f t="shared" si="109"/>
        <v>3.8159700000000001</v>
      </c>
      <c r="AC1187" s="5">
        <f t="shared" si="110"/>
        <v>16.235340000000001</v>
      </c>
      <c r="AD1187" s="1" t="str">
        <f t="shared" si="111"/>
        <v>TTCMKV Thăng Bình</v>
      </c>
      <c r="AE1187" s="1" t="str">
        <f t="shared" si="112"/>
        <v>Thăng
Trường</v>
      </c>
      <c r="AG1187">
        <f t="shared" si="113"/>
        <v>2.5439799999999999</v>
      </c>
      <c r="AH1187">
        <f t="shared" si="114"/>
        <v>10.823559999999999</v>
      </c>
      <c r="AI1187">
        <f>VLOOKUP(L1187,'[1]Tuyến cáp H04'!$B:$E,3,0)/1000</f>
        <v>20.260999999999999</v>
      </c>
      <c r="AJ1187" t="str">
        <f>VLOOKUP(L1187,'[1]Tuyến cáp H04'!$B:$E,4,0)</f>
        <v>Mạng cấp 4</v>
      </c>
    </row>
    <row r="1188" spans="1:36" x14ac:dyDescent="0.25">
      <c r="A1188" s="1" t="s">
        <v>11466</v>
      </c>
      <c r="B1188" s="1" t="s">
        <v>11439</v>
      </c>
      <c r="C1188" s="1" t="s">
        <v>11440</v>
      </c>
      <c r="D1188" s="1" t="s">
        <v>11467</v>
      </c>
      <c r="E1188" s="1" t="s">
        <v>11468</v>
      </c>
      <c r="F1188" s="1" t="s">
        <v>11469</v>
      </c>
      <c r="G1188" s="1"/>
      <c r="H1188" s="1" t="s">
        <v>14532</v>
      </c>
      <c r="I1188" s="1" t="s">
        <v>15295</v>
      </c>
      <c r="J1188" s="1" t="s">
        <v>23</v>
      </c>
      <c r="K1188" s="1"/>
      <c r="L1188" s="1" t="s">
        <v>11470</v>
      </c>
      <c r="M1188" s="1" t="s">
        <v>11471</v>
      </c>
      <c r="N1188" s="1" t="s">
        <v>11472</v>
      </c>
      <c r="O1188" s="1" t="s">
        <v>11473</v>
      </c>
      <c r="P1188" s="1" t="s">
        <v>11474</v>
      </c>
      <c r="Q1188" s="1" t="s">
        <v>11475</v>
      </c>
      <c r="R1188" s="1" t="s">
        <v>11476</v>
      </c>
      <c r="S1188" s="1" t="s">
        <v>11477</v>
      </c>
      <c r="T1188" s="1" t="s">
        <v>11478</v>
      </c>
      <c r="U1188">
        <v>5601.75</v>
      </c>
      <c r="V1188">
        <v>5524.52</v>
      </c>
      <c r="W1188">
        <v>15.621184</v>
      </c>
      <c r="X1188">
        <v>108.444299</v>
      </c>
      <c r="Y1188">
        <v>77.23</v>
      </c>
      <c r="Z1188">
        <v>15.574672</v>
      </c>
      <c r="AA1188">
        <v>108.47391</v>
      </c>
      <c r="AB1188" s="5">
        <f t="shared" si="109"/>
        <v>8.2867800000000003</v>
      </c>
      <c r="AC1188" s="5">
        <f t="shared" si="110"/>
        <v>0.115845</v>
      </c>
      <c r="AD1188" s="1" t="str">
        <f t="shared" si="111"/>
        <v>TT2 Tam Kỳ</v>
      </c>
      <c r="AE1188" s="1" t="str">
        <f t="shared" si="112"/>
        <v>Thăng Bình</v>
      </c>
      <c r="AG1188">
        <f t="shared" si="113"/>
        <v>5.5245200000000008</v>
      </c>
      <c r="AH1188">
        <f t="shared" si="114"/>
        <v>7.7230000000000007E-2</v>
      </c>
      <c r="AI1188">
        <f>VLOOKUP(L1188,'[1]Tuyến cáp H04'!$B:$E,3,0)/1000</f>
        <v>24.648</v>
      </c>
      <c r="AJ1188" t="str">
        <f>VLOOKUP(L1188,'[1]Tuyến cáp H04'!$B:$E,4,0)</f>
        <v>Mạng cấp 3</v>
      </c>
    </row>
    <row r="1189" spans="1:36" x14ac:dyDescent="0.25">
      <c r="A1189" s="1" t="s">
        <v>11491</v>
      </c>
      <c r="B1189" s="1" t="s">
        <v>11439</v>
      </c>
      <c r="C1189" s="1" t="s">
        <v>11440</v>
      </c>
      <c r="D1189" s="1" t="s">
        <v>11492</v>
      </c>
      <c r="E1189" s="1" t="s">
        <v>11493</v>
      </c>
      <c r="F1189" s="1" t="s">
        <v>11494</v>
      </c>
      <c r="G1189" s="1" t="s">
        <v>14129</v>
      </c>
      <c r="H1189" s="1" t="s">
        <v>14532</v>
      </c>
      <c r="I1189" s="1" t="s">
        <v>15297</v>
      </c>
      <c r="J1189" s="1" t="s">
        <v>23</v>
      </c>
      <c r="K1189" s="1"/>
      <c r="L1189" s="1" t="s">
        <v>11457</v>
      </c>
      <c r="M1189" s="1" t="s">
        <v>11495</v>
      </c>
      <c r="N1189" s="1" t="s">
        <v>11484</v>
      </c>
      <c r="O1189" s="1" t="s">
        <v>11485</v>
      </c>
      <c r="P1189" s="1" t="s">
        <v>11486</v>
      </c>
      <c r="Q1189" s="1" t="s">
        <v>11496</v>
      </c>
      <c r="R1189" s="1" t="s">
        <v>11497</v>
      </c>
      <c r="S1189" s="1" t="s">
        <v>11498</v>
      </c>
      <c r="T1189" s="1" t="s">
        <v>11490</v>
      </c>
      <c r="U1189">
        <v>11307.44</v>
      </c>
      <c r="V1189">
        <v>2543.98</v>
      </c>
      <c r="W1189">
        <v>15.646300999999999</v>
      </c>
      <c r="X1189">
        <v>108.462339</v>
      </c>
      <c r="Y1189">
        <v>8763.4599999999991</v>
      </c>
      <c r="Z1189">
        <v>15.706669</v>
      </c>
      <c r="AA1189">
        <v>108.386088</v>
      </c>
      <c r="AB1189" s="5">
        <f t="shared" si="109"/>
        <v>3.8159700000000001</v>
      </c>
      <c r="AC1189" s="5">
        <f t="shared" si="110"/>
        <v>13.145189999999999</v>
      </c>
      <c r="AD1189" s="1" t="str">
        <f t="shared" si="111"/>
        <v>TTCMKV Thăng Bình</v>
      </c>
      <c r="AE1189" s="1" t="str">
        <f t="shared" si="112"/>
        <v>Thăng
Trường</v>
      </c>
      <c r="AG1189">
        <f t="shared" si="113"/>
        <v>2.5439799999999999</v>
      </c>
      <c r="AH1189">
        <f t="shared" si="114"/>
        <v>8.7634599999999985</v>
      </c>
      <c r="AI1189">
        <f>VLOOKUP(L1189,'[1]Tuyến cáp H04'!$B:$E,3,0)/1000</f>
        <v>20.260999999999999</v>
      </c>
      <c r="AJ1189" t="str">
        <f>VLOOKUP(L1189,'[1]Tuyến cáp H04'!$B:$E,4,0)</f>
        <v>Mạng cấp 4</v>
      </c>
    </row>
    <row r="1190" spans="1:36" x14ac:dyDescent="0.25">
      <c r="A1190" s="1" t="s">
        <v>11499</v>
      </c>
      <c r="B1190" s="1" t="s">
        <v>11500</v>
      </c>
      <c r="C1190" s="1" t="s">
        <v>11501</v>
      </c>
      <c r="D1190" s="1" t="s">
        <v>11502</v>
      </c>
      <c r="E1190" s="1" t="s">
        <v>11503</v>
      </c>
      <c r="F1190" s="1" t="s">
        <v>11504</v>
      </c>
      <c r="G1190" s="1" t="s">
        <v>14129</v>
      </c>
      <c r="H1190" s="1" t="s">
        <v>14532</v>
      </c>
      <c r="I1190" s="1" t="s">
        <v>15298</v>
      </c>
      <c r="J1190" s="1" t="s">
        <v>23</v>
      </c>
      <c r="K1190" s="1"/>
      <c r="L1190" s="1" t="s">
        <v>11470</v>
      </c>
      <c r="M1190" s="1" t="s">
        <v>11505</v>
      </c>
      <c r="N1190" s="1" t="s">
        <v>11506</v>
      </c>
      <c r="O1190" s="1" t="s">
        <v>11507</v>
      </c>
      <c r="P1190" s="1" t="s">
        <v>11508</v>
      </c>
      <c r="Q1190" s="1" t="s">
        <v>11509</v>
      </c>
      <c r="R1190" s="1" t="s">
        <v>11510</v>
      </c>
      <c r="S1190" s="1" t="s">
        <v>11511</v>
      </c>
      <c r="T1190" s="1" t="s">
        <v>11478</v>
      </c>
      <c r="U1190">
        <v>1806.64</v>
      </c>
      <c r="V1190">
        <v>569.96</v>
      </c>
      <c r="W1190">
        <v>15.6469</v>
      </c>
      <c r="X1190">
        <v>108.43017</v>
      </c>
      <c r="Y1190">
        <v>1236.69</v>
      </c>
      <c r="Z1190">
        <v>15.666873000000001</v>
      </c>
      <c r="AA1190">
        <v>108.412204</v>
      </c>
      <c r="AB1190" s="5">
        <f t="shared" si="109"/>
        <v>0.85494000000000003</v>
      </c>
      <c r="AC1190" s="5">
        <f t="shared" si="110"/>
        <v>1.855035</v>
      </c>
      <c r="AD1190" s="1" t="str">
        <f t="shared" si="111"/>
        <v>TT2 Tam Kỳ</v>
      </c>
      <c r="AE1190" s="1" t="str">
        <f t="shared" si="112"/>
        <v>Thăng Bình</v>
      </c>
      <c r="AG1190">
        <f t="shared" si="113"/>
        <v>0.56996000000000002</v>
      </c>
      <c r="AH1190">
        <f t="shared" si="114"/>
        <v>1.2366900000000001</v>
      </c>
      <c r="AI1190">
        <f>VLOOKUP(L1190,'[1]Tuyến cáp H04'!$B:$E,3,0)/1000</f>
        <v>24.648</v>
      </c>
      <c r="AJ1190" t="str">
        <f>VLOOKUP(L1190,'[1]Tuyến cáp H04'!$B:$E,4,0)</f>
        <v>Mạng cấp 3</v>
      </c>
    </row>
    <row r="1191" spans="1:36" x14ac:dyDescent="0.25">
      <c r="A1191" s="1" t="s">
        <v>11512</v>
      </c>
      <c r="B1191" s="1" t="s">
        <v>11500</v>
      </c>
      <c r="C1191" s="1" t="s">
        <v>11501</v>
      </c>
      <c r="D1191" s="1" t="s">
        <v>11513</v>
      </c>
      <c r="E1191" s="1" t="s">
        <v>11514</v>
      </c>
      <c r="F1191" s="1" t="s">
        <v>11515</v>
      </c>
      <c r="G1191" s="1" t="s">
        <v>14129</v>
      </c>
      <c r="H1191" s="1" t="s">
        <v>14532</v>
      </c>
      <c r="I1191" s="1" t="s">
        <v>15299</v>
      </c>
      <c r="J1191" s="1" t="s">
        <v>23</v>
      </c>
      <c r="K1191" s="1"/>
      <c r="L1191" s="1" t="s">
        <v>11457</v>
      </c>
      <c r="M1191" s="1" t="s">
        <v>11516</v>
      </c>
      <c r="N1191" s="1" t="s">
        <v>11517</v>
      </c>
      <c r="O1191" s="1" t="s">
        <v>11518</v>
      </c>
      <c r="P1191" s="1" t="s">
        <v>11519</v>
      </c>
      <c r="Q1191" s="1" t="s">
        <v>11520</v>
      </c>
      <c r="R1191" s="1" t="s">
        <v>11521</v>
      </c>
      <c r="S1191" s="1" t="s">
        <v>11522</v>
      </c>
      <c r="T1191" s="1" t="s">
        <v>11490</v>
      </c>
      <c r="U1191">
        <v>1333.52</v>
      </c>
      <c r="V1191">
        <v>709.57</v>
      </c>
      <c r="W1191">
        <v>15.650188</v>
      </c>
      <c r="X1191">
        <v>108.428378</v>
      </c>
      <c r="Y1191">
        <v>623.95000000000005</v>
      </c>
      <c r="Z1191">
        <v>15.647589</v>
      </c>
      <c r="AA1191">
        <v>108.43842100000001</v>
      </c>
      <c r="AB1191" s="5">
        <f t="shared" si="109"/>
        <v>1.0643549999999999</v>
      </c>
      <c r="AC1191" s="5">
        <f t="shared" si="110"/>
        <v>0.93592500000000012</v>
      </c>
      <c r="AD1191" s="1" t="str">
        <f t="shared" si="111"/>
        <v>TTCMKV Thăng Bình</v>
      </c>
      <c r="AE1191" s="1" t="str">
        <f t="shared" si="112"/>
        <v>Thăng
Trường</v>
      </c>
      <c r="AG1191">
        <f t="shared" si="113"/>
        <v>0.70957000000000003</v>
      </c>
      <c r="AH1191">
        <f t="shared" si="114"/>
        <v>0.62395</v>
      </c>
      <c r="AI1191">
        <f>VLOOKUP(L1191,'[1]Tuyến cáp H04'!$B:$E,3,0)/1000</f>
        <v>20.260999999999999</v>
      </c>
      <c r="AJ1191" t="str">
        <f>VLOOKUP(L1191,'[1]Tuyến cáp H04'!$B:$E,4,0)</f>
        <v>Mạng cấp 4</v>
      </c>
    </row>
    <row r="1192" spans="1:36" x14ac:dyDescent="0.25">
      <c r="A1192" s="1" t="s">
        <v>11523</v>
      </c>
      <c r="B1192" s="1" t="s">
        <v>11500</v>
      </c>
      <c r="C1192" s="1" t="s">
        <v>11501</v>
      </c>
      <c r="D1192" s="1" t="s">
        <v>11524</v>
      </c>
      <c r="E1192" s="1" t="s">
        <v>11525</v>
      </c>
      <c r="F1192" s="1" t="s">
        <v>11526</v>
      </c>
      <c r="G1192" s="1"/>
      <c r="H1192" s="1" t="s">
        <v>14532</v>
      </c>
      <c r="I1192" s="1" t="s">
        <v>15300</v>
      </c>
      <c r="J1192" s="1" t="s">
        <v>23</v>
      </c>
      <c r="K1192" s="1"/>
      <c r="L1192" s="1" t="s">
        <v>11373</v>
      </c>
      <c r="M1192" s="1" t="s">
        <v>11527</v>
      </c>
      <c r="N1192" s="1" t="s">
        <v>11528</v>
      </c>
      <c r="O1192" s="1" t="s">
        <v>11529</v>
      </c>
      <c r="P1192" s="1" t="s">
        <v>11530</v>
      </c>
      <c r="Q1192" s="1" t="s">
        <v>11531</v>
      </c>
      <c r="R1192" s="1" t="s">
        <v>11532</v>
      </c>
      <c r="S1192" s="1" t="s">
        <v>11533</v>
      </c>
      <c r="T1192" s="1" t="s">
        <v>11534</v>
      </c>
      <c r="U1192">
        <v>875.94</v>
      </c>
      <c r="V1192">
        <v>574.59</v>
      </c>
      <c r="W1192">
        <v>15.646917999999999</v>
      </c>
      <c r="X1192">
        <v>108.430209</v>
      </c>
      <c r="Y1192">
        <v>301.35000000000002</v>
      </c>
      <c r="Z1192">
        <v>15.717449999999999</v>
      </c>
      <c r="AA1192">
        <v>108.375263</v>
      </c>
      <c r="AB1192" s="5">
        <f t="shared" si="109"/>
        <v>0.86188500000000001</v>
      </c>
      <c r="AC1192" s="5">
        <f t="shared" si="110"/>
        <v>0.45202500000000001</v>
      </c>
      <c r="AD1192" s="1" t="str">
        <f t="shared" si="111"/>
        <v>Duy Xuyên</v>
      </c>
      <c r="AE1192" s="1" t="str">
        <f t="shared" si="112"/>
        <v>TT2 Tam Kỳ</v>
      </c>
      <c r="AG1192">
        <f t="shared" si="113"/>
        <v>0.57459000000000005</v>
      </c>
      <c r="AH1192">
        <f t="shared" si="114"/>
        <v>0.30135000000000001</v>
      </c>
      <c r="AI1192">
        <f>VLOOKUP(L1192,'[1]Tuyến cáp H04'!$B:$E,3,0)/1000</f>
        <v>44.616</v>
      </c>
      <c r="AJ1192" t="str">
        <f>VLOOKUP(L1192,'[1]Tuyến cáp H04'!$B:$E,4,0)</f>
        <v>Mạng cấp 3</v>
      </c>
    </row>
    <row r="1193" spans="1:36" x14ac:dyDescent="0.25">
      <c r="A1193" s="1" t="s">
        <v>11535</v>
      </c>
      <c r="B1193" s="1" t="s">
        <v>11500</v>
      </c>
      <c r="C1193" s="1" t="s">
        <v>11501</v>
      </c>
      <c r="D1193" s="1" t="s">
        <v>11536</v>
      </c>
      <c r="E1193" s="1" t="s">
        <v>11537</v>
      </c>
      <c r="F1193" s="1" t="s">
        <v>11538</v>
      </c>
      <c r="G1193" s="1" t="s">
        <v>14129</v>
      </c>
      <c r="H1193" s="1" t="s">
        <v>14532</v>
      </c>
      <c r="I1193" s="1" t="s">
        <v>15301</v>
      </c>
      <c r="J1193" s="1" t="s">
        <v>23</v>
      </c>
      <c r="K1193" s="1"/>
      <c r="L1193" s="1" t="s">
        <v>11470</v>
      </c>
      <c r="M1193" s="1" t="s">
        <v>11539</v>
      </c>
      <c r="N1193" s="1" t="s">
        <v>11506</v>
      </c>
      <c r="O1193" s="1" t="s">
        <v>11507</v>
      </c>
      <c r="P1193" s="1" t="s">
        <v>11508</v>
      </c>
      <c r="Q1193" s="1" t="s">
        <v>11540</v>
      </c>
      <c r="R1193" s="1" t="s">
        <v>11541</v>
      </c>
      <c r="S1193" s="1" t="s">
        <v>11542</v>
      </c>
      <c r="T1193" s="1" t="s">
        <v>11478</v>
      </c>
      <c r="U1193">
        <v>1039.18</v>
      </c>
      <c r="V1193">
        <v>569.96</v>
      </c>
      <c r="W1193">
        <v>15.6469</v>
      </c>
      <c r="X1193">
        <v>108.43017</v>
      </c>
      <c r="Y1193">
        <v>469.22</v>
      </c>
      <c r="Z1193">
        <v>15.58404</v>
      </c>
      <c r="AA1193">
        <v>108.468689</v>
      </c>
      <c r="AB1193" s="5">
        <f t="shared" si="109"/>
        <v>0.85494000000000003</v>
      </c>
      <c r="AC1193" s="5">
        <f t="shared" si="110"/>
        <v>0.70383000000000007</v>
      </c>
      <c r="AD1193" s="1" t="str">
        <f t="shared" si="111"/>
        <v>TT2 Tam Kỳ</v>
      </c>
      <c r="AE1193" s="1" t="str">
        <f t="shared" si="112"/>
        <v>Thăng Bình</v>
      </c>
      <c r="AG1193">
        <f t="shared" si="113"/>
        <v>0.56996000000000002</v>
      </c>
      <c r="AH1193">
        <f t="shared" si="114"/>
        <v>0.46922000000000003</v>
      </c>
      <c r="AI1193">
        <f>VLOOKUP(L1193,'[1]Tuyến cáp H04'!$B:$E,3,0)/1000</f>
        <v>24.648</v>
      </c>
      <c r="AJ1193" t="str">
        <f>VLOOKUP(L1193,'[1]Tuyến cáp H04'!$B:$E,4,0)</f>
        <v>Mạng cấp 3</v>
      </c>
    </row>
    <row r="1194" spans="1:36" x14ac:dyDescent="0.25">
      <c r="A1194" s="1" t="s">
        <v>11543</v>
      </c>
      <c r="B1194" s="1" t="s">
        <v>11500</v>
      </c>
      <c r="C1194" s="1" t="s">
        <v>11501</v>
      </c>
      <c r="D1194" s="1" t="s">
        <v>11544</v>
      </c>
      <c r="E1194" s="1" t="s">
        <v>11545</v>
      </c>
      <c r="F1194" s="1" t="s">
        <v>11546</v>
      </c>
      <c r="G1194" s="1" t="s">
        <v>14129</v>
      </c>
      <c r="H1194" s="1" t="s">
        <v>14532</v>
      </c>
      <c r="I1194" s="1" t="s">
        <v>15302</v>
      </c>
      <c r="J1194" s="1" t="s">
        <v>23</v>
      </c>
      <c r="K1194" s="1"/>
      <c r="L1194" s="1" t="s">
        <v>11470</v>
      </c>
      <c r="M1194" s="1" t="s">
        <v>11547</v>
      </c>
      <c r="N1194" s="1" t="s">
        <v>11506</v>
      </c>
      <c r="O1194" s="1" t="s">
        <v>11507</v>
      </c>
      <c r="P1194" s="1" t="s">
        <v>11508</v>
      </c>
      <c r="Q1194" s="1" t="s">
        <v>11548</v>
      </c>
      <c r="R1194" s="1" t="s">
        <v>11549</v>
      </c>
      <c r="S1194" s="1" t="s">
        <v>11550</v>
      </c>
      <c r="T1194" s="1" t="s">
        <v>11478</v>
      </c>
      <c r="U1194">
        <v>630.55999999999995</v>
      </c>
      <c r="V1194">
        <v>569.96</v>
      </c>
      <c r="W1194">
        <v>15.6469</v>
      </c>
      <c r="X1194">
        <v>108.43017</v>
      </c>
      <c r="Y1194">
        <v>60.61</v>
      </c>
      <c r="Z1194">
        <v>15.661580000000001</v>
      </c>
      <c r="AA1194">
        <v>108.41467900000001</v>
      </c>
      <c r="AB1194" s="5">
        <f t="shared" si="109"/>
        <v>0.85494000000000003</v>
      </c>
      <c r="AC1194" s="5">
        <f t="shared" si="110"/>
        <v>9.0914999999999996E-2</v>
      </c>
      <c r="AD1194" s="1" t="str">
        <f t="shared" si="111"/>
        <v>TT2 Tam Kỳ</v>
      </c>
      <c r="AE1194" s="1" t="str">
        <f t="shared" si="112"/>
        <v>Thăng Bình</v>
      </c>
      <c r="AG1194">
        <f t="shared" si="113"/>
        <v>0.56996000000000002</v>
      </c>
      <c r="AH1194">
        <f t="shared" si="114"/>
        <v>6.0609999999999997E-2</v>
      </c>
      <c r="AI1194">
        <f>VLOOKUP(L1194,'[1]Tuyến cáp H04'!$B:$E,3,0)/1000</f>
        <v>24.648</v>
      </c>
      <c r="AJ1194" t="str">
        <f>VLOOKUP(L1194,'[1]Tuyến cáp H04'!$B:$E,4,0)</f>
        <v>Mạng cấp 3</v>
      </c>
    </row>
    <row r="1195" spans="1:36" x14ac:dyDescent="0.25">
      <c r="A1195" s="1" t="s">
        <v>11551</v>
      </c>
      <c r="B1195" s="1" t="s">
        <v>11500</v>
      </c>
      <c r="C1195" s="1" t="s">
        <v>11501</v>
      </c>
      <c r="D1195" s="1" t="s">
        <v>11552</v>
      </c>
      <c r="E1195" s="1" t="s">
        <v>11553</v>
      </c>
      <c r="F1195" s="1" t="s">
        <v>11554</v>
      </c>
      <c r="G1195" s="1" t="s">
        <v>14129</v>
      </c>
      <c r="H1195" s="1" t="s">
        <v>14133</v>
      </c>
      <c r="I1195" s="1" t="s">
        <v>15303</v>
      </c>
      <c r="J1195" s="1" t="s">
        <v>23</v>
      </c>
      <c r="K1195" s="1"/>
      <c r="L1195" s="1" t="s">
        <v>11470</v>
      </c>
      <c r="M1195" s="1" t="s">
        <v>11555</v>
      </c>
      <c r="N1195" s="1" t="s">
        <v>11506</v>
      </c>
      <c r="O1195" s="1" t="s">
        <v>11507</v>
      </c>
      <c r="P1195" s="1" t="s">
        <v>11508</v>
      </c>
      <c r="Q1195" s="1" t="s">
        <v>11556</v>
      </c>
      <c r="R1195" s="1" t="s">
        <v>11557</v>
      </c>
      <c r="S1195" s="1" t="s">
        <v>11558</v>
      </c>
      <c r="T1195" s="1" t="s">
        <v>11478</v>
      </c>
      <c r="U1195">
        <v>7272.64</v>
      </c>
      <c r="V1195">
        <v>569.96</v>
      </c>
      <c r="W1195">
        <v>15.6469</v>
      </c>
      <c r="X1195">
        <v>108.43017</v>
      </c>
      <c r="Y1195">
        <v>6702.69</v>
      </c>
      <c r="Z1195">
        <v>15.736011</v>
      </c>
      <c r="AA1195">
        <v>108.352346</v>
      </c>
      <c r="AB1195" s="5">
        <f t="shared" si="109"/>
        <v>0.85494000000000003</v>
      </c>
      <c r="AC1195" s="5">
        <f t="shared" si="110"/>
        <v>10.054035000000001</v>
      </c>
      <c r="AD1195" s="1" t="str">
        <f t="shared" si="111"/>
        <v>TT2 Tam Kỳ</v>
      </c>
      <c r="AE1195" s="1" t="str">
        <f t="shared" si="112"/>
        <v>Thăng Bình</v>
      </c>
      <c r="AG1195">
        <f t="shared" si="113"/>
        <v>0.56996000000000002</v>
      </c>
      <c r="AH1195">
        <f t="shared" si="114"/>
        <v>6.7026899999999996</v>
      </c>
      <c r="AI1195">
        <f>VLOOKUP(L1195,'[1]Tuyến cáp H04'!$B:$E,3,0)/1000</f>
        <v>24.648</v>
      </c>
      <c r="AJ1195" t="str">
        <f>VLOOKUP(L1195,'[1]Tuyến cáp H04'!$B:$E,4,0)</f>
        <v>Mạng cấp 3</v>
      </c>
    </row>
    <row r="1196" spans="1:36" x14ac:dyDescent="0.25">
      <c r="A1196" s="1" t="s">
        <v>11559</v>
      </c>
      <c r="B1196" s="1" t="s">
        <v>11500</v>
      </c>
      <c r="C1196" s="1" t="s">
        <v>11501</v>
      </c>
      <c r="D1196" s="1" t="s">
        <v>11560</v>
      </c>
      <c r="E1196" s="1" t="s">
        <v>11561</v>
      </c>
      <c r="F1196" s="1" t="s">
        <v>11562</v>
      </c>
      <c r="G1196" s="1" t="s">
        <v>14129</v>
      </c>
      <c r="H1196" s="1" t="s">
        <v>14133</v>
      </c>
      <c r="I1196" s="1" t="s">
        <v>15304</v>
      </c>
      <c r="J1196" s="1" t="s">
        <v>23</v>
      </c>
      <c r="K1196" s="1"/>
      <c r="L1196" s="1" t="s">
        <v>11470</v>
      </c>
      <c r="M1196" s="1" t="s">
        <v>11563</v>
      </c>
      <c r="N1196" s="1" t="s">
        <v>11506</v>
      </c>
      <c r="O1196" s="1" t="s">
        <v>11507</v>
      </c>
      <c r="P1196" s="1" t="s">
        <v>11508</v>
      </c>
      <c r="Q1196" s="1" t="s">
        <v>11564</v>
      </c>
      <c r="R1196" s="1" t="s">
        <v>11565</v>
      </c>
      <c r="S1196" s="1" t="s">
        <v>11566</v>
      </c>
      <c r="T1196" s="1" t="s">
        <v>11478</v>
      </c>
      <c r="U1196">
        <v>605.12</v>
      </c>
      <c r="V1196">
        <v>569.96</v>
      </c>
      <c r="W1196">
        <v>15.6469</v>
      </c>
      <c r="X1196">
        <v>108.43017</v>
      </c>
      <c r="Y1196">
        <v>35.17</v>
      </c>
      <c r="Z1196">
        <v>15.579651999999999</v>
      </c>
      <c r="AA1196">
        <v>108.473956</v>
      </c>
      <c r="AB1196" s="5">
        <f t="shared" si="109"/>
        <v>0.85494000000000003</v>
      </c>
      <c r="AC1196" s="5">
        <f t="shared" si="110"/>
        <v>5.2755000000000003E-2</v>
      </c>
      <c r="AD1196" s="1" t="str">
        <f t="shared" si="111"/>
        <v>TT2 Tam Kỳ</v>
      </c>
      <c r="AE1196" s="1" t="str">
        <f t="shared" si="112"/>
        <v>Thăng Bình</v>
      </c>
      <c r="AG1196">
        <f t="shared" si="113"/>
        <v>0.56996000000000002</v>
      </c>
      <c r="AH1196">
        <f t="shared" si="114"/>
        <v>3.517E-2</v>
      </c>
      <c r="AI1196">
        <f>VLOOKUP(L1196,'[1]Tuyến cáp H04'!$B:$E,3,0)/1000</f>
        <v>24.648</v>
      </c>
      <c r="AJ1196" t="str">
        <f>VLOOKUP(L1196,'[1]Tuyến cáp H04'!$B:$E,4,0)</f>
        <v>Mạng cấp 3</v>
      </c>
    </row>
    <row r="1197" spans="1:36" x14ac:dyDescent="0.25">
      <c r="A1197" s="1" t="s">
        <v>11567</v>
      </c>
      <c r="B1197" s="1" t="s">
        <v>11467</v>
      </c>
      <c r="C1197" s="1" t="s">
        <v>11468</v>
      </c>
      <c r="D1197" s="1" t="s">
        <v>11568</v>
      </c>
      <c r="E1197" s="1" t="s">
        <v>11569</v>
      </c>
      <c r="F1197" s="1" t="s">
        <v>11570</v>
      </c>
      <c r="G1197" s="1" t="s">
        <v>14129</v>
      </c>
      <c r="H1197" s="1" t="s">
        <v>14532</v>
      </c>
      <c r="I1197" s="1" t="s">
        <v>15305</v>
      </c>
      <c r="J1197" s="1" t="s">
        <v>23</v>
      </c>
      <c r="K1197" s="1"/>
      <c r="L1197" s="1" t="s">
        <v>11571</v>
      </c>
      <c r="M1197" s="1" t="s">
        <v>11572</v>
      </c>
      <c r="N1197" s="1" t="s">
        <v>11573</v>
      </c>
      <c r="O1197" s="1" t="s">
        <v>11574</v>
      </c>
      <c r="P1197" s="1" t="s">
        <v>11575</v>
      </c>
      <c r="Q1197" s="1" t="s">
        <v>11576</v>
      </c>
      <c r="R1197" s="1" t="s">
        <v>11577</v>
      </c>
      <c r="S1197" s="1" t="s">
        <v>11578</v>
      </c>
      <c r="T1197" s="1" t="s">
        <v>11579</v>
      </c>
      <c r="U1197">
        <v>1749.52</v>
      </c>
      <c r="V1197">
        <v>1431.84</v>
      </c>
      <c r="W1197">
        <v>15.570171999999999</v>
      </c>
      <c r="X1197">
        <v>108.487201</v>
      </c>
      <c r="Y1197">
        <v>317.68</v>
      </c>
      <c r="Z1197">
        <v>15.553039999999999</v>
      </c>
      <c r="AA1197">
        <v>108.506078</v>
      </c>
      <c r="AB1197" s="5">
        <f t="shared" si="109"/>
        <v>2.1477599999999999</v>
      </c>
      <c r="AC1197" s="5">
        <f t="shared" si="110"/>
        <v>0.47652</v>
      </c>
      <c r="AD1197" s="1" t="str">
        <f t="shared" si="111"/>
        <v>TT2 Tam Kỳ</v>
      </c>
      <c r="AE1197" s="1" t="str">
        <f t="shared" si="112"/>
        <v>Tam Xuân</v>
      </c>
      <c r="AG1197">
        <f t="shared" si="113"/>
        <v>1.43184</v>
      </c>
      <c r="AH1197">
        <f t="shared" si="114"/>
        <v>0.31768000000000002</v>
      </c>
      <c r="AI1197" t="e">
        <f>VLOOKUP(L1197,'[1]Tuyến cáp H04'!$B:$E,3,0)/1000</f>
        <v>#N/A</v>
      </c>
      <c r="AJ1197" t="e">
        <f>VLOOKUP(L1197,'[1]Tuyến cáp H04'!$B:$E,4,0)</f>
        <v>#N/A</v>
      </c>
    </row>
    <row r="1198" spans="1:36" x14ac:dyDescent="0.25">
      <c r="A1198" s="1" t="s">
        <v>11580</v>
      </c>
      <c r="B1198" s="1" t="s">
        <v>11467</v>
      </c>
      <c r="C1198" s="1" t="s">
        <v>11468</v>
      </c>
      <c r="D1198" s="1" t="s">
        <v>11581</v>
      </c>
      <c r="E1198" s="1" t="s">
        <v>11582</v>
      </c>
      <c r="F1198" s="1" t="s">
        <v>11583</v>
      </c>
      <c r="G1198" s="1" t="s">
        <v>14129</v>
      </c>
      <c r="H1198" s="1" t="s">
        <v>14532</v>
      </c>
      <c r="I1198" s="1" t="s">
        <v>15306</v>
      </c>
      <c r="J1198" s="1" t="s">
        <v>23</v>
      </c>
      <c r="K1198" s="1"/>
      <c r="L1198" s="1" t="s">
        <v>11571</v>
      </c>
      <c r="M1198" s="1" t="s">
        <v>11584</v>
      </c>
      <c r="N1198" s="1" t="s">
        <v>11585</v>
      </c>
      <c r="O1198" s="1" t="s">
        <v>11586</v>
      </c>
      <c r="P1198" s="1" t="s">
        <v>11587</v>
      </c>
      <c r="Q1198" s="1" t="s">
        <v>11588</v>
      </c>
      <c r="R1198" s="1" t="s">
        <v>11589</v>
      </c>
      <c r="S1198" s="1" t="s">
        <v>11590</v>
      </c>
      <c r="T1198" s="1" t="s">
        <v>11579</v>
      </c>
      <c r="U1198">
        <v>621.57000000000005</v>
      </c>
      <c r="V1198">
        <v>67.819999999999993</v>
      </c>
      <c r="W1198">
        <v>15.574916</v>
      </c>
      <c r="X1198">
        <v>108.475032</v>
      </c>
      <c r="Y1198">
        <v>553.75</v>
      </c>
      <c r="Z1198">
        <v>15.57062</v>
      </c>
      <c r="AA1198">
        <v>108.486687</v>
      </c>
      <c r="AB1198" s="5">
        <f t="shared" si="109"/>
        <v>0.10172999999999999</v>
      </c>
      <c r="AC1198" s="5">
        <f t="shared" si="110"/>
        <v>0.83062499999999995</v>
      </c>
      <c r="AD1198" s="1" t="str">
        <f t="shared" si="111"/>
        <v>TT2 Tam Kỳ</v>
      </c>
      <c r="AE1198" s="1" t="str">
        <f t="shared" si="112"/>
        <v>Tam Xuân</v>
      </c>
      <c r="AG1198">
        <f t="shared" si="113"/>
        <v>6.7819999999999991E-2</v>
      </c>
      <c r="AH1198">
        <f t="shared" si="114"/>
        <v>0.55374999999999996</v>
      </c>
      <c r="AI1198" t="e">
        <f>VLOOKUP(L1198,'[1]Tuyến cáp H04'!$B:$E,3,0)/1000</f>
        <v>#N/A</v>
      </c>
      <c r="AJ1198" t="e">
        <f>VLOOKUP(L1198,'[1]Tuyến cáp H04'!$B:$E,4,0)</f>
        <v>#N/A</v>
      </c>
    </row>
    <row r="1199" spans="1:36" x14ac:dyDescent="0.25">
      <c r="A1199" s="1" t="s">
        <v>11591</v>
      </c>
      <c r="B1199" s="1" t="s">
        <v>11467</v>
      </c>
      <c r="C1199" s="1" t="s">
        <v>11468</v>
      </c>
      <c r="D1199" s="1" t="s">
        <v>11592</v>
      </c>
      <c r="E1199" s="1" t="s">
        <v>11593</v>
      </c>
      <c r="F1199" s="1" t="s">
        <v>11594</v>
      </c>
      <c r="G1199" s="1" t="s">
        <v>14129</v>
      </c>
      <c r="H1199" s="1" t="s">
        <v>14532</v>
      </c>
      <c r="I1199" s="1" t="s">
        <v>15307</v>
      </c>
      <c r="J1199" s="1" t="s">
        <v>23</v>
      </c>
      <c r="K1199" s="1"/>
      <c r="L1199" s="1" t="s">
        <v>11571</v>
      </c>
      <c r="M1199" s="1" t="s">
        <v>11595</v>
      </c>
      <c r="N1199" s="1" t="s">
        <v>11585</v>
      </c>
      <c r="O1199" s="1" t="s">
        <v>11586</v>
      </c>
      <c r="P1199" s="1" t="s">
        <v>11587</v>
      </c>
      <c r="Q1199" s="1" t="s">
        <v>11596</v>
      </c>
      <c r="R1199" s="1" t="s">
        <v>11589</v>
      </c>
      <c r="S1199" s="1" t="s">
        <v>11590</v>
      </c>
      <c r="T1199" s="1" t="s">
        <v>11579</v>
      </c>
      <c r="U1199">
        <v>1761.77</v>
      </c>
      <c r="V1199">
        <v>67.819999999999993</v>
      </c>
      <c r="W1199">
        <v>15.574916</v>
      </c>
      <c r="X1199">
        <v>108.475032</v>
      </c>
      <c r="Y1199">
        <v>1693.95</v>
      </c>
      <c r="Z1199">
        <v>15.57062</v>
      </c>
      <c r="AA1199">
        <v>108.486687</v>
      </c>
      <c r="AB1199" s="5">
        <f t="shared" si="109"/>
        <v>0.10172999999999999</v>
      </c>
      <c r="AC1199" s="5">
        <f t="shared" si="110"/>
        <v>2.5409250000000001</v>
      </c>
      <c r="AD1199" s="1" t="str">
        <f t="shared" si="111"/>
        <v>TT2 Tam Kỳ</v>
      </c>
      <c r="AE1199" s="1" t="str">
        <f t="shared" si="112"/>
        <v>Tam Xuân</v>
      </c>
      <c r="AG1199">
        <f t="shared" si="113"/>
        <v>6.7819999999999991E-2</v>
      </c>
      <c r="AH1199">
        <f t="shared" si="114"/>
        <v>1.6939500000000001</v>
      </c>
      <c r="AI1199" t="e">
        <f>VLOOKUP(L1199,'[1]Tuyến cáp H04'!$B:$E,3,0)/1000</f>
        <v>#N/A</v>
      </c>
      <c r="AJ1199" t="e">
        <f>VLOOKUP(L1199,'[1]Tuyến cáp H04'!$B:$E,4,0)</f>
        <v>#N/A</v>
      </c>
    </row>
    <row r="1200" spans="1:36" x14ac:dyDescent="0.25">
      <c r="A1200" s="1" t="s">
        <v>11597</v>
      </c>
      <c r="B1200" s="1" t="s">
        <v>11467</v>
      </c>
      <c r="C1200" s="1" t="s">
        <v>11468</v>
      </c>
      <c r="D1200" s="1" t="s">
        <v>11598</v>
      </c>
      <c r="E1200" s="1" t="s">
        <v>11599</v>
      </c>
      <c r="F1200" s="1" t="s">
        <v>11600</v>
      </c>
      <c r="G1200" s="1" t="s">
        <v>14129</v>
      </c>
      <c r="H1200" s="1" t="s">
        <v>14532</v>
      </c>
      <c r="I1200" s="1" t="s">
        <v>15308</v>
      </c>
      <c r="J1200" s="1" t="s">
        <v>23</v>
      </c>
      <c r="K1200" s="1"/>
      <c r="L1200" s="1" t="s">
        <v>11601</v>
      </c>
      <c r="M1200" s="1" t="s">
        <v>11602</v>
      </c>
      <c r="N1200" s="1" t="s">
        <v>11603</v>
      </c>
      <c r="O1200" s="1" t="s">
        <v>11604</v>
      </c>
      <c r="P1200" s="1" t="s">
        <v>11605</v>
      </c>
      <c r="Q1200" s="1" t="s">
        <v>11606</v>
      </c>
      <c r="R1200" s="1" t="s">
        <v>11607</v>
      </c>
      <c r="S1200" s="1" t="s">
        <v>11608</v>
      </c>
      <c r="T1200" s="1" t="s">
        <v>11609</v>
      </c>
      <c r="U1200">
        <v>3418.04</v>
      </c>
      <c r="V1200">
        <v>3259.01</v>
      </c>
      <c r="W1200">
        <v>15.575377</v>
      </c>
      <c r="X1200">
        <v>108.444188</v>
      </c>
      <c r="Y1200">
        <v>159.03</v>
      </c>
      <c r="Z1200">
        <v>15.563253</v>
      </c>
      <c r="AA1200">
        <v>108.371691</v>
      </c>
      <c r="AB1200" s="5">
        <f t="shared" si="109"/>
        <v>4.8885149999999999</v>
      </c>
      <c r="AC1200" s="5">
        <f t="shared" si="110"/>
        <v>0.23854500000000001</v>
      </c>
      <c r="AD1200" s="1" t="str">
        <f t="shared" si="111"/>
        <v>TT2 Tam Kỳ</v>
      </c>
      <c r="AE1200" s="1" t="str">
        <f t="shared" si="112"/>
        <v>CAX Tiên Sơn (Tiên Phước)</v>
      </c>
      <c r="AG1200">
        <f t="shared" si="113"/>
        <v>3.2590100000000004</v>
      </c>
      <c r="AH1200">
        <f t="shared" si="114"/>
        <v>0.15903</v>
      </c>
      <c r="AI1200">
        <f>VLOOKUP(L1200,'[1]Tuyến cáp H04'!$B:$E,3,0)/1000</f>
        <v>28.587</v>
      </c>
      <c r="AJ1200" t="str">
        <f>VLOOKUP(L1200,'[1]Tuyến cáp H04'!$B:$E,4,0)</f>
        <v>Mạng cấp 3</v>
      </c>
    </row>
    <row r="1201" spans="1:36" x14ac:dyDescent="0.25">
      <c r="A1201" s="1" t="s">
        <v>11610</v>
      </c>
      <c r="B1201" s="1" t="s">
        <v>11467</v>
      </c>
      <c r="C1201" s="1" t="s">
        <v>11468</v>
      </c>
      <c r="D1201" s="1" t="s">
        <v>11611</v>
      </c>
      <c r="E1201" s="1" t="s">
        <v>11612</v>
      </c>
      <c r="F1201" s="1" t="s">
        <v>11613</v>
      </c>
      <c r="G1201" s="1" t="s">
        <v>14129</v>
      </c>
      <c r="H1201" s="1" t="s">
        <v>14532</v>
      </c>
      <c r="I1201" s="1" t="s">
        <v>15309</v>
      </c>
      <c r="J1201" s="1" t="s">
        <v>23</v>
      </c>
      <c r="K1201" s="1"/>
      <c r="L1201" s="1" t="s">
        <v>11571</v>
      </c>
      <c r="M1201" s="1" t="s">
        <v>11614</v>
      </c>
      <c r="N1201" s="1" t="s">
        <v>11585</v>
      </c>
      <c r="O1201" s="1" t="s">
        <v>11586</v>
      </c>
      <c r="P1201" s="1" t="s">
        <v>11587</v>
      </c>
      <c r="Q1201" s="1" t="s">
        <v>11615</v>
      </c>
      <c r="R1201" s="1" t="s">
        <v>11589</v>
      </c>
      <c r="S1201" s="1" t="s">
        <v>11590</v>
      </c>
      <c r="T1201" s="1" t="s">
        <v>11579</v>
      </c>
      <c r="U1201">
        <v>1121.08</v>
      </c>
      <c r="V1201">
        <v>67.819999999999993</v>
      </c>
      <c r="W1201">
        <v>15.574916</v>
      </c>
      <c r="X1201">
        <v>108.475032</v>
      </c>
      <c r="Y1201">
        <v>1053.25</v>
      </c>
      <c r="Z1201">
        <v>15.57062</v>
      </c>
      <c r="AA1201">
        <v>108.486687</v>
      </c>
      <c r="AB1201" s="5">
        <f t="shared" si="109"/>
        <v>0.10172999999999999</v>
      </c>
      <c r="AC1201" s="5">
        <f t="shared" si="110"/>
        <v>1.5798749999999999</v>
      </c>
      <c r="AD1201" s="1" t="str">
        <f t="shared" si="111"/>
        <v>TT2 Tam Kỳ</v>
      </c>
      <c r="AE1201" s="1" t="str">
        <f t="shared" si="112"/>
        <v>Tam Xuân</v>
      </c>
      <c r="AG1201">
        <f t="shared" si="113"/>
        <v>6.7819999999999991E-2</v>
      </c>
      <c r="AH1201">
        <f t="shared" si="114"/>
        <v>1.05325</v>
      </c>
      <c r="AI1201" t="e">
        <f>VLOOKUP(L1201,'[1]Tuyến cáp H04'!$B:$E,3,0)/1000</f>
        <v>#N/A</v>
      </c>
      <c r="AJ1201" t="e">
        <f>VLOOKUP(L1201,'[1]Tuyến cáp H04'!$B:$E,4,0)</f>
        <v>#N/A</v>
      </c>
    </row>
    <row r="1202" spans="1:36" x14ac:dyDescent="0.25">
      <c r="A1202" s="1" t="s">
        <v>11616</v>
      </c>
      <c r="B1202" s="1" t="s">
        <v>11467</v>
      </c>
      <c r="C1202" s="1" t="s">
        <v>11468</v>
      </c>
      <c r="D1202" s="1" t="s">
        <v>11617</v>
      </c>
      <c r="E1202" s="1" t="s">
        <v>11618</v>
      </c>
      <c r="F1202" s="1" t="s">
        <v>11619</v>
      </c>
      <c r="G1202" s="1" t="s">
        <v>14129</v>
      </c>
      <c r="H1202" s="1" t="s">
        <v>14532</v>
      </c>
      <c r="I1202" s="1" t="s">
        <v>15310</v>
      </c>
      <c r="J1202" s="1" t="s">
        <v>23</v>
      </c>
      <c r="K1202" s="1"/>
      <c r="L1202" s="1" t="s">
        <v>11620</v>
      </c>
      <c r="M1202" s="1" t="s">
        <v>11621</v>
      </c>
      <c r="N1202" s="1" t="s">
        <v>11622</v>
      </c>
      <c r="O1202" s="1" t="s">
        <v>11623</v>
      </c>
      <c r="P1202" s="1" t="s">
        <v>11624</v>
      </c>
      <c r="Q1202" s="1" t="s">
        <v>11625</v>
      </c>
      <c r="R1202" s="1" t="s">
        <v>11626</v>
      </c>
      <c r="S1202" s="1" t="s">
        <v>11627</v>
      </c>
      <c r="T1202" s="1" t="s">
        <v>11628</v>
      </c>
      <c r="U1202">
        <v>1163.3800000000001</v>
      </c>
      <c r="V1202">
        <v>114</v>
      </c>
      <c r="W1202">
        <v>15.574221</v>
      </c>
      <c r="X1202">
        <v>108.473568</v>
      </c>
      <c r="Y1202">
        <v>1049.3900000000001</v>
      </c>
      <c r="Z1202">
        <v>15.565075999999999</v>
      </c>
      <c r="AA1202">
        <v>108.48103</v>
      </c>
      <c r="AB1202" s="5">
        <f t="shared" si="109"/>
        <v>0.17100000000000001</v>
      </c>
      <c r="AC1202" s="5">
        <f t="shared" si="110"/>
        <v>1.574085</v>
      </c>
      <c r="AD1202" s="1" t="str">
        <f t="shared" si="111"/>
        <v>Tam Kỳ</v>
      </c>
      <c r="AE1202" s="1" t="str">
        <f t="shared" si="112"/>
        <v>TT2 Đà Nẵng (Tam Kỳ)</v>
      </c>
      <c r="AG1202">
        <f t="shared" si="113"/>
        <v>0.114</v>
      </c>
      <c r="AH1202">
        <f t="shared" si="114"/>
        <v>1.04939</v>
      </c>
      <c r="AI1202">
        <f>VLOOKUP(L1202,'[1]Tuyến cáp H04'!$B:$E,3,0)/1000</f>
        <v>1.8109999999999999</v>
      </c>
      <c r="AJ1202" t="str">
        <f>VLOOKUP(L1202,'[1]Tuyến cáp H04'!$B:$E,4,0)</f>
        <v>Mạng cấp 4</v>
      </c>
    </row>
    <row r="1203" spans="1:36" x14ac:dyDescent="0.25">
      <c r="A1203" s="1" t="s">
        <v>11629</v>
      </c>
      <c r="B1203" s="1" t="s">
        <v>11467</v>
      </c>
      <c r="C1203" s="1" t="s">
        <v>11468</v>
      </c>
      <c r="D1203" s="1" t="s">
        <v>11630</v>
      </c>
      <c r="E1203" s="1" t="s">
        <v>11631</v>
      </c>
      <c r="F1203" s="1" t="s">
        <v>11632</v>
      </c>
      <c r="G1203" s="1" t="s">
        <v>14129</v>
      </c>
      <c r="H1203" s="1" t="s">
        <v>14532</v>
      </c>
      <c r="I1203" s="1" t="s">
        <v>15311</v>
      </c>
      <c r="J1203" s="1" t="s">
        <v>23</v>
      </c>
      <c r="K1203" s="1"/>
      <c r="L1203" s="1" t="s">
        <v>11633</v>
      </c>
      <c r="M1203" s="1" t="s">
        <v>11634</v>
      </c>
      <c r="N1203" s="1" t="s">
        <v>11635</v>
      </c>
      <c r="O1203" s="1" t="s">
        <v>11636</v>
      </c>
      <c r="P1203" s="1" t="s">
        <v>11637</v>
      </c>
      <c r="Q1203" s="1" t="s">
        <v>11638</v>
      </c>
      <c r="R1203" s="1" t="s">
        <v>11639</v>
      </c>
      <c r="S1203" s="1" t="s">
        <v>11640</v>
      </c>
      <c r="T1203" s="1" t="s">
        <v>11641</v>
      </c>
      <c r="U1203">
        <v>1902.84</v>
      </c>
      <c r="V1203">
        <v>1446.78</v>
      </c>
      <c r="W1203">
        <v>15.563969</v>
      </c>
      <c r="X1203">
        <v>108.482575</v>
      </c>
      <c r="Y1203">
        <v>456.06</v>
      </c>
      <c r="Z1203">
        <v>15.546303999999999</v>
      </c>
      <c r="AA1203">
        <v>108.490387</v>
      </c>
      <c r="AB1203" s="5">
        <f t="shared" si="109"/>
        <v>2.1701700000000002</v>
      </c>
      <c r="AC1203" s="5">
        <f t="shared" si="110"/>
        <v>0.68409000000000009</v>
      </c>
      <c r="AD1203" s="1" t="str">
        <f t="shared" si="111"/>
        <v>Hương Trà</v>
      </c>
      <c r="AE1203" s="1" t="str">
        <f t="shared" si="112"/>
        <v>Tam Kỳ</v>
      </c>
      <c r="AG1203">
        <f t="shared" si="113"/>
        <v>1.44678</v>
      </c>
      <c r="AH1203">
        <f t="shared" si="114"/>
        <v>0.45606000000000002</v>
      </c>
      <c r="AI1203">
        <f>VLOOKUP(L1203,'[1]Tuyến cáp H04'!$B:$E,3,0)/1000</f>
        <v>5.2249999999999996</v>
      </c>
      <c r="AJ1203" t="str">
        <f>VLOOKUP(L1203,'[1]Tuyến cáp H04'!$B:$E,4,0)</f>
        <v>Mạng cấp 4</v>
      </c>
    </row>
    <row r="1204" spans="1:36" x14ac:dyDescent="0.25">
      <c r="A1204" s="1" t="s">
        <v>11642</v>
      </c>
      <c r="B1204" s="1" t="s">
        <v>11467</v>
      </c>
      <c r="C1204" s="1" t="s">
        <v>11468</v>
      </c>
      <c r="D1204" s="1" t="s">
        <v>11643</v>
      </c>
      <c r="E1204" s="1" t="s">
        <v>11644</v>
      </c>
      <c r="F1204" s="1" t="s">
        <v>11645</v>
      </c>
      <c r="G1204" s="1"/>
      <c r="H1204" s="1" t="s">
        <v>14532</v>
      </c>
      <c r="I1204" s="1" t="s">
        <v>15312</v>
      </c>
      <c r="J1204" s="1" t="s">
        <v>23</v>
      </c>
      <c r="K1204" s="1"/>
      <c r="L1204" s="1" t="s">
        <v>11633</v>
      </c>
      <c r="M1204" s="1" t="s">
        <v>11646</v>
      </c>
      <c r="N1204" s="1" t="s">
        <v>11635</v>
      </c>
      <c r="O1204" s="1" t="s">
        <v>11636</v>
      </c>
      <c r="P1204" s="1" t="s">
        <v>11637</v>
      </c>
      <c r="Q1204" s="1" t="s">
        <v>11647</v>
      </c>
      <c r="R1204" s="1" t="s">
        <v>11648</v>
      </c>
      <c r="S1204" s="1" t="s">
        <v>11649</v>
      </c>
      <c r="T1204" s="1" t="s">
        <v>11641</v>
      </c>
      <c r="U1204">
        <v>1876.33</v>
      </c>
      <c r="V1204">
        <v>1446.78</v>
      </c>
      <c r="W1204">
        <v>15.563969</v>
      </c>
      <c r="X1204">
        <v>108.482575</v>
      </c>
      <c r="Y1204">
        <v>429.55</v>
      </c>
      <c r="Z1204">
        <v>15.544556999999999</v>
      </c>
      <c r="AA1204">
        <v>108.488028</v>
      </c>
      <c r="AB1204" s="5">
        <f t="shared" si="109"/>
        <v>2.1701700000000002</v>
      </c>
      <c r="AC1204" s="5">
        <f t="shared" si="110"/>
        <v>0.64432500000000004</v>
      </c>
      <c r="AD1204" s="1" t="str">
        <f t="shared" si="111"/>
        <v>Hương Trà</v>
      </c>
      <c r="AE1204" s="1" t="str">
        <f t="shared" si="112"/>
        <v>Tam Kỳ</v>
      </c>
      <c r="AG1204">
        <f t="shared" si="113"/>
        <v>1.44678</v>
      </c>
      <c r="AH1204">
        <f t="shared" si="114"/>
        <v>0.42954999999999999</v>
      </c>
      <c r="AI1204">
        <f>VLOOKUP(L1204,'[1]Tuyến cáp H04'!$B:$E,3,0)/1000</f>
        <v>5.2249999999999996</v>
      </c>
      <c r="AJ1204" t="str">
        <f>VLOOKUP(L1204,'[1]Tuyến cáp H04'!$B:$E,4,0)</f>
        <v>Mạng cấp 4</v>
      </c>
    </row>
    <row r="1205" spans="1:36" x14ac:dyDescent="0.25">
      <c r="A1205" s="1" t="s">
        <v>11650</v>
      </c>
      <c r="B1205" s="1" t="s">
        <v>11467</v>
      </c>
      <c r="C1205" s="1" t="s">
        <v>11468</v>
      </c>
      <c r="D1205" s="1" t="s">
        <v>11439</v>
      </c>
      <c r="E1205" s="1" t="s">
        <v>11440</v>
      </c>
      <c r="F1205" s="1" t="s">
        <v>11469</v>
      </c>
      <c r="G1205" s="1"/>
      <c r="H1205" s="1" t="s">
        <v>14532</v>
      </c>
      <c r="I1205" s="1" t="s">
        <v>15295</v>
      </c>
      <c r="J1205" s="1" t="s">
        <v>23</v>
      </c>
      <c r="K1205" s="1"/>
      <c r="L1205" s="1" t="s">
        <v>11470</v>
      </c>
      <c r="M1205" s="1" t="s">
        <v>11471</v>
      </c>
      <c r="N1205" s="1" t="s">
        <v>11475</v>
      </c>
      <c r="O1205" s="1" t="s">
        <v>11476</v>
      </c>
      <c r="P1205" s="1" t="s">
        <v>11477</v>
      </c>
      <c r="Q1205" s="1" t="s">
        <v>11472</v>
      </c>
      <c r="R1205" s="1" t="s">
        <v>11473</v>
      </c>
      <c r="S1205" s="1" t="s">
        <v>11474</v>
      </c>
      <c r="T1205" s="1" t="s">
        <v>11478</v>
      </c>
      <c r="U1205">
        <v>5601.75</v>
      </c>
      <c r="V1205">
        <v>77.23</v>
      </c>
      <c r="W1205">
        <v>15.574672</v>
      </c>
      <c r="X1205">
        <v>108.47391</v>
      </c>
      <c r="Y1205">
        <v>5524.52</v>
      </c>
      <c r="Z1205">
        <v>15.621184</v>
      </c>
      <c r="AA1205">
        <v>108.444299</v>
      </c>
      <c r="AB1205" s="5">
        <f t="shared" si="109"/>
        <v>0.115845</v>
      </c>
      <c r="AC1205" s="5">
        <f t="shared" si="110"/>
        <v>8.2867800000000003</v>
      </c>
      <c r="AD1205" s="1" t="str">
        <f t="shared" si="111"/>
        <v>TT2 Tam Kỳ</v>
      </c>
      <c r="AE1205" s="1" t="str">
        <f t="shared" si="112"/>
        <v>Thăng Bình</v>
      </c>
      <c r="AG1205">
        <f t="shared" si="113"/>
        <v>7.7230000000000007E-2</v>
      </c>
      <c r="AH1205">
        <f t="shared" si="114"/>
        <v>5.5245200000000008</v>
      </c>
      <c r="AI1205">
        <f>VLOOKUP(L1205,'[1]Tuyến cáp H04'!$B:$E,3,0)/1000</f>
        <v>24.648</v>
      </c>
      <c r="AJ1205" t="str">
        <f>VLOOKUP(L1205,'[1]Tuyến cáp H04'!$B:$E,4,0)</f>
        <v>Mạng cấp 3</v>
      </c>
    </row>
    <row r="1206" spans="1:36" x14ac:dyDescent="0.25">
      <c r="A1206" s="1" t="s">
        <v>11650</v>
      </c>
      <c r="B1206" s="1" t="s">
        <v>11467</v>
      </c>
      <c r="C1206" s="1" t="s">
        <v>11468</v>
      </c>
      <c r="D1206" s="1" t="s">
        <v>11439</v>
      </c>
      <c r="E1206" s="1" t="s">
        <v>11440</v>
      </c>
      <c r="F1206" s="1" t="s">
        <v>11469</v>
      </c>
      <c r="G1206" s="1"/>
      <c r="H1206" s="1" t="s">
        <v>14532</v>
      </c>
      <c r="I1206" s="1" t="s">
        <v>15295</v>
      </c>
      <c r="J1206" s="1" t="s">
        <v>23</v>
      </c>
      <c r="K1206" s="1"/>
      <c r="L1206" s="1" t="s">
        <v>11470</v>
      </c>
      <c r="M1206" s="1" t="s">
        <v>11471</v>
      </c>
      <c r="N1206" s="1" t="s">
        <v>11475</v>
      </c>
      <c r="O1206" s="1" t="s">
        <v>11476</v>
      </c>
      <c r="P1206" s="1" t="s">
        <v>11477</v>
      </c>
      <c r="Q1206" s="1" t="s">
        <v>11472</v>
      </c>
      <c r="R1206" s="1" t="s">
        <v>11473</v>
      </c>
      <c r="S1206" s="1" t="s">
        <v>11474</v>
      </c>
      <c r="T1206" s="1" t="s">
        <v>11478</v>
      </c>
      <c r="U1206">
        <v>5601.75</v>
      </c>
      <c r="V1206">
        <v>77.23</v>
      </c>
      <c r="W1206">
        <v>15.574672</v>
      </c>
      <c r="X1206">
        <v>108.47391</v>
      </c>
      <c r="Y1206">
        <v>5524.52</v>
      </c>
      <c r="Z1206">
        <v>15.621184</v>
      </c>
      <c r="AA1206">
        <v>108.444299</v>
      </c>
      <c r="AB1206" s="5">
        <f t="shared" si="109"/>
        <v>0.115845</v>
      </c>
      <c r="AC1206" s="5">
        <f t="shared" si="110"/>
        <v>8.2867800000000003</v>
      </c>
      <c r="AD1206" s="1" t="str">
        <f t="shared" si="111"/>
        <v>TT2 Tam Kỳ</v>
      </c>
      <c r="AE1206" s="1" t="str">
        <f t="shared" si="112"/>
        <v>Thăng Bình</v>
      </c>
      <c r="AG1206">
        <f t="shared" si="113"/>
        <v>7.7230000000000007E-2</v>
      </c>
      <c r="AH1206">
        <f t="shared" si="114"/>
        <v>5.5245200000000008</v>
      </c>
      <c r="AI1206">
        <f>VLOOKUP(L1206,'[1]Tuyến cáp H04'!$B:$E,3,0)/1000</f>
        <v>24.648</v>
      </c>
      <c r="AJ1206" t="str">
        <f>VLOOKUP(L1206,'[1]Tuyến cáp H04'!$B:$E,4,0)</f>
        <v>Mạng cấp 3</v>
      </c>
    </row>
    <row r="1207" spans="1:36" x14ac:dyDescent="0.25">
      <c r="A1207" s="1" t="s">
        <v>11651</v>
      </c>
      <c r="B1207" s="1" t="s">
        <v>11652</v>
      </c>
      <c r="C1207" s="1" t="s">
        <v>11653</v>
      </c>
      <c r="D1207" s="1" t="s">
        <v>11654</v>
      </c>
      <c r="E1207" s="1" t="s">
        <v>11655</v>
      </c>
      <c r="F1207" s="1" t="s">
        <v>11656</v>
      </c>
      <c r="G1207" s="1" t="s">
        <v>14129</v>
      </c>
      <c r="H1207" s="1" t="s">
        <v>14133</v>
      </c>
      <c r="I1207" s="1" t="s">
        <v>15313</v>
      </c>
      <c r="J1207" s="1" t="s">
        <v>23</v>
      </c>
      <c r="K1207" s="1"/>
      <c r="L1207" s="1" t="s">
        <v>11657</v>
      </c>
      <c r="M1207" s="1" t="s">
        <v>11658</v>
      </c>
      <c r="N1207" s="1" t="s">
        <v>11659</v>
      </c>
      <c r="O1207" s="1" t="s">
        <v>11660</v>
      </c>
      <c r="P1207" s="1" t="s">
        <v>11661</v>
      </c>
      <c r="Q1207" s="1" t="s">
        <v>11662</v>
      </c>
      <c r="R1207" s="1" t="s">
        <v>11660</v>
      </c>
      <c r="S1207" s="1" t="s">
        <v>11661</v>
      </c>
      <c r="T1207" s="1" t="s">
        <v>11663</v>
      </c>
      <c r="U1207">
        <v>251.51</v>
      </c>
      <c r="V1207">
        <v>37.74</v>
      </c>
      <c r="W1207">
        <v>16.035793000000002</v>
      </c>
      <c r="X1207">
        <v>108.212664</v>
      </c>
      <c r="Y1207">
        <v>213.77</v>
      </c>
      <c r="Z1207">
        <v>16.035793000000002</v>
      </c>
      <c r="AA1207">
        <v>108.212664</v>
      </c>
      <c r="AB1207" s="5">
        <f t="shared" si="109"/>
        <v>5.6610000000000001E-2</v>
      </c>
      <c r="AC1207" s="5">
        <f t="shared" si="110"/>
        <v>0.32065500000000002</v>
      </c>
      <c r="AD1207" s="1" t="str">
        <f t="shared" si="111"/>
        <v>PC08</v>
      </c>
      <c r="AE1207" s="1" t="str">
        <f t="shared" si="112"/>
        <v>PC07</v>
      </c>
      <c r="AG1207">
        <f t="shared" si="113"/>
        <v>3.7740000000000003E-2</v>
      </c>
      <c r="AH1207">
        <f t="shared" si="114"/>
        <v>0.21377000000000002</v>
      </c>
      <c r="AI1207" t="e">
        <f>VLOOKUP(L1207,'[1]Tuyến cáp H04'!$B:$E,3,0)/1000</f>
        <v>#N/A</v>
      </c>
      <c r="AJ1207" t="e">
        <f>VLOOKUP(L1207,'[1]Tuyến cáp H04'!$B:$E,4,0)</f>
        <v>#N/A</v>
      </c>
    </row>
    <row r="1208" spans="1:36" x14ac:dyDescent="0.25">
      <c r="A1208" s="1" t="s">
        <v>11664</v>
      </c>
      <c r="B1208" s="1" t="s">
        <v>11665</v>
      </c>
      <c r="C1208" s="1" t="s">
        <v>11666</v>
      </c>
      <c r="D1208" s="1" t="s">
        <v>11667</v>
      </c>
      <c r="E1208" s="1" t="s">
        <v>11668</v>
      </c>
      <c r="F1208" s="1" t="s">
        <v>11669</v>
      </c>
      <c r="G1208" s="1" t="s">
        <v>14129</v>
      </c>
      <c r="H1208" s="1" t="s">
        <v>14133</v>
      </c>
      <c r="I1208" s="1" t="s">
        <v>15314</v>
      </c>
      <c r="J1208" s="1" t="s">
        <v>23</v>
      </c>
      <c r="K1208" s="1"/>
      <c r="L1208" s="1" t="s">
        <v>11670</v>
      </c>
      <c r="M1208" s="1" t="s">
        <v>11671</v>
      </c>
      <c r="N1208" s="1" t="s">
        <v>11672</v>
      </c>
      <c r="O1208" s="1" t="s">
        <v>11673</v>
      </c>
      <c r="P1208" s="1" t="s">
        <v>11674</v>
      </c>
      <c r="Q1208" s="1" t="s">
        <v>11675</v>
      </c>
      <c r="R1208" s="1" t="s">
        <v>11676</v>
      </c>
      <c r="S1208" s="1" t="s">
        <v>11677</v>
      </c>
      <c r="T1208" s="1" t="s">
        <v>11678</v>
      </c>
      <c r="U1208">
        <v>512.45000000000005</v>
      </c>
      <c r="V1208">
        <v>2.19</v>
      </c>
      <c r="W1208">
        <v>16.011855000000001</v>
      </c>
      <c r="X1208">
        <v>108.19738700000001</v>
      </c>
      <c r="Y1208">
        <v>510.27</v>
      </c>
      <c r="Z1208">
        <v>16.011551999999998</v>
      </c>
      <c r="AA1208">
        <v>108.19746000000001</v>
      </c>
      <c r="AB1208" s="5">
        <f t="shared" si="109"/>
        <v>3.2850000000000002E-3</v>
      </c>
      <c r="AC1208" s="5">
        <f t="shared" si="110"/>
        <v>0.765405</v>
      </c>
      <c r="AD1208" s="1" t="str">
        <f t="shared" si="111"/>
        <v>Ngũ Hành Sơn</v>
      </c>
      <c r="AE1208" s="1" t="str">
        <f t="shared" si="112"/>
        <v>Cẩm Lệ</v>
      </c>
      <c r="AG1208">
        <f t="shared" si="113"/>
        <v>2.1900000000000001E-3</v>
      </c>
      <c r="AH1208">
        <f t="shared" si="114"/>
        <v>0.51027</v>
      </c>
      <c r="AI1208" t="e">
        <f>VLOOKUP(L1208,'[1]Tuyến cáp H04'!$B:$E,3,0)/1000</f>
        <v>#N/A</v>
      </c>
      <c r="AJ1208" t="e">
        <f>VLOOKUP(L1208,'[1]Tuyến cáp H04'!$B:$E,4,0)</f>
        <v>#N/A</v>
      </c>
    </row>
    <row r="1209" spans="1:36" x14ac:dyDescent="0.25">
      <c r="A1209" s="1" t="s">
        <v>11679</v>
      </c>
      <c r="B1209" s="1" t="s">
        <v>11665</v>
      </c>
      <c r="C1209" s="1" t="s">
        <v>11666</v>
      </c>
      <c r="D1209" s="1" t="s">
        <v>11680</v>
      </c>
      <c r="E1209" s="1" t="s">
        <v>11681</v>
      </c>
      <c r="F1209" s="1" t="s">
        <v>11682</v>
      </c>
      <c r="G1209" s="1" t="s">
        <v>14129</v>
      </c>
      <c r="H1209" s="1" t="s">
        <v>14133</v>
      </c>
      <c r="I1209" s="1" t="s">
        <v>15315</v>
      </c>
      <c r="J1209" s="1" t="s">
        <v>23</v>
      </c>
      <c r="K1209" s="1"/>
      <c r="L1209" s="1" t="s">
        <v>11022</v>
      </c>
      <c r="M1209" s="1" t="s">
        <v>11683</v>
      </c>
      <c r="N1209" s="1" t="s">
        <v>11684</v>
      </c>
      <c r="O1209" s="1" t="s">
        <v>11685</v>
      </c>
      <c r="P1209" s="1" t="s">
        <v>11686</v>
      </c>
      <c r="Q1209" s="1" t="s">
        <v>11687</v>
      </c>
      <c r="R1209" s="1" t="s">
        <v>11688</v>
      </c>
      <c r="S1209" s="1" t="s">
        <v>11689</v>
      </c>
      <c r="T1209" s="1" t="s">
        <v>11030</v>
      </c>
      <c r="U1209">
        <v>188.49</v>
      </c>
      <c r="V1209">
        <v>33.950000000000003</v>
      </c>
      <c r="W1209">
        <v>16.011571</v>
      </c>
      <c r="X1209">
        <v>108.197464</v>
      </c>
      <c r="Y1209">
        <v>154.54</v>
      </c>
      <c r="Z1209">
        <v>16.010859</v>
      </c>
      <c r="AA1209">
        <v>108.195474</v>
      </c>
      <c r="AB1209" s="5">
        <f t="shared" si="109"/>
        <v>5.0925000000000005E-2</v>
      </c>
      <c r="AC1209" s="5">
        <f t="shared" si="110"/>
        <v>0.23181000000000002</v>
      </c>
      <c r="AD1209" s="1" t="str">
        <f t="shared" si="111"/>
        <v>Hòa Xuân</v>
      </c>
      <c r="AE1209" s="1" t="str">
        <f t="shared" si="112"/>
        <v>TTKV Cẩm Lệ</v>
      </c>
      <c r="AG1209">
        <f t="shared" si="113"/>
        <v>3.3950000000000001E-2</v>
      </c>
      <c r="AH1209">
        <f t="shared" si="114"/>
        <v>0.15453999999999998</v>
      </c>
      <c r="AI1209" t="e">
        <f>VLOOKUP(L1209,'[1]Tuyến cáp H04'!$B:$E,3,0)/1000</f>
        <v>#N/A</v>
      </c>
      <c r="AJ1209" t="e">
        <f>VLOOKUP(L1209,'[1]Tuyến cáp H04'!$B:$E,4,0)</f>
        <v>#N/A</v>
      </c>
    </row>
    <row r="1210" spans="1:36" x14ac:dyDescent="0.25">
      <c r="A1210" s="1" t="s">
        <v>11690</v>
      </c>
      <c r="B1210" s="1" t="s">
        <v>11665</v>
      </c>
      <c r="C1210" s="1" t="s">
        <v>11666</v>
      </c>
      <c r="D1210" s="1" t="s">
        <v>11691</v>
      </c>
      <c r="E1210" s="1" t="s">
        <v>11692</v>
      </c>
      <c r="F1210" s="1" t="s">
        <v>11693</v>
      </c>
      <c r="G1210" s="1" t="s">
        <v>14129</v>
      </c>
      <c r="H1210" s="1" t="s">
        <v>14133</v>
      </c>
      <c r="I1210" s="1" t="s">
        <v>15316</v>
      </c>
      <c r="J1210" s="1" t="s">
        <v>23</v>
      </c>
      <c r="K1210" s="1"/>
      <c r="L1210" s="1" t="s">
        <v>11022</v>
      </c>
      <c r="M1210" s="1" t="s">
        <v>11694</v>
      </c>
      <c r="N1210" s="1" t="s">
        <v>11684</v>
      </c>
      <c r="O1210" s="1" t="s">
        <v>11685</v>
      </c>
      <c r="P1210" s="1" t="s">
        <v>11686</v>
      </c>
      <c r="Q1210" s="1" t="s">
        <v>11695</v>
      </c>
      <c r="R1210" s="1" t="s">
        <v>11696</v>
      </c>
      <c r="S1210" s="1" t="s">
        <v>11697</v>
      </c>
      <c r="T1210" s="1" t="s">
        <v>11030</v>
      </c>
      <c r="U1210">
        <v>570.08000000000004</v>
      </c>
      <c r="V1210">
        <v>33.950000000000003</v>
      </c>
      <c r="W1210">
        <v>16.011571</v>
      </c>
      <c r="X1210">
        <v>108.197464</v>
      </c>
      <c r="Y1210">
        <v>536.13</v>
      </c>
      <c r="Z1210">
        <v>16.012028000000001</v>
      </c>
      <c r="AA1210">
        <v>108.198609</v>
      </c>
      <c r="AB1210" s="5">
        <f t="shared" si="109"/>
        <v>5.0925000000000005E-2</v>
      </c>
      <c r="AC1210" s="5">
        <f t="shared" si="110"/>
        <v>0.80419499999999988</v>
      </c>
      <c r="AD1210" s="1" t="str">
        <f t="shared" si="111"/>
        <v>Hòa Xuân</v>
      </c>
      <c r="AE1210" s="1" t="str">
        <f t="shared" si="112"/>
        <v>TTKV Cẩm Lệ</v>
      </c>
      <c r="AG1210">
        <f t="shared" si="113"/>
        <v>3.3950000000000001E-2</v>
      </c>
      <c r="AH1210">
        <f t="shared" si="114"/>
        <v>0.53613</v>
      </c>
      <c r="AI1210" t="e">
        <f>VLOOKUP(L1210,'[1]Tuyến cáp H04'!$B:$E,3,0)/1000</f>
        <v>#N/A</v>
      </c>
      <c r="AJ1210" t="e">
        <f>VLOOKUP(L1210,'[1]Tuyến cáp H04'!$B:$E,4,0)</f>
        <v>#N/A</v>
      </c>
    </row>
    <row r="1211" spans="1:36" x14ac:dyDescent="0.25">
      <c r="A1211" s="1" t="s">
        <v>11698</v>
      </c>
      <c r="B1211" s="1" t="s">
        <v>4738</v>
      </c>
      <c r="C1211" s="1" t="s">
        <v>4739</v>
      </c>
      <c r="D1211" s="1" t="s">
        <v>11699</v>
      </c>
      <c r="E1211" s="1" t="s">
        <v>11700</v>
      </c>
      <c r="F1211" s="1" t="s">
        <v>11701</v>
      </c>
      <c r="G1211" s="1" t="s">
        <v>14129</v>
      </c>
      <c r="H1211" s="1" t="s">
        <v>14130</v>
      </c>
      <c r="I1211" s="1" t="s">
        <v>15317</v>
      </c>
      <c r="J1211" s="1" t="s">
        <v>23</v>
      </c>
      <c r="K1211" s="1"/>
      <c r="L1211" s="1" t="s">
        <v>11657</v>
      </c>
      <c r="M1211" s="1" t="s">
        <v>11702</v>
      </c>
      <c r="N1211" s="1" t="s">
        <v>11703</v>
      </c>
      <c r="O1211" s="1" t="s">
        <v>11704</v>
      </c>
      <c r="P1211" s="1" t="s">
        <v>11705</v>
      </c>
      <c r="Q1211" s="1" t="s">
        <v>11706</v>
      </c>
      <c r="R1211" s="1" t="s">
        <v>11707</v>
      </c>
      <c r="S1211" s="1" t="s">
        <v>11708</v>
      </c>
      <c r="T1211" s="1" t="s">
        <v>11709</v>
      </c>
      <c r="U1211">
        <v>1975.84</v>
      </c>
      <c r="V1211">
        <v>18.12</v>
      </c>
      <c r="W1211">
        <v>16.007725000000001</v>
      </c>
      <c r="X1211">
        <v>108.217546</v>
      </c>
      <c r="Y1211">
        <v>1957.72</v>
      </c>
      <c r="Z1211">
        <v>16.010805000000001</v>
      </c>
      <c r="AA1211">
        <v>108.21711500000001</v>
      </c>
      <c r="AB1211" s="5">
        <f t="shared" si="109"/>
        <v>2.7179999999999999E-2</v>
      </c>
      <c r="AC1211" s="5">
        <f t="shared" si="110"/>
        <v>2.9365799999999997</v>
      </c>
      <c r="AD1211" s="1" t="str">
        <f t="shared" si="111"/>
        <v>PC08</v>
      </c>
      <c r="AE1211" s="1" t="str">
        <f t="shared" si="112"/>
        <v>PC07</v>
      </c>
      <c r="AG1211">
        <f t="shared" si="113"/>
        <v>1.8120000000000001E-2</v>
      </c>
      <c r="AH1211">
        <f t="shared" si="114"/>
        <v>1.9577200000000001</v>
      </c>
      <c r="AI1211" t="e">
        <f>VLOOKUP(L1211,'[1]Tuyến cáp H04'!$B:$E,3,0)/1000</f>
        <v>#N/A</v>
      </c>
      <c r="AJ1211" t="e">
        <f>VLOOKUP(L1211,'[1]Tuyến cáp H04'!$B:$E,4,0)</f>
        <v>#N/A</v>
      </c>
    </row>
    <row r="1212" spans="1:36" x14ac:dyDescent="0.25">
      <c r="A1212" s="1" t="s">
        <v>11710</v>
      </c>
      <c r="B1212" s="1" t="s">
        <v>4738</v>
      </c>
      <c r="C1212" s="1" t="s">
        <v>4739</v>
      </c>
      <c r="D1212" s="1" t="s">
        <v>11711</v>
      </c>
      <c r="E1212" s="1" t="s">
        <v>11712</v>
      </c>
      <c r="F1212" s="1" t="s">
        <v>11713</v>
      </c>
      <c r="G1212" s="1" t="s">
        <v>14129</v>
      </c>
      <c r="H1212" s="1" t="s">
        <v>14133</v>
      </c>
      <c r="I1212" s="1" t="s">
        <v>15318</v>
      </c>
      <c r="J1212" s="1" t="s">
        <v>23</v>
      </c>
      <c r="K1212" s="1"/>
      <c r="L1212" s="1" t="s">
        <v>11657</v>
      </c>
      <c r="M1212" s="1" t="s">
        <v>11714</v>
      </c>
      <c r="N1212" s="1" t="s">
        <v>11703</v>
      </c>
      <c r="O1212" s="1" t="s">
        <v>11704</v>
      </c>
      <c r="P1212" s="1" t="s">
        <v>11705</v>
      </c>
      <c r="Q1212" s="1" t="s">
        <v>11715</v>
      </c>
      <c r="R1212" s="1" t="s">
        <v>11707</v>
      </c>
      <c r="S1212" s="1" t="s">
        <v>11708</v>
      </c>
      <c r="T1212" s="1" t="s">
        <v>11709</v>
      </c>
      <c r="U1212">
        <v>710.52</v>
      </c>
      <c r="V1212">
        <v>18.12</v>
      </c>
      <c r="W1212">
        <v>16.007725000000001</v>
      </c>
      <c r="X1212">
        <v>108.217546</v>
      </c>
      <c r="Y1212">
        <v>692.39</v>
      </c>
      <c r="Z1212">
        <v>16.010805000000001</v>
      </c>
      <c r="AA1212">
        <v>108.21711500000001</v>
      </c>
      <c r="AB1212" s="5">
        <f t="shared" si="109"/>
        <v>2.7179999999999999E-2</v>
      </c>
      <c r="AC1212" s="5">
        <f t="shared" si="110"/>
        <v>1.0385850000000001</v>
      </c>
      <c r="AD1212" s="1" t="str">
        <f t="shared" si="111"/>
        <v>PC08</v>
      </c>
      <c r="AE1212" s="1" t="str">
        <f t="shared" si="112"/>
        <v>PC07</v>
      </c>
      <c r="AG1212">
        <f t="shared" si="113"/>
        <v>1.8120000000000001E-2</v>
      </c>
      <c r="AH1212">
        <f t="shared" si="114"/>
        <v>0.69238999999999995</v>
      </c>
      <c r="AI1212" t="e">
        <f>VLOOKUP(L1212,'[1]Tuyến cáp H04'!$B:$E,3,0)/1000</f>
        <v>#N/A</v>
      </c>
      <c r="AJ1212" t="e">
        <f>VLOOKUP(L1212,'[1]Tuyến cáp H04'!$B:$E,4,0)</f>
        <v>#N/A</v>
      </c>
    </row>
    <row r="1213" spans="1:36" x14ac:dyDescent="0.25">
      <c r="A1213" s="1" t="s">
        <v>11716</v>
      </c>
      <c r="B1213" s="1" t="s">
        <v>4738</v>
      </c>
      <c r="C1213" s="1" t="s">
        <v>4739</v>
      </c>
      <c r="D1213" s="1" t="s">
        <v>11717</v>
      </c>
      <c r="E1213" s="1" t="s">
        <v>11718</v>
      </c>
      <c r="F1213" s="1" t="s">
        <v>11719</v>
      </c>
      <c r="G1213" s="1" t="s">
        <v>14129</v>
      </c>
      <c r="H1213" s="1" t="s">
        <v>14133</v>
      </c>
      <c r="I1213" s="1" t="s">
        <v>15319</v>
      </c>
      <c r="J1213" s="1" t="s">
        <v>23</v>
      </c>
      <c r="K1213" s="1"/>
      <c r="L1213" s="1" t="s">
        <v>11657</v>
      </c>
      <c r="M1213" s="1" t="s">
        <v>11720</v>
      </c>
      <c r="N1213" s="1" t="s">
        <v>11703</v>
      </c>
      <c r="O1213" s="1" t="s">
        <v>11704</v>
      </c>
      <c r="P1213" s="1" t="s">
        <v>11705</v>
      </c>
      <c r="Q1213" s="1" t="s">
        <v>11721</v>
      </c>
      <c r="R1213" s="1" t="s">
        <v>11722</v>
      </c>
      <c r="S1213" s="1" t="s">
        <v>11723</v>
      </c>
      <c r="T1213" s="1" t="s">
        <v>11709</v>
      </c>
      <c r="U1213">
        <v>1232.94</v>
      </c>
      <c r="V1213">
        <v>18.12</v>
      </c>
      <c r="W1213">
        <v>16.007725000000001</v>
      </c>
      <c r="X1213">
        <v>108.217546</v>
      </c>
      <c r="Y1213">
        <v>1214.82</v>
      </c>
      <c r="Z1213">
        <v>16.008358000000001</v>
      </c>
      <c r="AA1213">
        <v>108.218391</v>
      </c>
      <c r="AB1213" s="5">
        <f t="shared" si="109"/>
        <v>2.7179999999999999E-2</v>
      </c>
      <c r="AC1213" s="5">
        <f t="shared" si="110"/>
        <v>1.82223</v>
      </c>
      <c r="AD1213" s="1" t="str">
        <f t="shared" si="111"/>
        <v>PC08</v>
      </c>
      <c r="AE1213" s="1" t="str">
        <f t="shared" si="112"/>
        <v>PC07</v>
      </c>
      <c r="AG1213">
        <f t="shared" si="113"/>
        <v>1.8120000000000001E-2</v>
      </c>
      <c r="AH1213">
        <f t="shared" si="114"/>
        <v>1.21482</v>
      </c>
      <c r="AI1213" t="e">
        <f>VLOOKUP(L1213,'[1]Tuyến cáp H04'!$B:$E,3,0)/1000</f>
        <v>#N/A</v>
      </c>
      <c r="AJ1213" t="e">
        <f>VLOOKUP(L1213,'[1]Tuyến cáp H04'!$B:$E,4,0)</f>
        <v>#N/A</v>
      </c>
    </row>
    <row r="1214" spans="1:36" x14ac:dyDescent="0.25">
      <c r="A1214" s="1" t="s">
        <v>11724</v>
      </c>
      <c r="B1214" s="1" t="s">
        <v>4738</v>
      </c>
      <c r="C1214" s="1" t="s">
        <v>4739</v>
      </c>
      <c r="D1214" s="1" t="s">
        <v>11725</v>
      </c>
      <c r="E1214" s="1" t="s">
        <v>11726</v>
      </c>
      <c r="F1214" s="1" t="s">
        <v>11727</v>
      </c>
      <c r="G1214" s="1" t="s">
        <v>14129</v>
      </c>
      <c r="H1214" s="1" t="s">
        <v>14130</v>
      </c>
      <c r="I1214" s="1" t="s">
        <v>15320</v>
      </c>
      <c r="J1214" s="1" t="s">
        <v>23</v>
      </c>
      <c r="K1214" s="1"/>
      <c r="L1214" s="1" t="s">
        <v>11657</v>
      </c>
      <c r="M1214" s="1" t="s">
        <v>11728</v>
      </c>
      <c r="N1214" s="1" t="s">
        <v>11703</v>
      </c>
      <c r="O1214" s="1" t="s">
        <v>11704</v>
      </c>
      <c r="P1214" s="1" t="s">
        <v>11705</v>
      </c>
      <c r="Q1214" s="1" t="s">
        <v>11729</v>
      </c>
      <c r="R1214" s="1" t="s">
        <v>11707</v>
      </c>
      <c r="S1214" s="1" t="s">
        <v>11708</v>
      </c>
      <c r="T1214" s="1" t="s">
        <v>11709</v>
      </c>
      <c r="U1214">
        <v>1411.01</v>
      </c>
      <c r="V1214">
        <v>18.12</v>
      </c>
      <c r="W1214">
        <v>16.007725000000001</v>
      </c>
      <c r="X1214">
        <v>108.217546</v>
      </c>
      <c r="Y1214">
        <v>1392.89</v>
      </c>
      <c r="Z1214">
        <v>16.010805000000001</v>
      </c>
      <c r="AA1214">
        <v>108.21711500000001</v>
      </c>
      <c r="AB1214" s="5">
        <f t="shared" si="109"/>
        <v>2.7179999999999999E-2</v>
      </c>
      <c r="AC1214" s="5">
        <f t="shared" si="110"/>
        <v>2.0893350000000002</v>
      </c>
      <c r="AD1214" s="1" t="str">
        <f t="shared" si="111"/>
        <v>PC08</v>
      </c>
      <c r="AE1214" s="1" t="str">
        <f t="shared" si="112"/>
        <v>PC07</v>
      </c>
      <c r="AG1214">
        <f t="shared" si="113"/>
        <v>1.8120000000000001E-2</v>
      </c>
      <c r="AH1214">
        <f t="shared" si="114"/>
        <v>1.3928900000000002</v>
      </c>
      <c r="AI1214" t="e">
        <f>VLOOKUP(L1214,'[1]Tuyến cáp H04'!$B:$E,3,0)/1000</f>
        <v>#N/A</v>
      </c>
      <c r="AJ1214" t="e">
        <f>VLOOKUP(L1214,'[1]Tuyến cáp H04'!$B:$E,4,0)</f>
        <v>#N/A</v>
      </c>
    </row>
    <row r="1215" spans="1:36" x14ac:dyDescent="0.25">
      <c r="A1215" s="1" t="s">
        <v>11730</v>
      </c>
      <c r="B1215" s="1" t="s">
        <v>4948</v>
      </c>
      <c r="C1215" s="1" t="s">
        <v>4949</v>
      </c>
      <c r="D1215" s="1" t="s">
        <v>11731</v>
      </c>
      <c r="E1215" s="1" t="s">
        <v>11732</v>
      </c>
      <c r="F1215" s="1" t="s">
        <v>11733</v>
      </c>
      <c r="G1215" s="1" t="s">
        <v>14129</v>
      </c>
      <c r="H1215" s="1" t="s">
        <v>14133</v>
      </c>
      <c r="I1215" s="1" t="s">
        <v>15321</v>
      </c>
      <c r="J1215" s="1" t="s">
        <v>23</v>
      </c>
      <c r="K1215" s="1"/>
      <c r="L1215" s="1" t="s">
        <v>11734</v>
      </c>
      <c r="M1215" s="1" t="s">
        <v>11735</v>
      </c>
      <c r="N1215" s="1" t="s">
        <v>3684</v>
      </c>
      <c r="O1215" s="1" t="s">
        <v>11736</v>
      </c>
      <c r="P1215" s="1" t="s">
        <v>11737</v>
      </c>
      <c r="Q1215" s="1" t="s">
        <v>11738</v>
      </c>
      <c r="R1215" s="1" t="s">
        <v>11739</v>
      </c>
      <c r="S1215" s="1" t="s">
        <v>11740</v>
      </c>
      <c r="T1215" s="1" t="s">
        <v>11741</v>
      </c>
      <c r="U1215">
        <v>86.32</v>
      </c>
      <c r="V1215">
        <v>16.7</v>
      </c>
      <c r="W1215">
        <v>16.066120000000002</v>
      </c>
      <c r="X1215">
        <v>108.221645</v>
      </c>
      <c r="Y1215">
        <v>69.62</v>
      </c>
      <c r="Z1215">
        <v>16.066289999999999</v>
      </c>
      <c r="AA1215">
        <v>108.221667</v>
      </c>
      <c r="AB1215" s="5">
        <f t="shared" si="109"/>
        <v>2.5049999999999996E-2</v>
      </c>
      <c r="AC1215" s="5">
        <f t="shared" si="110"/>
        <v>0.10443000000000001</v>
      </c>
      <c r="AD1215" s="1" t="str">
        <f t="shared" si="111"/>
        <v>PA07</v>
      </c>
      <c r="AE1215" s="1" t="str">
        <f t="shared" si="112"/>
        <v>PA06</v>
      </c>
      <c r="AG1215">
        <f t="shared" si="113"/>
        <v>1.67E-2</v>
      </c>
      <c r="AH1215">
        <f t="shared" si="114"/>
        <v>6.9620000000000001E-2</v>
      </c>
      <c r="AI1215">
        <f>VLOOKUP(L1215,'[1]Tuyến cáp H04'!$B:$E,3,0)/1000</f>
        <v>1.2589999999999999</v>
      </c>
      <c r="AJ1215" t="str">
        <f>VLOOKUP(L1215,'[1]Tuyến cáp H04'!$B:$E,4,0)</f>
        <v>Mạng cấp 3</v>
      </c>
    </row>
    <row r="1216" spans="1:36" x14ac:dyDescent="0.25">
      <c r="A1216" s="1" t="s">
        <v>11742</v>
      </c>
      <c r="B1216" s="1" t="s">
        <v>4948</v>
      </c>
      <c r="C1216" s="1" t="s">
        <v>4949</v>
      </c>
      <c r="D1216" s="1" t="s">
        <v>11743</v>
      </c>
      <c r="E1216" s="1" t="s">
        <v>11744</v>
      </c>
      <c r="F1216" s="1" t="s">
        <v>11745</v>
      </c>
      <c r="G1216" s="1" t="s">
        <v>14129</v>
      </c>
      <c r="H1216" s="1" t="s">
        <v>14133</v>
      </c>
      <c r="I1216" s="1" t="s">
        <v>15322</v>
      </c>
      <c r="J1216" s="1" t="s">
        <v>23</v>
      </c>
      <c r="K1216" s="1"/>
      <c r="L1216" s="1" t="s">
        <v>11734</v>
      </c>
      <c r="M1216" s="1" t="s">
        <v>11746</v>
      </c>
      <c r="N1216" s="1" t="s">
        <v>3684</v>
      </c>
      <c r="O1216" s="1" t="s">
        <v>11736</v>
      </c>
      <c r="P1216" s="1" t="s">
        <v>11737</v>
      </c>
      <c r="Q1216" s="1" t="s">
        <v>11747</v>
      </c>
      <c r="R1216" s="1" t="s">
        <v>11748</v>
      </c>
      <c r="S1216" s="1" t="s">
        <v>11749</v>
      </c>
      <c r="T1216" s="1" t="s">
        <v>11741</v>
      </c>
      <c r="U1216">
        <v>174.97</v>
      </c>
      <c r="V1216">
        <v>16.7</v>
      </c>
      <c r="W1216">
        <v>16.066120000000002</v>
      </c>
      <c r="X1216">
        <v>108.221645</v>
      </c>
      <c r="Y1216">
        <v>158.27000000000001</v>
      </c>
      <c r="Z1216">
        <v>16.066134000000002</v>
      </c>
      <c r="AA1216">
        <v>108.223629</v>
      </c>
      <c r="AB1216" s="5">
        <f t="shared" si="109"/>
        <v>2.5049999999999996E-2</v>
      </c>
      <c r="AC1216" s="5">
        <f t="shared" si="110"/>
        <v>0.23740500000000003</v>
      </c>
      <c r="AD1216" s="1" t="str">
        <f t="shared" si="111"/>
        <v>PA07</v>
      </c>
      <c r="AE1216" s="1" t="str">
        <f t="shared" si="112"/>
        <v>PA06</v>
      </c>
      <c r="AG1216">
        <f t="shared" si="113"/>
        <v>1.67E-2</v>
      </c>
      <c r="AH1216">
        <f t="shared" si="114"/>
        <v>0.15827000000000002</v>
      </c>
      <c r="AI1216">
        <f>VLOOKUP(L1216,'[1]Tuyến cáp H04'!$B:$E,3,0)/1000</f>
        <v>1.2589999999999999</v>
      </c>
      <c r="AJ1216" t="str">
        <f>VLOOKUP(L1216,'[1]Tuyến cáp H04'!$B:$E,4,0)</f>
        <v>Mạng cấp 3</v>
      </c>
    </row>
    <row r="1217" spans="1:36" x14ac:dyDescent="0.25">
      <c r="A1217" s="1" t="s">
        <v>11750</v>
      </c>
      <c r="B1217" s="1" t="s">
        <v>4948</v>
      </c>
      <c r="C1217" s="1" t="s">
        <v>4949</v>
      </c>
      <c r="D1217" s="1" t="s">
        <v>11751</v>
      </c>
      <c r="E1217" s="1" t="s">
        <v>11752</v>
      </c>
      <c r="F1217" s="1" t="s">
        <v>11753</v>
      </c>
      <c r="G1217" s="1" t="s">
        <v>14129</v>
      </c>
      <c r="H1217" s="1" t="s">
        <v>14133</v>
      </c>
      <c r="I1217" s="1" t="s">
        <v>15323</v>
      </c>
      <c r="J1217" s="1" t="s">
        <v>23</v>
      </c>
      <c r="K1217" s="1"/>
      <c r="L1217" s="1" t="s">
        <v>11734</v>
      </c>
      <c r="M1217" s="1" t="s">
        <v>11754</v>
      </c>
      <c r="N1217" s="1" t="s">
        <v>3684</v>
      </c>
      <c r="O1217" s="1" t="s">
        <v>11736</v>
      </c>
      <c r="P1217" s="1" t="s">
        <v>11737</v>
      </c>
      <c r="Q1217" s="1" t="s">
        <v>11755</v>
      </c>
      <c r="R1217" s="1" t="s">
        <v>11748</v>
      </c>
      <c r="S1217" s="1" t="s">
        <v>11749</v>
      </c>
      <c r="T1217" s="1" t="s">
        <v>11741</v>
      </c>
      <c r="U1217">
        <v>130.54</v>
      </c>
      <c r="V1217">
        <v>16.7</v>
      </c>
      <c r="W1217">
        <v>16.066120000000002</v>
      </c>
      <c r="X1217">
        <v>108.221645</v>
      </c>
      <c r="Y1217">
        <v>113.84</v>
      </c>
      <c r="Z1217">
        <v>16.066134000000002</v>
      </c>
      <c r="AA1217">
        <v>108.223629</v>
      </c>
      <c r="AB1217" s="5">
        <f t="shared" si="109"/>
        <v>2.5049999999999996E-2</v>
      </c>
      <c r="AC1217" s="5">
        <f t="shared" si="110"/>
        <v>0.17076</v>
      </c>
      <c r="AD1217" s="1" t="str">
        <f t="shared" si="111"/>
        <v>PA07</v>
      </c>
      <c r="AE1217" s="1" t="str">
        <f t="shared" si="112"/>
        <v>PA06</v>
      </c>
      <c r="AG1217">
        <f t="shared" si="113"/>
        <v>1.67E-2</v>
      </c>
      <c r="AH1217">
        <f t="shared" si="114"/>
        <v>0.11384</v>
      </c>
      <c r="AI1217">
        <f>VLOOKUP(L1217,'[1]Tuyến cáp H04'!$B:$E,3,0)/1000</f>
        <v>1.2589999999999999</v>
      </c>
      <c r="AJ1217" t="str">
        <f>VLOOKUP(L1217,'[1]Tuyến cáp H04'!$B:$E,4,0)</f>
        <v>Mạng cấp 3</v>
      </c>
    </row>
    <row r="1218" spans="1:36" x14ac:dyDescent="0.25">
      <c r="A1218" s="1" t="s">
        <v>11756</v>
      </c>
      <c r="B1218" s="1" t="s">
        <v>4948</v>
      </c>
      <c r="C1218" s="1" t="s">
        <v>4949</v>
      </c>
      <c r="D1218" s="1" t="s">
        <v>11757</v>
      </c>
      <c r="E1218" s="1" t="s">
        <v>11758</v>
      </c>
      <c r="F1218" s="1" t="s">
        <v>11759</v>
      </c>
      <c r="G1218" s="1" t="s">
        <v>14129</v>
      </c>
      <c r="H1218" s="1" t="s">
        <v>14532</v>
      </c>
      <c r="I1218" s="1" t="s">
        <v>15324</v>
      </c>
      <c r="J1218" s="1" t="s">
        <v>23</v>
      </c>
      <c r="K1218" s="1"/>
      <c r="L1218" s="1" t="s">
        <v>11760</v>
      </c>
      <c r="M1218" s="1" t="s">
        <v>11761</v>
      </c>
      <c r="N1218" s="1" t="s">
        <v>11762</v>
      </c>
      <c r="O1218" s="1" t="s">
        <v>11763</v>
      </c>
      <c r="P1218" s="1" t="s">
        <v>11764</v>
      </c>
      <c r="Q1218" s="1" t="s">
        <v>11765</v>
      </c>
      <c r="R1218" s="1" t="s">
        <v>11766</v>
      </c>
      <c r="S1218" s="1" t="s">
        <v>11767</v>
      </c>
      <c r="T1218" s="1" t="s">
        <v>11768</v>
      </c>
      <c r="U1218">
        <v>273.16000000000003</v>
      </c>
      <c r="V1218">
        <v>70.849999999999994</v>
      </c>
      <c r="W1218">
        <v>16.065805999999998</v>
      </c>
      <c r="X1218">
        <v>108.222388</v>
      </c>
      <c r="Y1218">
        <v>202.32</v>
      </c>
      <c r="Z1218">
        <v>16.062224000000001</v>
      </c>
      <c r="AA1218">
        <v>108.21966</v>
      </c>
      <c r="AB1218" s="5">
        <f t="shared" si="109"/>
        <v>0.10627499999999999</v>
      </c>
      <c r="AC1218" s="5">
        <f t="shared" si="110"/>
        <v>0.30348000000000003</v>
      </c>
      <c r="AD1218" s="1" t="str">
        <f t="shared" si="111"/>
        <v>Hải Châu</v>
      </c>
      <c r="AE1218" s="1" t="str">
        <f t="shared" si="112"/>
        <v>Hòa Cường</v>
      </c>
      <c r="AG1218">
        <f t="shared" si="113"/>
        <v>7.0849999999999996E-2</v>
      </c>
      <c r="AH1218">
        <f t="shared" si="114"/>
        <v>0.20232</v>
      </c>
      <c r="AI1218" t="e">
        <f>VLOOKUP(L1218,'[1]Tuyến cáp H04'!$B:$E,3,0)/1000</f>
        <v>#N/A</v>
      </c>
      <c r="AJ1218" t="e">
        <f>VLOOKUP(L1218,'[1]Tuyến cáp H04'!$B:$E,4,0)</f>
        <v>#N/A</v>
      </c>
    </row>
    <row r="1219" spans="1:36" x14ac:dyDescent="0.25">
      <c r="A1219" s="1" t="s">
        <v>11769</v>
      </c>
      <c r="B1219" s="1" t="s">
        <v>4948</v>
      </c>
      <c r="C1219" s="1" t="s">
        <v>4949</v>
      </c>
      <c r="D1219" s="1" t="s">
        <v>11770</v>
      </c>
      <c r="E1219" s="1" t="s">
        <v>11771</v>
      </c>
      <c r="F1219" s="1" t="s">
        <v>11772</v>
      </c>
      <c r="G1219" s="1" t="s">
        <v>14129</v>
      </c>
      <c r="H1219" s="1" t="s">
        <v>14532</v>
      </c>
      <c r="I1219" s="1" t="s">
        <v>15325</v>
      </c>
      <c r="J1219" s="1" t="s">
        <v>23</v>
      </c>
      <c r="K1219" s="1"/>
      <c r="L1219" s="1" t="s">
        <v>11760</v>
      </c>
      <c r="M1219" s="1" t="s">
        <v>11773</v>
      </c>
      <c r="N1219" s="1" t="s">
        <v>11762</v>
      </c>
      <c r="O1219" s="1" t="s">
        <v>11763</v>
      </c>
      <c r="P1219" s="1" t="s">
        <v>11764</v>
      </c>
      <c r="Q1219" s="1" t="s">
        <v>11774</v>
      </c>
      <c r="R1219" s="1" t="s">
        <v>11775</v>
      </c>
      <c r="S1219" s="1" t="s">
        <v>11776</v>
      </c>
      <c r="T1219" s="1" t="s">
        <v>11768</v>
      </c>
      <c r="U1219">
        <v>90.31</v>
      </c>
      <c r="V1219">
        <v>70.849999999999994</v>
      </c>
      <c r="W1219">
        <v>16.065805999999998</v>
      </c>
      <c r="X1219">
        <v>108.222388</v>
      </c>
      <c r="Y1219">
        <v>19.47</v>
      </c>
      <c r="Z1219">
        <v>16.071145999999999</v>
      </c>
      <c r="AA1219">
        <v>108.22106100000001</v>
      </c>
      <c r="AB1219" s="5">
        <f t="shared" ref="AB1219:AB1282" si="115">V1219*1.5/1000</f>
        <v>0.10627499999999999</v>
      </c>
      <c r="AC1219" s="5">
        <f t="shared" ref="AC1219:AC1282" si="116">Y1219*1.5/1000</f>
        <v>2.9204999999999998E-2</v>
      </c>
      <c r="AD1219" s="1" t="str">
        <f t="shared" ref="AD1219:AD1282" si="117">TRIM(LEFT(L1219,FIND("-",L1219)-1))</f>
        <v>Hải Châu</v>
      </c>
      <c r="AE1219" s="1" t="str">
        <f t="shared" ref="AE1219:AE1282" si="118">TRIM(RIGHT(L1219, LEN(L1219) - FIND("-", L1219)))</f>
        <v>Hòa Cường</v>
      </c>
      <c r="AG1219">
        <f t="shared" ref="AG1219:AG1282" si="119">V1219/1000</f>
        <v>7.0849999999999996E-2</v>
      </c>
      <c r="AH1219">
        <f t="shared" ref="AH1219:AH1282" si="120">Y1219/1000</f>
        <v>1.9469999999999998E-2</v>
      </c>
      <c r="AI1219" t="e">
        <f>VLOOKUP(L1219,'[1]Tuyến cáp H04'!$B:$E,3,0)/1000</f>
        <v>#N/A</v>
      </c>
      <c r="AJ1219" t="e">
        <f>VLOOKUP(L1219,'[1]Tuyến cáp H04'!$B:$E,4,0)</f>
        <v>#N/A</v>
      </c>
    </row>
    <row r="1220" spans="1:36" x14ac:dyDescent="0.25">
      <c r="A1220" s="1" t="s">
        <v>11777</v>
      </c>
      <c r="B1220" s="1" t="s">
        <v>11778</v>
      </c>
      <c r="C1220" s="1" t="s">
        <v>11779</v>
      </c>
      <c r="D1220" s="1" t="s">
        <v>11780</v>
      </c>
      <c r="E1220" s="1" t="s">
        <v>11781</v>
      </c>
      <c r="F1220" s="1" t="s">
        <v>11782</v>
      </c>
      <c r="G1220" s="1"/>
      <c r="H1220" s="1" t="s">
        <v>14133</v>
      </c>
      <c r="I1220" s="1" t="s">
        <v>15326</v>
      </c>
      <c r="J1220" s="1" t="s">
        <v>23</v>
      </c>
      <c r="K1220" s="1"/>
      <c r="L1220" s="1" t="s">
        <v>11760</v>
      </c>
      <c r="M1220" s="1" t="s">
        <v>11783</v>
      </c>
      <c r="N1220" s="1" t="s">
        <v>11784</v>
      </c>
      <c r="O1220" s="1" t="s">
        <v>11785</v>
      </c>
      <c r="P1220" s="1" t="s">
        <v>11786</v>
      </c>
      <c r="Q1220" s="1" t="s">
        <v>11787</v>
      </c>
      <c r="R1220" s="1" t="s">
        <v>11788</v>
      </c>
      <c r="S1220" s="1" t="s">
        <v>11789</v>
      </c>
      <c r="T1220" s="1" t="s">
        <v>11768</v>
      </c>
      <c r="U1220">
        <v>276.48</v>
      </c>
      <c r="V1220">
        <v>68.41</v>
      </c>
      <c r="W1220">
        <v>16.078868</v>
      </c>
      <c r="X1220">
        <v>108.22156699999999</v>
      </c>
      <c r="Y1220">
        <v>208.08</v>
      </c>
      <c r="Z1220">
        <v>16.073931000000002</v>
      </c>
      <c r="AA1220">
        <v>108.220707</v>
      </c>
      <c r="AB1220" s="5">
        <f t="shared" si="115"/>
        <v>0.102615</v>
      </c>
      <c r="AC1220" s="5">
        <f t="shared" si="116"/>
        <v>0.31212000000000001</v>
      </c>
      <c r="AD1220" s="1" t="str">
        <f t="shared" si="117"/>
        <v>Hải Châu</v>
      </c>
      <c r="AE1220" s="1" t="str">
        <f t="shared" si="118"/>
        <v>Hòa Cường</v>
      </c>
      <c r="AG1220">
        <f t="shared" si="119"/>
        <v>6.8409999999999999E-2</v>
      </c>
      <c r="AH1220">
        <f t="shared" si="120"/>
        <v>0.20808000000000001</v>
      </c>
      <c r="AI1220" t="e">
        <f>VLOOKUP(L1220,'[1]Tuyến cáp H04'!$B:$E,3,0)/1000</f>
        <v>#N/A</v>
      </c>
      <c r="AJ1220" t="e">
        <f>VLOOKUP(L1220,'[1]Tuyến cáp H04'!$B:$E,4,0)</f>
        <v>#N/A</v>
      </c>
    </row>
    <row r="1221" spans="1:36" x14ac:dyDescent="0.25">
      <c r="A1221" s="1" t="s">
        <v>11790</v>
      </c>
      <c r="B1221" s="1" t="s">
        <v>11791</v>
      </c>
      <c r="C1221" s="1" t="s">
        <v>11792</v>
      </c>
      <c r="D1221" s="1" t="s">
        <v>11793</v>
      </c>
      <c r="E1221" s="1" t="s">
        <v>11794</v>
      </c>
      <c r="F1221" s="1" t="s">
        <v>11795</v>
      </c>
      <c r="G1221" s="1" t="s">
        <v>14129</v>
      </c>
      <c r="H1221" s="1" t="s">
        <v>14133</v>
      </c>
      <c r="I1221" s="1" t="s">
        <v>15327</v>
      </c>
      <c r="J1221" s="1" t="s">
        <v>23</v>
      </c>
      <c r="K1221" s="1"/>
      <c r="L1221" s="1" t="s">
        <v>11796</v>
      </c>
      <c r="M1221" s="1" t="s">
        <v>11797</v>
      </c>
      <c r="N1221" s="1" t="s">
        <v>11798</v>
      </c>
      <c r="O1221" s="1" t="s">
        <v>11799</v>
      </c>
      <c r="P1221" s="1" t="s">
        <v>11800</v>
      </c>
      <c r="Q1221" s="1" t="s">
        <v>11801</v>
      </c>
      <c r="R1221" s="1" t="s">
        <v>11802</v>
      </c>
      <c r="S1221" s="1" t="s">
        <v>11803</v>
      </c>
      <c r="T1221" s="1" t="s">
        <v>11804</v>
      </c>
      <c r="U1221">
        <v>172.38</v>
      </c>
      <c r="V1221">
        <v>11.45</v>
      </c>
      <c r="W1221">
        <v>16.037827</v>
      </c>
      <c r="X1221">
        <v>108.215503</v>
      </c>
      <c r="Y1221">
        <v>160.93</v>
      </c>
      <c r="Z1221">
        <v>16.036906999999999</v>
      </c>
      <c r="AA1221">
        <v>108.216774</v>
      </c>
      <c r="AB1221" s="5">
        <f t="shared" si="115"/>
        <v>1.7174999999999996E-2</v>
      </c>
      <c r="AC1221" s="5">
        <f t="shared" si="116"/>
        <v>0.241395</v>
      </c>
      <c r="AD1221" s="1" t="str">
        <f t="shared" si="117"/>
        <v>Hòa CƯờng</v>
      </c>
      <c r="AE1221" s="1" t="str">
        <f t="shared" si="118"/>
        <v>TTKV Cẩm Lệ</v>
      </c>
      <c r="AG1221">
        <f t="shared" si="119"/>
        <v>1.145E-2</v>
      </c>
      <c r="AH1221">
        <f t="shared" si="120"/>
        <v>0.16093000000000002</v>
      </c>
      <c r="AI1221" t="e">
        <f>VLOOKUP(L1221,'[1]Tuyến cáp H04'!$B:$E,3,0)/1000</f>
        <v>#N/A</v>
      </c>
      <c r="AJ1221" t="e">
        <f>VLOOKUP(L1221,'[1]Tuyến cáp H04'!$B:$E,4,0)</f>
        <v>#N/A</v>
      </c>
    </row>
    <row r="1222" spans="1:36" x14ac:dyDescent="0.25">
      <c r="A1222" s="1" t="s">
        <v>11805</v>
      </c>
      <c r="B1222" s="1" t="s">
        <v>11791</v>
      </c>
      <c r="C1222" s="1" t="s">
        <v>11792</v>
      </c>
      <c r="D1222" s="1" t="s">
        <v>11806</v>
      </c>
      <c r="E1222" s="1" t="s">
        <v>11807</v>
      </c>
      <c r="F1222" s="1" t="s">
        <v>11808</v>
      </c>
      <c r="G1222" s="1" t="s">
        <v>14129</v>
      </c>
      <c r="H1222" s="1" t="s">
        <v>14133</v>
      </c>
      <c r="I1222" s="1" t="s">
        <v>15328</v>
      </c>
      <c r="J1222" s="1" t="s">
        <v>23</v>
      </c>
      <c r="K1222" s="1"/>
      <c r="L1222" s="1" t="s">
        <v>11760</v>
      </c>
      <c r="M1222" s="1" t="s">
        <v>11809</v>
      </c>
      <c r="N1222" s="1" t="s">
        <v>11810</v>
      </c>
      <c r="O1222" s="1" t="s">
        <v>11811</v>
      </c>
      <c r="P1222" s="1" t="s">
        <v>11812</v>
      </c>
      <c r="Q1222" s="1" t="s">
        <v>11813</v>
      </c>
      <c r="R1222" s="1" t="s">
        <v>11814</v>
      </c>
      <c r="S1222" s="1" t="s">
        <v>11815</v>
      </c>
      <c r="T1222" s="1" t="s">
        <v>11768</v>
      </c>
      <c r="U1222">
        <v>45.27</v>
      </c>
      <c r="V1222">
        <v>7.13</v>
      </c>
      <c r="W1222">
        <v>16.037737</v>
      </c>
      <c r="X1222">
        <v>108.215386</v>
      </c>
      <c r="Y1222">
        <v>38.14</v>
      </c>
      <c r="Z1222">
        <v>16.039169000000001</v>
      </c>
      <c r="AA1222">
        <v>108.215182</v>
      </c>
      <c r="AB1222" s="5">
        <f t="shared" si="115"/>
        <v>1.0695E-2</v>
      </c>
      <c r="AC1222" s="5">
        <f t="shared" si="116"/>
        <v>5.7210000000000004E-2</v>
      </c>
      <c r="AD1222" s="1" t="str">
        <f t="shared" si="117"/>
        <v>Hải Châu</v>
      </c>
      <c r="AE1222" s="1" t="str">
        <f t="shared" si="118"/>
        <v>Hòa Cường</v>
      </c>
      <c r="AG1222">
        <f t="shared" si="119"/>
        <v>7.1300000000000001E-3</v>
      </c>
      <c r="AH1222">
        <f t="shared" si="120"/>
        <v>3.814E-2</v>
      </c>
      <c r="AI1222" t="e">
        <f>VLOOKUP(L1222,'[1]Tuyến cáp H04'!$B:$E,3,0)/1000</f>
        <v>#N/A</v>
      </c>
      <c r="AJ1222" t="e">
        <f>VLOOKUP(L1222,'[1]Tuyến cáp H04'!$B:$E,4,0)</f>
        <v>#N/A</v>
      </c>
    </row>
    <row r="1223" spans="1:36" x14ac:dyDescent="0.25">
      <c r="A1223" s="1" t="s">
        <v>11816</v>
      </c>
      <c r="B1223" s="1" t="s">
        <v>11780</v>
      </c>
      <c r="C1223" s="1" t="s">
        <v>11781</v>
      </c>
      <c r="D1223" s="1" t="s">
        <v>11778</v>
      </c>
      <c r="E1223" s="1" t="s">
        <v>11779</v>
      </c>
      <c r="F1223" s="1" t="s">
        <v>11782</v>
      </c>
      <c r="G1223" s="1"/>
      <c r="H1223" s="1" t="s">
        <v>14133</v>
      </c>
      <c r="I1223" s="1" t="s">
        <v>15326</v>
      </c>
      <c r="J1223" s="1" t="s">
        <v>23</v>
      </c>
      <c r="K1223" s="1"/>
      <c r="L1223" s="1" t="s">
        <v>11760</v>
      </c>
      <c r="M1223" s="1" t="s">
        <v>11783</v>
      </c>
      <c r="N1223" s="1" t="s">
        <v>11787</v>
      </c>
      <c r="O1223" s="1" t="s">
        <v>11788</v>
      </c>
      <c r="P1223" s="1" t="s">
        <v>11789</v>
      </c>
      <c r="Q1223" s="1" t="s">
        <v>11784</v>
      </c>
      <c r="R1223" s="1" t="s">
        <v>11785</v>
      </c>
      <c r="S1223" s="1" t="s">
        <v>11786</v>
      </c>
      <c r="T1223" s="1" t="s">
        <v>11768</v>
      </c>
      <c r="U1223">
        <v>276.48</v>
      </c>
      <c r="V1223">
        <v>208.08</v>
      </c>
      <c r="W1223">
        <v>16.073931000000002</v>
      </c>
      <c r="X1223">
        <v>108.220707</v>
      </c>
      <c r="Y1223">
        <v>68.41</v>
      </c>
      <c r="Z1223">
        <v>16.078868</v>
      </c>
      <c r="AA1223">
        <v>108.22156699999999</v>
      </c>
      <c r="AB1223" s="5">
        <f t="shared" si="115"/>
        <v>0.31212000000000001</v>
      </c>
      <c r="AC1223" s="5">
        <f t="shared" si="116"/>
        <v>0.102615</v>
      </c>
      <c r="AD1223" s="1" t="str">
        <f t="shared" si="117"/>
        <v>Hải Châu</v>
      </c>
      <c r="AE1223" s="1" t="str">
        <f t="shared" si="118"/>
        <v>Hòa Cường</v>
      </c>
      <c r="AG1223">
        <f t="shared" si="119"/>
        <v>0.20808000000000001</v>
      </c>
      <c r="AH1223">
        <f t="shared" si="120"/>
        <v>6.8409999999999999E-2</v>
      </c>
      <c r="AI1223" t="e">
        <f>VLOOKUP(L1223,'[1]Tuyến cáp H04'!$B:$E,3,0)/1000</f>
        <v>#N/A</v>
      </c>
      <c r="AJ1223" t="e">
        <f>VLOOKUP(L1223,'[1]Tuyến cáp H04'!$B:$E,4,0)</f>
        <v>#N/A</v>
      </c>
    </row>
    <row r="1224" spans="1:36" x14ac:dyDescent="0.25">
      <c r="A1224" s="1" t="s">
        <v>11817</v>
      </c>
      <c r="B1224" s="1" t="s">
        <v>11818</v>
      </c>
      <c r="C1224" s="1" t="s">
        <v>11819</v>
      </c>
      <c r="D1224" s="1" t="s">
        <v>11820</v>
      </c>
      <c r="E1224" s="1" t="s">
        <v>11821</v>
      </c>
      <c r="F1224" s="1" t="s">
        <v>11822</v>
      </c>
      <c r="G1224" s="1" t="s">
        <v>14129</v>
      </c>
      <c r="H1224" s="1" t="s">
        <v>14133</v>
      </c>
      <c r="I1224" s="1" t="s">
        <v>15329</v>
      </c>
      <c r="J1224" s="1" t="s">
        <v>23</v>
      </c>
      <c r="K1224" s="1"/>
      <c r="L1224" s="1" t="s">
        <v>11045</v>
      </c>
      <c r="M1224" s="1" t="s">
        <v>11823</v>
      </c>
      <c r="N1224" s="1" t="s">
        <v>319</v>
      </c>
      <c r="O1224" s="1" t="s">
        <v>11824</v>
      </c>
      <c r="P1224" s="1" t="s">
        <v>11825</v>
      </c>
      <c r="Q1224" s="1" t="s">
        <v>11826</v>
      </c>
      <c r="R1224" s="1" t="s">
        <v>11827</v>
      </c>
      <c r="S1224" s="1" t="s">
        <v>11828</v>
      </c>
      <c r="T1224" s="1" t="s">
        <v>11829</v>
      </c>
      <c r="U1224">
        <v>50.42</v>
      </c>
      <c r="V1224">
        <v>7.22</v>
      </c>
      <c r="W1224">
        <v>16.052781</v>
      </c>
      <c r="X1224">
        <v>108.203267</v>
      </c>
      <c r="Y1224">
        <v>43.2</v>
      </c>
      <c r="Z1224">
        <v>16.051763000000001</v>
      </c>
      <c r="AA1224">
        <v>108.209971</v>
      </c>
      <c r="AB1224" s="5">
        <f t="shared" si="115"/>
        <v>1.0829999999999999E-2</v>
      </c>
      <c r="AC1224" s="5">
        <f t="shared" si="116"/>
        <v>6.480000000000001E-2</v>
      </c>
      <c r="AD1224" s="1" t="e">
        <f t="shared" si="117"/>
        <v>#VALUE!</v>
      </c>
      <c r="AE1224" s="1" t="e">
        <f t="shared" si="118"/>
        <v>#VALUE!</v>
      </c>
      <c r="AG1224">
        <f t="shared" si="119"/>
        <v>7.2199999999999999E-3</v>
      </c>
      <c r="AH1224">
        <f t="shared" si="120"/>
        <v>4.3200000000000002E-2</v>
      </c>
      <c r="AI1224" t="e">
        <f>VLOOKUP(L1224,'[1]Tuyến cáp H04'!$B:$E,3,0)/1000</f>
        <v>#N/A</v>
      </c>
      <c r="AJ1224" t="e">
        <f>VLOOKUP(L1224,'[1]Tuyến cáp H04'!$B:$E,4,0)</f>
        <v>#N/A</v>
      </c>
    </row>
    <row r="1225" spans="1:36" x14ac:dyDescent="0.25">
      <c r="A1225" s="1" t="s">
        <v>11830</v>
      </c>
      <c r="B1225" s="1" t="s">
        <v>11818</v>
      </c>
      <c r="C1225" s="1" t="s">
        <v>11819</v>
      </c>
      <c r="D1225" s="1" t="s">
        <v>11831</v>
      </c>
      <c r="E1225" s="1" t="s">
        <v>11832</v>
      </c>
      <c r="F1225" s="1" t="s">
        <v>11833</v>
      </c>
      <c r="G1225" s="1" t="s">
        <v>14129</v>
      </c>
      <c r="H1225" s="1" t="s">
        <v>14130</v>
      </c>
      <c r="I1225" s="1" t="s">
        <v>15330</v>
      </c>
      <c r="J1225" s="1" t="s">
        <v>23</v>
      </c>
      <c r="K1225" s="1"/>
      <c r="L1225" s="1" t="s">
        <v>11045</v>
      </c>
      <c r="M1225" s="1" t="s">
        <v>11834</v>
      </c>
      <c r="N1225" s="1" t="s">
        <v>319</v>
      </c>
      <c r="O1225" s="1" t="s">
        <v>11824</v>
      </c>
      <c r="P1225" s="1" t="s">
        <v>11825</v>
      </c>
      <c r="Q1225" s="1" t="s">
        <v>11835</v>
      </c>
      <c r="R1225" s="1" t="s">
        <v>11836</v>
      </c>
      <c r="S1225" s="1" t="s">
        <v>11837</v>
      </c>
      <c r="T1225" s="1" t="s">
        <v>11829</v>
      </c>
      <c r="U1225">
        <v>434.2</v>
      </c>
      <c r="V1225">
        <v>7.22</v>
      </c>
      <c r="W1225">
        <v>16.052781</v>
      </c>
      <c r="X1225">
        <v>108.203267</v>
      </c>
      <c r="Y1225">
        <v>426.99</v>
      </c>
      <c r="Z1225">
        <v>16.050820000000002</v>
      </c>
      <c r="AA1225">
        <v>108.20695000000001</v>
      </c>
      <c r="AB1225" s="5">
        <f t="shared" si="115"/>
        <v>1.0829999999999999E-2</v>
      </c>
      <c r="AC1225" s="5">
        <f t="shared" si="116"/>
        <v>0.64048499999999997</v>
      </c>
      <c r="AD1225" s="1" t="e">
        <f t="shared" si="117"/>
        <v>#VALUE!</v>
      </c>
      <c r="AE1225" s="1" t="e">
        <f t="shared" si="118"/>
        <v>#VALUE!</v>
      </c>
      <c r="AG1225">
        <f t="shared" si="119"/>
        <v>7.2199999999999999E-3</v>
      </c>
      <c r="AH1225">
        <f t="shared" si="120"/>
        <v>0.42699000000000004</v>
      </c>
      <c r="AI1225" t="e">
        <f>VLOOKUP(L1225,'[1]Tuyến cáp H04'!$B:$E,3,0)/1000</f>
        <v>#N/A</v>
      </c>
      <c r="AJ1225" t="e">
        <f>VLOOKUP(L1225,'[1]Tuyến cáp H04'!$B:$E,4,0)</f>
        <v>#N/A</v>
      </c>
    </row>
    <row r="1226" spans="1:36" x14ac:dyDescent="0.25">
      <c r="A1226" s="1" t="s">
        <v>11838</v>
      </c>
      <c r="B1226" s="1" t="s">
        <v>11839</v>
      </c>
      <c r="C1226" s="1" t="s">
        <v>11840</v>
      </c>
      <c r="D1226" s="1" t="s">
        <v>11841</v>
      </c>
      <c r="E1226" s="1" t="s">
        <v>11842</v>
      </c>
      <c r="F1226" s="1" t="s">
        <v>11843</v>
      </c>
      <c r="G1226" s="1" t="s">
        <v>14129</v>
      </c>
      <c r="H1226" s="1" t="s">
        <v>14133</v>
      </c>
      <c r="I1226" s="1" t="s">
        <v>15331</v>
      </c>
      <c r="J1226" s="1" t="s">
        <v>23</v>
      </c>
      <c r="K1226" s="1"/>
      <c r="L1226" s="1" t="s">
        <v>11844</v>
      </c>
      <c r="M1226" s="1" t="s">
        <v>11845</v>
      </c>
      <c r="N1226" s="1" t="s">
        <v>11846</v>
      </c>
      <c r="O1226" s="1" t="s">
        <v>11847</v>
      </c>
      <c r="P1226" s="1" t="s">
        <v>11848</v>
      </c>
      <c r="Q1226" s="1" t="s">
        <v>11849</v>
      </c>
      <c r="R1226" s="1" t="s">
        <v>11850</v>
      </c>
      <c r="S1226" s="1" t="s">
        <v>11851</v>
      </c>
      <c r="T1226" s="1" t="s">
        <v>11852</v>
      </c>
      <c r="U1226">
        <v>1313.57</v>
      </c>
      <c r="V1226">
        <v>878.82</v>
      </c>
      <c r="W1226">
        <v>15.981011000000001</v>
      </c>
      <c r="X1226">
        <v>108.208241</v>
      </c>
      <c r="Y1226">
        <v>434.75</v>
      </c>
      <c r="Z1226">
        <v>15.981517999999999</v>
      </c>
      <c r="AA1226">
        <v>108.21104</v>
      </c>
      <c r="AB1226" s="5">
        <f t="shared" si="115"/>
        <v>1.31823</v>
      </c>
      <c r="AC1226" s="5">
        <f t="shared" si="116"/>
        <v>0.65212499999999995</v>
      </c>
      <c r="AD1226" s="1" t="str">
        <f t="shared" si="117"/>
        <v>C09</v>
      </c>
      <c r="AE1226" s="1" t="str">
        <f t="shared" si="118"/>
        <v>A06</v>
      </c>
      <c r="AG1226">
        <f t="shared" si="119"/>
        <v>0.87882000000000005</v>
      </c>
      <c r="AH1226">
        <f t="shared" si="120"/>
        <v>0.43475000000000003</v>
      </c>
      <c r="AI1226" t="e">
        <f>VLOOKUP(L1226,'[1]Tuyến cáp H04'!$B:$E,3,0)/1000</f>
        <v>#N/A</v>
      </c>
      <c r="AJ1226" t="e">
        <f>VLOOKUP(L1226,'[1]Tuyến cáp H04'!$B:$E,4,0)</f>
        <v>#N/A</v>
      </c>
    </row>
    <row r="1227" spans="1:36" x14ac:dyDescent="0.25">
      <c r="A1227" s="1" t="s">
        <v>11853</v>
      </c>
      <c r="B1227" s="1" t="s">
        <v>11839</v>
      </c>
      <c r="C1227" s="1" t="s">
        <v>11840</v>
      </c>
      <c r="D1227" s="1" t="s">
        <v>11854</v>
      </c>
      <c r="E1227" s="1" t="s">
        <v>11855</v>
      </c>
      <c r="F1227" s="1" t="s">
        <v>11856</v>
      </c>
      <c r="G1227" s="1" t="s">
        <v>14129</v>
      </c>
      <c r="H1227" s="1" t="s">
        <v>14133</v>
      </c>
      <c r="I1227" s="1" t="s">
        <v>15332</v>
      </c>
      <c r="J1227" s="1" t="s">
        <v>23</v>
      </c>
      <c r="K1227" s="1"/>
      <c r="L1227" s="1" t="s">
        <v>11857</v>
      </c>
      <c r="M1227" s="1" t="s">
        <v>11858</v>
      </c>
      <c r="N1227" s="1" t="s">
        <v>11859</v>
      </c>
      <c r="O1227" s="1" t="s">
        <v>11860</v>
      </c>
      <c r="P1227" s="1" t="s">
        <v>11861</v>
      </c>
      <c r="Q1227" s="1" t="s">
        <v>11862</v>
      </c>
      <c r="R1227" s="1" t="s">
        <v>11863</v>
      </c>
      <c r="S1227" s="1" t="s">
        <v>11864</v>
      </c>
      <c r="T1227" s="1" t="s">
        <v>11865</v>
      </c>
      <c r="U1227">
        <v>1383.89</v>
      </c>
      <c r="V1227">
        <v>764.05</v>
      </c>
      <c r="W1227">
        <v>15.982775999999999</v>
      </c>
      <c r="X1227">
        <v>108.208083</v>
      </c>
      <c r="Y1227">
        <v>619.83000000000004</v>
      </c>
      <c r="Z1227">
        <v>15.972878</v>
      </c>
      <c r="AA1227">
        <v>108.208688</v>
      </c>
      <c r="AB1227" s="5">
        <f t="shared" si="115"/>
        <v>1.1460749999999997</v>
      </c>
      <c r="AC1227" s="5">
        <f t="shared" si="116"/>
        <v>0.92974500000000015</v>
      </c>
      <c r="AD1227" s="1" t="str">
        <f t="shared" si="117"/>
        <v>Cẩm Lệ</v>
      </c>
      <c r="AE1227" s="1" t="str">
        <f t="shared" si="118"/>
        <v>Điện Bàn</v>
      </c>
      <c r="AG1227">
        <f t="shared" si="119"/>
        <v>0.76405000000000001</v>
      </c>
      <c r="AH1227">
        <f t="shared" si="120"/>
        <v>0.61982999999999999</v>
      </c>
      <c r="AI1227">
        <f>VLOOKUP(L1227,'[1]Tuyến cáp H04'!$B:$E,3,0)/1000</f>
        <v>17.334</v>
      </c>
      <c r="AJ1227" t="str">
        <f>VLOOKUP(L1227,'[1]Tuyến cáp H04'!$B:$E,4,0)</f>
        <v>Mạng cấp 3</v>
      </c>
    </row>
    <row r="1228" spans="1:36" x14ac:dyDescent="0.25">
      <c r="A1228" s="1" t="s">
        <v>11866</v>
      </c>
      <c r="B1228" s="1" t="s">
        <v>11839</v>
      </c>
      <c r="C1228" s="1" t="s">
        <v>11840</v>
      </c>
      <c r="D1228" s="1" t="s">
        <v>11867</v>
      </c>
      <c r="E1228" s="1" t="s">
        <v>11868</v>
      </c>
      <c r="F1228" s="1" t="s">
        <v>11869</v>
      </c>
      <c r="G1228" s="1" t="s">
        <v>14129</v>
      </c>
      <c r="H1228" s="1" t="s">
        <v>14133</v>
      </c>
      <c r="I1228" s="1" t="s">
        <v>15333</v>
      </c>
      <c r="J1228" s="1" t="s">
        <v>23</v>
      </c>
      <c r="K1228" s="1"/>
      <c r="L1228" s="1" t="s">
        <v>11844</v>
      </c>
      <c r="M1228" s="1" t="s">
        <v>11870</v>
      </c>
      <c r="N1228" s="1" t="s">
        <v>11846</v>
      </c>
      <c r="O1228" s="1" t="s">
        <v>11847</v>
      </c>
      <c r="P1228" s="1" t="s">
        <v>11848</v>
      </c>
      <c r="Q1228" s="1" t="s">
        <v>11871</v>
      </c>
      <c r="R1228" s="1" t="s">
        <v>11872</v>
      </c>
      <c r="S1228" s="1" t="s">
        <v>11873</v>
      </c>
      <c r="T1228" s="1" t="s">
        <v>11852</v>
      </c>
      <c r="U1228">
        <v>970.19</v>
      </c>
      <c r="V1228">
        <v>878.82</v>
      </c>
      <c r="W1228">
        <v>15.981011000000001</v>
      </c>
      <c r="X1228">
        <v>108.208241</v>
      </c>
      <c r="Y1228">
        <v>91.37</v>
      </c>
      <c r="Z1228">
        <v>15.982246</v>
      </c>
      <c r="AA1228">
        <v>108.211079</v>
      </c>
      <c r="AB1228" s="5">
        <f t="shared" si="115"/>
        <v>1.31823</v>
      </c>
      <c r="AC1228" s="5">
        <f t="shared" si="116"/>
        <v>0.13705500000000001</v>
      </c>
      <c r="AD1228" s="1" t="str">
        <f t="shared" si="117"/>
        <v>C09</v>
      </c>
      <c r="AE1228" s="1" t="str">
        <f t="shared" si="118"/>
        <v>A06</v>
      </c>
      <c r="AG1228">
        <f t="shared" si="119"/>
        <v>0.87882000000000005</v>
      </c>
      <c r="AH1228">
        <f t="shared" si="120"/>
        <v>9.1370000000000007E-2</v>
      </c>
      <c r="AI1228" t="e">
        <f>VLOOKUP(L1228,'[1]Tuyến cáp H04'!$B:$E,3,0)/1000</f>
        <v>#N/A</v>
      </c>
      <c r="AJ1228" t="e">
        <f>VLOOKUP(L1228,'[1]Tuyến cáp H04'!$B:$E,4,0)</f>
        <v>#N/A</v>
      </c>
    </row>
    <row r="1229" spans="1:36" x14ac:dyDescent="0.25">
      <c r="A1229" s="1" t="s">
        <v>11874</v>
      </c>
      <c r="B1229" s="1" t="s">
        <v>11839</v>
      </c>
      <c r="C1229" s="1" t="s">
        <v>11840</v>
      </c>
      <c r="D1229" s="1" t="s">
        <v>11875</v>
      </c>
      <c r="E1229" s="1" t="s">
        <v>11876</v>
      </c>
      <c r="F1229" s="1" t="s">
        <v>11877</v>
      </c>
      <c r="G1229" s="1" t="s">
        <v>14129</v>
      </c>
      <c r="H1229" s="1" t="s">
        <v>14133</v>
      </c>
      <c r="I1229" s="1" t="s">
        <v>15334</v>
      </c>
      <c r="J1229" s="1" t="s">
        <v>23</v>
      </c>
      <c r="K1229" s="1"/>
      <c r="L1229" s="1" t="s">
        <v>11878</v>
      </c>
      <c r="M1229" s="1" t="s">
        <v>11879</v>
      </c>
      <c r="N1229" s="1" t="s">
        <v>11880</v>
      </c>
      <c r="O1229" s="1" t="s">
        <v>11881</v>
      </c>
      <c r="P1229" s="1" t="s">
        <v>11882</v>
      </c>
      <c r="Q1229" s="1" t="s">
        <v>11883</v>
      </c>
      <c r="R1229" s="1" t="s">
        <v>11881</v>
      </c>
      <c r="S1229" s="1" t="s">
        <v>11882</v>
      </c>
      <c r="T1229" s="1" t="s">
        <v>11884</v>
      </c>
      <c r="U1229">
        <v>71.22</v>
      </c>
      <c r="V1229">
        <v>3.69</v>
      </c>
      <c r="W1229">
        <v>15.985678999999999</v>
      </c>
      <c r="X1229">
        <v>108.201567</v>
      </c>
      <c r="Y1229">
        <v>67.53</v>
      </c>
      <c r="Z1229">
        <v>15.985678999999999</v>
      </c>
      <c r="AA1229">
        <v>108.201567</v>
      </c>
      <c r="AB1229" s="5">
        <f t="shared" si="115"/>
        <v>5.535E-3</v>
      </c>
      <c r="AC1229" s="5">
        <f t="shared" si="116"/>
        <v>0.101295</v>
      </c>
      <c r="AD1229" s="1" t="str">
        <f t="shared" si="117"/>
        <v>TTKV Ngũ Hành Sơn</v>
      </c>
      <c r="AE1229" s="1" t="str">
        <f t="shared" si="118"/>
        <v>Hòa Xuân</v>
      </c>
      <c r="AG1229">
        <f t="shared" si="119"/>
        <v>3.6900000000000001E-3</v>
      </c>
      <c r="AH1229">
        <f t="shared" si="120"/>
        <v>6.7530000000000007E-2</v>
      </c>
      <c r="AI1229" t="e">
        <f>VLOOKUP(L1229,'[1]Tuyến cáp H04'!$B:$E,3,0)/1000</f>
        <v>#N/A</v>
      </c>
      <c r="AJ1229" t="e">
        <f>VLOOKUP(L1229,'[1]Tuyến cáp H04'!$B:$E,4,0)</f>
        <v>#N/A</v>
      </c>
    </row>
    <row r="1230" spans="1:36" x14ac:dyDescent="0.25">
      <c r="A1230" s="1" t="s">
        <v>11885</v>
      </c>
      <c r="B1230" s="1" t="s">
        <v>11839</v>
      </c>
      <c r="C1230" s="1" t="s">
        <v>11840</v>
      </c>
      <c r="D1230" s="1" t="s">
        <v>11886</v>
      </c>
      <c r="E1230" s="1" t="s">
        <v>11887</v>
      </c>
      <c r="F1230" s="1" t="s">
        <v>11888</v>
      </c>
      <c r="G1230" s="1" t="s">
        <v>14129</v>
      </c>
      <c r="H1230" s="1" t="s">
        <v>14133</v>
      </c>
      <c r="I1230" s="1" t="s">
        <v>15335</v>
      </c>
      <c r="J1230" s="1" t="s">
        <v>23</v>
      </c>
      <c r="K1230" s="1"/>
      <c r="L1230" s="1" t="s">
        <v>11844</v>
      </c>
      <c r="M1230" s="1" t="s">
        <v>11889</v>
      </c>
      <c r="N1230" s="1" t="s">
        <v>11846</v>
      </c>
      <c r="O1230" s="1" t="s">
        <v>11847</v>
      </c>
      <c r="P1230" s="1" t="s">
        <v>11848</v>
      </c>
      <c r="Q1230" s="1" t="s">
        <v>11890</v>
      </c>
      <c r="R1230" s="1" t="s">
        <v>11850</v>
      </c>
      <c r="S1230" s="1" t="s">
        <v>11851</v>
      </c>
      <c r="T1230" s="1" t="s">
        <v>11852</v>
      </c>
      <c r="U1230">
        <v>1039.6600000000001</v>
      </c>
      <c r="V1230">
        <v>878.82</v>
      </c>
      <c r="W1230">
        <v>15.981011000000001</v>
      </c>
      <c r="X1230">
        <v>108.208241</v>
      </c>
      <c r="Y1230">
        <v>160.84</v>
      </c>
      <c r="Z1230">
        <v>15.981517999999999</v>
      </c>
      <c r="AA1230">
        <v>108.21104</v>
      </c>
      <c r="AB1230" s="5">
        <f t="shared" si="115"/>
        <v>1.31823</v>
      </c>
      <c r="AC1230" s="5">
        <f t="shared" si="116"/>
        <v>0.24126</v>
      </c>
      <c r="AD1230" s="1" t="str">
        <f t="shared" si="117"/>
        <v>C09</v>
      </c>
      <c r="AE1230" s="1" t="str">
        <f t="shared" si="118"/>
        <v>A06</v>
      </c>
      <c r="AG1230">
        <f t="shared" si="119"/>
        <v>0.87882000000000005</v>
      </c>
      <c r="AH1230">
        <f t="shared" si="120"/>
        <v>0.16084000000000001</v>
      </c>
      <c r="AI1230" t="e">
        <f>VLOOKUP(L1230,'[1]Tuyến cáp H04'!$B:$E,3,0)/1000</f>
        <v>#N/A</v>
      </c>
      <c r="AJ1230" t="e">
        <f>VLOOKUP(L1230,'[1]Tuyến cáp H04'!$B:$E,4,0)</f>
        <v>#N/A</v>
      </c>
    </row>
    <row r="1231" spans="1:36" x14ac:dyDescent="0.25">
      <c r="A1231" s="1" t="s">
        <v>11891</v>
      </c>
      <c r="B1231" s="1" t="s">
        <v>11839</v>
      </c>
      <c r="C1231" s="1" t="s">
        <v>11840</v>
      </c>
      <c r="D1231" s="1" t="e">
        <v>#N/A</v>
      </c>
      <c r="E1231" s="1" t="e">
        <v>#N/A</v>
      </c>
      <c r="F1231" s="1" t="s">
        <v>11892</v>
      </c>
      <c r="G1231" s="1" t="s">
        <v>14129</v>
      </c>
      <c r="H1231" s="1" t="s">
        <v>14532</v>
      </c>
      <c r="I1231" s="1" t="s">
        <v>15336</v>
      </c>
      <c r="J1231" s="1" t="s">
        <v>5166</v>
      </c>
      <c r="K1231" s="1" t="s">
        <v>11893</v>
      </c>
      <c r="L1231" s="1"/>
      <c r="M1231" s="1"/>
      <c r="N1231" s="1"/>
      <c r="O1231" s="1"/>
      <c r="P1231" s="1"/>
      <c r="Q1231" s="1"/>
      <c r="R1231" s="1"/>
      <c r="S1231" s="1"/>
      <c r="T1231" s="1"/>
      <c r="AB1231" s="5"/>
      <c r="AC1231" s="5"/>
      <c r="AD1231" s="1"/>
      <c r="AE1231" s="1"/>
      <c r="AI1231" t="e">
        <f>VLOOKUP(L1231,'[1]Tuyến cáp H04'!$B:$E,3,0)/1000</f>
        <v>#N/A</v>
      </c>
      <c r="AJ1231" t="e">
        <f>VLOOKUP(L1231,'[1]Tuyến cáp H04'!$B:$E,4,0)</f>
        <v>#N/A</v>
      </c>
    </row>
    <row r="1232" spans="1:36" x14ac:dyDescent="0.25">
      <c r="A1232" s="1" t="s">
        <v>11894</v>
      </c>
      <c r="B1232" s="1" t="s">
        <v>11839</v>
      </c>
      <c r="C1232" s="1" t="s">
        <v>11840</v>
      </c>
      <c r="D1232" s="1" t="e">
        <v>#N/A</v>
      </c>
      <c r="E1232" s="1" t="e">
        <v>#N/A</v>
      </c>
      <c r="F1232" s="1" t="s">
        <v>11895</v>
      </c>
      <c r="G1232" s="1" t="s">
        <v>14129</v>
      </c>
      <c r="H1232" s="1" t="s">
        <v>14532</v>
      </c>
      <c r="I1232" s="1" t="s">
        <v>15337</v>
      </c>
      <c r="J1232" s="1" t="s">
        <v>5166</v>
      </c>
      <c r="K1232" s="1" t="s">
        <v>11893</v>
      </c>
      <c r="L1232" s="1"/>
      <c r="M1232" s="1"/>
      <c r="N1232" s="1"/>
      <c r="O1232" s="1"/>
      <c r="P1232" s="1"/>
      <c r="Q1232" s="1"/>
      <c r="R1232" s="1"/>
      <c r="S1232" s="1"/>
      <c r="T1232" s="1"/>
      <c r="AB1232" s="5"/>
      <c r="AC1232" s="5"/>
      <c r="AD1232" s="1"/>
      <c r="AE1232" s="1"/>
      <c r="AI1232" t="e">
        <f>VLOOKUP(L1232,'[1]Tuyến cáp H04'!$B:$E,3,0)/1000</f>
        <v>#N/A</v>
      </c>
      <c r="AJ1232" t="e">
        <f>VLOOKUP(L1232,'[1]Tuyến cáp H04'!$B:$E,4,0)</f>
        <v>#N/A</v>
      </c>
    </row>
    <row r="1233" spans="1:36" x14ac:dyDescent="0.25">
      <c r="A1233" s="1" t="s">
        <v>11896</v>
      </c>
      <c r="B1233" s="1" t="s">
        <v>11897</v>
      </c>
      <c r="C1233" s="1" t="s">
        <v>11898</v>
      </c>
      <c r="D1233" s="1" t="s">
        <v>11899</v>
      </c>
      <c r="E1233" s="1" t="s">
        <v>11900</v>
      </c>
      <c r="F1233" s="1" t="s">
        <v>11901</v>
      </c>
      <c r="G1233" s="1" t="s">
        <v>14129</v>
      </c>
      <c r="H1233" s="1" t="s">
        <v>14133</v>
      </c>
      <c r="I1233" s="1" t="s">
        <v>15338</v>
      </c>
      <c r="J1233" s="1" t="s">
        <v>23</v>
      </c>
      <c r="K1233" s="1"/>
      <c r="L1233" s="1" t="s">
        <v>11902</v>
      </c>
      <c r="M1233" s="1" t="s">
        <v>11903</v>
      </c>
      <c r="N1233" s="1" t="s">
        <v>11904</v>
      </c>
      <c r="O1233" s="1" t="s">
        <v>11905</v>
      </c>
      <c r="P1233" s="1" t="s">
        <v>11906</v>
      </c>
      <c r="Q1233" s="1" t="s">
        <v>11907</v>
      </c>
      <c r="R1233" s="1" t="s">
        <v>11908</v>
      </c>
      <c r="S1233" s="1" t="s">
        <v>11909</v>
      </c>
      <c r="T1233" s="1" t="s">
        <v>11910</v>
      </c>
      <c r="U1233">
        <v>56.27</v>
      </c>
      <c r="V1233">
        <v>12.02</v>
      </c>
      <c r="W1233">
        <v>16.078043999999998</v>
      </c>
      <c r="X1233">
        <v>108.11501800000001</v>
      </c>
      <c r="Y1233">
        <v>44.25</v>
      </c>
      <c r="Z1233">
        <v>16.077950000000001</v>
      </c>
      <c r="AA1233">
        <v>108.11497199999999</v>
      </c>
      <c r="AB1233" s="5">
        <f t="shared" si="115"/>
        <v>1.8030000000000001E-2</v>
      </c>
      <c r="AC1233" s="5">
        <f t="shared" si="116"/>
        <v>6.6375000000000003E-2</v>
      </c>
      <c r="AD1233" s="1" t="str">
        <f t="shared" si="117"/>
        <v>Trạm CSGT Hòa Hiệp</v>
      </c>
      <c r="AE1233" s="1" t="str">
        <f t="shared" si="118"/>
        <v>Trại giam CATP</v>
      </c>
      <c r="AG1233">
        <f t="shared" si="119"/>
        <v>1.2019999999999999E-2</v>
      </c>
      <c r="AH1233">
        <f t="shared" si="120"/>
        <v>4.4249999999999998E-2</v>
      </c>
      <c r="AI1233">
        <f>VLOOKUP(L1233,'[1]Tuyến cáp H04'!$B:$E,3,0)/1000</f>
        <v>9.7919999999999998</v>
      </c>
      <c r="AJ1233" t="str">
        <f>VLOOKUP(L1233,'[1]Tuyến cáp H04'!$B:$E,4,0)</f>
        <v>Mạng cấp 3</v>
      </c>
    </row>
    <row r="1234" spans="1:36" x14ac:dyDescent="0.25">
      <c r="A1234" s="1" t="s">
        <v>11911</v>
      </c>
      <c r="B1234" s="1" t="s">
        <v>11912</v>
      </c>
      <c r="C1234" s="1" t="s">
        <v>11913</v>
      </c>
      <c r="D1234" s="1" t="s">
        <v>11914</v>
      </c>
      <c r="E1234" s="1" t="s">
        <v>11915</v>
      </c>
      <c r="F1234" s="1" t="s">
        <v>11916</v>
      </c>
      <c r="G1234" s="1" t="s">
        <v>14129</v>
      </c>
      <c r="H1234" s="1" t="s">
        <v>14532</v>
      </c>
      <c r="I1234" s="1" t="s">
        <v>15339</v>
      </c>
      <c r="J1234" s="1" t="s">
        <v>23</v>
      </c>
      <c r="K1234" s="1"/>
      <c r="L1234" s="1" t="s">
        <v>11917</v>
      </c>
      <c r="M1234" s="1" t="s">
        <v>11918</v>
      </c>
      <c r="N1234" s="1" t="s">
        <v>11919</v>
      </c>
      <c r="O1234" s="1" t="s">
        <v>11920</v>
      </c>
      <c r="P1234" s="1" t="s">
        <v>11921</v>
      </c>
      <c r="Q1234" s="1" t="s">
        <v>11922</v>
      </c>
      <c r="R1234" s="1" t="s">
        <v>11923</v>
      </c>
      <c r="S1234" s="1" t="s">
        <v>11924</v>
      </c>
      <c r="T1234" s="1" t="s">
        <v>11925</v>
      </c>
      <c r="U1234">
        <v>1791</v>
      </c>
      <c r="V1234">
        <v>41.12</v>
      </c>
      <c r="W1234">
        <v>16.046609</v>
      </c>
      <c r="X1234">
        <v>108.15746300000001</v>
      </c>
      <c r="Y1234">
        <v>1749.89</v>
      </c>
      <c r="Z1234">
        <v>16.049126000000001</v>
      </c>
      <c r="AA1234">
        <v>108.160696</v>
      </c>
      <c r="AB1234" s="5">
        <f t="shared" si="115"/>
        <v>6.1679999999999992E-2</v>
      </c>
      <c r="AC1234" s="5">
        <f t="shared" si="116"/>
        <v>2.624835</v>
      </c>
      <c r="AD1234" s="1" t="str">
        <f t="shared" si="117"/>
        <v>TT1 Đà Nẵng</v>
      </c>
      <c r="AE1234" s="1" t="str">
        <f t="shared" si="118"/>
        <v>PK02</v>
      </c>
      <c r="AG1234">
        <f t="shared" si="119"/>
        <v>4.1119999999999997E-2</v>
      </c>
      <c r="AH1234">
        <f t="shared" si="120"/>
        <v>1.7498900000000002</v>
      </c>
      <c r="AI1234">
        <f>VLOOKUP(L1234,'[1]Tuyến cáp H04'!$B:$E,3,0)/1000</f>
        <v>8.9160000000000004</v>
      </c>
      <c r="AJ1234" t="str">
        <f>VLOOKUP(L1234,'[1]Tuyến cáp H04'!$B:$E,4,0)</f>
        <v>Mạng cấp 3</v>
      </c>
    </row>
    <row r="1235" spans="1:36" x14ac:dyDescent="0.25">
      <c r="A1235" s="1" t="s">
        <v>11926</v>
      </c>
      <c r="B1235" s="1" t="s">
        <v>11912</v>
      </c>
      <c r="C1235" s="1" t="s">
        <v>11913</v>
      </c>
      <c r="D1235" s="1" t="s">
        <v>11927</v>
      </c>
      <c r="E1235" s="1" t="s">
        <v>11928</v>
      </c>
      <c r="F1235" s="1" t="s">
        <v>11929</v>
      </c>
      <c r="G1235" s="1" t="s">
        <v>14129</v>
      </c>
      <c r="H1235" s="1" t="s">
        <v>14532</v>
      </c>
      <c r="I1235" s="1" t="s">
        <v>15340</v>
      </c>
      <c r="J1235" s="1" t="s">
        <v>23</v>
      </c>
      <c r="K1235" s="1"/>
      <c r="L1235" s="1" t="s">
        <v>11930</v>
      </c>
      <c r="M1235" s="1" t="s">
        <v>11931</v>
      </c>
      <c r="N1235" s="1" t="s">
        <v>11932</v>
      </c>
      <c r="O1235" s="1" t="s">
        <v>11933</v>
      </c>
      <c r="P1235" s="1" t="s">
        <v>11934</v>
      </c>
      <c r="Q1235" s="1" t="s">
        <v>11935</v>
      </c>
      <c r="R1235" s="1" t="s">
        <v>11936</v>
      </c>
      <c r="S1235" s="1" t="s">
        <v>11937</v>
      </c>
      <c r="T1235" s="1" t="s">
        <v>11938</v>
      </c>
      <c r="U1235">
        <v>121.93</v>
      </c>
      <c r="V1235">
        <v>33.35</v>
      </c>
      <c r="W1235">
        <v>16.046617000000001</v>
      </c>
      <c r="X1235">
        <v>108.15738899999999</v>
      </c>
      <c r="Y1235">
        <v>88.58</v>
      </c>
      <c r="Z1235">
        <v>16.053637999999999</v>
      </c>
      <c r="AA1235">
        <v>108.157757</v>
      </c>
      <c r="AB1235" s="5">
        <f t="shared" si="115"/>
        <v>5.0025000000000007E-2</v>
      </c>
      <c r="AC1235" s="5">
        <f t="shared" si="116"/>
        <v>0.13287000000000002</v>
      </c>
      <c r="AD1235" s="1" t="str">
        <f t="shared" si="117"/>
        <v>PK02</v>
      </c>
      <c r="AE1235" s="1" t="str">
        <f t="shared" si="118"/>
        <v>TTCMKV Liên Chiểu</v>
      </c>
      <c r="AG1235">
        <f t="shared" si="119"/>
        <v>3.3350000000000005E-2</v>
      </c>
      <c r="AH1235">
        <f t="shared" si="120"/>
        <v>8.8579999999999992E-2</v>
      </c>
      <c r="AI1235">
        <f>VLOOKUP(L1235,'[1]Tuyến cáp H04'!$B:$E,3,0)/1000</f>
        <v>5.165</v>
      </c>
      <c r="AJ1235" t="str">
        <f>VLOOKUP(L1235,'[1]Tuyến cáp H04'!$B:$E,4,0)</f>
        <v>Mạng cấp 3</v>
      </c>
    </row>
    <row r="1236" spans="1:36" x14ac:dyDescent="0.25">
      <c r="A1236" s="1" t="s">
        <v>11939</v>
      </c>
      <c r="B1236" s="1" t="s">
        <v>11940</v>
      </c>
      <c r="C1236" s="1" t="s">
        <v>11941</v>
      </c>
      <c r="D1236" s="1" t="s">
        <v>11942</v>
      </c>
      <c r="E1236" s="1" t="s">
        <v>11943</v>
      </c>
      <c r="F1236" s="1" t="s">
        <v>11944</v>
      </c>
      <c r="G1236" s="1" t="s">
        <v>14129</v>
      </c>
      <c r="H1236" s="1" t="s">
        <v>14130</v>
      </c>
      <c r="I1236" s="1" t="s">
        <v>15341</v>
      </c>
      <c r="J1236" s="1" t="s">
        <v>23</v>
      </c>
      <c r="K1236" s="1"/>
      <c r="L1236" s="1" t="s">
        <v>11902</v>
      </c>
      <c r="M1236" s="1" t="s">
        <v>11945</v>
      </c>
      <c r="N1236" s="1" t="s">
        <v>11946</v>
      </c>
      <c r="O1236" s="1" t="s">
        <v>11947</v>
      </c>
      <c r="P1236" s="1" t="s">
        <v>11948</v>
      </c>
      <c r="Q1236" s="1" t="s">
        <v>11949</v>
      </c>
      <c r="R1236" s="1" t="s">
        <v>11950</v>
      </c>
      <c r="S1236" s="1" t="s">
        <v>11951</v>
      </c>
      <c r="T1236" s="1" t="s">
        <v>11952</v>
      </c>
      <c r="U1236">
        <v>1713.56</v>
      </c>
      <c r="V1236">
        <v>20.38</v>
      </c>
      <c r="W1236">
        <v>16.140616000000001</v>
      </c>
      <c r="X1236">
        <v>108.11979100000001</v>
      </c>
      <c r="Y1236">
        <v>1693.18</v>
      </c>
      <c r="Z1236">
        <v>16.128188999999999</v>
      </c>
      <c r="AA1236">
        <v>108.11491700000001</v>
      </c>
      <c r="AB1236" s="5">
        <f t="shared" si="115"/>
        <v>3.057E-2</v>
      </c>
      <c r="AC1236" s="5">
        <f t="shared" si="116"/>
        <v>2.5397699999999999</v>
      </c>
      <c r="AD1236" s="1" t="str">
        <f t="shared" si="117"/>
        <v>Trạm CSGT Hòa Hiệp</v>
      </c>
      <c r="AE1236" s="1" t="str">
        <f t="shared" si="118"/>
        <v>Trại giam CATP</v>
      </c>
      <c r="AG1236">
        <f t="shared" si="119"/>
        <v>2.0379999999999999E-2</v>
      </c>
      <c r="AH1236">
        <f t="shared" si="120"/>
        <v>1.6931800000000001</v>
      </c>
      <c r="AI1236">
        <f>VLOOKUP(L1236,'[1]Tuyến cáp H04'!$B:$E,3,0)/1000</f>
        <v>9.7919999999999998</v>
      </c>
      <c r="AJ1236" t="str">
        <f>VLOOKUP(L1236,'[1]Tuyến cáp H04'!$B:$E,4,0)</f>
        <v>Mạng cấp 3</v>
      </c>
    </row>
    <row r="1237" spans="1:36" x14ac:dyDescent="0.25">
      <c r="A1237" s="1" t="s">
        <v>11953</v>
      </c>
      <c r="B1237" s="1" t="s">
        <v>11940</v>
      </c>
      <c r="C1237" s="1" t="s">
        <v>11941</v>
      </c>
      <c r="D1237" s="1" t="s">
        <v>11954</v>
      </c>
      <c r="E1237" s="1" t="s">
        <v>11955</v>
      </c>
      <c r="F1237" s="1" t="s">
        <v>11956</v>
      </c>
      <c r="G1237" s="1" t="s">
        <v>14129</v>
      </c>
      <c r="H1237" s="1" t="s">
        <v>14133</v>
      </c>
      <c r="I1237" s="1" t="s">
        <v>15342</v>
      </c>
      <c r="J1237" s="1" t="s">
        <v>23</v>
      </c>
      <c r="K1237" s="1"/>
      <c r="L1237" s="1" t="s">
        <v>11902</v>
      </c>
      <c r="M1237" s="1" t="s">
        <v>11957</v>
      </c>
      <c r="N1237" s="1" t="s">
        <v>11946</v>
      </c>
      <c r="O1237" s="1" t="s">
        <v>11947</v>
      </c>
      <c r="P1237" s="1" t="s">
        <v>11948</v>
      </c>
      <c r="Q1237" s="1" t="s">
        <v>11958</v>
      </c>
      <c r="R1237" s="1" t="s">
        <v>11959</v>
      </c>
      <c r="S1237" s="1" t="s">
        <v>11960</v>
      </c>
      <c r="T1237" s="1" t="s">
        <v>11952</v>
      </c>
      <c r="U1237">
        <v>129.5</v>
      </c>
      <c r="V1237">
        <v>20.38</v>
      </c>
      <c r="W1237">
        <v>16.140616000000001</v>
      </c>
      <c r="X1237">
        <v>108.11979100000001</v>
      </c>
      <c r="Y1237">
        <v>109.11</v>
      </c>
      <c r="Z1237">
        <v>16.125029000000001</v>
      </c>
      <c r="AA1237">
        <v>108.12010600000001</v>
      </c>
      <c r="AB1237" s="5">
        <f t="shared" si="115"/>
        <v>3.057E-2</v>
      </c>
      <c r="AC1237" s="5">
        <f t="shared" si="116"/>
        <v>0.163665</v>
      </c>
      <c r="AD1237" s="1" t="str">
        <f t="shared" si="117"/>
        <v>Trạm CSGT Hòa Hiệp</v>
      </c>
      <c r="AE1237" s="1" t="str">
        <f t="shared" si="118"/>
        <v>Trại giam CATP</v>
      </c>
      <c r="AG1237">
        <f t="shared" si="119"/>
        <v>2.0379999999999999E-2</v>
      </c>
      <c r="AH1237">
        <f t="shared" si="120"/>
        <v>0.10911</v>
      </c>
      <c r="AI1237">
        <f>VLOOKUP(L1237,'[1]Tuyến cáp H04'!$B:$E,3,0)/1000</f>
        <v>9.7919999999999998</v>
      </c>
      <c r="AJ1237" t="str">
        <f>VLOOKUP(L1237,'[1]Tuyến cáp H04'!$B:$E,4,0)</f>
        <v>Mạng cấp 3</v>
      </c>
    </row>
    <row r="1238" spans="1:36" x14ac:dyDescent="0.25">
      <c r="A1238" s="1" t="s">
        <v>11961</v>
      </c>
      <c r="B1238" s="1" t="s">
        <v>11940</v>
      </c>
      <c r="C1238" s="1" t="s">
        <v>11941</v>
      </c>
      <c r="D1238" s="1" t="s">
        <v>11962</v>
      </c>
      <c r="E1238" s="1" t="s">
        <v>11963</v>
      </c>
      <c r="F1238" s="1" t="s">
        <v>11964</v>
      </c>
      <c r="G1238" s="1" t="s">
        <v>14129</v>
      </c>
      <c r="H1238" s="1" t="s">
        <v>14133</v>
      </c>
      <c r="I1238" s="1" t="s">
        <v>15343</v>
      </c>
      <c r="J1238" s="1" t="s">
        <v>23</v>
      </c>
      <c r="K1238" s="1"/>
      <c r="L1238" s="1" t="s">
        <v>11902</v>
      </c>
      <c r="M1238" s="1" t="s">
        <v>11965</v>
      </c>
      <c r="N1238" s="1" t="s">
        <v>11946</v>
      </c>
      <c r="O1238" s="1" t="s">
        <v>11947</v>
      </c>
      <c r="P1238" s="1" t="s">
        <v>11948</v>
      </c>
      <c r="Q1238" s="1" t="s">
        <v>11966</v>
      </c>
      <c r="R1238" s="1" t="s">
        <v>11950</v>
      </c>
      <c r="S1238" s="1" t="s">
        <v>11951</v>
      </c>
      <c r="T1238" s="1" t="s">
        <v>11952</v>
      </c>
      <c r="U1238">
        <v>448.73</v>
      </c>
      <c r="V1238">
        <v>20.38</v>
      </c>
      <c r="W1238">
        <v>16.140616000000001</v>
      </c>
      <c r="X1238">
        <v>108.11979100000001</v>
      </c>
      <c r="Y1238">
        <v>428.35</v>
      </c>
      <c r="Z1238">
        <v>16.128188999999999</v>
      </c>
      <c r="AA1238">
        <v>108.11491700000001</v>
      </c>
      <c r="AB1238" s="5">
        <f t="shared" si="115"/>
        <v>3.057E-2</v>
      </c>
      <c r="AC1238" s="5">
        <f t="shared" si="116"/>
        <v>0.64252500000000012</v>
      </c>
      <c r="AD1238" s="1" t="str">
        <f t="shared" si="117"/>
        <v>Trạm CSGT Hòa Hiệp</v>
      </c>
      <c r="AE1238" s="1" t="str">
        <f t="shared" si="118"/>
        <v>Trại giam CATP</v>
      </c>
      <c r="AG1238">
        <f t="shared" si="119"/>
        <v>2.0379999999999999E-2</v>
      </c>
      <c r="AH1238">
        <f t="shared" si="120"/>
        <v>0.42835000000000001</v>
      </c>
      <c r="AI1238">
        <f>VLOOKUP(L1238,'[1]Tuyến cáp H04'!$B:$E,3,0)/1000</f>
        <v>9.7919999999999998</v>
      </c>
      <c r="AJ1238" t="str">
        <f>VLOOKUP(L1238,'[1]Tuyến cáp H04'!$B:$E,4,0)</f>
        <v>Mạng cấp 3</v>
      </c>
    </row>
    <row r="1239" spans="1:36" x14ac:dyDescent="0.25">
      <c r="A1239" s="1" t="s">
        <v>11967</v>
      </c>
      <c r="B1239" s="1" t="s">
        <v>11940</v>
      </c>
      <c r="C1239" s="1" t="s">
        <v>11941</v>
      </c>
      <c r="D1239" s="1" t="s">
        <v>11968</v>
      </c>
      <c r="E1239" s="1" t="s">
        <v>11969</v>
      </c>
      <c r="F1239" s="1" t="s">
        <v>11970</v>
      </c>
      <c r="G1239" s="1" t="s">
        <v>14129</v>
      </c>
      <c r="H1239" s="1" t="s">
        <v>14133</v>
      </c>
      <c r="I1239" s="1" t="s">
        <v>15344</v>
      </c>
      <c r="J1239" s="1" t="s">
        <v>23</v>
      </c>
      <c r="K1239" s="1"/>
      <c r="L1239" s="1" t="s">
        <v>11179</v>
      </c>
      <c r="M1239" s="1" t="s">
        <v>11971</v>
      </c>
      <c r="N1239" s="1" t="s">
        <v>11972</v>
      </c>
      <c r="O1239" s="1" t="s">
        <v>11947</v>
      </c>
      <c r="P1239" s="1" t="s">
        <v>11973</v>
      </c>
      <c r="Q1239" s="1" t="s">
        <v>11974</v>
      </c>
      <c r="R1239" s="1" t="s">
        <v>11975</v>
      </c>
      <c r="S1239" s="1" t="s">
        <v>11976</v>
      </c>
      <c r="T1239" s="1" t="s">
        <v>11187</v>
      </c>
      <c r="U1239">
        <v>329.95</v>
      </c>
      <c r="V1239">
        <v>16.23</v>
      </c>
      <c r="W1239">
        <v>16.140616000000001</v>
      </c>
      <c r="X1239">
        <v>108.11975200000001</v>
      </c>
      <c r="Y1239">
        <v>313.73</v>
      </c>
      <c r="Z1239">
        <v>16.127396000000001</v>
      </c>
      <c r="AA1239">
        <v>108.11936900000001</v>
      </c>
      <c r="AB1239" s="5">
        <f t="shared" si="115"/>
        <v>2.4344999999999999E-2</v>
      </c>
      <c r="AC1239" s="5">
        <f t="shared" si="116"/>
        <v>0.47059500000000004</v>
      </c>
      <c r="AD1239" s="1" t="str">
        <f t="shared" si="117"/>
        <v>TTCMKV Liên Chiểu</v>
      </c>
      <c r="AE1239" s="1" t="str">
        <f t="shared" si="118"/>
        <v>Trạm CSGT Hòa Hiệp</v>
      </c>
      <c r="AG1239">
        <f t="shared" si="119"/>
        <v>1.6230000000000001E-2</v>
      </c>
      <c r="AH1239">
        <f t="shared" si="120"/>
        <v>0.31373000000000001</v>
      </c>
      <c r="AI1239">
        <f>VLOOKUP(L1239,'[1]Tuyến cáp H04'!$B:$E,3,0)/1000</f>
        <v>9.5169999999999995</v>
      </c>
      <c r="AJ1239" t="str">
        <f>VLOOKUP(L1239,'[1]Tuyến cáp H04'!$B:$E,4,0)</f>
        <v>Mạng cấp 3</v>
      </c>
    </row>
    <row r="1240" spans="1:36" x14ac:dyDescent="0.25">
      <c r="A1240" s="1" t="s">
        <v>11977</v>
      </c>
      <c r="B1240" s="1" t="s">
        <v>11940</v>
      </c>
      <c r="C1240" s="1" t="s">
        <v>11941</v>
      </c>
      <c r="D1240" s="1" t="s">
        <v>11978</v>
      </c>
      <c r="E1240" s="1" t="s">
        <v>11979</v>
      </c>
      <c r="F1240" s="1" t="s">
        <v>11980</v>
      </c>
      <c r="G1240" s="1" t="s">
        <v>14129</v>
      </c>
      <c r="H1240" s="1" t="s">
        <v>14532</v>
      </c>
      <c r="I1240" s="1" t="s">
        <v>15345</v>
      </c>
      <c r="J1240" s="1" t="s">
        <v>23</v>
      </c>
      <c r="K1240" s="1"/>
      <c r="L1240" s="1" t="s">
        <v>11902</v>
      </c>
      <c r="M1240" s="1" t="s">
        <v>11981</v>
      </c>
      <c r="N1240" s="1" t="s">
        <v>11946</v>
      </c>
      <c r="O1240" s="1" t="s">
        <v>11947</v>
      </c>
      <c r="P1240" s="1" t="s">
        <v>11948</v>
      </c>
      <c r="Q1240" s="1" t="s">
        <v>11982</v>
      </c>
      <c r="R1240" s="1" t="s">
        <v>11950</v>
      </c>
      <c r="S1240" s="1" t="s">
        <v>11951</v>
      </c>
      <c r="T1240" s="1" t="s">
        <v>11952</v>
      </c>
      <c r="U1240">
        <v>3483.25</v>
      </c>
      <c r="V1240">
        <v>20.38</v>
      </c>
      <c r="W1240">
        <v>16.140616000000001</v>
      </c>
      <c r="X1240">
        <v>108.11979100000001</v>
      </c>
      <c r="Y1240">
        <v>3462.87</v>
      </c>
      <c r="Z1240">
        <v>16.128188999999999</v>
      </c>
      <c r="AA1240">
        <v>108.11491700000001</v>
      </c>
      <c r="AB1240" s="5">
        <f t="shared" si="115"/>
        <v>3.057E-2</v>
      </c>
      <c r="AC1240" s="5">
        <f t="shared" si="116"/>
        <v>5.1943049999999999</v>
      </c>
      <c r="AD1240" s="1" t="str">
        <f t="shared" si="117"/>
        <v>Trạm CSGT Hòa Hiệp</v>
      </c>
      <c r="AE1240" s="1" t="str">
        <f t="shared" si="118"/>
        <v>Trại giam CATP</v>
      </c>
      <c r="AG1240">
        <f t="shared" si="119"/>
        <v>2.0379999999999999E-2</v>
      </c>
      <c r="AH1240">
        <f t="shared" si="120"/>
        <v>3.4628699999999997</v>
      </c>
      <c r="AI1240">
        <f>VLOOKUP(L1240,'[1]Tuyến cáp H04'!$B:$E,3,0)/1000</f>
        <v>9.7919999999999998</v>
      </c>
      <c r="AJ1240" t="str">
        <f>VLOOKUP(L1240,'[1]Tuyến cáp H04'!$B:$E,4,0)</f>
        <v>Mạng cấp 3</v>
      </c>
    </row>
    <row r="1241" spans="1:36" x14ac:dyDescent="0.25">
      <c r="A1241" s="1" t="s">
        <v>11983</v>
      </c>
      <c r="B1241" s="1" t="s">
        <v>11940</v>
      </c>
      <c r="C1241" s="1" t="s">
        <v>11941</v>
      </c>
      <c r="D1241" s="1" t="s">
        <v>11984</v>
      </c>
      <c r="E1241" s="1" t="s">
        <v>11985</v>
      </c>
      <c r="F1241" s="1" t="s">
        <v>11986</v>
      </c>
      <c r="G1241" s="1"/>
      <c r="H1241" s="1" t="s">
        <v>14532</v>
      </c>
      <c r="I1241" s="1" t="s">
        <v>15346</v>
      </c>
      <c r="J1241" s="1" t="s">
        <v>23</v>
      </c>
      <c r="K1241" s="1"/>
      <c r="L1241" s="1" t="s">
        <v>11902</v>
      </c>
      <c r="M1241" s="1" t="s">
        <v>11987</v>
      </c>
      <c r="N1241" s="1" t="s">
        <v>11946</v>
      </c>
      <c r="O1241" s="1" t="s">
        <v>11947</v>
      </c>
      <c r="P1241" s="1" t="s">
        <v>11948</v>
      </c>
      <c r="Q1241" s="1" t="s">
        <v>11988</v>
      </c>
      <c r="R1241" s="1" t="s">
        <v>11989</v>
      </c>
      <c r="S1241" s="1" t="s">
        <v>11990</v>
      </c>
      <c r="T1241" s="1" t="s">
        <v>11952</v>
      </c>
      <c r="U1241">
        <v>270.02999999999997</v>
      </c>
      <c r="V1241">
        <v>20.38</v>
      </c>
      <c r="W1241">
        <v>16.140616000000001</v>
      </c>
      <c r="X1241">
        <v>108.11979100000001</v>
      </c>
      <c r="Y1241">
        <v>249.65</v>
      </c>
      <c r="Z1241">
        <v>16.107706</v>
      </c>
      <c r="AA1241">
        <v>108.128424</v>
      </c>
      <c r="AB1241" s="5">
        <f t="shared" si="115"/>
        <v>3.057E-2</v>
      </c>
      <c r="AC1241" s="5">
        <f t="shared" si="116"/>
        <v>0.374475</v>
      </c>
      <c r="AD1241" s="1" t="str">
        <f t="shared" si="117"/>
        <v>Trạm CSGT Hòa Hiệp</v>
      </c>
      <c r="AE1241" s="1" t="str">
        <f t="shared" si="118"/>
        <v>Trại giam CATP</v>
      </c>
      <c r="AG1241">
        <f t="shared" si="119"/>
        <v>2.0379999999999999E-2</v>
      </c>
      <c r="AH1241">
        <f t="shared" si="120"/>
        <v>0.24965000000000001</v>
      </c>
      <c r="AI1241">
        <f>VLOOKUP(L1241,'[1]Tuyến cáp H04'!$B:$E,3,0)/1000</f>
        <v>9.7919999999999998</v>
      </c>
      <c r="AJ1241" t="str">
        <f>VLOOKUP(L1241,'[1]Tuyến cáp H04'!$B:$E,4,0)</f>
        <v>Mạng cấp 3</v>
      </c>
    </row>
    <row r="1242" spans="1:36" x14ac:dyDescent="0.25">
      <c r="A1242" s="1" t="s">
        <v>11991</v>
      </c>
      <c r="B1242" s="1" t="s">
        <v>11176</v>
      </c>
      <c r="C1242" s="1" t="s">
        <v>11177</v>
      </c>
      <c r="D1242" s="1" t="s">
        <v>11992</v>
      </c>
      <c r="E1242" s="1" t="s">
        <v>11993</v>
      </c>
      <c r="F1242" s="1" t="s">
        <v>11994</v>
      </c>
      <c r="G1242" s="1" t="s">
        <v>14129</v>
      </c>
      <c r="H1242" s="1" t="s">
        <v>14532</v>
      </c>
      <c r="I1242" s="1" t="s">
        <v>15347</v>
      </c>
      <c r="J1242" s="1" t="s">
        <v>23</v>
      </c>
      <c r="K1242" s="1"/>
      <c r="L1242" s="1" t="s">
        <v>11995</v>
      </c>
      <c r="M1242" s="1" t="s">
        <v>11996</v>
      </c>
      <c r="N1242" s="1" t="s">
        <v>11997</v>
      </c>
      <c r="O1242" s="1" t="s">
        <v>11998</v>
      </c>
      <c r="P1242" s="1" t="s">
        <v>11999</v>
      </c>
      <c r="Q1242" s="1" t="s">
        <v>7214</v>
      </c>
      <c r="R1242" s="1" t="s">
        <v>12000</v>
      </c>
      <c r="S1242" s="1" t="s">
        <v>12001</v>
      </c>
      <c r="T1242" s="1" t="s">
        <v>12002</v>
      </c>
      <c r="U1242">
        <v>734.04</v>
      </c>
      <c r="V1242">
        <v>674.86</v>
      </c>
      <c r="W1242">
        <v>16.071719999999999</v>
      </c>
      <c r="X1242">
        <v>108.142016</v>
      </c>
      <c r="Y1242">
        <v>59.18</v>
      </c>
      <c r="Z1242">
        <v>16.074543999999999</v>
      </c>
      <c r="AA1242">
        <v>108.13436400000001</v>
      </c>
      <c r="AB1242" s="5">
        <f t="shared" si="115"/>
        <v>1.0122899999999999</v>
      </c>
      <c r="AC1242" s="5">
        <f t="shared" si="116"/>
        <v>8.8770000000000002E-2</v>
      </c>
      <c r="AD1242" s="1" t="str">
        <f t="shared" si="117"/>
        <v>PK02</v>
      </c>
      <c r="AE1242" s="1" t="str">
        <f t="shared" si="118"/>
        <v>Trại giam CATP</v>
      </c>
      <c r="AG1242">
        <f t="shared" si="119"/>
        <v>0.67486000000000002</v>
      </c>
      <c r="AH1242">
        <f t="shared" si="120"/>
        <v>5.9179999999999996E-2</v>
      </c>
      <c r="AI1242">
        <f>VLOOKUP(L1242,'[1]Tuyến cáp H04'!$B:$E,3,0)/1000</f>
        <v>7.0069999999999997</v>
      </c>
      <c r="AJ1242" t="str">
        <f>VLOOKUP(L1242,'[1]Tuyến cáp H04'!$B:$E,4,0)</f>
        <v>Mạng cấp 3</v>
      </c>
    </row>
    <row r="1243" spans="1:36" x14ac:dyDescent="0.25">
      <c r="A1243" s="1" t="s">
        <v>12003</v>
      </c>
      <c r="B1243" s="1" t="s">
        <v>11176</v>
      </c>
      <c r="C1243" s="1" t="s">
        <v>11177</v>
      </c>
      <c r="D1243" s="1" t="s">
        <v>11141</v>
      </c>
      <c r="E1243" s="1" t="s">
        <v>11142</v>
      </c>
      <c r="F1243" s="1" t="s">
        <v>11178</v>
      </c>
      <c r="G1243" s="1"/>
      <c r="H1243" s="1" t="s">
        <v>14532</v>
      </c>
      <c r="I1243" s="1" t="s">
        <v>15268</v>
      </c>
      <c r="J1243" s="1" t="s">
        <v>23</v>
      </c>
      <c r="K1243" s="1"/>
      <c r="L1243" s="1" t="s">
        <v>11179</v>
      </c>
      <c r="M1243" s="1" t="s">
        <v>11180</v>
      </c>
      <c r="N1243" s="1" t="s">
        <v>11184</v>
      </c>
      <c r="O1243" s="1" t="s">
        <v>11185</v>
      </c>
      <c r="P1243" s="1" t="s">
        <v>11186</v>
      </c>
      <c r="Q1243" s="1" t="s">
        <v>11181</v>
      </c>
      <c r="R1243" s="1" t="s">
        <v>11182</v>
      </c>
      <c r="S1243" s="1" t="s">
        <v>11183</v>
      </c>
      <c r="T1243" s="1" t="s">
        <v>11187</v>
      </c>
      <c r="U1243">
        <v>490.42</v>
      </c>
      <c r="V1243">
        <v>463.11</v>
      </c>
      <c r="W1243">
        <v>16.074614</v>
      </c>
      <c r="X1243">
        <v>108.14948099999999</v>
      </c>
      <c r="Y1243">
        <v>27.31</v>
      </c>
      <c r="Z1243">
        <v>16.074273999999999</v>
      </c>
      <c r="AA1243">
        <v>108.158044</v>
      </c>
      <c r="AB1243" s="5">
        <f t="shared" si="115"/>
        <v>0.69466499999999998</v>
      </c>
      <c r="AC1243" s="5">
        <f t="shared" si="116"/>
        <v>4.0964999999999994E-2</v>
      </c>
      <c r="AD1243" s="1" t="str">
        <f t="shared" si="117"/>
        <v>TTCMKV Liên Chiểu</v>
      </c>
      <c r="AE1243" s="1" t="str">
        <f t="shared" si="118"/>
        <v>Trạm CSGT Hòa Hiệp</v>
      </c>
      <c r="AG1243">
        <f t="shared" si="119"/>
        <v>0.46311000000000002</v>
      </c>
      <c r="AH1243">
        <f t="shared" si="120"/>
        <v>2.7309999999999997E-2</v>
      </c>
      <c r="AI1243">
        <f>VLOOKUP(L1243,'[1]Tuyến cáp H04'!$B:$E,3,0)/1000</f>
        <v>9.5169999999999995</v>
      </c>
      <c r="AJ1243" t="str">
        <f>VLOOKUP(L1243,'[1]Tuyến cáp H04'!$B:$E,4,0)</f>
        <v>Mạng cấp 3</v>
      </c>
    </row>
    <row r="1244" spans="1:36" x14ac:dyDescent="0.25">
      <c r="A1244" s="1" t="s">
        <v>12004</v>
      </c>
      <c r="B1244" s="1" t="s">
        <v>11984</v>
      </c>
      <c r="C1244" s="1" t="s">
        <v>11985</v>
      </c>
      <c r="D1244" s="1" t="s">
        <v>12005</v>
      </c>
      <c r="E1244" s="1" t="s">
        <v>12006</v>
      </c>
      <c r="F1244" s="1" t="s">
        <v>12007</v>
      </c>
      <c r="G1244" s="1" t="s">
        <v>14129</v>
      </c>
      <c r="H1244" s="1" t="s">
        <v>14133</v>
      </c>
      <c r="I1244" s="1" t="s">
        <v>15348</v>
      </c>
      <c r="J1244" s="1" t="s">
        <v>23</v>
      </c>
      <c r="K1244" s="1"/>
      <c r="L1244" s="1" t="s">
        <v>11902</v>
      </c>
      <c r="M1244" s="1" t="s">
        <v>12008</v>
      </c>
      <c r="N1244" s="1" t="s">
        <v>11988</v>
      </c>
      <c r="O1244" s="1" t="s">
        <v>11989</v>
      </c>
      <c r="P1244" s="1" t="s">
        <v>11990</v>
      </c>
      <c r="Q1244" s="1" t="s">
        <v>12009</v>
      </c>
      <c r="R1244" s="1" t="s">
        <v>12010</v>
      </c>
      <c r="S1244" s="1" t="s">
        <v>12011</v>
      </c>
      <c r="T1244" s="1" t="s">
        <v>11952</v>
      </c>
      <c r="U1244">
        <v>365.21</v>
      </c>
      <c r="V1244">
        <v>249.65</v>
      </c>
      <c r="W1244">
        <v>16.107706</v>
      </c>
      <c r="X1244">
        <v>108.128424</v>
      </c>
      <c r="Y1244">
        <v>115.56</v>
      </c>
      <c r="Z1244">
        <v>16.114077999999999</v>
      </c>
      <c r="AA1244">
        <v>108.12735499999999</v>
      </c>
      <c r="AB1244" s="5">
        <f t="shared" si="115"/>
        <v>0.374475</v>
      </c>
      <c r="AC1244" s="5">
        <f t="shared" si="116"/>
        <v>0.17333999999999999</v>
      </c>
      <c r="AD1244" s="1" t="str">
        <f t="shared" si="117"/>
        <v>Trạm CSGT Hòa Hiệp</v>
      </c>
      <c r="AE1244" s="1" t="str">
        <f t="shared" si="118"/>
        <v>Trại giam CATP</v>
      </c>
      <c r="AG1244">
        <f t="shared" si="119"/>
        <v>0.24965000000000001</v>
      </c>
      <c r="AH1244">
        <f t="shared" si="120"/>
        <v>0.11556</v>
      </c>
      <c r="AI1244">
        <f>VLOOKUP(L1244,'[1]Tuyến cáp H04'!$B:$E,3,0)/1000</f>
        <v>9.7919999999999998</v>
      </c>
      <c r="AJ1244" t="str">
        <f>VLOOKUP(L1244,'[1]Tuyến cáp H04'!$B:$E,4,0)</f>
        <v>Mạng cấp 3</v>
      </c>
    </row>
    <row r="1245" spans="1:36" x14ac:dyDescent="0.25">
      <c r="A1245" s="1" t="s">
        <v>12012</v>
      </c>
      <c r="B1245" s="1" t="s">
        <v>11984</v>
      </c>
      <c r="C1245" s="1" t="s">
        <v>11985</v>
      </c>
      <c r="D1245" s="1" t="s">
        <v>12013</v>
      </c>
      <c r="E1245" s="1" t="s">
        <v>12014</v>
      </c>
      <c r="F1245" s="1" t="s">
        <v>12015</v>
      </c>
      <c r="G1245" s="1" t="s">
        <v>14129</v>
      </c>
      <c r="H1245" s="1" t="s">
        <v>14133</v>
      </c>
      <c r="I1245" s="1" t="s">
        <v>15349</v>
      </c>
      <c r="J1245" s="1" t="s">
        <v>23</v>
      </c>
      <c r="K1245" s="1"/>
      <c r="L1245" s="1" t="s">
        <v>11902</v>
      </c>
      <c r="M1245" s="1" t="s">
        <v>12016</v>
      </c>
      <c r="N1245" s="1" t="s">
        <v>11988</v>
      </c>
      <c r="O1245" s="1" t="s">
        <v>11989</v>
      </c>
      <c r="P1245" s="1" t="s">
        <v>11990</v>
      </c>
      <c r="Q1245" s="1" t="s">
        <v>12017</v>
      </c>
      <c r="R1245" s="1" t="s">
        <v>12018</v>
      </c>
      <c r="S1245" s="1" t="s">
        <v>12019</v>
      </c>
      <c r="T1245" s="1" t="s">
        <v>11952</v>
      </c>
      <c r="U1245">
        <v>263.79000000000002</v>
      </c>
      <c r="V1245">
        <v>249.65</v>
      </c>
      <c r="W1245">
        <v>16.107706</v>
      </c>
      <c r="X1245">
        <v>108.128424</v>
      </c>
      <c r="Y1245">
        <v>14.14</v>
      </c>
      <c r="Z1245">
        <v>16.112757999999999</v>
      </c>
      <c r="AA1245">
        <v>108.128508</v>
      </c>
      <c r="AB1245" s="5">
        <f t="shared" si="115"/>
        <v>0.374475</v>
      </c>
      <c r="AC1245" s="5">
        <f t="shared" si="116"/>
        <v>2.121E-2</v>
      </c>
      <c r="AD1245" s="1" t="str">
        <f t="shared" si="117"/>
        <v>Trạm CSGT Hòa Hiệp</v>
      </c>
      <c r="AE1245" s="1" t="str">
        <f t="shared" si="118"/>
        <v>Trại giam CATP</v>
      </c>
      <c r="AG1245">
        <f t="shared" si="119"/>
        <v>0.24965000000000001</v>
      </c>
      <c r="AH1245">
        <f t="shared" si="120"/>
        <v>1.414E-2</v>
      </c>
      <c r="AI1245">
        <f>VLOOKUP(L1245,'[1]Tuyến cáp H04'!$B:$E,3,0)/1000</f>
        <v>9.7919999999999998</v>
      </c>
      <c r="AJ1245" t="str">
        <f>VLOOKUP(L1245,'[1]Tuyến cáp H04'!$B:$E,4,0)</f>
        <v>Mạng cấp 3</v>
      </c>
    </row>
    <row r="1246" spans="1:36" x14ac:dyDescent="0.25">
      <c r="A1246" s="1" t="s">
        <v>12020</v>
      </c>
      <c r="B1246" s="1" t="s">
        <v>11984</v>
      </c>
      <c r="C1246" s="1" t="s">
        <v>11985</v>
      </c>
      <c r="D1246" s="1" t="s">
        <v>12021</v>
      </c>
      <c r="E1246" s="1" t="s">
        <v>12022</v>
      </c>
      <c r="F1246" s="1" t="s">
        <v>12023</v>
      </c>
      <c r="G1246" s="1" t="s">
        <v>14129</v>
      </c>
      <c r="H1246" s="1" t="s">
        <v>14133</v>
      </c>
      <c r="I1246" s="1" t="s">
        <v>15350</v>
      </c>
      <c r="J1246" s="1" t="s">
        <v>23</v>
      </c>
      <c r="K1246" s="1"/>
      <c r="L1246" s="1" t="s">
        <v>11902</v>
      </c>
      <c r="M1246" s="1" t="s">
        <v>12024</v>
      </c>
      <c r="N1246" s="1" t="s">
        <v>11988</v>
      </c>
      <c r="O1246" s="1" t="s">
        <v>11989</v>
      </c>
      <c r="P1246" s="1" t="s">
        <v>11990</v>
      </c>
      <c r="Q1246" s="1" t="s">
        <v>12025</v>
      </c>
      <c r="R1246" s="1" t="s">
        <v>12026</v>
      </c>
      <c r="S1246" s="1" t="s">
        <v>12027</v>
      </c>
      <c r="T1246" s="1" t="s">
        <v>11952</v>
      </c>
      <c r="U1246">
        <v>323.51</v>
      </c>
      <c r="V1246">
        <v>249.65</v>
      </c>
      <c r="W1246">
        <v>16.107706</v>
      </c>
      <c r="X1246">
        <v>108.128424</v>
      </c>
      <c r="Y1246">
        <v>73.849999999999994</v>
      </c>
      <c r="Z1246">
        <v>16.128005000000002</v>
      </c>
      <c r="AA1246">
        <v>108.116878</v>
      </c>
      <c r="AB1246" s="5">
        <f t="shared" si="115"/>
        <v>0.374475</v>
      </c>
      <c r="AC1246" s="5">
        <f t="shared" si="116"/>
        <v>0.11077499999999998</v>
      </c>
      <c r="AD1246" s="1" t="str">
        <f t="shared" si="117"/>
        <v>Trạm CSGT Hòa Hiệp</v>
      </c>
      <c r="AE1246" s="1" t="str">
        <f t="shared" si="118"/>
        <v>Trại giam CATP</v>
      </c>
      <c r="AG1246">
        <f t="shared" si="119"/>
        <v>0.24965000000000001</v>
      </c>
      <c r="AH1246">
        <f t="shared" si="120"/>
        <v>7.3849999999999999E-2</v>
      </c>
      <c r="AI1246">
        <f>VLOOKUP(L1246,'[1]Tuyến cáp H04'!$B:$E,3,0)/1000</f>
        <v>9.7919999999999998</v>
      </c>
      <c r="AJ1246" t="str">
        <f>VLOOKUP(L1246,'[1]Tuyến cáp H04'!$B:$E,4,0)</f>
        <v>Mạng cấp 3</v>
      </c>
    </row>
    <row r="1247" spans="1:36" x14ac:dyDescent="0.25">
      <c r="A1247" s="1" t="s">
        <v>12028</v>
      </c>
      <c r="B1247" s="1" t="s">
        <v>11984</v>
      </c>
      <c r="C1247" s="1" t="s">
        <v>11985</v>
      </c>
      <c r="D1247" s="1" t="s">
        <v>12029</v>
      </c>
      <c r="E1247" s="1" t="s">
        <v>12030</v>
      </c>
      <c r="F1247" s="1" t="s">
        <v>12031</v>
      </c>
      <c r="G1247" s="1" t="s">
        <v>14129</v>
      </c>
      <c r="H1247" s="1" t="s">
        <v>14133</v>
      </c>
      <c r="I1247" s="1" t="s">
        <v>15351</v>
      </c>
      <c r="J1247" s="1" t="s">
        <v>23</v>
      </c>
      <c r="K1247" s="1"/>
      <c r="L1247" s="1" t="s">
        <v>12032</v>
      </c>
      <c r="M1247" s="1" t="s">
        <v>12033</v>
      </c>
      <c r="N1247" s="1" t="s">
        <v>12034</v>
      </c>
      <c r="O1247" s="1" t="s">
        <v>12035</v>
      </c>
      <c r="P1247" s="1" t="s">
        <v>12036</v>
      </c>
      <c r="Q1247" s="1" t="s">
        <v>12037</v>
      </c>
      <c r="R1247" s="1" t="s">
        <v>12038</v>
      </c>
      <c r="S1247" s="1" t="s">
        <v>12039</v>
      </c>
      <c r="T1247" s="1" t="s">
        <v>12040</v>
      </c>
      <c r="U1247">
        <v>212.85</v>
      </c>
      <c r="V1247">
        <v>60.02</v>
      </c>
      <c r="W1247">
        <v>16.107116000000001</v>
      </c>
      <c r="X1247">
        <v>108.125676</v>
      </c>
      <c r="Y1247">
        <v>152.83000000000001</v>
      </c>
      <c r="Z1247">
        <v>16.106024000000001</v>
      </c>
      <c r="AA1247">
        <v>108.126414</v>
      </c>
      <c r="AB1247" s="5">
        <f t="shared" si="115"/>
        <v>9.0029999999999999E-2</v>
      </c>
      <c r="AC1247" s="5">
        <f t="shared" si="116"/>
        <v>0.229245</v>
      </c>
      <c r="AD1247" s="1" t="str">
        <f t="shared" si="117"/>
        <v>Hải Vân</v>
      </c>
      <c r="AE1247" s="1" t="str">
        <f t="shared" si="118"/>
        <v>Liên Chiểu</v>
      </c>
      <c r="AG1247">
        <f t="shared" si="119"/>
        <v>6.0020000000000004E-2</v>
      </c>
      <c r="AH1247">
        <f t="shared" si="120"/>
        <v>0.15283000000000002</v>
      </c>
      <c r="AI1247" t="e">
        <f>VLOOKUP(L1247,'[1]Tuyến cáp H04'!$B:$E,3,0)/1000</f>
        <v>#N/A</v>
      </c>
      <c r="AJ1247" t="e">
        <f>VLOOKUP(L1247,'[1]Tuyến cáp H04'!$B:$E,4,0)</f>
        <v>#N/A</v>
      </c>
    </row>
    <row r="1248" spans="1:36" x14ac:dyDescent="0.25">
      <c r="A1248" s="1" t="s">
        <v>12041</v>
      </c>
      <c r="B1248" s="1" t="s">
        <v>11984</v>
      </c>
      <c r="C1248" s="1" t="s">
        <v>11985</v>
      </c>
      <c r="D1248" s="1" t="s">
        <v>11940</v>
      </c>
      <c r="E1248" s="1" t="s">
        <v>11941</v>
      </c>
      <c r="F1248" s="1" t="s">
        <v>11986</v>
      </c>
      <c r="G1248" s="1"/>
      <c r="H1248" s="1" t="s">
        <v>14532</v>
      </c>
      <c r="I1248" s="1" t="s">
        <v>15346</v>
      </c>
      <c r="J1248" s="1" t="s">
        <v>23</v>
      </c>
      <c r="K1248" s="1"/>
      <c r="L1248" s="1" t="s">
        <v>11902</v>
      </c>
      <c r="M1248" s="1" t="s">
        <v>11987</v>
      </c>
      <c r="N1248" s="1" t="s">
        <v>11988</v>
      </c>
      <c r="O1248" s="1" t="s">
        <v>11989</v>
      </c>
      <c r="P1248" s="1" t="s">
        <v>11990</v>
      </c>
      <c r="Q1248" s="1" t="s">
        <v>11946</v>
      </c>
      <c r="R1248" s="1" t="s">
        <v>11947</v>
      </c>
      <c r="S1248" s="1" t="s">
        <v>11948</v>
      </c>
      <c r="T1248" s="1" t="s">
        <v>11952</v>
      </c>
      <c r="U1248">
        <v>270.02999999999997</v>
      </c>
      <c r="V1248">
        <v>249.65</v>
      </c>
      <c r="W1248">
        <v>16.107706</v>
      </c>
      <c r="X1248">
        <v>108.128424</v>
      </c>
      <c r="Y1248">
        <v>20.38</v>
      </c>
      <c r="Z1248">
        <v>16.140616000000001</v>
      </c>
      <c r="AA1248">
        <v>108.11979100000001</v>
      </c>
      <c r="AB1248" s="5">
        <f t="shared" si="115"/>
        <v>0.374475</v>
      </c>
      <c r="AC1248" s="5">
        <f t="shared" si="116"/>
        <v>3.057E-2</v>
      </c>
      <c r="AD1248" s="1" t="str">
        <f t="shared" si="117"/>
        <v>Trạm CSGT Hòa Hiệp</v>
      </c>
      <c r="AE1248" s="1" t="str">
        <f t="shared" si="118"/>
        <v>Trại giam CATP</v>
      </c>
      <c r="AG1248">
        <f t="shared" si="119"/>
        <v>0.24965000000000001</v>
      </c>
      <c r="AH1248">
        <f t="shared" si="120"/>
        <v>2.0379999999999999E-2</v>
      </c>
      <c r="AI1248">
        <f>VLOOKUP(L1248,'[1]Tuyến cáp H04'!$B:$E,3,0)/1000</f>
        <v>9.7919999999999998</v>
      </c>
      <c r="AJ1248" t="str">
        <f>VLOOKUP(L1248,'[1]Tuyến cáp H04'!$B:$E,4,0)</f>
        <v>Mạng cấp 3</v>
      </c>
    </row>
    <row r="1249" spans="1:36" x14ac:dyDescent="0.25">
      <c r="A1249" s="1" t="s">
        <v>12042</v>
      </c>
      <c r="B1249" s="1" t="s">
        <v>11984</v>
      </c>
      <c r="C1249" s="1" t="s">
        <v>11985</v>
      </c>
      <c r="D1249" s="1" t="s">
        <v>12043</v>
      </c>
      <c r="E1249" s="1" t="s">
        <v>12044</v>
      </c>
      <c r="F1249" s="1" t="s">
        <v>12045</v>
      </c>
      <c r="G1249" s="1" t="s">
        <v>14129</v>
      </c>
      <c r="H1249" s="1" t="s">
        <v>14532</v>
      </c>
      <c r="I1249" s="1" t="s">
        <v>15352</v>
      </c>
      <c r="J1249" s="1" t="s">
        <v>23</v>
      </c>
      <c r="K1249" s="1"/>
      <c r="L1249" s="1" t="s">
        <v>11166</v>
      </c>
      <c r="M1249" s="1" t="s">
        <v>12046</v>
      </c>
      <c r="N1249" s="1" t="s">
        <v>12047</v>
      </c>
      <c r="O1249" s="1" t="s">
        <v>12048</v>
      </c>
      <c r="P1249" s="1" t="s">
        <v>12049</v>
      </c>
      <c r="Q1249" s="1" t="s">
        <v>12050</v>
      </c>
      <c r="R1249" s="1" t="s">
        <v>12051</v>
      </c>
      <c r="S1249" s="1" t="s">
        <v>12052</v>
      </c>
      <c r="T1249" s="1" t="s">
        <v>12053</v>
      </c>
      <c r="U1249">
        <v>194.31</v>
      </c>
      <c r="V1249">
        <v>14.62</v>
      </c>
      <c r="W1249">
        <v>16.107544000000001</v>
      </c>
      <c r="X1249">
        <v>108.12598699999999</v>
      </c>
      <c r="Y1249">
        <v>179.69</v>
      </c>
      <c r="Z1249">
        <v>16.100843999999999</v>
      </c>
      <c r="AA1249">
        <v>108.13513399999999</v>
      </c>
      <c r="AB1249" s="5">
        <f t="shared" si="115"/>
        <v>2.1929999999999998E-2</v>
      </c>
      <c r="AC1249" s="5">
        <f t="shared" si="116"/>
        <v>0.26953499999999997</v>
      </c>
      <c r="AD1249" s="1" t="str">
        <f t="shared" si="117"/>
        <v>TT1 Đà Nẵng</v>
      </c>
      <c r="AE1249" s="1" t="str">
        <f t="shared" si="118"/>
        <v>Hải Vân</v>
      </c>
      <c r="AG1249">
        <f t="shared" si="119"/>
        <v>1.4619999999999999E-2</v>
      </c>
      <c r="AH1249">
        <f t="shared" si="120"/>
        <v>0.17968999999999999</v>
      </c>
      <c r="AI1249">
        <f>VLOOKUP(L1249,'[1]Tuyến cáp H04'!$B:$E,3,0)/1000</f>
        <v>14.76</v>
      </c>
      <c r="AJ1249" t="str">
        <f>VLOOKUP(L1249,'[1]Tuyến cáp H04'!$B:$E,4,0)</f>
        <v>Mạng cấp 4</v>
      </c>
    </row>
    <row r="1250" spans="1:36" x14ac:dyDescent="0.25">
      <c r="A1250" s="1" t="s">
        <v>12054</v>
      </c>
      <c r="B1250" s="1" t="s">
        <v>12055</v>
      </c>
      <c r="C1250" s="1" t="s">
        <v>12056</v>
      </c>
      <c r="D1250" s="1" t="s">
        <v>12057</v>
      </c>
      <c r="E1250" s="1" t="s">
        <v>12058</v>
      </c>
      <c r="F1250" s="1" t="s">
        <v>12059</v>
      </c>
      <c r="G1250" s="1" t="s">
        <v>14129</v>
      </c>
      <c r="H1250" s="1" t="s">
        <v>14133</v>
      </c>
      <c r="I1250" s="1" t="s">
        <v>15353</v>
      </c>
      <c r="J1250" s="1" t="s">
        <v>23</v>
      </c>
      <c r="K1250" s="1"/>
      <c r="L1250" s="1" t="s">
        <v>12060</v>
      </c>
      <c r="M1250" s="1" t="s">
        <v>12061</v>
      </c>
      <c r="N1250" s="1" t="s">
        <v>9198</v>
      </c>
      <c r="O1250" s="1" t="s">
        <v>12062</v>
      </c>
      <c r="P1250" s="1" t="s">
        <v>12063</v>
      </c>
      <c r="Q1250" s="1" t="s">
        <v>12064</v>
      </c>
      <c r="R1250" s="1" t="s">
        <v>12065</v>
      </c>
      <c r="S1250" s="1" t="s">
        <v>12066</v>
      </c>
      <c r="T1250" s="1" t="s">
        <v>12067</v>
      </c>
      <c r="U1250">
        <v>577.95000000000005</v>
      </c>
      <c r="V1250">
        <v>142.46</v>
      </c>
      <c r="W1250">
        <v>16.04016</v>
      </c>
      <c r="X1250">
        <v>108.24224100000001</v>
      </c>
      <c r="Y1250">
        <v>435.49</v>
      </c>
      <c r="Z1250">
        <v>16.042145000000001</v>
      </c>
      <c r="AA1250">
        <v>108.24629400000001</v>
      </c>
      <c r="AB1250" s="5">
        <f t="shared" si="115"/>
        <v>0.21368999999999999</v>
      </c>
      <c r="AC1250" s="5">
        <f t="shared" si="116"/>
        <v>0.65323500000000001</v>
      </c>
      <c r="AD1250" s="1" t="str">
        <f t="shared" si="117"/>
        <v>A01</v>
      </c>
      <c r="AE1250" s="1" t="str">
        <f t="shared" si="118"/>
        <v>A06 (CS1) -new</v>
      </c>
      <c r="AG1250">
        <f t="shared" si="119"/>
        <v>0.14246</v>
      </c>
      <c r="AH1250">
        <f t="shared" si="120"/>
        <v>0.43548999999999999</v>
      </c>
      <c r="AI1250" t="e">
        <f>VLOOKUP(L1250,'[1]Tuyến cáp H04'!$B:$E,3,0)/1000</f>
        <v>#N/A</v>
      </c>
      <c r="AJ1250" t="e">
        <f>VLOOKUP(L1250,'[1]Tuyến cáp H04'!$B:$E,4,0)</f>
        <v>#N/A</v>
      </c>
    </row>
    <row r="1251" spans="1:36" x14ac:dyDescent="0.25">
      <c r="A1251" s="1" t="s">
        <v>12068</v>
      </c>
      <c r="B1251" s="1" t="s">
        <v>12055</v>
      </c>
      <c r="C1251" s="1" t="s">
        <v>12056</v>
      </c>
      <c r="D1251" s="1" t="s">
        <v>12069</v>
      </c>
      <c r="E1251" s="1" t="s">
        <v>12070</v>
      </c>
      <c r="F1251" s="1" t="s">
        <v>12071</v>
      </c>
      <c r="G1251" s="1" t="s">
        <v>14129</v>
      </c>
      <c r="H1251" s="1" t="s">
        <v>14133</v>
      </c>
      <c r="I1251" s="1" t="s">
        <v>15354</v>
      </c>
      <c r="J1251" s="1" t="s">
        <v>23</v>
      </c>
      <c r="K1251" s="1"/>
      <c r="L1251" s="1" t="s">
        <v>12072</v>
      </c>
      <c r="M1251" s="1" t="s">
        <v>12073</v>
      </c>
      <c r="N1251" s="1" t="s">
        <v>12074</v>
      </c>
      <c r="O1251" s="1" t="s">
        <v>12075</v>
      </c>
      <c r="P1251" s="1" t="s">
        <v>12076</v>
      </c>
      <c r="Q1251" s="1" t="s">
        <v>12077</v>
      </c>
      <c r="R1251" s="1" t="s">
        <v>12078</v>
      </c>
      <c r="S1251" s="1" t="s">
        <v>12079</v>
      </c>
      <c r="T1251" s="1" t="s">
        <v>12080</v>
      </c>
      <c r="U1251">
        <v>363.23</v>
      </c>
      <c r="V1251">
        <v>50.98</v>
      </c>
      <c r="W1251">
        <v>16.038461999999999</v>
      </c>
      <c r="X1251">
        <v>108.242496</v>
      </c>
      <c r="Y1251">
        <v>312.25</v>
      </c>
      <c r="Z1251">
        <v>16.042570000000001</v>
      </c>
      <c r="AA1251">
        <v>108.245257</v>
      </c>
      <c r="AB1251" s="5">
        <f t="shared" si="115"/>
        <v>7.6469999999999996E-2</v>
      </c>
      <c r="AC1251" s="5">
        <f t="shared" si="116"/>
        <v>0.46837499999999999</v>
      </c>
      <c r="AD1251" s="1" t="str">
        <f t="shared" si="117"/>
        <v>K01</v>
      </c>
      <c r="AE1251" s="1" t="str">
        <f t="shared" si="118"/>
        <v>A01</v>
      </c>
      <c r="AG1251">
        <f t="shared" si="119"/>
        <v>5.0979999999999998E-2</v>
      </c>
      <c r="AH1251">
        <f t="shared" si="120"/>
        <v>0.31225000000000003</v>
      </c>
      <c r="AI1251" t="e">
        <f>VLOOKUP(L1251,'[1]Tuyến cáp H04'!$B:$E,3,0)/1000</f>
        <v>#N/A</v>
      </c>
      <c r="AJ1251" t="e">
        <f>VLOOKUP(L1251,'[1]Tuyến cáp H04'!$B:$E,4,0)</f>
        <v>#N/A</v>
      </c>
    </row>
    <row r="1252" spans="1:36" x14ac:dyDescent="0.25">
      <c r="A1252" s="1" t="s">
        <v>12081</v>
      </c>
      <c r="B1252" s="1" t="s">
        <v>12055</v>
      </c>
      <c r="C1252" s="1" t="s">
        <v>12056</v>
      </c>
      <c r="D1252" s="1" t="s">
        <v>12082</v>
      </c>
      <c r="E1252" s="1" t="s">
        <v>12083</v>
      </c>
      <c r="F1252" s="1" t="s">
        <v>12084</v>
      </c>
      <c r="G1252" s="1" t="s">
        <v>14129</v>
      </c>
      <c r="H1252" s="1" t="s">
        <v>14133</v>
      </c>
      <c r="I1252" s="1" t="s">
        <v>15355</v>
      </c>
      <c r="J1252" s="1" t="s">
        <v>23</v>
      </c>
      <c r="K1252" s="1"/>
      <c r="L1252" s="1" t="s">
        <v>12085</v>
      </c>
      <c r="M1252" s="1" t="s">
        <v>12086</v>
      </c>
      <c r="N1252" s="1" t="s">
        <v>12087</v>
      </c>
      <c r="O1252" s="1" t="s">
        <v>12088</v>
      </c>
      <c r="P1252" s="1" t="s">
        <v>12089</v>
      </c>
      <c r="Q1252" s="1" t="s">
        <v>12090</v>
      </c>
      <c r="R1252" s="1" t="s">
        <v>12091</v>
      </c>
      <c r="S1252" s="1" t="s">
        <v>12092</v>
      </c>
      <c r="T1252" s="1" t="s">
        <v>12093</v>
      </c>
      <c r="U1252">
        <v>676.28</v>
      </c>
      <c r="V1252">
        <v>560.01</v>
      </c>
      <c r="W1252">
        <v>16.042152000000002</v>
      </c>
      <c r="X1252">
        <v>108.246284</v>
      </c>
      <c r="Y1252">
        <v>116.27</v>
      </c>
      <c r="Z1252">
        <v>16.049909</v>
      </c>
      <c r="AA1252">
        <v>108.24767799999999</v>
      </c>
      <c r="AB1252" s="5">
        <f t="shared" si="115"/>
        <v>0.84001499999999996</v>
      </c>
      <c r="AC1252" s="5">
        <f t="shared" si="116"/>
        <v>0.174405</v>
      </c>
      <c r="AD1252" s="1" t="str">
        <f t="shared" si="117"/>
        <v>Bệnh viện 199</v>
      </c>
      <c r="AE1252" s="1" t="str">
        <f t="shared" si="118"/>
        <v>A01 - ok</v>
      </c>
      <c r="AG1252">
        <f t="shared" si="119"/>
        <v>0.56001000000000001</v>
      </c>
      <c r="AH1252">
        <f t="shared" si="120"/>
        <v>0.11627</v>
      </c>
      <c r="AI1252" t="e">
        <f>VLOOKUP(L1252,'[1]Tuyến cáp H04'!$B:$E,3,0)/1000</f>
        <v>#N/A</v>
      </c>
      <c r="AJ1252" t="e">
        <f>VLOOKUP(L1252,'[1]Tuyến cáp H04'!$B:$E,4,0)</f>
        <v>#N/A</v>
      </c>
    </row>
    <row r="1253" spans="1:36" x14ac:dyDescent="0.25">
      <c r="A1253" s="1" t="s">
        <v>12094</v>
      </c>
      <c r="B1253" s="1" t="s">
        <v>12055</v>
      </c>
      <c r="C1253" s="1" t="s">
        <v>12056</v>
      </c>
      <c r="D1253" s="1" t="e">
        <v>#N/A</v>
      </c>
      <c r="E1253" s="1" t="e">
        <v>#N/A</v>
      </c>
      <c r="F1253" s="1" t="s">
        <v>12095</v>
      </c>
      <c r="G1253" s="1" t="s">
        <v>14129</v>
      </c>
      <c r="H1253" s="1" t="s">
        <v>14532</v>
      </c>
      <c r="I1253" s="1" t="s">
        <v>15356</v>
      </c>
      <c r="J1253" s="1" t="s">
        <v>5166</v>
      </c>
      <c r="K1253" s="1" t="s">
        <v>11893</v>
      </c>
      <c r="L1253" s="1"/>
      <c r="M1253" s="1"/>
      <c r="N1253" s="1"/>
      <c r="O1253" s="1"/>
      <c r="P1253" s="1"/>
      <c r="Q1253" s="1"/>
      <c r="R1253" s="1"/>
      <c r="S1253" s="1"/>
      <c r="T1253" s="1"/>
      <c r="AB1253" s="5"/>
      <c r="AC1253" s="5"/>
      <c r="AD1253" s="1"/>
      <c r="AE1253" s="1"/>
      <c r="AI1253" t="e">
        <f>VLOOKUP(L1253,'[1]Tuyến cáp H04'!$B:$E,3,0)/1000</f>
        <v>#N/A</v>
      </c>
      <c r="AJ1253" t="e">
        <f>VLOOKUP(L1253,'[1]Tuyến cáp H04'!$B:$E,4,0)</f>
        <v>#N/A</v>
      </c>
    </row>
    <row r="1254" spans="1:36" x14ac:dyDescent="0.25">
      <c r="A1254" s="1" t="s">
        <v>12096</v>
      </c>
      <c r="B1254" s="1" t="s">
        <v>12055</v>
      </c>
      <c r="C1254" s="1" t="s">
        <v>12056</v>
      </c>
      <c r="D1254" s="1" t="s">
        <v>12097</v>
      </c>
      <c r="E1254" s="1" t="s">
        <v>12098</v>
      </c>
      <c r="F1254" s="1" t="s">
        <v>12099</v>
      </c>
      <c r="G1254" s="1" t="s">
        <v>14129</v>
      </c>
      <c r="H1254" s="1" t="s">
        <v>14133</v>
      </c>
      <c r="I1254" s="1" t="s">
        <v>15357</v>
      </c>
      <c r="J1254" s="1" t="s">
        <v>23</v>
      </c>
      <c r="K1254" s="1"/>
      <c r="L1254" s="1" t="s">
        <v>12072</v>
      </c>
      <c r="M1254" s="1" t="s">
        <v>12100</v>
      </c>
      <c r="N1254" s="1" t="s">
        <v>12074</v>
      </c>
      <c r="O1254" s="1" t="s">
        <v>12075</v>
      </c>
      <c r="P1254" s="1" t="s">
        <v>12076</v>
      </c>
      <c r="Q1254" s="1" t="s">
        <v>12101</v>
      </c>
      <c r="R1254" s="1" t="s">
        <v>12102</v>
      </c>
      <c r="S1254" s="1" t="s">
        <v>12103</v>
      </c>
      <c r="T1254" s="1" t="s">
        <v>12080</v>
      </c>
      <c r="U1254">
        <v>142.65</v>
      </c>
      <c r="V1254">
        <v>50.98</v>
      </c>
      <c r="W1254">
        <v>16.038461999999999</v>
      </c>
      <c r="X1254">
        <v>108.242496</v>
      </c>
      <c r="Y1254">
        <v>91.67</v>
      </c>
      <c r="Z1254">
        <v>16.043057999999998</v>
      </c>
      <c r="AA1254">
        <v>108.243117</v>
      </c>
      <c r="AB1254" s="5">
        <f t="shared" si="115"/>
        <v>7.6469999999999996E-2</v>
      </c>
      <c r="AC1254" s="5">
        <f t="shared" si="116"/>
        <v>0.13750499999999999</v>
      </c>
      <c r="AD1254" s="1" t="str">
        <f t="shared" si="117"/>
        <v>K01</v>
      </c>
      <c r="AE1254" s="1" t="str">
        <f t="shared" si="118"/>
        <v>A01</v>
      </c>
      <c r="AG1254">
        <f t="shared" si="119"/>
        <v>5.0979999999999998E-2</v>
      </c>
      <c r="AH1254">
        <f t="shared" si="120"/>
        <v>9.1670000000000001E-2</v>
      </c>
      <c r="AI1254" t="e">
        <f>VLOOKUP(L1254,'[1]Tuyến cáp H04'!$B:$E,3,0)/1000</f>
        <v>#N/A</v>
      </c>
      <c r="AJ1254" t="e">
        <f>VLOOKUP(L1254,'[1]Tuyến cáp H04'!$B:$E,4,0)</f>
        <v>#N/A</v>
      </c>
    </row>
    <row r="1255" spans="1:36" x14ac:dyDescent="0.25">
      <c r="A1255" s="1" t="s">
        <v>12104</v>
      </c>
      <c r="B1255" s="1" t="s">
        <v>12055</v>
      </c>
      <c r="C1255" s="1" t="s">
        <v>12056</v>
      </c>
      <c r="D1255" s="1" t="s">
        <v>12105</v>
      </c>
      <c r="E1255" s="1" t="s">
        <v>12106</v>
      </c>
      <c r="F1255" s="1" t="s">
        <v>12107</v>
      </c>
      <c r="G1255" s="1" t="s">
        <v>14129</v>
      </c>
      <c r="H1255" s="1" t="s">
        <v>14133</v>
      </c>
      <c r="I1255" s="1" t="s">
        <v>15358</v>
      </c>
      <c r="J1255" s="1" t="s">
        <v>23</v>
      </c>
      <c r="K1255" s="1"/>
      <c r="L1255" s="1" t="s">
        <v>12085</v>
      </c>
      <c r="M1255" s="1" t="s">
        <v>12108</v>
      </c>
      <c r="N1255" s="1" t="s">
        <v>12087</v>
      </c>
      <c r="O1255" s="1" t="s">
        <v>12088</v>
      </c>
      <c r="P1255" s="1" t="s">
        <v>12089</v>
      </c>
      <c r="Q1255" s="1" t="s">
        <v>12109</v>
      </c>
      <c r="R1255" s="1" t="s">
        <v>12110</v>
      </c>
      <c r="S1255" s="1" t="s">
        <v>12111</v>
      </c>
      <c r="T1255" s="1" t="s">
        <v>12093</v>
      </c>
      <c r="U1255">
        <v>631.4</v>
      </c>
      <c r="V1255">
        <v>560.01</v>
      </c>
      <c r="W1255">
        <v>16.042152000000002</v>
      </c>
      <c r="X1255">
        <v>108.246284</v>
      </c>
      <c r="Y1255">
        <v>71.39</v>
      </c>
      <c r="Z1255">
        <v>16.048372000000001</v>
      </c>
      <c r="AA1255">
        <v>108.248048</v>
      </c>
      <c r="AB1255" s="5">
        <f t="shared" si="115"/>
        <v>0.84001499999999996</v>
      </c>
      <c r="AC1255" s="5">
        <f t="shared" si="116"/>
        <v>0.10708500000000001</v>
      </c>
      <c r="AD1255" s="1" t="str">
        <f t="shared" si="117"/>
        <v>Bệnh viện 199</v>
      </c>
      <c r="AE1255" s="1" t="str">
        <f t="shared" si="118"/>
        <v>A01 - ok</v>
      </c>
      <c r="AG1255">
        <f t="shared" si="119"/>
        <v>0.56001000000000001</v>
      </c>
      <c r="AH1255">
        <f t="shared" si="120"/>
        <v>7.1389999999999995E-2</v>
      </c>
      <c r="AI1255" t="e">
        <f>VLOOKUP(L1255,'[1]Tuyến cáp H04'!$B:$E,3,0)/1000</f>
        <v>#N/A</v>
      </c>
      <c r="AJ1255" t="e">
        <f>VLOOKUP(L1255,'[1]Tuyến cáp H04'!$B:$E,4,0)</f>
        <v>#N/A</v>
      </c>
    </row>
    <row r="1256" spans="1:36" x14ac:dyDescent="0.25">
      <c r="A1256" s="1" t="s">
        <v>12112</v>
      </c>
      <c r="B1256" s="1" t="s">
        <v>12055</v>
      </c>
      <c r="C1256" s="1" t="s">
        <v>12056</v>
      </c>
      <c r="D1256" s="1" t="s">
        <v>12113</v>
      </c>
      <c r="E1256" s="1" t="s">
        <v>12114</v>
      </c>
      <c r="F1256" s="1" t="s">
        <v>12115</v>
      </c>
      <c r="G1256" s="1" t="s">
        <v>14129</v>
      </c>
      <c r="H1256" s="1" t="s">
        <v>14133</v>
      </c>
      <c r="I1256" s="1" t="s">
        <v>15359</v>
      </c>
      <c r="J1256" s="1" t="s">
        <v>23</v>
      </c>
      <c r="K1256" s="1"/>
      <c r="L1256" s="1" t="s">
        <v>12060</v>
      </c>
      <c r="M1256" s="1" t="s">
        <v>12116</v>
      </c>
      <c r="N1256" s="1" t="s">
        <v>9198</v>
      </c>
      <c r="O1256" s="1" t="s">
        <v>12062</v>
      </c>
      <c r="P1256" s="1" t="s">
        <v>12063</v>
      </c>
      <c r="Q1256" s="1" t="s">
        <v>12117</v>
      </c>
      <c r="R1256" s="1" t="s">
        <v>12065</v>
      </c>
      <c r="S1256" s="1" t="s">
        <v>12066</v>
      </c>
      <c r="T1256" s="1" t="s">
        <v>12067</v>
      </c>
      <c r="U1256">
        <v>367.76</v>
      </c>
      <c r="V1256">
        <v>142.46</v>
      </c>
      <c r="W1256">
        <v>16.04016</v>
      </c>
      <c r="X1256">
        <v>108.24224100000001</v>
      </c>
      <c r="Y1256">
        <v>225.31</v>
      </c>
      <c r="Z1256">
        <v>16.042145000000001</v>
      </c>
      <c r="AA1256">
        <v>108.24629400000001</v>
      </c>
      <c r="AB1256" s="5">
        <f t="shared" si="115"/>
        <v>0.21368999999999999</v>
      </c>
      <c r="AC1256" s="5">
        <f t="shared" si="116"/>
        <v>0.33796500000000002</v>
      </c>
      <c r="AD1256" s="1" t="str">
        <f t="shared" si="117"/>
        <v>A01</v>
      </c>
      <c r="AE1256" s="1" t="str">
        <f t="shared" si="118"/>
        <v>A06 (CS1) -new</v>
      </c>
      <c r="AG1256">
        <f t="shared" si="119"/>
        <v>0.14246</v>
      </c>
      <c r="AH1256">
        <f t="shared" si="120"/>
        <v>0.22531000000000001</v>
      </c>
      <c r="AI1256" t="e">
        <f>VLOOKUP(L1256,'[1]Tuyến cáp H04'!$B:$E,3,0)/1000</f>
        <v>#N/A</v>
      </c>
      <c r="AJ1256" t="e">
        <f>VLOOKUP(L1256,'[1]Tuyến cáp H04'!$B:$E,4,0)</f>
        <v>#N/A</v>
      </c>
    </row>
    <row r="1257" spans="1:36" x14ac:dyDescent="0.25">
      <c r="A1257" s="1" t="s">
        <v>12118</v>
      </c>
      <c r="B1257" s="1" t="s">
        <v>12119</v>
      </c>
      <c r="C1257" s="1" t="s">
        <v>12120</v>
      </c>
      <c r="D1257" s="1" t="s">
        <v>12121</v>
      </c>
      <c r="E1257" s="1" t="s">
        <v>12122</v>
      </c>
      <c r="F1257" s="1" t="s">
        <v>12123</v>
      </c>
      <c r="G1257" s="1" t="s">
        <v>14129</v>
      </c>
      <c r="H1257" s="1" t="s">
        <v>14133</v>
      </c>
      <c r="I1257" s="1" t="s">
        <v>15360</v>
      </c>
      <c r="J1257" s="1" t="s">
        <v>23</v>
      </c>
      <c r="K1257" s="1"/>
      <c r="L1257" s="1" t="s">
        <v>12124</v>
      </c>
      <c r="M1257" s="1" t="s">
        <v>12125</v>
      </c>
      <c r="N1257" s="1" t="s">
        <v>12126</v>
      </c>
      <c r="O1257" s="1" t="s">
        <v>12127</v>
      </c>
      <c r="P1257" s="1" t="s">
        <v>12128</v>
      </c>
      <c r="Q1257" s="1" t="s">
        <v>12129</v>
      </c>
      <c r="R1257" s="1" t="s">
        <v>12130</v>
      </c>
      <c r="S1257" s="1" t="s">
        <v>12131</v>
      </c>
      <c r="T1257" s="1" t="s">
        <v>12132</v>
      </c>
      <c r="U1257">
        <v>56.62</v>
      </c>
      <c r="V1257">
        <v>6.41</v>
      </c>
      <c r="W1257">
        <v>16.057247</v>
      </c>
      <c r="X1257">
        <v>108.181504</v>
      </c>
      <c r="Y1257">
        <v>50.21</v>
      </c>
      <c r="Z1257">
        <v>16.056948999999999</v>
      </c>
      <c r="AA1257">
        <v>108.180661</v>
      </c>
      <c r="AB1257" s="5">
        <f t="shared" si="115"/>
        <v>9.6150000000000003E-3</v>
      </c>
      <c r="AC1257" s="5">
        <f t="shared" si="116"/>
        <v>7.5314999999999993E-2</v>
      </c>
      <c r="AD1257" s="1" t="str">
        <f t="shared" si="117"/>
        <v>Hòa Khánh</v>
      </c>
      <c r="AE1257" s="1" t="str">
        <f t="shared" si="118"/>
        <v>An Khê</v>
      </c>
      <c r="AG1257">
        <f t="shared" si="119"/>
        <v>6.4099999999999999E-3</v>
      </c>
      <c r="AH1257">
        <f t="shared" si="120"/>
        <v>5.0209999999999998E-2</v>
      </c>
      <c r="AI1257" t="e">
        <f>VLOOKUP(L1257,'[1]Tuyến cáp H04'!$B:$E,3,0)/1000</f>
        <v>#N/A</v>
      </c>
      <c r="AJ1257" t="e">
        <f>VLOOKUP(L1257,'[1]Tuyến cáp H04'!$B:$E,4,0)</f>
        <v>#N/A</v>
      </c>
    </row>
    <row r="1258" spans="1:36" x14ac:dyDescent="0.25">
      <c r="A1258" s="1" t="s">
        <v>12133</v>
      </c>
      <c r="B1258" s="1" t="s">
        <v>12134</v>
      </c>
      <c r="C1258" s="1" t="s">
        <v>12135</v>
      </c>
      <c r="D1258" s="1" t="s">
        <v>12136</v>
      </c>
      <c r="E1258" s="1" t="s">
        <v>12137</v>
      </c>
      <c r="F1258" s="1" t="s">
        <v>12138</v>
      </c>
      <c r="G1258" s="1" t="s">
        <v>14129</v>
      </c>
      <c r="H1258" s="1" t="s">
        <v>14133</v>
      </c>
      <c r="I1258" s="1" t="s">
        <v>15361</v>
      </c>
      <c r="J1258" s="1" t="s">
        <v>23</v>
      </c>
      <c r="K1258" s="1"/>
      <c r="L1258" s="1" t="s">
        <v>11166</v>
      </c>
      <c r="M1258" s="1" t="s">
        <v>12139</v>
      </c>
      <c r="N1258" s="1" t="s">
        <v>12140</v>
      </c>
      <c r="O1258" s="1" t="s">
        <v>12141</v>
      </c>
      <c r="P1258" s="1" t="s">
        <v>12142</v>
      </c>
      <c r="Q1258" s="1" t="s">
        <v>7024</v>
      </c>
      <c r="R1258" s="1" t="s">
        <v>12143</v>
      </c>
      <c r="S1258" s="1" t="s">
        <v>12144</v>
      </c>
      <c r="T1258" s="1" t="s">
        <v>11174</v>
      </c>
      <c r="U1258">
        <v>75.760000000000005</v>
      </c>
      <c r="V1258">
        <v>52.73</v>
      </c>
      <c r="W1258">
        <v>16.071179000000001</v>
      </c>
      <c r="X1258">
        <v>108.19215</v>
      </c>
      <c r="Y1258">
        <v>23.03</v>
      </c>
      <c r="Z1258">
        <v>16.069703000000001</v>
      </c>
      <c r="AA1258">
        <v>108.184551</v>
      </c>
      <c r="AB1258" s="5">
        <f t="shared" si="115"/>
        <v>7.9094999999999999E-2</v>
      </c>
      <c r="AC1258" s="5">
        <f t="shared" si="116"/>
        <v>3.4544999999999999E-2</v>
      </c>
      <c r="AD1258" s="1" t="str">
        <f t="shared" si="117"/>
        <v>TT1 Đà Nẵng</v>
      </c>
      <c r="AE1258" s="1" t="str">
        <f t="shared" si="118"/>
        <v>Hải Vân</v>
      </c>
      <c r="AG1258">
        <f t="shared" si="119"/>
        <v>5.2729999999999999E-2</v>
      </c>
      <c r="AH1258">
        <f t="shared" si="120"/>
        <v>2.3030000000000002E-2</v>
      </c>
      <c r="AI1258">
        <f>VLOOKUP(L1258,'[1]Tuyến cáp H04'!$B:$E,3,0)/1000</f>
        <v>14.76</v>
      </c>
      <c r="AJ1258" t="str">
        <f>VLOOKUP(L1258,'[1]Tuyến cáp H04'!$B:$E,4,0)</f>
        <v>Mạng cấp 4</v>
      </c>
    </row>
    <row r="1259" spans="1:36" x14ac:dyDescent="0.25">
      <c r="A1259" s="1" t="s">
        <v>12145</v>
      </c>
      <c r="B1259" s="1" t="s">
        <v>12134</v>
      </c>
      <c r="C1259" s="1" t="s">
        <v>12135</v>
      </c>
      <c r="D1259" s="1" t="s">
        <v>7312</v>
      </c>
      <c r="E1259" s="1" t="s">
        <v>12146</v>
      </c>
      <c r="F1259" s="1" t="s">
        <v>12147</v>
      </c>
      <c r="G1259" s="1" t="s">
        <v>14129</v>
      </c>
      <c r="H1259" s="1" t="s">
        <v>14133</v>
      </c>
      <c r="I1259" s="1" t="s">
        <v>15362</v>
      </c>
      <c r="J1259" s="1" t="s">
        <v>23</v>
      </c>
      <c r="K1259" s="1"/>
      <c r="L1259" s="1" t="s">
        <v>12148</v>
      </c>
      <c r="M1259" s="1" t="s">
        <v>12149</v>
      </c>
      <c r="N1259" s="1" t="s">
        <v>12150</v>
      </c>
      <c r="O1259" s="1" t="s">
        <v>12151</v>
      </c>
      <c r="P1259" s="1" t="s">
        <v>12152</v>
      </c>
      <c r="Q1259" s="1" t="s">
        <v>12153</v>
      </c>
      <c r="R1259" s="1" t="s">
        <v>12154</v>
      </c>
      <c r="S1259" s="1" t="s">
        <v>12155</v>
      </c>
      <c r="T1259" s="1" t="s">
        <v>12156</v>
      </c>
      <c r="U1259">
        <v>32.79</v>
      </c>
      <c r="V1259">
        <v>10.87</v>
      </c>
      <c r="W1259">
        <v>16.070730000000001</v>
      </c>
      <c r="X1259">
        <v>108.192493</v>
      </c>
      <c r="Y1259">
        <v>21.92</v>
      </c>
      <c r="Z1259">
        <v>16.070101000000001</v>
      </c>
      <c r="AA1259">
        <v>108.191766</v>
      </c>
      <c r="AB1259" s="5">
        <f t="shared" si="115"/>
        <v>1.6305E-2</v>
      </c>
      <c r="AC1259" s="5">
        <f t="shared" si="116"/>
        <v>3.288E-2</v>
      </c>
      <c r="AD1259" s="1" t="str">
        <f t="shared" si="117"/>
        <v>An Khê</v>
      </c>
      <c r="AE1259" s="1" t="str">
        <f t="shared" si="118"/>
        <v>Thanh Khê</v>
      </c>
      <c r="AG1259">
        <f t="shared" si="119"/>
        <v>1.0869999999999999E-2</v>
      </c>
      <c r="AH1259">
        <f t="shared" si="120"/>
        <v>2.1920000000000002E-2</v>
      </c>
      <c r="AI1259" t="e">
        <f>VLOOKUP(L1259,'[1]Tuyến cáp H04'!$B:$E,3,0)/1000</f>
        <v>#N/A</v>
      </c>
      <c r="AJ1259" t="e">
        <f>VLOOKUP(L1259,'[1]Tuyến cáp H04'!$B:$E,4,0)</f>
        <v>#N/A</v>
      </c>
    </row>
    <row r="1260" spans="1:36" x14ac:dyDescent="0.25">
      <c r="A1260" s="1" t="s">
        <v>12157</v>
      </c>
      <c r="B1260" s="1" t="s">
        <v>12134</v>
      </c>
      <c r="C1260" s="1" t="s">
        <v>12135</v>
      </c>
      <c r="D1260" s="1" t="s">
        <v>12158</v>
      </c>
      <c r="E1260" s="1" t="s">
        <v>12159</v>
      </c>
      <c r="F1260" s="1" t="s">
        <v>12160</v>
      </c>
      <c r="G1260" s="1" t="s">
        <v>14129</v>
      </c>
      <c r="H1260" s="1" t="s">
        <v>14133</v>
      </c>
      <c r="I1260" s="1" t="s">
        <v>15363</v>
      </c>
      <c r="J1260" s="1" t="s">
        <v>23</v>
      </c>
      <c r="K1260" s="1"/>
      <c r="L1260" s="1" t="s">
        <v>11146</v>
      </c>
      <c r="M1260" s="1" t="s">
        <v>12161</v>
      </c>
      <c r="N1260" s="1" t="s">
        <v>12162</v>
      </c>
      <c r="O1260" s="1" t="s">
        <v>12163</v>
      </c>
      <c r="P1260" s="1" t="s">
        <v>12164</v>
      </c>
      <c r="Q1260" s="1" t="s">
        <v>12165</v>
      </c>
      <c r="R1260" s="1" t="s">
        <v>12166</v>
      </c>
      <c r="S1260" s="1" t="s">
        <v>12167</v>
      </c>
      <c r="T1260" s="1" t="s">
        <v>12168</v>
      </c>
      <c r="U1260">
        <v>284.45</v>
      </c>
      <c r="V1260">
        <v>195.19</v>
      </c>
      <c r="W1260">
        <v>16.072437000000001</v>
      </c>
      <c r="X1260">
        <v>108.19182600000001</v>
      </c>
      <c r="Y1260">
        <v>89.26</v>
      </c>
      <c r="Z1260">
        <v>16.07319</v>
      </c>
      <c r="AA1260">
        <v>108.18029300000001</v>
      </c>
      <c r="AB1260" s="5">
        <f t="shared" si="115"/>
        <v>0.29278499999999996</v>
      </c>
      <c r="AC1260" s="5">
        <f t="shared" si="116"/>
        <v>0.13389000000000001</v>
      </c>
      <c r="AD1260" s="1" t="str">
        <f t="shared" si="117"/>
        <v>TT1 Đà Nẵng</v>
      </c>
      <c r="AE1260" s="1" t="str">
        <f t="shared" si="118"/>
        <v>Liên Chiểu</v>
      </c>
      <c r="AG1260">
        <f t="shared" si="119"/>
        <v>0.19519</v>
      </c>
      <c r="AH1260">
        <f t="shared" si="120"/>
        <v>8.9260000000000006E-2</v>
      </c>
      <c r="AI1260">
        <f>VLOOKUP(L1260,'[1]Tuyến cáp H04'!$B:$E,3,0)/1000</f>
        <v>9.8698999999999995</v>
      </c>
      <c r="AJ1260" t="str">
        <f>VLOOKUP(L1260,'[1]Tuyến cáp H04'!$B:$E,4,0)</f>
        <v>Mạng cấp 3</v>
      </c>
    </row>
    <row r="1261" spans="1:36" x14ac:dyDescent="0.25">
      <c r="A1261" s="1" t="s">
        <v>12169</v>
      </c>
      <c r="B1261" s="1" t="s">
        <v>12134</v>
      </c>
      <c r="C1261" s="1" t="s">
        <v>12135</v>
      </c>
      <c r="D1261" s="1" t="s">
        <v>12170</v>
      </c>
      <c r="E1261" s="1" t="s">
        <v>12171</v>
      </c>
      <c r="F1261" s="1" t="s">
        <v>12172</v>
      </c>
      <c r="G1261" s="1" t="s">
        <v>14129</v>
      </c>
      <c r="H1261" s="1" t="s">
        <v>14532</v>
      </c>
      <c r="I1261" s="1" t="s">
        <v>15364</v>
      </c>
      <c r="J1261" s="1" t="s">
        <v>23</v>
      </c>
      <c r="K1261" s="1"/>
      <c r="L1261" s="1" t="s">
        <v>12173</v>
      </c>
      <c r="M1261" s="1" t="s">
        <v>12174</v>
      </c>
      <c r="N1261" s="1" t="s">
        <v>12175</v>
      </c>
      <c r="O1261" s="1" t="s">
        <v>12176</v>
      </c>
      <c r="P1261" s="1" t="s">
        <v>12177</v>
      </c>
      <c r="Q1261" s="1" t="s">
        <v>12178</v>
      </c>
      <c r="R1261" s="1" t="s">
        <v>12179</v>
      </c>
      <c r="S1261" s="1" t="s">
        <v>12180</v>
      </c>
      <c r="T1261" s="1" t="s">
        <v>12181</v>
      </c>
      <c r="U1261">
        <v>69.67</v>
      </c>
      <c r="V1261">
        <v>11.25</v>
      </c>
      <c r="W1261">
        <v>16.070743</v>
      </c>
      <c r="X1261">
        <v>108.192502</v>
      </c>
      <c r="Y1261">
        <v>58.42</v>
      </c>
      <c r="Z1261">
        <v>16.071003999999999</v>
      </c>
      <c r="AA1261">
        <v>108.200844</v>
      </c>
      <c r="AB1261" s="5">
        <f t="shared" si="115"/>
        <v>1.6875000000000001E-2</v>
      </c>
      <c r="AC1261" s="5">
        <f t="shared" si="116"/>
        <v>8.763E-2</v>
      </c>
      <c r="AD1261" s="1" t="str">
        <f t="shared" si="117"/>
        <v>Thanh Khê</v>
      </c>
      <c r="AE1261" s="1" t="str">
        <f t="shared" si="118"/>
        <v>TT1 Đà Nẵng</v>
      </c>
      <c r="AG1261">
        <f t="shared" si="119"/>
        <v>1.125E-2</v>
      </c>
      <c r="AH1261">
        <f t="shared" si="120"/>
        <v>5.842E-2</v>
      </c>
      <c r="AI1261" t="e">
        <f>VLOOKUP(L1261,'[1]Tuyến cáp H04'!$B:$E,3,0)/1000</f>
        <v>#N/A</v>
      </c>
      <c r="AJ1261" t="e">
        <f>VLOOKUP(L1261,'[1]Tuyến cáp H04'!$B:$E,4,0)</f>
        <v>#N/A</v>
      </c>
    </row>
    <row r="1262" spans="1:36" x14ac:dyDescent="0.25">
      <c r="A1262" s="1" t="s">
        <v>12182</v>
      </c>
      <c r="B1262" s="1" t="s">
        <v>12134</v>
      </c>
      <c r="C1262" s="1" t="s">
        <v>12135</v>
      </c>
      <c r="D1262" s="1" t="s">
        <v>12183</v>
      </c>
      <c r="E1262" s="1" t="s">
        <v>12184</v>
      </c>
      <c r="F1262" s="1" t="s">
        <v>12185</v>
      </c>
      <c r="G1262" s="1" t="s">
        <v>14129</v>
      </c>
      <c r="H1262" s="1" t="s">
        <v>14532</v>
      </c>
      <c r="I1262" s="1" t="s">
        <v>15365</v>
      </c>
      <c r="J1262" s="1" t="s">
        <v>23</v>
      </c>
      <c r="K1262" s="1"/>
      <c r="L1262" s="1" t="s">
        <v>12173</v>
      </c>
      <c r="M1262" s="1" t="s">
        <v>12186</v>
      </c>
      <c r="N1262" s="1" t="s">
        <v>12175</v>
      </c>
      <c r="O1262" s="1" t="s">
        <v>12176</v>
      </c>
      <c r="P1262" s="1" t="s">
        <v>12177</v>
      </c>
      <c r="Q1262" s="1" t="s">
        <v>12187</v>
      </c>
      <c r="R1262" s="1" t="s">
        <v>12179</v>
      </c>
      <c r="S1262" s="1" t="s">
        <v>12180</v>
      </c>
      <c r="T1262" s="1" t="s">
        <v>12181</v>
      </c>
      <c r="U1262">
        <v>644.79999999999995</v>
      </c>
      <c r="V1262">
        <v>11.25</v>
      </c>
      <c r="W1262">
        <v>16.070743</v>
      </c>
      <c r="X1262">
        <v>108.192502</v>
      </c>
      <c r="Y1262">
        <v>633.54</v>
      </c>
      <c r="Z1262">
        <v>16.071003999999999</v>
      </c>
      <c r="AA1262">
        <v>108.200844</v>
      </c>
      <c r="AB1262" s="5">
        <f t="shared" si="115"/>
        <v>1.6875000000000001E-2</v>
      </c>
      <c r="AC1262" s="5">
        <f t="shared" si="116"/>
        <v>0.95030999999999999</v>
      </c>
      <c r="AD1262" s="1" t="str">
        <f t="shared" si="117"/>
        <v>Thanh Khê</v>
      </c>
      <c r="AE1262" s="1" t="str">
        <f t="shared" si="118"/>
        <v>TT1 Đà Nẵng</v>
      </c>
      <c r="AG1262">
        <f t="shared" si="119"/>
        <v>1.125E-2</v>
      </c>
      <c r="AH1262">
        <f t="shared" si="120"/>
        <v>0.63353999999999999</v>
      </c>
      <c r="AI1262" t="e">
        <f>VLOOKUP(L1262,'[1]Tuyến cáp H04'!$B:$E,3,0)/1000</f>
        <v>#N/A</v>
      </c>
      <c r="AJ1262" t="e">
        <f>VLOOKUP(L1262,'[1]Tuyến cáp H04'!$B:$E,4,0)</f>
        <v>#N/A</v>
      </c>
    </row>
    <row r="1263" spans="1:36" x14ac:dyDescent="0.25">
      <c r="A1263" s="1" t="s">
        <v>12188</v>
      </c>
      <c r="B1263" s="1" t="s">
        <v>12189</v>
      </c>
      <c r="C1263" s="1" t="s">
        <v>12190</v>
      </c>
      <c r="D1263" s="1" t="s">
        <v>12191</v>
      </c>
      <c r="E1263" s="1" t="s">
        <v>12192</v>
      </c>
      <c r="F1263" s="1" t="s">
        <v>12193</v>
      </c>
      <c r="G1263" s="1" t="s">
        <v>14129</v>
      </c>
      <c r="H1263" s="1" t="s">
        <v>14532</v>
      </c>
      <c r="I1263" s="1" t="s">
        <v>15366</v>
      </c>
      <c r="J1263" s="1" t="s">
        <v>23</v>
      </c>
      <c r="K1263" s="1"/>
      <c r="L1263" s="1" t="s">
        <v>12194</v>
      </c>
      <c r="M1263" s="1" t="s">
        <v>12195</v>
      </c>
      <c r="N1263" s="1" t="s">
        <v>9866</v>
      </c>
      <c r="O1263" s="1" t="s">
        <v>12196</v>
      </c>
      <c r="P1263" s="1" t="s">
        <v>12197</v>
      </c>
      <c r="Q1263" s="1" t="s">
        <v>12198</v>
      </c>
      <c r="R1263" s="1" t="s">
        <v>12199</v>
      </c>
      <c r="S1263" s="1" t="s">
        <v>12200</v>
      </c>
      <c r="T1263" s="1" t="s">
        <v>12201</v>
      </c>
      <c r="U1263">
        <v>50.99</v>
      </c>
      <c r="V1263">
        <v>18.809999999999999</v>
      </c>
      <c r="W1263">
        <v>15.948992000000001</v>
      </c>
      <c r="X1263">
        <v>108.254724</v>
      </c>
      <c r="Y1263">
        <v>32.19</v>
      </c>
      <c r="Z1263">
        <v>15.935428999999999</v>
      </c>
      <c r="AA1263">
        <v>108.255054</v>
      </c>
      <c r="AB1263" s="5">
        <f t="shared" si="115"/>
        <v>2.8214999999999997E-2</v>
      </c>
      <c r="AC1263" s="5">
        <f t="shared" si="116"/>
        <v>4.8284999999999995E-2</v>
      </c>
      <c r="AD1263" s="1" t="str">
        <f t="shared" si="117"/>
        <v>An Thắng</v>
      </c>
      <c r="AE1263" s="1" t="str">
        <f t="shared" si="118"/>
        <v>Điện Bàn Đông</v>
      </c>
      <c r="AG1263">
        <f t="shared" si="119"/>
        <v>1.881E-2</v>
      </c>
      <c r="AH1263">
        <f t="shared" si="120"/>
        <v>3.2189999999999996E-2</v>
      </c>
      <c r="AI1263">
        <f>VLOOKUP(L1263,'[1]Tuyến cáp H04'!$B:$E,3,0)/1000</f>
        <v>7.8179999999999996</v>
      </c>
      <c r="AJ1263" t="str">
        <f>VLOOKUP(L1263,'[1]Tuyến cáp H04'!$B:$E,4,0)</f>
        <v>Mạng cấp 4</v>
      </c>
    </row>
    <row r="1264" spans="1:36" x14ac:dyDescent="0.25">
      <c r="A1264" s="1" t="s">
        <v>12202</v>
      </c>
      <c r="B1264" s="1" t="s">
        <v>12189</v>
      </c>
      <c r="C1264" s="1" t="s">
        <v>12190</v>
      </c>
      <c r="D1264" s="1" t="s">
        <v>12203</v>
      </c>
      <c r="E1264" s="1" t="s">
        <v>12204</v>
      </c>
      <c r="F1264" s="1" t="s">
        <v>12205</v>
      </c>
      <c r="G1264" s="1" t="s">
        <v>14129</v>
      </c>
      <c r="H1264" s="1" t="s">
        <v>14532</v>
      </c>
      <c r="I1264" s="1" t="s">
        <v>15367</v>
      </c>
      <c r="J1264" s="1" t="s">
        <v>23</v>
      </c>
      <c r="K1264" s="1"/>
      <c r="L1264" s="1" t="s">
        <v>12206</v>
      </c>
      <c r="M1264" s="1" t="s">
        <v>12207</v>
      </c>
      <c r="N1264" s="1" t="s">
        <v>12208</v>
      </c>
      <c r="O1264" s="1" t="s">
        <v>12209</v>
      </c>
      <c r="P1264" s="1" t="s">
        <v>12197</v>
      </c>
      <c r="Q1264" s="1" t="s">
        <v>12210</v>
      </c>
      <c r="R1264" s="1" t="s">
        <v>12211</v>
      </c>
      <c r="S1264" s="1" t="s">
        <v>12212</v>
      </c>
      <c r="T1264" s="1" t="s">
        <v>12213</v>
      </c>
      <c r="U1264">
        <v>2934.09</v>
      </c>
      <c r="V1264">
        <v>18.850000000000001</v>
      </c>
      <c r="W1264">
        <v>15.948995</v>
      </c>
      <c r="X1264">
        <v>108.254724</v>
      </c>
      <c r="Y1264">
        <v>2915.24</v>
      </c>
      <c r="Z1264">
        <v>15.929613</v>
      </c>
      <c r="AA1264">
        <v>108.255984</v>
      </c>
      <c r="AB1264" s="5">
        <f t="shared" si="115"/>
        <v>2.8275000000000002E-2</v>
      </c>
      <c r="AC1264" s="5">
        <f t="shared" si="116"/>
        <v>4.3728599999999993</v>
      </c>
      <c r="AD1264" s="1" t="str">
        <f t="shared" si="117"/>
        <v>Điện Bàn Đông</v>
      </c>
      <c r="AE1264" s="1" t="str">
        <f t="shared" si="118"/>
        <v>Hội An Tây</v>
      </c>
      <c r="AG1264">
        <f t="shared" si="119"/>
        <v>1.8850000000000002E-2</v>
      </c>
      <c r="AH1264">
        <f t="shared" si="120"/>
        <v>2.9152399999999998</v>
      </c>
      <c r="AI1264">
        <f>VLOOKUP(L1264,'[1]Tuyến cáp H04'!$B:$E,3,0)/1000</f>
        <v>11.548</v>
      </c>
      <c r="AJ1264" t="str">
        <f>VLOOKUP(L1264,'[1]Tuyến cáp H04'!$B:$E,4,0)</f>
        <v>Mạng cấp 4</v>
      </c>
    </row>
    <row r="1265" spans="1:36" x14ac:dyDescent="0.25">
      <c r="A1265" s="1" t="s">
        <v>12214</v>
      </c>
      <c r="B1265" s="1" t="s">
        <v>12189</v>
      </c>
      <c r="C1265" s="1" t="s">
        <v>12190</v>
      </c>
      <c r="D1265" s="1" t="s">
        <v>12215</v>
      </c>
      <c r="E1265" s="1" t="s">
        <v>12216</v>
      </c>
      <c r="F1265" s="1" t="s">
        <v>12217</v>
      </c>
      <c r="G1265" s="1" t="s">
        <v>14129</v>
      </c>
      <c r="H1265" s="1" t="s">
        <v>14532</v>
      </c>
      <c r="I1265" s="1" t="s">
        <v>15368</v>
      </c>
      <c r="J1265" s="1" t="s">
        <v>23</v>
      </c>
      <c r="K1265" s="1"/>
      <c r="L1265" s="1" t="s">
        <v>12194</v>
      </c>
      <c r="M1265" s="1" t="s">
        <v>12218</v>
      </c>
      <c r="N1265" s="1" t="s">
        <v>9866</v>
      </c>
      <c r="O1265" s="1" t="s">
        <v>12196</v>
      </c>
      <c r="P1265" s="1" t="s">
        <v>12197</v>
      </c>
      <c r="Q1265" s="1" t="s">
        <v>12219</v>
      </c>
      <c r="R1265" s="1" t="s">
        <v>12220</v>
      </c>
      <c r="S1265" s="1" t="s">
        <v>12221</v>
      </c>
      <c r="T1265" s="1" t="s">
        <v>12201</v>
      </c>
      <c r="U1265">
        <v>1353.26</v>
      </c>
      <c r="V1265">
        <v>18.809999999999999</v>
      </c>
      <c r="W1265">
        <v>15.948992000000001</v>
      </c>
      <c r="X1265">
        <v>108.254724</v>
      </c>
      <c r="Y1265">
        <v>1334.46</v>
      </c>
      <c r="Z1265">
        <v>15.942147</v>
      </c>
      <c r="AA1265">
        <v>108.254727</v>
      </c>
      <c r="AB1265" s="5">
        <f t="shared" si="115"/>
        <v>2.8214999999999997E-2</v>
      </c>
      <c r="AC1265" s="5">
        <f t="shared" si="116"/>
        <v>2.00169</v>
      </c>
      <c r="AD1265" s="1" t="str">
        <f t="shared" si="117"/>
        <v>An Thắng</v>
      </c>
      <c r="AE1265" s="1" t="str">
        <f t="shared" si="118"/>
        <v>Điện Bàn Đông</v>
      </c>
      <c r="AG1265">
        <f t="shared" si="119"/>
        <v>1.881E-2</v>
      </c>
      <c r="AH1265">
        <f t="shared" si="120"/>
        <v>1.33446</v>
      </c>
      <c r="AI1265">
        <f>VLOOKUP(L1265,'[1]Tuyến cáp H04'!$B:$E,3,0)/1000</f>
        <v>7.8179999999999996</v>
      </c>
      <c r="AJ1265" t="str">
        <f>VLOOKUP(L1265,'[1]Tuyến cáp H04'!$B:$E,4,0)</f>
        <v>Mạng cấp 4</v>
      </c>
    </row>
    <row r="1266" spans="1:36" x14ac:dyDescent="0.25">
      <c r="A1266" s="1" t="s">
        <v>12222</v>
      </c>
      <c r="B1266" s="1" t="s">
        <v>12189</v>
      </c>
      <c r="C1266" s="1" t="s">
        <v>12190</v>
      </c>
      <c r="D1266" s="1" t="s">
        <v>12223</v>
      </c>
      <c r="E1266" s="1" t="s">
        <v>12224</v>
      </c>
      <c r="F1266" s="1" t="s">
        <v>12225</v>
      </c>
      <c r="G1266" s="1" t="s">
        <v>14129</v>
      </c>
      <c r="H1266" s="1" t="s">
        <v>14532</v>
      </c>
      <c r="I1266" s="1" t="s">
        <v>15369</v>
      </c>
      <c r="J1266" s="1" t="s">
        <v>23</v>
      </c>
      <c r="K1266" s="1"/>
      <c r="L1266" s="1" t="s">
        <v>12206</v>
      </c>
      <c r="M1266" s="1" t="s">
        <v>12226</v>
      </c>
      <c r="N1266" s="1" t="s">
        <v>12227</v>
      </c>
      <c r="O1266" s="1" t="s">
        <v>12228</v>
      </c>
      <c r="P1266" s="1" t="s">
        <v>12229</v>
      </c>
      <c r="Q1266" s="1" t="s">
        <v>12230</v>
      </c>
      <c r="R1266" s="1" t="s">
        <v>12228</v>
      </c>
      <c r="S1266" s="1" t="s">
        <v>12229</v>
      </c>
      <c r="T1266" s="1" t="s">
        <v>12231</v>
      </c>
      <c r="U1266">
        <v>1475.32</v>
      </c>
      <c r="V1266">
        <v>1.42</v>
      </c>
      <c r="W1266">
        <v>15.949006000000001</v>
      </c>
      <c r="X1266">
        <v>108.254912</v>
      </c>
      <c r="Y1266">
        <v>1473.9</v>
      </c>
      <c r="Z1266">
        <v>15.949006000000001</v>
      </c>
      <c r="AA1266">
        <v>108.254912</v>
      </c>
      <c r="AB1266" s="5">
        <f t="shared" si="115"/>
        <v>2.1299999999999999E-3</v>
      </c>
      <c r="AC1266" s="5">
        <f t="shared" si="116"/>
        <v>2.2108500000000002</v>
      </c>
      <c r="AD1266" s="1" t="str">
        <f t="shared" si="117"/>
        <v>Điện Bàn Đông</v>
      </c>
      <c r="AE1266" s="1" t="str">
        <f t="shared" si="118"/>
        <v>Hội An Tây</v>
      </c>
      <c r="AG1266">
        <f t="shared" si="119"/>
        <v>1.4199999999999998E-3</v>
      </c>
      <c r="AH1266">
        <f t="shared" si="120"/>
        <v>1.4739</v>
      </c>
      <c r="AI1266">
        <f>VLOOKUP(L1266,'[1]Tuyến cáp H04'!$B:$E,3,0)/1000</f>
        <v>11.548</v>
      </c>
      <c r="AJ1266" t="str">
        <f>VLOOKUP(L1266,'[1]Tuyến cáp H04'!$B:$E,4,0)</f>
        <v>Mạng cấp 4</v>
      </c>
    </row>
    <row r="1267" spans="1:36" x14ac:dyDescent="0.25">
      <c r="A1267" s="1" t="s">
        <v>12232</v>
      </c>
      <c r="B1267" s="1" t="s">
        <v>12189</v>
      </c>
      <c r="C1267" s="1" t="s">
        <v>12190</v>
      </c>
      <c r="D1267" s="1" t="s">
        <v>12233</v>
      </c>
      <c r="E1267" s="1" t="s">
        <v>12234</v>
      </c>
      <c r="F1267" s="1" t="s">
        <v>12235</v>
      </c>
      <c r="G1267" s="1" t="s">
        <v>14129</v>
      </c>
      <c r="H1267" s="1" t="s">
        <v>14133</v>
      </c>
      <c r="I1267" s="1" t="s">
        <v>15370</v>
      </c>
      <c r="J1267" s="1" t="s">
        <v>23</v>
      </c>
      <c r="K1267" s="1"/>
      <c r="L1267" s="1" t="s">
        <v>12206</v>
      </c>
      <c r="M1267" s="1" t="s">
        <v>12236</v>
      </c>
      <c r="N1267" s="1" t="s">
        <v>12208</v>
      </c>
      <c r="O1267" s="1" t="s">
        <v>12209</v>
      </c>
      <c r="P1267" s="1" t="s">
        <v>12197</v>
      </c>
      <c r="Q1267" s="1" t="s">
        <v>12237</v>
      </c>
      <c r="R1267" s="1" t="s">
        <v>12211</v>
      </c>
      <c r="S1267" s="1" t="s">
        <v>12212</v>
      </c>
      <c r="T1267" s="1" t="s">
        <v>12213</v>
      </c>
      <c r="U1267">
        <v>524.30999999999995</v>
      </c>
      <c r="V1267">
        <v>18.850000000000001</v>
      </c>
      <c r="W1267">
        <v>15.948995</v>
      </c>
      <c r="X1267">
        <v>108.254724</v>
      </c>
      <c r="Y1267">
        <v>505.47</v>
      </c>
      <c r="Z1267">
        <v>15.929613</v>
      </c>
      <c r="AA1267">
        <v>108.255984</v>
      </c>
      <c r="AB1267" s="5">
        <f t="shared" si="115"/>
        <v>2.8275000000000002E-2</v>
      </c>
      <c r="AC1267" s="5">
        <f t="shared" si="116"/>
        <v>0.75820500000000002</v>
      </c>
      <c r="AD1267" s="1" t="str">
        <f t="shared" si="117"/>
        <v>Điện Bàn Đông</v>
      </c>
      <c r="AE1267" s="1" t="str">
        <f t="shared" si="118"/>
        <v>Hội An Tây</v>
      </c>
      <c r="AG1267">
        <f t="shared" si="119"/>
        <v>1.8850000000000002E-2</v>
      </c>
      <c r="AH1267">
        <f t="shared" si="120"/>
        <v>0.50546999999999997</v>
      </c>
      <c r="AI1267">
        <f>VLOOKUP(L1267,'[1]Tuyến cáp H04'!$B:$E,3,0)/1000</f>
        <v>11.548</v>
      </c>
      <c r="AJ1267" t="str">
        <f>VLOOKUP(L1267,'[1]Tuyến cáp H04'!$B:$E,4,0)</f>
        <v>Mạng cấp 4</v>
      </c>
    </row>
    <row r="1268" spans="1:36" x14ac:dyDescent="0.25">
      <c r="A1268" s="1" t="s">
        <v>12238</v>
      </c>
      <c r="B1268" s="1" t="s">
        <v>12189</v>
      </c>
      <c r="C1268" s="1" t="s">
        <v>12190</v>
      </c>
      <c r="D1268" s="1" t="s">
        <v>12239</v>
      </c>
      <c r="E1268" s="1" t="s">
        <v>12240</v>
      </c>
      <c r="F1268" s="1" t="s">
        <v>12241</v>
      </c>
      <c r="G1268" s="1" t="s">
        <v>14129</v>
      </c>
      <c r="H1268" s="1" t="s">
        <v>14133</v>
      </c>
      <c r="I1268" s="1" t="s">
        <v>15371</v>
      </c>
      <c r="J1268" s="1" t="s">
        <v>23</v>
      </c>
      <c r="K1268" s="1"/>
      <c r="L1268" s="1" t="s">
        <v>12194</v>
      </c>
      <c r="M1268" s="1" t="s">
        <v>12242</v>
      </c>
      <c r="N1268" s="1" t="s">
        <v>9866</v>
      </c>
      <c r="O1268" s="1" t="s">
        <v>12196</v>
      </c>
      <c r="P1268" s="1" t="s">
        <v>12197</v>
      </c>
      <c r="Q1268" s="1" t="s">
        <v>12243</v>
      </c>
      <c r="R1268" s="1" t="s">
        <v>12244</v>
      </c>
      <c r="S1268" s="1" t="s">
        <v>12245</v>
      </c>
      <c r="T1268" s="1" t="s">
        <v>12201</v>
      </c>
      <c r="U1268">
        <v>345.33</v>
      </c>
      <c r="V1268">
        <v>18.809999999999999</v>
      </c>
      <c r="W1268">
        <v>15.948992000000001</v>
      </c>
      <c r="X1268">
        <v>108.254724</v>
      </c>
      <c r="Y1268">
        <v>326.52999999999997</v>
      </c>
      <c r="Z1268">
        <v>15.935865</v>
      </c>
      <c r="AA1268">
        <v>108.229145</v>
      </c>
      <c r="AB1268" s="5">
        <f t="shared" si="115"/>
        <v>2.8214999999999997E-2</v>
      </c>
      <c r="AC1268" s="5">
        <f t="shared" si="116"/>
        <v>0.48979499999999998</v>
      </c>
      <c r="AD1268" s="1" t="str">
        <f t="shared" si="117"/>
        <v>An Thắng</v>
      </c>
      <c r="AE1268" s="1" t="str">
        <f t="shared" si="118"/>
        <v>Điện Bàn Đông</v>
      </c>
      <c r="AG1268">
        <f t="shared" si="119"/>
        <v>1.881E-2</v>
      </c>
      <c r="AH1268">
        <f t="shared" si="120"/>
        <v>0.32652999999999999</v>
      </c>
      <c r="AI1268">
        <f>VLOOKUP(L1268,'[1]Tuyến cáp H04'!$B:$E,3,0)/1000</f>
        <v>7.8179999999999996</v>
      </c>
      <c r="AJ1268" t="str">
        <f>VLOOKUP(L1268,'[1]Tuyến cáp H04'!$B:$E,4,0)</f>
        <v>Mạng cấp 4</v>
      </c>
    </row>
    <row r="1269" spans="1:36" x14ac:dyDescent="0.25">
      <c r="A1269" s="1" t="s">
        <v>12246</v>
      </c>
      <c r="B1269" s="1" t="s">
        <v>12189</v>
      </c>
      <c r="C1269" s="1" t="s">
        <v>12190</v>
      </c>
      <c r="D1269" s="1" t="s">
        <v>12247</v>
      </c>
      <c r="E1269" s="1" t="s">
        <v>12248</v>
      </c>
      <c r="F1269" s="1" t="s">
        <v>12249</v>
      </c>
      <c r="G1269" s="1" t="s">
        <v>14129</v>
      </c>
      <c r="H1269" s="1" t="s">
        <v>14133</v>
      </c>
      <c r="I1269" s="1" t="s">
        <v>15372</v>
      </c>
      <c r="J1269" s="1" t="s">
        <v>23</v>
      </c>
      <c r="K1269" s="1"/>
      <c r="L1269" s="1" t="s">
        <v>12250</v>
      </c>
      <c r="M1269" s="1" t="s">
        <v>12251</v>
      </c>
      <c r="N1269" s="1" t="s">
        <v>12252</v>
      </c>
      <c r="O1269" s="1" t="s">
        <v>12253</v>
      </c>
      <c r="P1269" s="1" t="s">
        <v>12254</v>
      </c>
      <c r="Q1269" s="1" t="s">
        <v>12255</v>
      </c>
      <c r="R1269" s="1" t="s">
        <v>12256</v>
      </c>
      <c r="S1269" s="1" t="s">
        <v>12257</v>
      </c>
      <c r="T1269" s="1" t="s">
        <v>12258</v>
      </c>
      <c r="U1269">
        <v>1756.61</v>
      </c>
      <c r="V1269">
        <v>707.06</v>
      </c>
      <c r="W1269">
        <v>15.955358</v>
      </c>
      <c r="X1269">
        <v>108.254784</v>
      </c>
      <c r="Y1269">
        <v>1049.55</v>
      </c>
      <c r="Z1269">
        <v>15.956379999999999</v>
      </c>
      <c r="AA1269">
        <v>108.25491700000001</v>
      </c>
      <c r="AB1269" s="5">
        <f t="shared" si="115"/>
        <v>1.0605899999999999</v>
      </c>
      <c r="AC1269" s="5">
        <f t="shared" si="116"/>
        <v>1.5743249999999998</v>
      </c>
      <c r="AD1269" s="1" t="str">
        <f t="shared" si="117"/>
        <v>Điện Bàn Bắc</v>
      </c>
      <c r="AE1269" s="1" t="str">
        <f t="shared" si="118"/>
        <v>TTCMKV Hội An</v>
      </c>
      <c r="AG1269">
        <f t="shared" si="119"/>
        <v>0.70705999999999991</v>
      </c>
      <c r="AH1269">
        <f t="shared" si="120"/>
        <v>1.04955</v>
      </c>
      <c r="AI1269">
        <f>VLOOKUP(L1269,'[1]Tuyến cáp H04'!$B:$E,3,0)/1000</f>
        <v>31.427</v>
      </c>
      <c r="AJ1269" t="str">
        <f>VLOOKUP(L1269,'[1]Tuyến cáp H04'!$B:$E,4,0)</f>
        <v>Mạng cấp 4</v>
      </c>
    </row>
    <row r="1270" spans="1:36" x14ac:dyDescent="0.25">
      <c r="A1270" s="1" t="s">
        <v>12259</v>
      </c>
      <c r="B1270" s="1" t="s">
        <v>12189</v>
      </c>
      <c r="C1270" s="1" t="s">
        <v>12190</v>
      </c>
      <c r="D1270" s="1" t="s">
        <v>12260</v>
      </c>
      <c r="E1270" s="1" t="s">
        <v>12261</v>
      </c>
      <c r="F1270" s="1" t="s">
        <v>12262</v>
      </c>
      <c r="G1270" s="1" t="s">
        <v>14129</v>
      </c>
      <c r="H1270" s="1" t="s">
        <v>14133</v>
      </c>
      <c r="I1270" s="1" t="s">
        <v>15373</v>
      </c>
      <c r="J1270" s="1" t="s">
        <v>23</v>
      </c>
      <c r="K1270" s="1"/>
      <c r="L1270" s="1" t="s">
        <v>12250</v>
      </c>
      <c r="M1270" s="1" t="s">
        <v>12263</v>
      </c>
      <c r="N1270" s="1" t="s">
        <v>12252</v>
      </c>
      <c r="O1270" s="1" t="s">
        <v>12253</v>
      </c>
      <c r="P1270" s="1" t="s">
        <v>12254</v>
      </c>
      <c r="Q1270" s="1" t="s">
        <v>12264</v>
      </c>
      <c r="R1270" s="1" t="s">
        <v>12265</v>
      </c>
      <c r="S1270" s="1" t="s">
        <v>12266</v>
      </c>
      <c r="T1270" s="1" t="s">
        <v>12258</v>
      </c>
      <c r="U1270">
        <v>1258.81</v>
      </c>
      <c r="V1270">
        <v>707.06</v>
      </c>
      <c r="W1270">
        <v>15.955358</v>
      </c>
      <c r="X1270">
        <v>108.254784</v>
      </c>
      <c r="Y1270">
        <v>551.75</v>
      </c>
      <c r="Z1270">
        <v>15.954058</v>
      </c>
      <c r="AA1270">
        <v>108.239617</v>
      </c>
      <c r="AB1270" s="5">
        <f t="shared" si="115"/>
        <v>1.0605899999999999</v>
      </c>
      <c r="AC1270" s="5">
        <f t="shared" si="116"/>
        <v>0.82762500000000006</v>
      </c>
      <c r="AD1270" s="1" t="str">
        <f t="shared" si="117"/>
        <v>Điện Bàn Bắc</v>
      </c>
      <c r="AE1270" s="1" t="str">
        <f t="shared" si="118"/>
        <v>TTCMKV Hội An</v>
      </c>
      <c r="AG1270">
        <f t="shared" si="119"/>
        <v>0.70705999999999991</v>
      </c>
      <c r="AH1270">
        <f t="shared" si="120"/>
        <v>0.55174999999999996</v>
      </c>
      <c r="AI1270">
        <f>VLOOKUP(L1270,'[1]Tuyến cáp H04'!$B:$E,3,0)/1000</f>
        <v>31.427</v>
      </c>
      <c r="AJ1270" t="str">
        <f>VLOOKUP(L1270,'[1]Tuyến cáp H04'!$B:$E,4,0)</f>
        <v>Mạng cấp 4</v>
      </c>
    </row>
    <row r="1271" spans="1:36" x14ac:dyDescent="0.25">
      <c r="A1271" s="1" t="s">
        <v>12267</v>
      </c>
      <c r="B1271" s="1" t="s">
        <v>12189</v>
      </c>
      <c r="C1271" s="1" t="s">
        <v>12190</v>
      </c>
      <c r="D1271" s="1" t="e">
        <v>#N/A</v>
      </c>
      <c r="E1271" s="1" t="e">
        <v>#N/A</v>
      </c>
      <c r="F1271" s="1" t="s">
        <v>12268</v>
      </c>
      <c r="G1271" s="1" t="s">
        <v>14129</v>
      </c>
      <c r="H1271" s="1" t="s">
        <v>14532</v>
      </c>
      <c r="I1271" s="1" t="s">
        <v>15374</v>
      </c>
      <c r="J1271" s="1" t="s">
        <v>5166</v>
      </c>
      <c r="K1271" s="1" t="s">
        <v>11893</v>
      </c>
      <c r="L1271" s="1"/>
      <c r="M1271" s="1"/>
      <c r="N1271" s="1"/>
      <c r="O1271" s="1"/>
      <c r="P1271" s="1"/>
      <c r="Q1271" s="1"/>
      <c r="R1271" s="1"/>
      <c r="S1271" s="1"/>
      <c r="T1271" s="1"/>
      <c r="AB1271" s="5"/>
      <c r="AC1271" s="5"/>
      <c r="AD1271" s="1"/>
      <c r="AE1271" s="1"/>
      <c r="AI1271" t="e">
        <f>VLOOKUP(L1271,'[1]Tuyến cáp H04'!$B:$E,3,0)/1000</f>
        <v>#N/A</v>
      </c>
      <c r="AJ1271" t="e">
        <f>VLOOKUP(L1271,'[1]Tuyến cáp H04'!$B:$E,4,0)</f>
        <v>#N/A</v>
      </c>
    </row>
    <row r="1272" spans="1:36" x14ac:dyDescent="0.25">
      <c r="A1272" s="1" t="s">
        <v>12269</v>
      </c>
      <c r="B1272" s="1" t="s">
        <v>12270</v>
      </c>
      <c r="C1272" s="1" t="s">
        <v>12271</v>
      </c>
      <c r="D1272" s="1" t="s">
        <v>12272</v>
      </c>
      <c r="E1272" s="1" t="s">
        <v>12273</v>
      </c>
      <c r="F1272" s="1" t="s">
        <v>12274</v>
      </c>
      <c r="G1272" s="1" t="s">
        <v>14129</v>
      </c>
      <c r="H1272" s="1" t="s">
        <v>14532</v>
      </c>
      <c r="I1272" s="1" t="s">
        <v>15375</v>
      </c>
      <c r="J1272" s="1" t="s">
        <v>23</v>
      </c>
      <c r="K1272" s="1"/>
      <c r="L1272" s="1" t="s">
        <v>12275</v>
      </c>
      <c r="M1272" s="1" t="s">
        <v>12276</v>
      </c>
      <c r="N1272" s="1" t="s">
        <v>12277</v>
      </c>
      <c r="O1272" s="1" t="s">
        <v>12278</v>
      </c>
      <c r="P1272" s="1" t="s">
        <v>12279</v>
      </c>
      <c r="Q1272" s="1" t="s">
        <v>12280</v>
      </c>
      <c r="R1272" s="1" t="s">
        <v>12281</v>
      </c>
      <c r="S1272" s="1" t="s">
        <v>12282</v>
      </c>
      <c r="T1272" s="1" t="s">
        <v>12283</v>
      </c>
      <c r="U1272">
        <v>1816.05</v>
      </c>
      <c r="V1272">
        <v>47.71</v>
      </c>
      <c r="W1272">
        <v>15.829673</v>
      </c>
      <c r="X1272">
        <v>108.124711</v>
      </c>
      <c r="Y1272">
        <v>1768.33</v>
      </c>
      <c r="Z1272">
        <v>15.828954</v>
      </c>
      <c r="AA1272">
        <v>108.123936</v>
      </c>
      <c r="AB1272" s="5">
        <f t="shared" si="115"/>
        <v>7.1565000000000004E-2</v>
      </c>
      <c r="AC1272" s="5">
        <f t="shared" si="116"/>
        <v>2.652495</v>
      </c>
      <c r="AD1272" s="1" t="str">
        <f t="shared" si="117"/>
        <v>Thu Bồn</v>
      </c>
      <c r="AE1272" s="1" t="str">
        <f t="shared" si="118"/>
        <v>Gò Nổi</v>
      </c>
      <c r="AG1272">
        <f t="shared" si="119"/>
        <v>4.7710000000000002E-2</v>
      </c>
      <c r="AH1272">
        <f t="shared" si="120"/>
        <v>1.76833</v>
      </c>
      <c r="AI1272">
        <f>VLOOKUP(L1272,'[1]Tuyến cáp H04'!$B:$E,3,0)/1000</f>
        <v>10.567</v>
      </c>
      <c r="AJ1272" t="str">
        <f>VLOOKUP(L1272,'[1]Tuyến cáp H04'!$B:$E,4,0)</f>
        <v>Mạng cấp 4</v>
      </c>
    </row>
    <row r="1273" spans="1:36" x14ac:dyDescent="0.25">
      <c r="A1273" s="1" t="s">
        <v>12284</v>
      </c>
      <c r="B1273" s="1" t="s">
        <v>12285</v>
      </c>
      <c r="C1273" s="1" t="s">
        <v>12286</v>
      </c>
      <c r="D1273" s="1" t="s">
        <v>12287</v>
      </c>
      <c r="E1273" s="1" t="s">
        <v>12288</v>
      </c>
      <c r="F1273" s="1" t="s">
        <v>12289</v>
      </c>
      <c r="G1273" s="1" t="s">
        <v>14129</v>
      </c>
      <c r="H1273" s="1" t="s">
        <v>14133</v>
      </c>
      <c r="I1273" s="1" t="s">
        <v>15376</v>
      </c>
      <c r="J1273" s="1" t="s">
        <v>23</v>
      </c>
      <c r="K1273" s="1"/>
      <c r="L1273" s="1" t="s">
        <v>12290</v>
      </c>
      <c r="M1273" s="1" t="s">
        <v>4080</v>
      </c>
      <c r="N1273" s="1" t="s">
        <v>3892</v>
      </c>
      <c r="O1273" s="1" t="s">
        <v>12291</v>
      </c>
      <c r="P1273" s="1" t="s">
        <v>12292</v>
      </c>
      <c r="Q1273" s="1" t="s">
        <v>12293</v>
      </c>
      <c r="R1273" s="1" t="s">
        <v>12294</v>
      </c>
      <c r="S1273" s="1" t="s">
        <v>12295</v>
      </c>
      <c r="T1273" s="1" t="s">
        <v>12296</v>
      </c>
      <c r="U1273">
        <v>1381.74</v>
      </c>
      <c r="V1273">
        <v>2.48</v>
      </c>
      <c r="W1273">
        <v>15.886374</v>
      </c>
      <c r="X1273">
        <v>108.36251799999999</v>
      </c>
      <c r="Y1273">
        <v>1379.26</v>
      </c>
      <c r="Z1273">
        <v>15.890886</v>
      </c>
      <c r="AA1273">
        <v>108.359292</v>
      </c>
      <c r="AB1273" s="5">
        <f t="shared" si="115"/>
        <v>3.7199999999999998E-3</v>
      </c>
      <c r="AC1273" s="5">
        <f t="shared" si="116"/>
        <v>2.0688899999999997</v>
      </c>
      <c r="AD1273" s="1" t="str">
        <f t="shared" si="117"/>
        <v>Hội An Đông</v>
      </c>
      <c r="AE1273" s="1" t="str">
        <f t="shared" si="118"/>
        <v>TTCMKV Hội An</v>
      </c>
      <c r="AG1273">
        <f t="shared" si="119"/>
        <v>2.48E-3</v>
      </c>
      <c r="AH1273">
        <f t="shared" si="120"/>
        <v>1.3792599999999999</v>
      </c>
      <c r="AI1273">
        <f>VLOOKUP(L1273,'[1]Tuyến cáp H04'!$B:$E,3,0)/1000</f>
        <v>5.12</v>
      </c>
      <c r="AJ1273" t="str">
        <f>VLOOKUP(L1273,'[1]Tuyến cáp H04'!$B:$E,4,0)</f>
        <v>Mạng cấp 4</v>
      </c>
    </row>
    <row r="1274" spans="1:36" x14ac:dyDescent="0.25">
      <c r="A1274" s="1" t="s">
        <v>12297</v>
      </c>
      <c r="B1274" s="1" t="s">
        <v>12285</v>
      </c>
      <c r="C1274" s="1" t="s">
        <v>12286</v>
      </c>
      <c r="D1274" s="1" t="s">
        <v>12298</v>
      </c>
      <c r="E1274" s="1" t="s">
        <v>12299</v>
      </c>
      <c r="F1274" s="1" t="s">
        <v>12300</v>
      </c>
      <c r="G1274" s="1" t="s">
        <v>14129</v>
      </c>
      <c r="H1274" s="1" t="s">
        <v>14133</v>
      </c>
      <c r="I1274" s="1" t="s">
        <v>15377</v>
      </c>
      <c r="J1274" s="1" t="s">
        <v>23</v>
      </c>
      <c r="K1274" s="1"/>
      <c r="L1274" s="1" t="s">
        <v>12290</v>
      </c>
      <c r="M1274" s="1" t="s">
        <v>12301</v>
      </c>
      <c r="N1274" s="1" t="s">
        <v>3892</v>
      </c>
      <c r="O1274" s="1" t="s">
        <v>12291</v>
      </c>
      <c r="P1274" s="1" t="s">
        <v>12292</v>
      </c>
      <c r="Q1274" s="1" t="s">
        <v>12302</v>
      </c>
      <c r="R1274" s="1" t="s">
        <v>12303</v>
      </c>
      <c r="S1274" s="1" t="s">
        <v>12304</v>
      </c>
      <c r="T1274" s="1" t="s">
        <v>12296</v>
      </c>
      <c r="U1274">
        <v>40.75</v>
      </c>
      <c r="V1274">
        <v>2.48</v>
      </c>
      <c r="W1274">
        <v>15.886374</v>
      </c>
      <c r="X1274">
        <v>108.36251799999999</v>
      </c>
      <c r="Y1274">
        <v>38.270000000000003</v>
      </c>
      <c r="Z1274">
        <v>15.881281</v>
      </c>
      <c r="AA1274">
        <v>108.343457</v>
      </c>
      <c r="AB1274" s="5">
        <f t="shared" si="115"/>
        <v>3.7199999999999998E-3</v>
      </c>
      <c r="AC1274" s="5">
        <f t="shared" si="116"/>
        <v>5.7404999999999998E-2</v>
      </c>
      <c r="AD1274" s="1" t="str">
        <f t="shared" si="117"/>
        <v>Hội An Đông</v>
      </c>
      <c r="AE1274" s="1" t="str">
        <f t="shared" si="118"/>
        <v>TTCMKV Hội An</v>
      </c>
      <c r="AG1274">
        <f t="shared" si="119"/>
        <v>2.48E-3</v>
      </c>
      <c r="AH1274">
        <f t="shared" si="120"/>
        <v>3.8270000000000005E-2</v>
      </c>
      <c r="AI1274">
        <f>VLOOKUP(L1274,'[1]Tuyến cáp H04'!$B:$E,3,0)/1000</f>
        <v>5.12</v>
      </c>
      <c r="AJ1274" t="str">
        <f>VLOOKUP(L1274,'[1]Tuyến cáp H04'!$B:$E,4,0)</f>
        <v>Mạng cấp 4</v>
      </c>
    </row>
    <row r="1275" spans="1:36" x14ac:dyDescent="0.25">
      <c r="A1275" s="1" t="s">
        <v>12305</v>
      </c>
      <c r="B1275" s="1" t="s">
        <v>12306</v>
      </c>
      <c r="C1275" s="1" t="s">
        <v>12307</v>
      </c>
      <c r="D1275" s="1" t="s">
        <v>12308</v>
      </c>
      <c r="E1275" s="1" t="s">
        <v>12309</v>
      </c>
      <c r="F1275" s="1" t="s">
        <v>12310</v>
      </c>
      <c r="G1275" s="1" t="s">
        <v>14129</v>
      </c>
      <c r="H1275" s="1" t="s">
        <v>14130</v>
      </c>
      <c r="I1275" s="1" t="s">
        <v>15378</v>
      </c>
      <c r="J1275" s="1" t="s">
        <v>23</v>
      </c>
      <c r="K1275" s="1"/>
      <c r="L1275" s="1" t="s">
        <v>4613</v>
      </c>
      <c r="M1275" s="1" t="s">
        <v>12311</v>
      </c>
      <c r="N1275" s="1" t="s">
        <v>12312</v>
      </c>
      <c r="O1275" s="1" t="s">
        <v>12313</v>
      </c>
      <c r="P1275" s="1" t="s">
        <v>12314</v>
      </c>
      <c r="Q1275" s="1" t="s">
        <v>12315</v>
      </c>
      <c r="R1275" s="1" t="s">
        <v>12316</v>
      </c>
      <c r="S1275" s="1" t="s">
        <v>12317</v>
      </c>
      <c r="T1275" s="1" t="s">
        <v>4621</v>
      </c>
      <c r="U1275">
        <v>239.53</v>
      </c>
      <c r="V1275">
        <v>141.94</v>
      </c>
      <c r="W1275">
        <v>15.524393</v>
      </c>
      <c r="X1275">
        <v>108.418333</v>
      </c>
      <c r="Y1275">
        <v>97.6</v>
      </c>
      <c r="Z1275">
        <v>15.518005</v>
      </c>
      <c r="AA1275">
        <v>108.40134</v>
      </c>
      <c r="AB1275" s="5">
        <f t="shared" si="115"/>
        <v>0.21290999999999999</v>
      </c>
      <c r="AC1275" s="5">
        <f t="shared" si="116"/>
        <v>0.14639999999999997</v>
      </c>
      <c r="AD1275" s="1" t="str">
        <f t="shared" si="117"/>
        <v>Bắc Trà My</v>
      </c>
      <c r="AE1275" s="1" t="str">
        <f t="shared" si="118"/>
        <v>Phú Ninh</v>
      </c>
      <c r="AG1275">
        <f t="shared" si="119"/>
        <v>0.14194000000000001</v>
      </c>
      <c r="AH1275">
        <f t="shared" si="120"/>
        <v>9.7599999999999992E-2</v>
      </c>
      <c r="AI1275">
        <f>VLOOKUP(L1275,'[1]Tuyến cáp H04'!$B:$E,3,0)/1000</f>
        <v>44.34</v>
      </c>
      <c r="AJ1275" t="str">
        <f>VLOOKUP(L1275,'[1]Tuyến cáp H04'!$B:$E,4,0)</f>
        <v>Mạng cấp 3</v>
      </c>
    </row>
    <row r="1276" spans="1:36" x14ac:dyDescent="0.25">
      <c r="A1276" s="1" t="s">
        <v>12318</v>
      </c>
      <c r="B1276" s="1" t="s">
        <v>12306</v>
      </c>
      <c r="C1276" s="1" t="s">
        <v>12307</v>
      </c>
      <c r="D1276" s="1" t="s">
        <v>12319</v>
      </c>
      <c r="E1276" s="1" t="s">
        <v>12320</v>
      </c>
      <c r="F1276" s="1" t="s">
        <v>12321</v>
      </c>
      <c r="G1276" s="1" t="s">
        <v>14129</v>
      </c>
      <c r="H1276" s="1" t="s">
        <v>14532</v>
      </c>
      <c r="I1276" s="1" t="s">
        <v>15379</v>
      </c>
      <c r="J1276" s="1" t="s">
        <v>23</v>
      </c>
      <c r="K1276" s="1"/>
      <c r="L1276" s="1" t="s">
        <v>12322</v>
      </c>
      <c r="M1276" s="1" t="s">
        <v>12323</v>
      </c>
      <c r="N1276" s="1" t="s">
        <v>12324</v>
      </c>
      <c r="O1276" s="1" t="s">
        <v>12325</v>
      </c>
      <c r="P1276" s="1" t="s">
        <v>12326</v>
      </c>
      <c r="Q1276" s="1" t="s">
        <v>12327</v>
      </c>
      <c r="R1276" s="1" t="s">
        <v>12328</v>
      </c>
      <c r="S1276" s="1" t="s">
        <v>12329</v>
      </c>
      <c r="T1276" s="1" t="s">
        <v>12330</v>
      </c>
      <c r="U1276">
        <v>512.29</v>
      </c>
      <c r="V1276">
        <v>293.67</v>
      </c>
      <c r="W1276">
        <v>15.525581000000001</v>
      </c>
      <c r="X1276">
        <v>108.421014</v>
      </c>
      <c r="Y1276">
        <v>218.61</v>
      </c>
      <c r="Z1276">
        <v>15.538947</v>
      </c>
      <c r="AA1276">
        <v>108.425337</v>
      </c>
      <c r="AB1276" s="5">
        <f t="shared" si="115"/>
        <v>0.44050499999999998</v>
      </c>
      <c r="AC1276" s="5">
        <f t="shared" si="116"/>
        <v>0.32791500000000001</v>
      </c>
      <c r="AD1276" s="1" t="str">
        <f t="shared" si="117"/>
        <v>Chiên Đàn</v>
      </c>
      <c r="AE1276" s="1" t="str">
        <f t="shared" si="118"/>
        <v>Phú Ninh</v>
      </c>
      <c r="AG1276">
        <f t="shared" si="119"/>
        <v>0.29367000000000004</v>
      </c>
      <c r="AH1276">
        <f t="shared" si="120"/>
        <v>0.21861000000000003</v>
      </c>
      <c r="AI1276">
        <f>VLOOKUP(L1276,'[1]Tuyến cáp H04'!$B:$E,3,0)/1000</f>
        <v>4.9809999999999999</v>
      </c>
      <c r="AJ1276" t="str">
        <f>VLOOKUP(L1276,'[1]Tuyến cáp H04'!$B:$E,4,0)</f>
        <v>Mạng cấp 4</v>
      </c>
    </row>
    <row r="1277" spans="1:36" x14ac:dyDescent="0.25">
      <c r="A1277" s="1" t="s">
        <v>12331</v>
      </c>
      <c r="B1277" s="1" t="s">
        <v>12306</v>
      </c>
      <c r="C1277" s="1" t="s">
        <v>12307</v>
      </c>
      <c r="D1277" s="1" t="s">
        <v>12332</v>
      </c>
      <c r="E1277" s="1" t="s">
        <v>12333</v>
      </c>
      <c r="F1277" s="1" t="s">
        <v>12334</v>
      </c>
      <c r="G1277" s="1" t="s">
        <v>14129</v>
      </c>
      <c r="H1277" s="1" t="s">
        <v>14532</v>
      </c>
      <c r="I1277" s="1" t="s">
        <v>15380</v>
      </c>
      <c r="J1277" s="1" t="s">
        <v>23</v>
      </c>
      <c r="K1277" s="1"/>
      <c r="L1277" s="1" t="s">
        <v>12335</v>
      </c>
      <c r="M1277" s="1" t="s">
        <v>12336</v>
      </c>
      <c r="N1277" s="1" t="s">
        <v>12337</v>
      </c>
      <c r="O1277" s="1" t="s">
        <v>12338</v>
      </c>
      <c r="P1277" s="1" t="s">
        <v>12339</v>
      </c>
      <c r="Q1277" s="1" t="s">
        <v>12340</v>
      </c>
      <c r="R1277" s="1" t="s">
        <v>12341</v>
      </c>
      <c r="S1277" s="1" t="s">
        <v>12342</v>
      </c>
      <c r="T1277" s="1" t="s">
        <v>12343</v>
      </c>
      <c r="U1277">
        <v>1997.04</v>
      </c>
      <c r="V1277">
        <v>44.75</v>
      </c>
      <c r="W1277">
        <v>15.523185</v>
      </c>
      <c r="X1277">
        <v>108.419532</v>
      </c>
      <c r="Y1277">
        <v>1952.29</v>
      </c>
      <c r="Z1277">
        <v>15.54416</v>
      </c>
      <c r="AA1277">
        <v>108.459559</v>
      </c>
      <c r="AB1277" s="5">
        <f t="shared" si="115"/>
        <v>6.7125000000000004E-2</v>
      </c>
      <c r="AC1277" s="5">
        <f t="shared" si="116"/>
        <v>2.9284349999999999</v>
      </c>
      <c r="AD1277" s="1" t="str">
        <f t="shared" si="117"/>
        <v>Phú Ninh</v>
      </c>
      <c r="AE1277" s="1" t="str">
        <f t="shared" si="118"/>
        <v>Hương Trà</v>
      </c>
      <c r="AG1277">
        <f t="shared" si="119"/>
        <v>4.4749999999999998E-2</v>
      </c>
      <c r="AH1277">
        <f t="shared" si="120"/>
        <v>1.9522899999999999</v>
      </c>
      <c r="AI1277">
        <f>VLOOKUP(L1277,'[1]Tuyến cáp H04'!$B:$E,3,0)/1000</f>
        <v>9.7129999999999992</v>
      </c>
      <c r="AJ1277" t="str">
        <f>VLOOKUP(L1277,'[1]Tuyến cáp H04'!$B:$E,4,0)</f>
        <v>Mạng cấp 4</v>
      </c>
    </row>
    <row r="1278" spans="1:36" x14ac:dyDescent="0.25">
      <c r="A1278" s="1" t="s">
        <v>12344</v>
      </c>
      <c r="B1278" s="1" t="s">
        <v>12306</v>
      </c>
      <c r="C1278" s="1" t="s">
        <v>12307</v>
      </c>
      <c r="D1278" s="1" t="s">
        <v>12345</v>
      </c>
      <c r="E1278" s="1" t="s">
        <v>12346</v>
      </c>
      <c r="F1278" s="1" t="s">
        <v>12347</v>
      </c>
      <c r="G1278" s="1" t="s">
        <v>14129</v>
      </c>
      <c r="H1278" s="1" t="s">
        <v>14532</v>
      </c>
      <c r="I1278" s="1" t="s">
        <v>15381</v>
      </c>
      <c r="J1278" s="1" t="s">
        <v>23</v>
      </c>
      <c r="K1278" s="1"/>
      <c r="L1278" s="1" t="s">
        <v>12335</v>
      </c>
      <c r="M1278" s="1" t="s">
        <v>12348</v>
      </c>
      <c r="N1278" s="1" t="s">
        <v>12337</v>
      </c>
      <c r="O1278" s="1" t="s">
        <v>12338</v>
      </c>
      <c r="P1278" s="1" t="s">
        <v>12339</v>
      </c>
      <c r="Q1278" s="1" t="s">
        <v>12349</v>
      </c>
      <c r="R1278" s="1" t="s">
        <v>12350</v>
      </c>
      <c r="S1278" s="1" t="s">
        <v>12351</v>
      </c>
      <c r="T1278" s="1" t="s">
        <v>12343</v>
      </c>
      <c r="U1278">
        <v>904.06</v>
      </c>
      <c r="V1278">
        <v>44.75</v>
      </c>
      <c r="W1278">
        <v>15.523185</v>
      </c>
      <c r="X1278">
        <v>108.419532</v>
      </c>
      <c r="Y1278">
        <v>859.31</v>
      </c>
      <c r="Z1278">
        <v>15.521298</v>
      </c>
      <c r="AA1278">
        <v>108.421182</v>
      </c>
      <c r="AB1278" s="5">
        <f t="shared" si="115"/>
        <v>6.7125000000000004E-2</v>
      </c>
      <c r="AC1278" s="5">
        <f t="shared" si="116"/>
        <v>1.2889649999999999</v>
      </c>
      <c r="AD1278" s="1" t="str">
        <f t="shared" si="117"/>
        <v>Phú Ninh</v>
      </c>
      <c r="AE1278" s="1" t="str">
        <f t="shared" si="118"/>
        <v>Hương Trà</v>
      </c>
      <c r="AG1278">
        <f t="shared" si="119"/>
        <v>4.4749999999999998E-2</v>
      </c>
      <c r="AH1278">
        <f t="shared" si="120"/>
        <v>0.85930999999999991</v>
      </c>
      <c r="AI1278">
        <f>VLOOKUP(L1278,'[1]Tuyến cáp H04'!$B:$E,3,0)/1000</f>
        <v>9.7129999999999992</v>
      </c>
      <c r="AJ1278" t="str">
        <f>VLOOKUP(L1278,'[1]Tuyến cáp H04'!$B:$E,4,0)</f>
        <v>Mạng cấp 4</v>
      </c>
    </row>
    <row r="1279" spans="1:36" x14ac:dyDescent="0.25">
      <c r="A1279" s="1" t="s">
        <v>12352</v>
      </c>
      <c r="B1279" s="1" t="s">
        <v>12306</v>
      </c>
      <c r="C1279" s="1" t="s">
        <v>12307</v>
      </c>
      <c r="D1279" s="1" t="s">
        <v>11630</v>
      </c>
      <c r="E1279" s="1" t="s">
        <v>11631</v>
      </c>
      <c r="F1279" s="1" t="s">
        <v>12353</v>
      </c>
      <c r="G1279" s="1" t="s">
        <v>14129</v>
      </c>
      <c r="H1279" s="1" t="s">
        <v>14532</v>
      </c>
      <c r="I1279" s="1" t="s">
        <v>15382</v>
      </c>
      <c r="J1279" s="1" t="s">
        <v>23</v>
      </c>
      <c r="K1279" s="1"/>
      <c r="L1279" s="1" t="s">
        <v>12354</v>
      </c>
      <c r="M1279" s="1" t="s">
        <v>12355</v>
      </c>
      <c r="N1279" s="1" t="s">
        <v>12356</v>
      </c>
      <c r="O1279" s="1" t="s">
        <v>12357</v>
      </c>
      <c r="P1279" s="1" t="s">
        <v>12358</v>
      </c>
      <c r="Q1279" s="1" t="s">
        <v>12359</v>
      </c>
      <c r="R1279" s="1" t="s">
        <v>12360</v>
      </c>
      <c r="S1279" s="1" t="s">
        <v>12361</v>
      </c>
      <c r="T1279" s="1" t="s">
        <v>12362</v>
      </c>
      <c r="U1279">
        <v>628.91999999999996</v>
      </c>
      <c r="V1279">
        <v>558.49</v>
      </c>
      <c r="W1279">
        <v>15.528066000000001</v>
      </c>
      <c r="X1279">
        <v>108.421516</v>
      </c>
      <c r="Y1279">
        <v>70.430000000000007</v>
      </c>
      <c r="Z1279">
        <v>15.548544</v>
      </c>
      <c r="AA1279">
        <v>108.494412</v>
      </c>
      <c r="AB1279" s="5">
        <f t="shared" si="115"/>
        <v>0.83773500000000001</v>
      </c>
      <c r="AC1279" s="5">
        <f t="shared" si="116"/>
        <v>0.10564500000000002</v>
      </c>
      <c r="AD1279" s="1" t="str">
        <f t="shared" si="117"/>
        <v>Đức phú</v>
      </c>
      <c r="AE1279" s="1" t="str">
        <f t="shared" si="118"/>
        <v>Phú Ninh</v>
      </c>
      <c r="AG1279">
        <f t="shared" si="119"/>
        <v>0.55849000000000004</v>
      </c>
      <c r="AH1279">
        <f t="shared" si="120"/>
        <v>7.0430000000000006E-2</v>
      </c>
      <c r="AI1279" t="e">
        <f>VLOOKUP(L1279,'[1]Tuyến cáp H04'!$B:$E,3,0)/1000</f>
        <v>#N/A</v>
      </c>
      <c r="AJ1279" t="e">
        <f>VLOOKUP(L1279,'[1]Tuyến cáp H04'!$B:$E,4,0)</f>
        <v>#N/A</v>
      </c>
    </row>
    <row r="1280" spans="1:36" x14ac:dyDescent="0.25">
      <c r="A1280" s="1" t="s">
        <v>12363</v>
      </c>
      <c r="B1280" s="1" t="s">
        <v>12306</v>
      </c>
      <c r="C1280" s="1" t="s">
        <v>12307</v>
      </c>
      <c r="D1280" s="1" t="s">
        <v>12364</v>
      </c>
      <c r="E1280" s="1" t="s">
        <v>12365</v>
      </c>
      <c r="F1280" s="1" t="s">
        <v>12366</v>
      </c>
      <c r="G1280" s="1" t="s">
        <v>14129</v>
      </c>
      <c r="H1280" s="1" t="s">
        <v>14532</v>
      </c>
      <c r="I1280" s="1" t="s">
        <v>15383</v>
      </c>
      <c r="J1280" s="1" t="s">
        <v>23</v>
      </c>
      <c r="K1280" s="1"/>
      <c r="L1280" s="1" t="s">
        <v>4613</v>
      </c>
      <c r="M1280" s="1" t="s">
        <v>12367</v>
      </c>
      <c r="N1280" s="1" t="s">
        <v>12312</v>
      </c>
      <c r="O1280" s="1" t="s">
        <v>12313</v>
      </c>
      <c r="P1280" s="1" t="s">
        <v>12314</v>
      </c>
      <c r="Q1280" s="1" t="s">
        <v>12368</v>
      </c>
      <c r="R1280" s="1" t="s">
        <v>12369</v>
      </c>
      <c r="S1280" s="1" t="s">
        <v>12370</v>
      </c>
      <c r="T1280" s="1" t="s">
        <v>4621</v>
      </c>
      <c r="U1280">
        <v>1915.07</v>
      </c>
      <c r="V1280">
        <v>141.94</v>
      </c>
      <c r="W1280">
        <v>15.524393</v>
      </c>
      <c r="X1280">
        <v>108.418333</v>
      </c>
      <c r="Y1280">
        <v>1773.13</v>
      </c>
      <c r="Z1280">
        <v>15.550876000000001</v>
      </c>
      <c r="AA1280">
        <v>108.41363200000001</v>
      </c>
      <c r="AB1280" s="5">
        <f t="shared" si="115"/>
        <v>0.21290999999999999</v>
      </c>
      <c r="AC1280" s="5">
        <f t="shared" si="116"/>
        <v>2.6596950000000001</v>
      </c>
      <c r="AD1280" s="1" t="str">
        <f t="shared" si="117"/>
        <v>Bắc Trà My</v>
      </c>
      <c r="AE1280" s="1" t="str">
        <f t="shared" si="118"/>
        <v>Phú Ninh</v>
      </c>
      <c r="AG1280">
        <f t="shared" si="119"/>
        <v>0.14194000000000001</v>
      </c>
      <c r="AH1280">
        <f t="shared" si="120"/>
        <v>1.7731300000000001</v>
      </c>
      <c r="AI1280">
        <f>VLOOKUP(L1280,'[1]Tuyến cáp H04'!$B:$E,3,0)/1000</f>
        <v>44.34</v>
      </c>
      <c r="AJ1280" t="str">
        <f>VLOOKUP(L1280,'[1]Tuyến cáp H04'!$B:$E,4,0)</f>
        <v>Mạng cấp 3</v>
      </c>
    </row>
    <row r="1281" spans="1:36" x14ac:dyDescent="0.25">
      <c r="A1281" s="1" t="s">
        <v>12371</v>
      </c>
      <c r="B1281" s="1" t="s">
        <v>11396</v>
      </c>
      <c r="C1281" s="1" t="s">
        <v>11397</v>
      </c>
      <c r="D1281" s="1" t="s">
        <v>12372</v>
      </c>
      <c r="E1281" s="1" t="s">
        <v>12373</v>
      </c>
      <c r="F1281" s="1" t="s">
        <v>12374</v>
      </c>
      <c r="G1281" s="1" t="s">
        <v>14129</v>
      </c>
      <c r="H1281" s="1" t="s">
        <v>14130</v>
      </c>
      <c r="I1281" s="1" t="s">
        <v>15384</v>
      </c>
      <c r="J1281" s="1" t="s">
        <v>23</v>
      </c>
      <c r="K1281" s="1"/>
      <c r="L1281" s="1" t="s">
        <v>12375</v>
      </c>
      <c r="M1281" s="1" t="s">
        <v>12376</v>
      </c>
      <c r="N1281" s="1" t="s">
        <v>12377</v>
      </c>
      <c r="O1281" s="1" t="s">
        <v>12378</v>
      </c>
      <c r="P1281" s="1" t="s">
        <v>12379</v>
      </c>
      <c r="Q1281" s="1" t="s">
        <v>12380</v>
      </c>
      <c r="R1281" s="1" t="s">
        <v>12381</v>
      </c>
      <c r="S1281" s="1" t="s">
        <v>12382</v>
      </c>
      <c r="T1281" s="1" t="s">
        <v>12383</v>
      </c>
      <c r="U1281">
        <v>460.28</v>
      </c>
      <c r="V1281">
        <v>72.98</v>
      </c>
      <c r="W1281">
        <v>15.736276</v>
      </c>
      <c r="X1281">
        <v>108.28871100000001</v>
      </c>
      <c r="Y1281">
        <v>387.3</v>
      </c>
      <c r="Z1281">
        <v>15.729505</v>
      </c>
      <c r="AA1281">
        <v>108.278774</v>
      </c>
      <c r="AB1281" s="5">
        <f t="shared" si="115"/>
        <v>0.10947</v>
      </c>
      <c r="AC1281" s="5">
        <f t="shared" si="116"/>
        <v>0.58095000000000008</v>
      </c>
      <c r="AD1281" s="1" t="str">
        <f t="shared" si="117"/>
        <v>Quế Sơn</v>
      </c>
      <c r="AE1281" s="1" t="str">
        <f t="shared" si="118"/>
        <v>Quế Sơn Trung</v>
      </c>
      <c r="AG1281">
        <f t="shared" si="119"/>
        <v>7.2980000000000003E-2</v>
      </c>
      <c r="AH1281">
        <f t="shared" si="120"/>
        <v>0.38730000000000003</v>
      </c>
      <c r="AI1281">
        <f>VLOOKUP(L1281,'[1]Tuyến cáp H04'!$B:$E,3,0)/1000</f>
        <v>12.003</v>
      </c>
      <c r="AJ1281" t="str">
        <f>VLOOKUP(L1281,'[1]Tuyến cáp H04'!$B:$E,4,0)</f>
        <v>Mạng cấp 4</v>
      </c>
    </row>
    <row r="1282" spans="1:36" x14ac:dyDescent="0.25">
      <c r="A1282" s="1" t="s">
        <v>12384</v>
      </c>
      <c r="B1282" s="1" t="s">
        <v>11396</v>
      </c>
      <c r="C1282" s="1" t="s">
        <v>11397</v>
      </c>
      <c r="D1282" s="1" t="s">
        <v>12385</v>
      </c>
      <c r="E1282" s="1" t="s">
        <v>12386</v>
      </c>
      <c r="F1282" s="1" t="s">
        <v>12387</v>
      </c>
      <c r="G1282" s="1" t="s">
        <v>14129</v>
      </c>
      <c r="H1282" s="1" t="s">
        <v>14532</v>
      </c>
      <c r="I1282" s="1" t="s">
        <v>15385</v>
      </c>
      <c r="J1282" s="1" t="s">
        <v>23</v>
      </c>
      <c r="K1282" s="1"/>
      <c r="L1282" s="1" t="s">
        <v>12375</v>
      </c>
      <c r="M1282" s="1" t="s">
        <v>12388</v>
      </c>
      <c r="N1282" s="1" t="s">
        <v>12377</v>
      </c>
      <c r="O1282" s="1" t="s">
        <v>12378</v>
      </c>
      <c r="P1282" s="1" t="s">
        <v>12379</v>
      </c>
      <c r="Q1282" s="1" t="s">
        <v>12389</v>
      </c>
      <c r="R1282" s="1" t="s">
        <v>12390</v>
      </c>
      <c r="S1282" s="1" t="s">
        <v>12391</v>
      </c>
      <c r="T1282" s="1" t="s">
        <v>12383</v>
      </c>
      <c r="U1282">
        <v>4995.92</v>
      </c>
      <c r="V1282">
        <v>72.98</v>
      </c>
      <c r="W1282">
        <v>15.736276</v>
      </c>
      <c r="X1282">
        <v>108.28871100000001</v>
      </c>
      <c r="Y1282">
        <v>4922.9399999999996</v>
      </c>
      <c r="Z1282">
        <v>15.670724</v>
      </c>
      <c r="AA1282">
        <v>108.213151</v>
      </c>
      <c r="AB1282" s="5">
        <f t="shared" si="115"/>
        <v>0.10947</v>
      </c>
      <c r="AC1282" s="5">
        <f t="shared" si="116"/>
        <v>7.3844099999999999</v>
      </c>
      <c r="AD1282" s="1" t="str">
        <f t="shared" si="117"/>
        <v>Quế Sơn</v>
      </c>
      <c r="AE1282" s="1" t="str">
        <f t="shared" si="118"/>
        <v>Quế Sơn Trung</v>
      </c>
      <c r="AG1282">
        <f t="shared" si="119"/>
        <v>7.2980000000000003E-2</v>
      </c>
      <c r="AH1282">
        <f t="shared" si="120"/>
        <v>4.9229399999999996</v>
      </c>
      <c r="AI1282">
        <f>VLOOKUP(L1282,'[1]Tuyến cáp H04'!$B:$E,3,0)/1000</f>
        <v>12.003</v>
      </c>
      <c r="AJ1282" t="str">
        <f>VLOOKUP(L1282,'[1]Tuyến cáp H04'!$B:$E,4,0)</f>
        <v>Mạng cấp 4</v>
      </c>
    </row>
    <row r="1283" spans="1:36" x14ac:dyDescent="0.25">
      <c r="A1283" s="1" t="s">
        <v>12392</v>
      </c>
      <c r="B1283" s="1" t="s">
        <v>11396</v>
      </c>
      <c r="C1283" s="1" t="s">
        <v>11397</v>
      </c>
      <c r="D1283" s="1" t="s">
        <v>12393</v>
      </c>
      <c r="E1283" s="1" t="s">
        <v>12394</v>
      </c>
      <c r="F1283" s="1" t="s">
        <v>12395</v>
      </c>
      <c r="G1283" s="1" t="s">
        <v>14129</v>
      </c>
      <c r="H1283" s="1" t="s">
        <v>14532</v>
      </c>
      <c r="I1283" s="1" t="s">
        <v>15386</v>
      </c>
      <c r="J1283" s="1" t="s">
        <v>23</v>
      </c>
      <c r="K1283" s="1"/>
      <c r="L1283" s="1" t="s">
        <v>12396</v>
      </c>
      <c r="M1283" s="1" t="s">
        <v>12397</v>
      </c>
      <c r="N1283" s="1" t="s">
        <v>12398</v>
      </c>
      <c r="O1283" s="1" t="s">
        <v>12399</v>
      </c>
      <c r="P1283" s="1" t="s">
        <v>12400</v>
      </c>
      <c r="Q1283" s="1" t="s">
        <v>12401</v>
      </c>
      <c r="R1283" s="1" t="s">
        <v>12402</v>
      </c>
      <c r="S1283" s="1" t="s">
        <v>12403</v>
      </c>
      <c r="T1283" s="1" t="s">
        <v>12404</v>
      </c>
      <c r="U1283">
        <v>789.81</v>
      </c>
      <c r="V1283">
        <v>737.28</v>
      </c>
      <c r="W1283">
        <v>15.740909</v>
      </c>
      <c r="X1283">
        <v>108.29385499999999</v>
      </c>
      <c r="Y1283">
        <v>52.52</v>
      </c>
      <c r="Z1283">
        <v>15.732188000000001</v>
      </c>
      <c r="AA1283">
        <v>108.306318</v>
      </c>
      <c r="AB1283" s="5">
        <f t="shared" ref="AB1283:AB1346" si="121">V1283*1.5/1000</f>
        <v>1.10592</v>
      </c>
      <c r="AC1283" s="5">
        <f t="shared" ref="AC1283:AC1346" si="122">Y1283*1.5/1000</f>
        <v>7.8780000000000003E-2</v>
      </c>
      <c r="AD1283" s="1" t="str">
        <f t="shared" ref="AD1283:AD1346" si="123">TRIM(LEFT(L1283,FIND("-",L1283)-1))</f>
        <v>Quế Sơn Trung</v>
      </c>
      <c r="AE1283" s="1" t="str">
        <f t="shared" ref="AE1283:AE1346" si="124">TRIM(RIGHT(L1283, LEN(L1283) - FIND("-", L1283)))</f>
        <v>TTCMKV Thăng
 Bình</v>
      </c>
      <c r="AG1283">
        <f t="shared" ref="AG1283:AG1346" si="125">V1283/1000</f>
        <v>0.73727999999999994</v>
      </c>
      <c r="AH1283">
        <f t="shared" ref="AH1283:AH1346" si="126">Y1283/1000</f>
        <v>5.2520000000000004E-2</v>
      </c>
      <c r="AI1283" t="e">
        <f>VLOOKUP(L1283,'[1]Tuyến cáp H04'!$B:$E,3,0)/1000</f>
        <v>#N/A</v>
      </c>
      <c r="AJ1283" t="e">
        <f>VLOOKUP(L1283,'[1]Tuyến cáp H04'!$B:$E,4,0)</f>
        <v>#N/A</v>
      </c>
    </row>
    <row r="1284" spans="1:36" x14ac:dyDescent="0.25">
      <c r="A1284" s="1" t="s">
        <v>12405</v>
      </c>
      <c r="B1284" s="1" t="s">
        <v>11396</v>
      </c>
      <c r="C1284" s="1" t="s">
        <v>11397</v>
      </c>
      <c r="D1284" s="1" t="s">
        <v>11355</v>
      </c>
      <c r="E1284" s="1" t="s">
        <v>11356</v>
      </c>
      <c r="F1284" s="1" t="s">
        <v>11398</v>
      </c>
      <c r="G1284" s="1"/>
      <c r="H1284" s="1" t="s">
        <v>14133</v>
      </c>
      <c r="I1284" s="1" t="s">
        <v>15288</v>
      </c>
      <c r="J1284" s="1" t="s">
        <v>23</v>
      </c>
      <c r="K1284" s="1"/>
      <c r="L1284" s="1" t="s">
        <v>11360</v>
      </c>
      <c r="M1284" s="1" t="s">
        <v>11399</v>
      </c>
      <c r="N1284" s="1" t="s">
        <v>11400</v>
      </c>
      <c r="O1284" s="1" t="s">
        <v>11401</v>
      </c>
      <c r="P1284" s="1" t="s">
        <v>11402</v>
      </c>
      <c r="Q1284" s="1" t="s">
        <v>11362</v>
      </c>
      <c r="R1284" s="1" t="s">
        <v>11363</v>
      </c>
      <c r="S1284" s="1" t="s">
        <v>11364</v>
      </c>
      <c r="T1284" s="1" t="s">
        <v>11368</v>
      </c>
      <c r="U1284">
        <v>3862.47</v>
      </c>
      <c r="V1284">
        <v>3791.78</v>
      </c>
      <c r="W1284">
        <v>15.702866</v>
      </c>
      <c r="X1284">
        <v>108.28560899999999</v>
      </c>
      <c r="Y1284">
        <v>70.69</v>
      </c>
      <c r="Z1284">
        <v>15.736033000000001</v>
      </c>
      <c r="AA1284">
        <v>108.352322</v>
      </c>
      <c r="AB1284" s="5">
        <f t="shared" si="121"/>
        <v>5.6876699999999998</v>
      </c>
      <c r="AC1284" s="5">
        <f t="shared" si="122"/>
        <v>0.10603499999999999</v>
      </c>
      <c r="AD1284" s="1" t="str">
        <f t="shared" si="123"/>
        <v>Thăng Bình</v>
      </c>
      <c r="AE1284" s="1" t="str">
        <f t="shared" si="124"/>
        <v>Quế Sơn</v>
      </c>
      <c r="AG1284">
        <f t="shared" si="125"/>
        <v>3.7917800000000002</v>
      </c>
      <c r="AH1284">
        <f t="shared" si="126"/>
        <v>7.0690000000000003E-2</v>
      </c>
      <c r="AI1284">
        <f>VLOOKUP(L1284,'[1]Tuyến cáp H04'!$B:$E,3,0)/1000</f>
        <v>20.538</v>
      </c>
      <c r="AJ1284" t="str">
        <f>VLOOKUP(L1284,'[1]Tuyến cáp H04'!$B:$E,4,0)</f>
        <v>Mạng cấp 3</v>
      </c>
    </row>
    <row r="1285" spans="1:36" x14ac:dyDescent="0.25">
      <c r="A1285" s="1" t="s">
        <v>12406</v>
      </c>
      <c r="B1285" s="1" t="s">
        <v>11396</v>
      </c>
      <c r="C1285" s="1" t="s">
        <v>11397</v>
      </c>
      <c r="D1285" s="1" t="s">
        <v>12407</v>
      </c>
      <c r="E1285" s="1" t="s">
        <v>12408</v>
      </c>
      <c r="F1285" s="1" t="s">
        <v>12409</v>
      </c>
      <c r="G1285" s="1" t="s">
        <v>14129</v>
      </c>
      <c r="H1285" s="1" t="s">
        <v>14133</v>
      </c>
      <c r="I1285" s="1" t="s">
        <v>15387</v>
      </c>
      <c r="J1285" s="1" t="s">
        <v>23</v>
      </c>
      <c r="K1285" s="1"/>
      <c r="L1285" s="1" t="s">
        <v>12410</v>
      </c>
      <c r="M1285" s="1" t="s">
        <v>12411</v>
      </c>
      <c r="N1285" s="1" t="s">
        <v>12412</v>
      </c>
      <c r="O1285" s="1" t="s">
        <v>11389</v>
      </c>
      <c r="P1285" s="1" t="s">
        <v>12413</v>
      </c>
      <c r="Q1285" s="1" t="s">
        <v>12414</v>
      </c>
      <c r="R1285" s="1" t="s">
        <v>12415</v>
      </c>
      <c r="S1285" s="1" t="s">
        <v>12416</v>
      </c>
      <c r="T1285" s="1" t="s">
        <v>12417</v>
      </c>
      <c r="U1285">
        <v>634.34</v>
      </c>
      <c r="V1285">
        <v>150.32</v>
      </c>
      <c r="W1285">
        <v>15.736057000000001</v>
      </c>
      <c r="X1285">
        <v>108.28953</v>
      </c>
      <c r="Y1285">
        <v>484.02</v>
      </c>
      <c r="Z1285">
        <v>15.750251</v>
      </c>
      <c r="AA1285">
        <v>108.299021</v>
      </c>
      <c r="AB1285" s="5">
        <f t="shared" si="121"/>
        <v>0.22547999999999999</v>
      </c>
      <c r="AC1285" s="5">
        <f t="shared" si="122"/>
        <v>0.72602999999999995</v>
      </c>
      <c r="AD1285" s="1" t="str">
        <f t="shared" si="123"/>
        <v>Quế Sơn</v>
      </c>
      <c r="AE1285" s="1" t="str">
        <f t="shared" si="124"/>
        <v>Đại Lộc</v>
      </c>
      <c r="AG1285">
        <f t="shared" si="125"/>
        <v>0.15031999999999998</v>
      </c>
      <c r="AH1285">
        <f t="shared" si="126"/>
        <v>0.48402000000000001</v>
      </c>
      <c r="AI1285">
        <f>VLOOKUP(L1285,'[1]Tuyến cáp H04'!$B:$E,3,0)/1000</f>
        <v>47.832000000000001</v>
      </c>
      <c r="AJ1285" t="str">
        <f>VLOOKUP(L1285,'[1]Tuyến cáp H04'!$B:$E,4,0)</f>
        <v>Mạng cấp 3</v>
      </c>
    </row>
    <row r="1286" spans="1:36" x14ac:dyDescent="0.25">
      <c r="A1286" s="1" t="s">
        <v>12418</v>
      </c>
      <c r="B1286" s="1" t="s">
        <v>11396</v>
      </c>
      <c r="C1286" s="1" t="s">
        <v>11397</v>
      </c>
      <c r="D1286" s="1" t="s">
        <v>12419</v>
      </c>
      <c r="E1286" s="1" t="s">
        <v>12420</v>
      </c>
      <c r="F1286" s="1" t="s">
        <v>12421</v>
      </c>
      <c r="G1286" s="1" t="s">
        <v>14129</v>
      </c>
      <c r="H1286" s="1" t="s">
        <v>14133</v>
      </c>
      <c r="I1286" s="1" t="s">
        <v>15388</v>
      </c>
      <c r="J1286" s="1" t="s">
        <v>23</v>
      </c>
      <c r="K1286" s="1"/>
      <c r="L1286" s="1" t="s">
        <v>12396</v>
      </c>
      <c r="M1286" s="1" t="s">
        <v>12422</v>
      </c>
      <c r="N1286" s="1" t="s">
        <v>12398</v>
      </c>
      <c r="O1286" s="1" t="s">
        <v>12399</v>
      </c>
      <c r="P1286" s="1" t="s">
        <v>12400</v>
      </c>
      <c r="Q1286" s="1" t="s">
        <v>12423</v>
      </c>
      <c r="R1286" s="1" t="s">
        <v>12424</v>
      </c>
      <c r="S1286" s="1" t="s">
        <v>12425</v>
      </c>
      <c r="T1286" s="1" t="s">
        <v>12404</v>
      </c>
      <c r="U1286">
        <v>2252.62</v>
      </c>
      <c r="V1286">
        <v>737.28</v>
      </c>
      <c r="W1286">
        <v>15.740909</v>
      </c>
      <c r="X1286">
        <v>108.29385499999999</v>
      </c>
      <c r="Y1286">
        <v>1515.33</v>
      </c>
      <c r="Z1286">
        <v>15.730776000000001</v>
      </c>
      <c r="AA1286">
        <v>108.302993</v>
      </c>
      <c r="AB1286" s="5">
        <f t="shared" si="121"/>
        <v>1.10592</v>
      </c>
      <c r="AC1286" s="5">
        <f t="shared" si="122"/>
        <v>2.2729949999999999</v>
      </c>
      <c r="AD1286" s="1" t="str">
        <f t="shared" si="123"/>
        <v>Quế Sơn Trung</v>
      </c>
      <c r="AE1286" s="1" t="str">
        <f t="shared" si="124"/>
        <v>TTCMKV Thăng
 Bình</v>
      </c>
      <c r="AG1286">
        <f t="shared" si="125"/>
        <v>0.73727999999999994</v>
      </c>
      <c r="AH1286">
        <f t="shared" si="126"/>
        <v>1.5153299999999998</v>
      </c>
      <c r="AI1286" t="e">
        <f>VLOOKUP(L1286,'[1]Tuyến cáp H04'!$B:$E,3,0)/1000</f>
        <v>#N/A</v>
      </c>
      <c r="AJ1286" t="e">
        <f>VLOOKUP(L1286,'[1]Tuyến cáp H04'!$B:$E,4,0)</f>
        <v>#N/A</v>
      </c>
    </row>
    <row r="1287" spans="1:36" x14ac:dyDescent="0.25">
      <c r="A1287" s="1" t="s">
        <v>12426</v>
      </c>
      <c r="B1287" s="1" t="s">
        <v>12427</v>
      </c>
      <c r="C1287" s="1" t="s">
        <v>12428</v>
      </c>
      <c r="D1287" s="1" t="s">
        <v>11410</v>
      </c>
      <c r="E1287" s="1" t="s">
        <v>11411</v>
      </c>
      <c r="F1287" s="1" t="s">
        <v>12429</v>
      </c>
      <c r="G1287" s="1" t="s">
        <v>14129</v>
      </c>
      <c r="H1287" s="1" t="s">
        <v>14532</v>
      </c>
      <c r="I1287" s="1" t="s">
        <v>15389</v>
      </c>
      <c r="J1287" s="1" t="s">
        <v>23</v>
      </c>
      <c r="K1287" s="1"/>
      <c r="L1287" s="1" t="s">
        <v>12430</v>
      </c>
      <c r="M1287" s="1" t="s">
        <v>12431</v>
      </c>
      <c r="N1287" s="1" t="s">
        <v>1813</v>
      </c>
      <c r="O1287" s="1" t="s">
        <v>12432</v>
      </c>
      <c r="P1287" s="1" t="s">
        <v>12433</v>
      </c>
      <c r="Q1287" s="1" t="s">
        <v>12434</v>
      </c>
      <c r="R1287" s="1" t="s">
        <v>12435</v>
      </c>
      <c r="S1287" s="1" t="s">
        <v>12436</v>
      </c>
      <c r="T1287" s="1" t="s">
        <v>12437</v>
      </c>
      <c r="U1287">
        <v>827.4</v>
      </c>
      <c r="V1287">
        <v>12.27</v>
      </c>
      <c r="W1287">
        <v>15.777139</v>
      </c>
      <c r="X1287">
        <v>108.335114</v>
      </c>
      <c r="Y1287">
        <v>815.13</v>
      </c>
      <c r="Z1287">
        <v>15.776539</v>
      </c>
      <c r="AA1287">
        <v>108.33024899999999</v>
      </c>
      <c r="AB1287" s="5">
        <f t="shared" si="121"/>
        <v>1.8405000000000001E-2</v>
      </c>
      <c r="AC1287" s="5">
        <f t="shared" si="122"/>
        <v>1.2226949999999999</v>
      </c>
      <c r="AD1287" s="1" t="str">
        <f t="shared" si="123"/>
        <v>Nam Phước</v>
      </c>
      <c r="AE1287" s="1" t="str">
        <f t="shared" si="124"/>
        <v>Xuân Phú</v>
      </c>
      <c r="AG1287">
        <f t="shared" si="125"/>
        <v>1.227E-2</v>
      </c>
      <c r="AH1287">
        <f t="shared" si="126"/>
        <v>0.81513000000000002</v>
      </c>
      <c r="AI1287">
        <f>VLOOKUP(L1287,'[1]Tuyến cáp H04'!$B:$E,3,0)/1000</f>
        <v>11.41</v>
      </c>
      <c r="AJ1287" t="str">
        <f>VLOOKUP(L1287,'[1]Tuyến cáp H04'!$B:$E,4,0)</f>
        <v>Mạng cấp 4</v>
      </c>
    </row>
    <row r="1288" spans="1:36" x14ac:dyDescent="0.25">
      <c r="A1288" s="1" t="s">
        <v>12438</v>
      </c>
      <c r="B1288" s="1" t="s">
        <v>11524</v>
      </c>
      <c r="C1288" s="1" t="s">
        <v>11525</v>
      </c>
      <c r="D1288" s="1" t="s">
        <v>12439</v>
      </c>
      <c r="E1288" s="1" t="s">
        <v>12440</v>
      </c>
      <c r="F1288" s="1" t="s">
        <v>12441</v>
      </c>
      <c r="G1288" s="1" t="s">
        <v>14129</v>
      </c>
      <c r="H1288" s="1" t="s">
        <v>14532</v>
      </c>
      <c r="I1288" s="1" t="s">
        <v>15390</v>
      </c>
      <c r="J1288" s="1" t="s">
        <v>23</v>
      </c>
      <c r="K1288" s="1"/>
      <c r="L1288" s="1" t="s">
        <v>11386</v>
      </c>
      <c r="M1288" s="1" t="s">
        <v>12442</v>
      </c>
      <c r="N1288" s="1" t="s">
        <v>2776</v>
      </c>
      <c r="O1288" s="1" t="s">
        <v>12443</v>
      </c>
      <c r="P1288" s="1" t="s">
        <v>12444</v>
      </c>
      <c r="Q1288" s="1" t="s">
        <v>12445</v>
      </c>
      <c r="R1288" s="1" t="s">
        <v>12446</v>
      </c>
      <c r="S1288" s="1" t="s">
        <v>12447</v>
      </c>
      <c r="T1288" s="1" t="s">
        <v>11394</v>
      </c>
      <c r="U1288">
        <v>246.01</v>
      </c>
      <c r="V1288">
        <v>22.9</v>
      </c>
      <c r="W1288">
        <v>15.720181999999999</v>
      </c>
      <c r="X1288">
        <v>108.375708</v>
      </c>
      <c r="Y1288">
        <v>223.11</v>
      </c>
      <c r="Z1288">
        <v>15.720674000000001</v>
      </c>
      <c r="AA1288">
        <v>108.36945900000001</v>
      </c>
      <c r="AB1288" s="5">
        <f t="shared" si="121"/>
        <v>3.4349999999999992E-2</v>
      </c>
      <c r="AC1288" s="5">
        <f t="shared" si="122"/>
        <v>0.33466500000000005</v>
      </c>
      <c r="AD1288" s="1" t="str">
        <f t="shared" si="123"/>
        <v>Trạm CSGT Thăng Bình (X. Bình Phục, Thăng
Bình)</v>
      </c>
      <c r="AE1288" s="1" t="str">
        <f t="shared" si="124"/>
        <v>TTCMKV Thăng Bình</v>
      </c>
      <c r="AG1288">
        <f t="shared" si="125"/>
        <v>2.29E-2</v>
      </c>
      <c r="AH1288">
        <f t="shared" si="126"/>
        <v>0.22311</v>
      </c>
      <c r="AI1288">
        <f>VLOOKUP(L1288,'[1]Tuyến cáp H04'!$B:$E,3,0)/1000</f>
        <v>4.1900000000000004</v>
      </c>
      <c r="AJ1288" t="str">
        <f>VLOOKUP(L1288,'[1]Tuyến cáp H04'!$B:$E,4,0)</f>
        <v>Mạng cấp 3</v>
      </c>
    </row>
    <row r="1289" spans="1:36" x14ac:dyDescent="0.25">
      <c r="A1289" s="1" t="s">
        <v>12448</v>
      </c>
      <c r="B1289" s="1" t="s">
        <v>11524</v>
      </c>
      <c r="C1289" s="1" t="s">
        <v>11525</v>
      </c>
      <c r="D1289" s="1" t="s">
        <v>12449</v>
      </c>
      <c r="E1289" s="1" t="s">
        <v>12450</v>
      </c>
      <c r="F1289" s="1" t="s">
        <v>12451</v>
      </c>
      <c r="G1289" s="1" t="s">
        <v>14129</v>
      </c>
      <c r="H1289" s="1" t="s">
        <v>14532</v>
      </c>
      <c r="I1289" s="1" t="s">
        <v>15391</v>
      </c>
      <c r="J1289" s="1" t="s">
        <v>23</v>
      </c>
      <c r="K1289" s="1"/>
      <c r="L1289" s="1" t="s">
        <v>11386</v>
      </c>
      <c r="M1289" s="1" t="s">
        <v>12452</v>
      </c>
      <c r="N1289" s="1" t="s">
        <v>2776</v>
      </c>
      <c r="O1289" s="1" t="s">
        <v>12443</v>
      </c>
      <c r="P1289" s="1" t="s">
        <v>12444</v>
      </c>
      <c r="Q1289" s="1" t="s">
        <v>12453</v>
      </c>
      <c r="R1289" s="1" t="s">
        <v>11389</v>
      </c>
      <c r="S1289" s="1" t="s">
        <v>11390</v>
      </c>
      <c r="T1289" s="1" t="s">
        <v>11394</v>
      </c>
      <c r="U1289">
        <v>1297.81</v>
      </c>
      <c r="V1289">
        <v>22.9</v>
      </c>
      <c r="W1289">
        <v>15.720181999999999</v>
      </c>
      <c r="X1289">
        <v>108.375708</v>
      </c>
      <c r="Y1289">
        <v>1274.9100000000001</v>
      </c>
      <c r="Z1289">
        <v>15.736057000000001</v>
      </c>
      <c r="AA1289">
        <v>108.3523</v>
      </c>
      <c r="AB1289" s="5">
        <f t="shared" si="121"/>
        <v>3.4349999999999992E-2</v>
      </c>
      <c r="AC1289" s="5">
        <f t="shared" si="122"/>
        <v>1.9123650000000003</v>
      </c>
      <c r="AD1289" s="1" t="str">
        <f t="shared" si="123"/>
        <v>Trạm CSGT Thăng Bình (X. Bình Phục, Thăng
Bình)</v>
      </c>
      <c r="AE1289" s="1" t="str">
        <f t="shared" si="124"/>
        <v>TTCMKV Thăng Bình</v>
      </c>
      <c r="AG1289">
        <f t="shared" si="125"/>
        <v>2.29E-2</v>
      </c>
      <c r="AH1289">
        <f t="shared" si="126"/>
        <v>1.27491</v>
      </c>
      <c r="AI1289">
        <f>VLOOKUP(L1289,'[1]Tuyến cáp H04'!$B:$E,3,0)/1000</f>
        <v>4.1900000000000004</v>
      </c>
      <c r="AJ1289" t="str">
        <f>VLOOKUP(L1289,'[1]Tuyến cáp H04'!$B:$E,4,0)</f>
        <v>Mạng cấp 3</v>
      </c>
    </row>
    <row r="1290" spans="1:36" x14ac:dyDescent="0.25">
      <c r="A1290" s="1" t="s">
        <v>12454</v>
      </c>
      <c r="B1290" s="1" t="s">
        <v>11524</v>
      </c>
      <c r="C1290" s="1" t="s">
        <v>11525</v>
      </c>
      <c r="D1290" s="1" t="s">
        <v>11500</v>
      </c>
      <c r="E1290" s="1" t="s">
        <v>11501</v>
      </c>
      <c r="F1290" s="1" t="s">
        <v>11526</v>
      </c>
      <c r="G1290" s="1"/>
      <c r="H1290" s="1" t="s">
        <v>14532</v>
      </c>
      <c r="I1290" s="1" t="s">
        <v>15300</v>
      </c>
      <c r="J1290" s="1" t="s">
        <v>23</v>
      </c>
      <c r="K1290" s="1"/>
      <c r="L1290" s="1" t="s">
        <v>11373</v>
      </c>
      <c r="M1290" s="1" t="s">
        <v>11527</v>
      </c>
      <c r="N1290" s="1" t="s">
        <v>11531</v>
      </c>
      <c r="O1290" s="1" t="s">
        <v>11532</v>
      </c>
      <c r="P1290" s="1" t="s">
        <v>11533</v>
      </c>
      <c r="Q1290" s="1" t="s">
        <v>11528</v>
      </c>
      <c r="R1290" s="1" t="s">
        <v>11529</v>
      </c>
      <c r="S1290" s="1" t="s">
        <v>11530</v>
      </c>
      <c r="T1290" s="1" t="s">
        <v>11534</v>
      </c>
      <c r="U1290">
        <v>875.94</v>
      </c>
      <c r="V1290">
        <v>301.35000000000002</v>
      </c>
      <c r="W1290">
        <v>15.717449999999999</v>
      </c>
      <c r="X1290">
        <v>108.375263</v>
      </c>
      <c r="Y1290">
        <v>574.59</v>
      </c>
      <c r="Z1290">
        <v>15.646917999999999</v>
      </c>
      <c r="AA1290">
        <v>108.430209</v>
      </c>
      <c r="AB1290" s="5">
        <f t="shared" si="121"/>
        <v>0.45202500000000001</v>
      </c>
      <c r="AC1290" s="5">
        <f t="shared" si="122"/>
        <v>0.86188500000000001</v>
      </c>
      <c r="AD1290" s="1" t="str">
        <f t="shared" si="123"/>
        <v>Duy Xuyên</v>
      </c>
      <c r="AE1290" s="1" t="str">
        <f t="shared" si="124"/>
        <v>TT2 Tam Kỳ</v>
      </c>
      <c r="AG1290">
        <f t="shared" si="125"/>
        <v>0.30135000000000001</v>
      </c>
      <c r="AH1290">
        <f t="shared" si="126"/>
        <v>0.57459000000000005</v>
      </c>
      <c r="AI1290">
        <f>VLOOKUP(L1290,'[1]Tuyến cáp H04'!$B:$E,3,0)/1000</f>
        <v>44.616</v>
      </c>
      <c r="AJ1290" t="str">
        <f>VLOOKUP(L1290,'[1]Tuyến cáp H04'!$B:$E,4,0)</f>
        <v>Mạng cấp 3</v>
      </c>
    </row>
    <row r="1291" spans="1:36" x14ac:dyDescent="0.25">
      <c r="A1291" s="1" t="s">
        <v>12455</v>
      </c>
      <c r="B1291" s="1" t="s">
        <v>11524</v>
      </c>
      <c r="C1291" s="1" t="s">
        <v>11525</v>
      </c>
      <c r="D1291" s="1" t="s">
        <v>12456</v>
      </c>
      <c r="E1291" s="1" t="s">
        <v>12457</v>
      </c>
      <c r="F1291" s="1" t="s">
        <v>12458</v>
      </c>
      <c r="G1291" s="1" t="s">
        <v>14129</v>
      </c>
      <c r="H1291" s="1" t="s">
        <v>14532</v>
      </c>
      <c r="I1291" s="1" t="s">
        <v>15392</v>
      </c>
      <c r="J1291" s="1" t="s">
        <v>23</v>
      </c>
      <c r="K1291" s="1"/>
      <c r="L1291" s="1" t="s">
        <v>11373</v>
      </c>
      <c r="M1291" s="1" t="s">
        <v>12459</v>
      </c>
      <c r="N1291" s="1" t="s">
        <v>11531</v>
      </c>
      <c r="O1291" s="1" t="s">
        <v>11532</v>
      </c>
      <c r="P1291" s="1" t="s">
        <v>11533</v>
      </c>
      <c r="Q1291" s="1" t="s">
        <v>12460</v>
      </c>
      <c r="R1291" s="1" t="s">
        <v>12461</v>
      </c>
      <c r="S1291" s="1" t="s">
        <v>12462</v>
      </c>
      <c r="T1291" s="1" t="s">
        <v>11534</v>
      </c>
      <c r="U1291">
        <v>772.35</v>
      </c>
      <c r="V1291">
        <v>301.35000000000002</v>
      </c>
      <c r="W1291">
        <v>15.717449999999999</v>
      </c>
      <c r="X1291">
        <v>108.375263</v>
      </c>
      <c r="Y1291">
        <v>471</v>
      </c>
      <c r="Z1291">
        <v>15.707373</v>
      </c>
      <c r="AA1291">
        <v>108.38588</v>
      </c>
      <c r="AB1291" s="5">
        <f t="shared" si="121"/>
        <v>0.45202500000000001</v>
      </c>
      <c r="AC1291" s="5">
        <f t="shared" si="122"/>
        <v>0.70650000000000002</v>
      </c>
      <c r="AD1291" s="1" t="str">
        <f t="shared" si="123"/>
        <v>Duy Xuyên</v>
      </c>
      <c r="AE1291" s="1" t="str">
        <f t="shared" si="124"/>
        <v>TT2 Tam Kỳ</v>
      </c>
      <c r="AG1291">
        <f t="shared" si="125"/>
        <v>0.30135000000000001</v>
      </c>
      <c r="AH1291">
        <f t="shared" si="126"/>
        <v>0.47099999999999997</v>
      </c>
      <c r="AI1291">
        <f>VLOOKUP(L1291,'[1]Tuyến cáp H04'!$B:$E,3,0)/1000</f>
        <v>44.616</v>
      </c>
      <c r="AJ1291" t="str">
        <f>VLOOKUP(L1291,'[1]Tuyến cáp H04'!$B:$E,4,0)</f>
        <v>Mạng cấp 3</v>
      </c>
    </row>
    <row r="1292" spans="1:36" x14ac:dyDescent="0.25">
      <c r="A1292" s="1" t="s">
        <v>12463</v>
      </c>
      <c r="B1292" s="1" t="s">
        <v>11524</v>
      </c>
      <c r="C1292" s="1" t="s">
        <v>11525</v>
      </c>
      <c r="D1292" s="1" t="s">
        <v>12464</v>
      </c>
      <c r="E1292" s="1" t="s">
        <v>12465</v>
      </c>
      <c r="F1292" s="1" t="s">
        <v>12466</v>
      </c>
      <c r="G1292" s="1" t="s">
        <v>14129</v>
      </c>
      <c r="H1292" s="1" t="s">
        <v>14532</v>
      </c>
      <c r="I1292" s="1" t="s">
        <v>15393</v>
      </c>
      <c r="J1292" s="1" t="s">
        <v>23</v>
      </c>
      <c r="K1292" s="1"/>
      <c r="L1292" s="1" t="s">
        <v>11373</v>
      </c>
      <c r="M1292" s="1" t="s">
        <v>12467</v>
      </c>
      <c r="N1292" s="1" t="s">
        <v>11531</v>
      </c>
      <c r="O1292" s="1" t="s">
        <v>11532</v>
      </c>
      <c r="P1292" s="1" t="s">
        <v>11533</v>
      </c>
      <c r="Q1292" s="1" t="s">
        <v>12468</v>
      </c>
      <c r="R1292" s="1" t="s">
        <v>12469</v>
      </c>
      <c r="S1292" s="1" t="s">
        <v>12470</v>
      </c>
      <c r="T1292" s="1" t="s">
        <v>11534</v>
      </c>
      <c r="U1292">
        <v>719.69</v>
      </c>
      <c r="V1292">
        <v>301.35000000000002</v>
      </c>
      <c r="W1292">
        <v>15.717449999999999</v>
      </c>
      <c r="X1292">
        <v>108.375263</v>
      </c>
      <c r="Y1292">
        <v>418.34</v>
      </c>
      <c r="Z1292">
        <v>15.696897999999999</v>
      </c>
      <c r="AA1292">
        <v>108.393225</v>
      </c>
      <c r="AB1292" s="5">
        <f t="shared" si="121"/>
        <v>0.45202500000000001</v>
      </c>
      <c r="AC1292" s="5">
        <f t="shared" si="122"/>
        <v>0.62751000000000001</v>
      </c>
      <c r="AD1292" s="1" t="str">
        <f t="shared" si="123"/>
        <v>Duy Xuyên</v>
      </c>
      <c r="AE1292" s="1" t="str">
        <f t="shared" si="124"/>
        <v>TT2 Tam Kỳ</v>
      </c>
      <c r="AG1292">
        <f t="shared" si="125"/>
        <v>0.30135000000000001</v>
      </c>
      <c r="AH1292">
        <f t="shared" si="126"/>
        <v>0.41833999999999999</v>
      </c>
      <c r="AI1292">
        <f>VLOOKUP(L1292,'[1]Tuyến cáp H04'!$B:$E,3,0)/1000</f>
        <v>44.616</v>
      </c>
      <c r="AJ1292" t="str">
        <f>VLOOKUP(L1292,'[1]Tuyến cáp H04'!$B:$E,4,0)</f>
        <v>Mạng cấp 3</v>
      </c>
    </row>
    <row r="1293" spans="1:36" x14ac:dyDescent="0.25">
      <c r="A1293" s="1" t="s">
        <v>12471</v>
      </c>
      <c r="B1293" s="1" t="s">
        <v>11524</v>
      </c>
      <c r="C1293" s="1" t="s">
        <v>11525</v>
      </c>
      <c r="D1293" s="1" t="s">
        <v>11383</v>
      </c>
      <c r="E1293" s="1" t="s">
        <v>11384</v>
      </c>
      <c r="F1293" s="1" t="s">
        <v>12472</v>
      </c>
      <c r="G1293" s="1" t="s">
        <v>14129</v>
      </c>
      <c r="H1293" s="1" t="s">
        <v>14532</v>
      </c>
      <c r="I1293" s="1" t="s">
        <v>15394</v>
      </c>
      <c r="J1293" s="1" t="s">
        <v>23</v>
      </c>
      <c r="K1293" s="1"/>
      <c r="L1293" s="1" t="s">
        <v>11386</v>
      </c>
      <c r="M1293" s="1" t="s">
        <v>12473</v>
      </c>
      <c r="N1293" s="1" t="s">
        <v>2776</v>
      </c>
      <c r="O1293" s="1" t="s">
        <v>12443</v>
      </c>
      <c r="P1293" s="1" t="s">
        <v>12444</v>
      </c>
      <c r="Q1293" s="1" t="s">
        <v>11391</v>
      </c>
      <c r="R1293" s="1" t="s">
        <v>11392</v>
      </c>
      <c r="S1293" s="1" t="s">
        <v>11393</v>
      </c>
      <c r="T1293" s="1" t="s">
        <v>11394</v>
      </c>
      <c r="U1293">
        <v>2144.64</v>
      </c>
      <c r="V1293">
        <v>22.9</v>
      </c>
      <c r="W1293">
        <v>15.720181999999999</v>
      </c>
      <c r="X1293">
        <v>108.375708</v>
      </c>
      <c r="Y1293">
        <v>2121.7399999999998</v>
      </c>
      <c r="Z1293">
        <v>15.720257</v>
      </c>
      <c r="AA1293">
        <v>108.375578</v>
      </c>
      <c r="AB1293" s="5">
        <f t="shared" si="121"/>
        <v>3.4349999999999992E-2</v>
      </c>
      <c r="AC1293" s="5">
        <f t="shared" si="122"/>
        <v>3.1826099999999995</v>
      </c>
      <c r="AD1293" s="1" t="str">
        <f t="shared" si="123"/>
        <v>Trạm CSGT Thăng Bình (X. Bình Phục, Thăng
Bình)</v>
      </c>
      <c r="AE1293" s="1" t="str">
        <f t="shared" si="124"/>
        <v>TTCMKV Thăng Bình</v>
      </c>
      <c r="AG1293">
        <f t="shared" si="125"/>
        <v>2.29E-2</v>
      </c>
      <c r="AH1293">
        <f t="shared" si="126"/>
        <v>2.12174</v>
      </c>
      <c r="AI1293">
        <f>VLOOKUP(L1293,'[1]Tuyến cáp H04'!$B:$E,3,0)/1000</f>
        <v>4.1900000000000004</v>
      </c>
      <c r="AJ1293" t="str">
        <f>VLOOKUP(L1293,'[1]Tuyến cáp H04'!$B:$E,4,0)</f>
        <v>Mạng cấp 3</v>
      </c>
    </row>
    <row r="1294" spans="1:36" x14ac:dyDescent="0.25">
      <c r="A1294" s="1" t="s">
        <v>12474</v>
      </c>
      <c r="B1294" s="1" t="s">
        <v>12475</v>
      </c>
      <c r="C1294" s="1" t="s">
        <v>12476</v>
      </c>
      <c r="D1294" s="1" t="s">
        <v>12477</v>
      </c>
      <c r="E1294" s="1" t="s">
        <v>12478</v>
      </c>
      <c r="F1294" s="1" t="s">
        <v>12479</v>
      </c>
      <c r="G1294" s="1" t="s">
        <v>14129</v>
      </c>
      <c r="H1294" s="1" t="s">
        <v>14532</v>
      </c>
      <c r="I1294" s="1" t="s">
        <v>15395</v>
      </c>
      <c r="J1294" s="1" t="s">
        <v>23</v>
      </c>
      <c r="K1294" s="1"/>
      <c r="L1294" s="1" t="s">
        <v>12480</v>
      </c>
      <c r="M1294" s="1" t="s">
        <v>12481</v>
      </c>
      <c r="N1294" s="1" t="s">
        <v>12482</v>
      </c>
      <c r="O1294" s="1" t="s">
        <v>12483</v>
      </c>
      <c r="P1294" s="1" t="s">
        <v>12484</v>
      </c>
      <c r="Q1294" s="1" t="s">
        <v>12485</v>
      </c>
      <c r="R1294" s="1" t="s">
        <v>12486</v>
      </c>
      <c r="S1294" s="1" t="s">
        <v>12487</v>
      </c>
      <c r="T1294" s="1" t="s">
        <v>12488</v>
      </c>
      <c r="U1294">
        <v>724.1</v>
      </c>
      <c r="V1294">
        <v>58.91</v>
      </c>
      <c r="W1294">
        <v>15.632675000000001</v>
      </c>
      <c r="X1294">
        <v>108.374645</v>
      </c>
      <c r="Y1294">
        <v>665.19</v>
      </c>
      <c r="Z1294">
        <v>15.624164</v>
      </c>
      <c r="AA1294">
        <v>108.382743</v>
      </c>
      <c r="AB1294" s="5">
        <f t="shared" si="121"/>
        <v>8.8364999999999999E-2</v>
      </c>
      <c r="AC1294" s="5">
        <f t="shared" si="122"/>
        <v>0.99778500000000003</v>
      </c>
      <c r="AD1294" s="1" t="str">
        <f t="shared" si="123"/>
        <v>Thăng Phú</v>
      </c>
      <c r="AE1294" s="1" t="str">
        <f t="shared" si="124"/>
        <v>Tây Hồ</v>
      </c>
      <c r="AG1294">
        <f t="shared" si="125"/>
        <v>5.8909999999999997E-2</v>
      </c>
      <c r="AH1294">
        <f t="shared" si="126"/>
        <v>0.66519000000000006</v>
      </c>
      <c r="AI1294">
        <f>VLOOKUP(L1294,'[1]Tuyến cáp H04'!$B:$E,3,0)/1000</f>
        <v>5.5410000000000004</v>
      </c>
      <c r="AJ1294" t="str">
        <f>VLOOKUP(L1294,'[1]Tuyến cáp H04'!$B:$E,4,0)</f>
        <v>Mạng cấp 4</v>
      </c>
    </row>
    <row r="1295" spans="1:36" x14ac:dyDescent="0.25">
      <c r="A1295" s="1" t="s">
        <v>12489</v>
      </c>
      <c r="B1295" s="1" t="s">
        <v>12475</v>
      </c>
      <c r="C1295" s="1" t="s">
        <v>12476</v>
      </c>
      <c r="D1295" s="1" t="s">
        <v>12490</v>
      </c>
      <c r="E1295" s="1" t="s">
        <v>12491</v>
      </c>
      <c r="F1295" s="1" t="s">
        <v>12492</v>
      </c>
      <c r="G1295" s="1" t="s">
        <v>14129</v>
      </c>
      <c r="H1295" s="1" t="s">
        <v>14532</v>
      </c>
      <c r="I1295" s="1" t="s">
        <v>15396</v>
      </c>
      <c r="J1295" s="1" t="s">
        <v>23</v>
      </c>
      <c r="K1295" s="1"/>
      <c r="L1295" s="1" t="s">
        <v>12480</v>
      </c>
      <c r="M1295" s="1" t="s">
        <v>12493</v>
      </c>
      <c r="N1295" s="1" t="s">
        <v>12482</v>
      </c>
      <c r="O1295" s="1" t="s">
        <v>12483</v>
      </c>
      <c r="P1295" s="1" t="s">
        <v>12484</v>
      </c>
      <c r="Q1295" s="1" t="s">
        <v>12494</v>
      </c>
      <c r="R1295" s="1" t="s">
        <v>12495</v>
      </c>
      <c r="S1295" s="1" t="s">
        <v>12496</v>
      </c>
      <c r="T1295" s="1" t="s">
        <v>12488</v>
      </c>
      <c r="U1295">
        <v>576.87</v>
      </c>
      <c r="V1295">
        <v>58.91</v>
      </c>
      <c r="W1295">
        <v>15.632675000000001</v>
      </c>
      <c r="X1295">
        <v>108.374645</v>
      </c>
      <c r="Y1295">
        <v>517.96</v>
      </c>
      <c r="Z1295">
        <v>15.633737</v>
      </c>
      <c r="AA1295">
        <v>108.375322</v>
      </c>
      <c r="AB1295" s="5">
        <f t="shared" si="121"/>
        <v>8.8364999999999999E-2</v>
      </c>
      <c r="AC1295" s="5">
        <f t="shared" si="122"/>
        <v>0.77694000000000007</v>
      </c>
      <c r="AD1295" s="1" t="str">
        <f t="shared" si="123"/>
        <v>Thăng Phú</v>
      </c>
      <c r="AE1295" s="1" t="str">
        <f t="shared" si="124"/>
        <v>Tây Hồ</v>
      </c>
      <c r="AG1295">
        <f t="shared" si="125"/>
        <v>5.8909999999999997E-2</v>
      </c>
      <c r="AH1295">
        <f t="shared" si="126"/>
        <v>0.51796000000000009</v>
      </c>
      <c r="AI1295">
        <f>VLOOKUP(L1295,'[1]Tuyến cáp H04'!$B:$E,3,0)/1000</f>
        <v>5.5410000000000004</v>
      </c>
      <c r="AJ1295" t="str">
        <f>VLOOKUP(L1295,'[1]Tuyến cáp H04'!$B:$E,4,0)</f>
        <v>Mạng cấp 4</v>
      </c>
    </row>
    <row r="1296" spans="1:36" x14ac:dyDescent="0.25">
      <c r="A1296" s="1" t="s">
        <v>12497</v>
      </c>
      <c r="B1296" s="1" t="s">
        <v>12475</v>
      </c>
      <c r="C1296" s="1" t="s">
        <v>12476</v>
      </c>
      <c r="D1296" s="1" t="s">
        <v>12498</v>
      </c>
      <c r="E1296" s="1" t="s">
        <v>12499</v>
      </c>
      <c r="F1296" s="1" t="s">
        <v>12500</v>
      </c>
      <c r="G1296" s="1" t="s">
        <v>14129</v>
      </c>
      <c r="H1296" s="1" t="s">
        <v>14532</v>
      </c>
      <c r="I1296" s="1" t="s">
        <v>15397</v>
      </c>
      <c r="J1296" s="1" t="s">
        <v>23</v>
      </c>
      <c r="K1296" s="1"/>
      <c r="L1296" s="1" t="s">
        <v>12501</v>
      </c>
      <c r="M1296" s="1" t="s">
        <v>12502</v>
      </c>
      <c r="N1296" s="1" t="s">
        <v>12503</v>
      </c>
      <c r="O1296" s="1" t="s">
        <v>12504</v>
      </c>
      <c r="P1296" s="1" t="s">
        <v>12505</v>
      </c>
      <c r="Q1296" s="1" t="s">
        <v>12506</v>
      </c>
      <c r="R1296" s="1" t="s">
        <v>12507</v>
      </c>
      <c r="S1296" s="1" t="s">
        <v>12508</v>
      </c>
      <c r="T1296" s="1" t="s">
        <v>12509</v>
      </c>
      <c r="U1296">
        <v>1356.14</v>
      </c>
      <c r="V1296">
        <v>55.98</v>
      </c>
      <c r="W1296">
        <v>15.632129000000001</v>
      </c>
      <c r="X1296">
        <v>108.374284</v>
      </c>
      <c r="Y1296">
        <v>1300.1600000000001</v>
      </c>
      <c r="Z1296">
        <v>15.660126</v>
      </c>
      <c r="AA1296">
        <v>108.342536</v>
      </c>
      <c r="AB1296" s="5">
        <f t="shared" si="121"/>
        <v>8.3970000000000003E-2</v>
      </c>
      <c r="AC1296" s="5">
        <f t="shared" si="122"/>
        <v>1.9502400000000002</v>
      </c>
      <c r="AD1296" s="1" t="str">
        <f t="shared" si="123"/>
        <v>Thăng Bình</v>
      </c>
      <c r="AE1296" s="1" t="str">
        <f t="shared" si="124"/>
        <v>Thăng Phú</v>
      </c>
      <c r="AG1296">
        <f t="shared" si="125"/>
        <v>5.5979999999999995E-2</v>
      </c>
      <c r="AH1296">
        <f t="shared" si="126"/>
        <v>1.30016</v>
      </c>
      <c r="AI1296">
        <f>VLOOKUP(L1296,'[1]Tuyến cáp H04'!$B:$E,3,0)/1000</f>
        <v>16.556000000000001</v>
      </c>
      <c r="AJ1296" t="str">
        <f>VLOOKUP(L1296,'[1]Tuyến cáp H04'!$B:$E,4,0)</f>
        <v>Mạng cấp 4</v>
      </c>
    </row>
    <row r="1297" spans="1:36" x14ac:dyDescent="0.25">
      <c r="A1297" s="1" t="s">
        <v>12510</v>
      </c>
      <c r="B1297" s="1" t="s">
        <v>12475</v>
      </c>
      <c r="C1297" s="1" t="s">
        <v>12476</v>
      </c>
      <c r="D1297" s="1" t="s">
        <v>11560</v>
      </c>
      <c r="E1297" s="1" t="s">
        <v>11561</v>
      </c>
      <c r="F1297" s="1" t="s">
        <v>12511</v>
      </c>
      <c r="G1297" s="1" t="s">
        <v>14129</v>
      </c>
      <c r="H1297" s="1" t="s">
        <v>14532</v>
      </c>
      <c r="I1297" s="1" t="s">
        <v>15398</v>
      </c>
      <c r="J1297" s="1" t="s">
        <v>23</v>
      </c>
      <c r="K1297" s="1"/>
      <c r="L1297" s="1" t="s">
        <v>11470</v>
      </c>
      <c r="M1297" s="1" t="s">
        <v>12512</v>
      </c>
      <c r="N1297" s="1" t="s">
        <v>12513</v>
      </c>
      <c r="O1297" s="1" t="s">
        <v>12514</v>
      </c>
      <c r="P1297" s="1" t="s">
        <v>12515</v>
      </c>
      <c r="Q1297" s="1" t="s">
        <v>11564</v>
      </c>
      <c r="R1297" s="1" t="s">
        <v>11565</v>
      </c>
      <c r="S1297" s="1" t="s">
        <v>11566</v>
      </c>
      <c r="T1297" s="1" t="s">
        <v>11478</v>
      </c>
      <c r="U1297">
        <v>5310.74</v>
      </c>
      <c r="V1297">
        <v>5275.58</v>
      </c>
      <c r="W1297">
        <v>15.651600999999999</v>
      </c>
      <c r="X1297">
        <v>108.419245</v>
      </c>
      <c r="Y1297">
        <v>35.17</v>
      </c>
      <c r="Z1297">
        <v>15.579651999999999</v>
      </c>
      <c r="AA1297">
        <v>108.473956</v>
      </c>
      <c r="AB1297" s="5">
        <f t="shared" si="121"/>
        <v>7.9133699999999996</v>
      </c>
      <c r="AC1297" s="5">
        <f t="shared" si="122"/>
        <v>5.2755000000000003E-2</v>
      </c>
      <c r="AD1297" s="1" t="str">
        <f t="shared" si="123"/>
        <v>TT2 Tam Kỳ</v>
      </c>
      <c r="AE1297" s="1" t="str">
        <f t="shared" si="124"/>
        <v>Thăng Bình</v>
      </c>
      <c r="AG1297">
        <f t="shared" si="125"/>
        <v>5.2755799999999997</v>
      </c>
      <c r="AH1297">
        <f t="shared" si="126"/>
        <v>3.517E-2</v>
      </c>
      <c r="AI1297">
        <f>VLOOKUP(L1297,'[1]Tuyến cáp H04'!$B:$E,3,0)/1000</f>
        <v>24.648</v>
      </c>
      <c r="AJ1297" t="str">
        <f>VLOOKUP(L1297,'[1]Tuyến cáp H04'!$B:$E,4,0)</f>
        <v>Mạng cấp 3</v>
      </c>
    </row>
    <row r="1298" spans="1:36" x14ac:dyDescent="0.25">
      <c r="A1298" s="1" t="s">
        <v>12516</v>
      </c>
      <c r="B1298" s="1" t="s">
        <v>12475</v>
      </c>
      <c r="C1298" s="1" t="s">
        <v>12476</v>
      </c>
      <c r="D1298" s="1" t="s">
        <v>12517</v>
      </c>
      <c r="E1298" s="1" t="s">
        <v>12518</v>
      </c>
      <c r="F1298" s="1" t="s">
        <v>12519</v>
      </c>
      <c r="G1298" s="1" t="s">
        <v>14129</v>
      </c>
      <c r="H1298" s="1" t="s">
        <v>14532</v>
      </c>
      <c r="I1298" s="1" t="s">
        <v>15399</v>
      </c>
      <c r="J1298" s="1" t="s">
        <v>23</v>
      </c>
      <c r="K1298" s="1"/>
      <c r="L1298" s="1" t="s">
        <v>12480</v>
      </c>
      <c r="M1298" s="1" t="s">
        <v>12520</v>
      </c>
      <c r="N1298" s="1" t="s">
        <v>12482</v>
      </c>
      <c r="O1298" s="1" t="s">
        <v>12483</v>
      </c>
      <c r="P1298" s="1" t="s">
        <v>12484</v>
      </c>
      <c r="Q1298" s="1" t="s">
        <v>12521</v>
      </c>
      <c r="R1298" s="1" t="s">
        <v>12495</v>
      </c>
      <c r="S1298" s="1" t="s">
        <v>12496</v>
      </c>
      <c r="T1298" s="1" t="s">
        <v>12488</v>
      </c>
      <c r="U1298">
        <v>2660.8</v>
      </c>
      <c r="V1298">
        <v>58.91</v>
      </c>
      <c r="W1298">
        <v>15.632675000000001</v>
      </c>
      <c r="X1298">
        <v>108.374645</v>
      </c>
      <c r="Y1298">
        <v>2601.89</v>
      </c>
      <c r="Z1298">
        <v>15.633737</v>
      </c>
      <c r="AA1298">
        <v>108.375322</v>
      </c>
      <c r="AB1298" s="5">
        <f t="shared" si="121"/>
        <v>8.8364999999999999E-2</v>
      </c>
      <c r="AC1298" s="5">
        <f t="shared" si="122"/>
        <v>3.9028350000000001</v>
      </c>
      <c r="AD1298" s="1" t="str">
        <f t="shared" si="123"/>
        <v>Thăng Phú</v>
      </c>
      <c r="AE1298" s="1" t="str">
        <f t="shared" si="124"/>
        <v>Tây Hồ</v>
      </c>
      <c r="AG1298">
        <f t="shared" si="125"/>
        <v>5.8909999999999997E-2</v>
      </c>
      <c r="AH1298">
        <f t="shared" si="126"/>
        <v>2.60189</v>
      </c>
      <c r="AI1298">
        <f>VLOOKUP(L1298,'[1]Tuyến cáp H04'!$B:$E,3,0)/1000</f>
        <v>5.5410000000000004</v>
      </c>
      <c r="AJ1298" t="str">
        <f>VLOOKUP(L1298,'[1]Tuyến cáp H04'!$B:$E,4,0)</f>
        <v>Mạng cấp 4</v>
      </c>
    </row>
    <row r="1299" spans="1:36" x14ac:dyDescent="0.25">
      <c r="A1299" s="1" t="s">
        <v>12522</v>
      </c>
      <c r="B1299" s="1" t="s">
        <v>11643</v>
      </c>
      <c r="C1299" s="1" t="s">
        <v>11644</v>
      </c>
      <c r="D1299" s="1" t="s">
        <v>11467</v>
      </c>
      <c r="E1299" s="1" t="s">
        <v>11468</v>
      </c>
      <c r="F1299" s="1" t="s">
        <v>11645</v>
      </c>
      <c r="G1299" s="1"/>
      <c r="H1299" s="1" t="s">
        <v>14532</v>
      </c>
      <c r="I1299" s="1" t="s">
        <v>15312</v>
      </c>
      <c r="J1299" s="1" t="s">
        <v>23</v>
      </c>
      <c r="K1299" s="1"/>
      <c r="L1299" s="1" t="s">
        <v>11633</v>
      </c>
      <c r="M1299" s="1" t="s">
        <v>11646</v>
      </c>
      <c r="N1299" s="1" t="s">
        <v>11647</v>
      </c>
      <c r="O1299" s="1" t="s">
        <v>11648</v>
      </c>
      <c r="P1299" s="1" t="s">
        <v>11649</v>
      </c>
      <c r="Q1299" s="1" t="s">
        <v>11635</v>
      </c>
      <c r="R1299" s="1" t="s">
        <v>11636</v>
      </c>
      <c r="S1299" s="1" t="s">
        <v>11637</v>
      </c>
      <c r="T1299" s="1" t="s">
        <v>11641</v>
      </c>
      <c r="U1299">
        <v>1876.33</v>
      </c>
      <c r="V1299">
        <v>429.55</v>
      </c>
      <c r="W1299">
        <v>15.544556999999999</v>
      </c>
      <c r="X1299">
        <v>108.488028</v>
      </c>
      <c r="Y1299">
        <v>1446.78</v>
      </c>
      <c r="Z1299">
        <v>15.563969</v>
      </c>
      <c r="AA1299">
        <v>108.482575</v>
      </c>
      <c r="AB1299" s="5">
        <f t="shared" si="121"/>
        <v>0.64432500000000004</v>
      </c>
      <c r="AC1299" s="5">
        <f t="shared" si="122"/>
        <v>2.1701700000000002</v>
      </c>
      <c r="AD1299" s="1" t="str">
        <f t="shared" si="123"/>
        <v>Hương Trà</v>
      </c>
      <c r="AE1299" s="1" t="str">
        <f t="shared" si="124"/>
        <v>Tam Kỳ</v>
      </c>
      <c r="AG1299">
        <f t="shared" si="125"/>
        <v>0.42954999999999999</v>
      </c>
      <c r="AH1299">
        <f t="shared" si="126"/>
        <v>1.44678</v>
      </c>
      <c r="AI1299">
        <f>VLOOKUP(L1299,'[1]Tuyến cáp H04'!$B:$E,3,0)/1000</f>
        <v>5.2249999999999996</v>
      </c>
      <c r="AJ1299" t="str">
        <f>VLOOKUP(L1299,'[1]Tuyến cáp H04'!$B:$E,4,0)</f>
        <v>Mạng cấp 4</v>
      </c>
    </row>
    <row r="1300" spans="1:36" x14ac:dyDescent="0.25">
      <c r="A1300" s="1" t="s">
        <v>12523</v>
      </c>
      <c r="B1300" s="1" t="s">
        <v>11643</v>
      </c>
      <c r="C1300" s="1" t="s">
        <v>11644</v>
      </c>
      <c r="D1300" s="1" t="s">
        <v>12524</v>
      </c>
      <c r="E1300" s="1" t="s">
        <v>12525</v>
      </c>
      <c r="F1300" s="1" t="s">
        <v>12526</v>
      </c>
      <c r="G1300" s="1"/>
      <c r="H1300" s="1" t="s">
        <v>14532</v>
      </c>
      <c r="I1300" s="1" t="s">
        <v>15400</v>
      </c>
      <c r="J1300" s="1" t="s">
        <v>23</v>
      </c>
      <c r="K1300" s="1"/>
      <c r="L1300" s="1" t="s">
        <v>11633</v>
      </c>
      <c r="M1300" s="1" t="s">
        <v>12527</v>
      </c>
      <c r="N1300" s="1" t="s">
        <v>11647</v>
      </c>
      <c r="O1300" s="1" t="s">
        <v>11648</v>
      </c>
      <c r="P1300" s="1" t="s">
        <v>11649</v>
      </c>
      <c r="Q1300" s="1" t="s">
        <v>12528</v>
      </c>
      <c r="R1300" s="1" t="s">
        <v>11636</v>
      </c>
      <c r="S1300" s="1" t="s">
        <v>11637</v>
      </c>
      <c r="T1300" s="1" t="s">
        <v>11641</v>
      </c>
      <c r="U1300">
        <v>1788.57</v>
      </c>
      <c r="V1300">
        <v>429.55</v>
      </c>
      <c r="W1300">
        <v>15.544556999999999</v>
      </c>
      <c r="X1300">
        <v>108.488028</v>
      </c>
      <c r="Y1300">
        <v>1359.02</v>
      </c>
      <c r="Z1300">
        <v>15.563969</v>
      </c>
      <c r="AA1300">
        <v>108.482575</v>
      </c>
      <c r="AB1300" s="5">
        <f t="shared" si="121"/>
        <v>0.64432500000000004</v>
      </c>
      <c r="AC1300" s="5">
        <f t="shared" si="122"/>
        <v>2.0385300000000002</v>
      </c>
      <c r="AD1300" s="1" t="str">
        <f t="shared" si="123"/>
        <v>Hương Trà</v>
      </c>
      <c r="AE1300" s="1" t="str">
        <f t="shared" si="124"/>
        <v>Tam Kỳ</v>
      </c>
      <c r="AG1300">
        <f t="shared" si="125"/>
        <v>0.42954999999999999</v>
      </c>
      <c r="AH1300">
        <f t="shared" si="126"/>
        <v>1.3590199999999999</v>
      </c>
      <c r="AI1300">
        <f>VLOOKUP(L1300,'[1]Tuyến cáp H04'!$B:$E,3,0)/1000</f>
        <v>5.2249999999999996</v>
      </c>
      <c r="AJ1300" t="str">
        <f>VLOOKUP(L1300,'[1]Tuyến cáp H04'!$B:$E,4,0)</f>
        <v>Mạng cấp 4</v>
      </c>
    </row>
    <row r="1301" spans="1:36" x14ac:dyDescent="0.25">
      <c r="A1301" s="1" t="s">
        <v>12529</v>
      </c>
      <c r="B1301" s="1" t="s">
        <v>11643</v>
      </c>
      <c r="C1301" s="1" t="s">
        <v>11644</v>
      </c>
      <c r="D1301" s="1" t="s">
        <v>12530</v>
      </c>
      <c r="E1301" s="1" t="s">
        <v>12531</v>
      </c>
      <c r="F1301" s="1" t="s">
        <v>12532</v>
      </c>
      <c r="G1301" s="1" t="s">
        <v>14129</v>
      </c>
      <c r="H1301" s="1" t="s">
        <v>14532</v>
      </c>
      <c r="I1301" s="1" t="s">
        <v>15401</v>
      </c>
      <c r="J1301" s="1" t="s">
        <v>23</v>
      </c>
      <c r="K1301" s="1"/>
      <c r="L1301" s="1" t="s">
        <v>11633</v>
      </c>
      <c r="M1301" s="1" t="s">
        <v>12533</v>
      </c>
      <c r="N1301" s="1" t="s">
        <v>4377</v>
      </c>
      <c r="O1301" s="1" t="s">
        <v>12534</v>
      </c>
      <c r="P1301" s="1" t="s">
        <v>12535</v>
      </c>
      <c r="Q1301" s="1" t="s">
        <v>12536</v>
      </c>
      <c r="R1301" s="1" t="s">
        <v>12537</v>
      </c>
      <c r="S1301" s="1" t="s">
        <v>12538</v>
      </c>
      <c r="T1301" s="1" t="s">
        <v>12539</v>
      </c>
      <c r="U1301">
        <v>812.28</v>
      </c>
      <c r="V1301">
        <v>56.83</v>
      </c>
      <c r="W1301">
        <v>15.545833</v>
      </c>
      <c r="X1301">
        <v>108.484005</v>
      </c>
      <c r="Y1301">
        <v>755.45</v>
      </c>
      <c r="Z1301">
        <v>15.547324</v>
      </c>
      <c r="AA1301">
        <v>108.486795</v>
      </c>
      <c r="AB1301" s="5">
        <f t="shared" si="121"/>
        <v>8.5245000000000001E-2</v>
      </c>
      <c r="AC1301" s="5">
        <f t="shared" si="122"/>
        <v>1.1331750000000003</v>
      </c>
      <c r="AD1301" s="1" t="str">
        <f t="shared" si="123"/>
        <v>Hương Trà</v>
      </c>
      <c r="AE1301" s="1" t="str">
        <f t="shared" si="124"/>
        <v>Tam Kỳ</v>
      </c>
      <c r="AG1301">
        <f t="shared" si="125"/>
        <v>5.6829999999999999E-2</v>
      </c>
      <c r="AH1301">
        <f t="shared" si="126"/>
        <v>0.75545000000000007</v>
      </c>
      <c r="AI1301">
        <f>VLOOKUP(L1301,'[1]Tuyến cáp H04'!$B:$E,3,0)/1000</f>
        <v>5.2249999999999996</v>
      </c>
      <c r="AJ1301" t="str">
        <f>VLOOKUP(L1301,'[1]Tuyến cáp H04'!$B:$E,4,0)</f>
        <v>Mạng cấp 4</v>
      </c>
    </row>
    <row r="1302" spans="1:36" x14ac:dyDescent="0.25">
      <c r="A1302" s="1" t="s">
        <v>12540</v>
      </c>
      <c r="B1302" s="1" t="s">
        <v>130</v>
      </c>
      <c r="C1302" s="1" t="s">
        <v>131</v>
      </c>
      <c r="D1302" s="1" t="s">
        <v>12541</v>
      </c>
      <c r="E1302" s="1" t="s">
        <v>12542</v>
      </c>
      <c r="F1302" s="1" t="s">
        <v>12543</v>
      </c>
      <c r="G1302" s="1" t="s">
        <v>14129</v>
      </c>
      <c r="H1302" s="1" t="s">
        <v>14532</v>
      </c>
      <c r="I1302" s="1" t="s">
        <v>15402</v>
      </c>
      <c r="J1302" s="1" t="s">
        <v>23</v>
      </c>
      <c r="K1302" s="1"/>
      <c r="L1302" s="1" t="s">
        <v>12544</v>
      </c>
      <c r="M1302" s="1" t="s">
        <v>12545</v>
      </c>
      <c r="N1302" s="1" t="s">
        <v>12546</v>
      </c>
      <c r="O1302" s="1" t="s">
        <v>12547</v>
      </c>
      <c r="P1302" s="1" t="s">
        <v>12548</v>
      </c>
      <c r="Q1302" s="1" t="s">
        <v>12549</v>
      </c>
      <c r="R1302" s="1" t="s">
        <v>12550</v>
      </c>
      <c r="S1302" s="1" t="s">
        <v>12551</v>
      </c>
      <c r="T1302" s="1" t="s">
        <v>12552</v>
      </c>
      <c r="U1302">
        <v>166.84</v>
      </c>
      <c r="V1302">
        <v>153.25</v>
      </c>
      <c r="W1302">
        <v>15.565082</v>
      </c>
      <c r="X1302">
        <v>108.48103399999999</v>
      </c>
      <c r="Y1302">
        <v>13.59</v>
      </c>
      <c r="Z1302">
        <v>15.566739999999999</v>
      </c>
      <c r="AA1302">
        <v>108.479157</v>
      </c>
      <c r="AB1302" s="5">
        <f t="shared" si="121"/>
        <v>0.229875</v>
      </c>
      <c r="AC1302" s="5">
        <f t="shared" si="122"/>
        <v>2.0384999999999997E-2</v>
      </c>
      <c r="AD1302" s="1" t="str">
        <f t="shared" si="123"/>
        <v>PC06</v>
      </c>
      <c r="AE1302" s="1" t="str">
        <f t="shared" si="124"/>
        <v>PC07</v>
      </c>
      <c r="AG1302">
        <f t="shared" si="125"/>
        <v>0.15325</v>
      </c>
      <c r="AH1302">
        <f t="shared" si="126"/>
        <v>1.359E-2</v>
      </c>
      <c r="AI1302">
        <f>VLOOKUP(L1302,'[1]Tuyến cáp H04'!$B:$E,3,0)/1000</f>
        <v>2.0049999999999999</v>
      </c>
      <c r="AJ1302" t="str">
        <f>VLOOKUP(L1302,'[1]Tuyến cáp H04'!$B:$E,4,0)</f>
        <v>Mạng cấp 3</v>
      </c>
    </row>
    <row r="1303" spans="1:36" x14ac:dyDescent="0.25">
      <c r="A1303" s="1" t="s">
        <v>12553</v>
      </c>
      <c r="B1303" s="1" t="s">
        <v>12554</v>
      </c>
      <c r="C1303" s="1" t="s">
        <v>12555</v>
      </c>
      <c r="D1303" s="1" t="s">
        <v>12556</v>
      </c>
      <c r="E1303" s="1" t="s">
        <v>12557</v>
      </c>
      <c r="F1303" s="1" t="s">
        <v>12558</v>
      </c>
      <c r="G1303" s="1" t="s">
        <v>14129</v>
      </c>
      <c r="H1303" s="1" t="s">
        <v>14532</v>
      </c>
      <c r="I1303" s="1" t="s">
        <v>15403</v>
      </c>
      <c r="J1303" s="1" t="s">
        <v>23</v>
      </c>
      <c r="K1303" s="1"/>
      <c r="L1303" s="1" t="s">
        <v>12559</v>
      </c>
      <c r="M1303" s="1" t="s">
        <v>12560</v>
      </c>
      <c r="N1303" s="1" t="s">
        <v>12561</v>
      </c>
      <c r="O1303" s="1" t="s">
        <v>12562</v>
      </c>
      <c r="P1303" s="1" t="s">
        <v>12563</v>
      </c>
      <c r="Q1303" s="1" t="s">
        <v>12564</v>
      </c>
      <c r="R1303" s="1" t="s">
        <v>12565</v>
      </c>
      <c r="S1303" s="1" t="s">
        <v>12566</v>
      </c>
      <c r="T1303" s="1" t="s">
        <v>12567</v>
      </c>
      <c r="U1303">
        <v>1220</v>
      </c>
      <c r="V1303">
        <v>218.62</v>
      </c>
      <c r="W1303">
        <v>15.58076</v>
      </c>
      <c r="X1303">
        <v>108.463223</v>
      </c>
      <c r="Y1303">
        <v>1001.38</v>
      </c>
      <c r="Z1303">
        <v>15.575601000000001</v>
      </c>
      <c r="AA1303">
        <v>108.461769</v>
      </c>
      <c r="AB1303" s="5">
        <f t="shared" si="121"/>
        <v>0.32793</v>
      </c>
      <c r="AC1303" s="5">
        <f t="shared" si="122"/>
        <v>1.50207</v>
      </c>
      <c r="AD1303" s="1" t="str">
        <f t="shared" si="123"/>
        <v>PK02</v>
      </c>
      <c r="AE1303" s="1" t="str">
        <f t="shared" si="124"/>
        <v>PC11</v>
      </c>
      <c r="AG1303">
        <f t="shared" si="125"/>
        <v>0.21862000000000001</v>
      </c>
      <c r="AH1303">
        <f t="shared" si="126"/>
        <v>1.0013799999999999</v>
      </c>
      <c r="AI1303">
        <f>VLOOKUP(L1303,'[1]Tuyến cáp H04'!$B:$E,3,0)/1000</f>
        <v>4.5209999999999999</v>
      </c>
      <c r="AJ1303" t="str">
        <f>VLOOKUP(L1303,'[1]Tuyến cáp H04'!$B:$E,4,0)</f>
        <v>Mạng cấp 3</v>
      </c>
    </row>
    <row r="1304" spans="1:36" x14ac:dyDescent="0.25">
      <c r="A1304" s="1" t="s">
        <v>12568</v>
      </c>
      <c r="B1304" s="1" t="s">
        <v>12554</v>
      </c>
      <c r="C1304" s="1" t="s">
        <v>12555</v>
      </c>
      <c r="D1304" s="1" t="s">
        <v>12364</v>
      </c>
      <c r="E1304" s="1" t="s">
        <v>12365</v>
      </c>
      <c r="F1304" s="1" t="s">
        <v>12569</v>
      </c>
      <c r="G1304" s="1" t="s">
        <v>14129</v>
      </c>
      <c r="H1304" s="1" t="s">
        <v>14532</v>
      </c>
      <c r="I1304" s="1" t="s">
        <v>15404</v>
      </c>
      <c r="J1304" s="1" t="s">
        <v>23</v>
      </c>
      <c r="K1304" s="1"/>
      <c r="L1304" s="1" t="s">
        <v>11601</v>
      </c>
      <c r="M1304" s="1" t="s">
        <v>12570</v>
      </c>
      <c r="N1304" s="1" t="s">
        <v>12571</v>
      </c>
      <c r="O1304" s="1" t="s">
        <v>12572</v>
      </c>
      <c r="P1304" s="1" t="s">
        <v>11605</v>
      </c>
      <c r="Q1304" s="1" t="s">
        <v>12573</v>
      </c>
      <c r="R1304" s="1" t="s">
        <v>12574</v>
      </c>
      <c r="S1304" s="1" t="s">
        <v>12575</v>
      </c>
      <c r="T1304" s="1" t="s">
        <v>11609</v>
      </c>
      <c r="U1304">
        <v>2366.52</v>
      </c>
      <c r="V1304">
        <v>2292.2199999999998</v>
      </c>
      <c r="W1304">
        <v>15.575385000000001</v>
      </c>
      <c r="X1304">
        <v>108.444188</v>
      </c>
      <c r="Y1304">
        <v>74.3</v>
      </c>
      <c r="Z1304">
        <v>15.562578</v>
      </c>
      <c r="AA1304">
        <v>108.425622</v>
      </c>
      <c r="AB1304" s="5">
        <f t="shared" si="121"/>
        <v>3.4383300000000001</v>
      </c>
      <c r="AC1304" s="5">
        <f t="shared" si="122"/>
        <v>0.11144999999999999</v>
      </c>
      <c r="AD1304" s="1" t="str">
        <f t="shared" si="123"/>
        <v>TT2 Tam Kỳ</v>
      </c>
      <c r="AE1304" s="1" t="str">
        <f t="shared" si="124"/>
        <v>CAX Tiên Sơn (Tiên Phước)</v>
      </c>
      <c r="AG1304">
        <f t="shared" si="125"/>
        <v>2.2922199999999999</v>
      </c>
      <c r="AH1304">
        <f t="shared" si="126"/>
        <v>7.4299999999999991E-2</v>
      </c>
      <c r="AI1304">
        <f>VLOOKUP(L1304,'[1]Tuyến cáp H04'!$B:$E,3,0)/1000</f>
        <v>28.587</v>
      </c>
      <c r="AJ1304" t="str">
        <f>VLOOKUP(L1304,'[1]Tuyến cáp H04'!$B:$E,4,0)</f>
        <v>Mạng cấp 3</v>
      </c>
    </row>
    <row r="1305" spans="1:36" x14ac:dyDescent="0.25">
      <c r="A1305" s="1" t="s">
        <v>12576</v>
      </c>
      <c r="B1305" s="1" t="s">
        <v>12554</v>
      </c>
      <c r="C1305" s="1" t="s">
        <v>12555</v>
      </c>
      <c r="D1305" s="1" t="s">
        <v>11560</v>
      </c>
      <c r="E1305" s="1" t="s">
        <v>11561</v>
      </c>
      <c r="F1305" s="1" t="s">
        <v>12577</v>
      </c>
      <c r="G1305" s="1" t="s">
        <v>14129</v>
      </c>
      <c r="H1305" s="1" t="s">
        <v>14532</v>
      </c>
      <c r="I1305" s="1" t="s">
        <v>15405</v>
      </c>
      <c r="J1305" s="1" t="s">
        <v>23</v>
      </c>
      <c r="K1305" s="1"/>
      <c r="L1305" s="1" t="s">
        <v>11470</v>
      </c>
      <c r="M1305" s="1" t="s">
        <v>12578</v>
      </c>
      <c r="N1305" s="1" t="s">
        <v>12579</v>
      </c>
      <c r="O1305" s="1" t="s">
        <v>12580</v>
      </c>
      <c r="P1305" s="1" t="s">
        <v>12581</v>
      </c>
      <c r="Q1305" s="1" t="s">
        <v>11564</v>
      </c>
      <c r="R1305" s="1" t="s">
        <v>11565</v>
      </c>
      <c r="S1305" s="1" t="s">
        <v>11566</v>
      </c>
      <c r="T1305" s="1" t="s">
        <v>11478</v>
      </c>
      <c r="U1305">
        <v>448.32</v>
      </c>
      <c r="V1305">
        <v>413.15</v>
      </c>
      <c r="W1305">
        <v>15.585190000000001</v>
      </c>
      <c r="X1305">
        <v>108.466882</v>
      </c>
      <c r="Y1305">
        <v>35.17</v>
      </c>
      <c r="Z1305">
        <v>15.579651999999999</v>
      </c>
      <c r="AA1305">
        <v>108.473956</v>
      </c>
      <c r="AB1305" s="5">
        <f t="shared" si="121"/>
        <v>0.61972499999999986</v>
      </c>
      <c r="AC1305" s="5">
        <f t="shared" si="122"/>
        <v>5.2755000000000003E-2</v>
      </c>
      <c r="AD1305" s="1" t="str">
        <f t="shared" si="123"/>
        <v>TT2 Tam Kỳ</v>
      </c>
      <c r="AE1305" s="1" t="str">
        <f t="shared" si="124"/>
        <v>Thăng Bình</v>
      </c>
      <c r="AG1305">
        <f t="shared" si="125"/>
        <v>0.41314999999999996</v>
      </c>
      <c r="AH1305">
        <f t="shared" si="126"/>
        <v>3.517E-2</v>
      </c>
      <c r="AI1305">
        <f>VLOOKUP(L1305,'[1]Tuyến cáp H04'!$B:$E,3,0)/1000</f>
        <v>24.648</v>
      </c>
      <c r="AJ1305" t="str">
        <f>VLOOKUP(L1305,'[1]Tuyến cáp H04'!$B:$E,4,0)</f>
        <v>Mạng cấp 3</v>
      </c>
    </row>
    <row r="1306" spans="1:36" x14ac:dyDescent="0.25">
      <c r="A1306" s="1" t="s">
        <v>12582</v>
      </c>
      <c r="B1306" s="1" t="s">
        <v>12524</v>
      </c>
      <c r="C1306" s="1" t="s">
        <v>12525</v>
      </c>
      <c r="D1306" s="1" t="s">
        <v>11560</v>
      </c>
      <c r="E1306" s="1" t="s">
        <v>11561</v>
      </c>
      <c r="F1306" s="1" t="s">
        <v>12583</v>
      </c>
      <c r="G1306" s="1" t="s">
        <v>14129</v>
      </c>
      <c r="H1306" s="1" t="s">
        <v>14532</v>
      </c>
      <c r="I1306" s="1" t="s">
        <v>15406</v>
      </c>
      <c r="J1306" s="1" t="s">
        <v>23</v>
      </c>
      <c r="K1306" s="1"/>
      <c r="L1306" s="1" t="s">
        <v>12584</v>
      </c>
      <c r="M1306" s="1" t="s">
        <v>12585</v>
      </c>
      <c r="N1306" s="1" t="s">
        <v>12586</v>
      </c>
      <c r="O1306" s="1" t="s">
        <v>12587</v>
      </c>
      <c r="P1306" s="1" t="s">
        <v>12588</v>
      </c>
      <c r="Q1306" s="1" t="s">
        <v>12589</v>
      </c>
      <c r="R1306" s="1" t="s">
        <v>12590</v>
      </c>
      <c r="S1306" s="1" t="s">
        <v>12591</v>
      </c>
      <c r="T1306" s="1" t="s">
        <v>12592</v>
      </c>
      <c r="U1306">
        <v>133.13999999999999</v>
      </c>
      <c r="V1306">
        <v>95.8</v>
      </c>
      <c r="W1306">
        <v>15.575644</v>
      </c>
      <c r="X1306">
        <v>108.476562</v>
      </c>
      <c r="Y1306">
        <v>37.33</v>
      </c>
      <c r="Z1306">
        <v>15.579679</v>
      </c>
      <c r="AA1306">
        <v>108.47395</v>
      </c>
      <c r="AB1306" s="5">
        <f t="shared" si="121"/>
        <v>0.14369999999999999</v>
      </c>
      <c r="AC1306" s="5">
        <f t="shared" si="122"/>
        <v>5.5994999999999996E-2</v>
      </c>
      <c r="AD1306" s="1" t="str">
        <f t="shared" si="123"/>
        <v>TT2 Tam Kỳ</v>
      </c>
      <c r="AE1306" s="1" t="str">
        <f t="shared" si="124"/>
        <v>PC08</v>
      </c>
      <c r="AG1306">
        <f t="shared" si="125"/>
        <v>9.5799999999999996E-2</v>
      </c>
      <c r="AH1306">
        <f t="shared" si="126"/>
        <v>3.7329999999999995E-2</v>
      </c>
      <c r="AI1306">
        <f>VLOOKUP(L1306,'[1]Tuyến cáp H04'!$B:$E,3,0)/1000</f>
        <v>1.42</v>
      </c>
      <c r="AJ1306" t="str">
        <f>VLOOKUP(L1306,'[1]Tuyến cáp H04'!$B:$E,4,0)</f>
        <v>Mạng cấp 3</v>
      </c>
    </row>
    <row r="1307" spans="1:36" x14ac:dyDescent="0.25">
      <c r="A1307" s="1" t="s">
        <v>12593</v>
      </c>
      <c r="B1307" s="1" t="s">
        <v>12524</v>
      </c>
      <c r="C1307" s="1" t="s">
        <v>12525</v>
      </c>
      <c r="D1307" s="1" t="s">
        <v>11643</v>
      </c>
      <c r="E1307" s="1" t="s">
        <v>11644</v>
      </c>
      <c r="F1307" s="1" t="s">
        <v>12526</v>
      </c>
      <c r="G1307" s="1"/>
      <c r="H1307" s="1" t="s">
        <v>14532</v>
      </c>
      <c r="I1307" s="1" t="s">
        <v>15400</v>
      </c>
      <c r="J1307" s="1" t="s">
        <v>23</v>
      </c>
      <c r="K1307" s="1"/>
      <c r="L1307" s="1" t="s">
        <v>11633</v>
      </c>
      <c r="M1307" s="1" t="s">
        <v>12527</v>
      </c>
      <c r="N1307" s="1" t="s">
        <v>12528</v>
      </c>
      <c r="O1307" s="1" t="s">
        <v>11636</v>
      </c>
      <c r="P1307" s="1" t="s">
        <v>11637</v>
      </c>
      <c r="Q1307" s="1" t="s">
        <v>11647</v>
      </c>
      <c r="R1307" s="1" t="s">
        <v>11648</v>
      </c>
      <c r="S1307" s="1" t="s">
        <v>11649</v>
      </c>
      <c r="T1307" s="1" t="s">
        <v>11641</v>
      </c>
      <c r="U1307">
        <v>1788.57</v>
      </c>
      <c r="V1307">
        <v>1359.02</v>
      </c>
      <c r="W1307">
        <v>15.563969</v>
      </c>
      <c r="X1307">
        <v>108.482575</v>
      </c>
      <c r="Y1307">
        <v>429.55</v>
      </c>
      <c r="Z1307">
        <v>15.544556999999999</v>
      </c>
      <c r="AA1307">
        <v>108.488028</v>
      </c>
      <c r="AB1307" s="5">
        <f t="shared" si="121"/>
        <v>2.0385300000000002</v>
      </c>
      <c r="AC1307" s="5">
        <f t="shared" si="122"/>
        <v>0.64432500000000004</v>
      </c>
      <c r="AD1307" s="1" t="str">
        <f t="shared" si="123"/>
        <v>Hương Trà</v>
      </c>
      <c r="AE1307" s="1" t="str">
        <f t="shared" si="124"/>
        <v>Tam Kỳ</v>
      </c>
      <c r="AG1307">
        <f t="shared" si="125"/>
        <v>1.3590199999999999</v>
      </c>
      <c r="AH1307">
        <f t="shared" si="126"/>
        <v>0.42954999999999999</v>
      </c>
      <c r="AI1307">
        <f>VLOOKUP(L1307,'[1]Tuyến cáp H04'!$B:$E,3,0)/1000</f>
        <v>5.2249999999999996</v>
      </c>
      <c r="AJ1307" t="str">
        <f>VLOOKUP(L1307,'[1]Tuyến cáp H04'!$B:$E,4,0)</f>
        <v>Mạng cấp 4</v>
      </c>
    </row>
    <row r="1308" spans="1:36" x14ac:dyDescent="0.25">
      <c r="A1308" s="1" t="s">
        <v>12582</v>
      </c>
      <c r="B1308" s="1" t="s">
        <v>12524</v>
      </c>
      <c r="C1308" s="1" t="s">
        <v>12525</v>
      </c>
      <c r="D1308" s="1" t="s">
        <v>11560</v>
      </c>
      <c r="E1308" s="1" t="s">
        <v>11561</v>
      </c>
      <c r="F1308" s="1" t="s">
        <v>12583</v>
      </c>
      <c r="G1308" s="1" t="s">
        <v>14129</v>
      </c>
      <c r="H1308" s="1" t="s">
        <v>14532</v>
      </c>
      <c r="I1308" s="1" t="s">
        <v>15406</v>
      </c>
      <c r="J1308" s="1" t="s">
        <v>23</v>
      </c>
      <c r="K1308" s="1"/>
      <c r="L1308" s="1" t="s">
        <v>12584</v>
      </c>
      <c r="M1308" s="1" t="s">
        <v>12585</v>
      </c>
      <c r="N1308" s="1" t="s">
        <v>12586</v>
      </c>
      <c r="O1308" s="1" t="s">
        <v>12587</v>
      </c>
      <c r="P1308" s="1" t="s">
        <v>12588</v>
      </c>
      <c r="Q1308" s="1" t="s">
        <v>12589</v>
      </c>
      <c r="R1308" s="1" t="s">
        <v>12590</v>
      </c>
      <c r="S1308" s="1" t="s">
        <v>12591</v>
      </c>
      <c r="T1308" s="1" t="s">
        <v>12592</v>
      </c>
      <c r="U1308">
        <v>133.13999999999999</v>
      </c>
      <c r="V1308">
        <v>95.8</v>
      </c>
      <c r="W1308">
        <v>15.575644</v>
      </c>
      <c r="X1308">
        <v>108.476562</v>
      </c>
      <c r="Y1308">
        <v>37.33</v>
      </c>
      <c r="Z1308">
        <v>15.579679</v>
      </c>
      <c r="AA1308">
        <v>108.47395</v>
      </c>
      <c r="AB1308" s="5">
        <f t="shared" si="121"/>
        <v>0.14369999999999999</v>
      </c>
      <c r="AC1308" s="5">
        <f t="shared" si="122"/>
        <v>5.5994999999999996E-2</v>
      </c>
      <c r="AD1308" s="1" t="str">
        <f t="shared" si="123"/>
        <v>TT2 Tam Kỳ</v>
      </c>
      <c r="AE1308" s="1" t="str">
        <f t="shared" si="124"/>
        <v>PC08</v>
      </c>
      <c r="AG1308">
        <f t="shared" si="125"/>
        <v>9.5799999999999996E-2</v>
      </c>
      <c r="AH1308">
        <f t="shared" si="126"/>
        <v>3.7329999999999995E-2</v>
      </c>
      <c r="AI1308">
        <f>VLOOKUP(L1308,'[1]Tuyến cáp H04'!$B:$E,3,0)/1000</f>
        <v>1.42</v>
      </c>
      <c r="AJ1308" t="str">
        <f>VLOOKUP(L1308,'[1]Tuyến cáp H04'!$B:$E,4,0)</f>
        <v>Mạng cấp 3</v>
      </c>
    </row>
    <row r="1309" spans="1:36" x14ac:dyDescent="0.25">
      <c r="A1309" s="1" t="s">
        <v>12594</v>
      </c>
      <c r="B1309" s="1" t="s">
        <v>4610</v>
      </c>
      <c r="C1309" s="1" t="s">
        <v>4611</v>
      </c>
      <c r="D1309" s="1" t="s">
        <v>12595</v>
      </c>
      <c r="E1309" s="1" t="s">
        <v>12596</v>
      </c>
      <c r="F1309" s="1" t="s">
        <v>12597</v>
      </c>
      <c r="G1309" s="1" t="s">
        <v>14129</v>
      </c>
      <c r="H1309" s="1" t="s">
        <v>14130</v>
      </c>
      <c r="I1309" s="1" t="s">
        <v>15407</v>
      </c>
      <c r="J1309" s="1" t="s">
        <v>23</v>
      </c>
      <c r="K1309" s="1"/>
      <c r="L1309" s="1" t="s">
        <v>12559</v>
      </c>
      <c r="M1309" s="1" t="s">
        <v>12598</v>
      </c>
      <c r="N1309" s="1" t="s">
        <v>12599</v>
      </c>
      <c r="O1309" s="1" t="s">
        <v>12600</v>
      </c>
      <c r="P1309" s="1" t="s">
        <v>12601</v>
      </c>
      <c r="Q1309" s="1" t="s">
        <v>12602</v>
      </c>
      <c r="R1309" s="1" t="s">
        <v>12603</v>
      </c>
      <c r="S1309" s="1" t="s">
        <v>12604</v>
      </c>
      <c r="T1309" s="1" t="s">
        <v>12605</v>
      </c>
      <c r="U1309">
        <v>64.92</v>
      </c>
      <c r="V1309">
        <v>19.86</v>
      </c>
      <c r="W1309">
        <v>15.558757999999999</v>
      </c>
      <c r="X1309">
        <v>108.450018</v>
      </c>
      <c r="Y1309">
        <v>45.06</v>
      </c>
      <c r="Z1309">
        <v>15.564654000000001</v>
      </c>
      <c r="AA1309">
        <v>108.459951</v>
      </c>
      <c r="AB1309" s="5">
        <f t="shared" si="121"/>
        <v>2.9790000000000001E-2</v>
      </c>
      <c r="AC1309" s="5">
        <f t="shared" si="122"/>
        <v>6.7589999999999997E-2</v>
      </c>
      <c r="AD1309" s="1" t="str">
        <f t="shared" si="123"/>
        <v>PK02</v>
      </c>
      <c r="AE1309" s="1" t="str">
        <f t="shared" si="124"/>
        <v>PC11</v>
      </c>
      <c r="AG1309">
        <f t="shared" si="125"/>
        <v>1.9859999999999999E-2</v>
      </c>
      <c r="AH1309">
        <f t="shared" si="126"/>
        <v>4.5060000000000003E-2</v>
      </c>
      <c r="AI1309">
        <f>VLOOKUP(L1309,'[1]Tuyến cáp H04'!$B:$E,3,0)/1000</f>
        <v>4.5209999999999999</v>
      </c>
      <c r="AJ1309" t="str">
        <f>VLOOKUP(L1309,'[1]Tuyến cáp H04'!$B:$E,4,0)</f>
        <v>Mạng cấp 3</v>
      </c>
    </row>
    <row r="1310" spans="1:36" x14ac:dyDescent="0.25">
      <c r="A1310" s="1" t="s">
        <v>12606</v>
      </c>
      <c r="B1310" s="1" t="s">
        <v>4610</v>
      </c>
      <c r="C1310" s="1" t="s">
        <v>4611</v>
      </c>
      <c r="D1310" s="1" t="s">
        <v>12607</v>
      </c>
      <c r="E1310" s="1" t="s">
        <v>12608</v>
      </c>
      <c r="F1310" s="1" t="s">
        <v>12609</v>
      </c>
      <c r="G1310" s="1" t="s">
        <v>14129</v>
      </c>
      <c r="H1310" s="1" t="s">
        <v>14532</v>
      </c>
      <c r="I1310" s="1" t="s">
        <v>15408</v>
      </c>
      <c r="J1310" s="1" t="s">
        <v>23</v>
      </c>
      <c r="K1310" s="1"/>
      <c r="L1310" s="1" t="s">
        <v>12610</v>
      </c>
      <c r="M1310" s="1" t="s">
        <v>12611</v>
      </c>
      <c r="N1310" s="1" t="s">
        <v>12612</v>
      </c>
      <c r="O1310" s="1" t="s">
        <v>12613</v>
      </c>
      <c r="P1310" s="1" t="s">
        <v>12614</v>
      </c>
      <c r="Q1310" s="1" t="s">
        <v>12615</v>
      </c>
      <c r="R1310" s="1" t="s">
        <v>12616</v>
      </c>
      <c r="S1310" s="1" t="s">
        <v>12617</v>
      </c>
      <c r="T1310" s="1" t="s">
        <v>12618</v>
      </c>
      <c r="U1310">
        <v>1025.56</v>
      </c>
      <c r="V1310">
        <v>362.26</v>
      </c>
      <c r="W1310">
        <v>15.560487</v>
      </c>
      <c r="X1310">
        <v>108.44725800000001</v>
      </c>
      <c r="Y1310">
        <v>663.31</v>
      </c>
      <c r="Z1310">
        <v>15.558166</v>
      </c>
      <c r="AA1310">
        <v>108.433716</v>
      </c>
      <c r="AB1310" s="5">
        <f t="shared" si="121"/>
        <v>0.54339000000000004</v>
      </c>
      <c r="AC1310" s="5">
        <f t="shared" si="122"/>
        <v>0.99496499999999988</v>
      </c>
      <c r="AD1310" s="1" t="str">
        <f t="shared" si="123"/>
        <v>Phú Ninh</v>
      </c>
      <c r="AE1310" s="1" t="str">
        <f t="shared" si="124"/>
        <v>TT2 Tam Kỳ</v>
      </c>
      <c r="AG1310">
        <f t="shared" si="125"/>
        <v>0.36225999999999997</v>
      </c>
      <c r="AH1310">
        <f t="shared" si="126"/>
        <v>0.66330999999999996</v>
      </c>
      <c r="AI1310">
        <f>VLOOKUP(L1310,'[1]Tuyến cáp H04'!$B:$E,3,0)/1000</f>
        <v>8.4600000000000009</v>
      </c>
      <c r="AJ1310" t="str">
        <f>VLOOKUP(L1310,'[1]Tuyến cáp H04'!$B:$E,4,0)</f>
        <v>Mạng cấp 3</v>
      </c>
    </row>
    <row r="1311" spans="1:36" x14ac:dyDescent="0.25">
      <c r="A1311" s="1" t="s">
        <v>12619</v>
      </c>
      <c r="B1311" s="1" t="s">
        <v>4610</v>
      </c>
      <c r="C1311" s="1" t="s">
        <v>4611</v>
      </c>
      <c r="D1311" s="1" t="s">
        <v>12620</v>
      </c>
      <c r="E1311" s="1" t="s">
        <v>12621</v>
      </c>
      <c r="F1311" s="1" t="s">
        <v>12622</v>
      </c>
      <c r="G1311" s="1" t="s">
        <v>14129</v>
      </c>
      <c r="H1311" s="1" t="s">
        <v>14532</v>
      </c>
      <c r="I1311" s="1" t="s">
        <v>15409</v>
      </c>
      <c r="J1311" s="1" t="s">
        <v>23</v>
      </c>
      <c r="K1311" s="1"/>
      <c r="L1311" s="1" t="s">
        <v>12559</v>
      </c>
      <c r="M1311" s="1" t="s">
        <v>12623</v>
      </c>
      <c r="N1311" s="1" t="s">
        <v>12599</v>
      </c>
      <c r="O1311" s="1" t="s">
        <v>12600</v>
      </c>
      <c r="P1311" s="1" t="s">
        <v>12601</v>
      </c>
      <c r="Q1311" s="1" t="s">
        <v>12624</v>
      </c>
      <c r="R1311" s="1" t="s">
        <v>12625</v>
      </c>
      <c r="S1311" s="1" t="s">
        <v>12626</v>
      </c>
      <c r="T1311" s="1" t="s">
        <v>12605</v>
      </c>
      <c r="U1311">
        <v>1061.48</v>
      </c>
      <c r="V1311">
        <v>19.86</v>
      </c>
      <c r="W1311">
        <v>15.558757999999999</v>
      </c>
      <c r="X1311">
        <v>108.450018</v>
      </c>
      <c r="Y1311">
        <v>1041.6199999999999</v>
      </c>
      <c r="Z1311">
        <v>15.565383000000001</v>
      </c>
      <c r="AA1311">
        <v>108.461071</v>
      </c>
      <c r="AB1311" s="5">
        <f t="shared" si="121"/>
        <v>2.9790000000000001E-2</v>
      </c>
      <c r="AC1311" s="5">
        <f t="shared" si="122"/>
        <v>1.5624299999999998</v>
      </c>
      <c r="AD1311" s="1" t="str">
        <f t="shared" si="123"/>
        <v>PK02</v>
      </c>
      <c r="AE1311" s="1" t="str">
        <f t="shared" si="124"/>
        <v>PC11</v>
      </c>
      <c r="AG1311">
        <f t="shared" si="125"/>
        <v>1.9859999999999999E-2</v>
      </c>
      <c r="AH1311">
        <f t="shared" si="126"/>
        <v>1.04162</v>
      </c>
      <c r="AI1311">
        <f>VLOOKUP(L1311,'[1]Tuyến cáp H04'!$B:$E,3,0)/1000</f>
        <v>4.5209999999999999</v>
      </c>
      <c r="AJ1311" t="str">
        <f>VLOOKUP(L1311,'[1]Tuyến cáp H04'!$B:$E,4,0)</f>
        <v>Mạng cấp 3</v>
      </c>
    </row>
    <row r="1312" spans="1:36" x14ac:dyDescent="0.25">
      <c r="A1312" s="1" t="s">
        <v>12627</v>
      </c>
      <c r="B1312" s="1" t="s">
        <v>4610</v>
      </c>
      <c r="C1312" s="1" t="s">
        <v>4611</v>
      </c>
      <c r="D1312" s="1" t="s">
        <v>12628</v>
      </c>
      <c r="E1312" s="1" t="s">
        <v>12629</v>
      </c>
      <c r="F1312" s="1" t="s">
        <v>12630</v>
      </c>
      <c r="G1312" s="1" t="s">
        <v>14129</v>
      </c>
      <c r="H1312" s="1" t="s">
        <v>14532</v>
      </c>
      <c r="I1312" s="1" t="s">
        <v>15410</v>
      </c>
      <c r="J1312" s="1" t="s">
        <v>23</v>
      </c>
      <c r="K1312" s="1"/>
      <c r="L1312" s="1" t="s">
        <v>12631</v>
      </c>
      <c r="M1312" s="1" t="s">
        <v>12632</v>
      </c>
      <c r="N1312" s="1" t="s">
        <v>12633</v>
      </c>
      <c r="O1312" s="1" t="s">
        <v>12634</v>
      </c>
      <c r="P1312" s="1" t="s">
        <v>12635</v>
      </c>
      <c r="Q1312" s="1" t="s">
        <v>12636</v>
      </c>
      <c r="R1312" s="1" t="s">
        <v>12637</v>
      </c>
      <c r="S1312" s="1" t="s">
        <v>12638</v>
      </c>
      <c r="T1312" s="1" t="s">
        <v>12639</v>
      </c>
      <c r="U1312">
        <v>961.83</v>
      </c>
      <c r="V1312">
        <v>1.72</v>
      </c>
      <c r="W1312">
        <v>15.558593999999999</v>
      </c>
      <c r="X1312">
        <v>108.450006</v>
      </c>
      <c r="Y1312">
        <v>960.11</v>
      </c>
      <c r="Z1312">
        <v>15.55847</v>
      </c>
      <c r="AA1312">
        <v>108.451409</v>
      </c>
      <c r="AB1312" s="5">
        <f t="shared" si="121"/>
        <v>2.5800000000000003E-3</v>
      </c>
      <c r="AC1312" s="5">
        <f t="shared" si="122"/>
        <v>1.4401649999999999</v>
      </c>
      <c r="AD1312" s="1" t="str">
        <f t="shared" si="123"/>
        <v>PC11</v>
      </c>
      <c r="AE1312" s="1" t="str">
        <f t="shared" si="124"/>
        <v>TT2 Tam Kỳ</v>
      </c>
      <c r="AG1312">
        <f t="shared" si="125"/>
        <v>1.72E-3</v>
      </c>
      <c r="AH1312">
        <f t="shared" si="126"/>
        <v>0.96011000000000002</v>
      </c>
      <c r="AI1312">
        <f>VLOOKUP(L1312,'[1]Tuyến cáp H04'!$B:$E,3,0)/1000</f>
        <v>3.8330000000000002</v>
      </c>
      <c r="AJ1312" t="str">
        <f>VLOOKUP(L1312,'[1]Tuyến cáp H04'!$B:$E,4,0)</f>
        <v>Mạng cấp 3</v>
      </c>
    </row>
    <row r="1313" spans="1:36" x14ac:dyDescent="0.25">
      <c r="A1313" s="1" t="s">
        <v>12640</v>
      </c>
      <c r="B1313" s="1" t="s">
        <v>4610</v>
      </c>
      <c r="C1313" s="1" t="s">
        <v>4611</v>
      </c>
      <c r="D1313" s="1" t="s">
        <v>12641</v>
      </c>
      <c r="E1313" s="1" t="s">
        <v>12642</v>
      </c>
      <c r="F1313" s="1" t="s">
        <v>12643</v>
      </c>
      <c r="G1313" s="1" t="s">
        <v>14129</v>
      </c>
      <c r="H1313" s="1" t="s">
        <v>14532</v>
      </c>
      <c r="I1313" s="1" t="s">
        <v>15411</v>
      </c>
      <c r="J1313" s="1" t="s">
        <v>23</v>
      </c>
      <c r="K1313" s="1"/>
      <c r="L1313" s="1" t="s">
        <v>12610</v>
      </c>
      <c r="M1313" s="1" t="s">
        <v>12644</v>
      </c>
      <c r="N1313" s="1" t="s">
        <v>12612</v>
      </c>
      <c r="O1313" s="1" t="s">
        <v>12613</v>
      </c>
      <c r="P1313" s="1" t="s">
        <v>12614</v>
      </c>
      <c r="Q1313" s="1" t="s">
        <v>12645</v>
      </c>
      <c r="R1313" s="1" t="s">
        <v>12646</v>
      </c>
      <c r="S1313" s="1" t="s">
        <v>12647</v>
      </c>
      <c r="T1313" s="1" t="s">
        <v>12618</v>
      </c>
      <c r="U1313">
        <v>1462.28</v>
      </c>
      <c r="V1313">
        <v>362.26</v>
      </c>
      <c r="W1313">
        <v>15.560487</v>
      </c>
      <c r="X1313">
        <v>108.44725800000001</v>
      </c>
      <c r="Y1313">
        <v>1100.02</v>
      </c>
      <c r="Z1313">
        <v>15.553032999999999</v>
      </c>
      <c r="AA1313">
        <v>108.418121</v>
      </c>
      <c r="AB1313" s="5">
        <f t="shared" si="121"/>
        <v>0.54339000000000004</v>
      </c>
      <c r="AC1313" s="5">
        <f t="shared" si="122"/>
        <v>1.6500299999999999</v>
      </c>
      <c r="AD1313" s="1" t="str">
        <f t="shared" si="123"/>
        <v>Phú Ninh</v>
      </c>
      <c r="AE1313" s="1" t="str">
        <f t="shared" si="124"/>
        <v>TT2 Tam Kỳ</v>
      </c>
      <c r="AG1313">
        <f t="shared" si="125"/>
        <v>0.36225999999999997</v>
      </c>
      <c r="AH1313">
        <f t="shared" si="126"/>
        <v>1.10002</v>
      </c>
      <c r="AI1313">
        <f>VLOOKUP(L1313,'[1]Tuyến cáp H04'!$B:$E,3,0)/1000</f>
        <v>8.4600000000000009</v>
      </c>
      <c r="AJ1313" t="str">
        <f>VLOOKUP(L1313,'[1]Tuyến cáp H04'!$B:$E,4,0)</f>
        <v>Mạng cấp 3</v>
      </c>
    </row>
    <row r="1314" spans="1:36" x14ac:dyDescent="0.25">
      <c r="A1314" s="1" t="s">
        <v>12648</v>
      </c>
      <c r="B1314" s="1" t="s">
        <v>4610</v>
      </c>
      <c r="C1314" s="1" t="s">
        <v>4611</v>
      </c>
      <c r="D1314" s="1" t="s">
        <v>11560</v>
      </c>
      <c r="E1314" s="1" t="s">
        <v>11561</v>
      </c>
      <c r="F1314" s="1" t="s">
        <v>12649</v>
      </c>
      <c r="G1314" s="1" t="s">
        <v>14129</v>
      </c>
      <c r="H1314" s="1" t="s">
        <v>14532</v>
      </c>
      <c r="I1314" s="1" t="s">
        <v>15412</v>
      </c>
      <c r="J1314" s="1" t="s">
        <v>23</v>
      </c>
      <c r="K1314" s="1"/>
      <c r="L1314" s="1" t="s">
        <v>12610</v>
      </c>
      <c r="M1314" s="1" t="s">
        <v>12650</v>
      </c>
      <c r="N1314" s="1" t="s">
        <v>12651</v>
      </c>
      <c r="O1314" s="1" t="s">
        <v>12652</v>
      </c>
      <c r="P1314" s="1" t="s">
        <v>12653</v>
      </c>
      <c r="Q1314" s="1" t="s">
        <v>12654</v>
      </c>
      <c r="R1314" s="1" t="s">
        <v>12655</v>
      </c>
      <c r="S1314" s="1" t="s">
        <v>12656</v>
      </c>
      <c r="T1314" s="1" t="s">
        <v>12657</v>
      </c>
      <c r="U1314">
        <v>2023.35</v>
      </c>
      <c r="V1314">
        <v>1440.83</v>
      </c>
      <c r="W1314">
        <v>15.565669</v>
      </c>
      <c r="X1314">
        <v>108.46126</v>
      </c>
      <c r="Y1314">
        <v>582.51</v>
      </c>
      <c r="Z1314">
        <v>15.574358999999999</v>
      </c>
      <c r="AA1314">
        <v>108.475303</v>
      </c>
      <c r="AB1314" s="5">
        <f t="shared" si="121"/>
        <v>2.1612450000000001</v>
      </c>
      <c r="AC1314" s="5">
        <f t="shared" si="122"/>
        <v>0.87376500000000001</v>
      </c>
      <c r="AD1314" s="1" t="str">
        <f t="shared" si="123"/>
        <v>Phú Ninh</v>
      </c>
      <c r="AE1314" s="1" t="str">
        <f t="shared" si="124"/>
        <v>TT2 Tam Kỳ</v>
      </c>
      <c r="AG1314">
        <f t="shared" si="125"/>
        <v>1.4408299999999998</v>
      </c>
      <c r="AH1314">
        <f t="shared" si="126"/>
        <v>0.58250999999999997</v>
      </c>
      <c r="AI1314">
        <f>VLOOKUP(L1314,'[1]Tuyến cáp H04'!$B:$E,3,0)/1000</f>
        <v>8.4600000000000009</v>
      </c>
      <c r="AJ1314" t="str">
        <f>VLOOKUP(L1314,'[1]Tuyến cáp H04'!$B:$E,4,0)</f>
        <v>Mạng cấp 3</v>
      </c>
    </row>
    <row r="1315" spans="1:36" x14ac:dyDescent="0.25">
      <c r="A1315" s="1" t="s">
        <v>12658</v>
      </c>
      <c r="B1315" s="1" t="s">
        <v>12659</v>
      </c>
      <c r="C1315" s="1" t="s">
        <v>12660</v>
      </c>
      <c r="D1315" s="1" t="s">
        <v>12661</v>
      </c>
      <c r="E1315" s="1" t="s">
        <v>12662</v>
      </c>
      <c r="F1315" s="1" t="s">
        <v>12663</v>
      </c>
      <c r="G1315" s="1" t="s">
        <v>14129</v>
      </c>
      <c r="H1315" s="1" t="s">
        <v>14532</v>
      </c>
      <c r="I1315" s="1" t="s">
        <v>15413</v>
      </c>
      <c r="J1315" s="1" t="s">
        <v>23</v>
      </c>
      <c r="K1315" s="1"/>
      <c r="L1315" s="1" t="s">
        <v>11470</v>
      </c>
      <c r="M1315" s="1" t="s">
        <v>12664</v>
      </c>
      <c r="N1315" s="1" t="s">
        <v>12665</v>
      </c>
      <c r="O1315" s="1" t="s">
        <v>12666</v>
      </c>
      <c r="P1315" s="1" t="s">
        <v>12667</v>
      </c>
      <c r="Q1315" s="1" t="s">
        <v>12668</v>
      </c>
      <c r="R1315" s="1" t="s">
        <v>12669</v>
      </c>
      <c r="S1315" s="1" t="s">
        <v>12670</v>
      </c>
      <c r="T1315" s="1" t="s">
        <v>11478</v>
      </c>
      <c r="U1315">
        <v>1634.33</v>
      </c>
      <c r="V1315">
        <v>212.68</v>
      </c>
      <c r="W1315">
        <v>15.582587999999999</v>
      </c>
      <c r="X1315">
        <v>108.47035099999999</v>
      </c>
      <c r="Y1315">
        <v>1421.65</v>
      </c>
      <c r="Z1315">
        <v>15.594262000000001</v>
      </c>
      <c r="AA1315">
        <v>108.45896399999999</v>
      </c>
      <c r="AB1315" s="5">
        <f t="shared" si="121"/>
        <v>0.31901999999999997</v>
      </c>
      <c r="AC1315" s="5">
        <f t="shared" si="122"/>
        <v>2.1324750000000003</v>
      </c>
      <c r="AD1315" s="1" t="str">
        <f t="shared" si="123"/>
        <v>TT2 Tam Kỳ</v>
      </c>
      <c r="AE1315" s="1" t="str">
        <f t="shared" si="124"/>
        <v>Thăng Bình</v>
      </c>
      <c r="AG1315">
        <f t="shared" si="125"/>
        <v>0.21268000000000001</v>
      </c>
      <c r="AH1315">
        <f t="shared" si="126"/>
        <v>1.4216500000000001</v>
      </c>
      <c r="AI1315">
        <f>VLOOKUP(L1315,'[1]Tuyến cáp H04'!$B:$E,3,0)/1000</f>
        <v>24.648</v>
      </c>
      <c r="AJ1315" t="str">
        <f>VLOOKUP(L1315,'[1]Tuyến cáp H04'!$B:$E,4,0)</f>
        <v>Mạng cấp 3</v>
      </c>
    </row>
    <row r="1316" spans="1:36" x14ac:dyDescent="0.25">
      <c r="A1316" s="1" t="s">
        <v>12671</v>
      </c>
      <c r="B1316" s="1" t="s">
        <v>12659</v>
      </c>
      <c r="C1316" s="1" t="s">
        <v>12660</v>
      </c>
      <c r="D1316" s="1" t="s">
        <v>11560</v>
      </c>
      <c r="E1316" s="1" t="s">
        <v>11561</v>
      </c>
      <c r="F1316" s="1" t="s">
        <v>12672</v>
      </c>
      <c r="G1316" s="1" t="s">
        <v>14129</v>
      </c>
      <c r="H1316" s="1" t="s">
        <v>14532</v>
      </c>
      <c r="I1316" s="1" t="s">
        <v>15414</v>
      </c>
      <c r="J1316" s="1" t="s">
        <v>23</v>
      </c>
      <c r="K1316" s="1"/>
      <c r="L1316" s="1" t="s">
        <v>11470</v>
      </c>
      <c r="M1316" s="1" t="s">
        <v>12673</v>
      </c>
      <c r="N1316" s="1" t="s">
        <v>12665</v>
      </c>
      <c r="O1316" s="1" t="s">
        <v>12666</v>
      </c>
      <c r="P1316" s="1" t="s">
        <v>12667</v>
      </c>
      <c r="Q1316" s="1" t="s">
        <v>11564</v>
      </c>
      <c r="R1316" s="1" t="s">
        <v>11565</v>
      </c>
      <c r="S1316" s="1" t="s">
        <v>11566</v>
      </c>
      <c r="T1316" s="1" t="s">
        <v>11478</v>
      </c>
      <c r="U1316">
        <v>247.84</v>
      </c>
      <c r="V1316">
        <v>212.68</v>
      </c>
      <c r="W1316">
        <v>15.582587999999999</v>
      </c>
      <c r="X1316">
        <v>108.47035099999999</v>
      </c>
      <c r="Y1316">
        <v>35.17</v>
      </c>
      <c r="Z1316">
        <v>15.579651999999999</v>
      </c>
      <c r="AA1316">
        <v>108.473956</v>
      </c>
      <c r="AB1316" s="5">
        <f t="shared" si="121"/>
        <v>0.31901999999999997</v>
      </c>
      <c r="AC1316" s="5">
        <f t="shared" si="122"/>
        <v>5.2755000000000003E-2</v>
      </c>
      <c r="AD1316" s="1" t="str">
        <f t="shared" si="123"/>
        <v>TT2 Tam Kỳ</v>
      </c>
      <c r="AE1316" s="1" t="str">
        <f t="shared" si="124"/>
        <v>Thăng Bình</v>
      </c>
      <c r="AG1316">
        <f t="shared" si="125"/>
        <v>0.21268000000000001</v>
      </c>
      <c r="AH1316">
        <f t="shared" si="126"/>
        <v>3.517E-2</v>
      </c>
      <c r="AI1316">
        <f>VLOOKUP(L1316,'[1]Tuyến cáp H04'!$B:$E,3,0)/1000</f>
        <v>24.648</v>
      </c>
      <c r="AJ1316" t="str">
        <f>VLOOKUP(L1316,'[1]Tuyến cáp H04'!$B:$E,4,0)</f>
        <v>Mạng cấp 3</v>
      </c>
    </row>
    <row r="1317" spans="1:36" x14ac:dyDescent="0.25">
      <c r="A1317" s="1" t="s">
        <v>12674</v>
      </c>
      <c r="B1317" s="1" t="s">
        <v>12675</v>
      </c>
      <c r="C1317" s="1" t="s">
        <v>12676</v>
      </c>
      <c r="D1317" s="1" t="s">
        <v>11560</v>
      </c>
      <c r="E1317" s="1" t="s">
        <v>11561</v>
      </c>
      <c r="F1317" s="1" t="s">
        <v>12677</v>
      </c>
      <c r="G1317" s="1" t="s">
        <v>14129</v>
      </c>
      <c r="H1317" s="1" t="s">
        <v>14532</v>
      </c>
      <c r="I1317" s="1" t="s">
        <v>15415</v>
      </c>
      <c r="J1317" s="1" t="s">
        <v>23</v>
      </c>
      <c r="K1317" s="1"/>
      <c r="L1317" s="1" t="s">
        <v>12584</v>
      </c>
      <c r="M1317" s="1" t="s">
        <v>12678</v>
      </c>
      <c r="N1317" s="1" t="s">
        <v>12679</v>
      </c>
      <c r="O1317" s="1" t="s">
        <v>12680</v>
      </c>
      <c r="P1317" s="1" t="s">
        <v>12681</v>
      </c>
      <c r="Q1317" s="1" t="s">
        <v>12589</v>
      </c>
      <c r="R1317" s="1" t="s">
        <v>12590</v>
      </c>
      <c r="S1317" s="1" t="s">
        <v>12591</v>
      </c>
      <c r="T1317" s="1" t="s">
        <v>12592</v>
      </c>
      <c r="U1317">
        <v>72.52</v>
      </c>
      <c r="V1317">
        <v>35.18</v>
      </c>
      <c r="W1317">
        <v>15.575923</v>
      </c>
      <c r="X1317">
        <v>108.476812</v>
      </c>
      <c r="Y1317">
        <v>37.33</v>
      </c>
      <c r="Z1317">
        <v>15.579679</v>
      </c>
      <c r="AA1317">
        <v>108.47395</v>
      </c>
      <c r="AB1317" s="5">
        <f t="shared" si="121"/>
        <v>5.2769999999999997E-2</v>
      </c>
      <c r="AC1317" s="5">
        <f t="shared" si="122"/>
        <v>5.5994999999999996E-2</v>
      </c>
      <c r="AD1317" s="1" t="str">
        <f t="shared" si="123"/>
        <v>TT2 Tam Kỳ</v>
      </c>
      <c r="AE1317" s="1" t="str">
        <f t="shared" si="124"/>
        <v>PC08</v>
      </c>
      <c r="AG1317">
        <f t="shared" si="125"/>
        <v>3.5180000000000003E-2</v>
      </c>
      <c r="AH1317">
        <f t="shared" si="126"/>
        <v>3.7329999999999995E-2</v>
      </c>
      <c r="AI1317">
        <f>VLOOKUP(L1317,'[1]Tuyến cáp H04'!$B:$E,3,0)/1000</f>
        <v>1.42</v>
      </c>
      <c r="AJ1317" t="str">
        <f>VLOOKUP(L1317,'[1]Tuyến cáp H04'!$B:$E,4,0)</f>
        <v>Mạng cấp 3</v>
      </c>
    </row>
    <row r="1318" spans="1:36" x14ac:dyDescent="0.25">
      <c r="A1318" s="1" t="s">
        <v>12682</v>
      </c>
      <c r="B1318" s="1" t="s">
        <v>10991</v>
      </c>
      <c r="C1318" s="1" t="s">
        <v>10992</v>
      </c>
      <c r="D1318" s="1" t="s">
        <v>12683</v>
      </c>
      <c r="E1318" s="1" t="s">
        <v>12684</v>
      </c>
      <c r="F1318" s="1" t="s">
        <v>12685</v>
      </c>
      <c r="G1318" s="1" t="s">
        <v>14281</v>
      </c>
      <c r="H1318" s="1" t="s">
        <v>14282</v>
      </c>
      <c r="I1318" s="1" t="s">
        <v>15416</v>
      </c>
      <c r="J1318" s="1" t="s">
        <v>23</v>
      </c>
      <c r="K1318" s="1"/>
      <c r="L1318" s="1" t="s">
        <v>11796</v>
      </c>
      <c r="M1318" s="1" t="s">
        <v>12686</v>
      </c>
      <c r="N1318" s="1" t="s">
        <v>12687</v>
      </c>
      <c r="O1318" s="1" t="s">
        <v>12688</v>
      </c>
      <c r="P1318" s="1" t="s">
        <v>12689</v>
      </c>
      <c r="Q1318" s="1" t="s">
        <v>12690</v>
      </c>
      <c r="R1318" s="1" t="s">
        <v>12691</v>
      </c>
      <c r="S1318" s="1" t="s">
        <v>12692</v>
      </c>
      <c r="T1318" s="1" t="s">
        <v>12693</v>
      </c>
      <c r="U1318">
        <v>972.01</v>
      </c>
      <c r="V1318">
        <v>958.72</v>
      </c>
      <c r="W1318">
        <v>16.020700000000001</v>
      </c>
      <c r="X1318">
        <v>108.211562</v>
      </c>
      <c r="Y1318">
        <v>13.29</v>
      </c>
      <c r="Z1318">
        <v>16.037234000000002</v>
      </c>
      <c r="AA1318">
        <v>108.221028</v>
      </c>
      <c r="AB1318" s="5">
        <f t="shared" si="121"/>
        <v>1.43808</v>
      </c>
      <c r="AC1318" s="5">
        <f t="shared" si="122"/>
        <v>1.9934999999999998E-2</v>
      </c>
      <c r="AD1318" s="1" t="str">
        <f t="shared" si="123"/>
        <v>Hòa CƯờng</v>
      </c>
      <c r="AE1318" s="1" t="str">
        <f t="shared" si="124"/>
        <v>TTKV Cẩm Lệ</v>
      </c>
      <c r="AG1318">
        <f t="shared" si="125"/>
        <v>0.95872000000000002</v>
      </c>
      <c r="AH1318">
        <f t="shared" si="126"/>
        <v>1.329E-2</v>
      </c>
      <c r="AI1318" t="e">
        <f>VLOOKUP(L1318,'[1]Tuyến cáp H04'!$B:$E,3,0)/1000</f>
        <v>#N/A</v>
      </c>
      <c r="AJ1318" t="e">
        <f>VLOOKUP(L1318,'[1]Tuyến cáp H04'!$B:$E,4,0)</f>
        <v>#N/A</v>
      </c>
    </row>
    <row r="1319" spans="1:36" x14ac:dyDescent="0.25">
      <c r="A1319" s="1" t="s">
        <v>12694</v>
      </c>
      <c r="B1319" s="1" t="s">
        <v>10991</v>
      </c>
      <c r="C1319" s="1" t="s">
        <v>10992</v>
      </c>
      <c r="D1319" s="1" t="s">
        <v>12695</v>
      </c>
      <c r="E1319" s="1" t="s">
        <v>12696</v>
      </c>
      <c r="F1319" s="1" t="s">
        <v>12697</v>
      </c>
      <c r="G1319" s="1" t="s">
        <v>14281</v>
      </c>
      <c r="H1319" s="1" t="s">
        <v>14282</v>
      </c>
      <c r="I1319" s="1" t="s">
        <v>15417</v>
      </c>
      <c r="J1319" s="1" t="s">
        <v>23</v>
      </c>
      <c r="K1319" s="1"/>
      <c r="L1319" s="1" t="s">
        <v>12698</v>
      </c>
      <c r="M1319" s="1" t="s">
        <v>12699</v>
      </c>
      <c r="N1319" s="1" t="s">
        <v>12700</v>
      </c>
      <c r="O1319" s="1" t="s">
        <v>12701</v>
      </c>
      <c r="P1319" s="1" t="s">
        <v>12702</v>
      </c>
      <c r="Q1319" s="1" t="s">
        <v>12703</v>
      </c>
      <c r="R1319" s="1" t="s">
        <v>12704</v>
      </c>
      <c r="S1319" s="1" t="s">
        <v>12705</v>
      </c>
      <c r="T1319" s="1" t="s">
        <v>12706</v>
      </c>
      <c r="U1319">
        <v>717.46</v>
      </c>
      <c r="V1319">
        <v>428.05</v>
      </c>
      <c r="W1319">
        <v>16.014690000000002</v>
      </c>
      <c r="X1319">
        <v>108.20023500000001</v>
      </c>
      <c r="Y1319">
        <v>289.41000000000003</v>
      </c>
      <c r="Z1319">
        <v>16.046088000000001</v>
      </c>
      <c r="AA1319">
        <v>108.18213</v>
      </c>
      <c r="AB1319" s="5">
        <f t="shared" si="121"/>
        <v>0.64207500000000006</v>
      </c>
      <c r="AC1319" s="5">
        <f t="shared" si="122"/>
        <v>0.43411500000000003</v>
      </c>
      <c r="AD1319" s="1" t="str">
        <f t="shared" si="123"/>
        <v>H03</v>
      </c>
      <c r="AE1319" s="1" t="str">
        <f t="shared" si="124"/>
        <v>Đ1 E28</v>
      </c>
      <c r="AG1319">
        <f t="shared" si="125"/>
        <v>0.42804999999999999</v>
      </c>
      <c r="AH1319">
        <f t="shared" si="126"/>
        <v>0.28941</v>
      </c>
      <c r="AI1319" t="e">
        <f>VLOOKUP(L1319,'[1]Tuyến cáp H04'!$B:$E,3,0)/1000</f>
        <v>#N/A</v>
      </c>
      <c r="AJ1319" t="e">
        <f>VLOOKUP(L1319,'[1]Tuyến cáp H04'!$B:$E,4,0)</f>
        <v>#N/A</v>
      </c>
    </row>
    <row r="1320" spans="1:36" x14ac:dyDescent="0.25">
      <c r="A1320" s="1" t="s">
        <v>12707</v>
      </c>
      <c r="B1320" s="1" t="s">
        <v>10991</v>
      </c>
      <c r="C1320" s="1" t="s">
        <v>10992</v>
      </c>
      <c r="D1320" s="1" t="s">
        <v>12708</v>
      </c>
      <c r="E1320" s="1" t="s">
        <v>12709</v>
      </c>
      <c r="F1320" s="1" t="s">
        <v>12710</v>
      </c>
      <c r="G1320" s="1" t="s">
        <v>14281</v>
      </c>
      <c r="H1320" s="1" t="s">
        <v>14282</v>
      </c>
      <c r="I1320" s="1" t="s">
        <v>15418</v>
      </c>
      <c r="J1320" s="1" t="s">
        <v>23</v>
      </c>
      <c r="K1320" s="1"/>
      <c r="L1320" s="1" t="s">
        <v>11009</v>
      </c>
      <c r="M1320" s="1" t="s">
        <v>12711</v>
      </c>
      <c r="N1320" s="1" t="s">
        <v>12712</v>
      </c>
      <c r="O1320" s="1" t="s">
        <v>12713</v>
      </c>
      <c r="P1320" s="1" t="s">
        <v>12714</v>
      </c>
      <c r="Q1320" s="1" t="s">
        <v>12715</v>
      </c>
      <c r="R1320" s="1" t="s">
        <v>12716</v>
      </c>
      <c r="S1320" s="1" t="s">
        <v>12717</v>
      </c>
      <c r="T1320" s="1" t="s">
        <v>11017</v>
      </c>
      <c r="U1320">
        <v>207.17</v>
      </c>
      <c r="V1320">
        <v>9.0500000000000007</v>
      </c>
      <c r="W1320">
        <v>16.016857999999999</v>
      </c>
      <c r="X1320">
        <v>108.203554</v>
      </c>
      <c r="Y1320">
        <v>198.12</v>
      </c>
      <c r="Z1320">
        <v>16.017104</v>
      </c>
      <c r="AA1320">
        <v>108.204489</v>
      </c>
      <c r="AB1320" s="5">
        <f t="shared" si="121"/>
        <v>1.3575E-2</v>
      </c>
      <c r="AC1320" s="5">
        <f t="shared" si="122"/>
        <v>0.29718</v>
      </c>
      <c r="AD1320" s="1" t="str">
        <f t="shared" si="123"/>
        <v>TT1 Đà Nẵng</v>
      </c>
      <c r="AE1320" s="1" t="str">
        <f t="shared" si="124"/>
        <v>Cẩm Lệ</v>
      </c>
      <c r="AG1320">
        <f t="shared" si="125"/>
        <v>9.0500000000000008E-3</v>
      </c>
      <c r="AH1320">
        <f t="shared" si="126"/>
        <v>0.19812000000000002</v>
      </c>
      <c r="AI1320">
        <f>VLOOKUP(L1320,'[1]Tuyến cáp H04'!$B:$E,3,0)/1000</f>
        <v>8.4979999999999993</v>
      </c>
      <c r="AJ1320" t="str">
        <f>VLOOKUP(L1320,'[1]Tuyến cáp H04'!$B:$E,4,0)</f>
        <v>Mạng cấp 3</v>
      </c>
    </row>
    <row r="1321" spans="1:36" x14ac:dyDescent="0.25">
      <c r="A1321" s="1" t="s">
        <v>12718</v>
      </c>
      <c r="B1321" s="1" t="s">
        <v>10991</v>
      </c>
      <c r="C1321" s="1" t="s">
        <v>10992</v>
      </c>
      <c r="D1321" s="1" t="s">
        <v>12719</v>
      </c>
      <c r="E1321" s="1" t="s">
        <v>12720</v>
      </c>
      <c r="F1321" s="1" t="s">
        <v>12721</v>
      </c>
      <c r="G1321" s="1" t="s">
        <v>14281</v>
      </c>
      <c r="H1321" s="1" t="s">
        <v>14282</v>
      </c>
      <c r="I1321" s="1" t="s">
        <v>15419</v>
      </c>
      <c r="J1321" s="1" t="s">
        <v>23</v>
      </c>
      <c r="K1321" s="1"/>
      <c r="L1321" s="1" t="s">
        <v>11009</v>
      </c>
      <c r="M1321" s="1" t="s">
        <v>12722</v>
      </c>
      <c r="N1321" s="1" t="s">
        <v>12712</v>
      </c>
      <c r="O1321" s="1" t="s">
        <v>12713</v>
      </c>
      <c r="P1321" s="1" t="s">
        <v>12714</v>
      </c>
      <c r="Q1321" s="1" t="s">
        <v>12723</v>
      </c>
      <c r="R1321" s="1" t="s">
        <v>12724</v>
      </c>
      <c r="S1321" s="1" t="s">
        <v>12725</v>
      </c>
      <c r="T1321" s="1" t="s">
        <v>11017</v>
      </c>
      <c r="U1321">
        <v>238.81</v>
      </c>
      <c r="V1321">
        <v>9.0500000000000007</v>
      </c>
      <c r="W1321">
        <v>16.016857999999999</v>
      </c>
      <c r="X1321">
        <v>108.203554</v>
      </c>
      <c r="Y1321">
        <v>229.77</v>
      </c>
      <c r="Z1321">
        <v>16.018495999999999</v>
      </c>
      <c r="AA1321">
        <v>108.20739399999999</v>
      </c>
      <c r="AB1321" s="5">
        <f t="shared" si="121"/>
        <v>1.3575E-2</v>
      </c>
      <c r="AC1321" s="5">
        <f t="shared" si="122"/>
        <v>0.34465500000000004</v>
      </c>
      <c r="AD1321" s="1" t="str">
        <f t="shared" si="123"/>
        <v>TT1 Đà Nẵng</v>
      </c>
      <c r="AE1321" s="1" t="str">
        <f t="shared" si="124"/>
        <v>Cẩm Lệ</v>
      </c>
      <c r="AG1321">
        <f t="shared" si="125"/>
        <v>9.0500000000000008E-3</v>
      </c>
      <c r="AH1321">
        <f t="shared" si="126"/>
        <v>0.22977</v>
      </c>
      <c r="AI1321">
        <f>VLOOKUP(L1321,'[1]Tuyến cáp H04'!$B:$E,3,0)/1000</f>
        <v>8.4979999999999993</v>
      </c>
      <c r="AJ1321" t="str">
        <f>VLOOKUP(L1321,'[1]Tuyến cáp H04'!$B:$E,4,0)</f>
        <v>Mạng cấp 3</v>
      </c>
    </row>
    <row r="1322" spans="1:36" x14ac:dyDescent="0.25">
      <c r="A1322" s="1" t="s">
        <v>12726</v>
      </c>
      <c r="B1322" s="1" t="s">
        <v>10991</v>
      </c>
      <c r="C1322" s="1" t="s">
        <v>10992</v>
      </c>
      <c r="D1322" s="1" t="s">
        <v>12727</v>
      </c>
      <c r="E1322" s="1" t="s">
        <v>12728</v>
      </c>
      <c r="F1322" s="1" t="s">
        <v>12729</v>
      </c>
      <c r="G1322" s="1" t="s">
        <v>14281</v>
      </c>
      <c r="H1322" s="1" t="s">
        <v>14282</v>
      </c>
      <c r="I1322" s="1" t="s">
        <v>15420</v>
      </c>
      <c r="J1322" s="1" t="s">
        <v>23</v>
      </c>
      <c r="K1322" s="1"/>
      <c r="L1322" s="1" t="s">
        <v>11022</v>
      </c>
      <c r="M1322" s="1" t="s">
        <v>12730</v>
      </c>
      <c r="N1322" s="1" t="s">
        <v>11024</v>
      </c>
      <c r="O1322" s="1" t="s">
        <v>11025</v>
      </c>
      <c r="P1322" s="1" t="s">
        <v>11026</v>
      </c>
      <c r="Q1322" s="1" t="s">
        <v>12731</v>
      </c>
      <c r="R1322" s="1" t="s">
        <v>12732</v>
      </c>
      <c r="S1322" s="1" t="s">
        <v>12733</v>
      </c>
      <c r="T1322" s="1" t="s">
        <v>11030</v>
      </c>
      <c r="U1322">
        <v>167.87</v>
      </c>
      <c r="V1322">
        <v>2.15</v>
      </c>
      <c r="W1322">
        <v>16.016921</v>
      </c>
      <c r="X1322">
        <v>108.20348</v>
      </c>
      <c r="Y1322">
        <v>165.72</v>
      </c>
      <c r="Z1322">
        <v>16.004992999999999</v>
      </c>
      <c r="AA1322">
        <v>108.191183</v>
      </c>
      <c r="AB1322" s="5">
        <f t="shared" si="121"/>
        <v>3.2249999999999996E-3</v>
      </c>
      <c r="AC1322" s="5">
        <f t="shared" si="122"/>
        <v>0.24858</v>
      </c>
      <c r="AD1322" s="1" t="str">
        <f t="shared" si="123"/>
        <v>Hòa Xuân</v>
      </c>
      <c r="AE1322" s="1" t="str">
        <f t="shared" si="124"/>
        <v>TTKV Cẩm Lệ</v>
      </c>
      <c r="AG1322">
        <f t="shared" si="125"/>
        <v>2.15E-3</v>
      </c>
      <c r="AH1322">
        <f t="shared" si="126"/>
        <v>0.16572000000000001</v>
      </c>
      <c r="AI1322" t="e">
        <f>VLOOKUP(L1322,'[1]Tuyến cáp H04'!$B:$E,3,0)/1000</f>
        <v>#N/A</v>
      </c>
      <c r="AJ1322" t="e">
        <f>VLOOKUP(L1322,'[1]Tuyến cáp H04'!$B:$E,4,0)</f>
        <v>#N/A</v>
      </c>
    </row>
    <row r="1323" spans="1:36" x14ac:dyDescent="0.25">
      <c r="A1323" s="1" t="s">
        <v>12734</v>
      </c>
      <c r="B1323" s="1" t="s">
        <v>10991</v>
      </c>
      <c r="C1323" s="1" t="s">
        <v>10992</v>
      </c>
      <c r="D1323" s="1" t="s">
        <v>11665</v>
      </c>
      <c r="E1323" s="1" t="s">
        <v>11666</v>
      </c>
      <c r="F1323" s="1" t="s">
        <v>12735</v>
      </c>
      <c r="G1323" s="1"/>
      <c r="H1323" s="1" t="s">
        <v>14282</v>
      </c>
      <c r="I1323" s="1" t="s">
        <v>15421</v>
      </c>
      <c r="J1323" s="1" t="s">
        <v>23</v>
      </c>
      <c r="K1323" s="1"/>
      <c r="L1323" s="1" t="s">
        <v>11022</v>
      </c>
      <c r="M1323" s="1" t="s">
        <v>12736</v>
      </c>
      <c r="N1323" s="1" t="s">
        <v>11024</v>
      </c>
      <c r="O1323" s="1" t="s">
        <v>11025</v>
      </c>
      <c r="P1323" s="1" t="s">
        <v>11026</v>
      </c>
      <c r="Q1323" s="1" t="s">
        <v>11684</v>
      </c>
      <c r="R1323" s="1" t="s">
        <v>11685</v>
      </c>
      <c r="S1323" s="1" t="s">
        <v>11686</v>
      </c>
      <c r="T1323" s="1" t="s">
        <v>11030</v>
      </c>
      <c r="U1323">
        <v>36.11</v>
      </c>
      <c r="V1323">
        <v>2.15</v>
      </c>
      <c r="W1323">
        <v>16.016921</v>
      </c>
      <c r="X1323">
        <v>108.20348</v>
      </c>
      <c r="Y1323">
        <v>33.950000000000003</v>
      </c>
      <c r="Z1323">
        <v>16.011571</v>
      </c>
      <c r="AA1323">
        <v>108.197464</v>
      </c>
      <c r="AB1323" s="5">
        <f t="shared" si="121"/>
        <v>3.2249999999999996E-3</v>
      </c>
      <c r="AC1323" s="5">
        <f t="shared" si="122"/>
        <v>5.0925000000000005E-2</v>
      </c>
      <c r="AD1323" s="1" t="str">
        <f t="shared" si="123"/>
        <v>Hòa Xuân</v>
      </c>
      <c r="AE1323" s="1" t="str">
        <f t="shared" si="124"/>
        <v>TTKV Cẩm Lệ</v>
      </c>
      <c r="AG1323">
        <f t="shared" si="125"/>
        <v>2.15E-3</v>
      </c>
      <c r="AH1323">
        <f t="shared" si="126"/>
        <v>3.3950000000000001E-2</v>
      </c>
      <c r="AI1323" t="e">
        <f>VLOOKUP(L1323,'[1]Tuyến cáp H04'!$B:$E,3,0)/1000</f>
        <v>#N/A</v>
      </c>
      <c r="AJ1323" t="e">
        <f>VLOOKUP(L1323,'[1]Tuyến cáp H04'!$B:$E,4,0)</f>
        <v>#N/A</v>
      </c>
    </row>
    <row r="1324" spans="1:36" x14ac:dyDescent="0.25">
      <c r="A1324" s="1" t="s">
        <v>12737</v>
      </c>
      <c r="B1324" s="1" t="s">
        <v>11040</v>
      </c>
      <c r="C1324" s="1" t="s">
        <v>11041</v>
      </c>
      <c r="D1324" s="1" t="s">
        <v>12738</v>
      </c>
      <c r="E1324" s="1" t="s">
        <v>12739</v>
      </c>
      <c r="F1324" s="1" t="s">
        <v>12740</v>
      </c>
      <c r="G1324" s="1" t="s">
        <v>14281</v>
      </c>
      <c r="H1324" s="1" t="s">
        <v>14282</v>
      </c>
      <c r="I1324" s="1" t="s">
        <v>15422</v>
      </c>
      <c r="J1324" s="1" t="s">
        <v>23</v>
      </c>
      <c r="K1324" s="1"/>
      <c r="L1324" s="1" t="s">
        <v>11045</v>
      </c>
      <c r="M1324" s="1" t="s">
        <v>12741</v>
      </c>
      <c r="N1324" s="1" t="s">
        <v>11047</v>
      </c>
      <c r="O1324" s="1" t="s">
        <v>11048</v>
      </c>
      <c r="P1324" s="1" t="s">
        <v>11049</v>
      </c>
      <c r="Q1324" s="1" t="s">
        <v>12742</v>
      </c>
      <c r="R1324" s="1" t="s">
        <v>12743</v>
      </c>
      <c r="S1324" s="1" t="s">
        <v>12744</v>
      </c>
      <c r="T1324" s="1" t="s">
        <v>11053</v>
      </c>
      <c r="U1324">
        <v>490.06</v>
      </c>
      <c r="V1324">
        <v>27.45</v>
      </c>
      <c r="W1324">
        <v>16.077317000000001</v>
      </c>
      <c r="X1324">
        <v>108.21924799999999</v>
      </c>
      <c r="Y1324">
        <v>462.61</v>
      </c>
      <c r="Z1324">
        <v>16.059671999999999</v>
      </c>
      <c r="AA1324">
        <v>108.21110400000001</v>
      </c>
      <c r="AB1324" s="5">
        <f t="shared" si="121"/>
        <v>4.1174999999999996E-2</v>
      </c>
      <c r="AC1324" s="5">
        <f t="shared" si="122"/>
        <v>0.69391499999999995</v>
      </c>
      <c r="AD1324" s="1" t="e">
        <f t="shared" si="123"/>
        <v>#VALUE!</v>
      </c>
      <c r="AE1324" s="1" t="e">
        <f t="shared" si="124"/>
        <v>#VALUE!</v>
      </c>
      <c r="AG1324">
        <f t="shared" si="125"/>
        <v>2.7449999999999999E-2</v>
      </c>
      <c r="AH1324">
        <f t="shared" si="126"/>
        <v>0.46261000000000002</v>
      </c>
      <c r="AI1324" t="e">
        <f>VLOOKUP(L1324,'[1]Tuyến cáp H04'!$B:$E,3,0)/1000</f>
        <v>#N/A</v>
      </c>
      <c r="AJ1324" t="e">
        <f>VLOOKUP(L1324,'[1]Tuyến cáp H04'!$B:$E,4,0)</f>
        <v>#N/A</v>
      </c>
    </row>
    <row r="1325" spans="1:36" x14ac:dyDescent="0.25">
      <c r="A1325" s="1" t="s">
        <v>12745</v>
      </c>
      <c r="B1325" s="1" t="s">
        <v>11040</v>
      </c>
      <c r="C1325" s="1" t="s">
        <v>11041</v>
      </c>
      <c r="D1325" s="1" t="s">
        <v>12746</v>
      </c>
      <c r="E1325" s="1" t="s">
        <v>12747</v>
      </c>
      <c r="F1325" s="1" t="s">
        <v>12748</v>
      </c>
      <c r="G1325" s="1" t="s">
        <v>14281</v>
      </c>
      <c r="H1325" s="1" t="s">
        <v>14282</v>
      </c>
      <c r="I1325" s="1" t="s">
        <v>15423</v>
      </c>
      <c r="J1325" s="1" t="s">
        <v>23</v>
      </c>
      <c r="K1325" s="1"/>
      <c r="L1325" s="1" t="s">
        <v>11098</v>
      </c>
      <c r="M1325" s="1" t="s">
        <v>12749</v>
      </c>
      <c r="N1325" s="1" t="s">
        <v>12750</v>
      </c>
      <c r="O1325" s="1" t="s">
        <v>12751</v>
      </c>
      <c r="P1325" s="1" t="s">
        <v>12752</v>
      </c>
      <c r="Q1325" s="1" t="s">
        <v>12753</v>
      </c>
      <c r="R1325" s="1" t="s">
        <v>12754</v>
      </c>
      <c r="S1325" s="1" t="s">
        <v>12755</v>
      </c>
      <c r="T1325" s="1" t="s">
        <v>12756</v>
      </c>
      <c r="U1325">
        <v>420.32</v>
      </c>
      <c r="V1325">
        <v>3.82</v>
      </c>
      <c r="W1325">
        <v>16.077577999999999</v>
      </c>
      <c r="X1325">
        <v>108.21923099999999</v>
      </c>
      <c r="Y1325">
        <v>416.5</v>
      </c>
      <c r="Z1325">
        <v>16.061254000000002</v>
      </c>
      <c r="AA1325">
        <v>108.21955699999999</v>
      </c>
      <c r="AB1325" s="5">
        <f t="shared" si="121"/>
        <v>5.7299999999999999E-3</v>
      </c>
      <c r="AC1325" s="5">
        <f t="shared" si="122"/>
        <v>0.62475000000000003</v>
      </c>
      <c r="AD1325" s="1" t="str">
        <f t="shared" si="123"/>
        <v>Hòa Vang</v>
      </c>
      <c r="AE1325" s="1" t="str">
        <f t="shared" si="124"/>
        <v>TT1 Đà Nẵng</v>
      </c>
      <c r="AG1325">
        <f t="shared" si="125"/>
        <v>3.82E-3</v>
      </c>
      <c r="AH1325">
        <f t="shared" si="126"/>
        <v>0.41649999999999998</v>
      </c>
      <c r="AI1325">
        <f>VLOOKUP(L1325,'[1]Tuyến cáp H04'!$B:$E,3,0)/1000</f>
        <v>17.654</v>
      </c>
      <c r="AJ1325" t="str">
        <f>VLOOKUP(L1325,'[1]Tuyến cáp H04'!$B:$E,4,0)</f>
        <v>Mạng cấp 3</v>
      </c>
    </row>
    <row r="1326" spans="1:36" x14ac:dyDescent="0.25">
      <c r="A1326" s="1" t="s">
        <v>12757</v>
      </c>
      <c r="B1326" s="1" t="s">
        <v>11040</v>
      </c>
      <c r="C1326" s="1" t="s">
        <v>11041</v>
      </c>
      <c r="D1326" s="1" t="s">
        <v>12758</v>
      </c>
      <c r="E1326" s="1" t="s">
        <v>12759</v>
      </c>
      <c r="F1326" s="1" t="s">
        <v>12760</v>
      </c>
      <c r="G1326" s="1" t="s">
        <v>14281</v>
      </c>
      <c r="H1326" s="1" t="s">
        <v>14282</v>
      </c>
      <c r="I1326" s="1" t="s">
        <v>15424</v>
      </c>
      <c r="J1326" s="1" t="s">
        <v>23</v>
      </c>
      <c r="K1326" s="1"/>
      <c r="L1326" s="1" t="s">
        <v>11166</v>
      </c>
      <c r="M1326" s="1" t="s">
        <v>12761</v>
      </c>
      <c r="N1326" s="1" t="s">
        <v>12762</v>
      </c>
      <c r="O1326" s="1" t="s">
        <v>12763</v>
      </c>
      <c r="P1326" s="1" t="s">
        <v>12764</v>
      </c>
      <c r="Q1326" s="1" t="s">
        <v>12765</v>
      </c>
      <c r="R1326" s="1" t="s">
        <v>12766</v>
      </c>
      <c r="S1326" s="1" t="s">
        <v>12767</v>
      </c>
      <c r="T1326" s="1" t="s">
        <v>11174</v>
      </c>
      <c r="U1326">
        <v>222.1</v>
      </c>
      <c r="V1326">
        <v>8.34</v>
      </c>
      <c r="W1326">
        <v>16.077586</v>
      </c>
      <c r="X1326">
        <v>108.219273</v>
      </c>
      <c r="Y1326">
        <v>213.76</v>
      </c>
      <c r="Z1326">
        <v>16.072686999999998</v>
      </c>
      <c r="AA1326">
        <v>108.20998400000001</v>
      </c>
      <c r="AB1326" s="5">
        <f t="shared" si="121"/>
        <v>1.251E-2</v>
      </c>
      <c r="AC1326" s="5">
        <f t="shared" si="122"/>
        <v>0.32063999999999998</v>
      </c>
      <c r="AD1326" s="1" t="str">
        <f t="shared" si="123"/>
        <v>TT1 Đà Nẵng</v>
      </c>
      <c r="AE1326" s="1" t="str">
        <f t="shared" si="124"/>
        <v>Hải Vân</v>
      </c>
      <c r="AG1326">
        <f t="shared" si="125"/>
        <v>8.3400000000000002E-3</v>
      </c>
      <c r="AH1326">
        <f t="shared" si="126"/>
        <v>0.21375999999999998</v>
      </c>
      <c r="AI1326">
        <f>VLOOKUP(L1326,'[1]Tuyến cáp H04'!$B:$E,3,0)/1000</f>
        <v>14.76</v>
      </c>
      <c r="AJ1326" t="str">
        <f>VLOOKUP(L1326,'[1]Tuyến cáp H04'!$B:$E,4,0)</f>
        <v>Mạng cấp 4</v>
      </c>
    </row>
    <row r="1327" spans="1:36" x14ac:dyDescent="0.25">
      <c r="A1327" s="1" t="s">
        <v>12768</v>
      </c>
      <c r="B1327" s="1" t="s">
        <v>11040</v>
      </c>
      <c r="C1327" s="1" t="s">
        <v>11041</v>
      </c>
      <c r="D1327" s="1" t="s">
        <v>12769</v>
      </c>
      <c r="E1327" s="1" t="s">
        <v>12770</v>
      </c>
      <c r="F1327" s="1" t="s">
        <v>12771</v>
      </c>
      <c r="G1327" s="1" t="s">
        <v>14281</v>
      </c>
      <c r="H1327" s="1" t="s">
        <v>14282</v>
      </c>
      <c r="I1327" s="1" t="s">
        <v>15425</v>
      </c>
      <c r="J1327" s="1" t="s">
        <v>23</v>
      </c>
      <c r="K1327" s="1"/>
      <c r="L1327" s="1" t="s">
        <v>12772</v>
      </c>
      <c r="M1327" s="1" t="s">
        <v>12773</v>
      </c>
      <c r="N1327" s="1" t="s">
        <v>12774</v>
      </c>
      <c r="O1327" s="1" t="s">
        <v>12775</v>
      </c>
      <c r="P1327" s="1" t="s">
        <v>12776</v>
      </c>
      <c r="Q1327" s="1" t="s">
        <v>12777</v>
      </c>
      <c r="R1327" s="1" t="s">
        <v>12778</v>
      </c>
      <c r="S1327" s="1" t="s">
        <v>12779</v>
      </c>
      <c r="T1327" s="1" t="s">
        <v>12780</v>
      </c>
      <c r="U1327">
        <v>304.75</v>
      </c>
      <c r="V1327">
        <v>158.28</v>
      </c>
      <c r="W1327">
        <v>16.077041000000001</v>
      </c>
      <c r="X1327">
        <v>108.217821</v>
      </c>
      <c r="Y1327">
        <v>146.47</v>
      </c>
      <c r="Z1327">
        <v>16.071300999999998</v>
      </c>
      <c r="AA1327">
        <v>108.211493</v>
      </c>
      <c r="AB1327" s="5">
        <f t="shared" si="121"/>
        <v>0.23742000000000002</v>
      </c>
      <c r="AC1327" s="5">
        <f t="shared" si="122"/>
        <v>0.21970499999999998</v>
      </c>
      <c r="AD1327" s="1" t="str">
        <f t="shared" si="123"/>
        <v>C08</v>
      </c>
      <c r="AE1327" s="1" t="str">
        <f t="shared" si="124"/>
        <v>TTV2</v>
      </c>
      <c r="AG1327">
        <f t="shared" si="125"/>
        <v>0.15828</v>
      </c>
      <c r="AH1327">
        <f t="shared" si="126"/>
        <v>0.14646999999999999</v>
      </c>
      <c r="AI1327" t="e">
        <f>VLOOKUP(L1327,'[1]Tuyến cáp H04'!$B:$E,3,0)/1000</f>
        <v>#N/A</v>
      </c>
      <c r="AJ1327" t="e">
        <f>VLOOKUP(L1327,'[1]Tuyến cáp H04'!$B:$E,4,0)</f>
        <v>#N/A</v>
      </c>
    </row>
    <row r="1328" spans="1:36" x14ac:dyDescent="0.25">
      <c r="A1328" s="1" t="s">
        <v>12781</v>
      </c>
      <c r="B1328" s="1" t="s">
        <v>11040</v>
      </c>
      <c r="C1328" s="1" t="s">
        <v>11041</v>
      </c>
      <c r="D1328" s="1" t="s">
        <v>12782</v>
      </c>
      <c r="E1328" s="1" t="s">
        <v>12783</v>
      </c>
      <c r="F1328" s="1" t="s">
        <v>12784</v>
      </c>
      <c r="G1328" s="1" t="s">
        <v>14281</v>
      </c>
      <c r="H1328" s="1" t="s">
        <v>14282</v>
      </c>
      <c r="I1328" s="1" t="s">
        <v>15426</v>
      </c>
      <c r="J1328" s="1" t="s">
        <v>23</v>
      </c>
      <c r="K1328" s="1"/>
      <c r="L1328" s="1" t="s">
        <v>12173</v>
      </c>
      <c r="M1328" s="1" t="s">
        <v>12785</v>
      </c>
      <c r="N1328" s="1" t="s">
        <v>12786</v>
      </c>
      <c r="O1328" s="1" t="s">
        <v>12787</v>
      </c>
      <c r="P1328" s="1" t="s">
        <v>12752</v>
      </c>
      <c r="Q1328" s="1" t="s">
        <v>12788</v>
      </c>
      <c r="R1328" s="1" t="s">
        <v>12789</v>
      </c>
      <c r="S1328" s="1" t="s">
        <v>12790</v>
      </c>
      <c r="T1328" s="1" t="s">
        <v>12181</v>
      </c>
      <c r="U1328">
        <v>136.51</v>
      </c>
      <c r="V1328">
        <v>6.64</v>
      </c>
      <c r="W1328">
        <v>16.077611999999998</v>
      </c>
      <c r="X1328">
        <v>108.21923099999999</v>
      </c>
      <c r="Y1328">
        <v>129.87</v>
      </c>
      <c r="Z1328">
        <v>16.071611999999998</v>
      </c>
      <c r="AA1328">
        <v>108.20477</v>
      </c>
      <c r="AB1328" s="5">
        <f t="shared" si="121"/>
        <v>9.9599999999999984E-3</v>
      </c>
      <c r="AC1328" s="5">
        <f t="shared" si="122"/>
        <v>0.19480500000000001</v>
      </c>
      <c r="AD1328" s="1" t="str">
        <f t="shared" si="123"/>
        <v>Thanh Khê</v>
      </c>
      <c r="AE1328" s="1" t="str">
        <f t="shared" si="124"/>
        <v>TT1 Đà Nẵng</v>
      </c>
      <c r="AG1328">
        <f t="shared" si="125"/>
        <v>6.6400000000000001E-3</v>
      </c>
      <c r="AH1328">
        <f t="shared" si="126"/>
        <v>0.12987000000000001</v>
      </c>
      <c r="AI1328" t="e">
        <f>VLOOKUP(L1328,'[1]Tuyến cáp H04'!$B:$E,3,0)/1000</f>
        <v>#N/A</v>
      </c>
      <c r="AJ1328" t="e">
        <f>VLOOKUP(L1328,'[1]Tuyến cáp H04'!$B:$E,4,0)</f>
        <v>#N/A</v>
      </c>
    </row>
    <row r="1329" spans="1:36" x14ac:dyDescent="0.25">
      <c r="A1329" s="1" t="s">
        <v>12791</v>
      </c>
      <c r="B1329" s="1" t="s">
        <v>11040</v>
      </c>
      <c r="C1329" s="1" t="s">
        <v>11041</v>
      </c>
      <c r="D1329" s="1" t="s">
        <v>12792</v>
      </c>
      <c r="E1329" s="1" t="s">
        <v>12793</v>
      </c>
      <c r="F1329" s="1" t="s">
        <v>12794</v>
      </c>
      <c r="G1329" s="1" t="s">
        <v>14281</v>
      </c>
      <c r="H1329" s="1" t="s">
        <v>14282</v>
      </c>
      <c r="I1329" s="1" t="s">
        <v>15427</v>
      </c>
      <c r="J1329" s="1" t="s">
        <v>23</v>
      </c>
      <c r="K1329" s="1"/>
      <c r="L1329" s="1" t="s">
        <v>12173</v>
      </c>
      <c r="M1329" s="1" t="s">
        <v>12795</v>
      </c>
      <c r="N1329" s="1" t="s">
        <v>12786</v>
      </c>
      <c r="O1329" s="1" t="s">
        <v>12787</v>
      </c>
      <c r="P1329" s="1" t="s">
        <v>12752</v>
      </c>
      <c r="Q1329" s="1" t="s">
        <v>12796</v>
      </c>
      <c r="R1329" s="1" t="s">
        <v>12797</v>
      </c>
      <c r="S1329" s="1" t="s">
        <v>12798</v>
      </c>
      <c r="T1329" s="1" t="s">
        <v>12181</v>
      </c>
      <c r="U1329">
        <v>37.57</v>
      </c>
      <c r="V1329">
        <v>6.64</v>
      </c>
      <c r="W1329">
        <v>16.077611999999998</v>
      </c>
      <c r="X1329">
        <v>108.21923099999999</v>
      </c>
      <c r="Y1329">
        <v>30.94</v>
      </c>
      <c r="Z1329">
        <v>16.076633999999999</v>
      </c>
      <c r="AA1329">
        <v>108.21962499999999</v>
      </c>
      <c r="AB1329" s="5">
        <f t="shared" si="121"/>
        <v>9.9599999999999984E-3</v>
      </c>
      <c r="AC1329" s="5">
        <f t="shared" si="122"/>
        <v>4.6410000000000007E-2</v>
      </c>
      <c r="AD1329" s="1" t="str">
        <f t="shared" si="123"/>
        <v>Thanh Khê</v>
      </c>
      <c r="AE1329" s="1" t="str">
        <f t="shared" si="124"/>
        <v>TT1 Đà Nẵng</v>
      </c>
      <c r="AG1329">
        <f t="shared" si="125"/>
        <v>6.6400000000000001E-3</v>
      </c>
      <c r="AH1329">
        <f t="shared" si="126"/>
        <v>3.0940000000000002E-2</v>
      </c>
      <c r="AI1329" t="e">
        <f>VLOOKUP(L1329,'[1]Tuyến cáp H04'!$B:$E,3,0)/1000</f>
        <v>#N/A</v>
      </c>
      <c r="AJ1329" t="e">
        <f>VLOOKUP(L1329,'[1]Tuyến cáp H04'!$B:$E,4,0)</f>
        <v>#N/A</v>
      </c>
    </row>
    <row r="1330" spans="1:36" x14ac:dyDescent="0.25">
      <c r="A1330" s="1" t="s">
        <v>12799</v>
      </c>
      <c r="B1330" s="1" t="s">
        <v>11040</v>
      </c>
      <c r="C1330" s="1" t="s">
        <v>11041</v>
      </c>
      <c r="D1330" s="1" t="s">
        <v>12800</v>
      </c>
      <c r="E1330" s="1" t="s">
        <v>12801</v>
      </c>
      <c r="F1330" s="1" t="s">
        <v>12802</v>
      </c>
      <c r="G1330" s="1" t="s">
        <v>14281</v>
      </c>
      <c r="H1330" s="1" t="s">
        <v>14282</v>
      </c>
      <c r="I1330" s="1" t="s">
        <v>15428</v>
      </c>
      <c r="J1330" s="1" t="s">
        <v>23</v>
      </c>
      <c r="K1330" s="1"/>
      <c r="L1330" s="1" t="s">
        <v>11146</v>
      </c>
      <c r="M1330" s="1" t="s">
        <v>12803</v>
      </c>
      <c r="N1330" s="1" t="s">
        <v>12804</v>
      </c>
      <c r="O1330" s="1" t="s">
        <v>12805</v>
      </c>
      <c r="P1330" s="1" t="s">
        <v>12806</v>
      </c>
      <c r="Q1330" s="1" t="s">
        <v>12807</v>
      </c>
      <c r="R1330" s="1" t="s">
        <v>12808</v>
      </c>
      <c r="S1330" s="1" t="s">
        <v>12809</v>
      </c>
      <c r="T1330" s="1" t="s">
        <v>12168</v>
      </c>
      <c r="U1330">
        <v>336.26</v>
      </c>
      <c r="V1330">
        <v>26.76</v>
      </c>
      <c r="W1330">
        <v>16.077608999999999</v>
      </c>
      <c r="X1330">
        <v>108.21944499999999</v>
      </c>
      <c r="Y1330">
        <v>309.5</v>
      </c>
      <c r="Z1330">
        <v>16.079284000000001</v>
      </c>
      <c r="AA1330">
        <v>108.212947</v>
      </c>
      <c r="AB1330" s="5">
        <f t="shared" si="121"/>
        <v>4.0140000000000002E-2</v>
      </c>
      <c r="AC1330" s="5">
        <f t="shared" si="122"/>
        <v>0.46425</v>
      </c>
      <c r="AD1330" s="1" t="str">
        <f t="shared" si="123"/>
        <v>TT1 Đà Nẵng</v>
      </c>
      <c r="AE1330" s="1" t="str">
        <f t="shared" si="124"/>
        <v>Liên Chiểu</v>
      </c>
      <c r="AG1330">
        <f t="shared" si="125"/>
        <v>2.6760000000000003E-2</v>
      </c>
      <c r="AH1330">
        <f t="shared" si="126"/>
        <v>0.3095</v>
      </c>
      <c r="AI1330">
        <f>VLOOKUP(L1330,'[1]Tuyến cáp H04'!$B:$E,3,0)/1000</f>
        <v>9.8698999999999995</v>
      </c>
      <c r="AJ1330" t="str">
        <f>VLOOKUP(L1330,'[1]Tuyến cáp H04'!$B:$E,4,0)</f>
        <v>Mạng cấp 3</v>
      </c>
    </row>
    <row r="1331" spans="1:36" x14ac:dyDescent="0.25">
      <c r="A1331" s="1" t="s">
        <v>12810</v>
      </c>
      <c r="B1331" s="1" t="s">
        <v>11081</v>
      </c>
      <c r="C1331" s="1" t="s">
        <v>11082</v>
      </c>
      <c r="D1331" s="1" t="s">
        <v>12811</v>
      </c>
      <c r="E1331" s="1" t="s">
        <v>12812</v>
      </c>
      <c r="F1331" s="1" t="s">
        <v>12813</v>
      </c>
      <c r="G1331" s="1" t="s">
        <v>14281</v>
      </c>
      <c r="H1331" s="1" t="s">
        <v>14282</v>
      </c>
      <c r="I1331" s="1" t="s">
        <v>15429</v>
      </c>
      <c r="J1331" s="1" t="s">
        <v>23</v>
      </c>
      <c r="K1331" s="1"/>
      <c r="L1331" s="1" t="s">
        <v>11098</v>
      </c>
      <c r="M1331" s="1" t="s">
        <v>12814</v>
      </c>
      <c r="N1331" s="1" t="s">
        <v>11100</v>
      </c>
      <c r="O1331" s="1" t="s">
        <v>11101</v>
      </c>
      <c r="P1331" s="1" t="s">
        <v>11102</v>
      </c>
      <c r="Q1331" s="1" t="s">
        <v>12815</v>
      </c>
      <c r="R1331" s="1" t="s">
        <v>12816</v>
      </c>
      <c r="S1331" s="1" t="s">
        <v>12817</v>
      </c>
      <c r="T1331" s="1" t="s">
        <v>11106</v>
      </c>
      <c r="U1331">
        <v>1486.53</v>
      </c>
      <c r="V1331">
        <v>1240.6099999999999</v>
      </c>
      <c r="W1331">
        <v>15.997909</v>
      </c>
      <c r="X1331">
        <v>108.145731</v>
      </c>
      <c r="Y1331">
        <v>245.92</v>
      </c>
      <c r="Z1331">
        <v>16.011703000000001</v>
      </c>
      <c r="AA1331">
        <v>108.173788</v>
      </c>
      <c r="AB1331" s="5">
        <f t="shared" si="121"/>
        <v>1.8609149999999999</v>
      </c>
      <c r="AC1331" s="5">
        <f t="shared" si="122"/>
        <v>0.36887999999999999</v>
      </c>
      <c r="AD1331" s="1" t="str">
        <f t="shared" si="123"/>
        <v>Hòa Vang</v>
      </c>
      <c r="AE1331" s="1" t="str">
        <f t="shared" si="124"/>
        <v>TT1 Đà Nẵng</v>
      </c>
      <c r="AG1331">
        <f t="shared" si="125"/>
        <v>1.24061</v>
      </c>
      <c r="AH1331">
        <f t="shared" si="126"/>
        <v>0.24592</v>
      </c>
      <c r="AI1331">
        <f>VLOOKUP(L1331,'[1]Tuyến cáp H04'!$B:$E,3,0)/1000</f>
        <v>17.654</v>
      </c>
      <c r="AJ1331" t="str">
        <f>VLOOKUP(L1331,'[1]Tuyến cáp H04'!$B:$E,4,0)</f>
        <v>Mạng cấp 3</v>
      </c>
    </row>
    <row r="1332" spans="1:36" x14ac:dyDescent="0.25">
      <c r="A1332" s="1" t="s">
        <v>12818</v>
      </c>
      <c r="B1332" s="1" t="s">
        <v>11081</v>
      </c>
      <c r="C1332" s="1" t="s">
        <v>11082</v>
      </c>
      <c r="D1332" s="1" t="s">
        <v>12819</v>
      </c>
      <c r="E1332" s="1" t="s">
        <v>12820</v>
      </c>
      <c r="F1332" s="1" t="s">
        <v>12821</v>
      </c>
      <c r="G1332" s="1" t="s">
        <v>14281</v>
      </c>
      <c r="H1332" s="1" t="s">
        <v>14282</v>
      </c>
      <c r="I1332" s="1" t="s">
        <v>15430</v>
      </c>
      <c r="J1332" s="1" t="s">
        <v>23</v>
      </c>
      <c r="K1332" s="1"/>
      <c r="L1332" s="1" t="s">
        <v>12822</v>
      </c>
      <c r="M1332" s="1" t="s">
        <v>12823</v>
      </c>
      <c r="N1332" s="1" t="s">
        <v>12824</v>
      </c>
      <c r="O1332" s="1" t="s">
        <v>12825</v>
      </c>
      <c r="P1332" s="1" t="s">
        <v>12826</v>
      </c>
      <c r="Q1332" s="1" t="s">
        <v>12827</v>
      </c>
      <c r="R1332" s="1" t="s">
        <v>12828</v>
      </c>
      <c r="S1332" s="1" t="s">
        <v>12829</v>
      </c>
      <c r="T1332" s="1" t="s">
        <v>12830</v>
      </c>
      <c r="U1332">
        <v>8293.39</v>
      </c>
      <c r="V1332">
        <v>13.23</v>
      </c>
      <c r="W1332">
        <v>15.987992</v>
      </c>
      <c r="X1332">
        <v>108.140253</v>
      </c>
      <c r="Y1332">
        <v>8280.15</v>
      </c>
      <c r="Z1332">
        <v>16.028784999999999</v>
      </c>
      <c r="AA1332">
        <v>108.11478</v>
      </c>
      <c r="AB1332" s="5">
        <f t="shared" si="121"/>
        <v>1.9844999999999998E-2</v>
      </c>
      <c r="AC1332" s="5">
        <f t="shared" si="122"/>
        <v>12.420224999999999</v>
      </c>
      <c r="AD1332" s="1" t="str">
        <f t="shared" si="123"/>
        <v>Liên Chiểu</v>
      </c>
      <c r="AE1332" s="1" t="str">
        <f t="shared" si="124"/>
        <v>Hòa Vang</v>
      </c>
      <c r="AG1332">
        <f t="shared" si="125"/>
        <v>1.323E-2</v>
      </c>
      <c r="AH1332">
        <f t="shared" si="126"/>
        <v>8.280149999999999</v>
      </c>
      <c r="AI1332">
        <f>VLOOKUP(L1332,'[1]Tuyến cáp H04'!$B:$E,3,0)/1000</f>
        <v>15.87</v>
      </c>
      <c r="AJ1332" t="str">
        <f>VLOOKUP(L1332,'[1]Tuyến cáp H04'!$B:$E,4,0)</f>
        <v>Mạng cấp 3</v>
      </c>
    </row>
    <row r="1333" spans="1:36" x14ac:dyDescent="0.25">
      <c r="A1333" s="1" t="s">
        <v>12831</v>
      </c>
      <c r="B1333" s="1" t="s">
        <v>11081</v>
      </c>
      <c r="C1333" s="1" t="s">
        <v>11082</v>
      </c>
      <c r="D1333" s="1" t="s">
        <v>12832</v>
      </c>
      <c r="E1333" s="1" t="s">
        <v>12833</v>
      </c>
      <c r="F1333" s="1" t="s">
        <v>12834</v>
      </c>
      <c r="G1333" s="1" t="s">
        <v>14281</v>
      </c>
      <c r="H1333" s="1" t="s">
        <v>14282</v>
      </c>
      <c r="I1333" s="1" t="s">
        <v>15431</v>
      </c>
      <c r="J1333" s="1" t="s">
        <v>23</v>
      </c>
      <c r="K1333" s="1"/>
      <c r="L1333" s="1" t="s">
        <v>12822</v>
      </c>
      <c r="M1333" s="1" t="s">
        <v>12835</v>
      </c>
      <c r="N1333" s="1" t="s">
        <v>12824</v>
      </c>
      <c r="O1333" s="1" t="s">
        <v>12825</v>
      </c>
      <c r="P1333" s="1" t="s">
        <v>12826</v>
      </c>
      <c r="Q1333" s="1" t="s">
        <v>12836</v>
      </c>
      <c r="R1333" s="1" t="s">
        <v>12837</v>
      </c>
      <c r="S1333" s="1" t="s">
        <v>12838</v>
      </c>
      <c r="T1333" s="1" t="s">
        <v>12830</v>
      </c>
      <c r="U1333">
        <v>1222.31</v>
      </c>
      <c r="V1333">
        <v>13.23</v>
      </c>
      <c r="W1333">
        <v>15.987992</v>
      </c>
      <c r="X1333">
        <v>108.140253</v>
      </c>
      <c r="Y1333">
        <v>1209.07</v>
      </c>
      <c r="Z1333">
        <v>16.005427999999998</v>
      </c>
      <c r="AA1333">
        <v>108.13575899999999</v>
      </c>
      <c r="AB1333" s="5">
        <f t="shared" si="121"/>
        <v>1.9844999999999998E-2</v>
      </c>
      <c r="AC1333" s="5">
        <f t="shared" si="122"/>
        <v>1.8136049999999999</v>
      </c>
      <c r="AD1333" s="1" t="str">
        <f t="shared" si="123"/>
        <v>Liên Chiểu</v>
      </c>
      <c r="AE1333" s="1" t="str">
        <f t="shared" si="124"/>
        <v>Hòa Vang</v>
      </c>
      <c r="AG1333">
        <f t="shared" si="125"/>
        <v>1.323E-2</v>
      </c>
      <c r="AH1333">
        <f t="shared" si="126"/>
        <v>1.2090699999999999</v>
      </c>
      <c r="AI1333">
        <f>VLOOKUP(L1333,'[1]Tuyến cáp H04'!$B:$E,3,0)/1000</f>
        <v>15.87</v>
      </c>
      <c r="AJ1333" t="str">
        <f>VLOOKUP(L1333,'[1]Tuyến cáp H04'!$B:$E,4,0)</f>
        <v>Mạng cấp 3</v>
      </c>
    </row>
    <row r="1334" spans="1:36" x14ac:dyDescent="0.25">
      <c r="A1334" s="1" t="s">
        <v>12839</v>
      </c>
      <c r="B1334" s="1" t="s">
        <v>11081</v>
      </c>
      <c r="C1334" s="1" t="s">
        <v>11082</v>
      </c>
      <c r="D1334" s="1" t="s">
        <v>12840</v>
      </c>
      <c r="E1334" s="1" t="s">
        <v>12841</v>
      </c>
      <c r="F1334" s="1" t="s">
        <v>12842</v>
      </c>
      <c r="G1334" s="1" t="s">
        <v>14281</v>
      </c>
      <c r="H1334" s="1" t="s">
        <v>14282</v>
      </c>
      <c r="I1334" s="1" t="s">
        <v>15432</v>
      </c>
      <c r="J1334" s="1" t="s">
        <v>23</v>
      </c>
      <c r="K1334" s="1"/>
      <c r="L1334" s="1" t="s">
        <v>11111</v>
      </c>
      <c r="M1334" s="1" t="s">
        <v>12843</v>
      </c>
      <c r="N1334" s="1" t="s">
        <v>11113</v>
      </c>
      <c r="O1334" s="1" t="s">
        <v>11114</v>
      </c>
      <c r="P1334" s="1" t="s">
        <v>11115</v>
      </c>
      <c r="Q1334" s="1" t="s">
        <v>12844</v>
      </c>
      <c r="R1334" s="1" t="s">
        <v>12845</v>
      </c>
      <c r="S1334" s="1" t="s">
        <v>12846</v>
      </c>
      <c r="T1334" s="1" t="s">
        <v>11119</v>
      </c>
      <c r="U1334">
        <v>2295.56</v>
      </c>
      <c r="V1334">
        <v>588.26</v>
      </c>
      <c r="W1334">
        <v>15.983065</v>
      </c>
      <c r="X1334">
        <v>108.13851099999999</v>
      </c>
      <c r="Y1334">
        <v>1707.29</v>
      </c>
      <c r="Z1334">
        <v>15.978596</v>
      </c>
      <c r="AA1334">
        <v>108.122163</v>
      </c>
      <c r="AB1334" s="5">
        <f t="shared" si="121"/>
        <v>0.88239000000000001</v>
      </c>
      <c r="AC1334" s="5">
        <f t="shared" si="122"/>
        <v>2.5609349999999997</v>
      </c>
      <c r="AD1334" s="1" t="str">
        <f t="shared" si="123"/>
        <v>Sông Vàng</v>
      </c>
      <c r="AE1334" s="1" t="str">
        <f t="shared" si="124"/>
        <v>TTCMKV Đại Lộc</v>
      </c>
      <c r="AG1334">
        <f t="shared" si="125"/>
        <v>0.58826000000000001</v>
      </c>
      <c r="AH1334">
        <f t="shared" si="126"/>
        <v>1.70729</v>
      </c>
      <c r="AI1334">
        <f>VLOOKUP(L1334,'[1]Tuyến cáp H04'!$B:$E,3,0)/1000</f>
        <v>38.832000000000001</v>
      </c>
      <c r="AJ1334" t="str">
        <f>VLOOKUP(L1334,'[1]Tuyến cáp H04'!$B:$E,4,0)</f>
        <v>Mạng cấp 4</v>
      </c>
    </row>
    <row r="1335" spans="1:36" x14ac:dyDescent="0.25">
      <c r="A1335" s="1" t="s">
        <v>12847</v>
      </c>
      <c r="B1335" s="1" t="s">
        <v>11081</v>
      </c>
      <c r="C1335" s="1" t="s">
        <v>11082</v>
      </c>
      <c r="D1335" s="1" t="s">
        <v>12848</v>
      </c>
      <c r="E1335" s="1" t="s">
        <v>12849</v>
      </c>
      <c r="F1335" s="1" t="s">
        <v>12850</v>
      </c>
      <c r="G1335" s="1" t="s">
        <v>14281</v>
      </c>
      <c r="H1335" s="1" t="s">
        <v>14282</v>
      </c>
      <c r="I1335" s="1" t="s">
        <v>15433</v>
      </c>
      <c r="J1335" s="1" t="s">
        <v>23</v>
      </c>
      <c r="K1335" s="1"/>
      <c r="L1335" s="1" t="s">
        <v>12822</v>
      </c>
      <c r="M1335" s="1" t="s">
        <v>12851</v>
      </c>
      <c r="N1335" s="1" t="s">
        <v>12824</v>
      </c>
      <c r="O1335" s="1" t="s">
        <v>12825</v>
      </c>
      <c r="P1335" s="1" t="s">
        <v>12826</v>
      </c>
      <c r="Q1335" s="1" t="s">
        <v>12852</v>
      </c>
      <c r="R1335" s="1" t="s">
        <v>12853</v>
      </c>
      <c r="S1335" s="1" t="s">
        <v>12854</v>
      </c>
      <c r="T1335" s="1" t="s">
        <v>12830</v>
      </c>
      <c r="U1335">
        <v>945.44</v>
      </c>
      <c r="V1335">
        <v>13.23</v>
      </c>
      <c r="W1335">
        <v>15.987992</v>
      </c>
      <c r="X1335">
        <v>108.140253</v>
      </c>
      <c r="Y1335">
        <v>932.2</v>
      </c>
      <c r="Z1335">
        <v>16.007446999999999</v>
      </c>
      <c r="AA1335">
        <v>108.127578</v>
      </c>
      <c r="AB1335" s="5">
        <f t="shared" si="121"/>
        <v>1.9844999999999998E-2</v>
      </c>
      <c r="AC1335" s="5">
        <f t="shared" si="122"/>
        <v>1.3983000000000001</v>
      </c>
      <c r="AD1335" s="1" t="str">
        <f t="shared" si="123"/>
        <v>Liên Chiểu</v>
      </c>
      <c r="AE1335" s="1" t="str">
        <f t="shared" si="124"/>
        <v>Hòa Vang</v>
      </c>
      <c r="AG1335">
        <f t="shared" si="125"/>
        <v>1.323E-2</v>
      </c>
      <c r="AH1335">
        <f t="shared" si="126"/>
        <v>0.93220000000000003</v>
      </c>
      <c r="AI1335">
        <f>VLOOKUP(L1335,'[1]Tuyến cáp H04'!$B:$E,3,0)/1000</f>
        <v>15.87</v>
      </c>
      <c r="AJ1335" t="str">
        <f>VLOOKUP(L1335,'[1]Tuyến cáp H04'!$B:$E,4,0)</f>
        <v>Mạng cấp 3</v>
      </c>
    </row>
    <row r="1336" spans="1:36" x14ac:dyDescent="0.25">
      <c r="A1336" s="1" t="s">
        <v>12855</v>
      </c>
      <c r="B1336" s="1" t="s">
        <v>11081</v>
      </c>
      <c r="C1336" s="1" t="s">
        <v>11082</v>
      </c>
      <c r="D1336" s="1" t="s">
        <v>12856</v>
      </c>
      <c r="E1336" s="1" t="s">
        <v>12857</v>
      </c>
      <c r="F1336" s="1" t="s">
        <v>12858</v>
      </c>
      <c r="G1336" s="1" t="s">
        <v>14281</v>
      </c>
      <c r="H1336" s="1" t="s">
        <v>14282</v>
      </c>
      <c r="I1336" s="1" t="s">
        <v>15434</v>
      </c>
      <c r="J1336" s="1" t="s">
        <v>23</v>
      </c>
      <c r="K1336" s="1"/>
      <c r="L1336" s="1" t="s">
        <v>11111</v>
      </c>
      <c r="M1336" s="1" t="s">
        <v>12859</v>
      </c>
      <c r="N1336" s="1" t="s">
        <v>11113</v>
      </c>
      <c r="O1336" s="1" t="s">
        <v>11114</v>
      </c>
      <c r="P1336" s="1" t="s">
        <v>11115</v>
      </c>
      <c r="Q1336" s="1" t="s">
        <v>12860</v>
      </c>
      <c r="R1336" s="1" t="s">
        <v>12861</v>
      </c>
      <c r="S1336" s="1" t="s">
        <v>12862</v>
      </c>
      <c r="T1336" s="1" t="s">
        <v>11119</v>
      </c>
      <c r="U1336">
        <v>676.79</v>
      </c>
      <c r="V1336">
        <v>588.26</v>
      </c>
      <c r="W1336">
        <v>15.983065</v>
      </c>
      <c r="X1336">
        <v>108.13851099999999</v>
      </c>
      <c r="Y1336">
        <v>88.53</v>
      </c>
      <c r="Z1336">
        <v>15.968469000000001</v>
      </c>
      <c r="AA1336">
        <v>108.139465</v>
      </c>
      <c r="AB1336" s="5">
        <f t="shared" si="121"/>
        <v>0.88239000000000001</v>
      </c>
      <c r="AC1336" s="5">
        <f t="shared" si="122"/>
        <v>0.13279500000000002</v>
      </c>
      <c r="AD1336" s="1" t="str">
        <f t="shared" si="123"/>
        <v>Sông Vàng</v>
      </c>
      <c r="AE1336" s="1" t="str">
        <f t="shared" si="124"/>
        <v>TTCMKV Đại Lộc</v>
      </c>
      <c r="AG1336">
        <f t="shared" si="125"/>
        <v>0.58826000000000001</v>
      </c>
      <c r="AH1336">
        <f t="shared" si="126"/>
        <v>8.8529999999999998E-2</v>
      </c>
      <c r="AI1336">
        <f>VLOOKUP(L1336,'[1]Tuyến cáp H04'!$B:$E,3,0)/1000</f>
        <v>38.832000000000001</v>
      </c>
      <c r="AJ1336" t="str">
        <f>VLOOKUP(L1336,'[1]Tuyến cáp H04'!$B:$E,4,0)</f>
        <v>Mạng cấp 4</v>
      </c>
    </row>
    <row r="1337" spans="1:36" x14ac:dyDescent="0.25">
      <c r="A1337" s="1" t="s">
        <v>12863</v>
      </c>
      <c r="B1337" s="1" t="s">
        <v>11081</v>
      </c>
      <c r="C1337" s="1" t="s">
        <v>11082</v>
      </c>
      <c r="D1337" s="1" t="s">
        <v>12864</v>
      </c>
      <c r="E1337" s="1" t="s">
        <v>12865</v>
      </c>
      <c r="F1337" s="1" t="s">
        <v>12866</v>
      </c>
      <c r="G1337" s="1" t="s">
        <v>14281</v>
      </c>
      <c r="H1337" s="1" t="s">
        <v>14282</v>
      </c>
      <c r="I1337" s="1" t="s">
        <v>15435</v>
      </c>
      <c r="J1337" s="1" t="s">
        <v>23</v>
      </c>
      <c r="K1337" s="1"/>
      <c r="L1337" s="1" t="s">
        <v>12867</v>
      </c>
      <c r="M1337" s="1" t="s">
        <v>12868</v>
      </c>
      <c r="N1337" s="1" t="s">
        <v>165</v>
      </c>
      <c r="O1337" s="1" t="s">
        <v>12869</v>
      </c>
      <c r="P1337" s="1" t="s">
        <v>12870</v>
      </c>
      <c r="Q1337" s="1" t="s">
        <v>12871</v>
      </c>
      <c r="R1337" s="1" t="s">
        <v>12869</v>
      </c>
      <c r="S1337" s="1" t="s">
        <v>12870</v>
      </c>
      <c r="T1337" s="1" t="s">
        <v>12872</v>
      </c>
      <c r="U1337">
        <v>135.38</v>
      </c>
      <c r="V1337">
        <v>1.27</v>
      </c>
      <c r="W1337">
        <v>15.988111</v>
      </c>
      <c r="X1337">
        <v>108.14019999999999</v>
      </c>
      <c r="Y1337">
        <v>134.11000000000001</v>
      </c>
      <c r="Z1337">
        <v>15.988111</v>
      </c>
      <c r="AA1337">
        <v>108.14019999999999</v>
      </c>
      <c r="AB1337" s="5">
        <f t="shared" si="121"/>
        <v>1.905E-3</v>
      </c>
      <c r="AC1337" s="5">
        <f t="shared" si="122"/>
        <v>0.20116500000000001</v>
      </c>
      <c r="AD1337" s="1" t="str">
        <f t="shared" si="123"/>
        <v>Hòa Vang</v>
      </c>
      <c r="AE1337" s="1" t="str">
        <f t="shared" si="124"/>
        <v>Hòa Tiến</v>
      </c>
      <c r="AG1337">
        <f t="shared" si="125"/>
        <v>1.2700000000000001E-3</v>
      </c>
      <c r="AH1337">
        <f t="shared" si="126"/>
        <v>0.13411000000000001</v>
      </c>
      <c r="AI1337" t="e">
        <f>VLOOKUP(L1337,'[1]Tuyến cáp H04'!$B:$E,3,0)/1000</f>
        <v>#N/A</v>
      </c>
      <c r="AJ1337" t="e">
        <f>VLOOKUP(L1337,'[1]Tuyến cáp H04'!$B:$E,4,0)</f>
        <v>#N/A</v>
      </c>
    </row>
    <row r="1338" spans="1:36" x14ac:dyDescent="0.25">
      <c r="A1338" s="1" t="s">
        <v>12873</v>
      </c>
      <c r="B1338" s="1" t="s">
        <v>12874</v>
      </c>
      <c r="C1338" s="1" t="s">
        <v>12875</v>
      </c>
      <c r="D1338" s="1" t="s">
        <v>12876</v>
      </c>
      <c r="E1338" s="1" t="s">
        <v>12877</v>
      </c>
      <c r="F1338" s="1" t="s">
        <v>12878</v>
      </c>
      <c r="G1338" s="1" t="s">
        <v>14281</v>
      </c>
      <c r="H1338" s="1" t="s">
        <v>14282</v>
      </c>
      <c r="I1338" s="1" t="s">
        <v>15436</v>
      </c>
      <c r="J1338" s="1" t="s">
        <v>23</v>
      </c>
      <c r="K1338" s="1"/>
      <c r="L1338" s="1" t="s">
        <v>12879</v>
      </c>
      <c r="M1338" s="1" t="s">
        <v>12880</v>
      </c>
      <c r="N1338" s="1" t="s">
        <v>12881</v>
      </c>
      <c r="O1338" s="1" t="s">
        <v>12882</v>
      </c>
      <c r="P1338" s="1" t="s">
        <v>12883</v>
      </c>
      <c r="Q1338" s="1" t="s">
        <v>12884</v>
      </c>
      <c r="R1338" s="1" t="s">
        <v>12885</v>
      </c>
      <c r="S1338" s="1" t="s">
        <v>12886</v>
      </c>
      <c r="T1338" s="1" t="s">
        <v>12887</v>
      </c>
      <c r="U1338">
        <v>5137.18</v>
      </c>
      <c r="V1338">
        <v>28.03</v>
      </c>
      <c r="W1338">
        <v>15.970610000000001</v>
      </c>
      <c r="X1338">
        <v>108.180829</v>
      </c>
      <c r="Y1338">
        <v>5109.1499999999996</v>
      </c>
      <c r="Z1338">
        <v>15.994001000000001</v>
      </c>
      <c r="AA1338">
        <v>108.192807</v>
      </c>
      <c r="AB1338" s="5">
        <f t="shared" si="121"/>
        <v>4.2044999999999999E-2</v>
      </c>
      <c r="AC1338" s="5">
        <f t="shared" si="122"/>
        <v>7.6637249999999995</v>
      </c>
      <c r="AD1338" s="1" t="str">
        <f t="shared" si="123"/>
        <v>Hòa Tiến</v>
      </c>
      <c r="AE1338" s="1" t="str">
        <f t="shared" si="124"/>
        <v>Bà Nà</v>
      </c>
      <c r="AG1338">
        <f t="shared" si="125"/>
        <v>2.8030000000000003E-2</v>
      </c>
      <c r="AH1338">
        <f t="shared" si="126"/>
        <v>5.1091499999999996</v>
      </c>
      <c r="AI1338" t="e">
        <f>VLOOKUP(L1338,'[1]Tuyến cáp H04'!$B:$E,3,0)/1000</f>
        <v>#N/A</v>
      </c>
      <c r="AJ1338" t="e">
        <f>VLOOKUP(L1338,'[1]Tuyến cáp H04'!$B:$E,4,0)</f>
        <v>#N/A</v>
      </c>
    </row>
    <row r="1339" spans="1:36" x14ac:dyDescent="0.25">
      <c r="A1339" s="1" t="s">
        <v>12888</v>
      </c>
      <c r="B1339" s="1" t="s">
        <v>12874</v>
      </c>
      <c r="C1339" s="1" t="s">
        <v>12875</v>
      </c>
      <c r="D1339" s="1" t="s">
        <v>12889</v>
      </c>
      <c r="E1339" s="1" t="s">
        <v>12890</v>
      </c>
      <c r="F1339" s="1" t="s">
        <v>12891</v>
      </c>
      <c r="G1339" s="1" t="s">
        <v>14281</v>
      </c>
      <c r="H1339" s="1" t="s">
        <v>14282</v>
      </c>
      <c r="I1339" s="1" t="s">
        <v>15437</v>
      </c>
      <c r="J1339" s="1" t="s">
        <v>23</v>
      </c>
      <c r="K1339" s="1"/>
      <c r="L1339" s="1" t="s">
        <v>12879</v>
      </c>
      <c r="M1339" s="1" t="s">
        <v>12892</v>
      </c>
      <c r="N1339" s="1" t="s">
        <v>12881</v>
      </c>
      <c r="O1339" s="1" t="s">
        <v>12882</v>
      </c>
      <c r="P1339" s="1" t="s">
        <v>12883</v>
      </c>
      <c r="Q1339" s="1" t="s">
        <v>12893</v>
      </c>
      <c r="R1339" s="1" t="s">
        <v>12894</v>
      </c>
      <c r="S1339" s="1" t="s">
        <v>12895</v>
      </c>
      <c r="T1339" s="1" t="s">
        <v>12887</v>
      </c>
      <c r="U1339">
        <v>3469.92</v>
      </c>
      <c r="V1339">
        <v>28.03</v>
      </c>
      <c r="W1339">
        <v>15.970610000000001</v>
      </c>
      <c r="X1339">
        <v>108.180829</v>
      </c>
      <c r="Y1339">
        <v>3441.89</v>
      </c>
      <c r="Z1339">
        <v>15.997654000000001</v>
      </c>
      <c r="AA1339">
        <v>108.191596</v>
      </c>
      <c r="AB1339" s="5">
        <f t="shared" si="121"/>
        <v>4.2044999999999999E-2</v>
      </c>
      <c r="AC1339" s="5">
        <f t="shared" si="122"/>
        <v>5.1628350000000003</v>
      </c>
      <c r="AD1339" s="1" t="str">
        <f t="shared" si="123"/>
        <v>Hòa Tiến</v>
      </c>
      <c r="AE1339" s="1" t="str">
        <f t="shared" si="124"/>
        <v>Bà Nà</v>
      </c>
      <c r="AG1339">
        <f t="shared" si="125"/>
        <v>2.8030000000000003E-2</v>
      </c>
      <c r="AH1339">
        <f t="shared" si="126"/>
        <v>3.4418899999999999</v>
      </c>
      <c r="AI1339" t="e">
        <f>VLOOKUP(L1339,'[1]Tuyến cáp H04'!$B:$E,3,0)/1000</f>
        <v>#N/A</v>
      </c>
      <c r="AJ1339" t="e">
        <f>VLOOKUP(L1339,'[1]Tuyến cáp H04'!$B:$E,4,0)</f>
        <v>#N/A</v>
      </c>
    </row>
    <row r="1340" spans="1:36" x14ac:dyDescent="0.25">
      <c r="A1340" s="1" t="s">
        <v>12896</v>
      </c>
      <c r="B1340" s="1" t="s">
        <v>12874</v>
      </c>
      <c r="C1340" s="1" t="s">
        <v>12875</v>
      </c>
      <c r="D1340" s="1" t="s">
        <v>12897</v>
      </c>
      <c r="E1340" s="1" t="s">
        <v>12898</v>
      </c>
      <c r="F1340" s="1" t="s">
        <v>12899</v>
      </c>
      <c r="G1340" s="1" t="s">
        <v>14281</v>
      </c>
      <c r="H1340" s="1" t="s">
        <v>14282</v>
      </c>
      <c r="I1340" s="1" t="s">
        <v>15438</v>
      </c>
      <c r="J1340" s="1" t="s">
        <v>23</v>
      </c>
      <c r="K1340" s="1"/>
      <c r="L1340" s="1" t="s">
        <v>12879</v>
      </c>
      <c r="M1340" s="1" t="s">
        <v>12900</v>
      </c>
      <c r="N1340" s="1" t="s">
        <v>12881</v>
      </c>
      <c r="O1340" s="1" t="s">
        <v>12882</v>
      </c>
      <c r="P1340" s="1" t="s">
        <v>12883</v>
      </c>
      <c r="Q1340" s="1" t="s">
        <v>12901</v>
      </c>
      <c r="R1340" s="1" t="s">
        <v>12902</v>
      </c>
      <c r="S1340" s="1" t="s">
        <v>12903</v>
      </c>
      <c r="T1340" s="1" t="s">
        <v>12887</v>
      </c>
      <c r="U1340">
        <v>114.03</v>
      </c>
      <c r="V1340">
        <v>28.03</v>
      </c>
      <c r="W1340">
        <v>15.970610000000001</v>
      </c>
      <c r="X1340">
        <v>108.180829</v>
      </c>
      <c r="Y1340">
        <v>85.99</v>
      </c>
      <c r="Z1340">
        <v>15.985526</v>
      </c>
      <c r="AA1340">
        <v>108.188317</v>
      </c>
      <c r="AB1340" s="5">
        <f t="shared" si="121"/>
        <v>4.2044999999999999E-2</v>
      </c>
      <c r="AC1340" s="5">
        <f t="shared" si="122"/>
        <v>0.12898499999999999</v>
      </c>
      <c r="AD1340" s="1" t="str">
        <f t="shared" si="123"/>
        <v>Hòa Tiến</v>
      </c>
      <c r="AE1340" s="1" t="str">
        <f t="shared" si="124"/>
        <v>Bà Nà</v>
      </c>
      <c r="AG1340">
        <f t="shared" si="125"/>
        <v>2.8030000000000003E-2</v>
      </c>
      <c r="AH1340">
        <f t="shared" si="126"/>
        <v>8.5989999999999997E-2</v>
      </c>
      <c r="AI1340" t="e">
        <f>VLOOKUP(L1340,'[1]Tuyến cáp H04'!$B:$E,3,0)/1000</f>
        <v>#N/A</v>
      </c>
      <c r="AJ1340" t="e">
        <f>VLOOKUP(L1340,'[1]Tuyến cáp H04'!$B:$E,4,0)</f>
        <v>#N/A</v>
      </c>
    </row>
    <row r="1341" spans="1:36" x14ac:dyDescent="0.25">
      <c r="A1341" s="1" t="s">
        <v>12904</v>
      </c>
      <c r="B1341" s="1" t="s">
        <v>12874</v>
      </c>
      <c r="C1341" s="1" t="s">
        <v>12875</v>
      </c>
      <c r="D1341" s="1" t="s">
        <v>12905</v>
      </c>
      <c r="E1341" s="1" t="s">
        <v>12906</v>
      </c>
      <c r="F1341" s="1" t="s">
        <v>12907</v>
      </c>
      <c r="G1341" s="1" t="s">
        <v>14281</v>
      </c>
      <c r="H1341" s="1" t="s">
        <v>14282</v>
      </c>
      <c r="I1341" s="1" t="s">
        <v>15439</v>
      </c>
      <c r="J1341" s="1" t="s">
        <v>23</v>
      </c>
      <c r="K1341" s="1"/>
      <c r="L1341" s="1" t="s">
        <v>12867</v>
      </c>
      <c r="M1341" s="1" t="s">
        <v>12908</v>
      </c>
      <c r="N1341" s="1" t="s">
        <v>12909</v>
      </c>
      <c r="O1341" s="1" t="s">
        <v>12910</v>
      </c>
      <c r="P1341" s="1" t="s">
        <v>12911</v>
      </c>
      <c r="Q1341" s="1" t="s">
        <v>12912</v>
      </c>
      <c r="R1341" s="1" t="s">
        <v>12913</v>
      </c>
      <c r="S1341" s="1" t="s">
        <v>12914</v>
      </c>
      <c r="T1341" s="1" t="s">
        <v>12915</v>
      </c>
      <c r="U1341">
        <v>2648.7</v>
      </c>
      <c r="V1341">
        <v>25.23</v>
      </c>
      <c r="W1341">
        <v>15.970608</v>
      </c>
      <c r="X1341">
        <v>108.180635</v>
      </c>
      <c r="Y1341">
        <v>2623.47</v>
      </c>
      <c r="Z1341">
        <v>15.970139</v>
      </c>
      <c r="AA1341">
        <v>108.180554</v>
      </c>
      <c r="AB1341" s="5">
        <f t="shared" si="121"/>
        <v>3.7844999999999997E-2</v>
      </c>
      <c r="AC1341" s="5">
        <f t="shared" si="122"/>
        <v>3.9352049999999998</v>
      </c>
      <c r="AD1341" s="1" t="str">
        <f t="shared" si="123"/>
        <v>Hòa Vang</v>
      </c>
      <c r="AE1341" s="1" t="str">
        <f t="shared" si="124"/>
        <v>Hòa Tiến</v>
      </c>
      <c r="AG1341">
        <f t="shared" si="125"/>
        <v>2.5229999999999999E-2</v>
      </c>
      <c r="AH1341">
        <f t="shared" si="126"/>
        <v>2.6234699999999997</v>
      </c>
      <c r="AI1341" t="e">
        <f>VLOOKUP(L1341,'[1]Tuyến cáp H04'!$B:$E,3,0)/1000</f>
        <v>#N/A</v>
      </c>
      <c r="AJ1341" t="e">
        <f>VLOOKUP(L1341,'[1]Tuyến cáp H04'!$B:$E,4,0)</f>
        <v>#N/A</v>
      </c>
    </row>
    <row r="1342" spans="1:36" x14ac:dyDescent="0.25">
      <c r="A1342" s="1" t="s">
        <v>12916</v>
      </c>
      <c r="B1342" s="1" t="s">
        <v>12874</v>
      </c>
      <c r="C1342" s="1" t="s">
        <v>12875</v>
      </c>
      <c r="D1342" s="1" t="s">
        <v>12917</v>
      </c>
      <c r="E1342" s="1" t="s">
        <v>12918</v>
      </c>
      <c r="F1342" s="1" t="s">
        <v>12919</v>
      </c>
      <c r="G1342" s="1" t="s">
        <v>14281</v>
      </c>
      <c r="H1342" s="1" t="s">
        <v>14282</v>
      </c>
      <c r="I1342" s="1" t="s">
        <v>15440</v>
      </c>
      <c r="J1342" s="1" t="s">
        <v>23</v>
      </c>
      <c r="K1342" s="1"/>
      <c r="L1342" s="1" t="s">
        <v>12879</v>
      </c>
      <c r="M1342" s="1" t="s">
        <v>12920</v>
      </c>
      <c r="N1342" s="1" t="s">
        <v>12881</v>
      </c>
      <c r="O1342" s="1" t="s">
        <v>12882</v>
      </c>
      <c r="P1342" s="1" t="s">
        <v>12883</v>
      </c>
      <c r="Q1342" s="1" t="s">
        <v>12921</v>
      </c>
      <c r="R1342" s="1" t="s">
        <v>12922</v>
      </c>
      <c r="S1342" s="1" t="s">
        <v>12923</v>
      </c>
      <c r="T1342" s="1" t="s">
        <v>12887</v>
      </c>
      <c r="U1342">
        <v>1540.94</v>
      </c>
      <c r="V1342">
        <v>28.03</v>
      </c>
      <c r="W1342">
        <v>15.970610000000001</v>
      </c>
      <c r="X1342">
        <v>108.180829</v>
      </c>
      <c r="Y1342">
        <v>1512.91</v>
      </c>
      <c r="Z1342">
        <v>15.979906</v>
      </c>
      <c r="AA1342">
        <v>108.186144</v>
      </c>
      <c r="AB1342" s="5">
        <f t="shared" si="121"/>
        <v>4.2044999999999999E-2</v>
      </c>
      <c r="AC1342" s="5">
        <f t="shared" si="122"/>
        <v>2.2693650000000001</v>
      </c>
      <c r="AD1342" s="1" t="str">
        <f t="shared" si="123"/>
        <v>Hòa Tiến</v>
      </c>
      <c r="AE1342" s="1" t="str">
        <f t="shared" si="124"/>
        <v>Bà Nà</v>
      </c>
      <c r="AG1342">
        <f t="shared" si="125"/>
        <v>2.8030000000000003E-2</v>
      </c>
      <c r="AH1342">
        <f t="shared" si="126"/>
        <v>1.51291</v>
      </c>
      <c r="AI1342" t="e">
        <f>VLOOKUP(L1342,'[1]Tuyến cáp H04'!$B:$E,3,0)/1000</f>
        <v>#N/A</v>
      </c>
      <c r="AJ1342" t="e">
        <f>VLOOKUP(L1342,'[1]Tuyến cáp H04'!$B:$E,4,0)</f>
        <v>#N/A</v>
      </c>
    </row>
    <row r="1343" spans="1:36" x14ac:dyDescent="0.25">
      <c r="A1343" s="1" t="s">
        <v>12888</v>
      </c>
      <c r="B1343" s="1" t="s">
        <v>12874</v>
      </c>
      <c r="C1343" s="1" t="s">
        <v>12875</v>
      </c>
      <c r="D1343" s="1" t="s">
        <v>12889</v>
      </c>
      <c r="E1343" s="1" t="s">
        <v>12890</v>
      </c>
      <c r="F1343" s="1" t="s">
        <v>12891</v>
      </c>
      <c r="G1343" s="1" t="s">
        <v>14281</v>
      </c>
      <c r="H1343" s="1" t="s">
        <v>14282</v>
      </c>
      <c r="I1343" s="1" t="s">
        <v>15437</v>
      </c>
      <c r="J1343" s="1" t="s">
        <v>23</v>
      </c>
      <c r="K1343" s="1"/>
      <c r="L1343" s="1" t="s">
        <v>12879</v>
      </c>
      <c r="M1343" s="1" t="s">
        <v>12892</v>
      </c>
      <c r="N1343" s="1" t="s">
        <v>12881</v>
      </c>
      <c r="O1343" s="1" t="s">
        <v>12882</v>
      </c>
      <c r="P1343" s="1" t="s">
        <v>12883</v>
      </c>
      <c r="Q1343" s="1" t="s">
        <v>12893</v>
      </c>
      <c r="R1343" s="1" t="s">
        <v>12894</v>
      </c>
      <c r="S1343" s="1" t="s">
        <v>12895</v>
      </c>
      <c r="T1343" s="1" t="s">
        <v>12887</v>
      </c>
      <c r="U1343">
        <v>3469.92</v>
      </c>
      <c r="V1343">
        <v>28.03</v>
      </c>
      <c r="W1343">
        <v>15.970610000000001</v>
      </c>
      <c r="X1343">
        <v>108.180829</v>
      </c>
      <c r="Y1343">
        <v>3441.89</v>
      </c>
      <c r="Z1343">
        <v>15.997654000000001</v>
      </c>
      <c r="AA1343">
        <v>108.191596</v>
      </c>
      <c r="AB1343" s="5">
        <f t="shared" si="121"/>
        <v>4.2044999999999999E-2</v>
      </c>
      <c r="AC1343" s="5">
        <f t="shared" si="122"/>
        <v>5.1628350000000003</v>
      </c>
      <c r="AD1343" s="1" t="str">
        <f t="shared" si="123"/>
        <v>Hòa Tiến</v>
      </c>
      <c r="AE1343" s="1" t="str">
        <f t="shared" si="124"/>
        <v>Bà Nà</v>
      </c>
      <c r="AG1343">
        <f t="shared" si="125"/>
        <v>2.8030000000000003E-2</v>
      </c>
      <c r="AH1343">
        <f t="shared" si="126"/>
        <v>3.4418899999999999</v>
      </c>
      <c r="AI1343" t="e">
        <f>VLOOKUP(L1343,'[1]Tuyến cáp H04'!$B:$E,3,0)/1000</f>
        <v>#N/A</v>
      </c>
      <c r="AJ1343" t="e">
        <f>VLOOKUP(L1343,'[1]Tuyến cáp H04'!$B:$E,4,0)</f>
        <v>#N/A</v>
      </c>
    </row>
    <row r="1344" spans="1:36" x14ac:dyDescent="0.25">
      <c r="A1344" s="1" t="s">
        <v>12924</v>
      </c>
      <c r="B1344" s="1" t="s">
        <v>12874</v>
      </c>
      <c r="C1344" s="1" t="s">
        <v>12875</v>
      </c>
      <c r="D1344" s="1" t="e">
        <v>#N/A</v>
      </c>
      <c r="E1344" s="1" t="e">
        <v>#N/A</v>
      </c>
      <c r="F1344" s="1" t="s">
        <v>12925</v>
      </c>
      <c r="G1344" s="1" t="s">
        <v>14281</v>
      </c>
      <c r="H1344" s="1" t="s">
        <v>14282</v>
      </c>
      <c r="I1344" s="1" t="s">
        <v>15441</v>
      </c>
      <c r="J1344" s="1" t="s">
        <v>5166</v>
      </c>
      <c r="K1344" s="1" t="s">
        <v>11893</v>
      </c>
      <c r="L1344" s="1"/>
      <c r="M1344" s="1"/>
      <c r="N1344" s="1"/>
      <c r="O1344" s="1"/>
      <c r="P1344" s="1"/>
      <c r="Q1344" s="1"/>
      <c r="R1344" s="1"/>
      <c r="S1344" s="1"/>
      <c r="T1344" s="1"/>
      <c r="AB1344" s="5"/>
      <c r="AC1344" s="5"/>
      <c r="AD1344" s="1"/>
      <c r="AE1344" s="1"/>
      <c r="AI1344" t="e">
        <f>VLOOKUP(L1344,'[1]Tuyến cáp H04'!$B:$E,3,0)/1000</f>
        <v>#N/A</v>
      </c>
      <c r="AJ1344" t="e">
        <f>VLOOKUP(L1344,'[1]Tuyến cáp H04'!$B:$E,4,0)</f>
        <v>#N/A</v>
      </c>
    </row>
    <row r="1345" spans="1:36" x14ac:dyDescent="0.25">
      <c r="A1345" s="1" t="s">
        <v>12888</v>
      </c>
      <c r="B1345" s="1" t="s">
        <v>12874</v>
      </c>
      <c r="C1345" s="1" t="s">
        <v>12875</v>
      </c>
      <c r="D1345" s="1" t="s">
        <v>12889</v>
      </c>
      <c r="E1345" s="1" t="s">
        <v>12890</v>
      </c>
      <c r="F1345" s="1" t="s">
        <v>12926</v>
      </c>
      <c r="G1345" s="1" t="s">
        <v>14281</v>
      </c>
      <c r="H1345" s="1" t="s">
        <v>14282</v>
      </c>
      <c r="I1345" s="1" t="s">
        <v>15442</v>
      </c>
      <c r="J1345" s="1" t="s">
        <v>23</v>
      </c>
      <c r="K1345" s="1"/>
      <c r="L1345" s="1" t="s">
        <v>12879</v>
      </c>
      <c r="M1345" s="1" t="s">
        <v>12892</v>
      </c>
      <c r="N1345" s="1" t="s">
        <v>12881</v>
      </c>
      <c r="O1345" s="1" t="s">
        <v>12882</v>
      </c>
      <c r="P1345" s="1" t="s">
        <v>12883</v>
      </c>
      <c r="Q1345" s="1" t="s">
        <v>12893</v>
      </c>
      <c r="R1345" s="1" t="s">
        <v>12894</v>
      </c>
      <c r="S1345" s="1" t="s">
        <v>12895</v>
      </c>
      <c r="T1345" s="1" t="s">
        <v>12887</v>
      </c>
      <c r="U1345">
        <v>3469.92</v>
      </c>
      <c r="V1345">
        <v>28.03</v>
      </c>
      <c r="W1345">
        <v>15.970610000000001</v>
      </c>
      <c r="X1345">
        <v>108.180829</v>
      </c>
      <c r="Y1345">
        <v>3441.89</v>
      </c>
      <c r="Z1345">
        <v>15.997654000000001</v>
      </c>
      <c r="AA1345">
        <v>108.191596</v>
      </c>
      <c r="AB1345" s="5">
        <f t="shared" si="121"/>
        <v>4.2044999999999999E-2</v>
      </c>
      <c r="AC1345" s="5">
        <f t="shared" si="122"/>
        <v>5.1628350000000003</v>
      </c>
      <c r="AD1345" s="1" t="str">
        <f t="shared" si="123"/>
        <v>Hòa Tiến</v>
      </c>
      <c r="AE1345" s="1" t="str">
        <f t="shared" si="124"/>
        <v>Bà Nà</v>
      </c>
      <c r="AG1345">
        <f t="shared" si="125"/>
        <v>2.8030000000000003E-2</v>
      </c>
      <c r="AH1345">
        <f t="shared" si="126"/>
        <v>3.4418899999999999</v>
      </c>
      <c r="AI1345" t="e">
        <f>VLOOKUP(L1345,'[1]Tuyến cáp H04'!$B:$E,3,0)/1000</f>
        <v>#N/A</v>
      </c>
      <c r="AJ1345" t="e">
        <f>VLOOKUP(L1345,'[1]Tuyến cáp H04'!$B:$E,4,0)</f>
        <v>#N/A</v>
      </c>
    </row>
    <row r="1346" spans="1:36" x14ac:dyDescent="0.25">
      <c r="A1346" s="1" t="s">
        <v>12927</v>
      </c>
      <c r="B1346" s="1" t="s">
        <v>11141</v>
      </c>
      <c r="C1346" s="1" t="s">
        <v>11142</v>
      </c>
      <c r="D1346" s="1" t="s">
        <v>12819</v>
      </c>
      <c r="E1346" s="1" t="s">
        <v>12820</v>
      </c>
      <c r="F1346" s="1" t="s">
        <v>12928</v>
      </c>
      <c r="G1346" s="1" t="s">
        <v>14281</v>
      </c>
      <c r="H1346" s="1" t="s">
        <v>14282</v>
      </c>
      <c r="I1346" s="1" t="s">
        <v>15443</v>
      </c>
      <c r="J1346" s="1" t="s">
        <v>23</v>
      </c>
      <c r="K1346" s="1"/>
      <c r="L1346" s="1" t="s">
        <v>11179</v>
      </c>
      <c r="M1346" s="1" t="s">
        <v>12929</v>
      </c>
      <c r="N1346" s="1" t="s">
        <v>11181</v>
      </c>
      <c r="O1346" s="1" t="s">
        <v>11182</v>
      </c>
      <c r="P1346" s="1" t="s">
        <v>11183</v>
      </c>
      <c r="Q1346" s="1" t="s">
        <v>12930</v>
      </c>
      <c r="R1346" s="1" t="s">
        <v>12931</v>
      </c>
      <c r="S1346" s="1" t="s">
        <v>12932</v>
      </c>
      <c r="T1346" s="1" t="s">
        <v>11187</v>
      </c>
      <c r="U1346">
        <v>3335.25</v>
      </c>
      <c r="V1346">
        <v>27.31</v>
      </c>
      <c r="W1346">
        <v>16.074273999999999</v>
      </c>
      <c r="X1346">
        <v>108.158044</v>
      </c>
      <c r="Y1346">
        <v>3307.94</v>
      </c>
      <c r="Z1346">
        <v>16.11626</v>
      </c>
      <c r="AA1346">
        <v>108.125941</v>
      </c>
      <c r="AB1346" s="5">
        <f t="shared" si="121"/>
        <v>4.0964999999999994E-2</v>
      </c>
      <c r="AC1346" s="5">
        <f t="shared" si="122"/>
        <v>4.9619099999999996</v>
      </c>
      <c r="AD1346" s="1" t="str">
        <f t="shared" si="123"/>
        <v>TTCMKV Liên Chiểu</v>
      </c>
      <c r="AE1346" s="1" t="str">
        <f t="shared" si="124"/>
        <v>Trạm CSGT Hòa Hiệp</v>
      </c>
      <c r="AG1346">
        <f t="shared" si="125"/>
        <v>2.7309999999999997E-2</v>
      </c>
      <c r="AH1346">
        <f t="shared" si="126"/>
        <v>3.3079399999999999</v>
      </c>
      <c r="AI1346">
        <f>VLOOKUP(L1346,'[1]Tuyến cáp H04'!$B:$E,3,0)/1000</f>
        <v>9.5169999999999995</v>
      </c>
      <c r="AJ1346" t="str">
        <f>VLOOKUP(L1346,'[1]Tuyến cáp H04'!$B:$E,4,0)</f>
        <v>Mạng cấp 3</v>
      </c>
    </row>
    <row r="1347" spans="1:36" x14ac:dyDescent="0.25">
      <c r="A1347" s="1" t="s">
        <v>11162</v>
      </c>
      <c r="B1347" s="1" t="s">
        <v>11141</v>
      </c>
      <c r="C1347" s="1" t="s">
        <v>11142</v>
      </c>
      <c r="D1347" s="1" t="s">
        <v>11163</v>
      </c>
      <c r="E1347" s="1" t="s">
        <v>11164</v>
      </c>
      <c r="F1347" s="1" t="s">
        <v>12933</v>
      </c>
      <c r="G1347" s="1" t="s">
        <v>14281</v>
      </c>
      <c r="H1347" s="1" t="s">
        <v>14282</v>
      </c>
      <c r="I1347" s="1" t="s">
        <v>15267</v>
      </c>
      <c r="J1347" s="1" t="s">
        <v>23</v>
      </c>
      <c r="K1347" s="1"/>
      <c r="L1347" s="1" t="s">
        <v>11166</v>
      </c>
      <c r="M1347" s="1" t="s">
        <v>11167</v>
      </c>
      <c r="N1347" s="1" t="s">
        <v>11168</v>
      </c>
      <c r="O1347" s="1" t="s">
        <v>11169</v>
      </c>
      <c r="P1347" s="1" t="s">
        <v>11170</v>
      </c>
      <c r="Q1347" s="1" t="s">
        <v>11171</v>
      </c>
      <c r="R1347" s="1" t="s">
        <v>11172</v>
      </c>
      <c r="S1347" s="1" t="s">
        <v>11173</v>
      </c>
      <c r="T1347" s="1" t="s">
        <v>11174</v>
      </c>
      <c r="U1347">
        <v>823.71</v>
      </c>
      <c r="V1347">
        <v>792.46</v>
      </c>
      <c r="W1347">
        <v>16.077791000000001</v>
      </c>
      <c r="X1347">
        <v>108.164749</v>
      </c>
      <c r="Y1347">
        <v>31.26</v>
      </c>
      <c r="Z1347">
        <v>16.073207</v>
      </c>
      <c r="AA1347">
        <v>108.177558</v>
      </c>
      <c r="AB1347" s="5">
        <f t="shared" ref="AB1347:AB1410" si="127">V1347*1.5/1000</f>
        <v>1.18869</v>
      </c>
      <c r="AC1347" s="5">
        <f t="shared" ref="AC1347:AC1410" si="128">Y1347*1.5/1000</f>
        <v>4.6890000000000001E-2</v>
      </c>
      <c r="AD1347" s="1" t="str">
        <f t="shared" ref="AD1347:AD1410" si="129">TRIM(LEFT(L1347,FIND("-",L1347)-1))</f>
        <v>TT1 Đà Nẵng</v>
      </c>
      <c r="AE1347" s="1" t="str">
        <f t="shared" ref="AE1347:AE1410" si="130">TRIM(RIGHT(L1347, LEN(L1347) - FIND("-", L1347)))</f>
        <v>Hải Vân</v>
      </c>
      <c r="AG1347">
        <f t="shared" ref="AG1347:AG1410" si="131">V1347/1000</f>
        <v>0.79246000000000005</v>
      </c>
      <c r="AH1347">
        <f t="shared" ref="AH1347:AH1410" si="132">Y1347/1000</f>
        <v>3.1260000000000003E-2</v>
      </c>
      <c r="AI1347">
        <f>VLOOKUP(L1347,'[1]Tuyến cáp H04'!$B:$E,3,0)/1000</f>
        <v>14.76</v>
      </c>
      <c r="AJ1347" t="str">
        <f>VLOOKUP(L1347,'[1]Tuyến cáp H04'!$B:$E,4,0)</f>
        <v>Mạng cấp 4</v>
      </c>
    </row>
    <row r="1348" spans="1:36" x14ac:dyDescent="0.25">
      <c r="A1348" s="1" t="s">
        <v>11188</v>
      </c>
      <c r="B1348" s="1" t="s">
        <v>11141</v>
      </c>
      <c r="C1348" s="1" t="s">
        <v>11142</v>
      </c>
      <c r="D1348" s="1" t="s">
        <v>11189</v>
      </c>
      <c r="E1348" s="1" t="s">
        <v>11190</v>
      </c>
      <c r="F1348" s="1" t="s">
        <v>12934</v>
      </c>
      <c r="G1348" s="1" t="s">
        <v>14281</v>
      </c>
      <c r="H1348" s="1" t="s">
        <v>14282</v>
      </c>
      <c r="I1348" s="1" t="s">
        <v>15269</v>
      </c>
      <c r="J1348" s="1" t="s">
        <v>23</v>
      </c>
      <c r="K1348" s="1"/>
      <c r="L1348" s="1" t="s">
        <v>11179</v>
      </c>
      <c r="M1348" s="1" t="s">
        <v>11192</v>
      </c>
      <c r="N1348" s="1" t="s">
        <v>11181</v>
      </c>
      <c r="O1348" s="1" t="s">
        <v>11182</v>
      </c>
      <c r="P1348" s="1" t="s">
        <v>11183</v>
      </c>
      <c r="Q1348" s="1" t="s">
        <v>11193</v>
      </c>
      <c r="R1348" s="1" t="s">
        <v>11194</v>
      </c>
      <c r="S1348" s="1" t="s">
        <v>11195</v>
      </c>
      <c r="T1348" s="1" t="s">
        <v>11187</v>
      </c>
      <c r="U1348">
        <v>98.86</v>
      </c>
      <c r="V1348">
        <v>27.31</v>
      </c>
      <c r="W1348">
        <v>16.074273999999999</v>
      </c>
      <c r="X1348">
        <v>108.158044</v>
      </c>
      <c r="Y1348">
        <v>71.55</v>
      </c>
      <c r="Z1348">
        <v>16.090608</v>
      </c>
      <c r="AA1348">
        <v>108.14290800000001</v>
      </c>
      <c r="AB1348" s="5">
        <f t="shared" si="127"/>
        <v>4.0964999999999994E-2</v>
      </c>
      <c r="AC1348" s="5">
        <f t="shared" si="128"/>
        <v>0.10732499999999999</v>
      </c>
      <c r="AD1348" s="1" t="str">
        <f t="shared" si="129"/>
        <v>TTCMKV Liên Chiểu</v>
      </c>
      <c r="AE1348" s="1" t="str">
        <f t="shared" si="130"/>
        <v>Trạm CSGT Hòa Hiệp</v>
      </c>
      <c r="AG1348">
        <f t="shared" si="131"/>
        <v>2.7309999999999997E-2</v>
      </c>
      <c r="AH1348">
        <f t="shared" si="132"/>
        <v>7.1550000000000002E-2</v>
      </c>
      <c r="AI1348">
        <f>VLOOKUP(L1348,'[1]Tuyến cáp H04'!$B:$E,3,0)/1000</f>
        <v>9.5169999999999995</v>
      </c>
      <c r="AJ1348" t="str">
        <f>VLOOKUP(L1348,'[1]Tuyến cáp H04'!$B:$E,4,0)</f>
        <v>Mạng cấp 3</v>
      </c>
    </row>
    <row r="1349" spans="1:36" x14ac:dyDescent="0.25">
      <c r="A1349" s="1" t="s">
        <v>11175</v>
      </c>
      <c r="B1349" s="1" t="s">
        <v>11141</v>
      </c>
      <c r="C1349" s="1" t="s">
        <v>11142</v>
      </c>
      <c r="D1349" s="1" t="s">
        <v>11176</v>
      </c>
      <c r="E1349" s="1" t="s">
        <v>11177</v>
      </c>
      <c r="F1349" s="1" t="s">
        <v>12935</v>
      </c>
      <c r="G1349" s="1"/>
      <c r="H1349" s="1" t="s">
        <v>14282</v>
      </c>
      <c r="I1349" s="1" t="s">
        <v>15268</v>
      </c>
      <c r="J1349" s="1" t="s">
        <v>23</v>
      </c>
      <c r="K1349" s="1"/>
      <c r="L1349" s="1" t="s">
        <v>11179</v>
      </c>
      <c r="M1349" s="1" t="s">
        <v>11180</v>
      </c>
      <c r="N1349" s="1" t="s">
        <v>11181</v>
      </c>
      <c r="O1349" s="1" t="s">
        <v>11182</v>
      </c>
      <c r="P1349" s="1" t="s">
        <v>11183</v>
      </c>
      <c r="Q1349" s="1" t="s">
        <v>11184</v>
      </c>
      <c r="R1349" s="1" t="s">
        <v>11185</v>
      </c>
      <c r="S1349" s="1" t="s">
        <v>11186</v>
      </c>
      <c r="T1349" s="1" t="s">
        <v>11187</v>
      </c>
      <c r="U1349">
        <v>490.42</v>
      </c>
      <c r="V1349">
        <v>27.31</v>
      </c>
      <c r="W1349">
        <v>16.074273999999999</v>
      </c>
      <c r="X1349">
        <v>108.158044</v>
      </c>
      <c r="Y1349">
        <v>463.11</v>
      </c>
      <c r="Z1349">
        <v>16.074614</v>
      </c>
      <c r="AA1349">
        <v>108.14948099999999</v>
      </c>
      <c r="AB1349" s="5">
        <f t="shared" si="127"/>
        <v>4.0964999999999994E-2</v>
      </c>
      <c r="AC1349" s="5">
        <f t="shared" si="128"/>
        <v>0.69466499999999998</v>
      </c>
      <c r="AD1349" s="1" t="str">
        <f t="shared" si="129"/>
        <v>TTCMKV Liên Chiểu</v>
      </c>
      <c r="AE1349" s="1" t="str">
        <f t="shared" si="130"/>
        <v>Trạm CSGT Hòa Hiệp</v>
      </c>
      <c r="AG1349">
        <f t="shared" si="131"/>
        <v>2.7309999999999997E-2</v>
      </c>
      <c r="AH1349">
        <f t="shared" si="132"/>
        <v>0.46311000000000002</v>
      </c>
      <c r="AI1349">
        <f>VLOOKUP(L1349,'[1]Tuyến cáp H04'!$B:$E,3,0)/1000</f>
        <v>9.5169999999999995</v>
      </c>
      <c r="AJ1349" t="str">
        <f>VLOOKUP(L1349,'[1]Tuyến cáp H04'!$B:$E,4,0)</f>
        <v>Mạng cấp 3</v>
      </c>
    </row>
    <row r="1350" spans="1:36" x14ac:dyDescent="0.25">
      <c r="A1350" s="1" t="s">
        <v>12936</v>
      </c>
      <c r="B1350" s="1" t="s">
        <v>11141</v>
      </c>
      <c r="C1350" s="1" t="s">
        <v>11142</v>
      </c>
      <c r="D1350" s="1" t="s">
        <v>12937</v>
      </c>
      <c r="E1350" s="1" t="s">
        <v>12938</v>
      </c>
      <c r="F1350" s="1" t="s">
        <v>12939</v>
      </c>
      <c r="G1350" s="1" t="s">
        <v>14281</v>
      </c>
      <c r="H1350" s="1" t="s">
        <v>14282</v>
      </c>
      <c r="I1350" s="1" t="s">
        <v>15444</v>
      </c>
      <c r="J1350" s="1" t="s">
        <v>23</v>
      </c>
      <c r="K1350" s="1"/>
      <c r="L1350" s="1" t="s">
        <v>11146</v>
      </c>
      <c r="M1350" s="1" t="s">
        <v>12940</v>
      </c>
      <c r="N1350" s="1" t="s">
        <v>3185</v>
      </c>
      <c r="O1350" s="1" t="s">
        <v>12941</v>
      </c>
      <c r="P1350" s="1" t="s">
        <v>12942</v>
      </c>
      <c r="Q1350" s="1" t="s">
        <v>12943</v>
      </c>
      <c r="R1350" s="1" t="s">
        <v>12944</v>
      </c>
      <c r="S1350" s="1" t="s">
        <v>12945</v>
      </c>
      <c r="T1350" s="1" t="s">
        <v>12946</v>
      </c>
      <c r="U1350">
        <v>366.88</v>
      </c>
      <c r="V1350">
        <v>38.99</v>
      </c>
      <c r="W1350">
        <v>16.074251</v>
      </c>
      <c r="X1350">
        <v>108.15793600000001</v>
      </c>
      <c r="Y1350">
        <v>327.89</v>
      </c>
      <c r="Z1350">
        <v>16.076884</v>
      </c>
      <c r="AA1350">
        <v>108.159477</v>
      </c>
      <c r="AB1350" s="5">
        <f t="shared" si="127"/>
        <v>5.8485000000000002E-2</v>
      </c>
      <c r="AC1350" s="5">
        <f t="shared" si="128"/>
        <v>0.49183499999999997</v>
      </c>
      <c r="AD1350" s="1" t="str">
        <f t="shared" si="129"/>
        <v>TT1 Đà Nẵng</v>
      </c>
      <c r="AE1350" s="1" t="str">
        <f t="shared" si="130"/>
        <v>Liên Chiểu</v>
      </c>
      <c r="AG1350">
        <f t="shared" si="131"/>
        <v>3.8990000000000004E-2</v>
      </c>
      <c r="AH1350">
        <f t="shared" si="132"/>
        <v>0.32788999999999996</v>
      </c>
      <c r="AI1350">
        <f>VLOOKUP(L1350,'[1]Tuyến cáp H04'!$B:$E,3,0)/1000</f>
        <v>9.8698999999999995</v>
      </c>
      <c r="AJ1350" t="str">
        <f>VLOOKUP(L1350,'[1]Tuyến cáp H04'!$B:$E,4,0)</f>
        <v>Mạng cấp 3</v>
      </c>
    </row>
    <row r="1351" spans="1:36" x14ac:dyDescent="0.25">
      <c r="A1351" s="1" t="s">
        <v>12947</v>
      </c>
      <c r="B1351" s="1" t="s">
        <v>11141</v>
      </c>
      <c r="C1351" s="1" t="s">
        <v>11142</v>
      </c>
      <c r="D1351" s="1" t="s">
        <v>12948</v>
      </c>
      <c r="E1351" s="1" t="s">
        <v>12949</v>
      </c>
      <c r="F1351" s="1" t="s">
        <v>12950</v>
      </c>
      <c r="G1351" s="1" t="s">
        <v>14281</v>
      </c>
      <c r="H1351" s="1" t="s">
        <v>14282</v>
      </c>
      <c r="I1351" s="1" t="s">
        <v>15445</v>
      </c>
      <c r="J1351" s="1" t="s">
        <v>23</v>
      </c>
      <c r="K1351" s="1"/>
      <c r="L1351" s="1" t="s">
        <v>11179</v>
      </c>
      <c r="M1351" s="1" t="s">
        <v>12951</v>
      </c>
      <c r="N1351" s="1" t="s">
        <v>11181</v>
      </c>
      <c r="O1351" s="1" t="s">
        <v>11182</v>
      </c>
      <c r="P1351" s="1" t="s">
        <v>11183</v>
      </c>
      <c r="Q1351" s="1" t="s">
        <v>12952</v>
      </c>
      <c r="R1351" s="1" t="s">
        <v>12953</v>
      </c>
      <c r="S1351" s="1" t="s">
        <v>12954</v>
      </c>
      <c r="T1351" s="1" t="s">
        <v>11187</v>
      </c>
      <c r="U1351">
        <v>278.69</v>
      </c>
      <c r="V1351">
        <v>27.31</v>
      </c>
      <c r="W1351">
        <v>16.074273999999999</v>
      </c>
      <c r="X1351">
        <v>108.158044</v>
      </c>
      <c r="Y1351">
        <v>251.38</v>
      </c>
      <c r="Z1351">
        <v>16.075294</v>
      </c>
      <c r="AA1351">
        <v>108.15112499999999</v>
      </c>
      <c r="AB1351" s="5">
        <f t="shared" si="127"/>
        <v>4.0964999999999994E-2</v>
      </c>
      <c r="AC1351" s="5">
        <f t="shared" si="128"/>
        <v>0.37707000000000002</v>
      </c>
      <c r="AD1351" s="1" t="str">
        <f t="shared" si="129"/>
        <v>TTCMKV Liên Chiểu</v>
      </c>
      <c r="AE1351" s="1" t="str">
        <f t="shared" si="130"/>
        <v>Trạm CSGT Hòa Hiệp</v>
      </c>
      <c r="AG1351">
        <f t="shared" si="131"/>
        <v>2.7309999999999997E-2</v>
      </c>
      <c r="AH1351">
        <f t="shared" si="132"/>
        <v>0.25137999999999999</v>
      </c>
      <c r="AI1351">
        <f>VLOOKUP(L1351,'[1]Tuyến cáp H04'!$B:$E,3,0)/1000</f>
        <v>9.5169999999999995</v>
      </c>
      <c r="AJ1351" t="str">
        <f>VLOOKUP(L1351,'[1]Tuyến cáp H04'!$B:$E,4,0)</f>
        <v>Mạng cấp 3</v>
      </c>
    </row>
    <row r="1352" spans="1:36" x14ac:dyDescent="0.25">
      <c r="A1352" s="1" t="s">
        <v>12955</v>
      </c>
      <c r="B1352" s="1" t="s">
        <v>11197</v>
      </c>
      <c r="C1352" s="1" t="s">
        <v>11198</v>
      </c>
      <c r="D1352" s="1" t="s">
        <v>12956</v>
      </c>
      <c r="E1352" s="1" t="s">
        <v>12957</v>
      </c>
      <c r="F1352" s="1" t="s">
        <v>12958</v>
      </c>
      <c r="G1352" s="1" t="s">
        <v>14281</v>
      </c>
      <c r="H1352" s="1" t="s">
        <v>14282</v>
      </c>
      <c r="I1352" s="1" t="s">
        <v>15446</v>
      </c>
      <c r="J1352" s="1" t="s">
        <v>23</v>
      </c>
      <c r="K1352" s="1"/>
      <c r="L1352" s="1" t="s">
        <v>12072</v>
      </c>
      <c r="M1352" s="1" t="s">
        <v>12959</v>
      </c>
      <c r="N1352" s="1" t="s">
        <v>3125</v>
      </c>
      <c r="O1352" s="1" t="s">
        <v>12960</v>
      </c>
      <c r="P1352" s="1" t="s">
        <v>12961</v>
      </c>
      <c r="Q1352" s="1" t="s">
        <v>12962</v>
      </c>
      <c r="R1352" s="1" t="s">
        <v>12078</v>
      </c>
      <c r="S1352" s="1" t="s">
        <v>12079</v>
      </c>
      <c r="T1352" s="1" t="s">
        <v>12080</v>
      </c>
      <c r="U1352">
        <v>125.49</v>
      </c>
      <c r="V1352">
        <v>72.540000000000006</v>
      </c>
      <c r="W1352">
        <v>16.015794</v>
      </c>
      <c r="X1352">
        <v>108.254242</v>
      </c>
      <c r="Y1352">
        <v>52.95</v>
      </c>
      <c r="Z1352">
        <v>16.042570000000001</v>
      </c>
      <c r="AA1352">
        <v>108.245257</v>
      </c>
      <c r="AB1352" s="5">
        <f t="shared" si="127"/>
        <v>0.10881</v>
      </c>
      <c r="AC1352" s="5">
        <f t="shared" si="128"/>
        <v>7.9425000000000009E-2</v>
      </c>
      <c r="AD1352" s="1" t="str">
        <f t="shared" si="129"/>
        <v>K01</v>
      </c>
      <c r="AE1352" s="1" t="str">
        <f t="shared" si="130"/>
        <v>A01</v>
      </c>
      <c r="AG1352">
        <f t="shared" si="131"/>
        <v>7.2540000000000007E-2</v>
      </c>
      <c r="AH1352">
        <f t="shared" si="132"/>
        <v>5.2950000000000004E-2</v>
      </c>
      <c r="AI1352" t="e">
        <f>VLOOKUP(L1352,'[1]Tuyến cáp H04'!$B:$E,3,0)/1000</f>
        <v>#N/A</v>
      </c>
      <c r="AJ1352" t="e">
        <f>VLOOKUP(L1352,'[1]Tuyến cáp H04'!$B:$E,4,0)</f>
        <v>#N/A</v>
      </c>
    </row>
    <row r="1353" spans="1:36" x14ac:dyDescent="0.25">
      <c r="A1353" s="1" t="s">
        <v>12963</v>
      </c>
      <c r="B1353" s="1" t="s">
        <v>11197</v>
      </c>
      <c r="C1353" s="1" t="s">
        <v>11198</v>
      </c>
      <c r="D1353" s="1" t="s">
        <v>12876</v>
      </c>
      <c r="E1353" s="1" t="s">
        <v>12877</v>
      </c>
      <c r="F1353" s="1" t="s">
        <v>12964</v>
      </c>
      <c r="G1353" s="1" t="s">
        <v>14281</v>
      </c>
      <c r="H1353" s="1" t="s">
        <v>14282</v>
      </c>
      <c r="I1353" s="1" t="s">
        <v>15447</v>
      </c>
      <c r="J1353" s="1" t="s">
        <v>23</v>
      </c>
      <c r="K1353" s="1"/>
      <c r="L1353" s="1" t="s">
        <v>11878</v>
      </c>
      <c r="M1353" s="1" t="s">
        <v>12965</v>
      </c>
      <c r="N1353" s="1" t="s">
        <v>12966</v>
      </c>
      <c r="O1353" s="1" t="s">
        <v>12967</v>
      </c>
      <c r="P1353" s="1" t="s">
        <v>12968</v>
      </c>
      <c r="Q1353" s="1" t="s">
        <v>12969</v>
      </c>
      <c r="R1353" s="1" t="s">
        <v>12970</v>
      </c>
      <c r="S1353" s="1" t="s">
        <v>12971</v>
      </c>
      <c r="T1353" s="1" t="s">
        <v>12972</v>
      </c>
      <c r="U1353">
        <v>1679.8</v>
      </c>
      <c r="V1353">
        <v>23.38</v>
      </c>
      <c r="W1353">
        <v>16.015270000000001</v>
      </c>
      <c r="X1353">
        <v>108.254587</v>
      </c>
      <c r="Y1353">
        <v>1656.42</v>
      </c>
      <c r="Z1353">
        <v>15.999196</v>
      </c>
      <c r="AA1353">
        <v>108.233384</v>
      </c>
      <c r="AB1353" s="5">
        <f t="shared" si="127"/>
        <v>3.5069999999999997E-2</v>
      </c>
      <c r="AC1353" s="5">
        <f t="shared" si="128"/>
        <v>2.4846300000000001</v>
      </c>
      <c r="AD1353" s="1" t="str">
        <f t="shared" si="129"/>
        <v>TTKV Ngũ Hành Sơn</v>
      </c>
      <c r="AE1353" s="1" t="str">
        <f t="shared" si="130"/>
        <v>Hòa Xuân</v>
      </c>
      <c r="AG1353">
        <f t="shared" si="131"/>
        <v>2.3379999999999998E-2</v>
      </c>
      <c r="AH1353">
        <f t="shared" si="132"/>
        <v>1.65642</v>
      </c>
      <c r="AI1353" t="e">
        <f>VLOOKUP(L1353,'[1]Tuyến cáp H04'!$B:$E,3,0)/1000</f>
        <v>#N/A</v>
      </c>
      <c r="AJ1353" t="e">
        <f>VLOOKUP(L1353,'[1]Tuyến cáp H04'!$B:$E,4,0)</f>
        <v>#N/A</v>
      </c>
    </row>
    <row r="1354" spans="1:36" x14ac:dyDescent="0.25">
      <c r="A1354" s="1" t="s">
        <v>12973</v>
      </c>
      <c r="B1354" s="1" t="s">
        <v>11197</v>
      </c>
      <c r="C1354" s="1" t="s">
        <v>11198</v>
      </c>
      <c r="D1354" s="1" t="s">
        <v>12974</v>
      </c>
      <c r="E1354" s="1" t="s">
        <v>12975</v>
      </c>
      <c r="F1354" s="1" t="s">
        <v>12976</v>
      </c>
      <c r="G1354" s="1" t="s">
        <v>14281</v>
      </c>
      <c r="H1354" s="1" t="s">
        <v>14282</v>
      </c>
      <c r="I1354" s="1" t="s">
        <v>15448</v>
      </c>
      <c r="J1354" s="1" t="s">
        <v>23</v>
      </c>
      <c r="K1354" s="1"/>
      <c r="L1354" s="1" t="s">
        <v>11202</v>
      </c>
      <c r="M1354" s="1" t="s">
        <v>12977</v>
      </c>
      <c r="N1354" s="1" t="s">
        <v>11204</v>
      </c>
      <c r="O1354" s="1" t="s">
        <v>11205</v>
      </c>
      <c r="P1354" s="1" t="s">
        <v>11206</v>
      </c>
      <c r="Q1354" s="1" t="s">
        <v>12978</v>
      </c>
      <c r="R1354" s="1" t="s">
        <v>12979</v>
      </c>
      <c r="S1354" s="1" t="s">
        <v>12980</v>
      </c>
      <c r="T1354" s="1" t="s">
        <v>11210</v>
      </c>
      <c r="U1354">
        <v>35.39</v>
      </c>
      <c r="V1354">
        <v>14.34</v>
      </c>
      <c r="W1354">
        <v>16.015280000000001</v>
      </c>
      <c r="X1354">
        <v>108.254448</v>
      </c>
      <c r="Y1354">
        <v>21.05</v>
      </c>
      <c r="Z1354">
        <v>15.996881</v>
      </c>
      <c r="AA1354">
        <v>108.26286899999999</v>
      </c>
      <c r="AB1354" s="5">
        <f t="shared" si="127"/>
        <v>2.1509999999999998E-2</v>
      </c>
      <c r="AC1354" s="5">
        <f t="shared" si="128"/>
        <v>3.1575000000000006E-2</v>
      </c>
      <c r="AD1354" s="1" t="str">
        <f t="shared" si="129"/>
        <v>Hội An</v>
      </c>
      <c r="AE1354" s="1" t="str">
        <f t="shared" si="130"/>
        <v>Ngũ Hành Sơn</v>
      </c>
      <c r="AG1354">
        <f t="shared" si="131"/>
        <v>1.434E-2</v>
      </c>
      <c r="AH1354">
        <f t="shared" si="132"/>
        <v>2.1049999999999999E-2</v>
      </c>
      <c r="AI1354">
        <f>VLOOKUP(L1354,'[1]Tuyến cáp H04'!$B:$E,3,0)/1000</f>
        <v>20.16</v>
      </c>
      <c r="AJ1354" t="str">
        <f>VLOOKUP(L1354,'[1]Tuyến cáp H04'!$B:$E,4,0)</f>
        <v>Mạng cấp 3</v>
      </c>
    </row>
    <row r="1355" spans="1:36" x14ac:dyDescent="0.25">
      <c r="A1355" s="1" t="s">
        <v>12981</v>
      </c>
      <c r="B1355" s="1" t="s">
        <v>11197</v>
      </c>
      <c r="C1355" s="1" t="s">
        <v>11198</v>
      </c>
      <c r="D1355" s="1" t="s">
        <v>12982</v>
      </c>
      <c r="E1355" s="1" t="s">
        <v>12983</v>
      </c>
      <c r="F1355" s="1" t="s">
        <v>12984</v>
      </c>
      <c r="G1355" s="1" t="s">
        <v>14281</v>
      </c>
      <c r="H1355" s="1" t="s">
        <v>14282</v>
      </c>
      <c r="I1355" s="1" t="s">
        <v>15449</v>
      </c>
      <c r="J1355" s="1" t="s">
        <v>23</v>
      </c>
      <c r="K1355" s="1"/>
      <c r="L1355" s="1" t="s">
        <v>11202</v>
      </c>
      <c r="M1355" s="1" t="s">
        <v>12985</v>
      </c>
      <c r="N1355" s="1" t="s">
        <v>11204</v>
      </c>
      <c r="O1355" s="1" t="s">
        <v>11205</v>
      </c>
      <c r="P1355" s="1" t="s">
        <v>11206</v>
      </c>
      <c r="Q1355" s="1" t="s">
        <v>12986</v>
      </c>
      <c r="R1355" s="1" t="s">
        <v>12987</v>
      </c>
      <c r="S1355" s="1" t="s">
        <v>12988</v>
      </c>
      <c r="T1355" s="1" t="s">
        <v>11210</v>
      </c>
      <c r="U1355">
        <v>120.29</v>
      </c>
      <c r="V1355">
        <v>14.34</v>
      </c>
      <c r="W1355">
        <v>16.015280000000001</v>
      </c>
      <c r="X1355">
        <v>108.254448</v>
      </c>
      <c r="Y1355">
        <v>105.95</v>
      </c>
      <c r="Z1355">
        <v>16.015132000000001</v>
      </c>
      <c r="AA1355">
        <v>108.25502</v>
      </c>
      <c r="AB1355" s="5">
        <f t="shared" si="127"/>
        <v>2.1509999999999998E-2</v>
      </c>
      <c r="AC1355" s="5">
        <f t="shared" si="128"/>
        <v>0.15892500000000001</v>
      </c>
      <c r="AD1355" s="1" t="str">
        <f t="shared" si="129"/>
        <v>Hội An</v>
      </c>
      <c r="AE1355" s="1" t="str">
        <f t="shared" si="130"/>
        <v>Ngũ Hành Sơn</v>
      </c>
      <c r="AG1355">
        <f t="shared" si="131"/>
        <v>1.434E-2</v>
      </c>
      <c r="AH1355">
        <f t="shared" si="132"/>
        <v>0.10595</v>
      </c>
      <c r="AI1355">
        <f>VLOOKUP(L1355,'[1]Tuyến cáp H04'!$B:$E,3,0)/1000</f>
        <v>20.16</v>
      </c>
      <c r="AJ1355" t="str">
        <f>VLOOKUP(L1355,'[1]Tuyến cáp H04'!$B:$E,4,0)</f>
        <v>Mạng cấp 3</v>
      </c>
    </row>
    <row r="1356" spans="1:36" x14ac:dyDescent="0.25">
      <c r="A1356" s="1" t="s">
        <v>12989</v>
      </c>
      <c r="B1356" s="1" t="s">
        <v>11197</v>
      </c>
      <c r="C1356" s="1" t="s">
        <v>11198</v>
      </c>
      <c r="D1356" s="1" t="s">
        <v>12990</v>
      </c>
      <c r="E1356" s="1" t="s">
        <v>12991</v>
      </c>
      <c r="F1356" s="1" t="s">
        <v>12992</v>
      </c>
      <c r="G1356" s="1" t="s">
        <v>14281</v>
      </c>
      <c r="H1356" s="1" t="s">
        <v>14282</v>
      </c>
      <c r="I1356" s="1" t="s">
        <v>15450</v>
      </c>
      <c r="J1356" s="1" t="s">
        <v>23</v>
      </c>
      <c r="K1356" s="1"/>
      <c r="L1356" s="1" t="s">
        <v>12072</v>
      </c>
      <c r="M1356" s="1" t="s">
        <v>12993</v>
      </c>
      <c r="N1356" s="1" t="s">
        <v>3125</v>
      </c>
      <c r="O1356" s="1" t="s">
        <v>12960</v>
      </c>
      <c r="P1356" s="1" t="s">
        <v>12961</v>
      </c>
      <c r="Q1356" s="1" t="s">
        <v>12994</v>
      </c>
      <c r="R1356" s="1" t="s">
        <v>12995</v>
      </c>
      <c r="S1356" s="1" t="s">
        <v>12996</v>
      </c>
      <c r="T1356" s="1" t="s">
        <v>12080</v>
      </c>
      <c r="U1356">
        <v>245.67</v>
      </c>
      <c r="V1356">
        <v>72.540000000000006</v>
      </c>
      <c r="W1356">
        <v>16.015794</v>
      </c>
      <c r="X1356">
        <v>108.254242</v>
      </c>
      <c r="Y1356">
        <v>173.13</v>
      </c>
      <c r="Z1356">
        <v>16.008153</v>
      </c>
      <c r="AA1356">
        <v>108.257991</v>
      </c>
      <c r="AB1356" s="5">
        <f t="shared" si="127"/>
        <v>0.10881</v>
      </c>
      <c r="AC1356" s="5">
        <f t="shared" si="128"/>
        <v>0.25969500000000001</v>
      </c>
      <c r="AD1356" s="1" t="str">
        <f t="shared" si="129"/>
        <v>K01</v>
      </c>
      <c r="AE1356" s="1" t="str">
        <f t="shared" si="130"/>
        <v>A01</v>
      </c>
      <c r="AG1356">
        <f t="shared" si="131"/>
        <v>7.2540000000000007E-2</v>
      </c>
      <c r="AH1356">
        <f t="shared" si="132"/>
        <v>0.17313000000000001</v>
      </c>
      <c r="AI1356" t="e">
        <f>VLOOKUP(L1356,'[1]Tuyến cáp H04'!$B:$E,3,0)/1000</f>
        <v>#N/A</v>
      </c>
      <c r="AJ1356" t="e">
        <f>VLOOKUP(L1356,'[1]Tuyến cáp H04'!$B:$E,4,0)</f>
        <v>#N/A</v>
      </c>
    </row>
    <row r="1357" spans="1:36" x14ac:dyDescent="0.25">
      <c r="A1357" s="1" t="s">
        <v>12997</v>
      </c>
      <c r="B1357" s="1" t="s">
        <v>11197</v>
      </c>
      <c r="C1357" s="1" t="s">
        <v>11198</v>
      </c>
      <c r="D1357" s="1" t="s">
        <v>12998</v>
      </c>
      <c r="E1357" s="1" t="s">
        <v>12999</v>
      </c>
      <c r="F1357" s="1" t="s">
        <v>13000</v>
      </c>
      <c r="G1357" s="1" t="s">
        <v>14281</v>
      </c>
      <c r="H1357" s="1" t="s">
        <v>14282</v>
      </c>
      <c r="I1357" s="1" t="s">
        <v>15451</v>
      </c>
      <c r="J1357" s="1" t="s">
        <v>23</v>
      </c>
      <c r="K1357" s="1"/>
      <c r="L1357" s="1" t="s">
        <v>12072</v>
      </c>
      <c r="M1357" s="1" t="s">
        <v>13001</v>
      </c>
      <c r="N1357" s="1" t="s">
        <v>3125</v>
      </c>
      <c r="O1357" s="1" t="s">
        <v>12960</v>
      </c>
      <c r="P1357" s="1" t="s">
        <v>12961</v>
      </c>
      <c r="Q1357" s="1" t="s">
        <v>226</v>
      </c>
      <c r="R1357" s="1" t="s">
        <v>13002</v>
      </c>
      <c r="S1357" s="1" t="s">
        <v>13003</v>
      </c>
      <c r="T1357" s="1" t="s">
        <v>12080</v>
      </c>
      <c r="U1357">
        <v>188.33</v>
      </c>
      <c r="V1357">
        <v>72.540000000000006</v>
      </c>
      <c r="W1357">
        <v>16.015794</v>
      </c>
      <c r="X1357">
        <v>108.254242</v>
      </c>
      <c r="Y1357">
        <v>115.79</v>
      </c>
      <c r="Z1357">
        <v>16.012620999999999</v>
      </c>
      <c r="AA1357">
        <v>108.255769</v>
      </c>
      <c r="AB1357" s="5">
        <f t="shared" si="127"/>
        <v>0.10881</v>
      </c>
      <c r="AC1357" s="5">
        <f t="shared" si="128"/>
        <v>0.17368500000000001</v>
      </c>
      <c r="AD1357" s="1" t="str">
        <f t="shared" si="129"/>
        <v>K01</v>
      </c>
      <c r="AE1357" s="1" t="str">
        <f t="shared" si="130"/>
        <v>A01</v>
      </c>
      <c r="AG1357">
        <f t="shared" si="131"/>
        <v>7.2540000000000007E-2</v>
      </c>
      <c r="AH1357">
        <f t="shared" si="132"/>
        <v>0.11579</v>
      </c>
      <c r="AI1357" t="e">
        <f>VLOOKUP(L1357,'[1]Tuyến cáp H04'!$B:$E,3,0)/1000</f>
        <v>#N/A</v>
      </c>
      <c r="AJ1357" t="e">
        <f>VLOOKUP(L1357,'[1]Tuyến cáp H04'!$B:$E,4,0)</f>
        <v>#N/A</v>
      </c>
    </row>
    <row r="1358" spans="1:36" x14ac:dyDescent="0.25">
      <c r="A1358" s="1" t="s">
        <v>13004</v>
      </c>
      <c r="B1358" s="1" t="s">
        <v>11197</v>
      </c>
      <c r="C1358" s="1" t="s">
        <v>11198</v>
      </c>
      <c r="D1358" s="1" t="s">
        <v>13005</v>
      </c>
      <c r="E1358" s="1" t="s">
        <v>13006</v>
      </c>
      <c r="F1358" s="1" t="s">
        <v>13007</v>
      </c>
      <c r="G1358" s="1" t="s">
        <v>14281</v>
      </c>
      <c r="H1358" s="1" t="s">
        <v>14282</v>
      </c>
      <c r="I1358" s="1" t="s">
        <v>15452</v>
      </c>
      <c r="J1358" s="1" t="s">
        <v>23</v>
      </c>
      <c r="K1358" s="1"/>
      <c r="L1358" s="1" t="s">
        <v>11202</v>
      </c>
      <c r="M1358" s="1" t="s">
        <v>13008</v>
      </c>
      <c r="N1358" s="1" t="s">
        <v>11204</v>
      </c>
      <c r="O1358" s="1" t="s">
        <v>11205</v>
      </c>
      <c r="P1358" s="1" t="s">
        <v>11206</v>
      </c>
      <c r="Q1358" s="1" t="s">
        <v>13009</v>
      </c>
      <c r="R1358" s="1" t="s">
        <v>13010</v>
      </c>
      <c r="S1358" s="1" t="s">
        <v>13011</v>
      </c>
      <c r="T1358" s="1" t="s">
        <v>11210</v>
      </c>
      <c r="U1358">
        <v>538.37</v>
      </c>
      <c r="V1358">
        <v>14.34</v>
      </c>
      <c r="W1358">
        <v>16.015280000000001</v>
      </c>
      <c r="X1358">
        <v>108.254448</v>
      </c>
      <c r="Y1358">
        <v>524.03</v>
      </c>
      <c r="Z1358">
        <v>16.000471000000001</v>
      </c>
      <c r="AA1358">
        <v>108.25984699999999</v>
      </c>
      <c r="AB1358" s="5">
        <f t="shared" si="127"/>
        <v>2.1509999999999998E-2</v>
      </c>
      <c r="AC1358" s="5">
        <f t="shared" si="128"/>
        <v>0.78604499999999999</v>
      </c>
      <c r="AD1358" s="1" t="str">
        <f t="shared" si="129"/>
        <v>Hội An</v>
      </c>
      <c r="AE1358" s="1" t="str">
        <f t="shared" si="130"/>
        <v>Ngũ Hành Sơn</v>
      </c>
      <c r="AG1358">
        <f t="shared" si="131"/>
        <v>1.434E-2</v>
      </c>
      <c r="AH1358">
        <f t="shared" si="132"/>
        <v>0.52403</v>
      </c>
      <c r="AI1358">
        <f>VLOOKUP(L1358,'[1]Tuyến cáp H04'!$B:$E,3,0)/1000</f>
        <v>20.16</v>
      </c>
      <c r="AJ1358" t="str">
        <f>VLOOKUP(L1358,'[1]Tuyến cáp H04'!$B:$E,4,0)</f>
        <v>Mạng cấp 3</v>
      </c>
    </row>
    <row r="1359" spans="1:36" x14ac:dyDescent="0.25">
      <c r="A1359" s="1" t="s">
        <v>13012</v>
      </c>
      <c r="B1359" s="1" t="s">
        <v>11220</v>
      </c>
      <c r="C1359" s="1" t="s">
        <v>11221</v>
      </c>
      <c r="D1359" s="1" t="s">
        <v>13013</v>
      </c>
      <c r="E1359" s="1" t="s">
        <v>13014</v>
      </c>
      <c r="F1359" s="1" t="s">
        <v>13015</v>
      </c>
      <c r="G1359" s="1" t="s">
        <v>14281</v>
      </c>
      <c r="H1359" s="1" t="s">
        <v>14282</v>
      </c>
      <c r="I1359" s="1" t="s">
        <v>15453</v>
      </c>
      <c r="J1359" s="1" t="s">
        <v>23</v>
      </c>
      <c r="K1359" s="1"/>
      <c r="L1359" s="1" t="s">
        <v>13016</v>
      </c>
      <c r="M1359" s="1" t="s">
        <v>13017</v>
      </c>
      <c r="N1359" s="1" t="s">
        <v>13018</v>
      </c>
      <c r="O1359" s="1" t="s">
        <v>13019</v>
      </c>
      <c r="P1359" s="1" t="s">
        <v>13020</v>
      </c>
      <c r="Q1359" s="1" t="s">
        <v>13021</v>
      </c>
      <c r="R1359" s="1" t="s">
        <v>13022</v>
      </c>
      <c r="S1359" s="1" t="s">
        <v>13023</v>
      </c>
      <c r="T1359" s="1" t="s">
        <v>13024</v>
      </c>
      <c r="U1359">
        <v>1731.73</v>
      </c>
      <c r="V1359">
        <v>248.8</v>
      </c>
      <c r="W1359">
        <v>16.068176999999999</v>
      </c>
      <c r="X1359">
        <v>108.232409</v>
      </c>
      <c r="Y1359">
        <v>1482.93</v>
      </c>
      <c r="Z1359">
        <v>16.086010999999999</v>
      </c>
      <c r="AA1359">
        <v>108.239991</v>
      </c>
      <c r="AB1359" s="5">
        <f t="shared" si="127"/>
        <v>0.37320000000000003</v>
      </c>
      <c r="AC1359" s="5">
        <f t="shared" si="128"/>
        <v>2.2243949999999999</v>
      </c>
      <c r="AD1359" s="1" t="str">
        <f t="shared" si="129"/>
        <v>K01 (CS2)</v>
      </c>
      <c r="AE1359" s="1" t="str">
        <f t="shared" si="130"/>
        <v>Bệnh viện 199 - ok</v>
      </c>
      <c r="AG1359">
        <f t="shared" si="131"/>
        <v>0.24880000000000002</v>
      </c>
      <c r="AH1359">
        <f t="shared" si="132"/>
        <v>1.4829300000000001</v>
      </c>
      <c r="AI1359" t="e">
        <f>VLOOKUP(L1359,'[1]Tuyến cáp H04'!$B:$E,3,0)/1000</f>
        <v>#N/A</v>
      </c>
      <c r="AJ1359" t="e">
        <f>VLOOKUP(L1359,'[1]Tuyến cáp H04'!$B:$E,4,0)</f>
        <v>#N/A</v>
      </c>
    </row>
    <row r="1360" spans="1:36" x14ac:dyDescent="0.25">
      <c r="A1360" s="1" t="s">
        <v>13025</v>
      </c>
      <c r="B1360" s="1" t="s">
        <v>11220</v>
      </c>
      <c r="C1360" s="1" t="s">
        <v>11221</v>
      </c>
      <c r="D1360" s="1" t="s">
        <v>12738</v>
      </c>
      <c r="E1360" s="1" t="s">
        <v>12739</v>
      </c>
      <c r="F1360" s="1" t="s">
        <v>13026</v>
      </c>
      <c r="G1360" s="1" t="s">
        <v>14281</v>
      </c>
      <c r="H1360" s="1" t="s">
        <v>14282</v>
      </c>
      <c r="I1360" s="1" t="s">
        <v>15454</v>
      </c>
      <c r="J1360" s="1" t="s">
        <v>23</v>
      </c>
      <c r="K1360" s="1"/>
      <c r="L1360" s="1" t="s">
        <v>11045</v>
      </c>
      <c r="M1360" s="1" t="s">
        <v>13027</v>
      </c>
      <c r="N1360" s="1" t="s">
        <v>13028</v>
      </c>
      <c r="O1360" s="1" t="s">
        <v>13029</v>
      </c>
      <c r="P1360" s="1" t="s">
        <v>13030</v>
      </c>
      <c r="Q1360" s="1" t="s">
        <v>12742</v>
      </c>
      <c r="R1360" s="1" t="s">
        <v>12743</v>
      </c>
      <c r="S1360" s="1" t="s">
        <v>12744</v>
      </c>
      <c r="T1360" s="1" t="s">
        <v>11053</v>
      </c>
      <c r="U1360">
        <v>2017.4</v>
      </c>
      <c r="V1360">
        <v>1554.78</v>
      </c>
      <c r="W1360">
        <v>16.074739000000001</v>
      </c>
      <c r="X1360">
        <v>108.21987300000001</v>
      </c>
      <c r="Y1360">
        <v>462.61</v>
      </c>
      <c r="Z1360">
        <v>16.059671999999999</v>
      </c>
      <c r="AA1360">
        <v>108.21110400000001</v>
      </c>
      <c r="AB1360" s="5">
        <f t="shared" si="127"/>
        <v>2.3321700000000001</v>
      </c>
      <c r="AC1360" s="5">
        <f t="shared" si="128"/>
        <v>0.69391499999999995</v>
      </c>
      <c r="AD1360" s="1" t="e">
        <f t="shared" si="129"/>
        <v>#VALUE!</v>
      </c>
      <c r="AE1360" s="1" t="e">
        <f t="shared" si="130"/>
        <v>#VALUE!</v>
      </c>
      <c r="AG1360">
        <f t="shared" si="131"/>
        <v>1.5547800000000001</v>
      </c>
      <c r="AH1360">
        <f t="shared" si="132"/>
        <v>0.46261000000000002</v>
      </c>
      <c r="AI1360" t="e">
        <f>VLOOKUP(L1360,'[1]Tuyến cáp H04'!$B:$E,3,0)/1000</f>
        <v>#N/A</v>
      </c>
      <c r="AJ1360" t="e">
        <f>VLOOKUP(L1360,'[1]Tuyến cáp H04'!$B:$E,4,0)</f>
        <v>#N/A</v>
      </c>
    </row>
    <row r="1361" spans="1:36" x14ac:dyDescent="0.25">
      <c r="A1361" s="1" t="s">
        <v>13031</v>
      </c>
      <c r="B1361" s="1" t="s">
        <v>11220</v>
      </c>
      <c r="C1361" s="1" t="s">
        <v>11221</v>
      </c>
      <c r="D1361" s="1" t="s">
        <v>13032</v>
      </c>
      <c r="E1361" s="1" t="s">
        <v>13033</v>
      </c>
      <c r="F1361" s="1" t="s">
        <v>13034</v>
      </c>
      <c r="G1361" s="1" t="s">
        <v>14281</v>
      </c>
      <c r="H1361" s="1" t="s">
        <v>14282</v>
      </c>
      <c r="I1361" s="1" t="s">
        <v>15455</v>
      </c>
      <c r="J1361" s="1" t="s">
        <v>23</v>
      </c>
      <c r="K1361" s="1"/>
      <c r="L1361" s="1" t="s">
        <v>13016</v>
      </c>
      <c r="M1361" s="1" t="s">
        <v>13035</v>
      </c>
      <c r="N1361" s="1" t="s">
        <v>13018</v>
      </c>
      <c r="O1361" s="1" t="s">
        <v>13019</v>
      </c>
      <c r="P1361" s="1" t="s">
        <v>13020</v>
      </c>
      <c r="Q1361" s="1" t="s">
        <v>13036</v>
      </c>
      <c r="R1361" s="1" t="s">
        <v>13037</v>
      </c>
      <c r="S1361" s="1" t="s">
        <v>13038</v>
      </c>
      <c r="T1361" s="1" t="s">
        <v>13024</v>
      </c>
      <c r="U1361">
        <v>1073.3699999999999</v>
      </c>
      <c r="V1361">
        <v>248.8</v>
      </c>
      <c r="W1361">
        <v>16.068176999999999</v>
      </c>
      <c r="X1361">
        <v>108.232409</v>
      </c>
      <c r="Y1361">
        <v>824.57</v>
      </c>
      <c r="Z1361">
        <v>16.082333999999999</v>
      </c>
      <c r="AA1361">
        <v>108.236397</v>
      </c>
      <c r="AB1361" s="5">
        <f t="shared" si="127"/>
        <v>0.37320000000000003</v>
      </c>
      <c r="AC1361" s="5">
        <f t="shared" si="128"/>
        <v>1.236855</v>
      </c>
      <c r="AD1361" s="1" t="str">
        <f t="shared" si="129"/>
        <v>K01 (CS2)</v>
      </c>
      <c r="AE1361" s="1" t="str">
        <f t="shared" si="130"/>
        <v>Bệnh viện 199 - ok</v>
      </c>
      <c r="AG1361">
        <f t="shared" si="131"/>
        <v>0.24880000000000002</v>
      </c>
      <c r="AH1361">
        <f t="shared" si="132"/>
        <v>0.82457000000000003</v>
      </c>
      <c r="AI1361" t="e">
        <f>VLOOKUP(L1361,'[1]Tuyến cáp H04'!$B:$E,3,0)/1000</f>
        <v>#N/A</v>
      </c>
      <c r="AJ1361" t="e">
        <f>VLOOKUP(L1361,'[1]Tuyến cáp H04'!$B:$E,4,0)</f>
        <v>#N/A</v>
      </c>
    </row>
    <row r="1362" spans="1:36" x14ac:dyDescent="0.25">
      <c r="A1362" s="1" t="s">
        <v>13039</v>
      </c>
      <c r="B1362" s="1" t="s">
        <v>11220</v>
      </c>
      <c r="C1362" s="1" t="s">
        <v>11221</v>
      </c>
      <c r="D1362" s="1" t="s">
        <v>13040</v>
      </c>
      <c r="E1362" s="1" t="s">
        <v>13041</v>
      </c>
      <c r="F1362" s="1" t="s">
        <v>13042</v>
      </c>
      <c r="G1362" s="1" t="s">
        <v>14281</v>
      </c>
      <c r="H1362" s="1" t="s">
        <v>14282</v>
      </c>
      <c r="I1362" s="1" t="s">
        <v>15456</v>
      </c>
      <c r="J1362" s="1" t="s">
        <v>23</v>
      </c>
      <c r="K1362" s="1"/>
      <c r="L1362" s="1" t="s">
        <v>11225</v>
      </c>
      <c r="M1362" s="1" t="s">
        <v>13043</v>
      </c>
      <c r="N1362" s="1" t="s">
        <v>11227</v>
      </c>
      <c r="O1362" s="1" t="s">
        <v>11228</v>
      </c>
      <c r="P1362" s="1" t="s">
        <v>11229</v>
      </c>
      <c r="Q1362" s="1" t="s">
        <v>13044</v>
      </c>
      <c r="R1362" s="1" t="s">
        <v>11231</v>
      </c>
      <c r="S1362" s="1" t="s">
        <v>11232</v>
      </c>
      <c r="T1362" s="1" t="s">
        <v>11233</v>
      </c>
      <c r="U1362">
        <v>493.53</v>
      </c>
      <c r="V1362">
        <v>208.25</v>
      </c>
      <c r="W1362">
        <v>16.071846000000001</v>
      </c>
      <c r="X1362">
        <v>108.23430399999999</v>
      </c>
      <c r="Y1362">
        <v>285.27</v>
      </c>
      <c r="Z1362">
        <v>16.069942000000001</v>
      </c>
      <c r="AA1362">
        <v>108.24113199999999</v>
      </c>
      <c r="AB1362" s="5">
        <f t="shared" si="127"/>
        <v>0.31237500000000001</v>
      </c>
      <c r="AC1362" s="5">
        <f t="shared" si="128"/>
        <v>0.42790499999999998</v>
      </c>
      <c r="AD1362" s="1" t="str">
        <f t="shared" si="129"/>
        <v>An Hải</v>
      </c>
      <c r="AE1362" s="1" t="str">
        <f t="shared" si="130"/>
        <v>Sơn Trà</v>
      </c>
      <c r="AG1362">
        <f t="shared" si="131"/>
        <v>0.20824999999999999</v>
      </c>
      <c r="AH1362">
        <f t="shared" si="132"/>
        <v>0.28526999999999997</v>
      </c>
      <c r="AI1362" t="e">
        <f>VLOOKUP(L1362,'[1]Tuyến cáp H04'!$B:$E,3,0)/1000</f>
        <v>#N/A</v>
      </c>
      <c r="AJ1362" t="e">
        <f>VLOOKUP(L1362,'[1]Tuyến cáp H04'!$B:$E,4,0)</f>
        <v>#N/A</v>
      </c>
    </row>
    <row r="1363" spans="1:36" x14ac:dyDescent="0.25">
      <c r="A1363" s="1" t="s">
        <v>13045</v>
      </c>
      <c r="B1363" s="1" t="s">
        <v>11220</v>
      </c>
      <c r="C1363" s="1" t="s">
        <v>11221</v>
      </c>
      <c r="D1363" s="1" t="s">
        <v>13046</v>
      </c>
      <c r="E1363" s="1" t="s">
        <v>13047</v>
      </c>
      <c r="F1363" s="1" t="s">
        <v>13048</v>
      </c>
      <c r="G1363" s="1" t="s">
        <v>14281</v>
      </c>
      <c r="H1363" s="1" t="s">
        <v>14282</v>
      </c>
      <c r="I1363" s="1" t="s">
        <v>15457</v>
      </c>
      <c r="J1363" s="1" t="s">
        <v>23</v>
      </c>
      <c r="K1363" s="1"/>
      <c r="L1363" s="1" t="s">
        <v>12085</v>
      </c>
      <c r="M1363" s="1" t="s">
        <v>13049</v>
      </c>
      <c r="N1363" s="1" t="s">
        <v>13050</v>
      </c>
      <c r="O1363" s="1" t="s">
        <v>13051</v>
      </c>
      <c r="P1363" s="1" t="s">
        <v>13052</v>
      </c>
      <c r="Q1363" s="1" t="s">
        <v>13053</v>
      </c>
      <c r="R1363" s="1" t="s">
        <v>13054</v>
      </c>
      <c r="S1363" s="1" t="s">
        <v>13055</v>
      </c>
      <c r="T1363" s="1" t="s">
        <v>12093</v>
      </c>
      <c r="U1363">
        <v>796.6</v>
      </c>
      <c r="V1363">
        <v>617.65</v>
      </c>
      <c r="W1363">
        <v>16.065455</v>
      </c>
      <c r="X1363">
        <v>108.236769</v>
      </c>
      <c r="Y1363">
        <v>178.95</v>
      </c>
      <c r="Z1363">
        <v>16.060064000000001</v>
      </c>
      <c r="AA1363">
        <v>108.245611</v>
      </c>
      <c r="AB1363" s="5">
        <f t="shared" si="127"/>
        <v>0.92647499999999994</v>
      </c>
      <c r="AC1363" s="5">
        <f t="shared" si="128"/>
        <v>0.26842499999999997</v>
      </c>
      <c r="AD1363" s="1" t="str">
        <f t="shared" si="129"/>
        <v>Bệnh viện 199</v>
      </c>
      <c r="AE1363" s="1" t="str">
        <f t="shared" si="130"/>
        <v>A01 - ok</v>
      </c>
      <c r="AG1363">
        <f t="shared" si="131"/>
        <v>0.61765000000000003</v>
      </c>
      <c r="AH1363">
        <f t="shared" si="132"/>
        <v>0.17895</v>
      </c>
      <c r="AI1363" t="e">
        <f>VLOOKUP(L1363,'[1]Tuyến cáp H04'!$B:$E,3,0)/1000</f>
        <v>#N/A</v>
      </c>
      <c r="AJ1363" t="e">
        <f>VLOOKUP(L1363,'[1]Tuyến cáp H04'!$B:$E,4,0)</f>
        <v>#N/A</v>
      </c>
    </row>
    <row r="1364" spans="1:36" x14ac:dyDescent="0.25">
      <c r="A1364" s="1" t="s">
        <v>11280</v>
      </c>
      <c r="B1364" s="1" t="s">
        <v>11220</v>
      </c>
      <c r="C1364" s="1" t="s">
        <v>11221</v>
      </c>
      <c r="D1364" s="1" t="s">
        <v>11281</v>
      </c>
      <c r="E1364" s="1" t="s">
        <v>11282</v>
      </c>
      <c r="F1364" s="1" t="s">
        <v>13056</v>
      </c>
      <c r="G1364" s="1" t="s">
        <v>14281</v>
      </c>
      <c r="H1364" s="1" t="s">
        <v>14282</v>
      </c>
      <c r="I1364" s="1" t="s">
        <v>15278</v>
      </c>
      <c r="J1364" s="1" t="s">
        <v>23</v>
      </c>
      <c r="K1364" s="1"/>
      <c r="L1364" s="1" t="s">
        <v>11244</v>
      </c>
      <c r="M1364" s="1" t="s">
        <v>11284</v>
      </c>
      <c r="N1364" s="1" t="s">
        <v>11246</v>
      </c>
      <c r="O1364" s="1" t="s">
        <v>11247</v>
      </c>
      <c r="P1364" s="1" t="s">
        <v>11248</v>
      </c>
      <c r="Q1364" s="1" t="s">
        <v>11285</v>
      </c>
      <c r="R1364" s="1" t="s">
        <v>11286</v>
      </c>
      <c r="S1364" s="1" t="s">
        <v>11287</v>
      </c>
      <c r="T1364" s="1" t="s">
        <v>11252</v>
      </c>
      <c r="U1364">
        <v>806.13</v>
      </c>
      <c r="V1364">
        <v>231.85</v>
      </c>
      <c r="W1364">
        <v>16.068318999999999</v>
      </c>
      <c r="X1364">
        <v>108.232472</v>
      </c>
      <c r="Y1364">
        <v>574.28</v>
      </c>
      <c r="Z1364">
        <v>16.056984</v>
      </c>
      <c r="AA1364">
        <v>108.235525</v>
      </c>
      <c r="AB1364" s="5">
        <f t="shared" si="127"/>
        <v>0.347775</v>
      </c>
      <c r="AC1364" s="5">
        <f t="shared" si="128"/>
        <v>0.86141999999999996</v>
      </c>
      <c r="AD1364" s="1" t="str">
        <f t="shared" si="129"/>
        <v>Ngũ Hành Sơn</v>
      </c>
      <c r="AE1364" s="1" t="str">
        <f t="shared" si="130"/>
        <v>Sơn Trà</v>
      </c>
      <c r="AG1364">
        <f t="shared" si="131"/>
        <v>0.23185</v>
      </c>
      <c r="AH1364">
        <f t="shared" si="132"/>
        <v>0.57428000000000001</v>
      </c>
      <c r="AI1364">
        <f>VLOOKUP(L1364,'[1]Tuyến cáp H04'!$B:$E,3,0)/1000</f>
        <v>6.73</v>
      </c>
      <c r="AJ1364" t="str">
        <f>VLOOKUP(L1364,'[1]Tuyến cáp H04'!$B:$E,4,0)</f>
        <v>Mạng cấp 3</v>
      </c>
    </row>
    <row r="1365" spans="1:36" x14ac:dyDescent="0.25">
      <c r="A1365" s="1" t="s">
        <v>13057</v>
      </c>
      <c r="B1365" s="1" t="s">
        <v>11220</v>
      </c>
      <c r="C1365" s="1" t="s">
        <v>11221</v>
      </c>
      <c r="D1365" s="1" t="s">
        <v>13058</v>
      </c>
      <c r="E1365" s="1" t="s">
        <v>13059</v>
      </c>
      <c r="F1365" s="1" t="s">
        <v>13060</v>
      </c>
      <c r="G1365" s="1" t="s">
        <v>14281</v>
      </c>
      <c r="H1365" s="1" t="s">
        <v>14282</v>
      </c>
      <c r="I1365" s="1" t="s">
        <v>15458</v>
      </c>
      <c r="J1365" s="1" t="s">
        <v>23</v>
      </c>
      <c r="K1365" s="1"/>
      <c r="L1365" s="1" t="s">
        <v>11225</v>
      </c>
      <c r="M1365" s="1" t="s">
        <v>13061</v>
      </c>
      <c r="N1365" s="1" t="s">
        <v>11227</v>
      </c>
      <c r="O1365" s="1" t="s">
        <v>11228</v>
      </c>
      <c r="P1365" s="1" t="s">
        <v>11229</v>
      </c>
      <c r="Q1365" s="1" t="s">
        <v>13062</v>
      </c>
      <c r="R1365" s="1" t="s">
        <v>11231</v>
      </c>
      <c r="S1365" s="1" t="s">
        <v>11232</v>
      </c>
      <c r="T1365" s="1" t="s">
        <v>11233</v>
      </c>
      <c r="U1365">
        <v>829.54</v>
      </c>
      <c r="V1365">
        <v>208.25</v>
      </c>
      <c r="W1365">
        <v>16.071846000000001</v>
      </c>
      <c r="X1365">
        <v>108.23430399999999</v>
      </c>
      <c r="Y1365">
        <v>621.28</v>
      </c>
      <c r="Z1365">
        <v>16.069942000000001</v>
      </c>
      <c r="AA1365">
        <v>108.24113199999999</v>
      </c>
      <c r="AB1365" s="5">
        <f t="shared" si="127"/>
        <v>0.31237500000000001</v>
      </c>
      <c r="AC1365" s="5">
        <f t="shared" si="128"/>
        <v>0.93191999999999997</v>
      </c>
      <c r="AD1365" s="1" t="str">
        <f t="shared" si="129"/>
        <v>An Hải</v>
      </c>
      <c r="AE1365" s="1" t="str">
        <f t="shared" si="130"/>
        <v>Sơn Trà</v>
      </c>
      <c r="AG1365">
        <f t="shared" si="131"/>
        <v>0.20824999999999999</v>
      </c>
      <c r="AH1365">
        <f t="shared" si="132"/>
        <v>0.62127999999999994</v>
      </c>
      <c r="AI1365" t="e">
        <f>VLOOKUP(L1365,'[1]Tuyến cáp H04'!$B:$E,3,0)/1000</f>
        <v>#N/A</v>
      </c>
      <c r="AJ1365" t="e">
        <f>VLOOKUP(L1365,'[1]Tuyến cáp H04'!$B:$E,4,0)</f>
        <v>#N/A</v>
      </c>
    </row>
    <row r="1366" spans="1:36" x14ac:dyDescent="0.25">
      <c r="A1366" s="1" t="s">
        <v>13063</v>
      </c>
      <c r="B1366" s="1" t="s">
        <v>13064</v>
      </c>
      <c r="C1366" s="1" t="s">
        <v>13065</v>
      </c>
      <c r="D1366" s="1" t="s">
        <v>11552</v>
      </c>
      <c r="E1366" s="1" t="s">
        <v>11553</v>
      </c>
      <c r="F1366" s="1" t="s">
        <v>13066</v>
      </c>
      <c r="G1366" s="1" t="s">
        <v>14281</v>
      </c>
      <c r="H1366" s="1" t="s">
        <v>14282</v>
      </c>
      <c r="I1366" s="1" t="s">
        <v>15459</v>
      </c>
      <c r="J1366" s="1" t="s">
        <v>23</v>
      </c>
      <c r="K1366" s="1"/>
      <c r="L1366" s="1" t="s">
        <v>12430</v>
      </c>
      <c r="M1366" s="1" t="s">
        <v>13067</v>
      </c>
      <c r="N1366" s="1" t="s">
        <v>13068</v>
      </c>
      <c r="O1366" s="1" t="s">
        <v>13069</v>
      </c>
      <c r="P1366" s="1" t="s">
        <v>13070</v>
      </c>
      <c r="Q1366" s="1" t="s">
        <v>13071</v>
      </c>
      <c r="R1366" s="1" t="s">
        <v>13072</v>
      </c>
      <c r="S1366" s="1" t="s">
        <v>13073</v>
      </c>
      <c r="T1366" s="1" t="s">
        <v>12437</v>
      </c>
      <c r="U1366">
        <v>6347.58</v>
      </c>
      <c r="V1366">
        <v>6069.45</v>
      </c>
      <c r="W1366">
        <v>15.839861000000001</v>
      </c>
      <c r="X1366">
        <v>108.281587</v>
      </c>
      <c r="Y1366">
        <v>278.13</v>
      </c>
      <c r="Z1366">
        <v>15.787193</v>
      </c>
      <c r="AA1366">
        <v>108.323618</v>
      </c>
      <c r="AB1366" s="5">
        <f t="shared" si="127"/>
        <v>9.1041749999999997</v>
      </c>
      <c r="AC1366" s="5">
        <f t="shared" si="128"/>
        <v>0.41719499999999998</v>
      </c>
      <c r="AD1366" s="1" t="str">
        <f t="shared" si="129"/>
        <v>Nam Phước</v>
      </c>
      <c r="AE1366" s="1" t="str">
        <f t="shared" si="130"/>
        <v>Xuân Phú</v>
      </c>
      <c r="AG1366">
        <f t="shared" si="131"/>
        <v>6.0694499999999998</v>
      </c>
      <c r="AH1366">
        <f t="shared" si="132"/>
        <v>0.27812999999999999</v>
      </c>
      <c r="AI1366">
        <f>VLOOKUP(L1366,'[1]Tuyến cáp H04'!$B:$E,3,0)/1000</f>
        <v>11.41</v>
      </c>
      <c r="AJ1366" t="str">
        <f>VLOOKUP(L1366,'[1]Tuyến cáp H04'!$B:$E,4,0)</f>
        <v>Mạng cấp 4</v>
      </c>
    </row>
    <row r="1367" spans="1:36" x14ac:dyDescent="0.25">
      <c r="A1367" s="1" t="s">
        <v>13074</v>
      </c>
      <c r="B1367" s="1" t="s">
        <v>13064</v>
      </c>
      <c r="C1367" s="1" t="s">
        <v>13065</v>
      </c>
      <c r="D1367" s="1" t="s">
        <v>13075</v>
      </c>
      <c r="E1367" s="1" t="s">
        <v>13076</v>
      </c>
      <c r="F1367" s="1" t="s">
        <v>13077</v>
      </c>
      <c r="G1367" s="1" t="s">
        <v>14281</v>
      </c>
      <c r="H1367" s="1" t="s">
        <v>14282</v>
      </c>
      <c r="I1367" s="1" t="s">
        <v>15460</v>
      </c>
      <c r="J1367" s="1" t="s">
        <v>23</v>
      </c>
      <c r="K1367" s="1"/>
      <c r="L1367" s="1" t="s">
        <v>13078</v>
      </c>
      <c r="M1367" s="1" t="s">
        <v>13079</v>
      </c>
      <c r="N1367" s="1" t="s">
        <v>13080</v>
      </c>
      <c r="O1367" s="1" t="s">
        <v>13081</v>
      </c>
      <c r="P1367" s="1" t="s">
        <v>13082</v>
      </c>
      <c r="Q1367" s="1" t="s">
        <v>13083</v>
      </c>
      <c r="R1367" s="1" t="s">
        <v>13084</v>
      </c>
      <c r="S1367" s="1" t="s">
        <v>13085</v>
      </c>
      <c r="T1367" s="1" t="s">
        <v>13086</v>
      </c>
      <c r="U1367">
        <v>1753.2</v>
      </c>
      <c r="V1367">
        <v>1505.28</v>
      </c>
      <c r="W1367">
        <v>15.888445000000001</v>
      </c>
      <c r="X1367">
        <v>108.23995499999999</v>
      </c>
      <c r="Y1367">
        <v>247.93</v>
      </c>
      <c r="Z1367">
        <v>15.888389999999999</v>
      </c>
      <c r="AA1367">
        <v>108.17937999999999</v>
      </c>
      <c r="AB1367" s="5">
        <f t="shared" si="127"/>
        <v>2.2579199999999999</v>
      </c>
      <c r="AC1367" s="5">
        <f t="shared" si="128"/>
        <v>0.37189499999999998</v>
      </c>
      <c r="AD1367" s="1" t="str">
        <f t="shared" si="129"/>
        <v>Điện Bàn</v>
      </c>
      <c r="AE1367" s="1" t="str">
        <f t="shared" si="130"/>
        <v>Điện Bàn Tây</v>
      </c>
      <c r="AG1367">
        <f t="shared" si="131"/>
        <v>1.50528</v>
      </c>
      <c r="AH1367">
        <f t="shared" si="132"/>
        <v>0.24793000000000001</v>
      </c>
      <c r="AI1367">
        <f>VLOOKUP(L1367,'[1]Tuyến cáp H04'!$B:$E,3,0)/1000</f>
        <v>12.833</v>
      </c>
      <c r="AJ1367" t="str">
        <f>VLOOKUP(L1367,'[1]Tuyến cáp H04'!$B:$E,4,0)</f>
        <v>Mạng cấp 4</v>
      </c>
    </row>
    <row r="1368" spans="1:36" x14ac:dyDescent="0.25">
      <c r="A1368" s="1" t="s">
        <v>13087</v>
      </c>
      <c r="B1368" s="1" t="s">
        <v>13064</v>
      </c>
      <c r="C1368" s="1" t="s">
        <v>13065</v>
      </c>
      <c r="D1368" s="1" t="s">
        <v>13088</v>
      </c>
      <c r="E1368" s="1" t="s">
        <v>13089</v>
      </c>
      <c r="F1368" s="1" t="s">
        <v>13090</v>
      </c>
      <c r="G1368" s="1"/>
      <c r="H1368" s="1" t="s">
        <v>14282</v>
      </c>
      <c r="I1368" s="1" t="s">
        <v>15461</v>
      </c>
      <c r="J1368" s="1" t="s">
        <v>23</v>
      </c>
      <c r="K1368" s="1"/>
      <c r="L1368" s="1" t="s">
        <v>13091</v>
      </c>
      <c r="M1368" s="1" t="s">
        <v>13092</v>
      </c>
      <c r="N1368" s="1" t="s">
        <v>13093</v>
      </c>
      <c r="O1368" s="1" t="s">
        <v>13094</v>
      </c>
      <c r="P1368" s="1" t="s">
        <v>13095</v>
      </c>
      <c r="Q1368" s="1" t="s">
        <v>13096</v>
      </c>
      <c r="R1368" s="1" t="s">
        <v>13097</v>
      </c>
      <c r="S1368" s="1" t="s">
        <v>13098</v>
      </c>
      <c r="T1368" s="1" t="s">
        <v>13099</v>
      </c>
      <c r="U1368">
        <v>312.47000000000003</v>
      </c>
      <c r="V1368">
        <v>294.45</v>
      </c>
      <c r="W1368">
        <v>15.889352000000001</v>
      </c>
      <c r="X1368">
        <v>108.256027</v>
      </c>
      <c r="Y1368">
        <v>18.02</v>
      </c>
      <c r="Z1368">
        <v>15.919997</v>
      </c>
      <c r="AA1368">
        <v>108.221555</v>
      </c>
      <c r="AB1368" s="5">
        <f t="shared" si="127"/>
        <v>0.44167499999999993</v>
      </c>
      <c r="AC1368" s="5">
        <f t="shared" si="128"/>
        <v>2.7030000000000002E-2</v>
      </c>
      <c r="AD1368" s="1" t="str">
        <f t="shared" si="129"/>
        <v>TTCMKV Điện Bàn</v>
      </c>
      <c r="AE1368" s="1" t="str">
        <f t="shared" si="130"/>
        <v>An Thắng</v>
      </c>
      <c r="AG1368">
        <f t="shared" si="131"/>
        <v>0.29444999999999999</v>
      </c>
      <c r="AH1368">
        <f t="shared" si="132"/>
        <v>1.8020000000000001E-2</v>
      </c>
      <c r="AI1368">
        <f>VLOOKUP(L1368,'[1]Tuyến cáp H04'!$B:$E,3,0)/1000</f>
        <v>8.1240000000000006</v>
      </c>
      <c r="AJ1368" t="str">
        <f>VLOOKUP(L1368,'[1]Tuyến cáp H04'!$B:$E,4,0)</f>
        <v>Mạng cấp 4</v>
      </c>
    </row>
    <row r="1369" spans="1:36" x14ac:dyDescent="0.25">
      <c r="A1369" s="1" t="s">
        <v>13100</v>
      </c>
      <c r="B1369" s="1" t="s">
        <v>13064</v>
      </c>
      <c r="C1369" s="1" t="s">
        <v>13065</v>
      </c>
      <c r="D1369" s="1" t="s">
        <v>13101</v>
      </c>
      <c r="E1369" s="1" t="s">
        <v>13102</v>
      </c>
      <c r="F1369" s="1" t="s">
        <v>13103</v>
      </c>
      <c r="G1369" s="1" t="s">
        <v>14281</v>
      </c>
      <c r="H1369" s="1" t="s">
        <v>14282</v>
      </c>
      <c r="I1369" s="1" t="s">
        <v>15462</v>
      </c>
      <c r="J1369" s="1" t="s">
        <v>23</v>
      </c>
      <c r="K1369" s="1"/>
      <c r="L1369" s="1" t="s">
        <v>13078</v>
      </c>
      <c r="M1369" s="1" t="s">
        <v>13104</v>
      </c>
      <c r="N1369" s="1" t="s">
        <v>13080</v>
      </c>
      <c r="O1369" s="1" t="s">
        <v>13081</v>
      </c>
      <c r="P1369" s="1" t="s">
        <v>13082</v>
      </c>
      <c r="Q1369" s="1" t="s">
        <v>13105</v>
      </c>
      <c r="R1369" s="1" t="s">
        <v>13106</v>
      </c>
      <c r="S1369" s="1" t="s">
        <v>13107</v>
      </c>
      <c r="T1369" s="1" t="s">
        <v>13086</v>
      </c>
      <c r="U1369">
        <v>1566.06</v>
      </c>
      <c r="V1369">
        <v>1505.28</v>
      </c>
      <c r="W1369">
        <v>15.888445000000001</v>
      </c>
      <c r="X1369">
        <v>108.23995499999999</v>
      </c>
      <c r="Y1369">
        <v>60.78</v>
      </c>
      <c r="Z1369">
        <v>15.884274</v>
      </c>
      <c r="AA1369">
        <v>108.22657599999999</v>
      </c>
      <c r="AB1369" s="5">
        <f t="shared" si="127"/>
        <v>2.2579199999999999</v>
      </c>
      <c r="AC1369" s="5">
        <f t="shared" si="128"/>
        <v>9.1170000000000001E-2</v>
      </c>
      <c r="AD1369" s="1" t="str">
        <f t="shared" si="129"/>
        <v>Điện Bàn</v>
      </c>
      <c r="AE1369" s="1" t="str">
        <f t="shared" si="130"/>
        <v>Điện Bàn Tây</v>
      </c>
      <c r="AG1369">
        <f t="shared" si="131"/>
        <v>1.50528</v>
      </c>
      <c r="AH1369">
        <f t="shared" si="132"/>
        <v>6.0780000000000001E-2</v>
      </c>
      <c r="AI1369">
        <f>VLOOKUP(L1369,'[1]Tuyến cáp H04'!$B:$E,3,0)/1000</f>
        <v>12.833</v>
      </c>
      <c r="AJ1369" t="str">
        <f>VLOOKUP(L1369,'[1]Tuyến cáp H04'!$B:$E,4,0)</f>
        <v>Mạng cấp 4</v>
      </c>
    </row>
    <row r="1370" spans="1:36" x14ac:dyDescent="0.25">
      <c r="A1370" s="1" t="s">
        <v>13108</v>
      </c>
      <c r="B1370" s="1" t="s">
        <v>13064</v>
      </c>
      <c r="C1370" s="1" t="s">
        <v>13065</v>
      </c>
      <c r="D1370" s="1" t="s">
        <v>13109</v>
      </c>
      <c r="E1370" s="1" t="s">
        <v>13110</v>
      </c>
      <c r="F1370" s="1" t="s">
        <v>13111</v>
      </c>
      <c r="G1370" s="1" t="s">
        <v>14281</v>
      </c>
      <c r="H1370" s="1" t="s">
        <v>14282</v>
      </c>
      <c r="I1370" s="1" t="s">
        <v>15463</v>
      </c>
      <c r="J1370" s="1" t="s">
        <v>23</v>
      </c>
      <c r="K1370" s="1"/>
      <c r="L1370" s="1" t="s">
        <v>13112</v>
      </c>
      <c r="M1370" s="1" t="s">
        <v>9926</v>
      </c>
      <c r="N1370" s="1" t="s">
        <v>13113</v>
      </c>
      <c r="O1370" s="1" t="s">
        <v>13114</v>
      </c>
      <c r="P1370" s="1" t="s">
        <v>13115</v>
      </c>
      <c r="Q1370" s="1" t="s">
        <v>13116</v>
      </c>
      <c r="R1370" s="1" t="s">
        <v>13117</v>
      </c>
      <c r="S1370" s="1" t="s">
        <v>13118</v>
      </c>
      <c r="T1370" s="1" t="s">
        <v>13119</v>
      </c>
      <c r="U1370">
        <v>1502.01</v>
      </c>
      <c r="V1370">
        <v>13.57</v>
      </c>
      <c r="W1370">
        <v>15.887679</v>
      </c>
      <c r="X1370">
        <v>108.25402800000001</v>
      </c>
      <c r="Y1370">
        <v>1488.43</v>
      </c>
      <c r="Z1370">
        <v>15.865550000000001</v>
      </c>
      <c r="AA1370">
        <v>108.27046</v>
      </c>
      <c r="AB1370" s="5">
        <f t="shared" si="127"/>
        <v>2.0355000000000002E-2</v>
      </c>
      <c r="AC1370" s="5">
        <f t="shared" si="128"/>
        <v>2.2326449999999998</v>
      </c>
      <c r="AD1370" s="1" t="str">
        <f t="shared" si="129"/>
        <v>TTCMKV Điện Bàn</v>
      </c>
      <c r="AE1370" s="1" t="str">
        <f t="shared" si="130"/>
        <v>Nam Phước</v>
      </c>
      <c r="AG1370">
        <f t="shared" si="131"/>
        <v>1.357E-2</v>
      </c>
      <c r="AH1370">
        <f t="shared" si="132"/>
        <v>1.4884300000000001</v>
      </c>
      <c r="AI1370">
        <f>VLOOKUP(L1370,'[1]Tuyến cáp H04'!$B:$E,3,0)/1000</f>
        <v>11.981</v>
      </c>
      <c r="AJ1370" t="str">
        <f>VLOOKUP(L1370,'[1]Tuyến cáp H04'!$B:$E,4,0)</f>
        <v>Mạng cấp 4</v>
      </c>
    </row>
    <row r="1371" spans="1:36" x14ac:dyDescent="0.25">
      <c r="A1371" s="1" t="s">
        <v>13120</v>
      </c>
      <c r="B1371" s="1" t="s">
        <v>13064</v>
      </c>
      <c r="C1371" s="1" t="s">
        <v>13065</v>
      </c>
      <c r="D1371" s="1" t="s">
        <v>13121</v>
      </c>
      <c r="E1371" s="1" t="s">
        <v>13122</v>
      </c>
      <c r="F1371" s="1" t="s">
        <v>13123</v>
      </c>
      <c r="G1371" s="1" t="s">
        <v>14281</v>
      </c>
      <c r="H1371" s="1" t="s">
        <v>14282</v>
      </c>
      <c r="I1371" s="1" t="s">
        <v>15464</v>
      </c>
      <c r="J1371" s="1" t="s">
        <v>23</v>
      </c>
      <c r="K1371" s="1"/>
      <c r="L1371" s="1" t="s">
        <v>13112</v>
      </c>
      <c r="M1371" s="1" t="s">
        <v>13124</v>
      </c>
      <c r="N1371" s="1" t="s">
        <v>13113</v>
      </c>
      <c r="O1371" s="1" t="s">
        <v>13114</v>
      </c>
      <c r="P1371" s="1" t="s">
        <v>13115</v>
      </c>
      <c r="Q1371" s="1" t="s">
        <v>13125</v>
      </c>
      <c r="R1371" s="1" t="s">
        <v>13126</v>
      </c>
      <c r="S1371" s="1" t="s">
        <v>13127</v>
      </c>
      <c r="T1371" s="1" t="s">
        <v>13119</v>
      </c>
      <c r="U1371">
        <v>39.020000000000003</v>
      </c>
      <c r="V1371">
        <v>13.57</v>
      </c>
      <c r="W1371">
        <v>15.887679</v>
      </c>
      <c r="X1371">
        <v>108.25402800000001</v>
      </c>
      <c r="Y1371">
        <v>25.45</v>
      </c>
      <c r="Z1371">
        <v>15.868352</v>
      </c>
      <c r="AA1371">
        <v>108.263243</v>
      </c>
      <c r="AB1371" s="5">
        <f t="shared" si="127"/>
        <v>2.0355000000000002E-2</v>
      </c>
      <c r="AC1371" s="5">
        <f t="shared" si="128"/>
        <v>3.8175000000000001E-2</v>
      </c>
      <c r="AD1371" s="1" t="str">
        <f t="shared" si="129"/>
        <v>TTCMKV Điện Bàn</v>
      </c>
      <c r="AE1371" s="1" t="str">
        <f t="shared" si="130"/>
        <v>Nam Phước</v>
      </c>
      <c r="AG1371">
        <f t="shared" si="131"/>
        <v>1.357E-2</v>
      </c>
      <c r="AH1371">
        <f t="shared" si="132"/>
        <v>2.545E-2</v>
      </c>
      <c r="AI1371">
        <f>VLOOKUP(L1371,'[1]Tuyến cáp H04'!$B:$E,3,0)/1000</f>
        <v>11.981</v>
      </c>
      <c r="AJ1371" t="str">
        <f>VLOOKUP(L1371,'[1]Tuyến cáp H04'!$B:$E,4,0)</f>
        <v>Mạng cấp 4</v>
      </c>
    </row>
    <row r="1372" spans="1:36" x14ac:dyDescent="0.25">
      <c r="A1372" s="1" t="s">
        <v>13128</v>
      </c>
      <c r="B1372" s="1" t="s">
        <v>13064</v>
      </c>
      <c r="C1372" s="1" t="s">
        <v>13065</v>
      </c>
      <c r="D1372" s="1" t="s">
        <v>13129</v>
      </c>
      <c r="E1372" s="1" t="s">
        <v>13130</v>
      </c>
      <c r="F1372" s="1" t="s">
        <v>13131</v>
      </c>
      <c r="G1372" s="1" t="s">
        <v>14281</v>
      </c>
      <c r="H1372" s="1" t="s">
        <v>14282</v>
      </c>
      <c r="I1372" s="1" t="s">
        <v>15465</v>
      </c>
      <c r="J1372" s="1" t="s">
        <v>23</v>
      </c>
      <c r="K1372" s="1"/>
      <c r="L1372" s="1" t="s">
        <v>13112</v>
      </c>
      <c r="M1372" s="1" t="s">
        <v>13132</v>
      </c>
      <c r="N1372" s="1" t="s">
        <v>13113</v>
      </c>
      <c r="O1372" s="1" t="s">
        <v>13114</v>
      </c>
      <c r="P1372" s="1" t="s">
        <v>13115</v>
      </c>
      <c r="Q1372" s="1" t="s">
        <v>13133</v>
      </c>
      <c r="R1372" s="1" t="s">
        <v>13126</v>
      </c>
      <c r="S1372" s="1" t="s">
        <v>13127</v>
      </c>
      <c r="T1372" s="1" t="s">
        <v>13119</v>
      </c>
      <c r="U1372">
        <v>1118.8499999999999</v>
      </c>
      <c r="V1372">
        <v>13.57</v>
      </c>
      <c r="W1372">
        <v>15.887679</v>
      </c>
      <c r="X1372">
        <v>108.25402800000001</v>
      </c>
      <c r="Y1372">
        <v>1105.28</v>
      </c>
      <c r="Z1372">
        <v>15.868352</v>
      </c>
      <c r="AA1372">
        <v>108.263243</v>
      </c>
      <c r="AB1372" s="5">
        <f t="shared" si="127"/>
        <v>2.0355000000000002E-2</v>
      </c>
      <c r="AC1372" s="5">
        <f t="shared" si="128"/>
        <v>1.6579200000000001</v>
      </c>
      <c r="AD1372" s="1" t="str">
        <f t="shared" si="129"/>
        <v>TTCMKV Điện Bàn</v>
      </c>
      <c r="AE1372" s="1" t="str">
        <f t="shared" si="130"/>
        <v>Nam Phước</v>
      </c>
      <c r="AG1372">
        <f t="shared" si="131"/>
        <v>1.357E-2</v>
      </c>
      <c r="AH1372">
        <f t="shared" si="132"/>
        <v>1.10528</v>
      </c>
      <c r="AI1372">
        <f>VLOOKUP(L1372,'[1]Tuyến cáp H04'!$B:$E,3,0)/1000</f>
        <v>11.981</v>
      </c>
      <c r="AJ1372" t="str">
        <f>VLOOKUP(L1372,'[1]Tuyến cáp H04'!$B:$E,4,0)</f>
        <v>Mạng cấp 4</v>
      </c>
    </row>
    <row r="1373" spans="1:36" x14ac:dyDescent="0.25">
      <c r="A1373" s="1" t="s">
        <v>13134</v>
      </c>
      <c r="B1373" s="1" t="s">
        <v>13064</v>
      </c>
      <c r="C1373" s="1" t="s">
        <v>13065</v>
      </c>
      <c r="D1373" s="1" t="s">
        <v>13135</v>
      </c>
      <c r="E1373" s="1" t="s">
        <v>13136</v>
      </c>
      <c r="F1373" s="1" t="s">
        <v>13137</v>
      </c>
      <c r="G1373" s="1" t="s">
        <v>14281</v>
      </c>
      <c r="H1373" s="1" t="s">
        <v>14282</v>
      </c>
      <c r="I1373" s="1" t="s">
        <v>15466</v>
      </c>
      <c r="J1373" s="1" t="s">
        <v>23</v>
      </c>
      <c r="K1373" s="1"/>
      <c r="L1373" s="1" t="s">
        <v>11857</v>
      </c>
      <c r="M1373" s="1" t="s">
        <v>13138</v>
      </c>
      <c r="N1373" s="1" t="s">
        <v>9978</v>
      </c>
      <c r="O1373" s="1" t="s">
        <v>13139</v>
      </c>
      <c r="P1373" s="1" t="s">
        <v>13140</v>
      </c>
      <c r="Q1373" s="1" t="s">
        <v>13141</v>
      </c>
      <c r="R1373" s="1" t="s">
        <v>13142</v>
      </c>
      <c r="S1373" s="1" t="s">
        <v>13143</v>
      </c>
      <c r="T1373" s="1" t="s">
        <v>11865</v>
      </c>
      <c r="U1373">
        <v>354.28</v>
      </c>
      <c r="V1373">
        <v>306.38</v>
      </c>
      <c r="W1373">
        <v>15.886761</v>
      </c>
      <c r="X1373">
        <v>108.25125800000001</v>
      </c>
      <c r="Y1373">
        <v>47.9</v>
      </c>
      <c r="Z1373">
        <v>15.888949</v>
      </c>
      <c r="AA1373">
        <v>108.24909</v>
      </c>
      <c r="AB1373" s="5">
        <f t="shared" si="127"/>
        <v>0.45956999999999998</v>
      </c>
      <c r="AC1373" s="5">
        <f t="shared" si="128"/>
        <v>7.1849999999999997E-2</v>
      </c>
      <c r="AD1373" s="1" t="str">
        <f t="shared" si="129"/>
        <v>Cẩm Lệ</v>
      </c>
      <c r="AE1373" s="1" t="str">
        <f t="shared" si="130"/>
        <v>Điện Bàn</v>
      </c>
      <c r="AG1373">
        <f t="shared" si="131"/>
        <v>0.30637999999999999</v>
      </c>
      <c r="AH1373">
        <f t="shared" si="132"/>
        <v>4.7899999999999998E-2</v>
      </c>
      <c r="AI1373">
        <f>VLOOKUP(L1373,'[1]Tuyến cáp H04'!$B:$E,3,0)/1000</f>
        <v>17.334</v>
      </c>
      <c r="AJ1373" t="str">
        <f>VLOOKUP(L1373,'[1]Tuyến cáp H04'!$B:$E,4,0)</f>
        <v>Mạng cấp 3</v>
      </c>
    </row>
    <row r="1374" spans="1:36" x14ac:dyDescent="0.25">
      <c r="A1374" s="1" t="s">
        <v>13144</v>
      </c>
      <c r="B1374" s="1" t="s">
        <v>13064</v>
      </c>
      <c r="C1374" s="1" t="s">
        <v>13065</v>
      </c>
      <c r="D1374" s="1" t="s">
        <v>13145</v>
      </c>
      <c r="E1374" s="1" t="s">
        <v>13146</v>
      </c>
      <c r="F1374" s="1" t="s">
        <v>13147</v>
      </c>
      <c r="G1374" s="1" t="s">
        <v>14281</v>
      </c>
      <c r="H1374" s="1" t="s">
        <v>14282</v>
      </c>
      <c r="I1374" s="1" t="s">
        <v>15467</v>
      </c>
      <c r="J1374" s="1" t="s">
        <v>23</v>
      </c>
      <c r="K1374" s="1"/>
      <c r="L1374" s="1" t="s">
        <v>13078</v>
      </c>
      <c r="M1374" s="1" t="s">
        <v>13148</v>
      </c>
      <c r="N1374" s="1" t="s">
        <v>13149</v>
      </c>
      <c r="O1374" s="1" t="s">
        <v>13150</v>
      </c>
      <c r="P1374" s="1" t="s">
        <v>13151</v>
      </c>
      <c r="Q1374" s="1" t="s">
        <v>13152</v>
      </c>
      <c r="R1374" s="1" t="s">
        <v>13153</v>
      </c>
      <c r="S1374" s="1" t="s">
        <v>13154</v>
      </c>
      <c r="T1374" s="1" t="s">
        <v>13155</v>
      </c>
      <c r="U1374">
        <v>1338.63</v>
      </c>
      <c r="V1374">
        <v>69.790000000000006</v>
      </c>
      <c r="W1374">
        <v>15.887834</v>
      </c>
      <c r="X1374">
        <v>108.25341299999999</v>
      </c>
      <c r="Y1374">
        <v>1268.8399999999999</v>
      </c>
      <c r="Z1374">
        <v>15.884627999999999</v>
      </c>
      <c r="AA1374">
        <v>108.248704</v>
      </c>
      <c r="AB1374" s="5">
        <f t="shared" si="127"/>
        <v>0.104685</v>
      </c>
      <c r="AC1374" s="5">
        <f t="shared" si="128"/>
        <v>1.9032599999999997</v>
      </c>
      <c r="AD1374" s="1" t="str">
        <f t="shared" si="129"/>
        <v>Điện Bàn</v>
      </c>
      <c r="AE1374" s="1" t="str">
        <f t="shared" si="130"/>
        <v>Điện Bàn Tây</v>
      </c>
      <c r="AG1374">
        <f t="shared" si="131"/>
        <v>6.9790000000000005E-2</v>
      </c>
      <c r="AH1374">
        <f t="shared" si="132"/>
        <v>1.26884</v>
      </c>
      <c r="AI1374">
        <f>VLOOKUP(L1374,'[1]Tuyến cáp H04'!$B:$E,3,0)/1000</f>
        <v>12.833</v>
      </c>
      <c r="AJ1374" t="str">
        <f>VLOOKUP(L1374,'[1]Tuyến cáp H04'!$B:$E,4,0)</f>
        <v>Mạng cấp 4</v>
      </c>
    </row>
    <row r="1375" spans="1:36" x14ac:dyDescent="0.25">
      <c r="A1375" s="1" t="s">
        <v>13156</v>
      </c>
      <c r="B1375" s="1" t="s">
        <v>13157</v>
      </c>
      <c r="C1375" s="1" t="s">
        <v>13158</v>
      </c>
      <c r="D1375" s="1" t="s">
        <v>13075</v>
      </c>
      <c r="E1375" s="1" t="s">
        <v>13076</v>
      </c>
      <c r="F1375" s="1" t="s">
        <v>13159</v>
      </c>
      <c r="G1375" s="1" t="s">
        <v>14281</v>
      </c>
      <c r="H1375" s="1" t="s">
        <v>14282</v>
      </c>
      <c r="I1375" s="1" t="s">
        <v>15468</v>
      </c>
      <c r="J1375" s="1" t="s">
        <v>23</v>
      </c>
      <c r="K1375" s="1"/>
      <c r="L1375" s="1" t="s">
        <v>13078</v>
      </c>
      <c r="M1375" s="1" t="s">
        <v>13160</v>
      </c>
      <c r="N1375" s="1" t="s">
        <v>13161</v>
      </c>
      <c r="O1375" s="1" t="s">
        <v>13162</v>
      </c>
      <c r="P1375" s="1" t="s">
        <v>13163</v>
      </c>
      <c r="Q1375" s="1" t="s">
        <v>13164</v>
      </c>
      <c r="R1375" s="1" t="s">
        <v>13165</v>
      </c>
      <c r="S1375" s="1" t="s">
        <v>13085</v>
      </c>
      <c r="T1375" s="1" t="s">
        <v>13166</v>
      </c>
      <c r="U1375">
        <v>3949.71</v>
      </c>
      <c r="V1375">
        <v>3701.29</v>
      </c>
      <c r="W1375">
        <v>15.888811</v>
      </c>
      <c r="X1375">
        <v>108.149871</v>
      </c>
      <c r="Y1375">
        <v>248.42</v>
      </c>
      <c r="Z1375">
        <v>15.888381000000001</v>
      </c>
      <c r="AA1375">
        <v>108.17937999999999</v>
      </c>
      <c r="AB1375" s="5">
        <f t="shared" si="127"/>
        <v>5.5519349999999994</v>
      </c>
      <c r="AC1375" s="5">
        <f t="shared" si="128"/>
        <v>0.37263000000000002</v>
      </c>
      <c r="AD1375" s="1" t="str">
        <f t="shared" si="129"/>
        <v>Điện Bàn</v>
      </c>
      <c r="AE1375" s="1" t="str">
        <f t="shared" si="130"/>
        <v>Điện Bàn Tây</v>
      </c>
      <c r="AG1375">
        <f t="shared" si="131"/>
        <v>3.7012899999999997</v>
      </c>
      <c r="AH1375">
        <f t="shared" si="132"/>
        <v>0.24841999999999997</v>
      </c>
      <c r="AI1375">
        <f>VLOOKUP(L1375,'[1]Tuyến cáp H04'!$B:$E,3,0)/1000</f>
        <v>12.833</v>
      </c>
      <c r="AJ1375" t="str">
        <f>VLOOKUP(L1375,'[1]Tuyến cáp H04'!$B:$E,4,0)</f>
        <v>Mạng cấp 4</v>
      </c>
    </row>
    <row r="1376" spans="1:36" x14ac:dyDescent="0.25">
      <c r="A1376" s="1" t="s">
        <v>13167</v>
      </c>
      <c r="B1376" s="1" t="s">
        <v>13157</v>
      </c>
      <c r="C1376" s="1" t="s">
        <v>13158</v>
      </c>
      <c r="D1376" s="1" t="s">
        <v>13168</v>
      </c>
      <c r="E1376" s="1" t="s">
        <v>13169</v>
      </c>
      <c r="F1376" s="1" t="s">
        <v>13170</v>
      </c>
      <c r="G1376" s="1"/>
      <c r="H1376" s="1" t="s">
        <v>14282</v>
      </c>
      <c r="I1376" s="1" t="s">
        <v>15469</v>
      </c>
      <c r="J1376" s="1" t="s">
        <v>23</v>
      </c>
      <c r="K1376" s="1"/>
      <c r="L1376" s="1" t="s">
        <v>133</v>
      </c>
      <c r="M1376" s="1" t="s">
        <v>13171</v>
      </c>
      <c r="N1376" s="1" t="s">
        <v>13172</v>
      </c>
      <c r="O1376" s="1" t="s">
        <v>13173</v>
      </c>
      <c r="P1376" s="1" t="s">
        <v>13174</v>
      </c>
      <c r="Q1376" s="1" t="s">
        <v>13175</v>
      </c>
      <c r="R1376" s="1" t="s">
        <v>139</v>
      </c>
      <c r="S1376" s="1" t="s">
        <v>140</v>
      </c>
      <c r="T1376" s="1" t="s">
        <v>141</v>
      </c>
      <c r="U1376">
        <v>3133.76</v>
      </c>
      <c r="V1376">
        <v>3081.84</v>
      </c>
      <c r="W1376">
        <v>15.855328</v>
      </c>
      <c r="X1376">
        <v>108.113702</v>
      </c>
      <c r="Y1376">
        <v>51.92</v>
      </c>
      <c r="Z1376">
        <v>15.822844</v>
      </c>
      <c r="AA1376">
        <v>108.24684600000001</v>
      </c>
      <c r="AB1376" s="5">
        <f t="shared" si="127"/>
        <v>4.6227600000000004</v>
      </c>
      <c r="AC1376" s="5">
        <f t="shared" si="128"/>
        <v>7.7879999999999991E-2</v>
      </c>
      <c r="AD1376" s="1" t="str">
        <f t="shared" si="129"/>
        <v>Trại giam An Điềm (C10)</v>
      </c>
      <c r="AE1376" s="1" t="str">
        <f t="shared" si="130"/>
        <v>Duy Xuyên</v>
      </c>
      <c r="AG1376">
        <f t="shared" si="131"/>
        <v>3.0818400000000001</v>
      </c>
      <c r="AH1376">
        <f t="shared" si="132"/>
        <v>5.1920000000000001E-2</v>
      </c>
      <c r="AI1376">
        <f>VLOOKUP(L1376,'[1]Tuyến cáp H04'!$B:$E,3,0)/1000</f>
        <v>48.999000000000002</v>
      </c>
      <c r="AJ1376" t="str">
        <f>VLOOKUP(L1376,'[1]Tuyến cáp H04'!$B:$E,4,0)</f>
        <v>Mạng cấp 3</v>
      </c>
    </row>
    <row r="1377" spans="1:36" x14ac:dyDescent="0.25">
      <c r="A1377" s="1" t="s">
        <v>13176</v>
      </c>
      <c r="B1377" s="1" t="s">
        <v>13157</v>
      </c>
      <c r="C1377" s="1" t="s">
        <v>13158</v>
      </c>
      <c r="D1377" s="1" t="s">
        <v>13177</v>
      </c>
      <c r="E1377" s="1" t="s">
        <v>13178</v>
      </c>
      <c r="F1377" s="1" t="s">
        <v>13179</v>
      </c>
      <c r="G1377" s="1" t="s">
        <v>14281</v>
      </c>
      <c r="H1377" s="1" t="s">
        <v>14282</v>
      </c>
      <c r="I1377" s="1" t="s">
        <v>15470</v>
      </c>
      <c r="J1377" s="1" t="s">
        <v>23</v>
      </c>
      <c r="K1377" s="1"/>
      <c r="L1377" s="1" t="s">
        <v>11111</v>
      </c>
      <c r="M1377" s="1" t="s">
        <v>13180</v>
      </c>
      <c r="N1377" s="1" t="s">
        <v>13181</v>
      </c>
      <c r="O1377" s="1" t="s">
        <v>13182</v>
      </c>
      <c r="P1377" s="1" t="s">
        <v>13183</v>
      </c>
      <c r="Q1377" s="1" t="s">
        <v>13184</v>
      </c>
      <c r="R1377" s="1" t="s">
        <v>13185</v>
      </c>
      <c r="S1377" s="1" t="s">
        <v>13186</v>
      </c>
      <c r="T1377" s="1" t="s">
        <v>11119</v>
      </c>
      <c r="U1377">
        <v>578.62</v>
      </c>
      <c r="V1377">
        <v>27.76</v>
      </c>
      <c r="W1377">
        <v>15.882747999999999</v>
      </c>
      <c r="X1377">
        <v>108.115681</v>
      </c>
      <c r="Y1377">
        <v>550.86</v>
      </c>
      <c r="Z1377">
        <v>15.906772</v>
      </c>
      <c r="AA1377">
        <v>108.126825</v>
      </c>
      <c r="AB1377" s="5">
        <f t="shared" si="127"/>
        <v>4.1640000000000003E-2</v>
      </c>
      <c r="AC1377" s="5">
        <f t="shared" si="128"/>
        <v>0.82628999999999997</v>
      </c>
      <c r="AD1377" s="1" t="str">
        <f t="shared" si="129"/>
        <v>Sông Vàng</v>
      </c>
      <c r="AE1377" s="1" t="str">
        <f t="shared" si="130"/>
        <v>TTCMKV Đại Lộc</v>
      </c>
      <c r="AG1377">
        <f t="shared" si="131"/>
        <v>2.776E-2</v>
      </c>
      <c r="AH1377">
        <f t="shared" si="132"/>
        <v>0.55086000000000002</v>
      </c>
      <c r="AI1377">
        <f>VLOOKUP(L1377,'[1]Tuyến cáp H04'!$B:$E,3,0)/1000</f>
        <v>38.832000000000001</v>
      </c>
      <c r="AJ1377" t="str">
        <f>VLOOKUP(L1377,'[1]Tuyến cáp H04'!$B:$E,4,0)</f>
        <v>Mạng cấp 4</v>
      </c>
    </row>
    <row r="1378" spans="1:36" x14ac:dyDescent="0.25">
      <c r="A1378" s="1" t="s">
        <v>13187</v>
      </c>
      <c r="B1378" s="1" t="s">
        <v>13157</v>
      </c>
      <c r="C1378" s="1" t="s">
        <v>13158</v>
      </c>
      <c r="D1378" s="1" t="s">
        <v>13188</v>
      </c>
      <c r="E1378" s="1" t="s">
        <v>13189</v>
      </c>
      <c r="F1378" s="1" t="s">
        <v>13190</v>
      </c>
      <c r="G1378" s="1" t="s">
        <v>14281</v>
      </c>
      <c r="H1378" s="1" t="s">
        <v>14282</v>
      </c>
      <c r="I1378" s="1" t="s">
        <v>15471</v>
      </c>
      <c r="J1378" s="1" t="s">
        <v>23</v>
      </c>
      <c r="K1378" s="1"/>
      <c r="L1378" s="1" t="s">
        <v>13191</v>
      </c>
      <c r="M1378" s="1" t="s">
        <v>13192</v>
      </c>
      <c r="N1378" s="1" t="s">
        <v>13193</v>
      </c>
      <c r="O1378" s="1" t="s">
        <v>13194</v>
      </c>
      <c r="P1378" s="1" t="s">
        <v>13195</v>
      </c>
      <c r="Q1378" s="1" t="s">
        <v>9555</v>
      </c>
      <c r="R1378" s="1" t="s">
        <v>13196</v>
      </c>
      <c r="S1378" s="1" t="s">
        <v>13197</v>
      </c>
      <c r="T1378" s="1" t="s">
        <v>13198</v>
      </c>
      <c r="U1378">
        <v>743.31</v>
      </c>
      <c r="V1378">
        <v>576.69000000000005</v>
      </c>
      <c r="W1378">
        <v>15.882273</v>
      </c>
      <c r="X1378">
        <v>108.110457</v>
      </c>
      <c r="Y1378">
        <v>166.62</v>
      </c>
      <c r="Z1378">
        <v>15.878144000000001</v>
      </c>
      <c r="AA1378">
        <v>108.07739599999999</v>
      </c>
      <c r="AB1378" s="5">
        <f t="shared" si="127"/>
        <v>0.86503500000000011</v>
      </c>
      <c r="AC1378" s="5">
        <f t="shared" si="128"/>
        <v>0.24993000000000001</v>
      </c>
      <c r="AD1378" s="1" t="str">
        <f t="shared" si="129"/>
        <v>Đại Lộc</v>
      </c>
      <c r="AE1378" s="1" t="str">
        <f t="shared" si="130"/>
        <v>Phước Sơn</v>
      </c>
      <c r="AG1378">
        <f t="shared" si="131"/>
        <v>0.57669000000000004</v>
      </c>
      <c r="AH1378">
        <f t="shared" si="132"/>
        <v>0.16662000000000002</v>
      </c>
      <c r="AI1378">
        <f>VLOOKUP(L1378,'[1]Tuyến cáp H04'!$B:$E,3,0)/1000</f>
        <v>95.215000000000003</v>
      </c>
      <c r="AJ1378" t="str">
        <f>VLOOKUP(L1378,'[1]Tuyến cáp H04'!$B:$E,4,0)</f>
        <v>Mạng cấp 3</v>
      </c>
    </row>
    <row r="1379" spans="1:36" x14ac:dyDescent="0.25">
      <c r="A1379" s="1" t="s">
        <v>13199</v>
      </c>
      <c r="B1379" s="1" t="s">
        <v>13157</v>
      </c>
      <c r="C1379" s="1" t="s">
        <v>13158</v>
      </c>
      <c r="D1379" s="1" t="s">
        <v>13200</v>
      </c>
      <c r="E1379" s="1" t="s">
        <v>13201</v>
      </c>
      <c r="F1379" s="1" t="s">
        <v>13202</v>
      </c>
      <c r="G1379" s="1" t="s">
        <v>14281</v>
      </c>
      <c r="H1379" s="1" t="s">
        <v>14282</v>
      </c>
      <c r="I1379" s="1" t="s">
        <v>15472</v>
      </c>
      <c r="J1379" s="1" t="s">
        <v>23</v>
      </c>
      <c r="K1379" s="1"/>
      <c r="L1379" s="1" t="s">
        <v>13191</v>
      </c>
      <c r="M1379" s="1" t="s">
        <v>13203</v>
      </c>
      <c r="N1379" s="1" t="s">
        <v>13193</v>
      </c>
      <c r="O1379" s="1" t="s">
        <v>13194</v>
      </c>
      <c r="P1379" s="1" t="s">
        <v>13195</v>
      </c>
      <c r="Q1379" s="1" t="s">
        <v>13204</v>
      </c>
      <c r="R1379" s="1" t="s">
        <v>13205</v>
      </c>
      <c r="S1379" s="1" t="s">
        <v>13206</v>
      </c>
      <c r="T1379" s="1" t="s">
        <v>13198</v>
      </c>
      <c r="U1379">
        <v>634.17999999999995</v>
      </c>
      <c r="V1379">
        <v>576.69000000000005</v>
      </c>
      <c r="W1379">
        <v>15.882273</v>
      </c>
      <c r="X1379">
        <v>108.110457</v>
      </c>
      <c r="Y1379">
        <v>57.49</v>
      </c>
      <c r="Z1379">
        <v>15.878698999999999</v>
      </c>
      <c r="AA1379">
        <v>108.105295</v>
      </c>
      <c r="AB1379" s="5">
        <f t="shared" si="127"/>
        <v>0.86503500000000011</v>
      </c>
      <c r="AC1379" s="5">
        <f t="shared" si="128"/>
        <v>8.6235000000000006E-2</v>
      </c>
      <c r="AD1379" s="1" t="str">
        <f t="shared" si="129"/>
        <v>Đại Lộc</v>
      </c>
      <c r="AE1379" s="1" t="str">
        <f t="shared" si="130"/>
        <v>Phước Sơn</v>
      </c>
      <c r="AG1379">
        <f t="shared" si="131"/>
        <v>0.57669000000000004</v>
      </c>
      <c r="AH1379">
        <f t="shared" si="132"/>
        <v>5.7489999999999999E-2</v>
      </c>
      <c r="AI1379">
        <f>VLOOKUP(L1379,'[1]Tuyến cáp H04'!$B:$E,3,0)/1000</f>
        <v>95.215000000000003</v>
      </c>
      <c r="AJ1379" t="str">
        <f>VLOOKUP(L1379,'[1]Tuyến cáp H04'!$B:$E,4,0)</f>
        <v>Mạng cấp 3</v>
      </c>
    </row>
    <row r="1380" spans="1:36" x14ac:dyDescent="0.25">
      <c r="A1380" s="1" t="s">
        <v>13207</v>
      </c>
      <c r="B1380" s="1" t="s">
        <v>13157</v>
      </c>
      <c r="C1380" s="1" t="s">
        <v>13158</v>
      </c>
      <c r="D1380" s="1" t="s">
        <v>13208</v>
      </c>
      <c r="E1380" s="1" t="s">
        <v>13209</v>
      </c>
      <c r="F1380" s="1" t="s">
        <v>13210</v>
      </c>
      <c r="G1380" s="1" t="s">
        <v>14281</v>
      </c>
      <c r="H1380" s="1" t="s">
        <v>14282</v>
      </c>
      <c r="I1380" s="1" t="s">
        <v>15473</v>
      </c>
      <c r="J1380" s="1" t="s">
        <v>23</v>
      </c>
      <c r="K1380" s="1"/>
      <c r="L1380" s="1" t="s">
        <v>13211</v>
      </c>
      <c r="M1380" s="1" t="s">
        <v>13212</v>
      </c>
      <c r="N1380" s="1" t="s">
        <v>13213</v>
      </c>
      <c r="O1380" s="1" t="s">
        <v>13214</v>
      </c>
      <c r="P1380" s="1" t="s">
        <v>13215</v>
      </c>
      <c r="Q1380" s="1" t="s">
        <v>13216</v>
      </c>
      <c r="R1380" s="1" t="s">
        <v>13217</v>
      </c>
      <c r="S1380" s="1" t="s">
        <v>13218</v>
      </c>
      <c r="T1380" s="1" t="s">
        <v>13219</v>
      </c>
      <c r="U1380">
        <v>840.34</v>
      </c>
      <c r="V1380">
        <v>578.28</v>
      </c>
      <c r="W1380">
        <v>15.882272</v>
      </c>
      <c r="X1380">
        <v>108.11044200000001</v>
      </c>
      <c r="Y1380">
        <v>262.07</v>
      </c>
      <c r="Z1380">
        <v>15.87538</v>
      </c>
      <c r="AA1380">
        <v>108.09114</v>
      </c>
      <c r="AB1380" s="5">
        <f t="shared" si="127"/>
        <v>0.86741999999999997</v>
      </c>
      <c r="AC1380" s="5">
        <f t="shared" si="128"/>
        <v>0.39310500000000004</v>
      </c>
      <c r="AD1380" s="1" t="str">
        <f t="shared" si="129"/>
        <v>TTCMKV Đại Lộc</v>
      </c>
      <c r="AE1380" s="1" t="str">
        <f t="shared" si="130"/>
        <v>Hà Nha</v>
      </c>
      <c r="AG1380">
        <f t="shared" si="131"/>
        <v>0.57828000000000002</v>
      </c>
      <c r="AH1380">
        <f t="shared" si="132"/>
        <v>0.26206999999999997</v>
      </c>
      <c r="AI1380">
        <f>VLOOKUP(L1380,'[1]Tuyến cáp H04'!$B:$E,3,0)/1000</f>
        <v>7.5140000000000002</v>
      </c>
      <c r="AJ1380" t="str">
        <f>VLOOKUP(L1380,'[1]Tuyến cáp H04'!$B:$E,4,0)</f>
        <v>Mạng cấp 4</v>
      </c>
    </row>
    <row r="1381" spans="1:36" x14ac:dyDescent="0.25">
      <c r="A1381" s="1" t="s">
        <v>13220</v>
      </c>
      <c r="B1381" s="1" t="s">
        <v>13157</v>
      </c>
      <c r="C1381" s="1" t="s">
        <v>13158</v>
      </c>
      <c r="D1381" s="1" t="s">
        <v>13221</v>
      </c>
      <c r="E1381" s="1" t="s">
        <v>13222</v>
      </c>
      <c r="F1381" s="1" t="s">
        <v>13223</v>
      </c>
      <c r="G1381" s="1" t="s">
        <v>14281</v>
      </c>
      <c r="H1381" s="1" t="s">
        <v>14282</v>
      </c>
      <c r="I1381" s="1" t="s">
        <v>15474</v>
      </c>
      <c r="J1381" s="1" t="s">
        <v>23</v>
      </c>
      <c r="K1381" s="1"/>
      <c r="L1381" s="1" t="s">
        <v>13224</v>
      </c>
      <c r="M1381" s="1" t="s">
        <v>13225</v>
      </c>
      <c r="N1381" s="1" t="s">
        <v>13226</v>
      </c>
      <c r="O1381" s="1" t="s">
        <v>13227</v>
      </c>
      <c r="P1381" s="1" t="s">
        <v>13228</v>
      </c>
      <c r="Q1381" s="1" t="s">
        <v>13229</v>
      </c>
      <c r="R1381" s="1" t="s">
        <v>13230</v>
      </c>
      <c r="S1381" s="1" t="s">
        <v>13231</v>
      </c>
      <c r="T1381" s="1" t="s">
        <v>13232</v>
      </c>
      <c r="U1381">
        <v>704.32</v>
      </c>
      <c r="V1381">
        <v>36.07</v>
      </c>
      <c r="W1381">
        <v>15.882702999999999</v>
      </c>
      <c r="X1381">
        <v>108.11599099999999</v>
      </c>
      <c r="Y1381">
        <v>668.25</v>
      </c>
      <c r="Z1381">
        <v>15.878918000000001</v>
      </c>
      <c r="AA1381">
        <v>108.121422</v>
      </c>
      <c r="AB1381" s="5">
        <f t="shared" si="127"/>
        <v>5.4105000000000007E-2</v>
      </c>
      <c r="AC1381" s="5">
        <f t="shared" si="128"/>
        <v>1.002375</v>
      </c>
      <c r="AD1381" s="1" t="str">
        <f t="shared" si="129"/>
        <v>Đại Lộc</v>
      </c>
      <c r="AE1381" s="1" t="str">
        <f t="shared" si="130"/>
        <v>Thu Bồn</v>
      </c>
      <c r="AG1381">
        <f t="shared" si="131"/>
        <v>3.6069999999999998E-2</v>
      </c>
      <c r="AH1381">
        <f t="shared" si="132"/>
        <v>0.66825000000000001</v>
      </c>
      <c r="AI1381">
        <f>VLOOKUP(L1381,'[1]Tuyến cáp H04'!$B:$E,3,0)/1000</f>
        <v>6.9859999999999998</v>
      </c>
      <c r="AJ1381" t="str">
        <f>VLOOKUP(L1381,'[1]Tuyến cáp H04'!$B:$E,4,0)</f>
        <v>Mạng cấp 4</v>
      </c>
    </row>
    <row r="1382" spans="1:36" x14ac:dyDescent="0.25">
      <c r="A1382" s="1" t="s">
        <v>13233</v>
      </c>
      <c r="B1382" s="1" t="s">
        <v>13157</v>
      </c>
      <c r="C1382" s="1" t="s">
        <v>13158</v>
      </c>
      <c r="D1382" s="1" t="s">
        <v>13234</v>
      </c>
      <c r="E1382" s="1" t="s">
        <v>13235</v>
      </c>
      <c r="F1382" s="1" t="s">
        <v>13236</v>
      </c>
      <c r="G1382" s="1" t="s">
        <v>14281</v>
      </c>
      <c r="H1382" s="1" t="s">
        <v>14282</v>
      </c>
      <c r="I1382" s="1" t="s">
        <v>15475</v>
      </c>
      <c r="J1382" s="1" t="s">
        <v>23</v>
      </c>
      <c r="K1382" s="1"/>
      <c r="L1382" s="1" t="s">
        <v>13224</v>
      </c>
      <c r="M1382" s="1" t="s">
        <v>13237</v>
      </c>
      <c r="N1382" s="1" t="s">
        <v>13226</v>
      </c>
      <c r="O1382" s="1" t="s">
        <v>13227</v>
      </c>
      <c r="P1382" s="1" t="s">
        <v>13228</v>
      </c>
      <c r="Q1382" s="1" t="s">
        <v>13238</v>
      </c>
      <c r="R1382" s="1" t="s">
        <v>13239</v>
      </c>
      <c r="S1382" s="1" t="s">
        <v>13240</v>
      </c>
      <c r="T1382" s="1" t="s">
        <v>13232</v>
      </c>
      <c r="U1382">
        <v>858.93</v>
      </c>
      <c r="V1382">
        <v>36.07</v>
      </c>
      <c r="W1382">
        <v>15.882702999999999</v>
      </c>
      <c r="X1382">
        <v>108.11599099999999</v>
      </c>
      <c r="Y1382">
        <v>822.86</v>
      </c>
      <c r="Z1382">
        <v>15.868012999999999</v>
      </c>
      <c r="AA1382">
        <v>108.121419</v>
      </c>
      <c r="AB1382" s="5">
        <f t="shared" si="127"/>
        <v>5.4105000000000007E-2</v>
      </c>
      <c r="AC1382" s="5">
        <f t="shared" si="128"/>
        <v>1.2342899999999999</v>
      </c>
      <c r="AD1382" s="1" t="str">
        <f t="shared" si="129"/>
        <v>Đại Lộc</v>
      </c>
      <c r="AE1382" s="1" t="str">
        <f t="shared" si="130"/>
        <v>Thu Bồn</v>
      </c>
      <c r="AG1382">
        <f t="shared" si="131"/>
        <v>3.6069999999999998E-2</v>
      </c>
      <c r="AH1382">
        <f t="shared" si="132"/>
        <v>0.82286000000000004</v>
      </c>
      <c r="AI1382">
        <f>VLOOKUP(L1382,'[1]Tuyến cáp H04'!$B:$E,3,0)/1000</f>
        <v>6.9859999999999998</v>
      </c>
      <c r="AJ1382" t="str">
        <f>VLOOKUP(L1382,'[1]Tuyến cáp H04'!$B:$E,4,0)</f>
        <v>Mạng cấp 4</v>
      </c>
    </row>
    <row r="1383" spans="1:36" x14ac:dyDescent="0.25">
      <c r="A1383" s="1" t="s">
        <v>13241</v>
      </c>
      <c r="B1383" s="1" t="s">
        <v>13157</v>
      </c>
      <c r="C1383" s="1" t="s">
        <v>13158</v>
      </c>
      <c r="D1383" s="1" t="s">
        <v>13242</v>
      </c>
      <c r="E1383" s="1" t="s">
        <v>13243</v>
      </c>
      <c r="F1383" s="1" t="s">
        <v>13244</v>
      </c>
      <c r="G1383" s="1" t="s">
        <v>14281</v>
      </c>
      <c r="H1383" s="1" t="s">
        <v>14282</v>
      </c>
      <c r="I1383" s="1" t="s">
        <v>15476</v>
      </c>
      <c r="J1383" s="1" t="s">
        <v>23</v>
      </c>
      <c r="K1383" s="1"/>
      <c r="L1383" s="1" t="s">
        <v>13224</v>
      </c>
      <c r="M1383" s="1" t="s">
        <v>13245</v>
      </c>
      <c r="N1383" s="1" t="s">
        <v>13246</v>
      </c>
      <c r="O1383" s="1" t="s">
        <v>13247</v>
      </c>
      <c r="P1383" s="1" t="s">
        <v>13248</v>
      </c>
      <c r="Q1383" s="1" t="s">
        <v>13249</v>
      </c>
      <c r="R1383" s="1" t="s">
        <v>13247</v>
      </c>
      <c r="S1383" s="1" t="s">
        <v>13248</v>
      </c>
      <c r="T1383" s="1" t="s">
        <v>13250</v>
      </c>
      <c r="U1383">
        <v>253.54</v>
      </c>
      <c r="V1383">
        <v>4.24</v>
      </c>
      <c r="W1383">
        <v>15.882982</v>
      </c>
      <c r="X1383">
        <v>108.115762</v>
      </c>
      <c r="Y1383">
        <v>249.3</v>
      </c>
      <c r="Z1383">
        <v>15.882982</v>
      </c>
      <c r="AA1383">
        <v>108.115762</v>
      </c>
      <c r="AB1383" s="5">
        <f t="shared" si="127"/>
        <v>6.3600000000000002E-3</v>
      </c>
      <c r="AC1383" s="5">
        <f t="shared" si="128"/>
        <v>0.37395000000000006</v>
      </c>
      <c r="AD1383" s="1" t="str">
        <f t="shared" si="129"/>
        <v>Đại Lộc</v>
      </c>
      <c r="AE1383" s="1" t="str">
        <f t="shared" si="130"/>
        <v>Thu Bồn</v>
      </c>
      <c r="AG1383">
        <f t="shared" si="131"/>
        <v>4.2399999999999998E-3</v>
      </c>
      <c r="AH1383">
        <f t="shared" si="132"/>
        <v>0.24930000000000002</v>
      </c>
      <c r="AI1383">
        <f>VLOOKUP(L1383,'[1]Tuyến cáp H04'!$B:$E,3,0)/1000</f>
        <v>6.9859999999999998</v>
      </c>
      <c r="AJ1383" t="str">
        <f>VLOOKUP(L1383,'[1]Tuyến cáp H04'!$B:$E,4,0)</f>
        <v>Mạng cấp 4</v>
      </c>
    </row>
    <row r="1384" spans="1:36" x14ac:dyDescent="0.25">
      <c r="A1384" s="1" t="s">
        <v>13251</v>
      </c>
      <c r="B1384" s="1" t="s">
        <v>13157</v>
      </c>
      <c r="C1384" s="1" t="s">
        <v>13158</v>
      </c>
      <c r="D1384" s="1" t="s">
        <v>13252</v>
      </c>
      <c r="E1384" s="1" t="s">
        <v>13253</v>
      </c>
      <c r="F1384" s="1" t="s">
        <v>13254</v>
      </c>
      <c r="G1384" s="1" t="s">
        <v>14281</v>
      </c>
      <c r="H1384" s="1" t="s">
        <v>14282</v>
      </c>
      <c r="I1384" s="1" t="s">
        <v>15477</v>
      </c>
      <c r="J1384" s="1" t="s">
        <v>23</v>
      </c>
      <c r="K1384" s="1"/>
      <c r="L1384" s="1" t="s">
        <v>13211</v>
      </c>
      <c r="M1384" s="1" t="s">
        <v>13255</v>
      </c>
      <c r="N1384" s="1" t="s">
        <v>13256</v>
      </c>
      <c r="O1384" s="1" t="s">
        <v>13257</v>
      </c>
      <c r="P1384" s="1" t="s">
        <v>13258</v>
      </c>
      <c r="Q1384" s="1" t="s">
        <v>13259</v>
      </c>
      <c r="R1384" s="1" t="s">
        <v>13260</v>
      </c>
      <c r="S1384" s="1" t="s">
        <v>13261</v>
      </c>
      <c r="T1384" s="1" t="s">
        <v>13262</v>
      </c>
      <c r="U1384">
        <v>311.29000000000002</v>
      </c>
      <c r="V1384">
        <v>152.30000000000001</v>
      </c>
      <c r="W1384">
        <v>15.882797</v>
      </c>
      <c r="X1384">
        <v>108.11438699999999</v>
      </c>
      <c r="Y1384">
        <v>158.99</v>
      </c>
      <c r="Z1384">
        <v>15.882904999999999</v>
      </c>
      <c r="AA1384">
        <v>108.112134</v>
      </c>
      <c r="AB1384" s="5">
        <f t="shared" si="127"/>
        <v>0.22845000000000001</v>
      </c>
      <c r="AC1384" s="5">
        <f t="shared" si="128"/>
        <v>0.238485</v>
      </c>
      <c r="AD1384" s="1" t="str">
        <f t="shared" si="129"/>
        <v>TTCMKV Đại Lộc</v>
      </c>
      <c r="AE1384" s="1" t="str">
        <f t="shared" si="130"/>
        <v>Hà Nha</v>
      </c>
      <c r="AG1384">
        <f t="shared" si="131"/>
        <v>0.15230000000000002</v>
      </c>
      <c r="AH1384">
        <f t="shared" si="132"/>
        <v>0.15899000000000002</v>
      </c>
      <c r="AI1384">
        <f>VLOOKUP(L1384,'[1]Tuyến cáp H04'!$B:$E,3,0)/1000</f>
        <v>7.5140000000000002</v>
      </c>
      <c r="AJ1384" t="str">
        <f>VLOOKUP(L1384,'[1]Tuyến cáp H04'!$B:$E,4,0)</f>
        <v>Mạng cấp 4</v>
      </c>
    </row>
    <row r="1385" spans="1:36" x14ac:dyDescent="0.25">
      <c r="A1385" s="1" t="s">
        <v>13263</v>
      </c>
      <c r="B1385" s="1" t="s">
        <v>13168</v>
      </c>
      <c r="C1385" s="1" t="s">
        <v>13169</v>
      </c>
      <c r="D1385" s="1" t="s">
        <v>13157</v>
      </c>
      <c r="E1385" s="1" t="s">
        <v>13158</v>
      </c>
      <c r="F1385" s="1" t="s">
        <v>13170</v>
      </c>
      <c r="G1385" s="1"/>
      <c r="H1385" s="1" t="s">
        <v>14282</v>
      </c>
      <c r="I1385" s="1" t="s">
        <v>15469</v>
      </c>
      <c r="J1385" s="1" t="s">
        <v>23</v>
      </c>
      <c r="K1385" s="1"/>
      <c r="L1385" s="1" t="s">
        <v>133</v>
      </c>
      <c r="M1385" s="1" t="s">
        <v>13171</v>
      </c>
      <c r="N1385" s="1" t="s">
        <v>13175</v>
      </c>
      <c r="O1385" s="1" t="s">
        <v>139</v>
      </c>
      <c r="P1385" s="1" t="s">
        <v>140</v>
      </c>
      <c r="Q1385" s="1" t="s">
        <v>13172</v>
      </c>
      <c r="R1385" s="1" t="s">
        <v>13173</v>
      </c>
      <c r="S1385" s="1" t="s">
        <v>13174</v>
      </c>
      <c r="T1385" s="1" t="s">
        <v>141</v>
      </c>
      <c r="U1385">
        <v>3133.76</v>
      </c>
      <c r="V1385">
        <v>51.92</v>
      </c>
      <c r="W1385">
        <v>15.822844</v>
      </c>
      <c r="X1385">
        <v>108.24684600000001</v>
      </c>
      <c r="Y1385">
        <v>3081.84</v>
      </c>
      <c r="Z1385">
        <v>15.855328</v>
      </c>
      <c r="AA1385">
        <v>108.113702</v>
      </c>
      <c r="AB1385" s="5">
        <f t="shared" si="127"/>
        <v>7.7879999999999991E-2</v>
      </c>
      <c r="AC1385" s="5">
        <f t="shared" si="128"/>
        <v>4.6227600000000004</v>
      </c>
      <c r="AD1385" s="1" t="str">
        <f t="shared" si="129"/>
        <v>Trại giam An Điềm (C10)</v>
      </c>
      <c r="AE1385" s="1" t="str">
        <f t="shared" si="130"/>
        <v>Duy Xuyên</v>
      </c>
      <c r="AG1385">
        <f t="shared" si="131"/>
        <v>5.1920000000000001E-2</v>
      </c>
      <c r="AH1385">
        <f t="shared" si="132"/>
        <v>3.0818400000000001</v>
      </c>
      <c r="AI1385">
        <f>VLOOKUP(L1385,'[1]Tuyến cáp H04'!$B:$E,3,0)/1000</f>
        <v>48.999000000000002</v>
      </c>
      <c r="AJ1385" t="str">
        <f>VLOOKUP(L1385,'[1]Tuyến cáp H04'!$B:$E,4,0)</f>
        <v>Mạng cấp 3</v>
      </c>
    </row>
    <row r="1386" spans="1:36" x14ac:dyDescent="0.25">
      <c r="A1386" s="1" t="s">
        <v>13264</v>
      </c>
      <c r="B1386" s="1" t="s">
        <v>13168</v>
      </c>
      <c r="C1386" s="1" t="s">
        <v>13169</v>
      </c>
      <c r="D1386" s="1" t="s">
        <v>13265</v>
      </c>
      <c r="E1386" s="1" t="s">
        <v>13266</v>
      </c>
      <c r="F1386" s="1" t="s">
        <v>13267</v>
      </c>
      <c r="G1386" s="1" t="s">
        <v>14281</v>
      </c>
      <c r="H1386" s="1" t="s">
        <v>14282</v>
      </c>
      <c r="I1386" s="1" t="s">
        <v>15478</v>
      </c>
      <c r="J1386" s="1" t="s">
        <v>23</v>
      </c>
      <c r="K1386" s="1"/>
      <c r="L1386" s="1" t="s">
        <v>13268</v>
      </c>
      <c r="M1386" s="1" t="s">
        <v>13269</v>
      </c>
      <c r="N1386" s="1" t="s">
        <v>13270</v>
      </c>
      <c r="O1386" s="1" t="s">
        <v>13271</v>
      </c>
      <c r="P1386" s="1" t="s">
        <v>13272</v>
      </c>
      <c r="Q1386" s="1" t="s">
        <v>13273</v>
      </c>
      <c r="R1386" s="1" t="s">
        <v>13274</v>
      </c>
      <c r="S1386" s="1" t="s">
        <v>13275</v>
      </c>
      <c r="T1386" s="1" t="s">
        <v>13276</v>
      </c>
      <c r="U1386">
        <v>866.41</v>
      </c>
      <c r="V1386">
        <v>39.619999999999997</v>
      </c>
      <c r="W1386">
        <v>15.822770999999999</v>
      </c>
      <c r="X1386">
        <v>108.246752</v>
      </c>
      <c r="Y1386">
        <v>826.79</v>
      </c>
      <c r="Z1386">
        <v>15.830394999999999</v>
      </c>
      <c r="AA1386">
        <v>108.29240799999999</v>
      </c>
      <c r="AB1386" s="5">
        <f t="shared" si="127"/>
        <v>5.942999999999999E-2</v>
      </c>
      <c r="AC1386" s="5">
        <f t="shared" si="128"/>
        <v>1.2401849999999999</v>
      </c>
      <c r="AD1386" s="1" t="str">
        <f t="shared" si="129"/>
        <v>"Đội CSĐT (X. Duy Nghĩa, Duyên Xuyên)</v>
      </c>
      <c r="AE1386" s="1" t="str">
        <f t="shared" si="130"/>
        <v xml:space="preserve">
TTCMKV Duy Xuyên"</v>
      </c>
      <c r="AG1386">
        <f t="shared" si="131"/>
        <v>3.9619999999999995E-2</v>
      </c>
      <c r="AH1386">
        <f t="shared" si="132"/>
        <v>0.82678999999999991</v>
      </c>
      <c r="AI1386" t="e">
        <f>VLOOKUP(L1386,'[1]Tuyến cáp H04'!$B:$E,3,0)/1000</f>
        <v>#N/A</v>
      </c>
      <c r="AJ1386" t="e">
        <f>VLOOKUP(L1386,'[1]Tuyến cáp H04'!$B:$E,4,0)</f>
        <v>#N/A</v>
      </c>
    </row>
    <row r="1387" spans="1:36" x14ac:dyDescent="0.25">
      <c r="A1387" s="1" t="s">
        <v>13277</v>
      </c>
      <c r="B1387" s="1" t="s">
        <v>13168</v>
      </c>
      <c r="C1387" s="1" t="s">
        <v>13169</v>
      </c>
      <c r="D1387" s="1" t="s">
        <v>13278</v>
      </c>
      <c r="E1387" s="1" t="s">
        <v>13279</v>
      </c>
      <c r="F1387" s="1" t="s">
        <v>13280</v>
      </c>
      <c r="G1387" s="1" t="s">
        <v>14281</v>
      </c>
      <c r="H1387" s="1" t="s">
        <v>14282</v>
      </c>
      <c r="I1387" s="1" t="s">
        <v>15479</v>
      </c>
      <c r="J1387" s="1" t="s">
        <v>23</v>
      </c>
      <c r="K1387" s="1"/>
      <c r="L1387" s="1" t="s">
        <v>133</v>
      </c>
      <c r="M1387" s="1" t="s">
        <v>13281</v>
      </c>
      <c r="N1387" s="1" t="s">
        <v>13175</v>
      </c>
      <c r="O1387" s="1" t="s">
        <v>139</v>
      </c>
      <c r="P1387" s="1" t="s">
        <v>140</v>
      </c>
      <c r="Q1387" s="1" t="s">
        <v>6687</v>
      </c>
      <c r="R1387" s="1" t="s">
        <v>13282</v>
      </c>
      <c r="S1387" s="1" t="s">
        <v>13283</v>
      </c>
      <c r="T1387" s="1" t="s">
        <v>141</v>
      </c>
      <c r="U1387">
        <v>200.43</v>
      </c>
      <c r="V1387">
        <v>51.92</v>
      </c>
      <c r="W1387">
        <v>15.822844</v>
      </c>
      <c r="X1387">
        <v>108.24684600000001</v>
      </c>
      <c r="Y1387">
        <v>148.51</v>
      </c>
      <c r="Z1387">
        <v>15.836906000000001</v>
      </c>
      <c r="AA1387">
        <v>108.14394900000001</v>
      </c>
      <c r="AB1387" s="5">
        <f t="shared" si="127"/>
        <v>7.7879999999999991E-2</v>
      </c>
      <c r="AC1387" s="5">
        <f t="shared" si="128"/>
        <v>0.22276499999999999</v>
      </c>
      <c r="AD1387" s="1" t="str">
        <f t="shared" si="129"/>
        <v>Trại giam An Điềm (C10)</v>
      </c>
      <c r="AE1387" s="1" t="str">
        <f t="shared" si="130"/>
        <v>Duy Xuyên</v>
      </c>
      <c r="AG1387">
        <f t="shared" si="131"/>
        <v>5.1920000000000001E-2</v>
      </c>
      <c r="AH1387">
        <f t="shared" si="132"/>
        <v>0.14851</v>
      </c>
      <c r="AI1387">
        <f>VLOOKUP(L1387,'[1]Tuyến cáp H04'!$B:$E,3,0)/1000</f>
        <v>48.999000000000002</v>
      </c>
      <c r="AJ1387" t="str">
        <f>VLOOKUP(L1387,'[1]Tuyến cáp H04'!$B:$E,4,0)</f>
        <v>Mạng cấp 3</v>
      </c>
    </row>
    <row r="1388" spans="1:36" x14ac:dyDescent="0.25">
      <c r="A1388" s="1" t="s">
        <v>13284</v>
      </c>
      <c r="B1388" s="1" t="s">
        <v>13168</v>
      </c>
      <c r="C1388" s="1" t="s">
        <v>13169</v>
      </c>
      <c r="D1388" s="1" t="s">
        <v>13285</v>
      </c>
      <c r="E1388" s="1" t="s">
        <v>13286</v>
      </c>
      <c r="F1388" s="1" t="s">
        <v>13287</v>
      </c>
      <c r="G1388" s="1" t="s">
        <v>14281</v>
      </c>
      <c r="H1388" s="1" t="s">
        <v>14282</v>
      </c>
      <c r="I1388" s="1" t="s">
        <v>15480</v>
      </c>
      <c r="J1388" s="1" t="s">
        <v>23</v>
      </c>
      <c r="K1388" s="1"/>
      <c r="L1388" s="1" t="s">
        <v>133</v>
      </c>
      <c r="M1388" s="1" t="s">
        <v>13288</v>
      </c>
      <c r="N1388" s="1" t="s">
        <v>13175</v>
      </c>
      <c r="O1388" s="1" t="s">
        <v>139</v>
      </c>
      <c r="P1388" s="1" t="s">
        <v>140</v>
      </c>
      <c r="Q1388" s="1" t="s">
        <v>13289</v>
      </c>
      <c r="R1388" s="1" t="s">
        <v>13290</v>
      </c>
      <c r="S1388" s="1" t="s">
        <v>13291</v>
      </c>
      <c r="T1388" s="1" t="s">
        <v>141</v>
      </c>
      <c r="U1388">
        <v>759.63</v>
      </c>
      <c r="V1388">
        <v>51.92</v>
      </c>
      <c r="W1388">
        <v>15.822844</v>
      </c>
      <c r="X1388">
        <v>108.24684600000001</v>
      </c>
      <c r="Y1388">
        <v>707.71</v>
      </c>
      <c r="Z1388">
        <v>15.829067999999999</v>
      </c>
      <c r="AA1388">
        <v>108.202787</v>
      </c>
      <c r="AB1388" s="5">
        <f t="shared" si="127"/>
        <v>7.7879999999999991E-2</v>
      </c>
      <c r="AC1388" s="5">
        <f t="shared" si="128"/>
        <v>1.0615650000000001</v>
      </c>
      <c r="AD1388" s="1" t="str">
        <f t="shared" si="129"/>
        <v>Trại giam An Điềm (C10)</v>
      </c>
      <c r="AE1388" s="1" t="str">
        <f t="shared" si="130"/>
        <v>Duy Xuyên</v>
      </c>
      <c r="AG1388">
        <f t="shared" si="131"/>
        <v>5.1920000000000001E-2</v>
      </c>
      <c r="AH1388">
        <f t="shared" si="132"/>
        <v>0.70771000000000006</v>
      </c>
      <c r="AI1388">
        <f>VLOOKUP(L1388,'[1]Tuyến cáp H04'!$B:$E,3,0)/1000</f>
        <v>48.999000000000002</v>
      </c>
      <c r="AJ1388" t="str">
        <f>VLOOKUP(L1388,'[1]Tuyến cáp H04'!$B:$E,4,0)</f>
        <v>Mạng cấp 3</v>
      </c>
    </row>
    <row r="1389" spans="1:36" x14ac:dyDescent="0.25">
      <c r="A1389" s="1" t="s">
        <v>13292</v>
      </c>
      <c r="B1389" s="1" t="s">
        <v>13168</v>
      </c>
      <c r="C1389" s="1" t="s">
        <v>13169</v>
      </c>
      <c r="D1389" s="1" t="s">
        <v>12270</v>
      </c>
      <c r="E1389" s="1" t="s">
        <v>12271</v>
      </c>
      <c r="F1389" s="1" t="s">
        <v>13293</v>
      </c>
      <c r="G1389" s="1"/>
      <c r="H1389" s="1" t="s">
        <v>14282</v>
      </c>
      <c r="I1389" s="1" t="s">
        <v>15481</v>
      </c>
      <c r="J1389" s="1" t="s">
        <v>23</v>
      </c>
      <c r="K1389" s="1"/>
      <c r="L1389" s="1" t="s">
        <v>13294</v>
      </c>
      <c r="M1389" s="1" t="s">
        <v>13295</v>
      </c>
      <c r="N1389" s="1" t="s">
        <v>9792</v>
      </c>
      <c r="O1389" s="1" t="s">
        <v>13296</v>
      </c>
      <c r="P1389" s="1" t="s">
        <v>13297</v>
      </c>
      <c r="Q1389" s="1" t="s">
        <v>13298</v>
      </c>
      <c r="R1389" s="1" t="s">
        <v>13299</v>
      </c>
      <c r="S1389" s="1" t="s">
        <v>13300</v>
      </c>
      <c r="T1389" s="1" t="s">
        <v>13301</v>
      </c>
      <c r="U1389">
        <v>799.31</v>
      </c>
      <c r="V1389">
        <v>53.71</v>
      </c>
      <c r="W1389">
        <v>15.822854</v>
      </c>
      <c r="X1389">
        <v>108.24686</v>
      </c>
      <c r="Y1389">
        <v>745.6</v>
      </c>
      <c r="Z1389">
        <v>15.836684999999999</v>
      </c>
      <c r="AA1389">
        <v>108.124303</v>
      </c>
      <c r="AB1389" s="5">
        <f t="shared" si="127"/>
        <v>8.0564999999999998E-2</v>
      </c>
      <c r="AC1389" s="5">
        <f t="shared" si="128"/>
        <v>1.1184000000000001</v>
      </c>
      <c r="AD1389" s="1" t="str">
        <f t="shared" si="129"/>
        <v>Phú Thuận</v>
      </c>
      <c r="AE1389" s="1" t="str">
        <f t="shared" si="130"/>
        <v>Duy Xuyên</v>
      </c>
      <c r="AG1389">
        <f t="shared" si="131"/>
        <v>5.3710000000000001E-2</v>
      </c>
      <c r="AH1389">
        <f t="shared" si="132"/>
        <v>0.74560000000000004</v>
      </c>
      <c r="AI1389">
        <f>VLOOKUP(L1389,'[1]Tuyến cáp H04'!$B:$E,3,0)/1000</f>
        <v>30.079000000000001</v>
      </c>
      <c r="AJ1389" t="str">
        <f>VLOOKUP(L1389,'[1]Tuyến cáp H04'!$B:$E,4,0)</f>
        <v>Mạng cấp 4</v>
      </c>
    </row>
    <row r="1390" spans="1:36" x14ac:dyDescent="0.25">
      <c r="A1390" s="1" t="s">
        <v>13302</v>
      </c>
      <c r="B1390" s="1" t="s">
        <v>13168</v>
      </c>
      <c r="C1390" s="1" t="s">
        <v>13169</v>
      </c>
      <c r="D1390" s="1" t="s">
        <v>13303</v>
      </c>
      <c r="E1390" s="1" t="s">
        <v>13304</v>
      </c>
      <c r="F1390" s="1" t="s">
        <v>13305</v>
      </c>
      <c r="G1390" s="1" t="s">
        <v>14281</v>
      </c>
      <c r="H1390" s="1" t="s">
        <v>14282</v>
      </c>
      <c r="I1390" s="1" t="s">
        <v>15482</v>
      </c>
      <c r="J1390" s="1" t="s">
        <v>23</v>
      </c>
      <c r="K1390" s="1"/>
      <c r="L1390" s="1" t="s">
        <v>133</v>
      </c>
      <c r="M1390" s="1" t="s">
        <v>13306</v>
      </c>
      <c r="N1390" s="1" t="s">
        <v>13175</v>
      </c>
      <c r="O1390" s="1" t="s">
        <v>139</v>
      </c>
      <c r="P1390" s="1" t="s">
        <v>140</v>
      </c>
      <c r="Q1390" s="1" t="s">
        <v>13307</v>
      </c>
      <c r="R1390" s="1" t="s">
        <v>13308</v>
      </c>
      <c r="S1390" s="1" t="s">
        <v>13309</v>
      </c>
      <c r="T1390" s="1" t="s">
        <v>141</v>
      </c>
      <c r="U1390">
        <v>2543.6799999999998</v>
      </c>
      <c r="V1390">
        <v>51.92</v>
      </c>
      <c r="W1390">
        <v>15.822844</v>
      </c>
      <c r="X1390">
        <v>108.24684600000001</v>
      </c>
      <c r="Y1390">
        <v>2491.7600000000002</v>
      </c>
      <c r="Z1390">
        <v>15.830925000000001</v>
      </c>
      <c r="AA1390">
        <v>108.195851</v>
      </c>
      <c r="AB1390" s="5">
        <f t="shared" si="127"/>
        <v>7.7879999999999991E-2</v>
      </c>
      <c r="AC1390" s="5">
        <f t="shared" si="128"/>
        <v>3.7376400000000003</v>
      </c>
      <c r="AD1390" s="1" t="str">
        <f t="shared" si="129"/>
        <v>Trại giam An Điềm (C10)</v>
      </c>
      <c r="AE1390" s="1" t="str">
        <f t="shared" si="130"/>
        <v>Duy Xuyên</v>
      </c>
      <c r="AG1390">
        <f t="shared" si="131"/>
        <v>5.1920000000000001E-2</v>
      </c>
      <c r="AH1390">
        <f t="shared" si="132"/>
        <v>2.4917600000000002</v>
      </c>
      <c r="AI1390">
        <f>VLOOKUP(L1390,'[1]Tuyến cáp H04'!$B:$E,3,0)/1000</f>
        <v>48.999000000000002</v>
      </c>
      <c r="AJ1390" t="str">
        <f>VLOOKUP(L1390,'[1]Tuyến cáp H04'!$B:$E,4,0)</f>
        <v>Mạng cấp 3</v>
      </c>
    </row>
    <row r="1391" spans="1:36" x14ac:dyDescent="0.25">
      <c r="A1391" s="1" t="s">
        <v>13310</v>
      </c>
      <c r="B1391" s="1" t="s">
        <v>13168</v>
      </c>
      <c r="C1391" s="1" t="s">
        <v>13169</v>
      </c>
      <c r="D1391" s="1" t="s">
        <v>13311</v>
      </c>
      <c r="E1391" s="1" t="s">
        <v>13312</v>
      </c>
      <c r="F1391" s="1" t="s">
        <v>13313</v>
      </c>
      <c r="G1391" s="1" t="s">
        <v>14281</v>
      </c>
      <c r="H1391" s="1" t="s">
        <v>14282</v>
      </c>
      <c r="I1391" s="1" t="s">
        <v>15483</v>
      </c>
      <c r="J1391" s="1" t="s">
        <v>23</v>
      </c>
      <c r="K1391" s="1"/>
      <c r="L1391" s="1" t="s">
        <v>13294</v>
      </c>
      <c r="M1391" s="1" t="s">
        <v>13314</v>
      </c>
      <c r="N1391" s="1" t="s">
        <v>9792</v>
      </c>
      <c r="O1391" s="1" t="s">
        <v>13296</v>
      </c>
      <c r="P1391" s="1" t="s">
        <v>13297</v>
      </c>
      <c r="Q1391" s="1" t="s">
        <v>13315</v>
      </c>
      <c r="R1391" s="1" t="s">
        <v>13316</v>
      </c>
      <c r="S1391" s="1" t="s">
        <v>13317</v>
      </c>
      <c r="T1391" s="1" t="s">
        <v>13301</v>
      </c>
      <c r="U1391">
        <v>238.93</v>
      </c>
      <c r="V1391">
        <v>53.71</v>
      </c>
      <c r="W1391">
        <v>15.822854</v>
      </c>
      <c r="X1391">
        <v>108.24686</v>
      </c>
      <c r="Y1391">
        <v>185.23</v>
      </c>
      <c r="Z1391">
        <v>15.826288</v>
      </c>
      <c r="AA1391">
        <v>108.232608</v>
      </c>
      <c r="AB1391" s="5">
        <f t="shared" si="127"/>
        <v>8.0564999999999998E-2</v>
      </c>
      <c r="AC1391" s="5">
        <f t="shared" si="128"/>
        <v>0.27784499999999995</v>
      </c>
      <c r="AD1391" s="1" t="str">
        <f t="shared" si="129"/>
        <v>Phú Thuận</v>
      </c>
      <c r="AE1391" s="1" t="str">
        <f t="shared" si="130"/>
        <v>Duy Xuyên</v>
      </c>
      <c r="AG1391">
        <f t="shared" si="131"/>
        <v>5.3710000000000001E-2</v>
      </c>
      <c r="AH1391">
        <f t="shared" si="132"/>
        <v>0.18522999999999998</v>
      </c>
      <c r="AI1391">
        <f>VLOOKUP(L1391,'[1]Tuyến cáp H04'!$B:$E,3,0)/1000</f>
        <v>30.079000000000001</v>
      </c>
      <c r="AJ1391" t="str">
        <f>VLOOKUP(L1391,'[1]Tuyến cáp H04'!$B:$E,4,0)</f>
        <v>Mạng cấp 4</v>
      </c>
    </row>
    <row r="1392" spans="1:36" x14ac:dyDescent="0.25">
      <c r="A1392" s="1" t="s">
        <v>13318</v>
      </c>
      <c r="B1392" s="1" t="s">
        <v>13168</v>
      </c>
      <c r="C1392" s="1" t="s">
        <v>13169</v>
      </c>
      <c r="D1392" s="1" t="s">
        <v>13319</v>
      </c>
      <c r="E1392" s="1" t="s">
        <v>13320</v>
      </c>
      <c r="F1392" s="1" t="s">
        <v>13321</v>
      </c>
      <c r="G1392" s="1" t="s">
        <v>14281</v>
      </c>
      <c r="H1392" s="1" t="s">
        <v>14282</v>
      </c>
      <c r="I1392" s="1" t="s">
        <v>15484</v>
      </c>
      <c r="J1392" s="1" t="s">
        <v>23</v>
      </c>
      <c r="K1392" s="1"/>
      <c r="L1392" s="1" t="s">
        <v>133</v>
      </c>
      <c r="M1392" s="1" t="s">
        <v>13322</v>
      </c>
      <c r="N1392" s="1" t="s">
        <v>13175</v>
      </c>
      <c r="O1392" s="1" t="s">
        <v>139</v>
      </c>
      <c r="P1392" s="1" t="s">
        <v>140</v>
      </c>
      <c r="Q1392" s="1" t="s">
        <v>13323</v>
      </c>
      <c r="R1392" s="1" t="s">
        <v>13324</v>
      </c>
      <c r="S1392" s="1" t="s">
        <v>13325</v>
      </c>
      <c r="T1392" s="1" t="s">
        <v>141</v>
      </c>
      <c r="U1392">
        <v>2279.56</v>
      </c>
      <c r="V1392">
        <v>51.92</v>
      </c>
      <c r="W1392">
        <v>15.822844</v>
      </c>
      <c r="X1392">
        <v>108.24684600000001</v>
      </c>
      <c r="Y1392">
        <v>2227.63</v>
      </c>
      <c r="Z1392">
        <v>15.828367</v>
      </c>
      <c r="AA1392">
        <v>108.218264</v>
      </c>
      <c r="AB1392" s="5">
        <f t="shared" si="127"/>
        <v>7.7879999999999991E-2</v>
      </c>
      <c r="AC1392" s="5">
        <f t="shared" si="128"/>
        <v>3.3414450000000002</v>
      </c>
      <c r="AD1392" s="1" t="str">
        <f t="shared" si="129"/>
        <v>Trại giam An Điềm (C10)</v>
      </c>
      <c r="AE1392" s="1" t="str">
        <f t="shared" si="130"/>
        <v>Duy Xuyên</v>
      </c>
      <c r="AG1392">
        <f t="shared" si="131"/>
        <v>5.1920000000000001E-2</v>
      </c>
      <c r="AH1392">
        <f t="shared" si="132"/>
        <v>2.22763</v>
      </c>
      <c r="AI1392">
        <f>VLOOKUP(L1392,'[1]Tuyến cáp H04'!$B:$E,3,0)/1000</f>
        <v>48.999000000000002</v>
      </c>
      <c r="AJ1392" t="str">
        <f>VLOOKUP(L1392,'[1]Tuyến cáp H04'!$B:$E,4,0)</f>
        <v>Mạng cấp 3</v>
      </c>
    </row>
    <row r="1393" spans="1:36" x14ac:dyDescent="0.25">
      <c r="A1393" s="1" t="s">
        <v>13326</v>
      </c>
      <c r="B1393" s="1" t="s">
        <v>13168</v>
      </c>
      <c r="C1393" s="1" t="s">
        <v>13169</v>
      </c>
      <c r="D1393" s="1" t="s">
        <v>13327</v>
      </c>
      <c r="E1393" s="1" t="s">
        <v>13328</v>
      </c>
      <c r="F1393" s="1" t="s">
        <v>13329</v>
      </c>
      <c r="G1393" s="1" t="s">
        <v>14281</v>
      </c>
      <c r="H1393" s="1" t="s">
        <v>14282</v>
      </c>
      <c r="I1393" s="1" t="s">
        <v>15485</v>
      </c>
      <c r="J1393" s="1" t="s">
        <v>23</v>
      </c>
      <c r="K1393" s="1"/>
      <c r="L1393" s="1" t="s">
        <v>133</v>
      </c>
      <c r="M1393" s="1" t="s">
        <v>13330</v>
      </c>
      <c r="N1393" s="1" t="s">
        <v>13175</v>
      </c>
      <c r="O1393" s="1" t="s">
        <v>139</v>
      </c>
      <c r="P1393" s="1" t="s">
        <v>140</v>
      </c>
      <c r="Q1393" s="1" t="s">
        <v>13331</v>
      </c>
      <c r="R1393" s="1" t="s">
        <v>13332</v>
      </c>
      <c r="S1393" s="1" t="s">
        <v>13333</v>
      </c>
      <c r="T1393" s="1" t="s">
        <v>141</v>
      </c>
      <c r="U1393">
        <v>955.02</v>
      </c>
      <c r="V1393">
        <v>51.92</v>
      </c>
      <c r="W1393">
        <v>15.822844</v>
      </c>
      <c r="X1393">
        <v>108.24684600000001</v>
      </c>
      <c r="Y1393">
        <v>903.1</v>
      </c>
      <c r="Z1393">
        <v>15.826549</v>
      </c>
      <c r="AA1393">
        <v>108.23194100000001</v>
      </c>
      <c r="AB1393" s="5">
        <f t="shared" si="127"/>
        <v>7.7879999999999991E-2</v>
      </c>
      <c r="AC1393" s="5">
        <f t="shared" si="128"/>
        <v>1.3546500000000001</v>
      </c>
      <c r="AD1393" s="1" t="str">
        <f t="shared" si="129"/>
        <v>Trại giam An Điềm (C10)</v>
      </c>
      <c r="AE1393" s="1" t="str">
        <f t="shared" si="130"/>
        <v>Duy Xuyên</v>
      </c>
      <c r="AG1393">
        <f t="shared" si="131"/>
        <v>5.1920000000000001E-2</v>
      </c>
      <c r="AH1393">
        <f t="shared" si="132"/>
        <v>0.90310000000000001</v>
      </c>
      <c r="AI1393">
        <f>VLOOKUP(L1393,'[1]Tuyến cáp H04'!$B:$E,3,0)/1000</f>
        <v>48.999000000000002</v>
      </c>
      <c r="AJ1393" t="str">
        <f>VLOOKUP(L1393,'[1]Tuyến cáp H04'!$B:$E,4,0)</f>
        <v>Mạng cấp 3</v>
      </c>
    </row>
    <row r="1394" spans="1:36" x14ac:dyDescent="0.25">
      <c r="A1394" s="1" t="s">
        <v>13334</v>
      </c>
      <c r="B1394" s="1" t="s">
        <v>13168</v>
      </c>
      <c r="C1394" s="1" t="s">
        <v>13169</v>
      </c>
      <c r="D1394" s="1" t="s">
        <v>13335</v>
      </c>
      <c r="E1394" s="1" t="s">
        <v>13336</v>
      </c>
      <c r="F1394" s="1" t="s">
        <v>13337</v>
      </c>
      <c r="G1394" s="1" t="s">
        <v>14281</v>
      </c>
      <c r="H1394" s="1" t="s">
        <v>14282</v>
      </c>
      <c r="I1394" s="1" t="s">
        <v>15486</v>
      </c>
      <c r="J1394" s="1" t="s">
        <v>23</v>
      </c>
      <c r="K1394" s="1"/>
      <c r="L1394" s="1" t="s">
        <v>133</v>
      </c>
      <c r="M1394" s="1" t="s">
        <v>13338</v>
      </c>
      <c r="N1394" s="1" t="s">
        <v>13175</v>
      </c>
      <c r="O1394" s="1" t="s">
        <v>139</v>
      </c>
      <c r="P1394" s="1" t="s">
        <v>140</v>
      </c>
      <c r="Q1394" s="1" t="s">
        <v>13339</v>
      </c>
      <c r="R1394" s="1" t="s">
        <v>13340</v>
      </c>
      <c r="S1394" s="1" t="s">
        <v>13341</v>
      </c>
      <c r="T1394" s="1" t="s">
        <v>141</v>
      </c>
      <c r="U1394">
        <v>357.17</v>
      </c>
      <c r="V1394">
        <v>51.92</v>
      </c>
      <c r="W1394">
        <v>15.822844</v>
      </c>
      <c r="X1394">
        <v>108.24684600000001</v>
      </c>
      <c r="Y1394">
        <v>305.25</v>
      </c>
      <c r="Z1394">
        <v>15.827368999999999</v>
      </c>
      <c r="AA1394">
        <v>108.180673</v>
      </c>
      <c r="AB1394" s="5">
        <f t="shared" si="127"/>
        <v>7.7879999999999991E-2</v>
      </c>
      <c r="AC1394" s="5">
        <f t="shared" si="128"/>
        <v>0.45787499999999998</v>
      </c>
      <c r="AD1394" s="1" t="str">
        <f t="shared" si="129"/>
        <v>Trại giam An Điềm (C10)</v>
      </c>
      <c r="AE1394" s="1" t="str">
        <f t="shared" si="130"/>
        <v>Duy Xuyên</v>
      </c>
      <c r="AG1394">
        <f t="shared" si="131"/>
        <v>5.1920000000000001E-2</v>
      </c>
      <c r="AH1394">
        <f t="shared" si="132"/>
        <v>0.30525000000000002</v>
      </c>
      <c r="AI1394">
        <f>VLOOKUP(L1394,'[1]Tuyến cáp H04'!$B:$E,3,0)/1000</f>
        <v>48.999000000000002</v>
      </c>
      <c r="AJ1394" t="str">
        <f>VLOOKUP(L1394,'[1]Tuyến cáp H04'!$B:$E,4,0)</f>
        <v>Mạng cấp 3</v>
      </c>
    </row>
    <row r="1395" spans="1:36" x14ac:dyDescent="0.25">
      <c r="A1395" s="1" t="s">
        <v>13342</v>
      </c>
      <c r="B1395" s="1" t="s">
        <v>11289</v>
      </c>
      <c r="C1395" s="1" t="s">
        <v>11290</v>
      </c>
      <c r="D1395" s="1" t="s">
        <v>12287</v>
      </c>
      <c r="E1395" s="1" t="s">
        <v>12288</v>
      </c>
      <c r="F1395" s="1" t="s">
        <v>13343</v>
      </c>
      <c r="G1395" s="1" t="s">
        <v>14281</v>
      </c>
      <c r="H1395" s="1" t="s">
        <v>14282</v>
      </c>
      <c r="I1395" s="1" t="s">
        <v>15487</v>
      </c>
      <c r="J1395" s="1" t="s">
        <v>23</v>
      </c>
      <c r="K1395" s="1"/>
      <c r="L1395" s="1" t="s">
        <v>12290</v>
      </c>
      <c r="M1395" s="1" t="s">
        <v>13344</v>
      </c>
      <c r="N1395" s="1" t="s">
        <v>13345</v>
      </c>
      <c r="O1395" s="1" t="s">
        <v>13346</v>
      </c>
      <c r="P1395" s="1" t="s">
        <v>13347</v>
      </c>
      <c r="Q1395" s="1" t="s">
        <v>12293</v>
      </c>
      <c r="R1395" s="1" t="s">
        <v>12294</v>
      </c>
      <c r="S1395" s="1" t="s">
        <v>12295</v>
      </c>
      <c r="T1395" s="1" t="s">
        <v>12296</v>
      </c>
      <c r="U1395">
        <v>1430.15</v>
      </c>
      <c r="V1395">
        <v>50.89</v>
      </c>
      <c r="W1395">
        <v>15.881015</v>
      </c>
      <c r="X1395">
        <v>108.33228</v>
      </c>
      <c r="Y1395">
        <v>1379.26</v>
      </c>
      <c r="Z1395">
        <v>15.890886</v>
      </c>
      <c r="AA1395">
        <v>108.359292</v>
      </c>
      <c r="AB1395" s="5">
        <f t="shared" si="127"/>
        <v>7.6335000000000014E-2</v>
      </c>
      <c r="AC1395" s="5">
        <f t="shared" si="128"/>
        <v>2.0688899999999997</v>
      </c>
      <c r="AD1395" s="1" t="str">
        <f t="shared" si="129"/>
        <v>Hội An Đông</v>
      </c>
      <c r="AE1395" s="1" t="str">
        <f t="shared" si="130"/>
        <v>TTCMKV Hội An</v>
      </c>
      <c r="AG1395">
        <f t="shared" si="131"/>
        <v>5.0889999999999998E-2</v>
      </c>
      <c r="AH1395">
        <f t="shared" si="132"/>
        <v>1.3792599999999999</v>
      </c>
      <c r="AI1395">
        <f>VLOOKUP(L1395,'[1]Tuyến cáp H04'!$B:$E,3,0)/1000</f>
        <v>5.12</v>
      </c>
      <c r="AJ1395" t="str">
        <f>VLOOKUP(L1395,'[1]Tuyến cáp H04'!$B:$E,4,0)</f>
        <v>Mạng cấp 4</v>
      </c>
    </row>
    <row r="1396" spans="1:36" x14ac:dyDescent="0.25">
      <c r="A1396" s="1" t="s">
        <v>13348</v>
      </c>
      <c r="B1396" s="1" t="s">
        <v>11289</v>
      </c>
      <c r="C1396" s="1" t="s">
        <v>11290</v>
      </c>
      <c r="D1396" s="1" t="s">
        <v>13349</v>
      </c>
      <c r="E1396" s="1" t="s">
        <v>13350</v>
      </c>
      <c r="F1396" s="1" t="s">
        <v>13351</v>
      </c>
      <c r="G1396" s="1" t="s">
        <v>14281</v>
      </c>
      <c r="H1396" s="1" t="s">
        <v>14282</v>
      </c>
      <c r="I1396" s="1" t="s">
        <v>15488</v>
      </c>
      <c r="J1396" s="1" t="s">
        <v>23</v>
      </c>
      <c r="K1396" s="1"/>
      <c r="L1396" s="1" t="s">
        <v>11306</v>
      </c>
      <c r="M1396" s="1" t="s">
        <v>13352</v>
      </c>
      <c r="N1396" s="1" t="s">
        <v>11308</v>
      </c>
      <c r="O1396" s="1" t="s">
        <v>11309</v>
      </c>
      <c r="P1396" s="1" t="s">
        <v>11310</v>
      </c>
      <c r="Q1396" s="1" t="s">
        <v>13353</v>
      </c>
      <c r="R1396" s="1" t="s">
        <v>13354</v>
      </c>
      <c r="S1396" s="1" t="s">
        <v>13355</v>
      </c>
      <c r="T1396" s="1" t="s">
        <v>11314</v>
      </c>
      <c r="U1396">
        <v>1430.12</v>
      </c>
      <c r="V1396">
        <v>30.36</v>
      </c>
      <c r="W1396">
        <v>15.880701999999999</v>
      </c>
      <c r="X1396">
        <v>108.33218100000001</v>
      </c>
      <c r="Y1396">
        <v>1399.76</v>
      </c>
      <c r="Z1396">
        <v>15.889308</v>
      </c>
      <c r="AA1396">
        <v>108.25611000000001</v>
      </c>
      <c r="AB1396" s="5">
        <f t="shared" si="127"/>
        <v>4.5539999999999997E-2</v>
      </c>
      <c r="AC1396" s="5">
        <f t="shared" si="128"/>
        <v>2.09964</v>
      </c>
      <c r="AD1396" s="1" t="str">
        <f t="shared" si="129"/>
        <v>điện bàn</v>
      </c>
      <c r="AE1396" s="1" t="str">
        <f t="shared" si="130"/>
        <v>Hội An</v>
      </c>
      <c r="AG1396">
        <f t="shared" si="131"/>
        <v>3.0359999999999998E-2</v>
      </c>
      <c r="AH1396">
        <f t="shared" si="132"/>
        <v>1.3997599999999999</v>
      </c>
      <c r="AI1396" t="e">
        <f>VLOOKUP(L1396,'[1]Tuyến cáp H04'!$B:$E,3,0)/1000</f>
        <v>#N/A</v>
      </c>
      <c r="AJ1396" t="e">
        <f>VLOOKUP(L1396,'[1]Tuyến cáp H04'!$B:$E,4,0)</f>
        <v>#N/A</v>
      </c>
    </row>
    <row r="1397" spans="1:36" x14ac:dyDescent="0.25">
      <c r="A1397" s="1" t="s">
        <v>13356</v>
      </c>
      <c r="B1397" s="1" t="s">
        <v>11289</v>
      </c>
      <c r="C1397" s="1" t="s">
        <v>11290</v>
      </c>
      <c r="D1397" s="1" t="e">
        <v>#N/A</v>
      </c>
      <c r="E1397" s="1" t="e">
        <v>#N/A</v>
      </c>
      <c r="F1397" s="1" t="s">
        <v>13357</v>
      </c>
      <c r="G1397" s="1" t="s">
        <v>14281</v>
      </c>
      <c r="H1397" s="1" t="s">
        <v>14282</v>
      </c>
      <c r="I1397" s="1" t="s">
        <v>15489</v>
      </c>
      <c r="J1397" s="1" t="s">
        <v>5166</v>
      </c>
      <c r="K1397" s="1" t="s">
        <v>11893</v>
      </c>
      <c r="L1397" s="1"/>
      <c r="M1397" s="1"/>
      <c r="N1397" s="1"/>
      <c r="O1397" s="1"/>
      <c r="P1397" s="1"/>
      <c r="Q1397" s="1"/>
      <c r="R1397" s="1"/>
      <c r="S1397" s="1"/>
      <c r="T1397" s="1"/>
      <c r="AB1397" s="5"/>
      <c r="AC1397" s="5"/>
      <c r="AD1397" s="1"/>
      <c r="AE1397" s="1"/>
      <c r="AI1397" t="e">
        <f>VLOOKUP(L1397,'[1]Tuyến cáp H04'!$B:$E,3,0)/1000</f>
        <v>#N/A</v>
      </c>
      <c r="AJ1397" t="e">
        <f>VLOOKUP(L1397,'[1]Tuyến cáp H04'!$B:$E,4,0)</f>
        <v>#N/A</v>
      </c>
    </row>
    <row r="1398" spans="1:36" x14ac:dyDescent="0.25">
      <c r="A1398" s="1" t="s">
        <v>13358</v>
      </c>
      <c r="B1398" s="1" t="s">
        <v>11340</v>
      </c>
      <c r="C1398" s="1" t="s">
        <v>11341</v>
      </c>
      <c r="D1398" s="1" t="s">
        <v>13359</v>
      </c>
      <c r="E1398" s="1" t="s">
        <v>13360</v>
      </c>
      <c r="F1398" s="1" t="s">
        <v>13361</v>
      </c>
      <c r="G1398" s="1" t="s">
        <v>14281</v>
      </c>
      <c r="H1398" s="1" t="s">
        <v>14282</v>
      </c>
      <c r="I1398" s="1" t="s">
        <v>15490</v>
      </c>
      <c r="J1398" s="1" t="s">
        <v>23</v>
      </c>
      <c r="K1398" s="1"/>
      <c r="L1398" s="1" t="s">
        <v>11345</v>
      </c>
      <c r="M1398" s="1" t="s">
        <v>13362</v>
      </c>
      <c r="N1398" s="1" t="s">
        <v>13363</v>
      </c>
      <c r="O1398" s="1" t="s">
        <v>13364</v>
      </c>
      <c r="P1398" s="1" t="s">
        <v>13365</v>
      </c>
      <c r="Q1398" s="1" t="s">
        <v>13366</v>
      </c>
      <c r="R1398" s="1" t="s">
        <v>13367</v>
      </c>
      <c r="S1398" s="1" t="s">
        <v>13368</v>
      </c>
      <c r="T1398" s="1" t="s">
        <v>13369</v>
      </c>
      <c r="U1398">
        <v>151.55000000000001</v>
      </c>
      <c r="V1398">
        <v>35.22</v>
      </c>
      <c r="W1398">
        <v>15.432839</v>
      </c>
      <c r="X1398">
        <v>108.660348</v>
      </c>
      <c r="Y1398">
        <v>116.34</v>
      </c>
      <c r="Z1398">
        <v>15.460558000000001</v>
      </c>
      <c r="AA1398">
        <v>108.60286600000001</v>
      </c>
      <c r="AB1398" s="5">
        <f t="shared" si="127"/>
        <v>5.2829999999999995E-2</v>
      </c>
      <c r="AC1398" s="5">
        <f t="shared" si="128"/>
        <v>0.17451</v>
      </c>
      <c r="AD1398" s="1" t="str">
        <f t="shared" si="129"/>
        <v>Tam Anh</v>
      </c>
      <c r="AE1398" s="1" t="str">
        <f t="shared" si="130"/>
        <v>Núi Thành</v>
      </c>
      <c r="AG1398">
        <f t="shared" si="131"/>
        <v>3.5220000000000001E-2</v>
      </c>
      <c r="AH1398">
        <f t="shared" si="132"/>
        <v>0.11634</v>
      </c>
      <c r="AI1398">
        <f>VLOOKUP(L1398,'[1]Tuyến cáp H04'!$B:$E,3,0)/1000</f>
        <v>14.798</v>
      </c>
      <c r="AJ1398" t="str">
        <f>VLOOKUP(L1398,'[1]Tuyến cáp H04'!$B:$E,4,0)</f>
        <v>Mạng cấp 4</v>
      </c>
    </row>
    <row r="1399" spans="1:36" x14ac:dyDescent="0.25">
      <c r="A1399" s="1" t="s">
        <v>13370</v>
      </c>
      <c r="B1399" s="1" t="s">
        <v>11340</v>
      </c>
      <c r="C1399" s="1" t="s">
        <v>11341</v>
      </c>
      <c r="D1399" s="1" t="s">
        <v>11560</v>
      </c>
      <c r="E1399" s="1" t="s">
        <v>11561</v>
      </c>
      <c r="F1399" s="1" t="s">
        <v>13371</v>
      </c>
      <c r="G1399" s="1" t="s">
        <v>14281</v>
      </c>
      <c r="H1399" s="1" t="s">
        <v>14282</v>
      </c>
      <c r="I1399" s="1" t="s">
        <v>15491</v>
      </c>
      <c r="J1399" s="1" t="s">
        <v>23</v>
      </c>
      <c r="K1399" s="1"/>
      <c r="L1399" s="1" t="s">
        <v>12354</v>
      </c>
      <c r="M1399" s="1" t="s">
        <v>13372</v>
      </c>
      <c r="N1399" s="1" t="s">
        <v>13373</v>
      </c>
      <c r="O1399" s="1" t="s">
        <v>13374</v>
      </c>
      <c r="P1399" s="1" t="s">
        <v>13375</v>
      </c>
      <c r="Q1399" s="1" t="s">
        <v>13376</v>
      </c>
      <c r="R1399" s="1" t="s">
        <v>13377</v>
      </c>
      <c r="S1399" s="1" t="s">
        <v>13378</v>
      </c>
      <c r="T1399" s="1" t="s">
        <v>12362</v>
      </c>
      <c r="U1399">
        <v>11891.46</v>
      </c>
      <c r="V1399">
        <v>8872.81</v>
      </c>
      <c r="W1399">
        <v>15.446864</v>
      </c>
      <c r="X1399">
        <v>108.578954</v>
      </c>
      <c r="Y1399">
        <v>3018.65</v>
      </c>
      <c r="Z1399">
        <v>15.553322</v>
      </c>
      <c r="AA1399">
        <v>108.48165400000001</v>
      </c>
      <c r="AB1399" s="5">
        <f t="shared" si="127"/>
        <v>13.309215</v>
      </c>
      <c r="AC1399" s="5">
        <f t="shared" si="128"/>
        <v>4.5279750000000005</v>
      </c>
      <c r="AD1399" s="1" t="str">
        <f t="shared" si="129"/>
        <v>Đức phú</v>
      </c>
      <c r="AE1399" s="1" t="str">
        <f t="shared" si="130"/>
        <v>Phú Ninh</v>
      </c>
      <c r="AG1399">
        <f t="shared" si="131"/>
        <v>8.8728099999999994</v>
      </c>
      <c r="AH1399">
        <f t="shared" si="132"/>
        <v>3.0186500000000001</v>
      </c>
      <c r="AI1399" t="e">
        <f>VLOOKUP(L1399,'[1]Tuyến cáp H04'!$B:$E,3,0)/1000</f>
        <v>#N/A</v>
      </c>
      <c r="AJ1399" t="e">
        <f>VLOOKUP(L1399,'[1]Tuyến cáp H04'!$B:$E,4,0)</f>
        <v>#N/A</v>
      </c>
    </row>
    <row r="1400" spans="1:36" x14ac:dyDescent="0.25">
      <c r="A1400" s="1" t="s">
        <v>13379</v>
      </c>
      <c r="B1400" s="1" t="s">
        <v>11340</v>
      </c>
      <c r="C1400" s="1" t="s">
        <v>11341</v>
      </c>
      <c r="D1400" s="1" t="s">
        <v>13380</v>
      </c>
      <c r="E1400" s="1" t="s">
        <v>13381</v>
      </c>
      <c r="F1400" s="1" t="s">
        <v>13382</v>
      </c>
      <c r="G1400" s="1" t="s">
        <v>14281</v>
      </c>
      <c r="H1400" s="1" t="s">
        <v>14282</v>
      </c>
      <c r="I1400" s="1" t="s">
        <v>15492</v>
      </c>
      <c r="J1400" s="1" t="s">
        <v>23</v>
      </c>
      <c r="K1400" s="1"/>
      <c r="L1400" s="1" t="s">
        <v>11345</v>
      </c>
      <c r="M1400" s="1" t="s">
        <v>13383</v>
      </c>
      <c r="N1400" s="1" t="s">
        <v>13363</v>
      </c>
      <c r="O1400" s="1" t="s">
        <v>13364</v>
      </c>
      <c r="P1400" s="1" t="s">
        <v>13365</v>
      </c>
      <c r="Q1400" s="1" t="s">
        <v>13384</v>
      </c>
      <c r="R1400" s="1" t="s">
        <v>13385</v>
      </c>
      <c r="S1400" s="1" t="s">
        <v>13386</v>
      </c>
      <c r="T1400" s="1" t="s">
        <v>13369</v>
      </c>
      <c r="U1400">
        <v>326.87</v>
      </c>
      <c r="V1400">
        <v>35.22</v>
      </c>
      <c r="W1400">
        <v>15.432839</v>
      </c>
      <c r="X1400">
        <v>108.660348</v>
      </c>
      <c r="Y1400">
        <v>291.66000000000003</v>
      </c>
      <c r="Z1400">
        <v>15.432786</v>
      </c>
      <c r="AA1400">
        <v>108.651911</v>
      </c>
      <c r="AB1400" s="5">
        <f t="shared" si="127"/>
        <v>5.2829999999999995E-2</v>
      </c>
      <c r="AC1400" s="5">
        <f t="shared" si="128"/>
        <v>0.43748999999999999</v>
      </c>
      <c r="AD1400" s="1" t="str">
        <f t="shared" si="129"/>
        <v>Tam Anh</v>
      </c>
      <c r="AE1400" s="1" t="str">
        <f t="shared" si="130"/>
        <v>Núi Thành</v>
      </c>
      <c r="AG1400">
        <f t="shared" si="131"/>
        <v>3.5220000000000001E-2</v>
      </c>
      <c r="AH1400">
        <f t="shared" si="132"/>
        <v>0.29166000000000003</v>
      </c>
      <c r="AI1400">
        <f>VLOOKUP(L1400,'[1]Tuyến cáp H04'!$B:$E,3,0)/1000</f>
        <v>14.798</v>
      </c>
      <c r="AJ1400" t="str">
        <f>VLOOKUP(L1400,'[1]Tuyến cáp H04'!$B:$E,4,0)</f>
        <v>Mạng cấp 4</v>
      </c>
    </row>
    <row r="1401" spans="1:36" x14ac:dyDescent="0.25">
      <c r="A1401" s="1" t="s">
        <v>13387</v>
      </c>
      <c r="B1401" s="1" t="s">
        <v>11340</v>
      </c>
      <c r="C1401" s="1" t="s">
        <v>11341</v>
      </c>
      <c r="D1401" s="1" t="s">
        <v>13388</v>
      </c>
      <c r="E1401" s="1" t="s">
        <v>13389</v>
      </c>
      <c r="F1401" s="1" t="s">
        <v>13390</v>
      </c>
      <c r="G1401" s="1" t="s">
        <v>14281</v>
      </c>
      <c r="H1401" s="1" t="s">
        <v>14282</v>
      </c>
      <c r="I1401" s="1" t="s">
        <v>15493</v>
      </c>
      <c r="J1401" s="1" t="s">
        <v>23</v>
      </c>
      <c r="K1401" s="1"/>
      <c r="L1401" s="1" t="s">
        <v>11345</v>
      </c>
      <c r="M1401" s="1" t="s">
        <v>13391</v>
      </c>
      <c r="N1401" s="1" t="s">
        <v>11347</v>
      </c>
      <c r="O1401" s="1" t="s">
        <v>11348</v>
      </c>
      <c r="P1401" s="1" t="s">
        <v>11349</v>
      </c>
      <c r="Q1401" s="1" t="s">
        <v>13392</v>
      </c>
      <c r="R1401" s="1" t="s">
        <v>11348</v>
      </c>
      <c r="S1401" s="1" t="s">
        <v>11349</v>
      </c>
      <c r="T1401" s="1" t="s">
        <v>11353</v>
      </c>
      <c r="U1401">
        <v>2923.33</v>
      </c>
      <c r="V1401">
        <v>3.91</v>
      </c>
      <c r="W1401">
        <v>15.433142</v>
      </c>
      <c r="X1401">
        <v>108.660472</v>
      </c>
      <c r="Y1401">
        <v>2919.42</v>
      </c>
      <c r="Z1401">
        <v>15.433142</v>
      </c>
      <c r="AA1401">
        <v>108.660472</v>
      </c>
      <c r="AB1401" s="5">
        <f t="shared" si="127"/>
        <v>5.8650000000000004E-3</v>
      </c>
      <c r="AC1401" s="5">
        <f t="shared" si="128"/>
        <v>4.37913</v>
      </c>
      <c r="AD1401" s="1" t="str">
        <f t="shared" si="129"/>
        <v>Tam Anh</v>
      </c>
      <c r="AE1401" s="1" t="str">
        <f t="shared" si="130"/>
        <v>Núi Thành</v>
      </c>
      <c r="AG1401">
        <f t="shared" si="131"/>
        <v>3.9100000000000003E-3</v>
      </c>
      <c r="AH1401">
        <f t="shared" si="132"/>
        <v>2.9194200000000001</v>
      </c>
      <c r="AI1401">
        <f>VLOOKUP(L1401,'[1]Tuyến cáp H04'!$B:$E,3,0)/1000</f>
        <v>14.798</v>
      </c>
      <c r="AJ1401" t="str">
        <f>VLOOKUP(L1401,'[1]Tuyến cáp H04'!$B:$E,4,0)</f>
        <v>Mạng cấp 4</v>
      </c>
    </row>
    <row r="1402" spans="1:36" x14ac:dyDescent="0.25">
      <c r="A1402" s="1" t="s">
        <v>13393</v>
      </c>
      <c r="B1402" s="1" t="s">
        <v>11340</v>
      </c>
      <c r="C1402" s="1" t="s">
        <v>11341</v>
      </c>
      <c r="D1402" s="1" t="s">
        <v>13394</v>
      </c>
      <c r="E1402" s="1" t="s">
        <v>13395</v>
      </c>
      <c r="F1402" s="1" t="s">
        <v>13396</v>
      </c>
      <c r="G1402" s="1" t="s">
        <v>14281</v>
      </c>
      <c r="H1402" s="1" t="s">
        <v>14282</v>
      </c>
      <c r="I1402" s="1" t="s">
        <v>15494</v>
      </c>
      <c r="J1402" s="1" t="s">
        <v>23</v>
      </c>
      <c r="K1402" s="1"/>
      <c r="L1402" s="1" t="s">
        <v>11345</v>
      </c>
      <c r="M1402" s="1" t="s">
        <v>13397</v>
      </c>
      <c r="N1402" s="1" t="s">
        <v>11347</v>
      </c>
      <c r="O1402" s="1" t="s">
        <v>11348</v>
      </c>
      <c r="P1402" s="1" t="s">
        <v>11349</v>
      </c>
      <c r="Q1402" s="1" t="s">
        <v>13398</v>
      </c>
      <c r="R1402" s="1" t="s">
        <v>11348</v>
      </c>
      <c r="S1402" s="1" t="s">
        <v>11349</v>
      </c>
      <c r="T1402" s="1" t="s">
        <v>11353</v>
      </c>
      <c r="U1402">
        <v>2814.25</v>
      </c>
      <c r="V1402">
        <v>3.91</v>
      </c>
      <c r="W1402">
        <v>15.433142</v>
      </c>
      <c r="X1402">
        <v>108.660472</v>
      </c>
      <c r="Y1402">
        <v>2810.34</v>
      </c>
      <c r="Z1402">
        <v>15.433142</v>
      </c>
      <c r="AA1402">
        <v>108.660472</v>
      </c>
      <c r="AB1402" s="5">
        <f t="shared" si="127"/>
        <v>5.8650000000000004E-3</v>
      </c>
      <c r="AC1402" s="5">
        <f t="shared" si="128"/>
        <v>4.2155100000000001</v>
      </c>
      <c r="AD1402" s="1" t="str">
        <f t="shared" si="129"/>
        <v>Tam Anh</v>
      </c>
      <c r="AE1402" s="1" t="str">
        <f t="shared" si="130"/>
        <v>Núi Thành</v>
      </c>
      <c r="AG1402">
        <f t="shared" si="131"/>
        <v>3.9100000000000003E-3</v>
      </c>
      <c r="AH1402">
        <f t="shared" si="132"/>
        <v>2.8103400000000001</v>
      </c>
      <c r="AI1402">
        <f>VLOOKUP(L1402,'[1]Tuyến cáp H04'!$B:$E,3,0)/1000</f>
        <v>14.798</v>
      </c>
      <c r="AJ1402" t="str">
        <f>VLOOKUP(L1402,'[1]Tuyến cáp H04'!$B:$E,4,0)</f>
        <v>Mạng cấp 4</v>
      </c>
    </row>
    <row r="1403" spans="1:36" x14ac:dyDescent="0.25">
      <c r="A1403" s="1" t="s">
        <v>13399</v>
      </c>
      <c r="B1403" s="1" t="s">
        <v>11340</v>
      </c>
      <c r="C1403" s="1" t="s">
        <v>11341</v>
      </c>
      <c r="D1403" s="1" t="s">
        <v>13400</v>
      </c>
      <c r="E1403" s="1" t="s">
        <v>13401</v>
      </c>
      <c r="F1403" s="1" t="s">
        <v>13402</v>
      </c>
      <c r="G1403" s="1" t="s">
        <v>14281</v>
      </c>
      <c r="H1403" s="1" t="s">
        <v>14282</v>
      </c>
      <c r="I1403" s="1" t="s">
        <v>15495</v>
      </c>
      <c r="J1403" s="1" t="s">
        <v>23</v>
      </c>
      <c r="K1403" s="1"/>
      <c r="L1403" s="1" t="s">
        <v>11345</v>
      </c>
      <c r="M1403" s="1" t="s">
        <v>13403</v>
      </c>
      <c r="N1403" s="1" t="s">
        <v>11347</v>
      </c>
      <c r="O1403" s="1" t="s">
        <v>11348</v>
      </c>
      <c r="P1403" s="1" t="s">
        <v>11349</v>
      </c>
      <c r="Q1403" s="1" t="s">
        <v>13404</v>
      </c>
      <c r="R1403" s="1" t="s">
        <v>11351</v>
      </c>
      <c r="S1403" s="1" t="s">
        <v>11352</v>
      </c>
      <c r="T1403" s="1" t="s">
        <v>11353</v>
      </c>
      <c r="U1403">
        <v>4574.96</v>
      </c>
      <c r="V1403">
        <v>3.91</v>
      </c>
      <c r="W1403">
        <v>15.433142</v>
      </c>
      <c r="X1403">
        <v>108.660472</v>
      </c>
      <c r="Y1403">
        <v>4571.05</v>
      </c>
      <c r="Z1403">
        <v>15.432864</v>
      </c>
      <c r="AA1403">
        <v>108.66029</v>
      </c>
      <c r="AB1403" s="5">
        <f t="shared" si="127"/>
        <v>5.8650000000000004E-3</v>
      </c>
      <c r="AC1403" s="5">
        <f t="shared" si="128"/>
        <v>6.8565750000000003</v>
      </c>
      <c r="AD1403" s="1" t="str">
        <f t="shared" si="129"/>
        <v>Tam Anh</v>
      </c>
      <c r="AE1403" s="1" t="str">
        <f t="shared" si="130"/>
        <v>Núi Thành</v>
      </c>
      <c r="AG1403">
        <f t="shared" si="131"/>
        <v>3.9100000000000003E-3</v>
      </c>
      <c r="AH1403">
        <f t="shared" si="132"/>
        <v>4.5710500000000005</v>
      </c>
      <c r="AI1403">
        <f>VLOOKUP(L1403,'[1]Tuyến cáp H04'!$B:$E,3,0)/1000</f>
        <v>14.798</v>
      </c>
      <c r="AJ1403" t="str">
        <f>VLOOKUP(L1403,'[1]Tuyến cáp H04'!$B:$E,4,0)</f>
        <v>Mạng cấp 4</v>
      </c>
    </row>
    <row r="1404" spans="1:36" x14ac:dyDescent="0.25">
      <c r="A1404" s="1" t="s">
        <v>13405</v>
      </c>
      <c r="B1404" s="1" t="s">
        <v>11355</v>
      </c>
      <c r="C1404" s="1" t="s">
        <v>11356</v>
      </c>
      <c r="D1404" s="1" t="s">
        <v>11552</v>
      </c>
      <c r="E1404" s="1" t="s">
        <v>11553</v>
      </c>
      <c r="F1404" s="1" t="s">
        <v>13406</v>
      </c>
      <c r="G1404" s="1" t="s">
        <v>14281</v>
      </c>
      <c r="H1404" s="1" t="s">
        <v>14282</v>
      </c>
      <c r="I1404" s="1" t="s">
        <v>15496</v>
      </c>
      <c r="J1404" s="1" t="s">
        <v>23</v>
      </c>
      <c r="K1404" s="1"/>
      <c r="L1404" s="1" t="s">
        <v>11373</v>
      </c>
      <c r="M1404" s="1" t="s">
        <v>13407</v>
      </c>
      <c r="N1404" s="1" t="s">
        <v>11375</v>
      </c>
      <c r="O1404" s="1" t="s">
        <v>11376</v>
      </c>
      <c r="P1404" s="1" t="s">
        <v>11377</v>
      </c>
      <c r="Q1404" s="1" t="s">
        <v>13408</v>
      </c>
      <c r="R1404" s="1" t="s">
        <v>13409</v>
      </c>
      <c r="S1404" s="1" t="s">
        <v>13410</v>
      </c>
      <c r="T1404" s="1" t="s">
        <v>11381</v>
      </c>
      <c r="U1404">
        <v>895.37</v>
      </c>
      <c r="V1404">
        <v>813.22</v>
      </c>
      <c r="W1404">
        <v>15.741393</v>
      </c>
      <c r="X1404">
        <v>108.35662000000001</v>
      </c>
      <c r="Y1404">
        <v>82.15</v>
      </c>
      <c r="Z1404">
        <v>15.788897</v>
      </c>
      <c r="AA1404">
        <v>108.321879</v>
      </c>
      <c r="AB1404" s="5">
        <f t="shared" si="127"/>
        <v>1.21983</v>
      </c>
      <c r="AC1404" s="5">
        <f t="shared" si="128"/>
        <v>0.12322500000000002</v>
      </c>
      <c r="AD1404" s="1" t="str">
        <f t="shared" si="129"/>
        <v>Duy Xuyên</v>
      </c>
      <c r="AE1404" s="1" t="str">
        <f t="shared" si="130"/>
        <v>TT2 Tam Kỳ</v>
      </c>
      <c r="AG1404">
        <f t="shared" si="131"/>
        <v>0.81322000000000005</v>
      </c>
      <c r="AH1404">
        <f t="shared" si="132"/>
        <v>8.2150000000000001E-2</v>
      </c>
      <c r="AI1404">
        <f>VLOOKUP(L1404,'[1]Tuyến cáp H04'!$B:$E,3,0)/1000</f>
        <v>44.616</v>
      </c>
      <c r="AJ1404" t="str">
        <f>VLOOKUP(L1404,'[1]Tuyến cáp H04'!$B:$E,4,0)</f>
        <v>Mạng cấp 3</v>
      </c>
    </row>
    <row r="1405" spans="1:36" x14ac:dyDescent="0.25">
      <c r="A1405" s="1" t="s">
        <v>13411</v>
      </c>
      <c r="B1405" s="1" t="s">
        <v>11355</v>
      </c>
      <c r="C1405" s="1" t="s">
        <v>11356</v>
      </c>
      <c r="D1405" s="1" t="s">
        <v>11492</v>
      </c>
      <c r="E1405" s="1" t="s">
        <v>11493</v>
      </c>
      <c r="F1405" s="1" t="s">
        <v>13412</v>
      </c>
      <c r="G1405" s="1" t="s">
        <v>14281</v>
      </c>
      <c r="H1405" s="1" t="s">
        <v>14282</v>
      </c>
      <c r="I1405" s="1" t="s">
        <v>15497</v>
      </c>
      <c r="J1405" s="1" t="s">
        <v>23</v>
      </c>
      <c r="K1405" s="1"/>
      <c r="L1405" s="1" t="s">
        <v>11429</v>
      </c>
      <c r="M1405" s="1" t="s">
        <v>13413</v>
      </c>
      <c r="N1405" s="1" t="s">
        <v>11431</v>
      </c>
      <c r="O1405" s="1" t="s">
        <v>11432</v>
      </c>
      <c r="P1405" s="1" t="s">
        <v>11433</v>
      </c>
      <c r="Q1405" s="1" t="s">
        <v>13414</v>
      </c>
      <c r="R1405" s="1" t="s">
        <v>13415</v>
      </c>
      <c r="S1405" s="1" t="s">
        <v>13416</v>
      </c>
      <c r="T1405" s="1" t="s">
        <v>11437</v>
      </c>
      <c r="U1405">
        <v>4729.3999999999996</v>
      </c>
      <c r="V1405">
        <v>1063.79</v>
      </c>
      <c r="W1405">
        <v>15.742058</v>
      </c>
      <c r="X1405">
        <v>108.359236</v>
      </c>
      <c r="Y1405">
        <v>3665.6</v>
      </c>
      <c r="Z1405">
        <v>15.759016000000001</v>
      </c>
      <c r="AA1405">
        <v>108.393829</v>
      </c>
      <c r="AB1405" s="5">
        <f t="shared" si="127"/>
        <v>1.595685</v>
      </c>
      <c r="AC1405" s="5">
        <f t="shared" si="128"/>
        <v>5.4983999999999993</v>
      </c>
      <c r="AD1405" s="1" t="str">
        <f t="shared" si="129"/>
        <v>E28</v>
      </c>
      <c r="AE1405" s="1" t="str">
        <f t="shared" si="130"/>
        <v>Thăng An</v>
      </c>
      <c r="AG1405">
        <f t="shared" si="131"/>
        <v>1.06379</v>
      </c>
      <c r="AH1405">
        <f t="shared" si="132"/>
        <v>3.6656</v>
      </c>
      <c r="AI1405">
        <f>VLOOKUP(L1405,'[1]Tuyến cáp H04'!$B:$E,3,0)/1000</f>
        <v>7.88</v>
      </c>
      <c r="AJ1405" t="str">
        <f>VLOOKUP(L1405,'[1]Tuyến cáp H04'!$B:$E,4,0)</f>
        <v>Mạng cấp 4</v>
      </c>
    </row>
    <row r="1406" spans="1:36" x14ac:dyDescent="0.25">
      <c r="A1406" s="1" t="s">
        <v>13417</v>
      </c>
      <c r="B1406" s="1" t="s">
        <v>11355</v>
      </c>
      <c r="C1406" s="1" t="s">
        <v>11356</v>
      </c>
      <c r="D1406" s="1" t="e">
        <v>#N/A</v>
      </c>
      <c r="E1406" s="1" t="e">
        <v>#N/A</v>
      </c>
      <c r="F1406" s="1" t="s">
        <v>13418</v>
      </c>
      <c r="G1406" s="1" t="s">
        <v>14281</v>
      </c>
      <c r="H1406" s="1" t="s">
        <v>14282</v>
      </c>
      <c r="I1406" s="1" t="s">
        <v>15498</v>
      </c>
      <c r="J1406" s="1" t="s">
        <v>5166</v>
      </c>
      <c r="K1406" s="1" t="s">
        <v>11893</v>
      </c>
      <c r="L1406" s="1"/>
      <c r="M1406" s="1"/>
      <c r="N1406" s="1"/>
      <c r="O1406" s="1"/>
      <c r="P1406" s="1"/>
      <c r="Q1406" s="1"/>
      <c r="R1406" s="1"/>
      <c r="S1406" s="1"/>
      <c r="T1406" s="1"/>
      <c r="AB1406" s="5"/>
      <c r="AC1406" s="5"/>
      <c r="AD1406" s="1"/>
      <c r="AE1406" s="1"/>
      <c r="AI1406" t="e">
        <f>VLOOKUP(L1406,'[1]Tuyến cáp H04'!$B:$E,3,0)/1000</f>
        <v>#N/A</v>
      </c>
      <c r="AJ1406" t="e">
        <f>VLOOKUP(L1406,'[1]Tuyến cáp H04'!$B:$E,4,0)</f>
        <v>#N/A</v>
      </c>
    </row>
    <row r="1407" spans="1:36" x14ac:dyDescent="0.25">
      <c r="A1407" s="1" t="s">
        <v>13419</v>
      </c>
      <c r="B1407" s="1" t="s">
        <v>11355</v>
      </c>
      <c r="C1407" s="1" t="s">
        <v>11356</v>
      </c>
      <c r="D1407" s="1" t="s">
        <v>13420</v>
      </c>
      <c r="E1407" s="1" t="s">
        <v>13421</v>
      </c>
      <c r="F1407" s="1" t="s">
        <v>13422</v>
      </c>
      <c r="G1407" s="1" t="s">
        <v>14281</v>
      </c>
      <c r="H1407" s="1" t="s">
        <v>14282</v>
      </c>
      <c r="I1407" s="1" t="s">
        <v>15499</v>
      </c>
      <c r="J1407" s="1" t="s">
        <v>23</v>
      </c>
      <c r="K1407" s="1"/>
      <c r="L1407" s="1" t="s">
        <v>11360</v>
      </c>
      <c r="M1407" s="1" t="s">
        <v>13423</v>
      </c>
      <c r="N1407" s="1" t="s">
        <v>13424</v>
      </c>
      <c r="O1407" s="1" t="s">
        <v>13425</v>
      </c>
      <c r="P1407" s="1" t="s">
        <v>13426</v>
      </c>
      <c r="Q1407" s="1" t="s">
        <v>13427</v>
      </c>
      <c r="R1407" s="1" t="s">
        <v>13428</v>
      </c>
      <c r="S1407" s="1" t="s">
        <v>13429</v>
      </c>
      <c r="T1407" s="1" t="s">
        <v>13430</v>
      </c>
      <c r="U1407">
        <v>899.3</v>
      </c>
      <c r="V1407">
        <v>4.6900000000000004</v>
      </c>
      <c r="W1407">
        <v>15.735823999999999</v>
      </c>
      <c r="X1407">
        <v>108.351744</v>
      </c>
      <c r="Y1407">
        <v>894.61</v>
      </c>
      <c r="Z1407">
        <v>15.736126000000001</v>
      </c>
      <c r="AA1407">
        <v>108.35212799999999</v>
      </c>
      <c r="AB1407" s="5">
        <f t="shared" si="127"/>
        <v>7.0350000000000005E-3</v>
      </c>
      <c r="AC1407" s="5">
        <f t="shared" si="128"/>
        <v>1.341915</v>
      </c>
      <c r="AD1407" s="1" t="str">
        <f t="shared" si="129"/>
        <v>Thăng Bình</v>
      </c>
      <c r="AE1407" s="1" t="str">
        <f t="shared" si="130"/>
        <v>Quế Sơn</v>
      </c>
      <c r="AG1407">
        <f t="shared" si="131"/>
        <v>4.6900000000000006E-3</v>
      </c>
      <c r="AH1407">
        <f t="shared" si="132"/>
        <v>0.89461000000000002</v>
      </c>
      <c r="AI1407">
        <f>VLOOKUP(L1407,'[1]Tuyến cáp H04'!$B:$E,3,0)/1000</f>
        <v>20.538</v>
      </c>
      <c r="AJ1407" t="str">
        <f>VLOOKUP(L1407,'[1]Tuyến cáp H04'!$B:$E,4,0)</f>
        <v>Mạng cấp 3</v>
      </c>
    </row>
    <row r="1408" spans="1:36" x14ac:dyDescent="0.25">
      <c r="A1408" s="1" t="s">
        <v>11491</v>
      </c>
      <c r="B1408" s="1" t="s">
        <v>11439</v>
      </c>
      <c r="C1408" s="1" t="s">
        <v>11440</v>
      </c>
      <c r="D1408" s="1" t="s">
        <v>11492</v>
      </c>
      <c r="E1408" s="1" t="s">
        <v>11493</v>
      </c>
      <c r="F1408" s="1" t="s">
        <v>13431</v>
      </c>
      <c r="G1408" s="1" t="s">
        <v>14281</v>
      </c>
      <c r="H1408" s="1" t="s">
        <v>14282</v>
      </c>
      <c r="I1408" s="1" t="s">
        <v>15297</v>
      </c>
      <c r="J1408" s="1" t="s">
        <v>23</v>
      </c>
      <c r="K1408" s="1"/>
      <c r="L1408" s="1" t="s">
        <v>11457</v>
      </c>
      <c r="M1408" s="1" t="s">
        <v>11495</v>
      </c>
      <c r="N1408" s="1" t="s">
        <v>11484</v>
      </c>
      <c r="O1408" s="1" t="s">
        <v>11485</v>
      </c>
      <c r="P1408" s="1" t="s">
        <v>11486</v>
      </c>
      <c r="Q1408" s="1" t="s">
        <v>11496</v>
      </c>
      <c r="R1408" s="1" t="s">
        <v>11497</v>
      </c>
      <c r="S1408" s="1" t="s">
        <v>11498</v>
      </c>
      <c r="T1408" s="1" t="s">
        <v>11490</v>
      </c>
      <c r="U1408">
        <v>11307.44</v>
      </c>
      <c r="V1408">
        <v>2543.98</v>
      </c>
      <c r="W1408">
        <v>15.646300999999999</v>
      </c>
      <c r="X1408">
        <v>108.462339</v>
      </c>
      <c r="Y1408">
        <v>8763.4599999999991</v>
      </c>
      <c r="Z1408">
        <v>15.706669</v>
      </c>
      <c r="AA1408">
        <v>108.386088</v>
      </c>
      <c r="AB1408" s="5">
        <f t="shared" si="127"/>
        <v>3.8159700000000001</v>
      </c>
      <c r="AC1408" s="5">
        <f t="shared" si="128"/>
        <v>13.145189999999999</v>
      </c>
      <c r="AD1408" s="1" t="str">
        <f t="shared" si="129"/>
        <v>TTCMKV Thăng Bình</v>
      </c>
      <c r="AE1408" s="1" t="str">
        <f t="shared" si="130"/>
        <v>Thăng
Trường</v>
      </c>
      <c r="AG1408">
        <f t="shared" si="131"/>
        <v>2.5439799999999999</v>
      </c>
      <c r="AH1408">
        <f t="shared" si="132"/>
        <v>8.7634599999999985</v>
      </c>
      <c r="AI1408">
        <f>VLOOKUP(L1408,'[1]Tuyến cáp H04'!$B:$E,3,0)/1000</f>
        <v>20.260999999999999</v>
      </c>
      <c r="AJ1408" t="str">
        <f>VLOOKUP(L1408,'[1]Tuyến cáp H04'!$B:$E,4,0)</f>
        <v>Mạng cấp 4</v>
      </c>
    </row>
    <row r="1409" spans="1:36" x14ac:dyDescent="0.25">
      <c r="A1409" s="1" t="s">
        <v>13432</v>
      </c>
      <c r="B1409" s="1" t="s">
        <v>11439</v>
      </c>
      <c r="C1409" s="1" t="s">
        <v>11440</v>
      </c>
      <c r="D1409" s="1" t="e">
        <v>#N/A</v>
      </c>
      <c r="E1409" s="1" t="e">
        <v>#N/A</v>
      </c>
      <c r="F1409" s="1" t="s">
        <v>13433</v>
      </c>
      <c r="G1409" s="1" t="s">
        <v>14281</v>
      </c>
      <c r="H1409" s="1" t="s">
        <v>14282</v>
      </c>
      <c r="I1409" s="1" t="s">
        <v>15500</v>
      </c>
      <c r="J1409" s="1" t="s">
        <v>5166</v>
      </c>
      <c r="K1409" s="1" t="s">
        <v>11893</v>
      </c>
      <c r="L1409" s="1"/>
      <c r="M1409" s="1"/>
      <c r="N1409" s="1"/>
      <c r="O1409" s="1"/>
      <c r="P1409" s="1"/>
      <c r="Q1409" s="1"/>
      <c r="R1409" s="1"/>
      <c r="S1409" s="1"/>
      <c r="T1409" s="1"/>
      <c r="AB1409" s="5"/>
      <c r="AC1409" s="5"/>
      <c r="AD1409" s="1"/>
      <c r="AE1409" s="1"/>
      <c r="AI1409" t="e">
        <f>VLOOKUP(L1409,'[1]Tuyến cáp H04'!$B:$E,3,0)/1000</f>
        <v>#N/A</v>
      </c>
      <c r="AJ1409" t="e">
        <f>VLOOKUP(L1409,'[1]Tuyến cáp H04'!$B:$E,4,0)</f>
        <v>#N/A</v>
      </c>
    </row>
    <row r="1410" spans="1:36" x14ac:dyDescent="0.25">
      <c r="A1410" s="1" t="s">
        <v>13434</v>
      </c>
      <c r="B1410" s="1" t="s">
        <v>11439</v>
      </c>
      <c r="C1410" s="1" t="s">
        <v>11440</v>
      </c>
      <c r="D1410" s="1" t="s">
        <v>13435</v>
      </c>
      <c r="E1410" s="1" t="s">
        <v>13436</v>
      </c>
      <c r="F1410" s="1" t="s">
        <v>13437</v>
      </c>
      <c r="G1410" s="1" t="s">
        <v>14281</v>
      </c>
      <c r="H1410" s="1" t="s">
        <v>14282</v>
      </c>
      <c r="I1410" s="1" t="s">
        <v>15501</v>
      </c>
      <c r="J1410" s="1" t="s">
        <v>23</v>
      </c>
      <c r="K1410" s="1"/>
      <c r="L1410" s="1" t="s">
        <v>11444</v>
      </c>
      <c r="M1410" s="1" t="s">
        <v>13438</v>
      </c>
      <c r="N1410" s="1" t="s">
        <v>13439</v>
      </c>
      <c r="O1410" s="1" t="s">
        <v>13440</v>
      </c>
      <c r="P1410" s="1" t="s">
        <v>13441</v>
      </c>
      <c r="Q1410" s="1" t="s">
        <v>13442</v>
      </c>
      <c r="R1410" s="1" t="s">
        <v>13443</v>
      </c>
      <c r="S1410" s="1" t="s">
        <v>13444</v>
      </c>
      <c r="T1410" s="1" t="s">
        <v>13445</v>
      </c>
      <c r="U1410">
        <v>4102.84</v>
      </c>
      <c r="V1410">
        <v>9</v>
      </c>
      <c r="W1410">
        <v>15.650879</v>
      </c>
      <c r="X1410">
        <v>108.485607</v>
      </c>
      <c r="Y1410">
        <v>4093.84</v>
      </c>
      <c r="Z1410">
        <v>15.651888</v>
      </c>
      <c r="AA1410">
        <v>108.48739500000001</v>
      </c>
      <c r="AB1410" s="5">
        <f t="shared" si="127"/>
        <v>1.35E-2</v>
      </c>
      <c r="AC1410" s="5">
        <f t="shared" si="128"/>
        <v>6.1407600000000002</v>
      </c>
      <c r="AD1410" s="1" t="str">
        <f t="shared" si="129"/>
        <v>Thăng Trường</v>
      </c>
      <c r="AE1410" s="1" t="str">
        <f t="shared" si="130"/>
        <v>Quảng Phú</v>
      </c>
      <c r="AG1410">
        <f t="shared" si="131"/>
        <v>8.9999999999999993E-3</v>
      </c>
      <c r="AH1410">
        <f t="shared" si="132"/>
        <v>4.0938400000000001</v>
      </c>
      <c r="AI1410">
        <f>VLOOKUP(L1410,'[1]Tuyến cáp H04'!$B:$E,3,0)/1000</f>
        <v>9.484</v>
      </c>
      <c r="AJ1410" t="str">
        <f>VLOOKUP(L1410,'[1]Tuyến cáp H04'!$B:$E,4,0)</f>
        <v>Mạng cấp 4</v>
      </c>
    </row>
    <row r="1411" spans="1:36" x14ac:dyDescent="0.25">
      <c r="A1411" s="1" t="s">
        <v>13446</v>
      </c>
      <c r="B1411" s="1" t="s">
        <v>11439</v>
      </c>
      <c r="C1411" s="1" t="s">
        <v>11440</v>
      </c>
      <c r="D1411" s="1" t="s">
        <v>13447</v>
      </c>
      <c r="E1411" s="1" t="s">
        <v>13448</v>
      </c>
      <c r="F1411" s="1" t="s">
        <v>13449</v>
      </c>
      <c r="G1411" s="1" t="s">
        <v>14281</v>
      </c>
      <c r="H1411" s="1" t="s">
        <v>14282</v>
      </c>
      <c r="I1411" s="1" t="s">
        <v>15502</v>
      </c>
      <c r="J1411" s="1" t="s">
        <v>23</v>
      </c>
      <c r="K1411" s="1"/>
      <c r="L1411" s="1" t="s">
        <v>11444</v>
      </c>
      <c r="M1411" s="1" t="s">
        <v>13450</v>
      </c>
      <c r="N1411" s="1" t="s">
        <v>13451</v>
      </c>
      <c r="O1411" s="1" t="s">
        <v>13452</v>
      </c>
      <c r="P1411" s="1" t="s">
        <v>13453</v>
      </c>
      <c r="Q1411" s="1" t="s">
        <v>13454</v>
      </c>
      <c r="R1411" s="1" t="s">
        <v>13455</v>
      </c>
      <c r="S1411" s="1" t="s">
        <v>13456</v>
      </c>
      <c r="T1411" s="1" t="s">
        <v>13457</v>
      </c>
      <c r="U1411">
        <v>2608.59</v>
      </c>
      <c r="V1411">
        <v>1745.63</v>
      </c>
      <c r="W1411">
        <v>15.658690999999999</v>
      </c>
      <c r="X1411">
        <v>108.49979</v>
      </c>
      <c r="Y1411">
        <v>862.96</v>
      </c>
      <c r="Z1411">
        <v>15.643542</v>
      </c>
      <c r="AA1411">
        <v>108.51123800000001</v>
      </c>
      <c r="AB1411" s="5">
        <f t="shared" ref="AB1411:AB1474" si="133">V1411*1.5/1000</f>
        <v>2.6184450000000004</v>
      </c>
      <c r="AC1411" s="5">
        <f t="shared" ref="AC1411:AC1474" si="134">Y1411*1.5/1000</f>
        <v>1.29444</v>
      </c>
      <c r="AD1411" s="1" t="str">
        <f t="shared" ref="AD1411:AD1474" si="135">TRIM(LEFT(L1411,FIND("-",L1411)-1))</f>
        <v>Thăng Trường</v>
      </c>
      <c r="AE1411" s="1" t="str">
        <f t="shared" ref="AE1411:AE1474" si="136">TRIM(RIGHT(L1411, LEN(L1411) - FIND("-", L1411)))</f>
        <v>Quảng Phú</v>
      </c>
      <c r="AG1411">
        <f t="shared" ref="AG1411:AG1474" si="137">V1411/1000</f>
        <v>1.74563</v>
      </c>
      <c r="AH1411">
        <f t="shared" ref="AH1411:AH1474" si="138">Y1411/1000</f>
        <v>0.86296000000000006</v>
      </c>
      <c r="AI1411">
        <f>VLOOKUP(L1411,'[1]Tuyến cáp H04'!$B:$E,3,0)/1000</f>
        <v>9.484</v>
      </c>
      <c r="AJ1411" t="str">
        <f>VLOOKUP(L1411,'[1]Tuyến cáp H04'!$B:$E,4,0)</f>
        <v>Mạng cấp 4</v>
      </c>
    </row>
    <row r="1412" spans="1:36" x14ac:dyDescent="0.25">
      <c r="A1412" s="1" t="s">
        <v>13458</v>
      </c>
      <c r="B1412" s="1" t="s">
        <v>11439</v>
      </c>
      <c r="C1412" s="1" t="s">
        <v>11440</v>
      </c>
      <c r="D1412" s="1" t="e">
        <v>#N/A</v>
      </c>
      <c r="E1412" s="1" t="e">
        <v>#N/A</v>
      </c>
      <c r="F1412" s="1" t="s">
        <v>13459</v>
      </c>
      <c r="G1412" s="1" t="s">
        <v>14281</v>
      </c>
      <c r="H1412" s="1" t="s">
        <v>14282</v>
      </c>
      <c r="I1412" s="1" t="s">
        <v>15503</v>
      </c>
      <c r="J1412" s="1" t="s">
        <v>5166</v>
      </c>
      <c r="K1412" s="1" t="s">
        <v>11893</v>
      </c>
      <c r="L1412" s="1"/>
      <c r="M1412" s="1"/>
      <c r="N1412" s="1"/>
      <c r="O1412" s="1"/>
      <c r="P1412" s="1"/>
      <c r="Q1412" s="1"/>
      <c r="R1412" s="1"/>
      <c r="S1412" s="1"/>
      <c r="T1412" s="1"/>
      <c r="AB1412" s="5"/>
      <c r="AC1412" s="5"/>
      <c r="AD1412" s="1"/>
      <c r="AE1412" s="1"/>
      <c r="AI1412" t="e">
        <f>VLOOKUP(L1412,'[1]Tuyến cáp H04'!$B:$E,3,0)/1000</f>
        <v>#N/A</v>
      </c>
      <c r="AJ1412" t="e">
        <f>VLOOKUP(L1412,'[1]Tuyến cáp H04'!$B:$E,4,0)</f>
        <v>#N/A</v>
      </c>
    </row>
    <row r="1413" spans="1:36" x14ac:dyDescent="0.25">
      <c r="A1413" s="1" t="s">
        <v>13460</v>
      </c>
      <c r="B1413" s="1" t="s">
        <v>11439</v>
      </c>
      <c r="C1413" s="1" t="s">
        <v>11440</v>
      </c>
      <c r="D1413" s="1" t="e">
        <v>#N/A</v>
      </c>
      <c r="E1413" s="1" t="e">
        <v>#N/A</v>
      </c>
      <c r="F1413" s="1" t="s">
        <v>13461</v>
      </c>
      <c r="G1413" s="1" t="s">
        <v>14281</v>
      </c>
      <c r="H1413" s="1" t="s">
        <v>14282</v>
      </c>
      <c r="I1413" s="1" t="s">
        <v>15504</v>
      </c>
      <c r="J1413" s="1" t="s">
        <v>5166</v>
      </c>
      <c r="K1413" s="1" t="s">
        <v>11893</v>
      </c>
      <c r="L1413" s="1"/>
      <c r="M1413" s="1"/>
      <c r="N1413" s="1"/>
      <c r="O1413" s="1"/>
      <c r="P1413" s="1"/>
      <c r="Q1413" s="1"/>
      <c r="R1413" s="1"/>
      <c r="S1413" s="1"/>
      <c r="T1413" s="1"/>
      <c r="AB1413" s="5"/>
      <c r="AC1413" s="5"/>
      <c r="AD1413" s="1"/>
      <c r="AE1413" s="1"/>
      <c r="AI1413" t="e">
        <f>VLOOKUP(L1413,'[1]Tuyến cáp H04'!$B:$E,3,0)/1000</f>
        <v>#N/A</v>
      </c>
      <c r="AJ1413" t="e">
        <f>VLOOKUP(L1413,'[1]Tuyến cáp H04'!$B:$E,4,0)</f>
        <v>#N/A</v>
      </c>
    </row>
    <row r="1414" spans="1:36" x14ac:dyDescent="0.25">
      <c r="A1414" s="1" t="s">
        <v>13462</v>
      </c>
      <c r="B1414" s="1" t="s">
        <v>11500</v>
      </c>
      <c r="C1414" s="1" t="s">
        <v>11501</v>
      </c>
      <c r="D1414" s="1" t="s">
        <v>13265</v>
      </c>
      <c r="E1414" s="1" t="s">
        <v>13266</v>
      </c>
      <c r="F1414" s="1" t="s">
        <v>13463</v>
      </c>
      <c r="G1414" s="1" t="s">
        <v>14281</v>
      </c>
      <c r="H1414" s="1" t="s">
        <v>14282</v>
      </c>
      <c r="I1414" s="1" t="s">
        <v>15505</v>
      </c>
      <c r="J1414" s="1" t="s">
        <v>23</v>
      </c>
      <c r="K1414" s="1"/>
      <c r="L1414" s="1" t="s">
        <v>11470</v>
      </c>
      <c r="M1414" s="1" t="s">
        <v>13464</v>
      </c>
      <c r="N1414" s="1" t="s">
        <v>11506</v>
      </c>
      <c r="O1414" s="1" t="s">
        <v>11507</v>
      </c>
      <c r="P1414" s="1" t="s">
        <v>11508</v>
      </c>
      <c r="Q1414" s="1" t="s">
        <v>13465</v>
      </c>
      <c r="R1414" s="1" t="s">
        <v>11557</v>
      </c>
      <c r="S1414" s="1" t="s">
        <v>11558</v>
      </c>
      <c r="T1414" s="1" t="s">
        <v>11478</v>
      </c>
      <c r="U1414">
        <v>12173.8</v>
      </c>
      <c r="V1414">
        <v>569.96</v>
      </c>
      <c r="W1414">
        <v>15.6469</v>
      </c>
      <c r="X1414">
        <v>108.43017</v>
      </c>
      <c r="Y1414">
        <v>11603.84</v>
      </c>
      <c r="Z1414">
        <v>15.736011</v>
      </c>
      <c r="AA1414">
        <v>108.352346</v>
      </c>
      <c r="AB1414" s="5">
        <f t="shared" si="133"/>
        <v>0.85494000000000003</v>
      </c>
      <c r="AC1414" s="5">
        <f t="shared" si="134"/>
        <v>17.405760000000001</v>
      </c>
      <c r="AD1414" s="1" t="str">
        <f t="shared" si="135"/>
        <v>TT2 Tam Kỳ</v>
      </c>
      <c r="AE1414" s="1" t="str">
        <f t="shared" si="136"/>
        <v>Thăng Bình</v>
      </c>
      <c r="AG1414">
        <f t="shared" si="137"/>
        <v>0.56996000000000002</v>
      </c>
      <c r="AH1414">
        <f t="shared" si="138"/>
        <v>11.60384</v>
      </c>
      <c r="AI1414">
        <f>VLOOKUP(L1414,'[1]Tuyến cáp H04'!$B:$E,3,0)/1000</f>
        <v>24.648</v>
      </c>
      <c r="AJ1414" t="str">
        <f>VLOOKUP(L1414,'[1]Tuyến cáp H04'!$B:$E,4,0)</f>
        <v>Mạng cấp 3</v>
      </c>
    </row>
    <row r="1415" spans="1:36" x14ac:dyDescent="0.25">
      <c r="A1415" s="1" t="s">
        <v>11559</v>
      </c>
      <c r="B1415" s="1" t="s">
        <v>11500</v>
      </c>
      <c r="C1415" s="1" t="s">
        <v>11501</v>
      </c>
      <c r="D1415" s="1" t="s">
        <v>11560</v>
      </c>
      <c r="E1415" s="1" t="s">
        <v>11561</v>
      </c>
      <c r="F1415" s="1" t="s">
        <v>13466</v>
      </c>
      <c r="G1415" s="1" t="s">
        <v>14281</v>
      </c>
      <c r="H1415" s="1" t="s">
        <v>14282</v>
      </c>
      <c r="I1415" s="1" t="s">
        <v>15506</v>
      </c>
      <c r="J1415" s="1" t="s">
        <v>23</v>
      </c>
      <c r="K1415" s="1"/>
      <c r="L1415" s="1" t="s">
        <v>11470</v>
      </c>
      <c r="M1415" s="1" t="s">
        <v>11563</v>
      </c>
      <c r="N1415" s="1" t="s">
        <v>11506</v>
      </c>
      <c r="O1415" s="1" t="s">
        <v>11507</v>
      </c>
      <c r="P1415" s="1" t="s">
        <v>11508</v>
      </c>
      <c r="Q1415" s="1" t="s">
        <v>11564</v>
      </c>
      <c r="R1415" s="1" t="s">
        <v>11565</v>
      </c>
      <c r="S1415" s="1" t="s">
        <v>11566</v>
      </c>
      <c r="T1415" s="1" t="s">
        <v>11478</v>
      </c>
      <c r="U1415">
        <v>605.12</v>
      </c>
      <c r="V1415">
        <v>569.96</v>
      </c>
      <c r="W1415">
        <v>15.6469</v>
      </c>
      <c r="X1415">
        <v>108.43017</v>
      </c>
      <c r="Y1415">
        <v>35.17</v>
      </c>
      <c r="Z1415">
        <v>15.579651999999999</v>
      </c>
      <c r="AA1415">
        <v>108.473956</v>
      </c>
      <c r="AB1415" s="5">
        <f t="shared" si="133"/>
        <v>0.85494000000000003</v>
      </c>
      <c r="AC1415" s="5">
        <f t="shared" si="134"/>
        <v>5.2755000000000003E-2</v>
      </c>
      <c r="AD1415" s="1" t="str">
        <f t="shared" si="135"/>
        <v>TT2 Tam Kỳ</v>
      </c>
      <c r="AE1415" s="1" t="str">
        <f t="shared" si="136"/>
        <v>Thăng Bình</v>
      </c>
      <c r="AG1415">
        <f t="shared" si="137"/>
        <v>0.56996000000000002</v>
      </c>
      <c r="AH1415">
        <f t="shared" si="138"/>
        <v>3.517E-2</v>
      </c>
      <c r="AI1415">
        <f>VLOOKUP(L1415,'[1]Tuyến cáp H04'!$B:$E,3,0)/1000</f>
        <v>24.648</v>
      </c>
      <c r="AJ1415" t="str">
        <f>VLOOKUP(L1415,'[1]Tuyến cáp H04'!$B:$E,4,0)</f>
        <v>Mạng cấp 3</v>
      </c>
    </row>
    <row r="1416" spans="1:36" x14ac:dyDescent="0.25">
      <c r="A1416" s="1" t="s">
        <v>11512</v>
      </c>
      <c r="B1416" s="1" t="s">
        <v>11500</v>
      </c>
      <c r="C1416" s="1" t="s">
        <v>11501</v>
      </c>
      <c r="D1416" s="1" t="s">
        <v>11513</v>
      </c>
      <c r="E1416" s="1" t="s">
        <v>11514</v>
      </c>
      <c r="F1416" s="1" t="s">
        <v>13467</v>
      </c>
      <c r="G1416" s="1" t="s">
        <v>14281</v>
      </c>
      <c r="H1416" s="1" t="s">
        <v>14282</v>
      </c>
      <c r="I1416" s="1" t="s">
        <v>15299</v>
      </c>
      <c r="J1416" s="1" t="s">
        <v>23</v>
      </c>
      <c r="K1416" s="1"/>
      <c r="L1416" s="1" t="s">
        <v>11457</v>
      </c>
      <c r="M1416" s="1" t="s">
        <v>11516</v>
      </c>
      <c r="N1416" s="1" t="s">
        <v>11517</v>
      </c>
      <c r="O1416" s="1" t="s">
        <v>11518</v>
      </c>
      <c r="P1416" s="1" t="s">
        <v>11519</v>
      </c>
      <c r="Q1416" s="1" t="s">
        <v>11520</v>
      </c>
      <c r="R1416" s="1" t="s">
        <v>11521</v>
      </c>
      <c r="S1416" s="1" t="s">
        <v>11522</v>
      </c>
      <c r="T1416" s="1" t="s">
        <v>11490</v>
      </c>
      <c r="U1416">
        <v>1333.52</v>
      </c>
      <c r="V1416">
        <v>709.57</v>
      </c>
      <c r="W1416">
        <v>15.650188</v>
      </c>
      <c r="X1416">
        <v>108.428378</v>
      </c>
      <c r="Y1416">
        <v>623.95000000000005</v>
      </c>
      <c r="Z1416">
        <v>15.647589</v>
      </c>
      <c r="AA1416">
        <v>108.43842100000001</v>
      </c>
      <c r="AB1416" s="5">
        <f t="shared" si="133"/>
        <v>1.0643549999999999</v>
      </c>
      <c r="AC1416" s="5">
        <f t="shared" si="134"/>
        <v>0.93592500000000012</v>
      </c>
      <c r="AD1416" s="1" t="str">
        <f t="shared" si="135"/>
        <v>TTCMKV Thăng Bình</v>
      </c>
      <c r="AE1416" s="1" t="str">
        <f t="shared" si="136"/>
        <v>Thăng
Trường</v>
      </c>
      <c r="AG1416">
        <f t="shared" si="137"/>
        <v>0.70957000000000003</v>
      </c>
      <c r="AH1416">
        <f t="shared" si="138"/>
        <v>0.62395</v>
      </c>
      <c r="AI1416">
        <f>VLOOKUP(L1416,'[1]Tuyến cáp H04'!$B:$E,3,0)/1000</f>
        <v>20.260999999999999</v>
      </c>
      <c r="AJ1416" t="str">
        <f>VLOOKUP(L1416,'[1]Tuyến cáp H04'!$B:$E,4,0)</f>
        <v>Mạng cấp 4</v>
      </c>
    </row>
    <row r="1417" spans="1:36" x14ac:dyDescent="0.25">
      <c r="A1417" s="1" t="s">
        <v>13468</v>
      </c>
      <c r="B1417" s="1" t="s">
        <v>11652</v>
      </c>
      <c r="C1417" s="1" t="s">
        <v>11653</v>
      </c>
      <c r="D1417" s="1" t="s">
        <v>13469</v>
      </c>
      <c r="E1417" s="1" t="s">
        <v>13470</v>
      </c>
      <c r="F1417" s="1" t="s">
        <v>13471</v>
      </c>
      <c r="G1417" s="1" t="s">
        <v>14281</v>
      </c>
      <c r="H1417" s="1" t="s">
        <v>14282</v>
      </c>
      <c r="I1417" s="1" t="s">
        <v>15507</v>
      </c>
      <c r="J1417" s="1" t="s">
        <v>23</v>
      </c>
      <c r="K1417" s="1"/>
      <c r="L1417" s="1" t="s">
        <v>11657</v>
      </c>
      <c r="M1417" s="1" t="s">
        <v>13472</v>
      </c>
      <c r="N1417" s="1" t="s">
        <v>11659</v>
      </c>
      <c r="O1417" s="1" t="s">
        <v>11660</v>
      </c>
      <c r="P1417" s="1" t="s">
        <v>11661</v>
      </c>
      <c r="Q1417" s="1" t="s">
        <v>13473</v>
      </c>
      <c r="R1417" s="1" t="s">
        <v>13474</v>
      </c>
      <c r="S1417" s="1" t="s">
        <v>13475</v>
      </c>
      <c r="T1417" s="1" t="s">
        <v>11663</v>
      </c>
      <c r="U1417">
        <v>201.4</v>
      </c>
      <c r="V1417">
        <v>37.74</v>
      </c>
      <c r="W1417">
        <v>16.035793000000002</v>
      </c>
      <c r="X1417">
        <v>108.212664</v>
      </c>
      <c r="Y1417">
        <v>163.66</v>
      </c>
      <c r="Z1417">
        <v>16.035914999999999</v>
      </c>
      <c r="AA1417">
        <v>108.214187</v>
      </c>
      <c r="AB1417" s="5">
        <f t="shared" si="133"/>
        <v>5.6610000000000001E-2</v>
      </c>
      <c r="AC1417" s="5">
        <f t="shared" si="134"/>
        <v>0.24549000000000001</v>
      </c>
      <c r="AD1417" s="1" t="str">
        <f t="shared" si="135"/>
        <v>PC08</v>
      </c>
      <c r="AE1417" s="1" t="str">
        <f t="shared" si="136"/>
        <v>PC07</v>
      </c>
      <c r="AG1417">
        <f t="shared" si="137"/>
        <v>3.7740000000000003E-2</v>
      </c>
      <c r="AH1417">
        <f t="shared" si="138"/>
        <v>0.16366</v>
      </c>
      <c r="AI1417" t="e">
        <f>VLOOKUP(L1417,'[1]Tuyến cáp H04'!$B:$E,3,0)/1000</f>
        <v>#N/A</v>
      </c>
      <c r="AJ1417" t="e">
        <f>VLOOKUP(L1417,'[1]Tuyến cáp H04'!$B:$E,4,0)</f>
        <v>#N/A</v>
      </c>
    </row>
    <row r="1418" spans="1:36" x14ac:dyDescent="0.25">
      <c r="A1418" s="1" t="s">
        <v>13476</v>
      </c>
      <c r="B1418" s="1" t="s">
        <v>11652</v>
      </c>
      <c r="C1418" s="1" t="s">
        <v>11653</v>
      </c>
      <c r="D1418" s="1" t="s">
        <v>13477</v>
      </c>
      <c r="E1418" s="1" t="s">
        <v>13478</v>
      </c>
      <c r="F1418" s="1" t="s">
        <v>13479</v>
      </c>
      <c r="G1418" s="1" t="s">
        <v>14281</v>
      </c>
      <c r="H1418" s="1" t="s">
        <v>14282</v>
      </c>
      <c r="I1418" s="1" t="s">
        <v>15508</v>
      </c>
      <c r="J1418" s="1" t="s">
        <v>23</v>
      </c>
      <c r="K1418" s="1"/>
      <c r="L1418" s="1" t="s">
        <v>11657</v>
      </c>
      <c r="M1418" s="1" t="s">
        <v>13480</v>
      </c>
      <c r="N1418" s="1" t="s">
        <v>11659</v>
      </c>
      <c r="O1418" s="1" t="s">
        <v>11660</v>
      </c>
      <c r="P1418" s="1" t="s">
        <v>11661</v>
      </c>
      <c r="Q1418" s="1" t="s">
        <v>13481</v>
      </c>
      <c r="R1418" s="1" t="s">
        <v>13482</v>
      </c>
      <c r="S1418" s="1" t="s">
        <v>13483</v>
      </c>
      <c r="T1418" s="1" t="s">
        <v>11663</v>
      </c>
      <c r="U1418">
        <v>392.31</v>
      </c>
      <c r="V1418">
        <v>37.74</v>
      </c>
      <c r="W1418">
        <v>16.035793000000002</v>
      </c>
      <c r="X1418">
        <v>108.212664</v>
      </c>
      <c r="Y1418">
        <v>354.57</v>
      </c>
      <c r="Z1418">
        <v>16.033328000000001</v>
      </c>
      <c r="AA1418">
        <v>108.21453099999999</v>
      </c>
      <c r="AB1418" s="5">
        <f t="shared" si="133"/>
        <v>5.6610000000000001E-2</v>
      </c>
      <c r="AC1418" s="5">
        <f t="shared" si="134"/>
        <v>0.53185499999999997</v>
      </c>
      <c r="AD1418" s="1" t="str">
        <f t="shared" si="135"/>
        <v>PC08</v>
      </c>
      <c r="AE1418" s="1" t="str">
        <f t="shared" si="136"/>
        <v>PC07</v>
      </c>
      <c r="AG1418">
        <f t="shared" si="137"/>
        <v>3.7740000000000003E-2</v>
      </c>
      <c r="AH1418">
        <f t="shared" si="138"/>
        <v>0.35457</v>
      </c>
      <c r="AI1418" t="e">
        <f>VLOOKUP(L1418,'[1]Tuyến cáp H04'!$B:$E,3,0)/1000</f>
        <v>#N/A</v>
      </c>
      <c r="AJ1418" t="e">
        <f>VLOOKUP(L1418,'[1]Tuyến cáp H04'!$B:$E,4,0)</f>
        <v>#N/A</v>
      </c>
    </row>
    <row r="1419" spans="1:36" x14ac:dyDescent="0.25">
      <c r="A1419" s="1" t="s">
        <v>13484</v>
      </c>
      <c r="B1419" s="1" t="s">
        <v>11652</v>
      </c>
      <c r="C1419" s="1" t="s">
        <v>11653</v>
      </c>
      <c r="D1419" s="1" t="s">
        <v>11006</v>
      </c>
      <c r="E1419" s="1" t="s">
        <v>11007</v>
      </c>
      <c r="F1419" s="1" t="s">
        <v>13485</v>
      </c>
      <c r="G1419" s="1" t="s">
        <v>14281</v>
      </c>
      <c r="H1419" s="1" t="s">
        <v>14282</v>
      </c>
      <c r="I1419" s="1" t="s">
        <v>15509</v>
      </c>
      <c r="J1419" s="1" t="s">
        <v>23</v>
      </c>
      <c r="K1419" s="1"/>
      <c r="L1419" s="1" t="s">
        <v>13486</v>
      </c>
      <c r="M1419" s="1" t="s">
        <v>13487</v>
      </c>
      <c r="N1419" s="1" t="s">
        <v>13488</v>
      </c>
      <c r="O1419" s="1" t="s">
        <v>13489</v>
      </c>
      <c r="P1419" s="1" t="s">
        <v>13490</v>
      </c>
      <c r="Q1419" s="1" t="s">
        <v>13491</v>
      </c>
      <c r="R1419" s="1" t="s">
        <v>13492</v>
      </c>
      <c r="S1419" s="1" t="s">
        <v>13493</v>
      </c>
      <c r="T1419" s="1" t="s">
        <v>13494</v>
      </c>
      <c r="U1419">
        <v>114.96</v>
      </c>
      <c r="V1419">
        <v>39.99</v>
      </c>
      <c r="W1419">
        <v>16.035855000000002</v>
      </c>
      <c r="X1419">
        <v>108.21266799999999</v>
      </c>
      <c r="Y1419">
        <v>74.97</v>
      </c>
      <c r="Z1419">
        <v>16.036909999999999</v>
      </c>
      <c r="AA1419">
        <v>108.209838</v>
      </c>
      <c r="AB1419" s="5">
        <f t="shared" si="133"/>
        <v>5.9984999999999997E-2</v>
      </c>
      <c r="AC1419" s="5">
        <f t="shared" si="134"/>
        <v>0.112455</v>
      </c>
      <c r="AD1419" s="1" t="str">
        <f t="shared" si="135"/>
        <v>PC07</v>
      </c>
      <c r="AE1419" s="1" t="str">
        <f t="shared" si="136"/>
        <v>PX04</v>
      </c>
      <c r="AG1419">
        <f t="shared" si="137"/>
        <v>3.9990000000000005E-2</v>
      </c>
      <c r="AH1419">
        <f t="shared" si="138"/>
        <v>7.4969999999999995E-2</v>
      </c>
      <c r="AI1419">
        <f>VLOOKUP(L1419,'[1]Tuyến cáp H04'!$B:$E,3,0)/1000</f>
        <v>4.2309999999999999</v>
      </c>
      <c r="AJ1419" t="str">
        <f>VLOOKUP(L1419,'[1]Tuyến cáp H04'!$B:$E,4,0)</f>
        <v>Mạng cấp 3</v>
      </c>
    </row>
    <row r="1420" spans="1:36" x14ac:dyDescent="0.25">
      <c r="A1420" s="1" t="s">
        <v>13495</v>
      </c>
      <c r="B1420" s="1" t="s">
        <v>11665</v>
      </c>
      <c r="C1420" s="1" t="s">
        <v>11666</v>
      </c>
      <c r="D1420" s="1" t="s">
        <v>13496</v>
      </c>
      <c r="E1420" s="1" t="s">
        <v>13497</v>
      </c>
      <c r="F1420" s="1" t="s">
        <v>13498</v>
      </c>
      <c r="G1420" s="1" t="s">
        <v>14281</v>
      </c>
      <c r="H1420" s="1" t="s">
        <v>14282</v>
      </c>
      <c r="I1420" s="1" t="s">
        <v>15510</v>
      </c>
      <c r="J1420" s="1" t="s">
        <v>23</v>
      </c>
      <c r="K1420" s="1"/>
      <c r="L1420" s="1" t="s">
        <v>11022</v>
      </c>
      <c r="M1420" s="1" t="s">
        <v>13499</v>
      </c>
      <c r="N1420" s="1" t="s">
        <v>11684</v>
      </c>
      <c r="O1420" s="1" t="s">
        <v>11685</v>
      </c>
      <c r="P1420" s="1" t="s">
        <v>11686</v>
      </c>
      <c r="Q1420" s="1" t="s">
        <v>13500</v>
      </c>
      <c r="R1420" s="1" t="s">
        <v>13501</v>
      </c>
      <c r="S1420" s="1" t="s">
        <v>13502</v>
      </c>
      <c r="T1420" s="1" t="s">
        <v>11030</v>
      </c>
      <c r="U1420">
        <v>694.83</v>
      </c>
      <c r="V1420">
        <v>33.950000000000003</v>
      </c>
      <c r="W1420">
        <v>16.011571</v>
      </c>
      <c r="X1420">
        <v>108.197464</v>
      </c>
      <c r="Y1420">
        <v>660.88</v>
      </c>
      <c r="Z1420">
        <v>16.007458</v>
      </c>
      <c r="AA1420">
        <v>108.192159</v>
      </c>
      <c r="AB1420" s="5">
        <f t="shared" si="133"/>
        <v>5.0925000000000005E-2</v>
      </c>
      <c r="AC1420" s="5">
        <f t="shared" si="134"/>
        <v>0.99131999999999998</v>
      </c>
      <c r="AD1420" s="1" t="str">
        <f t="shared" si="135"/>
        <v>Hòa Xuân</v>
      </c>
      <c r="AE1420" s="1" t="str">
        <f t="shared" si="136"/>
        <v>TTKV Cẩm Lệ</v>
      </c>
      <c r="AG1420">
        <f t="shared" si="137"/>
        <v>3.3950000000000001E-2</v>
      </c>
      <c r="AH1420">
        <f t="shared" si="138"/>
        <v>0.66088000000000002</v>
      </c>
      <c r="AI1420" t="e">
        <f>VLOOKUP(L1420,'[1]Tuyến cáp H04'!$B:$E,3,0)/1000</f>
        <v>#N/A</v>
      </c>
      <c r="AJ1420" t="e">
        <f>VLOOKUP(L1420,'[1]Tuyến cáp H04'!$B:$E,4,0)</f>
        <v>#N/A</v>
      </c>
    </row>
    <row r="1421" spans="1:36" x14ac:dyDescent="0.25">
      <c r="A1421" s="1" t="s">
        <v>13503</v>
      </c>
      <c r="B1421" s="1" t="s">
        <v>11665</v>
      </c>
      <c r="C1421" s="1" t="s">
        <v>11666</v>
      </c>
      <c r="D1421" s="1" t="s">
        <v>10991</v>
      </c>
      <c r="E1421" s="1" t="s">
        <v>10992</v>
      </c>
      <c r="F1421" s="1" t="s">
        <v>12735</v>
      </c>
      <c r="G1421" s="1"/>
      <c r="H1421" s="1" t="s">
        <v>14282</v>
      </c>
      <c r="I1421" s="1" t="s">
        <v>15421</v>
      </c>
      <c r="J1421" s="1" t="s">
        <v>23</v>
      </c>
      <c r="K1421" s="1"/>
      <c r="L1421" s="1" t="s">
        <v>11022</v>
      </c>
      <c r="M1421" s="1" t="s">
        <v>12736</v>
      </c>
      <c r="N1421" s="1" t="s">
        <v>11684</v>
      </c>
      <c r="O1421" s="1" t="s">
        <v>11685</v>
      </c>
      <c r="P1421" s="1" t="s">
        <v>11686</v>
      </c>
      <c r="Q1421" s="1" t="s">
        <v>11024</v>
      </c>
      <c r="R1421" s="1" t="s">
        <v>11025</v>
      </c>
      <c r="S1421" s="1" t="s">
        <v>11026</v>
      </c>
      <c r="T1421" s="1" t="s">
        <v>11030</v>
      </c>
      <c r="U1421">
        <v>36.11</v>
      </c>
      <c r="V1421">
        <v>33.950000000000003</v>
      </c>
      <c r="W1421">
        <v>16.011571</v>
      </c>
      <c r="X1421">
        <v>108.197464</v>
      </c>
      <c r="Y1421">
        <v>2.15</v>
      </c>
      <c r="Z1421">
        <v>16.016921</v>
      </c>
      <c r="AA1421">
        <v>108.20348</v>
      </c>
      <c r="AB1421" s="5">
        <f t="shared" si="133"/>
        <v>5.0925000000000005E-2</v>
      </c>
      <c r="AC1421" s="5">
        <f t="shared" si="134"/>
        <v>3.2249999999999996E-3</v>
      </c>
      <c r="AD1421" s="1" t="str">
        <f t="shared" si="135"/>
        <v>Hòa Xuân</v>
      </c>
      <c r="AE1421" s="1" t="str">
        <f t="shared" si="136"/>
        <v>TTKV Cẩm Lệ</v>
      </c>
      <c r="AG1421">
        <f t="shared" si="137"/>
        <v>3.3950000000000001E-2</v>
      </c>
      <c r="AH1421">
        <f t="shared" si="138"/>
        <v>2.15E-3</v>
      </c>
      <c r="AI1421" t="e">
        <f>VLOOKUP(L1421,'[1]Tuyến cáp H04'!$B:$E,3,0)/1000</f>
        <v>#N/A</v>
      </c>
      <c r="AJ1421" t="e">
        <f>VLOOKUP(L1421,'[1]Tuyến cáp H04'!$B:$E,4,0)</f>
        <v>#N/A</v>
      </c>
    </row>
    <row r="1422" spans="1:36" x14ac:dyDescent="0.25">
      <c r="A1422" s="1" t="s">
        <v>13504</v>
      </c>
      <c r="B1422" s="1" t="s">
        <v>11665</v>
      </c>
      <c r="C1422" s="1" t="s">
        <v>11666</v>
      </c>
      <c r="D1422" s="1" t="s">
        <v>13505</v>
      </c>
      <c r="E1422" s="1" t="s">
        <v>13506</v>
      </c>
      <c r="F1422" s="1" t="s">
        <v>13507</v>
      </c>
      <c r="G1422" s="1" t="s">
        <v>14281</v>
      </c>
      <c r="H1422" s="1" t="s">
        <v>14282</v>
      </c>
      <c r="I1422" s="1" t="s">
        <v>15511</v>
      </c>
      <c r="J1422" s="1" t="s">
        <v>23</v>
      </c>
      <c r="K1422" s="1"/>
      <c r="L1422" s="1" t="s">
        <v>11670</v>
      </c>
      <c r="M1422" s="1" t="s">
        <v>13508</v>
      </c>
      <c r="N1422" s="1" t="s">
        <v>13509</v>
      </c>
      <c r="O1422" s="1" t="s">
        <v>13510</v>
      </c>
      <c r="P1422" s="1" t="s">
        <v>13511</v>
      </c>
      <c r="Q1422" s="1" t="s">
        <v>13512</v>
      </c>
      <c r="R1422" s="1" t="s">
        <v>13513</v>
      </c>
      <c r="S1422" s="1" t="s">
        <v>13514</v>
      </c>
      <c r="T1422" s="1" t="s">
        <v>13515</v>
      </c>
      <c r="U1422">
        <v>672.37</v>
      </c>
      <c r="V1422">
        <v>36.42</v>
      </c>
      <c r="W1422">
        <v>16.011545999999999</v>
      </c>
      <c r="X1422">
        <v>108.197452</v>
      </c>
      <c r="Y1422">
        <v>635.96</v>
      </c>
      <c r="Z1422">
        <v>16.019794000000001</v>
      </c>
      <c r="AA1422">
        <v>108.21015800000001</v>
      </c>
      <c r="AB1422" s="5">
        <f t="shared" si="133"/>
        <v>5.4630000000000005E-2</v>
      </c>
      <c r="AC1422" s="5">
        <f t="shared" si="134"/>
        <v>0.95394000000000001</v>
      </c>
      <c r="AD1422" s="1" t="str">
        <f t="shared" si="135"/>
        <v>Ngũ Hành Sơn</v>
      </c>
      <c r="AE1422" s="1" t="str">
        <f t="shared" si="136"/>
        <v>Cẩm Lệ</v>
      </c>
      <c r="AG1422">
        <f t="shared" si="137"/>
        <v>3.6420000000000001E-2</v>
      </c>
      <c r="AH1422">
        <f t="shared" si="138"/>
        <v>0.63596000000000008</v>
      </c>
      <c r="AI1422" t="e">
        <f>VLOOKUP(L1422,'[1]Tuyến cáp H04'!$B:$E,3,0)/1000</f>
        <v>#N/A</v>
      </c>
      <c r="AJ1422" t="e">
        <f>VLOOKUP(L1422,'[1]Tuyến cáp H04'!$B:$E,4,0)</f>
        <v>#N/A</v>
      </c>
    </row>
    <row r="1423" spans="1:36" x14ac:dyDescent="0.25">
      <c r="A1423" s="1" t="s">
        <v>13516</v>
      </c>
      <c r="B1423" s="1" t="s">
        <v>4738</v>
      </c>
      <c r="C1423" s="1" t="s">
        <v>4739</v>
      </c>
      <c r="D1423" s="1" t="s">
        <v>13517</v>
      </c>
      <c r="E1423" s="1" t="s">
        <v>13518</v>
      </c>
      <c r="F1423" s="1" t="s">
        <v>13519</v>
      </c>
      <c r="G1423" s="1" t="s">
        <v>14281</v>
      </c>
      <c r="H1423" s="1" t="s">
        <v>14282</v>
      </c>
      <c r="I1423" s="1" t="s">
        <v>15512</v>
      </c>
      <c r="J1423" s="1" t="s">
        <v>23</v>
      </c>
      <c r="K1423" s="1"/>
      <c r="L1423" s="1" t="s">
        <v>11657</v>
      </c>
      <c r="M1423" s="1" t="s">
        <v>13520</v>
      </c>
      <c r="N1423" s="1" t="s">
        <v>11703</v>
      </c>
      <c r="O1423" s="1" t="s">
        <v>11704</v>
      </c>
      <c r="P1423" s="1" t="s">
        <v>11705</v>
      </c>
      <c r="Q1423" s="1" t="s">
        <v>13521</v>
      </c>
      <c r="R1423" s="1" t="s">
        <v>11722</v>
      </c>
      <c r="S1423" s="1" t="s">
        <v>11723</v>
      </c>
      <c r="T1423" s="1" t="s">
        <v>11709</v>
      </c>
      <c r="U1423">
        <v>688.74</v>
      </c>
      <c r="V1423">
        <v>18.12</v>
      </c>
      <c r="W1423">
        <v>16.007725000000001</v>
      </c>
      <c r="X1423">
        <v>108.217546</v>
      </c>
      <c r="Y1423">
        <v>670.62</v>
      </c>
      <c r="Z1423">
        <v>16.008358000000001</v>
      </c>
      <c r="AA1423">
        <v>108.218391</v>
      </c>
      <c r="AB1423" s="5">
        <f t="shared" si="133"/>
        <v>2.7179999999999999E-2</v>
      </c>
      <c r="AC1423" s="5">
        <f t="shared" si="134"/>
        <v>1.00593</v>
      </c>
      <c r="AD1423" s="1" t="str">
        <f t="shared" si="135"/>
        <v>PC08</v>
      </c>
      <c r="AE1423" s="1" t="str">
        <f t="shared" si="136"/>
        <v>PC07</v>
      </c>
      <c r="AG1423">
        <f t="shared" si="137"/>
        <v>1.8120000000000001E-2</v>
      </c>
      <c r="AH1423">
        <f t="shared" si="138"/>
        <v>0.67061999999999999</v>
      </c>
      <c r="AI1423" t="e">
        <f>VLOOKUP(L1423,'[1]Tuyến cáp H04'!$B:$E,3,0)/1000</f>
        <v>#N/A</v>
      </c>
      <c r="AJ1423" t="e">
        <f>VLOOKUP(L1423,'[1]Tuyến cáp H04'!$B:$E,4,0)</f>
        <v>#N/A</v>
      </c>
    </row>
    <row r="1424" spans="1:36" x14ac:dyDescent="0.25">
      <c r="A1424" s="1" t="s">
        <v>13522</v>
      </c>
      <c r="B1424" s="1" t="s">
        <v>4738</v>
      </c>
      <c r="C1424" s="1" t="s">
        <v>4739</v>
      </c>
      <c r="D1424" s="1" t="s">
        <v>13523</v>
      </c>
      <c r="E1424" s="1" t="s">
        <v>13524</v>
      </c>
      <c r="F1424" s="1" t="s">
        <v>13525</v>
      </c>
      <c r="G1424" s="1" t="s">
        <v>14281</v>
      </c>
      <c r="H1424" s="1" t="s">
        <v>14282</v>
      </c>
      <c r="I1424" s="1" t="s">
        <v>15513</v>
      </c>
      <c r="J1424" s="1" t="s">
        <v>23</v>
      </c>
      <c r="K1424" s="1"/>
      <c r="L1424" s="1" t="s">
        <v>11878</v>
      </c>
      <c r="M1424" s="1" t="s">
        <v>13526</v>
      </c>
      <c r="N1424" s="1" t="s">
        <v>13527</v>
      </c>
      <c r="O1424" s="1" t="s">
        <v>13528</v>
      </c>
      <c r="P1424" s="1" t="s">
        <v>13529</v>
      </c>
      <c r="Q1424" s="1" t="s">
        <v>13530</v>
      </c>
      <c r="R1424" s="1" t="s">
        <v>13531</v>
      </c>
      <c r="S1424" s="1" t="s">
        <v>13532</v>
      </c>
      <c r="T1424" s="1" t="s">
        <v>12972</v>
      </c>
      <c r="U1424">
        <v>795.77</v>
      </c>
      <c r="V1424">
        <v>702.61</v>
      </c>
      <c r="W1424">
        <v>16.004118999999999</v>
      </c>
      <c r="X1424">
        <v>108.223106</v>
      </c>
      <c r="Y1424">
        <v>93.15</v>
      </c>
      <c r="Z1424">
        <v>16.002381</v>
      </c>
      <c r="AA1424">
        <v>108.22750499999999</v>
      </c>
      <c r="AB1424" s="5">
        <f t="shared" si="133"/>
        <v>1.0539149999999999</v>
      </c>
      <c r="AC1424" s="5">
        <f t="shared" si="134"/>
        <v>0.13972500000000002</v>
      </c>
      <c r="AD1424" s="1" t="str">
        <f t="shared" si="135"/>
        <v>TTKV Ngũ Hành Sơn</v>
      </c>
      <c r="AE1424" s="1" t="str">
        <f t="shared" si="136"/>
        <v>Hòa Xuân</v>
      </c>
      <c r="AG1424">
        <f t="shared" si="137"/>
        <v>0.70261000000000007</v>
      </c>
      <c r="AH1424">
        <f t="shared" si="138"/>
        <v>9.3150000000000011E-2</v>
      </c>
      <c r="AI1424" t="e">
        <f>VLOOKUP(L1424,'[1]Tuyến cáp H04'!$B:$E,3,0)/1000</f>
        <v>#N/A</v>
      </c>
      <c r="AJ1424" t="e">
        <f>VLOOKUP(L1424,'[1]Tuyến cáp H04'!$B:$E,4,0)</f>
        <v>#N/A</v>
      </c>
    </row>
    <row r="1425" spans="1:36" x14ac:dyDescent="0.25">
      <c r="A1425" s="1" t="s">
        <v>13533</v>
      </c>
      <c r="B1425" s="1" t="s">
        <v>4738</v>
      </c>
      <c r="C1425" s="1" t="s">
        <v>4739</v>
      </c>
      <c r="D1425" s="1" t="s">
        <v>13534</v>
      </c>
      <c r="E1425" s="1" t="s">
        <v>13535</v>
      </c>
      <c r="F1425" s="1" t="s">
        <v>13536</v>
      </c>
      <c r="G1425" s="1" t="s">
        <v>14281</v>
      </c>
      <c r="H1425" s="1" t="s">
        <v>14282</v>
      </c>
      <c r="I1425" s="1" t="s">
        <v>15514</v>
      </c>
      <c r="J1425" s="1" t="s">
        <v>23</v>
      </c>
      <c r="K1425" s="1"/>
      <c r="L1425" s="1" t="s">
        <v>11844</v>
      </c>
      <c r="M1425" s="1" t="s">
        <v>13537</v>
      </c>
      <c r="N1425" s="1" t="s">
        <v>13538</v>
      </c>
      <c r="O1425" s="1" t="s">
        <v>13539</v>
      </c>
      <c r="P1425" s="1" t="s">
        <v>13540</v>
      </c>
      <c r="Q1425" s="1" t="s">
        <v>13541</v>
      </c>
      <c r="R1425" s="1" t="s">
        <v>13542</v>
      </c>
      <c r="S1425" s="1" t="s">
        <v>13543</v>
      </c>
      <c r="T1425" s="1" t="s">
        <v>13544</v>
      </c>
      <c r="U1425">
        <v>1109.73</v>
      </c>
      <c r="V1425">
        <v>706.37</v>
      </c>
      <c r="W1425">
        <v>16.004256000000002</v>
      </c>
      <c r="X1425">
        <v>108.22323799999999</v>
      </c>
      <c r="Y1425">
        <v>403.36</v>
      </c>
      <c r="Z1425">
        <v>15.993741</v>
      </c>
      <c r="AA1425">
        <v>108.235771</v>
      </c>
      <c r="AB1425" s="5">
        <f t="shared" si="133"/>
        <v>1.059555</v>
      </c>
      <c r="AC1425" s="5">
        <f t="shared" si="134"/>
        <v>0.60503999999999991</v>
      </c>
      <c r="AD1425" s="1" t="str">
        <f t="shared" si="135"/>
        <v>C09</v>
      </c>
      <c r="AE1425" s="1" t="str">
        <f t="shared" si="136"/>
        <v>A06</v>
      </c>
      <c r="AG1425">
        <f t="shared" si="137"/>
        <v>0.70637000000000005</v>
      </c>
      <c r="AH1425">
        <f t="shared" si="138"/>
        <v>0.40336</v>
      </c>
      <c r="AI1425" t="e">
        <f>VLOOKUP(L1425,'[1]Tuyến cáp H04'!$B:$E,3,0)/1000</f>
        <v>#N/A</v>
      </c>
      <c r="AJ1425" t="e">
        <f>VLOOKUP(L1425,'[1]Tuyến cáp H04'!$B:$E,4,0)</f>
        <v>#N/A</v>
      </c>
    </row>
    <row r="1426" spans="1:36" x14ac:dyDescent="0.25">
      <c r="A1426" s="1" t="s">
        <v>13545</v>
      </c>
      <c r="B1426" s="1" t="s">
        <v>4738</v>
      </c>
      <c r="C1426" s="1" t="s">
        <v>4739</v>
      </c>
      <c r="D1426" s="1" t="s">
        <v>13546</v>
      </c>
      <c r="E1426" s="1" t="s">
        <v>13547</v>
      </c>
      <c r="F1426" s="1" t="s">
        <v>13548</v>
      </c>
      <c r="G1426" s="1" t="s">
        <v>14281</v>
      </c>
      <c r="H1426" s="1" t="s">
        <v>14282</v>
      </c>
      <c r="I1426" s="1" t="s">
        <v>15515</v>
      </c>
      <c r="J1426" s="1" t="s">
        <v>23</v>
      </c>
      <c r="K1426" s="1"/>
      <c r="L1426" s="1" t="s">
        <v>13549</v>
      </c>
      <c r="M1426" s="1" t="s">
        <v>13550</v>
      </c>
      <c r="N1426" s="1" t="s">
        <v>13551</v>
      </c>
      <c r="O1426" s="1" t="s">
        <v>13552</v>
      </c>
      <c r="P1426" s="1" t="s">
        <v>13553</v>
      </c>
      <c r="Q1426" s="1" t="s">
        <v>13554</v>
      </c>
      <c r="R1426" s="1" t="s">
        <v>13555</v>
      </c>
      <c r="S1426" s="1" t="s">
        <v>13556</v>
      </c>
      <c r="T1426" s="1" t="s">
        <v>13557</v>
      </c>
      <c r="U1426">
        <v>328.06</v>
      </c>
      <c r="V1426">
        <v>3.42</v>
      </c>
      <c r="W1426">
        <v>16.007584000000001</v>
      </c>
      <c r="X1426">
        <v>108.217628</v>
      </c>
      <c r="Y1426">
        <v>324.64</v>
      </c>
      <c r="Z1426">
        <v>16.004861999999999</v>
      </c>
      <c r="AA1426">
        <v>108.21193700000001</v>
      </c>
      <c r="AB1426" s="5">
        <f t="shared" si="133"/>
        <v>5.13E-3</v>
      </c>
      <c r="AC1426" s="5">
        <f t="shared" si="134"/>
        <v>0.48696</v>
      </c>
      <c r="AD1426" s="1" t="str">
        <f t="shared" si="135"/>
        <v>Trạm CSGT Hòa Nhơn</v>
      </c>
      <c r="AE1426" s="1" t="str">
        <f t="shared" si="136"/>
        <v>PC08</v>
      </c>
      <c r="AG1426">
        <f t="shared" si="137"/>
        <v>3.4199999999999999E-3</v>
      </c>
      <c r="AH1426">
        <f t="shared" si="138"/>
        <v>0.32463999999999998</v>
      </c>
      <c r="AI1426">
        <f>VLOOKUP(L1426,'[1]Tuyến cáp H04'!$B:$E,3,0)/1000</f>
        <v>10.692</v>
      </c>
      <c r="AJ1426" t="str">
        <f>VLOOKUP(L1426,'[1]Tuyến cáp H04'!$B:$E,4,0)</f>
        <v>Mạng cấp 3</v>
      </c>
    </row>
    <row r="1427" spans="1:36" x14ac:dyDescent="0.25">
      <c r="A1427" s="1" t="s">
        <v>13558</v>
      </c>
      <c r="B1427" s="1" t="s">
        <v>4948</v>
      </c>
      <c r="C1427" s="1" t="s">
        <v>4949</v>
      </c>
      <c r="D1427" s="1" t="e">
        <v>#N/A</v>
      </c>
      <c r="E1427" s="1" t="e">
        <v>#N/A</v>
      </c>
      <c r="F1427" s="1" t="s">
        <v>13559</v>
      </c>
      <c r="G1427" s="1" t="s">
        <v>14281</v>
      </c>
      <c r="H1427" s="1" t="s">
        <v>14282</v>
      </c>
      <c r="I1427" s="1" t="s">
        <v>15516</v>
      </c>
      <c r="J1427" s="1" t="s">
        <v>5166</v>
      </c>
      <c r="K1427" s="1" t="s">
        <v>11893</v>
      </c>
      <c r="L1427" s="1"/>
      <c r="M1427" s="1"/>
      <c r="N1427" s="1"/>
      <c r="O1427" s="1"/>
      <c r="P1427" s="1"/>
      <c r="Q1427" s="1"/>
      <c r="R1427" s="1"/>
      <c r="S1427" s="1"/>
      <c r="T1427" s="1"/>
      <c r="AB1427" s="5"/>
      <c r="AC1427" s="5"/>
      <c r="AD1427" s="1"/>
      <c r="AE1427" s="1"/>
      <c r="AI1427" t="e">
        <f>VLOOKUP(L1427,'[1]Tuyến cáp H04'!$B:$E,3,0)/1000</f>
        <v>#N/A</v>
      </c>
      <c r="AJ1427" t="e">
        <f>VLOOKUP(L1427,'[1]Tuyến cáp H04'!$B:$E,4,0)</f>
        <v>#N/A</v>
      </c>
    </row>
    <row r="1428" spans="1:36" x14ac:dyDescent="0.25">
      <c r="A1428" s="1" t="s">
        <v>13560</v>
      </c>
      <c r="B1428" s="1" t="s">
        <v>4948</v>
      </c>
      <c r="C1428" s="1" t="s">
        <v>4949</v>
      </c>
      <c r="D1428" s="1" t="e">
        <v>#N/A</v>
      </c>
      <c r="E1428" s="1" t="e">
        <v>#N/A</v>
      </c>
      <c r="F1428" s="1" t="s">
        <v>13561</v>
      </c>
      <c r="G1428" s="1" t="s">
        <v>14281</v>
      </c>
      <c r="H1428" s="1" t="s">
        <v>14282</v>
      </c>
      <c r="I1428" s="1" t="s">
        <v>15517</v>
      </c>
      <c r="J1428" s="1" t="s">
        <v>5166</v>
      </c>
      <c r="K1428" s="1" t="s">
        <v>11893</v>
      </c>
      <c r="L1428" s="1"/>
      <c r="M1428" s="1"/>
      <c r="N1428" s="1"/>
      <c r="O1428" s="1"/>
      <c r="P1428" s="1"/>
      <c r="Q1428" s="1"/>
      <c r="R1428" s="1"/>
      <c r="S1428" s="1"/>
      <c r="T1428" s="1"/>
      <c r="AB1428" s="5"/>
      <c r="AC1428" s="5"/>
      <c r="AD1428" s="1"/>
      <c r="AE1428" s="1"/>
      <c r="AI1428" t="e">
        <f>VLOOKUP(L1428,'[1]Tuyến cáp H04'!$B:$E,3,0)/1000</f>
        <v>#N/A</v>
      </c>
      <c r="AJ1428" t="e">
        <f>VLOOKUP(L1428,'[1]Tuyến cáp H04'!$B:$E,4,0)</f>
        <v>#N/A</v>
      </c>
    </row>
    <row r="1429" spans="1:36" x14ac:dyDescent="0.25">
      <c r="A1429" s="1" t="s">
        <v>11756</v>
      </c>
      <c r="B1429" s="1" t="s">
        <v>4948</v>
      </c>
      <c r="C1429" s="1" t="s">
        <v>4949</v>
      </c>
      <c r="D1429" s="1" t="s">
        <v>11757</v>
      </c>
      <c r="E1429" s="1" t="s">
        <v>11758</v>
      </c>
      <c r="F1429" s="1" t="s">
        <v>13562</v>
      </c>
      <c r="G1429" s="1" t="s">
        <v>14281</v>
      </c>
      <c r="H1429" s="1" t="s">
        <v>14282</v>
      </c>
      <c r="I1429" s="1" t="s">
        <v>15324</v>
      </c>
      <c r="J1429" s="1" t="s">
        <v>23</v>
      </c>
      <c r="K1429" s="1"/>
      <c r="L1429" s="1" t="s">
        <v>11760</v>
      </c>
      <c r="M1429" s="1" t="s">
        <v>11761</v>
      </c>
      <c r="N1429" s="1" t="s">
        <v>11762</v>
      </c>
      <c r="O1429" s="1" t="s">
        <v>11763</v>
      </c>
      <c r="P1429" s="1" t="s">
        <v>11764</v>
      </c>
      <c r="Q1429" s="1" t="s">
        <v>11765</v>
      </c>
      <c r="R1429" s="1" t="s">
        <v>11766</v>
      </c>
      <c r="S1429" s="1" t="s">
        <v>11767</v>
      </c>
      <c r="T1429" s="1" t="s">
        <v>11768</v>
      </c>
      <c r="U1429">
        <v>273.16000000000003</v>
      </c>
      <c r="V1429">
        <v>70.849999999999994</v>
      </c>
      <c r="W1429">
        <v>16.065805999999998</v>
      </c>
      <c r="X1429">
        <v>108.222388</v>
      </c>
      <c r="Y1429">
        <v>202.32</v>
      </c>
      <c r="Z1429">
        <v>16.062224000000001</v>
      </c>
      <c r="AA1429">
        <v>108.21966</v>
      </c>
      <c r="AB1429" s="5">
        <f t="shared" si="133"/>
        <v>0.10627499999999999</v>
      </c>
      <c r="AC1429" s="5">
        <f t="shared" si="134"/>
        <v>0.30348000000000003</v>
      </c>
      <c r="AD1429" s="1" t="str">
        <f t="shared" si="135"/>
        <v>Hải Châu</v>
      </c>
      <c r="AE1429" s="1" t="str">
        <f t="shared" si="136"/>
        <v>Hòa Cường</v>
      </c>
      <c r="AG1429">
        <f t="shared" si="137"/>
        <v>7.0849999999999996E-2</v>
      </c>
      <c r="AH1429">
        <f t="shared" si="138"/>
        <v>0.20232</v>
      </c>
      <c r="AI1429" t="e">
        <f>VLOOKUP(L1429,'[1]Tuyến cáp H04'!$B:$E,3,0)/1000</f>
        <v>#N/A</v>
      </c>
      <c r="AJ1429" t="e">
        <f>VLOOKUP(L1429,'[1]Tuyến cáp H04'!$B:$E,4,0)</f>
        <v>#N/A</v>
      </c>
    </row>
    <row r="1430" spans="1:36" x14ac:dyDescent="0.25">
      <c r="A1430" s="1" t="s">
        <v>11769</v>
      </c>
      <c r="B1430" s="1" t="s">
        <v>4948</v>
      </c>
      <c r="C1430" s="1" t="s">
        <v>4949</v>
      </c>
      <c r="D1430" s="1" t="s">
        <v>11770</v>
      </c>
      <c r="E1430" s="1" t="s">
        <v>11771</v>
      </c>
      <c r="F1430" s="1" t="s">
        <v>13563</v>
      </c>
      <c r="G1430" s="1" t="s">
        <v>14281</v>
      </c>
      <c r="H1430" s="1" t="s">
        <v>14282</v>
      </c>
      <c r="I1430" s="1" t="s">
        <v>15518</v>
      </c>
      <c r="J1430" s="1" t="s">
        <v>23</v>
      </c>
      <c r="K1430" s="1"/>
      <c r="L1430" s="1" t="s">
        <v>11760</v>
      </c>
      <c r="M1430" s="1" t="s">
        <v>11773</v>
      </c>
      <c r="N1430" s="1" t="s">
        <v>11762</v>
      </c>
      <c r="O1430" s="1" t="s">
        <v>11763</v>
      </c>
      <c r="P1430" s="1" t="s">
        <v>11764</v>
      </c>
      <c r="Q1430" s="1" t="s">
        <v>11774</v>
      </c>
      <c r="R1430" s="1" t="s">
        <v>11775</v>
      </c>
      <c r="S1430" s="1" t="s">
        <v>11776</v>
      </c>
      <c r="T1430" s="1" t="s">
        <v>11768</v>
      </c>
      <c r="U1430">
        <v>90.31</v>
      </c>
      <c r="V1430">
        <v>70.849999999999994</v>
      </c>
      <c r="W1430">
        <v>16.065805999999998</v>
      </c>
      <c r="X1430">
        <v>108.222388</v>
      </c>
      <c r="Y1430">
        <v>19.47</v>
      </c>
      <c r="Z1430">
        <v>16.071145999999999</v>
      </c>
      <c r="AA1430">
        <v>108.22106100000001</v>
      </c>
      <c r="AB1430" s="5">
        <f t="shared" si="133"/>
        <v>0.10627499999999999</v>
      </c>
      <c r="AC1430" s="5">
        <f t="shared" si="134"/>
        <v>2.9204999999999998E-2</v>
      </c>
      <c r="AD1430" s="1" t="str">
        <f t="shared" si="135"/>
        <v>Hải Châu</v>
      </c>
      <c r="AE1430" s="1" t="str">
        <f t="shared" si="136"/>
        <v>Hòa Cường</v>
      </c>
      <c r="AG1430">
        <f t="shared" si="137"/>
        <v>7.0849999999999996E-2</v>
      </c>
      <c r="AH1430">
        <f t="shared" si="138"/>
        <v>1.9469999999999998E-2</v>
      </c>
      <c r="AI1430" t="e">
        <f>VLOOKUP(L1430,'[1]Tuyến cáp H04'!$B:$E,3,0)/1000</f>
        <v>#N/A</v>
      </c>
      <c r="AJ1430" t="e">
        <f>VLOOKUP(L1430,'[1]Tuyến cáp H04'!$B:$E,4,0)</f>
        <v>#N/A</v>
      </c>
    </row>
    <row r="1431" spans="1:36" x14ac:dyDescent="0.25">
      <c r="A1431" s="1" t="s">
        <v>13564</v>
      </c>
      <c r="B1431" s="1" t="s">
        <v>4948</v>
      </c>
      <c r="C1431" s="1" t="s">
        <v>4949</v>
      </c>
      <c r="D1431" s="1" t="s">
        <v>13565</v>
      </c>
      <c r="E1431" s="1" t="s">
        <v>13566</v>
      </c>
      <c r="F1431" s="1" t="s">
        <v>13567</v>
      </c>
      <c r="G1431" s="1" t="s">
        <v>14281</v>
      </c>
      <c r="H1431" s="1" t="s">
        <v>14282</v>
      </c>
      <c r="I1431" s="1" t="s">
        <v>15519</v>
      </c>
      <c r="J1431" s="1" t="s">
        <v>23</v>
      </c>
      <c r="K1431" s="1"/>
      <c r="L1431" s="1" t="s">
        <v>11734</v>
      </c>
      <c r="M1431" s="1" t="s">
        <v>13568</v>
      </c>
      <c r="N1431" s="1" t="s">
        <v>3684</v>
      </c>
      <c r="O1431" s="1" t="s">
        <v>11736</v>
      </c>
      <c r="P1431" s="1" t="s">
        <v>11737</v>
      </c>
      <c r="Q1431" s="1" t="s">
        <v>13569</v>
      </c>
      <c r="R1431" s="1" t="s">
        <v>11748</v>
      </c>
      <c r="S1431" s="1" t="s">
        <v>11749</v>
      </c>
      <c r="T1431" s="1" t="s">
        <v>11741</v>
      </c>
      <c r="U1431">
        <v>90.06</v>
      </c>
      <c r="V1431">
        <v>16.7</v>
      </c>
      <c r="W1431">
        <v>16.066120000000002</v>
      </c>
      <c r="X1431">
        <v>108.221645</v>
      </c>
      <c r="Y1431">
        <v>73.36</v>
      </c>
      <c r="Z1431">
        <v>16.066134000000002</v>
      </c>
      <c r="AA1431">
        <v>108.223629</v>
      </c>
      <c r="AB1431" s="5">
        <f t="shared" si="133"/>
        <v>2.5049999999999996E-2</v>
      </c>
      <c r="AC1431" s="5">
        <f t="shared" si="134"/>
        <v>0.11004</v>
      </c>
      <c r="AD1431" s="1" t="str">
        <f t="shared" si="135"/>
        <v>PA07</v>
      </c>
      <c r="AE1431" s="1" t="str">
        <f t="shared" si="136"/>
        <v>PA06</v>
      </c>
      <c r="AG1431">
        <f t="shared" si="137"/>
        <v>1.67E-2</v>
      </c>
      <c r="AH1431">
        <f t="shared" si="138"/>
        <v>7.3359999999999995E-2</v>
      </c>
      <c r="AI1431">
        <f>VLOOKUP(L1431,'[1]Tuyến cáp H04'!$B:$E,3,0)/1000</f>
        <v>1.2589999999999999</v>
      </c>
      <c r="AJ1431" t="str">
        <f>VLOOKUP(L1431,'[1]Tuyến cáp H04'!$B:$E,4,0)</f>
        <v>Mạng cấp 3</v>
      </c>
    </row>
    <row r="1432" spans="1:36" x14ac:dyDescent="0.25">
      <c r="A1432" s="1" t="s">
        <v>13570</v>
      </c>
      <c r="B1432" s="1" t="s">
        <v>11778</v>
      </c>
      <c r="C1432" s="1" t="s">
        <v>11779</v>
      </c>
      <c r="D1432" s="1" t="s">
        <v>13571</v>
      </c>
      <c r="E1432" s="1" t="s">
        <v>13572</v>
      </c>
      <c r="F1432" s="1" t="s">
        <v>13573</v>
      </c>
      <c r="G1432" s="1" t="s">
        <v>14281</v>
      </c>
      <c r="H1432" s="1" t="s">
        <v>14282</v>
      </c>
      <c r="I1432" s="1" t="s">
        <v>15520</v>
      </c>
      <c r="J1432" s="1" t="s">
        <v>23</v>
      </c>
      <c r="K1432" s="1"/>
      <c r="L1432" s="1" t="s">
        <v>11071</v>
      </c>
      <c r="M1432" s="1" t="s">
        <v>13574</v>
      </c>
      <c r="N1432" s="1" t="s">
        <v>13575</v>
      </c>
      <c r="O1432" s="1" t="s">
        <v>13576</v>
      </c>
      <c r="P1432" s="1" t="s">
        <v>13577</v>
      </c>
      <c r="Q1432" s="1" t="s">
        <v>13578</v>
      </c>
      <c r="R1432" s="1" t="s">
        <v>13576</v>
      </c>
      <c r="S1432" s="1" t="s">
        <v>13577</v>
      </c>
      <c r="T1432" s="1" t="s">
        <v>13579</v>
      </c>
      <c r="U1432">
        <v>245.68</v>
      </c>
      <c r="V1432">
        <v>2.8</v>
      </c>
      <c r="W1432">
        <v>16.078945000000001</v>
      </c>
      <c r="X1432">
        <v>108.222221</v>
      </c>
      <c r="Y1432">
        <v>242.88</v>
      </c>
      <c r="Z1432">
        <v>16.078945000000001</v>
      </c>
      <c r="AA1432">
        <v>108.222221</v>
      </c>
      <c r="AB1432" s="5">
        <f t="shared" si="133"/>
        <v>4.1999999999999989E-3</v>
      </c>
      <c r="AC1432" s="5">
        <f t="shared" si="134"/>
        <v>0.36431999999999998</v>
      </c>
      <c r="AD1432" s="1" t="str">
        <f t="shared" si="135"/>
        <v>TT1 Đà Nẵng</v>
      </c>
      <c r="AE1432" s="1" t="str">
        <f t="shared" si="136"/>
        <v>Hải Châu</v>
      </c>
      <c r="AG1432">
        <f t="shared" si="137"/>
        <v>2.8E-3</v>
      </c>
      <c r="AH1432">
        <f t="shared" si="138"/>
        <v>0.24287999999999998</v>
      </c>
      <c r="AI1432" t="e">
        <f>VLOOKUP(L1432,'[1]Tuyến cáp H04'!$B:$E,3,0)/1000</f>
        <v>#N/A</v>
      </c>
      <c r="AJ1432" t="e">
        <f>VLOOKUP(L1432,'[1]Tuyến cáp H04'!$B:$E,4,0)</f>
        <v>#N/A</v>
      </c>
    </row>
    <row r="1433" spans="1:36" x14ac:dyDescent="0.25">
      <c r="A1433" s="1" t="s">
        <v>13580</v>
      </c>
      <c r="B1433" s="1" t="s">
        <v>11778</v>
      </c>
      <c r="C1433" s="1" t="s">
        <v>11779</v>
      </c>
      <c r="D1433" s="1" t="s">
        <v>12800</v>
      </c>
      <c r="E1433" s="1" t="s">
        <v>12801</v>
      </c>
      <c r="F1433" s="1" t="s">
        <v>13581</v>
      </c>
      <c r="G1433" s="1" t="s">
        <v>14281</v>
      </c>
      <c r="H1433" s="1" t="s">
        <v>14282</v>
      </c>
      <c r="I1433" s="1" t="s">
        <v>15521</v>
      </c>
      <c r="J1433" s="1" t="s">
        <v>23</v>
      </c>
      <c r="K1433" s="1"/>
      <c r="L1433" s="1" t="s">
        <v>11146</v>
      </c>
      <c r="M1433" s="1" t="s">
        <v>13582</v>
      </c>
      <c r="N1433" s="1" t="s">
        <v>13583</v>
      </c>
      <c r="O1433" s="1" t="s">
        <v>12805</v>
      </c>
      <c r="P1433" s="1" t="s">
        <v>12806</v>
      </c>
      <c r="Q1433" s="1" t="s">
        <v>12807</v>
      </c>
      <c r="R1433" s="1" t="s">
        <v>12808</v>
      </c>
      <c r="S1433" s="1" t="s">
        <v>12809</v>
      </c>
      <c r="T1433" s="1" t="s">
        <v>12168</v>
      </c>
      <c r="U1433">
        <v>639.96</v>
      </c>
      <c r="V1433">
        <v>330.46</v>
      </c>
      <c r="W1433">
        <v>16.077608999999999</v>
      </c>
      <c r="X1433">
        <v>108.21944499999999</v>
      </c>
      <c r="Y1433">
        <v>309.5</v>
      </c>
      <c r="Z1433">
        <v>16.079284000000001</v>
      </c>
      <c r="AA1433">
        <v>108.212947</v>
      </c>
      <c r="AB1433" s="5">
        <f t="shared" si="133"/>
        <v>0.49568999999999996</v>
      </c>
      <c r="AC1433" s="5">
        <f t="shared" si="134"/>
        <v>0.46425</v>
      </c>
      <c r="AD1433" s="1" t="str">
        <f t="shared" si="135"/>
        <v>TT1 Đà Nẵng</v>
      </c>
      <c r="AE1433" s="1" t="str">
        <f t="shared" si="136"/>
        <v>Liên Chiểu</v>
      </c>
      <c r="AG1433">
        <f t="shared" si="137"/>
        <v>0.33045999999999998</v>
      </c>
      <c r="AH1433">
        <f t="shared" si="138"/>
        <v>0.3095</v>
      </c>
      <c r="AI1433">
        <f>VLOOKUP(L1433,'[1]Tuyến cáp H04'!$B:$E,3,0)/1000</f>
        <v>9.8698999999999995</v>
      </c>
      <c r="AJ1433" t="str">
        <f>VLOOKUP(L1433,'[1]Tuyến cáp H04'!$B:$E,4,0)</f>
        <v>Mạng cấp 3</v>
      </c>
    </row>
    <row r="1434" spans="1:36" x14ac:dyDescent="0.25">
      <c r="A1434" s="1" t="s">
        <v>13584</v>
      </c>
      <c r="B1434" s="1" t="s">
        <v>11778</v>
      </c>
      <c r="C1434" s="1" t="s">
        <v>11779</v>
      </c>
      <c r="D1434" s="1" t="s">
        <v>12746</v>
      </c>
      <c r="E1434" s="1" t="s">
        <v>12747</v>
      </c>
      <c r="F1434" s="1" t="s">
        <v>13585</v>
      </c>
      <c r="G1434" s="1" t="s">
        <v>14281</v>
      </c>
      <c r="H1434" s="1" t="s">
        <v>14282</v>
      </c>
      <c r="I1434" s="1" t="s">
        <v>15522</v>
      </c>
      <c r="J1434" s="1" t="s">
        <v>23</v>
      </c>
      <c r="K1434" s="1"/>
      <c r="L1434" s="1" t="s">
        <v>11098</v>
      </c>
      <c r="M1434" s="1" t="s">
        <v>13586</v>
      </c>
      <c r="N1434" s="1" t="s">
        <v>13587</v>
      </c>
      <c r="O1434" s="1" t="s">
        <v>13588</v>
      </c>
      <c r="P1434" s="1" t="s">
        <v>13589</v>
      </c>
      <c r="Q1434" s="1" t="s">
        <v>12753</v>
      </c>
      <c r="R1434" s="1" t="s">
        <v>12754</v>
      </c>
      <c r="S1434" s="1" t="s">
        <v>12755</v>
      </c>
      <c r="T1434" s="1" t="s">
        <v>12756</v>
      </c>
      <c r="U1434">
        <v>747.73</v>
      </c>
      <c r="V1434">
        <v>331.23</v>
      </c>
      <c r="W1434">
        <v>16.077589</v>
      </c>
      <c r="X1434">
        <v>108.219448</v>
      </c>
      <c r="Y1434">
        <v>416.5</v>
      </c>
      <c r="Z1434">
        <v>16.061254000000002</v>
      </c>
      <c r="AA1434">
        <v>108.21955699999999</v>
      </c>
      <c r="AB1434" s="5">
        <f t="shared" si="133"/>
        <v>0.49684500000000004</v>
      </c>
      <c r="AC1434" s="5">
        <f t="shared" si="134"/>
        <v>0.62475000000000003</v>
      </c>
      <c r="AD1434" s="1" t="str">
        <f t="shared" si="135"/>
        <v>Hòa Vang</v>
      </c>
      <c r="AE1434" s="1" t="str">
        <f t="shared" si="136"/>
        <v>TT1 Đà Nẵng</v>
      </c>
      <c r="AG1434">
        <f t="shared" si="137"/>
        <v>0.33123000000000002</v>
      </c>
      <c r="AH1434">
        <f t="shared" si="138"/>
        <v>0.41649999999999998</v>
      </c>
      <c r="AI1434">
        <f>VLOOKUP(L1434,'[1]Tuyến cáp H04'!$B:$E,3,0)/1000</f>
        <v>17.654</v>
      </c>
      <c r="AJ1434" t="str">
        <f>VLOOKUP(L1434,'[1]Tuyến cáp H04'!$B:$E,4,0)</f>
        <v>Mạng cấp 3</v>
      </c>
    </row>
    <row r="1435" spans="1:36" x14ac:dyDescent="0.25">
      <c r="A1435" s="1" t="s">
        <v>13590</v>
      </c>
      <c r="B1435" s="1" t="s">
        <v>11778</v>
      </c>
      <c r="C1435" s="1" t="s">
        <v>11779</v>
      </c>
      <c r="D1435" s="1" t="s">
        <v>13591</v>
      </c>
      <c r="E1435" s="1" t="s">
        <v>13592</v>
      </c>
      <c r="F1435" s="1" t="s">
        <v>13593</v>
      </c>
      <c r="G1435" s="1" t="s">
        <v>14281</v>
      </c>
      <c r="H1435" s="1" t="s">
        <v>14282</v>
      </c>
      <c r="I1435" s="1" t="s">
        <v>15523</v>
      </c>
      <c r="J1435" s="1" t="s">
        <v>23</v>
      </c>
      <c r="K1435" s="1"/>
      <c r="L1435" s="1" t="s">
        <v>13594</v>
      </c>
      <c r="M1435" s="1" t="s">
        <v>13595</v>
      </c>
      <c r="N1435" s="1" t="s">
        <v>13596</v>
      </c>
      <c r="O1435" s="1" t="s">
        <v>13597</v>
      </c>
      <c r="P1435" s="1" t="s">
        <v>13598</v>
      </c>
      <c r="Q1435" s="1" t="s">
        <v>13599</v>
      </c>
      <c r="R1435" s="1" t="s">
        <v>13600</v>
      </c>
      <c r="S1435" s="1" t="s">
        <v>13601</v>
      </c>
      <c r="T1435" s="1" t="s">
        <v>13602</v>
      </c>
      <c r="U1435">
        <v>343.98</v>
      </c>
      <c r="V1435">
        <v>267.55</v>
      </c>
      <c r="W1435">
        <v>16.081336</v>
      </c>
      <c r="X1435">
        <v>108.221802</v>
      </c>
      <c r="Y1435">
        <v>76.430000000000007</v>
      </c>
      <c r="Z1435">
        <v>16.081187</v>
      </c>
      <c r="AA1435">
        <v>108.219967</v>
      </c>
      <c r="AB1435" s="5">
        <f t="shared" si="133"/>
        <v>0.40132500000000004</v>
      </c>
      <c r="AC1435" s="5">
        <f t="shared" si="134"/>
        <v>0.11464500000000001</v>
      </c>
      <c r="AD1435" s="1" t="str">
        <f t="shared" si="135"/>
        <v>TTV 2</v>
      </c>
      <c r="AE1435" s="1" t="str">
        <f t="shared" si="136"/>
        <v>K01 (CS2) - ok</v>
      </c>
      <c r="AG1435">
        <f t="shared" si="137"/>
        <v>0.26755000000000001</v>
      </c>
      <c r="AH1435">
        <f t="shared" si="138"/>
        <v>7.6430000000000012E-2</v>
      </c>
      <c r="AI1435" t="e">
        <f>VLOOKUP(L1435,'[1]Tuyến cáp H04'!$B:$E,3,0)/1000</f>
        <v>#N/A</v>
      </c>
      <c r="AJ1435" t="e">
        <f>VLOOKUP(L1435,'[1]Tuyến cáp H04'!$B:$E,4,0)</f>
        <v>#N/A</v>
      </c>
    </row>
    <row r="1436" spans="1:36" x14ac:dyDescent="0.25">
      <c r="A1436" s="1" t="s">
        <v>13603</v>
      </c>
      <c r="B1436" s="1" t="s">
        <v>11791</v>
      </c>
      <c r="C1436" s="1" t="s">
        <v>11792</v>
      </c>
      <c r="D1436" s="1" t="s">
        <v>13604</v>
      </c>
      <c r="E1436" s="1" t="s">
        <v>13605</v>
      </c>
      <c r="F1436" s="1" t="s">
        <v>13606</v>
      </c>
      <c r="G1436" s="1" t="s">
        <v>14281</v>
      </c>
      <c r="H1436" s="1" t="s">
        <v>14282</v>
      </c>
      <c r="I1436" s="1" t="s">
        <v>15524</v>
      </c>
      <c r="J1436" s="1" t="s">
        <v>23</v>
      </c>
      <c r="K1436" s="1"/>
      <c r="L1436" s="1" t="s">
        <v>11760</v>
      </c>
      <c r="M1436" s="1" t="s">
        <v>13607</v>
      </c>
      <c r="N1436" s="1" t="s">
        <v>11810</v>
      </c>
      <c r="O1436" s="1" t="s">
        <v>11811</v>
      </c>
      <c r="P1436" s="1" t="s">
        <v>11812</v>
      </c>
      <c r="Q1436" s="1" t="s">
        <v>13608</v>
      </c>
      <c r="R1436" s="1" t="s">
        <v>13609</v>
      </c>
      <c r="S1436" s="1" t="s">
        <v>13610</v>
      </c>
      <c r="T1436" s="1" t="s">
        <v>11768</v>
      </c>
      <c r="U1436">
        <v>494.42</v>
      </c>
      <c r="V1436">
        <v>7.13</v>
      </c>
      <c r="W1436">
        <v>16.037737</v>
      </c>
      <c r="X1436">
        <v>108.215386</v>
      </c>
      <c r="Y1436">
        <v>487.29</v>
      </c>
      <c r="Z1436">
        <v>16.039113</v>
      </c>
      <c r="AA1436">
        <v>108.215276</v>
      </c>
      <c r="AB1436" s="5">
        <f t="shared" si="133"/>
        <v>1.0695E-2</v>
      </c>
      <c r="AC1436" s="5">
        <f t="shared" si="134"/>
        <v>0.73093500000000011</v>
      </c>
      <c r="AD1436" s="1" t="str">
        <f t="shared" si="135"/>
        <v>Hải Châu</v>
      </c>
      <c r="AE1436" s="1" t="str">
        <f t="shared" si="136"/>
        <v>Hòa Cường</v>
      </c>
      <c r="AG1436">
        <f t="shared" si="137"/>
        <v>7.1300000000000001E-3</v>
      </c>
      <c r="AH1436">
        <f t="shared" si="138"/>
        <v>0.48729</v>
      </c>
      <c r="AI1436" t="e">
        <f>VLOOKUP(L1436,'[1]Tuyến cáp H04'!$B:$E,3,0)/1000</f>
        <v>#N/A</v>
      </c>
      <c r="AJ1436" t="e">
        <f>VLOOKUP(L1436,'[1]Tuyến cáp H04'!$B:$E,4,0)</f>
        <v>#N/A</v>
      </c>
    </row>
    <row r="1437" spans="1:36" x14ac:dyDescent="0.25">
      <c r="A1437" s="1" t="s">
        <v>13611</v>
      </c>
      <c r="B1437" s="1" t="s">
        <v>11791</v>
      </c>
      <c r="C1437" s="1" t="s">
        <v>11792</v>
      </c>
      <c r="D1437" s="1" t="s">
        <v>13612</v>
      </c>
      <c r="E1437" s="1" t="s">
        <v>13613</v>
      </c>
      <c r="F1437" s="1" t="s">
        <v>13614</v>
      </c>
      <c r="G1437" s="1" t="s">
        <v>14281</v>
      </c>
      <c r="H1437" s="1" t="s">
        <v>14282</v>
      </c>
      <c r="I1437" s="1" t="s">
        <v>15525</v>
      </c>
      <c r="J1437" s="1" t="s">
        <v>23</v>
      </c>
      <c r="K1437" s="1"/>
      <c r="L1437" s="1" t="s">
        <v>11760</v>
      </c>
      <c r="M1437" s="1" t="s">
        <v>13615</v>
      </c>
      <c r="N1437" s="1" t="s">
        <v>11810</v>
      </c>
      <c r="O1437" s="1" t="s">
        <v>11811</v>
      </c>
      <c r="P1437" s="1" t="s">
        <v>11812</v>
      </c>
      <c r="Q1437" s="1" t="s">
        <v>13616</v>
      </c>
      <c r="R1437" s="1" t="s">
        <v>13617</v>
      </c>
      <c r="S1437" s="1" t="s">
        <v>13618</v>
      </c>
      <c r="T1437" s="1" t="s">
        <v>11768</v>
      </c>
      <c r="U1437">
        <v>309.77999999999997</v>
      </c>
      <c r="V1437">
        <v>7.13</v>
      </c>
      <c r="W1437">
        <v>16.037737</v>
      </c>
      <c r="X1437">
        <v>108.215386</v>
      </c>
      <c r="Y1437">
        <v>302.64</v>
      </c>
      <c r="Z1437">
        <v>16.039200000000001</v>
      </c>
      <c r="AA1437">
        <v>108.213795</v>
      </c>
      <c r="AB1437" s="5">
        <f t="shared" si="133"/>
        <v>1.0695E-2</v>
      </c>
      <c r="AC1437" s="5">
        <f t="shared" si="134"/>
        <v>0.45395999999999997</v>
      </c>
      <c r="AD1437" s="1" t="str">
        <f t="shared" si="135"/>
        <v>Hải Châu</v>
      </c>
      <c r="AE1437" s="1" t="str">
        <f t="shared" si="136"/>
        <v>Hòa Cường</v>
      </c>
      <c r="AG1437">
        <f t="shared" si="137"/>
        <v>7.1300000000000001E-3</v>
      </c>
      <c r="AH1437">
        <f t="shared" si="138"/>
        <v>0.30263999999999996</v>
      </c>
      <c r="AI1437" t="e">
        <f>VLOOKUP(L1437,'[1]Tuyến cáp H04'!$B:$E,3,0)/1000</f>
        <v>#N/A</v>
      </c>
      <c r="AJ1437" t="e">
        <f>VLOOKUP(L1437,'[1]Tuyến cáp H04'!$B:$E,4,0)</f>
        <v>#N/A</v>
      </c>
    </row>
    <row r="1438" spans="1:36" x14ac:dyDescent="0.25">
      <c r="A1438" s="1" t="s">
        <v>13619</v>
      </c>
      <c r="B1438" s="1" t="s">
        <v>11818</v>
      </c>
      <c r="C1438" s="1" t="s">
        <v>11819</v>
      </c>
      <c r="D1438" s="1" t="s">
        <v>13620</v>
      </c>
      <c r="E1438" s="1" t="s">
        <v>13621</v>
      </c>
      <c r="F1438" s="1" t="s">
        <v>13622</v>
      </c>
      <c r="G1438" s="1" t="s">
        <v>14281</v>
      </c>
      <c r="H1438" s="1" t="s">
        <v>14282</v>
      </c>
      <c r="I1438" s="1" t="s">
        <v>15526</v>
      </c>
      <c r="J1438" s="1" t="s">
        <v>23</v>
      </c>
      <c r="K1438" s="1"/>
      <c r="L1438" s="1" t="s">
        <v>11045</v>
      </c>
      <c r="M1438" s="1" t="s">
        <v>13623</v>
      </c>
      <c r="N1438" s="1" t="s">
        <v>319</v>
      </c>
      <c r="O1438" s="1" t="s">
        <v>11824</v>
      </c>
      <c r="P1438" s="1" t="s">
        <v>11825</v>
      </c>
      <c r="Q1438" s="1" t="s">
        <v>13624</v>
      </c>
      <c r="R1438" s="1" t="s">
        <v>13625</v>
      </c>
      <c r="S1438" s="1" t="s">
        <v>13626</v>
      </c>
      <c r="T1438" s="1" t="s">
        <v>11829</v>
      </c>
      <c r="U1438">
        <v>547.77</v>
      </c>
      <c r="V1438">
        <v>7.22</v>
      </c>
      <c r="W1438">
        <v>16.052781</v>
      </c>
      <c r="X1438">
        <v>108.203267</v>
      </c>
      <c r="Y1438">
        <v>540.54999999999995</v>
      </c>
      <c r="Z1438">
        <v>16.050823999999999</v>
      </c>
      <c r="AA1438">
        <v>108.208978</v>
      </c>
      <c r="AB1438" s="5">
        <f t="shared" si="133"/>
        <v>1.0829999999999999E-2</v>
      </c>
      <c r="AC1438" s="5">
        <f t="shared" si="134"/>
        <v>0.81082499999999991</v>
      </c>
      <c r="AD1438" s="1" t="e">
        <f t="shared" si="135"/>
        <v>#VALUE!</v>
      </c>
      <c r="AE1438" s="1" t="e">
        <f t="shared" si="136"/>
        <v>#VALUE!</v>
      </c>
      <c r="AG1438">
        <f t="shared" si="137"/>
        <v>7.2199999999999999E-3</v>
      </c>
      <c r="AH1438">
        <f t="shared" si="138"/>
        <v>0.54054999999999997</v>
      </c>
      <c r="AI1438" t="e">
        <f>VLOOKUP(L1438,'[1]Tuyến cáp H04'!$B:$E,3,0)/1000</f>
        <v>#N/A</v>
      </c>
      <c r="AJ1438" t="e">
        <f>VLOOKUP(L1438,'[1]Tuyến cáp H04'!$B:$E,4,0)</f>
        <v>#N/A</v>
      </c>
    </row>
    <row r="1439" spans="1:36" x14ac:dyDescent="0.25">
      <c r="A1439" s="1" t="s">
        <v>13627</v>
      </c>
      <c r="B1439" s="1" t="s">
        <v>11818</v>
      </c>
      <c r="C1439" s="1" t="s">
        <v>11819</v>
      </c>
      <c r="D1439" s="1" t="s">
        <v>13628</v>
      </c>
      <c r="E1439" s="1" t="s">
        <v>13629</v>
      </c>
      <c r="F1439" s="1" t="s">
        <v>13630</v>
      </c>
      <c r="G1439" s="1" t="s">
        <v>14281</v>
      </c>
      <c r="H1439" s="1" t="s">
        <v>14282</v>
      </c>
      <c r="I1439" s="1" t="s">
        <v>15527</v>
      </c>
      <c r="J1439" s="1" t="s">
        <v>23</v>
      </c>
      <c r="K1439" s="1"/>
      <c r="L1439" s="1" t="s">
        <v>11045</v>
      </c>
      <c r="M1439" s="1" t="s">
        <v>13631</v>
      </c>
      <c r="N1439" s="1" t="s">
        <v>319</v>
      </c>
      <c r="O1439" s="1" t="s">
        <v>11824</v>
      </c>
      <c r="P1439" s="1" t="s">
        <v>11825</v>
      </c>
      <c r="Q1439" s="1" t="s">
        <v>13632</v>
      </c>
      <c r="R1439" s="1" t="s">
        <v>11836</v>
      </c>
      <c r="S1439" s="1" t="s">
        <v>11837</v>
      </c>
      <c r="T1439" s="1" t="s">
        <v>11829</v>
      </c>
      <c r="U1439">
        <v>309.83999999999997</v>
      </c>
      <c r="V1439">
        <v>7.22</v>
      </c>
      <c r="W1439">
        <v>16.052781</v>
      </c>
      <c r="X1439">
        <v>108.203267</v>
      </c>
      <c r="Y1439">
        <v>302.62</v>
      </c>
      <c r="Z1439">
        <v>16.050820000000002</v>
      </c>
      <c r="AA1439">
        <v>108.20695000000001</v>
      </c>
      <c r="AB1439" s="5">
        <f t="shared" si="133"/>
        <v>1.0829999999999999E-2</v>
      </c>
      <c r="AC1439" s="5">
        <f t="shared" si="134"/>
        <v>0.45393</v>
      </c>
      <c r="AD1439" s="1" t="e">
        <f t="shared" si="135"/>
        <v>#VALUE!</v>
      </c>
      <c r="AE1439" s="1" t="e">
        <f t="shared" si="136"/>
        <v>#VALUE!</v>
      </c>
      <c r="AG1439">
        <f t="shared" si="137"/>
        <v>7.2199999999999999E-3</v>
      </c>
      <c r="AH1439">
        <f t="shared" si="138"/>
        <v>0.30262</v>
      </c>
      <c r="AI1439" t="e">
        <f>VLOOKUP(L1439,'[1]Tuyến cáp H04'!$B:$E,3,0)/1000</f>
        <v>#N/A</v>
      </c>
      <c r="AJ1439" t="e">
        <f>VLOOKUP(L1439,'[1]Tuyến cáp H04'!$B:$E,4,0)</f>
        <v>#N/A</v>
      </c>
    </row>
    <row r="1440" spans="1:36" x14ac:dyDescent="0.25">
      <c r="A1440" s="1" t="s">
        <v>13633</v>
      </c>
      <c r="B1440" s="1" t="s">
        <v>13634</v>
      </c>
      <c r="C1440" s="1" t="s">
        <v>13635</v>
      </c>
      <c r="D1440" s="1" t="s">
        <v>13636</v>
      </c>
      <c r="E1440" s="1" t="s">
        <v>13637</v>
      </c>
      <c r="F1440" s="1" t="s">
        <v>13638</v>
      </c>
      <c r="G1440" s="1" t="s">
        <v>14281</v>
      </c>
      <c r="H1440" s="1" t="s">
        <v>14282</v>
      </c>
      <c r="I1440" s="1" t="s">
        <v>15528</v>
      </c>
      <c r="J1440" s="1" t="s">
        <v>23</v>
      </c>
      <c r="K1440" s="1"/>
      <c r="L1440" s="1" t="s">
        <v>11045</v>
      </c>
      <c r="M1440" s="1" t="s">
        <v>13639</v>
      </c>
      <c r="N1440" s="1" t="s">
        <v>13640</v>
      </c>
      <c r="O1440" s="1" t="s">
        <v>13641</v>
      </c>
      <c r="P1440" s="1" t="s">
        <v>13642</v>
      </c>
      <c r="Q1440" s="1" t="s">
        <v>13643</v>
      </c>
      <c r="R1440" s="1" t="s">
        <v>11051</v>
      </c>
      <c r="S1440" s="1" t="s">
        <v>11052</v>
      </c>
      <c r="T1440" s="1" t="s">
        <v>11053</v>
      </c>
      <c r="U1440">
        <v>600.85</v>
      </c>
      <c r="V1440">
        <v>291.87</v>
      </c>
      <c r="W1440">
        <v>16.068057</v>
      </c>
      <c r="X1440">
        <v>108.217573</v>
      </c>
      <c r="Y1440">
        <v>308.98</v>
      </c>
      <c r="Z1440">
        <v>16.067585999999999</v>
      </c>
      <c r="AA1440">
        <v>108.21583800000001</v>
      </c>
      <c r="AB1440" s="5">
        <f t="shared" si="133"/>
        <v>0.437805</v>
      </c>
      <c r="AC1440" s="5">
        <f t="shared" si="134"/>
        <v>0.46347000000000005</v>
      </c>
      <c r="AD1440" s="1" t="e">
        <f t="shared" si="135"/>
        <v>#VALUE!</v>
      </c>
      <c r="AE1440" s="1" t="e">
        <f t="shared" si="136"/>
        <v>#VALUE!</v>
      </c>
      <c r="AG1440">
        <f t="shared" si="137"/>
        <v>0.29187000000000002</v>
      </c>
      <c r="AH1440">
        <f t="shared" si="138"/>
        <v>0.30898000000000003</v>
      </c>
      <c r="AI1440" t="e">
        <f>VLOOKUP(L1440,'[1]Tuyến cáp H04'!$B:$E,3,0)/1000</f>
        <v>#N/A</v>
      </c>
      <c r="AJ1440" t="e">
        <f>VLOOKUP(L1440,'[1]Tuyến cáp H04'!$B:$E,4,0)</f>
        <v>#N/A</v>
      </c>
    </row>
    <row r="1441" spans="1:36" x14ac:dyDescent="0.25">
      <c r="A1441" s="1" t="s">
        <v>13644</v>
      </c>
      <c r="B1441" s="1" t="s">
        <v>13634</v>
      </c>
      <c r="C1441" s="1" t="s">
        <v>13635</v>
      </c>
      <c r="D1441" s="1" t="s">
        <v>13645</v>
      </c>
      <c r="E1441" s="1" t="s">
        <v>13646</v>
      </c>
      <c r="F1441" s="1" t="s">
        <v>13647</v>
      </c>
      <c r="G1441" s="1" t="s">
        <v>14281</v>
      </c>
      <c r="H1441" s="1" t="s">
        <v>14282</v>
      </c>
      <c r="I1441" s="1" t="s">
        <v>15529</v>
      </c>
      <c r="J1441" s="1" t="s">
        <v>23</v>
      </c>
      <c r="K1441" s="1"/>
      <c r="L1441" s="1" t="s">
        <v>11045</v>
      </c>
      <c r="M1441" s="1" t="s">
        <v>13648</v>
      </c>
      <c r="N1441" s="1" t="s">
        <v>13640</v>
      </c>
      <c r="O1441" s="1" t="s">
        <v>13641</v>
      </c>
      <c r="P1441" s="1" t="s">
        <v>13642</v>
      </c>
      <c r="Q1441" s="1" t="s">
        <v>13649</v>
      </c>
      <c r="R1441" s="1" t="s">
        <v>13650</v>
      </c>
      <c r="S1441" s="1" t="s">
        <v>13651</v>
      </c>
      <c r="T1441" s="1" t="s">
        <v>11053</v>
      </c>
      <c r="U1441">
        <v>558.03</v>
      </c>
      <c r="V1441">
        <v>291.87</v>
      </c>
      <c r="W1441">
        <v>16.068057</v>
      </c>
      <c r="X1441">
        <v>108.217573</v>
      </c>
      <c r="Y1441">
        <v>266.16000000000003</v>
      </c>
      <c r="Z1441">
        <v>16.06401</v>
      </c>
      <c r="AA1441">
        <v>108.216691</v>
      </c>
      <c r="AB1441" s="5">
        <f t="shared" si="133"/>
        <v>0.437805</v>
      </c>
      <c r="AC1441" s="5">
        <f t="shared" si="134"/>
        <v>0.39923999999999998</v>
      </c>
      <c r="AD1441" s="1" t="e">
        <f t="shared" si="135"/>
        <v>#VALUE!</v>
      </c>
      <c r="AE1441" s="1" t="e">
        <f t="shared" si="136"/>
        <v>#VALUE!</v>
      </c>
      <c r="AG1441">
        <f t="shared" si="137"/>
        <v>0.29187000000000002</v>
      </c>
      <c r="AH1441">
        <f t="shared" si="138"/>
        <v>0.26616000000000001</v>
      </c>
      <c r="AI1441" t="e">
        <f>VLOOKUP(L1441,'[1]Tuyến cáp H04'!$B:$E,3,0)/1000</f>
        <v>#N/A</v>
      </c>
      <c r="AJ1441" t="e">
        <f>VLOOKUP(L1441,'[1]Tuyến cáp H04'!$B:$E,4,0)</f>
        <v>#N/A</v>
      </c>
    </row>
    <row r="1442" spans="1:36" x14ac:dyDescent="0.25">
      <c r="A1442" s="1" t="s">
        <v>13652</v>
      </c>
      <c r="B1442" s="1" t="s">
        <v>11839</v>
      </c>
      <c r="C1442" s="1" t="s">
        <v>11840</v>
      </c>
      <c r="D1442" s="1" t="s">
        <v>12917</v>
      </c>
      <c r="E1442" s="1" t="s">
        <v>12918</v>
      </c>
      <c r="F1442" s="1" t="s">
        <v>13653</v>
      </c>
      <c r="G1442" s="1" t="s">
        <v>14281</v>
      </c>
      <c r="H1442" s="1" t="s">
        <v>14282</v>
      </c>
      <c r="I1442" s="1" t="s">
        <v>15530</v>
      </c>
      <c r="J1442" s="1" t="s">
        <v>23</v>
      </c>
      <c r="K1442" s="1"/>
      <c r="L1442" s="1" t="s">
        <v>11878</v>
      </c>
      <c r="M1442" s="1" t="s">
        <v>13654</v>
      </c>
      <c r="N1442" s="1" t="s">
        <v>11880</v>
      </c>
      <c r="O1442" s="1" t="s">
        <v>11881</v>
      </c>
      <c r="P1442" s="1" t="s">
        <v>11882</v>
      </c>
      <c r="Q1442" s="1" t="s">
        <v>13655</v>
      </c>
      <c r="R1442" s="1" t="s">
        <v>11881</v>
      </c>
      <c r="S1442" s="1" t="s">
        <v>11882</v>
      </c>
      <c r="T1442" s="1" t="s">
        <v>11884</v>
      </c>
      <c r="U1442">
        <v>1134.0899999999999</v>
      </c>
      <c r="V1442">
        <v>3.69</v>
      </c>
      <c r="W1442">
        <v>15.985678999999999</v>
      </c>
      <c r="X1442">
        <v>108.201567</v>
      </c>
      <c r="Y1442">
        <v>1130.4000000000001</v>
      </c>
      <c r="Z1442">
        <v>15.985678999999999</v>
      </c>
      <c r="AA1442">
        <v>108.201567</v>
      </c>
      <c r="AB1442" s="5">
        <f t="shared" si="133"/>
        <v>5.535E-3</v>
      </c>
      <c r="AC1442" s="5">
        <f t="shared" si="134"/>
        <v>1.6956000000000002</v>
      </c>
      <c r="AD1442" s="1" t="str">
        <f t="shared" si="135"/>
        <v>TTKV Ngũ Hành Sơn</v>
      </c>
      <c r="AE1442" s="1" t="str">
        <f t="shared" si="136"/>
        <v>Hòa Xuân</v>
      </c>
      <c r="AG1442">
        <f t="shared" si="137"/>
        <v>3.6900000000000001E-3</v>
      </c>
      <c r="AH1442">
        <f t="shared" si="138"/>
        <v>1.1304000000000001</v>
      </c>
      <c r="AI1442" t="e">
        <f>VLOOKUP(L1442,'[1]Tuyến cáp H04'!$B:$E,3,0)/1000</f>
        <v>#N/A</v>
      </c>
      <c r="AJ1442" t="e">
        <f>VLOOKUP(L1442,'[1]Tuyến cáp H04'!$B:$E,4,0)</f>
        <v>#N/A</v>
      </c>
    </row>
    <row r="1443" spans="1:36" x14ac:dyDescent="0.25">
      <c r="A1443" s="1" t="s">
        <v>13656</v>
      </c>
      <c r="B1443" s="1" t="s">
        <v>11839</v>
      </c>
      <c r="C1443" s="1" t="s">
        <v>11840</v>
      </c>
      <c r="D1443" s="1" t="s">
        <v>12876</v>
      </c>
      <c r="E1443" s="1" t="s">
        <v>12877</v>
      </c>
      <c r="F1443" s="1" t="s">
        <v>13657</v>
      </c>
      <c r="G1443" s="1" t="s">
        <v>14281</v>
      </c>
      <c r="H1443" s="1" t="s">
        <v>14282</v>
      </c>
      <c r="I1443" s="1" t="s">
        <v>15531</v>
      </c>
      <c r="J1443" s="1" t="s">
        <v>23</v>
      </c>
      <c r="K1443" s="1"/>
      <c r="L1443" s="1" t="s">
        <v>11878</v>
      </c>
      <c r="M1443" s="1" t="s">
        <v>13658</v>
      </c>
      <c r="N1443" s="1" t="s">
        <v>11880</v>
      </c>
      <c r="O1443" s="1" t="s">
        <v>11881</v>
      </c>
      <c r="P1443" s="1" t="s">
        <v>11882</v>
      </c>
      <c r="Q1443" s="1" t="s">
        <v>13659</v>
      </c>
      <c r="R1443" s="1" t="s">
        <v>13660</v>
      </c>
      <c r="S1443" s="1" t="s">
        <v>13661</v>
      </c>
      <c r="T1443" s="1" t="s">
        <v>11884</v>
      </c>
      <c r="U1443">
        <v>2650.34</v>
      </c>
      <c r="V1443">
        <v>3.69</v>
      </c>
      <c r="W1443">
        <v>15.985678999999999</v>
      </c>
      <c r="X1443">
        <v>108.201567</v>
      </c>
      <c r="Y1443">
        <v>2646.66</v>
      </c>
      <c r="Z1443">
        <v>16.002026999999998</v>
      </c>
      <c r="AA1443">
        <v>108.22184900000001</v>
      </c>
      <c r="AB1443" s="5">
        <f t="shared" si="133"/>
        <v>5.535E-3</v>
      </c>
      <c r="AC1443" s="5">
        <f t="shared" si="134"/>
        <v>3.9699899999999997</v>
      </c>
      <c r="AD1443" s="1" t="str">
        <f t="shared" si="135"/>
        <v>TTKV Ngũ Hành Sơn</v>
      </c>
      <c r="AE1443" s="1" t="str">
        <f t="shared" si="136"/>
        <v>Hòa Xuân</v>
      </c>
      <c r="AG1443">
        <f t="shared" si="137"/>
        <v>3.6900000000000001E-3</v>
      </c>
      <c r="AH1443">
        <f t="shared" si="138"/>
        <v>2.6466599999999998</v>
      </c>
      <c r="AI1443" t="e">
        <f>VLOOKUP(L1443,'[1]Tuyến cáp H04'!$B:$E,3,0)/1000</f>
        <v>#N/A</v>
      </c>
      <c r="AJ1443" t="e">
        <f>VLOOKUP(L1443,'[1]Tuyến cáp H04'!$B:$E,4,0)</f>
        <v>#N/A</v>
      </c>
    </row>
    <row r="1444" spans="1:36" x14ac:dyDescent="0.25">
      <c r="A1444" s="1" t="s">
        <v>13662</v>
      </c>
      <c r="B1444" s="1" t="s">
        <v>11897</v>
      </c>
      <c r="C1444" s="1" t="s">
        <v>11898</v>
      </c>
      <c r="D1444" s="1" t="s">
        <v>13663</v>
      </c>
      <c r="E1444" s="1" t="s">
        <v>13664</v>
      </c>
      <c r="F1444" s="1" t="s">
        <v>13665</v>
      </c>
      <c r="G1444" s="1" t="s">
        <v>14281</v>
      </c>
      <c r="H1444" s="1" t="s">
        <v>14282</v>
      </c>
      <c r="I1444" s="1" t="s">
        <v>15532</v>
      </c>
      <c r="J1444" s="1" t="s">
        <v>23</v>
      </c>
      <c r="K1444" s="1"/>
      <c r="L1444" s="1" t="s">
        <v>13666</v>
      </c>
      <c r="M1444" s="1" t="s">
        <v>13667</v>
      </c>
      <c r="N1444" s="1" t="s">
        <v>13668</v>
      </c>
      <c r="O1444" s="1" t="s">
        <v>13669</v>
      </c>
      <c r="P1444" s="1" t="s">
        <v>13670</v>
      </c>
      <c r="Q1444" s="1" t="s">
        <v>13671</v>
      </c>
      <c r="R1444" s="1" t="s">
        <v>13672</v>
      </c>
      <c r="S1444" s="1" t="s">
        <v>13673</v>
      </c>
      <c r="T1444" s="1" t="s">
        <v>13674</v>
      </c>
      <c r="U1444">
        <v>78.28</v>
      </c>
      <c r="V1444">
        <v>13.44</v>
      </c>
      <c r="W1444">
        <v>16.077966</v>
      </c>
      <c r="X1444">
        <v>108.114974</v>
      </c>
      <c r="Y1444">
        <v>64.84</v>
      </c>
      <c r="Z1444">
        <v>16.061855000000001</v>
      </c>
      <c r="AA1444">
        <v>108.099862</v>
      </c>
      <c r="AB1444" s="5">
        <f t="shared" si="133"/>
        <v>2.0160000000000001E-2</v>
      </c>
      <c r="AC1444" s="5">
        <f t="shared" si="134"/>
        <v>9.7259999999999999E-2</v>
      </c>
      <c r="AD1444" s="1" t="str">
        <f t="shared" si="135"/>
        <v>Trại giam CATP</v>
      </c>
      <c r="AE1444" s="1" t="str">
        <f t="shared" si="136"/>
        <v>Trạm CSGT Hòa Nhơn</v>
      </c>
      <c r="AG1444">
        <f t="shared" si="137"/>
        <v>1.3439999999999999E-2</v>
      </c>
      <c r="AH1444">
        <f t="shared" si="138"/>
        <v>6.4840000000000009E-2</v>
      </c>
      <c r="AI1444" t="e">
        <f>VLOOKUP(L1444,'[1]Tuyến cáp H04'!$B:$E,3,0)/1000</f>
        <v>#N/A</v>
      </c>
      <c r="AJ1444" t="e">
        <f>VLOOKUP(L1444,'[1]Tuyến cáp H04'!$B:$E,4,0)</f>
        <v>#N/A</v>
      </c>
    </row>
    <row r="1445" spans="1:36" x14ac:dyDescent="0.25">
      <c r="A1445" s="1" t="s">
        <v>13675</v>
      </c>
      <c r="B1445" s="1" t="s">
        <v>11897</v>
      </c>
      <c r="C1445" s="1" t="s">
        <v>11898</v>
      </c>
      <c r="D1445" s="1" t="s">
        <v>13676</v>
      </c>
      <c r="E1445" s="1" t="s">
        <v>13677</v>
      </c>
      <c r="F1445" s="1" t="s">
        <v>13678</v>
      </c>
      <c r="G1445" s="1" t="s">
        <v>14281</v>
      </c>
      <c r="H1445" s="1" t="s">
        <v>14282</v>
      </c>
      <c r="I1445" s="1" t="s">
        <v>15533</v>
      </c>
      <c r="J1445" s="1" t="s">
        <v>23</v>
      </c>
      <c r="K1445" s="1"/>
      <c r="L1445" s="1" t="s">
        <v>11086</v>
      </c>
      <c r="M1445" s="1" t="s">
        <v>13679</v>
      </c>
      <c r="N1445" s="1" t="s">
        <v>13680</v>
      </c>
      <c r="O1445" s="1" t="s">
        <v>13681</v>
      </c>
      <c r="P1445" s="1" t="s">
        <v>13682</v>
      </c>
      <c r="Q1445" s="1" t="s">
        <v>13683</v>
      </c>
      <c r="R1445" s="1" t="s">
        <v>13684</v>
      </c>
      <c r="S1445" s="1" t="s">
        <v>13685</v>
      </c>
      <c r="T1445" s="1" t="s">
        <v>13686</v>
      </c>
      <c r="U1445">
        <v>1886.83</v>
      </c>
      <c r="V1445">
        <v>1270.8399999999999</v>
      </c>
      <c r="W1445">
        <v>16.073208999999999</v>
      </c>
      <c r="X1445">
        <v>108.104287</v>
      </c>
      <c r="Y1445">
        <v>616</v>
      </c>
      <c r="Z1445">
        <v>16.079284999999999</v>
      </c>
      <c r="AA1445">
        <v>108.09813200000001</v>
      </c>
      <c r="AB1445" s="5">
        <f t="shared" si="133"/>
        <v>1.9062599999999998</v>
      </c>
      <c r="AC1445" s="5">
        <f t="shared" si="134"/>
        <v>0.92400000000000004</v>
      </c>
      <c r="AD1445" s="1" t="str">
        <f t="shared" si="135"/>
        <v>"Cơ sở cai nghiện (X. Hòa Bắc, Hòa Vang)</v>
      </c>
      <c r="AE1445" s="1" t="str">
        <f t="shared" si="136"/>
        <v xml:space="preserve">
TTCMKV Hòa Vang"</v>
      </c>
      <c r="AG1445">
        <f t="shared" si="137"/>
        <v>1.27084</v>
      </c>
      <c r="AH1445">
        <f t="shared" si="138"/>
        <v>0.61599999999999999</v>
      </c>
      <c r="AI1445" t="e">
        <f>VLOOKUP(L1445,'[1]Tuyến cáp H04'!$B:$E,3,0)/1000</f>
        <v>#N/A</v>
      </c>
      <c r="AJ1445" t="e">
        <f>VLOOKUP(L1445,'[1]Tuyến cáp H04'!$B:$E,4,0)</f>
        <v>#N/A</v>
      </c>
    </row>
    <row r="1446" spans="1:36" x14ac:dyDescent="0.25">
      <c r="A1446" s="1" t="s">
        <v>13687</v>
      </c>
      <c r="B1446" s="1" t="s">
        <v>13688</v>
      </c>
      <c r="C1446" s="1" t="s">
        <v>13689</v>
      </c>
      <c r="D1446" s="1" t="s">
        <v>11163</v>
      </c>
      <c r="E1446" s="1" t="s">
        <v>11164</v>
      </c>
      <c r="F1446" s="1" t="s">
        <v>13690</v>
      </c>
      <c r="G1446" s="1" t="s">
        <v>14281</v>
      </c>
      <c r="H1446" s="1" t="s">
        <v>14282</v>
      </c>
      <c r="I1446" s="1" t="s">
        <v>15534</v>
      </c>
      <c r="J1446" s="1" t="s">
        <v>23</v>
      </c>
      <c r="K1446" s="1"/>
      <c r="L1446" s="1" t="s">
        <v>11166</v>
      </c>
      <c r="M1446" s="1" t="s">
        <v>13691</v>
      </c>
      <c r="N1446" s="1" t="s">
        <v>13692</v>
      </c>
      <c r="O1446" s="1" t="s">
        <v>13693</v>
      </c>
      <c r="P1446" s="1" t="s">
        <v>13694</v>
      </c>
      <c r="Q1446" s="1" t="s">
        <v>11171</v>
      </c>
      <c r="R1446" s="1" t="s">
        <v>11172</v>
      </c>
      <c r="S1446" s="1" t="s">
        <v>11173</v>
      </c>
      <c r="T1446" s="1" t="s">
        <v>11174</v>
      </c>
      <c r="U1446">
        <v>1776.98</v>
      </c>
      <c r="V1446">
        <v>1745.72</v>
      </c>
      <c r="W1446">
        <v>16.076751000000002</v>
      </c>
      <c r="X1446">
        <v>108.16633400000001</v>
      </c>
      <c r="Y1446">
        <v>31.26</v>
      </c>
      <c r="Z1446">
        <v>16.073207</v>
      </c>
      <c r="AA1446">
        <v>108.177558</v>
      </c>
      <c r="AB1446" s="5">
        <f t="shared" si="133"/>
        <v>2.6185800000000001</v>
      </c>
      <c r="AC1446" s="5">
        <f t="shared" si="134"/>
        <v>4.6890000000000001E-2</v>
      </c>
      <c r="AD1446" s="1" t="str">
        <f t="shared" si="135"/>
        <v>TT1 Đà Nẵng</v>
      </c>
      <c r="AE1446" s="1" t="str">
        <f t="shared" si="136"/>
        <v>Hải Vân</v>
      </c>
      <c r="AG1446">
        <f t="shared" si="137"/>
        <v>1.7457199999999999</v>
      </c>
      <c r="AH1446">
        <f t="shared" si="138"/>
        <v>3.1260000000000003E-2</v>
      </c>
      <c r="AI1446">
        <f>VLOOKUP(L1446,'[1]Tuyến cáp H04'!$B:$E,3,0)/1000</f>
        <v>14.76</v>
      </c>
      <c r="AJ1446" t="str">
        <f>VLOOKUP(L1446,'[1]Tuyến cáp H04'!$B:$E,4,0)</f>
        <v>Mạng cấp 4</v>
      </c>
    </row>
    <row r="1447" spans="1:36" x14ac:dyDescent="0.25">
      <c r="A1447" s="1" t="s">
        <v>13695</v>
      </c>
      <c r="B1447" s="1" t="s">
        <v>13688</v>
      </c>
      <c r="C1447" s="1" t="s">
        <v>13689</v>
      </c>
      <c r="D1447" s="1" t="s">
        <v>13696</v>
      </c>
      <c r="E1447" s="1" t="s">
        <v>13697</v>
      </c>
      <c r="F1447" s="1" t="s">
        <v>13698</v>
      </c>
      <c r="G1447" s="1" t="s">
        <v>14281</v>
      </c>
      <c r="H1447" s="1" t="s">
        <v>14282</v>
      </c>
      <c r="I1447" s="1" t="s">
        <v>15535</v>
      </c>
      <c r="J1447" s="1" t="s">
        <v>23</v>
      </c>
      <c r="K1447" s="1"/>
      <c r="L1447" s="1" t="s">
        <v>13699</v>
      </c>
      <c r="M1447" s="1" t="s">
        <v>13700</v>
      </c>
      <c r="N1447" s="1" t="s">
        <v>13701</v>
      </c>
      <c r="O1447" s="1" t="s">
        <v>13702</v>
      </c>
      <c r="P1447" s="1" t="s">
        <v>13703</v>
      </c>
      <c r="Q1447" s="1" t="s">
        <v>13704</v>
      </c>
      <c r="R1447" s="1" t="s">
        <v>13705</v>
      </c>
      <c r="S1447" s="1" t="s">
        <v>13706</v>
      </c>
      <c r="T1447" s="1" t="s">
        <v>13707</v>
      </c>
      <c r="U1447">
        <v>263.72000000000003</v>
      </c>
      <c r="V1447">
        <v>14.24</v>
      </c>
      <c r="W1447">
        <v>16.063763999999999</v>
      </c>
      <c r="X1447">
        <v>108.157391</v>
      </c>
      <c r="Y1447">
        <v>249.49</v>
      </c>
      <c r="Z1447">
        <v>16.065524</v>
      </c>
      <c r="AA1447">
        <v>108.154652</v>
      </c>
      <c r="AB1447" s="5">
        <f t="shared" si="133"/>
        <v>2.1360000000000001E-2</v>
      </c>
      <c r="AC1447" s="5">
        <f t="shared" si="134"/>
        <v>0.37423500000000004</v>
      </c>
      <c r="AD1447" s="1" t="str">
        <f t="shared" si="135"/>
        <v>TTCMKV Liên Chiểu</v>
      </c>
      <c r="AE1447" s="1" t="str">
        <f t="shared" si="136"/>
        <v>Hòa Khánh</v>
      </c>
      <c r="AG1447">
        <f t="shared" si="137"/>
        <v>1.4240000000000001E-2</v>
      </c>
      <c r="AH1447">
        <f t="shared" si="138"/>
        <v>0.24949000000000002</v>
      </c>
      <c r="AI1447">
        <f>VLOOKUP(L1447,'[1]Tuyến cáp H04'!$B:$E,3,0)/1000</f>
        <v>1.9159999999999999</v>
      </c>
      <c r="AJ1447" t="str">
        <f>VLOOKUP(L1447,'[1]Tuyến cáp H04'!$B:$E,4,0)</f>
        <v>Mạng cấp 4</v>
      </c>
    </row>
    <row r="1448" spans="1:36" x14ac:dyDescent="0.25">
      <c r="A1448" s="1" t="s">
        <v>13708</v>
      </c>
      <c r="B1448" s="1" t="s">
        <v>13688</v>
      </c>
      <c r="C1448" s="1" t="s">
        <v>13689</v>
      </c>
      <c r="D1448" s="1" t="e">
        <v>#N/A</v>
      </c>
      <c r="E1448" s="1" t="e">
        <v>#N/A</v>
      </c>
      <c r="F1448" s="1" t="s">
        <v>13709</v>
      </c>
      <c r="G1448" s="1" t="s">
        <v>14281</v>
      </c>
      <c r="H1448" s="1" t="s">
        <v>14282</v>
      </c>
      <c r="I1448" s="1" t="s">
        <v>15536</v>
      </c>
      <c r="J1448" s="1" t="s">
        <v>5166</v>
      </c>
      <c r="K1448" s="1" t="s">
        <v>11893</v>
      </c>
      <c r="L1448" s="1"/>
      <c r="M1448" s="1"/>
      <c r="N1448" s="1"/>
      <c r="O1448" s="1"/>
      <c r="P1448" s="1"/>
      <c r="Q1448" s="1"/>
      <c r="R1448" s="1"/>
      <c r="S1448" s="1"/>
      <c r="T1448" s="1"/>
      <c r="AB1448" s="5"/>
      <c r="AC1448" s="5"/>
      <c r="AD1448" s="1"/>
      <c r="AE1448" s="1"/>
      <c r="AI1448" t="e">
        <f>VLOOKUP(L1448,'[1]Tuyến cáp H04'!$B:$E,3,0)/1000</f>
        <v>#N/A</v>
      </c>
      <c r="AJ1448" t="e">
        <f>VLOOKUP(L1448,'[1]Tuyến cáp H04'!$B:$E,4,0)</f>
        <v>#N/A</v>
      </c>
    </row>
    <row r="1449" spans="1:36" x14ac:dyDescent="0.25">
      <c r="A1449" s="1" t="s">
        <v>13710</v>
      </c>
      <c r="B1449" s="1" t="s">
        <v>11912</v>
      </c>
      <c r="C1449" s="1" t="s">
        <v>11913</v>
      </c>
      <c r="D1449" s="1" t="s">
        <v>13711</v>
      </c>
      <c r="E1449" s="1" t="s">
        <v>13712</v>
      </c>
      <c r="F1449" s="1" t="s">
        <v>13713</v>
      </c>
      <c r="G1449" s="1" t="s">
        <v>14281</v>
      </c>
      <c r="H1449" s="1" t="s">
        <v>14282</v>
      </c>
      <c r="I1449" s="1" t="s">
        <v>15537</v>
      </c>
      <c r="J1449" s="1" t="s">
        <v>23</v>
      </c>
      <c r="K1449" s="1"/>
      <c r="L1449" s="1" t="s">
        <v>12822</v>
      </c>
      <c r="M1449" s="1" t="s">
        <v>13714</v>
      </c>
      <c r="N1449" s="1" t="s">
        <v>13715</v>
      </c>
      <c r="O1449" s="1" t="s">
        <v>13716</v>
      </c>
      <c r="P1449" s="1" t="s">
        <v>13717</v>
      </c>
      <c r="Q1449" s="1" t="s">
        <v>13718</v>
      </c>
      <c r="R1449" s="1" t="s">
        <v>13719</v>
      </c>
      <c r="S1449" s="1" t="s">
        <v>13720</v>
      </c>
      <c r="T1449" s="1" t="s">
        <v>13721</v>
      </c>
      <c r="U1449">
        <v>778.79</v>
      </c>
      <c r="V1449">
        <v>730.71</v>
      </c>
      <c r="W1449">
        <v>16.053222000000002</v>
      </c>
      <c r="X1449">
        <v>108.156038</v>
      </c>
      <c r="Y1449">
        <v>48.08</v>
      </c>
      <c r="Z1449">
        <v>16.048704000000001</v>
      </c>
      <c r="AA1449">
        <v>108.14683599999999</v>
      </c>
      <c r="AB1449" s="5">
        <f t="shared" si="133"/>
        <v>1.0960650000000001</v>
      </c>
      <c r="AC1449" s="5">
        <f t="shared" si="134"/>
        <v>7.2120000000000004E-2</v>
      </c>
      <c r="AD1449" s="1" t="str">
        <f t="shared" si="135"/>
        <v>Liên Chiểu</v>
      </c>
      <c r="AE1449" s="1" t="str">
        <f t="shared" si="136"/>
        <v>Hòa Vang</v>
      </c>
      <c r="AG1449">
        <f t="shared" si="137"/>
        <v>0.73071000000000008</v>
      </c>
      <c r="AH1449">
        <f t="shared" si="138"/>
        <v>4.8079999999999998E-2</v>
      </c>
      <c r="AI1449">
        <f>VLOOKUP(L1449,'[1]Tuyến cáp H04'!$B:$E,3,0)/1000</f>
        <v>15.87</v>
      </c>
      <c r="AJ1449" t="str">
        <f>VLOOKUP(L1449,'[1]Tuyến cáp H04'!$B:$E,4,0)</f>
        <v>Mạng cấp 3</v>
      </c>
    </row>
    <row r="1450" spans="1:36" x14ac:dyDescent="0.25">
      <c r="A1450" s="1" t="s">
        <v>13722</v>
      </c>
      <c r="B1450" s="1" t="s">
        <v>11912</v>
      </c>
      <c r="C1450" s="1" t="s">
        <v>11913</v>
      </c>
      <c r="D1450" s="1" t="s">
        <v>13723</v>
      </c>
      <c r="E1450" s="1" t="s">
        <v>13724</v>
      </c>
      <c r="F1450" s="1" t="s">
        <v>13725</v>
      </c>
      <c r="G1450" s="1" t="s">
        <v>14281</v>
      </c>
      <c r="H1450" s="1" t="s">
        <v>14282</v>
      </c>
      <c r="I1450" s="1" t="s">
        <v>15538</v>
      </c>
      <c r="J1450" s="1" t="s">
        <v>23</v>
      </c>
      <c r="K1450" s="1"/>
      <c r="L1450" s="1" t="s">
        <v>11930</v>
      </c>
      <c r="M1450" s="1" t="s">
        <v>13726</v>
      </c>
      <c r="N1450" s="1" t="s">
        <v>11932</v>
      </c>
      <c r="O1450" s="1" t="s">
        <v>11933</v>
      </c>
      <c r="P1450" s="1" t="s">
        <v>11934</v>
      </c>
      <c r="Q1450" s="1" t="s">
        <v>13727</v>
      </c>
      <c r="R1450" s="1" t="s">
        <v>13728</v>
      </c>
      <c r="S1450" s="1" t="s">
        <v>13729</v>
      </c>
      <c r="T1450" s="1" t="s">
        <v>11938</v>
      </c>
      <c r="U1450">
        <v>80.86</v>
      </c>
      <c r="V1450">
        <v>33.35</v>
      </c>
      <c r="W1450">
        <v>16.046617000000001</v>
      </c>
      <c r="X1450">
        <v>108.15738899999999</v>
      </c>
      <c r="Y1450">
        <v>47.5</v>
      </c>
      <c r="Z1450">
        <v>16.048881999999999</v>
      </c>
      <c r="AA1450">
        <v>108.158168</v>
      </c>
      <c r="AB1450" s="5">
        <f t="shared" si="133"/>
        <v>5.0025000000000007E-2</v>
      </c>
      <c r="AC1450" s="5">
        <f t="shared" si="134"/>
        <v>7.1249999999999994E-2</v>
      </c>
      <c r="AD1450" s="1" t="str">
        <f t="shared" si="135"/>
        <v>PK02</v>
      </c>
      <c r="AE1450" s="1" t="str">
        <f t="shared" si="136"/>
        <v>TTCMKV Liên Chiểu</v>
      </c>
      <c r="AG1450">
        <f t="shared" si="137"/>
        <v>3.3350000000000005E-2</v>
      </c>
      <c r="AH1450">
        <f t="shared" si="138"/>
        <v>4.7500000000000001E-2</v>
      </c>
      <c r="AI1450">
        <f>VLOOKUP(L1450,'[1]Tuyến cáp H04'!$B:$E,3,0)/1000</f>
        <v>5.165</v>
      </c>
      <c r="AJ1450" t="str">
        <f>VLOOKUP(L1450,'[1]Tuyến cáp H04'!$B:$E,4,0)</f>
        <v>Mạng cấp 3</v>
      </c>
    </row>
    <row r="1451" spans="1:36" x14ac:dyDescent="0.25">
      <c r="A1451" s="1" t="s">
        <v>11926</v>
      </c>
      <c r="B1451" s="1" t="s">
        <v>11912</v>
      </c>
      <c r="C1451" s="1" t="s">
        <v>11913</v>
      </c>
      <c r="D1451" s="1" t="s">
        <v>11927</v>
      </c>
      <c r="E1451" s="1" t="s">
        <v>11928</v>
      </c>
      <c r="F1451" s="1" t="s">
        <v>13730</v>
      </c>
      <c r="G1451" s="1" t="s">
        <v>14281</v>
      </c>
      <c r="H1451" s="1" t="s">
        <v>14282</v>
      </c>
      <c r="I1451" s="1" t="s">
        <v>15340</v>
      </c>
      <c r="J1451" s="1" t="s">
        <v>23</v>
      </c>
      <c r="K1451" s="1"/>
      <c r="L1451" s="1" t="s">
        <v>11930</v>
      </c>
      <c r="M1451" s="1" t="s">
        <v>11931</v>
      </c>
      <c r="N1451" s="1" t="s">
        <v>11932</v>
      </c>
      <c r="O1451" s="1" t="s">
        <v>11933</v>
      </c>
      <c r="P1451" s="1" t="s">
        <v>11934</v>
      </c>
      <c r="Q1451" s="1" t="s">
        <v>11935</v>
      </c>
      <c r="R1451" s="1" t="s">
        <v>11936</v>
      </c>
      <c r="S1451" s="1" t="s">
        <v>11937</v>
      </c>
      <c r="T1451" s="1" t="s">
        <v>11938</v>
      </c>
      <c r="U1451">
        <v>121.93</v>
      </c>
      <c r="V1451">
        <v>33.35</v>
      </c>
      <c r="W1451">
        <v>16.046617000000001</v>
      </c>
      <c r="X1451">
        <v>108.15738899999999</v>
      </c>
      <c r="Y1451">
        <v>88.58</v>
      </c>
      <c r="Z1451">
        <v>16.053637999999999</v>
      </c>
      <c r="AA1451">
        <v>108.157757</v>
      </c>
      <c r="AB1451" s="5">
        <f t="shared" si="133"/>
        <v>5.0025000000000007E-2</v>
      </c>
      <c r="AC1451" s="5">
        <f t="shared" si="134"/>
        <v>0.13287000000000002</v>
      </c>
      <c r="AD1451" s="1" t="str">
        <f t="shared" si="135"/>
        <v>PK02</v>
      </c>
      <c r="AE1451" s="1" t="str">
        <f t="shared" si="136"/>
        <v>TTCMKV Liên Chiểu</v>
      </c>
      <c r="AG1451">
        <f t="shared" si="137"/>
        <v>3.3350000000000005E-2</v>
      </c>
      <c r="AH1451">
        <f t="shared" si="138"/>
        <v>8.8579999999999992E-2</v>
      </c>
      <c r="AI1451">
        <f>VLOOKUP(L1451,'[1]Tuyến cáp H04'!$B:$E,3,0)/1000</f>
        <v>5.165</v>
      </c>
      <c r="AJ1451" t="str">
        <f>VLOOKUP(L1451,'[1]Tuyến cáp H04'!$B:$E,4,0)</f>
        <v>Mạng cấp 3</v>
      </c>
    </row>
    <row r="1452" spans="1:36" x14ac:dyDescent="0.25">
      <c r="A1452" s="1" t="s">
        <v>11911</v>
      </c>
      <c r="B1452" s="1" t="s">
        <v>11912</v>
      </c>
      <c r="C1452" s="1" t="s">
        <v>11913</v>
      </c>
      <c r="D1452" s="1" t="s">
        <v>11914</v>
      </c>
      <c r="E1452" s="1" t="s">
        <v>11915</v>
      </c>
      <c r="F1452" s="1" t="s">
        <v>13731</v>
      </c>
      <c r="G1452" s="1" t="s">
        <v>14281</v>
      </c>
      <c r="H1452" s="1" t="s">
        <v>14282</v>
      </c>
      <c r="I1452" s="1" t="s">
        <v>15339</v>
      </c>
      <c r="J1452" s="1" t="s">
        <v>23</v>
      </c>
      <c r="K1452" s="1"/>
      <c r="L1452" s="1" t="s">
        <v>11917</v>
      </c>
      <c r="M1452" s="1" t="s">
        <v>11918</v>
      </c>
      <c r="N1452" s="1" t="s">
        <v>11919</v>
      </c>
      <c r="O1452" s="1" t="s">
        <v>11920</v>
      </c>
      <c r="P1452" s="1" t="s">
        <v>11921</v>
      </c>
      <c r="Q1452" s="1" t="s">
        <v>11922</v>
      </c>
      <c r="R1452" s="1" t="s">
        <v>11923</v>
      </c>
      <c r="S1452" s="1" t="s">
        <v>11924</v>
      </c>
      <c r="T1452" s="1" t="s">
        <v>11925</v>
      </c>
      <c r="U1452">
        <v>1791</v>
      </c>
      <c r="V1452">
        <v>41.12</v>
      </c>
      <c r="W1452">
        <v>16.046609</v>
      </c>
      <c r="X1452">
        <v>108.15746300000001</v>
      </c>
      <c r="Y1452">
        <v>1749.89</v>
      </c>
      <c r="Z1452">
        <v>16.049126000000001</v>
      </c>
      <c r="AA1452">
        <v>108.160696</v>
      </c>
      <c r="AB1452" s="5">
        <f t="shared" si="133"/>
        <v>6.1679999999999992E-2</v>
      </c>
      <c r="AC1452" s="5">
        <f t="shared" si="134"/>
        <v>2.624835</v>
      </c>
      <c r="AD1452" s="1" t="str">
        <f t="shared" si="135"/>
        <v>TT1 Đà Nẵng</v>
      </c>
      <c r="AE1452" s="1" t="str">
        <f t="shared" si="136"/>
        <v>PK02</v>
      </c>
      <c r="AG1452">
        <f t="shared" si="137"/>
        <v>4.1119999999999997E-2</v>
      </c>
      <c r="AH1452">
        <f t="shared" si="138"/>
        <v>1.7498900000000002</v>
      </c>
      <c r="AI1452">
        <f>VLOOKUP(L1452,'[1]Tuyến cáp H04'!$B:$E,3,0)/1000</f>
        <v>8.9160000000000004</v>
      </c>
      <c r="AJ1452" t="str">
        <f>VLOOKUP(L1452,'[1]Tuyến cáp H04'!$B:$E,4,0)</f>
        <v>Mạng cấp 3</v>
      </c>
    </row>
    <row r="1453" spans="1:36" x14ac:dyDescent="0.25">
      <c r="A1453" s="1" t="s">
        <v>13732</v>
      </c>
      <c r="B1453" s="1" t="s">
        <v>11912</v>
      </c>
      <c r="C1453" s="1" t="s">
        <v>11913</v>
      </c>
      <c r="D1453" s="1" t="s">
        <v>13733</v>
      </c>
      <c r="E1453" s="1" t="s">
        <v>13734</v>
      </c>
      <c r="F1453" s="1" t="s">
        <v>13735</v>
      </c>
      <c r="G1453" s="1" t="s">
        <v>14281</v>
      </c>
      <c r="H1453" s="1" t="s">
        <v>14282</v>
      </c>
      <c r="I1453" s="1" t="s">
        <v>15539</v>
      </c>
      <c r="J1453" s="1" t="s">
        <v>23</v>
      </c>
      <c r="K1453" s="1"/>
      <c r="L1453" s="1" t="s">
        <v>13736</v>
      </c>
      <c r="M1453" s="1" t="s">
        <v>13737</v>
      </c>
      <c r="N1453" s="1" t="s">
        <v>3069</v>
      </c>
      <c r="O1453" s="1" t="s">
        <v>13738</v>
      </c>
      <c r="P1453" s="1" t="s">
        <v>13739</v>
      </c>
      <c r="Q1453" s="1" t="s">
        <v>13740</v>
      </c>
      <c r="R1453" s="1" t="s">
        <v>13738</v>
      </c>
      <c r="S1453" s="1" t="s">
        <v>13739</v>
      </c>
      <c r="T1453" s="1" t="s">
        <v>13741</v>
      </c>
      <c r="U1453">
        <v>1122.18</v>
      </c>
      <c r="V1453">
        <v>29.18</v>
      </c>
      <c r="W1453">
        <v>16.046562000000002</v>
      </c>
      <c r="X1453">
        <v>108.15731</v>
      </c>
      <c r="Y1453">
        <v>1093.01</v>
      </c>
      <c r="Z1453">
        <v>16.046562000000002</v>
      </c>
      <c r="AA1453">
        <v>108.15731</v>
      </c>
      <c r="AB1453" s="5">
        <f t="shared" si="133"/>
        <v>4.3769999999999996E-2</v>
      </c>
      <c r="AC1453" s="5">
        <f t="shared" si="134"/>
        <v>1.6395149999999998</v>
      </c>
      <c r="AD1453" s="1" t="str">
        <f t="shared" si="135"/>
        <v>Trại giam CATP</v>
      </c>
      <c r="AE1453" s="1" t="str">
        <f t="shared" si="136"/>
        <v>PK02</v>
      </c>
      <c r="AG1453">
        <f t="shared" si="137"/>
        <v>2.9180000000000001E-2</v>
      </c>
      <c r="AH1453">
        <f t="shared" si="138"/>
        <v>1.09301</v>
      </c>
      <c r="AI1453">
        <f>VLOOKUP(L1453,'[1]Tuyến cáp H04'!$B:$E,3,0)/1000</f>
        <v>6.8789999999999996</v>
      </c>
      <c r="AJ1453" t="str">
        <f>VLOOKUP(L1453,'[1]Tuyến cáp H04'!$B:$E,4,0)</f>
        <v>Mạng cấp 3</v>
      </c>
    </row>
    <row r="1454" spans="1:36" x14ac:dyDescent="0.25">
      <c r="A1454" s="1" t="s">
        <v>11977</v>
      </c>
      <c r="B1454" s="1" t="s">
        <v>11940</v>
      </c>
      <c r="C1454" s="1" t="s">
        <v>11941</v>
      </c>
      <c r="D1454" s="1" t="s">
        <v>11978</v>
      </c>
      <c r="E1454" s="1" t="s">
        <v>11979</v>
      </c>
      <c r="F1454" s="1" t="s">
        <v>13742</v>
      </c>
      <c r="G1454" s="1" t="s">
        <v>14281</v>
      </c>
      <c r="H1454" s="1" t="s">
        <v>14282</v>
      </c>
      <c r="I1454" s="1" t="s">
        <v>15345</v>
      </c>
      <c r="J1454" s="1" t="s">
        <v>23</v>
      </c>
      <c r="K1454" s="1"/>
      <c r="L1454" s="1" t="s">
        <v>11902</v>
      </c>
      <c r="M1454" s="1" t="s">
        <v>11981</v>
      </c>
      <c r="N1454" s="1" t="s">
        <v>11946</v>
      </c>
      <c r="O1454" s="1" t="s">
        <v>11947</v>
      </c>
      <c r="P1454" s="1" t="s">
        <v>11948</v>
      </c>
      <c r="Q1454" s="1" t="s">
        <v>11982</v>
      </c>
      <c r="R1454" s="1" t="s">
        <v>11950</v>
      </c>
      <c r="S1454" s="1" t="s">
        <v>11951</v>
      </c>
      <c r="T1454" s="1" t="s">
        <v>11952</v>
      </c>
      <c r="U1454">
        <v>3483.25</v>
      </c>
      <c r="V1454">
        <v>20.38</v>
      </c>
      <c r="W1454">
        <v>16.140616000000001</v>
      </c>
      <c r="X1454">
        <v>108.11979100000001</v>
      </c>
      <c r="Y1454">
        <v>3462.87</v>
      </c>
      <c r="Z1454">
        <v>16.128188999999999</v>
      </c>
      <c r="AA1454">
        <v>108.11491700000001</v>
      </c>
      <c r="AB1454" s="5">
        <f t="shared" si="133"/>
        <v>3.057E-2</v>
      </c>
      <c r="AC1454" s="5">
        <f t="shared" si="134"/>
        <v>5.1943049999999999</v>
      </c>
      <c r="AD1454" s="1" t="str">
        <f t="shared" si="135"/>
        <v>Trạm CSGT Hòa Hiệp</v>
      </c>
      <c r="AE1454" s="1" t="str">
        <f t="shared" si="136"/>
        <v>Trại giam CATP</v>
      </c>
      <c r="AG1454">
        <f t="shared" si="137"/>
        <v>2.0379999999999999E-2</v>
      </c>
      <c r="AH1454">
        <f t="shared" si="138"/>
        <v>3.4628699999999997</v>
      </c>
      <c r="AI1454">
        <f>VLOOKUP(L1454,'[1]Tuyến cáp H04'!$B:$E,3,0)/1000</f>
        <v>9.7919999999999998</v>
      </c>
      <c r="AJ1454" t="str">
        <f>VLOOKUP(L1454,'[1]Tuyến cáp H04'!$B:$E,4,0)</f>
        <v>Mạng cấp 3</v>
      </c>
    </row>
    <row r="1455" spans="1:36" x14ac:dyDescent="0.25">
      <c r="A1455" s="1" t="s">
        <v>11983</v>
      </c>
      <c r="B1455" s="1" t="s">
        <v>11940</v>
      </c>
      <c r="C1455" s="1" t="s">
        <v>11941</v>
      </c>
      <c r="D1455" s="1" t="s">
        <v>11984</v>
      </c>
      <c r="E1455" s="1" t="s">
        <v>11985</v>
      </c>
      <c r="F1455" s="1" t="s">
        <v>13743</v>
      </c>
      <c r="G1455" s="1"/>
      <c r="H1455" s="1" t="s">
        <v>14282</v>
      </c>
      <c r="I1455" s="1" t="s">
        <v>15346</v>
      </c>
      <c r="J1455" s="1" t="s">
        <v>23</v>
      </c>
      <c r="K1455" s="1"/>
      <c r="L1455" s="1" t="s">
        <v>11902</v>
      </c>
      <c r="M1455" s="1" t="s">
        <v>11987</v>
      </c>
      <c r="N1455" s="1" t="s">
        <v>11946</v>
      </c>
      <c r="O1455" s="1" t="s">
        <v>11947</v>
      </c>
      <c r="P1455" s="1" t="s">
        <v>11948</v>
      </c>
      <c r="Q1455" s="1" t="s">
        <v>11988</v>
      </c>
      <c r="R1455" s="1" t="s">
        <v>11989</v>
      </c>
      <c r="S1455" s="1" t="s">
        <v>11990</v>
      </c>
      <c r="T1455" s="1" t="s">
        <v>11952</v>
      </c>
      <c r="U1455">
        <v>270.02999999999997</v>
      </c>
      <c r="V1455">
        <v>20.38</v>
      </c>
      <c r="W1455">
        <v>16.140616000000001</v>
      </c>
      <c r="X1455">
        <v>108.11979100000001</v>
      </c>
      <c r="Y1455">
        <v>249.65</v>
      </c>
      <c r="Z1455">
        <v>16.107706</v>
      </c>
      <c r="AA1455">
        <v>108.128424</v>
      </c>
      <c r="AB1455" s="5">
        <f t="shared" si="133"/>
        <v>3.057E-2</v>
      </c>
      <c r="AC1455" s="5">
        <f t="shared" si="134"/>
        <v>0.374475</v>
      </c>
      <c r="AD1455" s="1" t="str">
        <f t="shared" si="135"/>
        <v>Trạm CSGT Hòa Hiệp</v>
      </c>
      <c r="AE1455" s="1" t="str">
        <f t="shared" si="136"/>
        <v>Trại giam CATP</v>
      </c>
      <c r="AG1455">
        <f t="shared" si="137"/>
        <v>2.0379999999999999E-2</v>
      </c>
      <c r="AH1455">
        <f t="shared" si="138"/>
        <v>0.24965000000000001</v>
      </c>
      <c r="AI1455">
        <f>VLOOKUP(L1455,'[1]Tuyến cáp H04'!$B:$E,3,0)/1000</f>
        <v>9.7919999999999998</v>
      </c>
      <c r="AJ1455" t="str">
        <f>VLOOKUP(L1455,'[1]Tuyến cáp H04'!$B:$E,4,0)</f>
        <v>Mạng cấp 3</v>
      </c>
    </row>
    <row r="1456" spans="1:36" x14ac:dyDescent="0.25">
      <c r="A1456" s="1" t="s">
        <v>12003</v>
      </c>
      <c r="B1456" s="1" t="s">
        <v>11176</v>
      </c>
      <c r="C1456" s="1" t="s">
        <v>11177</v>
      </c>
      <c r="D1456" s="1" t="s">
        <v>11141</v>
      </c>
      <c r="E1456" s="1" t="s">
        <v>11142</v>
      </c>
      <c r="F1456" s="1" t="s">
        <v>12935</v>
      </c>
      <c r="G1456" s="1"/>
      <c r="H1456" s="1" t="s">
        <v>14282</v>
      </c>
      <c r="I1456" s="1" t="s">
        <v>15268</v>
      </c>
      <c r="J1456" s="1" t="s">
        <v>23</v>
      </c>
      <c r="K1456" s="1"/>
      <c r="L1456" s="1" t="s">
        <v>11179</v>
      </c>
      <c r="M1456" s="1" t="s">
        <v>11180</v>
      </c>
      <c r="N1456" s="1" t="s">
        <v>11184</v>
      </c>
      <c r="O1456" s="1" t="s">
        <v>11185</v>
      </c>
      <c r="P1456" s="1" t="s">
        <v>11186</v>
      </c>
      <c r="Q1456" s="1" t="s">
        <v>11181</v>
      </c>
      <c r="R1456" s="1" t="s">
        <v>11182</v>
      </c>
      <c r="S1456" s="1" t="s">
        <v>11183</v>
      </c>
      <c r="T1456" s="1" t="s">
        <v>11187</v>
      </c>
      <c r="U1456">
        <v>490.42</v>
      </c>
      <c r="V1456">
        <v>463.11</v>
      </c>
      <c r="W1456">
        <v>16.074614</v>
      </c>
      <c r="X1456">
        <v>108.14948099999999</v>
      </c>
      <c r="Y1456">
        <v>27.31</v>
      </c>
      <c r="Z1456">
        <v>16.074273999999999</v>
      </c>
      <c r="AA1456">
        <v>108.158044</v>
      </c>
      <c r="AB1456" s="5">
        <f t="shared" si="133"/>
        <v>0.69466499999999998</v>
      </c>
      <c r="AC1456" s="5">
        <f t="shared" si="134"/>
        <v>4.0964999999999994E-2</v>
      </c>
      <c r="AD1456" s="1" t="str">
        <f t="shared" si="135"/>
        <v>TTCMKV Liên Chiểu</v>
      </c>
      <c r="AE1456" s="1" t="str">
        <f t="shared" si="136"/>
        <v>Trạm CSGT Hòa Hiệp</v>
      </c>
      <c r="AG1456">
        <f t="shared" si="137"/>
        <v>0.46311000000000002</v>
      </c>
      <c r="AH1456">
        <f t="shared" si="138"/>
        <v>2.7309999999999997E-2</v>
      </c>
      <c r="AI1456">
        <f>VLOOKUP(L1456,'[1]Tuyến cáp H04'!$B:$E,3,0)/1000</f>
        <v>9.5169999999999995</v>
      </c>
      <c r="AJ1456" t="str">
        <f>VLOOKUP(L1456,'[1]Tuyến cáp H04'!$B:$E,4,0)</f>
        <v>Mạng cấp 3</v>
      </c>
    </row>
    <row r="1457" spans="1:36" x14ac:dyDescent="0.25">
      <c r="A1457" s="1" t="s">
        <v>13744</v>
      </c>
      <c r="B1457" s="1" t="s">
        <v>11176</v>
      </c>
      <c r="C1457" s="1" t="s">
        <v>11177</v>
      </c>
      <c r="D1457" s="1" t="s">
        <v>13745</v>
      </c>
      <c r="E1457" s="1" t="s">
        <v>13746</v>
      </c>
      <c r="F1457" s="1" t="s">
        <v>13747</v>
      </c>
      <c r="G1457" s="1" t="s">
        <v>14281</v>
      </c>
      <c r="H1457" s="1" t="s">
        <v>14282</v>
      </c>
      <c r="I1457" s="1" t="s">
        <v>15540</v>
      </c>
      <c r="J1457" s="1" t="s">
        <v>23</v>
      </c>
      <c r="K1457" s="1"/>
      <c r="L1457" s="1" t="s">
        <v>11166</v>
      </c>
      <c r="M1457" s="1" t="s">
        <v>13748</v>
      </c>
      <c r="N1457" s="1" t="s">
        <v>13749</v>
      </c>
      <c r="O1457" s="1" t="s">
        <v>13750</v>
      </c>
      <c r="P1457" s="1" t="s">
        <v>13751</v>
      </c>
      <c r="Q1457" s="1" t="s">
        <v>13752</v>
      </c>
      <c r="R1457" s="1" t="s">
        <v>13753</v>
      </c>
      <c r="S1457" s="1" t="s">
        <v>13754</v>
      </c>
      <c r="T1457" s="1" t="s">
        <v>12053</v>
      </c>
      <c r="U1457">
        <v>605.01</v>
      </c>
      <c r="V1457">
        <v>492.71</v>
      </c>
      <c r="W1457">
        <v>16.081016999999999</v>
      </c>
      <c r="X1457">
        <v>108.146484</v>
      </c>
      <c r="Y1457">
        <v>112.31</v>
      </c>
      <c r="Z1457">
        <v>16.084243000000001</v>
      </c>
      <c r="AA1457">
        <v>108.150699</v>
      </c>
      <c r="AB1457" s="5">
        <f t="shared" si="133"/>
        <v>0.73906499999999997</v>
      </c>
      <c r="AC1457" s="5">
        <f t="shared" si="134"/>
        <v>0.168465</v>
      </c>
      <c r="AD1457" s="1" t="str">
        <f t="shared" si="135"/>
        <v>TT1 Đà Nẵng</v>
      </c>
      <c r="AE1457" s="1" t="str">
        <f t="shared" si="136"/>
        <v>Hải Vân</v>
      </c>
      <c r="AG1457">
        <f t="shared" si="137"/>
        <v>0.49270999999999998</v>
      </c>
      <c r="AH1457">
        <f t="shared" si="138"/>
        <v>0.11231000000000001</v>
      </c>
      <c r="AI1457">
        <f>VLOOKUP(L1457,'[1]Tuyến cáp H04'!$B:$E,3,0)/1000</f>
        <v>14.76</v>
      </c>
      <c r="AJ1457" t="str">
        <f>VLOOKUP(L1457,'[1]Tuyến cáp H04'!$B:$E,4,0)</f>
        <v>Mạng cấp 4</v>
      </c>
    </row>
    <row r="1458" spans="1:36" x14ac:dyDescent="0.25">
      <c r="A1458" s="1" t="s">
        <v>13755</v>
      </c>
      <c r="B1458" s="1" t="s">
        <v>11984</v>
      </c>
      <c r="C1458" s="1" t="s">
        <v>11985</v>
      </c>
      <c r="D1458" s="1" t="s">
        <v>13756</v>
      </c>
      <c r="E1458" s="1" t="s">
        <v>13757</v>
      </c>
      <c r="F1458" s="1" t="s">
        <v>13758</v>
      </c>
      <c r="G1458" s="1" t="s">
        <v>14281</v>
      </c>
      <c r="H1458" s="1" t="s">
        <v>14282</v>
      </c>
      <c r="I1458" s="1" t="s">
        <v>15541</v>
      </c>
      <c r="J1458" s="1" t="s">
        <v>23</v>
      </c>
      <c r="K1458" s="1"/>
      <c r="L1458" s="1" t="s">
        <v>11166</v>
      </c>
      <c r="M1458" s="1" t="s">
        <v>13759</v>
      </c>
      <c r="N1458" s="1" t="s">
        <v>12047</v>
      </c>
      <c r="O1458" s="1" t="s">
        <v>12048</v>
      </c>
      <c r="P1458" s="1" t="s">
        <v>12049</v>
      </c>
      <c r="Q1458" s="1" t="s">
        <v>13760</v>
      </c>
      <c r="R1458" s="1" t="s">
        <v>13761</v>
      </c>
      <c r="S1458" s="1" t="s">
        <v>13762</v>
      </c>
      <c r="T1458" s="1" t="s">
        <v>12053</v>
      </c>
      <c r="U1458">
        <v>177.02</v>
      </c>
      <c r="V1458">
        <v>14.62</v>
      </c>
      <c r="W1458">
        <v>16.107544000000001</v>
      </c>
      <c r="X1458">
        <v>108.12598699999999</v>
      </c>
      <c r="Y1458">
        <v>162.41</v>
      </c>
      <c r="Z1458">
        <v>16.105843</v>
      </c>
      <c r="AA1458">
        <v>108.13267</v>
      </c>
      <c r="AB1458" s="5">
        <f t="shared" si="133"/>
        <v>2.1929999999999998E-2</v>
      </c>
      <c r="AC1458" s="5">
        <f t="shared" si="134"/>
        <v>0.243615</v>
      </c>
      <c r="AD1458" s="1" t="str">
        <f t="shared" si="135"/>
        <v>TT1 Đà Nẵng</v>
      </c>
      <c r="AE1458" s="1" t="str">
        <f t="shared" si="136"/>
        <v>Hải Vân</v>
      </c>
      <c r="AG1458">
        <f t="shared" si="137"/>
        <v>1.4619999999999999E-2</v>
      </c>
      <c r="AH1458">
        <f t="shared" si="138"/>
        <v>0.16241</v>
      </c>
      <c r="AI1458">
        <f>VLOOKUP(L1458,'[1]Tuyến cáp H04'!$B:$E,3,0)/1000</f>
        <v>14.76</v>
      </c>
      <c r="AJ1458" t="str">
        <f>VLOOKUP(L1458,'[1]Tuyến cáp H04'!$B:$E,4,0)</f>
        <v>Mạng cấp 4</v>
      </c>
    </row>
    <row r="1459" spans="1:36" x14ac:dyDescent="0.25">
      <c r="A1459" s="1" t="s">
        <v>12041</v>
      </c>
      <c r="B1459" s="1" t="s">
        <v>11984</v>
      </c>
      <c r="C1459" s="1" t="s">
        <v>11985</v>
      </c>
      <c r="D1459" s="1" t="s">
        <v>11940</v>
      </c>
      <c r="E1459" s="1" t="s">
        <v>11941</v>
      </c>
      <c r="F1459" s="1" t="s">
        <v>13743</v>
      </c>
      <c r="G1459" s="1"/>
      <c r="H1459" s="1" t="s">
        <v>14282</v>
      </c>
      <c r="I1459" s="1" t="s">
        <v>15346</v>
      </c>
      <c r="J1459" s="1" t="s">
        <v>23</v>
      </c>
      <c r="K1459" s="1"/>
      <c r="L1459" s="1" t="s">
        <v>11902</v>
      </c>
      <c r="M1459" s="1" t="s">
        <v>11987</v>
      </c>
      <c r="N1459" s="1" t="s">
        <v>11988</v>
      </c>
      <c r="O1459" s="1" t="s">
        <v>11989</v>
      </c>
      <c r="P1459" s="1" t="s">
        <v>11990</v>
      </c>
      <c r="Q1459" s="1" t="s">
        <v>11946</v>
      </c>
      <c r="R1459" s="1" t="s">
        <v>11947</v>
      </c>
      <c r="S1459" s="1" t="s">
        <v>11948</v>
      </c>
      <c r="T1459" s="1" t="s">
        <v>11952</v>
      </c>
      <c r="U1459">
        <v>270.02999999999997</v>
      </c>
      <c r="V1459">
        <v>249.65</v>
      </c>
      <c r="W1459">
        <v>16.107706</v>
      </c>
      <c r="X1459">
        <v>108.128424</v>
      </c>
      <c r="Y1459">
        <v>20.38</v>
      </c>
      <c r="Z1459">
        <v>16.140616000000001</v>
      </c>
      <c r="AA1459">
        <v>108.11979100000001</v>
      </c>
      <c r="AB1459" s="5">
        <f t="shared" si="133"/>
        <v>0.374475</v>
      </c>
      <c r="AC1459" s="5">
        <f t="shared" si="134"/>
        <v>3.057E-2</v>
      </c>
      <c r="AD1459" s="1" t="str">
        <f t="shared" si="135"/>
        <v>Trạm CSGT Hòa Hiệp</v>
      </c>
      <c r="AE1459" s="1" t="str">
        <f t="shared" si="136"/>
        <v>Trại giam CATP</v>
      </c>
      <c r="AG1459">
        <f t="shared" si="137"/>
        <v>0.24965000000000001</v>
      </c>
      <c r="AH1459">
        <f t="shared" si="138"/>
        <v>2.0379999999999999E-2</v>
      </c>
      <c r="AI1459">
        <f>VLOOKUP(L1459,'[1]Tuyến cáp H04'!$B:$E,3,0)/1000</f>
        <v>9.7919999999999998</v>
      </c>
      <c r="AJ1459" t="str">
        <f>VLOOKUP(L1459,'[1]Tuyến cáp H04'!$B:$E,4,0)</f>
        <v>Mạng cấp 3</v>
      </c>
    </row>
    <row r="1460" spans="1:36" x14ac:dyDescent="0.25">
      <c r="A1460" s="1" t="s">
        <v>12042</v>
      </c>
      <c r="B1460" s="1" t="s">
        <v>11984</v>
      </c>
      <c r="C1460" s="1" t="s">
        <v>11985</v>
      </c>
      <c r="D1460" s="1" t="s">
        <v>12043</v>
      </c>
      <c r="E1460" s="1" t="s">
        <v>12044</v>
      </c>
      <c r="F1460" s="1" t="s">
        <v>13763</v>
      </c>
      <c r="G1460" s="1" t="s">
        <v>14281</v>
      </c>
      <c r="H1460" s="1" t="s">
        <v>14282</v>
      </c>
      <c r="I1460" s="1" t="s">
        <v>15352</v>
      </c>
      <c r="J1460" s="1" t="s">
        <v>23</v>
      </c>
      <c r="K1460" s="1"/>
      <c r="L1460" s="1" t="s">
        <v>11166</v>
      </c>
      <c r="M1460" s="1" t="s">
        <v>12046</v>
      </c>
      <c r="N1460" s="1" t="s">
        <v>12047</v>
      </c>
      <c r="O1460" s="1" t="s">
        <v>12048</v>
      </c>
      <c r="P1460" s="1" t="s">
        <v>12049</v>
      </c>
      <c r="Q1460" s="1" t="s">
        <v>12050</v>
      </c>
      <c r="R1460" s="1" t="s">
        <v>12051</v>
      </c>
      <c r="S1460" s="1" t="s">
        <v>12052</v>
      </c>
      <c r="T1460" s="1" t="s">
        <v>12053</v>
      </c>
      <c r="U1460">
        <v>194.31</v>
      </c>
      <c r="V1460">
        <v>14.62</v>
      </c>
      <c r="W1460">
        <v>16.107544000000001</v>
      </c>
      <c r="X1460">
        <v>108.12598699999999</v>
      </c>
      <c r="Y1460">
        <v>179.69</v>
      </c>
      <c r="Z1460">
        <v>16.100843999999999</v>
      </c>
      <c r="AA1460">
        <v>108.13513399999999</v>
      </c>
      <c r="AB1460" s="5">
        <f t="shared" si="133"/>
        <v>2.1929999999999998E-2</v>
      </c>
      <c r="AC1460" s="5">
        <f t="shared" si="134"/>
        <v>0.26953499999999997</v>
      </c>
      <c r="AD1460" s="1" t="str">
        <f t="shared" si="135"/>
        <v>TT1 Đà Nẵng</v>
      </c>
      <c r="AE1460" s="1" t="str">
        <f t="shared" si="136"/>
        <v>Hải Vân</v>
      </c>
      <c r="AG1460">
        <f t="shared" si="137"/>
        <v>1.4619999999999999E-2</v>
      </c>
      <c r="AH1460">
        <f t="shared" si="138"/>
        <v>0.17968999999999999</v>
      </c>
      <c r="AI1460">
        <f>VLOOKUP(L1460,'[1]Tuyến cáp H04'!$B:$E,3,0)/1000</f>
        <v>14.76</v>
      </c>
      <c r="AJ1460" t="str">
        <f>VLOOKUP(L1460,'[1]Tuyến cáp H04'!$B:$E,4,0)</f>
        <v>Mạng cấp 4</v>
      </c>
    </row>
    <row r="1461" spans="1:36" x14ac:dyDescent="0.25">
      <c r="A1461" s="1" t="s">
        <v>13764</v>
      </c>
      <c r="B1461" s="1" t="s">
        <v>12055</v>
      </c>
      <c r="C1461" s="1" t="s">
        <v>12056</v>
      </c>
      <c r="D1461" s="1" t="s">
        <v>13765</v>
      </c>
      <c r="E1461" s="1" t="s">
        <v>13766</v>
      </c>
      <c r="F1461" s="1" t="s">
        <v>13767</v>
      </c>
      <c r="G1461" s="1" t="s">
        <v>14281</v>
      </c>
      <c r="H1461" s="1" t="s">
        <v>14282</v>
      </c>
      <c r="I1461" s="1" t="s">
        <v>15542</v>
      </c>
      <c r="J1461" s="1" t="s">
        <v>23</v>
      </c>
      <c r="K1461" s="1"/>
      <c r="L1461" s="1" t="s">
        <v>12072</v>
      </c>
      <c r="M1461" s="1" t="s">
        <v>13768</v>
      </c>
      <c r="N1461" s="1" t="s">
        <v>12074</v>
      </c>
      <c r="O1461" s="1" t="s">
        <v>12075</v>
      </c>
      <c r="P1461" s="1" t="s">
        <v>12076</v>
      </c>
      <c r="Q1461" s="1" t="s">
        <v>13769</v>
      </c>
      <c r="R1461" s="1" t="s">
        <v>13770</v>
      </c>
      <c r="S1461" s="1" t="s">
        <v>13771</v>
      </c>
      <c r="T1461" s="1" t="s">
        <v>12080</v>
      </c>
      <c r="U1461">
        <v>366.33</v>
      </c>
      <c r="V1461">
        <v>50.98</v>
      </c>
      <c r="W1461">
        <v>16.038461999999999</v>
      </c>
      <c r="X1461">
        <v>108.242496</v>
      </c>
      <c r="Y1461">
        <v>315.35000000000002</v>
      </c>
      <c r="Z1461">
        <v>16.043773000000002</v>
      </c>
      <c r="AA1461">
        <v>108.24481400000001</v>
      </c>
      <c r="AB1461" s="5">
        <f t="shared" si="133"/>
        <v>7.6469999999999996E-2</v>
      </c>
      <c r="AC1461" s="5">
        <f t="shared" si="134"/>
        <v>0.47302500000000003</v>
      </c>
      <c r="AD1461" s="1" t="str">
        <f t="shared" si="135"/>
        <v>K01</v>
      </c>
      <c r="AE1461" s="1" t="str">
        <f t="shared" si="136"/>
        <v>A01</v>
      </c>
      <c r="AG1461">
        <f t="shared" si="137"/>
        <v>5.0979999999999998E-2</v>
      </c>
      <c r="AH1461">
        <f t="shared" si="138"/>
        <v>0.31535000000000002</v>
      </c>
      <c r="AI1461" t="e">
        <f>VLOOKUP(L1461,'[1]Tuyến cáp H04'!$B:$E,3,0)/1000</f>
        <v>#N/A</v>
      </c>
      <c r="AJ1461" t="e">
        <f>VLOOKUP(L1461,'[1]Tuyến cáp H04'!$B:$E,4,0)</f>
        <v>#N/A</v>
      </c>
    </row>
    <row r="1462" spans="1:36" x14ac:dyDescent="0.25">
      <c r="A1462" s="1" t="s">
        <v>13772</v>
      </c>
      <c r="B1462" s="1" t="s">
        <v>12055</v>
      </c>
      <c r="C1462" s="1" t="s">
        <v>12056</v>
      </c>
      <c r="D1462" s="1" t="s">
        <v>12956</v>
      </c>
      <c r="E1462" s="1" t="s">
        <v>12957</v>
      </c>
      <c r="F1462" s="1" t="s">
        <v>13773</v>
      </c>
      <c r="G1462" s="1" t="s">
        <v>14281</v>
      </c>
      <c r="H1462" s="1" t="s">
        <v>14282</v>
      </c>
      <c r="I1462" s="1" t="s">
        <v>15543</v>
      </c>
      <c r="J1462" s="1" t="s">
        <v>23</v>
      </c>
      <c r="K1462" s="1"/>
      <c r="L1462" s="1" t="s">
        <v>12072</v>
      </c>
      <c r="M1462" s="1" t="s">
        <v>13774</v>
      </c>
      <c r="N1462" s="1" t="s">
        <v>12074</v>
      </c>
      <c r="O1462" s="1" t="s">
        <v>12075</v>
      </c>
      <c r="P1462" s="1" t="s">
        <v>12076</v>
      </c>
      <c r="Q1462" s="1" t="s">
        <v>12962</v>
      </c>
      <c r="R1462" s="1" t="s">
        <v>12078</v>
      </c>
      <c r="S1462" s="1" t="s">
        <v>12079</v>
      </c>
      <c r="T1462" s="1" t="s">
        <v>12080</v>
      </c>
      <c r="U1462">
        <v>103.93</v>
      </c>
      <c r="V1462">
        <v>50.98</v>
      </c>
      <c r="W1462">
        <v>16.038461999999999</v>
      </c>
      <c r="X1462">
        <v>108.242496</v>
      </c>
      <c r="Y1462">
        <v>52.95</v>
      </c>
      <c r="Z1462">
        <v>16.042570000000001</v>
      </c>
      <c r="AA1462">
        <v>108.245257</v>
      </c>
      <c r="AB1462" s="5">
        <f t="shared" si="133"/>
        <v>7.6469999999999996E-2</v>
      </c>
      <c r="AC1462" s="5">
        <f t="shared" si="134"/>
        <v>7.9425000000000009E-2</v>
      </c>
      <c r="AD1462" s="1" t="str">
        <f t="shared" si="135"/>
        <v>K01</v>
      </c>
      <c r="AE1462" s="1" t="str">
        <f t="shared" si="136"/>
        <v>A01</v>
      </c>
      <c r="AG1462">
        <f t="shared" si="137"/>
        <v>5.0979999999999998E-2</v>
      </c>
      <c r="AH1462">
        <f t="shared" si="138"/>
        <v>5.2950000000000004E-2</v>
      </c>
      <c r="AI1462" t="e">
        <f>VLOOKUP(L1462,'[1]Tuyến cáp H04'!$B:$E,3,0)/1000</f>
        <v>#N/A</v>
      </c>
      <c r="AJ1462" t="e">
        <f>VLOOKUP(L1462,'[1]Tuyến cáp H04'!$B:$E,4,0)</f>
        <v>#N/A</v>
      </c>
    </row>
    <row r="1463" spans="1:36" x14ac:dyDescent="0.25">
      <c r="A1463" s="1" t="s">
        <v>13775</v>
      </c>
      <c r="B1463" s="1" t="s">
        <v>12055</v>
      </c>
      <c r="C1463" s="1" t="s">
        <v>12056</v>
      </c>
      <c r="D1463" s="1" t="s">
        <v>13776</v>
      </c>
      <c r="E1463" s="1" t="s">
        <v>13777</v>
      </c>
      <c r="F1463" s="1" t="s">
        <v>13778</v>
      </c>
      <c r="G1463" s="1" t="s">
        <v>14281</v>
      </c>
      <c r="H1463" s="1" t="s">
        <v>14282</v>
      </c>
      <c r="I1463" s="1" t="s">
        <v>15544</v>
      </c>
      <c r="J1463" s="1" t="s">
        <v>23</v>
      </c>
      <c r="K1463" s="1"/>
      <c r="L1463" s="1" t="s">
        <v>12072</v>
      </c>
      <c r="M1463" s="1" t="s">
        <v>13779</v>
      </c>
      <c r="N1463" s="1" t="s">
        <v>12074</v>
      </c>
      <c r="O1463" s="1" t="s">
        <v>12075</v>
      </c>
      <c r="P1463" s="1" t="s">
        <v>12076</v>
      </c>
      <c r="Q1463" s="1" t="s">
        <v>13780</v>
      </c>
      <c r="R1463" s="1" t="s">
        <v>13781</v>
      </c>
      <c r="S1463" s="1" t="s">
        <v>13782</v>
      </c>
      <c r="T1463" s="1" t="s">
        <v>12080</v>
      </c>
      <c r="U1463">
        <v>711.92</v>
      </c>
      <c r="V1463">
        <v>50.98</v>
      </c>
      <c r="W1463">
        <v>16.038461999999999</v>
      </c>
      <c r="X1463">
        <v>108.242496</v>
      </c>
      <c r="Y1463">
        <v>660.94</v>
      </c>
      <c r="Z1463">
        <v>16.026434999999999</v>
      </c>
      <c r="AA1463">
        <v>108.248806</v>
      </c>
      <c r="AB1463" s="5">
        <f t="shared" si="133"/>
        <v>7.6469999999999996E-2</v>
      </c>
      <c r="AC1463" s="5">
        <f t="shared" si="134"/>
        <v>0.99141000000000012</v>
      </c>
      <c r="AD1463" s="1" t="str">
        <f t="shared" si="135"/>
        <v>K01</v>
      </c>
      <c r="AE1463" s="1" t="str">
        <f t="shared" si="136"/>
        <v>A01</v>
      </c>
      <c r="AG1463">
        <f t="shared" si="137"/>
        <v>5.0979999999999998E-2</v>
      </c>
      <c r="AH1463">
        <f t="shared" si="138"/>
        <v>0.66094000000000008</v>
      </c>
      <c r="AI1463" t="e">
        <f>VLOOKUP(L1463,'[1]Tuyến cáp H04'!$B:$E,3,0)/1000</f>
        <v>#N/A</v>
      </c>
      <c r="AJ1463" t="e">
        <f>VLOOKUP(L1463,'[1]Tuyến cáp H04'!$B:$E,4,0)</f>
        <v>#N/A</v>
      </c>
    </row>
    <row r="1464" spans="1:36" x14ac:dyDescent="0.25">
      <c r="A1464" s="1" t="s">
        <v>13783</v>
      </c>
      <c r="B1464" s="1" t="s">
        <v>12055</v>
      </c>
      <c r="C1464" s="1" t="s">
        <v>12056</v>
      </c>
      <c r="D1464" s="1" t="e">
        <v>#N/A</v>
      </c>
      <c r="E1464" s="1" t="e">
        <v>#N/A</v>
      </c>
      <c r="F1464" s="1" t="s">
        <v>13784</v>
      </c>
      <c r="G1464" s="1" t="s">
        <v>14281</v>
      </c>
      <c r="H1464" s="1" t="s">
        <v>14282</v>
      </c>
      <c r="I1464" s="1" t="s">
        <v>15545</v>
      </c>
      <c r="J1464" s="1" t="s">
        <v>5166</v>
      </c>
      <c r="K1464" s="1" t="s">
        <v>11893</v>
      </c>
      <c r="L1464" s="1"/>
      <c r="M1464" s="1"/>
      <c r="N1464" s="1"/>
      <c r="O1464" s="1"/>
      <c r="P1464" s="1"/>
      <c r="Q1464" s="1"/>
      <c r="R1464" s="1"/>
      <c r="S1464" s="1"/>
      <c r="T1464" s="1"/>
      <c r="AB1464" s="5"/>
      <c r="AC1464" s="5"/>
      <c r="AD1464" s="1"/>
      <c r="AE1464" s="1"/>
      <c r="AI1464" t="e">
        <f>VLOOKUP(L1464,'[1]Tuyến cáp H04'!$B:$E,3,0)/1000</f>
        <v>#N/A</v>
      </c>
      <c r="AJ1464" t="e">
        <f>VLOOKUP(L1464,'[1]Tuyến cáp H04'!$B:$E,4,0)</f>
        <v>#N/A</v>
      </c>
    </row>
    <row r="1465" spans="1:36" x14ac:dyDescent="0.25">
      <c r="A1465" s="1" t="s">
        <v>13785</v>
      </c>
      <c r="B1465" s="1" t="s">
        <v>13786</v>
      </c>
      <c r="C1465" s="1" t="s">
        <v>13787</v>
      </c>
      <c r="D1465" s="1" t="s">
        <v>13788</v>
      </c>
      <c r="E1465" s="1" t="s">
        <v>13789</v>
      </c>
      <c r="F1465" s="1" t="s">
        <v>13790</v>
      </c>
      <c r="G1465" s="1" t="s">
        <v>14281</v>
      </c>
      <c r="H1465" s="1" t="s">
        <v>14282</v>
      </c>
      <c r="I1465" s="1" t="s">
        <v>15546</v>
      </c>
      <c r="J1465" s="1" t="s">
        <v>23</v>
      </c>
      <c r="K1465" s="1"/>
      <c r="L1465" s="1" t="s">
        <v>11225</v>
      </c>
      <c r="M1465" s="1" t="s">
        <v>13791</v>
      </c>
      <c r="N1465" s="1" t="s">
        <v>13792</v>
      </c>
      <c r="O1465" s="1" t="s">
        <v>13793</v>
      </c>
      <c r="P1465" s="1" t="s">
        <v>13794</v>
      </c>
      <c r="Q1465" s="1" t="s">
        <v>13795</v>
      </c>
      <c r="R1465" s="1" t="s">
        <v>13796</v>
      </c>
      <c r="S1465" s="1" t="s">
        <v>13797</v>
      </c>
      <c r="T1465" s="1" t="s">
        <v>13798</v>
      </c>
      <c r="U1465">
        <v>45.28</v>
      </c>
      <c r="V1465">
        <v>22.93</v>
      </c>
      <c r="W1465">
        <v>16.082996999999999</v>
      </c>
      <c r="X1465">
        <v>108.22931</v>
      </c>
      <c r="Y1465">
        <v>22.35</v>
      </c>
      <c r="Z1465">
        <v>16.080313</v>
      </c>
      <c r="AA1465">
        <v>108.231584</v>
      </c>
      <c r="AB1465" s="5">
        <f t="shared" si="133"/>
        <v>3.4394999999999995E-2</v>
      </c>
      <c r="AC1465" s="5">
        <f t="shared" si="134"/>
        <v>3.3525000000000006E-2</v>
      </c>
      <c r="AD1465" s="1" t="str">
        <f t="shared" si="135"/>
        <v>An Hải</v>
      </c>
      <c r="AE1465" s="1" t="str">
        <f t="shared" si="136"/>
        <v>Sơn Trà</v>
      </c>
      <c r="AG1465">
        <f t="shared" si="137"/>
        <v>2.2929999999999999E-2</v>
      </c>
      <c r="AH1465">
        <f t="shared" si="138"/>
        <v>2.2350000000000002E-2</v>
      </c>
      <c r="AI1465" t="e">
        <f>VLOOKUP(L1465,'[1]Tuyến cáp H04'!$B:$E,3,0)/1000</f>
        <v>#N/A</v>
      </c>
      <c r="AJ1465" t="e">
        <f>VLOOKUP(L1465,'[1]Tuyến cáp H04'!$B:$E,4,0)</f>
        <v>#N/A</v>
      </c>
    </row>
    <row r="1466" spans="1:36" x14ac:dyDescent="0.25">
      <c r="A1466" s="1" t="s">
        <v>13799</v>
      </c>
      <c r="B1466" s="1" t="s">
        <v>13786</v>
      </c>
      <c r="C1466" s="1" t="s">
        <v>13787</v>
      </c>
      <c r="D1466" s="1" t="s">
        <v>13800</v>
      </c>
      <c r="E1466" s="1" t="s">
        <v>13801</v>
      </c>
      <c r="F1466" s="1" t="s">
        <v>13802</v>
      </c>
      <c r="G1466" s="1" t="s">
        <v>14281</v>
      </c>
      <c r="H1466" s="1" t="s">
        <v>14282</v>
      </c>
      <c r="I1466" s="1" t="s">
        <v>15547</v>
      </c>
      <c r="J1466" s="1" t="s">
        <v>23</v>
      </c>
      <c r="K1466" s="1"/>
      <c r="L1466" s="1" t="s">
        <v>13803</v>
      </c>
      <c r="M1466" s="1" t="s">
        <v>13804</v>
      </c>
      <c r="N1466" s="1" t="s">
        <v>13805</v>
      </c>
      <c r="O1466" s="1" t="s">
        <v>13806</v>
      </c>
      <c r="P1466" s="1" t="s">
        <v>13807</v>
      </c>
      <c r="Q1466" s="1" t="s">
        <v>13808</v>
      </c>
      <c r="R1466" s="1" t="s">
        <v>13809</v>
      </c>
      <c r="S1466" s="1" t="s">
        <v>13810</v>
      </c>
      <c r="T1466" s="1" t="s">
        <v>13811</v>
      </c>
      <c r="U1466">
        <v>85.23</v>
      </c>
      <c r="V1466">
        <v>12.83</v>
      </c>
      <c r="W1466">
        <v>16.082982000000001</v>
      </c>
      <c r="X1466">
        <v>108.228996</v>
      </c>
      <c r="Y1466">
        <v>72.39</v>
      </c>
      <c r="Z1466">
        <v>16.078887999999999</v>
      </c>
      <c r="AA1466">
        <v>108.22897399999999</v>
      </c>
      <c r="AB1466" s="5">
        <f t="shared" si="133"/>
        <v>1.9245000000000002E-2</v>
      </c>
      <c r="AC1466" s="5">
        <f t="shared" si="134"/>
        <v>0.10858500000000001</v>
      </c>
      <c r="AD1466" s="1" t="str">
        <f t="shared" si="135"/>
        <v>Sơn Trà</v>
      </c>
      <c r="AE1466" s="1" t="str">
        <f t="shared" si="136"/>
        <v>TT1 Đà Nẵng - check ngầm</v>
      </c>
      <c r="AG1466">
        <f t="shared" si="137"/>
        <v>1.2829999999999999E-2</v>
      </c>
      <c r="AH1466">
        <f t="shared" si="138"/>
        <v>7.2389999999999996E-2</v>
      </c>
      <c r="AI1466" t="e">
        <f>VLOOKUP(L1466,'[1]Tuyến cáp H04'!$B:$E,3,0)/1000</f>
        <v>#N/A</v>
      </c>
      <c r="AJ1466" t="e">
        <f>VLOOKUP(L1466,'[1]Tuyến cáp H04'!$B:$E,4,0)</f>
        <v>#N/A</v>
      </c>
    </row>
    <row r="1467" spans="1:36" x14ac:dyDescent="0.25">
      <c r="A1467" s="1" t="s">
        <v>13812</v>
      </c>
      <c r="B1467" s="1" t="s">
        <v>13786</v>
      </c>
      <c r="C1467" s="1" t="s">
        <v>13787</v>
      </c>
      <c r="D1467" s="1" t="s">
        <v>13813</v>
      </c>
      <c r="E1467" s="1" t="s">
        <v>13814</v>
      </c>
      <c r="F1467" s="1" t="s">
        <v>13815</v>
      </c>
      <c r="G1467" s="1" t="s">
        <v>14281</v>
      </c>
      <c r="H1467" s="1" t="s">
        <v>14282</v>
      </c>
      <c r="I1467" s="1" t="s">
        <v>15548</v>
      </c>
      <c r="J1467" s="1" t="s">
        <v>23</v>
      </c>
      <c r="K1467" s="1"/>
      <c r="L1467" s="1" t="s">
        <v>11225</v>
      </c>
      <c r="M1467" s="1" t="s">
        <v>13816</v>
      </c>
      <c r="N1467" s="1" t="s">
        <v>13792</v>
      </c>
      <c r="O1467" s="1" t="s">
        <v>13793</v>
      </c>
      <c r="P1467" s="1" t="s">
        <v>13794</v>
      </c>
      <c r="Q1467" s="1" t="s">
        <v>13817</v>
      </c>
      <c r="R1467" s="1" t="s">
        <v>13818</v>
      </c>
      <c r="S1467" s="1" t="s">
        <v>13819</v>
      </c>
      <c r="T1467" s="1" t="s">
        <v>13798</v>
      </c>
      <c r="U1467">
        <v>398.28</v>
      </c>
      <c r="V1467">
        <v>22.93</v>
      </c>
      <c r="W1467">
        <v>16.082996999999999</v>
      </c>
      <c r="X1467">
        <v>108.22931</v>
      </c>
      <c r="Y1467">
        <v>375.36</v>
      </c>
      <c r="Z1467">
        <v>16.078872</v>
      </c>
      <c r="AA1467">
        <v>108.23279700000001</v>
      </c>
      <c r="AB1467" s="5">
        <f t="shared" si="133"/>
        <v>3.4394999999999995E-2</v>
      </c>
      <c r="AC1467" s="5">
        <f t="shared" si="134"/>
        <v>0.56303999999999998</v>
      </c>
      <c r="AD1467" s="1" t="str">
        <f t="shared" si="135"/>
        <v>An Hải</v>
      </c>
      <c r="AE1467" s="1" t="str">
        <f t="shared" si="136"/>
        <v>Sơn Trà</v>
      </c>
      <c r="AG1467">
        <f t="shared" si="137"/>
        <v>2.2929999999999999E-2</v>
      </c>
      <c r="AH1467">
        <f t="shared" si="138"/>
        <v>0.37536000000000003</v>
      </c>
      <c r="AI1467" t="e">
        <f>VLOOKUP(L1467,'[1]Tuyến cáp H04'!$B:$E,3,0)/1000</f>
        <v>#N/A</v>
      </c>
      <c r="AJ1467" t="e">
        <f>VLOOKUP(L1467,'[1]Tuyến cáp H04'!$B:$E,4,0)</f>
        <v>#N/A</v>
      </c>
    </row>
    <row r="1468" spans="1:36" x14ac:dyDescent="0.25">
      <c r="A1468" s="1" t="s">
        <v>13820</v>
      </c>
      <c r="B1468" s="1" t="s">
        <v>13786</v>
      </c>
      <c r="C1468" s="1" t="s">
        <v>13787</v>
      </c>
      <c r="D1468" s="1" t="s">
        <v>13821</v>
      </c>
      <c r="E1468" s="1" t="s">
        <v>13822</v>
      </c>
      <c r="F1468" s="1" t="s">
        <v>13823</v>
      </c>
      <c r="G1468" s="1" t="s">
        <v>14281</v>
      </c>
      <c r="H1468" s="1" t="s">
        <v>14282</v>
      </c>
      <c r="I1468" s="1" t="s">
        <v>15549</v>
      </c>
      <c r="J1468" s="1" t="s">
        <v>23</v>
      </c>
      <c r="K1468" s="1"/>
      <c r="L1468" s="1" t="s">
        <v>11225</v>
      </c>
      <c r="M1468" s="1" t="s">
        <v>13824</v>
      </c>
      <c r="N1468" s="1" t="s">
        <v>13825</v>
      </c>
      <c r="O1468" s="1" t="s">
        <v>13826</v>
      </c>
      <c r="P1468" s="1" t="s">
        <v>13827</v>
      </c>
      <c r="Q1468" s="1" t="s">
        <v>13828</v>
      </c>
      <c r="R1468" s="1" t="s">
        <v>13829</v>
      </c>
      <c r="S1468" s="1" t="s">
        <v>13830</v>
      </c>
      <c r="T1468" s="1" t="s">
        <v>13831</v>
      </c>
      <c r="U1468">
        <v>297.76</v>
      </c>
      <c r="V1468">
        <v>2.3199999999999998</v>
      </c>
      <c r="W1468">
        <v>16.083034999999999</v>
      </c>
      <c r="X1468">
        <v>108.229079</v>
      </c>
      <c r="Y1468">
        <v>295.44</v>
      </c>
      <c r="Z1468">
        <v>16.083126</v>
      </c>
      <c r="AA1468">
        <v>108.229298</v>
      </c>
      <c r="AB1468" s="5">
        <f t="shared" si="133"/>
        <v>3.4799999999999996E-3</v>
      </c>
      <c r="AC1468" s="5">
        <f t="shared" si="134"/>
        <v>0.44315999999999994</v>
      </c>
      <c r="AD1468" s="1" t="str">
        <f t="shared" si="135"/>
        <v>An Hải</v>
      </c>
      <c r="AE1468" s="1" t="str">
        <f t="shared" si="136"/>
        <v>Sơn Trà</v>
      </c>
      <c r="AG1468">
        <f t="shared" si="137"/>
        <v>2.32E-3</v>
      </c>
      <c r="AH1468">
        <f t="shared" si="138"/>
        <v>0.29543999999999998</v>
      </c>
      <c r="AI1468" t="e">
        <f>VLOOKUP(L1468,'[1]Tuyến cáp H04'!$B:$E,3,0)/1000</f>
        <v>#N/A</v>
      </c>
      <c r="AJ1468" t="e">
        <f>VLOOKUP(L1468,'[1]Tuyến cáp H04'!$B:$E,4,0)</f>
        <v>#N/A</v>
      </c>
    </row>
    <row r="1469" spans="1:36" x14ac:dyDescent="0.25">
      <c r="A1469" s="1" t="s">
        <v>13832</v>
      </c>
      <c r="B1469" s="1" t="s">
        <v>12119</v>
      </c>
      <c r="C1469" s="1" t="s">
        <v>12120</v>
      </c>
      <c r="D1469" s="1" t="s">
        <v>13833</v>
      </c>
      <c r="E1469" s="1" t="s">
        <v>13834</v>
      </c>
      <c r="F1469" s="1" t="s">
        <v>13835</v>
      </c>
      <c r="G1469" s="1" t="s">
        <v>14281</v>
      </c>
      <c r="H1469" s="1" t="s">
        <v>14282</v>
      </c>
      <c r="I1469" s="1" t="s">
        <v>15550</v>
      </c>
      <c r="J1469" s="1" t="s">
        <v>23</v>
      </c>
      <c r="K1469" s="1"/>
      <c r="L1469" s="1" t="s">
        <v>12124</v>
      </c>
      <c r="M1469" s="1" t="s">
        <v>13836</v>
      </c>
      <c r="N1469" s="1" t="s">
        <v>12126</v>
      </c>
      <c r="O1469" s="1" t="s">
        <v>12127</v>
      </c>
      <c r="P1469" s="1" t="s">
        <v>12128</v>
      </c>
      <c r="Q1469" s="1" t="s">
        <v>13837</v>
      </c>
      <c r="R1469" s="1" t="s">
        <v>13838</v>
      </c>
      <c r="S1469" s="1" t="s">
        <v>13839</v>
      </c>
      <c r="T1469" s="1" t="s">
        <v>12132</v>
      </c>
      <c r="U1469">
        <v>449.92</v>
      </c>
      <c r="V1469">
        <v>6.41</v>
      </c>
      <c r="W1469">
        <v>16.057247</v>
      </c>
      <c r="X1469">
        <v>108.181504</v>
      </c>
      <c r="Y1469">
        <v>443.51</v>
      </c>
      <c r="Z1469">
        <v>16.056746</v>
      </c>
      <c r="AA1469">
        <v>108.180753</v>
      </c>
      <c r="AB1469" s="5">
        <f t="shared" si="133"/>
        <v>9.6150000000000003E-3</v>
      </c>
      <c r="AC1469" s="5">
        <f t="shared" si="134"/>
        <v>0.665265</v>
      </c>
      <c r="AD1469" s="1" t="str">
        <f t="shared" si="135"/>
        <v>Hòa Khánh</v>
      </c>
      <c r="AE1469" s="1" t="str">
        <f t="shared" si="136"/>
        <v>An Khê</v>
      </c>
      <c r="AG1469">
        <f t="shared" si="137"/>
        <v>6.4099999999999999E-3</v>
      </c>
      <c r="AH1469">
        <f t="shared" si="138"/>
        <v>0.44351000000000002</v>
      </c>
      <c r="AI1469" t="e">
        <f>VLOOKUP(L1469,'[1]Tuyến cáp H04'!$B:$E,3,0)/1000</f>
        <v>#N/A</v>
      </c>
      <c r="AJ1469" t="e">
        <f>VLOOKUP(L1469,'[1]Tuyến cáp H04'!$B:$E,4,0)</f>
        <v>#N/A</v>
      </c>
    </row>
    <row r="1470" spans="1:36" x14ac:dyDescent="0.25">
      <c r="A1470" s="1" t="s">
        <v>13840</v>
      </c>
      <c r="B1470" s="1" t="s">
        <v>12119</v>
      </c>
      <c r="C1470" s="1" t="s">
        <v>12120</v>
      </c>
      <c r="D1470" s="1" t="s">
        <v>13841</v>
      </c>
      <c r="E1470" s="1" t="s">
        <v>13842</v>
      </c>
      <c r="F1470" s="1" t="s">
        <v>13843</v>
      </c>
      <c r="G1470" s="1" t="s">
        <v>14281</v>
      </c>
      <c r="H1470" s="1" t="s">
        <v>14282</v>
      </c>
      <c r="I1470" s="1" t="s">
        <v>15551</v>
      </c>
      <c r="J1470" s="1" t="s">
        <v>23</v>
      </c>
      <c r="K1470" s="1"/>
      <c r="L1470" s="1" t="s">
        <v>12124</v>
      </c>
      <c r="M1470" s="1" t="s">
        <v>13844</v>
      </c>
      <c r="N1470" s="1" t="s">
        <v>12126</v>
      </c>
      <c r="O1470" s="1" t="s">
        <v>12127</v>
      </c>
      <c r="P1470" s="1" t="s">
        <v>12128</v>
      </c>
      <c r="Q1470" s="1" t="s">
        <v>13845</v>
      </c>
      <c r="R1470" s="1" t="s">
        <v>13846</v>
      </c>
      <c r="S1470" s="1" t="s">
        <v>13847</v>
      </c>
      <c r="T1470" s="1" t="s">
        <v>12132</v>
      </c>
      <c r="U1470">
        <v>558.79</v>
      </c>
      <c r="V1470">
        <v>6.41</v>
      </c>
      <c r="W1470">
        <v>16.057247</v>
      </c>
      <c r="X1470">
        <v>108.181504</v>
      </c>
      <c r="Y1470">
        <v>552.39</v>
      </c>
      <c r="Z1470">
        <v>16.058513000000001</v>
      </c>
      <c r="AA1470">
        <v>108.18014700000001</v>
      </c>
      <c r="AB1470" s="5">
        <f t="shared" si="133"/>
        <v>9.6150000000000003E-3</v>
      </c>
      <c r="AC1470" s="5">
        <f t="shared" si="134"/>
        <v>0.82858500000000002</v>
      </c>
      <c r="AD1470" s="1" t="str">
        <f t="shared" si="135"/>
        <v>Hòa Khánh</v>
      </c>
      <c r="AE1470" s="1" t="str">
        <f t="shared" si="136"/>
        <v>An Khê</v>
      </c>
      <c r="AG1470">
        <f t="shared" si="137"/>
        <v>6.4099999999999999E-3</v>
      </c>
      <c r="AH1470">
        <f t="shared" si="138"/>
        <v>0.55238999999999994</v>
      </c>
      <c r="AI1470" t="e">
        <f>VLOOKUP(L1470,'[1]Tuyến cáp H04'!$B:$E,3,0)/1000</f>
        <v>#N/A</v>
      </c>
      <c r="AJ1470" t="e">
        <f>VLOOKUP(L1470,'[1]Tuyến cáp H04'!$B:$E,4,0)</f>
        <v>#N/A</v>
      </c>
    </row>
    <row r="1471" spans="1:36" x14ac:dyDescent="0.25">
      <c r="A1471" s="1" t="s">
        <v>13848</v>
      </c>
      <c r="B1471" s="1" t="s">
        <v>12119</v>
      </c>
      <c r="C1471" s="1" t="s">
        <v>12120</v>
      </c>
      <c r="D1471" s="1" t="s">
        <v>13849</v>
      </c>
      <c r="E1471" s="1" t="s">
        <v>13850</v>
      </c>
      <c r="F1471" s="1" t="s">
        <v>13851</v>
      </c>
      <c r="G1471" s="1" t="s">
        <v>14281</v>
      </c>
      <c r="H1471" s="1" t="s">
        <v>14282</v>
      </c>
      <c r="I1471" s="1" t="s">
        <v>15552</v>
      </c>
      <c r="J1471" s="1" t="s">
        <v>23</v>
      </c>
      <c r="K1471" s="1"/>
      <c r="L1471" s="1" t="s">
        <v>12148</v>
      </c>
      <c r="M1471" s="1" t="s">
        <v>13852</v>
      </c>
      <c r="N1471" s="1" t="s">
        <v>13853</v>
      </c>
      <c r="O1471" s="1" t="s">
        <v>13854</v>
      </c>
      <c r="P1471" s="1" t="s">
        <v>13855</v>
      </c>
      <c r="Q1471" s="1" t="s">
        <v>13856</v>
      </c>
      <c r="R1471" s="1" t="s">
        <v>13857</v>
      </c>
      <c r="S1471" s="1" t="s">
        <v>13858</v>
      </c>
      <c r="T1471" s="1" t="s">
        <v>12156</v>
      </c>
      <c r="U1471">
        <v>786.67</v>
      </c>
      <c r="V1471">
        <v>4.51</v>
      </c>
      <c r="W1471">
        <v>16.057227999999999</v>
      </c>
      <c r="X1471">
        <v>108.181516</v>
      </c>
      <c r="Y1471">
        <v>782.16</v>
      </c>
      <c r="Z1471">
        <v>16.057034000000002</v>
      </c>
      <c r="AA1471">
        <v>108.181619</v>
      </c>
      <c r="AB1471" s="5">
        <f t="shared" si="133"/>
        <v>6.7649999999999993E-3</v>
      </c>
      <c r="AC1471" s="5">
        <f t="shared" si="134"/>
        <v>1.1732400000000001</v>
      </c>
      <c r="AD1471" s="1" t="str">
        <f t="shared" si="135"/>
        <v>An Khê</v>
      </c>
      <c r="AE1471" s="1" t="str">
        <f t="shared" si="136"/>
        <v>Thanh Khê</v>
      </c>
      <c r="AG1471">
        <f t="shared" si="137"/>
        <v>4.5100000000000001E-3</v>
      </c>
      <c r="AH1471">
        <f t="shared" si="138"/>
        <v>0.78215999999999997</v>
      </c>
      <c r="AI1471" t="e">
        <f>VLOOKUP(L1471,'[1]Tuyến cáp H04'!$B:$E,3,0)/1000</f>
        <v>#N/A</v>
      </c>
      <c r="AJ1471" t="e">
        <f>VLOOKUP(L1471,'[1]Tuyến cáp H04'!$B:$E,4,0)</f>
        <v>#N/A</v>
      </c>
    </row>
    <row r="1472" spans="1:36" x14ac:dyDescent="0.25">
      <c r="A1472" s="1" t="s">
        <v>13859</v>
      </c>
      <c r="B1472" s="1" t="s">
        <v>12134</v>
      </c>
      <c r="C1472" s="1" t="s">
        <v>12135</v>
      </c>
      <c r="D1472" s="1" t="s">
        <v>13860</v>
      </c>
      <c r="E1472" s="1" t="s">
        <v>13861</v>
      </c>
      <c r="F1472" s="1" t="s">
        <v>13862</v>
      </c>
      <c r="G1472" s="1" t="s">
        <v>14281</v>
      </c>
      <c r="H1472" s="1" t="s">
        <v>14282</v>
      </c>
      <c r="I1472" s="1" t="s">
        <v>15553</v>
      </c>
      <c r="J1472" s="1" t="s">
        <v>23</v>
      </c>
      <c r="K1472" s="1"/>
      <c r="L1472" s="1" t="s">
        <v>12148</v>
      </c>
      <c r="M1472" s="1" t="s">
        <v>13863</v>
      </c>
      <c r="N1472" s="1" t="s">
        <v>12150</v>
      </c>
      <c r="O1472" s="1" t="s">
        <v>12151</v>
      </c>
      <c r="P1472" s="1" t="s">
        <v>12152</v>
      </c>
      <c r="Q1472" s="1" t="s">
        <v>13864</v>
      </c>
      <c r="R1472" s="1" t="s">
        <v>13865</v>
      </c>
      <c r="S1472" s="1" t="s">
        <v>13866</v>
      </c>
      <c r="T1472" s="1" t="s">
        <v>12156</v>
      </c>
      <c r="U1472">
        <v>191.85</v>
      </c>
      <c r="V1472">
        <v>10.87</v>
      </c>
      <c r="W1472">
        <v>16.070730000000001</v>
      </c>
      <c r="X1472">
        <v>108.192493</v>
      </c>
      <c r="Y1472">
        <v>180.97</v>
      </c>
      <c r="Z1472">
        <v>16.071200999999999</v>
      </c>
      <c r="AA1472">
        <v>108.19170800000001</v>
      </c>
      <c r="AB1472" s="5">
        <f t="shared" si="133"/>
        <v>1.6305E-2</v>
      </c>
      <c r="AC1472" s="5">
        <f t="shared" si="134"/>
        <v>0.271455</v>
      </c>
      <c r="AD1472" s="1" t="str">
        <f t="shared" si="135"/>
        <v>An Khê</v>
      </c>
      <c r="AE1472" s="1" t="str">
        <f t="shared" si="136"/>
        <v>Thanh Khê</v>
      </c>
      <c r="AG1472">
        <f t="shared" si="137"/>
        <v>1.0869999999999999E-2</v>
      </c>
      <c r="AH1472">
        <f t="shared" si="138"/>
        <v>0.18096999999999999</v>
      </c>
      <c r="AI1472" t="e">
        <f>VLOOKUP(L1472,'[1]Tuyến cáp H04'!$B:$E,3,0)/1000</f>
        <v>#N/A</v>
      </c>
      <c r="AJ1472" t="e">
        <f>VLOOKUP(L1472,'[1]Tuyến cáp H04'!$B:$E,4,0)</f>
        <v>#N/A</v>
      </c>
    </row>
    <row r="1473" spans="1:36" x14ac:dyDescent="0.25">
      <c r="A1473" s="1" t="s">
        <v>13867</v>
      </c>
      <c r="B1473" s="1" t="s">
        <v>12134</v>
      </c>
      <c r="C1473" s="1" t="s">
        <v>12135</v>
      </c>
      <c r="D1473" s="1" t="s">
        <v>13868</v>
      </c>
      <c r="E1473" s="1" t="s">
        <v>13869</v>
      </c>
      <c r="F1473" s="1" t="s">
        <v>13870</v>
      </c>
      <c r="G1473" s="1" t="s">
        <v>14281</v>
      </c>
      <c r="H1473" s="1" t="s">
        <v>14282</v>
      </c>
      <c r="I1473" s="1" t="s">
        <v>15554</v>
      </c>
      <c r="J1473" s="1" t="s">
        <v>23</v>
      </c>
      <c r="K1473" s="1"/>
      <c r="L1473" s="1" t="s">
        <v>11146</v>
      </c>
      <c r="M1473" s="1" t="s">
        <v>13871</v>
      </c>
      <c r="N1473" s="1" t="s">
        <v>12162</v>
      </c>
      <c r="O1473" s="1" t="s">
        <v>12163</v>
      </c>
      <c r="P1473" s="1" t="s">
        <v>12164</v>
      </c>
      <c r="Q1473" s="1" t="s">
        <v>13872</v>
      </c>
      <c r="R1473" s="1" t="s">
        <v>13873</v>
      </c>
      <c r="S1473" s="1" t="s">
        <v>13874</v>
      </c>
      <c r="T1473" s="1" t="s">
        <v>12168</v>
      </c>
      <c r="U1473">
        <v>226.88</v>
      </c>
      <c r="V1473">
        <v>195.19</v>
      </c>
      <c r="W1473">
        <v>16.072437000000001</v>
      </c>
      <c r="X1473">
        <v>108.19182600000001</v>
      </c>
      <c r="Y1473">
        <v>31.69</v>
      </c>
      <c r="Z1473">
        <v>16.073625</v>
      </c>
      <c r="AA1473">
        <v>108.185683</v>
      </c>
      <c r="AB1473" s="5">
        <f t="shared" si="133"/>
        <v>0.29278499999999996</v>
      </c>
      <c r="AC1473" s="5">
        <f t="shared" si="134"/>
        <v>4.7535000000000001E-2</v>
      </c>
      <c r="AD1473" s="1" t="str">
        <f t="shared" si="135"/>
        <v>TT1 Đà Nẵng</v>
      </c>
      <c r="AE1473" s="1" t="str">
        <f t="shared" si="136"/>
        <v>Liên Chiểu</v>
      </c>
      <c r="AG1473">
        <f t="shared" si="137"/>
        <v>0.19519</v>
      </c>
      <c r="AH1473">
        <f t="shared" si="138"/>
        <v>3.1690000000000003E-2</v>
      </c>
      <c r="AI1473">
        <f>VLOOKUP(L1473,'[1]Tuyến cáp H04'!$B:$E,3,0)/1000</f>
        <v>9.8698999999999995</v>
      </c>
      <c r="AJ1473" t="str">
        <f>VLOOKUP(L1473,'[1]Tuyến cáp H04'!$B:$E,4,0)</f>
        <v>Mạng cấp 3</v>
      </c>
    </row>
    <row r="1474" spans="1:36" x14ac:dyDescent="0.25">
      <c r="A1474" s="1" t="s">
        <v>12169</v>
      </c>
      <c r="B1474" s="1" t="s">
        <v>12134</v>
      </c>
      <c r="C1474" s="1" t="s">
        <v>12135</v>
      </c>
      <c r="D1474" s="1" t="s">
        <v>12170</v>
      </c>
      <c r="E1474" s="1" t="s">
        <v>12171</v>
      </c>
      <c r="F1474" s="1" t="s">
        <v>13875</v>
      </c>
      <c r="G1474" s="1" t="s">
        <v>14281</v>
      </c>
      <c r="H1474" s="1" t="s">
        <v>14282</v>
      </c>
      <c r="I1474" s="1" t="s">
        <v>15364</v>
      </c>
      <c r="J1474" s="1" t="s">
        <v>23</v>
      </c>
      <c r="K1474" s="1"/>
      <c r="L1474" s="1" t="s">
        <v>12173</v>
      </c>
      <c r="M1474" s="1" t="s">
        <v>12174</v>
      </c>
      <c r="N1474" s="1" t="s">
        <v>12175</v>
      </c>
      <c r="O1474" s="1" t="s">
        <v>12176</v>
      </c>
      <c r="P1474" s="1" t="s">
        <v>12177</v>
      </c>
      <c r="Q1474" s="1" t="s">
        <v>12178</v>
      </c>
      <c r="R1474" s="1" t="s">
        <v>12179</v>
      </c>
      <c r="S1474" s="1" t="s">
        <v>12180</v>
      </c>
      <c r="T1474" s="1" t="s">
        <v>12181</v>
      </c>
      <c r="U1474">
        <v>69.67</v>
      </c>
      <c r="V1474">
        <v>11.25</v>
      </c>
      <c r="W1474">
        <v>16.070743</v>
      </c>
      <c r="X1474">
        <v>108.192502</v>
      </c>
      <c r="Y1474">
        <v>58.42</v>
      </c>
      <c r="Z1474">
        <v>16.071003999999999</v>
      </c>
      <c r="AA1474">
        <v>108.200844</v>
      </c>
      <c r="AB1474" s="5">
        <f t="shared" si="133"/>
        <v>1.6875000000000001E-2</v>
      </c>
      <c r="AC1474" s="5">
        <f t="shared" si="134"/>
        <v>8.763E-2</v>
      </c>
      <c r="AD1474" s="1" t="str">
        <f t="shared" si="135"/>
        <v>Thanh Khê</v>
      </c>
      <c r="AE1474" s="1" t="str">
        <f t="shared" si="136"/>
        <v>TT1 Đà Nẵng</v>
      </c>
      <c r="AG1474">
        <f t="shared" si="137"/>
        <v>1.125E-2</v>
      </c>
      <c r="AH1474">
        <f t="shared" si="138"/>
        <v>5.842E-2</v>
      </c>
      <c r="AI1474" t="e">
        <f>VLOOKUP(L1474,'[1]Tuyến cáp H04'!$B:$E,3,0)/1000</f>
        <v>#N/A</v>
      </c>
      <c r="AJ1474" t="e">
        <f>VLOOKUP(L1474,'[1]Tuyến cáp H04'!$B:$E,4,0)</f>
        <v>#N/A</v>
      </c>
    </row>
    <row r="1475" spans="1:36" x14ac:dyDescent="0.25">
      <c r="A1475" s="1" t="s">
        <v>12182</v>
      </c>
      <c r="B1475" s="1" t="s">
        <v>12134</v>
      </c>
      <c r="C1475" s="1" t="s">
        <v>12135</v>
      </c>
      <c r="D1475" s="1" t="s">
        <v>12183</v>
      </c>
      <c r="E1475" s="1" t="s">
        <v>12184</v>
      </c>
      <c r="F1475" s="1" t="s">
        <v>13876</v>
      </c>
      <c r="G1475" s="1" t="s">
        <v>14281</v>
      </c>
      <c r="H1475" s="1" t="s">
        <v>14282</v>
      </c>
      <c r="I1475" s="1" t="s">
        <v>15555</v>
      </c>
      <c r="J1475" s="1" t="s">
        <v>23</v>
      </c>
      <c r="K1475" s="1"/>
      <c r="L1475" s="1" t="s">
        <v>12173</v>
      </c>
      <c r="M1475" s="1" t="s">
        <v>12186</v>
      </c>
      <c r="N1475" s="1" t="s">
        <v>12175</v>
      </c>
      <c r="O1475" s="1" t="s">
        <v>12176</v>
      </c>
      <c r="P1475" s="1" t="s">
        <v>12177</v>
      </c>
      <c r="Q1475" s="1" t="s">
        <v>12187</v>
      </c>
      <c r="R1475" s="1" t="s">
        <v>12179</v>
      </c>
      <c r="S1475" s="1" t="s">
        <v>12180</v>
      </c>
      <c r="T1475" s="1" t="s">
        <v>12181</v>
      </c>
      <c r="U1475">
        <v>644.79999999999995</v>
      </c>
      <c r="V1475">
        <v>11.25</v>
      </c>
      <c r="W1475">
        <v>16.070743</v>
      </c>
      <c r="X1475">
        <v>108.192502</v>
      </c>
      <c r="Y1475">
        <v>633.54</v>
      </c>
      <c r="Z1475">
        <v>16.071003999999999</v>
      </c>
      <c r="AA1475">
        <v>108.200844</v>
      </c>
      <c r="AB1475" s="5">
        <f t="shared" ref="AB1475:AB1507" si="139">V1475*1.5/1000</f>
        <v>1.6875000000000001E-2</v>
      </c>
      <c r="AC1475" s="5">
        <f t="shared" ref="AC1475:AC1507" si="140">Y1475*1.5/1000</f>
        <v>0.95030999999999999</v>
      </c>
      <c r="AD1475" s="1" t="str">
        <f t="shared" ref="AD1475:AD1507" si="141">TRIM(LEFT(L1475,FIND("-",L1475)-1))</f>
        <v>Thanh Khê</v>
      </c>
      <c r="AE1475" s="1" t="str">
        <f t="shared" ref="AE1475:AE1507" si="142">TRIM(RIGHT(L1475, LEN(L1475) - FIND("-", L1475)))</f>
        <v>TT1 Đà Nẵng</v>
      </c>
      <c r="AG1475">
        <f t="shared" ref="AG1475:AG1507" si="143">V1475/1000</f>
        <v>1.125E-2</v>
      </c>
      <c r="AH1475">
        <f t="shared" ref="AH1475:AH1507" si="144">Y1475/1000</f>
        <v>0.63353999999999999</v>
      </c>
      <c r="AI1475" t="e">
        <f>VLOOKUP(L1475,'[1]Tuyến cáp H04'!$B:$E,3,0)/1000</f>
        <v>#N/A</v>
      </c>
      <c r="AJ1475" t="e">
        <f>VLOOKUP(L1475,'[1]Tuyến cáp H04'!$B:$E,4,0)</f>
        <v>#N/A</v>
      </c>
    </row>
    <row r="1476" spans="1:36" x14ac:dyDescent="0.25">
      <c r="A1476" s="1" t="s">
        <v>13877</v>
      </c>
      <c r="B1476" s="1" t="s">
        <v>12189</v>
      </c>
      <c r="C1476" s="1" t="s">
        <v>12190</v>
      </c>
      <c r="D1476" s="1" t="s">
        <v>13878</v>
      </c>
      <c r="E1476" s="1" t="s">
        <v>13879</v>
      </c>
      <c r="F1476" s="1" t="s">
        <v>13880</v>
      </c>
      <c r="G1476" s="1" t="s">
        <v>14281</v>
      </c>
      <c r="H1476" s="1" t="s">
        <v>14282</v>
      </c>
      <c r="I1476" s="1" t="s">
        <v>15556</v>
      </c>
      <c r="J1476" s="1" t="s">
        <v>23</v>
      </c>
      <c r="K1476" s="1"/>
      <c r="L1476" s="1" t="s">
        <v>12206</v>
      </c>
      <c r="M1476" s="1" t="s">
        <v>13881</v>
      </c>
      <c r="N1476" s="1" t="s">
        <v>12227</v>
      </c>
      <c r="O1476" s="1" t="s">
        <v>12228</v>
      </c>
      <c r="P1476" s="1" t="s">
        <v>12229</v>
      </c>
      <c r="Q1476" s="1" t="s">
        <v>13882</v>
      </c>
      <c r="R1476" s="1" t="s">
        <v>12228</v>
      </c>
      <c r="S1476" s="1" t="s">
        <v>12229</v>
      </c>
      <c r="T1476" s="1" t="s">
        <v>12231</v>
      </c>
      <c r="U1476">
        <v>274.68</v>
      </c>
      <c r="V1476">
        <v>1.42</v>
      </c>
      <c r="W1476">
        <v>15.949006000000001</v>
      </c>
      <c r="X1476">
        <v>108.254912</v>
      </c>
      <c r="Y1476">
        <v>273.26</v>
      </c>
      <c r="Z1476">
        <v>15.949006000000001</v>
      </c>
      <c r="AA1476">
        <v>108.254912</v>
      </c>
      <c r="AB1476" s="5">
        <f t="shared" si="139"/>
        <v>2.1299999999999999E-3</v>
      </c>
      <c r="AC1476" s="5">
        <f t="shared" si="140"/>
        <v>0.40988999999999998</v>
      </c>
      <c r="AD1476" s="1" t="str">
        <f t="shared" si="141"/>
        <v>Điện Bàn Đông</v>
      </c>
      <c r="AE1476" s="1" t="str">
        <f t="shared" si="142"/>
        <v>Hội An Tây</v>
      </c>
      <c r="AG1476">
        <f t="shared" si="143"/>
        <v>1.4199999999999998E-3</v>
      </c>
      <c r="AH1476">
        <f t="shared" si="144"/>
        <v>0.27326</v>
      </c>
      <c r="AI1476">
        <f>VLOOKUP(L1476,'[1]Tuyến cáp H04'!$B:$E,3,0)/1000</f>
        <v>11.548</v>
      </c>
      <c r="AJ1476" t="str">
        <f>VLOOKUP(L1476,'[1]Tuyến cáp H04'!$B:$E,4,0)</f>
        <v>Mạng cấp 4</v>
      </c>
    </row>
    <row r="1477" spans="1:36" x14ac:dyDescent="0.25">
      <c r="A1477" s="1" t="s">
        <v>13883</v>
      </c>
      <c r="B1477" s="1" t="s">
        <v>13088</v>
      </c>
      <c r="C1477" s="1" t="s">
        <v>13089</v>
      </c>
      <c r="D1477" s="1" t="s">
        <v>13064</v>
      </c>
      <c r="E1477" s="1" t="s">
        <v>13065</v>
      </c>
      <c r="F1477" s="1" t="s">
        <v>13090</v>
      </c>
      <c r="G1477" s="1"/>
      <c r="H1477" s="1" t="s">
        <v>14282</v>
      </c>
      <c r="I1477" s="1" t="s">
        <v>15461</v>
      </c>
      <c r="J1477" s="1" t="s">
        <v>23</v>
      </c>
      <c r="K1477" s="1"/>
      <c r="L1477" s="1" t="s">
        <v>13091</v>
      </c>
      <c r="M1477" s="1" t="s">
        <v>13092</v>
      </c>
      <c r="N1477" s="1" t="s">
        <v>13096</v>
      </c>
      <c r="O1477" s="1" t="s">
        <v>13097</v>
      </c>
      <c r="P1477" s="1" t="s">
        <v>13098</v>
      </c>
      <c r="Q1477" s="1" t="s">
        <v>13093</v>
      </c>
      <c r="R1477" s="1" t="s">
        <v>13094</v>
      </c>
      <c r="S1477" s="1" t="s">
        <v>13095</v>
      </c>
      <c r="T1477" s="1" t="s">
        <v>13099</v>
      </c>
      <c r="U1477">
        <v>312.47000000000003</v>
      </c>
      <c r="V1477">
        <v>18.02</v>
      </c>
      <c r="W1477">
        <v>15.919997</v>
      </c>
      <c r="X1477">
        <v>108.221555</v>
      </c>
      <c r="Y1477">
        <v>294.45</v>
      </c>
      <c r="Z1477">
        <v>15.889352000000001</v>
      </c>
      <c r="AA1477">
        <v>108.256027</v>
      </c>
      <c r="AB1477" s="5">
        <f t="shared" si="139"/>
        <v>2.7030000000000002E-2</v>
      </c>
      <c r="AC1477" s="5">
        <f t="shared" si="140"/>
        <v>0.44167499999999993</v>
      </c>
      <c r="AD1477" s="1" t="str">
        <f t="shared" si="141"/>
        <v>TTCMKV Điện Bàn</v>
      </c>
      <c r="AE1477" s="1" t="str">
        <f t="shared" si="142"/>
        <v>An Thắng</v>
      </c>
      <c r="AG1477">
        <f t="shared" si="143"/>
        <v>1.8020000000000001E-2</v>
      </c>
      <c r="AH1477">
        <f t="shared" si="144"/>
        <v>0.29444999999999999</v>
      </c>
      <c r="AI1477">
        <f>VLOOKUP(L1477,'[1]Tuyến cáp H04'!$B:$E,3,0)/1000</f>
        <v>8.1240000000000006</v>
      </c>
      <c r="AJ1477" t="str">
        <f>VLOOKUP(L1477,'[1]Tuyến cáp H04'!$B:$E,4,0)</f>
        <v>Mạng cấp 4</v>
      </c>
    </row>
    <row r="1478" spans="1:36" x14ac:dyDescent="0.25">
      <c r="A1478" s="1" t="s">
        <v>13884</v>
      </c>
      <c r="B1478" s="1" t="s">
        <v>13088</v>
      </c>
      <c r="C1478" s="1" t="s">
        <v>13089</v>
      </c>
      <c r="D1478" s="1" t="s">
        <v>13885</v>
      </c>
      <c r="E1478" s="1" t="s">
        <v>13886</v>
      </c>
      <c r="F1478" s="1" t="s">
        <v>13887</v>
      </c>
      <c r="G1478" s="1" t="s">
        <v>14281</v>
      </c>
      <c r="H1478" s="1" t="s">
        <v>14282</v>
      </c>
      <c r="I1478" s="1" t="s">
        <v>15557</v>
      </c>
      <c r="J1478" s="1" t="s">
        <v>23</v>
      </c>
      <c r="K1478" s="1"/>
      <c r="L1478" s="1" t="s">
        <v>12250</v>
      </c>
      <c r="M1478" s="1" t="s">
        <v>13888</v>
      </c>
      <c r="N1478" s="1" t="s">
        <v>13889</v>
      </c>
      <c r="O1478" s="1" t="s">
        <v>13890</v>
      </c>
      <c r="P1478" s="1" t="s">
        <v>13891</v>
      </c>
      <c r="Q1478" s="1" t="s">
        <v>13892</v>
      </c>
      <c r="R1478" s="1" t="s">
        <v>13893</v>
      </c>
      <c r="S1478" s="1" t="s">
        <v>13894</v>
      </c>
      <c r="T1478" s="1" t="s">
        <v>13895</v>
      </c>
      <c r="U1478">
        <v>2005.71</v>
      </c>
      <c r="V1478">
        <v>1342.73</v>
      </c>
      <c r="W1478">
        <v>15.932121</v>
      </c>
      <c r="X1478">
        <v>108.22315</v>
      </c>
      <c r="Y1478">
        <v>662.98</v>
      </c>
      <c r="Z1478">
        <v>15.933014</v>
      </c>
      <c r="AA1478">
        <v>108.208342</v>
      </c>
      <c r="AB1478" s="5">
        <f t="shared" si="139"/>
        <v>2.0140950000000002</v>
      </c>
      <c r="AC1478" s="5">
        <f t="shared" si="140"/>
        <v>0.99447000000000008</v>
      </c>
      <c r="AD1478" s="1" t="str">
        <f t="shared" si="141"/>
        <v>Điện Bàn Bắc</v>
      </c>
      <c r="AE1478" s="1" t="str">
        <f t="shared" si="142"/>
        <v>TTCMKV Hội An</v>
      </c>
      <c r="AG1478">
        <f t="shared" si="143"/>
        <v>1.34273</v>
      </c>
      <c r="AH1478">
        <f t="shared" si="144"/>
        <v>0.66298000000000001</v>
      </c>
      <c r="AI1478">
        <f>VLOOKUP(L1478,'[1]Tuyến cáp H04'!$B:$E,3,0)/1000</f>
        <v>31.427</v>
      </c>
      <c r="AJ1478" t="str">
        <f>VLOOKUP(L1478,'[1]Tuyến cáp H04'!$B:$E,4,0)</f>
        <v>Mạng cấp 4</v>
      </c>
    </row>
    <row r="1479" spans="1:36" x14ac:dyDescent="0.25">
      <c r="A1479" s="1" t="s">
        <v>13896</v>
      </c>
      <c r="B1479" s="1" t="s">
        <v>13897</v>
      </c>
      <c r="C1479" s="1" t="s">
        <v>13689</v>
      </c>
      <c r="D1479" s="1" t="s">
        <v>13075</v>
      </c>
      <c r="E1479" s="1" t="s">
        <v>13076</v>
      </c>
      <c r="F1479" s="1" t="s">
        <v>13898</v>
      </c>
      <c r="G1479" s="1" t="s">
        <v>14281</v>
      </c>
      <c r="H1479" s="1" t="s">
        <v>14282</v>
      </c>
      <c r="I1479" s="1" t="s">
        <v>15558</v>
      </c>
      <c r="J1479" s="1" t="s">
        <v>23</v>
      </c>
      <c r="K1479" s="1"/>
      <c r="L1479" s="1" t="s">
        <v>13899</v>
      </c>
      <c r="M1479" s="1" t="s">
        <v>13900</v>
      </c>
      <c r="N1479" s="1" t="s">
        <v>13901</v>
      </c>
      <c r="O1479" s="1" t="s">
        <v>13902</v>
      </c>
      <c r="P1479" s="1" t="s">
        <v>13903</v>
      </c>
      <c r="Q1479" s="1" t="s">
        <v>13904</v>
      </c>
      <c r="R1479" s="1" t="s">
        <v>13905</v>
      </c>
      <c r="S1479" s="1" t="s">
        <v>13906</v>
      </c>
      <c r="T1479" s="1" t="s">
        <v>13907</v>
      </c>
      <c r="U1479">
        <v>3162.64</v>
      </c>
      <c r="V1479">
        <v>40.380000000000003</v>
      </c>
      <c r="W1479">
        <v>15.923458999999999</v>
      </c>
      <c r="X1479">
        <v>108.157512</v>
      </c>
      <c r="Y1479">
        <v>3122.25</v>
      </c>
      <c r="Z1479">
        <v>15.909742</v>
      </c>
      <c r="AA1479">
        <v>108.16077</v>
      </c>
      <c r="AB1479" s="5">
        <f t="shared" si="139"/>
        <v>6.0570000000000006E-2</v>
      </c>
      <c r="AC1479" s="5">
        <f t="shared" si="140"/>
        <v>4.6833749999999998</v>
      </c>
      <c r="AD1479" s="1" t="str">
        <f t="shared" si="141"/>
        <v>Điện Bàn Tây</v>
      </c>
      <c r="AE1479" s="1" t="str">
        <f t="shared" si="142"/>
        <v>Điện Bàn Bắc</v>
      </c>
      <c r="AG1479">
        <f t="shared" si="143"/>
        <v>4.0379999999999999E-2</v>
      </c>
      <c r="AH1479">
        <f t="shared" si="144"/>
        <v>3.1222500000000002</v>
      </c>
      <c r="AI1479">
        <f>VLOOKUP(L1479,'[1]Tuyến cáp H04'!$B:$E,3,0)/1000</f>
        <v>6.2690000000000001</v>
      </c>
      <c r="AJ1479" t="str">
        <f>VLOOKUP(L1479,'[1]Tuyến cáp H04'!$B:$E,4,0)</f>
        <v>Mạng cấp 4</v>
      </c>
    </row>
    <row r="1480" spans="1:36" x14ac:dyDescent="0.25">
      <c r="A1480" s="1" t="s">
        <v>13908</v>
      </c>
      <c r="B1480" s="1" t="s">
        <v>13897</v>
      </c>
      <c r="C1480" s="1" t="s">
        <v>13689</v>
      </c>
      <c r="D1480" s="1" t="s">
        <v>13909</v>
      </c>
      <c r="E1480" s="1" t="s">
        <v>13910</v>
      </c>
      <c r="F1480" s="1" t="s">
        <v>13911</v>
      </c>
      <c r="G1480" s="1" t="s">
        <v>14281</v>
      </c>
      <c r="H1480" s="1" t="s">
        <v>14282</v>
      </c>
      <c r="I1480" s="1" t="s">
        <v>15559</v>
      </c>
      <c r="J1480" s="1" t="s">
        <v>23</v>
      </c>
      <c r="K1480" s="1"/>
      <c r="L1480" s="1" t="s">
        <v>13899</v>
      </c>
      <c r="M1480" s="1" t="s">
        <v>13912</v>
      </c>
      <c r="N1480" s="1" t="s">
        <v>13901</v>
      </c>
      <c r="O1480" s="1" t="s">
        <v>13902</v>
      </c>
      <c r="P1480" s="1" t="s">
        <v>13903</v>
      </c>
      <c r="Q1480" s="1" t="s">
        <v>13913</v>
      </c>
      <c r="R1480" s="1" t="s">
        <v>13914</v>
      </c>
      <c r="S1480" s="1" t="s">
        <v>13915</v>
      </c>
      <c r="T1480" s="1" t="s">
        <v>13907</v>
      </c>
      <c r="U1480">
        <v>2587.9299999999998</v>
      </c>
      <c r="V1480">
        <v>40.380000000000003</v>
      </c>
      <c r="W1480">
        <v>15.923458999999999</v>
      </c>
      <c r="X1480">
        <v>108.157512</v>
      </c>
      <c r="Y1480">
        <v>2547.5500000000002</v>
      </c>
      <c r="Z1480">
        <v>15.921165</v>
      </c>
      <c r="AA1480">
        <v>108.156412</v>
      </c>
      <c r="AB1480" s="5">
        <f t="shared" si="139"/>
        <v>6.0570000000000006E-2</v>
      </c>
      <c r="AC1480" s="5">
        <f t="shared" si="140"/>
        <v>3.8213250000000003</v>
      </c>
      <c r="AD1480" s="1" t="str">
        <f t="shared" si="141"/>
        <v>Điện Bàn Tây</v>
      </c>
      <c r="AE1480" s="1" t="str">
        <f t="shared" si="142"/>
        <v>Điện Bàn Bắc</v>
      </c>
      <c r="AG1480">
        <f t="shared" si="143"/>
        <v>4.0379999999999999E-2</v>
      </c>
      <c r="AH1480">
        <f t="shared" si="144"/>
        <v>2.5475500000000002</v>
      </c>
      <c r="AI1480">
        <f>VLOOKUP(L1480,'[1]Tuyến cáp H04'!$B:$E,3,0)/1000</f>
        <v>6.2690000000000001</v>
      </c>
      <c r="AJ1480" t="str">
        <f>VLOOKUP(L1480,'[1]Tuyến cáp H04'!$B:$E,4,0)</f>
        <v>Mạng cấp 4</v>
      </c>
    </row>
    <row r="1481" spans="1:36" x14ac:dyDescent="0.25">
      <c r="A1481" s="1" t="s">
        <v>13916</v>
      </c>
      <c r="B1481" s="1" t="s">
        <v>13897</v>
      </c>
      <c r="C1481" s="1" t="s">
        <v>13689</v>
      </c>
      <c r="D1481" s="1" t="s">
        <v>13917</v>
      </c>
      <c r="E1481" s="1" t="s">
        <v>13918</v>
      </c>
      <c r="F1481" s="1" t="s">
        <v>13919</v>
      </c>
      <c r="G1481" s="1" t="s">
        <v>14281</v>
      </c>
      <c r="H1481" s="1" t="s">
        <v>14282</v>
      </c>
      <c r="I1481" s="1" t="s">
        <v>15560</v>
      </c>
      <c r="J1481" s="1" t="s">
        <v>23</v>
      </c>
      <c r="K1481" s="1"/>
      <c r="L1481" s="1" t="s">
        <v>13899</v>
      </c>
      <c r="M1481" s="1" t="s">
        <v>13920</v>
      </c>
      <c r="N1481" s="1" t="s">
        <v>13901</v>
      </c>
      <c r="O1481" s="1" t="s">
        <v>13902</v>
      </c>
      <c r="P1481" s="1" t="s">
        <v>13903</v>
      </c>
      <c r="Q1481" s="1" t="s">
        <v>13921</v>
      </c>
      <c r="R1481" s="1" t="s">
        <v>13914</v>
      </c>
      <c r="S1481" s="1" t="s">
        <v>13915</v>
      </c>
      <c r="T1481" s="1" t="s">
        <v>13907</v>
      </c>
      <c r="U1481">
        <v>87.58</v>
      </c>
      <c r="V1481">
        <v>40.380000000000003</v>
      </c>
      <c r="W1481">
        <v>15.923458999999999</v>
      </c>
      <c r="X1481">
        <v>108.157512</v>
      </c>
      <c r="Y1481">
        <v>47.2</v>
      </c>
      <c r="Z1481">
        <v>15.921165</v>
      </c>
      <c r="AA1481">
        <v>108.156412</v>
      </c>
      <c r="AB1481" s="5">
        <f t="shared" si="139"/>
        <v>6.0570000000000006E-2</v>
      </c>
      <c r="AC1481" s="5">
        <f t="shared" si="140"/>
        <v>7.0800000000000016E-2</v>
      </c>
      <c r="AD1481" s="1" t="str">
        <f t="shared" si="141"/>
        <v>Điện Bàn Tây</v>
      </c>
      <c r="AE1481" s="1" t="str">
        <f t="shared" si="142"/>
        <v>Điện Bàn Bắc</v>
      </c>
      <c r="AG1481">
        <f t="shared" si="143"/>
        <v>4.0379999999999999E-2</v>
      </c>
      <c r="AH1481">
        <f t="shared" si="144"/>
        <v>4.7200000000000006E-2</v>
      </c>
      <c r="AI1481">
        <f>VLOOKUP(L1481,'[1]Tuyến cáp H04'!$B:$E,3,0)/1000</f>
        <v>6.2690000000000001</v>
      </c>
      <c r="AJ1481" t="str">
        <f>VLOOKUP(L1481,'[1]Tuyến cáp H04'!$B:$E,4,0)</f>
        <v>Mạng cấp 4</v>
      </c>
    </row>
    <row r="1482" spans="1:36" x14ac:dyDescent="0.25">
      <c r="A1482" s="1" t="s">
        <v>13922</v>
      </c>
      <c r="B1482" s="1" t="s">
        <v>13923</v>
      </c>
      <c r="C1482" s="1" t="s">
        <v>13924</v>
      </c>
      <c r="D1482" s="1" t="s">
        <v>13925</v>
      </c>
      <c r="E1482" s="1" t="s">
        <v>13926</v>
      </c>
      <c r="F1482" s="1" t="s">
        <v>13927</v>
      </c>
      <c r="G1482" s="1" t="s">
        <v>14281</v>
      </c>
      <c r="H1482" s="1" t="s">
        <v>14282</v>
      </c>
      <c r="I1482" s="1" t="s">
        <v>15561</v>
      </c>
      <c r="J1482" s="1" t="s">
        <v>23</v>
      </c>
      <c r="K1482" s="1"/>
      <c r="L1482" s="1" t="s">
        <v>133</v>
      </c>
      <c r="M1482" s="1" t="s">
        <v>13928</v>
      </c>
      <c r="N1482" s="1" t="s">
        <v>13929</v>
      </c>
      <c r="O1482" s="1" t="s">
        <v>13930</v>
      </c>
      <c r="P1482" s="1" t="s">
        <v>13931</v>
      </c>
      <c r="Q1482" s="1" t="s">
        <v>13932</v>
      </c>
      <c r="R1482" s="1" t="s">
        <v>13933</v>
      </c>
      <c r="S1482" s="1" t="s">
        <v>13934</v>
      </c>
      <c r="T1482" s="1" t="s">
        <v>141</v>
      </c>
      <c r="U1482">
        <v>863.95</v>
      </c>
      <c r="V1482">
        <v>556.94000000000005</v>
      </c>
      <c r="W1482">
        <v>15.846783</v>
      </c>
      <c r="X1482">
        <v>108.09189600000001</v>
      </c>
      <c r="Y1482">
        <v>307.02</v>
      </c>
      <c r="Z1482">
        <v>15.851334</v>
      </c>
      <c r="AA1482">
        <v>107.94514100000001</v>
      </c>
      <c r="AB1482" s="5">
        <f t="shared" si="139"/>
        <v>0.8354100000000001</v>
      </c>
      <c r="AC1482" s="5">
        <f t="shared" si="140"/>
        <v>0.46052999999999999</v>
      </c>
      <c r="AD1482" s="1" t="str">
        <f t="shared" si="141"/>
        <v>Trại giam An Điềm (C10)</v>
      </c>
      <c r="AE1482" s="1" t="str">
        <f t="shared" si="142"/>
        <v>Duy Xuyên</v>
      </c>
      <c r="AG1482">
        <f t="shared" si="143"/>
        <v>0.5569400000000001</v>
      </c>
      <c r="AH1482">
        <f t="shared" si="144"/>
        <v>0.30701999999999996</v>
      </c>
      <c r="AI1482">
        <f>VLOOKUP(L1482,'[1]Tuyến cáp H04'!$B:$E,3,0)/1000</f>
        <v>48.999000000000002</v>
      </c>
      <c r="AJ1482" t="str">
        <f>VLOOKUP(L1482,'[1]Tuyến cáp H04'!$B:$E,4,0)</f>
        <v>Mạng cấp 3</v>
      </c>
    </row>
    <row r="1483" spans="1:36" x14ac:dyDescent="0.25">
      <c r="A1483" s="1" t="s">
        <v>13935</v>
      </c>
      <c r="B1483" s="1" t="s">
        <v>13923</v>
      </c>
      <c r="C1483" s="1" t="s">
        <v>13924</v>
      </c>
      <c r="D1483" s="1" t="s">
        <v>13285</v>
      </c>
      <c r="E1483" s="1" t="s">
        <v>13286</v>
      </c>
      <c r="F1483" s="1" t="s">
        <v>13936</v>
      </c>
      <c r="G1483" s="1" t="s">
        <v>14281</v>
      </c>
      <c r="H1483" s="1" t="s">
        <v>14282</v>
      </c>
      <c r="I1483" s="1" t="s">
        <v>15562</v>
      </c>
      <c r="J1483" s="1" t="s">
        <v>23</v>
      </c>
      <c r="K1483" s="1"/>
      <c r="L1483" s="1" t="s">
        <v>133</v>
      </c>
      <c r="M1483" s="1" t="s">
        <v>13937</v>
      </c>
      <c r="N1483" s="1" t="s">
        <v>13929</v>
      </c>
      <c r="O1483" s="1" t="s">
        <v>13930</v>
      </c>
      <c r="P1483" s="1" t="s">
        <v>13931</v>
      </c>
      <c r="Q1483" s="1" t="s">
        <v>13289</v>
      </c>
      <c r="R1483" s="1" t="s">
        <v>13290</v>
      </c>
      <c r="S1483" s="1" t="s">
        <v>13291</v>
      </c>
      <c r="T1483" s="1" t="s">
        <v>141</v>
      </c>
      <c r="U1483">
        <v>1264.6500000000001</v>
      </c>
      <c r="V1483">
        <v>556.94000000000005</v>
      </c>
      <c r="W1483">
        <v>15.846783</v>
      </c>
      <c r="X1483">
        <v>108.09189600000001</v>
      </c>
      <c r="Y1483">
        <v>707.71</v>
      </c>
      <c r="Z1483">
        <v>15.829067999999999</v>
      </c>
      <c r="AA1483">
        <v>108.202787</v>
      </c>
      <c r="AB1483" s="5">
        <f t="shared" si="139"/>
        <v>0.8354100000000001</v>
      </c>
      <c r="AC1483" s="5">
        <f t="shared" si="140"/>
        <v>1.0615650000000001</v>
      </c>
      <c r="AD1483" s="1" t="str">
        <f t="shared" si="141"/>
        <v>Trại giam An Điềm (C10)</v>
      </c>
      <c r="AE1483" s="1" t="str">
        <f t="shared" si="142"/>
        <v>Duy Xuyên</v>
      </c>
      <c r="AG1483">
        <f t="shared" si="143"/>
        <v>0.5569400000000001</v>
      </c>
      <c r="AH1483">
        <f t="shared" si="144"/>
        <v>0.70771000000000006</v>
      </c>
      <c r="AI1483">
        <f>VLOOKUP(L1483,'[1]Tuyến cáp H04'!$B:$E,3,0)/1000</f>
        <v>48.999000000000002</v>
      </c>
      <c r="AJ1483" t="str">
        <f>VLOOKUP(L1483,'[1]Tuyến cáp H04'!$B:$E,4,0)</f>
        <v>Mạng cấp 3</v>
      </c>
    </row>
    <row r="1484" spans="1:36" x14ac:dyDescent="0.25">
      <c r="A1484" s="1" t="s">
        <v>13938</v>
      </c>
      <c r="B1484" s="1" t="s">
        <v>13923</v>
      </c>
      <c r="C1484" s="1" t="s">
        <v>13924</v>
      </c>
      <c r="D1484" s="1" t="s">
        <v>13939</v>
      </c>
      <c r="E1484" s="1" t="s">
        <v>13940</v>
      </c>
      <c r="F1484" s="1" t="s">
        <v>13941</v>
      </c>
      <c r="G1484" s="1" t="s">
        <v>14281</v>
      </c>
      <c r="H1484" s="1" t="s">
        <v>14282</v>
      </c>
      <c r="I1484" s="1" t="s">
        <v>15563</v>
      </c>
      <c r="J1484" s="1" t="s">
        <v>23</v>
      </c>
      <c r="K1484" s="1"/>
      <c r="L1484" s="1" t="s">
        <v>13942</v>
      </c>
      <c r="M1484" s="1" t="s">
        <v>13943</v>
      </c>
      <c r="N1484" s="1" t="s">
        <v>13944</v>
      </c>
      <c r="O1484" s="1" t="s">
        <v>13945</v>
      </c>
      <c r="P1484" s="1" t="s">
        <v>13946</v>
      </c>
      <c r="Q1484" s="1" t="s">
        <v>13947</v>
      </c>
      <c r="R1484" s="1" t="s">
        <v>13948</v>
      </c>
      <c r="S1484" s="1" t="s">
        <v>13949</v>
      </c>
      <c r="T1484" s="1" t="s">
        <v>13950</v>
      </c>
      <c r="U1484">
        <v>1160.95</v>
      </c>
      <c r="V1484">
        <v>54.34</v>
      </c>
      <c r="W1484">
        <v>15.846954</v>
      </c>
      <c r="X1484">
        <v>108.086629</v>
      </c>
      <c r="Y1484">
        <v>1106.6099999999999</v>
      </c>
      <c r="Z1484">
        <v>15.846133999999999</v>
      </c>
      <c r="AA1484">
        <v>108.106295</v>
      </c>
      <c r="AB1484" s="5">
        <f t="shared" si="139"/>
        <v>8.1509999999999999E-2</v>
      </c>
      <c r="AC1484" s="5">
        <f t="shared" si="140"/>
        <v>1.659915</v>
      </c>
      <c r="AD1484" s="1" t="str">
        <f t="shared" si="141"/>
        <v>TTCMKV Đại Lộc</v>
      </c>
      <c r="AE1484" s="1" t="str">
        <f t="shared" si="142"/>
        <v>Vu Gia</v>
      </c>
      <c r="AG1484">
        <f t="shared" si="143"/>
        <v>5.4340000000000006E-2</v>
      </c>
      <c r="AH1484">
        <f t="shared" si="144"/>
        <v>1.1066099999999999</v>
      </c>
      <c r="AI1484">
        <f>VLOOKUP(L1484,'[1]Tuyến cáp H04'!$B:$E,3,0)/1000</f>
        <v>8.6300000000000008</v>
      </c>
      <c r="AJ1484" t="str">
        <f>VLOOKUP(L1484,'[1]Tuyến cáp H04'!$B:$E,4,0)</f>
        <v>Mạng cấp 4</v>
      </c>
    </row>
    <row r="1485" spans="1:36" x14ac:dyDescent="0.25">
      <c r="A1485" s="1" t="s">
        <v>13951</v>
      </c>
      <c r="B1485" s="1" t="s">
        <v>13923</v>
      </c>
      <c r="C1485" s="1" t="s">
        <v>13924</v>
      </c>
      <c r="D1485" s="1" t="s">
        <v>13952</v>
      </c>
      <c r="E1485" s="1" t="s">
        <v>13953</v>
      </c>
      <c r="F1485" s="1" t="s">
        <v>13954</v>
      </c>
      <c r="G1485" s="1" t="s">
        <v>14281</v>
      </c>
      <c r="H1485" s="1" t="s">
        <v>14282</v>
      </c>
      <c r="I1485" s="1" t="s">
        <v>15564</v>
      </c>
      <c r="J1485" s="1" t="s">
        <v>23</v>
      </c>
      <c r="K1485" s="1"/>
      <c r="L1485" s="1" t="s">
        <v>13294</v>
      </c>
      <c r="M1485" s="1" t="s">
        <v>13955</v>
      </c>
      <c r="N1485" s="1" t="s">
        <v>13956</v>
      </c>
      <c r="O1485" s="1" t="s">
        <v>13957</v>
      </c>
      <c r="P1485" s="1" t="s">
        <v>13958</v>
      </c>
      <c r="Q1485" s="1" t="s">
        <v>13959</v>
      </c>
      <c r="R1485" s="1" t="s">
        <v>13960</v>
      </c>
      <c r="S1485" s="1" t="s">
        <v>13961</v>
      </c>
      <c r="T1485" s="1" t="s">
        <v>13962</v>
      </c>
      <c r="U1485">
        <v>1245.0899999999999</v>
      </c>
      <c r="V1485">
        <v>1026.3699999999999</v>
      </c>
      <c r="W1485">
        <v>15.837248000000001</v>
      </c>
      <c r="X1485">
        <v>108.086302</v>
      </c>
      <c r="Y1485">
        <v>218.72</v>
      </c>
      <c r="Z1485">
        <v>15.830484999999999</v>
      </c>
      <c r="AA1485">
        <v>108.084808</v>
      </c>
      <c r="AB1485" s="5">
        <f t="shared" si="139"/>
        <v>1.5395549999999998</v>
      </c>
      <c r="AC1485" s="5">
        <f t="shared" si="140"/>
        <v>0.32807999999999998</v>
      </c>
      <c r="AD1485" s="1" t="str">
        <f t="shared" si="141"/>
        <v>Phú Thuận</v>
      </c>
      <c r="AE1485" s="1" t="str">
        <f t="shared" si="142"/>
        <v>Duy Xuyên</v>
      </c>
      <c r="AG1485">
        <f t="shared" si="143"/>
        <v>1.0263699999999998</v>
      </c>
      <c r="AH1485">
        <f t="shared" si="144"/>
        <v>0.21872</v>
      </c>
      <c r="AI1485">
        <f>VLOOKUP(L1485,'[1]Tuyến cáp H04'!$B:$E,3,0)/1000</f>
        <v>30.079000000000001</v>
      </c>
      <c r="AJ1485" t="str">
        <f>VLOOKUP(L1485,'[1]Tuyến cáp H04'!$B:$E,4,0)</f>
        <v>Mạng cấp 4</v>
      </c>
    </row>
    <row r="1486" spans="1:36" x14ac:dyDescent="0.25">
      <c r="A1486" s="1" t="s">
        <v>13963</v>
      </c>
      <c r="B1486" s="1" t="s">
        <v>13923</v>
      </c>
      <c r="C1486" s="1" t="s">
        <v>13924</v>
      </c>
      <c r="D1486" s="1" t="s">
        <v>13964</v>
      </c>
      <c r="E1486" s="1" t="s">
        <v>13965</v>
      </c>
      <c r="F1486" s="1" t="s">
        <v>13966</v>
      </c>
      <c r="G1486" s="1" t="s">
        <v>14281</v>
      </c>
      <c r="H1486" s="1" t="s">
        <v>14282</v>
      </c>
      <c r="I1486" s="1" t="s">
        <v>15565</v>
      </c>
      <c r="J1486" s="1" t="s">
        <v>23</v>
      </c>
      <c r="K1486" s="1"/>
      <c r="L1486" s="1" t="s">
        <v>133</v>
      </c>
      <c r="M1486" s="1" t="s">
        <v>13967</v>
      </c>
      <c r="N1486" s="1" t="s">
        <v>13929</v>
      </c>
      <c r="O1486" s="1" t="s">
        <v>13930</v>
      </c>
      <c r="P1486" s="1" t="s">
        <v>13931</v>
      </c>
      <c r="Q1486" s="1" t="s">
        <v>13968</v>
      </c>
      <c r="R1486" s="1" t="s">
        <v>13969</v>
      </c>
      <c r="S1486" s="1" t="s">
        <v>13970</v>
      </c>
      <c r="T1486" s="1" t="s">
        <v>141</v>
      </c>
      <c r="U1486">
        <v>751.85</v>
      </c>
      <c r="V1486">
        <v>556.94000000000005</v>
      </c>
      <c r="W1486">
        <v>15.846783</v>
      </c>
      <c r="X1486">
        <v>108.09189600000001</v>
      </c>
      <c r="Y1486">
        <v>194.91</v>
      </c>
      <c r="Z1486">
        <v>15.857137</v>
      </c>
      <c r="AA1486">
        <v>108.083394</v>
      </c>
      <c r="AB1486" s="5">
        <f t="shared" si="139"/>
        <v>0.8354100000000001</v>
      </c>
      <c r="AC1486" s="5">
        <f t="shared" si="140"/>
        <v>0.29236499999999999</v>
      </c>
      <c r="AD1486" s="1" t="str">
        <f t="shared" si="141"/>
        <v>Trại giam An Điềm (C10)</v>
      </c>
      <c r="AE1486" s="1" t="str">
        <f t="shared" si="142"/>
        <v>Duy Xuyên</v>
      </c>
      <c r="AG1486">
        <f t="shared" si="143"/>
        <v>0.5569400000000001</v>
      </c>
      <c r="AH1486">
        <f t="shared" si="144"/>
        <v>0.19491</v>
      </c>
      <c r="AI1486">
        <f>VLOOKUP(L1486,'[1]Tuyến cáp H04'!$B:$E,3,0)/1000</f>
        <v>48.999000000000002</v>
      </c>
      <c r="AJ1486" t="str">
        <f>VLOOKUP(L1486,'[1]Tuyến cáp H04'!$B:$E,4,0)</f>
        <v>Mạng cấp 3</v>
      </c>
    </row>
    <row r="1487" spans="1:36" x14ac:dyDescent="0.25">
      <c r="A1487" s="1" t="s">
        <v>13971</v>
      </c>
      <c r="B1487" s="1" t="s">
        <v>12270</v>
      </c>
      <c r="C1487" s="1" t="s">
        <v>12271</v>
      </c>
      <c r="D1487" s="1" t="s">
        <v>13972</v>
      </c>
      <c r="E1487" s="1" t="s">
        <v>13973</v>
      </c>
      <c r="F1487" s="1" t="s">
        <v>13974</v>
      </c>
      <c r="G1487" s="1" t="s">
        <v>14281</v>
      </c>
      <c r="H1487" s="1" t="s">
        <v>14282</v>
      </c>
      <c r="I1487" s="1" t="s">
        <v>15566</v>
      </c>
      <c r="J1487" s="1" t="s">
        <v>23</v>
      </c>
      <c r="K1487" s="1"/>
      <c r="L1487" s="1" t="s">
        <v>133</v>
      </c>
      <c r="M1487" s="1" t="s">
        <v>13975</v>
      </c>
      <c r="N1487" s="1" t="s">
        <v>13976</v>
      </c>
      <c r="O1487" s="1" t="s">
        <v>13977</v>
      </c>
      <c r="P1487" s="1" t="s">
        <v>13978</v>
      </c>
      <c r="Q1487" s="1" t="s">
        <v>13979</v>
      </c>
      <c r="R1487" s="1" t="s">
        <v>13980</v>
      </c>
      <c r="S1487" s="1" t="s">
        <v>13981</v>
      </c>
      <c r="T1487" s="1" t="s">
        <v>141</v>
      </c>
      <c r="U1487">
        <v>1436.57</v>
      </c>
      <c r="V1487">
        <v>784.84</v>
      </c>
      <c r="W1487">
        <v>15.837038</v>
      </c>
      <c r="X1487">
        <v>108.12441</v>
      </c>
      <c r="Y1487">
        <v>651.74</v>
      </c>
      <c r="Z1487">
        <v>15.859436000000001</v>
      </c>
      <c r="AA1487">
        <v>108.002516</v>
      </c>
      <c r="AB1487" s="5">
        <f t="shared" si="139"/>
        <v>1.17726</v>
      </c>
      <c r="AC1487" s="5">
        <f t="shared" si="140"/>
        <v>0.97760999999999998</v>
      </c>
      <c r="AD1487" s="1" t="str">
        <f t="shared" si="141"/>
        <v>Trại giam An Điềm (C10)</v>
      </c>
      <c r="AE1487" s="1" t="str">
        <f t="shared" si="142"/>
        <v>Duy Xuyên</v>
      </c>
      <c r="AG1487">
        <f t="shared" si="143"/>
        <v>0.78483999999999998</v>
      </c>
      <c r="AH1487">
        <f t="shared" si="144"/>
        <v>0.65173999999999999</v>
      </c>
      <c r="AI1487">
        <f>VLOOKUP(L1487,'[1]Tuyến cáp H04'!$B:$E,3,0)/1000</f>
        <v>48.999000000000002</v>
      </c>
      <c r="AJ1487" t="str">
        <f>VLOOKUP(L1487,'[1]Tuyến cáp H04'!$B:$E,4,0)</f>
        <v>Mạng cấp 3</v>
      </c>
    </row>
    <row r="1488" spans="1:36" x14ac:dyDescent="0.25">
      <c r="A1488" s="1" t="s">
        <v>13982</v>
      </c>
      <c r="B1488" s="1" t="s">
        <v>12270</v>
      </c>
      <c r="C1488" s="1" t="s">
        <v>12271</v>
      </c>
      <c r="D1488" s="1" t="s">
        <v>13168</v>
      </c>
      <c r="E1488" s="1" t="s">
        <v>13169</v>
      </c>
      <c r="F1488" s="1" t="s">
        <v>13293</v>
      </c>
      <c r="G1488" s="1"/>
      <c r="H1488" s="1" t="s">
        <v>14282</v>
      </c>
      <c r="I1488" s="1" t="s">
        <v>15481</v>
      </c>
      <c r="J1488" s="1" t="s">
        <v>23</v>
      </c>
      <c r="K1488" s="1"/>
      <c r="L1488" s="1" t="s">
        <v>13294</v>
      </c>
      <c r="M1488" s="1" t="s">
        <v>13295</v>
      </c>
      <c r="N1488" s="1" t="s">
        <v>13298</v>
      </c>
      <c r="O1488" s="1" t="s">
        <v>13299</v>
      </c>
      <c r="P1488" s="1" t="s">
        <v>13300</v>
      </c>
      <c r="Q1488" s="1" t="s">
        <v>9792</v>
      </c>
      <c r="R1488" s="1" t="s">
        <v>13296</v>
      </c>
      <c r="S1488" s="1" t="s">
        <v>13297</v>
      </c>
      <c r="T1488" s="1" t="s">
        <v>13301</v>
      </c>
      <c r="U1488">
        <v>799.31</v>
      </c>
      <c r="V1488">
        <v>745.6</v>
      </c>
      <c r="W1488">
        <v>15.836684999999999</v>
      </c>
      <c r="X1488">
        <v>108.124303</v>
      </c>
      <c r="Y1488">
        <v>53.71</v>
      </c>
      <c r="Z1488">
        <v>15.822854</v>
      </c>
      <c r="AA1488">
        <v>108.24686</v>
      </c>
      <c r="AB1488" s="5">
        <f t="shared" si="139"/>
        <v>1.1184000000000001</v>
      </c>
      <c r="AC1488" s="5">
        <f t="shared" si="140"/>
        <v>8.0564999999999998E-2</v>
      </c>
      <c r="AD1488" s="1" t="str">
        <f t="shared" si="141"/>
        <v>Phú Thuận</v>
      </c>
      <c r="AE1488" s="1" t="str">
        <f t="shared" si="142"/>
        <v>Duy Xuyên</v>
      </c>
      <c r="AG1488">
        <f t="shared" si="143"/>
        <v>0.74560000000000004</v>
      </c>
      <c r="AH1488">
        <f t="shared" si="144"/>
        <v>5.3710000000000001E-2</v>
      </c>
      <c r="AI1488">
        <f>VLOOKUP(L1488,'[1]Tuyến cáp H04'!$B:$E,3,0)/1000</f>
        <v>30.079000000000001</v>
      </c>
      <c r="AJ1488" t="str">
        <f>VLOOKUP(L1488,'[1]Tuyến cáp H04'!$B:$E,4,0)</f>
        <v>Mạng cấp 4</v>
      </c>
    </row>
    <row r="1489" spans="1:36" x14ac:dyDescent="0.25">
      <c r="A1489" s="1" t="s">
        <v>13983</v>
      </c>
      <c r="B1489" s="1" t="s">
        <v>13984</v>
      </c>
      <c r="C1489" s="1" t="s">
        <v>13985</v>
      </c>
      <c r="D1489" s="1" t="s">
        <v>13986</v>
      </c>
      <c r="E1489" s="1" t="s">
        <v>13987</v>
      </c>
      <c r="F1489" s="1" t="s">
        <v>13988</v>
      </c>
      <c r="G1489" s="1" t="s">
        <v>14281</v>
      </c>
      <c r="H1489" s="1" t="s">
        <v>14282</v>
      </c>
      <c r="I1489" s="1" t="s">
        <v>15567</v>
      </c>
      <c r="J1489" s="1" t="s">
        <v>23</v>
      </c>
      <c r="K1489" s="1"/>
      <c r="L1489" s="1" t="s">
        <v>13268</v>
      </c>
      <c r="M1489" s="1" t="s">
        <v>13989</v>
      </c>
      <c r="N1489" s="1" t="s">
        <v>13990</v>
      </c>
      <c r="O1489" s="1" t="s">
        <v>13991</v>
      </c>
      <c r="P1489" s="1" t="s">
        <v>13992</v>
      </c>
      <c r="Q1489" s="1" t="s">
        <v>13993</v>
      </c>
      <c r="R1489" s="1" t="s">
        <v>13271</v>
      </c>
      <c r="S1489" s="1" t="s">
        <v>13272</v>
      </c>
      <c r="T1489" s="1" t="s">
        <v>13276</v>
      </c>
      <c r="U1489">
        <v>664.09</v>
      </c>
      <c r="V1489">
        <v>207.58</v>
      </c>
      <c r="W1489">
        <v>15.82856</v>
      </c>
      <c r="X1489">
        <v>108.271935</v>
      </c>
      <c r="Y1489">
        <v>456.51</v>
      </c>
      <c r="Z1489">
        <v>15.822770999999999</v>
      </c>
      <c r="AA1489">
        <v>108.246752</v>
      </c>
      <c r="AB1489" s="5">
        <f t="shared" si="139"/>
        <v>0.31136999999999998</v>
      </c>
      <c r="AC1489" s="5">
        <f t="shared" si="140"/>
        <v>0.68476499999999996</v>
      </c>
      <c r="AD1489" s="1" t="str">
        <f t="shared" si="141"/>
        <v>"Đội CSĐT (X. Duy Nghĩa, Duyên Xuyên)</v>
      </c>
      <c r="AE1489" s="1" t="str">
        <f t="shared" si="142"/>
        <v xml:space="preserve">
TTCMKV Duy Xuyên"</v>
      </c>
      <c r="AG1489">
        <f t="shared" si="143"/>
        <v>0.20758000000000001</v>
      </c>
      <c r="AH1489">
        <f t="shared" si="144"/>
        <v>0.45650999999999997</v>
      </c>
      <c r="AI1489" t="e">
        <f>VLOOKUP(L1489,'[1]Tuyến cáp H04'!$B:$E,3,0)/1000</f>
        <v>#N/A</v>
      </c>
      <c r="AJ1489" t="e">
        <f>VLOOKUP(L1489,'[1]Tuyến cáp H04'!$B:$E,4,0)</f>
        <v>#N/A</v>
      </c>
    </row>
    <row r="1490" spans="1:36" x14ac:dyDescent="0.25">
      <c r="A1490" s="1" t="s">
        <v>13994</v>
      </c>
      <c r="B1490" s="1" t="s">
        <v>13984</v>
      </c>
      <c r="C1490" s="1" t="s">
        <v>13985</v>
      </c>
      <c r="D1490" s="1" t="s">
        <v>13265</v>
      </c>
      <c r="E1490" s="1" t="s">
        <v>13266</v>
      </c>
      <c r="F1490" s="1" t="s">
        <v>13995</v>
      </c>
      <c r="G1490" s="1" t="s">
        <v>14281</v>
      </c>
      <c r="H1490" s="1" t="s">
        <v>14282</v>
      </c>
      <c r="I1490" s="1" t="s">
        <v>15568</v>
      </c>
      <c r="J1490" s="1" t="s">
        <v>23</v>
      </c>
      <c r="K1490" s="1"/>
      <c r="L1490" s="1" t="s">
        <v>13268</v>
      </c>
      <c r="M1490" s="1" t="s">
        <v>13996</v>
      </c>
      <c r="N1490" s="1" t="s">
        <v>13990</v>
      </c>
      <c r="O1490" s="1" t="s">
        <v>13991</v>
      </c>
      <c r="P1490" s="1" t="s">
        <v>13992</v>
      </c>
      <c r="Q1490" s="1" t="s">
        <v>13273</v>
      </c>
      <c r="R1490" s="1" t="s">
        <v>13274</v>
      </c>
      <c r="S1490" s="1" t="s">
        <v>13275</v>
      </c>
      <c r="T1490" s="1" t="s">
        <v>13276</v>
      </c>
      <c r="U1490">
        <v>1034.3699999999999</v>
      </c>
      <c r="V1490">
        <v>207.58</v>
      </c>
      <c r="W1490">
        <v>15.82856</v>
      </c>
      <c r="X1490">
        <v>108.271935</v>
      </c>
      <c r="Y1490">
        <v>826.79</v>
      </c>
      <c r="Z1490">
        <v>15.830394999999999</v>
      </c>
      <c r="AA1490">
        <v>108.29240799999999</v>
      </c>
      <c r="AB1490" s="5">
        <f t="shared" si="139"/>
        <v>0.31136999999999998</v>
      </c>
      <c r="AC1490" s="5">
        <f t="shared" si="140"/>
        <v>1.2401849999999999</v>
      </c>
      <c r="AD1490" s="1" t="str">
        <f t="shared" si="141"/>
        <v>"Đội CSĐT (X. Duy Nghĩa, Duyên Xuyên)</v>
      </c>
      <c r="AE1490" s="1" t="str">
        <f t="shared" si="142"/>
        <v xml:space="preserve">
TTCMKV Duy Xuyên"</v>
      </c>
      <c r="AG1490">
        <f t="shared" si="143"/>
        <v>0.20758000000000001</v>
      </c>
      <c r="AH1490">
        <f t="shared" si="144"/>
        <v>0.82678999999999991</v>
      </c>
      <c r="AI1490" t="e">
        <f>VLOOKUP(L1490,'[1]Tuyến cáp H04'!$B:$E,3,0)/1000</f>
        <v>#N/A</v>
      </c>
      <c r="AJ1490" t="e">
        <f>VLOOKUP(L1490,'[1]Tuyến cáp H04'!$B:$E,4,0)</f>
        <v>#N/A</v>
      </c>
    </row>
    <row r="1491" spans="1:36" x14ac:dyDescent="0.25">
      <c r="A1491" s="1" t="s">
        <v>13997</v>
      </c>
      <c r="B1491" s="1" t="s">
        <v>13984</v>
      </c>
      <c r="C1491" s="1" t="s">
        <v>13985</v>
      </c>
      <c r="D1491" s="1" t="s">
        <v>13998</v>
      </c>
      <c r="E1491" s="1" t="s">
        <v>13999</v>
      </c>
      <c r="F1491" s="1" t="s">
        <v>14000</v>
      </c>
      <c r="G1491" s="1" t="s">
        <v>14281</v>
      </c>
      <c r="H1491" s="1" t="s">
        <v>14282</v>
      </c>
      <c r="I1491" s="1" t="s">
        <v>15569</v>
      </c>
      <c r="J1491" s="1" t="s">
        <v>23</v>
      </c>
      <c r="K1491" s="1"/>
      <c r="L1491" s="1" t="s">
        <v>13268</v>
      </c>
      <c r="M1491" s="1" t="s">
        <v>14001</v>
      </c>
      <c r="N1491" s="1" t="s">
        <v>13990</v>
      </c>
      <c r="O1491" s="1" t="s">
        <v>13991</v>
      </c>
      <c r="P1491" s="1" t="s">
        <v>13992</v>
      </c>
      <c r="Q1491" s="1" t="s">
        <v>14002</v>
      </c>
      <c r="R1491" s="1" t="s">
        <v>14003</v>
      </c>
      <c r="S1491" s="1" t="s">
        <v>14004</v>
      </c>
      <c r="T1491" s="1" t="s">
        <v>13276</v>
      </c>
      <c r="U1491">
        <v>1318.25</v>
      </c>
      <c r="V1491">
        <v>207.58</v>
      </c>
      <c r="W1491">
        <v>15.82856</v>
      </c>
      <c r="X1491">
        <v>108.271935</v>
      </c>
      <c r="Y1491">
        <v>1110.67</v>
      </c>
      <c r="Z1491">
        <v>15.826947000000001</v>
      </c>
      <c r="AA1491">
        <v>108.25846300000001</v>
      </c>
      <c r="AB1491" s="5">
        <f t="shared" si="139"/>
        <v>0.31136999999999998</v>
      </c>
      <c r="AC1491" s="5">
        <f t="shared" si="140"/>
        <v>1.6660050000000002</v>
      </c>
      <c r="AD1491" s="1" t="str">
        <f t="shared" si="141"/>
        <v>"Đội CSĐT (X. Duy Nghĩa, Duyên Xuyên)</v>
      </c>
      <c r="AE1491" s="1" t="str">
        <f t="shared" si="142"/>
        <v xml:space="preserve">
TTCMKV Duy Xuyên"</v>
      </c>
      <c r="AG1491">
        <f t="shared" si="143"/>
        <v>0.20758000000000001</v>
      </c>
      <c r="AH1491">
        <f t="shared" si="144"/>
        <v>1.11067</v>
      </c>
      <c r="AI1491" t="e">
        <f>VLOOKUP(L1491,'[1]Tuyến cáp H04'!$B:$E,3,0)/1000</f>
        <v>#N/A</v>
      </c>
      <c r="AJ1491" t="e">
        <f>VLOOKUP(L1491,'[1]Tuyến cáp H04'!$B:$E,4,0)</f>
        <v>#N/A</v>
      </c>
    </row>
    <row r="1492" spans="1:36" x14ac:dyDescent="0.25">
      <c r="A1492" s="1" t="s">
        <v>14005</v>
      </c>
      <c r="B1492" s="1" t="s">
        <v>13984</v>
      </c>
      <c r="C1492" s="1" t="s">
        <v>13985</v>
      </c>
      <c r="D1492" s="1" t="s">
        <v>14006</v>
      </c>
      <c r="E1492" s="1" t="s">
        <v>14007</v>
      </c>
      <c r="F1492" s="1" t="s">
        <v>14008</v>
      </c>
      <c r="G1492" s="1" t="s">
        <v>14281</v>
      </c>
      <c r="H1492" s="1" t="s">
        <v>14282</v>
      </c>
      <c r="I1492" s="1" t="s">
        <v>15570</v>
      </c>
      <c r="J1492" s="1" t="s">
        <v>23</v>
      </c>
      <c r="K1492" s="1"/>
      <c r="L1492" s="1" t="s">
        <v>13268</v>
      </c>
      <c r="M1492" s="1" t="s">
        <v>14009</v>
      </c>
      <c r="N1492" s="1" t="s">
        <v>13990</v>
      </c>
      <c r="O1492" s="1" t="s">
        <v>13991</v>
      </c>
      <c r="P1492" s="1" t="s">
        <v>13992</v>
      </c>
      <c r="Q1492" s="1" t="s">
        <v>14010</v>
      </c>
      <c r="R1492" s="1" t="s">
        <v>14011</v>
      </c>
      <c r="S1492" s="1" t="s">
        <v>14012</v>
      </c>
      <c r="T1492" s="1" t="s">
        <v>13276</v>
      </c>
      <c r="U1492">
        <v>802.75</v>
      </c>
      <c r="V1492">
        <v>207.58</v>
      </c>
      <c r="W1492">
        <v>15.82856</v>
      </c>
      <c r="X1492">
        <v>108.271935</v>
      </c>
      <c r="Y1492">
        <v>595.16999999999996</v>
      </c>
      <c r="Z1492">
        <v>15.823722999999999</v>
      </c>
      <c r="AA1492">
        <v>108.255015</v>
      </c>
      <c r="AB1492" s="5">
        <f t="shared" si="139"/>
        <v>0.31136999999999998</v>
      </c>
      <c r="AC1492" s="5">
        <f t="shared" si="140"/>
        <v>0.89275499999999985</v>
      </c>
      <c r="AD1492" s="1" t="str">
        <f t="shared" si="141"/>
        <v>"Đội CSĐT (X. Duy Nghĩa, Duyên Xuyên)</v>
      </c>
      <c r="AE1492" s="1" t="str">
        <f t="shared" si="142"/>
        <v xml:space="preserve">
TTCMKV Duy Xuyên"</v>
      </c>
      <c r="AG1492">
        <f t="shared" si="143"/>
        <v>0.20758000000000001</v>
      </c>
      <c r="AH1492">
        <f t="shared" si="144"/>
        <v>0.59516999999999998</v>
      </c>
      <c r="AI1492" t="e">
        <f>VLOOKUP(L1492,'[1]Tuyến cáp H04'!$B:$E,3,0)/1000</f>
        <v>#N/A</v>
      </c>
      <c r="AJ1492" t="e">
        <f>VLOOKUP(L1492,'[1]Tuyến cáp H04'!$B:$E,4,0)</f>
        <v>#N/A</v>
      </c>
    </row>
    <row r="1493" spans="1:36" x14ac:dyDescent="0.25">
      <c r="A1493" s="1" t="s">
        <v>14013</v>
      </c>
      <c r="B1493" s="1" t="s">
        <v>12285</v>
      </c>
      <c r="C1493" s="1" t="s">
        <v>12286</v>
      </c>
      <c r="D1493" s="1" t="e">
        <v>#N/A</v>
      </c>
      <c r="E1493" s="1" t="e">
        <v>#N/A</v>
      </c>
      <c r="F1493" s="1" t="s">
        <v>14014</v>
      </c>
      <c r="G1493" s="1" t="s">
        <v>14281</v>
      </c>
      <c r="H1493" s="1" t="s">
        <v>14282</v>
      </c>
      <c r="I1493" s="1" t="s">
        <v>15571</v>
      </c>
      <c r="J1493" s="1" t="s">
        <v>5166</v>
      </c>
      <c r="K1493" s="1" t="s">
        <v>11893</v>
      </c>
      <c r="L1493" s="1"/>
      <c r="M1493" s="1"/>
      <c r="N1493" s="1"/>
      <c r="O1493" s="1"/>
      <c r="P1493" s="1"/>
      <c r="Q1493" s="1"/>
      <c r="R1493" s="1"/>
      <c r="S1493" s="1"/>
      <c r="T1493" s="1"/>
      <c r="AB1493" s="5"/>
      <c r="AC1493" s="5"/>
      <c r="AD1493" s="1"/>
      <c r="AE1493" s="1"/>
      <c r="AI1493" t="e">
        <f>VLOOKUP(L1493,'[1]Tuyến cáp H04'!$B:$E,3,0)/1000</f>
        <v>#N/A</v>
      </c>
      <c r="AJ1493" t="e">
        <f>VLOOKUP(L1493,'[1]Tuyến cáp H04'!$B:$E,4,0)</f>
        <v>#N/A</v>
      </c>
    </row>
    <row r="1494" spans="1:36" x14ac:dyDescent="0.25">
      <c r="A1494" s="1" t="s">
        <v>14015</v>
      </c>
      <c r="B1494" s="1" t="s">
        <v>14016</v>
      </c>
      <c r="C1494" s="1" t="s">
        <v>14017</v>
      </c>
      <c r="D1494" s="1" t="s">
        <v>14018</v>
      </c>
      <c r="E1494" s="1" t="s">
        <v>14019</v>
      </c>
      <c r="F1494" s="1" t="s">
        <v>14020</v>
      </c>
      <c r="G1494" s="1" t="s">
        <v>14281</v>
      </c>
      <c r="H1494" s="1" t="s">
        <v>14282</v>
      </c>
      <c r="I1494" s="1" t="s">
        <v>15572</v>
      </c>
      <c r="J1494" s="1" t="s">
        <v>23</v>
      </c>
      <c r="K1494" s="1"/>
      <c r="L1494" s="1" t="s">
        <v>11571</v>
      </c>
      <c r="M1494" s="1" t="s">
        <v>14021</v>
      </c>
      <c r="N1494" s="1" t="s">
        <v>14022</v>
      </c>
      <c r="O1494" s="1" t="s">
        <v>14023</v>
      </c>
      <c r="P1494" s="1" t="s">
        <v>14024</v>
      </c>
      <c r="Q1494" s="1" t="s">
        <v>14025</v>
      </c>
      <c r="R1494" s="1" t="s">
        <v>14026</v>
      </c>
      <c r="S1494" s="1" t="s">
        <v>14027</v>
      </c>
      <c r="T1494" s="1" t="s">
        <v>14028</v>
      </c>
      <c r="U1494">
        <v>1071.17</v>
      </c>
      <c r="V1494">
        <v>13.48</v>
      </c>
      <c r="W1494">
        <v>15.545696</v>
      </c>
      <c r="X1494">
        <v>108.521484</v>
      </c>
      <c r="Y1494">
        <v>1057.68</v>
      </c>
      <c r="Z1494">
        <v>15.55298</v>
      </c>
      <c r="AA1494">
        <v>108.50616100000001</v>
      </c>
      <c r="AB1494" s="5">
        <f t="shared" si="139"/>
        <v>2.0219999999999998E-2</v>
      </c>
      <c r="AC1494" s="5">
        <f t="shared" si="140"/>
        <v>1.5865199999999999</v>
      </c>
      <c r="AD1494" s="1" t="str">
        <f t="shared" si="141"/>
        <v>TT2 Tam Kỳ</v>
      </c>
      <c r="AE1494" s="1" t="str">
        <f t="shared" si="142"/>
        <v>Tam Xuân</v>
      </c>
      <c r="AG1494">
        <f t="shared" si="143"/>
        <v>1.3480000000000001E-2</v>
      </c>
      <c r="AH1494">
        <f t="shared" si="144"/>
        <v>1.05768</v>
      </c>
      <c r="AI1494" t="e">
        <f>VLOOKUP(L1494,'[1]Tuyến cáp H04'!$B:$E,3,0)/1000</f>
        <v>#N/A</v>
      </c>
      <c r="AJ1494" t="e">
        <f>VLOOKUP(L1494,'[1]Tuyến cáp H04'!$B:$E,4,0)</f>
        <v>#N/A</v>
      </c>
    </row>
    <row r="1495" spans="1:36" x14ac:dyDescent="0.25">
      <c r="A1495" s="1" t="s">
        <v>14029</v>
      </c>
      <c r="B1495" s="1" t="s">
        <v>14016</v>
      </c>
      <c r="C1495" s="1" t="s">
        <v>14017</v>
      </c>
      <c r="D1495" s="1" t="s">
        <v>14030</v>
      </c>
      <c r="E1495" s="1" t="s">
        <v>14031</v>
      </c>
      <c r="F1495" s="1" t="s">
        <v>14032</v>
      </c>
      <c r="G1495" s="1" t="s">
        <v>14281</v>
      </c>
      <c r="H1495" s="1" t="s">
        <v>14282</v>
      </c>
      <c r="I1495" s="1" t="s">
        <v>15573</v>
      </c>
      <c r="J1495" s="1" t="s">
        <v>23</v>
      </c>
      <c r="K1495" s="1"/>
      <c r="L1495" s="1" t="s">
        <v>14033</v>
      </c>
      <c r="M1495" s="1" t="s">
        <v>14034</v>
      </c>
      <c r="N1495" s="1" t="s">
        <v>14035</v>
      </c>
      <c r="O1495" s="1" t="s">
        <v>14036</v>
      </c>
      <c r="P1495" s="1" t="s">
        <v>14037</v>
      </c>
      <c r="Q1495" s="1" t="s">
        <v>14038</v>
      </c>
      <c r="R1495" s="1" t="s">
        <v>14039</v>
      </c>
      <c r="S1495" s="1" t="s">
        <v>14040</v>
      </c>
      <c r="T1495" s="1" t="s">
        <v>14041</v>
      </c>
      <c r="U1495">
        <v>1092.49</v>
      </c>
      <c r="V1495">
        <v>755.06</v>
      </c>
      <c r="W1495">
        <v>15.541767</v>
      </c>
      <c r="X1495">
        <v>108.527382</v>
      </c>
      <c r="Y1495">
        <v>337.43</v>
      </c>
      <c r="Z1495">
        <v>15.513627</v>
      </c>
      <c r="AA1495">
        <v>108.557365</v>
      </c>
      <c r="AB1495" s="5">
        <f t="shared" si="139"/>
        <v>1.13259</v>
      </c>
      <c r="AC1495" s="5">
        <f t="shared" si="140"/>
        <v>0.50614499999999996</v>
      </c>
      <c r="AD1495" s="1" t="str">
        <f t="shared" si="141"/>
        <v>Tam Xuân</v>
      </c>
      <c r="AE1495" s="1" t="str">
        <f t="shared" si="142"/>
        <v>Tam Anh</v>
      </c>
      <c r="AG1495">
        <f t="shared" si="143"/>
        <v>0.75505999999999995</v>
      </c>
      <c r="AH1495">
        <f t="shared" si="144"/>
        <v>0.33743000000000001</v>
      </c>
      <c r="AI1495">
        <f>VLOOKUP(L1495,'[1]Tuyến cáp H04'!$B:$E,3,0)/1000</f>
        <v>15.099</v>
      </c>
      <c r="AJ1495" t="str">
        <f>VLOOKUP(L1495,'[1]Tuyến cáp H04'!$B:$E,4,0)</f>
        <v>Mạng cấp 4</v>
      </c>
    </row>
    <row r="1496" spans="1:36" x14ac:dyDescent="0.25">
      <c r="A1496" s="1" t="s">
        <v>14042</v>
      </c>
      <c r="B1496" s="1" t="s">
        <v>14016</v>
      </c>
      <c r="C1496" s="1" t="s">
        <v>14017</v>
      </c>
      <c r="D1496" s="1" t="s">
        <v>14043</v>
      </c>
      <c r="E1496" s="1" t="s">
        <v>14044</v>
      </c>
      <c r="F1496" s="1" t="s">
        <v>14045</v>
      </c>
      <c r="G1496" s="1" t="s">
        <v>14281</v>
      </c>
      <c r="H1496" s="1" t="s">
        <v>14282</v>
      </c>
      <c r="I1496" s="1" t="s">
        <v>15574</v>
      </c>
      <c r="J1496" s="1" t="s">
        <v>23</v>
      </c>
      <c r="K1496" s="1"/>
      <c r="L1496" s="1" t="s">
        <v>14033</v>
      </c>
      <c r="M1496" s="1" t="s">
        <v>14046</v>
      </c>
      <c r="N1496" s="1" t="s">
        <v>14047</v>
      </c>
      <c r="O1496" s="1" t="s">
        <v>14048</v>
      </c>
      <c r="P1496" s="1" t="s">
        <v>14049</v>
      </c>
      <c r="Q1496" s="1" t="s">
        <v>14050</v>
      </c>
      <c r="R1496" s="1" t="s">
        <v>14051</v>
      </c>
      <c r="S1496" s="1" t="s">
        <v>14052</v>
      </c>
      <c r="T1496" s="1" t="s">
        <v>14053</v>
      </c>
      <c r="U1496">
        <v>907.91</v>
      </c>
      <c r="V1496">
        <v>8.84</v>
      </c>
      <c r="W1496">
        <v>15.545572</v>
      </c>
      <c r="X1496">
        <v>108.521613</v>
      </c>
      <c r="Y1496">
        <v>899.07</v>
      </c>
      <c r="Z1496">
        <v>15.541734999999999</v>
      </c>
      <c r="AA1496">
        <v>108.527445</v>
      </c>
      <c r="AB1496" s="5">
        <f t="shared" si="139"/>
        <v>1.3259999999999999E-2</v>
      </c>
      <c r="AC1496" s="5">
        <f t="shared" si="140"/>
        <v>1.3486050000000001</v>
      </c>
      <c r="AD1496" s="1" t="str">
        <f t="shared" si="141"/>
        <v>Tam Xuân</v>
      </c>
      <c r="AE1496" s="1" t="str">
        <f t="shared" si="142"/>
        <v>Tam Anh</v>
      </c>
      <c r="AG1496">
        <f t="shared" si="143"/>
        <v>8.8400000000000006E-3</v>
      </c>
      <c r="AH1496">
        <f t="shared" si="144"/>
        <v>0.89907000000000004</v>
      </c>
      <c r="AI1496">
        <f>VLOOKUP(L1496,'[1]Tuyến cáp H04'!$B:$E,3,0)/1000</f>
        <v>15.099</v>
      </c>
      <c r="AJ1496" t="str">
        <f>VLOOKUP(L1496,'[1]Tuyến cáp H04'!$B:$E,4,0)</f>
        <v>Mạng cấp 4</v>
      </c>
    </row>
    <row r="1497" spans="1:36" x14ac:dyDescent="0.25">
      <c r="A1497" s="1" t="s">
        <v>14054</v>
      </c>
      <c r="B1497" s="1" t="s">
        <v>12306</v>
      </c>
      <c r="C1497" s="1" t="s">
        <v>12307</v>
      </c>
      <c r="D1497" s="1" t="s">
        <v>14055</v>
      </c>
      <c r="E1497" s="1" t="s">
        <v>14056</v>
      </c>
      <c r="F1497" s="1" t="s">
        <v>14057</v>
      </c>
      <c r="G1497" s="1" t="s">
        <v>14281</v>
      </c>
      <c r="H1497" s="1" t="s">
        <v>14282</v>
      </c>
      <c r="I1497" s="1" t="s">
        <v>15575</v>
      </c>
      <c r="J1497" s="1" t="s">
        <v>23</v>
      </c>
      <c r="K1497" s="1"/>
      <c r="L1497" s="1" t="s">
        <v>12322</v>
      </c>
      <c r="M1497" s="1" t="s">
        <v>14058</v>
      </c>
      <c r="N1497" s="1" t="s">
        <v>14059</v>
      </c>
      <c r="O1497" s="1" t="s">
        <v>14060</v>
      </c>
      <c r="P1497" s="1" t="s">
        <v>14061</v>
      </c>
      <c r="Q1497" s="1" t="s">
        <v>14062</v>
      </c>
      <c r="R1497" s="1" t="s">
        <v>14063</v>
      </c>
      <c r="S1497" s="1" t="s">
        <v>14064</v>
      </c>
      <c r="T1497" s="1" t="s">
        <v>14065</v>
      </c>
      <c r="U1497">
        <v>58.49</v>
      </c>
      <c r="V1497">
        <v>44.16</v>
      </c>
      <c r="W1497">
        <v>15.52319</v>
      </c>
      <c r="X1497">
        <v>108.41952999999999</v>
      </c>
      <c r="Y1497">
        <v>14.32</v>
      </c>
      <c r="Z1497">
        <v>15.523827000000001</v>
      </c>
      <c r="AA1497">
        <v>108.420692</v>
      </c>
      <c r="AB1497" s="5">
        <f t="shared" si="139"/>
        <v>6.6239999999999993E-2</v>
      </c>
      <c r="AC1497" s="5">
        <f t="shared" si="140"/>
        <v>2.1479999999999999E-2</v>
      </c>
      <c r="AD1497" s="1" t="str">
        <f t="shared" si="141"/>
        <v>Chiên Đàn</v>
      </c>
      <c r="AE1497" s="1" t="str">
        <f t="shared" si="142"/>
        <v>Phú Ninh</v>
      </c>
      <c r="AG1497">
        <f t="shared" si="143"/>
        <v>4.4159999999999998E-2</v>
      </c>
      <c r="AH1497">
        <f t="shared" si="144"/>
        <v>1.4320000000000001E-2</v>
      </c>
      <c r="AI1497">
        <f>VLOOKUP(L1497,'[1]Tuyến cáp H04'!$B:$E,3,0)/1000</f>
        <v>4.9809999999999999</v>
      </c>
      <c r="AJ1497" t="str">
        <f>VLOOKUP(L1497,'[1]Tuyến cáp H04'!$B:$E,4,0)</f>
        <v>Mạng cấp 4</v>
      </c>
    </row>
    <row r="1498" spans="1:36" x14ac:dyDescent="0.25">
      <c r="A1498" s="1" t="s">
        <v>14066</v>
      </c>
      <c r="B1498" s="1" t="s">
        <v>12306</v>
      </c>
      <c r="C1498" s="1" t="s">
        <v>12307</v>
      </c>
      <c r="D1498" s="1" t="e">
        <v>#N/A</v>
      </c>
      <c r="E1498" s="1" t="e">
        <v>#N/A</v>
      </c>
      <c r="F1498" s="1" t="s">
        <v>14067</v>
      </c>
      <c r="G1498" s="1" t="s">
        <v>14281</v>
      </c>
      <c r="H1498" s="1" t="s">
        <v>14282</v>
      </c>
      <c r="I1498" s="1" t="s">
        <v>15576</v>
      </c>
      <c r="J1498" s="1" t="s">
        <v>5166</v>
      </c>
      <c r="K1498" s="1" t="s">
        <v>11893</v>
      </c>
      <c r="L1498" s="1"/>
      <c r="M1498" s="1"/>
      <c r="N1498" s="1"/>
      <c r="O1498" s="1"/>
      <c r="P1498" s="1"/>
      <c r="Q1498" s="1"/>
      <c r="R1498" s="1"/>
      <c r="S1498" s="1"/>
      <c r="T1498" s="1"/>
      <c r="AB1498" s="5"/>
      <c r="AC1498" s="5"/>
      <c r="AD1498" s="1"/>
      <c r="AE1498" s="1"/>
      <c r="AI1498" t="e">
        <f>VLOOKUP(L1498,'[1]Tuyến cáp H04'!$B:$E,3,0)/1000</f>
        <v>#N/A</v>
      </c>
      <c r="AJ1498" t="e">
        <f>VLOOKUP(L1498,'[1]Tuyến cáp H04'!$B:$E,4,0)</f>
        <v>#N/A</v>
      </c>
    </row>
    <row r="1499" spans="1:36" x14ac:dyDescent="0.25">
      <c r="A1499" s="1" t="s">
        <v>14068</v>
      </c>
      <c r="B1499" s="1" t="s">
        <v>11396</v>
      </c>
      <c r="C1499" s="1" t="s">
        <v>11397</v>
      </c>
      <c r="D1499" s="1" t="s">
        <v>14069</v>
      </c>
      <c r="E1499" s="1" t="s">
        <v>14070</v>
      </c>
      <c r="F1499" s="1" t="s">
        <v>14071</v>
      </c>
      <c r="G1499" s="1" t="s">
        <v>14281</v>
      </c>
      <c r="H1499" s="1" t="s">
        <v>14282</v>
      </c>
      <c r="I1499" s="1" t="s">
        <v>15577</v>
      </c>
      <c r="J1499" s="1" t="s">
        <v>23</v>
      </c>
      <c r="K1499" s="1"/>
      <c r="L1499" s="1" t="s">
        <v>12410</v>
      </c>
      <c r="M1499" s="1" t="s">
        <v>14072</v>
      </c>
      <c r="N1499" s="1" t="s">
        <v>12412</v>
      </c>
      <c r="O1499" s="1" t="s">
        <v>11389</v>
      </c>
      <c r="P1499" s="1" t="s">
        <v>12413</v>
      </c>
      <c r="Q1499" s="1" t="s">
        <v>14073</v>
      </c>
      <c r="R1499" s="1" t="s">
        <v>14074</v>
      </c>
      <c r="S1499" s="1" t="s">
        <v>14075</v>
      </c>
      <c r="T1499" s="1" t="s">
        <v>12417</v>
      </c>
      <c r="U1499">
        <v>1524.16</v>
      </c>
      <c r="V1499">
        <v>150.32</v>
      </c>
      <c r="W1499">
        <v>15.736057000000001</v>
      </c>
      <c r="X1499">
        <v>108.28953</v>
      </c>
      <c r="Y1499">
        <v>1373.84</v>
      </c>
      <c r="Z1499">
        <v>15.722346</v>
      </c>
      <c r="AA1499">
        <v>108.279076</v>
      </c>
      <c r="AB1499" s="5">
        <f t="shared" si="139"/>
        <v>0.22547999999999999</v>
      </c>
      <c r="AC1499" s="5">
        <f t="shared" si="140"/>
        <v>2.0607599999999997</v>
      </c>
      <c r="AD1499" s="1" t="str">
        <f t="shared" si="141"/>
        <v>Quế Sơn</v>
      </c>
      <c r="AE1499" s="1" t="str">
        <f t="shared" si="142"/>
        <v>Đại Lộc</v>
      </c>
      <c r="AG1499">
        <f t="shared" si="143"/>
        <v>0.15031999999999998</v>
      </c>
      <c r="AH1499">
        <f t="shared" si="144"/>
        <v>1.37384</v>
      </c>
      <c r="AI1499">
        <f>VLOOKUP(L1499,'[1]Tuyến cáp H04'!$B:$E,3,0)/1000</f>
        <v>47.832000000000001</v>
      </c>
      <c r="AJ1499" t="str">
        <f>VLOOKUP(L1499,'[1]Tuyến cáp H04'!$B:$E,4,0)</f>
        <v>Mạng cấp 3</v>
      </c>
    </row>
    <row r="1500" spans="1:36" x14ac:dyDescent="0.25">
      <c r="A1500" s="1" t="s">
        <v>14076</v>
      </c>
      <c r="B1500" s="1" t="s">
        <v>12427</v>
      </c>
      <c r="C1500" s="1" t="s">
        <v>12428</v>
      </c>
      <c r="D1500" s="1" t="s">
        <v>14077</v>
      </c>
      <c r="E1500" s="1" t="s">
        <v>14078</v>
      </c>
      <c r="F1500" s="1" t="s">
        <v>14079</v>
      </c>
      <c r="G1500" s="1" t="s">
        <v>14281</v>
      </c>
      <c r="H1500" s="1" t="s">
        <v>14282</v>
      </c>
      <c r="I1500" s="1" t="s">
        <v>15578</v>
      </c>
      <c r="J1500" s="1" t="s">
        <v>23</v>
      </c>
      <c r="K1500" s="1"/>
      <c r="L1500" s="1" t="s">
        <v>11373</v>
      </c>
      <c r="M1500" s="1" t="s">
        <v>14080</v>
      </c>
      <c r="N1500" s="1" t="s">
        <v>14081</v>
      </c>
      <c r="O1500" s="1" t="s">
        <v>14082</v>
      </c>
      <c r="P1500" s="1" t="s">
        <v>14083</v>
      </c>
      <c r="Q1500" s="1" t="s">
        <v>14084</v>
      </c>
      <c r="R1500" s="1" t="s">
        <v>14085</v>
      </c>
      <c r="S1500" s="1" t="s">
        <v>14086</v>
      </c>
      <c r="T1500" s="1" t="s">
        <v>11381</v>
      </c>
      <c r="U1500">
        <v>1489.19</v>
      </c>
      <c r="V1500">
        <v>266.18</v>
      </c>
      <c r="W1500">
        <v>15.775741999999999</v>
      </c>
      <c r="X1500">
        <v>108.33300300000001</v>
      </c>
      <c r="Y1500">
        <v>1223.01</v>
      </c>
      <c r="Z1500">
        <v>15.756098</v>
      </c>
      <c r="AA1500">
        <v>108.34813699999999</v>
      </c>
      <c r="AB1500" s="5">
        <f t="shared" si="139"/>
        <v>0.39926999999999996</v>
      </c>
      <c r="AC1500" s="5">
        <f t="shared" si="140"/>
        <v>1.8345149999999999</v>
      </c>
      <c r="AD1500" s="1" t="str">
        <f t="shared" si="141"/>
        <v>Duy Xuyên</v>
      </c>
      <c r="AE1500" s="1" t="str">
        <f t="shared" si="142"/>
        <v>TT2 Tam Kỳ</v>
      </c>
      <c r="AG1500">
        <f t="shared" si="143"/>
        <v>0.26618000000000003</v>
      </c>
      <c r="AH1500">
        <f t="shared" si="144"/>
        <v>1.2230099999999999</v>
      </c>
      <c r="AI1500">
        <f>VLOOKUP(L1500,'[1]Tuyến cáp H04'!$B:$E,3,0)/1000</f>
        <v>44.616</v>
      </c>
      <c r="AJ1500" t="str">
        <f>VLOOKUP(L1500,'[1]Tuyến cáp H04'!$B:$E,4,0)</f>
        <v>Mạng cấp 3</v>
      </c>
    </row>
    <row r="1501" spans="1:36" x14ac:dyDescent="0.25">
      <c r="A1501" s="1" t="s">
        <v>14087</v>
      </c>
      <c r="B1501" s="1" t="s">
        <v>11524</v>
      </c>
      <c r="C1501" s="1" t="s">
        <v>11525</v>
      </c>
      <c r="D1501" s="1" t="e">
        <v>#N/A</v>
      </c>
      <c r="E1501" s="1" t="e">
        <v>#N/A</v>
      </c>
      <c r="F1501" s="1" t="s">
        <v>14088</v>
      </c>
      <c r="G1501" s="1" t="s">
        <v>14281</v>
      </c>
      <c r="H1501" s="1" t="s">
        <v>14282</v>
      </c>
      <c r="I1501" s="1" t="s">
        <v>15579</v>
      </c>
      <c r="J1501" s="1" t="s">
        <v>5166</v>
      </c>
      <c r="K1501" s="1" t="s">
        <v>11893</v>
      </c>
      <c r="L1501" s="1"/>
      <c r="M1501" s="1"/>
      <c r="N1501" s="1"/>
      <c r="O1501" s="1"/>
      <c r="P1501" s="1"/>
      <c r="Q1501" s="1"/>
      <c r="R1501" s="1"/>
      <c r="S1501" s="1"/>
      <c r="T1501" s="1"/>
      <c r="AB1501" s="5"/>
      <c r="AC1501" s="5"/>
      <c r="AD1501" s="1"/>
      <c r="AE1501" s="1"/>
      <c r="AI1501" t="e">
        <f>VLOOKUP(L1501,'[1]Tuyến cáp H04'!$B:$E,3,0)/1000</f>
        <v>#N/A</v>
      </c>
      <c r="AJ1501" t="e">
        <f>VLOOKUP(L1501,'[1]Tuyến cáp H04'!$B:$E,4,0)</f>
        <v>#N/A</v>
      </c>
    </row>
    <row r="1502" spans="1:36" x14ac:dyDescent="0.25">
      <c r="A1502" s="1" t="s">
        <v>12489</v>
      </c>
      <c r="B1502" s="1" t="s">
        <v>12475</v>
      </c>
      <c r="C1502" s="1" t="s">
        <v>12476</v>
      </c>
      <c r="D1502" s="1" t="s">
        <v>12490</v>
      </c>
      <c r="E1502" s="1" t="s">
        <v>12491</v>
      </c>
      <c r="F1502" s="1" t="s">
        <v>14089</v>
      </c>
      <c r="G1502" s="1" t="s">
        <v>14281</v>
      </c>
      <c r="H1502" s="1" t="s">
        <v>14282</v>
      </c>
      <c r="I1502" s="1" t="s">
        <v>15396</v>
      </c>
      <c r="J1502" s="1" t="s">
        <v>23</v>
      </c>
      <c r="K1502" s="1"/>
      <c r="L1502" s="1" t="s">
        <v>12480</v>
      </c>
      <c r="M1502" s="1" t="s">
        <v>12493</v>
      </c>
      <c r="N1502" s="1" t="s">
        <v>12482</v>
      </c>
      <c r="O1502" s="1" t="s">
        <v>12483</v>
      </c>
      <c r="P1502" s="1" t="s">
        <v>12484</v>
      </c>
      <c r="Q1502" s="1" t="s">
        <v>12494</v>
      </c>
      <c r="R1502" s="1" t="s">
        <v>12495</v>
      </c>
      <c r="S1502" s="1" t="s">
        <v>12496</v>
      </c>
      <c r="T1502" s="1" t="s">
        <v>12488</v>
      </c>
      <c r="U1502">
        <v>576.87</v>
      </c>
      <c r="V1502">
        <v>58.91</v>
      </c>
      <c r="W1502">
        <v>15.632675000000001</v>
      </c>
      <c r="X1502">
        <v>108.374645</v>
      </c>
      <c r="Y1502">
        <v>517.96</v>
      </c>
      <c r="Z1502">
        <v>15.633737</v>
      </c>
      <c r="AA1502">
        <v>108.375322</v>
      </c>
      <c r="AB1502" s="5">
        <f t="shared" si="139"/>
        <v>8.8364999999999999E-2</v>
      </c>
      <c r="AC1502" s="5">
        <f t="shared" si="140"/>
        <v>0.77694000000000007</v>
      </c>
      <c r="AD1502" s="1" t="str">
        <f t="shared" si="141"/>
        <v>Thăng Phú</v>
      </c>
      <c r="AE1502" s="1" t="str">
        <f t="shared" si="142"/>
        <v>Tây Hồ</v>
      </c>
      <c r="AG1502">
        <f t="shared" si="143"/>
        <v>5.8909999999999997E-2</v>
      </c>
      <c r="AH1502">
        <f t="shared" si="144"/>
        <v>0.51796000000000009</v>
      </c>
      <c r="AI1502">
        <f>VLOOKUP(L1502,'[1]Tuyến cáp H04'!$B:$E,3,0)/1000</f>
        <v>5.5410000000000004</v>
      </c>
      <c r="AJ1502" t="str">
        <f>VLOOKUP(L1502,'[1]Tuyến cáp H04'!$B:$E,4,0)</f>
        <v>Mạng cấp 4</v>
      </c>
    </row>
    <row r="1503" spans="1:36" x14ac:dyDescent="0.25">
      <c r="A1503" s="1" t="s">
        <v>14090</v>
      </c>
      <c r="B1503" s="1" t="s">
        <v>12475</v>
      </c>
      <c r="C1503" s="1" t="s">
        <v>12476</v>
      </c>
      <c r="D1503" s="1" t="s">
        <v>14091</v>
      </c>
      <c r="E1503" s="1" t="s">
        <v>14092</v>
      </c>
      <c r="F1503" s="1" t="s">
        <v>14093</v>
      </c>
      <c r="G1503" s="1" t="s">
        <v>14281</v>
      </c>
      <c r="H1503" s="1" t="s">
        <v>14282</v>
      </c>
      <c r="I1503" s="1" t="s">
        <v>15580</v>
      </c>
      <c r="J1503" s="1" t="s">
        <v>23</v>
      </c>
      <c r="K1503" s="1"/>
      <c r="L1503" s="1" t="s">
        <v>12480</v>
      </c>
      <c r="M1503" s="1" t="s">
        <v>14094</v>
      </c>
      <c r="N1503" s="1" t="s">
        <v>14095</v>
      </c>
      <c r="O1503" s="1" t="s">
        <v>14096</v>
      </c>
      <c r="P1503" s="1" t="s">
        <v>14097</v>
      </c>
      <c r="Q1503" s="1" t="s">
        <v>14098</v>
      </c>
      <c r="R1503" s="1" t="s">
        <v>14099</v>
      </c>
      <c r="S1503" s="1" t="s">
        <v>14100</v>
      </c>
      <c r="T1503" s="1" t="s">
        <v>14101</v>
      </c>
      <c r="U1503">
        <v>1507.93</v>
      </c>
      <c r="V1503">
        <v>1350.84</v>
      </c>
      <c r="W1503">
        <v>15.624055</v>
      </c>
      <c r="X1503">
        <v>108.383067</v>
      </c>
      <c r="Y1503">
        <v>157.09</v>
      </c>
      <c r="Z1503">
        <v>15.621383</v>
      </c>
      <c r="AA1503">
        <v>108.399039</v>
      </c>
      <c r="AB1503" s="5">
        <f t="shared" si="139"/>
        <v>2.0262599999999997</v>
      </c>
      <c r="AC1503" s="5">
        <f t="shared" si="140"/>
        <v>0.23563499999999998</v>
      </c>
      <c r="AD1503" s="1" t="str">
        <f t="shared" si="141"/>
        <v>Thăng Phú</v>
      </c>
      <c r="AE1503" s="1" t="str">
        <f t="shared" si="142"/>
        <v>Tây Hồ</v>
      </c>
      <c r="AG1503">
        <f t="shared" si="143"/>
        <v>1.3508399999999998</v>
      </c>
      <c r="AH1503">
        <f t="shared" si="144"/>
        <v>0.15709000000000001</v>
      </c>
      <c r="AI1503">
        <f>VLOOKUP(L1503,'[1]Tuyến cáp H04'!$B:$E,3,0)/1000</f>
        <v>5.5410000000000004</v>
      </c>
      <c r="AJ1503" t="str">
        <f>VLOOKUP(L1503,'[1]Tuyến cáp H04'!$B:$E,4,0)</f>
        <v>Mạng cấp 4</v>
      </c>
    </row>
    <row r="1504" spans="1:36" x14ac:dyDescent="0.25">
      <c r="A1504" s="1" t="s">
        <v>14102</v>
      </c>
      <c r="B1504" s="1" t="s">
        <v>11643</v>
      </c>
      <c r="C1504" s="1" t="s">
        <v>11644</v>
      </c>
      <c r="D1504" s="1" t="s">
        <v>14103</v>
      </c>
      <c r="E1504" s="1" t="s">
        <v>14104</v>
      </c>
      <c r="F1504" s="1" t="s">
        <v>14105</v>
      </c>
      <c r="G1504" s="1" t="s">
        <v>14281</v>
      </c>
      <c r="H1504" s="1" t="s">
        <v>14282</v>
      </c>
      <c r="I1504" s="1" t="s">
        <v>15581</v>
      </c>
      <c r="J1504" s="1" t="s">
        <v>23</v>
      </c>
      <c r="K1504" s="1"/>
      <c r="L1504" s="1" t="s">
        <v>11633</v>
      </c>
      <c r="M1504" s="1" t="s">
        <v>14106</v>
      </c>
      <c r="N1504" s="1" t="s">
        <v>11647</v>
      </c>
      <c r="O1504" s="1" t="s">
        <v>11648</v>
      </c>
      <c r="P1504" s="1" t="s">
        <v>11649</v>
      </c>
      <c r="Q1504" s="1" t="s">
        <v>14107</v>
      </c>
      <c r="R1504" s="1" t="s">
        <v>14108</v>
      </c>
      <c r="S1504" s="1" t="s">
        <v>14109</v>
      </c>
      <c r="T1504" s="1" t="s">
        <v>11641</v>
      </c>
      <c r="U1504">
        <v>1064.2</v>
      </c>
      <c r="V1504">
        <v>429.55</v>
      </c>
      <c r="W1504">
        <v>15.544556999999999</v>
      </c>
      <c r="X1504">
        <v>108.488028</v>
      </c>
      <c r="Y1504">
        <v>634.65</v>
      </c>
      <c r="Z1504">
        <v>15.560665999999999</v>
      </c>
      <c r="AA1504">
        <v>108.48599900000001</v>
      </c>
      <c r="AB1504" s="5">
        <f t="shared" si="139"/>
        <v>0.64432500000000004</v>
      </c>
      <c r="AC1504" s="5">
        <f t="shared" si="140"/>
        <v>0.9519749999999999</v>
      </c>
      <c r="AD1504" s="1" t="str">
        <f t="shared" si="141"/>
        <v>Hương Trà</v>
      </c>
      <c r="AE1504" s="1" t="str">
        <f t="shared" si="142"/>
        <v>Tam Kỳ</v>
      </c>
      <c r="AG1504">
        <f t="shared" si="143"/>
        <v>0.42954999999999999</v>
      </c>
      <c r="AH1504">
        <f t="shared" si="144"/>
        <v>0.63464999999999994</v>
      </c>
      <c r="AI1504">
        <f>VLOOKUP(L1504,'[1]Tuyến cáp H04'!$B:$E,3,0)/1000</f>
        <v>5.2249999999999996</v>
      </c>
      <c r="AJ1504" t="str">
        <f>VLOOKUP(L1504,'[1]Tuyến cáp H04'!$B:$E,4,0)</f>
        <v>Mạng cấp 4</v>
      </c>
    </row>
    <row r="1505" spans="1:36" x14ac:dyDescent="0.25">
      <c r="A1505" s="1" t="s">
        <v>14110</v>
      </c>
      <c r="B1505" s="1" t="s">
        <v>12524</v>
      </c>
      <c r="C1505" s="1" t="s">
        <v>12525</v>
      </c>
      <c r="D1505" s="1" t="s">
        <v>12541</v>
      </c>
      <c r="E1505" s="1" t="s">
        <v>12542</v>
      </c>
      <c r="F1505" s="1" t="s">
        <v>14111</v>
      </c>
      <c r="G1505" s="1" t="s">
        <v>14281</v>
      </c>
      <c r="H1505" s="1" t="s">
        <v>14282</v>
      </c>
      <c r="I1505" s="1" t="s">
        <v>15582</v>
      </c>
      <c r="J1505" s="1" t="s">
        <v>23</v>
      </c>
      <c r="K1505" s="1"/>
      <c r="L1505" s="1" t="s">
        <v>12544</v>
      </c>
      <c r="M1505" s="1" t="s">
        <v>14112</v>
      </c>
      <c r="N1505" s="1" t="s">
        <v>2569</v>
      </c>
      <c r="O1505" s="1" t="s">
        <v>14113</v>
      </c>
      <c r="P1505" s="1" t="s">
        <v>14114</v>
      </c>
      <c r="Q1505" s="1" t="s">
        <v>14115</v>
      </c>
      <c r="R1505" s="1" t="s">
        <v>14116</v>
      </c>
      <c r="S1505" s="1" t="s">
        <v>14117</v>
      </c>
      <c r="T1505" s="1" t="s">
        <v>14118</v>
      </c>
      <c r="U1505">
        <v>478.99</v>
      </c>
      <c r="V1505">
        <v>95.74</v>
      </c>
      <c r="W1505">
        <v>15.575647</v>
      </c>
      <c r="X1505">
        <v>108.47656600000001</v>
      </c>
      <c r="Y1505">
        <v>383.25</v>
      </c>
      <c r="Z1505">
        <v>15.569207</v>
      </c>
      <c r="AA1505">
        <v>108.476629</v>
      </c>
      <c r="AB1505" s="5">
        <f t="shared" si="139"/>
        <v>0.14360999999999999</v>
      </c>
      <c r="AC1505" s="5">
        <f t="shared" si="140"/>
        <v>0.57487500000000002</v>
      </c>
      <c r="AD1505" s="1" t="str">
        <f t="shared" si="141"/>
        <v>PC06</v>
      </c>
      <c r="AE1505" s="1" t="str">
        <f t="shared" si="142"/>
        <v>PC07</v>
      </c>
      <c r="AG1505">
        <f t="shared" si="143"/>
        <v>9.5739999999999992E-2</v>
      </c>
      <c r="AH1505">
        <f t="shared" si="144"/>
        <v>0.38324999999999998</v>
      </c>
      <c r="AI1505">
        <f>VLOOKUP(L1505,'[1]Tuyến cáp H04'!$B:$E,3,0)/1000</f>
        <v>2.0049999999999999</v>
      </c>
      <c r="AJ1505" t="str">
        <f>VLOOKUP(L1505,'[1]Tuyến cáp H04'!$B:$E,4,0)</f>
        <v>Mạng cấp 3</v>
      </c>
    </row>
    <row r="1506" spans="1:36" x14ac:dyDescent="0.25">
      <c r="A1506" s="1" t="s">
        <v>14119</v>
      </c>
      <c r="B1506" s="1" t="s">
        <v>12524</v>
      </c>
      <c r="C1506" s="1" t="s">
        <v>12525</v>
      </c>
      <c r="D1506" s="1" t="e">
        <v>#N/A</v>
      </c>
      <c r="E1506" s="1" t="e">
        <v>#N/A</v>
      </c>
      <c r="F1506" s="1" t="s">
        <v>14120</v>
      </c>
      <c r="G1506" s="1" t="s">
        <v>14281</v>
      </c>
      <c r="H1506" s="1" t="s">
        <v>14282</v>
      </c>
      <c r="I1506" s="1" t="s">
        <v>15583</v>
      </c>
      <c r="J1506" s="1" t="s">
        <v>5166</v>
      </c>
      <c r="K1506" s="1" t="s">
        <v>11893</v>
      </c>
      <c r="L1506" s="1"/>
      <c r="M1506" s="1"/>
      <c r="N1506" s="1"/>
      <c r="O1506" s="1"/>
      <c r="P1506" s="1"/>
      <c r="Q1506" s="1"/>
      <c r="R1506" s="1"/>
      <c r="S1506" s="1"/>
      <c r="T1506" s="1"/>
      <c r="AB1506" s="5"/>
      <c r="AC1506" s="5"/>
      <c r="AD1506" s="1"/>
      <c r="AE1506" s="1"/>
      <c r="AI1506" t="e">
        <f>VLOOKUP(L1506,'[1]Tuyến cáp H04'!$B:$E,3,0)/1000</f>
        <v>#N/A</v>
      </c>
      <c r="AJ1506" t="e">
        <f>VLOOKUP(L1506,'[1]Tuyến cáp H04'!$B:$E,4,0)</f>
        <v>#N/A</v>
      </c>
    </row>
    <row r="1507" spans="1:36" x14ac:dyDescent="0.25">
      <c r="A1507" s="1" t="s">
        <v>14121</v>
      </c>
      <c r="B1507" s="1" t="s">
        <v>4610</v>
      </c>
      <c r="C1507" s="1" t="s">
        <v>4611</v>
      </c>
      <c r="D1507" s="1" t="s">
        <v>14122</v>
      </c>
      <c r="E1507" s="1" t="s">
        <v>14123</v>
      </c>
      <c r="F1507" s="1" t="s">
        <v>14124</v>
      </c>
      <c r="G1507" s="1" t="s">
        <v>14281</v>
      </c>
      <c r="H1507" s="1" t="s">
        <v>14282</v>
      </c>
      <c r="I1507" s="1" t="s">
        <v>15584</v>
      </c>
      <c r="J1507" s="1" t="s">
        <v>23</v>
      </c>
      <c r="K1507" s="1"/>
      <c r="L1507" s="1" t="s">
        <v>12610</v>
      </c>
      <c r="M1507" s="1" t="s">
        <v>14125</v>
      </c>
      <c r="N1507" s="1" t="s">
        <v>12612</v>
      </c>
      <c r="O1507" s="1" t="s">
        <v>12613</v>
      </c>
      <c r="P1507" s="1" t="s">
        <v>12614</v>
      </c>
      <c r="Q1507" s="1" t="s">
        <v>14126</v>
      </c>
      <c r="R1507" s="1" t="s">
        <v>14127</v>
      </c>
      <c r="S1507" s="1" t="s">
        <v>14128</v>
      </c>
      <c r="T1507" s="1" t="s">
        <v>12618</v>
      </c>
      <c r="U1507">
        <v>941.53</v>
      </c>
      <c r="V1507">
        <v>362.26</v>
      </c>
      <c r="W1507">
        <v>15.560487</v>
      </c>
      <c r="X1507">
        <v>108.44725800000001</v>
      </c>
      <c r="Y1507">
        <v>579.27</v>
      </c>
      <c r="Z1507">
        <v>15.559533</v>
      </c>
      <c r="AA1507">
        <v>108.440489</v>
      </c>
      <c r="AB1507" s="5">
        <f t="shared" si="139"/>
        <v>0.54339000000000004</v>
      </c>
      <c r="AC1507" s="5">
        <f t="shared" si="140"/>
        <v>0.86890499999999993</v>
      </c>
      <c r="AD1507" s="1" t="str">
        <f t="shared" si="141"/>
        <v>Phú Ninh</v>
      </c>
      <c r="AE1507" s="1" t="str">
        <f t="shared" si="142"/>
        <v>TT2 Tam Kỳ</v>
      </c>
      <c r="AG1507">
        <f t="shared" si="143"/>
        <v>0.36225999999999997</v>
      </c>
      <c r="AH1507">
        <f t="shared" si="144"/>
        <v>0.57926999999999995</v>
      </c>
      <c r="AI1507">
        <f>VLOOKUP(L1507,'[1]Tuyến cáp H04'!$B:$E,3,0)/1000</f>
        <v>8.4600000000000009</v>
      </c>
      <c r="AJ1507" t="str">
        <f>VLOOKUP(L1507,'[1]Tuyến cáp H04'!$B:$E,4,0)</f>
        <v>Mạng cấp 3</v>
      </c>
    </row>
  </sheetData>
  <autoFilter ref="A1:AH150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OptimizedNearestRoute_DualPoint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Song Nghiem</cp:lastModifiedBy>
  <dcterms:created xsi:type="dcterms:W3CDTF">2025-12-03T14:34:59Z</dcterms:created>
  <dcterms:modified xsi:type="dcterms:W3CDTF">2025-12-03T15:17:52Z</dcterms:modified>
</cp:coreProperties>
</file>